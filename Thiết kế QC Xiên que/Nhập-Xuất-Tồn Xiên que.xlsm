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drawings/drawing3.xml" ContentType="application/vnd.openxmlformats-officedocument.drawing+xml"/>
  <Override PartName="/xl/ctrlProps/ctrlProp3.xml" ContentType="application/vnd.ms-excel.controlproperties+xml"/>
  <Override PartName="/xl/drawings/drawing4.xml" ContentType="application/vnd.openxmlformats-officedocument.drawing+xml"/>
  <Override PartName="/xl/ctrlProps/ctrlProp4.xml" ContentType="application/vnd.ms-excel.controlproperties+xml"/>
  <Override PartName="/xl/drawings/drawing5.xml" ContentType="application/vnd.openxmlformats-officedocument.drawing+xml"/>
  <Override PartName="/xl/ctrlProps/ctrlProp5.xml" ContentType="application/vnd.ms-excel.controlproperties+xml"/>
  <Override PartName="/xl/drawings/drawing6.xml" ContentType="application/vnd.openxmlformats-officedocument.drawing+xml"/>
  <Override PartName="/xl/ctrlProps/ctrlProp6.xml" ContentType="application/vnd.ms-excel.controlproperties+xml"/>
  <Override PartName="/xl/drawings/drawing7.xml" ContentType="application/vnd.openxmlformats-officedocument.drawing+xml"/>
  <Override PartName="/xl/ctrlProps/ctrlProp7.xml" ContentType="application/vnd.ms-excel.controlproperties+xml"/>
  <Override PartName="/xl/drawings/drawing8.xml" ContentType="application/vnd.openxmlformats-officedocument.drawing+xml"/>
  <Override PartName="/xl/ctrlProps/ctrlProp8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480" yWindow="345" windowWidth="19875" windowHeight="7725" activeTab="10"/>
  </bookViews>
  <sheets>
    <sheet name="Quy cách" sheetId="1" r:id="rId1"/>
    <sheet name="Chi phí" sheetId="4" r:id="rId2"/>
    <sheet name="Tiền Hàng" sheetId="6" r:id="rId3"/>
    <sheet name="00" sheetId="2" r:id="rId4"/>
    <sheet name="2" sheetId="7" r:id="rId5"/>
    <sheet name="3" sheetId="8" r:id="rId6"/>
    <sheet name="4" sheetId="10" r:id="rId7"/>
    <sheet name="5" sheetId="11" r:id="rId8"/>
    <sheet name="6" sheetId="12" r:id="rId9"/>
    <sheet name="7" sheetId="13" r:id="rId10"/>
    <sheet name="8" sheetId="14" r:id="rId11"/>
  </sheets>
  <definedNames>
    <definedName name="_xlnm._FilterDatabase" localSheetId="3" hidden="1">'00'!$A$1:$H$28</definedName>
    <definedName name="_xlnm._FilterDatabase" localSheetId="4" hidden="1">'2'!$A$1:$H$28</definedName>
    <definedName name="_xlnm._FilterDatabase" localSheetId="5" hidden="1">'3'!$A$1:$H$28</definedName>
    <definedName name="_xlnm._FilterDatabase" localSheetId="6" hidden="1">'4'!$A$1:$H$30</definedName>
    <definedName name="_xlnm._FilterDatabase" localSheetId="7" hidden="1">'5'!$A$1:$H$30</definedName>
    <definedName name="_xlnm._FilterDatabase" localSheetId="8" hidden="1">'6'!$A$1:$H$30</definedName>
    <definedName name="_xlnm._FilterDatabase" localSheetId="9" hidden="1">'7'!$A$1:$H$30</definedName>
    <definedName name="_xlnm._FilterDatabase" localSheetId="10" hidden="1">'8'!$A$1:$H$30</definedName>
    <definedName name="_xlnm._FilterDatabase" localSheetId="2" hidden="1">'Tiền Hàng'!$A$1:$B$30</definedName>
  </definedNames>
  <calcPr calcId="145621"/>
</workbook>
</file>

<file path=xl/calcChain.xml><?xml version="1.0" encoding="utf-8"?>
<calcChain xmlns="http://schemas.openxmlformats.org/spreadsheetml/2006/main">
  <c r="AG1" i="4" l="1"/>
  <c r="B20" i="4" l="1"/>
  <c r="D30" i="14" l="1"/>
  <c r="E30" i="14" s="1"/>
  <c r="D29" i="14"/>
  <c r="E29" i="14" s="1"/>
  <c r="D28" i="14"/>
  <c r="E28" i="14" s="1"/>
  <c r="D27" i="14"/>
  <c r="E27" i="14" s="1"/>
  <c r="D26" i="14"/>
  <c r="E26" i="14" s="1"/>
  <c r="D25" i="14"/>
  <c r="E25" i="14" s="1"/>
  <c r="D24" i="14"/>
  <c r="E24" i="14" s="1"/>
  <c r="D23" i="14"/>
  <c r="E23" i="14" s="1"/>
  <c r="D22" i="14"/>
  <c r="E22" i="14" s="1"/>
  <c r="D21" i="14"/>
  <c r="E21" i="14" s="1"/>
  <c r="D20" i="14"/>
  <c r="E20" i="14" s="1"/>
  <c r="D19" i="14"/>
  <c r="E19" i="14" s="1"/>
  <c r="D18" i="14"/>
  <c r="E18" i="14" s="1"/>
  <c r="D17" i="14"/>
  <c r="E17" i="14" s="1"/>
  <c r="D16" i="14"/>
  <c r="E16" i="14" s="1"/>
  <c r="E15" i="14"/>
  <c r="D15" i="14"/>
  <c r="D14" i="14"/>
  <c r="E14" i="14" s="1"/>
  <c r="D13" i="14"/>
  <c r="E13" i="14" s="1"/>
  <c r="D12" i="14"/>
  <c r="E12" i="14" s="1"/>
  <c r="D11" i="14"/>
  <c r="E11" i="14" s="1"/>
  <c r="D10" i="14"/>
  <c r="E10" i="14" s="1"/>
  <c r="D9" i="14"/>
  <c r="E9" i="14" s="1"/>
  <c r="D8" i="14"/>
  <c r="E8" i="14" s="1"/>
  <c r="E7" i="14"/>
  <c r="D7" i="14"/>
  <c r="D6" i="14"/>
  <c r="E6" i="14" s="1"/>
  <c r="D5" i="14"/>
  <c r="E5" i="14" s="1"/>
  <c r="D4" i="14"/>
  <c r="E4" i="14" s="1"/>
  <c r="D3" i="14"/>
  <c r="E3" i="14" s="1"/>
  <c r="D2" i="14" l="1"/>
  <c r="E2" i="14"/>
  <c r="D30" i="13"/>
  <c r="E30" i="13" s="1"/>
  <c r="D29" i="13"/>
  <c r="E29" i="13" s="1"/>
  <c r="D28" i="13"/>
  <c r="E28" i="13" s="1"/>
  <c r="D27" i="13"/>
  <c r="E27" i="13" s="1"/>
  <c r="D26" i="13"/>
  <c r="E26" i="13" s="1"/>
  <c r="D25" i="13"/>
  <c r="E25" i="13" s="1"/>
  <c r="D24" i="13"/>
  <c r="E24" i="13" s="1"/>
  <c r="E23" i="13"/>
  <c r="D23" i="13"/>
  <c r="D22" i="13"/>
  <c r="E22" i="13" s="1"/>
  <c r="D21" i="13"/>
  <c r="E21" i="13" s="1"/>
  <c r="D20" i="13"/>
  <c r="E20" i="13" s="1"/>
  <c r="D19" i="13"/>
  <c r="E19" i="13" s="1"/>
  <c r="D18" i="13"/>
  <c r="E18" i="13" s="1"/>
  <c r="D17" i="13"/>
  <c r="E17" i="13" s="1"/>
  <c r="D16" i="13"/>
  <c r="E16" i="13" s="1"/>
  <c r="D15" i="13"/>
  <c r="E15" i="13" s="1"/>
  <c r="D14" i="13"/>
  <c r="E14" i="13" s="1"/>
  <c r="D13" i="13"/>
  <c r="E13" i="13" s="1"/>
  <c r="D12" i="13"/>
  <c r="E12" i="13" s="1"/>
  <c r="D11" i="13"/>
  <c r="E11" i="13" s="1"/>
  <c r="D10" i="13"/>
  <c r="E10" i="13" s="1"/>
  <c r="D9" i="13"/>
  <c r="E9" i="13" s="1"/>
  <c r="D8" i="13"/>
  <c r="E8" i="13" s="1"/>
  <c r="E7" i="13"/>
  <c r="D7" i="13"/>
  <c r="D6" i="13"/>
  <c r="E6" i="13" s="1"/>
  <c r="D5" i="13"/>
  <c r="E5" i="13" s="1"/>
  <c r="D4" i="13"/>
  <c r="E4" i="13" s="1"/>
  <c r="D3" i="13"/>
  <c r="E3" i="13" s="1"/>
  <c r="D2" i="13" l="1"/>
  <c r="E2" i="13"/>
  <c r="D30" i="12"/>
  <c r="E30" i="12" s="1"/>
  <c r="D29" i="12"/>
  <c r="E29" i="12" s="1"/>
  <c r="D28" i="12"/>
  <c r="E28" i="12" s="1"/>
  <c r="D27" i="12"/>
  <c r="E27" i="12" s="1"/>
  <c r="D26" i="12"/>
  <c r="E26" i="12" s="1"/>
  <c r="D25" i="12"/>
  <c r="E25" i="12" s="1"/>
  <c r="D24" i="12"/>
  <c r="E24" i="12" s="1"/>
  <c r="D23" i="12"/>
  <c r="E23" i="12" s="1"/>
  <c r="D22" i="12"/>
  <c r="E22" i="12" s="1"/>
  <c r="D21" i="12"/>
  <c r="E21" i="12" s="1"/>
  <c r="D20" i="12"/>
  <c r="E20" i="12" s="1"/>
  <c r="E19" i="12"/>
  <c r="D19" i="12"/>
  <c r="D18" i="12"/>
  <c r="E18" i="12" s="1"/>
  <c r="D17" i="12"/>
  <c r="E17" i="12" s="1"/>
  <c r="D16" i="12"/>
  <c r="E16" i="12" s="1"/>
  <c r="D15" i="12"/>
  <c r="E15" i="12" s="1"/>
  <c r="D14" i="12"/>
  <c r="E14" i="12" s="1"/>
  <c r="D13" i="12"/>
  <c r="E13" i="12" s="1"/>
  <c r="D12" i="12"/>
  <c r="E12" i="12" s="1"/>
  <c r="D11" i="12"/>
  <c r="E11" i="12" s="1"/>
  <c r="D10" i="12"/>
  <c r="E10" i="12" s="1"/>
  <c r="D9" i="12"/>
  <c r="E9" i="12" s="1"/>
  <c r="D8" i="12"/>
  <c r="E8" i="12" s="1"/>
  <c r="E7" i="12"/>
  <c r="D7" i="12"/>
  <c r="D6" i="12"/>
  <c r="E6" i="12" s="1"/>
  <c r="D5" i="12"/>
  <c r="E5" i="12" s="1"/>
  <c r="D4" i="12"/>
  <c r="E4" i="12" s="1"/>
  <c r="D3" i="12"/>
  <c r="E3" i="12" s="1"/>
  <c r="D2" i="12"/>
  <c r="E2" i="12" l="1"/>
  <c r="D30" i="11" l="1"/>
  <c r="E30" i="11" s="1"/>
  <c r="D29" i="11"/>
  <c r="E29" i="11" s="1"/>
  <c r="D28" i="11"/>
  <c r="E28" i="11" s="1"/>
  <c r="D27" i="11"/>
  <c r="E27" i="11" s="1"/>
  <c r="D26" i="11"/>
  <c r="E26" i="11" s="1"/>
  <c r="D25" i="11"/>
  <c r="E25" i="11" s="1"/>
  <c r="D24" i="11"/>
  <c r="E24" i="11" s="1"/>
  <c r="D23" i="11"/>
  <c r="E23" i="11" s="1"/>
  <c r="D22" i="11"/>
  <c r="E22" i="11" s="1"/>
  <c r="D21" i="11"/>
  <c r="E21" i="11" s="1"/>
  <c r="D20" i="11"/>
  <c r="E20" i="11" s="1"/>
  <c r="D19" i="11"/>
  <c r="E19" i="11" s="1"/>
  <c r="D18" i="11"/>
  <c r="E18" i="11" s="1"/>
  <c r="D17" i="11"/>
  <c r="E17" i="11" s="1"/>
  <c r="D16" i="11"/>
  <c r="E16" i="11" s="1"/>
  <c r="D15" i="11"/>
  <c r="E15" i="11" s="1"/>
  <c r="D14" i="11"/>
  <c r="E14" i="11" s="1"/>
  <c r="D13" i="11"/>
  <c r="E13" i="11" s="1"/>
  <c r="D12" i="11"/>
  <c r="E12" i="11" s="1"/>
  <c r="D11" i="11"/>
  <c r="E11" i="11" s="1"/>
  <c r="D10" i="11"/>
  <c r="E10" i="11" s="1"/>
  <c r="D9" i="11"/>
  <c r="E9" i="11" s="1"/>
  <c r="D8" i="11"/>
  <c r="E8" i="11" s="1"/>
  <c r="D7" i="11"/>
  <c r="E7" i="11" s="1"/>
  <c r="D6" i="11"/>
  <c r="E6" i="11" s="1"/>
  <c r="D5" i="11"/>
  <c r="E5" i="11" s="1"/>
  <c r="D4" i="11"/>
  <c r="E4" i="11" s="1"/>
  <c r="D3" i="11"/>
  <c r="E3" i="11" s="1"/>
  <c r="D2" i="11" l="1"/>
  <c r="E2" i="11"/>
  <c r="D6" i="8"/>
  <c r="D4" i="10"/>
  <c r="E4" i="10" s="1"/>
  <c r="D5" i="10"/>
  <c r="E5" i="10" s="1"/>
  <c r="D6" i="10"/>
  <c r="E6" i="10" s="1"/>
  <c r="D7" i="10"/>
  <c r="E7" i="10" s="1"/>
  <c r="D8" i="10"/>
  <c r="E8" i="10" s="1"/>
  <c r="D9" i="10"/>
  <c r="E9" i="10" s="1"/>
  <c r="D10" i="10"/>
  <c r="E10" i="10" s="1"/>
  <c r="D11" i="10"/>
  <c r="E11" i="10" s="1"/>
  <c r="D12" i="10"/>
  <c r="E12" i="10" s="1"/>
  <c r="D13" i="10"/>
  <c r="E13" i="10" s="1"/>
  <c r="D14" i="10"/>
  <c r="E14" i="10" s="1"/>
  <c r="D15" i="10"/>
  <c r="E15" i="10" s="1"/>
  <c r="D16" i="10"/>
  <c r="E16" i="10" s="1"/>
  <c r="D17" i="10"/>
  <c r="E17" i="10" s="1"/>
  <c r="D18" i="10"/>
  <c r="E18" i="10" s="1"/>
  <c r="D19" i="10"/>
  <c r="E19" i="10" s="1"/>
  <c r="D20" i="10"/>
  <c r="E20" i="10" s="1"/>
  <c r="D21" i="10"/>
  <c r="E21" i="10" s="1"/>
  <c r="D22" i="10"/>
  <c r="E22" i="10" s="1"/>
  <c r="D23" i="10"/>
  <c r="E23" i="10" s="1"/>
  <c r="D24" i="10"/>
  <c r="E24" i="10" s="1"/>
  <c r="D25" i="10"/>
  <c r="E25" i="10" s="1"/>
  <c r="D26" i="10"/>
  <c r="E26" i="10" s="1"/>
  <c r="D27" i="10"/>
  <c r="E27" i="10" s="1"/>
  <c r="D28" i="10"/>
  <c r="E28" i="10" s="1"/>
  <c r="D29" i="10"/>
  <c r="E29" i="10" s="1"/>
  <c r="D30" i="10"/>
  <c r="E30" i="10" s="1"/>
  <c r="E25" i="1"/>
  <c r="E14" i="1"/>
  <c r="D3" i="10"/>
  <c r="E3" i="10" s="1"/>
  <c r="T25" i="6"/>
  <c r="AH14" i="6"/>
  <c r="AA14" i="6"/>
  <c r="AD14" i="6"/>
  <c r="V25" i="6"/>
  <c r="M25" i="6"/>
  <c r="K14" i="6"/>
  <c r="L25" i="6"/>
  <c r="K25" i="6"/>
  <c r="AC14" i="6"/>
  <c r="AF14" i="6"/>
  <c r="AJ14" i="6"/>
  <c r="I14" i="6"/>
  <c r="AI25" i="6"/>
  <c r="I25" i="6"/>
  <c r="U25" i="6"/>
  <c r="AB25" i="6"/>
  <c r="S14" i="6"/>
  <c r="Q14" i="6"/>
  <c r="O14" i="6"/>
  <c r="G14" i="6"/>
  <c r="X25" i="6"/>
  <c r="V14" i="6"/>
  <c r="M14" i="6"/>
  <c r="Z14" i="6"/>
  <c r="R25" i="6"/>
  <c r="U14" i="6"/>
  <c r="X14" i="6"/>
  <c r="N25" i="6"/>
  <c r="H25" i="6"/>
  <c r="N14" i="6"/>
  <c r="S25" i="6"/>
  <c r="AH25" i="6"/>
  <c r="AG25" i="6"/>
  <c r="Q25" i="6"/>
  <c r="J25" i="6"/>
  <c r="AE14" i="6"/>
  <c r="R14" i="6"/>
  <c r="AK25" i="6"/>
  <c r="AG14" i="6"/>
  <c r="AJ25" i="6"/>
  <c r="AI14" i="6"/>
  <c r="AC25" i="6"/>
  <c r="AF25" i="6"/>
  <c r="W25" i="6"/>
  <c r="P14" i="6"/>
  <c r="H14" i="6"/>
  <c r="AD25" i="6"/>
  <c r="Z25" i="6"/>
  <c r="AA25" i="6"/>
  <c r="AB14" i="6"/>
  <c r="AK14" i="6"/>
  <c r="Y14" i="6"/>
  <c r="G25" i="6"/>
  <c r="W14" i="6"/>
  <c r="T14" i="6"/>
  <c r="L14" i="6"/>
  <c r="Y25" i="6"/>
  <c r="P25" i="6"/>
  <c r="J14" i="6"/>
  <c r="AE25" i="6"/>
  <c r="O25" i="6"/>
  <c r="F25" i="6" l="1"/>
  <c r="H25" i="1" s="1"/>
  <c r="F14" i="6"/>
  <c r="H14" i="1" s="1"/>
  <c r="D2" i="10"/>
  <c r="E2" i="10"/>
  <c r="C18" i="4"/>
  <c r="B13" i="4"/>
  <c r="B14" i="4"/>
  <c r="B15" i="4"/>
  <c r="B16" i="4"/>
  <c r="B17" i="4"/>
  <c r="B18" i="4"/>
  <c r="B19" i="4"/>
  <c r="C2" i="4"/>
  <c r="D2" i="4"/>
  <c r="E2" i="4"/>
  <c r="F2" i="4"/>
  <c r="G2" i="4"/>
  <c r="H2" i="4"/>
  <c r="I2" i="4"/>
  <c r="J2" i="4"/>
  <c r="K2" i="4"/>
  <c r="L2" i="4"/>
  <c r="M2" i="4"/>
  <c r="N2" i="4"/>
  <c r="O2" i="4"/>
  <c r="P2" i="4"/>
  <c r="Q2" i="4"/>
  <c r="R2" i="4"/>
  <c r="S2" i="4"/>
  <c r="T2" i="4"/>
  <c r="U2" i="4"/>
  <c r="V2" i="4"/>
  <c r="W2" i="4"/>
  <c r="X2" i="4"/>
  <c r="Y2" i="4"/>
  <c r="Z2" i="4"/>
  <c r="AA2" i="4"/>
  <c r="AB2" i="4"/>
  <c r="AC2" i="4"/>
  <c r="AD2" i="4"/>
  <c r="AE2" i="4"/>
  <c r="AF2" i="4"/>
  <c r="D28" i="8"/>
  <c r="E28" i="8" s="1"/>
  <c r="D27" i="8"/>
  <c r="E27" i="8" s="1"/>
  <c r="D26" i="8"/>
  <c r="E26" i="8" s="1"/>
  <c r="D25" i="8"/>
  <c r="E25" i="8" s="1"/>
  <c r="D24" i="8"/>
  <c r="E24" i="8" s="1"/>
  <c r="D23" i="8"/>
  <c r="E23" i="8" s="1"/>
  <c r="D22" i="8"/>
  <c r="E22" i="8" s="1"/>
  <c r="D21" i="8"/>
  <c r="E21" i="8" s="1"/>
  <c r="D20" i="8"/>
  <c r="E20" i="8" s="1"/>
  <c r="D19" i="8"/>
  <c r="E19" i="8" s="1"/>
  <c r="D18" i="8"/>
  <c r="E18" i="8" s="1"/>
  <c r="D17" i="8"/>
  <c r="E17" i="8" s="1"/>
  <c r="D16" i="8"/>
  <c r="E16" i="8" s="1"/>
  <c r="D15" i="8"/>
  <c r="E15" i="8" s="1"/>
  <c r="D14" i="8"/>
  <c r="E14" i="8" s="1"/>
  <c r="D13" i="8"/>
  <c r="E13" i="8" s="1"/>
  <c r="D12" i="8"/>
  <c r="E12" i="8" s="1"/>
  <c r="D11" i="8"/>
  <c r="E11" i="8" s="1"/>
  <c r="D10" i="8"/>
  <c r="E10" i="8" s="1"/>
  <c r="D9" i="8"/>
  <c r="E9" i="8" s="1"/>
  <c r="D8" i="8"/>
  <c r="E8" i="8" s="1"/>
  <c r="D7" i="8"/>
  <c r="E7" i="8" s="1"/>
  <c r="E6" i="8"/>
  <c r="D5" i="8"/>
  <c r="E5" i="8" s="1"/>
  <c r="D4" i="8"/>
  <c r="E4" i="8" s="1"/>
  <c r="D3" i="8"/>
  <c r="D2" i="8" l="1"/>
  <c r="E3" i="8"/>
  <c r="D4" i="7"/>
  <c r="D5" i="2"/>
  <c r="E2" i="8" l="1"/>
  <c r="D28" i="7"/>
  <c r="D27" i="7"/>
  <c r="D26" i="7"/>
  <c r="D25" i="7"/>
  <c r="D24" i="7"/>
  <c r="D23" i="7"/>
  <c r="D22" i="7"/>
  <c r="D21" i="7"/>
  <c r="D20" i="7"/>
  <c r="D19" i="7"/>
  <c r="D18" i="7"/>
  <c r="D17" i="7"/>
  <c r="D16" i="7"/>
  <c r="D15" i="7"/>
  <c r="D14" i="7"/>
  <c r="D13" i="7"/>
  <c r="D12" i="7"/>
  <c r="D11" i="7"/>
  <c r="D10" i="7"/>
  <c r="D9" i="7"/>
  <c r="D8" i="7"/>
  <c r="D7" i="7"/>
  <c r="D6" i="7"/>
  <c r="D5" i="7"/>
  <c r="E4" i="7"/>
  <c r="D3" i="7"/>
  <c r="B3" i="4"/>
  <c r="B4" i="4"/>
  <c r="B5" i="4"/>
  <c r="B6" i="4"/>
  <c r="B7" i="4"/>
  <c r="B8" i="4"/>
  <c r="B9" i="4"/>
  <c r="B10" i="4"/>
  <c r="B11" i="4"/>
  <c r="B12" i="4"/>
  <c r="E28" i="1"/>
  <c r="E27" i="1"/>
  <c r="E3" i="1"/>
  <c r="E4" i="1"/>
  <c r="E5" i="1"/>
  <c r="E6" i="1"/>
  <c r="E7" i="1"/>
  <c r="E8" i="1"/>
  <c r="E9" i="1"/>
  <c r="E10" i="1"/>
  <c r="E11" i="1"/>
  <c r="E12" i="1"/>
  <c r="E13" i="1"/>
  <c r="E15" i="1"/>
  <c r="E16" i="1"/>
  <c r="E17" i="1"/>
  <c r="E18" i="1"/>
  <c r="E19" i="1"/>
  <c r="E20" i="1"/>
  <c r="E21" i="1"/>
  <c r="E22" i="1"/>
  <c r="E23" i="1"/>
  <c r="E24" i="1"/>
  <c r="E26" i="1"/>
  <c r="E29" i="1"/>
  <c r="E30" i="1"/>
  <c r="D25" i="2"/>
  <c r="E25" i="2" s="1"/>
  <c r="D26" i="2"/>
  <c r="E26" i="2" s="1"/>
  <c r="D27" i="2"/>
  <c r="E27" i="2" s="1"/>
  <c r="D28" i="2"/>
  <c r="E28" i="2" s="1"/>
  <c r="D4" i="2"/>
  <c r="E4" i="2" s="1"/>
  <c r="E5" i="2"/>
  <c r="D6" i="2"/>
  <c r="E6" i="2" s="1"/>
  <c r="D7" i="2"/>
  <c r="E7" i="2" s="1"/>
  <c r="D8" i="2"/>
  <c r="E8" i="2" s="1"/>
  <c r="D9" i="2"/>
  <c r="E9" i="2" s="1"/>
  <c r="D10" i="2"/>
  <c r="E10" i="2" s="1"/>
  <c r="D11" i="2"/>
  <c r="E11" i="2" s="1"/>
  <c r="D12" i="2"/>
  <c r="E12" i="2" s="1"/>
  <c r="D13" i="2"/>
  <c r="E13" i="2" s="1"/>
  <c r="D14" i="2"/>
  <c r="E14" i="2" s="1"/>
  <c r="D15" i="2"/>
  <c r="E15" i="2" s="1"/>
  <c r="D16" i="2"/>
  <c r="E16" i="2" s="1"/>
  <c r="D17" i="2"/>
  <c r="E17" i="2" s="1"/>
  <c r="D18" i="2"/>
  <c r="E18" i="2" s="1"/>
  <c r="D19" i="2"/>
  <c r="E19" i="2" s="1"/>
  <c r="D20" i="2"/>
  <c r="E20" i="2" s="1"/>
  <c r="D21" i="2"/>
  <c r="E21" i="2" s="1"/>
  <c r="D22" i="2"/>
  <c r="E22" i="2" s="1"/>
  <c r="D23" i="2"/>
  <c r="E23" i="2" s="1"/>
  <c r="D24" i="2"/>
  <c r="E24" i="2" s="1"/>
  <c r="B2" i="4" l="1"/>
  <c r="K2" i="1" s="1"/>
  <c r="E13" i="7"/>
  <c r="E6" i="7"/>
  <c r="E10" i="7"/>
  <c r="E17" i="7"/>
  <c r="E21" i="7"/>
  <c r="E25" i="7"/>
  <c r="E3" i="7"/>
  <c r="E7" i="7"/>
  <c r="E11" i="7"/>
  <c r="E14" i="7"/>
  <c r="E18" i="7"/>
  <c r="E22" i="7"/>
  <c r="E26" i="7"/>
  <c r="E8" i="7"/>
  <c r="E12" i="7"/>
  <c r="E15" i="7"/>
  <c r="E19" i="7"/>
  <c r="E23" i="7"/>
  <c r="E5" i="7"/>
  <c r="E9" i="7"/>
  <c r="E16" i="7"/>
  <c r="E20" i="7"/>
  <c r="E24" i="7"/>
  <c r="E28" i="7"/>
  <c r="E27" i="7"/>
  <c r="D2" i="7"/>
  <c r="D3" i="2"/>
  <c r="E2" i="7" l="1"/>
  <c r="E3" i="2"/>
  <c r="D2" i="2"/>
  <c r="E2" i="2" l="1"/>
  <c r="AC18" i="6" l="1"/>
  <c r="H13" i="6"/>
  <c r="T12" i="6"/>
  <c r="AG5" i="6"/>
  <c r="Y9" i="6"/>
  <c r="U18" i="6"/>
  <c r="R22" i="6"/>
  <c r="P10" i="6"/>
  <c r="N8" i="6"/>
  <c r="T5" i="6"/>
  <c r="O21" i="6"/>
  <c r="Q16" i="6"/>
  <c r="S9" i="6"/>
  <c r="O15" i="6"/>
  <c r="I18" i="6"/>
  <c r="Q9" i="6"/>
  <c r="Q5" i="6"/>
  <c r="K13" i="6"/>
  <c r="AB13" i="6"/>
  <c r="G9" i="6"/>
  <c r="J18" i="6"/>
  <c r="I9" i="6"/>
  <c r="W9" i="6"/>
  <c r="L10" i="6"/>
  <c r="X7" i="6"/>
  <c r="O28" i="6"/>
  <c r="M13" i="6"/>
  <c r="AI16" i="6"/>
  <c r="AC3" i="6"/>
  <c r="P6" i="6"/>
  <c r="N16" i="6"/>
  <c r="S3" i="6"/>
  <c r="K6" i="6"/>
  <c r="X17" i="6"/>
  <c r="S17" i="6"/>
  <c r="AJ26" i="6"/>
  <c r="U9" i="6"/>
  <c r="X8" i="6"/>
  <c r="H11" i="6"/>
  <c r="K16" i="6"/>
  <c r="N9" i="6"/>
  <c r="P7" i="6"/>
  <c r="AE17" i="6"/>
  <c r="AE5" i="6"/>
  <c r="AG30" i="6"/>
  <c r="AG17" i="6"/>
  <c r="U5" i="6"/>
  <c r="AF26" i="6"/>
  <c r="AB4" i="6"/>
  <c r="AD10" i="6"/>
  <c r="AG27" i="6"/>
  <c r="AI19" i="6"/>
  <c r="AC13" i="6"/>
  <c r="K26" i="6"/>
  <c r="AH11" i="6"/>
  <c r="U15" i="6"/>
  <c r="W13" i="6"/>
  <c r="Q22" i="6"/>
  <c r="H28" i="6"/>
  <c r="U20" i="6"/>
  <c r="AI23" i="6"/>
  <c r="AA7" i="6"/>
  <c r="J15" i="6"/>
  <c r="R9" i="6"/>
  <c r="M23" i="6"/>
  <c r="AI26" i="6"/>
  <c r="T29" i="6"/>
  <c r="S23" i="6"/>
  <c r="Y18" i="6"/>
  <c r="N20" i="6"/>
  <c r="AJ24" i="6"/>
  <c r="Q18" i="6"/>
  <c r="W8" i="6"/>
  <c r="W18" i="6"/>
  <c r="W11" i="6"/>
  <c r="O18" i="6"/>
  <c r="S13" i="6"/>
  <c r="AI13" i="6"/>
  <c r="J12" i="6"/>
  <c r="AJ17" i="6"/>
  <c r="AB20" i="6"/>
  <c r="K18" i="6"/>
  <c r="AG11" i="6"/>
  <c r="L15" i="6"/>
  <c r="X29" i="6"/>
  <c r="N21" i="6"/>
  <c r="AH15" i="6"/>
  <c r="Q28" i="6"/>
  <c r="AK19" i="6"/>
  <c r="AD4" i="6"/>
  <c r="Y12" i="6"/>
  <c r="AD9" i="6"/>
  <c r="K17" i="6"/>
  <c r="AB19" i="6"/>
  <c r="AD6" i="6"/>
  <c r="T20" i="6"/>
  <c r="R18" i="6"/>
  <c r="AG7" i="6"/>
  <c r="H29" i="6"/>
  <c r="AC11" i="6"/>
  <c r="I22" i="6"/>
  <c r="Q11" i="6"/>
  <c r="K4" i="6"/>
  <c r="M10" i="6"/>
  <c r="W6" i="6"/>
  <c r="AA13" i="6"/>
  <c r="X11" i="6"/>
  <c r="AE4" i="6"/>
  <c r="Z26" i="6"/>
  <c r="AA24" i="6"/>
  <c r="G30" i="6"/>
  <c r="P9" i="6"/>
  <c r="J24" i="6"/>
  <c r="AI3" i="6"/>
  <c r="AF23" i="6"/>
  <c r="J26" i="6"/>
  <c r="G3" i="6"/>
  <c r="AB6" i="6"/>
  <c r="X22" i="6"/>
  <c r="AF20" i="6"/>
  <c r="M27" i="6"/>
  <c r="Y11" i="6"/>
  <c r="G18" i="6"/>
  <c r="Q15" i="6"/>
  <c r="AF29" i="6"/>
  <c r="V7" i="6"/>
  <c r="Y23" i="6"/>
  <c r="V16" i="6"/>
  <c r="X9" i="6"/>
  <c r="V30" i="6"/>
  <c r="Q26" i="6"/>
  <c r="R7" i="6"/>
  <c r="AK13" i="6"/>
  <c r="X21" i="6"/>
  <c r="K8" i="6"/>
  <c r="Z28" i="6"/>
  <c r="W24" i="6"/>
  <c r="H6" i="6"/>
  <c r="Z15" i="6"/>
  <c r="AA6" i="6"/>
  <c r="U24" i="6"/>
  <c r="R6" i="6"/>
  <c r="G6" i="6"/>
  <c r="AF24" i="6"/>
  <c r="S10" i="6"/>
  <c r="AH27" i="6"/>
  <c r="K20" i="6"/>
  <c r="O11" i="6"/>
  <c r="AG6" i="6"/>
  <c r="AE6" i="6"/>
  <c r="P13" i="6"/>
  <c r="R16" i="6"/>
  <c r="U30" i="6"/>
  <c r="O23" i="6"/>
  <c r="M7" i="6"/>
  <c r="Y26" i="6"/>
  <c r="AE10" i="6"/>
  <c r="AI29" i="6"/>
  <c r="R20" i="6"/>
  <c r="AA20" i="6"/>
  <c r="AI24" i="6"/>
  <c r="H17" i="6"/>
  <c r="P3" i="6"/>
  <c r="M16" i="6"/>
  <c r="T10" i="6"/>
  <c r="S12" i="6"/>
  <c r="Q12" i="6"/>
  <c r="AK12" i="6"/>
  <c r="AJ8" i="6"/>
  <c r="AF17" i="6"/>
  <c r="AJ4" i="6"/>
  <c r="X10" i="6"/>
  <c r="AH3" i="6"/>
  <c r="AA29" i="6"/>
  <c r="AD29" i="6"/>
  <c r="W22" i="6"/>
  <c r="T18" i="6"/>
  <c r="W7" i="6"/>
  <c r="S16" i="6"/>
  <c r="M20" i="6"/>
  <c r="W27" i="6"/>
  <c r="AI9" i="6"/>
  <c r="AK7" i="6"/>
  <c r="X4" i="6"/>
  <c r="AK29" i="6"/>
  <c r="AB5" i="6"/>
  <c r="R30" i="6"/>
  <c r="AE8" i="6"/>
  <c r="AI17" i="6"/>
  <c r="Z11" i="6"/>
  <c r="M5" i="6"/>
  <c r="V3" i="6"/>
  <c r="AF16" i="6"/>
  <c r="L8" i="6"/>
  <c r="N11" i="6"/>
  <c r="AK18" i="6"/>
  <c r="I8" i="6"/>
  <c r="Z27" i="6"/>
  <c r="AH20" i="6"/>
  <c r="Q6" i="6"/>
  <c r="K19" i="6"/>
  <c r="S11" i="6"/>
  <c r="AD30" i="6"/>
  <c r="AG21" i="6"/>
  <c r="J4" i="6"/>
  <c r="O24" i="6"/>
  <c r="AB16" i="6"/>
  <c r="X3" i="6"/>
  <c r="H5" i="6"/>
  <c r="R27" i="6"/>
  <c r="T9" i="6"/>
  <c r="G7" i="6"/>
  <c r="J8" i="6"/>
  <c r="AC8" i="6"/>
  <c r="P20" i="6"/>
  <c r="AE27" i="6"/>
  <c r="L6" i="6"/>
  <c r="Q20" i="6"/>
  <c r="AB21" i="6"/>
  <c r="O16" i="6"/>
  <c r="U6" i="6"/>
  <c r="AK17" i="6"/>
  <c r="Y17" i="6"/>
  <c r="J29" i="6"/>
  <c r="U26" i="6"/>
  <c r="I19" i="6"/>
  <c r="M17" i="6"/>
  <c r="P21" i="6"/>
  <c r="H15" i="6"/>
  <c r="Z29" i="6"/>
  <c r="Y19" i="6"/>
  <c r="AB26" i="6"/>
  <c r="X24" i="6"/>
  <c r="M29" i="6"/>
  <c r="S21" i="6"/>
  <c r="AH9" i="6"/>
  <c r="G5" i="6"/>
  <c r="N24" i="6"/>
  <c r="AE13" i="6"/>
  <c r="U16" i="6"/>
  <c r="AJ20" i="6"/>
  <c r="AF11" i="6"/>
  <c r="AI11" i="6"/>
  <c r="AF3" i="6"/>
  <c r="M15" i="6"/>
  <c r="M30" i="6"/>
  <c r="M12" i="6"/>
  <c r="K22" i="6"/>
  <c r="AJ22" i="6"/>
  <c r="T27" i="6"/>
  <c r="O19" i="6"/>
  <c r="I4" i="6"/>
  <c r="W4" i="6"/>
  <c r="AA12" i="6"/>
  <c r="AA8" i="6"/>
  <c r="AJ16" i="6"/>
  <c r="O13" i="6"/>
  <c r="H30" i="6"/>
  <c r="AG8" i="6"/>
  <c r="G11" i="6"/>
  <c r="Y24" i="6"/>
  <c r="AC7" i="6"/>
  <c r="Z23" i="6"/>
  <c r="AF9" i="6"/>
  <c r="X13" i="6"/>
  <c r="K11" i="6"/>
  <c r="O20" i="6"/>
  <c r="AB11" i="6"/>
  <c r="AC9" i="6"/>
  <c r="S6" i="6"/>
  <c r="L17" i="6"/>
  <c r="G17" i="6"/>
  <c r="Z3" i="6"/>
  <c r="AI8" i="6"/>
  <c r="P23" i="6"/>
  <c r="AC21" i="6"/>
  <c r="R21" i="6"/>
  <c r="AF15" i="6"/>
  <c r="AJ28" i="6"/>
  <c r="Q7" i="6"/>
  <c r="N23" i="6"/>
  <c r="AC30" i="6"/>
  <c r="N7" i="6"/>
  <c r="AC27" i="6"/>
  <c r="AA16" i="6"/>
  <c r="Q17" i="6"/>
  <c r="M22" i="6"/>
  <c r="Y5" i="6"/>
  <c r="S24" i="6"/>
  <c r="L4" i="6"/>
  <c r="AG13" i="6"/>
  <c r="AF19" i="6"/>
  <c r="AF12" i="6"/>
  <c r="V9" i="6"/>
  <c r="AC6" i="6"/>
  <c r="Y15" i="6"/>
  <c r="AF4" i="6"/>
  <c r="H9" i="6"/>
  <c r="Q27" i="6"/>
  <c r="H27" i="6"/>
  <c r="I28" i="6"/>
  <c r="T30" i="6"/>
  <c r="AK15" i="6"/>
  <c r="AA11" i="6"/>
  <c r="AG3" i="6"/>
  <c r="S26" i="6"/>
  <c r="U17" i="6"/>
  <c r="AK4" i="6"/>
  <c r="H16" i="6"/>
  <c r="AD20" i="6"/>
  <c r="L26" i="6"/>
  <c r="AG9" i="6"/>
  <c r="AI28" i="6"/>
  <c r="Z9" i="6"/>
  <c r="Q4" i="6"/>
  <c r="AG18" i="6"/>
  <c r="AA9" i="6"/>
  <c r="V29" i="6"/>
  <c r="AH7" i="6"/>
  <c r="AA18" i="6"/>
  <c r="K27" i="6"/>
  <c r="Y13" i="6"/>
  <c r="P8" i="6"/>
  <c r="U13" i="6"/>
  <c r="AE18" i="6"/>
  <c r="L5" i="6"/>
  <c r="AD17" i="6"/>
  <c r="AG26" i="6"/>
  <c r="K29" i="6"/>
  <c r="Z5" i="6"/>
  <c r="AD8" i="6"/>
  <c r="AC4" i="6"/>
  <c r="J17" i="6"/>
  <c r="U11" i="6"/>
  <c r="AJ11" i="6"/>
  <c r="T22" i="6"/>
  <c r="AK6" i="6"/>
  <c r="I21" i="6"/>
  <c r="P19" i="6"/>
  <c r="Z7" i="6"/>
  <c r="AF21" i="6"/>
  <c r="AB18" i="6"/>
  <c r="AG24" i="6"/>
  <c r="J30" i="6"/>
  <c r="Q30" i="6"/>
  <c r="W16" i="6"/>
  <c r="O4" i="6"/>
  <c r="AB10" i="6"/>
  <c r="J10" i="6"/>
  <c r="T23" i="6"/>
  <c r="M19" i="6"/>
  <c r="P29" i="6"/>
  <c r="AG16" i="6"/>
  <c r="AB17" i="6"/>
  <c r="R10" i="6"/>
  <c r="AG15" i="6"/>
  <c r="AK10" i="6"/>
  <c r="AJ27" i="6"/>
  <c r="AA21" i="6"/>
  <c r="T28" i="6"/>
  <c r="N3" i="6"/>
  <c r="G23" i="6"/>
  <c r="AJ21" i="6"/>
  <c r="G21" i="6"/>
  <c r="V10" i="6"/>
  <c r="T15" i="6"/>
  <c r="U3" i="6"/>
  <c r="M8" i="6"/>
  <c r="U8" i="6"/>
  <c r="AB29" i="6"/>
  <c r="W28" i="6"/>
  <c r="AB24" i="6"/>
  <c r="AE28" i="6"/>
  <c r="Z22" i="6"/>
  <c r="AI7" i="6"/>
  <c r="AK20" i="6"/>
  <c r="AF10" i="6"/>
  <c r="L22" i="6"/>
  <c r="H23" i="6"/>
  <c r="H12" i="6"/>
  <c r="I16" i="6"/>
  <c r="T17" i="6"/>
  <c r="AE9" i="6"/>
  <c r="K30" i="6"/>
  <c r="AA17" i="6"/>
  <c r="P11" i="6"/>
  <c r="L27" i="6"/>
  <c r="AH29" i="6"/>
  <c r="T13" i="6"/>
  <c r="N17" i="6"/>
  <c r="I10" i="6"/>
  <c r="AJ3" i="6"/>
  <c r="W21" i="6"/>
  <c r="L12" i="6"/>
  <c r="N6" i="6"/>
  <c r="I6" i="6"/>
  <c r="AJ13" i="6"/>
  <c r="P4" i="6"/>
  <c r="V18" i="6"/>
  <c r="AF30" i="6"/>
  <c r="J9" i="6"/>
  <c r="T6" i="6"/>
  <c r="V4" i="6"/>
  <c r="V28" i="6"/>
  <c r="S22" i="6"/>
  <c r="G16" i="6"/>
  <c r="S15" i="6"/>
  <c r="AE23" i="6"/>
  <c r="O3" i="6"/>
  <c r="S27" i="6"/>
  <c r="AH8" i="6"/>
  <c r="H21" i="6"/>
  <c r="AC17" i="6"/>
  <c r="Z24" i="6"/>
  <c r="Z10" i="6"/>
  <c r="I5" i="6"/>
  <c r="I7" i="6"/>
  <c r="N18" i="6"/>
  <c r="AK11" i="6"/>
  <c r="H10" i="6"/>
  <c r="Z6" i="6"/>
  <c r="AG19" i="6"/>
  <c r="O22" i="6"/>
  <c r="I26" i="6"/>
  <c r="T11" i="6"/>
  <c r="AD18" i="6"/>
  <c r="Y6" i="6"/>
  <c r="AJ7" i="6"/>
  <c r="M11" i="6"/>
  <c r="AK27" i="6"/>
  <c r="AJ18" i="6"/>
  <c r="AH17" i="6"/>
  <c r="O10" i="6"/>
  <c r="AI10" i="6"/>
  <c r="AH6" i="6"/>
  <c r="AD15" i="6"/>
  <c r="V19" i="6"/>
  <c r="Y20" i="6"/>
  <c r="P15" i="6"/>
  <c r="O7" i="6"/>
  <c r="I11" i="6"/>
  <c r="Q3" i="6"/>
  <c r="S20" i="6"/>
  <c r="AH26" i="6"/>
  <c r="T4" i="6"/>
  <c r="R12" i="6"/>
  <c r="AF6" i="6"/>
  <c r="AA15" i="6"/>
  <c r="AI5" i="6"/>
  <c r="O17" i="6"/>
  <c r="O8" i="6"/>
  <c r="J23" i="6"/>
  <c r="AB12" i="6"/>
  <c r="S5" i="6"/>
  <c r="W10" i="6"/>
  <c r="L23" i="6"/>
  <c r="AB8" i="6"/>
  <c r="W19" i="6"/>
  <c r="Z13" i="6"/>
  <c r="U28" i="6"/>
  <c r="AC26" i="6"/>
  <c r="X20" i="6"/>
  <c r="AE16" i="6"/>
  <c r="U7" i="6"/>
  <c r="M18" i="6"/>
  <c r="V8" i="6"/>
  <c r="AF18" i="6"/>
  <c r="X27" i="6"/>
  <c r="Y16" i="6"/>
  <c r="P18" i="6"/>
  <c r="AK22" i="6"/>
  <c r="Q13" i="6"/>
  <c r="Y8" i="6"/>
  <c r="S29" i="6"/>
  <c r="P26" i="6"/>
  <c r="N13" i="6"/>
  <c r="AC5" i="6"/>
  <c r="AH21" i="6"/>
  <c r="P12" i="6"/>
  <c r="S30" i="6"/>
  <c r="V20" i="6"/>
  <c r="I27" i="6"/>
  <c r="AB3" i="6"/>
  <c r="H3" i="6"/>
  <c r="Q23" i="6"/>
  <c r="I24" i="6"/>
  <c r="U19" i="6"/>
  <c r="Z4" i="6"/>
  <c r="M24" i="6"/>
  <c r="AF22" i="6"/>
  <c r="H26" i="6"/>
  <c r="AE20" i="6"/>
  <c r="R15" i="6"/>
  <c r="AB28" i="6"/>
  <c r="P30" i="6"/>
  <c r="M3" i="6"/>
  <c r="O9" i="6"/>
  <c r="X19" i="6"/>
  <c r="AD27" i="6"/>
  <c r="M4" i="6"/>
  <c r="AF13" i="6"/>
  <c r="AC24" i="6"/>
  <c r="Q24" i="6"/>
  <c r="AD19" i="6"/>
  <c r="AK28" i="6"/>
  <c r="V11" i="6"/>
  <c r="X5" i="6"/>
  <c r="AA22" i="6"/>
  <c r="AA19" i="6"/>
  <c r="G26" i="6"/>
  <c r="Z8" i="6"/>
  <c r="S18" i="6"/>
  <c r="AF27" i="6"/>
  <c r="O29" i="6"/>
  <c r="H24" i="6"/>
  <c r="G22" i="6"/>
  <c r="N29" i="6"/>
  <c r="AE22" i="6"/>
  <c r="AH22" i="6"/>
  <c r="L16" i="6"/>
  <c r="I13" i="6"/>
  <c r="R29" i="6"/>
  <c r="J6" i="6"/>
  <c r="X18" i="6"/>
  <c r="L11" i="6"/>
  <c r="AF28" i="6"/>
  <c r="AB9" i="6"/>
  <c r="AG20" i="6"/>
  <c r="G28" i="6"/>
  <c r="AJ15" i="6"/>
  <c r="AA3" i="6"/>
  <c r="AG28" i="6"/>
  <c r="U12" i="6"/>
  <c r="K7" i="6"/>
  <c r="AG12" i="6"/>
  <c r="K23" i="6"/>
  <c r="AK16" i="6"/>
  <c r="O30" i="6"/>
  <c r="K12" i="6"/>
  <c r="W3" i="6"/>
  <c r="AH23" i="6"/>
  <c r="Z21" i="6"/>
  <c r="T26" i="6"/>
  <c r="G19" i="6"/>
  <c r="L30" i="6"/>
  <c r="J13" i="6"/>
  <c r="Z20" i="6"/>
  <c r="W26" i="6"/>
  <c r="AI30" i="6"/>
  <c r="X12" i="6"/>
  <c r="L29" i="6"/>
  <c r="AF8" i="6"/>
  <c r="L18" i="6"/>
  <c r="AD13" i="6"/>
  <c r="L24" i="6"/>
  <c r="X23" i="6"/>
  <c r="Y22" i="6"/>
  <c r="AI27" i="6"/>
  <c r="AA5" i="6"/>
  <c r="J7" i="6"/>
  <c r="G10" i="6"/>
  <c r="T3" i="6"/>
  <c r="AE12" i="6"/>
  <c r="Q29" i="6"/>
  <c r="AD26" i="6"/>
  <c r="K10" i="6"/>
  <c r="L28" i="6"/>
  <c r="AC15" i="6"/>
  <c r="N27" i="6"/>
  <c r="I17" i="6"/>
  <c r="V6" i="6"/>
  <c r="U21" i="6"/>
  <c r="I15" i="6"/>
  <c r="AB23" i="6"/>
  <c r="G4" i="6"/>
  <c r="U22" i="6"/>
  <c r="L19" i="6"/>
  <c r="R26" i="6"/>
  <c r="AK8" i="6"/>
  <c r="U27" i="6"/>
  <c r="L21" i="6"/>
  <c r="P5" i="6"/>
  <c r="I23" i="6"/>
  <c r="W29" i="6"/>
  <c r="AE24" i="6"/>
  <c r="AI21" i="6"/>
  <c r="J11" i="6"/>
  <c r="AH18" i="6"/>
  <c r="T8" i="6"/>
  <c r="AC23" i="6"/>
  <c r="R3" i="6"/>
  <c r="AD23" i="6"/>
  <c r="AH13" i="6"/>
  <c r="AJ10" i="6"/>
  <c r="Y4" i="6"/>
  <c r="AA23" i="6"/>
  <c r="AB27" i="6"/>
  <c r="V27" i="6"/>
  <c r="AD3" i="6"/>
  <c r="AE7" i="6"/>
  <c r="H18" i="6"/>
  <c r="R19" i="6"/>
  <c r="Y3" i="6"/>
  <c r="Y7" i="6"/>
  <c r="R4" i="6"/>
  <c r="G24" i="6"/>
  <c r="AC16" i="6"/>
  <c r="O26" i="6"/>
  <c r="X28" i="6"/>
  <c r="AH4" i="6"/>
  <c r="Y30" i="6"/>
  <c r="J19" i="6"/>
  <c r="AB15" i="6"/>
  <c r="M28" i="6"/>
  <c r="AJ9" i="6"/>
  <c r="AB22" i="6"/>
  <c r="H8" i="6"/>
  <c r="AD28" i="6"/>
  <c r="AD12" i="6"/>
  <c r="V13" i="6"/>
  <c r="AH30" i="6"/>
  <c r="AE19" i="6"/>
  <c r="AC28" i="6"/>
  <c r="AK5" i="6"/>
  <c r="AG29" i="6"/>
  <c r="N12" i="6"/>
  <c r="W23" i="6"/>
  <c r="M26" i="6"/>
  <c r="T7" i="6"/>
  <c r="X6" i="6"/>
  <c r="I20" i="6"/>
  <c r="W20" i="6"/>
  <c r="AI6" i="6"/>
  <c r="O27" i="6"/>
  <c r="N19" i="6"/>
  <c r="G13" i="6"/>
  <c r="AG23" i="6"/>
  <c r="R23" i="6"/>
  <c r="Z19" i="6"/>
  <c r="G12" i="6"/>
  <c r="AK24" i="6"/>
  <c r="G8" i="6"/>
  <c r="AA10" i="6"/>
  <c r="V17" i="6"/>
  <c r="X15" i="6"/>
  <c r="AA26" i="6"/>
  <c r="S19" i="6"/>
  <c r="AH16" i="6"/>
  <c r="L3" i="6"/>
  <c r="V12" i="6"/>
  <c r="N10" i="6"/>
  <c r="I12" i="6"/>
  <c r="Y28" i="6"/>
  <c r="H4" i="6"/>
  <c r="I29" i="6"/>
  <c r="I3" i="6"/>
  <c r="R24" i="6"/>
  <c r="AJ12" i="6"/>
  <c r="Q19" i="6"/>
  <c r="T24" i="6"/>
  <c r="AG22" i="6"/>
  <c r="AH12" i="6"/>
  <c r="O5" i="6"/>
  <c r="AI20" i="6"/>
  <c r="AA27" i="6"/>
  <c r="J3" i="6"/>
  <c r="G15" i="6"/>
  <c r="AD21" i="6"/>
  <c r="AC10" i="6"/>
  <c r="P22" i="6"/>
  <c r="AC19" i="6"/>
  <c r="R5" i="6"/>
  <c r="U10" i="6"/>
  <c r="T21" i="6"/>
  <c r="O12" i="6"/>
  <c r="S7" i="6"/>
  <c r="AK3" i="6"/>
  <c r="Q10" i="6"/>
  <c r="O6" i="6"/>
  <c r="H7" i="6"/>
  <c r="T19" i="6"/>
  <c r="R13" i="6"/>
  <c r="P16" i="6"/>
  <c r="AK26" i="6"/>
  <c r="X16" i="6"/>
  <c r="L9" i="6"/>
  <c r="AB7" i="6"/>
  <c r="H20" i="6"/>
  <c r="R17" i="6"/>
  <c r="J20" i="6"/>
  <c r="G27" i="6"/>
  <c r="AH28" i="6"/>
  <c r="AJ30" i="6"/>
  <c r="K3" i="6"/>
  <c r="P27" i="6"/>
  <c r="X26" i="6"/>
  <c r="Z12" i="6"/>
  <c r="W12" i="6"/>
  <c r="AJ29" i="6"/>
  <c r="AF7" i="6"/>
  <c r="AH5" i="6"/>
  <c r="J21" i="6"/>
  <c r="AE26" i="6"/>
  <c r="V15" i="6"/>
  <c r="K21" i="6"/>
  <c r="Q21" i="6"/>
  <c r="V21" i="6"/>
  <c r="U4" i="6"/>
  <c r="W15" i="6"/>
  <c r="Y29" i="6"/>
  <c r="R8" i="6"/>
  <c r="AA28" i="6"/>
  <c r="X30" i="6"/>
  <c r="W30" i="6"/>
  <c r="AC12" i="6"/>
  <c r="AI22" i="6"/>
  <c r="AG4" i="6"/>
  <c r="AJ5" i="6"/>
  <c r="AD7" i="6"/>
  <c r="K28" i="6"/>
  <c r="AH24" i="6"/>
  <c r="AC29" i="6"/>
  <c r="V22" i="6"/>
  <c r="G29" i="6"/>
  <c r="AE21" i="6"/>
  <c r="U23" i="6"/>
  <c r="S28" i="6"/>
  <c r="W17" i="6"/>
  <c r="V5" i="6"/>
  <c r="M9" i="6"/>
  <c r="L7" i="6"/>
  <c r="J28" i="6"/>
  <c r="AH10" i="6"/>
  <c r="P17" i="6"/>
  <c r="AE11" i="6"/>
  <c r="K24" i="6"/>
  <c r="V23" i="6"/>
  <c r="AD16" i="6"/>
  <c r="AC22" i="6"/>
  <c r="AE30" i="6"/>
  <c r="L13" i="6"/>
  <c r="P28" i="6"/>
  <c r="K9" i="6"/>
  <c r="R28" i="6"/>
  <c r="J16" i="6"/>
  <c r="AA30" i="6"/>
  <c r="AI15" i="6"/>
  <c r="T16" i="6"/>
  <c r="AJ23" i="6"/>
  <c r="AK21" i="6"/>
  <c r="J22" i="6"/>
  <c r="N4" i="6"/>
  <c r="N15" i="6"/>
  <c r="Z16" i="6"/>
  <c r="H22" i="6"/>
  <c r="AB30" i="6"/>
  <c r="N30" i="6"/>
  <c r="P24" i="6"/>
  <c r="AI12" i="6"/>
  <c r="AE15" i="6"/>
  <c r="AC20" i="6"/>
  <c r="N26" i="6"/>
  <c r="AG10" i="6"/>
  <c r="N22" i="6"/>
  <c r="AE3" i="6"/>
  <c r="J27" i="6"/>
  <c r="Z17" i="6"/>
  <c r="W5" i="6"/>
  <c r="AI4" i="6"/>
  <c r="AI18" i="6"/>
  <c r="Z30" i="6"/>
  <c r="M6" i="6"/>
  <c r="AH19" i="6"/>
  <c r="AK30" i="6"/>
  <c r="V24" i="6"/>
  <c r="Y21" i="6"/>
  <c r="M21" i="6"/>
  <c r="K15" i="6"/>
  <c r="AK9" i="6"/>
  <c r="AK23" i="6"/>
  <c r="AJ6" i="6"/>
  <c r="AD5" i="6"/>
  <c r="K5" i="6"/>
  <c r="I30" i="6"/>
  <c r="Z18" i="6"/>
  <c r="N28" i="6"/>
  <c r="L20" i="6"/>
  <c r="AE29" i="6"/>
  <c r="Y10" i="6"/>
  <c r="U29" i="6"/>
  <c r="V26" i="6"/>
  <c r="AJ19" i="6"/>
  <c r="S8" i="6"/>
  <c r="Y27" i="6"/>
  <c r="AD22" i="6"/>
  <c r="G20" i="6"/>
  <c r="S4" i="6"/>
  <c r="AF5" i="6"/>
  <c r="AD11" i="6"/>
  <c r="J5" i="6"/>
  <c r="AD24" i="6"/>
  <c r="H19" i="6"/>
  <c r="R11" i="6"/>
  <c r="AA4" i="6"/>
  <c r="Q8" i="6"/>
  <c r="N5" i="6"/>
  <c r="F20" i="6" l="1"/>
  <c r="H20" i="1" s="1"/>
  <c r="AE2" i="6"/>
  <c r="F29" i="6"/>
  <c r="K2" i="6"/>
  <c r="F27" i="6"/>
  <c r="AK2" i="6"/>
  <c r="F15" i="6"/>
  <c r="J2" i="6"/>
  <c r="I2" i="6"/>
  <c r="L2" i="6"/>
  <c r="F8" i="6"/>
  <c r="F12" i="6"/>
  <c r="F13" i="6"/>
  <c r="F24" i="6"/>
  <c r="Y2" i="6"/>
  <c r="AD2" i="6"/>
  <c r="R2" i="6"/>
  <c r="F4" i="6"/>
  <c r="T2" i="6"/>
  <c r="F10" i="6"/>
  <c r="F19" i="6"/>
  <c r="W2" i="6"/>
  <c r="AA2" i="6"/>
  <c r="F28" i="6"/>
  <c r="F22" i="6"/>
  <c r="F26" i="6"/>
  <c r="M2" i="6"/>
  <c r="H2" i="6"/>
  <c r="AB2" i="6"/>
  <c r="Q2" i="6"/>
  <c r="O2" i="6"/>
  <c r="F16" i="6"/>
  <c r="AJ2" i="6"/>
  <c r="U2" i="6"/>
  <c r="F21" i="6"/>
  <c r="F23" i="6"/>
  <c r="N2" i="6"/>
  <c r="AG2" i="6"/>
  <c r="Z2" i="6"/>
  <c r="F17" i="6"/>
  <c r="F11" i="6"/>
  <c r="AF2" i="6"/>
  <c r="F5" i="6"/>
  <c r="F7" i="6"/>
  <c r="X2" i="6"/>
  <c r="V2" i="6"/>
  <c r="AH2" i="6"/>
  <c r="P2" i="6"/>
  <c r="F6" i="6"/>
  <c r="F18" i="6"/>
  <c r="F3" i="6"/>
  <c r="G2" i="6"/>
  <c r="AI2" i="6"/>
  <c r="F30" i="6"/>
  <c r="S2" i="6"/>
  <c r="AC2" i="6"/>
  <c r="F9" i="6"/>
  <c r="H9" i="1" l="1"/>
  <c r="H7" i="1"/>
  <c r="H17" i="1"/>
  <c r="H23" i="1"/>
  <c r="H16" i="1"/>
  <c r="H28" i="1"/>
  <c r="H10" i="1"/>
  <c r="H12" i="1"/>
  <c r="F2" i="6"/>
  <c r="D9" i="6" s="1"/>
  <c r="E9" i="6" s="1"/>
  <c r="H3" i="1"/>
  <c r="H5" i="1"/>
  <c r="H21" i="1"/>
  <c r="H8" i="1"/>
  <c r="D8" i="6"/>
  <c r="E8" i="6" s="1"/>
  <c r="H15" i="1"/>
  <c r="H29" i="1"/>
  <c r="D29" i="6"/>
  <c r="E29" i="6" s="1"/>
  <c r="H26" i="1"/>
  <c r="H4" i="1"/>
  <c r="D4" i="6"/>
  <c r="E4" i="6" s="1"/>
  <c r="H24" i="1"/>
  <c r="H30" i="1"/>
  <c r="D30" i="6"/>
  <c r="E30" i="6" s="1"/>
  <c r="H18" i="1"/>
  <c r="H6" i="1"/>
  <c r="D6" i="6"/>
  <c r="E6" i="6" s="1"/>
  <c r="H11" i="1"/>
  <c r="H22" i="1"/>
  <c r="D22" i="6"/>
  <c r="E22" i="6" s="1"/>
  <c r="H19" i="1"/>
  <c r="H13" i="1"/>
  <c r="D13" i="6"/>
  <c r="E13" i="6" s="1"/>
  <c r="H27" i="1"/>
  <c r="D5" i="6" l="1"/>
  <c r="E5" i="6" s="1"/>
  <c r="F9" i="13"/>
  <c r="F9" i="8"/>
  <c r="F9" i="2"/>
  <c r="F9" i="12"/>
  <c r="F9" i="14"/>
  <c r="F9" i="11"/>
  <c r="F9" i="7"/>
  <c r="F9" i="10"/>
  <c r="F21" i="8"/>
  <c r="F21" i="2"/>
  <c r="F22" i="10"/>
  <c r="F22" i="13"/>
  <c r="F22" i="11"/>
  <c r="F22" i="14"/>
  <c r="F22" i="12"/>
  <c r="F21" i="7"/>
  <c r="F29" i="13"/>
  <c r="F27" i="2"/>
  <c r="F29" i="14"/>
  <c r="F29" i="12"/>
  <c r="F29" i="10"/>
  <c r="F27" i="8"/>
  <c r="F29" i="11"/>
  <c r="F27" i="7"/>
  <c r="D12" i="6"/>
  <c r="E12" i="6" s="1"/>
  <c r="D28" i="6"/>
  <c r="E28" i="6" s="1"/>
  <c r="D23" i="6"/>
  <c r="E23" i="6" s="1"/>
  <c r="D7" i="6"/>
  <c r="E7" i="6" s="1"/>
  <c r="F13" i="10"/>
  <c r="F13" i="12"/>
  <c r="F13" i="11"/>
  <c r="F13" i="13"/>
  <c r="F13" i="2"/>
  <c r="F13" i="14"/>
  <c r="F13" i="8"/>
  <c r="F13" i="7"/>
  <c r="F30" i="12"/>
  <c r="F30" i="11"/>
  <c r="F30" i="10"/>
  <c r="F28" i="8"/>
  <c r="F28" i="2"/>
  <c r="F28" i="7"/>
  <c r="F30" i="13"/>
  <c r="F30" i="14"/>
  <c r="F8" i="13"/>
  <c r="F8" i="12"/>
  <c r="F8" i="14"/>
  <c r="F8" i="2"/>
  <c r="F8" i="7"/>
  <c r="F8" i="10"/>
  <c r="F8" i="11"/>
  <c r="F8" i="8"/>
  <c r="D27" i="6"/>
  <c r="E27" i="6" s="1"/>
  <c r="D19" i="6"/>
  <c r="E19" i="6" s="1"/>
  <c r="D11" i="6"/>
  <c r="E11" i="6" s="1"/>
  <c r="D18" i="6"/>
  <c r="E18" i="6" s="1"/>
  <c r="D24" i="6"/>
  <c r="E24" i="6" s="1"/>
  <c r="D26" i="6"/>
  <c r="E26" i="6" s="1"/>
  <c r="D15" i="6"/>
  <c r="E15" i="6" s="1"/>
  <c r="D21" i="6"/>
  <c r="E21" i="6" s="1"/>
  <c r="D3" i="6"/>
  <c r="E3" i="6" s="1"/>
  <c r="M2" i="1"/>
  <c r="D10" i="6"/>
  <c r="E10" i="6" s="1"/>
  <c r="D16" i="6"/>
  <c r="E16" i="6" s="1"/>
  <c r="D17" i="6"/>
  <c r="E17" i="6" s="1"/>
  <c r="F6" i="10"/>
  <c r="F6" i="12"/>
  <c r="F6" i="7"/>
  <c r="F6" i="2"/>
  <c r="F6" i="13"/>
  <c r="F6" i="11"/>
  <c r="F6" i="14"/>
  <c r="F6" i="8"/>
  <c r="F4" i="10"/>
  <c r="F4" i="12"/>
  <c r="F4" i="8"/>
  <c r="F4" i="13"/>
  <c r="F4" i="11"/>
  <c r="F4" i="2"/>
  <c r="F4" i="14"/>
  <c r="F4" i="7"/>
  <c r="F5" i="11"/>
  <c r="F5" i="10"/>
  <c r="F5" i="8"/>
  <c r="F5" i="13"/>
  <c r="F5" i="7"/>
  <c r="F5" i="2"/>
  <c r="F5" i="14"/>
  <c r="F5" i="12"/>
  <c r="D20" i="6"/>
  <c r="E20" i="6" s="1"/>
  <c r="D14" i="6"/>
  <c r="E14" i="6" s="1"/>
  <c r="D25" i="6"/>
  <c r="E25" i="6" s="1"/>
  <c r="L2" i="1"/>
  <c r="F25" i="10" l="1"/>
  <c r="F25" i="11"/>
  <c r="F25" i="13"/>
  <c r="F25" i="14"/>
  <c r="F25" i="12"/>
  <c r="F15" i="7"/>
  <c r="F16" i="11"/>
  <c r="F15" i="8"/>
  <c r="F16" i="13"/>
  <c r="F16" i="10"/>
  <c r="F16" i="14"/>
  <c r="F16" i="12"/>
  <c r="F15" i="2"/>
  <c r="F21" i="12"/>
  <c r="F21" i="11"/>
  <c r="F21" i="10"/>
  <c r="F20" i="2"/>
  <c r="F21" i="13"/>
  <c r="F21" i="14"/>
  <c r="F20" i="7"/>
  <c r="F20" i="8"/>
  <c r="F18" i="13"/>
  <c r="F17" i="7"/>
  <c r="F17" i="2"/>
  <c r="F18" i="14"/>
  <c r="F18" i="11"/>
  <c r="F17" i="8"/>
  <c r="F18" i="12"/>
  <c r="F18" i="10"/>
  <c r="F7" i="13"/>
  <c r="F7" i="7"/>
  <c r="F7" i="14"/>
  <c r="F7" i="12"/>
  <c r="F7" i="10"/>
  <c r="F7" i="8"/>
  <c r="F7" i="2"/>
  <c r="F7" i="11"/>
  <c r="F14" i="13"/>
  <c r="F14" i="11"/>
  <c r="F14" i="14"/>
  <c r="F14" i="12"/>
  <c r="F14" i="10"/>
  <c r="F10" i="10"/>
  <c r="F10" i="2"/>
  <c r="F10" i="13"/>
  <c r="F10" i="7"/>
  <c r="F10" i="12"/>
  <c r="F10" i="14"/>
  <c r="F10" i="11"/>
  <c r="F10" i="8"/>
  <c r="F15" i="13"/>
  <c r="F15" i="10"/>
  <c r="F15" i="12"/>
  <c r="F14" i="2"/>
  <c r="F15" i="14"/>
  <c r="F15" i="11"/>
  <c r="F14" i="7"/>
  <c r="F14" i="8"/>
  <c r="F11" i="13"/>
  <c r="F11" i="10"/>
  <c r="F11" i="14"/>
  <c r="F11" i="12"/>
  <c r="F11" i="7"/>
  <c r="F11" i="8"/>
  <c r="F11" i="2"/>
  <c r="F11" i="11"/>
  <c r="F23" i="10"/>
  <c r="F22" i="8"/>
  <c r="F22" i="7"/>
  <c r="F22" i="2"/>
  <c r="F23" i="13"/>
  <c r="F23" i="11"/>
  <c r="F23" i="14"/>
  <c r="F23" i="12"/>
  <c r="N1" i="1"/>
  <c r="F26" i="13"/>
  <c r="F26" i="10"/>
  <c r="F26" i="14"/>
  <c r="F26" i="11"/>
  <c r="F24" i="8"/>
  <c r="F24" i="7"/>
  <c r="F26" i="12"/>
  <c r="F24" i="2"/>
  <c r="F18" i="8"/>
  <c r="F19" i="10"/>
  <c r="F19" i="11"/>
  <c r="F18" i="7"/>
  <c r="F19" i="13"/>
  <c r="F19" i="12"/>
  <c r="F19" i="14"/>
  <c r="F18" i="2"/>
  <c r="F28" i="13"/>
  <c r="F26" i="8"/>
  <c r="F28" i="14"/>
  <c r="F28" i="12"/>
  <c r="F28" i="10"/>
  <c r="F26" i="2"/>
  <c r="F28" i="11"/>
  <c r="F26" i="7"/>
  <c r="F20" i="13"/>
  <c r="F19" i="7"/>
  <c r="F19" i="2"/>
  <c r="F20" i="14"/>
  <c r="F20" i="10"/>
  <c r="F20" i="11"/>
  <c r="F20" i="12"/>
  <c r="F19" i="8"/>
  <c r="F17" i="13"/>
  <c r="F17" i="10"/>
  <c r="F17" i="14"/>
  <c r="F17" i="12"/>
  <c r="F17" i="11"/>
  <c r="F16" i="8"/>
  <c r="F16" i="7"/>
  <c r="F16" i="2"/>
  <c r="F3" i="2"/>
  <c r="F3" i="8"/>
  <c r="F3" i="10"/>
  <c r="F3" i="13"/>
  <c r="F3" i="7"/>
  <c r="F3" i="14"/>
  <c r="F3" i="12"/>
  <c r="F3" i="11"/>
  <c r="F23" i="8"/>
  <c r="F24" i="12"/>
  <c r="F24" i="11"/>
  <c r="F23" i="7"/>
  <c r="F23" i="2"/>
  <c r="F24" i="13"/>
  <c r="F24" i="10"/>
  <c r="F24" i="14"/>
  <c r="F27" i="13"/>
  <c r="F27" i="11"/>
  <c r="F27" i="14"/>
  <c r="F27" i="12"/>
  <c r="F25" i="8"/>
  <c r="F25" i="7"/>
  <c r="F25" i="2"/>
  <c r="F27" i="10"/>
  <c r="F12" i="8"/>
  <c r="F12" i="12"/>
  <c r="F12" i="13"/>
  <c r="F12" i="2"/>
  <c r="F12" i="10"/>
  <c r="F12" i="14"/>
  <c r="F12" i="11"/>
  <c r="F12" i="7"/>
  <c r="F2" i="7" l="1"/>
  <c r="F2" i="2"/>
  <c r="F2" i="11"/>
  <c r="F2" i="13"/>
  <c r="F2" i="12"/>
  <c r="F2" i="10"/>
  <c r="F2" i="14"/>
  <c r="F2" i="8"/>
</calcChain>
</file>

<file path=xl/sharedStrings.xml><?xml version="1.0" encoding="utf-8"?>
<sst xmlns="http://schemas.openxmlformats.org/spreadsheetml/2006/main" count="384" uniqueCount="76">
  <si>
    <t>Thanh cua (5K)</t>
  </si>
  <si>
    <t>5k</t>
  </si>
  <si>
    <t>Khoai Tây chiên</t>
  </si>
  <si>
    <t>Đậu hủ phô mai</t>
  </si>
  <si>
    <t>Mực khoanh bột</t>
  </si>
  <si>
    <t>Viên thả lẩu (4 viên)</t>
  </si>
  <si>
    <t>Ốc nhồi Hải sản</t>
  </si>
  <si>
    <t>Hồ lô</t>
  </si>
  <si>
    <t>Xúc xích Đức Loại 1 TVP</t>
  </si>
  <si>
    <t>Xúc xích HotDog phô mai</t>
  </si>
  <si>
    <t>Xúc xích Cocktail TVP</t>
  </si>
  <si>
    <t>Chả giò rế Thịt heo</t>
  </si>
  <si>
    <t>Chả giò rế Tôm mực</t>
  </si>
  <si>
    <t>10k</t>
  </si>
  <si>
    <t>Hải sản sốt Mayonnaise</t>
  </si>
  <si>
    <t>Cốm xanh</t>
  </si>
  <si>
    <t>Phô mai que</t>
  </si>
  <si>
    <t>Phô mai viên</t>
  </si>
  <si>
    <t>Tôm con hình Surimi</t>
  </si>
  <si>
    <t>Xúc xích Đức Loại 2 DNA</t>
  </si>
  <si>
    <t>Tôm viên TVP</t>
  </si>
  <si>
    <t>Bò viên TVP</t>
  </si>
  <si>
    <t>Cá viên rau củ TVP</t>
  </si>
  <si>
    <t>Cá viên TVP</t>
  </si>
  <si>
    <t>8k</t>
  </si>
  <si>
    <t>Tên hàng</t>
  </si>
  <si>
    <t>Giá</t>
  </si>
  <si>
    <t>STT</t>
  </si>
  <si>
    <t>Nhập</t>
  </si>
  <si>
    <t>Doanh số bán</t>
  </si>
  <si>
    <t>Lợi nhuận</t>
  </si>
  <si>
    <t>Đơn vị tồn cuối ngày</t>
  </si>
  <si>
    <t>SL</t>
  </si>
  <si>
    <t>TEN HANG</t>
  </si>
  <si>
    <t>GIA NHAP</t>
  </si>
  <si>
    <t>DON VI NHAP</t>
  </si>
  <si>
    <t>XIEN</t>
  </si>
  <si>
    <t>GIA</t>
  </si>
  <si>
    <t>Đơn vị tồn đầu ngày</t>
  </si>
  <si>
    <t>12k</t>
  </si>
  <si>
    <t>Nước suối</t>
  </si>
  <si>
    <t>Cocacola</t>
  </si>
  <si>
    <t>Sting</t>
  </si>
  <si>
    <t>Pepsi</t>
  </si>
  <si>
    <t>Bọc</t>
  </si>
  <si>
    <t>Đá</t>
  </si>
  <si>
    <t>Chi phí cố định</t>
  </si>
  <si>
    <t>Dầu</t>
  </si>
  <si>
    <t>Hộp</t>
  </si>
  <si>
    <t>Đường</t>
  </si>
  <si>
    <t>Muối</t>
  </si>
  <si>
    <t>Ớt &amp; Tỏi</t>
  </si>
  <si>
    <t>Tương ớt</t>
  </si>
  <si>
    <t>Tương cà</t>
  </si>
  <si>
    <t>Tổng</t>
  </si>
  <si>
    <t>Cost Low</t>
  </si>
  <si>
    <t>Mặt bằng</t>
  </si>
  <si>
    <t>GIA/DON VI</t>
  </si>
  <si>
    <t>Tổng tiền hàng</t>
  </si>
  <si>
    <t>Tỷ trọng</t>
  </si>
  <si>
    <t>Giá + Cost</t>
  </si>
  <si>
    <t>00</t>
  </si>
  <si>
    <t>Dấm</t>
  </si>
  <si>
    <t>Đu đủ</t>
  </si>
  <si>
    <t>Cải chua</t>
  </si>
  <si>
    <t>Ly</t>
  </si>
  <si>
    <t>Dụng cụ</t>
  </si>
  <si>
    <t>In ấn</t>
  </si>
  <si>
    <t>Giấy</t>
  </si>
  <si>
    <t>Bò lá lốt</t>
  </si>
  <si>
    <t>Gà viên phô mai</t>
  </si>
  <si>
    <t>Vốn</t>
  </si>
  <si>
    <t>Chi phí lặt vặt</t>
  </si>
  <si>
    <t>Tiền hàng</t>
  </si>
  <si>
    <t>Doanh số</t>
  </si>
  <si>
    <t>Chi phí khác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</si>
</sst>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41" formatCode="_(* #,##0_);_(* \(#,##0\);_(* &quot;-&quot;_);_(@_)"/>
    <numFmt numFmtId="164" formatCode="0.0"/>
  </numFmts>
  <fonts count="14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Times New Roman"/>
      <family val="1"/>
    </font>
    <font>
      <sz val="12"/>
      <color theme="1"/>
      <name val="Times New Roman"/>
      <family val="1"/>
    </font>
    <font>
      <b/>
      <sz val="22"/>
      <color theme="1"/>
      <name val="Times New Roman"/>
      <family val="1"/>
    </font>
    <font>
      <b/>
      <sz val="12"/>
      <color theme="1"/>
      <name val="Times New Roman"/>
      <family val="1"/>
    </font>
    <font>
      <b/>
      <sz val="12"/>
      <name val="Times New Roman"/>
      <family val="1"/>
    </font>
    <font>
      <b/>
      <sz val="11"/>
      <color theme="1"/>
      <name val="Times New Roman"/>
      <family val="1"/>
    </font>
    <font>
      <b/>
      <sz val="24"/>
      <color theme="1"/>
      <name val="Times New Roman"/>
      <family val="1"/>
    </font>
    <font>
      <b/>
      <sz val="11"/>
      <color rgb="FF000000"/>
      <name val="Calibri"/>
      <family val="2"/>
    </font>
    <font>
      <b/>
      <sz val="14"/>
      <color theme="1"/>
      <name val="Times New Roman"/>
      <family val="1"/>
    </font>
    <font>
      <b/>
      <sz val="13"/>
      <color rgb="FFFFFF00"/>
      <name val="Times New Roman"/>
      <family val="1"/>
    </font>
    <font>
      <b/>
      <sz val="16"/>
      <color theme="1"/>
      <name val="Times New Roman"/>
      <family val="1"/>
    </font>
    <font>
      <b/>
      <sz val="20"/>
      <color theme="1"/>
      <name val="Times New Roman"/>
      <family val="1"/>
    </font>
  </fonts>
  <fills count="10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FFFF00"/>
        <bgColor indexed="64"/>
      </patternFill>
    </fill>
  </fills>
  <borders count="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3">
    <xf numFmtId="0" fontId="0" fillId="0" borderId="0"/>
    <xf numFmtId="41" fontId="1" fillId="0" borderId="0" applyFont="0" applyFill="0" applyBorder="0" applyAlignment="0" applyProtection="0"/>
    <xf numFmtId="9" fontId="1" fillId="0" borderId="0" applyFont="0" applyFill="0" applyBorder="0" applyAlignment="0" applyProtection="0"/>
  </cellStyleXfs>
  <cellXfs count="88">
    <xf numFmtId="0" fontId="0" fillId="0" borderId="0" xfId="0"/>
    <xf numFmtId="0" fontId="2" fillId="0" borderId="0" xfId="0" applyFont="1"/>
    <xf numFmtId="0" fontId="3" fillId="0" borderId="1" xfId="0" applyFont="1" applyBorder="1"/>
    <xf numFmtId="0" fontId="3" fillId="0" borderId="1" xfId="0" applyFont="1" applyBorder="1" applyAlignment="1">
      <alignment horizontal="center" vertical="center"/>
    </xf>
    <xf numFmtId="0" fontId="2" fillId="0" borderId="0" xfId="0" applyFont="1" applyAlignment="1">
      <alignment horizontal="center" vertical="center" wrapText="1"/>
    </xf>
    <xf numFmtId="0" fontId="3" fillId="0" borderId="2" xfId="1" applyNumberFormat="1" applyFont="1" applyBorder="1" applyAlignment="1">
      <alignment horizontal="center" vertical="center"/>
    </xf>
    <xf numFmtId="0" fontId="3" fillId="0" borderId="5" xfId="0" applyFont="1" applyBorder="1"/>
    <xf numFmtId="0" fontId="6" fillId="2" borderId="3" xfId="0" applyFont="1" applyFill="1" applyBorder="1" applyAlignment="1">
      <alignment horizontal="center" vertical="top" wrapText="1"/>
    </xf>
    <xf numFmtId="0" fontId="6" fillId="2" borderId="4" xfId="0" applyFont="1" applyFill="1" applyBorder="1" applyAlignment="1">
      <alignment horizontal="center" vertical="top" wrapText="1"/>
    </xf>
    <xf numFmtId="0" fontId="2" fillId="0" borderId="0" xfId="0" applyFont="1" applyAlignment="1">
      <alignment horizontal="center" vertical="center"/>
    </xf>
    <xf numFmtId="0" fontId="7" fillId="0" borderId="1" xfId="0" applyFont="1" applyBorder="1" applyAlignment="1">
      <alignment horizontal="center" vertical="center" wrapText="1"/>
    </xf>
    <xf numFmtId="0" fontId="3" fillId="0" borderId="5" xfId="0" applyFont="1" applyBorder="1" applyAlignment="1">
      <alignment horizontal="center" vertical="center"/>
    </xf>
    <xf numFmtId="0" fontId="7" fillId="0" borderId="0" xfId="0" applyFont="1" applyAlignment="1" applyProtection="1">
      <alignment horizontal="center" vertical="center"/>
      <protection locked="0"/>
    </xf>
    <xf numFmtId="0" fontId="7" fillId="4" borderId="1" xfId="0" applyFont="1" applyFill="1" applyBorder="1" applyAlignment="1" applyProtection="1">
      <alignment horizontal="center" vertical="top"/>
      <protection locked="0"/>
    </xf>
    <xf numFmtId="0" fontId="2" fillId="5" borderId="1" xfId="0" applyFont="1" applyFill="1" applyBorder="1" applyAlignment="1" applyProtection="1">
      <alignment vertical="top"/>
      <protection locked="0"/>
    </xf>
    <xf numFmtId="0" fontId="2" fillId="0" borderId="0" xfId="0" applyFont="1" applyAlignment="1" applyProtection="1">
      <alignment vertical="top"/>
      <protection locked="0"/>
    </xf>
    <xf numFmtId="0" fontId="2" fillId="0" borderId="0" xfId="0" applyFont="1" applyProtection="1">
      <protection locked="0"/>
    </xf>
    <xf numFmtId="0" fontId="7" fillId="4" borderId="1" xfId="0" applyFont="1" applyFill="1" applyBorder="1" applyAlignment="1" applyProtection="1">
      <alignment vertical="top"/>
      <protection hidden="1"/>
    </xf>
    <xf numFmtId="41" fontId="7" fillId="4" borderId="1" xfId="1" applyFont="1" applyFill="1" applyBorder="1" applyAlignment="1" applyProtection="1">
      <alignment vertical="top"/>
      <protection hidden="1"/>
    </xf>
    <xf numFmtId="41" fontId="7" fillId="6" borderId="1" xfId="1" applyFont="1" applyFill="1" applyBorder="1" applyAlignment="1" applyProtection="1">
      <alignment vertical="top"/>
      <protection hidden="1"/>
    </xf>
    <xf numFmtId="41" fontId="7" fillId="0" borderId="1" xfId="1" applyFont="1" applyBorder="1" applyProtection="1">
      <protection hidden="1"/>
    </xf>
    <xf numFmtId="41" fontId="7" fillId="3" borderId="1" xfId="1" applyFont="1" applyFill="1" applyBorder="1" applyAlignment="1" applyProtection="1">
      <alignment horizontal="center" vertical="center"/>
      <protection locked="0"/>
    </xf>
    <xf numFmtId="0" fontId="4" fillId="4" borderId="1" xfId="0" applyFont="1" applyFill="1" applyBorder="1" applyAlignment="1" applyProtection="1">
      <alignment horizontal="center" vertical="center"/>
      <protection hidden="1"/>
    </xf>
    <xf numFmtId="0" fontId="5" fillId="0" borderId="1" xfId="0" applyFont="1" applyBorder="1" applyAlignment="1">
      <alignment horizontal="center" vertical="top" wrapText="1"/>
    </xf>
    <xf numFmtId="41" fontId="7" fillId="0" borderId="1" xfId="1" applyFont="1" applyBorder="1" applyAlignment="1" applyProtection="1">
      <alignment horizontal="center"/>
      <protection locked="0"/>
    </xf>
    <xf numFmtId="41" fontId="7" fillId="0" borderId="1" xfId="1" applyFont="1" applyBorder="1" applyAlignment="1" applyProtection="1">
      <alignment horizontal="center" vertical="center"/>
      <protection hidden="1"/>
    </xf>
    <xf numFmtId="0" fontId="2" fillId="0" borderId="1" xfId="0" applyFont="1" applyBorder="1" applyAlignment="1" applyProtection="1">
      <alignment horizontal="center" vertical="center"/>
      <protection hidden="1"/>
    </xf>
    <xf numFmtId="0" fontId="3" fillId="0" borderId="6" xfId="1" applyNumberFormat="1" applyFont="1" applyBorder="1" applyAlignment="1">
      <alignment horizontal="center" vertical="center"/>
    </xf>
    <xf numFmtId="0" fontId="10" fillId="0" borderId="5" xfId="0" applyFont="1" applyBorder="1" applyAlignment="1">
      <alignment horizontal="center" vertical="center"/>
    </xf>
    <xf numFmtId="41" fontId="2" fillId="0" borderId="0" xfId="0" applyNumberFormat="1" applyFont="1" applyProtection="1">
      <protection locked="0"/>
    </xf>
    <xf numFmtId="0" fontId="7" fillId="0" borderId="1" xfId="0" applyFont="1" applyBorder="1" applyProtection="1">
      <protection hidden="1"/>
    </xf>
    <xf numFmtId="0" fontId="7" fillId="7" borderId="1" xfId="0" applyFont="1" applyFill="1" applyBorder="1" applyProtection="1">
      <protection hidden="1"/>
    </xf>
    <xf numFmtId="0" fontId="7" fillId="4" borderId="1" xfId="0" applyFont="1" applyFill="1" applyBorder="1" applyAlignment="1" applyProtection="1">
      <alignment horizontal="center" vertical="top"/>
      <protection hidden="1"/>
    </xf>
    <xf numFmtId="0" fontId="7" fillId="4" borderId="1" xfId="0" applyFont="1" applyFill="1" applyBorder="1" applyAlignment="1" applyProtection="1">
      <alignment horizontal="center" vertical="top" wrapText="1"/>
      <protection locked="0"/>
    </xf>
    <xf numFmtId="0" fontId="7" fillId="5" borderId="1" xfId="0" applyFont="1" applyFill="1" applyBorder="1" applyAlignment="1" applyProtection="1">
      <alignment horizontal="center" vertical="top" wrapText="1"/>
      <protection locked="0"/>
    </xf>
    <xf numFmtId="0" fontId="7" fillId="4" borderId="1" xfId="0" applyFont="1" applyFill="1" applyBorder="1" applyAlignment="1" applyProtection="1">
      <alignment horizontal="left" vertical="top"/>
      <protection hidden="1"/>
    </xf>
    <xf numFmtId="0" fontId="7" fillId="6" borderId="1" xfId="0" applyFont="1" applyFill="1" applyBorder="1" applyAlignment="1" applyProtection="1">
      <alignment horizontal="left" vertical="top"/>
      <protection hidden="1"/>
    </xf>
    <xf numFmtId="0" fontId="7" fillId="0" borderId="0" xfId="0" applyFont="1" applyAlignment="1">
      <alignment horizontal="center" vertical="center" wrapText="1"/>
    </xf>
    <xf numFmtId="0" fontId="3" fillId="0" borderId="0" xfId="0" applyFont="1" applyAlignment="1">
      <alignment horizontal="center" vertical="center" wrapText="1"/>
    </xf>
    <xf numFmtId="0" fontId="3" fillId="0" borderId="0" xfId="0" applyFont="1" applyAlignment="1"/>
    <xf numFmtId="0" fontId="3" fillId="0" borderId="0" xfId="0" applyFont="1"/>
    <xf numFmtId="41" fontId="7" fillId="0" borderId="0" xfId="0" applyNumberFormat="1" applyFont="1" applyAlignment="1" applyProtection="1">
      <alignment horizontal="center" vertical="center"/>
      <protection locked="0"/>
    </xf>
    <xf numFmtId="0" fontId="7" fillId="0" borderId="0" xfId="0" applyNumberFormat="1" applyFont="1" applyAlignment="1" applyProtection="1">
      <alignment horizontal="center" vertical="center"/>
      <protection locked="0"/>
    </xf>
    <xf numFmtId="0" fontId="2" fillId="0" borderId="0" xfId="0" applyNumberFormat="1" applyFont="1" applyProtection="1">
      <protection locked="0"/>
    </xf>
    <xf numFmtId="164" fontId="3" fillId="0" borderId="2" xfId="0" applyNumberFormat="1" applyFont="1" applyBorder="1" applyAlignment="1">
      <alignment horizontal="center" vertical="center"/>
    </xf>
    <xf numFmtId="164" fontId="3" fillId="0" borderId="6" xfId="0" applyNumberFormat="1" applyFont="1" applyBorder="1" applyAlignment="1">
      <alignment horizontal="center" vertical="center"/>
    </xf>
    <xf numFmtId="2" fontId="6" fillId="2" borderId="4" xfId="0" applyNumberFormat="1" applyFont="1" applyFill="1" applyBorder="1" applyAlignment="1">
      <alignment horizontal="center" vertical="top" wrapText="1"/>
    </xf>
    <xf numFmtId="0" fontId="5" fillId="4" borderId="1" xfId="0" applyFont="1" applyFill="1" applyBorder="1" applyAlignment="1" applyProtection="1">
      <alignment horizontal="center" vertical="top"/>
      <protection hidden="1"/>
    </xf>
    <xf numFmtId="0" fontId="5" fillId="0" borderId="0" xfId="0" applyFont="1" applyAlignment="1" applyProtection="1">
      <alignment horizontal="center" vertical="center"/>
      <protection locked="0"/>
    </xf>
    <xf numFmtId="0" fontId="2" fillId="0" borderId="0" xfId="0" applyNumberFormat="1" applyFont="1" applyAlignment="1" applyProtection="1">
      <alignment horizontal="center" vertical="center"/>
      <protection locked="0"/>
    </xf>
    <xf numFmtId="0" fontId="2" fillId="0" borderId="3" xfId="0" applyFont="1" applyBorder="1" applyAlignment="1" applyProtection="1">
      <alignment horizontal="center" vertical="center"/>
      <protection hidden="1"/>
    </xf>
    <xf numFmtId="0" fontId="7" fillId="0" borderId="3" xfId="0" applyFont="1" applyBorder="1" applyProtection="1">
      <protection hidden="1"/>
    </xf>
    <xf numFmtId="0" fontId="5" fillId="0" borderId="1" xfId="0" applyFont="1" applyBorder="1" applyAlignment="1" applyProtection="1">
      <alignment horizontal="center" vertical="center"/>
      <protection locked="0"/>
    </xf>
    <xf numFmtId="0" fontId="5" fillId="0" borderId="1" xfId="0" applyNumberFormat="1" applyFont="1" applyBorder="1" applyAlignment="1" applyProtection="1">
      <alignment horizontal="center" vertical="center"/>
      <protection locked="0"/>
    </xf>
    <xf numFmtId="0" fontId="5" fillId="4" borderId="1" xfId="0" applyNumberFormat="1" applyFont="1" applyFill="1" applyBorder="1" applyAlignment="1" applyProtection="1">
      <alignment horizontal="center" vertical="center"/>
      <protection locked="0"/>
    </xf>
    <xf numFmtId="0" fontId="7" fillId="8" borderId="1" xfId="0" applyFont="1" applyFill="1" applyBorder="1" applyAlignment="1" applyProtection="1">
      <alignment vertical="top"/>
      <protection hidden="1"/>
    </xf>
    <xf numFmtId="41" fontId="7" fillId="8" borderId="1" xfId="1" applyFont="1" applyFill="1" applyBorder="1" applyProtection="1">
      <protection hidden="1"/>
    </xf>
    <xf numFmtId="41" fontId="7" fillId="8" borderId="1" xfId="1" applyFont="1" applyFill="1" applyBorder="1" applyAlignment="1" applyProtection="1">
      <alignment vertical="top"/>
      <protection hidden="1"/>
    </xf>
    <xf numFmtId="0" fontId="7" fillId="0" borderId="3" xfId="0" applyFont="1" applyBorder="1" applyAlignment="1" applyProtection="1">
      <alignment horizontal="center" vertical="center"/>
      <protection hidden="1"/>
    </xf>
    <xf numFmtId="0" fontId="7" fillId="0" borderId="1" xfId="0" applyFont="1" applyBorder="1" applyAlignment="1" applyProtection="1">
      <alignment horizontal="center" vertical="center"/>
      <protection hidden="1"/>
    </xf>
    <xf numFmtId="0" fontId="7" fillId="7" borderId="1" xfId="0" applyFont="1" applyFill="1" applyBorder="1" applyAlignment="1" applyProtection="1">
      <alignment horizontal="center" vertical="center"/>
      <protection hidden="1"/>
    </xf>
    <xf numFmtId="9" fontId="7" fillId="0" borderId="3" xfId="2" applyFont="1" applyBorder="1" applyAlignment="1" applyProtection="1">
      <alignment horizontal="center" vertical="center"/>
      <protection hidden="1"/>
    </xf>
    <xf numFmtId="9" fontId="7" fillId="0" borderId="1" xfId="2" applyFont="1" applyBorder="1" applyAlignment="1" applyProtection="1">
      <alignment horizontal="center" vertical="center"/>
      <protection hidden="1"/>
    </xf>
    <xf numFmtId="9" fontId="7" fillId="7" borderId="1" xfId="2" applyFont="1" applyFill="1" applyBorder="1" applyAlignment="1" applyProtection="1">
      <alignment horizontal="center" vertical="center"/>
      <protection hidden="1"/>
    </xf>
    <xf numFmtId="0" fontId="7" fillId="4" borderId="1" xfId="0" applyFont="1" applyFill="1" applyBorder="1" applyAlignment="1" applyProtection="1">
      <alignment horizontal="center" vertical="top" wrapText="1"/>
      <protection hidden="1"/>
    </xf>
    <xf numFmtId="2" fontId="7" fillId="0" borderId="3" xfId="1" applyNumberFormat="1" applyFont="1" applyBorder="1" applyAlignment="1" applyProtection="1">
      <alignment horizontal="center" vertical="center"/>
      <protection hidden="1"/>
    </xf>
    <xf numFmtId="0" fontId="5" fillId="5" borderId="1" xfId="0" quotePrefix="1" applyFont="1" applyFill="1" applyBorder="1" applyAlignment="1" applyProtection="1">
      <alignment horizontal="center" vertical="center"/>
      <protection locked="0"/>
    </xf>
    <xf numFmtId="0" fontId="5" fillId="0" borderId="1" xfId="0" applyFont="1" applyBorder="1" applyAlignment="1">
      <alignment horizontal="center" vertical="center" wrapText="1"/>
    </xf>
    <xf numFmtId="41" fontId="2" fillId="0" borderId="1" xfId="1" applyFont="1" applyBorder="1" applyProtection="1">
      <protection locked="0"/>
    </xf>
    <xf numFmtId="41" fontId="11" fillId="5" borderId="1" xfId="1" applyFont="1" applyFill="1" applyBorder="1" applyAlignment="1">
      <alignment vertical="center" wrapText="1"/>
    </xf>
    <xf numFmtId="0" fontId="5" fillId="0" borderId="1" xfId="0" applyFont="1" applyBorder="1" applyAlignment="1">
      <alignment horizontal="left" vertical="center"/>
    </xf>
    <xf numFmtId="41" fontId="3" fillId="2" borderId="1" xfId="1" applyFont="1" applyFill="1" applyBorder="1" applyAlignment="1">
      <alignment horizontal="center" vertical="center" wrapText="1"/>
    </xf>
    <xf numFmtId="0" fontId="5" fillId="2" borderId="1" xfId="0" applyFont="1" applyFill="1" applyBorder="1" applyAlignment="1">
      <alignment horizontal="center" vertical="center" wrapText="1"/>
    </xf>
    <xf numFmtId="0" fontId="5" fillId="7" borderId="1" xfId="0" applyFont="1" applyFill="1" applyBorder="1" applyAlignment="1">
      <alignment horizontal="center" vertical="center" wrapText="1"/>
    </xf>
    <xf numFmtId="41" fontId="3" fillId="7" borderId="1" xfId="1" applyFont="1" applyFill="1" applyBorder="1" applyAlignment="1">
      <alignment horizontal="center" vertical="center"/>
    </xf>
    <xf numFmtId="41" fontId="7" fillId="4" borderId="1" xfId="1" applyFont="1" applyFill="1" applyBorder="1" applyAlignment="1" applyProtection="1">
      <alignment horizontal="center" vertical="center"/>
      <protection hidden="1"/>
    </xf>
    <xf numFmtId="41" fontId="7" fillId="0" borderId="0" xfId="1" applyFont="1" applyAlignment="1">
      <alignment horizontal="center" vertical="center" wrapText="1"/>
    </xf>
    <xf numFmtId="0" fontId="7" fillId="0" borderId="0" xfId="0" applyFont="1" applyAlignment="1">
      <alignment horizontal="left" vertical="center" wrapText="1"/>
    </xf>
    <xf numFmtId="0" fontId="7" fillId="9" borderId="0" xfId="0" applyFont="1" applyFill="1" applyAlignment="1">
      <alignment horizontal="left" vertical="center" wrapText="1"/>
    </xf>
    <xf numFmtId="41" fontId="7" fillId="9" borderId="0" xfId="1" applyFont="1" applyFill="1" applyAlignment="1">
      <alignment horizontal="center" vertical="center" wrapText="1"/>
    </xf>
    <xf numFmtId="41" fontId="2" fillId="0" borderId="0" xfId="0" applyNumberFormat="1" applyFont="1"/>
    <xf numFmtId="1" fontId="2" fillId="0" borderId="0" xfId="0" applyNumberFormat="1" applyFont="1" applyAlignment="1">
      <alignment horizontal="center" vertical="center"/>
    </xf>
    <xf numFmtId="0" fontId="13" fillId="0" borderId="0" xfId="0" applyFont="1" applyAlignment="1">
      <alignment horizontal="center" vertical="center" wrapText="1"/>
    </xf>
    <xf numFmtId="0" fontId="10" fillId="0" borderId="1" xfId="0" applyFont="1" applyBorder="1" applyAlignment="1">
      <alignment horizontal="center" vertical="center"/>
    </xf>
    <xf numFmtId="0" fontId="8" fillId="0" borderId="5" xfId="0" applyFont="1" applyBorder="1" applyAlignment="1">
      <alignment horizontal="center" vertical="center"/>
    </xf>
    <xf numFmtId="0" fontId="8" fillId="0" borderId="7" xfId="0" applyFont="1" applyBorder="1" applyAlignment="1">
      <alignment horizontal="center" vertical="center"/>
    </xf>
    <xf numFmtId="0" fontId="8" fillId="0" borderId="3" xfId="0" applyFont="1" applyBorder="1" applyAlignment="1">
      <alignment horizontal="center" vertical="center"/>
    </xf>
    <xf numFmtId="41" fontId="12" fillId="5" borderId="0" xfId="0" applyNumberFormat="1" applyFont="1" applyFill="1" applyAlignment="1">
      <alignment horizontal="center" vertical="center" wrapText="1"/>
    </xf>
  </cellXfs>
  <cellStyles count="3">
    <cellStyle name="Comma [0]" xfId="1" builtinId="6"/>
    <cellStyle name="Normal" xfId="0" builtinId="0"/>
    <cellStyle name="Percent" xfId="2" builtinId="5"/>
  </cellStyles>
  <dxfs count="10"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numFmt numFmtId="0" formatCode="General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numFmt numFmtId="0" formatCode="General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Times New Roman"/>
        <scheme val="none"/>
      </font>
      <fill>
        <patternFill patternType="solid">
          <fgColor indexed="64"/>
          <bgColor theme="0" tint="-0.14999847407452621"/>
        </patternFill>
      </fill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9525</xdr:colOff>
          <xdr:row>0</xdr:row>
          <xdr:rowOff>0</xdr:rowOff>
        </xdr:from>
        <xdr:to>
          <xdr:col>3</xdr:col>
          <xdr:colOff>9525</xdr:colOff>
          <xdr:row>1</xdr:row>
          <xdr:rowOff>9525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Nhập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9525</xdr:colOff>
          <xdr:row>0</xdr:row>
          <xdr:rowOff>0</xdr:rowOff>
        </xdr:from>
        <xdr:to>
          <xdr:col>3</xdr:col>
          <xdr:colOff>9525</xdr:colOff>
          <xdr:row>1</xdr:row>
          <xdr:rowOff>9525</xdr:rowOff>
        </xdr:to>
        <xdr:sp macro="" textlink="">
          <xdr:nvSpPr>
            <xdr:cNvPr id="7169" name="Button 1" hidden="1">
              <a:extLst>
                <a:ext uri="{63B3BB69-23CF-44E3-9099-C40C66FF867C}">
                  <a14:compatExt spid="_x0000_s716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Nhập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9525</xdr:colOff>
          <xdr:row>0</xdr:row>
          <xdr:rowOff>0</xdr:rowOff>
        </xdr:from>
        <xdr:to>
          <xdr:col>3</xdr:col>
          <xdr:colOff>9525</xdr:colOff>
          <xdr:row>1</xdr:row>
          <xdr:rowOff>9525</xdr:rowOff>
        </xdr:to>
        <xdr:sp macro="" textlink="">
          <xdr:nvSpPr>
            <xdr:cNvPr id="8193" name="Button 1" hidden="1">
              <a:extLst>
                <a:ext uri="{63B3BB69-23CF-44E3-9099-C40C66FF867C}">
                  <a14:compatExt spid="_x0000_s819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Nhập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9525</xdr:colOff>
          <xdr:row>0</xdr:row>
          <xdr:rowOff>0</xdr:rowOff>
        </xdr:from>
        <xdr:to>
          <xdr:col>3</xdr:col>
          <xdr:colOff>9525</xdr:colOff>
          <xdr:row>1</xdr:row>
          <xdr:rowOff>9525</xdr:rowOff>
        </xdr:to>
        <xdr:sp macro="" textlink="">
          <xdr:nvSpPr>
            <xdr:cNvPr id="9217" name="Button 1" hidden="1">
              <a:extLst>
                <a:ext uri="{63B3BB69-23CF-44E3-9099-C40C66FF867C}">
                  <a14:compatExt spid="_x0000_s921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Nhập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9525</xdr:colOff>
          <xdr:row>0</xdr:row>
          <xdr:rowOff>0</xdr:rowOff>
        </xdr:from>
        <xdr:to>
          <xdr:col>3</xdr:col>
          <xdr:colOff>9525</xdr:colOff>
          <xdr:row>1</xdr:row>
          <xdr:rowOff>9525</xdr:rowOff>
        </xdr:to>
        <xdr:sp macro="" textlink="">
          <xdr:nvSpPr>
            <xdr:cNvPr id="10241" name="Button 1" hidden="1">
              <a:extLst>
                <a:ext uri="{63B3BB69-23CF-44E3-9099-C40C66FF867C}">
                  <a14:compatExt spid="_x0000_s1024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Nhập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9525</xdr:colOff>
          <xdr:row>0</xdr:row>
          <xdr:rowOff>0</xdr:rowOff>
        </xdr:from>
        <xdr:to>
          <xdr:col>3</xdr:col>
          <xdr:colOff>9525</xdr:colOff>
          <xdr:row>1</xdr:row>
          <xdr:rowOff>9525</xdr:rowOff>
        </xdr:to>
        <xdr:sp macro="" textlink="">
          <xdr:nvSpPr>
            <xdr:cNvPr id="14337" name="Button 1" hidden="1">
              <a:extLst>
                <a:ext uri="{63B3BB69-23CF-44E3-9099-C40C66FF867C}">
                  <a14:compatExt spid="_x0000_s1433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Nhập</a:t>
              </a: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9525</xdr:colOff>
          <xdr:row>0</xdr:row>
          <xdr:rowOff>0</xdr:rowOff>
        </xdr:from>
        <xdr:to>
          <xdr:col>3</xdr:col>
          <xdr:colOff>9525</xdr:colOff>
          <xdr:row>1</xdr:row>
          <xdr:rowOff>9525</xdr:rowOff>
        </xdr:to>
        <xdr:sp macro="" textlink="">
          <xdr:nvSpPr>
            <xdr:cNvPr id="15361" name="Button 1" hidden="1">
              <a:extLst>
                <a:ext uri="{63B3BB69-23CF-44E3-9099-C40C66FF867C}">
                  <a14:compatExt spid="_x0000_s1536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Nhập</a:t>
              </a:r>
            </a:p>
          </xdr:txBody>
        </xdr:sp>
        <xdr:clientData fPrintsWithSheet="0"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9525</xdr:colOff>
          <xdr:row>0</xdr:row>
          <xdr:rowOff>0</xdr:rowOff>
        </xdr:from>
        <xdr:to>
          <xdr:col>3</xdr:col>
          <xdr:colOff>9525</xdr:colOff>
          <xdr:row>1</xdr:row>
          <xdr:rowOff>9525</xdr:rowOff>
        </xdr:to>
        <xdr:sp macro="" textlink="">
          <xdr:nvSpPr>
            <xdr:cNvPr id="19457" name="Button 1" hidden="1">
              <a:extLst>
                <a:ext uri="{63B3BB69-23CF-44E3-9099-C40C66FF867C}">
                  <a14:compatExt spid="_x0000_s1945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Nhập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id="1" name="Table1" displayName="Table1" ref="A1:F30" totalsRowShown="0" headerRowDxfId="9" headerRowBorderDxfId="8" tableBorderDxfId="7" totalsRowBorderDxfId="6">
  <autoFilter ref="A1:F30"/>
  <tableColumns count="6">
    <tableColumn id="6" name="Giá" dataDxfId="5"/>
    <tableColumn id="2" name="TEN HANG" dataDxfId="4"/>
    <tableColumn id="3" name="GIA NHAP" dataDxfId="3"/>
    <tableColumn id="4" name="DON VI NHAP" dataDxfId="2"/>
    <tableColumn id="1" name="GIA/DON VI" dataDxfId="1">
      <calculatedColumnFormula>Table1[[#This Row],[GIA NHAP]]/Table1[[#This Row],[DON VI NHAP]]</calculatedColumnFormula>
    </tableColumn>
    <tableColumn id="5" name="XIEN" dataDxfId="0" dataCellStyle="Comma [0]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Relationship Id="rId4" Type="http://schemas.openxmlformats.org/officeDocument/2006/relationships/ctrlProp" Target="../ctrlProps/ctrlProp2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Relationship Id="rId4" Type="http://schemas.openxmlformats.org/officeDocument/2006/relationships/ctrlProp" Target="../ctrlProps/ctrlProp3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5.bin"/><Relationship Id="rId4" Type="http://schemas.openxmlformats.org/officeDocument/2006/relationships/ctrlProp" Target="../ctrlProps/ctrlProp4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6.bin"/><Relationship Id="rId4" Type="http://schemas.openxmlformats.org/officeDocument/2006/relationships/ctrlProp" Target="../ctrlProps/ctrlProp5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7.bin"/><Relationship Id="rId4" Type="http://schemas.openxmlformats.org/officeDocument/2006/relationships/ctrlProp" Target="../ctrlProps/ctrlProp6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7.v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8.bin"/><Relationship Id="rId4" Type="http://schemas.openxmlformats.org/officeDocument/2006/relationships/ctrlProp" Target="../ctrlProps/ctrlProp7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8.v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9.bin"/><Relationship Id="rId4" Type="http://schemas.openxmlformats.org/officeDocument/2006/relationships/ctrlProp" Target="../ctrlProps/ctrlProp8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tabColor rgb="FFFFFF00"/>
  </sheetPr>
  <dimension ref="A1:R30"/>
  <sheetViews>
    <sheetView workbookViewId="0">
      <pane ySplit="2" topLeftCell="A7" activePane="bottomLeft" state="frozen"/>
      <selection pane="bottomLeft" activeCell="D14" sqref="D14"/>
    </sheetView>
  </sheetViews>
  <sheetFormatPr defaultRowHeight="15" x14ac:dyDescent="0.25"/>
  <cols>
    <col min="1" max="1" width="4.42578125" style="9" customWidth="1"/>
    <col min="2" max="2" width="25.85546875" style="1" customWidth="1"/>
    <col min="3" max="3" width="11.7109375" style="1" customWidth="1"/>
    <col min="4" max="5" width="14.7109375" style="1" customWidth="1"/>
    <col min="6" max="6" width="10.140625" style="1" customWidth="1"/>
    <col min="7" max="7" width="9.140625" style="1"/>
    <col min="8" max="8" width="7.42578125" style="1" customWidth="1"/>
    <col min="9" max="13" width="14.7109375" style="1" customWidth="1"/>
    <col min="14" max="14" width="9.7109375" style="1" bestFit="1" customWidth="1"/>
    <col min="15" max="16384" width="9.140625" style="1"/>
  </cols>
  <sheetData>
    <row r="1" spans="1:18" s="4" customFormat="1" ht="30" customHeight="1" x14ac:dyDescent="0.25">
      <c r="A1" s="7" t="s">
        <v>26</v>
      </c>
      <c r="B1" s="7" t="s">
        <v>33</v>
      </c>
      <c r="C1" s="7" t="s">
        <v>34</v>
      </c>
      <c r="D1" s="7" t="s">
        <v>35</v>
      </c>
      <c r="E1" s="8" t="s">
        <v>57</v>
      </c>
      <c r="F1" s="8" t="s">
        <v>36</v>
      </c>
      <c r="G1" s="23" t="s">
        <v>37</v>
      </c>
      <c r="H1" s="82">
        <v>5</v>
      </c>
      <c r="I1" s="78" t="s">
        <v>71</v>
      </c>
      <c r="J1" s="77" t="s">
        <v>46</v>
      </c>
      <c r="K1" s="77" t="s">
        <v>72</v>
      </c>
      <c r="L1" s="77" t="s">
        <v>73</v>
      </c>
      <c r="M1" s="77" t="s">
        <v>74</v>
      </c>
      <c r="N1" s="87">
        <f ca="1">M2-L2-K2</f>
        <v>1936.833333333333</v>
      </c>
      <c r="O1" s="37"/>
      <c r="P1" s="37"/>
      <c r="Q1" s="37"/>
      <c r="R1" s="37" t="s">
        <v>51</v>
      </c>
    </row>
    <row r="2" spans="1:18" s="4" customFormat="1" ht="23.25" customHeight="1" x14ac:dyDescent="0.25">
      <c r="A2" s="7"/>
      <c r="B2" s="7"/>
      <c r="C2" s="7"/>
      <c r="D2" s="7"/>
      <c r="E2" s="46"/>
      <c r="F2" s="8"/>
      <c r="G2" s="10"/>
      <c r="I2" s="79">
        <v>20000</v>
      </c>
      <c r="J2" s="76">
        <v>16169</v>
      </c>
      <c r="K2" s="76">
        <f>'Chi phí'!B2</f>
        <v>772</v>
      </c>
      <c r="L2" s="76">
        <f ca="1">'Tiền Hàng'!F2</f>
        <v>4462</v>
      </c>
      <c r="M2" s="76">
        <f ca="1">SUBTOTAL(9,H3:H30)</f>
        <v>7170.833333333333</v>
      </c>
      <c r="N2" s="87"/>
    </row>
    <row r="3" spans="1:18" ht="15" customHeight="1" x14ac:dyDescent="0.25">
      <c r="A3" s="3">
        <v>8</v>
      </c>
      <c r="B3" s="2" t="s">
        <v>23</v>
      </c>
      <c r="C3" s="3">
        <v>32</v>
      </c>
      <c r="D3" s="3">
        <v>80</v>
      </c>
      <c r="E3" s="44">
        <f>Table1[[#This Row],[GIA NHAP]]/Table1[[#This Row],[DON VI NHAP]]</f>
        <v>0.4</v>
      </c>
      <c r="F3" s="5">
        <v>8</v>
      </c>
      <c r="G3" s="84" t="s">
        <v>24</v>
      </c>
      <c r="H3" s="81">
        <f ca="1">('Tiền Hàng'!$F3/'Tiền Hàng'!$C3*Table1[[#This Row],[DON VI NHAP]]-'5'!$H3)/Table1[[#This Row],[XIEN]]*Table1[[#This Row],[Giá]]</f>
        <v>344</v>
      </c>
      <c r="I3" s="37"/>
      <c r="J3" s="80"/>
    </row>
    <row r="4" spans="1:18" ht="15" customHeight="1" x14ac:dyDescent="0.25">
      <c r="A4" s="3">
        <v>8</v>
      </c>
      <c r="B4" s="2" t="s">
        <v>22</v>
      </c>
      <c r="C4" s="3">
        <v>32</v>
      </c>
      <c r="D4" s="3">
        <v>80</v>
      </c>
      <c r="E4" s="44">
        <f>Table1[[#This Row],[GIA NHAP]]/Table1[[#This Row],[DON VI NHAP]]</f>
        <v>0.4</v>
      </c>
      <c r="F4" s="5">
        <v>8</v>
      </c>
      <c r="G4" s="85"/>
      <c r="H4" s="81">
        <f ca="1">('Tiền Hàng'!$F4/'Tiền Hàng'!$C4*Table1[[#This Row],[DON VI NHAP]]-'5'!$H4)/Table1[[#This Row],[XIEN]]*Table1[[#This Row],[Giá]]</f>
        <v>144</v>
      </c>
      <c r="I4" s="37"/>
    </row>
    <row r="5" spans="1:18" ht="15" customHeight="1" x14ac:dyDescent="0.25">
      <c r="A5" s="3">
        <v>8</v>
      </c>
      <c r="B5" s="2" t="s">
        <v>21</v>
      </c>
      <c r="C5" s="3">
        <v>34</v>
      </c>
      <c r="D5" s="3">
        <v>80</v>
      </c>
      <c r="E5" s="44">
        <f>Table1[[#This Row],[GIA NHAP]]/Table1[[#This Row],[DON VI NHAP]]</f>
        <v>0.42499999999999999</v>
      </c>
      <c r="F5" s="5">
        <v>8</v>
      </c>
      <c r="G5" s="85"/>
      <c r="H5" s="81">
        <f ca="1">('Tiền Hàng'!$F5/'Tiền Hàng'!$C5*Table1[[#This Row],[DON VI NHAP]]-'5'!$H5)/Table1[[#This Row],[XIEN]]*Table1[[#This Row],[Giá]]</f>
        <v>350</v>
      </c>
      <c r="I5" s="37"/>
    </row>
    <row r="6" spans="1:18" ht="15" customHeight="1" x14ac:dyDescent="0.25">
      <c r="A6" s="3">
        <v>8</v>
      </c>
      <c r="B6" s="2" t="s">
        <v>20</v>
      </c>
      <c r="C6" s="3">
        <v>34</v>
      </c>
      <c r="D6" s="3">
        <v>80</v>
      </c>
      <c r="E6" s="44">
        <f>Table1[[#This Row],[GIA NHAP]]/Table1[[#This Row],[DON VI NHAP]]</f>
        <v>0.42499999999999999</v>
      </c>
      <c r="F6" s="5">
        <v>8</v>
      </c>
      <c r="G6" s="85"/>
      <c r="H6" s="81">
        <f ca="1">('Tiền Hàng'!$F6/'Tiền Hàng'!$C6*Table1[[#This Row],[DON VI NHAP]]-'5'!$H6)/Table1[[#This Row],[XIEN]]*Table1[[#This Row],[Giá]]</f>
        <v>128</v>
      </c>
      <c r="I6" s="37"/>
    </row>
    <row r="7" spans="1:18" ht="15" customHeight="1" x14ac:dyDescent="0.25">
      <c r="A7" s="3">
        <v>8</v>
      </c>
      <c r="B7" s="2" t="s">
        <v>19</v>
      </c>
      <c r="C7" s="3">
        <v>33</v>
      </c>
      <c r="D7" s="3">
        <v>10</v>
      </c>
      <c r="E7" s="44">
        <f>Table1[[#This Row],[GIA NHAP]]/Table1[[#This Row],[DON VI NHAP]]</f>
        <v>3.3</v>
      </c>
      <c r="F7" s="5">
        <v>1</v>
      </c>
      <c r="G7" s="85"/>
      <c r="H7" s="81">
        <f ca="1">('Tiền Hàng'!$F7/'Tiền Hàng'!$C7*Table1[[#This Row],[DON VI NHAP]]-'5'!$H7)/Table1[[#This Row],[XIEN]]*Table1[[#This Row],[Giá]]</f>
        <v>400</v>
      </c>
      <c r="I7" s="37"/>
    </row>
    <row r="8" spans="1:18" ht="15" customHeight="1" x14ac:dyDescent="0.25">
      <c r="A8" s="3">
        <v>8</v>
      </c>
      <c r="B8" s="2" t="s">
        <v>18</v>
      </c>
      <c r="C8" s="3">
        <v>38</v>
      </c>
      <c r="D8" s="3">
        <v>32</v>
      </c>
      <c r="E8" s="44">
        <f>Table1[[#This Row],[GIA NHAP]]/Table1[[#This Row],[DON VI NHAP]]</f>
        <v>1.1875</v>
      </c>
      <c r="F8" s="5">
        <v>4</v>
      </c>
      <c r="G8" s="85"/>
      <c r="H8" s="81">
        <f ca="1">('Tiền Hàng'!$F8/'Tiền Hàng'!$C8*Table1[[#This Row],[DON VI NHAP]]-'5'!$H8)/Table1[[#This Row],[XIEN]]*Table1[[#This Row],[Giá]]</f>
        <v>158</v>
      </c>
      <c r="I8" s="37"/>
    </row>
    <row r="9" spans="1:18" ht="15" customHeight="1" x14ac:dyDescent="0.25">
      <c r="A9" s="3">
        <v>8</v>
      </c>
      <c r="B9" s="2" t="s">
        <v>17</v>
      </c>
      <c r="C9" s="3">
        <v>40</v>
      </c>
      <c r="D9" s="3">
        <v>35</v>
      </c>
      <c r="E9" s="44">
        <f>Table1[[#This Row],[GIA NHAP]]/Table1[[#This Row],[DON VI NHAP]]</f>
        <v>1.1428571428571428</v>
      </c>
      <c r="F9" s="5">
        <v>3</v>
      </c>
      <c r="G9" s="85"/>
      <c r="H9" s="81">
        <f ca="1">('Tiền Hàng'!$F9/'Tiền Hàng'!$C9*Table1[[#This Row],[DON VI NHAP]]-'5'!$H9)/Table1[[#This Row],[XIEN]]*Table1[[#This Row],[Giá]]</f>
        <v>200</v>
      </c>
      <c r="I9" s="37"/>
    </row>
    <row r="10" spans="1:18" ht="15" customHeight="1" x14ac:dyDescent="0.25">
      <c r="A10" s="3">
        <v>8</v>
      </c>
      <c r="B10" s="2" t="s">
        <v>16</v>
      </c>
      <c r="C10" s="3">
        <v>40</v>
      </c>
      <c r="D10" s="3">
        <v>13</v>
      </c>
      <c r="E10" s="44">
        <f>Table1[[#This Row],[GIA NHAP]]/Table1[[#This Row],[DON VI NHAP]]</f>
        <v>3.0769230769230771</v>
      </c>
      <c r="F10" s="5">
        <v>1</v>
      </c>
      <c r="G10" s="85"/>
      <c r="H10" s="81">
        <f ca="1">('Tiền Hàng'!$F10/'Tiền Hàng'!$C10*Table1[[#This Row],[DON VI NHAP]]-'5'!$H10)/Table1[[#This Row],[XIEN]]*Table1[[#This Row],[Giá]]</f>
        <v>328</v>
      </c>
      <c r="I10" s="37"/>
    </row>
    <row r="11" spans="1:18" ht="15" customHeight="1" x14ac:dyDescent="0.25">
      <c r="A11" s="3">
        <v>8</v>
      </c>
      <c r="B11" s="2" t="s">
        <v>15</v>
      </c>
      <c r="C11" s="3">
        <v>35</v>
      </c>
      <c r="D11" s="3">
        <v>35</v>
      </c>
      <c r="E11" s="44">
        <f>Table1[[#This Row],[GIA NHAP]]/Table1[[#This Row],[DON VI NHAP]]</f>
        <v>1</v>
      </c>
      <c r="F11" s="5">
        <v>3</v>
      </c>
      <c r="G11" s="85"/>
      <c r="H11" s="81">
        <f ca="1">('Tiền Hàng'!$F11/'Tiền Hàng'!$C11*Table1[[#This Row],[DON VI NHAP]]-'5'!$H11)/Table1[[#This Row],[XIEN]]*Table1[[#This Row],[Giá]]</f>
        <v>285.33333333333331</v>
      </c>
      <c r="I11" s="37"/>
    </row>
    <row r="12" spans="1:18" ht="15" customHeight="1" x14ac:dyDescent="0.25">
      <c r="A12" s="3">
        <v>8</v>
      </c>
      <c r="B12" s="2" t="s">
        <v>14</v>
      </c>
      <c r="C12" s="3">
        <v>45</v>
      </c>
      <c r="D12" s="3">
        <v>35</v>
      </c>
      <c r="E12" s="44">
        <f>Table1[[#This Row],[GIA NHAP]]/Table1[[#This Row],[DON VI NHAP]]</f>
        <v>1.2857142857142858</v>
      </c>
      <c r="F12" s="5">
        <v>3</v>
      </c>
      <c r="G12" s="85"/>
      <c r="H12" s="81">
        <f ca="1">('Tiền Hàng'!$F12/'Tiền Hàng'!$C12*Table1[[#This Row],[DON VI NHAP]]-'5'!$H12)/Table1[[#This Row],[XIEN]]*Table1[[#This Row],[Giá]]</f>
        <v>450.66666666666669</v>
      </c>
    </row>
    <row r="13" spans="1:18" ht="15" customHeight="1" x14ac:dyDescent="0.25">
      <c r="A13" s="3">
        <v>8</v>
      </c>
      <c r="B13" s="2" t="s">
        <v>4</v>
      </c>
      <c r="C13" s="3">
        <v>42</v>
      </c>
      <c r="D13" s="3">
        <v>28</v>
      </c>
      <c r="E13" s="44">
        <f>Table1[[#This Row],[GIA NHAP]]/Table1[[#This Row],[DON VI NHAP]]</f>
        <v>1.5</v>
      </c>
      <c r="F13" s="5">
        <v>3</v>
      </c>
      <c r="G13" s="85"/>
      <c r="H13" s="81">
        <f ca="1">('Tiền Hàng'!$F13/'Tiền Hàng'!$C13*Table1[[#This Row],[DON VI NHAP]]-'5'!$H13)/Table1[[#This Row],[XIEN]]*Table1[[#This Row],[Giá]]</f>
        <v>256</v>
      </c>
    </row>
    <row r="14" spans="1:18" ht="15" customHeight="1" x14ac:dyDescent="0.25">
      <c r="A14" s="3">
        <v>8</v>
      </c>
      <c r="B14" s="2" t="s">
        <v>69</v>
      </c>
      <c r="C14" s="3">
        <v>48</v>
      </c>
      <c r="D14" s="3">
        <v>32</v>
      </c>
      <c r="E14" s="44">
        <f>Table1[[#This Row],[GIA NHAP]]/Table1[[#This Row],[DON VI NHAP]]</f>
        <v>1.5</v>
      </c>
      <c r="F14" s="5">
        <v>3</v>
      </c>
      <c r="G14" s="86"/>
      <c r="H14" s="81">
        <f ca="1">('Tiền Hàng'!$F14/'Tiền Hàng'!$C14*Table1[[#This Row],[DON VI NHAP]]-'5'!$H14)/Table1[[#This Row],[XIEN]]*Table1[[#This Row],[Giá]]</f>
        <v>357.33333333333331</v>
      </c>
    </row>
    <row r="15" spans="1:18" ht="15" customHeight="1" x14ac:dyDescent="0.25">
      <c r="A15" s="3">
        <v>10</v>
      </c>
      <c r="B15" s="2" t="s">
        <v>12</v>
      </c>
      <c r="C15" s="3">
        <v>45</v>
      </c>
      <c r="D15" s="3">
        <v>30</v>
      </c>
      <c r="E15" s="44">
        <f>Table1[[#This Row],[GIA NHAP]]/Table1[[#This Row],[DON VI NHAP]]</f>
        <v>1.5</v>
      </c>
      <c r="F15" s="5">
        <v>3</v>
      </c>
      <c r="G15" s="84" t="s">
        <v>13</v>
      </c>
      <c r="H15" s="81">
        <f ca="1">('Tiền Hàng'!$F15/'Tiền Hàng'!$C15*Table1[[#This Row],[DON VI NHAP]]-'5'!$H15)/Table1[[#This Row],[XIEN]]*Table1[[#This Row],[Giá]]</f>
        <v>450</v>
      </c>
    </row>
    <row r="16" spans="1:18" ht="15" customHeight="1" x14ac:dyDescent="0.25">
      <c r="A16" s="3">
        <v>10</v>
      </c>
      <c r="B16" s="2" t="s">
        <v>11</v>
      </c>
      <c r="C16" s="3">
        <v>35</v>
      </c>
      <c r="D16" s="3">
        <v>30</v>
      </c>
      <c r="E16" s="44">
        <f>Table1[[#This Row],[GIA NHAP]]/Table1[[#This Row],[DON VI NHAP]]</f>
        <v>1.1666666666666667</v>
      </c>
      <c r="F16" s="5">
        <v>3</v>
      </c>
      <c r="G16" s="85"/>
      <c r="H16" s="81">
        <f ca="1">('Tiền Hàng'!$F16/'Tiền Hàng'!$C16*Table1[[#This Row],[DON VI NHAP]]-'5'!$H16)/Table1[[#This Row],[XIEN]]*Table1[[#This Row],[Giá]]</f>
        <v>160</v>
      </c>
    </row>
    <row r="17" spans="1:8" ht="15" customHeight="1" x14ac:dyDescent="0.25">
      <c r="A17" s="3">
        <v>10</v>
      </c>
      <c r="B17" s="2" t="s">
        <v>10</v>
      </c>
      <c r="C17" s="3">
        <v>52</v>
      </c>
      <c r="D17" s="3">
        <v>26</v>
      </c>
      <c r="E17" s="44">
        <f>Table1[[#This Row],[GIA NHAP]]/Table1[[#This Row],[DON VI NHAP]]</f>
        <v>2</v>
      </c>
      <c r="F17" s="5">
        <v>3</v>
      </c>
      <c r="G17" s="85"/>
      <c r="H17" s="81">
        <f ca="1">('Tiền Hàng'!$F17/'Tiền Hàng'!$C17*Table1[[#This Row],[DON VI NHAP]]-'5'!$H17)/Table1[[#This Row],[XIEN]]*Table1[[#This Row],[Giá]]</f>
        <v>116.66666666666666</v>
      </c>
    </row>
    <row r="18" spans="1:8" ht="15" customHeight="1" x14ac:dyDescent="0.25">
      <c r="A18" s="3">
        <v>10</v>
      </c>
      <c r="B18" s="2" t="s">
        <v>9</v>
      </c>
      <c r="C18" s="3">
        <v>40</v>
      </c>
      <c r="D18" s="3">
        <v>6</v>
      </c>
      <c r="E18" s="44">
        <f>Table1[[#This Row],[GIA NHAP]]/Table1[[#This Row],[DON VI NHAP]]</f>
        <v>6.666666666666667</v>
      </c>
      <c r="F18" s="5">
        <v>1</v>
      </c>
      <c r="G18" s="85"/>
      <c r="H18" s="81">
        <f ca="1">('Tiền Hàng'!$F18/'Tiền Hàng'!$C18*Table1[[#This Row],[DON VI NHAP]]-'5'!$H18)/Table1[[#This Row],[XIEN]]*Table1[[#This Row],[Giá]]</f>
        <v>300</v>
      </c>
    </row>
    <row r="19" spans="1:8" ht="15" customHeight="1" x14ac:dyDescent="0.25">
      <c r="A19" s="3">
        <v>10</v>
      </c>
      <c r="B19" s="2" t="s">
        <v>8</v>
      </c>
      <c r="C19" s="3">
        <v>44</v>
      </c>
      <c r="D19" s="3">
        <v>10</v>
      </c>
      <c r="E19" s="44">
        <f>Table1[[#This Row],[GIA NHAP]]/Table1[[#This Row],[DON VI NHAP]]</f>
        <v>4.4000000000000004</v>
      </c>
      <c r="F19" s="5">
        <v>1</v>
      </c>
      <c r="G19" s="85"/>
      <c r="H19" s="81">
        <f ca="1">('Tiền Hàng'!$F19/'Tiền Hàng'!$C19*Table1[[#This Row],[DON VI NHAP]]-'5'!$H19)/Table1[[#This Row],[XIEN]]*Table1[[#This Row],[Giá]]</f>
        <v>70</v>
      </c>
    </row>
    <row r="20" spans="1:8" ht="15" customHeight="1" x14ac:dyDescent="0.25">
      <c r="A20" s="3">
        <v>10</v>
      </c>
      <c r="B20" s="2" t="s">
        <v>7</v>
      </c>
      <c r="C20" s="3">
        <v>42</v>
      </c>
      <c r="D20" s="3">
        <v>43</v>
      </c>
      <c r="E20" s="44">
        <f>Table1[[#This Row],[GIA NHAP]]/Table1[[#This Row],[DON VI NHAP]]</f>
        <v>0.97674418604651159</v>
      </c>
      <c r="F20" s="5">
        <v>4</v>
      </c>
      <c r="G20" s="85"/>
      <c r="H20" s="81">
        <f ca="1">('Tiền Hàng'!$F20/'Tiền Hàng'!$C20*Table1[[#This Row],[DON VI NHAP]]-'5'!$H20)/Table1[[#This Row],[XIEN]]*Table1[[#This Row],[Giá]]</f>
        <v>202.5</v>
      </c>
    </row>
    <row r="21" spans="1:8" ht="15" customHeight="1" x14ac:dyDescent="0.25">
      <c r="A21" s="3">
        <v>10</v>
      </c>
      <c r="B21" s="2" t="s">
        <v>6</v>
      </c>
      <c r="C21" s="3">
        <v>38</v>
      </c>
      <c r="D21" s="3">
        <v>32</v>
      </c>
      <c r="E21" s="44">
        <f>Table1[[#This Row],[GIA NHAP]]/Table1[[#This Row],[DON VI NHAP]]</f>
        <v>1.1875</v>
      </c>
      <c r="F21" s="5">
        <v>4</v>
      </c>
      <c r="G21" s="85"/>
      <c r="H21" s="81">
        <f ca="1">('Tiền Hàng'!$F21/'Tiền Hàng'!$C21*Table1[[#This Row],[DON VI NHAP]]-'5'!$H21)/Table1[[#This Row],[XIEN]]*Table1[[#This Row],[Giá]]</f>
        <v>440</v>
      </c>
    </row>
    <row r="22" spans="1:8" ht="15" customHeight="1" x14ac:dyDescent="0.25">
      <c r="A22" s="3">
        <v>10</v>
      </c>
      <c r="B22" s="2" t="s">
        <v>5</v>
      </c>
      <c r="C22" s="3">
        <v>45</v>
      </c>
      <c r="D22" s="3">
        <v>35</v>
      </c>
      <c r="E22" s="44">
        <f>Table1[[#This Row],[GIA NHAP]]/Table1[[#This Row],[DON VI NHAP]]</f>
        <v>1.2857142857142858</v>
      </c>
      <c r="F22" s="5">
        <v>4</v>
      </c>
      <c r="G22" s="85"/>
      <c r="H22" s="81">
        <f ca="1">('Tiền Hàng'!$F22/'Tiền Hàng'!$C22*Table1[[#This Row],[DON VI NHAP]]-'5'!$H22)/Table1[[#This Row],[XIEN]]*Table1[[#This Row],[Giá]]</f>
        <v>345</v>
      </c>
    </row>
    <row r="23" spans="1:8" ht="15" customHeight="1" x14ac:dyDescent="0.25">
      <c r="A23" s="3">
        <v>10</v>
      </c>
      <c r="B23" s="2" t="s">
        <v>3</v>
      </c>
      <c r="C23" s="3">
        <v>55</v>
      </c>
      <c r="D23" s="3">
        <v>29</v>
      </c>
      <c r="E23" s="44">
        <f>Table1[[#This Row],[GIA NHAP]]/Table1[[#This Row],[DON VI NHAP]]</f>
        <v>1.896551724137931</v>
      </c>
      <c r="F23" s="5">
        <v>3</v>
      </c>
      <c r="G23" s="85"/>
      <c r="H23" s="81">
        <f ca="1">('Tiền Hàng'!$F23/'Tiền Hàng'!$C23*Table1[[#This Row],[DON VI NHAP]]-'5'!$H23)/Table1[[#This Row],[XIEN]]*Table1[[#This Row],[Giá]]</f>
        <v>250</v>
      </c>
    </row>
    <row r="24" spans="1:8" ht="15" customHeight="1" x14ac:dyDescent="0.25">
      <c r="A24" s="3">
        <v>10</v>
      </c>
      <c r="B24" s="2" t="s">
        <v>2</v>
      </c>
      <c r="C24" s="3">
        <v>45</v>
      </c>
      <c r="D24" s="3">
        <v>9</v>
      </c>
      <c r="E24" s="44">
        <f>Table1[[#This Row],[GIA NHAP]]/Table1[[#This Row],[DON VI NHAP]]</f>
        <v>5</v>
      </c>
      <c r="F24" s="5">
        <v>1</v>
      </c>
      <c r="G24" s="85"/>
      <c r="H24" s="81">
        <f ca="1">('Tiền Hàng'!$F24/'Tiền Hàng'!$C24*Table1[[#This Row],[DON VI NHAP]]-'5'!$H24)/Table1[[#This Row],[XIEN]]*Table1[[#This Row],[Giá]]</f>
        <v>650</v>
      </c>
    </row>
    <row r="25" spans="1:8" ht="15" customHeight="1" x14ac:dyDescent="0.25">
      <c r="A25" s="3">
        <v>10</v>
      </c>
      <c r="B25" s="2" t="s">
        <v>70</v>
      </c>
      <c r="C25" s="3">
        <v>54</v>
      </c>
      <c r="D25" s="3">
        <v>28</v>
      </c>
      <c r="E25" s="44">
        <f>Table1[[#This Row],[GIA NHAP]]/Table1[[#This Row],[DON VI NHAP]]</f>
        <v>1.9285714285714286</v>
      </c>
      <c r="F25" s="5">
        <v>3</v>
      </c>
      <c r="G25" s="86"/>
      <c r="H25" s="81">
        <f ca="1">('Tiền Hàng'!$F25/'Tiền Hàng'!$C25*Table1[[#This Row],[DON VI NHAP]]-'5'!$H25)/Table1[[#This Row],[XIEN]]*Table1[[#This Row],[Giá]]</f>
        <v>183.33333333333331</v>
      </c>
    </row>
    <row r="26" spans="1:8" ht="15" customHeight="1" x14ac:dyDescent="0.25">
      <c r="A26" s="3">
        <v>5</v>
      </c>
      <c r="B26" s="2" t="s">
        <v>0</v>
      </c>
      <c r="C26" s="3">
        <v>70</v>
      </c>
      <c r="D26" s="3">
        <v>28</v>
      </c>
      <c r="E26" s="44">
        <f>Table1[[#This Row],[GIA NHAP]]/Table1[[#This Row],[DON VI NHAP]]</f>
        <v>2.5</v>
      </c>
      <c r="F26" s="5">
        <v>1</v>
      </c>
      <c r="G26" s="28" t="s">
        <v>1</v>
      </c>
      <c r="H26" s="81">
        <f ca="1">('Tiền Hàng'!$F26/'Tiền Hàng'!$C26*Table1[[#This Row],[DON VI NHAP]]-'5'!$H26)/Table1[[#This Row],[XIEN]]*Table1[[#This Row],[Giá]]</f>
        <v>350</v>
      </c>
    </row>
    <row r="27" spans="1:8" ht="15" customHeight="1" x14ac:dyDescent="0.25">
      <c r="A27" s="11">
        <v>8</v>
      </c>
      <c r="B27" s="6" t="s">
        <v>40</v>
      </c>
      <c r="C27" s="11">
        <v>80</v>
      </c>
      <c r="D27" s="11">
        <v>24</v>
      </c>
      <c r="E27" s="45">
        <f>Table1[[#This Row],[GIA NHAP]]/Table1[[#This Row],[DON VI NHAP]]</f>
        <v>3.3333333333333335</v>
      </c>
      <c r="F27" s="5">
        <v>1</v>
      </c>
      <c r="G27" s="28" t="s">
        <v>24</v>
      </c>
      <c r="H27" s="81">
        <f ca="1">('Tiền Hàng'!$F27/'Tiền Hàng'!$C27*Table1[[#This Row],[DON VI NHAP]]-'5'!$H27)/Table1[[#This Row],[XIEN]]*Table1[[#This Row],[Giá]]</f>
        <v>0</v>
      </c>
    </row>
    <row r="28" spans="1:8" ht="15" customHeight="1" x14ac:dyDescent="0.25">
      <c r="A28" s="11">
        <v>10</v>
      </c>
      <c r="B28" s="6" t="s">
        <v>41</v>
      </c>
      <c r="C28" s="11">
        <v>124</v>
      </c>
      <c r="D28" s="11">
        <v>24</v>
      </c>
      <c r="E28" s="45">
        <f>Table1[[#This Row],[GIA NHAP]]/Table1[[#This Row],[DON VI NHAP]]</f>
        <v>5.166666666666667</v>
      </c>
      <c r="F28" s="27">
        <v>1</v>
      </c>
      <c r="G28" s="28" t="s">
        <v>13</v>
      </c>
      <c r="H28" s="81">
        <f ca="1">('Tiền Hàng'!$F28/'Tiền Hàng'!$C28*Table1[[#This Row],[DON VI NHAP]]-'5'!$H28)/Table1[[#This Row],[XIEN]]*Table1[[#This Row],[Giá]]</f>
        <v>60</v>
      </c>
    </row>
    <row r="29" spans="1:8" ht="15" customHeight="1" x14ac:dyDescent="0.25">
      <c r="A29" s="11">
        <v>12</v>
      </c>
      <c r="B29" s="6" t="s">
        <v>42</v>
      </c>
      <c r="C29" s="11">
        <v>173</v>
      </c>
      <c r="D29" s="11">
        <v>24</v>
      </c>
      <c r="E29" s="45">
        <f>Table1[[#This Row],[GIA NHAP]]/Table1[[#This Row],[DON VI NHAP]]</f>
        <v>7.208333333333333</v>
      </c>
      <c r="F29" s="27">
        <v>1</v>
      </c>
      <c r="G29" s="83" t="s">
        <v>39</v>
      </c>
      <c r="H29" s="81">
        <f ca="1">('Tiền Hàng'!$F29/'Tiền Hàng'!$C29*Table1[[#This Row],[DON VI NHAP]]-'5'!$H29)/Table1[[#This Row],[XIEN]]*Table1[[#This Row],[Giá]]</f>
        <v>180</v>
      </c>
    </row>
    <row r="30" spans="1:8" ht="15" customHeight="1" x14ac:dyDescent="0.25">
      <c r="A30" s="11">
        <v>12</v>
      </c>
      <c r="B30" s="6" t="s">
        <v>43</v>
      </c>
      <c r="C30" s="11">
        <v>122</v>
      </c>
      <c r="D30" s="11">
        <v>24</v>
      </c>
      <c r="E30" s="45">
        <f>Table1[[#This Row],[GIA NHAP]]/Table1[[#This Row],[DON VI NHAP]]</f>
        <v>5.083333333333333</v>
      </c>
      <c r="F30" s="27">
        <v>1</v>
      </c>
      <c r="G30" s="83"/>
      <c r="H30" s="81">
        <f ca="1">('Tiền Hàng'!$F30/'Tiền Hàng'!$C30*Table1[[#This Row],[DON VI NHAP]]-'5'!$H30)/Table1[[#This Row],[XIEN]]*Table1[[#This Row],[Giá]]</f>
        <v>12</v>
      </c>
    </row>
  </sheetData>
  <mergeCells count="4">
    <mergeCell ref="G29:G30"/>
    <mergeCell ref="G3:G14"/>
    <mergeCell ref="G15:G25"/>
    <mergeCell ref="N1:N2"/>
  </mergeCells>
  <pageMargins left="0.7" right="0.7" top="0.75" bottom="0.75" header="0.3" footer="0.3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>
    <tabColor rgb="FFFF0000"/>
  </sheetPr>
  <dimension ref="A1:AG30"/>
  <sheetViews>
    <sheetView topLeftCell="G1" workbookViewId="0">
      <pane ySplit="2" topLeftCell="A3" activePane="bottomLeft" state="frozen"/>
      <selection pane="bottomLeft" activeCell="AG1" sqref="AG1"/>
    </sheetView>
  </sheetViews>
  <sheetFormatPr defaultRowHeight="15.75" x14ac:dyDescent="0.25"/>
  <cols>
    <col min="1" max="1" width="13.85546875" style="39" customWidth="1"/>
    <col min="2" max="2" width="15.7109375" style="40" customWidth="1"/>
    <col min="3" max="3" width="6.5703125" style="40" customWidth="1"/>
    <col min="4" max="32" width="5.7109375" style="40" customWidth="1"/>
    <col min="33" max="16384" width="9.140625" style="40"/>
  </cols>
  <sheetData>
    <row r="1" spans="1:33" s="38" customFormat="1" ht="30" customHeight="1" x14ac:dyDescent="0.25">
      <c r="A1" s="73" t="s">
        <v>55</v>
      </c>
      <c r="B1" s="73" t="s">
        <v>54</v>
      </c>
      <c r="C1" s="67">
        <v>2</v>
      </c>
      <c r="D1" s="72">
        <v>3</v>
      </c>
      <c r="E1" s="67">
        <v>4</v>
      </c>
      <c r="F1" s="72">
        <v>5</v>
      </c>
      <c r="G1" s="67">
        <v>6</v>
      </c>
      <c r="H1" s="72">
        <v>7</v>
      </c>
      <c r="I1" s="67">
        <v>8</v>
      </c>
      <c r="J1" s="72">
        <v>9</v>
      </c>
      <c r="K1" s="67">
        <v>10</v>
      </c>
      <c r="L1" s="72">
        <v>11</v>
      </c>
      <c r="M1" s="67">
        <v>12</v>
      </c>
      <c r="N1" s="72">
        <v>13</v>
      </c>
      <c r="O1" s="67">
        <v>14</v>
      </c>
      <c r="P1" s="72">
        <v>15</v>
      </c>
      <c r="Q1" s="67">
        <v>16</v>
      </c>
      <c r="R1" s="72">
        <v>17</v>
      </c>
      <c r="S1" s="67">
        <v>18</v>
      </c>
      <c r="T1" s="72">
        <v>19</v>
      </c>
      <c r="U1" s="67">
        <v>20</v>
      </c>
      <c r="V1" s="72">
        <v>21</v>
      </c>
      <c r="W1" s="67">
        <v>22</v>
      </c>
      <c r="X1" s="72">
        <v>23</v>
      </c>
      <c r="Y1" s="67">
        <v>24</v>
      </c>
      <c r="Z1" s="72">
        <v>25</v>
      </c>
      <c r="AA1" s="67">
        <v>26</v>
      </c>
      <c r="AB1" s="72">
        <v>27</v>
      </c>
      <c r="AC1" s="67">
        <v>28</v>
      </c>
      <c r="AD1" s="72">
        <v>29</v>
      </c>
      <c r="AE1" s="67">
        <v>30</v>
      </c>
      <c r="AF1" s="72">
        <v>31</v>
      </c>
      <c r="AG1" s="38">
        <f>45+35+42+45+42+160+26+66+42+70+50+30+50</f>
        <v>703</v>
      </c>
    </row>
    <row r="2" spans="1:33" s="38" customFormat="1" ht="23.25" customHeight="1" x14ac:dyDescent="0.25">
      <c r="A2" s="69">
        <v>16169000</v>
      </c>
      <c r="B2" s="71">
        <f>SUBTOTAL(9,B$3:B$121)</f>
        <v>772</v>
      </c>
      <c r="C2" s="71">
        <f t="shared" ref="C2:AF2" si="0">SUBTOTAL(9,C$3:C$121)</f>
        <v>336</v>
      </c>
      <c r="D2" s="71">
        <f t="shared" si="0"/>
        <v>31</v>
      </c>
      <c r="E2" s="71">
        <f t="shared" si="0"/>
        <v>79</v>
      </c>
      <c r="F2" s="71">
        <f t="shared" si="0"/>
        <v>5</v>
      </c>
      <c r="G2" s="71">
        <f t="shared" si="0"/>
        <v>101</v>
      </c>
      <c r="H2" s="71">
        <f t="shared" si="0"/>
        <v>215</v>
      </c>
      <c r="I2" s="71">
        <f t="shared" si="0"/>
        <v>5</v>
      </c>
      <c r="J2" s="71">
        <f t="shared" si="0"/>
        <v>0</v>
      </c>
      <c r="K2" s="71">
        <f t="shared" si="0"/>
        <v>0</v>
      </c>
      <c r="L2" s="71">
        <f t="shared" si="0"/>
        <v>0</v>
      </c>
      <c r="M2" s="71">
        <f t="shared" si="0"/>
        <v>0</v>
      </c>
      <c r="N2" s="71">
        <f t="shared" si="0"/>
        <v>0</v>
      </c>
      <c r="O2" s="71">
        <f t="shared" si="0"/>
        <v>0</v>
      </c>
      <c r="P2" s="71">
        <f t="shared" si="0"/>
        <v>0</v>
      </c>
      <c r="Q2" s="71">
        <f t="shared" si="0"/>
        <v>0</v>
      </c>
      <c r="R2" s="71">
        <f t="shared" si="0"/>
        <v>0</v>
      </c>
      <c r="S2" s="71">
        <f t="shared" si="0"/>
        <v>0</v>
      </c>
      <c r="T2" s="71">
        <f t="shared" si="0"/>
        <v>0</v>
      </c>
      <c r="U2" s="71">
        <f t="shared" si="0"/>
        <v>0</v>
      </c>
      <c r="V2" s="71">
        <f t="shared" si="0"/>
        <v>0</v>
      </c>
      <c r="W2" s="71">
        <f t="shared" si="0"/>
        <v>0</v>
      </c>
      <c r="X2" s="71">
        <f t="shared" si="0"/>
        <v>0</v>
      </c>
      <c r="Y2" s="71">
        <f t="shared" si="0"/>
        <v>0</v>
      </c>
      <c r="Z2" s="71">
        <f t="shared" si="0"/>
        <v>0</v>
      </c>
      <c r="AA2" s="71">
        <f t="shared" si="0"/>
        <v>0</v>
      </c>
      <c r="AB2" s="71">
        <f t="shared" si="0"/>
        <v>0</v>
      </c>
      <c r="AC2" s="71">
        <f t="shared" si="0"/>
        <v>0</v>
      </c>
      <c r="AD2" s="71">
        <f t="shared" si="0"/>
        <v>0</v>
      </c>
      <c r="AE2" s="71">
        <f t="shared" si="0"/>
        <v>0</v>
      </c>
      <c r="AF2" s="71">
        <f t="shared" si="0"/>
        <v>0</v>
      </c>
    </row>
    <row r="3" spans="1:33" ht="17.25" customHeight="1" x14ac:dyDescent="0.25">
      <c r="A3" s="70" t="s">
        <v>56</v>
      </c>
      <c r="B3" s="74">
        <f t="shared" ref="B3:B20" si="1">SUM(C3:AF3)</f>
        <v>0</v>
      </c>
      <c r="C3" s="2"/>
      <c r="D3" s="2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</row>
    <row r="4" spans="1:33" ht="17.25" customHeight="1" x14ac:dyDescent="0.25">
      <c r="A4" s="70" t="s">
        <v>47</v>
      </c>
      <c r="B4" s="74">
        <f t="shared" si="1"/>
        <v>190</v>
      </c>
      <c r="C4" s="2"/>
      <c r="D4" s="2"/>
      <c r="E4" s="2"/>
      <c r="F4" s="2"/>
      <c r="G4" s="2"/>
      <c r="H4" s="2">
        <v>190</v>
      </c>
      <c r="I4" s="2"/>
      <c r="J4" s="2"/>
      <c r="K4" s="2"/>
      <c r="L4" s="2"/>
      <c r="M4" s="2"/>
      <c r="N4" s="2"/>
      <c r="O4" s="2"/>
      <c r="P4" s="2"/>
      <c r="Q4" s="2"/>
      <c r="R4" s="2"/>
      <c r="S4" s="2"/>
      <c r="T4" s="2"/>
      <c r="U4" s="2"/>
      <c r="V4" s="2"/>
      <c r="W4" s="2"/>
      <c r="X4" s="2"/>
      <c r="Y4" s="2"/>
      <c r="Z4" s="2"/>
      <c r="AA4" s="2"/>
      <c r="AB4" s="2"/>
      <c r="AC4" s="2"/>
      <c r="AD4" s="2"/>
      <c r="AE4" s="2"/>
      <c r="AF4" s="2"/>
    </row>
    <row r="5" spans="1:33" ht="17.25" customHeight="1" x14ac:dyDescent="0.25">
      <c r="A5" s="70" t="s">
        <v>52</v>
      </c>
      <c r="B5" s="74">
        <f t="shared" si="1"/>
        <v>52</v>
      </c>
      <c r="C5" s="2"/>
      <c r="D5" s="2"/>
      <c r="E5" s="2">
        <v>52</v>
      </c>
      <c r="F5" s="2"/>
      <c r="G5" s="2"/>
      <c r="H5" s="2"/>
      <c r="I5" s="2"/>
      <c r="J5" s="2"/>
      <c r="K5" s="2"/>
      <c r="L5" s="2"/>
      <c r="M5" s="2"/>
      <c r="N5" s="2"/>
      <c r="O5" s="2"/>
      <c r="P5" s="2"/>
      <c r="Q5" s="2"/>
      <c r="R5" s="2"/>
      <c r="S5" s="2"/>
      <c r="T5" s="2"/>
      <c r="U5" s="2"/>
      <c r="V5" s="2"/>
      <c r="W5" s="2"/>
      <c r="X5" s="2"/>
      <c r="Y5" s="2"/>
      <c r="Z5" s="2"/>
      <c r="AA5" s="2"/>
      <c r="AB5" s="2"/>
      <c r="AC5" s="2"/>
      <c r="AD5" s="2"/>
      <c r="AE5" s="2"/>
      <c r="AF5" s="2"/>
    </row>
    <row r="6" spans="1:33" ht="17.25" customHeight="1" x14ac:dyDescent="0.25">
      <c r="A6" s="70" t="s">
        <v>53</v>
      </c>
      <c r="B6" s="74">
        <f t="shared" si="1"/>
        <v>0</v>
      </c>
      <c r="C6" s="2"/>
      <c r="D6" s="2"/>
      <c r="E6" s="2"/>
      <c r="F6" s="2"/>
      <c r="G6" s="2"/>
      <c r="H6" s="2"/>
      <c r="I6" s="2"/>
      <c r="J6" s="2"/>
      <c r="K6" s="2"/>
      <c r="L6" s="2"/>
      <c r="M6" s="2"/>
      <c r="N6" s="2"/>
      <c r="O6" s="2"/>
      <c r="P6" s="2"/>
      <c r="Q6" s="2"/>
      <c r="R6" s="2"/>
      <c r="S6" s="2"/>
      <c r="T6" s="2"/>
      <c r="U6" s="2"/>
      <c r="V6" s="2"/>
      <c r="W6" s="2"/>
      <c r="X6" s="2"/>
      <c r="Y6" s="2"/>
      <c r="Z6" s="2"/>
      <c r="AA6" s="2"/>
      <c r="AB6" s="2"/>
      <c r="AC6" s="2"/>
      <c r="AD6" s="2"/>
      <c r="AE6" s="2"/>
      <c r="AF6" s="2"/>
    </row>
    <row r="7" spans="1:33" ht="17.25" customHeight="1" x14ac:dyDescent="0.25">
      <c r="A7" s="70" t="s">
        <v>49</v>
      </c>
      <c r="B7" s="74">
        <f t="shared" si="1"/>
        <v>0</v>
      </c>
      <c r="C7" s="2"/>
      <c r="D7" s="2"/>
      <c r="E7" s="2"/>
      <c r="F7" s="2"/>
      <c r="G7" s="2"/>
      <c r="H7" s="2"/>
      <c r="I7" s="2"/>
      <c r="J7" s="2"/>
      <c r="K7" s="2"/>
      <c r="L7" s="2"/>
      <c r="M7" s="2"/>
      <c r="N7" s="2"/>
      <c r="O7" s="2"/>
      <c r="P7" s="2"/>
      <c r="Q7" s="2"/>
      <c r="R7" s="2"/>
      <c r="S7" s="2"/>
      <c r="T7" s="2"/>
      <c r="U7" s="2"/>
      <c r="V7" s="2"/>
      <c r="W7" s="2"/>
      <c r="X7" s="2"/>
      <c r="Y7" s="2"/>
      <c r="Z7" s="2"/>
      <c r="AA7" s="2"/>
      <c r="AB7" s="2"/>
      <c r="AC7" s="2"/>
      <c r="AD7" s="2"/>
      <c r="AE7" s="2"/>
      <c r="AF7" s="2"/>
    </row>
    <row r="8" spans="1:33" ht="17.25" customHeight="1" x14ac:dyDescent="0.25">
      <c r="A8" s="70" t="s">
        <v>50</v>
      </c>
      <c r="B8" s="74">
        <f t="shared" si="1"/>
        <v>0</v>
      </c>
      <c r="C8" s="2"/>
      <c r="D8" s="2"/>
      <c r="E8" s="2"/>
      <c r="F8" s="2"/>
      <c r="G8" s="2"/>
      <c r="H8" s="2"/>
      <c r="I8" s="2"/>
      <c r="J8" s="2"/>
      <c r="K8" s="2"/>
      <c r="L8" s="2"/>
      <c r="M8" s="2"/>
      <c r="N8" s="2"/>
      <c r="O8" s="2"/>
      <c r="P8" s="2"/>
      <c r="Q8" s="2"/>
      <c r="R8" s="2"/>
      <c r="S8" s="2"/>
      <c r="T8" s="2"/>
      <c r="U8" s="2"/>
      <c r="V8" s="2"/>
      <c r="W8" s="2"/>
      <c r="X8" s="2"/>
      <c r="Y8" s="2"/>
      <c r="Z8" s="2"/>
      <c r="AA8" s="2"/>
      <c r="AB8" s="2"/>
      <c r="AC8" s="2"/>
      <c r="AD8" s="2"/>
      <c r="AE8" s="2"/>
      <c r="AF8" s="2"/>
    </row>
    <row r="9" spans="1:33" ht="17.25" customHeight="1" x14ac:dyDescent="0.25">
      <c r="A9" s="70" t="s">
        <v>51</v>
      </c>
      <c r="B9" s="74">
        <f t="shared" si="1"/>
        <v>0</v>
      </c>
      <c r="C9" s="2"/>
      <c r="D9" s="2"/>
      <c r="E9" s="2"/>
      <c r="F9" s="2"/>
      <c r="G9" s="2"/>
      <c r="H9" s="2"/>
      <c r="I9" s="2"/>
      <c r="J9" s="2"/>
      <c r="K9" s="2"/>
      <c r="L9" s="2"/>
      <c r="M9" s="2"/>
      <c r="N9" s="2"/>
      <c r="O9" s="2"/>
      <c r="P9" s="2"/>
      <c r="Q9" s="2"/>
      <c r="R9" s="2"/>
      <c r="S9" s="2"/>
      <c r="T9" s="2"/>
      <c r="U9" s="2"/>
      <c r="V9" s="2"/>
      <c r="W9" s="2"/>
      <c r="X9" s="2"/>
      <c r="Y9" s="2"/>
      <c r="Z9" s="2"/>
      <c r="AA9" s="2"/>
      <c r="AB9" s="2"/>
      <c r="AC9" s="2"/>
      <c r="AD9" s="2"/>
      <c r="AE9" s="2"/>
      <c r="AF9" s="2"/>
    </row>
    <row r="10" spans="1:33" ht="17.25" customHeight="1" x14ac:dyDescent="0.25">
      <c r="A10" s="70" t="s">
        <v>45</v>
      </c>
      <c r="B10" s="74">
        <f t="shared" si="1"/>
        <v>75</v>
      </c>
      <c r="C10" s="2"/>
      <c r="D10" s="2">
        <v>31</v>
      </c>
      <c r="E10" s="2"/>
      <c r="F10" s="2">
        <v>5</v>
      </c>
      <c r="G10" s="2">
        <v>29</v>
      </c>
      <c r="H10" s="2">
        <v>5</v>
      </c>
      <c r="I10" s="2">
        <v>5</v>
      </c>
      <c r="J10" s="2"/>
      <c r="K10" s="2"/>
      <c r="L10" s="2"/>
      <c r="M10" s="2"/>
      <c r="N10" s="2"/>
      <c r="O10" s="2"/>
      <c r="P10" s="2"/>
      <c r="Q10" s="2"/>
      <c r="R10" s="2"/>
      <c r="S10" s="2"/>
      <c r="T10" s="2"/>
      <c r="U10" s="2"/>
      <c r="V10" s="2"/>
      <c r="W10" s="2"/>
      <c r="X10" s="2"/>
      <c r="Y10" s="2"/>
      <c r="Z10" s="2"/>
      <c r="AA10" s="2"/>
      <c r="AB10" s="2"/>
      <c r="AC10" s="2"/>
      <c r="AD10" s="2"/>
      <c r="AE10" s="2"/>
      <c r="AF10" s="2"/>
    </row>
    <row r="11" spans="1:33" ht="17.25" customHeight="1" x14ac:dyDescent="0.25">
      <c r="A11" s="70" t="s">
        <v>48</v>
      </c>
      <c r="B11" s="74">
        <f t="shared" si="1"/>
        <v>0</v>
      </c>
      <c r="C11" s="2"/>
      <c r="D11" s="2"/>
      <c r="E11" s="2"/>
      <c r="F11" s="2"/>
      <c r="G11" s="2"/>
      <c r="H11" s="2"/>
      <c r="I11" s="2"/>
      <c r="J11" s="2"/>
      <c r="K11" s="2"/>
      <c r="L11" s="2"/>
      <c r="M11" s="2"/>
      <c r="N11" s="2"/>
      <c r="O11" s="2"/>
      <c r="P11" s="2"/>
      <c r="Q11" s="2"/>
      <c r="R11" s="2"/>
      <c r="S11" s="2"/>
      <c r="T11" s="2"/>
      <c r="U11" s="2"/>
      <c r="V11" s="2"/>
      <c r="W11" s="2"/>
      <c r="X11" s="2"/>
      <c r="Y11" s="2"/>
      <c r="Z11" s="2"/>
      <c r="AA11" s="2"/>
      <c r="AB11" s="2"/>
      <c r="AC11" s="2"/>
      <c r="AD11" s="2"/>
      <c r="AE11" s="2"/>
      <c r="AF11" s="2"/>
    </row>
    <row r="12" spans="1:33" ht="17.25" customHeight="1" x14ac:dyDescent="0.25">
      <c r="A12" s="70" t="s">
        <v>44</v>
      </c>
      <c r="B12" s="74">
        <f t="shared" si="1"/>
        <v>21</v>
      </c>
      <c r="C12" s="2">
        <v>21</v>
      </c>
      <c r="D12" s="2"/>
      <c r="E12" s="2"/>
      <c r="F12" s="2"/>
      <c r="G12" s="2"/>
      <c r="H12" s="2"/>
      <c r="I12" s="2"/>
      <c r="J12" s="2"/>
      <c r="K12" s="2"/>
      <c r="L12" s="2"/>
      <c r="M12" s="2"/>
      <c r="N12" s="2"/>
      <c r="O12" s="2"/>
      <c r="P12" s="2"/>
      <c r="Q12" s="2"/>
      <c r="R12" s="2"/>
      <c r="S12" s="2"/>
      <c r="T12" s="2"/>
      <c r="U12" s="2"/>
      <c r="V12" s="2"/>
      <c r="W12" s="2"/>
      <c r="X12" s="2"/>
      <c r="Y12" s="2"/>
      <c r="Z12" s="2"/>
      <c r="AA12" s="2"/>
      <c r="AB12" s="2"/>
      <c r="AC12" s="2"/>
      <c r="AD12" s="2"/>
      <c r="AE12" s="2"/>
      <c r="AF12" s="2"/>
    </row>
    <row r="13" spans="1:33" ht="17.25" customHeight="1" x14ac:dyDescent="0.25">
      <c r="A13" s="70" t="s">
        <v>68</v>
      </c>
      <c r="B13" s="74">
        <f t="shared" si="1"/>
        <v>87</v>
      </c>
      <c r="C13" s="2">
        <v>87</v>
      </c>
      <c r="D13" s="2"/>
      <c r="E13" s="2"/>
      <c r="F13" s="2"/>
      <c r="G13" s="2"/>
      <c r="H13" s="2"/>
      <c r="I13" s="2"/>
      <c r="J13" s="2"/>
      <c r="K13" s="2"/>
      <c r="L13" s="2"/>
      <c r="M13" s="2"/>
      <c r="N13" s="2"/>
      <c r="O13" s="2"/>
      <c r="P13" s="2"/>
      <c r="Q13" s="2"/>
      <c r="R13" s="2"/>
      <c r="S13" s="2"/>
      <c r="T13" s="2"/>
      <c r="U13" s="2"/>
      <c r="V13" s="2"/>
      <c r="W13" s="2"/>
      <c r="X13" s="2"/>
      <c r="Y13" s="2"/>
      <c r="Z13" s="2"/>
      <c r="AA13" s="2"/>
      <c r="AB13" s="2"/>
      <c r="AC13" s="2"/>
      <c r="AD13" s="2"/>
      <c r="AE13" s="2"/>
      <c r="AF13" s="2"/>
    </row>
    <row r="14" spans="1:33" ht="17.25" customHeight="1" x14ac:dyDescent="0.25">
      <c r="A14" s="70" t="s">
        <v>62</v>
      </c>
      <c r="B14" s="74">
        <f t="shared" si="1"/>
        <v>7</v>
      </c>
      <c r="C14" s="2"/>
      <c r="D14" s="2"/>
      <c r="E14" s="2">
        <v>7</v>
      </c>
      <c r="F14" s="2"/>
      <c r="G14" s="2"/>
      <c r="H14" s="2"/>
      <c r="I14" s="2"/>
      <c r="J14" s="2"/>
      <c r="K14" s="2"/>
      <c r="L14" s="2"/>
      <c r="M14" s="2"/>
      <c r="N14" s="2"/>
      <c r="O14" s="2"/>
      <c r="P14" s="2"/>
      <c r="Q14" s="2"/>
      <c r="R14" s="2"/>
      <c r="S14" s="2"/>
      <c r="T14" s="2"/>
      <c r="U14" s="2"/>
      <c r="V14" s="2"/>
      <c r="W14" s="2"/>
      <c r="X14" s="2"/>
      <c r="Y14" s="2"/>
      <c r="Z14" s="2"/>
      <c r="AA14" s="2"/>
      <c r="AB14" s="2"/>
      <c r="AC14" s="2"/>
      <c r="AD14" s="2"/>
      <c r="AE14" s="2"/>
      <c r="AF14" s="2"/>
    </row>
    <row r="15" spans="1:33" ht="17.25" customHeight="1" x14ac:dyDescent="0.25">
      <c r="A15" s="70" t="s">
        <v>63</v>
      </c>
      <c r="B15" s="74">
        <f t="shared" si="1"/>
        <v>0</v>
      </c>
      <c r="C15" s="2"/>
      <c r="D15" s="2"/>
      <c r="E15" s="2"/>
      <c r="F15" s="2"/>
      <c r="G15" s="2"/>
      <c r="H15" s="2"/>
      <c r="I15" s="2"/>
      <c r="J15" s="2"/>
      <c r="K15" s="2"/>
      <c r="L15" s="2"/>
      <c r="M15" s="2"/>
      <c r="N15" s="2"/>
      <c r="O15" s="2"/>
      <c r="P15" s="2"/>
      <c r="Q15" s="2"/>
      <c r="R15" s="2"/>
      <c r="S15" s="2"/>
      <c r="T15" s="2"/>
      <c r="U15" s="2"/>
      <c r="V15" s="2"/>
      <c r="W15" s="2"/>
      <c r="X15" s="2"/>
      <c r="Y15" s="2"/>
      <c r="Z15" s="2"/>
      <c r="AA15" s="2"/>
      <c r="AB15" s="2"/>
      <c r="AC15" s="2"/>
      <c r="AD15" s="2"/>
      <c r="AE15" s="2"/>
      <c r="AF15" s="2"/>
    </row>
    <row r="16" spans="1:33" ht="17.25" customHeight="1" x14ac:dyDescent="0.25">
      <c r="A16" s="70" t="s">
        <v>64</v>
      </c>
      <c r="B16" s="74">
        <f t="shared" si="1"/>
        <v>0</v>
      </c>
      <c r="C16" s="2"/>
      <c r="D16" s="2"/>
      <c r="E16" s="2"/>
      <c r="F16" s="2"/>
      <c r="G16" s="2"/>
      <c r="H16" s="2"/>
      <c r="I16" s="2"/>
      <c r="J16" s="2"/>
      <c r="K16" s="2"/>
      <c r="L16" s="2"/>
      <c r="M16" s="2"/>
      <c r="N16" s="2"/>
      <c r="O16" s="2"/>
      <c r="P16" s="2"/>
      <c r="Q16" s="2"/>
      <c r="R16" s="2"/>
      <c r="S16" s="2"/>
      <c r="T16" s="2"/>
      <c r="U16" s="2"/>
      <c r="V16" s="2"/>
      <c r="W16" s="2"/>
      <c r="X16" s="2"/>
      <c r="Y16" s="2"/>
      <c r="Z16" s="2"/>
      <c r="AA16" s="2"/>
      <c r="AB16" s="2"/>
      <c r="AC16" s="2"/>
      <c r="AD16" s="2"/>
      <c r="AE16" s="2"/>
      <c r="AF16" s="2"/>
    </row>
    <row r="17" spans="1:32" ht="17.25" customHeight="1" x14ac:dyDescent="0.25">
      <c r="A17" s="70" t="s">
        <v>65</v>
      </c>
      <c r="B17" s="74">
        <f t="shared" si="1"/>
        <v>0</v>
      </c>
      <c r="C17" s="2"/>
      <c r="D17" s="2"/>
      <c r="E17" s="2"/>
      <c r="F17" s="2"/>
      <c r="G17" s="2"/>
      <c r="H17" s="2"/>
      <c r="I17" s="2"/>
      <c r="J17" s="2"/>
      <c r="K17" s="2"/>
      <c r="L17" s="2"/>
      <c r="M17" s="2"/>
      <c r="N17" s="2"/>
      <c r="O17" s="2"/>
      <c r="P17" s="2"/>
      <c r="Q17" s="2"/>
      <c r="R17" s="2"/>
      <c r="S17" s="2"/>
      <c r="T17" s="2"/>
      <c r="U17" s="2"/>
      <c r="V17" s="2"/>
      <c r="W17" s="2"/>
      <c r="X17" s="2"/>
      <c r="Y17" s="2"/>
      <c r="Z17" s="2"/>
      <c r="AA17" s="2"/>
      <c r="AB17" s="2"/>
      <c r="AC17" s="2"/>
      <c r="AD17" s="2"/>
      <c r="AE17" s="2"/>
      <c r="AF17" s="2"/>
    </row>
    <row r="18" spans="1:32" ht="17.25" customHeight="1" x14ac:dyDescent="0.25">
      <c r="A18" s="70" t="s">
        <v>66</v>
      </c>
      <c r="B18" s="74">
        <f t="shared" si="1"/>
        <v>235</v>
      </c>
      <c r="C18" s="2">
        <f>75+140</f>
        <v>215</v>
      </c>
      <c r="D18" s="2"/>
      <c r="E18" s="2">
        <v>20</v>
      </c>
      <c r="F18" s="2"/>
      <c r="G18" s="2"/>
      <c r="H18" s="2"/>
      <c r="I18" s="2"/>
      <c r="J18" s="2"/>
      <c r="K18" s="2"/>
      <c r="L18" s="2"/>
      <c r="M18" s="2"/>
      <c r="N18" s="2"/>
      <c r="O18" s="2"/>
      <c r="P18" s="2"/>
      <c r="Q18" s="2"/>
      <c r="R18" s="2"/>
      <c r="S18" s="2"/>
      <c r="T18" s="2"/>
      <c r="U18" s="2"/>
      <c r="V18" s="2"/>
      <c r="W18" s="2"/>
      <c r="X18" s="2"/>
      <c r="Y18" s="2"/>
      <c r="Z18" s="2"/>
      <c r="AA18" s="2"/>
      <c r="AB18" s="2"/>
      <c r="AC18" s="2"/>
      <c r="AD18" s="2"/>
      <c r="AE18" s="2"/>
      <c r="AF18" s="2"/>
    </row>
    <row r="19" spans="1:32" ht="17.25" customHeight="1" x14ac:dyDescent="0.25">
      <c r="A19" s="70" t="s">
        <v>67</v>
      </c>
      <c r="B19" s="74">
        <f t="shared" si="1"/>
        <v>33</v>
      </c>
      <c r="C19" s="2">
        <v>13</v>
      </c>
      <c r="D19" s="2"/>
      <c r="E19" s="2"/>
      <c r="F19" s="2"/>
      <c r="G19" s="2"/>
      <c r="H19" s="2">
        <v>20</v>
      </c>
      <c r="I19" s="2"/>
      <c r="J19" s="2"/>
      <c r="K19" s="2"/>
      <c r="L19" s="2"/>
      <c r="M19" s="2"/>
      <c r="N19" s="2"/>
      <c r="O19" s="2"/>
      <c r="P19" s="2"/>
      <c r="Q19" s="2"/>
      <c r="R19" s="2"/>
      <c r="S19" s="2"/>
      <c r="T19" s="2"/>
      <c r="U19" s="2"/>
      <c r="V19" s="2"/>
      <c r="W19" s="2"/>
      <c r="X19" s="2"/>
      <c r="Y19" s="2"/>
      <c r="Z19" s="2"/>
      <c r="AA19" s="2"/>
      <c r="AB19" s="2"/>
      <c r="AC19" s="2"/>
      <c r="AD19" s="2"/>
      <c r="AE19" s="2"/>
      <c r="AF19" s="2"/>
    </row>
    <row r="20" spans="1:32" ht="17.25" customHeight="1" x14ac:dyDescent="0.25">
      <c r="A20" s="70" t="s">
        <v>75</v>
      </c>
      <c r="B20" s="74">
        <f t="shared" si="1"/>
        <v>72</v>
      </c>
      <c r="C20" s="2"/>
      <c r="D20" s="2"/>
      <c r="E20" s="2"/>
      <c r="F20" s="2"/>
      <c r="G20" s="2">
        <v>72</v>
      </c>
      <c r="H20" s="2"/>
      <c r="I20" s="2"/>
      <c r="J20" s="2"/>
      <c r="K20" s="2"/>
      <c r="L20" s="2"/>
      <c r="M20" s="2"/>
      <c r="N20" s="2"/>
      <c r="O20" s="2"/>
      <c r="P20" s="2"/>
      <c r="Q20" s="2"/>
      <c r="R20" s="2"/>
      <c r="S20" s="2"/>
      <c r="T20" s="2"/>
      <c r="U20" s="2"/>
      <c r="V20" s="2"/>
      <c r="W20" s="2"/>
      <c r="X20" s="2"/>
      <c r="Y20" s="2"/>
      <c r="Z20" s="2"/>
      <c r="AA20" s="2"/>
      <c r="AB20" s="2"/>
      <c r="AC20" s="2"/>
      <c r="AD20" s="2"/>
      <c r="AE20" s="2"/>
      <c r="AF20" s="2"/>
    </row>
    <row r="21" spans="1:32" ht="15" customHeight="1" x14ac:dyDescent="0.25"/>
    <row r="22" spans="1:32" ht="15" customHeight="1" x14ac:dyDescent="0.25"/>
    <row r="23" spans="1:32" ht="15" customHeight="1" x14ac:dyDescent="0.25"/>
    <row r="24" spans="1:32" ht="15" customHeight="1" x14ac:dyDescent="0.25"/>
    <row r="25" spans="1:32" ht="15" customHeight="1" x14ac:dyDescent="0.25"/>
    <row r="26" spans="1:32" ht="15" customHeight="1" x14ac:dyDescent="0.25"/>
    <row r="27" spans="1:32" ht="15" customHeight="1" x14ac:dyDescent="0.25"/>
    <row r="28" spans="1:32" ht="15" customHeight="1" x14ac:dyDescent="0.25"/>
    <row r="29" spans="1:32" ht="15" customHeight="1" x14ac:dyDescent="0.25"/>
    <row r="30" spans="1:32" ht="15" customHeight="1" x14ac:dyDescent="0.25"/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>
    <tabColor rgb="FF002060"/>
  </sheetPr>
  <dimension ref="A1:AK30"/>
  <sheetViews>
    <sheetView zoomScale="90" zoomScaleNormal="90" workbookViewId="0">
      <pane xSplit="6" ySplit="2" topLeftCell="N3" activePane="bottomRight" state="frozen"/>
      <selection pane="topRight" activeCell="D1" sqref="D1"/>
      <selection pane="bottomLeft" activeCell="A3" sqref="A3"/>
      <selection pane="bottomRight" activeCell="F3" sqref="F3"/>
    </sheetView>
  </sheetViews>
  <sheetFormatPr defaultRowHeight="15" x14ac:dyDescent="0.25"/>
  <cols>
    <col min="1" max="1" width="5" style="16" bestFit="1" customWidth="1"/>
    <col min="2" max="2" width="25.7109375" style="16" bestFit="1" customWidth="1"/>
    <col min="3" max="5" width="11" style="16" customWidth="1"/>
    <col min="6" max="6" width="16.5703125" style="16" customWidth="1"/>
    <col min="7" max="7" width="9.140625" style="16"/>
    <col min="8" max="37" width="5.42578125" style="49" customWidth="1"/>
    <col min="38" max="16384" width="9.140625" style="16"/>
  </cols>
  <sheetData>
    <row r="1" spans="1:37" s="48" customFormat="1" ht="20.25" customHeight="1" x14ac:dyDescent="0.25">
      <c r="A1" s="47" t="s">
        <v>27</v>
      </c>
      <c r="B1" s="47" t="s">
        <v>25</v>
      </c>
      <c r="C1" s="47" t="s">
        <v>26</v>
      </c>
      <c r="D1" s="47" t="s">
        <v>59</v>
      </c>
      <c r="E1" s="64" t="s">
        <v>60</v>
      </c>
      <c r="F1" s="47" t="s">
        <v>58</v>
      </c>
      <c r="G1" s="66" t="s">
        <v>61</v>
      </c>
      <c r="H1" s="54">
        <v>2</v>
      </c>
      <c r="I1" s="52">
        <v>3</v>
      </c>
      <c r="J1" s="54">
        <v>4</v>
      </c>
      <c r="K1" s="52">
        <v>5</v>
      </c>
      <c r="L1" s="54">
        <v>6</v>
      </c>
      <c r="M1" s="52">
        <v>7</v>
      </c>
      <c r="N1" s="54">
        <v>8</v>
      </c>
      <c r="O1" s="52">
        <v>9</v>
      </c>
      <c r="P1" s="54">
        <v>10</v>
      </c>
      <c r="Q1" s="52">
        <v>11</v>
      </c>
      <c r="R1" s="54">
        <v>12</v>
      </c>
      <c r="S1" s="52">
        <v>13</v>
      </c>
      <c r="T1" s="54">
        <v>14</v>
      </c>
      <c r="U1" s="52">
        <v>15</v>
      </c>
      <c r="V1" s="54">
        <v>16</v>
      </c>
      <c r="W1" s="52">
        <v>17</v>
      </c>
      <c r="X1" s="54">
        <v>18</v>
      </c>
      <c r="Y1" s="52">
        <v>19</v>
      </c>
      <c r="Z1" s="54">
        <v>20</v>
      </c>
      <c r="AA1" s="52">
        <v>21</v>
      </c>
      <c r="AB1" s="54">
        <v>22</v>
      </c>
      <c r="AC1" s="52">
        <v>23</v>
      </c>
      <c r="AD1" s="54">
        <v>24</v>
      </c>
      <c r="AE1" s="52">
        <v>25</v>
      </c>
      <c r="AF1" s="54">
        <v>26</v>
      </c>
      <c r="AG1" s="52">
        <v>27</v>
      </c>
      <c r="AH1" s="54">
        <v>28</v>
      </c>
      <c r="AI1" s="52">
        <v>29</v>
      </c>
      <c r="AJ1" s="54">
        <v>30</v>
      </c>
      <c r="AK1" s="53">
        <v>31</v>
      </c>
    </row>
    <row r="2" spans="1:37" s="15" customFormat="1" ht="14.25" customHeight="1" x14ac:dyDescent="0.25">
      <c r="A2" s="55"/>
      <c r="B2" s="55"/>
      <c r="C2" s="55"/>
      <c r="D2" s="55"/>
      <c r="E2" s="57"/>
      <c r="F2" s="57">
        <f ca="1">SUBTOTAL(9,F$3:F$102)</f>
        <v>4462</v>
      </c>
      <c r="G2" s="57">
        <f t="shared" ref="G2:AK2" ca="1" si="0">SUBTOTAL(9,G$3:G$102)</f>
        <v>2119</v>
      </c>
      <c r="H2" s="57">
        <f t="shared" ca="1" si="0"/>
        <v>829</v>
      </c>
      <c r="I2" s="57">
        <f t="shared" ca="1" si="0"/>
        <v>404</v>
      </c>
      <c r="J2" s="57">
        <f t="shared" ca="1" si="0"/>
        <v>286</v>
      </c>
      <c r="K2" s="57">
        <f t="shared" ca="1" si="0"/>
        <v>190</v>
      </c>
      <c r="L2" s="57">
        <f t="shared" ca="1" si="0"/>
        <v>344</v>
      </c>
      <c r="M2" s="57">
        <f t="shared" ca="1" si="0"/>
        <v>211</v>
      </c>
      <c r="N2" s="57">
        <f t="shared" ca="1" si="0"/>
        <v>79</v>
      </c>
      <c r="O2" s="57">
        <f t="shared" ca="1" si="0"/>
        <v>0</v>
      </c>
      <c r="P2" s="57">
        <f t="shared" ca="1" si="0"/>
        <v>0</v>
      </c>
      <c r="Q2" s="57">
        <f t="shared" ca="1" si="0"/>
        <v>0</v>
      </c>
      <c r="R2" s="57">
        <f t="shared" ca="1" si="0"/>
        <v>0</v>
      </c>
      <c r="S2" s="57">
        <f t="shared" ca="1" si="0"/>
        <v>0</v>
      </c>
      <c r="T2" s="57">
        <f t="shared" ca="1" si="0"/>
        <v>0</v>
      </c>
      <c r="U2" s="57">
        <f t="shared" ca="1" si="0"/>
        <v>0</v>
      </c>
      <c r="V2" s="57">
        <f t="shared" ca="1" si="0"/>
        <v>0</v>
      </c>
      <c r="W2" s="57">
        <f t="shared" ca="1" si="0"/>
        <v>0</v>
      </c>
      <c r="X2" s="57">
        <f t="shared" ca="1" si="0"/>
        <v>0</v>
      </c>
      <c r="Y2" s="57">
        <f t="shared" ca="1" si="0"/>
        <v>0</v>
      </c>
      <c r="Z2" s="57">
        <f t="shared" ca="1" si="0"/>
        <v>0</v>
      </c>
      <c r="AA2" s="57">
        <f t="shared" ca="1" si="0"/>
        <v>0</v>
      </c>
      <c r="AB2" s="57">
        <f t="shared" ca="1" si="0"/>
        <v>0</v>
      </c>
      <c r="AC2" s="57">
        <f t="shared" ca="1" si="0"/>
        <v>0</v>
      </c>
      <c r="AD2" s="57">
        <f t="shared" ca="1" si="0"/>
        <v>0</v>
      </c>
      <c r="AE2" s="57">
        <f t="shared" ca="1" si="0"/>
        <v>0</v>
      </c>
      <c r="AF2" s="57">
        <f t="shared" ca="1" si="0"/>
        <v>0</v>
      </c>
      <c r="AG2" s="57">
        <f t="shared" ca="1" si="0"/>
        <v>0</v>
      </c>
      <c r="AH2" s="57">
        <f t="shared" ca="1" si="0"/>
        <v>0</v>
      </c>
      <c r="AI2" s="57">
        <f t="shared" ca="1" si="0"/>
        <v>0</v>
      </c>
      <c r="AJ2" s="57">
        <f t="shared" ca="1" si="0"/>
        <v>0</v>
      </c>
      <c r="AK2" s="57">
        <f t="shared" ca="1" si="0"/>
        <v>0</v>
      </c>
    </row>
    <row r="3" spans="1:37" x14ac:dyDescent="0.25">
      <c r="A3" s="50">
        <v>1</v>
      </c>
      <c r="B3" s="51" t="s">
        <v>23</v>
      </c>
      <c r="C3" s="58">
        <v>32</v>
      </c>
      <c r="D3" s="61">
        <f ca="1">F3/$F$2</f>
        <v>3.5858359480053788E-2</v>
      </c>
      <c r="E3" s="65">
        <f ca="1">D3*'Chi phí'!$B$2/(F3/C3*Table1[[#This Row],[DON VI NHAP]])</f>
        <v>6.9206633796503811E-2</v>
      </c>
      <c r="F3" s="56">
        <f ca="1">SUM(G3:AK3)</f>
        <v>160</v>
      </c>
      <c r="G3" s="68">
        <f ca="1">IFERROR(SUMIFS(INDIRECT(G$1&amp;"!$C:$C"),INDIRECT(G$1&amp;"!$B:$B"),'Tiền Hàng'!$B3)*$C3,0)</f>
        <v>96</v>
      </c>
      <c r="H3" s="68">
        <f ca="1">IFERROR(SUMIFS(INDIRECT(H$1&amp;"!$C:$C"),INDIRECT(H$1&amp;"!$B:$B"),'Tiền Hàng'!$B3)*$C3,0)</f>
        <v>0</v>
      </c>
      <c r="I3" s="68">
        <f ca="1">IFERROR(SUMIFS(INDIRECT(I$1&amp;"!$C:$C"),INDIRECT(I$1&amp;"!$B:$B"),'Tiền Hàng'!$B3)*$C3,0)</f>
        <v>0</v>
      </c>
      <c r="J3" s="68">
        <f ca="1">IFERROR(SUMIFS(INDIRECT(J$1&amp;"!$C:$C"),INDIRECT(J$1&amp;"!$B:$B"),'Tiền Hàng'!$B3)*$C3,0)</f>
        <v>32</v>
      </c>
      <c r="K3" s="68">
        <f ca="1">IFERROR(SUMIFS(INDIRECT(K$1&amp;"!$C:$C"),INDIRECT(K$1&amp;"!$B:$B"),'Tiền Hàng'!$B3)*$C3,0)</f>
        <v>0</v>
      </c>
      <c r="L3" s="68">
        <f ca="1">IFERROR(SUMIFS(INDIRECT(L$1&amp;"!$C:$C"),INDIRECT(L$1&amp;"!$B:$B"),'Tiền Hàng'!$B3)*$C3,0)</f>
        <v>0</v>
      </c>
      <c r="M3" s="68">
        <f ca="1">IFERROR(SUMIFS(INDIRECT(M$1&amp;"!$C:$C"),INDIRECT(M$1&amp;"!$B:$B"),'Tiền Hàng'!$B3)*$C3,0)</f>
        <v>32</v>
      </c>
      <c r="N3" s="68">
        <f ca="1">IFERROR(SUMIFS(INDIRECT(N$1&amp;"!$C:$C"),INDIRECT(N$1&amp;"!$B:$B"),'Tiền Hàng'!$B3)*$C3,0)</f>
        <v>0</v>
      </c>
      <c r="O3" s="68">
        <f ca="1">IFERROR(SUMIFS(INDIRECT(O$1&amp;"!$C:$C"),INDIRECT(O$1&amp;"!$B:$B"),'Tiền Hàng'!$B3)*$C3,0)</f>
        <v>0</v>
      </c>
      <c r="P3" s="68">
        <f ca="1">IFERROR(SUMIFS(INDIRECT(P$1&amp;"!$C:$C"),INDIRECT(P$1&amp;"!$B:$B"),'Tiền Hàng'!$B3)*$C3,0)</f>
        <v>0</v>
      </c>
      <c r="Q3" s="68">
        <f ca="1">IFERROR(SUMIFS(INDIRECT(Q$1&amp;"!$C:$C"),INDIRECT(Q$1&amp;"!$B:$B"),'Tiền Hàng'!$B3)*$C3,0)</f>
        <v>0</v>
      </c>
      <c r="R3" s="68">
        <f ca="1">IFERROR(SUMIFS(INDIRECT(R$1&amp;"!$C:$C"),INDIRECT(R$1&amp;"!$B:$B"),'Tiền Hàng'!$B3)*$C3,0)</f>
        <v>0</v>
      </c>
      <c r="S3" s="68">
        <f ca="1">IFERROR(SUMIFS(INDIRECT(S$1&amp;"!$C:$C"),INDIRECT(S$1&amp;"!$B:$B"),'Tiền Hàng'!$B3)*$C3,0)</f>
        <v>0</v>
      </c>
      <c r="T3" s="68">
        <f ca="1">IFERROR(SUMIFS(INDIRECT(T$1&amp;"!$C:$C"),INDIRECT(T$1&amp;"!$B:$B"),'Tiền Hàng'!$B3)*$C3,0)</f>
        <v>0</v>
      </c>
      <c r="U3" s="68">
        <f ca="1">IFERROR(SUMIFS(INDIRECT(U$1&amp;"!$C:$C"),INDIRECT(U$1&amp;"!$B:$B"),'Tiền Hàng'!$B3)*$C3,0)</f>
        <v>0</v>
      </c>
      <c r="V3" s="68">
        <f ca="1">IFERROR(SUMIFS(INDIRECT(V$1&amp;"!$C:$C"),INDIRECT(V$1&amp;"!$B:$B"),'Tiền Hàng'!$B3)*$C3,0)</f>
        <v>0</v>
      </c>
      <c r="W3" s="68">
        <f ca="1">IFERROR(SUMIFS(INDIRECT(W$1&amp;"!$C:$C"),INDIRECT(W$1&amp;"!$B:$B"),'Tiền Hàng'!$B3)*$C3,0)</f>
        <v>0</v>
      </c>
      <c r="X3" s="68">
        <f ca="1">IFERROR(SUMIFS(INDIRECT(X$1&amp;"!$C:$C"),INDIRECT(X$1&amp;"!$B:$B"),'Tiền Hàng'!$B3)*$C3,0)</f>
        <v>0</v>
      </c>
      <c r="Y3" s="68">
        <f ca="1">IFERROR(SUMIFS(INDIRECT(Y$1&amp;"!$C:$C"),INDIRECT(Y$1&amp;"!$B:$B"),'Tiền Hàng'!$B3)*$C3,0)</f>
        <v>0</v>
      </c>
      <c r="Z3" s="68">
        <f ca="1">IFERROR(SUMIFS(INDIRECT(Z$1&amp;"!$C:$C"),INDIRECT(Z$1&amp;"!$B:$B"),'Tiền Hàng'!$B3)*$C3,0)</f>
        <v>0</v>
      </c>
      <c r="AA3" s="68">
        <f ca="1">IFERROR(SUMIFS(INDIRECT(AA$1&amp;"!$C:$C"),INDIRECT(AA$1&amp;"!$B:$B"),'Tiền Hàng'!$B3)*$C3,0)</f>
        <v>0</v>
      </c>
      <c r="AB3" s="68">
        <f ca="1">IFERROR(SUMIFS(INDIRECT(AB$1&amp;"!$C:$C"),INDIRECT(AB$1&amp;"!$B:$B"),'Tiền Hàng'!$B3)*$C3,0)</f>
        <v>0</v>
      </c>
      <c r="AC3" s="68">
        <f ca="1">IFERROR(SUMIFS(INDIRECT(AC$1&amp;"!$C:$C"),INDIRECT(AC$1&amp;"!$B:$B"),'Tiền Hàng'!$B3)*$C3,0)</f>
        <v>0</v>
      </c>
      <c r="AD3" s="68">
        <f ca="1">IFERROR(SUMIFS(INDIRECT(AD$1&amp;"!$C:$C"),INDIRECT(AD$1&amp;"!$B:$B"),'Tiền Hàng'!$B3)*$C3,0)</f>
        <v>0</v>
      </c>
      <c r="AE3" s="68">
        <f ca="1">IFERROR(SUMIFS(INDIRECT(AE$1&amp;"!$C:$C"),INDIRECT(AE$1&amp;"!$B:$B"),'Tiền Hàng'!$B3)*$C3,0)</f>
        <v>0</v>
      </c>
      <c r="AF3" s="68">
        <f ca="1">IFERROR(SUMIFS(INDIRECT(AF$1&amp;"!$C:$C"),INDIRECT(AF$1&amp;"!$B:$B"),'Tiền Hàng'!$B3)*$C3,0)</f>
        <v>0</v>
      </c>
      <c r="AG3" s="68">
        <f ca="1">IFERROR(SUMIFS(INDIRECT(AG$1&amp;"!$C:$C"),INDIRECT(AG$1&amp;"!$B:$B"),'Tiền Hàng'!$B3)*$C3,0)</f>
        <v>0</v>
      </c>
      <c r="AH3" s="68">
        <f ca="1">IFERROR(SUMIFS(INDIRECT(AH$1&amp;"!$C:$C"),INDIRECT(AH$1&amp;"!$B:$B"),'Tiền Hàng'!$B3)*$C3,0)</f>
        <v>0</v>
      </c>
      <c r="AI3" s="68">
        <f ca="1">IFERROR(SUMIFS(INDIRECT(AI$1&amp;"!$C:$C"),INDIRECT(AI$1&amp;"!$B:$B"),'Tiền Hàng'!$B3)*$C3,0)</f>
        <v>0</v>
      </c>
      <c r="AJ3" s="68">
        <f ca="1">IFERROR(SUMIFS(INDIRECT(AJ$1&amp;"!$C:$C"),INDIRECT(AJ$1&amp;"!$B:$B"),'Tiền Hàng'!$B3)*$C3,0)</f>
        <v>0</v>
      </c>
      <c r="AK3" s="68">
        <f ca="1">IFERROR(SUMIFS(INDIRECT(AK$1&amp;"!$C:$C"),INDIRECT(AK$1&amp;"!$B:$B"),'Tiền Hàng'!$B3)*$C3,0)</f>
        <v>0</v>
      </c>
    </row>
    <row r="4" spans="1:37" x14ac:dyDescent="0.25">
      <c r="A4" s="26">
        <v>2</v>
      </c>
      <c r="B4" s="30" t="s">
        <v>22</v>
      </c>
      <c r="C4" s="59">
        <v>32</v>
      </c>
      <c r="D4" s="62">
        <f t="shared" ref="D4:D30" ca="1" si="1">F4/$F$2</f>
        <v>2.1515015688032272E-2</v>
      </c>
      <c r="E4" s="65">
        <f ca="1">D4*'Chi phí'!$B$2/(F4/C4*Table1[[#This Row],[DON VI NHAP]])</f>
        <v>6.9206633796503811E-2</v>
      </c>
      <c r="F4" s="56">
        <f t="shared" ref="F4:F30" ca="1" si="2">SUM(G4:AK4)</f>
        <v>96</v>
      </c>
      <c r="G4" s="68">
        <f ca="1">IFERROR(SUMIFS(INDIRECT(G$1&amp;"!$C:$C"),INDIRECT(G$1&amp;"!$B:$B"),'Tiền Hàng'!$B4)*$C4,0)</f>
        <v>64</v>
      </c>
      <c r="H4" s="68">
        <f ca="1">IFERROR(SUMIFS(INDIRECT(H$1&amp;"!$C:$C"),INDIRECT(H$1&amp;"!$B:$B"),'Tiền Hàng'!$B4)*$C4,0)</f>
        <v>32</v>
      </c>
      <c r="I4" s="68">
        <f ca="1">IFERROR(SUMIFS(INDIRECT(I$1&amp;"!$C:$C"),INDIRECT(I$1&amp;"!$B:$B"),'Tiền Hàng'!$B4)*$C4,0)</f>
        <v>0</v>
      </c>
      <c r="J4" s="68">
        <f ca="1">IFERROR(SUMIFS(INDIRECT(J$1&amp;"!$C:$C"),INDIRECT(J$1&amp;"!$B:$B"),'Tiền Hàng'!$B4)*$C4,0)</f>
        <v>0</v>
      </c>
      <c r="K4" s="68">
        <f ca="1">IFERROR(SUMIFS(INDIRECT(K$1&amp;"!$C:$C"),INDIRECT(K$1&amp;"!$B:$B"),'Tiền Hàng'!$B4)*$C4,0)</f>
        <v>0</v>
      </c>
      <c r="L4" s="68">
        <f ca="1">IFERROR(SUMIFS(INDIRECT(L$1&amp;"!$C:$C"),INDIRECT(L$1&amp;"!$B:$B"),'Tiền Hàng'!$B4)*$C4,0)</f>
        <v>0</v>
      </c>
      <c r="M4" s="68">
        <f ca="1">IFERROR(SUMIFS(INDIRECT(M$1&amp;"!$C:$C"),INDIRECT(M$1&amp;"!$B:$B"),'Tiền Hàng'!$B4)*$C4,0)</f>
        <v>0</v>
      </c>
      <c r="N4" s="68">
        <f ca="1">IFERROR(SUMIFS(INDIRECT(N$1&amp;"!$C:$C"),INDIRECT(N$1&amp;"!$B:$B"),'Tiền Hàng'!$B4)*$C4,0)</f>
        <v>0</v>
      </c>
      <c r="O4" s="68">
        <f ca="1">IFERROR(SUMIFS(INDIRECT(O$1&amp;"!$C:$C"),INDIRECT(O$1&amp;"!$B:$B"),'Tiền Hàng'!$B4)*$C4,0)</f>
        <v>0</v>
      </c>
      <c r="P4" s="68">
        <f ca="1">IFERROR(SUMIFS(INDIRECT(P$1&amp;"!$C:$C"),INDIRECT(P$1&amp;"!$B:$B"),'Tiền Hàng'!$B4)*$C4,0)</f>
        <v>0</v>
      </c>
      <c r="Q4" s="68">
        <f ca="1">IFERROR(SUMIFS(INDIRECT(Q$1&amp;"!$C:$C"),INDIRECT(Q$1&amp;"!$B:$B"),'Tiền Hàng'!$B4)*$C4,0)</f>
        <v>0</v>
      </c>
      <c r="R4" s="68">
        <f ca="1">IFERROR(SUMIFS(INDIRECT(R$1&amp;"!$C:$C"),INDIRECT(R$1&amp;"!$B:$B"),'Tiền Hàng'!$B4)*$C4,0)</f>
        <v>0</v>
      </c>
      <c r="S4" s="68">
        <f ca="1">IFERROR(SUMIFS(INDIRECT(S$1&amp;"!$C:$C"),INDIRECT(S$1&amp;"!$B:$B"),'Tiền Hàng'!$B4)*$C4,0)</f>
        <v>0</v>
      </c>
      <c r="T4" s="68">
        <f ca="1">IFERROR(SUMIFS(INDIRECT(T$1&amp;"!$C:$C"),INDIRECT(T$1&amp;"!$B:$B"),'Tiền Hàng'!$B4)*$C4,0)</f>
        <v>0</v>
      </c>
      <c r="U4" s="68">
        <f ca="1">IFERROR(SUMIFS(INDIRECT(U$1&amp;"!$C:$C"),INDIRECT(U$1&amp;"!$B:$B"),'Tiền Hàng'!$B4)*$C4,0)</f>
        <v>0</v>
      </c>
      <c r="V4" s="68">
        <f ca="1">IFERROR(SUMIFS(INDIRECT(V$1&amp;"!$C:$C"),INDIRECT(V$1&amp;"!$B:$B"),'Tiền Hàng'!$B4)*$C4,0)</f>
        <v>0</v>
      </c>
      <c r="W4" s="68">
        <f ca="1">IFERROR(SUMIFS(INDIRECT(W$1&amp;"!$C:$C"),INDIRECT(W$1&amp;"!$B:$B"),'Tiền Hàng'!$B4)*$C4,0)</f>
        <v>0</v>
      </c>
      <c r="X4" s="68">
        <f ca="1">IFERROR(SUMIFS(INDIRECT(X$1&amp;"!$C:$C"),INDIRECT(X$1&amp;"!$B:$B"),'Tiền Hàng'!$B4)*$C4,0)</f>
        <v>0</v>
      </c>
      <c r="Y4" s="68">
        <f ca="1">IFERROR(SUMIFS(INDIRECT(Y$1&amp;"!$C:$C"),INDIRECT(Y$1&amp;"!$B:$B"),'Tiền Hàng'!$B4)*$C4,0)</f>
        <v>0</v>
      </c>
      <c r="Z4" s="68">
        <f ca="1">IFERROR(SUMIFS(INDIRECT(Z$1&amp;"!$C:$C"),INDIRECT(Z$1&amp;"!$B:$B"),'Tiền Hàng'!$B4)*$C4,0)</f>
        <v>0</v>
      </c>
      <c r="AA4" s="68">
        <f ca="1">IFERROR(SUMIFS(INDIRECT(AA$1&amp;"!$C:$C"),INDIRECT(AA$1&amp;"!$B:$B"),'Tiền Hàng'!$B4)*$C4,0)</f>
        <v>0</v>
      </c>
      <c r="AB4" s="68">
        <f ca="1">IFERROR(SUMIFS(INDIRECT(AB$1&amp;"!$C:$C"),INDIRECT(AB$1&amp;"!$B:$B"),'Tiền Hàng'!$B4)*$C4,0)</f>
        <v>0</v>
      </c>
      <c r="AC4" s="68">
        <f ca="1">IFERROR(SUMIFS(INDIRECT(AC$1&amp;"!$C:$C"),INDIRECT(AC$1&amp;"!$B:$B"),'Tiền Hàng'!$B4)*$C4,0)</f>
        <v>0</v>
      </c>
      <c r="AD4" s="68">
        <f ca="1">IFERROR(SUMIFS(INDIRECT(AD$1&amp;"!$C:$C"),INDIRECT(AD$1&amp;"!$B:$B"),'Tiền Hàng'!$B4)*$C4,0)</f>
        <v>0</v>
      </c>
      <c r="AE4" s="68">
        <f ca="1">IFERROR(SUMIFS(INDIRECT(AE$1&amp;"!$C:$C"),INDIRECT(AE$1&amp;"!$B:$B"),'Tiền Hàng'!$B4)*$C4,0)</f>
        <v>0</v>
      </c>
      <c r="AF4" s="68">
        <f ca="1">IFERROR(SUMIFS(INDIRECT(AF$1&amp;"!$C:$C"),INDIRECT(AF$1&amp;"!$B:$B"),'Tiền Hàng'!$B4)*$C4,0)</f>
        <v>0</v>
      </c>
      <c r="AG4" s="68">
        <f ca="1">IFERROR(SUMIFS(INDIRECT(AG$1&amp;"!$C:$C"),INDIRECT(AG$1&amp;"!$B:$B"),'Tiền Hàng'!$B4)*$C4,0)</f>
        <v>0</v>
      </c>
      <c r="AH4" s="68">
        <f ca="1">IFERROR(SUMIFS(INDIRECT(AH$1&amp;"!$C:$C"),INDIRECT(AH$1&amp;"!$B:$B"),'Tiền Hàng'!$B4)*$C4,0)</f>
        <v>0</v>
      </c>
      <c r="AI4" s="68">
        <f ca="1">IFERROR(SUMIFS(INDIRECT(AI$1&amp;"!$C:$C"),INDIRECT(AI$1&amp;"!$B:$B"),'Tiền Hàng'!$B4)*$C4,0)</f>
        <v>0</v>
      </c>
      <c r="AJ4" s="68">
        <f ca="1">IFERROR(SUMIFS(INDIRECT(AJ$1&amp;"!$C:$C"),INDIRECT(AJ$1&amp;"!$B:$B"),'Tiền Hàng'!$B4)*$C4,0)</f>
        <v>0</v>
      </c>
      <c r="AK4" s="68">
        <f ca="1">IFERROR(SUMIFS(INDIRECT(AK$1&amp;"!$C:$C"),INDIRECT(AK$1&amp;"!$B:$B"),'Tiền Hàng'!$B4)*$C4,0)</f>
        <v>0</v>
      </c>
    </row>
    <row r="5" spans="1:37" x14ac:dyDescent="0.25">
      <c r="A5" s="50">
        <v>3</v>
      </c>
      <c r="B5" s="30" t="s">
        <v>21</v>
      </c>
      <c r="C5" s="59">
        <v>34</v>
      </c>
      <c r="D5" s="62">
        <f t="shared" ca="1" si="1"/>
        <v>3.8099506947557149E-2</v>
      </c>
      <c r="E5" s="65">
        <f ca="1">D5*'Chi phí'!$B$2/(F5/C5*Table1[[#This Row],[DON VI NHAP]])</f>
        <v>7.35320484087853E-2</v>
      </c>
      <c r="F5" s="56">
        <f t="shared" ca="1" si="2"/>
        <v>170</v>
      </c>
      <c r="G5" s="68">
        <f ca="1">IFERROR(SUMIFS(INDIRECT(G$1&amp;"!$C:$C"),INDIRECT(G$1&amp;"!$B:$B"),'Tiền Hàng'!$B5)*$C5,0)</f>
        <v>102</v>
      </c>
      <c r="H5" s="68">
        <f ca="1">IFERROR(SUMIFS(INDIRECT(H$1&amp;"!$C:$C"),INDIRECT(H$1&amp;"!$B:$B"),'Tiền Hàng'!$B5)*$C5,0)</f>
        <v>0</v>
      </c>
      <c r="I5" s="68">
        <f ca="1">IFERROR(SUMIFS(INDIRECT(I$1&amp;"!$C:$C"),INDIRECT(I$1&amp;"!$B:$B"),'Tiền Hàng'!$B5)*$C5,0)</f>
        <v>0</v>
      </c>
      <c r="J5" s="68">
        <f ca="1">IFERROR(SUMIFS(INDIRECT(J$1&amp;"!$C:$C"),INDIRECT(J$1&amp;"!$B:$B"),'Tiền Hàng'!$B5)*$C5,0)</f>
        <v>34</v>
      </c>
      <c r="K5" s="68">
        <f ca="1">IFERROR(SUMIFS(INDIRECT(K$1&amp;"!$C:$C"),INDIRECT(K$1&amp;"!$B:$B"),'Tiền Hàng'!$B5)*$C5,0)</f>
        <v>0</v>
      </c>
      <c r="L5" s="68">
        <f ca="1">IFERROR(SUMIFS(INDIRECT(L$1&amp;"!$C:$C"),INDIRECT(L$1&amp;"!$B:$B"),'Tiền Hàng'!$B5)*$C5,0)</f>
        <v>0</v>
      </c>
      <c r="M5" s="68">
        <f ca="1">IFERROR(SUMIFS(INDIRECT(M$1&amp;"!$C:$C"),INDIRECT(M$1&amp;"!$B:$B"),'Tiền Hàng'!$B5)*$C5,0)</f>
        <v>0</v>
      </c>
      <c r="N5" s="68">
        <f ca="1">IFERROR(SUMIFS(INDIRECT(N$1&amp;"!$C:$C"),INDIRECT(N$1&amp;"!$B:$B"),'Tiền Hàng'!$B5)*$C5,0)</f>
        <v>34</v>
      </c>
      <c r="O5" s="68">
        <f ca="1">IFERROR(SUMIFS(INDIRECT(O$1&amp;"!$C:$C"),INDIRECT(O$1&amp;"!$B:$B"),'Tiền Hàng'!$B5)*$C5,0)</f>
        <v>0</v>
      </c>
      <c r="P5" s="68">
        <f ca="1">IFERROR(SUMIFS(INDIRECT(P$1&amp;"!$C:$C"),INDIRECT(P$1&amp;"!$B:$B"),'Tiền Hàng'!$B5)*$C5,0)</f>
        <v>0</v>
      </c>
      <c r="Q5" s="68">
        <f ca="1">IFERROR(SUMIFS(INDIRECT(Q$1&amp;"!$C:$C"),INDIRECT(Q$1&amp;"!$B:$B"),'Tiền Hàng'!$B5)*$C5,0)</f>
        <v>0</v>
      </c>
      <c r="R5" s="68">
        <f ca="1">IFERROR(SUMIFS(INDIRECT(R$1&amp;"!$C:$C"),INDIRECT(R$1&amp;"!$B:$B"),'Tiền Hàng'!$B5)*$C5,0)</f>
        <v>0</v>
      </c>
      <c r="S5" s="68">
        <f ca="1">IFERROR(SUMIFS(INDIRECT(S$1&amp;"!$C:$C"),INDIRECT(S$1&amp;"!$B:$B"),'Tiền Hàng'!$B5)*$C5,0)</f>
        <v>0</v>
      </c>
      <c r="T5" s="68">
        <f ca="1">IFERROR(SUMIFS(INDIRECT(T$1&amp;"!$C:$C"),INDIRECT(T$1&amp;"!$B:$B"),'Tiền Hàng'!$B5)*$C5,0)</f>
        <v>0</v>
      </c>
      <c r="U5" s="68">
        <f ca="1">IFERROR(SUMIFS(INDIRECT(U$1&amp;"!$C:$C"),INDIRECT(U$1&amp;"!$B:$B"),'Tiền Hàng'!$B5)*$C5,0)</f>
        <v>0</v>
      </c>
      <c r="V5" s="68">
        <f ca="1">IFERROR(SUMIFS(INDIRECT(V$1&amp;"!$C:$C"),INDIRECT(V$1&amp;"!$B:$B"),'Tiền Hàng'!$B5)*$C5,0)</f>
        <v>0</v>
      </c>
      <c r="W5" s="68">
        <f ca="1">IFERROR(SUMIFS(INDIRECT(W$1&amp;"!$C:$C"),INDIRECT(W$1&amp;"!$B:$B"),'Tiền Hàng'!$B5)*$C5,0)</f>
        <v>0</v>
      </c>
      <c r="X5" s="68">
        <f ca="1">IFERROR(SUMIFS(INDIRECT(X$1&amp;"!$C:$C"),INDIRECT(X$1&amp;"!$B:$B"),'Tiền Hàng'!$B5)*$C5,0)</f>
        <v>0</v>
      </c>
      <c r="Y5" s="68">
        <f ca="1">IFERROR(SUMIFS(INDIRECT(Y$1&amp;"!$C:$C"),INDIRECT(Y$1&amp;"!$B:$B"),'Tiền Hàng'!$B5)*$C5,0)</f>
        <v>0</v>
      </c>
      <c r="Z5" s="68">
        <f ca="1">IFERROR(SUMIFS(INDIRECT(Z$1&amp;"!$C:$C"),INDIRECT(Z$1&amp;"!$B:$B"),'Tiền Hàng'!$B5)*$C5,0)</f>
        <v>0</v>
      </c>
      <c r="AA5" s="68">
        <f ca="1">IFERROR(SUMIFS(INDIRECT(AA$1&amp;"!$C:$C"),INDIRECT(AA$1&amp;"!$B:$B"),'Tiền Hàng'!$B5)*$C5,0)</f>
        <v>0</v>
      </c>
      <c r="AB5" s="68">
        <f ca="1">IFERROR(SUMIFS(INDIRECT(AB$1&amp;"!$C:$C"),INDIRECT(AB$1&amp;"!$B:$B"),'Tiền Hàng'!$B5)*$C5,0)</f>
        <v>0</v>
      </c>
      <c r="AC5" s="68">
        <f ca="1">IFERROR(SUMIFS(INDIRECT(AC$1&amp;"!$C:$C"),INDIRECT(AC$1&amp;"!$B:$B"),'Tiền Hàng'!$B5)*$C5,0)</f>
        <v>0</v>
      </c>
      <c r="AD5" s="68">
        <f ca="1">IFERROR(SUMIFS(INDIRECT(AD$1&amp;"!$C:$C"),INDIRECT(AD$1&amp;"!$B:$B"),'Tiền Hàng'!$B5)*$C5,0)</f>
        <v>0</v>
      </c>
      <c r="AE5" s="68">
        <f ca="1">IFERROR(SUMIFS(INDIRECT(AE$1&amp;"!$C:$C"),INDIRECT(AE$1&amp;"!$B:$B"),'Tiền Hàng'!$B5)*$C5,0)</f>
        <v>0</v>
      </c>
      <c r="AF5" s="68">
        <f ca="1">IFERROR(SUMIFS(INDIRECT(AF$1&amp;"!$C:$C"),INDIRECT(AF$1&amp;"!$B:$B"),'Tiền Hàng'!$B5)*$C5,0)</f>
        <v>0</v>
      </c>
      <c r="AG5" s="68">
        <f ca="1">IFERROR(SUMIFS(INDIRECT(AG$1&amp;"!$C:$C"),INDIRECT(AG$1&amp;"!$B:$B"),'Tiền Hàng'!$B5)*$C5,0)</f>
        <v>0</v>
      </c>
      <c r="AH5" s="68">
        <f ca="1">IFERROR(SUMIFS(INDIRECT(AH$1&amp;"!$C:$C"),INDIRECT(AH$1&amp;"!$B:$B"),'Tiền Hàng'!$B5)*$C5,0)</f>
        <v>0</v>
      </c>
      <c r="AI5" s="68">
        <f ca="1">IFERROR(SUMIFS(INDIRECT(AI$1&amp;"!$C:$C"),INDIRECT(AI$1&amp;"!$B:$B"),'Tiền Hàng'!$B5)*$C5,0)</f>
        <v>0</v>
      </c>
      <c r="AJ5" s="68">
        <f ca="1">IFERROR(SUMIFS(INDIRECT(AJ$1&amp;"!$C:$C"),INDIRECT(AJ$1&amp;"!$B:$B"),'Tiền Hàng'!$B5)*$C5,0)</f>
        <v>0</v>
      </c>
      <c r="AK5" s="68">
        <f ca="1">IFERROR(SUMIFS(INDIRECT(AK$1&amp;"!$C:$C"),INDIRECT(AK$1&amp;"!$B:$B"),'Tiền Hàng'!$B5)*$C5,0)</f>
        <v>0</v>
      </c>
    </row>
    <row r="6" spans="1:37" x14ac:dyDescent="0.25">
      <c r="A6" s="26">
        <v>4</v>
      </c>
      <c r="B6" s="30" t="s">
        <v>20</v>
      </c>
      <c r="C6" s="59">
        <v>34</v>
      </c>
      <c r="D6" s="62">
        <f t="shared" ca="1" si="1"/>
        <v>2.2859704168534289E-2</v>
      </c>
      <c r="E6" s="65">
        <f ca="1">D6*'Chi phí'!$B$2/(F6/C6*Table1[[#This Row],[DON VI NHAP]])</f>
        <v>7.35320484087853E-2</v>
      </c>
      <c r="F6" s="56">
        <f t="shared" ca="1" si="2"/>
        <v>102</v>
      </c>
      <c r="G6" s="68">
        <f ca="1">IFERROR(SUMIFS(INDIRECT(G$1&amp;"!$C:$C"),INDIRECT(G$1&amp;"!$B:$B"),'Tiền Hàng'!$B6)*$C6,0)</f>
        <v>68</v>
      </c>
      <c r="H6" s="68">
        <f ca="1">IFERROR(SUMIFS(INDIRECT(H$1&amp;"!$C:$C"),INDIRECT(H$1&amp;"!$B:$B"),'Tiền Hàng'!$B6)*$C6,0)</f>
        <v>0</v>
      </c>
      <c r="I6" s="68">
        <f ca="1">IFERROR(SUMIFS(INDIRECT(I$1&amp;"!$C:$C"),INDIRECT(I$1&amp;"!$B:$B"),'Tiền Hàng'!$B6)*$C6,0)</f>
        <v>0</v>
      </c>
      <c r="J6" s="68">
        <f ca="1">IFERROR(SUMIFS(INDIRECT(J$1&amp;"!$C:$C"),INDIRECT(J$1&amp;"!$B:$B"),'Tiền Hàng'!$B6)*$C6,0)</f>
        <v>34</v>
      </c>
      <c r="K6" s="68">
        <f ca="1">IFERROR(SUMIFS(INDIRECT(K$1&amp;"!$C:$C"),INDIRECT(K$1&amp;"!$B:$B"),'Tiền Hàng'!$B6)*$C6,0)</f>
        <v>0</v>
      </c>
      <c r="L6" s="68">
        <f ca="1">IFERROR(SUMIFS(INDIRECT(L$1&amp;"!$C:$C"),INDIRECT(L$1&amp;"!$B:$B"),'Tiền Hàng'!$B6)*$C6,0)</f>
        <v>0</v>
      </c>
      <c r="M6" s="68">
        <f ca="1">IFERROR(SUMIFS(INDIRECT(M$1&amp;"!$C:$C"),INDIRECT(M$1&amp;"!$B:$B"),'Tiền Hàng'!$B6)*$C6,0)</f>
        <v>0</v>
      </c>
      <c r="N6" s="68">
        <f ca="1">IFERROR(SUMIFS(INDIRECT(N$1&amp;"!$C:$C"),INDIRECT(N$1&amp;"!$B:$B"),'Tiền Hàng'!$B6)*$C6,0)</f>
        <v>0</v>
      </c>
      <c r="O6" s="68">
        <f ca="1">IFERROR(SUMIFS(INDIRECT(O$1&amp;"!$C:$C"),INDIRECT(O$1&amp;"!$B:$B"),'Tiền Hàng'!$B6)*$C6,0)</f>
        <v>0</v>
      </c>
      <c r="P6" s="68">
        <f ca="1">IFERROR(SUMIFS(INDIRECT(P$1&amp;"!$C:$C"),INDIRECT(P$1&amp;"!$B:$B"),'Tiền Hàng'!$B6)*$C6,0)</f>
        <v>0</v>
      </c>
      <c r="Q6" s="68">
        <f ca="1">IFERROR(SUMIFS(INDIRECT(Q$1&amp;"!$C:$C"),INDIRECT(Q$1&amp;"!$B:$B"),'Tiền Hàng'!$B6)*$C6,0)</f>
        <v>0</v>
      </c>
      <c r="R6" s="68">
        <f ca="1">IFERROR(SUMIFS(INDIRECT(R$1&amp;"!$C:$C"),INDIRECT(R$1&amp;"!$B:$B"),'Tiền Hàng'!$B6)*$C6,0)</f>
        <v>0</v>
      </c>
      <c r="S6" s="68">
        <f ca="1">IFERROR(SUMIFS(INDIRECT(S$1&amp;"!$C:$C"),INDIRECT(S$1&amp;"!$B:$B"),'Tiền Hàng'!$B6)*$C6,0)</f>
        <v>0</v>
      </c>
      <c r="T6" s="68">
        <f ca="1">IFERROR(SUMIFS(INDIRECT(T$1&amp;"!$C:$C"),INDIRECT(T$1&amp;"!$B:$B"),'Tiền Hàng'!$B6)*$C6,0)</f>
        <v>0</v>
      </c>
      <c r="U6" s="68">
        <f ca="1">IFERROR(SUMIFS(INDIRECT(U$1&amp;"!$C:$C"),INDIRECT(U$1&amp;"!$B:$B"),'Tiền Hàng'!$B6)*$C6,0)</f>
        <v>0</v>
      </c>
      <c r="V6" s="68">
        <f ca="1">IFERROR(SUMIFS(INDIRECT(V$1&amp;"!$C:$C"),INDIRECT(V$1&amp;"!$B:$B"),'Tiền Hàng'!$B6)*$C6,0)</f>
        <v>0</v>
      </c>
      <c r="W6" s="68">
        <f ca="1">IFERROR(SUMIFS(INDIRECT(W$1&amp;"!$C:$C"),INDIRECT(W$1&amp;"!$B:$B"),'Tiền Hàng'!$B6)*$C6,0)</f>
        <v>0</v>
      </c>
      <c r="X6" s="68">
        <f ca="1">IFERROR(SUMIFS(INDIRECT(X$1&amp;"!$C:$C"),INDIRECT(X$1&amp;"!$B:$B"),'Tiền Hàng'!$B6)*$C6,0)</f>
        <v>0</v>
      </c>
      <c r="Y6" s="68">
        <f ca="1">IFERROR(SUMIFS(INDIRECT(Y$1&amp;"!$C:$C"),INDIRECT(Y$1&amp;"!$B:$B"),'Tiền Hàng'!$B6)*$C6,0)</f>
        <v>0</v>
      </c>
      <c r="Z6" s="68">
        <f ca="1">IFERROR(SUMIFS(INDIRECT(Z$1&amp;"!$C:$C"),INDIRECT(Z$1&amp;"!$B:$B"),'Tiền Hàng'!$B6)*$C6,0)</f>
        <v>0</v>
      </c>
      <c r="AA6" s="68">
        <f ca="1">IFERROR(SUMIFS(INDIRECT(AA$1&amp;"!$C:$C"),INDIRECT(AA$1&amp;"!$B:$B"),'Tiền Hàng'!$B6)*$C6,0)</f>
        <v>0</v>
      </c>
      <c r="AB6" s="68">
        <f ca="1">IFERROR(SUMIFS(INDIRECT(AB$1&amp;"!$C:$C"),INDIRECT(AB$1&amp;"!$B:$B"),'Tiền Hàng'!$B6)*$C6,0)</f>
        <v>0</v>
      </c>
      <c r="AC6" s="68">
        <f ca="1">IFERROR(SUMIFS(INDIRECT(AC$1&amp;"!$C:$C"),INDIRECT(AC$1&amp;"!$B:$B"),'Tiền Hàng'!$B6)*$C6,0)</f>
        <v>0</v>
      </c>
      <c r="AD6" s="68">
        <f ca="1">IFERROR(SUMIFS(INDIRECT(AD$1&amp;"!$C:$C"),INDIRECT(AD$1&amp;"!$B:$B"),'Tiền Hàng'!$B6)*$C6,0)</f>
        <v>0</v>
      </c>
      <c r="AE6" s="68">
        <f ca="1">IFERROR(SUMIFS(INDIRECT(AE$1&amp;"!$C:$C"),INDIRECT(AE$1&amp;"!$B:$B"),'Tiền Hàng'!$B6)*$C6,0)</f>
        <v>0</v>
      </c>
      <c r="AF6" s="68">
        <f ca="1">IFERROR(SUMIFS(INDIRECT(AF$1&amp;"!$C:$C"),INDIRECT(AF$1&amp;"!$B:$B"),'Tiền Hàng'!$B6)*$C6,0)</f>
        <v>0</v>
      </c>
      <c r="AG6" s="68">
        <f ca="1">IFERROR(SUMIFS(INDIRECT(AG$1&amp;"!$C:$C"),INDIRECT(AG$1&amp;"!$B:$B"),'Tiền Hàng'!$B6)*$C6,0)</f>
        <v>0</v>
      </c>
      <c r="AH6" s="68">
        <f ca="1">IFERROR(SUMIFS(INDIRECT(AH$1&amp;"!$C:$C"),INDIRECT(AH$1&amp;"!$B:$B"),'Tiền Hàng'!$B6)*$C6,0)</f>
        <v>0</v>
      </c>
      <c r="AI6" s="68">
        <f ca="1">IFERROR(SUMIFS(INDIRECT(AI$1&amp;"!$C:$C"),INDIRECT(AI$1&amp;"!$B:$B"),'Tiền Hàng'!$B6)*$C6,0)</f>
        <v>0</v>
      </c>
      <c r="AJ6" s="68">
        <f ca="1">IFERROR(SUMIFS(INDIRECT(AJ$1&amp;"!$C:$C"),INDIRECT(AJ$1&amp;"!$B:$B"),'Tiền Hàng'!$B6)*$C6,0)</f>
        <v>0</v>
      </c>
      <c r="AK6" s="68">
        <f ca="1">IFERROR(SUMIFS(INDIRECT(AK$1&amp;"!$C:$C"),INDIRECT(AK$1&amp;"!$B:$B"),'Tiền Hàng'!$B6)*$C6,0)</f>
        <v>0</v>
      </c>
    </row>
    <row r="7" spans="1:37" x14ac:dyDescent="0.25">
      <c r="A7" s="50">
        <v>5</v>
      </c>
      <c r="B7" s="30" t="s">
        <v>19</v>
      </c>
      <c r="C7" s="59">
        <v>33</v>
      </c>
      <c r="D7" s="62">
        <f t="shared" ca="1" si="1"/>
        <v>4.4374719856566561E-2</v>
      </c>
      <c r="E7" s="65">
        <f ca="1">D7*'Chi phí'!$B$2/(F7/C7*Table1[[#This Row],[DON VI NHAP]])</f>
        <v>0.57095472882115639</v>
      </c>
      <c r="F7" s="56">
        <f t="shared" ca="1" si="2"/>
        <v>198</v>
      </c>
      <c r="G7" s="68">
        <f ca="1">IFERROR(SUMIFS(INDIRECT(G$1&amp;"!$C:$C"),INDIRECT(G$1&amp;"!$B:$B"),'Tiền Hàng'!$B7)*$C7,0)</f>
        <v>99</v>
      </c>
      <c r="H7" s="68">
        <f ca="1">IFERROR(SUMIFS(INDIRECT(H$1&amp;"!$C:$C"),INDIRECT(H$1&amp;"!$B:$B"),'Tiền Hàng'!$B7)*$C7,0)</f>
        <v>66</v>
      </c>
      <c r="I7" s="68">
        <f ca="1">IFERROR(SUMIFS(INDIRECT(I$1&amp;"!$C:$C"),INDIRECT(I$1&amp;"!$B:$B"),'Tiền Hàng'!$B7)*$C7,0)</f>
        <v>33</v>
      </c>
      <c r="J7" s="68">
        <f ca="1">IFERROR(SUMIFS(INDIRECT(J$1&amp;"!$C:$C"),INDIRECT(J$1&amp;"!$B:$B"),'Tiền Hàng'!$B7)*$C7,0)</f>
        <v>0</v>
      </c>
      <c r="K7" s="68">
        <f ca="1">IFERROR(SUMIFS(INDIRECT(K$1&amp;"!$C:$C"),INDIRECT(K$1&amp;"!$B:$B"),'Tiền Hàng'!$B7)*$C7,0)</f>
        <v>0</v>
      </c>
      <c r="L7" s="68">
        <f ca="1">IFERROR(SUMIFS(INDIRECT(L$1&amp;"!$C:$C"),INDIRECT(L$1&amp;"!$B:$B"),'Tiền Hàng'!$B7)*$C7,0)</f>
        <v>0</v>
      </c>
      <c r="M7" s="68">
        <f ca="1">IFERROR(SUMIFS(INDIRECT(M$1&amp;"!$C:$C"),INDIRECT(M$1&amp;"!$B:$B"),'Tiền Hàng'!$B7)*$C7,0)</f>
        <v>0</v>
      </c>
      <c r="N7" s="68">
        <f ca="1">IFERROR(SUMIFS(INDIRECT(N$1&amp;"!$C:$C"),INDIRECT(N$1&amp;"!$B:$B"),'Tiền Hàng'!$B7)*$C7,0)</f>
        <v>0</v>
      </c>
      <c r="O7" s="68">
        <f ca="1">IFERROR(SUMIFS(INDIRECT(O$1&amp;"!$C:$C"),INDIRECT(O$1&amp;"!$B:$B"),'Tiền Hàng'!$B7)*$C7,0)</f>
        <v>0</v>
      </c>
      <c r="P7" s="68">
        <f ca="1">IFERROR(SUMIFS(INDIRECT(P$1&amp;"!$C:$C"),INDIRECT(P$1&amp;"!$B:$B"),'Tiền Hàng'!$B7)*$C7,0)</f>
        <v>0</v>
      </c>
      <c r="Q7" s="68">
        <f ca="1">IFERROR(SUMIFS(INDIRECT(Q$1&amp;"!$C:$C"),INDIRECT(Q$1&amp;"!$B:$B"),'Tiền Hàng'!$B7)*$C7,0)</f>
        <v>0</v>
      </c>
      <c r="R7" s="68">
        <f ca="1">IFERROR(SUMIFS(INDIRECT(R$1&amp;"!$C:$C"),INDIRECT(R$1&amp;"!$B:$B"),'Tiền Hàng'!$B7)*$C7,0)</f>
        <v>0</v>
      </c>
      <c r="S7" s="68">
        <f ca="1">IFERROR(SUMIFS(INDIRECT(S$1&amp;"!$C:$C"),INDIRECT(S$1&amp;"!$B:$B"),'Tiền Hàng'!$B7)*$C7,0)</f>
        <v>0</v>
      </c>
      <c r="T7" s="68">
        <f ca="1">IFERROR(SUMIFS(INDIRECT(T$1&amp;"!$C:$C"),INDIRECT(T$1&amp;"!$B:$B"),'Tiền Hàng'!$B7)*$C7,0)</f>
        <v>0</v>
      </c>
      <c r="U7" s="68">
        <f ca="1">IFERROR(SUMIFS(INDIRECT(U$1&amp;"!$C:$C"),INDIRECT(U$1&amp;"!$B:$B"),'Tiền Hàng'!$B7)*$C7,0)</f>
        <v>0</v>
      </c>
      <c r="V7" s="68">
        <f ca="1">IFERROR(SUMIFS(INDIRECT(V$1&amp;"!$C:$C"),INDIRECT(V$1&amp;"!$B:$B"),'Tiền Hàng'!$B7)*$C7,0)</f>
        <v>0</v>
      </c>
      <c r="W7" s="68">
        <f ca="1">IFERROR(SUMIFS(INDIRECT(W$1&amp;"!$C:$C"),INDIRECT(W$1&amp;"!$B:$B"),'Tiền Hàng'!$B7)*$C7,0)</f>
        <v>0</v>
      </c>
      <c r="X7" s="68">
        <f ca="1">IFERROR(SUMIFS(INDIRECT(X$1&amp;"!$C:$C"),INDIRECT(X$1&amp;"!$B:$B"),'Tiền Hàng'!$B7)*$C7,0)</f>
        <v>0</v>
      </c>
      <c r="Y7" s="68">
        <f ca="1">IFERROR(SUMIFS(INDIRECT(Y$1&amp;"!$C:$C"),INDIRECT(Y$1&amp;"!$B:$B"),'Tiền Hàng'!$B7)*$C7,0)</f>
        <v>0</v>
      </c>
      <c r="Z7" s="68">
        <f ca="1">IFERROR(SUMIFS(INDIRECT(Z$1&amp;"!$C:$C"),INDIRECT(Z$1&amp;"!$B:$B"),'Tiền Hàng'!$B7)*$C7,0)</f>
        <v>0</v>
      </c>
      <c r="AA7" s="68">
        <f ca="1">IFERROR(SUMIFS(INDIRECT(AA$1&amp;"!$C:$C"),INDIRECT(AA$1&amp;"!$B:$B"),'Tiền Hàng'!$B7)*$C7,0)</f>
        <v>0</v>
      </c>
      <c r="AB7" s="68">
        <f ca="1">IFERROR(SUMIFS(INDIRECT(AB$1&amp;"!$C:$C"),INDIRECT(AB$1&amp;"!$B:$B"),'Tiền Hàng'!$B7)*$C7,0)</f>
        <v>0</v>
      </c>
      <c r="AC7" s="68">
        <f ca="1">IFERROR(SUMIFS(INDIRECT(AC$1&amp;"!$C:$C"),INDIRECT(AC$1&amp;"!$B:$B"),'Tiền Hàng'!$B7)*$C7,0)</f>
        <v>0</v>
      </c>
      <c r="AD7" s="68">
        <f ca="1">IFERROR(SUMIFS(INDIRECT(AD$1&amp;"!$C:$C"),INDIRECT(AD$1&amp;"!$B:$B"),'Tiền Hàng'!$B7)*$C7,0)</f>
        <v>0</v>
      </c>
      <c r="AE7" s="68">
        <f ca="1">IFERROR(SUMIFS(INDIRECT(AE$1&amp;"!$C:$C"),INDIRECT(AE$1&amp;"!$B:$B"),'Tiền Hàng'!$B7)*$C7,0)</f>
        <v>0</v>
      </c>
      <c r="AF7" s="68">
        <f ca="1">IFERROR(SUMIFS(INDIRECT(AF$1&amp;"!$C:$C"),INDIRECT(AF$1&amp;"!$B:$B"),'Tiền Hàng'!$B7)*$C7,0)</f>
        <v>0</v>
      </c>
      <c r="AG7" s="68">
        <f ca="1">IFERROR(SUMIFS(INDIRECT(AG$1&amp;"!$C:$C"),INDIRECT(AG$1&amp;"!$B:$B"),'Tiền Hàng'!$B7)*$C7,0)</f>
        <v>0</v>
      </c>
      <c r="AH7" s="68">
        <f ca="1">IFERROR(SUMIFS(INDIRECT(AH$1&amp;"!$C:$C"),INDIRECT(AH$1&amp;"!$B:$B"),'Tiền Hàng'!$B7)*$C7,0)</f>
        <v>0</v>
      </c>
      <c r="AI7" s="68">
        <f ca="1">IFERROR(SUMIFS(INDIRECT(AI$1&amp;"!$C:$C"),INDIRECT(AI$1&amp;"!$B:$B"),'Tiền Hàng'!$B7)*$C7,0)</f>
        <v>0</v>
      </c>
      <c r="AJ7" s="68">
        <f ca="1">IFERROR(SUMIFS(INDIRECT(AJ$1&amp;"!$C:$C"),INDIRECT(AJ$1&amp;"!$B:$B"),'Tiền Hàng'!$B7)*$C7,0)</f>
        <v>0</v>
      </c>
      <c r="AK7" s="68">
        <f ca="1">IFERROR(SUMIFS(INDIRECT(AK$1&amp;"!$C:$C"),INDIRECT(AK$1&amp;"!$B:$B"),'Tiền Hàng'!$B7)*$C7,0)</f>
        <v>0</v>
      </c>
    </row>
    <row r="8" spans="1:37" x14ac:dyDescent="0.25">
      <c r="A8" s="26">
        <v>6</v>
      </c>
      <c r="B8" s="30" t="s">
        <v>18</v>
      </c>
      <c r="C8" s="59">
        <v>38</v>
      </c>
      <c r="D8" s="62">
        <f t="shared" ca="1" si="1"/>
        <v>2.5549081129538322E-2</v>
      </c>
      <c r="E8" s="65">
        <f ca="1">D8*'Chi phí'!$B$2/(F8/C8*Table1[[#This Row],[DON VI NHAP]])</f>
        <v>0.20545719408337068</v>
      </c>
      <c r="F8" s="56">
        <f t="shared" ca="1" si="2"/>
        <v>114</v>
      </c>
      <c r="G8" s="68">
        <f ca="1">IFERROR(SUMIFS(INDIRECT(G$1&amp;"!$C:$C"),INDIRECT(G$1&amp;"!$B:$B"),'Tiền Hàng'!$B8)*$C8,0)</f>
        <v>76</v>
      </c>
      <c r="H8" s="68">
        <f ca="1">IFERROR(SUMIFS(INDIRECT(H$1&amp;"!$C:$C"),INDIRECT(H$1&amp;"!$B:$B"),'Tiền Hàng'!$B8)*$C8,0)</f>
        <v>38</v>
      </c>
      <c r="I8" s="68">
        <f ca="1">IFERROR(SUMIFS(INDIRECT(I$1&amp;"!$C:$C"),INDIRECT(I$1&amp;"!$B:$B"),'Tiền Hàng'!$B8)*$C8,0)</f>
        <v>0</v>
      </c>
      <c r="J8" s="68">
        <f ca="1">IFERROR(SUMIFS(INDIRECT(J$1&amp;"!$C:$C"),INDIRECT(J$1&amp;"!$B:$B"),'Tiền Hàng'!$B8)*$C8,0)</f>
        <v>0</v>
      </c>
      <c r="K8" s="68">
        <f ca="1">IFERROR(SUMIFS(INDIRECT(K$1&amp;"!$C:$C"),INDIRECT(K$1&amp;"!$B:$B"),'Tiền Hàng'!$B8)*$C8,0)</f>
        <v>0</v>
      </c>
      <c r="L8" s="68">
        <f ca="1">IFERROR(SUMIFS(INDIRECT(L$1&amp;"!$C:$C"),INDIRECT(L$1&amp;"!$B:$B"),'Tiền Hàng'!$B8)*$C8,0)</f>
        <v>0</v>
      </c>
      <c r="M8" s="68">
        <f ca="1">IFERROR(SUMIFS(INDIRECT(M$1&amp;"!$C:$C"),INDIRECT(M$1&amp;"!$B:$B"),'Tiền Hàng'!$B8)*$C8,0)</f>
        <v>0</v>
      </c>
      <c r="N8" s="68">
        <f ca="1">IFERROR(SUMIFS(INDIRECT(N$1&amp;"!$C:$C"),INDIRECT(N$1&amp;"!$B:$B"),'Tiền Hàng'!$B8)*$C8,0)</f>
        <v>0</v>
      </c>
      <c r="O8" s="68">
        <f ca="1">IFERROR(SUMIFS(INDIRECT(O$1&amp;"!$C:$C"),INDIRECT(O$1&amp;"!$B:$B"),'Tiền Hàng'!$B8)*$C8,0)</f>
        <v>0</v>
      </c>
      <c r="P8" s="68">
        <f ca="1">IFERROR(SUMIFS(INDIRECT(P$1&amp;"!$C:$C"),INDIRECT(P$1&amp;"!$B:$B"),'Tiền Hàng'!$B8)*$C8,0)</f>
        <v>0</v>
      </c>
      <c r="Q8" s="68">
        <f ca="1">IFERROR(SUMIFS(INDIRECT(Q$1&amp;"!$C:$C"),INDIRECT(Q$1&amp;"!$B:$B"),'Tiền Hàng'!$B8)*$C8,0)</f>
        <v>0</v>
      </c>
      <c r="R8" s="68">
        <f ca="1">IFERROR(SUMIFS(INDIRECT(R$1&amp;"!$C:$C"),INDIRECT(R$1&amp;"!$B:$B"),'Tiền Hàng'!$B8)*$C8,0)</f>
        <v>0</v>
      </c>
      <c r="S8" s="68">
        <f ca="1">IFERROR(SUMIFS(INDIRECT(S$1&amp;"!$C:$C"),INDIRECT(S$1&amp;"!$B:$B"),'Tiền Hàng'!$B8)*$C8,0)</f>
        <v>0</v>
      </c>
      <c r="T8" s="68">
        <f ca="1">IFERROR(SUMIFS(INDIRECT(T$1&amp;"!$C:$C"),INDIRECT(T$1&amp;"!$B:$B"),'Tiền Hàng'!$B8)*$C8,0)</f>
        <v>0</v>
      </c>
      <c r="U8" s="68">
        <f ca="1">IFERROR(SUMIFS(INDIRECT(U$1&amp;"!$C:$C"),INDIRECT(U$1&amp;"!$B:$B"),'Tiền Hàng'!$B8)*$C8,0)</f>
        <v>0</v>
      </c>
      <c r="V8" s="68">
        <f ca="1">IFERROR(SUMIFS(INDIRECT(V$1&amp;"!$C:$C"),INDIRECT(V$1&amp;"!$B:$B"),'Tiền Hàng'!$B8)*$C8,0)</f>
        <v>0</v>
      </c>
      <c r="W8" s="68">
        <f ca="1">IFERROR(SUMIFS(INDIRECT(W$1&amp;"!$C:$C"),INDIRECT(W$1&amp;"!$B:$B"),'Tiền Hàng'!$B8)*$C8,0)</f>
        <v>0</v>
      </c>
      <c r="X8" s="68">
        <f ca="1">IFERROR(SUMIFS(INDIRECT(X$1&amp;"!$C:$C"),INDIRECT(X$1&amp;"!$B:$B"),'Tiền Hàng'!$B8)*$C8,0)</f>
        <v>0</v>
      </c>
      <c r="Y8" s="68">
        <f ca="1">IFERROR(SUMIFS(INDIRECT(Y$1&amp;"!$C:$C"),INDIRECT(Y$1&amp;"!$B:$B"),'Tiền Hàng'!$B8)*$C8,0)</f>
        <v>0</v>
      </c>
      <c r="Z8" s="68">
        <f ca="1">IFERROR(SUMIFS(INDIRECT(Z$1&amp;"!$C:$C"),INDIRECT(Z$1&amp;"!$B:$B"),'Tiền Hàng'!$B8)*$C8,0)</f>
        <v>0</v>
      </c>
      <c r="AA8" s="68">
        <f ca="1">IFERROR(SUMIFS(INDIRECT(AA$1&amp;"!$C:$C"),INDIRECT(AA$1&amp;"!$B:$B"),'Tiền Hàng'!$B8)*$C8,0)</f>
        <v>0</v>
      </c>
      <c r="AB8" s="68">
        <f ca="1">IFERROR(SUMIFS(INDIRECT(AB$1&amp;"!$C:$C"),INDIRECT(AB$1&amp;"!$B:$B"),'Tiền Hàng'!$B8)*$C8,0)</f>
        <v>0</v>
      </c>
      <c r="AC8" s="68">
        <f ca="1">IFERROR(SUMIFS(INDIRECT(AC$1&amp;"!$C:$C"),INDIRECT(AC$1&amp;"!$B:$B"),'Tiền Hàng'!$B8)*$C8,0)</f>
        <v>0</v>
      </c>
      <c r="AD8" s="68">
        <f ca="1">IFERROR(SUMIFS(INDIRECT(AD$1&amp;"!$C:$C"),INDIRECT(AD$1&amp;"!$B:$B"),'Tiền Hàng'!$B8)*$C8,0)</f>
        <v>0</v>
      </c>
      <c r="AE8" s="68">
        <f ca="1">IFERROR(SUMIFS(INDIRECT(AE$1&amp;"!$C:$C"),INDIRECT(AE$1&amp;"!$B:$B"),'Tiền Hàng'!$B8)*$C8,0)</f>
        <v>0</v>
      </c>
      <c r="AF8" s="68">
        <f ca="1">IFERROR(SUMIFS(INDIRECT(AF$1&amp;"!$C:$C"),INDIRECT(AF$1&amp;"!$B:$B"),'Tiền Hàng'!$B8)*$C8,0)</f>
        <v>0</v>
      </c>
      <c r="AG8" s="68">
        <f ca="1">IFERROR(SUMIFS(INDIRECT(AG$1&amp;"!$C:$C"),INDIRECT(AG$1&amp;"!$B:$B"),'Tiền Hàng'!$B8)*$C8,0)</f>
        <v>0</v>
      </c>
      <c r="AH8" s="68">
        <f ca="1">IFERROR(SUMIFS(INDIRECT(AH$1&amp;"!$C:$C"),INDIRECT(AH$1&amp;"!$B:$B"),'Tiền Hàng'!$B8)*$C8,0)</f>
        <v>0</v>
      </c>
      <c r="AI8" s="68">
        <f ca="1">IFERROR(SUMIFS(INDIRECT(AI$1&amp;"!$C:$C"),INDIRECT(AI$1&amp;"!$B:$B"),'Tiền Hàng'!$B8)*$C8,0)</f>
        <v>0</v>
      </c>
      <c r="AJ8" s="68">
        <f ca="1">IFERROR(SUMIFS(INDIRECT(AJ$1&amp;"!$C:$C"),INDIRECT(AJ$1&amp;"!$B:$B"),'Tiền Hàng'!$B8)*$C8,0)</f>
        <v>0</v>
      </c>
      <c r="AK8" s="68">
        <f ca="1">IFERROR(SUMIFS(INDIRECT(AK$1&amp;"!$C:$C"),INDIRECT(AK$1&amp;"!$B:$B"),'Tiền Hàng'!$B8)*$C8,0)</f>
        <v>0</v>
      </c>
    </row>
    <row r="9" spans="1:37" x14ac:dyDescent="0.25">
      <c r="A9" s="50">
        <v>7</v>
      </c>
      <c r="B9" s="30" t="s">
        <v>17</v>
      </c>
      <c r="C9" s="59">
        <v>40</v>
      </c>
      <c r="D9" s="62">
        <f t="shared" ca="1" si="1"/>
        <v>2.6893769610040339E-2</v>
      </c>
      <c r="E9" s="65">
        <f ca="1">D9*'Chi phí'!$B$2/(F9/C9*Table1[[#This Row],[DON VI NHAP]])</f>
        <v>0.19773323941858229</v>
      </c>
      <c r="F9" s="56">
        <f t="shared" ca="1" si="2"/>
        <v>120</v>
      </c>
      <c r="G9" s="68">
        <f ca="1">IFERROR(SUMIFS(INDIRECT(G$1&amp;"!$C:$C"),INDIRECT(G$1&amp;"!$B:$B"),'Tiền Hàng'!$B9)*$C9,0)</f>
        <v>80</v>
      </c>
      <c r="H9" s="68">
        <f ca="1">IFERROR(SUMIFS(INDIRECT(H$1&amp;"!$C:$C"),INDIRECT(H$1&amp;"!$B:$B"),'Tiền Hàng'!$B9)*$C9,0)</f>
        <v>40</v>
      </c>
      <c r="I9" s="68">
        <f ca="1">IFERROR(SUMIFS(INDIRECT(I$1&amp;"!$C:$C"),INDIRECT(I$1&amp;"!$B:$B"),'Tiền Hàng'!$B9)*$C9,0)</f>
        <v>0</v>
      </c>
      <c r="J9" s="68">
        <f ca="1">IFERROR(SUMIFS(INDIRECT(J$1&amp;"!$C:$C"),INDIRECT(J$1&amp;"!$B:$B"),'Tiền Hàng'!$B9)*$C9,0)</f>
        <v>0</v>
      </c>
      <c r="K9" s="68">
        <f ca="1">IFERROR(SUMIFS(INDIRECT(K$1&amp;"!$C:$C"),INDIRECT(K$1&amp;"!$B:$B"),'Tiền Hàng'!$B9)*$C9,0)</f>
        <v>0</v>
      </c>
      <c r="L9" s="68">
        <f ca="1">IFERROR(SUMIFS(INDIRECT(L$1&amp;"!$C:$C"),INDIRECT(L$1&amp;"!$B:$B"),'Tiền Hàng'!$B9)*$C9,0)</f>
        <v>0</v>
      </c>
      <c r="M9" s="68">
        <f ca="1">IFERROR(SUMIFS(INDIRECT(M$1&amp;"!$C:$C"),INDIRECT(M$1&amp;"!$B:$B"),'Tiền Hàng'!$B9)*$C9,0)</f>
        <v>0</v>
      </c>
      <c r="N9" s="68">
        <f ca="1">IFERROR(SUMIFS(INDIRECT(N$1&amp;"!$C:$C"),INDIRECT(N$1&amp;"!$B:$B"),'Tiền Hàng'!$B9)*$C9,0)</f>
        <v>0</v>
      </c>
      <c r="O9" s="68">
        <f ca="1">IFERROR(SUMIFS(INDIRECT(O$1&amp;"!$C:$C"),INDIRECT(O$1&amp;"!$B:$B"),'Tiền Hàng'!$B9)*$C9,0)</f>
        <v>0</v>
      </c>
      <c r="P9" s="68">
        <f ca="1">IFERROR(SUMIFS(INDIRECT(P$1&amp;"!$C:$C"),INDIRECT(P$1&amp;"!$B:$B"),'Tiền Hàng'!$B9)*$C9,0)</f>
        <v>0</v>
      </c>
      <c r="Q9" s="68">
        <f ca="1">IFERROR(SUMIFS(INDIRECT(Q$1&amp;"!$C:$C"),INDIRECT(Q$1&amp;"!$B:$B"),'Tiền Hàng'!$B9)*$C9,0)</f>
        <v>0</v>
      </c>
      <c r="R9" s="68">
        <f ca="1">IFERROR(SUMIFS(INDIRECT(R$1&amp;"!$C:$C"),INDIRECT(R$1&amp;"!$B:$B"),'Tiền Hàng'!$B9)*$C9,0)</f>
        <v>0</v>
      </c>
      <c r="S9" s="68">
        <f ca="1">IFERROR(SUMIFS(INDIRECT(S$1&amp;"!$C:$C"),INDIRECT(S$1&amp;"!$B:$B"),'Tiền Hàng'!$B9)*$C9,0)</f>
        <v>0</v>
      </c>
      <c r="T9" s="68">
        <f ca="1">IFERROR(SUMIFS(INDIRECT(T$1&amp;"!$C:$C"),INDIRECT(T$1&amp;"!$B:$B"),'Tiền Hàng'!$B9)*$C9,0)</f>
        <v>0</v>
      </c>
      <c r="U9" s="68">
        <f ca="1">IFERROR(SUMIFS(INDIRECT(U$1&amp;"!$C:$C"),INDIRECT(U$1&amp;"!$B:$B"),'Tiền Hàng'!$B9)*$C9,0)</f>
        <v>0</v>
      </c>
      <c r="V9" s="68">
        <f ca="1">IFERROR(SUMIFS(INDIRECT(V$1&amp;"!$C:$C"),INDIRECT(V$1&amp;"!$B:$B"),'Tiền Hàng'!$B9)*$C9,0)</f>
        <v>0</v>
      </c>
      <c r="W9" s="68">
        <f ca="1">IFERROR(SUMIFS(INDIRECT(W$1&amp;"!$C:$C"),INDIRECT(W$1&amp;"!$B:$B"),'Tiền Hàng'!$B9)*$C9,0)</f>
        <v>0</v>
      </c>
      <c r="X9" s="68">
        <f ca="1">IFERROR(SUMIFS(INDIRECT(X$1&amp;"!$C:$C"),INDIRECT(X$1&amp;"!$B:$B"),'Tiền Hàng'!$B9)*$C9,0)</f>
        <v>0</v>
      </c>
      <c r="Y9" s="68">
        <f ca="1">IFERROR(SUMIFS(INDIRECT(Y$1&amp;"!$C:$C"),INDIRECT(Y$1&amp;"!$B:$B"),'Tiền Hàng'!$B9)*$C9,0)</f>
        <v>0</v>
      </c>
      <c r="Z9" s="68">
        <f ca="1">IFERROR(SUMIFS(INDIRECT(Z$1&amp;"!$C:$C"),INDIRECT(Z$1&amp;"!$B:$B"),'Tiền Hàng'!$B9)*$C9,0)</f>
        <v>0</v>
      </c>
      <c r="AA9" s="68">
        <f ca="1">IFERROR(SUMIFS(INDIRECT(AA$1&amp;"!$C:$C"),INDIRECT(AA$1&amp;"!$B:$B"),'Tiền Hàng'!$B9)*$C9,0)</f>
        <v>0</v>
      </c>
      <c r="AB9" s="68">
        <f ca="1">IFERROR(SUMIFS(INDIRECT(AB$1&amp;"!$C:$C"),INDIRECT(AB$1&amp;"!$B:$B"),'Tiền Hàng'!$B9)*$C9,0)</f>
        <v>0</v>
      </c>
      <c r="AC9" s="68">
        <f ca="1">IFERROR(SUMIFS(INDIRECT(AC$1&amp;"!$C:$C"),INDIRECT(AC$1&amp;"!$B:$B"),'Tiền Hàng'!$B9)*$C9,0)</f>
        <v>0</v>
      </c>
      <c r="AD9" s="68">
        <f ca="1">IFERROR(SUMIFS(INDIRECT(AD$1&amp;"!$C:$C"),INDIRECT(AD$1&amp;"!$B:$B"),'Tiền Hàng'!$B9)*$C9,0)</f>
        <v>0</v>
      </c>
      <c r="AE9" s="68">
        <f ca="1">IFERROR(SUMIFS(INDIRECT(AE$1&amp;"!$C:$C"),INDIRECT(AE$1&amp;"!$B:$B"),'Tiền Hàng'!$B9)*$C9,0)</f>
        <v>0</v>
      </c>
      <c r="AF9" s="68">
        <f ca="1">IFERROR(SUMIFS(INDIRECT(AF$1&amp;"!$C:$C"),INDIRECT(AF$1&amp;"!$B:$B"),'Tiền Hàng'!$B9)*$C9,0)</f>
        <v>0</v>
      </c>
      <c r="AG9" s="68">
        <f ca="1">IFERROR(SUMIFS(INDIRECT(AG$1&amp;"!$C:$C"),INDIRECT(AG$1&amp;"!$B:$B"),'Tiền Hàng'!$B9)*$C9,0)</f>
        <v>0</v>
      </c>
      <c r="AH9" s="68">
        <f ca="1">IFERROR(SUMIFS(INDIRECT(AH$1&amp;"!$C:$C"),INDIRECT(AH$1&amp;"!$B:$B"),'Tiền Hàng'!$B9)*$C9,0)</f>
        <v>0</v>
      </c>
      <c r="AI9" s="68">
        <f ca="1">IFERROR(SUMIFS(INDIRECT(AI$1&amp;"!$C:$C"),INDIRECT(AI$1&amp;"!$B:$B"),'Tiền Hàng'!$B9)*$C9,0)</f>
        <v>0</v>
      </c>
      <c r="AJ9" s="68">
        <f ca="1">IFERROR(SUMIFS(INDIRECT(AJ$1&amp;"!$C:$C"),INDIRECT(AJ$1&amp;"!$B:$B"),'Tiền Hàng'!$B9)*$C9,0)</f>
        <v>0</v>
      </c>
      <c r="AK9" s="68">
        <f ca="1">IFERROR(SUMIFS(INDIRECT(AK$1&amp;"!$C:$C"),INDIRECT(AK$1&amp;"!$B:$B"),'Tiền Hàng'!$B9)*$C9,0)</f>
        <v>0</v>
      </c>
    </row>
    <row r="10" spans="1:37" x14ac:dyDescent="0.25">
      <c r="A10" s="26">
        <v>8</v>
      </c>
      <c r="B10" s="30" t="s">
        <v>16</v>
      </c>
      <c r="C10" s="59">
        <v>40</v>
      </c>
      <c r="D10" s="62">
        <f t="shared" ca="1" si="1"/>
        <v>4.4822949350067233E-2</v>
      </c>
      <c r="E10" s="65">
        <f ca="1">D10*'Chi phí'!$B$2/(F10/C10*Table1[[#This Row],[DON VI NHAP]])</f>
        <v>0.53235872151156771</v>
      </c>
      <c r="F10" s="56">
        <f t="shared" ca="1" si="2"/>
        <v>200</v>
      </c>
      <c r="G10" s="68">
        <f ca="1">IFERROR(SUMIFS(INDIRECT(G$1&amp;"!$C:$C"),INDIRECT(G$1&amp;"!$B:$B"),'Tiền Hàng'!$B10)*$C10,0)</f>
        <v>80</v>
      </c>
      <c r="H10" s="68">
        <f ca="1">IFERROR(SUMIFS(INDIRECT(H$1&amp;"!$C:$C"),INDIRECT(H$1&amp;"!$B:$B"),'Tiền Hàng'!$B10)*$C10,0)</f>
        <v>40</v>
      </c>
      <c r="I10" s="68">
        <f ca="1">IFERROR(SUMIFS(INDIRECT(I$1&amp;"!$C:$C"),INDIRECT(I$1&amp;"!$B:$B"),'Tiền Hàng'!$B10)*$C10,0)</f>
        <v>80</v>
      </c>
      <c r="J10" s="68">
        <f ca="1">IFERROR(SUMIFS(INDIRECT(J$1&amp;"!$C:$C"),INDIRECT(J$1&amp;"!$B:$B"),'Tiền Hàng'!$B10)*$C10,0)</f>
        <v>0</v>
      </c>
      <c r="K10" s="68">
        <f ca="1">IFERROR(SUMIFS(INDIRECT(K$1&amp;"!$C:$C"),INDIRECT(K$1&amp;"!$B:$B"),'Tiền Hàng'!$B10)*$C10,0)</f>
        <v>0</v>
      </c>
      <c r="L10" s="68">
        <f ca="1">IFERROR(SUMIFS(INDIRECT(L$1&amp;"!$C:$C"),INDIRECT(L$1&amp;"!$B:$B"),'Tiền Hàng'!$B10)*$C10,0)</f>
        <v>0</v>
      </c>
      <c r="M10" s="68">
        <f ca="1">IFERROR(SUMIFS(INDIRECT(M$1&amp;"!$C:$C"),INDIRECT(M$1&amp;"!$B:$B"),'Tiền Hàng'!$B10)*$C10,0)</f>
        <v>0</v>
      </c>
      <c r="N10" s="68">
        <f ca="1">IFERROR(SUMIFS(INDIRECT(N$1&amp;"!$C:$C"),INDIRECT(N$1&amp;"!$B:$B"),'Tiền Hàng'!$B10)*$C10,0)</f>
        <v>0</v>
      </c>
      <c r="O10" s="68">
        <f ca="1">IFERROR(SUMIFS(INDIRECT(O$1&amp;"!$C:$C"),INDIRECT(O$1&amp;"!$B:$B"),'Tiền Hàng'!$B10)*$C10,0)</f>
        <v>0</v>
      </c>
      <c r="P10" s="68">
        <f ca="1">IFERROR(SUMIFS(INDIRECT(P$1&amp;"!$C:$C"),INDIRECT(P$1&amp;"!$B:$B"),'Tiền Hàng'!$B10)*$C10,0)</f>
        <v>0</v>
      </c>
      <c r="Q10" s="68">
        <f ca="1">IFERROR(SUMIFS(INDIRECT(Q$1&amp;"!$C:$C"),INDIRECT(Q$1&amp;"!$B:$B"),'Tiền Hàng'!$B10)*$C10,0)</f>
        <v>0</v>
      </c>
      <c r="R10" s="68">
        <f ca="1">IFERROR(SUMIFS(INDIRECT(R$1&amp;"!$C:$C"),INDIRECT(R$1&amp;"!$B:$B"),'Tiền Hàng'!$B10)*$C10,0)</f>
        <v>0</v>
      </c>
      <c r="S10" s="68">
        <f ca="1">IFERROR(SUMIFS(INDIRECT(S$1&amp;"!$C:$C"),INDIRECT(S$1&amp;"!$B:$B"),'Tiền Hàng'!$B10)*$C10,0)</f>
        <v>0</v>
      </c>
      <c r="T10" s="68">
        <f ca="1">IFERROR(SUMIFS(INDIRECT(T$1&amp;"!$C:$C"),INDIRECT(T$1&amp;"!$B:$B"),'Tiền Hàng'!$B10)*$C10,0)</f>
        <v>0</v>
      </c>
      <c r="U10" s="68">
        <f ca="1">IFERROR(SUMIFS(INDIRECT(U$1&amp;"!$C:$C"),INDIRECT(U$1&amp;"!$B:$B"),'Tiền Hàng'!$B10)*$C10,0)</f>
        <v>0</v>
      </c>
      <c r="V10" s="68">
        <f ca="1">IFERROR(SUMIFS(INDIRECT(V$1&amp;"!$C:$C"),INDIRECT(V$1&amp;"!$B:$B"),'Tiền Hàng'!$B10)*$C10,0)</f>
        <v>0</v>
      </c>
      <c r="W10" s="68">
        <f ca="1">IFERROR(SUMIFS(INDIRECT(W$1&amp;"!$C:$C"),INDIRECT(W$1&amp;"!$B:$B"),'Tiền Hàng'!$B10)*$C10,0)</f>
        <v>0</v>
      </c>
      <c r="X10" s="68">
        <f ca="1">IFERROR(SUMIFS(INDIRECT(X$1&amp;"!$C:$C"),INDIRECT(X$1&amp;"!$B:$B"),'Tiền Hàng'!$B10)*$C10,0)</f>
        <v>0</v>
      </c>
      <c r="Y10" s="68">
        <f ca="1">IFERROR(SUMIFS(INDIRECT(Y$1&amp;"!$C:$C"),INDIRECT(Y$1&amp;"!$B:$B"),'Tiền Hàng'!$B10)*$C10,0)</f>
        <v>0</v>
      </c>
      <c r="Z10" s="68">
        <f ca="1">IFERROR(SUMIFS(INDIRECT(Z$1&amp;"!$C:$C"),INDIRECT(Z$1&amp;"!$B:$B"),'Tiền Hàng'!$B10)*$C10,0)</f>
        <v>0</v>
      </c>
      <c r="AA10" s="68">
        <f ca="1">IFERROR(SUMIFS(INDIRECT(AA$1&amp;"!$C:$C"),INDIRECT(AA$1&amp;"!$B:$B"),'Tiền Hàng'!$B10)*$C10,0)</f>
        <v>0</v>
      </c>
      <c r="AB10" s="68">
        <f ca="1">IFERROR(SUMIFS(INDIRECT(AB$1&amp;"!$C:$C"),INDIRECT(AB$1&amp;"!$B:$B"),'Tiền Hàng'!$B10)*$C10,0)</f>
        <v>0</v>
      </c>
      <c r="AC10" s="68">
        <f ca="1">IFERROR(SUMIFS(INDIRECT(AC$1&amp;"!$C:$C"),INDIRECT(AC$1&amp;"!$B:$B"),'Tiền Hàng'!$B10)*$C10,0)</f>
        <v>0</v>
      </c>
      <c r="AD10" s="68">
        <f ca="1">IFERROR(SUMIFS(INDIRECT(AD$1&amp;"!$C:$C"),INDIRECT(AD$1&amp;"!$B:$B"),'Tiền Hàng'!$B10)*$C10,0)</f>
        <v>0</v>
      </c>
      <c r="AE10" s="68">
        <f ca="1">IFERROR(SUMIFS(INDIRECT(AE$1&amp;"!$C:$C"),INDIRECT(AE$1&amp;"!$B:$B"),'Tiền Hàng'!$B10)*$C10,0)</f>
        <v>0</v>
      </c>
      <c r="AF10" s="68">
        <f ca="1">IFERROR(SUMIFS(INDIRECT(AF$1&amp;"!$C:$C"),INDIRECT(AF$1&amp;"!$B:$B"),'Tiền Hàng'!$B10)*$C10,0)</f>
        <v>0</v>
      </c>
      <c r="AG10" s="68">
        <f ca="1">IFERROR(SUMIFS(INDIRECT(AG$1&amp;"!$C:$C"),INDIRECT(AG$1&amp;"!$B:$B"),'Tiền Hàng'!$B10)*$C10,0)</f>
        <v>0</v>
      </c>
      <c r="AH10" s="68">
        <f ca="1">IFERROR(SUMIFS(INDIRECT(AH$1&amp;"!$C:$C"),INDIRECT(AH$1&amp;"!$B:$B"),'Tiền Hàng'!$B10)*$C10,0)</f>
        <v>0</v>
      </c>
      <c r="AI10" s="68">
        <f ca="1">IFERROR(SUMIFS(INDIRECT(AI$1&amp;"!$C:$C"),INDIRECT(AI$1&amp;"!$B:$B"),'Tiền Hàng'!$B10)*$C10,0)</f>
        <v>0</v>
      </c>
      <c r="AJ10" s="68">
        <f ca="1">IFERROR(SUMIFS(INDIRECT(AJ$1&amp;"!$C:$C"),INDIRECT(AJ$1&amp;"!$B:$B"),'Tiền Hàng'!$B10)*$C10,0)</f>
        <v>0</v>
      </c>
      <c r="AK10" s="68">
        <f ca="1">IFERROR(SUMIFS(INDIRECT(AK$1&amp;"!$C:$C"),INDIRECT(AK$1&amp;"!$B:$B"),'Tiền Hàng'!$B10)*$C10,0)</f>
        <v>0</v>
      </c>
    </row>
    <row r="11" spans="1:37" x14ac:dyDescent="0.25">
      <c r="A11" s="50">
        <v>9</v>
      </c>
      <c r="B11" s="30" t="s">
        <v>15</v>
      </c>
      <c r="C11" s="59">
        <v>35</v>
      </c>
      <c r="D11" s="62">
        <f t="shared" ca="1" si="1"/>
        <v>3.1376064545047065E-2</v>
      </c>
      <c r="E11" s="65">
        <f ca="1">D11*'Chi phí'!$B$2/(F11/C11*Table1[[#This Row],[DON VI NHAP]])</f>
        <v>0.17301658449125953</v>
      </c>
      <c r="F11" s="56">
        <f t="shared" ca="1" si="2"/>
        <v>140</v>
      </c>
      <c r="G11" s="68">
        <f ca="1">IFERROR(SUMIFS(INDIRECT(G$1&amp;"!$C:$C"),INDIRECT(G$1&amp;"!$B:$B"),'Tiền Hàng'!$B11)*$C11,0)</f>
        <v>105</v>
      </c>
      <c r="H11" s="68">
        <f ca="1">IFERROR(SUMIFS(INDIRECT(H$1&amp;"!$C:$C"),INDIRECT(H$1&amp;"!$B:$B"),'Tiền Hàng'!$B11)*$C11,0)</f>
        <v>35</v>
      </c>
      <c r="I11" s="68">
        <f ca="1">IFERROR(SUMIFS(INDIRECT(I$1&amp;"!$C:$C"),INDIRECT(I$1&amp;"!$B:$B"),'Tiền Hàng'!$B11)*$C11,0)</f>
        <v>0</v>
      </c>
      <c r="J11" s="68">
        <f ca="1">IFERROR(SUMIFS(INDIRECT(J$1&amp;"!$C:$C"),INDIRECT(J$1&amp;"!$B:$B"),'Tiền Hàng'!$B11)*$C11,0)</f>
        <v>0</v>
      </c>
      <c r="K11" s="68">
        <f ca="1">IFERROR(SUMIFS(INDIRECT(K$1&amp;"!$C:$C"),INDIRECT(K$1&amp;"!$B:$B"),'Tiền Hàng'!$B11)*$C11,0)</f>
        <v>0</v>
      </c>
      <c r="L11" s="68">
        <f ca="1">IFERROR(SUMIFS(INDIRECT(L$1&amp;"!$C:$C"),INDIRECT(L$1&amp;"!$B:$B"),'Tiền Hàng'!$B11)*$C11,0)</f>
        <v>0</v>
      </c>
      <c r="M11" s="68">
        <f ca="1">IFERROR(SUMIFS(INDIRECT(M$1&amp;"!$C:$C"),INDIRECT(M$1&amp;"!$B:$B"),'Tiền Hàng'!$B11)*$C11,0)</f>
        <v>0</v>
      </c>
      <c r="N11" s="68">
        <f ca="1">IFERROR(SUMIFS(INDIRECT(N$1&amp;"!$C:$C"),INDIRECT(N$1&amp;"!$B:$B"),'Tiền Hàng'!$B11)*$C11,0)</f>
        <v>0</v>
      </c>
      <c r="O11" s="68">
        <f ca="1">IFERROR(SUMIFS(INDIRECT(O$1&amp;"!$C:$C"),INDIRECT(O$1&amp;"!$B:$B"),'Tiền Hàng'!$B11)*$C11,0)</f>
        <v>0</v>
      </c>
      <c r="P11" s="68">
        <f ca="1">IFERROR(SUMIFS(INDIRECT(P$1&amp;"!$C:$C"),INDIRECT(P$1&amp;"!$B:$B"),'Tiền Hàng'!$B11)*$C11,0)</f>
        <v>0</v>
      </c>
      <c r="Q11" s="68">
        <f ca="1">IFERROR(SUMIFS(INDIRECT(Q$1&amp;"!$C:$C"),INDIRECT(Q$1&amp;"!$B:$B"),'Tiền Hàng'!$B11)*$C11,0)</f>
        <v>0</v>
      </c>
      <c r="R11" s="68">
        <f ca="1">IFERROR(SUMIFS(INDIRECT(R$1&amp;"!$C:$C"),INDIRECT(R$1&amp;"!$B:$B"),'Tiền Hàng'!$B11)*$C11,0)</f>
        <v>0</v>
      </c>
      <c r="S11" s="68">
        <f ca="1">IFERROR(SUMIFS(INDIRECT(S$1&amp;"!$C:$C"),INDIRECT(S$1&amp;"!$B:$B"),'Tiền Hàng'!$B11)*$C11,0)</f>
        <v>0</v>
      </c>
      <c r="T11" s="68">
        <f ca="1">IFERROR(SUMIFS(INDIRECT(T$1&amp;"!$C:$C"),INDIRECT(T$1&amp;"!$B:$B"),'Tiền Hàng'!$B11)*$C11,0)</f>
        <v>0</v>
      </c>
      <c r="U11" s="68">
        <f ca="1">IFERROR(SUMIFS(INDIRECT(U$1&amp;"!$C:$C"),INDIRECT(U$1&amp;"!$B:$B"),'Tiền Hàng'!$B11)*$C11,0)</f>
        <v>0</v>
      </c>
      <c r="V11" s="68">
        <f ca="1">IFERROR(SUMIFS(INDIRECT(V$1&amp;"!$C:$C"),INDIRECT(V$1&amp;"!$B:$B"),'Tiền Hàng'!$B11)*$C11,0)</f>
        <v>0</v>
      </c>
      <c r="W11" s="68">
        <f ca="1">IFERROR(SUMIFS(INDIRECT(W$1&amp;"!$C:$C"),INDIRECT(W$1&amp;"!$B:$B"),'Tiền Hàng'!$B11)*$C11,0)</f>
        <v>0</v>
      </c>
      <c r="X11" s="68">
        <f ca="1">IFERROR(SUMIFS(INDIRECT(X$1&amp;"!$C:$C"),INDIRECT(X$1&amp;"!$B:$B"),'Tiền Hàng'!$B11)*$C11,0)</f>
        <v>0</v>
      </c>
      <c r="Y11" s="68">
        <f ca="1">IFERROR(SUMIFS(INDIRECT(Y$1&amp;"!$C:$C"),INDIRECT(Y$1&amp;"!$B:$B"),'Tiền Hàng'!$B11)*$C11,0)</f>
        <v>0</v>
      </c>
      <c r="Z11" s="68">
        <f ca="1">IFERROR(SUMIFS(INDIRECT(Z$1&amp;"!$C:$C"),INDIRECT(Z$1&amp;"!$B:$B"),'Tiền Hàng'!$B11)*$C11,0)</f>
        <v>0</v>
      </c>
      <c r="AA11" s="68">
        <f ca="1">IFERROR(SUMIFS(INDIRECT(AA$1&amp;"!$C:$C"),INDIRECT(AA$1&amp;"!$B:$B"),'Tiền Hàng'!$B11)*$C11,0)</f>
        <v>0</v>
      </c>
      <c r="AB11" s="68">
        <f ca="1">IFERROR(SUMIFS(INDIRECT(AB$1&amp;"!$C:$C"),INDIRECT(AB$1&amp;"!$B:$B"),'Tiền Hàng'!$B11)*$C11,0)</f>
        <v>0</v>
      </c>
      <c r="AC11" s="68">
        <f ca="1">IFERROR(SUMIFS(INDIRECT(AC$1&amp;"!$C:$C"),INDIRECT(AC$1&amp;"!$B:$B"),'Tiền Hàng'!$B11)*$C11,0)</f>
        <v>0</v>
      </c>
      <c r="AD11" s="68">
        <f ca="1">IFERROR(SUMIFS(INDIRECT(AD$1&amp;"!$C:$C"),INDIRECT(AD$1&amp;"!$B:$B"),'Tiền Hàng'!$B11)*$C11,0)</f>
        <v>0</v>
      </c>
      <c r="AE11" s="68">
        <f ca="1">IFERROR(SUMIFS(INDIRECT(AE$1&amp;"!$C:$C"),INDIRECT(AE$1&amp;"!$B:$B"),'Tiền Hàng'!$B11)*$C11,0)</f>
        <v>0</v>
      </c>
      <c r="AF11" s="68">
        <f ca="1">IFERROR(SUMIFS(INDIRECT(AF$1&amp;"!$C:$C"),INDIRECT(AF$1&amp;"!$B:$B"),'Tiền Hàng'!$B11)*$C11,0)</f>
        <v>0</v>
      </c>
      <c r="AG11" s="68">
        <f ca="1">IFERROR(SUMIFS(INDIRECT(AG$1&amp;"!$C:$C"),INDIRECT(AG$1&amp;"!$B:$B"),'Tiền Hàng'!$B11)*$C11,0)</f>
        <v>0</v>
      </c>
      <c r="AH11" s="68">
        <f ca="1">IFERROR(SUMIFS(INDIRECT(AH$1&amp;"!$C:$C"),INDIRECT(AH$1&amp;"!$B:$B"),'Tiền Hàng'!$B11)*$C11,0)</f>
        <v>0</v>
      </c>
      <c r="AI11" s="68">
        <f ca="1">IFERROR(SUMIFS(INDIRECT(AI$1&amp;"!$C:$C"),INDIRECT(AI$1&amp;"!$B:$B"),'Tiền Hàng'!$B11)*$C11,0)</f>
        <v>0</v>
      </c>
      <c r="AJ11" s="68">
        <f ca="1">IFERROR(SUMIFS(INDIRECT(AJ$1&amp;"!$C:$C"),INDIRECT(AJ$1&amp;"!$B:$B"),'Tiền Hàng'!$B11)*$C11,0)</f>
        <v>0</v>
      </c>
      <c r="AK11" s="68">
        <f ca="1">IFERROR(SUMIFS(INDIRECT(AK$1&amp;"!$C:$C"),INDIRECT(AK$1&amp;"!$B:$B"),'Tiền Hàng'!$B11)*$C11,0)</f>
        <v>0</v>
      </c>
    </row>
    <row r="12" spans="1:37" x14ac:dyDescent="0.25">
      <c r="A12" s="26">
        <v>10</v>
      </c>
      <c r="B12" s="30" t="s">
        <v>14</v>
      </c>
      <c r="C12" s="59">
        <v>45</v>
      </c>
      <c r="D12" s="62">
        <f t="shared" ca="1" si="1"/>
        <v>5.042581801882564E-2</v>
      </c>
      <c r="E12" s="65">
        <f ca="1">D12*'Chi phí'!$B$2/(F12/C12*Table1[[#This Row],[DON VI NHAP]])</f>
        <v>0.22244989434590512</v>
      </c>
      <c r="F12" s="56">
        <f t="shared" ca="1" si="2"/>
        <v>225</v>
      </c>
      <c r="G12" s="68">
        <f ca="1">IFERROR(SUMIFS(INDIRECT(G$1&amp;"!$C:$C"),INDIRECT(G$1&amp;"!$B:$B"),'Tiền Hàng'!$B12)*$C12,0)</f>
        <v>90</v>
      </c>
      <c r="H12" s="68">
        <f ca="1">IFERROR(SUMIFS(INDIRECT(H$1&amp;"!$C:$C"),INDIRECT(H$1&amp;"!$B:$B"),'Tiền Hàng'!$B12)*$C12,0)</f>
        <v>45</v>
      </c>
      <c r="I12" s="68">
        <f ca="1">IFERROR(SUMIFS(INDIRECT(I$1&amp;"!$C:$C"),INDIRECT(I$1&amp;"!$B:$B"),'Tiền Hàng'!$B12)*$C12,0)</f>
        <v>45</v>
      </c>
      <c r="J12" s="68">
        <f ca="1">IFERROR(SUMIFS(INDIRECT(J$1&amp;"!$C:$C"),INDIRECT(J$1&amp;"!$B:$B"),'Tiền Hàng'!$B12)*$C12,0)</f>
        <v>0</v>
      </c>
      <c r="K12" s="68">
        <f ca="1">IFERROR(SUMIFS(INDIRECT(K$1&amp;"!$C:$C"),INDIRECT(K$1&amp;"!$B:$B"),'Tiền Hàng'!$B12)*$C12,0)</f>
        <v>0</v>
      </c>
      <c r="L12" s="68">
        <f ca="1">IFERROR(SUMIFS(INDIRECT(L$1&amp;"!$C:$C"),INDIRECT(L$1&amp;"!$B:$B"),'Tiền Hàng'!$B12)*$C12,0)</f>
        <v>45</v>
      </c>
      <c r="M12" s="68">
        <f ca="1">IFERROR(SUMIFS(INDIRECT(M$1&amp;"!$C:$C"),INDIRECT(M$1&amp;"!$B:$B"),'Tiền Hàng'!$B12)*$C12,0)</f>
        <v>0</v>
      </c>
      <c r="N12" s="68">
        <f ca="1">IFERROR(SUMIFS(INDIRECT(N$1&amp;"!$C:$C"),INDIRECT(N$1&amp;"!$B:$B"),'Tiền Hàng'!$B12)*$C12,0)</f>
        <v>0</v>
      </c>
      <c r="O12" s="68">
        <f ca="1">IFERROR(SUMIFS(INDIRECT(O$1&amp;"!$C:$C"),INDIRECT(O$1&amp;"!$B:$B"),'Tiền Hàng'!$B12)*$C12,0)</f>
        <v>0</v>
      </c>
      <c r="P12" s="68">
        <f ca="1">IFERROR(SUMIFS(INDIRECT(P$1&amp;"!$C:$C"),INDIRECT(P$1&amp;"!$B:$B"),'Tiền Hàng'!$B12)*$C12,0)</f>
        <v>0</v>
      </c>
      <c r="Q12" s="68">
        <f ca="1">IFERROR(SUMIFS(INDIRECT(Q$1&amp;"!$C:$C"),INDIRECT(Q$1&amp;"!$B:$B"),'Tiền Hàng'!$B12)*$C12,0)</f>
        <v>0</v>
      </c>
      <c r="R12" s="68">
        <f ca="1">IFERROR(SUMIFS(INDIRECT(R$1&amp;"!$C:$C"),INDIRECT(R$1&amp;"!$B:$B"),'Tiền Hàng'!$B12)*$C12,0)</f>
        <v>0</v>
      </c>
      <c r="S12" s="68">
        <f ca="1">IFERROR(SUMIFS(INDIRECT(S$1&amp;"!$C:$C"),INDIRECT(S$1&amp;"!$B:$B"),'Tiền Hàng'!$B12)*$C12,0)</f>
        <v>0</v>
      </c>
      <c r="T12" s="68">
        <f ca="1">IFERROR(SUMIFS(INDIRECT(T$1&amp;"!$C:$C"),INDIRECT(T$1&amp;"!$B:$B"),'Tiền Hàng'!$B12)*$C12,0)</f>
        <v>0</v>
      </c>
      <c r="U12" s="68">
        <f ca="1">IFERROR(SUMIFS(INDIRECT(U$1&amp;"!$C:$C"),INDIRECT(U$1&amp;"!$B:$B"),'Tiền Hàng'!$B12)*$C12,0)</f>
        <v>0</v>
      </c>
      <c r="V12" s="68">
        <f ca="1">IFERROR(SUMIFS(INDIRECT(V$1&amp;"!$C:$C"),INDIRECT(V$1&amp;"!$B:$B"),'Tiền Hàng'!$B12)*$C12,0)</f>
        <v>0</v>
      </c>
      <c r="W12" s="68">
        <f ca="1">IFERROR(SUMIFS(INDIRECT(W$1&amp;"!$C:$C"),INDIRECT(W$1&amp;"!$B:$B"),'Tiền Hàng'!$B12)*$C12,0)</f>
        <v>0</v>
      </c>
      <c r="X12" s="68">
        <f ca="1">IFERROR(SUMIFS(INDIRECT(X$1&amp;"!$C:$C"),INDIRECT(X$1&amp;"!$B:$B"),'Tiền Hàng'!$B12)*$C12,0)</f>
        <v>0</v>
      </c>
      <c r="Y12" s="68">
        <f ca="1">IFERROR(SUMIFS(INDIRECT(Y$1&amp;"!$C:$C"),INDIRECT(Y$1&amp;"!$B:$B"),'Tiền Hàng'!$B12)*$C12,0)</f>
        <v>0</v>
      </c>
      <c r="Z12" s="68">
        <f ca="1">IFERROR(SUMIFS(INDIRECT(Z$1&amp;"!$C:$C"),INDIRECT(Z$1&amp;"!$B:$B"),'Tiền Hàng'!$B12)*$C12,0)</f>
        <v>0</v>
      </c>
      <c r="AA12" s="68">
        <f ca="1">IFERROR(SUMIFS(INDIRECT(AA$1&amp;"!$C:$C"),INDIRECT(AA$1&amp;"!$B:$B"),'Tiền Hàng'!$B12)*$C12,0)</f>
        <v>0</v>
      </c>
      <c r="AB12" s="68">
        <f ca="1">IFERROR(SUMIFS(INDIRECT(AB$1&amp;"!$C:$C"),INDIRECT(AB$1&amp;"!$B:$B"),'Tiền Hàng'!$B12)*$C12,0)</f>
        <v>0</v>
      </c>
      <c r="AC12" s="68">
        <f ca="1">IFERROR(SUMIFS(INDIRECT(AC$1&amp;"!$C:$C"),INDIRECT(AC$1&amp;"!$B:$B"),'Tiền Hàng'!$B12)*$C12,0)</f>
        <v>0</v>
      </c>
      <c r="AD12" s="68">
        <f ca="1">IFERROR(SUMIFS(INDIRECT(AD$1&amp;"!$C:$C"),INDIRECT(AD$1&amp;"!$B:$B"),'Tiền Hàng'!$B12)*$C12,0)</f>
        <v>0</v>
      </c>
      <c r="AE12" s="68">
        <f ca="1">IFERROR(SUMIFS(INDIRECT(AE$1&amp;"!$C:$C"),INDIRECT(AE$1&amp;"!$B:$B"),'Tiền Hàng'!$B12)*$C12,0)</f>
        <v>0</v>
      </c>
      <c r="AF12" s="68">
        <f ca="1">IFERROR(SUMIFS(INDIRECT(AF$1&amp;"!$C:$C"),INDIRECT(AF$1&amp;"!$B:$B"),'Tiền Hàng'!$B12)*$C12,0)</f>
        <v>0</v>
      </c>
      <c r="AG12" s="68">
        <f ca="1">IFERROR(SUMIFS(INDIRECT(AG$1&amp;"!$C:$C"),INDIRECT(AG$1&amp;"!$B:$B"),'Tiền Hàng'!$B12)*$C12,0)</f>
        <v>0</v>
      </c>
      <c r="AH12" s="68">
        <f ca="1">IFERROR(SUMIFS(INDIRECT(AH$1&amp;"!$C:$C"),INDIRECT(AH$1&amp;"!$B:$B"),'Tiền Hàng'!$B12)*$C12,0)</f>
        <v>0</v>
      </c>
      <c r="AI12" s="68">
        <f ca="1">IFERROR(SUMIFS(INDIRECT(AI$1&amp;"!$C:$C"),INDIRECT(AI$1&amp;"!$B:$B"),'Tiền Hàng'!$B12)*$C12,0)</f>
        <v>0</v>
      </c>
      <c r="AJ12" s="68">
        <f ca="1">IFERROR(SUMIFS(INDIRECT(AJ$1&amp;"!$C:$C"),INDIRECT(AJ$1&amp;"!$B:$B"),'Tiền Hàng'!$B12)*$C12,0)</f>
        <v>0</v>
      </c>
      <c r="AK12" s="68">
        <f ca="1">IFERROR(SUMIFS(INDIRECT(AK$1&amp;"!$C:$C"),INDIRECT(AK$1&amp;"!$B:$B"),'Tiền Hàng'!$B12)*$C12,0)</f>
        <v>0</v>
      </c>
    </row>
    <row r="13" spans="1:37" x14ac:dyDescent="0.25">
      <c r="A13" s="50">
        <v>11</v>
      </c>
      <c r="B13" s="30" t="s">
        <v>4</v>
      </c>
      <c r="C13" s="59">
        <v>42</v>
      </c>
      <c r="D13" s="62">
        <f t="shared" ca="1" si="1"/>
        <v>3.7651277454056477E-2</v>
      </c>
      <c r="E13" s="65">
        <f ca="1">D13*'Chi phí'!$B$2/(F13/C13*Table1[[#This Row],[DON VI NHAP]])</f>
        <v>0.25952487673688929</v>
      </c>
      <c r="F13" s="56">
        <f t="shared" ca="1" si="2"/>
        <v>168</v>
      </c>
      <c r="G13" s="68">
        <f ca="1">IFERROR(SUMIFS(INDIRECT(G$1&amp;"!$C:$C"),INDIRECT(G$1&amp;"!$B:$B"),'Tiền Hàng'!$B13)*$C13,0)</f>
        <v>0</v>
      </c>
      <c r="H13" s="68">
        <f ca="1">IFERROR(SUMIFS(INDIRECT(H$1&amp;"!$C:$C"),INDIRECT(H$1&amp;"!$B:$B"),'Tiền Hàng'!$B13)*$C13,0)</f>
        <v>42</v>
      </c>
      <c r="I13" s="68">
        <f ca="1">IFERROR(SUMIFS(INDIRECT(I$1&amp;"!$C:$C"),INDIRECT(I$1&amp;"!$B:$B"),'Tiền Hàng'!$B13)*$C13,0)</f>
        <v>0</v>
      </c>
      <c r="J13" s="68">
        <f ca="1">IFERROR(SUMIFS(INDIRECT(J$1&amp;"!$C:$C"),INDIRECT(J$1&amp;"!$B:$B"),'Tiền Hàng'!$B13)*$C13,0)</f>
        <v>42</v>
      </c>
      <c r="K13" s="68">
        <f ca="1">IFERROR(SUMIFS(INDIRECT(K$1&amp;"!$C:$C"),INDIRECT(K$1&amp;"!$B:$B"),'Tiền Hàng'!$B13)*$C13,0)</f>
        <v>42</v>
      </c>
      <c r="L13" s="68">
        <f ca="1">IFERROR(SUMIFS(INDIRECT(L$1&amp;"!$C:$C"),INDIRECT(L$1&amp;"!$B:$B"),'Tiền Hàng'!$B13)*$C13,0)</f>
        <v>42</v>
      </c>
      <c r="M13" s="68">
        <f ca="1">IFERROR(SUMIFS(INDIRECT(M$1&amp;"!$C:$C"),INDIRECT(M$1&amp;"!$B:$B"),'Tiền Hàng'!$B13)*$C13,0)</f>
        <v>0</v>
      </c>
      <c r="N13" s="68">
        <f ca="1">IFERROR(SUMIFS(INDIRECT(N$1&amp;"!$C:$C"),INDIRECT(N$1&amp;"!$B:$B"),'Tiền Hàng'!$B13)*$C13,0)</f>
        <v>0</v>
      </c>
      <c r="O13" s="68">
        <f ca="1">IFERROR(SUMIFS(INDIRECT(O$1&amp;"!$C:$C"),INDIRECT(O$1&amp;"!$B:$B"),'Tiền Hàng'!$B13)*$C13,0)</f>
        <v>0</v>
      </c>
      <c r="P13" s="68">
        <f ca="1">IFERROR(SUMIFS(INDIRECT(P$1&amp;"!$C:$C"),INDIRECT(P$1&amp;"!$B:$B"),'Tiền Hàng'!$B13)*$C13,0)</f>
        <v>0</v>
      </c>
      <c r="Q13" s="68">
        <f ca="1">IFERROR(SUMIFS(INDIRECT(Q$1&amp;"!$C:$C"),INDIRECT(Q$1&amp;"!$B:$B"),'Tiền Hàng'!$B13)*$C13,0)</f>
        <v>0</v>
      </c>
      <c r="R13" s="68">
        <f ca="1">IFERROR(SUMIFS(INDIRECT(R$1&amp;"!$C:$C"),INDIRECT(R$1&amp;"!$B:$B"),'Tiền Hàng'!$B13)*$C13,0)</f>
        <v>0</v>
      </c>
      <c r="S13" s="68">
        <f ca="1">IFERROR(SUMIFS(INDIRECT(S$1&amp;"!$C:$C"),INDIRECT(S$1&amp;"!$B:$B"),'Tiền Hàng'!$B13)*$C13,0)</f>
        <v>0</v>
      </c>
      <c r="T13" s="68">
        <f ca="1">IFERROR(SUMIFS(INDIRECT(T$1&amp;"!$C:$C"),INDIRECT(T$1&amp;"!$B:$B"),'Tiền Hàng'!$B13)*$C13,0)</f>
        <v>0</v>
      </c>
      <c r="U13" s="68">
        <f ca="1">IFERROR(SUMIFS(INDIRECT(U$1&amp;"!$C:$C"),INDIRECT(U$1&amp;"!$B:$B"),'Tiền Hàng'!$B13)*$C13,0)</f>
        <v>0</v>
      </c>
      <c r="V13" s="68">
        <f ca="1">IFERROR(SUMIFS(INDIRECT(V$1&amp;"!$C:$C"),INDIRECT(V$1&amp;"!$B:$B"),'Tiền Hàng'!$B13)*$C13,0)</f>
        <v>0</v>
      </c>
      <c r="W13" s="68">
        <f ca="1">IFERROR(SUMIFS(INDIRECT(W$1&amp;"!$C:$C"),INDIRECT(W$1&amp;"!$B:$B"),'Tiền Hàng'!$B13)*$C13,0)</f>
        <v>0</v>
      </c>
      <c r="X13" s="68">
        <f ca="1">IFERROR(SUMIFS(INDIRECT(X$1&amp;"!$C:$C"),INDIRECT(X$1&amp;"!$B:$B"),'Tiền Hàng'!$B13)*$C13,0)</f>
        <v>0</v>
      </c>
      <c r="Y13" s="68">
        <f ca="1">IFERROR(SUMIFS(INDIRECT(Y$1&amp;"!$C:$C"),INDIRECT(Y$1&amp;"!$B:$B"),'Tiền Hàng'!$B13)*$C13,0)</f>
        <v>0</v>
      </c>
      <c r="Z13" s="68">
        <f ca="1">IFERROR(SUMIFS(INDIRECT(Z$1&amp;"!$C:$C"),INDIRECT(Z$1&amp;"!$B:$B"),'Tiền Hàng'!$B13)*$C13,0)</f>
        <v>0</v>
      </c>
      <c r="AA13" s="68">
        <f ca="1">IFERROR(SUMIFS(INDIRECT(AA$1&amp;"!$C:$C"),INDIRECT(AA$1&amp;"!$B:$B"),'Tiền Hàng'!$B13)*$C13,0)</f>
        <v>0</v>
      </c>
      <c r="AB13" s="68">
        <f ca="1">IFERROR(SUMIFS(INDIRECT(AB$1&amp;"!$C:$C"),INDIRECT(AB$1&amp;"!$B:$B"),'Tiền Hàng'!$B13)*$C13,0)</f>
        <v>0</v>
      </c>
      <c r="AC13" s="68">
        <f ca="1">IFERROR(SUMIFS(INDIRECT(AC$1&amp;"!$C:$C"),INDIRECT(AC$1&amp;"!$B:$B"),'Tiền Hàng'!$B13)*$C13,0)</f>
        <v>0</v>
      </c>
      <c r="AD13" s="68">
        <f ca="1">IFERROR(SUMIFS(INDIRECT(AD$1&amp;"!$C:$C"),INDIRECT(AD$1&amp;"!$B:$B"),'Tiền Hàng'!$B13)*$C13,0)</f>
        <v>0</v>
      </c>
      <c r="AE13" s="68">
        <f ca="1">IFERROR(SUMIFS(INDIRECT(AE$1&amp;"!$C:$C"),INDIRECT(AE$1&amp;"!$B:$B"),'Tiền Hàng'!$B13)*$C13,0)</f>
        <v>0</v>
      </c>
      <c r="AF13" s="68">
        <f ca="1">IFERROR(SUMIFS(INDIRECT(AF$1&amp;"!$C:$C"),INDIRECT(AF$1&amp;"!$B:$B"),'Tiền Hàng'!$B13)*$C13,0)</f>
        <v>0</v>
      </c>
      <c r="AG13" s="68">
        <f ca="1">IFERROR(SUMIFS(INDIRECT(AG$1&amp;"!$C:$C"),INDIRECT(AG$1&amp;"!$B:$B"),'Tiền Hàng'!$B13)*$C13,0)</f>
        <v>0</v>
      </c>
      <c r="AH13" s="68">
        <f ca="1">IFERROR(SUMIFS(INDIRECT(AH$1&amp;"!$C:$C"),INDIRECT(AH$1&amp;"!$B:$B"),'Tiền Hàng'!$B13)*$C13,0)</f>
        <v>0</v>
      </c>
      <c r="AI13" s="68">
        <f ca="1">IFERROR(SUMIFS(INDIRECT(AI$1&amp;"!$C:$C"),INDIRECT(AI$1&amp;"!$B:$B"),'Tiền Hàng'!$B13)*$C13,0)</f>
        <v>0</v>
      </c>
      <c r="AJ13" s="68">
        <f ca="1">IFERROR(SUMIFS(INDIRECT(AJ$1&amp;"!$C:$C"),INDIRECT(AJ$1&amp;"!$B:$B"),'Tiền Hàng'!$B13)*$C13,0)</f>
        <v>0</v>
      </c>
      <c r="AK13" s="68">
        <f ca="1">IFERROR(SUMIFS(INDIRECT(AK$1&amp;"!$C:$C"),INDIRECT(AK$1&amp;"!$B:$B"),'Tiền Hàng'!$B13)*$C13,0)</f>
        <v>0</v>
      </c>
    </row>
    <row r="14" spans="1:37" x14ac:dyDescent="0.25">
      <c r="A14" s="26">
        <v>12</v>
      </c>
      <c r="B14" s="30" t="s">
        <v>69</v>
      </c>
      <c r="C14" s="59">
        <v>48</v>
      </c>
      <c r="D14" s="62">
        <f t="shared" ref="D14" ca="1" si="3">F14/$F$2</f>
        <v>5.3787539220080678E-2</v>
      </c>
      <c r="E14" s="65">
        <f ca="1">D14*'Chi phí'!$B$2/(F14/C14*Table1[[#This Row],[DON VI NHAP]])</f>
        <v>0.25952487673688929</v>
      </c>
      <c r="F14" s="56">
        <f t="shared" ref="F14" ca="1" si="4">SUM(G14:AK14)</f>
        <v>240</v>
      </c>
      <c r="G14" s="68">
        <f ca="1">IFERROR(SUMIFS(INDIRECT(G$1&amp;"!$C:$C"),INDIRECT(G$1&amp;"!$B:$B"),'Tiền Hàng'!$B14)*$C14,0)</f>
        <v>0</v>
      </c>
      <c r="H14" s="68">
        <f ca="1">IFERROR(SUMIFS(INDIRECT(H$1&amp;"!$C:$C"),INDIRECT(H$1&amp;"!$B:$B"),'Tiền Hàng'!$B14)*$C14,0)</f>
        <v>0</v>
      </c>
      <c r="I14" s="68">
        <f ca="1">IFERROR(SUMIFS(INDIRECT(I$1&amp;"!$C:$C"),INDIRECT(I$1&amp;"!$B:$B"),'Tiền Hàng'!$B14)*$C14,0)</f>
        <v>0</v>
      </c>
      <c r="J14" s="68">
        <f ca="1">IFERROR(SUMIFS(INDIRECT(J$1&amp;"!$C:$C"),INDIRECT(J$1&amp;"!$B:$B"),'Tiền Hàng'!$B14)*$C14,0)</f>
        <v>48</v>
      </c>
      <c r="K14" s="68">
        <f ca="1">IFERROR(SUMIFS(INDIRECT(K$1&amp;"!$C:$C"),INDIRECT(K$1&amp;"!$B:$B"),'Tiền Hàng'!$B14)*$C14,0)</f>
        <v>48</v>
      </c>
      <c r="L14" s="68">
        <f ca="1">IFERROR(SUMIFS(INDIRECT(L$1&amp;"!$C:$C"),INDIRECT(L$1&amp;"!$B:$B"),'Tiền Hàng'!$B14)*$C14,0)</f>
        <v>48</v>
      </c>
      <c r="M14" s="68">
        <f ca="1">IFERROR(SUMIFS(INDIRECT(M$1&amp;"!$C:$C"),INDIRECT(M$1&amp;"!$B:$B"),'Tiền Hàng'!$B14)*$C14,0)</f>
        <v>96</v>
      </c>
      <c r="N14" s="68">
        <f ca="1">IFERROR(SUMIFS(INDIRECT(N$1&amp;"!$C:$C"),INDIRECT(N$1&amp;"!$B:$B"),'Tiền Hàng'!$B14)*$C14,0)</f>
        <v>0</v>
      </c>
      <c r="O14" s="68">
        <f ca="1">IFERROR(SUMIFS(INDIRECT(O$1&amp;"!$C:$C"),INDIRECT(O$1&amp;"!$B:$B"),'Tiền Hàng'!$B14)*$C14,0)</f>
        <v>0</v>
      </c>
      <c r="P14" s="68">
        <f ca="1">IFERROR(SUMIFS(INDIRECT(P$1&amp;"!$C:$C"),INDIRECT(P$1&amp;"!$B:$B"),'Tiền Hàng'!$B14)*$C14,0)</f>
        <v>0</v>
      </c>
      <c r="Q14" s="68">
        <f ca="1">IFERROR(SUMIFS(INDIRECT(Q$1&amp;"!$C:$C"),INDIRECT(Q$1&amp;"!$B:$B"),'Tiền Hàng'!$B14)*$C14,0)</f>
        <v>0</v>
      </c>
      <c r="R14" s="68">
        <f ca="1">IFERROR(SUMIFS(INDIRECT(R$1&amp;"!$C:$C"),INDIRECT(R$1&amp;"!$B:$B"),'Tiền Hàng'!$B14)*$C14,0)</f>
        <v>0</v>
      </c>
      <c r="S14" s="68">
        <f ca="1">IFERROR(SUMIFS(INDIRECT(S$1&amp;"!$C:$C"),INDIRECT(S$1&amp;"!$B:$B"),'Tiền Hàng'!$B14)*$C14,0)</f>
        <v>0</v>
      </c>
      <c r="T14" s="68">
        <f ca="1">IFERROR(SUMIFS(INDIRECT(T$1&amp;"!$C:$C"),INDIRECT(T$1&amp;"!$B:$B"),'Tiền Hàng'!$B14)*$C14,0)</f>
        <v>0</v>
      </c>
      <c r="U14" s="68">
        <f ca="1">IFERROR(SUMIFS(INDIRECT(U$1&amp;"!$C:$C"),INDIRECT(U$1&amp;"!$B:$B"),'Tiền Hàng'!$B14)*$C14,0)</f>
        <v>0</v>
      </c>
      <c r="V14" s="68">
        <f ca="1">IFERROR(SUMIFS(INDIRECT(V$1&amp;"!$C:$C"),INDIRECT(V$1&amp;"!$B:$B"),'Tiền Hàng'!$B14)*$C14,0)</f>
        <v>0</v>
      </c>
      <c r="W14" s="68">
        <f ca="1">IFERROR(SUMIFS(INDIRECT(W$1&amp;"!$C:$C"),INDIRECT(W$1&amp;"!$B:$B"),'Tiền Hàng'!$B14)*$C14,0)</f>
        <v>0</v>
      </c>
      <c r="X14" s="68">
        <f ca="1">IFERROR(SUMIFS(INDIRECT(X$1&amp;"!$C:$C"),INDIRECT(X$1&amp;"!$B:$B"),'Tiền Hàng'!$B14)*$C14,0)</f>
        <v>0</v>
      </c>
      <c r="Y14" s="68">
        <f ca="1">IFERROR(SUMIFS(INDIRECT(Y$1&amp;"!$C:$C"),INDIRECT(Y$1&amp;"!$B:$B"),'Tiền Hàng'!$B14)*$C14,0)</f>
        <v>0</v>
      </c>
      <c r="Z14" s="68">
        <f ca="1">IFERROR(SUMIFS(INDIRECT(Z$1&amp;"!$C:$C"),INDIRECT(Z$1&amp;"!$B:$B"),'Tiền Hàng'!$B14)*$C14,0)</f>
        <v>0</v>
      </c>
      <c r="AA14" s="68">
        <f ca="1">IFERROR(SUMIFS(INDIRECT(AA$1&amp;"!$C:$C"),INDIRECT(AA$1&amp;"!$B:$B"),'Tiền Hàng'!$B14)*$C14,0)</f>
        <v>0</v>
      </c>
      <c r="AB14" s="68">
        <f ca="1">IFERROR(SUMIFS(INDIRECT(AB$1&amp;"!$C:$C"),INDIRECT(AB$1&amp;"!$B:$B"),'Tiền Hàng'!$B14)*$C14,0)</f>
        <v>0</v>
      </c>
      <c r="AC14" s="68">
        <f ca="1">IFERROR(SUMIFS(INDIRECT(AC$1&amp;"!$C:$C"),INDIRECT(AC$1&amp;"!$B:$B"),'Tiền Hàng'!$B14)*$C14,0)</f>
        <v>0</v>
      </c>
      <c r="AD14" s="68">
        <f ca="1">IFERROR(SUMIFS(INDIRECT(AD$1&amp;"!$C:$C"),INDIRECT(AD$1&amp;"!$B:$B"),'Tiền Hàng'!$B14)*$C14,0)</f>
        <v>0</v>
      </c>
      <c r="AE14" s="68">
        <f ca="1">IFERROR(SUMIFS(INDIRECT(AE$1&amp;"!$C:$C"),INDIRECT(AE$1&amp;"!$B:$B"),'Tiền Hàng'!$B14)*$C14,0)</f>
        <v>0</v>
      </c>
      <c r="AF14" s="68">
        <f ca="1">IFERROR(SUMIFS(INDIRECT(AF$1&amp;"!$C:$C"),INDIRECT(AF$1&amp;"!$B:$B"),'Tiền Hàng'!$B14)*$C14,0)</f>
        <v>0</v>
      </c>
      <c r="AG14" s="68">
        <f ca="1">IFERROR(SUMIFS(INDIRECT(AG$1&amp;"!$C:$C"),INDIRECT(AG$1&amp;"!$B:$B"),'Tiền Hàng'!$B14)*$C14,0)</f>
        <v>0</v>
      </c>
      <c r="AH14" s="68">
        <f ca="1">IFERROR(SUMIFS(INDIRECT(AH$1&amp;"!$C:$C"),INDIRECT(AH$1&amp;"!$B:$B"),'Tiền Hàng'!$B14)*$C14,0)</f>
        <v>0</v>
      </c>
      <c r="AI14" s="68">
        <f ca="1">IFERROR(SUMIFS(INDIRECT(AI$1&amp;"!$C:$C"),INDIRECT(AI$1&amp;"!$B:$B"),'Tiền Hàng'!$B14)*$C14,0)</f>
        <v>0</v>
      </c>
      <c r="AJ14" s="68">
        <f ca="1">IFERROR(SUMIFS(INDIRECT(AJ$1&amp;"!$C:$C"),INDIRECT(AJ$1&amp;"!$B:$B"),'Tiền Hàng'!$B14)*$C14,0)</f>
        <v>0</v>
      </c>
      <c r="AK14" s="68">
        <f ca="1">IFERROR(SUMIFS(INDIRECT(AK$1&amp;"!$C:$C"),INDIRECT(AK$1&amp;"!$B:$B"),'Tiền Hàng'!$B14)*$C14,0)</f>
        <v>0</v>
      </c>
    </row>
    <row r="15" spans="1:37" x14ac:dyDescent="0.25">
      <c r="A15" s="50">
        <v>13</v>
      </c>
      <c r="B15" s="30" t="s">
        <v>12</v>
      </c>
      <c r="C15" s="59">
        <v>45</v>
      </c>
      <c r="D15" s="62">
        <f t="shared" ca="1" si="1"/>
        <v>5.042581801882564E-2</v>
      </c>
      <c r="E15" s="65">
        <f ca="1">D15*'Chi phí'!$B$2/(F15/C15*Table1[[#This Row],[DON VI NHAP]])</f>
        <v>0.25952487673688929</v>
      </c>
      <c r="F15" s="56">
        <f t="shared" ca="1" si="2"/>
        <v>225</v>
      </c>
      <c r="G15" s="68">
        <f ca="1">IFERROR(SUMIFS(INDIRECT(G$1&amp;"!$C:$C"),INDIRECT(G$1&amp;"!$B:$B"),'Tiền Hàng'!$B15)*$C15,0)</f>
        <v>90</v>
      </c>
      <c r="H15" s="68">
        <f ca="1">IFERROR(SUMIFS(INDIRECT(H$1&amp;"!$C:$C"),INDIRECT(H$1&amp;"!$B:$B"),'Tiền Hàng'!$B15)*$C15,0)</f>
        <v>90</v>
      </c>
      <c r="I15" s="68">
        <f ca="1">IFERROR(SUMIFS(INDIRECT(I$1&amp;"!$C:$C"),INDIRECT(I$1&amp;"!$B:$B"),'Tiền Hàng'!$B15)*$C15,0)</f>
        <v>0</v>
      </c>
      <c r="J15" s="68">
        <f ca="1">IFERROR(SUMIFS(INDIRECT(J$1&amp;"!$C:$C"),INDIRECT(J$1&amp;"!$B:$B"),'Tiền Hàng'!$B15)*$C15,0)</f>
        <v>0</v>
      </c>
      <c r="K15" s="68">
        <f ca="1">IFERROR(SUMIFS(INDIRECT(K$1&amp;"!$C:$C"),INDIRECT(K$1&amp;"!$B:$B"),'Tiền Hàng'!$B15)*$C15,0)</f>
        <v>0</v>
      </c>
      <c r="L15" s="68">
        <f ca="1">IFERROR(SUMIFS(INDIRECT(L$1&amp;"!$C:$C"),INDIRECT(L$1&amp;"!$B:$B"),'Tiền Hàng'!$B15)*$C15,0)</f>
        <v>0</v>
      </c>
      <c r="M15" s="68">
        <f ca="1">IFERROR(SUMIFS(INDIRECT(M$1&amp;"!$C:$C"),INDIRECT(M$1&amp;"!$B:$B"),'Tiền Hàng'!$B15)*$C15,0)</f>
        <v>45</v>
      </c>
      <c r="N15" s="68">
        <f ca="1">IFERROR(SUMIFS(INDIRECT(N$1&amp;"!$C:$C"),INDIRECT(N$1&amp;"!$B:$B"),'Tiền Hàng'!$B15)*$C15,0)</f>
        <v>0</v>
      </c>
      <c r="O15" s="68">
        <f ca="1">IFERROR(SUMIFS(INDIRECT(O$1&amp;"!$C:$C"),INDIRECT(O$1&amp;"!$B:$B"),'Tiền Hàng'!$B15)*$C15,0)</f>
        <v>0</v>
      </c>
      <c r="P15" s="68">
        <f ca="1">IFERROR(SUMIFS(INDIRECT(P$1&amp;"!$C:$C"),INDIRECT(P$1&amp;"!$B:$B"),'Tiền Hàng'!$B15)*$C15,0)</f>
        <v>0</v>
      </c>
      <c r="Q15" s="68">
        <f ca="1">IFERROR(SUMIFS(INDIRECT(Q$1&amp;"!$C:$C"),INDIRECT(Q$1&amp;"!$B:$B"),'Tiền Hàng'!$B15)*$C15,0)</f>
        <v>0</v>
      </c>
      <c r="R15" s="68">
        <f ca="1">IFERROR(SUMIFS(INDIRECT(R$1&amp;"!$C:$C"),INDIRECT(R$1&amp;"!$B:$B"),'Tiền Hàng'!$B15)*$C15,0)</f>
        <v>0</v>
      </c>
      <c r="S15" s="68">
        <f ca="1">IFERROR(SUMIFS(INDIRECT(S$1&amp;"!$C:$C"),INDIRECT(S$1&amp;"!$B:$B"),'Tiền Hàng'!$B15)*$C15,0)</f>
        <v>0</v>
      </c>
      <c r="T15" s="68">
        <f ca="1">IFERROR(SUMIFS(INDIRECT(T$1&amp;"!$C:$C"),INDIRECT(T$1&amp;"!$B:$B"),'Tiền Hàng'!$B15)*$C15,0)</f>
        <v>0</v>
      </c>
      <c r="U15" s="68">
        <f ca="1">IFERROR(SUMIFS(INDIRECT(U$1&amp;"!$C:$C"),INDIRECT(U$1&amp;"!$B:$B"),'Tiền Hàng'!$B15)*$C15,0)</f>
        <v>0</v>
      </c>
      <c r="V15" s="68">
        <f ca="1">IFERROR(SUMIFS(INDIRECT(V$1&amp;"!$C:$C"),INDIRECT(V$1&amp;"!$B:$B"),'Tiền Hàng'!$B15)*$C15,0)</f>
        <v>0</v>
      </c>
      <c r="W15" s="68">
        <f ca="1">IFERROR(SUMIFS(INDIRECT(W$1&amp;"!$C:$C"),INDIRECT(W$1&amp;"!$B:$B"),'Tiền Hàng'!$B15)*$C15,0)</f>
        <v>0</v>
      </c>
      <c r="X15" s="68">
        <f ca="1">IFERROR(SUMIFS(INDIRECT(X$1&amp;"!$C:$C"),INDIRECT(X$1&amp;"!$B:$B"),'Tiền Hàng'!$B15)*$C15,0)</f>
        <v>0</v>
      </c>
      <c r="Y15" s="68">
        <f ca="1">IFERROR(SUMIFS(INDIRECT(Y$1&amp;"!$C:$C"),INDIRECT(Y$1&amp;"!$B:$B"),'Tiền Hàng'!$B15)*$C15,0)</f>
        <v>0</v>
      </c>
      <c r="Z15" s="68">
        <f ca="1">IFERROR(SUMIFS(INDIRECT(Z$1&amp;"!$C:$C"),INDIRECT(Z$1&amp;"!$B:$B"),'Tiền Hàng'!$B15)*$C15,0)</f>
        <v>0</v>
      </c>
      <c r="AA15" s="68">
        <f ca="1">IFERROR(SUMIFS(INDIRECT(AA$1&amp;"!$C:$C"),INDIRECT(AA$1&amp;"!$B:$B"),'Tiền Hàng'!$B15)*$C15,0)</f>
        <v>0</v>
      </c>
      <c r="AB15" s="68">
        <f ca="1">IFERROR(SUMIFS(INDIRECT(AB$1&amp;"!$C:$C"),INDIRECT(AB$1&amp;"!$B:$B"),'Tiền Hàng'!$B15)*$C15,0)</f>
        <v>0</v>
      </c>
      <c r="AC15" s="68">
        <f ca="1">IFERROR(SUMIFS(INDIRECT(AC$1&amp;"!$C:$C"),INDIRECT(AC$1&amp;"!$B:$B"),'Tiền Hàng'!$B15)*$C15,0)</f>
        <v>0</v>
      </c>
      <c r="AD15" s="68">
        <f ca="1">IFERROR(SUMIFS(INDIRECT(AD$1&amp;"!$C:$C"),INDIRECT(AD$1&amp;"!$B:$B"),'Tiền Hàng'!$B15)*$C15,0)</f>
        <v>0</v>
      </c>
      <c r="AE15" s="68">
        <f ca="1">IFERROR(SUMIFS(INDIRECT(AE$1&amp;"!$C:$C"),INDIRECT(AE$1&amp;"!$B:$B"),'Tiền Hàng'!$B15)*$C15,0)</f>
        <v>0</v>
      </c>
      <c r="AF15" s="68">
        <f ca="1">IFERROR(SUMIFS(INDIRECT(AF$1&amp;"!$C:$C"),INDIRECT(AF$1&amp;"!$B:$B"),'Tiền Hàng'!$B15)*$C15,0)</f>
        <v>0</v>
      </c>
      <c r="AG15" s="68">
        <f ca="1">IFERROR(SUMIFS(INDIRECT(AG$1&amp;"!$C:$C"),INDIRECT(AG$1&amp;"!$B:$B"),'Tiền Hàng'!$B15)*$C15,0)</f>
        <v>0</v>
      </c>
      <c r="AH15" s="68">
        <f ca="1">IFERROR(SUMIFS(INDIRECT(AH$1&amp;"!$C:$C"),INDIRECT(AH$1&amp;"!$B:$B"),'Tiền Hàng'!$B15)*$C15,0)</f>
        <v>0</v>
      </c>
      <c r="AI15" s="68">
        <f ca="1">IFERROR(SUMIFS(INDIRECT(AI$1&amp;"!$C:$C"),INDIRECT(AI$1&amp;"!$B:$B"),'Tiền Hàng'!$B15)*$C15,0)</f>
        <v>0</v>
      </c>
      <c r="AJ15" s="68">
        <f ca="1">IFERROR(SUMIFS(INDIRECT(AJ$1&amp;"!$C:$C"),INDIRECT(AJ$1&amp;"!$B:$B"),'Tiền Hàng'!$B15)*$C15,0)</f>
        <v>0</v>
      </c>
      <c r="AK15" s="68">
        <f ca="1">IFERROR(SUMIFS(INDIRECT(AK$1&amp;"!$C:$C"),INDIRECT(AK$1&amp;"!$B:$B"),'Tiền Hàng'!$B15)*$C15,0)</f>
        <v>0</v>
      </c>
    </row>
    <row r="16" spans="1:37" x14ac:dyDescent="0.25">
      <c r="A16" s="26">
        <v>14</v>
      </c>
      <c r="B16" s="30" t="s">
        <v>11</v>
      </c>
      <c r="C16" s="59">
        <v>35</v>
      </c>
      <c r="D16" s="62">
        <f t="shared" ca="1" si="1"/>
        <v>1.5688032272523533E-2</v>
      </c>
      <c r="E16" s="65">
        <f ca="1">D16*'Chi phí'!$B$2/(F16/C16*Table1[[#This Row],[DON VI NHAP]])</f>
        <v>0.20185268190646946</v>
      </c>
      <c r="F16" s="56">
        <f t="shared" ca="1" si="2"/>
        <v>70</v>
      </c>
      <c r="G16" s="68">
        <f ca="1">IFERROR(SUMIFS(INDIRECT(G$1&amp;"!$C:$C"),INDIRECT(G$1&amp;"!$B:$B"),'Tiền Hàng'!$B16)*$C16,0)</f>
        <v>35</v>
      </c>
      <c r="H16" s="68">
        <f ca="1">IFERROR(SUMIFS(INDIRECT(H$1&amp;"!$C:$C"),INDIRECT(H$1&amp;"!$B:$B"),'Tiền Hàng'!$B16)*$C16,0)</f>
        <v>35</v>
      </c>
      <c r="I16" s="68">
        <f ca="1">IFERROR(SUMIFS(INDIRECT(I$1&amp;"!$C:$C"),INDIRECT(I$1&amp;"!$B:$B"),'Tiền Hàng'!$B16)*$C16,0)</f>
        <v>0</v>
      </c>
      <c r="J16" s="68">
        <f ca="1">IFERROR(SUMIFS(INDIRECT(J$1&amp;"!$C:$C"),INDIRECT(J$1&amp;"!$B:$B"),'Tiền Hàng'!$B16)*$C16,0)</f>
        <v>0</v>
      </c>
      <c r="K16" s="68">
        <f ca="1">IFERROR(SUMIFS(INDIRECT(K$1&amp;"!$C:$C"),INDIRECT(K$1&amp;"!$B:$B"),'Tiền Hàng'!$B16)*$C16,0)</f>
        <v>0</v>
      </c>
      <c r="L16" s="68">
        <f ca="1">IFERROR(SUMIFS(INDIRECT(L$1&amp;"!$C:$C"),INDIRECT(L$1&amp;"!$B:$B"),'Tiền Hàng'!$B16)*$C16,0)</f>
        <v>0</v>
      </c>
      <c r="M16" s="68">
        <f ca="1">IFERROR(SUMIFS(INDIRECT(M$1&amp;"!$C:$C"),INDIRECT(M$1&amp;"!$B:$B"),'Tiền Hàng'!$B16)*$C16,0)</f>
        <v>0</v>
      </c>
      <c r="N16" s="68">
        <f ca="1">IFERROR(SUMIFS(INDIRECT(N$1&amp;"!$C:$C"),INDIRECT(N$1&amp;"!$B:$B"),'Tiền Hàng'!$B16)*$C16,0)</f>
        <v>0</v>
      </c>
      <c r="O16" s="68">
        <f ca="1">IFERROR(SUMIFS(INDIRECT(O$1&amp;"!$C:$C"),INDIRECT(O$1&amp;"!$B:$B"),'Tiền Hàng'!$B16)*$C16,0)</f>
        <v>0</v>
      </c>
      <c r="P16" s="68">
        <f ca="1">IFERROR(SUMIFS(INDIRECT(P$1&amp;"!$C:$C"),INDIRECT(P$1&amp;"!$B:$B"),'Tiền Hàng'!$B16)*$C16,0)</f>
        <v>0</v>
      </c>
      <c r="Q16" s="68">
        <f ca="1">IFERROR(SUMIFS(INDIRECT(Q$1&amp;"!$C:$C"),INDIRECT(Q$1&amp;"!$B:$B"),'Tiền Hàng'!$B16)*$C16,0)</f>
        <v>0</v>
      </c>
      <c r="R16" s="68">
        <f ca="1">IFERROR(SUMIFS(INDIRECT(R$1&amp;"!$C:$C"),INDIRECT(R$1&amp;"!$B:$B"),'Tiền Hàng'!$B16)*$C16,0)</f>
        <v>0</v>
      </c>
      <c r="S16" s="68">
        <f ca="1">IFERROR(SUMIFS(INDIRECT(S$1&amp;"!$C:$C"),INDIRECT(S$1&amp;"!$B:$B"),'Tiền Hàng'!$B16)*$C16,0)</f>
        <v>0</v>
      </c>
      <c r="T16" s="68">
        <f ca="1">IFERROR(SUMIFS(INDIRECT(T$1&amp;"!$C:$C"),INDIRECT(T$1&amp;"!$B:$B"),'Tiền Hàng'!$B16)*$C16,0)</f>
        <v>0</v>
      </c>
      <c r="U16" s="68">
        <f ca="1">IFERROR(SUMIFS(INDIRECT(U$1&amp;"!$C:$C"),INDIRECT(U$1&amp;"!$B:$B"),'Tiền Hàng'!$B16)*$C16,0)</f>
        <v>0</v>
      </c>
      <c r="V16" s="68">
        <f ca="1">IFERROR(SUMIFS(INDIRECT(V$1&amp;"!$C:$C"),INDIRECT(V$1&amp;"!$B:$B"),'Tiền Hàng'!$B16)*$C16,0)</f>
        <v>0</v>
      </c>
      <c r="W16" s="68">
        <f ca="1">IFERROR(SUMIFS(INDIRECT(W$1&amp;"!$C:$C"),INDIRECT(W$1&amp;"!$B:$B"),'Tiền Hàng'!$B16)*$C16,0)</f>
        <v>0</v>
      </c>
      <c r="X16" s="68">
        <f ca="1">IFERROR(SUMIFS(INDIRECT(X$1&amp;"!$C:$C"),INDIRECT(X$1&amp;"!$B:$B"),'Tiền Hàng'!$B16)*$C16,0)</f>
        <v>0</v>
      </c>
      <c r="Y16" s="68">
        <f ca="1">IFERROR(SUMIFS(INDIRECT(Y$1&amp;"!$C:$C"),INDIRECT(Y$1&amp;"!$B:$B"),'Tiền Hàng'!$B16)*$C16,0)</f>
        <v>0</v>
      </c>
      <c r="Z16" s="68">
        <f ca="1">IFERROR(SUMIFS(INDIRECT(Z$1&amp;"!$C:$C"),INDIRECT(Z$1&amp;"!$B:$B"),'Tiền Hàng'!$B16)*$C16,0)</f>
        <v>0</v>
      </c>
      <c r="AA16" s="68">
        <f ca="1">IFERROR(SUMIFS(INDIRECT(AA$1&amp;"!$C:$C"),INDIRECT(AA$1&amp;"!$B:$B"),'Tiền Hàng'!$B16)*$C16,0)</f>
        <v>0</v>
      </c>
      <c r="AB16" s="68">
        <f ca="1">IFERROR(SUMIFS(INDIRECT(AB$1&amp;"!$C:$C"),INDIRECT(AB$1&amp;"!$B:$B"),'Tiền Hàng'!$B16)*$C16,0)</f>
        <v>0</v>
      </c>
      <c r="AC16" s="68">
        <f ca="1">IFERROR(SUMIFS(INDIRECT(AC$1&amp;"!$C:$C"),INDIRECT(AC$1&amp;"!$B:$B"),'Tiền Hàng'!$B16)*$C16,0)</f>
        <v>0</v>
      </c>
      <c r="AD16" s="68">
        <f ca="1">IFERROR(SUMIFS(INDIRECT(AD$1&amp;"!$C:$C"),INDIRECT(AD$1&amp;"!$B:$B"),'Tiền Hàng'!$B16)*$C16,0)</f>
        <v>0</v>
      </c>
      <c r="AE16" s="68">
        <f ca="1">IFERROR(SUMIFS(INDIRECT(AE$1&amp;"!$C:$C"),INDIRECT(AE$1&amp;"!$B:$B"),'Tiền Hàng'!$B16)*$C16,0)</f>
        <v>0</v>
      </c>
      <c r="AF16" s="68">
        <f ca="1">IFERROR(SUMIFS(INDIRECT(AF$1&amp;"!$C:$C"),INDIRECT(AF$1&amp;"!$B:$B"),'Tiền Hàng'!$B16)*$C16,0)</f>
        <v>0</v>
      </c>
      <c r="AG16" s="68">
        <f ca="1">IFERROR(SUMIFS(INDIRECT(AG$1&amp;"!$C:$C"),INDIRECT(AG$1&amp;"!$B:$B"),'Tiền Hàng'!$B16)*$C16,0)</f>
        <v>0</v>
      </c>
      <c r="AH16" s="68">
        <f ca="1">IFERROR(SUMIFS(INDIRECT(AH$1&amp;"!$C:$C"),INDIRECT(AH$1&amp;"!$B:$B"),'Tiền Hàng'!$B16)*$C16,0)</f>
        <v>0</v>
      </c>
      <c r="AI16" s="68">
        <f ca="1">IFERROR(SUMIFS(INDIRECT(AI$1&amp;"!$C:$C"),INDIRECT(AI$1&amp;"!$B:$B"),'Tiền Hàng'!$B16)*$C16,0)</f>
        <v>0</v>
      </c>
      <c r="AJ16" s="68">
        <f ca="1">IFERROR(SUMIFS(INDIRECT(AJ$1&amp;"!$C:$C"),INDIRECT(AJ$1&amp;"!$B:$B"),'Tiền Hàng'!$B16)*$C16,0)</f>
        <v>0</v>
      </c>
      <c r="AK16" s="68">
        <f ca="1">IFERROR(SUMIFS(INDIRECT(AK$1&amp;"!$C:$C"),INDIRECT(AK$1&amp;"!$B:$B"),'Tiền Hàng'!$B16)*$C16,0)</f>
        <v>0</v>
      </c>
    </row>
    <row r="17" spans="1:37" x14ac:dyDescent="0.25">
      <c r="A17" s="50">
        <v>15</v>
      </c>
      <c r="B17" s="30" t="s">
        <v>10</v>
      </c>
      <c r="C17" s="59">
        <v>52</v>
      </c>
      <c r="D17" s="62">
        <f t="shared" ca="1" si="1"/>
        <v>2.3307933662034961E-2</v>
      </c>
      <c r="E17" s="65">
        <f ca="1">D17*'Chi phí'!$B$2/(F17/C17*Table1[[#This Row],[DON VI NHAP]])</f>
        <v>0.34603316898251901</v>
      </c>
      <c r="F17" s="56">
        <f t="shared" ca="1" si="2"/>
        <v>104</v>
      </c>
      <c r="G17" s="68">
        <f ca="1">IFERROR(SUMIFS(INDIRECT(G$1&amp;"!$C:$C"),INDIRECT(G$1&amp;"!$B:$B"),'Tiền Hàng'!$B17)*$C17,0)</f>
        <v>104</v>
      </c>
      <c r="H17" s="68">
        <f ca="1">IFERROR(SUMIFS(INDIRECT(H$1&amp;"!$C:$C"),INDIRECT(H$1&amp;"!$B:$B"),'Tiền Hàng'!$B17)*$C17,0)</f>
        <v>0</v>
      </c>
      <c r="I17" s="68">
        <f ca="1">IFERROR(SUMIFS(INDIRECT(I$1&amp;"!$C:$C"),INDIRECT(I$1&amp;"!$B:$B"),'Tiền Hàng'!$B17)*$C17,0)</f>
        <v>0</v>
      </c>
      <c r="J17" s="68">
        <f ca="1">IFERROR(SUMIFS(INDIRECT(J$1&amp;"!$C:$C"),INDIRECT(J$1&amp;"!$B:$B"),'Tiền Hàng'!$B17)*$C17,0)</f>
        <v>0</v>
      </c>
      <c r="K17" s="68">
        <f ca="1">IFERROR(SUMIFS(INDIRECT(K$1&amp;"!$C:$C"),INDIRECT(K$1&amp;"!$B:$B"),'Tiền Hàng'!$B17)*$C17,0)</f>
        <v>0</v>
      </c>
      <c r="L17" s="68">
        <f ca="1">IFERROR(SUMIFS(INDIRECT(L$1&amp;"!$C:$C"),INDIRECT(L$1&amp;"!$B:$B"),'Tiền Hàng'!$B17)*$C17,0)</f>
        <v>0</v>
      </c>
      <c r="M17" s="68">
        <f ca="1">IFERROR(SUMIFS(INDIRECT(M$1&amp;"!$C:$C"),INDIRECT(M$1&amp;"!$B:$B"),'Tiền Hàng'!$B17)*$C17,0)</f>
        <v>0</v>
      </c>
      <c r="N17" s="68">
        <f ca="1">IFERROR(SUMIFS(INDIRECT(N$1&amp;"!$C:$C"),INDIRECT(N$1&amp;"!$B:$B"),'Tiền Hàng'!$B17)*$C17,0)</f>
        <v>0</v>
      </c>
      <c r="O17" s="68">
        <f ca="1">IFERROR(SUMIFS(INDIRECT(O$1&amp;"!$C:$C"),INDIRECT(O$1&amp;"!$B:$B"),'Tiền Hàng'!$B17)*$C17,0)</f>
        <v>0</v>
      </c>
      <c r="P17" s="68">
        <f ca="1">IFERROR(SUMIFS(INDIRECT(P$1&amp;"!$C:$C"),INDIRECT(P$1&amp;"!$B:$B"),'Tiền Hàng'!$B17)*$C17,0)</f>
        <v>0</v>
      </c>
      <c r="Q17" s="68">
        <f ca="1">IFERROR(SUMIFS(INDIRECT(Q$1&amp;"!$C:$C"),INDIRECT(Q$1&amp;"!$B:$B"),'Tiền Hàng'!$B17)*$C17,0)</f>
        <v>0</v>
      </c>
      <c r="R17" s="68">
        <f ca="1">IFERROR(SUMIFS(INDIRECT(R$1&amp;"!$C:$C"),INDIRECT(R$1&amp;"!$B:$B"),'Tiền Hàng'!$B17)*$C17,0)</f>
        <v>0</v>
      </c>
      <c r="S17" s="68">
        <f ca="1">IFERROR(SUMIFS(INDIRECT(S$1&amp;"!$C:$C"),INDIRECT(S$1&amp;"!$B:$B"),'Tiền Hàng'!$B17)*$C17,0)</f>
        <v>0</v>
      </c>
      <c r="T17" s="68">
        <f ca="1">IFERROR(SUMIFS(INDIRECT(T$1&amp;"!$C:$C"),INDIRECT(T$1&amp;"!$B:$B"),'Tiền Hàng'!$B17)*$C17,0)</f>
        <v>0</v>
      </c>
      <c r="U17" s="68">
        <f ca="1">IFERROR(SUMIFS(INDIRECT(U$1&amp;"!$C:$C"),INDIRECT(U$1&amp;"!$B:$B"),'Tiền Hàng'!$B17)*$C17,0)</f>
        <v>0</v>
      </c>
      <c r="V17" s="68">
        <f ca="1">IFERROR(SUMIFS(INDIRECT(V$1&amp;"!$C:$C"),INDIRECT(V$1&amp;"!$B:$B"),'Tiền Hàng'!$B17)*$C17,0)</f>
        <v>0</v>
      </c>
      <c r="W17" s="68">
        <f ca="1">IFERROR(SUMIFS(INDIRECT(W$1&amp;"!$C:$C"),INDIRECT(W$1&amp;"!$B:$B"),'Tiền Hàng'!$B17)*$C17,0)</f>
        <v>0</v>
      </c>
      <c r="X17" s="68">
        <f ca="1">IFERROR(SUMIFS(INDIRECT(X$1&amp;"!$C:$C"),INDIRECT(X$1&amp;"!$B:$B"),'Tiền Hàng'!$B17)*$C17,0)</f>
        <v>0</v>
      </c>
      <c r="Y17" s="68">
        <f ca="1">IFERROR(SUMIFS(INDIRECT(Y$1&amp;"!$C:$C"),INDIRECT(Y$1&amp;"!$B:$B"),'Tiền Hàng'!$B17)*$C17,0)</f>
        <v>0</v>
      </c>
      <c r="Z17" s="68">
        <f ca="1">IFERROR(SUMIFS(INDIRECT(Z$1&amp;"!$C:$C"),INDIRECT(Z$1&amp;"!$B:$B"),'Tiền Hàng'!$B17)*$C17,0)</f>
        <v>0</v>
      </c>
      <c r="AA17" s="68">
        <f ca="1">IFERROR(SUMIFS(INDIRECT(AA$1&amp;"!$C:$C"),INDIRECT(AA$1&amp;"!$B:$B"),'Tiền Hàng'!$B17)*$C17,0)</f>
        <v>0</v>
      </c>
      <c r="AB17" s="68">
        <f ca="1">IFERROR(SUMIFS(INDIRECT(AB$1&amp;"!$C:$C"),INDIRECT(AB$1&amp;"!$B:$B"),'Tiền Hàng'!$B17)*$C17,0)</f>
        <v>0</v>
      </c>
      <c r="AC17" s="68">
        <f ca="1">IFERROR(SUMIFS(INDIRECT(AC$1&amp;"!$C:$C"),INDIRECT(AC$1&amp;"!$B:$B"),'Tiền Hàng'!$B17)*$C17,0)</f>
        <v>0</v>
      </c>
      <c r="AD17" s="68">
        <f ca="1">IFERROR(SUMIFS(INDIRECT(AD$1&amp;"!$C:$C"),INDIRECT(AD$1&amp;"!$B:$B"),'Tiền Hàng'!$B17)*$C17,0)</f>
        <v>0</v>
      </c>
      <c r="AE17" s="68">
        <f ca="1">IFERROR(SUMIFS(INDIRECT(AE$1&amp;"!$C:$C"),INDIRECT(AE$1&amp;"!$B:$B"),'Tiền Hàng'!$B17)*$C17,0)</f>
        <v>0</v>
      </c>
      <c r="AF17" s="68">
        <f ca="1">IFERROR(SUMIFS(INDIRECT(AF$1&amp;"!$C:$C"),INDIRECT(AF$1&amp;"!$B:$B"),'Tiền Hàng'!$B17)*$C17,0)</f>
        <v>0</v>
      </c>
      <c r="AG17" s="68">
        <f ca="1">IFERROR(SUMIFS(INDIRECT(AG$1&amp;"!$C:$C"),INDIRECT(AG$1&amp;"!$B:$B"),'Tiền Hàng'!$B17)*$C17,0)</f>
        <v>0</v>
      </c>
      <c r="AH17" s="68">
        <f ca="1">IFERROR(SUMIFS(INDIRECT(AH$1&amp;"!$C:$C"),INDIRECT(AH$1&amp;"!$B:$B"),'Tiền Hàng'!$B17)*$C17,0)</f>
        <v>0</v>
      </c>
      <c r="AI17" s="68">
        <f ca="1">IFERROR(SUMIFS(INDIRECT(AI$1&amp;"!$C:$C"),INDIRECT(AI$1&amp;"!$B:$B"),'Tiền Hàng'!$B17)*$C17,0)</f>
        <v>0</v>
      </c>
      <c r="AJ17" s="68">
        <f ca="1">IFERROR(SUMIFS(INDIRECT(AJ$1&amp;"!$C:$C"),INDIRECT(AJ$1&amp;"!$B:$B"),'Tiền Hàng'!$B17)*$C17,0)</f>
        <v>0</v>
      </c>
      <c r="AK17" s="68">
        <f ca="1">IFERROR(SUMIFS(INDIRECT(AK$1&amp;"!$C:$C"),INDIRECT(AK$1&amp;"!$B:$B"),'Tiền Hàng'!$B17)*$C17,0)</f>
        <v>0</v>
      </c>
    </row>
    <row r="18" spans="1:37" x14ac:dyDescent="0.25">
      <c r="A18" s="26">
        <v>16</v>
      </c>
      <c r="B18" s="30" t="s">
        <v>9</v>
      </c>
      <c r="C18" s="59">
        <v>40</v>
      </c>
      <c r="D18" s="62">
        <f t="shared" ca="1" si="1"/>
        <v>4.4822949350067233E-2</v>
      </c>
      <c r="E18" s="65">
        <f ca="1">D18*'Chi phí'!$B$2/(F18/C18*Table1[[#This Row],[DON VI NHAP]])</f>
        <v>1.1534438966083969</v>
      </c>
      <c r="F18" s="56">
        <f t="shared" ca="1" si="2"/>
        <v>200</v>
      </c>
      <c r="G18" s="68">
        <f ca="1">IFERROR(SUMIFS(INDIRECT(G$1&amp;"!$C:$C"),INDIRECT(G$1&amp;"!$B:$B"),'Tiền Hàng'!$B18)*$C18,0)</f>
        <v>120</v>
      </c>
      <c r="H18" s="68">
        <f ca="1">IFERROR(SUMIFS(INDIRECT(H$1&amp;"!$C:$C"),INDIRECT(H$1&amp;"!$B:$B"),'Tiền Hàng'!$B18)*$C18,0)</f>
        <v>40</v>
      </c>
      <c r="I18" s="68">
        <f ca="1">IFERROR(SUMIFS(INDIRECT(I$1&amp;"!$C:$C"),INDIRECT(I$1&amp;"!$B:$B"),'Tiền Hàng'!$B18)*$C18,0)</f>
        <v>0</v>
      </c>
      <c r="J18" s="68">
        <f ca="1">IFERROR(SUMIFS(INDIRECT(J$1&amp;"!$C:$C"),INDIRECT(J$1&amp;"!$B:$B"),'Tiền Hàng'!$B18)*$C18,0)</f>
        <v>0</v>
      </c>
      <c r="K18" s="68">
        <f ca="1">IFERROR(SUMIFS(INDIRECT(K$1&amp;"!$C:$C"),INDIRECT(K$1&amp;"!$B:$B"),'Tiền Hàng'!$B18)*$C18,0)</f>
        <v>0</v>
      </c>
      <c r="L18" s="68">
        <f ca="1">IFERROR(SUMIFS(INDIRECT(L$1&amp;"!$C:$C"),INDIRECT(L$1&amp;"!$B:$B"),'Tiền Hàng'!$B18)*$C18,0)</f>
        <v>40</v>
      </c>
      <c r="M18" s="68">
        <f ca="1">IFERROR(SUMIFS(INDIRECT(M$1&amp;"!$C:$C"),INDIRECT(M$1&amp;"!$B:$B"),'Tiền Hàng'!$B18)*$C18,0)</f>
        <v>0</v>
      </c>
      <c r="N18" s="68">
        <f ca="1">IFERROR(SUMIFS(INDIRECT(N$1&amp;"!$C:$C"),INDIRECT(N$1&amp;"!$B:$B"),'Tiền Hàng'!$B18)*$C18,0)</f>
        <v>0</v>
      </c>
      <c r="O18" s="68">
        <f ca="1">IFERROR(SUMIFS(INDIRECT(O$1&amp;"!$C:$C"),INDIRECT(O$1&amp;"!$B:$B"),'Tiền Hàng'!$B18)*$C18,0)</f>
        <v>0</v>
      </c>
      <c r="P18" s="68">
        <f ca="1">IFERROR(SUMIFS(INDIRECT(P$1&amp;"!$C:$C"),INDIRECT(P$1&amp;"!$B:$B"),'Tiền Hàng'!$B18)*$C18,0)</f>
        <v>0</v>
      </c>
      <c r="Q18" s="68">
        <f ca="1">IFERROR(SUMIFS(INDIRECT(Q$1&amp;"!$C:$C"),INDIRECT(Q$1&amp;"!$B:$B"),'Tiền Hàng'!$B18)*$C18,0)</f>
        <v>0</v>
      </c>
      <c r="R18" s="68">
        <f ca="1">IFERROR(SUMIFS(INDIRECT(R$1&amp;"!$C:$C"),INDIRECT(R$1&amp;"!$B:$B"),'Tiền Hàng'!$B18)*$C18,0)</f>
        <v>0</v>
      </c>
      <c r="S18" s="68">
        <f ca="1">IFERROR(SUMIFS(INDIRECT(S$1&amp;"!$C:$C"),INDIRECT(S$1&amp;"!$B:$B"),'Tiền Hàng'!$B18)*$C18,0)</f>
        <v>0</v>
      </c>
      <c r="T18" s="68">
        <f ca="1">IFERROR(SUMIFS(INDIRECT(T$1&amp;"!$C:$C"),INDIRECT(T$1&amp;"!$B:$B"),'Tiền Hàng'!$B18)*$C18,0)</f>
        <v>0</v>
      </c>
      <c r="U18" s="68">
        <f ca="1">IFERROR(SUMIFS(INDIRECT(U$1&amp;"!$C:$C"),INDIRECT(U$1&amp;"!$B:$B"),'Tiền Hàng'!$B18)*$C18,0)</f>
        <v>0</v>
      </c>
      <c r="V18" s="68">
        <f ca="1">IFERROR(SUMIFS(INDIRECT(V$1&amp;"!$C:$C"),INDIRECT(V$1&amp;"!$B:$B"),'Tiền Hàng'!$B18)*$C18,0)</f>
        <v>0</v>
      </c>
      <c r="W18" s="68">
        <f ca="1">IFERROR(SUMIFS(INDIRECT(W$1&amp;"!$C:$C"),INDIRECT(W$1&amp;"!$B:$B"),'Tiền Hàng'!$B18)*$C18,0)</f>
        <v>0</v>
      </c>
      <c r="X18" s="68">
        <f ca="1">IFERROR(SUMIFS(INDIRECT(X$1&amp;"!$C:$C"),INDIRECT(X$1&amp;"!$B:$B"),'Tiền Hàng'!$B18)*$C18,0)</f>
        <v>0</v>
      </c>
      <c r="Y18" s="68">
        <f ca="1">IFERROR(SUMIFS(INDIRECT(Y$1&amp;"!$C:$C"),INDIRECT(Y$1&amp;"!$B:$B"),'Tiền Hàng'!$B18)*$C18,0)</f>
        <v>0</v>
      </c>
      <c r="Z18" s="68">
        <f ca="1">IFERROR(SUMIFS(INDIRECT(Z$1&amp;"!$C:$C"),INDIRECT(Z$1&amp;"!$B:$B"),'Tiền Hàng'!$B18)*$C18,0)</f>
        <v>0</v>
      </c>
      <c r="AA18" s="68">
        <f ca="1">IFERROR(SUMIFS(INDIRECT(AA$1&amp;"!$C:$C"),INDIRECT(AA$1&amp;"!$B:$B"),'Tiền Hàng'!$B18)*$C18,0)</f>
        <v>0</v>
      </c>
      <c r="AB18" s="68">
        <f ca="1">IFERROR(SUMIFS(INDIRECT(AB$1&amp;"!$C:$C"),INDIRECT(AB$1&amp;"!$B:$B"),'Tiền Hàng'!$B18)*$C18,0)</f>
        <v>0</v>
      </c>
      <c r="AC18" s="68">
        <f ca="1">IFERROR(SUMIFS(INDIRECT(AC$1&amp;"!$C:$C"),INDIRECT(AC$1&amp;"!$B:$B"),'Tiền Hàng'!$B18)*$C18,0)</f>
        <v>0</v>
      </c>
      <c r="AD18" s="68">
        <f ca="1">IFERROR(SUMIFS(INDIRECT(AD$1&amp;"!$C:$C"),INDIRECT(AD$1&amp;"!$B:$B"),'Tiền Hàng'!$B18)*$C18,0)</f>
        <v>0</v>
      </c>
      <c r="AE18" s="68">
        <f ca="1">IFERROR(SUMIFS(INDIRECT(AE$1&amp;"!$C:$C"),INDIRECT(AE$1&amp;"!$B:$B"),'Tiền Hàng'!$B18)*$C18,0)</f>
        <v>0</v>
      </c>
      <c r="AF18" s="68">
        <f ca="1">IFERROR(SUMIFS(INDIRECT(AF$1&amp;"!$C:$C"),INDIRECT(AF$1&amp;"!$B:$B"),'Tiền Hàng'!$B18)*$C18,0)</f>
        <v>0</v>
      </c>
      <c r="AG18" s="68">
        <f ca="1">IFERROR(SUMIFS(INDIRECT(AG$1&amp;"!$C:$C"),INDIRECT(AG$1&amp;"!$B:$B"),'Tiền Hàng'!$B18)*$C18,0)</f>
        <v>0</v>
      </c>
      <c r="AH18" s="68">
        <f ca="1">IFERROR(SUMIFS(INDIRECT(AH$1&amp;"!$C:$C"),INDIRECT(AH$1&amp;"!$B:$B"),'Tiền Hàng'!$B18)*$C18,0)</f>
        <v>0</v>
      </c>
      <c r="AI18" s="68">
        <f ca="1">IFERROR(SUMIFS(INDIRECT(AI$1&amp;"!$C:$C"),INDIRECT(AI$1&amp;"!$B:$B"),'Tiền Hàng'!$B18)*$C18,0)</f>
        <v>0</v>
      </c>
      <c r="AJ18" s="68">
        <f ca="1">IFERROR(SUMIFS(INDIRECT(AJ$1&amp;"!$C:$C"),INDIRECT(AJ$1&amp;"!$B:$B"),'Tiền Hàng'!$B18)*$C18,0)</f>
        <v>0</v>
      </c>
      <c r="AK18" s="68">
        <f ca="1">IFERROR(SUMIFS(INDIRECT(AK$1&amp;"!$C:$C"),INDIRECT(AK$1&amp;"!$B:$B"),'Tiền Hàng'!$B18)*$C18,0)</f>
        <v>0</v>
      </c>
    </row>
    <row r="19" spans="1:37" x14ac:dyDescent="0.25">
      <c r="A19" s="50">
        <v>17</v>
      </c>
      <c r="B19" s="30" t="s">
        <v>8</v>
      </c>
      <c r="C19" s="59">
        <v>44</v>
      </c>
      <c r="D19" s="62">
        <f t="shared" ca="1" si="1"/>
        <v>9.8610488570147915E-3</v>
      </c>
      <c r="E19" s="65">
        <f ca="1">D19*'Chi phí'!$B$2/(F19/C19*Table1[[#This Row],[DON VI NHAP]])</f>
        <v>0.76127297176154196</v>
      </c>
      <c r="F19" s="56">
        <f t="shared" ca="1" si="2"/>
        <v>44</v>
      </c>
      <c r="G19" s="68">
        <f ca="1">IFERROR(SUMIFS(INDIRECT(G$1&amp;"!$C:$C"),INDIRECT(G$1&amp;"!$B:$B"),'Tiền Hàng'!$B19)*$C19,0)</f>
        <v>44</v>
      </c>
      <c r="H19" s="68">
        <f ca="1">IFERROR(SUMIFS(INDIRECT(H$1&amp;"!$C:$C"),INDIRECT(H$1&amp;"!$B:$B"),'Tiền Hàng'!$B19)*$C19,0)</f>
        <v>0</v>
      </c>
      <c r="I19" s="68">
        <f ca="1">IFERROR(SUMIFS(INDIRECT(I$1&amp;"!$C:$C"),INDIRECT(I$1&amp;"!$B:$B"),'Tiền Hàng'!$B19)*$C19,0)</f>
        <v>0</v>
      </c>
      <c r="J19" s="68">
        <f ca="1">IFERROR(SUMIFS(INDIRECT(J$1&amp;"!$C:$C"),INDIRECT(J$1&amp;"!$B:$B"),'Tiền Hàng'!$B19)*$C19,0)</f>
        <v>0</v>
      </c>
      <c r="K19" s="68">
        <f ca="1">IFERROR(SUMIFS(INDIRECT(K$1&amp;"!$C:$C"),INDIRECT(K$1&amp;"!$B:$B"),'Tiền Hàng'!$B19)*$C19,0)</f>
        <v>0</v>
      </c>
      <c r="L19" s="68">
        <f ca="1">IFERROR(SUMIFS(INDIRECT(L$1&amp;"!$C:$C"),INDIRECT(L$1&amp;"!$B:$B"),'Tiền Hàng'!$B19)*$C19,0)</f>
        <v>0</v>
      </c>
      <c r="M19" s="68">
        <f ca="1">IFERROR(SUMIFS(INDIRECT(M$1&amp;"!$C:$C"),INDIRECT(M$1&amp;"!$B:$B"),'Tiền Hàng'!$B19)*$C19,0)</f>
        <v>0</v>
      </c>
      <c r="N19" s="68">
        <f ca="1">IFERROR(SUMIFS(INDIRECT(N$1&amp;"!$C:$C"),INDIRECT(N$1&amp;"!$B:$B"),'Tiền Hàng'!$B19)*$C19,0)</f>
        <v>0</v>
      </c>
      <c r="O19" s="68">
        <f ca="1">IFERROR(SUMIFS(INDIRECT(O$1&amp;"!$C:$C"),INDIRECT(O$1&amp;"!$B:$B"),'Tiền Hàng'!$B19)*$C19,0)</f>
        <v>0</v>
      </c>
      <c r="P19" s="68">
        <f ca="1">IFERROR(SUMIFS(INDIRECT(P$1&amp;"!$C:$C"),INDIRECT(P$1&amp;"!$B:$B"),'Tiền Hàng'!$B19)*$C19,0)</f>
        <v>0</v>
      </c>
      <c r="Q19" s="68">
        <f ca="1">IFERROR(SUMIFS(INDIRECT(Q$1&amp;"!$C:$C"),INDIRECT(Q$1&amp;"!$B:$B"),'Tiền Hàng'!$B19)*$C19,0)</f>
        <v>0</v>
      </c>
      <c r="R19" s="68">
        <f ca="1">IFERROR(SUMIFS(INDIRECT(R$1&amp;"!$C:$C"),INDIRECT(R$1&amp;"!$B:$B"),'Tiền Hàng'!$B19)*$C19,0)</f>
        <v>0</v>
      </c>
      <c r="S19" s="68">
        <f ca="1">IFERROR(SUMIFS(INDIRECT(S$1&amp;"!$C:$C"),INDIRECT(S$1&amp;"!$B:$B"),'Tiền Hàng'!$B19)*$C19,0)</f>
        <v>0</v>
      </c>
      <c r="T19" s="68">
        <f ca="1">IFERROR(SUMIFS(INDIRECT(T$1&amp;"!$C:$C"),INDIRECT(T$1&amp;"!$B:$B"),'Tiền Hàng'!$B19)*$C19,0)</f>
        <v>0</v>
      </c>
      <c r="U19" s="68">
        <f ca="1">IFERROR(SUMIFS(INDIRECT(U$1&amp;"!$C:$C"),INDIRECT(U$1&amp;"!$B:$B"),'Tiền Hàng'!$B19)*$C19,0)</f>
        <v>0</v>
      </c>
      <c r="V19" s="68">
        <f ca="1">IFERROR(SUMIFS(INDIRECT(V$1&amp;"!$C:$C"),INDIRECT(V$1&amp;"!$B:$B"),'Tiền Hàng'!$B19)*$C19,0)</f>
        <v>0</v>
      </c>
      <c r="W19" s="68">
        <f ca="1">IFERROR(SUMIFS(INDIRECT(W$1&amp;"!$C:$C"),INDIRECT(W$1&amp;"!$B:$B"),'Tiền Hàng'!$B19)*$C19,0)</f>
        <v>0</v>
      </c>
      <c r="X19" s="68">
        <f ca="1">IFERROR(SUMIFS(INDIRECT(X$1&amp;"!$C:$C"),INDIRECT(X$1&amp;"!$B:$B"),'Tiền Hàng'!$B19)*$C19,0)</f>
        <v>0</v>
      </c>
      <c r="Y19" s="68">
        <f ca="1">IFERROR(SUMIFS(INDIRECT(Y$1&amp;"!$C:$C"),INDIRECT(Y$1&amp;"!$B:$B"),'Tiền Hàng'!$B19)*$C19,0)</f>
        <v>0</v>
      </c>
      <c r="Z19" s="68">
        <f ca="1">IFERROR(SUMIFS(INDIRECT(Z$1&amp;"!$C:$C"),INDIRECT(Z$1&amp;"!$B:$B"),'Tiền Hàng'!$B19)*$C19,0)</f>
        <v>0</v>
      </c>
      <c r="AA19" s="68">
        <f ca="1">IFERROR(SUMIFS(INDIRECT(AA$1&amp;"!$C:$C"),INDIRECT(AA$1&amp;"!$B:$B"),'Tiền Hàng'!$B19)*$C19,0)</f>
        <v>0</v>
      </c>
      <c r="AB19" s="68">
        <f ca="1">IFERROR(SUMIFS(INDIRECT(AB$1&amp;"!$C:$C"),INDIRECT(AB$1&amp;"!$B:$B"),'Tiền Hàng'!$B19)*$C19,0)</f>
        <v>0</v>
      </c>
      <c r="AC19" s="68">
        <f ca="1">IFERROR(SUMIFS(INDIRECT(AC$1&amp;"!$C:$C"),INDIRECT(AC$1&amp;"!$B:$B"),'Tiền Hàng'!$B19)*$C19,0)</f>
        <v>0</v>
      </c>
      <c r="AD19" s="68">
        <f ca="1">IFERROR(SUMIFS(INDIRECT(AD$1&amp;"!$C:$C"),INDIRECT(AD$1&amp;"!$B:$B"),'Tiền Hàng'!$B19)*$C19,0)</f>
        <v>0</v>
      </c>
      <c r="AE19" s="68">
        <f ca="1">IFERROR(SUMIFS(INDIRECT(AE$1&amp;"!$C:$C"),INDIRECT(AE$1&amp;"!$B:$B"),'Tiền Hàng'!$B19)*$C19,0)</f>
        <v>0</v>
      </c>
      <c r="AF19" s="68">
        <f ca="1">IFERROR(SUMIFS(INDIRECT(AF$1&amp;"!$C:$C"),INDIRECT(AF$1&amp;"!$B:$B"),'Tiền Hàng'!$B19)*$C19,0)</f>
        <v>0</v>
      </c>
      <c r="AG19" s="68">
        <f ca="1">IFERROR(SUMIFS(INDIRECT(AG$1&amp;"!$C:$C"),INDIRECT(AG$1&amp;"!$B:$B"),'Tiền Hàng'!$B19)*$C19,0)</f>
        <v>0</v>
      </c>
      <c r="AH19" s="68">
        <f ca="1">IFERROR(SUMIFS(INDIRECT(AH$1&amp;"!$C:$C"),INDIRECT(AH$1&amp;"!$B:$B"),'Tiền Hàng'!$B19)*$C19,0)</f>
        <v>0</v>
      </c>
      <c r="AI19" s="68">
        <f ca="1">IFERROR(SUMIFS(INDIRECT(AI$1&amp;"!$C:$C"),INDIRECT(AI$1&amp;"!$B:$B"),'Tiền Hàng'!$B19)*$C19,0)</f>
        <v>0</v>
      </c>
      <c r="AJ19" s="68">
        <f ca="1">IFERROR(SUMIFS(INDIRECT(AJ$1&amp;"!$C:$C"),INDIRECT(AJ$1&amp;"!$B:$B"),'Tiền Hàng'!$B19)*$C19,0)</f>
        <v>0</v>
      </c>
      <c r="AK19" s="68">
        <f ca="1">IFERROR(SUMIFS(INDIRECT(AK$1&amp;"!$C:$C"),INDIRECT(AK$1&amp;"!$B:$B"),'Tiền Hàng'!$B19)*$C19,0)</f>
        <v>0</v>
      </c>
    </row>
    <row r="20" spans="1:37" x14ac:dyDescent="0.25">
      <c r="A20" s="26">
        <v>18</v>
      </c>
      <c r="B20" s="30" t="s">
        <v>7</v>
      </c>
      <c r="C20" s="59">
        <v>42</v>
      </c>
      <c r="D20" s="62">
        <f t="shared" ca="1" si="1"/>
        <v>2.8238458090542359E-2</v>
      </c>
      <c r="E20" s="65">
        <f ca="1">D20*'Chi phí'!$B$2/(F20/C20*Table1[[#This Row],[DON VI NHAP]])</f>
        <v>0.16899294299146281</v>
      </c>
      <c r="F20" s="56">
        <f t="shared" ca="1" si="2"/>
        <v>126</v>
      </c>
      <c r="G20" s="68">
        <f ca="1">IFERROR(SUMIFS(INDIRECT(G$1&amp;"!$C:$C"),INDIRECT(G$1&amp;"!$B:$B"),'Tiền Hàng'!$B20)*$C20,0)</f>
        <v>84</v>
      </c>
      <c r="H20" s="68">
        <f ca="1">IFERROR(SUMIFS(INDIRECT(H$1&amp;"!$C:$C"),INDIRECT(H$1&amp;"!$B:$B"),'Tiền Hàng'!$B20)*$C20,0)</f>
        <v>0</v>
      </c>
      <c r="I20" s="68">
        <f ca="1">IFERROR(SUMIFS(INDIRECT(I$1&amp;"!$C:$C"),INDIRECT(I$1&amp;"!$B:$B"),'Tiền Hàng'!$B20)*$C20,0)</f>
        <v>0</v>
      </c>
      <c r="J20" s="68">
        <f ca="1">IFERROR(SUMIFS(INDIRECT(J$1&amp;"!$C:$C"),INDIRECT(J$1&amp;"!$B:$B"),'Tiền Hàng'!$B20)*$C20,0)</f>
        <v>42</v>
      </c>
      <c r="K20" s="68">
        <f ca="1">IFERROR(SUMIFS(INDIRECT(K$1&amp;"!$C:$C"),INDIRECT(K$1&amp;"!$B:$B"),'Tiền Hàng'!$B20)*$C20,0)</f>
        <v>0</v>
      </c>
      <c r="L20" s="68">
        <f ca="1">IFERROR(SUMIFS(INDIRECT(L$1&amp;"!$C:$C"),INDIRECT(L$1&amp;"!$B:$B"),'Tiền Hàng'!$B20)*$C20,0)</f>
        <v>0</v>
      </c>
      <c r="M20" s="68">
        <f ca="1">IFERROR(SUMIFS(INDIRECT(M$1&amp;"!$C:$C"),INDIRECT(M$1&amp;"!$B:$B"),'Tiền Hàng'!$B20)*$C20,0)</f>
        <v>0</v>
      </c>
      <c r="N20" s="68">
        <f ca="1">IFERROR(SUMIFS(INDIRECT(N$1&amp;"!$C:$C"),INDIRECT(N$1&amp;"!$B:$B"),'Tiền Hàng'!$B20)*$C20,0)</f>
        <v>0</v>
      </c>
      <c r="O20" s="68">
        <f ca="1">IFERROR(SUMIFS(INDIRECT(O$1&amp;"!$C:$C"),INDIRECT(O$1&amp;"!$B:$B"),'Tiền Hàng'!$B20)*$C20,0)</f>
        <v>0</v>
      </c>
      <c r="P20" s="68">
        <f ca="1">IFERROR(SUMIFS(INDIRECT(P$1&amp;"!$C:$C"),INDIRECT(P$1&amp;"!$B:$B"),'Tiền Hàng'!$B20)*$C20,0)</f>
        <v>0</v>
      </c>
      <c r="Q20" s="68">
        <f ca="1">IFERROR(SUMIFS(INDIRECT(Q$1&amp;"!$C:$C"),INDIRECT(Q$1&amp;"!$B:$B"),'Tiền Hàng'!$B20)*$C20,0)</f>
        <v>0</v>
      </c>
      <c r="R20" s="68">
        <f ca="1">IFERROR(SUMIFS(INDIRECT(R$1&amp;"!$C:$C"),INDIRECT(R$1&amp;"!$B:$B"),'Tiền Hàng'!$B20)*$C20,0)</f>
        <v>0</v>
      </c>
      <c r="S20" s="68">
        <f ca="1">IFERROR(SUMIFS(INDIRECT(S$1&amp;"!$C:$C"),INDIRECT(S$1&amp;"!$B:$B"),'Tiền Hàng'!$B20)*$C20,0)</f>
        <v>0</v>
      </c>
      <c r="T20" s="68">
        <f ca="1">IFERROR(SUMIFS(INDIRECT(T$1&amp;"!$C:$C"),INDIRECT(T$1&amp;"!$B:$B"),'Tiền Hàng'!$B20)*$C20,0)</f>
        <v>0</v>
      </c>
      <c r="U20" s="68">
        <f ca="1">IFERROR(SUMIFS(INDIRECT(U$1&amp;"!$C:$C"),INDIRECT(U$1&amp;"!$B:$B"),'Tiền Hàng'!$B20)*$C20,0)</f>
        <v>0</v>
      </c>
      <c r="V20" s="68">
        <f ca="1">IFERROR(SUMIFS(INDIRECT(V$1&amp;"!$C:$C"),INDIRECT(V$1&amp;"!$B:$B"),'Tiền Hàng'!$B20)*$C20,0)</f>
        <v>0</v>
      </c>
      <c r="W20" s="68">
        <f ca="1">IFERROR(SUMIFS(INDIRECT(W$1&amp;"!$C:$C"),INDIRECT(W$1&amp;"!$B:$B"),'Tiền Hàng'!$B20)*$C20,0)</f>
        <v>0</v>
      </c>
      <c r="X20" s="68">
        <f ca="1">IFERROR(SUMIFS(INDIRECT(X$1&amp;"!$C:$C"),INDIRECT(X$1&amp;"!$B:$B"),'Tiền Hàng'!$B20)*$C20,0)</f>
        <v>0</v>
      </c>
      <c r="Y20" s="68">
        <f ca="1">IFERROR(SUMIFS(INDIRECT(Y$1&amp;"!$C:$C"),INDIRECT(Y$1&amp;"!$B:$B"),'Tiền Hàng'!$B20)*$C20,0)</f>
        <v>0</v>
      </c>
      <c r="Z20" s="68">
        <f ca="1">IFERROR(SUMIFS(INDIRECT(Z$1&amp;"!$C:$C"),INDIRECT(Z$1&amp;"!$B:$B"),'Tiền Hàng'!$B20)*$C20,0)</f>
        <v>0</v>
      </c>
      <c r="AA20" s="68">
        <f ca="1">IFERROR(SUMIFS(INDIRECT(AA$1&amp;"!$C:$C"),INDIRECT(AA$1&amp;"!$B:$B"),'Tiền Hàng'!$B20)*$C20,0)</f>
        <v>0</v>
      </c>
      <c r="AB20" s="68">
        <f ca="1">IFERROR(SUMIFS(INDIRECT(AB$1&amp;"!$C:$C"),INDIRECT(AB$1&amp;"!$B:$B"),'Tiền Hàng'!$B20)*$C20,0)</f>
        <v>0</v>
      </c>
      <c r="AC20" s="68">
        <f ca="1">IFERROR(SUMIFS(INDIRECT(AC$1&amp;"!$C:$C"),INDIRECT(AC$1&amp;"!$B:$B"),'Tiền Hàng'!$B20)*$C20,0)</f>
        <v>0</v>
      </c>
      <c r="AD20" s="68">
        <f ca="1">IFERROR(SUMIFS(INDIRECT(AD$1&amp;"!$C:$C"),INDIRECT(AD$1&amp;"!$B:$B"),'Tiền Hàng'!$B20)*$C20,0)</f>
        <v>0</v>
      </c>
      <c r="AE20" s="68">
        <f ca="1">IFERROR(SUMIFS(INDIRECT(AE$1&amp;"!$C:$C"),INDIRECT(AE$1&amp;"!$B:$B"),'Tiền Hàng'!$B20)*$C20,0)</f>
        <v>0</v>
      </c>
      <c r="AF20" s="68">
        <f ca="1">IFERROR(SUMIFS(INDIRECT(AF$1&amp;"!$C:$C"),INDIRECT(AF$1&amp;"!$B:$B"),'Tiền Hàng'!$B20)*$C20,0)</f>
        <v>0</v>
      </c>
      <c r="AG20" s="68">
        <f ca="1">IFERROR(SUMIFS(INDIRECT(AG$1&amp;"!$C:$C"),INDIRECT(AG$1&amp;"!$B:$B"),'Tiền Hàng'!$B20)*$C20,0)</f>
        <v>0</v>
      </c>
      <c r="AH20" s="68">
        <f ca="1">IFERROR(SUMIFS(INDIRECT(AH$1&amp;"!$C:$C"),INDIRECT(AH$1&amp;"!$B:$B"),'Tiền Hàng'!$B20)*$C20,0)</f>
        <v>0</v>
      </c>
      <c r="AI20" s="68">
        <f ca="1">IFERROR(SUMIFS(INDIRECT(AI$1&amp;"!$C:$C"),INDIRECT(AI$1&amp;"!$B:$B"),'Tiền Hàng'!$B20)*$C20,0)</f>
        <v>0</v>
      </c>
      <c r="AJ20" s="68">
        <f ca="1">IFERROR(SUMIFS(INDIRECT(AJ$1&amp;"!$C:$C"),INDIRECT(AJ$1&amp;"!$B:$B"),'Tiền Hàng'!$B20)*$C20,0)</f>
        <v>0</v>
      </c>
      <c r="AK20" s="68">
        <f ca="1">IFERROR(SUMIFS(INDIRECT(AK$1&amp;"!$C:$C"),INDIRECT(AK$1&amp;"!$B:$B"),'Tiền Hàng'!$B20)*$C20,0)</f>
        <v>0</v>
      </c>
    </row>
    <row r="21" spans="1:37" x14ac:dyDescent="0.25">
      <c r="A21" s="50">
        <v>19</v>
      </c>
      <c r="B21" s="30" t="s">
        <v>6</v>
      </c>
      <c r="C21" s="59">
        <v>38</v>
      </c>
      <c r="D21" s="62">
        <f t="shared" ca="1" si="1"/>
        <v>5.1098162259076645E-2</v>
      </c>
      <c r="E21" s="65">
        <f ca="1">D21*'Chi phí'!$B$2/(F21/C21*Table1[[#This Row],[DON VI NHAP]])</f>
        <v>0.20545719408337068</v>
      </c>
      <c r="F21" s="56">
        <f t="shared" ca="1" si="2"/>
        <v>228</v>
      </c>
      <c r="G21" s="68">
        <f ca="1">IFERROR(SUMIFS(INDIRECT(G$1&amp;"!$C:$C"),INDIRECT(G$1&amp;"!$B:$B"),'Tiền Hàng'!$B21)*$C21,0)</f>
        <v>152</v>
      </c>
      <c r="H21" s="68">
        <f ca="1">IFERROR(SUMIFS(INDIRECT(H$1&amp;"!$C:$C"),INDIRECT(H$1&amp;"!$B:$B"),'Tiền Hàng'!$B21)*$C21,0)</f>
        <v>38</v>
      </c>
      <c r="I21" s="68">
        <f ca="1">IFERROR(SUMIFS(INDIRECT(I$1&amp;"!$C:$C"),INDIRECT(I$1&amp;"!$B:$B"),'Tiền Hàng'!$B21)*$C21,0)</f>
        <v>0</v>
      </c>
      <c r="J21" s="68">
        <f ca="1">IFERROR(SUMIFS(INDIRECT(J$1&amp;"!$C:$C"),INDIRECT(J$1&amp;"!$B:$B"),'Tiền Hàng'!$B21)*$C21,0)</f>
        <v>0</v>
      </c>
      <c r="K21" s="68">
        <f ca="1">IFERROR(SUMIFS(INDIRECT(K$1&amp;"!$C:$C"),INDIRECT(K$1&amp;"!$B:$B"),'Tiền Hàng'!$B21)*$C21,0)</f>
        <v>0</v>
      </c>
      <c r="L21" s="68">
        <f ca="1">IFERROR(SUMIFS(INDIRECT(L$1&amp;"!$C:$C"),INDIRECT(L$1&amp;"!$B:$B"),'Tiền Hàng'!$B21)*$C21,0)</f>
        <v>0</v>
      </c>
      <c r="M21" s="68">
        <f ca="1">IFERROR(SUMIFS(INDIRECT(M$1&amp;"!$C:$C"),INDIRECT(M$1&amp;"!$B:$B"),'Tiền Hàng'!$B21)*$C21,0)</f>
        <v>38</v>
      </c>
      <c r="N21" s="68">
        <f ca="1">IFERROR(SUMIFS(INDIRECT(N$1&amp;"!$C:$C"),INDIRECT(N$1&amp;"!$B:$B"),'Tiền Hàng'!$B21)*$C21,0)</f>
        <v>0</v>
      </c>
      <c r="O21" s="68">
        <f ca="1">IFERROR(SUMIFS(INDIRECT(O$1&amp;"!$C:$C"),INDIRECT(O$1&amp;"!$B:$B"),'Tiền Hàng'!$B21)*$C21,0)</f>
        <v>0</v>
      </c>
      <c r="P21" s="68">
        <f ca="1">IFERROR(SUMIFS(INDIRECT(P$1&amp;"!$C:$C"),INDIRECT(P$1&amp;"!$B:$B"),'Tiền Hàng'!$B21)*$C21,0)</f>
        <v>0</v>
      </c>
      <c r="Q21" s="68">
        <f ca="1">IFERROR(SUMIFS(INDIRECT(Q$1&amp;"!$C:$C"),INDIRECT(Q$1&amp;"!$B:$B"),'Tiền Hàng'!$B21)*$C21,0)</f>
        <v>0</v>
      </c>
      <c r="R21" s="68">
        <f ca="1">IFERROR(SUMIFS(INDIRECT(R$1&amp;"!$C:$C"),INDIRECT(R$1&amp;"!$B:$B"),'Tiền Hàng'!$B21)*$C21,0)</f>
        <v>0</v>
      </c>
      <c r="S21" s="68">
        <f ca="1">IFERROR(SUMIFS(INDIRECT(S$1&amp;"!$C:$C"),INDIRECT(S$1&amp;"!$B:$B"),'Tiền Hàng'!$B21)*$C21,0)</f>
        <v>0</v>
      </c>
      <c r="T21" s="68">
        <f ca="1">IFERROR(SUMIFS(INDIRECT(T$1&amp;"!$C:$C"),INDIRECT(T$1&amp;"!$B:$B"),'Tiền Hàng'!$B21)*$C21,0)</f>
        <v>0</v>
      </c>
      <c r="U21" s="68">
        <f ca="1">IFERROR(SUMIFS(INDIRECT(U$1&amp;"!$C:$C"),INDIRECT(U$1&amp;"!$B:$B"),'Tiền Hàng'!$B21)*$C21,0)</f>
        <v>0</v>
      </c>
      <c r="V21" s="68">
        <f ca="1">IFERROR(SUMIFS(INDIRECT(V$1&amp;"!$C:$C"),INDIRECT(V$1&amp;"!$B:$B"),'Tiền Hàng'!$B21)*$C21,0)</f>
        <v>0</v>
      </c>
      <c r="W21" s="68">
        <f ca="1">IFERROR(SUMIFS(INDIRECT(W$1&amp;"!$C:$C"),INDIRECT(W$1&amp;"!$B:$B"),'Tiền Hàng'!$B21)*$C21,0)</f>
        <v>0</v>
      </c>
      <c r="X21" s="68">
        <f ca="1">IFERROR(SUMIFS(INDIRECT(X$1&amp;"!$C:$C"),INDIRECT(X$1&amp;"!$B:$B"),'Tiền Hàng'!$B21)*$C21,0)</f>
        <v>0</v>
      </c>
      <c r="Y21" s="68">
        <f ca="1">IFERROR(SUMIFS(INDIRECT(Y$1&amp;"!$C:$C"),INDIRECT(Y$1&amp;"!$B:$B"),'Tiền Hàng'!$B21)*$C21,0)</f>
        <v>0</v>
      </c>
      <c r="Z21" s="68">
        <f ca="1">IFERROR(SUMIFS(INDIRECT(Z$1&amp;"!$C:$C"),INDIRECT(Z$1&amp;"!$B:$B"),'Tiền Hàng'!$B21)*$C21,0)</f>
        <v>0</v>
      </c>
      <c r="AA21" s="68">
        <f ca="1">IFERROR(SUMIFS(INDIRECT(AA$1&amp;"!$C:$C"),INDIRECT(AA$1&amp;"!$B:$B"),'Tiền Hàng'!$B21)*$C21,0)</f>
        <v>0</v>
      </c>
      <c r="AB21" s="68">
        <f ca="1">IFERROR(SUMIFS(INDIRECT(AB$1&amp;"!$C:$C"),INDIRECT(AB$1&amp;"!$B:$B"),'Tiền Hàng'!$B21)*$C21,0)</f>
        <v>0</v>
      </c>
      <c r="AC21" s="68">
        <f ca="1">IFERROR(SUMIFS(INDIRECT(AC$1&amp;"!$C:$C"),INDIRECT(AC$1&amp;"!$B:$B"),'Tiền Hàng'!$B21)*$C21,0)</f>
        <v>0</v>
      </c>
      <c r="AD21" s="68">
        <f ca="1">IFERROR(SUMIFS(INDIRECT(AD$1&amp;"!$C:$C"),INDIRECT(AD$1&amp;"!$B:$B"),'Tiền Hàng'!$B21)*$C21,0)</f>
        <v>0</v>
      </c>
      <c r="AE21" s="68">
        <f ca="1">IFERROR(SUMIFS(INDIRECT(AE$1&amp;"!$C:$C"),INDIRECT(AE$1&amp;"!$B:$B"),'Tiền Hàng'!$B21)*$C21,0)</f>
        <v>0</v>
      </c>
      <c r="AF21" s="68">
        <f ca="1">IFERROR(SUMIFS(INDIRECT(AF$1&amp;"!$C:$C"),INDIRECT(AF$1&amp;"!$B:$B"),'Tiền Hàng'!$B21)*$C21,0)</f>
        <v>0</v>
      </c>
      <c r="AG21" s="68">
        <f ca="1">IFERROR(SUMIFS(INDIRECT(AG$1&amp;"!$C:$C"),INDIRECT(AG$1&amp;"!$B:$B"),'Tiền Hàng'!$B21)*$C21,0)</f>
        <v>0</v>
      </c>
      <c r="AH21" s="68">
        <f ca="1">IFERROR(SUMIFS(INDIRECT(AH$1&amp;"!$C:$C"),INDIRECT(AH$1&amp;"!$B:$B"),'Tiền Hàng'!$B21)*$C21,0)</f>
        <v>0</v>
      </c>
      <c r="AI21" s="68">
        <f ca="1">IFERROR(SUMIFS(INDIRECT(AI$1&amp;"!$C:$C"),INDIRECT(AI$1&amp;"!$B:$B"),'Tiền Hàng'!$B21)*$C21,0)</f>
        <v>0</v>
      </c>
      <c r="AJ21" s="68">
        <f ca="1">IFERROR(SUMIFS(INDIRECT(AJ$1&amp;"!$C:$C"),INDIRECT(AJ$1&amp;"!$B:$B"),'Tiền Hàng'!$B21)*$C21,0)</f>
        <v>0</v>
      </c>
      <c r="AK21" s="68">
        <f ca="1">IFERROR(SUMIFS(INDIRECT(AK$1&amp;"!$C:$C"),INDIRECT(AK$1&amp;"!$B:$B"),'Tiền Hàng'!$B21)*$C21,0)</f>
        <v>0</v>
      </c>
    </row>
    <row r="22" spans="1:37" x14ac:dyDescent="0.25">
      <c r="A22" s="26">
        <v>20</v>
      </c>
      <c r="B22" s="30" t="s">
        <v>5</v>
      </c>
      <c r="C22" s="59">
        <v>45</v>
      </c>
      <c r="D22" s="62">
        <f t="shared" ca="1" si="1"/>
        <v>6.0510981622590769E-2</v>
      </c>
      <c r="E22" s="65">
        <f ca="1">D22*'Chi phí'!$B$2/(F22/C22*Table1[[#This Row],[DON VI NHAP]])</f>
        <v>0.22244989434590512</v>
      </c>
      <c r="F22" s="56">
        <f t="shared" ca="1" si="2"/>
        <v>270</v>
      </c>
      <c r="G22" s="68">
        <f ca="1">IFERROR(SUMIFS(INDIRECT(G$1&amp;"!$C:$C"),INDIRECT(G$1&amp;"!$B:$B"),'Tiền Hàng'!$B22)*$C22,0)</f>
        <v>225</v>
      </c>
      <c r="H22" s="68">
        <f ca="1">IFERROR(SUMIFS(INDIRECT(H$1&amp;"!$C:$C"),INDIRECT(H$1&amp;"!$B:$B"),'Tiền Hàng'!$B22)*$C22,0)</f>
        <v>45</v>
      </c>
      <c r="I22" s="68">
        <f ca="1">IFERROR(SUMIFS(INDIRECT(I$1&amp;"!$C:$C"),INDIRECT(I$1&amp;"!$B:$B"),'Tiền Hàng'!$B22)*$C22,0)</f>
        <v>0</v>
      </c>
      <c r="J22" s="68">
        <f ca="1">IFERROR(SUMIFS(INDIRECT(J$1&amp;"!$C:$C"),INDIRECT(J$1&amp;"!$B:$B"),'Tiền Hàng'!$B22)*$C22,0)</f>
        <v>0</v>
      </c>
      <c r="K22" s="68">
        <f ca="1">IFERROR(SUMIFS(INDIRECT(K$1&amp;"!$C:$C"),INDIRECT(K$1&amp;"!$B:$B"),'Tiền Hàng'!$B22)*$C22,0)</f>
        <v>0</v>
      </c>
      <c r="L22" s="68">
        <f ca="1">IFERROR(SUMIFS(INDIRECT(L$1&amp;"!$C:$C"),INDIRECT(L$1&amp;"!$B:$B"),'Tiền Hàng'!$B22)*$C22,0)</f>
        <v>0</v>
      </c>
      <c r="M22" s="68">
        <f ca="1">IFERROR(SUMIFS(INDIRECT(M$1&amp;"!$C:$C"),INDIRECT(M$1&amp;"!$B:$B"),'Tiền Hàng'!$B22)*$C22,0)</f>
        <v>0</v>
      </c>
      <c r="N22" s="68">
        <f ca="1">IFERROR(SUMIFS(INDIRECT(N$1&amp;"!$C:$C"),INDIRECT(N$1&amp;"!$B:$B"),'Tiền Hàng'!$B22)*$C22,0)</f>
        <v>0</v>
      </c>
      <c r="O22" s="68">
        <f ca="1">IFERROR(SUMIFS(INDIRECT(O$1&amp;"!$C:$C"),INDIRECT(O$1&amp;"!$B:$B"),'Tiền Hàng'!$B22)*$C22,0)</f>
        <v>0</v>
      </c>
      <c r="P22" s="68">
        <f ca="1">IFERROR(SUMIFS(INDIRECT(P$1&amp;"!$C:$C"),INDIRECT(P$1&amp;"!$B:$B"),'Tiền Hàng'!$B22)*$C22,0)</f>
        <v>0</v>
      </c>
      <c r="Q22" s="68">
        <f ca="1">IFERROR(SUMIFS(INDIRECT(Q$1&amp;"!$C:$C"),INDIRECT(Q$1&amp;"!$B:$B"),'Tiền Hàng'!$B22)*$C22,0)</f>
        <v>0</v>
      </c>
      <c r="R22" s="68">
        <f ca="1">IFERROR(SUMIFS(INDIRECT(R$1&amp;"!$C:$C"),INDIRECT(R$1&amp;"!$B:$B"),'Tiền Hàng'!$B22)*$C22,0)</f>
        <v>0</v>
      </c>
      <c r="S22" s="68">
        <f ca="1">IFERROR(SUMIFS(INDIRECT(S$1&amp;"!$C:$C"),INDIRECT(S$1&amp;"!$B:$B"),'Tiền Hàng'!$B22)*$C22,0)</f>
        <v>0</v>
      </c>
      <c r="T22" s="68">
        <f ca="1">IFERROR(SUMIFS(INDIRECT(T$1&amp;"!$C:$C"),INDIRECT(T$1&amp;"!$B:$B"),'Tiền Hàng'!$B22)*$C22,0)</f>
        <v>0</v>
      </c>
      <c r="U22" s="68">
        <f ca="1">IFERROR(SUMIFS(INDIRECT(U$1&amp;"!$C:$C"),INDIRECT(U$1&amp;"!$B:$B"),'Tiền Hàng'!$B22)*$C22,0)</f>
        <v>0</v>
      </c>
      <c r="V22" s="68">
        <f ca="1">IFERROR(SUMIFS(INDIRECT(V$1&amp;"!$C:$C"),INDIRECT(V$1&amp;"!$B:$B"),'Tiền Hàng'!$B22)*$C22,0)</f>
        <v>0</v>
      </c>
      <c r="W22" s="68">
        <f ca="1">IFERROR(SUMIFS(INDIRECT(W$1&amp;"!$C:$C"),INDIRECT(W$1&amp;"!$B:$B"),'Tiền Hàng'!$B22)*$C22,0)</f>
        <v>0</v>
      </c>
      <c r="X22" s="68">
        <f ca="1">IFERROR(SUMIFS(INDIRECT(X$1&amp;"!$C:$C"),INDIRECT(X$1&amp;"!$B:$B"),'Tiền Hàng'!$B22)*$C22,0)</f>
        <v>0</v>
      </c>
      <c r="Y22" s="68">
        <f ca="1">IFERROR(SUMIFS(INDIRECT(Y$1&amp;"!$C:$C"),INDIRECT(Y$1&amp;"!$B:$B"),'Tiền Hàng'!$B22)*$C22,0)</f>
        <v>0</v>
      </c>
      <c r="Z22" s="68">
        <f ca="1">IFERROR(SUMIFS(INDIRECT(Z$1&amp;"!$C:$C"),INDIRECT(Z$1&amp;"!$B:$B"),'Tiền Hàng'!$B22)*$C22,0)</f>
        <v>0</v>
      </c>
      <c r="AA22" s="68">
        <f ca="1">IFERROR(SUMIFS(INDIRECT(AA$1&amp;"!$C:$C"),INDIRECT(AA$1&amp;"!$B:$B"),'Tiền Hàng'!$B22)*$C22,0)</f>
        <v>0</v>
      </c>
      <c r="AB22" s="68">
        <f ca="1">IFERROR(SUMIFS(INDIRECT(AB$1&amp;"!$C:$C"),INDIRECT(AB$1&amp;"!$B:$B"),'Tiền Hàng'!$B22)*$C22,0)</f>
        <v>0</v>
      </c>
      <c r="AC22" s="68">
        <f ca="1">IFERROR(SUMIFS(INDIRECT(AC$1&amp;"!$C:$C"),INDIRECT(AC$1&amp;"!$B:$B"),'Tiền Hàng'!$B22)*$C22,0)</f>
        <v>0</v>
      </c>
      <c r="AD22" s="68">
        <f ca="1">IFERROR(SUMIFS(INDIRECT(AD$1&amp;"!$C:$C"),INDIRECT(AD$1&amp;"!$B:$B"),'Tiền Hàng'!$B22)*$C22,0)</f>
        <v>0</v>
      </c>
      <c r="AE22" s="68">
        <f ca="1">IFERROR(SUMIFS(INDIRECT(AE$1&amp;"!$C:$C"),INDIRECT(AE$1&amp;"!$B:$B"),'Tiền Hàng'!$B22)*$C22,0)</f>
        <v>0</v>
      </c>
      <c r="AF22" s="68">
        <f ca="1">IFERROR(SUMIFS(INDIRECT(AF$1&amp;"!$C:$C"),INDIRECT(AF$1&amp;"!$B:$B"),'Tiền Hàng'!$B22)*$C22,0)</f>
        <v>0</v>
      </c>
      <c r="AG22" s="68">
        <f ca="1">IFERROR(SUMIFS(INDIRECT(AG$1&amp;"!$C:$C"),INDIRECT(AG$1&amp;"!$B:$B"),'Tiền Hàng'!$B22)*$C22,0)</f>
        <v>0</v>
      </c>
      <c r="AH22" s="68">
        <f ca="1">IFERROR(SUMIFS(INDIRECT(AH$1&amp;"!$C:$C"),INDIRECT(AH$1&amp;"!$B:$B"),'Tiền Hàng'!$B22)*$C22,0)</f>
        <v>0</v>
      </c>
      <c r="AI22" s="68">
        <f ca="1">IFERROR(SUMIFS(INDIRECT(AI$1&amp;"!$C:$C"),INDIRECT(AI$1&amp;"!$B:$B"),'Tiền Hàng'!$B22)*$C22,0)</f>
        <v>0</v>
      </c>
      <c r="AJ22" s="68">
        <f ca="1">IFERROR(SUMIFS(INDIRECT(AJ$1&amp;"!$C:$C"),INDIRECT(AJ$1&amp;"!$B:$B"),'Tiền Hàng'!$B22)*$C22,0)</f>
        <v>0</v>
      </c>
      <c r="AK22" s="68">
        <f ca="1">IFERROR(SUMIFS(INDIRECT(AK$1&amp;"!$C:$C"),INDIRECT(AK$1&amp;"!$B:$B"),'Tiền Hàng'!$B22)*$C22,0)</f>
        <v>0</v>
      </c>
    </row>
    <row r="23" spans="1:37" x14ac:dyDescent="0.25">
      <c r="A23" s="50">
        <v>21</v>
      </c>
      <c r="B23" s="30" t="s">
        <v>3</v>
      </c>
      <c r="C23" s="59">
        <v>55</v>
      </c>
      <c r="D23" s="62">
        <f t="shared" ca="1" si="1"/>
        <v>3.6978933213805465E-2</v>
      </c>
      <c r="E23" s="65">
        <f ca="1">D23*'Chi phí'!$B$2/(F23/C23*Table1[[#This Row],[DON VI NHAP]])</f>
        <v>0.32813490162135422</v>
      </c>
      <c r="F23" s="56">
        <f t="shared" ca="1" si="2"/>
        <v>165</v>
      </c>
      <c r="G23" s="68">
        <f ca="1">IFERROR(SUMIFS(INDIRECT(G$1&amp;"!$C:$C"),INDIRECT(G$1&amp;"!$B:$B"),'Tiền Hàng'!$B23)*$C23,0)</f>
        <v>110</v>
      </c>
      <c r="H23" s="68">
        <f ca="1">IFERROR(SUMIFS(INDIRECT(H$1&amp;"!$C:$C"),INDIRECT(H$1&amp;"!$B:$B"),'Tiền Hàng'!$B23)*$C23,0)</f>
        <v>0</v>
      </c>
      <c r="I23" s="68">
        <f ca="1">IFERROR(SUMIFS(INDIRECT(I$1&amp;"!$C:$C"),INDIRECT(I$1&amp;"!$B:$B"),'Tiền Hàng'!$B23)*$C23,0)</f>
        <v>0</v>
      </c>
      <c r="J23" s="68">
        <f ca="1">IFERROR(SUMIFS(INDIRECT(J$1&amp;"!$C:$C"),INDIRECT(J$1&amp;"!$B:$B"),'Tiền Hàng'!$B23)*$C23,0)</f>
        <v>0</v>
      </c>
      <c r="K23" s="68">
        <f ca="1">IFERROR(SUMIFS(INDIRECT(K$1&amp;"!$C:$C"),INDIRECT(K$1&amp;"!$B:$B"),'Tiền Hàng'!$B23)*$C23,0)</f>
        <v>55</v>
      </c>
      <c r="L23" s="68">
        <f ca="1">IFERROR(SUMIFS(INDIRECT(L$1&amp;"!$C:$C"),INDIRECT(L$1&amp;"!$B:$B"),'Tiền Hàng'!$B23)*$C23,0)</f>
        <v>0</v>
      </c>
      <c r="M23" s="68">
        <f ca="1">IFERROR(SUMIFS(INDIRECT(M$1&amp;"!$C:$C"),INDIRECT(M$1&amp;"!$B:$B"),'Tiền Hàng'!$B23)*$C23,0)</f>
        <v>0</v>
      </c>
      <c r="N23" s="68">
        <f ca="1">IFERROR(SUMIFS(INDIRECT(N$1&amp;"!$C:$C"),INDIRECT(N$1&amp;"!$B:$B"),'Tiền Hàng'!$B23)*$C23,0)</f>
        <v>0</v>
      </c>
      <c r="O23" s="68">
        <f ca="1">IFERROR(SUMIFS(INDIRECT(O$1&amp;"!$C:$C"),INDIRECT(O$1&amp;"!$B:$B"),'Tiền Hàng'!$B23)*$C23,0)</f>
        <v>0</v>
      </c>
      <c r="P23" s="68">
        <f ca="1">IFERROR(SUMIFS(INDIRECT(P$1&amp;"!$C:$C"),INDIRECT(P$1&amp;"!$B:$B"),'Tiền Hàng'!$B23)*$C23,0)</f>
        <v>0</v>
      </c>
      <c r="Q23" s="68">
        <f ca="1">IFERROR(SUMIFS(INDIRECT(Q$1&amp;"!$C:$C"),INDIRECT(Q$1&amp;"!$B:$B"),'Tiền Hàng'!$B23)*$C23,0)</f>
        <v>0</v>
      </c>
      <c r="R23" s="68">
        <f ca="1">IFERROR(SUMIFS(INDIRECT(R$1&amp;"!$C:$C"),INDIRECT(R$1&amp;"!$B:$B"),'Tiền Hàng'!$B23)*$C23,0)</f>
        <v>0</v>
      </c>
      <c r="S23" s="68">
        <f ca="1">IFERROR(SUMIFS(INDIRECT(S$1&amp;"!$C:$C"),INDIRECT(S$1&amp;"!$B:$B"),'Tiền Hàng'!$B23)*$C23,0)</f>
        <v>0</v>
      </c>
      <c r="T23" s="68">
        <f ca="1">IFERROR(SUMIFS(INDIRECT(T$1&amp;"!$C:$C"),INDIRECT(T$1&amp;"!$B:$B"),'Tiền Hàng'!$B23)*$C23,0)</f>
        <v>0</v>
      </c>
      <c r="U23" s="68">
        <f ca="1">IFERROR(SUMIFS(INDIRECT(U$1&amp;"!$C:$C"),INDIRECT(U$1&amp;"!$B:$B"),'Tiền Hàng'!$B23)*$C23,0)</f>
        <v>0</v>
      </c>
      <c r="V23" s="68">
        <f ca="1">IFERROR(SUMIFS(INDIRECT(V$1&amp;"!$C:$C"),INDIRECT(V$1&amp;"!$B:$B"),'Tiền Hàng'!$B23)*$C23,0)</f>
        <v>0</v>
      </c>
      <c r="W23" s="68">
        <f ca="1">IFERROR(SUMIFS(INDIRECT(W$1&amp;"!$C:$C"),INDIRECT(W$1&amp;"!$B:$B"),'Tiền Hàng'!$B23)*$C23,0)</f>
        <v>0</v>
      </c>
      <c r="X23" s="68">
        <f ca="1">IFERROR(SUMIFS(INDIRECT(X$1&amp;"!$C:$C"),INDIRECT(X$1&amp;"!$B:$B"),'Tiền Hàng'!$B23)*$C23,0)</f>
        <v>0</v>
      </c>
      <c r="Y23" s="68">
        <f ca="1">IFERROR(SUMIFS(INDIRECT(Y$1&amp;"!$C:$C"),INDIRECT(Y$1&amp;"!$B:$B"),'Tiền Hàng'!$B23)*$C23,0)</f>
        <v>0</v>
      </c>
      <c r="Z23" s="68">
        <f ca="1">IFERROR(SUMIFS(INDIRECT(Z$1&amp;"!$C:$C"),INDIRECT(Z$1&amp;"!$B:$B"),'Tiền Hàng'!$B23)*$C23,0)</f>
        <v>0</v>
      </c>
      <c r="AA23" s="68">
        <f ca="1">IFERROR(SUMIFS(INDIRECT(AA$1&amp;"!$C:$C"),INDIRECT(AA$1&amp;"!$B:$B"),'Tiền Hàng'!$B23)*$C23,0)</f>
        <v>0</v>
      </c>
      <c r="AB23" s="68">
        <f ca="1">IFERROR(SUMIFS(INDIRECT(AB$1&amp;"!$C:$C"),INDIRECT(AB$1&amp;"!$B:$B"),'Tiền Hàng'!$B23)*$C23,0)</f>
        <v>0</v>
      </c>
      <c r="AC23" s="68">
        <f ca="1">IFERROR(SUMIFS(INDIRECT(AC$1&amp;"!$C:$C"),INDIRECT(AC$1&amp;"!$B:$B"),'Tiền Hàng'!$B23)*$C23,0)</f>
        <v>0</v>
      </c>
      <c r="AD23" s="68">
        <f ca="1">IFERROR(SUMIFS(INDIRECT(AD$1&amp;"!$C:$C"),INDIRECT(AD$1&amp;"!$B:$B"),'Tiền Hàng'!$B23)*$C23,0)</f>
        <v>0</v>
      </c>
      <c r="AE23" s="68">
        <f ca="1">IFERROR(SUMIFS(INDIRECT(AE$1&amp;"!$C:$C"),INDIRECT(AE$1&amp;"!$B:$B"),'Tiền Hàng'!$B23)*$C23,0)</f>
        <v>0</v>
      </c>
      <c r="AF23" s="68">
        <f ca="1">IFERROR(SUMIFS(INDIRECT(AF$1&amp;"!$C:$C"),INDIRECT(AF$1&amp;"!$B:$B"),'Tiền Hàng'!$B23)*$C23,0)</f>
        <v>0</v>
      </c>
      <c r="AG23" s="68">
        <f ca="1">IFERROR(SUMIFS(INDIRECT(AG$1&amp;"!$C:$C"),INDIRECT(AG$1&amp;"!$B:$B"),'Tiền Hàng'!$B23)*$C23,0)</f>
        <v>0</v>
      </c>
      <c r="AH23" s="68">
        <f ca="1">IFERROR(SUMIFS(INDIRECT(AH$1&amp;"!$C:$C"),INDIRECT(AH$1&amp;"!$B:$B"),'Tiền Hàng'!$B23)*$C23,0)</f>
        <v>0</v>
      </c>
      <c r="AI23" s="68">
        <f ca="1">IFERROR(SUMIFS(INDIRECT(AI$1&amp;"!$C:$C"),INDIRECT(AI$1&amp;"!$B:$B"),'Tiền Hàng'!$B23)*$C23,0)</f>
        <v>0</v>
      </c>
      <c r="AJ23" s="68">
        <f ca="1">IFERROR(SUMIFS(INDIRECT(AJ$1&amp;"!$C:$C"),INDIRECT(AJ$1&amp;"!$B:$B"),'Tiền Hàng'!$B23)*$C23,0)</f>
        <v>0</v>
      </c>
      <c r="AK23" s="68">
        <f ca="1">IFERROR(SUMIFS(INDIRECT(AK$1&amp;"!$C:$C"),INDIRECT(AK$1&amp;"!$B:$B"),'Tiền Hàng'!$B23)*$C23,0)</f>
        <v>0</v>
      </c>
    </row>
    <row r="24" spans="1:37" x14ac:dyDescent="0.25">
      <c r="A24" s="26">
        <v>22</v>
      </c>
      <c r="B24" s="30" t="s">
        <v>2</v>
      </c>
      <c r="C24" s="59">
        <v>45</v>
      </c>
      <c r="D24" s="62">
        <f t="shared" ca="1" si="1"/>
        <v>8.0681308830121021E-2</v>
      </c>
      <c r="E24" s="65">
        <f ca="1">D24*'Chi phí'!$B$2/(F24/C24*Table1[[#This Row],[DON VI NHAP]])</f>
        <v>0.8650829224562977</v>
      </c>
      <c r="F24" s="56">
        <f t="shared" ca="1" si="2"/>
        <v>360</v>
      </c>
      <c r="G24" s="68">
        <f ca="1">IFERROR(SUMIFS(INDIRECT(G$1&amp;"!$C:$C"),INDIRECT(G$1&amp;"!$B:$B"),'Tiền Hàng'!$B24)*$C24,0)</f>
        <v>225</v>
      </c>
      <c r="H24" s="68">
        <f ca="1">IFERROR(SUMIFS(INDIRECT(H$1&amp;"!$C:$C"),INDIRECT(H$1&amp;"!$B:$B"),'Tiền Hàng'!$B24)*$C24,0)</f>
        <v>0</v>
      </c>
      <c r="I24" s="68">
        <f ca="1">IFERROR(SUMIFS(INDIRECT(I$1&amp;"!$C:$C"),INDIRECT(I$1&amp;"!$B:$B"),'Tiền Hàng'!$B24)*$C24,0)</f>
        <v>0</v>
      </c>
      <c r="J24" s="68">
        <f ca="1">IFERROR(SUMIFS(INDIRECT(J$1&amp;"!$C:$C"),INDIRECT(J$1&amp;"!$B:$B"),'Tiền Hàng'!$B24)*$C24,0)</f>
        <v>0</v>
      </c>
      <c r="K24" s="68">
        <f ca="1">IFERROR(SUMIFS(INDIRECT(K$1&amp;"!$C:$C"),INDIRECT(K$1&amp;"!$B:$B"),'Tiền Hàng'!$B24)*$C24,0)</f>
        <v>45</v>
      </c>
      <c r="L24" s="68">
        <f ca="1">IFERROR(SUMIFS(INDIRECT(L$1&amp;"!$C:$C"),INDIRECT(L$1&amp;"!$B:$B"),'Tiền Hàng'!$B24)*$C24,0)</f>
        <v>45</v>
      </c>
      <c r="M24" s="68">
        <f ca="1">IFERROR(SUMIFS(INDIRECT(M$1&amp;"!$C:$C"),INDIRECT(M$1&amp;"!$B:$B"),'Tiền Hàng'!$B24)*$C24,0)</f>
        <v>0</v>
      </c>
      <c r="N24" s="68">
        <f ca="1">IFERROR(SUMIFS(INDIRECT(N$1&amp;"!$C:$C"),INDIRECT(N$1&amp;"!$B:$B"),'Tiền Hàng'!$B24)*$C24,0)</f>
        <v>45</v>
      </c>
      <c r="O24" s="68">
        <f ca="1">IFERROR(SUMIFS(INDIRECT(O$1&amp;"!$C:$C"),INDIRECT(O$1&amp;"!$B:$B"),'Tiền Hàng'!$B24)*$C24,0)</f>
        <v>0</v>
      </c>
      <c r="P24" s="68">
        <f ca="1">IFERROR(SUMIFS(INDIRECT(P$1&amp;"!$C:$C"),INDIRECT(P$1&amp;"!$B:$B"),'Tiền Hàng'!$B24)*$C24,0)</f>
        <v>0</v>
      </c>
      <c r="Q24" s="68">
        <f ca="1">IFERROR(SUMIFS(INDIRECT(Q$1&amp;"!$C:$C"),INDIRECT(Q$1&amp;"!$B:$B"),'Tiền Hàng'!$B24)*$C24,0)</f>
        <v>0</v>
      </c>
      <c r="R24" s="68">
        <f ca="1">IFERROR(SUMIFS(INDIRECT(R$1&amp;"!$C:$C"),INDIRECT(R$1&amp;"!$B:$B"),'Tiền Hàng'!$B24)*$C24,0)</f>
        <v>0</v>
      </c>
      <c r="S24" s="68">
        <f ca="1">IFERROR(SUMIFS(INDIRECT(S$1&amp;"!$C:$C"),INDIRECT(S$1&amp;"!$B:$B"),'Tiền Hàng'!$B24)*$C24,0)</f>
        <v>0</v>
      </c>
      <c r="T24" s="68">
        <f ca="1">IFERROR(SUMIFS(INDIRECT(T$1&amp;"!$C:$C"),INDIRECT(T$1&amp;"!$B:$B"),'Tiền Hàng'!$B24)*$C24,0)</f>
        <v>0</v>
      </c>
      <c r="U24" s="68">
        <f ca="1">IFERROR(SUMIFS(INDIRECT(U$1&amp;"!$C:$C"),INDIRECT(U$1&amp;"!$B:$B"),'Tiền Hàng'!$B24)*$C24,0)</f>
        <v>0</v>
      </c>
      <c r="V24" s="68">
        <f ca="1">IFERROR(SUMIFS(INDIRECT(V$1&amp;"!$C:$C"),INDIRECT(V$1&amp;"!$B:$B"),'Tiền Hàng'!$B24)*$C24,0)</f>
        <v>0</v>
      </c>
      <c r="W24" s="68">
        <f ca="1">IFERROR(SUMIFS(INDIRECT(W$1&amp;"!$C:$C"),INDIRECT(W$1&amp;"!$B:$B"),'Tiền Hàng'!$B24)*$C24,0)</f>
        <v>0</v>
      </c>
      <c r="X24" s="68">
        <f ca="1">IFERROR(SUMIFS(INDIRECT(X$1&amp;"!$C:$C"),INDIRECT(X$1&amp;"!$B:$B"),'Tiền Hàng'!$B24)*$C24,0)</f>
        <v>0</v>
      </c>
      <c r="Y24" s="68">
        <f ca="1">IFERROR(SUMIFS(INDIRECT(Y$1&amp;"!$C:$C"),INDIRECT(Y$1&amp;"!$B:$B"),'Tiền Hàng'!$B24)*$C24,0)</f>
        <v>0</v>
      </c>
      <c r="Z24" s="68">
        <f ca="1">IFERROR(SUMIFS(INDIRECT(Z$1&amp;"!$C:$C"),INDIRECT(Z$1&amp;"!$B:$B"),'Tiền Hàng'!$B24)*$C24,0)</f>
        <v>0</v>
      </c>
      <c r="AA24" s="68">
        <f ca="1">IFERROR(SUMIFS(INDIRECT(AA$1&amp;"!$C:$C"),INDIRECT(AA$1&amp;"!$B:$B"),'Tiền Hàng'!$B24)*$C24,0)</f>
        <v>0</v>
      </c>
      <c r="AB24" s="68">
        <f ca="1">IFERROR(SUMIFS(INDIRECT(AB$1&amp;"!$C:$C"),INDIRECT(AB$1&amp;"!$B:$B"),'Tiền Hàng'!$B24)*$C24,0)</f>
        <v>0</v>
      </c>
      <c r="AC24" s="68">
        <f ca="1">IFERROR(SUMIFS(INDIRECT(AC$1&amp;"!$C:$C"),INDIRECT(AC$1&amp;"!$B:$B"),'Tiền Hàng'!$B24)*$C24,0)</f>
        <v>0</v>
      </c>
      <c r="AD24" s="68">
        <f ca="1">IFERROR(SUMIFS(INDIRECT(AD$1&amp;"!$C:$C"),INDIRECT(AD$1&amp;"!$B:$B"),'Tiền Hàng'!$B24)*$C24,0)</f>
        <v>0</v>
      </c>
      <c r="AE24" s="68">
        <f ca="1">IFERROR(SUMIFS(INDIRECT(AE$1&amp;"!$C:$C"),INDIRECT(AE$1&amp;"!$B:$B"),'Tiền Hàng'!$B24)*$C24,0)</f>
        <v>0</v>
      </c>
      <c r="AF24" s="68">
        <f ca="1">IFERROR(SUMIFS(INDIRECT(AF$1&amp;"!$C:$C"),INDIRECT(AF$1&amp;"!$B:$B"),'Tiền Hàng'!$B24)*$C24,0)</f>
        <v>0</v>
      </c>
      <c r="AG24" s="68">
        <f ca="1">IFERROR(SUMIFS(INDIRECT(AG$1&amp;"!$C:$C"),INDIRECT(AG$1&amp;"!$B:$B"),'Tiền Hàng'!$B24)*$C24,0)</f>
        <v>0</v>
      </c>
      <c r="AH24" s="68">
        <f ca="1">IFERROR(SUMIFS(INDIRECT(AH$1&amp;"!$C:$C"),INDIRECT(AH$1&amp;"!$B:$B"),'Tiền Hàng'!$B24)*$C24,0)</f>
        <v>0</v>
      </c>
      <c r="AI24" s="68">
        <f ca="1">IFERROR(SUMIFS(INDIRECT(AI$1&amp;"!$C:$C"),INDIRECT(AI$1&amp;"!$B:$B"),'Tiền Hàng'!$B24)*$C24,0)</f>
        <v>0</v>
      </c>
      <c r="AJ24" s="68">
        <f ca="1">IFERROR(SUMIFS(INDIRECT(AJ$1&amp;"!$C:$C"),INDIRECT(AJ$1&amp;"!$B:$B"),'Tiền Hàng'!$B24)*$C24,0)</f>
        <v>0</v>
      </c>
      <c r="AK24" s="68">
        <f ca="1">IFERROR(SUMIFS(INDIRECT(AK$1&amp;"!$C:$C"),INDIRECT(AK$1&amp;"!$B:$B"),'Tiền Hàng'!$B24)*$C24,0)</f>
        <v>0</v>
      </c>
    </row>
    <row r="25" spans="1:37" x14ac:dyDescent="0.25">
      <c r="A25" s="50">
        <v>23</v>
      </c>
      <c r="B25" s="30" t="s">
        <v>70</v>
      </c>
      <c r="C25" s="59">
        <v>54</v>
      </c>
      <c r="D25" s="62">
        <f t="shared" ref="D25" ca="1" si="5">F25/$F$2</f>
        <v>2.4204392649036306E-2</v>
      </c>
      <c r="E25" s="65">
        <f ca="1">D25*'Chi phí'!$B$2/(F25/C25*Table1[[#This Row],[DON VI NHAP]])</f>
        <v>0.33367484151885762</v>
      </c>
      <c r="F25" s="56">
        <f t="shared" ref="F25" ca="1" si="6">SUM(G25:AK25)</f>
        <v>108</v>
      </c>
      <c r="G25" s="68">
        <f ca="1">IFERROR(SUMIFS(INDIRECT(G$1&amp;"!$C:$C"),INDIRECT(G$1&amp;"!$B:$B"),'Tiền Hàng'!$B25)*$C25,0)</f>
        <v>0</v>
      </c>
      <c r="H25" s="68">
        <f ca="1">IFERROR(SUMIFS(INDIRECT(H$1&amp;"!$C:$C"),INDIRECT(H$1&amp;"!$B:$B"),'Tiền Hàng'!$B25)*$C25,0)</f>
        <v>0</v>
      </c>
      <c r="I25" s="68">
        <f ca="1">IFERROR(SUMIFS(INDIRECT(I$1&amp;"!$C:$C"),INDIRECT(I$1&amp;"!$B:$B"),'Tiền Hàng'!$B25)*$C25,0)</f>
        <v>0</v>
      </c>
      <c r="J25" s="68">
        <f ca="1">IFERROR(SUMIFS(INDIRECT(J$1&amp;"!$C:$C"),INDIRECT(J$1&amp;"!$B:$B"),'Tiền Hàng'!$B25)*$C25,0)</f>
        <v>54</v>
      </c>
      <c r="K25" s="68">
        <f ca="1">IFERROR(SUMIFS(INDIRECT(K$1&amp;"!$C:$C"),INDIRECT(K$1&amp;"!$B:$B"),'Tiền Hàng'!$B25)*$C25,0)</f>
        <v>0</v>
      </c>
      <c r="L25" s="68">
        <f ca="1">IFERROR(SUMIFS(INDIRECT(L$1&amp;"!$C:$C"),INDIRECT(L$1&amp;"!$B:$B"),'Tiền Hàng'!$B25)*$C25,0)</f>
        <v>54</v>
      </c>
      <c r="M25" s="68">
        <f ca="1">IFERROR(SUMIFS(INDIRECT(M$1&amp;"!$C:$C"),INDIRECT(M$1&amp;"!$B:$B"),'Tiền Hàng'!$B25)*$C25,0)</f>
        <v>0</v>
      </c>
      <c r="N25" s="68">
        <f ca="1">IFERROR(SUMIFS(INDIRECT(N$1&amp;"!$C:$C"),INDIRECT(N$1&amp;"!$B:$B"),'Tiền Hàng'!$B25)*$C25,0)</f>
        <v>0</v>
      </c>
      <c r="O25" s="68">
        <f ca="1">IFERROR(SUMIFS(INDIRECT(O$1&amp;"!$C:$C"),INDIRECT(O$1&amp;"!$B:$B"),'Tiền Hàng'!$B25)*$C25,0)</f>
        <v>0</v>
      </c>
      <c r="P25" s="68">
        <f ca="1">IFERROR(SUMIFS(INDIRECT(P$1&amp;"!$C:$C"),INDIRECT(P$1&amp;"!$B:$B"),'Tiền Hàng'!$B25)*$C25,0)</f>
        <v>0</v>
      </c>
      <c r="Q25" s="68">
        <f ca="1">IFERROR(SUMIFS(INDIRECT(Q$1&amp;"!$C:$C"),INDIRECT(Q$1&amp;"!$B:$B"),'Tiền Hàng'!$B25)*$C25,0)</f>
        <v>0</v>
      </c>
      <c r="R25" s="68">
        <f ca="1">IFERROR(SUMIFS(INDIRECT(R$1&amp;"!$C:$C"),INDIRECT(R$1&amp;"!$B:$B"),'Tiền Hàng'!$B25)*$C25,0)</f>
        <v>0</v>
      </c>
      <c r="S25" s="68">
        <f ca="1">IFERROR(SUMIFS(INDIRECT(S$1&amp;"!$C:$C"),INDIRECT(S$1&amp;"!$B:$B"),'Tiền Hàng'!$B25)*$C25,0)</f>
        <v>0</v>
      </c>
      <c r="T25" s="68">
        <f ca="1">IFERROR(SUMIFS(INDIRECT(T$1&amp;"!$C:$C"),INDIRECT(T$1&amp;"!$B:$B"),'Tiền Hàng'!$B25)*$C25,0)</f>
        <v>0</v>
      </c>
      <c r="U25" s="68">
        <f ca="1">IFERROR(SUMIFS(INDIRECT(U$1&amp;"!$C:$C"),INDIRECT(U$1&amp;"!$B:$B"),'Tiền Hàng'!$B25)*$C25,0)</f>
        <v>0</v>
      </c>
      <c r="V25" s="68">
        <f ca="1">IFERROR(SUMIFS(INDIRECT(V$1&amp;"!$C:$C"),INDIRECT(V$1&amp;"!$B:$B"),'Tiền Hàng'!$B25)*$C25,0)</f>
        <v>0</v>
      </c>
      <c r="W25" s="68">
        <f ca="1">IFERROR(SUMIFS(INDIRECT(W$1&amp;"!$C:$C"),INDIRECT(W$1&amp;"!$B:$B"),'Tiền Hàng'!$B25)*$C25,0)</f>
        <v>0</v>
      </c>
      <c r="X25" s="68">
        <f ca="1">IFERROR(SUMIFS(INDIRECT(X$1&amp;"!$C:$C"),INDIRECT(X$1&amp;"!$B:$B"),'Tiền Hàng'!$B25)*$C25,0)</f>
        <v>0</v>
      </c>
      <c r="Y25" s="68">
        <f ca="1">IFERROR(SUMIFS(INDIRECT(Y$1&amp;"!$C:$C"),INDIRECT(Y$1&amp;"!$B:$B"),'Tiền Hàng'!$B25)*$C25,0)</f>
        <v>0</v>
      </c>
      <c r="Z25" s="68">
        <f ca="1">IFERROR(SUMIFS(INDIRECT(Z$1&amp;"!$C:$C"),INDIRECT(Z$1&amp;"!$B:$B"),'Tiền Hàng'!$B25)*$C25,0)</f>
        <v>0</v>
      </c>
      <c r="AA25" s="68">
        <f ca="1">IFERROR(SUMIFS(INDIRECT(AA$1&amp;"!$C:$C"),INDIRECT(AA$1&amp;"!$B:$B"),'Tiền Hàng'!$B25)*$C25,0)</f>
        <v>0</v>
      </c>
      <c r="AB25" s="68">
        <f ca="1">IFERROR(SUMIFS(INDIRECT(AB$1&amp;"!$C:$C"),INDIRECT(AB$1&amp;"!$B:$B"),'Tiền Hàng'!$B25)*$C25,0)</f>
        <v>0</v>
      </c>
      <c r="AC25" s="68">
        <f ca="1">IFERROR(SUMIFS(INDIRECT(AC$1&amp;"!$C:$C"),INDIRECT(AC$1&amp;"!$B:$B"),'Tiền Hàng'!$B25)*$C25,0)</f>
        <v>0</v>
      </c>
      <c r="AD25" s="68">
        <f ca="1">IFERROR(SUMIFS(INDIRECT(AD$1&amp;"!$C:$C"),INDIRECT(AD$1&amp;"!$B:$B"),'Tiền Hàng'!$B25)*$C25,0)</f>
        <v>0</v>
      </c>
      <c r="AE25" s="68">
        <f ca="1">IFERROR(SUMIFS(INDIRECT(AE$1&amp;"!$C:$C"),INDIRECT(AE$1&amp;"!$B:$B"),'Tiền Hàng'!$B25)*$C25,0)</f>
        <v>0</v>
      </c>
      <c r="AF25" s="68">
        <f ca="1">IFERROR(SUMIFS(INDIRECT(AF$1&amp;"!$C:$C"),INDIRECT(AF$1&amp;"!$B:$B"),'Tiền Hàng'!$B25)*$C25,0)</f>
        <v>0</v>
      </c>
      <c r="AG25" s="68">
        <f ca="1">IFERROR(SUMIFS(INDIRECT(AG$1&amp;"!$C:$C"),INDIRECT(AG$1&amp;"!$B:$B"),'Tiền Hàng'!$B25)*$C25,0)</f>
        <v>0</v>
      </c>
      <c r="AH25" s="68">
        <f ca="1">IFERROR(SUMIFS(INDIRECT(AH$1&amp;"!$C:$C"),INDIRECT(AH$1&amp;"!$B:$B"),'Tiền Hàng'!$B25)*$C25,0)</f>
        <v>0</v>
      </c>
      <c r="AI25" s="68">
        <f ca="1">IFERROR(SUMIFS(INDIRECT(AI$1&amp;"!$C:$C"),INDIRECT(AI$1&amp;"!$B:$B"),'Tiền Hàng'!$B25)*$C25,0)</f>
        <v>0</v>
      </c>
      <c r="AJ25" s="68">
        <f ca="1">IFERROR(SUMIFS(INDIRECT(AJ$1&amp;"!$C:$C"),INDIRECT(AJ$1&amp;"!$B:$B"),'Tiền Hàng'!$B25)*$C25,0)</f>
        <v>0</v>
      </c>
      <c r="AK25" s="68">
        <f ca="1">IFERROR(SUMIFS(INDIRECT(AK$1&amp;"!$C:$C"),INDIRECT(AK$1&amp;"!$B:$B"),'Tiền Hàng'!$B25)*$C25,0)</f>
        <v>0</v>
      </c>
    </row>
    <row r="26" spans="1:37" x14ac:dyDescent="0.25">
      <c r="A26" s="26">
        <v>24</v>
      </c>
      <c r="B26" s="30" t="s">
        <v>0</v>
      </c>
      <c r="C26" s="59">
        <v>70</v>
      </c>
      <c r="D26" s="62">
        <f t="shared" ca="1" si="1"/>
        <v>4.7064096817570594E-2</v>
      </c>
      <c r="E26" s="65">
        <f ca="1">D26*'Chi phí'!$B$2/(F26/C26*Table1[[#This Row],[DON VI NHAP]])</f>
        <v>0.43254146122814874</v>
      </c>
      <c r="F26" s="56">
        <f t="shared" ca="1" si="2"/>
        <v>210</v>
      </c>
      <c r="G26" s="68">
        <f ca="1">IFERROR(SUMIFS(INDIRECT(G$1&amp;"!$C:$C"),INDIRECT(G$1&amp;"!$B:$B"),'Tiền Hàng'!$B26)*$C26,0)</f>
        <v>70</v>
      </c>
      <c r="H26" s="68">
        <f ca="1">IFERROR(SUMIFS(INDIRECT(H$1&amp;"!$C:$C"),INDIRECT(H$1&amp;"!$B:$B"),'Tiền Hàng'!$B26)*$C26,0)</f>
        <v>70</v>
      </c>
      <c r="I26" s="68">
        <f ca="1">IFERROR(SUMIFS(INDIRECT(I$1&amp;"!$C:$C"),INDIRECT(I$1&amp;"!$B:$B"),'Tiền Hàng'!$B26)*$C26,0)</f>
        <v>0</v>
      </c>
      <c r="J26" s="68">
        <f ca="1">IFERROR(SUMIFS(INDIRECT(J$1&amp;"!$C:$C"),INDIRECT(J$1&amp;"!$B:$B"),'Tiền Hàng'!$B26)*$C26,0)</f>
        <v>0</v>
      </c>
      <c r="K26" s="68">
        <f ca="1">IFERROR(SUMIFS(INDIRECT(K$1&amp;"!$C:$C"),INDIRECT(K$1&amp;"!$B:$B"),'Tiền Hàng'!$B26)*$C26,0)</f>
        <v>0</v>
      </c>
      <c r="L26" s="68">
        <f ca="1">IFERROR(SUMIFS(INDIRECT(L$1&amp;"!$C:$C"),INDIRECT(L$1&amp;"!$B:$B"),'Tiền Hàng'!$B26)*$C26,0)</f>
        <v>70</v>
      </c>
      <c r="M26" s="68">
        <f ca="1">IFERROR(SUMIFS(INDIRECT(M$1&amp;"!$C:$C"),INDIRECT(M$1&amp;"!$B:$B"),'Tiền Hàng'!$B26)*$C26,0)</f>
        <v>0</v>
      </c>
      <c r="N26" s="68">
        <f ca="1">IFERROR(SUMIFS(INDIRECT(N$1&amp;"!$C:$C"),INDIRECT(N$1&amp;"!$B:$B"),'Tiền Hàng'!$B26)*$C26,0)</f>
        <v>0</v>
      </c>
      <c r="O26" s="68">
        <f ca="1">IFERROR(SUMIFS(INDIRECT(O$1&amp;"!$C:$C"),INDIRECT(O$1&amp;"!$B:$B"),'Tiền Hàng'!$B26)*$C26,0)</f>
        <v>0</v>
      </c>
      <c r="P26" s="68">
        <f ca="1">IFERROR(SUMIFS(INDIRECT(P$1&amp;"!$C:$C"),INDIRECT(P$1&amp;"!$B:$B"),'Tiền Hàng'!$B26)*$C26,0)</f>
        <v>0</v>
      </c>
      <c r="Q26" s="68">
        <f ca="1">IFERROR(SUMIFS(INDIRECT(Q$1&amp;"!$C:$C"),INDIRECT(Q$1&amp;"!$B:$B"),'Tiền Hàng'!$B26)*$C26,0)</f>
        <v>0</v>
      </c>
      <c r="R26" s="68">
        <f ca="1">IFERROR(SUMIFS(INDIRECT(R$1&amp;"!$C:$C"),INDIRECT(R$1&amp;"!$B:$B"),'Tiền Hàng'!$B26)*$C26,0)</f>
        <v>0</v>
      </c>
      <c r="S26" s="68">
        <f ca="1">IFERROR(SUMIFS(INDIRECT(S$1&amp;"!$C:$C"),INDIRECT(S$1&amp;"!$B:$B"),'Tiền Hàng'!$B26)*$C26,0)</f>
        <v>0</v>
      </c>
      <c r="T26" s="68">
        <f ca="1">IFERROR(SUMIFS(INDIRECT(T$1&amp;"!$C:$C"),INDIRECT(T$1&amp;"!$B:$B"),'Tiền Hàng'!$B26)*$C26,0)</f>
        <v>0</v>
      </c>
      <c r="U26" s="68">
        <f ca="1">IFERROR(SUMIFS(INDIRECT(U$1&amp;"!$C:$C"),INDIRECT(U$1&amp;"!$B:$B"),'Tiền Hàng'!$B26)*$C26,0)</f>
        <v>0</v>
      </c>
      <c r="V26" s="68">
        <f ca="1">IFERROR(SUMIFS(INDIRECT(V$1&amp;"!$C:$C"),INDIRECT(V$1&amp;"!$B:$B"),'Tiền Hàng'!$B26)*$C26,0)</f>
        <v>0</v>
      </c>
      <c r="W26" s="68">
        <f ca="1">IFERROR(SUMIFS(INDIRECT(W$1&amp;"!$C:$C"),INDIRECT(W$1&amp;"!$B:$B"),'Tiền Hàng'!$B26)*$C26,0)</f>
        <v>0</v>
      </c>
      <c r="X26" s="68">
        <f ca="1">IFERROR(SUMIFS(INDIRECT(X$1&amp;"!$C:$C"),INDIRECT(X$1&amp;"!$B:$B"),'Tiền Hàng'!$B26)*$C26,0)</f>
        <v>0</v>
      </c>
      <c r="Y26" s="68">
        <f ca="1">IFERROR(SUMIFS(INDIRECT(Y$1&amp;"!$C:$C"),INDIRECT(Y$1&amp;"!$B:$B"),'Tiền Hàng'!$B26)*$C26,0)</f>
        <v>0</v>
      </c>
      <c r="Z26" s="68">
        <f ca="1">IFERROR(SUMIFS(INDIRECT(Z$1&amp;"!$C:$C"),INDIRECT(Z$1&amp;"!$B:$B"),'Tiền Hàng'!$B26)*$C26,0)</f>
        <v>0</v>
      </c>
      <c r="AA26" s="68">
        <f ca="1">IFERROR(SUMIFS(INDIRECT(AA$1&amp;"!$C:$C"),INDIRECT(AA$1&amp;"!$B:$B"),'Tiền Hàng'!$B26)*$C26,0)</f>
        <v>0</v>
      </c>
      <c r="AB26" s="68">
        <f ca="1">IFERROR(SUMIFS(INDIRECT(AB$1&amp;"!$C:$C"),INDIRECT(AB$1&amp;"!$B:$B"),'Tiền Hàng'!$B26)*$C26,0)</f>
        <v>0</v>
      </c>
      <c r="AC26" s="68">
        <f ca="1">IFERROR(SUMIFS(INDIRECT(AC$1&amp;"!$C:$C"),INDIRECT(AC$1&amp;"!$B:$B"),'Tiền Hàng'!$B26)*$C26,0)</f>
        <v>0</v>
      </c>
      <c r="AD26" s="68">
        <f ca="1">IFERROR(SUMIFS(INDIRECT(AD$1&amp;"!$C:$C"),INDIRECT(AD$1&amp;"!$B:$B"),'Tiền Hàng'!$B26)*$C26,0)</f>
        <v>0</v>
      </c>
      <c r="AE26" s="68">
        <f ca="1">IFERROR(SUMIFS(INDIRECT(AE$1&amp;"!$C:$C"),INDIRECT(AE$1&amp;"!$B:$B"),'Tiền Hàng'!$B26)*$C26,0)</f>
        <v>0</v>
      </c>
      <c r="AF26" s="68">
        <f ca="1">IFERROR(SUMIFS(INDIRECT(AF$1&amp;"!$C:$C"),INDIRECT(AF$1&amp;"!$B:$B"),'Tiền Hàng'!$B26)*$C26,0)</f>
        <v>0</v>
      </c>
      <c r="AG26" s="68">
        <f ca="1">IFERROR(SUMIFS(INDIRECT(AG$1&amp;"!$C:$C"),INDIRECT(AG$1&amp;"!$B:$B"),'Tiền Hàng'!$B26)*$C26,0)</f>
        <v>0</v>
      </c>
      <c r="AH26" s="68">
        <f ca="1">IFERROR(SUMIFS(INDIRECT(AH$1&amp;"!$C:$C"),INDIRECT(AH$1&amp;"!$B:$B"),'Tiền Hàng'!$B26)*$C26,0)</f>
        <v>0</v>
      </c>
      <c r="AI26" s="68">
        <f ca="1">IFERROR(SUMIFS(INDIRECT(AI$1&amp;"!$C:$C"),INDIRECT(AI$1&amp;"!$B:$B"),'Tiền Hàng'!$B26)*$C26,0)</f>
        <v>0</v>
      </c>
      <c r="AJ26" s="68">
        <f ca="1">IFERROR(SUMIFS(INDIRECT(AJ$1&amp;"!$C:$C"),INDIRECT(AJ$1&amp;"!$B:$B"),'Tiền Hàng'!$B26)*$C26,0)</f>
        <v>0</v>
      </c>
      <c r="AK26" s="68">
        <f ca="1">IFERROR(SUMIFS(INDIRECT(AK$1&amp;"!$C:$C"),INDIRECT(AK$1&amp;"!$B:$B"),'Tiền Hàng'!$B26)*$C26,0)</f>
        <v>0</v>
      </c>
    </row>
    <row r="27" spans="1:37" x14ac:dyDescent="0.25">
      <c r="A27" s="50">
        <v>25</v>
      </c>
      <c r="B27" s="31" t="s">
        <v>40</v>
      </c>
      <c r="C27" s="60">
        <v>80</v>
      </c>
      <c r="D27" s="63">
        <f t="shared" ca="1" si="1"/>
        <v>0</v>
      </c>
      <c r="E27" s="65" t="e">
        <f ca="1">D27*'Chi phí'!$B$2/(F27/C27*Table1[[#This Row],[DON VI NHAP]])</f>
        <v>#DIV/0!</v>
      </c>
      <c r="F27" s="56">
        <f t="shared" ca="1" si="2"/>
        <v>0</v>
      </c>
      <c r="G27" s="68">
        <f ca="1">IFERROR(SUMIFS(INDIRECT(G$1&amp;"!$C:$C"),INDIRECT(G$1&amp;"!$B:$B"),'Tiền Hàng'!$B27)*$C27,0)</f>
        <v>0</v>
      </c>
      <c r="H27" s="68">
        <f ca="1">IFERROR(SUMIFS(INDIRECT(H$1&amp;"!$C:$C"),INDIRECT(H$1&amp;"!$B:$B"),'Tiền Hàng'!$B27)*$C27,0)</f>
        <v>0</v>
      </c>
      <c r="I27" s="68">
        <f ca="1">IFERROR(SUMIFS(INDIRECT(I$1&amp;"!$C:$C"),INDIRECT(I$1&amp;"!$B:$B"),'Tiền Hàng'!$B27)*$C27,0)</f>
        <v>0</v>
      </c>
      <c r="J27" s="68">
        <f ca="1">IFERROR(SUMIFS(INDIRECT(J$1&amp;"!$C:$C"),INDIRECT(J$1&amp;"!$B:$B"),'Tiền Hàng'!$B27)*$C27,0)</f>
        <v>0</v>
      </c>
      <c r="K27" s="68">
        <f ca="1">IFERROR(SUMIFS(INDIRECT(K$1&amp;"!$C:$C"),INDIRECT(K$1&amp;"!$B:$B"),'Tiền Hàng'!$B27)*$C27,0)</f>
        <v>0</v>
      </c>
      <c r="L27" s="68">
        <f ca="1">IFERROR(SUMIFS(INDIRECT(L$1&amp;"!$C:$C"),INDIRECT(L$1&amp;"!$B:$B"),'Tiền Hàng'!$B27)*$C27,0)</f>
        <v>0</v>
      </c>
      <c r="M27" s="68">
        <f ca="1">IFERROR(SUMIFS(INDIRECT(M$1&amp;"!$C:$C"),INDIRECT(M$1&amp;"!$B:$B"),'Tiền Hàng'!$B27)*$C27,0)</f>
        <v>0</v>
      </c>
      <c r="N27" s="68">
        <f ca="1">IFERROR(SUMIFS(INDIRECT(N$1&amp;"!$C:$C"),INDIRECT(N$1&amp;"!$B:$B"),'Tiền Hàng'!$B27)*$C27,0)</f>
        <v>0</v>
      </c>
      <c r="O27" s="68">
        <f ca="1">IFERROR(SUMIFS(INDIRECT(O$1&amp;"!$C:$C"),INDIRECT(O$1&amp;"!$B:$B"),'Tiền Hàng'!$B27)*$C27,0)</f>
        <v>0</v>
      </c>
      <c r="P27" s="68">
        <f ca="1">IFERROR(SUMIFS(INDIRECT(P$1&amp;"!$C:$C"),INDIRECT(P$1&amp;"!$B:$B"),'Tiền Hàng'!$B27)*$C27,0)</f>
        <v>0</v>
      </c>
      <c r="Q27" s="68">
        <f ca="1">IFERROR(SUMIFS(INDIRECT(Q$1&amp;"!$C:$C"),INDIRECT(Q$1&amp;"!$B:$B"),'Tiền Hàng'!$B27)*$C27,0)</f>
        <v>0</v>
      </c>
      <c r="R27" s="68">
        <f ca="1">IFERROR(SUMIFS(INDIRECT(R$1&amp;"!$C:$C"),INDIRECT(R$1&amp;"!$B:$B"),'Tiền Hàng'!$B27)*$C27,0)</f>
        <v>0</v>
      </c>
      <c r="S27" s="68">
        <f ca="1">IFERROR(SUMIFS(INDIRECT(S$1&amp;"!$C:$C"),INDIRECT(S$1&amp;"!$B:$B"),'Tiền Hàng'!$B27)*$C27,0)</f>
        <v>0</v>
      </c>
      <c r="T27" s="68">
        <f ca="1">IFERROR(SUMIFS(INDIRECT(T$1&amp;"!$C:$C"),INDIRECT(T$1&amp;"!$B:$B"),'Tiền Hàng'!$B27)*$C27,0)</f>
        <v>0</v>
      </c>
      <c r="U27" s="68">
        <f ca="1">IFERROR(SUMIFS(INDIRECT(U$1&amp;"!$C:$C"),INDIRECT(U$1&amp;"!$B:$B"),'Tiền Hàng'!$B27)*$C27,0)</f>
        <v>0</v>
      </c>
      <c r="V27" s="68">
        <f ca="1">IFERROR(SUMIFS(INDIRECT(V$1&amp;"!$C:$C"),INDIRECT(V$1&amp;"!$B:$B"),'Tiền Hàng'!$B27)*$C27,0)</f>
        <v>0</v>
      </c>
      <c r="W27" s="68">
        <f ca="1">IFERROR(SUMIFS(INDIRECT(W$1&amp;"!$C:$C"),INDIRECT(W$1&amp;"!$B:$B"),'Tiền Hàng'!$B27)*$C27,0)</f>
        <v>0</v>
      </c>
      <c r="X27" s="68">
        <f ca="1">IFERROR(SUMIFS(INDIRECT(X$1&amp;"!$C:$C"),INDIRECT(X$1&amp;"!$B:$B"),'Tiền Hàng'!$B27)*$C27,0)</f>
        <v>0</v>
      </c>
      <c r="Y27" s="68">
        <f ca="1">IFERROR(SUMIFS(INDIRECT(Y$1&amp;"!$C:$C"),INDIRECT(Y$1&amp;"!$B:$B"),'Tiền Hàng'!$B27)*$C27,0)</f>
        <v>0</v>
      </c>
      <c r="Z27" s="68">
        <f ca="1">IFERROR(SUMIFS(INDIRECT(Z$1&amp;"!$C:$C"),INDIRECT(Z$1&amp;"!$B:$B"),'Tiền Hàng'!$B27)*$C27,0)</f>
        <v>0</v>
      </c>
      <c r="AA27" s="68">
        <f ca="1">IFERROR(SUMIFS(INDIRECT(AA$1&amp;"!$C:$C"),INDIRECT(AA$1&amp;"!$B:$B"),'Tiền Hàng'!$B27)*$C27,0)</f>
        <v>0</v>
      </c>
      <c r="AB27" s="68">
        <f ca="1">IFERROR(SUMIFS(INDIRECT(AB$1&amp;"!$C:$C"),INDIRECT(AB$1&amp;"!$B:$B"),'Tiền Hàng'!$B27)*$C27,0)</f>
        <v>0</v>
      </c>
      <c r="AC27" s="68">
        <f ca="1">IFERROR(SUMIFS(INDIRECT(AC$1&amp;"!$C:$C"),INDIRECT(AC$1&amp;"!$B:$B"),'Tiền Hàng'!$B27)*$C27,0)</f>
        <v>0</v>
      </c>
      <c r="AD27" s="68">
        <f ca="1">IFERROR(SUMIFS(INDIRECT(AD$1&amp;"!$C:$C"),INDIRECT(AD$1&amp;"!$B:$B"),'Tiền Hàng'!$B27)*$C27,0)</f>
        <v>0</v>
      </c>
      <c r="AE27" s="68">
        <f ca="1">IFERROR(SUMIFS(INDIRECT(AE$1&amp;"!$C:$C"),INDIRECT(AE$1&amp;"!$B:$B"),'Tiền Hàng'!$B27)*$C27,0)</f>
        <v>0</v>
      </c>
      <c r="AF27" s="68">
        <f ca="1">IFERROR(SUMIFS(INDIRECT(AF$1&amp;"!$C:$C"),INDIRECT(AF$1&amp;"!$B:$B"),'Tiền Hàng'!$B27)*$C27,0)</f>
        <v>0</v>
      </c>
      <c r="AG27" s="68">
        <f ca="1">IFERROR(SUMIFS(INDIRECT(AG$1&amp;"!$C:$C"),INDIRECT(AG$1&amp;"!$B:$B"),'Tiền Hàng'!$B27)*$C27,0)</f>
        <v>0</v>
      </c>
      <c r="AH27" s="68">
        <f ca="1">IFERROR(SUMIFS(INDIRECT(AH$1&amp;"!$C:$C"),INDIRECT(AH$1&amp;"!$B:$B"),'Tiền Hàng'!$B27)*$C27,0)</f>
        <v>0</v>
      </c>
      <c r="AI27" s="68">
        <f ca="1">IFERROR(SUMIFS(INDIRECT(AI$1&amp;"!$C:$C"),INDIRECT(AI$1&amp;"!$B:$B"),'Tiền Hàng'!$B27)*$C27,0)</f>
        <v>0</v>
      </c>
      <c r="AJ27" s="68">
        <f ca="1">IFERROR(SUMIFS(INDIRECT(AJ$1&amp;"!$C:$C"),INDIRECT(AJ$1&amp;"!$B:$B"),'Tiền Hàng'!$B27)*$C27,0)</f>
        <v>0</v>
      </c>
      <c r="AK27" s="68">
        <f ca="1">IFERROR(SUMIFS(INDIRECT(AK$1&amp;"!$C:$C"),INDIRECT(AK$1&amp;"!$B:$B"),'Tiền Hàng'!$B27)*$C27,0)</f>
        <v>0</v>
      </c>
    </row>
    <row r="28" spans="1:37" x14ac:dyDescent="0.25">
      <c r="A28" s="26">
        <v>26</v>
      </c>
      <c r="B28" s="31" t="s">
        <v>41</v>
      </c>
      <c r="C28" s="60">
        <v>124</v>
      </c>
      <c r="D28" s="63">
        <f t="shared" ca="1" si="1"/>
        <v>2.7790228597041687E-2</v>
      </c>
      <c r="E28" s="65">
        <f ca="1">D28*'Chi phí'!$B$2/(F28/C28*Table1[[#This Row],[DON VI NHAP]])</f>
        <v>0.89391901987150757</v>
      </c>
      <c r="F28" s="56">
        <f t="shared" ca="1" si="2"/>
        <v>124</v>
      </c>
      <c r="G28" s="68">
        <f ca="1">IFERROR(SUMIFS(INDIRECT(G$1&amp;"!$C:$C"),INDIRECT(G$1&amp;"!$B:$B"),'Tiền Hàng'!$B28)*$C28,0)</f>
        <v>0</v>
      </c>
      <c r="H28" s="68">
        <f ca="1">IFERROR(SUMIFS(INDIRECT(H$1&amp;"!$C:$C"),INDIRECT(H$1&amp;"!$B:$B"),'Tiền Hàng'!$B28)*$C28,0)</f>
        <v>0</v>
      </c>
      <c r="I28" s="68">
        <f ca="1">IFERROR(SUMIFS(INDIRECT(I$1&amp;"!$C:$C"),INDIRECT(I$1&amp;"!$B:$B"),'Tiền Hàng'!$B28)*$C28,0)</f>
        <v>124</v>
      </c>
      <c r="J28" s="68">
        <f ca="1">IFERROR(SUMIFS(INDIRECT(J$1&amp;"!$C:$C"),INDIRECT(J$1&amp;"!$B:$B"),'Tiền Hàng'!$B28)*$C28,0)</f>
        <v>0</v>
      </c>
      <c r="K28" s="68">
        <f ca="1">IFERROR(SUMIFS(INDIRECT(K$1&amp;"!$C:$C"),INDIRECT(K$1&amp;"!$B:$B"),'Tiền Hàng'!$B28)*$C28,0)</f>
        <v>0</v>
      </c>
      <c r="L28" s="68">
        <f ca="1">IFERROR(SUMIFS(INDIRECT(L$1&amp;"!$C:$C"),INDIRECT(L$1&amp;"!$B:$B"),'Tiền Hàng'!$B28)*$C28,0)</f>
        <v>0</v>
      </c>
      <c r="M28" s="68">
        <f ca="1">IFERROR(SUMIFS(INDIRECT(M$1&amp;"!$C:$C"),INDIRECT(M$1&amp;"!$B:$B"),'Tiền Hàng'!$B28)*$C28,0)</f>
        <v>0</v>
      </c>
      <c r="N28" s="68">
        <f ca="1">IFERROR(SUMIFS(INDIRECT(N$1&amp;"!$C:$C"),INDIRECT(N$1&amp;"!$B:$B"),'Tiền Hàng'!$B28)*$C28,0)</f>
        <v>0</v>
      </c>
      <c r="O28" s="68">
        <f ca="1">IFERROR(SUMIFS(INDIRECT(O$1&amp;"!$C:$C"),INDIRECT(O$1&amp;"!$B:$B"),'Tiền Hàng'!$B28)*$C28,0)</f>
        <v>0</v>
      </c>
      <c r="P28" s="68">
        <f ca="1">IFERROR(SUMIFS(INDIRECT(P$1&amp;"!$C:$C"),INDIRECT(P$1&amp;"!$B:$B"),'Tiền Hàng'!$B28)*$C28,0)</f>
        <v>0</v>
      </c>
      <c r="Q28" s="68">
        <f ca="1">IFERROR(SUMIFS(INDIRECT(Q$1&amp;"!$C:$C"),INDIRECT(Q$1&amp;"!$B:$B"),'Tiền Hàng'!$B28)*$C28,0)</f>
        <v>0</v>
      </c>
      <c r="R28" s="68">
        <f ca="1">IFERROR(SUMIFS(INDIRECT(R$1&amp;"!$C:$C"),INDIRECT(R$1&amp;"!$B:$B"),'Tiền Hàng'!$B28)*$C28,0)</f>
        <v>0</v>
      </c>
      <c r="S28" s="68">
        <f ca="1">IFERROR(SUMIFS(INDIRECT(S$1&amp;"!$C:$C"),INDIRECT(S$1&amp;"!$B:$B"),'Tiền Hàng'!$B28)*$C28,0)</f>
        <v>0</v>
      </c>
      <c r="T28" s="68">
        <f ca="1">IFERROR(SUMIFS(INDIRECT(T$1&amp;"!$C:$C"),INDIRECT(T$1&amp;"!$B:$B"),'Tiền Hàng'!$B28)*$C28,0)</f>
        <v>0</v>
      </c>
      <c r="U28" s="68">
        <f ca="1">IFERROR(SUMIFS(INDIRECT(U$1&amp;"!$C:$C"),INDIRECT(U$1&amp;"!$B:$B"),'Tiền Hàng'!$B28)*$C28,0)</f>
        <v>0</v>
      </c>
      <c r="V28" s="68">
        <f ca="1">IFERROR(SUMIFS(INDIRECT(V$1&amp;"!$C:$C"),INDIRECT(V$1&amp;"!$B:$B"),'Tiền Hàng'!$B28)*$C28,0)</f>
        <v>0</v>
      </c>
      <c r="W28" s="68">
        <f ca="1">IFERROR(SUMIFS(INDIRECT(W$1&amp;"!$C:$C"),INDIRECT(W$1&amp;"!$B:$B"),'Tiền Hàng'!$B28)*$C28,0)</f>
        <v>0</v>
      </c>
      <c r="X28" s="68">
        <f ca="1">IFERROR(SUMIFS(INDIRECT(X$1&amp;"!$C:$C"),INDIRECT(X$1&amp;"!$B:$B"),'Tiền Hàng'!$B28)*$C28,0)</f>
        <v>0</v>
      </c>
      <c r="Y28" s="68">
        <f ca="1">IFERROR(SUMIFS(INDIRECT(Y$1&amp;"!$C:$C"),INDIRECT(Y$1&amp;"!$B:$B"),'Tiền Hàng'!$B28)*$C28,0)</f>
        <v>0</v>
      </c>
      <c r="Z28" s="68">
        <f ca="1">IFERROR(SUMIFS(INDIRECT(Z$1&amp;"!$C:$C"),INDIRECT(Z$1&amp;"!$B:$B"),'Tiền Hàng'!$B28)*$C28,0)</f>
        <v>0</v>
      </c>
      <c r="AA28" s="68">
        <f ca="1">IFERROR(SUMIFS(INDIRECT(AA$1&amp;"!$C:$C"),INDIRECT(AA$1&amp;"!$B:$B"),'Tiền Hàng'!$B28)*$C28,0)</f>
        <v>0</v>
      </c>
      <c r="AB28" s="68">
        <f ca="1">IFERROR(SUMIFS(INDIRECT(AB$1&amp;"!$C:$C"),INDIRECT(AB$1&amp;"!$B:$B"),'Tiền Hàng'!$B28)*$C28,0)</f>
        <v>0</v>
      </c>
      <c r="AC28" s="68">
        <f ca="1">IFERROR(SUMIFS(INDIRECT(AC$1&amp;"!$C:$C"),INDIRECT(AC$1&amp;"!$B:$B"),'Tiền Hàng'!$B28)*$C28,0)</f>
        <v>0</v>
      </c>
      <c r="AD28" s="68">
        <f ca="1">IFERROR(SUMIFS(INDIRECT(AD$1&amp;"!$C:$C"),INDIRECT(AD$1&amp;"!$B:$B"),'Tiền Hàng'!$B28)*$C28,0)</f>
        <v>0</v>
      </c>
      <c r="AE28" s="68">
        <f ca="1">IFERROR(SUMIFS(INDIRECT(AE$1&amp;"!$C:$C"),INDIRECT(AE$1&amp;"!$B:$B"),'Tiền Hàng'!$B28)*$C28,0)</f>
        <v>0</v>
      </c>
      <c r="AF28" s="68">
        <f ca="1">IFERROR(SUMIFS(INDIRECT(AF$1&amp;"!$C:$C"),INDIRECT(AF$1&amp;"!$B:$B"),'Tiền Hàng'!$B28)*$C28,0)</f>
        <v>0</v>
      </c>
      <c r="AG28" s="68">
        <f ca="1">IFERROR(SUMIFS(INDIRECT(AG$1&amp;"!$C:$C"),INDIRECT(AG$1&amp;"!$B:$B"),'Tiền Hàng'!$B28)*$C28,0)</f>
        <v>0</v>
      </c>
      <c r="AH28" s="68">
        <f ca="1">IFERROR(SUMIFS(INDIRECT(AH$1&amp;"!$C:$C"),INDIRECT(AH$1&amp;"!$B:$B"),'Tiền Hàng'!$B28)*$C28,0)</f>
        <v>0</v>
      </c>
      <c r="AI28" s="68">
        <f ca="1">IFERROR(SUMIFS(INDIRECT(AI$1&amp;"!$C:$C"),INDIRECT(AI$1&amp;"!$B:$B"),'Tiền Hàng'!$B28)*$C28,0)</f>
        <v>0</v>
      </c>
      <c r="AJ28" s="68">
        <f ca="1">IFERROR(SUMIFS(INDIRECT(AJ$1&amp;"!$C:$C"),INDIRECT(AJ$1&amp;"!$B:$B"),'Tiền Hàng'!$B28)*$C28,0)</f>
        <v>0</v>
      </c>
      <c r="AK28" s="68">
        <f ca="1">IFERROR(SUMIFS(INDIRECT(AK$1&amp;"!$C:$C"),INDIRECT(AK$1&amp;"!$B:$B"),'Tiền Hàng'!$B28)*$C28,0)</f>
        <v>0</v>
      </c>
    </row>
    <row r="29" spans="1:37" x14ac:dyDescent="0.25">
      <c r="A29" s="50">
        <v>27</v>
      </c>
      <c r="B29" s="31" t="s">
        <v>42</v>
      </c>
      <c r="C29" s="60">
        <v>173</v>
      </c>
      <c r="D29" s="63">
        <f t="shared" ca="1" si="1"/>
        <v>3.8771851187808161E-2</v>
      </c>
      <c r="E29" s="65">
        <f ca="1">D29*'Chi phí'!$B$2/(F29/C29*Table1[[#This Row],[DON VI NHAP]])</f>
        <v>1.2471612132078291</v>
      </c>
      <c r="F29" s="56">
        <f t="shared" ca="1" si="2"/>
        <v>173</v>
      </c>
      <c r="G29" s="68">
        <f ca="1">IFERROR(SUMIFS(INDIRECT(G$1&amp;"!$C:$C"),INDIRECT(G$1&amp;"!$B:$B"),'Tiền Hàng'!$B29)*$C29,0)</f>
        <v>0</v>
      </c>
      <c r="H29" s="68">
        <f ca="1">IFERROR(SUMIFS(INDIRECT(H$1&amp;"!$C:$C"),INDIRECT(H$1&amp;"!$B:$B"),'Tiền Hàng'!$B29)*$C29,0)</f>
        <v>173</v>
      </c>
      <c r="I29" s="68">
        <f ca="1">IFERROR(SUMIFS(INDIRECT(I$1&amp;"!$C:$C"),INDIRECT(I$1&amp;"!$B:$B"),'Tiền Hàng'!$B29)*$C29,0)</f>
        <v>0</v>
      </c>
      <c r="J29" s="68">
        <f ca="1">IFERROR(SUMIFS(INDIRECT(J$1&amp;"!$C:$C"),INDIRECT(J$1&amp;"!$B:$B"),'Tiền Hàng'!$B29)*$C29,0)</f>
        <v>0</v>
      </c>
      <c r="K29" s="68">
        <f ca="1">IFERROR(SUMIFS(INDIRECT(K$1&amp;"!$C:$C"),INDIRECT(K$1&amp;"!$B:$B"),'Tiền Hàng'!$B29)*$C29,0)</f>
        <v>0</v>
      </c>
      <c r="L29" s="68">
        <f ca="1">IFERROR(SUMIFS(INDIRECT(L$1&amp;"!$C:$C"),INDIRECT(L$1&amp;"!$B:$B"),'Tiền Hàng'!$B29)*$C29,0)</f>
        <v>0</v>
      </c>
      <c r="M29" s="68">
        <f ca="1">IFERROR(SUMIFS(INDIRECT(M$1&amp;"!$C:$C"),INDIRECT(M$1&amp;"!$B:$B"),'Tiền Hàng'!$B29)*$C29,0)</f>
        <v>0</v>
      </c>
      <c r="N29" s="68">
        <f ca="1">IFERROR(SUMIFS(INDIRECT(N$1&amp;"!$C:$C"),INDIRECT(N$1&amp;"!$B:$B"),'Tiền Hàng'!$B29)*$C29,0)</f>
        <v>0</v>
      </c>
      <c r="O29" s="68">
        <f ca="1">IFERROR(SUMIFS(INDIRECT(O$1&amp;"!$C:$C"),INDIRECT(O$1&amp;"!$B:$B"),'Tiền Hàng'!$B29)*$C29,0)</f>
        <v>0</v>
      </c>
      <c r="P29" s="68">
        <f ca="1">IFERROR(SUMIFS(INDIRECT(P$1&amp;"!$C:$C"),INDIRECT(P$1&amp;"!$B:$B"),'Tiền Hàng'!$B29)*$C29,0)</f>
        <v>0</v>
      </c>
      <c r="Q29" s="68">
        <f ca="1">IFERROR(SUMIFS(INDIRECT(Q$1&amp;"!$C:$C"),INDIRECT(Q$1&amp;"!$B:$B"),'Tiền Hàng'!$B29)*$C29,0)</f>
        <v>0</v>
      </c>
      <c r="R29" s="68">
        <f ca="1">IFERROR(SUMIFS(INDIRECT(R$1&amp;"!$C:$C"),INDIRECT(R$1&amp;"!$B:$B"),'Tiền Hàng'!$B29)*$C29,0)</f>
        <v>0</v>
      </c>
      <c r="S29" s="68">
        <f ca="1">IFERROR(SUMIFS(INDIRECT(S$1&amp;"!$C:$C"),INDIRECT(S$1&amp;"!$B:$B"),'Tiền Hàng'!$B29)*$C29,0)</f>
        <v>0</v>
      </c>
      <c r="T29" s="68">
        <f ca="1">IFERROR(SUMIFS(INDIRECT(T$1&amp;"!$C:$C"),INDIRECT(T$1&amp;"!$B:$B"),'Tiền Hàng'!$B29)*$C29,0)</f>
        <v>0</v>
      </c>
      <c r="U29" s="68">
        <f ca="1">IFERROR(SUMIFS(INDIRECT(U$1&amp;"!$C:$C"),INDIRECT(U$1&amp;"!$B:$B"),'Tiền Hàng'!$B29)*$C29,0)</f>
        <v>0</v>
      </c>
      <c r="V29" s="68">
        <f ca="1">IFERROR(SUMIFS(INDIRECT(V$1&amp;"!$C:$C"),INDIRECT(V$1&amp;"!$B:$B"),'Tiền Hàng'!$B29)*$C29,0)</f>
        <v>0</v>
      </c>
      <c r="W29" s="68">
        <f ca="1">IFERROR(SUMIFS(INDIRECT(W$1&amp;"!$C:$C"),INDIRECT(W$1&amp;"!$B:$B"),'Tiền Hàng'!$B29)*$C29,0)</f>
        <v>0</v>
      </c>
      <c r="X29" s="68">
        <f ca="1">IFERROR(SUMIFS(INDIRECT(X$1&amp;"!$C:$C"),INDIRECT(X$1&amp;"!$B:$B"),'Tiền Hàng'!$B29)*$C29,0)</f>
        <v>0</v>
      </c>
      <c r="Y29" s="68">
        <f ca="1">IFERROR(SUMIFS(INDIRECT(Y$1&amp;"!$C:$C"),INDIRECT(Y$1&amp;"!$B:$B"),'Tiền Hàng'!$B29)*$C29,0)</f>
        <v>0</v>
      </c>
      <c r="Z29" s="68">
        <f ca="1">IFERROR(SUMIFS(INDIRECT(Z$1&amp;"!$C:$C"),INDIRECT(Z$1&amp;"!$B:$B"),'Tiền Hàng'!$B29)*$C29,0)</f>
        <v>0</v>
      </c>
      <c r="AA29" s="68">
        <f ca="1">IFERROR(SUMIFS(INDIRECT(AA$1&amp;"!$C:$C"),INDIRECT(AA$1&amp;"!$B:$B"),'Tiền Hàng'!$B29)*$C29,0)</f>
        <v>0</v>
      </c>
      <c r="AB29" s="68">
        <f ca="1">IFERROR(SUMIFS(INDIRECT(AB$1&amp;"!$C:$C"),INDIRECT(AB$1&amp;"!$B:$B"),'Tiền Hàng'!$B29)*$C29,0)</f>
        <v>0</v>
      </c>
      <c r="AC29" s="68">
        <f ca="1">IFERROR(SUMIFS(INDIRECT(AC$1&amp;"!$C:$C"),INDIRECT(AC$1&amp;"!$B:$B"),'Tiền Hàng'!$B29)*$C29,0)</f>
        <v>0</v>
      </c>
      <c r="AD29" s="68">
        <f ca="1">IFERROR(SUMIFS(INDIRECT(AD$1&amp;"!$C:$C"),INDIRECT(AD$1&amp;"!$B:$B"),'Tiền Hàng'!$B29)*$C29,0)</f>
        <v>0</v>
      </c>
      <c r="AE29" s="68">
        <f ca="1">IFERROR(SUMIFS(INDIRECT(AE$1&amp;"!$C:$C"),INDIRECT(AE$1&amp;"!$B:$B"),'Tiền Hàng'!$B29)*$C29,0)</f>
        <v>0</v>
      </c>
      <c r="AF29" s="68">
        <f ca="1">IFERROR(SUMIFS(INDIRECT(AF$1&amp;"!$C:$C"),INDIRECT(AF$1&amp;"!$B:$B"),'Tiền Hàng'!$B29)*$C29,0)</f>
        <v>0</v>
      </c>
      <c r="AG29" s="68">
        <f ca="1">IFERROR(SUMIFS(INDIRECT(AG$1&amp;"!$C:$C"),INDIRECT(AG$1&amp;"!$B:$B"),'Tiền Hàng'!$B29)*$C29,0)</f>
        <v>0</v>
      </c>
      <c r="AH29" s="68">
        <f ca="1">IFERROR(SUMIFS(INDIRECT(AH$1&amp;"!$C:$C"),INDIRECT(AH$1&amp;"!$B:$B"),'Tiền Hàng'!$B29)*$C29,0)</f>
        <v>0</v>
      </c>
      <c r="AI29" s="68">
        <f ca="1">IFERROR(SUMIFS(INDIRECT(AI$1&amp;"!$C:$C"),INDIRECT(AI$1&amp;"!$B:$B"),'Tiền Hàng'!$B29)*$C29,0)</f>
        <v>0</v>
      </c>
      <c r="AJ29" s="68">
        <f ca="1">IFERROR(SUMIFS(INDIRECT(AJ$1&amp;"!$C:$C"),INDIRECT(AJ$1&amp;"!$B:$B"),'Tiền Hàng'!$B29)*$C29,0)</f>
        <v>0</v>
      </c>
      <c r="AK29" s="68">
        <f ca="1">IFERROR(SUMIFS(INDIRECT(AK$1&amp;"!$C:$C"),INDIRECT(AK$1&amp;"!$B:$B"),'Tiền Hàng'!$B29)*$C29,0)</f>
        <v>0</v>
      </c>
    </row>
    <row r="30" spans="1:37" x14ac:dyDescent="0.25">
      <c r="A30" s="26">
        <v>28</v>
      </c>
      <c r="B30" s="31" t="s">
        <v>43</v>
      </c>
      <c r="C30" s="60">
        <v>122</v>
      </c>
      <c r="D30" s="63">
        <f t="shared" ca="1" si="1"/>
        <v>2.7341999103541011E-2</v>
      </c>
      <c r="E30" s="65">
        <f ca="1">D30*'Chi phí'!$B$2/(F30/C30*Table1[[#This Row],[DON VI NHAP]])</f>
        <v>0.87950097116390247</v>
      </c>
      <c r="F30" s="56">
        <f t="shared" ca="1" si="2"/>
        <v>122</v>
      </c>
      <c r="G30" s="68">
        <f ca="1">IFERROR(SUMIFS(INDIRECT(G$1&amp;"!$C:$C"),INDIRECT(G$1&amp;"!$B:$B"),'Tiền Hàng'!$B30)*$C30,0)</f>
        <v>0</v>
      </c>
      <c r="H30" s="68">
        <f ca="1">IFERROR(SUMIFS(INDIRECT(H$1&amp;"!$C:$C"),INDIRECT(H$1&amp;"!$B:$B"),'Tiền Hàng'!$B30)*$C30,0)</f>
        <v>0</v>
      </c>
      <c r="I30" s="68">
        <f ca="1">IFERROR(SUMIFS(INDIRECT(I$1&amp;"!$C:$C"),INDIRECT(I$1&amp;"!$B:$B"),'Tiền Hàng'!$B30)*$C30,0)</f>
        <v>122</v>
      </c>
      <c r="J30" s="68">
        <f ca="1">IFERROR(SUMIFS(INDIRECT(J$1&amp;"!$C:$C"),INDIRECT(J$1&amp;"!$B:$B"),'Tiền Hàng'!$B30)*$C30,0)</f>
        <v>0</v>
      </c>
      <c r="K30" s="68">
        <f ca="1">IFERROR(SUMIFS(INDIRECT(K$1&amp;"!$C:$C"),INDIRECT(K$1&amp;"!$B:$B"),'Tiền Hàng'!$B30)*$C30,0)</f>
        <v>0</v>
      </c>
      <c r="L30" s="68">
        <f ca="1">IFERROR(SUMIFS(INDIRECT(L$1&amp;"!$C:$C"),INDIRECT(L$1&amp;"!$B:$B"),'Tiền Hàng'!$B30)*$C30,0)</f>
        <v>0</v>
      </c>
      <c r="M30" s="68">
        <f ca="1">IFERROR(SUMIFS(INDIRECT(M$1&amp;"!$C:$C"),INDIRECT(M$1&amp;"!$B:$B"),'Tiền Hàng'!$B30)*$C30,0)</f>
        <v>0</v>
      </c>
      <c r="N30" s="68">
        <f ca="1">IFERROR(SUMIFS(INDIRECT(N$1&amp;"!$C:$C"),INDIRECT(N$1&amp;"!$B:$B"),'Tiền Hàng'!$B30)*$C30,0)</f>
        <v>0</v>
      </c>
      <c r="O30" s="68">
        <f ca="1">IFERROR(SUMIFS(INDIRECT(O$1&amp;"!$C:$C"),INDIRECT(O$1&amp;"!$B:$B"),'Tiền Hàng'!$B30)*$C30,0)</f>
        <v>0</v>
      </c>
      <c r="P30" s="68">
        <f ca="1">IFERROR(SUMIFS(INDIRECT(P$1&amp;"!$C:$C"),INDIRECT(P$1&amp;"!$B:$B"),'Tiền Hàng'!$B30)*$C30,0)</f>
        <v>0</v>
      </c>
      <c r="Q30" s="68">
        <f ca="1">IFERROR(SUMIFS(INDIRECT(Q$1&amp;"!$C:$C"),INDIRECT(Q$1&amp;"!$B:$B"),'Tiền Hàng'!$B30)*$C30,0)</f>
        <v>0</v>
      </c>
      <c r="R30" s="68">
        <f ca="1">IFERROR(SUMIFS(INDIRECT(R$1&amp;"!$C:$C"),INDIRECT(R$1&amp;"!$B:$B"),'Tiền Hàng'!$B30)*$C30,0)</f>
        <v>0</v>
      </c>
      <c r="S30" s="68">
        <f ca="1">IFERROR(SUMIFS(INDIRECT(S$1&amp;"!$C:$C"),INDIRECT(S$1&amp;"!$B:$B"),'Tiền Hàng'!$B30)*$C30,0)</f>
        <v>0</v>
      </c>
      <c r="T30" s="68">
        <f ca="1">IFERROR(SUMIFS(INDIRECT(T$1&amp;"!$C:$C"),INDIRECT(T$1&amp;"!$B:$B"),'Tiền Hàng'!$B30)*$C30,0)</f>
        <v>0</v>
      </c>
      <c r="U30" s="68">
        <f ca="1">IFERROR(SUMIFS(INDIRECT(U$1&amp;"!$C:$C"),INDIRECT(U$1&amp;"!$B:$B"),'Tiền Hàng'!$B30)*$C30,0)</f>
        <v>0</v>
      </c>
      <c r="V30" s="68">
        <f ca="1">IFERROR(SUMIFS(INDIRECT(V$1&amp;"!$C:$C"),INDIRECT(V$1&amp;"!$B:$B"),'Tiền Hàng'!$B30)*$C30,0)</f>
        <v>0</v>
      </c>
      <c r="W30" s="68">
        <f ca="1">IFERROR(SUMIFS(INDIRECT(W$1&amp;"!$C:$C"),INDIRECT(W$1&amp;"!$B:$B"),'Tiền Hàng'!$B30)*$C30,0)</f>
        <v>0</v>
      </c>
      <c r="X30" s="68">
        <f ca="1">IFERROR(SUMIFS(INDIRECT(X$1&amp;"!$C:$C"),INDIRECT(X$1&amp;"!$B:$B"),'Tiền Hàng'!$B30)*$C30,0)</f>
        <v>0</v>
      </c>
      <c r="Y30" s="68">
        <f ca="1">IFERROR(SUMIFS(INDIRECT(Y$1&amp;"!$C:$C"),INDIRECT(Y$1&amp;"!$B:$B"),'Tiền Hàng'!$B30)*$C30,0)</f>
        <v>0</v>
      </c>
      <c r="Z30" s="68">
        <f ca="1">IFERROR(SUMIFS(INDIRECT(Z$1&amp;"!$C:$C"),INDIRECT(Z$1&amp;"!$B:$B"),'Tiền Hàng'!$B30)*$C30,0)</f>
        <v>0</v>
      </c>
      <c r="AA30" s="68">
        <f ca="1">IFERROR(SUMIFS(INDIRECT(AA$1&amp;"!$C:$C"),INDIRECT(AA$1&amp;"!$B:$B"),'Tiền Hàng'!$B30)*$C30,0)</f>
        <v>0</v>
      </c>
      <c r="AB30" s="68">
        <f ca="1">IFERROR(SUMIFS(INDIRECT(AB$1&amp;"!$C:$C"),INDIRECT(AB$1&amp;"!$B:$B"),'Tiền Hàng'!$B30)*$C30,0)</f>
        <v>0</v>
      </c>
      <c r="AC30" s="68">
        <f ca="1">IFERROR(SUMIFS(INDIRECT(AC$1&amp;"!$C:$C"),INDIRECT(AC$1&amp;"!$B:$B"),'Tiền Hàng'!$B30)*$C30,0)</f>
        <v>0</v>
      </c>
      <c r="AD30" s="68">
        <f ca="1">IFERROR(SUMIFS(INDIRECT(AD$1&amp;"!$C:$C"),INDIRECT(AD$1&amp;"!$B:$B"),'Tiền Hàng'!$B30)*$C30,0)</f>
        <v>0</v>
      </c>
      <c r="AE30" s="68">
        <f ca="1">IFERROR(SUMIFS(INDIRECT(AE$1&amp;"!$C:$C"),INDIRECT(AE$1&amp;"!$B:$B"),'Tiền Hàng'!$B30)*$C30,0)</f>
        <v>0</v>
      </c>
      <c r="AF30" s="68">
        <f ca="1">IFERROR(SUMIFS(INDIRECT(AF$1&amp;"!$C:$C"),INDIRECT(AF$1&amp;"!$B:$B"),'Tiền Hàng'!$B30)*$C30,0)</f>
        <v>0</v>
      </c>
      <c r="AG30" s="68">
        <f ca="1">IFERROR(SUMIFS(INDIRECT(AG$1&amp;"!$C:$C"),INDIRECT(AG$1&amp;"!$B:$B"),'Tiền Hàng'!$B30)*$C30,0)</f>
        <v>0</v>
      </c>
      <c r="AH30" s="68">
        <f ca="1">IFERROR(SUMIFS(INDIRECT(AH$1&amp;"!$C:$C"),INDIRECT(AH$1&amp;"!$B:$B"),'Tiền Hàng'!$B30)*$C30,0)</f>
        <v>0</v>
      </c>
      <c r="AI30" s="68">
        <f ca="1">IFERROR(SUMIFS(INDIRECT(AI$1&amp;"!$C:$C"),INDIRECT(AI$1&amp;"!$B:$B"),'Tiền Hàng'!$B30)*$C30,0)</f>
        <v>0</v>
      </c>
      <c r="AJ30" s="68">
        <f ca="1">IFERROR(SUMIFS(INDIRECT(AJ$1&amp;"!$C:$C"),INDIRECT(AJ$1&amp;"!$B:$B"),'Tiền Hàng'!$B30)*$C30,0)</f>
        <v>0</v>
      </c>
      <c r="AK30" s="68">
        <f ca="1">IFERROR(SUMIFS(INDIRECT(AK$1&amp;"!$C:$C"),INDIRECT(AK$1&amp;"!$B:$B"),'Tiền Hàng'!$B30)*$C30,0)</f>
        <v>0</v>
      </c>
    </row>
  </sheetData>
  <sheetProtection formatCells="0" formatColumns="0" formatRows="0" insertColumns="0" insertRows="0" insertHyperlinks="0" deleteColumns="0" deleteRows="0" sort="0" autoFilter="0" pivotTables="0"/>
  <autoFilter ref="A1:B30"/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>
    <tabColor theme="0"/>
  </sheetPr>
  <dimension ref="A1:L28"/>
  <sheetViews>
    <sheetView zoomScale="90" zoomScaleNormal="90" workbookViewId="0">
      <pane ySplit="2" topLeftCell="A6" activePane="bottomLeft" state="frozen"/>
      <selection pane="bottomLeft" activeCell="N24" sqref="N24"/>
    </sheetView>
  </sheetViews>
  <sheetFormatPr defaultRowHeight="15" x14ac:dyDescent="0.25"/>
  <cols>
    <col min="1" max="1" width="5" style="16" bestFit="1" customWidth="1"/>
    <col min="2" max="2" width="25.7109375" style="16" bestFit="1" customWidth="1"/>
    <col min="3" max="3" width="12.28515625" style="16" customWidth="1"/>
    <col min="4" max="4" width="12.140625" style="16" customWidth="1"/>
    <col min="5" max="5" width="14.42578125" style="16" customWidth="1"/>
    <col min="6" max="6" width="14.140625" style="16" customWidth="1"/>
    <col min="7" max="8" width="20.28515625" style="16" customWidth="1"/>
    <col min="9" max="16384" width="9.140625" style="16"/>
  </cols>
  <sheetData>
    <row r="1" spans="1:12" s="12" customFormat="1" ht="21" customHeight="1" x14ac:dyDescent="0.25">
      <c r="A1" s="32" t="s">
        <v>27</v>
      </c>
      <c r="B1" s="32" t="s">
        <v>25</v>
      </c>
      <c r="C1" s="13" t="s">
        <v>28</v>
      </c>
      <c r="D1" s="22" t="s">
        <v>32</v>
      </c>
      <c r="E1" s="35" t="s">
        <v>29</v>
      </c>
      <c r="F1" s="36" t="s">
        <v>30</v>
      </c>
      <c r="G1" s="33" t="s">
        <v>38</v>
      </c>
      <c r="H1" s="34" t="s">
        <v>31</v>
      </c>
      <c r="J1" s="41"/>
      <c r="K1" s="42"/>
    </row>
    <row r="2" spans="1:12" s="15" customFormat="1" ht="14.25" customHeight="1" x14ac:dyDescent="0.25">
      <c r="A2" s="17"/>
      <c r="B2" s="17"/>
      <c r="C2" s="13"/>
      <c r="D2" s="18">
        <f>SUBTOTAL(9,$D$3:$D$280)</f>
        <v>1979</v>
      </c>
      <c r="E2" s="18">
        <f>SUBTOTAL(9,E3:E99)</f>
        <v>3394.3333333333335</v>
      </c>
      <c r="F2" s="19">
        <f ca="1">SUBTOTAL(9,F3:F99)</f>
        <v>1398.9779952358781</v>
      </c>
      <c r="G2" s="18"/>
      <c r="H2" s="14"/>
    </row>
    <row r="3" spans="1:12" x14ac:dyDescent="0.25">
      <c r="A3" s="26">
        <v>1</v>
      </c>
      <c r="B3" s="30" t="s">
        <v>23</v>
      </c>
      <c r="C3" s="24">
        <v>3</v>
      </c>
      <c r="D3" s="25">
        <f>C3*Table1[DON VI NHAP]+G3</f>
        <v>240</v>
      </c>
      <c r="E3" s="25">
        <f>(D3-H3)/Table1[[#This Row],[XIEN]]*Table1[Giá]</f>
        <v>145</v>
      </c>
      <c r="F3" s="20">
        <f ca="1">IFERROR(E3-Table1[GIA NHAP]/Table1[DON VI NHAP]*(D3-H3)-((D3-H3)*'Tiền Hàng'!E3),0)</f>
        <v>76.965038099506955</v>
      </c>
      <c r="G3" s="20">
        <v>0</v>
      </c>
      <c r="H3" s="21">
        <v>95</v>
      </c>
      <c r="L3" s="43"/>
    </row>
    <row r="4" spans="1:12" x14ac:dyDescent="0.25">
      <c r="A4" s="26">
        <v>2</v>
      </c>
      <c r="B4" s="30" t="s">
        <v>22</v>
      </c>
      <c r="C4" s="24">
        <v>2</v>
      </c>
      <c r="D4" s="25">
        <f>C4*Table1[DON VI NHAP]+G4</f>
        <v>160</v>
      </c>
      <c r="E4" s="25">
        <f>(D4-H4)/Table1[[#This Row],[XIEN]]*Table1[Giá]</f>
        <v>104</v>
      </c>
      <c r="F4" s="20">
        <f ca="1">IFERROR(E4-Table1[GIA NHAP]/Table1[DON VI NHAP]*(D4-H4)-((D4-H4)*'Tiền Hàng'!E4),0)</f>
        <v>55.202510085163603</v>
      </c>
      <c r="G4" s="20">
        <v>0</v>
      </c>
      <c r="H4" s="21">
        <v>56</v>
      </c>
      <c r="L4" s="43"/>
    </row>
    <row r="5" spans="1:12" x14ac:dyDescent="0.25">
      <c r="A5" s="26">
        <v>3</v>
      </c>
      <c r="B5" s="30" t="s">
        <v>21</v>
      </c>
      <c r="C5" s="24">
        <v>3</v>
      </c>
      <c r="D5" s="25">
        <f>C5*Table1[DON VI NHAP]+G5</f>
        <v>240</v>
      </c>
      <c r="E5" s="25">
        <f>(D5-H5)/Table1[[#This Row],[XIEN]]*Table1[Giá]</f>
        <v>233</v>
      </c>
      <c r="F5" s="20">
        <f ca="1">IFERROR(E5-Table1[GIA NHAP]/Table1[DON VI NHAP]*(D5-H5)-((D5-H5)*'Tiền Hàng'!E5),0)</f>
        <v>116.84203272075305</v>
      </c>
      <c r="G5" s="20">
        <v>0</v>
      </c>
      <c r="H5" s="21">
        <v>7</v>
      </c>
      <c r="L5" s="43"/>
    </row>
    <row r="6" spans="1:12" x14ac:dyDescent="0.25">
      <c r="A6" s="26">
        <v>4</v>
      </c>
      <c r="B6" s="30" t="s">
        <v>20</v>
      </c>
      <c r="C6" s="24">
        <v>2</v>
      </c>
      <c r="D6" s="25">
        <f>C6*Table1[DON VI NHAP]+G6</f>
        <v>160</v>
      </c>
      <c r="E6" s="25">
        <f>(D6-H6)/Table1[[#This Row],[XIEN]]*Table1[Giá]</f>
        <v>83</v>
      </c>
      <c r="F6" s="20">
        <f ca="1">IFERROR(E6-Table1[GIA NHAP]/Table1[DON VI NHAP]*(D6-H6)-((D6-H6)*'Tiền Hàng'!E6),0)</f>
        <v>41.621839982070824</v>
      </c>
      <c r="G6" s="20">
        <v>0</v>
      </c>
      <c r="H6" s="21">
        <v>77</v>
      </c>
      <c r="L6" s="43"/>
    </row>
    <row r="7" spans="1:12" x14ac:dyDescent="0.25">
      <c r="A7" s="26">
        <v>5</v>
      </c>
      <c r="B7" s="30" t="s">
        <v>19</v>
      </c>
      <c r="C7" s="24">
        <v>3</v>
      </c>
      <c r="D7" s="25">
        <f>C7*Table1[DON VI NHAP]+G7</f>
        <v>30</v>
      </c>
      <c r="E7" s="25">
        <f>(D7-H7)/Table1[[#This Row],[XIEN]]*Table1[Giá]</f>
        <v>216</v>
      </c>
      <c r="F7" s="20">
        <f ca="1">IFERROR(E7-Table1[GIA NHAP]/Table1[DON VI NHAP]*(D7-H7)-((D7-H7)*'Tiền Hàng'!E7),0)</f>
        <v>111.48422232182878</v>
      </c>
      <c r="G7" s="20">
        <v>0</v>
      </c>
      <c r="H7" s="21">
        <v>3</v>
      </c>
      <c r="L7" s="43"/>
    </row>
    <row r="8" spans="1:12" x14ac:dyDescent="0.25">
      <c r="A8" s="26">
        <v>6</v>
      </c>
      <c r="B8" s="30" t="s">
        <v>18</v>
      </c>
      <c r="C8" s="24">
        <v>2</v>
      </c>
      <c r="D8" s="25">
        <f>C8*Table1[DON VI NHAP]+G8</f>
        <v>64</v>
      </c>
      <c r="E8" s="25">
        <f>(D8-H8)/Table1[[#This Row],[XIEN]]*Table1[Giá]</f>
        <v>88</v>
      </c>
      <c r="F8" s="20">
        <f ca="1">IFERROR(E8-Table1[GIA NHAP]/Table1[DON VI NHAP]*(D8-H8)-((D8-H8)*'Tiền Hàng'!E8),0)</f>
        <v>26.709883460331689</v>
      </c>
      <c r="G8" s="20">
        <v>0</v>
      </c>
      <c r="H8" s="21">
        <v>20</v>
      </c>
      <c r="L8" s="43"/>
    </row>
    <row r="9" spans="1:12" x14ac:dyDescent="0.25">
      <c r="A9" s="26">
        <v>7</v>
      </c>
      <c r="B9" s="30" t="s">
        <v>17</v>
      </c>
      <c r="C9" s="24">
        <v>2</v>
      </c>
      <c r="D9" s="25">
        <f>C9*Table1[DON VI NHAP]+G9</f>
        <v>70</v>
      </c>
      <c r="E9" s="25">
        <f>(D9-H9)/Table1[[#This Row],[XIEN]]*Table1[Giá]</f>
        <v>157.33333333333334</v>
      </c>
      <c r="F9" s="20">
        <f ca="1">IFERROR(E9-Table1[GIA NHAP]/Table1[DON VI NHAP]*(D9-H9)-((D9-H9)*'Tiền Hàng'!E9),0)</f>
        <v>78.238500779065561</v>
      </c>
      <c r="G9" s="20">
        <v>0</v>
      </c>
      <c r="H9" s="21">
        <v>11</v>
      </c>
      <c r="L9" s="43"/>
    </row>
    <row r="10" spans="1:12" x14ac:dyDescent="0.25">
      <c r="A10" s="26">
        <v>8</v>
      </c>
      <c r="B10" s="30" t="s">
        <v>16</v>
      </c>
      <c r="C10" s="24">
        <v>2</v>
      </c>
      <c r="D10" s="25">
        <f>C10*Table1[DON VI NHAP]+G10</f>
        <v>26</v>
      </c>
      <c r="E10" s="25">
        <f>(D10-H10)/Table1[[#This Row],[XIEN]]*Table1[Giá]</f>
        <v>160</v>
      </c>
      <c r="F10" s="20">
        <f ca="1">IFERROR(E10-Table1[GIA NHAP]/Table1[DON VI NHAP]*(D10-H10)-((D10-H10)*'Tiền Hàng'!E10),0)</f>
        <v>87.814364031307093</v>
      </c>
      <c r="G10" s="20">
        <v>0</v>
      </c>
      <c r="H10" s="21">
        <v>6</v>
      </c>
      <c r="L10" s="43"/>
    </row>
    <row r="11" spans="1:12" x14ac:dyDescent="0.25">
      <c r="A11" s="26">
        <v>9</v>
      </c>
      <c r="B11" s="30" t="s">
        <v>15</v>
      </c>
      <c r="C11" s="24">
        <v>3</v>
      </c>
      <c r="D11" s="25">
        <f>C11*Table1[DON VI NHAP]+G11</f>
        <v>105</v>
      </c>
      <c r="E11" s="25">
        <f>(D11-H11)/Table1[[#This Row],[XIEN]]*Table1[Giá]</f>
        <v>210.66666666666666</v>
      </c>
      <c r="F11" s="20">
        <f ca="1">IFERROR(E11-Table1[GIA NHAP]/Table1[DON VI NHAP]*(D11-H11)-((D11-H11)*'Tiền Hàng'!E11),0)</f>
        <v>117.99835649185715</v>
      </c>
      <c r="G11" s="20">
        <v>0</v>
      </c>
      <c r="H11" s="21">
        <v>26</v>
      </c>
    </row>
    <row r="12" spans="1:12" x14ac:dyDescent="0.25">
      <c r="A12" s="26">
        <v>10</v>
      </c>
      <c r="B12" s="30" t="s">
        <v>14</v>
      </c>
      <c r="C12" s="24">
        <v>2</v>
      </c>
      <c r="D12" s="25">
        <f>C12*Table1[DON VI NHAP]+G12</f>
        <v>70</v>
      </c>
      <c r="E12" s="25">
        <f>(D12-H12)/Table1[[#This Row],[XIEN]]*Table1[Giá]</f>
        <v>173.33333333333334</v>
      </c>
      <c r="F12" s="20">
        <f ca="1">IFERROR(E12-Table1[GIA NHAP]/Table1[DON VI NHAP]*(D12-H12)-((D12-H12)*'Tiền Hàng'!E12),0)</f>
        <v>75.302661629420925</v>
      </c>
      <c r="G12" s="20">
        <v>0</v>
      </c>
      <c r="H12" s="21">
        <v>5</v>
      </c>
    </row>
    <row r="13" spans="1:12" x14ac:dyDescent="0.25">
      <c r="A13" s="26">
        <v>11</v>
      </c>
      <c r="B13" s="30" t="s">
        <v>4</v>
      </c>
      <c r="C13" s="24">
        <v>0</v>
      </c>
      <c r="D13" s="25">
        <f>C13*Table1[DON VI NHAP]+G13</f>
        <v>0</v>
      </c>
      <c r="E13" s="25">
        <f>(D13-H13)/Table1[[#This Row],[XIEN]]*Table1[Giá]</f>
        <v>0</v>
      </c>
      <c r="F13" s="20">
        <f ca="1">IFERROR(E13-Table1[GIA NHAP]/Table1[DON VI NHAP]*(D13-H13)-((D13-H13)*'Tiền Hàng'!E13),0)</f>
        <v>0</v>
      </c>
      <c r="G13" s="20">
        <v>0</v>
      </c>
      <c r="H13" s="21">
        <v>0</v>
      </c>
    </row>
    <row r="14" spans="1:12" x14ac:dyDescent="0.25">
      <c r="A14" s="26">
        <v>12</v>
      </c>
      <c r="B14" s="30" t="s">
        <v>12</v>
      </c>
      <c r="C14" s="24">
        <v>2</v>
      </c>
      <c r="D14" s="25">
        <f>C14*Table1[DON VI NHAP]+G14</f>
        <v>64</v>
      </c>
      <c r="E14" s="25">
        <f>(D14-H14)/Table1[[#This Row],[XIEN]]*Table1[Giá]</f>
        <v>170.66666666666666</v>
      </c>
      <c r="F14" s="20">
        <f ca="1">IFERROR(E14-Table1[GIA NHAP]/Table1[DON VI NHAP]*(D14-H14)-((D14-H14)*'Tiền Hàng'!E15),0)</f>
        <v>58.057074555505743</v>
      </c>
      <c r="G14" s="20">
        <v>0</v>
      </c>
      <c r="H14" s="21">
        <v>0</v>
      </c>
    </row>
    <row r="15" spans="1:12" x14ac:dyDescent="0.25">
      <c r="A15" s="26">
        <v>13</v>
      </c>
      <c r="B15" s="30" t="s">
        <v>11</v>
      </c>
      <c r="C15" s="24">
        <v>1</v>
      </c>
      <c r="D15" s="25">
        <f>C15*Table1[DON VI NHAP]+G15</f>
        <v>30</v>
      </c>
      <c r="E15" s="25">
        <f>(D15-H15)/Table1[[#This Row],[XIEN]]*Table1[Giá]</f>
        <v>90</v>
      </c>
      <c r="F15" s="20">
        <f ca="1">IFERROR(E15-Table1[GIA NHAP]/Table1[DON VI NHAP]*(D15-H15)-((D15-H15)*'Tiền Hàng'!E16),0)</f>
        <v>44.049977588525323</v>
      </c>
      <c r="G15" s="20">
        <v>0</v>
      </c>
      <c r="H15" s="21">
        <v>3</v>
      </c>
    </row>
    <row r="16" spans="1:12" x14ac:dyDescent="0.25">
      <c r="A16" s="26">
        <v>14</v>
      </c>
      <c r="B16" s="30" t="s">
        <v>10</v>
      </c>
      <c r="C16" s="24">
        <v>2</v>
      </c>
      <c r="D16" s="25">
        <f>C16*Table1[DON VI NHAP]+G16</f>
        <v>60</v>
      </c>
      <c r="E16" s="25">
        <f>(D16-H16)/Table1[[#This Row],[XIEN]]*Table1[Giá]</f>
        <v>180</v>
      </c>
      <c r="F16" s="20">
        <f ca="1">IFERROR(E16-Table1[GIA NHAP]/Table1[DON VI NHAP]*(D16-H16)-((D16-H16)*'Tiền Hàng'!E17),0)</f>
        <v>98.314208874943972</v>
      </c>
      <c r="G16" s="20">
        <v>0</v>
      </c>
      <c r="H16" s="21">
        <v>6</v>
      </c>
    </row>
    <row r="17" spans="1:9" x14ac:dyDescent="0.25">
      <c r="A17" s="26">
        <v>15</v>
      </c>
      <c r="B17" s="30" t="s">
        <v>9</v>
      </c>
      <c r="C17" s="24">
        <v>3</v>
      </c>
      <c r="D17" s="25">
        <f>C17*Table1[DON VI NHAP]+G17</f>
        <v>78</v>
      </c>
      <c r="E17" s="25">
        <f>(D17-H17)/Table1[[#This Row],[XIEN]]*Table1[Giá]</f>
        <v>250</v>
      </c>
      <c r="F17" s="20">
        <f ca="1">IFERROR(E17-Table1[GIA NHAP]/Table1[DON VI NHAP]*(D17-H17)-((D17-H17)*'Tiền Hàng'!E18),0)</f>
        <v>13.491707754370239</v>
      </c>
      <c r="G17" s="20">
        <v>0</v>
      </c>
      <c r="H17" s="21">
        <v>3</v>
      </c>
    </row>
    <row r="18" spans="1:9" x14ac:dyDescent="0.25">
      <c r="A18" s="26">
        <v>16</v>
      </c>
      <c r="B18" s="30" t="s">
        <v>8</v>
      </c>
      <c r="C18" s="24">
        <v>1</v>
      </c>
      <c r="D18" s="25">
        <f>C18*Table1[DON VI NHAP]+G18</f>
        <v>6</v>
      </c>
      <c r="E18" s="25">
        <f>(D18-H18)/Table1[[#This Row],[XIEN]]*Table1[Giá]</f>
        <v>10</v>
      </c>
      <c r="F18" s="20">
        <f ca="1">IFERROR(E18-Table1[GIA NHAP]/Table1[DON VI NHAP]*(D18-H18)-((D18-H18)*'Tiền Hàng'!E19),0)</f>
        <v>2.5720603615717912</v>
      </c>
      <c r="G18" s="20">
        <v>0</v>
      </c>
      <c r="H18" s="21">
        <v>5</v>
      </c>
    </row>
    <row r="19" spans="1:9" x14ac:dyDescent="0.25">
      <c r="A19" s="26">
        <v>17</v>
      </c>
      <c r="B19" s="30" t="s">
        <v>7</v>
      </c>
      <c r="C19" s="24">
        <v>2</v>
      </c>
      <c r="D19" s="25">
        <f>C19*Table1[DON VI NHAP]+G19</f>
        <v>20</v>
      </c>
      <c r="E19" s="25">
        <f>(D19-H19)/Table1[[#This Row],[XIEN]]*Table1[Giá]</f>
        <v>-80</v>
      </c>
      <c r="F19" s="20">
        <f ca="1">IFERROR(E19-Table1[GIA NHAP]/Table1[DON VI NHAP]*(D19-H19)-((D19-H19)*'Tiền Hàng'!E20),0)</f>
        <v>-43.448056456068294</v>
      </c>
      <c r="G19" s="20">
        <v>0</v>
      </c>
      <c r="H19" s="21">
        <v>28</v>
      </c>
    </row>
    <row r="20" spans="1:9" x14ac:dyDescent="0.25">
      <c r="A20" s="26">
        <v>18</v>
      </c>
      <c r="B20" s="30" t="s">
        <v>6</v>
      </c>
      <c r="C20" s="24">
        <v>4</v>
      </c>
      <c r="D20" s="25">
        <f>C20*Table1[DON VI NHAP]+G20</f>
        <v>172</v>
      </c>
      <c r="E20" s="25">
        <f>(D20-H20)/Table1[[#This Row],[XIEN]]*Table1[Giá]</f>
        <v>380</v>
      </c>
      <c r="F20" s="20">
        <f ca="1">IFERROR(E20-Table1[GIA NHAP]/Table1[DON VI NHAP]*(D20-H20)-((D20-H20)*'Tiền Hàng'!E21),0)</f>
        <v>200.30539022025789</v>
      </c>
      <c r="G20" s="20">
        <v>0</v>
      </c>
      <c r="H20" s="21">
        <v>20</v>
      </c>
    </row>
    <row r="21" spans="1:9" x14ac:dyDescent="0.25">
      <c r="A21" s="26">
        <v>19</v>
      </c>
      <c r="B21" s="30" t="s">
        <v>5</v>
      </c>
      <c r="C21" s="24">
        <v>5</v>
      </c>
      <c r="D21" s="25">
        <f>C21*Table1[DON VI NHAP]+G21</f>
        <v>160</v>
      </c>
      <c r="E21" s="25">
        <f>(D21-H21)/Table1[[#This Row],[XIEN]]*Table1[Giá]</f>
        <v>230</v>
      </c>
      <c r="F21" s="20">
        <f ca="1">IFERROR(E21-Table1[GIA NHAP]/Table1[DON VI NHAP]*(D21-H21)-((D21-H21)*'Tiền Hàng'!E22),0)</f>
        <v>100.28460972017673</v>
      </c>
      <c r="G21" s="20">
        <v>0</v>
      </c>
      <c r="H21" s="21">
        <v>68</v>
      </c>
    </row>
    <row r="22" spans="1:9" x14ac:dyDescent="0.25">
      <c r="A22" s="26">
        <v>20</v>
      </c>
      <c r="B22" s="30" t="s">
        <v>3</v>
      </c>
      <c r="C22" s="24">
        <v>2</v>
      </c>
      <c r="D22" s="25">
        <f>C22*Table1[DON VI NHAP]+G22</f>
        <v>70</v>
      </c>
      <c r="E22" s="25">
        <f>(D22-H22)/Table1[[#This Row],[XIEN]]*Table1[Giá]</f>
        <v>100</v>
      </c>
      <c r="F22" s="20">
        <f ca="1">IFERROR(E22-Table1[GIA NHAP]/Table1[DON VI NHAP]*(D22-H22)-((D22-H22)*'Tiền Hàng'!E23),0)</f>
        <v>35.446032506574397</v>
      </c>
      <c r="G22" s="20">
        <v>0</v>
      </c>
      <c r="H22" s="21">
        <v>30</v>
      </c>
    </row>
    <row r="23" spans="1:9" x14ac:dyDescent="0.25">
      <c r="A23" s="26">
        <v>21</v>
      </c>
      <c r="B23" s="30" t="s">
        <v>2</v>
      </c>
      <c r="C23" s="24">
        <v>5</v>
      </c>
      <c r="D23" s="25">
        <f>C23*Table1[DON VI NHAP]+G23</f>
        <v>145</v>
      </c>
      <c r="E23" s="25">
        <f>(D23-H23)/Table1[[#This Row],[XIEN]]*Table1[Giá]</f>
        <v>433.33333333333337</v>
      </c>
      <c r="F23" s="20">
        <f ca="1">IFERROR(E23-Table1[GIA NHAP]/Table1[DON VI NHAP]*(D23-H23)-((D23-H23)*'Tiền Hàng'!E24),0)</f>
        <v>74.320829276083629</v>
      </c>
      <c r="G23" s="20">
        <v>0</v>
      </c>
      <c r="H23" s="21">
        <v>15</v>
      </c>
    </row>
    <row r="24" spans="1:9" x14ac:dyDescent="0.25">
      <c r="A24" s="26">
        <v>22</v>
      </c>
      <c r="B24" s="30" t="s">
        <v>0</v>
      </c>
      <c r="C24" s="24">
        <v>1</v>
      </c>
      <c r="D24" s="25">
        <f>C24*Table1[DON VI NHAP]+G24</f>
        <v>9</v>
      </c>
      <c r="E24" s="25">
        <f>(D24-H24)/Table1[[#This Row],[XIEN]]*Table1[Giá]</f>
        <v>60</v>
      </c>
      <c r="F24" s="20">
        <f ca="1">IFERROR(E24-Table1[GIA NHAP]/Table1[DON VI NHAP]*(D24-H24)-((D24-H24)*'Tiền Hàng'!E26),0)</f>
        <v>27.404751232631106</v>
      </c>
      <c r="G24" s="20">
        <v>0</v>
      </c>
      <c r="H24" s="21">
        <v>3</v>
      </c>
    </row>
    <row r="25" spans="1:9" x14ac:dyDescent="0.25">
      <c r="A25" s="26">
        <v>23</v>
      </c>
      <c r="B25" s="31" t="s">
        <v>40</v>
      </c>
      <c r="C25" s="24">
        <v>0</v>
      </c>
      <c r="D25" s="25">
        <f>C25*Table1[DON VI NHAP]+G25</f>
        <v>0</v>
      </c>
      <c r="E25" s="25">
        <f>(D25-H25)/Table1[[#This Row],[XIEN]]*Table1[Giá]</f>
        <v>0</v>
      </c>
      <c r="F25" s="20">
        <f ca="1">IFERROR(E25-Table1[GIA NHAP]/Table1[DON VI NHAP]*(D25-H25)-((D25-H25)*'Tiền Hàng'!E27),0)</f>
        <v>0</v>
      </c>
      <c r="G25" s="20">
        <v>0</v>
      </c>
      <c r="H25" s="21">
        <v>0</v>
      </c>
      <c r="I25" s="29"/>
    </row>
    <row r="26" spans="1:9" x14ac:dyDescent="0.25">
      <c r="A26" s="26">
        <v>24</v>
      </c>
      <c r="B26" s="31" t="s">
        <v>41</v>
      </c>
      <c r="C26" s="24">
        <v>0</v>
      </c>
      <c r="D26" s="25">
        <f>C26*Table1[DON VI NHAP]+G26</f>
        <v>0</v>
      </c>
      <c r="E26" s="25">
        <f>(D26-H26)/Table1[[#This Row],[XIEN]]*Table1[Giá]</f>
        <v>0</v>
      </c>
      <c r="F26" s="20">
        <f ca="1">IFERROR(E26-Table1[GIA NHAP]/Table1[DON VI NHAP]*(D26-H26)-((D26-H26)*'Tiền Hàng'!E28),0)</f>
        <v>0</v>
      </c>
      <c r="G26" s="20">
        <v>0</v>
      </c>
      <c r="H26" s="21">
        <v>0</v>
      </c>
      <c r="I26" s="29"/>
    </row>
    <row r="27" spans="1:9" x14ac:dyDescent="0.25">
      <c r="A27" s="26">
        <v>25</v>
      </c>
      <c r="B27" s="31" t="s">
        <v>42</v>
      </c>
      <c r="C27" s="24">
        <v>0</v>
      </c>
      <c r="D27" s="25">
        <f>C27*Table1[DON VI NHAP]+G27</f>
        <v>0</v>
      </c>
      <c r="E27" s="25">
        <f>(D27-H27)/Table1[[#This Row],[XIEN]]*Table1[Giá]</f>
        <v>0</v>
      </c>
      <c r="F27" s="20">
        <f ca="1">IFERROR(E27-Table1[GIA NHAP]/Table1[DON VI NHAP]*(D27-H27)-((D27-H27)*'Tiền Hàng'!E29),0)</f>
        <v>0</v>
      </c>
      <c r="G27" s="20">
        <v>0</v>
      </c>
      <c r="H27" s="21">
        <v>0</v>
      </c>
      <c r="I27" s="29"/>
    </row>
    <row r="28" spans="1:9" x14ac:dyDescent="0.25">
      <c r="A28" s="26">
        <v>26</v>
      </c>
      <c r="B28" s="31" t="s">
        <v>43</v>
      </c>
      <c r="C28" s="24">
        <v>0</v>
      </c>
      <c r="D28" s="25">
        <f>C28*Table1[DON VI NHAP]+G28</f>
        <v>0</v>
      </c>
      <c r="E28" s="25">
        <f>(D28-H28)/Table1[[#This Row],[XIEN]]*Table1[Giá]</f>
        <v>0</v>
      </c>
      <c r="F28" s="20">
        <f ca="1">IFERROR(E28-Table1[GIA NHAP]/Table1[DON VI NHAP]*(D28-H28)-((D28-H28)*'Tiền Hàng'!E30),0)</f>
        <v>0</v>
      </c>
      <c r="G28" s="20">
        <v>0</v>
      </c>
      <c r="H28" s="21">
        <v>0</v>
      </c>
      <c r="I28" s="29"/>
    </row>
  </sheetData>
  <sheetProtection formatCells="0" formatColumns="0" formatRows="0" insertColumns="0" insertRows="0" insertHyperlinks="0" deleteColumns="0" deleteRows="0" sort="0" autoFilter="0" pivotTables="0"/>
  <autoFilter ref="A1:H28"/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Macro1">
                <anchor moveWithCells="1" sizeWithCells="1">
                  <from>
                    <xdr:col>2</xdr:col>
                    <xdr:colOff>9525</xdr:colOff>
                    <xdr:row>0</xdr:row>
                    <xdr:rowOff>0</xdr:rowOff>
                  </from>
                  <to>
                    <xdr:col>3</xdr:col>
                    <xdr:colOff>9525</xdr:colOff>
                    <xdr:row>1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>
    <tabColor theme="0"/>
  </sheetPr>
  <dimension ref="A1:K28"/>
  <sheetViews>
    <sheetView zoomScale="90" zoomScaleNormal="90" workbookViewId="0">
      <pane ySplit="2" topLeftCell="A3" activePane="bottomLeft" state="frozen"/>
      <selection pane="bottomLeft" activeCell="D4" sqref="D4"/>
    </sheetView>
  </sheetViews>
  <sheetFormatPr defaultRowHeight="15" x14ac:dyDescent="0.25"/>
  <cols>
    <col min="1" max="1" width="5" style="16" bestFit="1" customWidth="1"/>
    <col min="2" max="2" width="25.7109375" style="16" bestFit="1" customWidth="1"/>
    <col min="3" max="3" width="12.28515625" style="16" customWidth="1"/>
    <col min="4" max="4" width="12.140625" style="16" customWidth="1"/>
    <col min="5" max="5" width="14.42578125" style="16" customWidth="1"/>
    <col min="6" max="6" width="14.140625" style="16" customWidth="1"/>
    <col min="7" max="8" width="20.28515625" style="16" customWidth="1"/>
    <col min="9" max="16384" width="9.140625" style="16"/>
  </cols>
  <sheetData>
    <row r="1" spans="1:11" s="12" customFormat="1" ht="21" customHeight="1" x14ac:dyDescent="0.25">
      <c r="A1" s="32" t="s">
        <v>27</v>
      </c>
      <c r="B1" s="32" t="s">
        <v>25</v>
      </c>
      <c r="C1" s="13" t="s">
        <v>28</v>
      </c>
      <c r="D1" s="22" t="s">
        <v>32</v>
      </c>
      <c r="E1" s="35" t="s">
        <v>29</v>
      </c>
      <c r="F1" s="36" t="s">
        <v>30</v>
      </c>
      <c r="G1" s="33" t="s">
        <v>38</v>
      </c>
      <c r="H1" s="34" t="s">
        <v>31</v>
      </c>
      <c r="I1" s="41"/>
      <c r="J1" s="42"/>
    </row>
    <row r="2" spans="1:11" s="15" customFormat="1" ht="14.25" customHeight="1" x14ac:dyDescent="0.25">
      <c r="A2" s="17"/>
      <c r="B2" s="17"/>
      <c r="C2" s="13"/>
      <c r="D2" s="18">
        <f>SUBTOTAL(9,$D$3:$D$280)</f>
        <v>1099</v>
      </c>
      <c r="E2" s="18">
        <f>SUBTOTAL(9,E3:E99)</f>
        <v>718.5</v>
      </c>
      <c r="F2" s="19">
        <f ca="1">SUBTOTAL(9,F3:F99)</f>
        <v>310.58833446191232</v>
      </c>
      <c r="G2" s="18"/>
      <c r="H2" s="14"/>
    </row>
    <row r="3" spans="1:11" x14ac:dyDescent="0.25">
      <c r="A3" s="26">
        <v>1</v>
      </c>
      <c r="B3" s="30" t="s">
        <v>23</v>
      </c>
      <c r="C3" s="24"/>
      <c r="D3" s="25">
        <f>C3*Table1[DON VI NHAP]+G3</f>
        <v>95</v>
      </c>
      <c r="E3" s="25">
        <f>(D3-H3)/Table1[[#This Row],[XIEN]]*Table1[Giá]</f>
        <v>15</v>
      </c>
      <c r="F3" s="20">
        <f ca="1">IFERROR(E3-Table1[GIA NHAP]/Table1[DON VI NHAP]*(D3-H3)-((D3-H3)*'Tiền Hàng'!E3),0)</f>
        <v>7.9619004930524433</v>
      </c>
      <c r="G3" s="20">
        <v>95</v>
      </c>
      <c r="H3" s="21">
        <v>80</v>
      </c>
      <c r="K3" s="43"/>
    </row>
    <row r="4" spans="1:11" x14ac:dyDescent="0.25">
      <c r="A4" s="26">
        <v>2</v>
      </c>
      <c r="B4" s="30" t="s">
        <v>22</v>
      </c>
      <c r="C4" s="24">
        <v>1</v>
      </c>
      <c r="D4" s="25">
        <f>C4*Table1[DON VI NHAP]+G4</f>
        <v>136</v>
      </c>
      <c r="E4" s="25">
        <f>(D4-H4)/Table1[[#This Row],[XIEN]]*Table1[Giá]</f>
        <v>8</v>
      </c>
      <c r="F4" s="20">
        <f ca="1">IFERROR(E4-Table1[GIA NHAP]/Table1[DON VI NHAP]*(D4-H4)-((D4-H4)*'Tiền Hàng'!E4),0)</f>
        <v>4.2463469296279692</v>
      </c>
      <c r="G4" s="20">
        <v>56</v>
      </c>
      <c r="H4" s="21">
        <v>128</v>
      </c>
      <c r="I4" s="29"/>
      <c r="K4" s="43"/>
    </row>
    <row r="5" spans="1:11" x14ac:dyDescent="0.25">
      <c r="A5" s="26">
        <v>3</v>
      </c>
      <c r="B5" s="30" t="s">
        <v>21</v>
      </c>
      <c r="C5" s="24"/>
      <c r="D5" s="25">
        <f>C5*Table1[DON VI NHAP]+G5</f>
        <v>87</v>
      </c>
      <c r="E5" s="25">
        <f>(D5-H5)/Table1[[#This Row],[XIEN]]*Table1[Giá]</f>
        <v>31</v>
      </c>
      <c r="F5" s="20">
        <f ca="1">IFERROR(E5-Table1[GIA NHAP]/Table1[DON VI NHAP]*(D5-H5)-((D5-H5)*'Tiền Hàng'!E5),0)</f>
        <v>15.545506499327658</v>
      </c>
      <c r="G5" s="20">
        <v>87</v>
      </c>
      <c r="H5" s="21">
        <v>56</v>
      </c>
      <c r="K5" s="43"/>
    </row>
    <row r="6" spans="1:11" x14ac:dyDescent="0.25">
      <c r="A6" s="26">
        <v>4</v>
      </c>
      <c r="B6" s="30" t="s">
        <v>20</v>
      </c>
      <c r="C6" s="24"/>
      <c r="D6" s="25">
        <f>C6*Table1[DON VI NHAP]+G6</f>
        <v>77</v>
      </c>
      <c r="E6" s="25">
        <f>(D6-H6)/Table1[[#This Row],[XIEN]]*Table1[Giá]</f>
        <v>8</v>
      </c>
      <c r="F6" s="20">
        <f ca="1">IFERROR(E6-Table1[GIA NHAP]/Table1[DON VI NHAP]*(D6-H6)-((D6-H6)*'Tiền Hàng'!E6),0)</f>
        <v>4.0117436127297168</v>
      </c>
      <c r="G6" s="20">
        <v>77</v>
      </c>
      <c r="H6" s="21">
        <v>69</v>
      </c>
      <c r="K6" s="43"/>
    </row>
    <row r="7" spans="1:11" x14ac:dyDescent="0.25">
      <c r="A7" s="26">
        <v>5</v>
      </c>
      <c r="B7" s="30" t="s">
        <v>19</v>
      </c>
      <c r="C7" s="24">
        <v>2</v>
      </c>
      <c r="D7" s="25">
        <f>C7*Table1[DON VI NHAP]+G7</f>
        <v>23</v>
      </c>
      <c r="E7" s="25">
        <f>(D7-H7)/Table1[[#This Row],[XIEN]]*Table1[Giá]</f>
        <v>96</v>
      </c>
      <c r="F7" s="20">
        <f ca="1">IFERROR(E7-Table1[GIA NHAP]/Table1[DON VI NHAP]*(D7-H7)-((D7-H7)*'Tiền Hàng'!E7),0)</f>
        <v>49.548543254146125</v>
      </c>
      <c r="G7" s="20">
        <v>3</v>
      </c>
      <c r="H7" s="21">
        <v>11</v>
      </c>
      <c r="K7" s="43"/>
    </row>
    <row r="8" spans="1:11" x14ac:dyDescent="0.25">
      <c r="A8" s="26">
        <v>6</v>
      </c>
      <c r="B8" s="30" t="s">
        <v>18</v>
      </c>
      <c r="C8" s="24">
        <v>1</v>
      </c>
      <c r="D8" s="25">
        <f>C8*Table1[DON VI NHAP]+G8</f>
        <v>52</v>
      </c>
      <c r="E8" s="25">
        <f>(D8-H8)/Table1[[#This Row],[XIEN]]*Table1[Giá]</f>
        <v>24</v>
      </c>
      <c r="F8" s="20">
        <f ca="1">IFERROR(E8-Table1[GIA NHAP]/Table1[DON VI NHAP]*(D8-H8)-((D8-H8)*'Tiền Hàng'!E8),0)</f>
        <v>7.2845136709995515</v>
      </c>
      <c r="G8" s="20">
        <v>20</v>
      </c>
      <c r="H8" s="21">
        <v>40</v>
      </c>
      <c r="K8" s="43"/>
    </row>
    <row r="9" spans="1:11" x14ac:dyDescent="0.25">
      <c r="A9" s="26">
        <v>7</v>
      </c>
      <c r="B9" s="30" t="s">
        <v>17</v>
      </c>
      <c r="C9" s="24">
        <v>1</v>
      </c>
      <c r="D9" s="25">
        <f>C9*Table1[DON VI NHAP]+G9</f>
        <v>46</v>
      </c>
      <c r="E9" s="25">
        <f>(D9-H9)/Table1[[#This Row],[XIEN]]*Table1[Giá]</f>
        <v>2.6666666666666665</v>
      </c>
      <c r="F9" s="20">
        <f ca="1">IFERROR(E9-Table1[GIA NHAP]/Table1[DON VI NHAP]*(D9-H9)-((D9-H9)*'Tiền Hàng'!E9),0)</f>
        <v>1.3260762843909415</v>
      </c>
      <c r="G9" s="20">
        <v>11</v>
      </c>
      <c r="H9" s="21">
        <v>45</v>
      </c>
      <c r="K9" s="43"/>
    </row>
    <row r="10" spans="1:11" x14ac:dyDescent="0.25">
      <c r="A10" s="26">
        <v>8</v>
      </c>
      <c r="B10" s="30" t="s">
        <v>16</v>
      </c>
      <c r="C10" s="24">
        <v>1</v>
      </c>
      <c r="D10" s="25">
        <f>C10*Table1[DON VI NHAP]+G10</f>
        <v>19</v>
      </c>
      <c r="E10" s="25">
        <f>(D10-H10)/Table1[[#This Row],[XIEN]]*Table1[Giá]</f>
        <v>144</v>
      </c>
      <c r="F10" s="20">
        <f ca="1">IFERROR(E10-Table1[GIA NHAP]/Table1[DON VI NHAP]*(D10-H10)-((D10-H10)*'Tiền Hàng'!E10),0)</f>
        <v>79.032927628176395</v>
      </c>
      <c r="G10" s="20">
        <v>6</v>
      </c>
      <c r="H10" s="21">
        <v>1</v>
      </c>
      <c r="K10" s="43"/>
    </row>
    <row r="11" spans="1:11" x14ac:dyDescent="0.25">
      <c r="A11" s="26">
        <v>9</v>
      </c>
      <c r="B11" s="30" t="s">
        <v>15</v>
      </c>
      <c r="C11" s="24">
        <v>1</v>
      </c>
      <c r="D11" s="25">
        <f>C11*Table1[DON VI NHAP]+G11</f>
        <v>61</v>
      </c>
      <c r="E11" s="25">
        <f>(D11-H11)/Table1[[#This Row],[XIEN]]*Table1[Giá]</f>
        <v>10.666666666666666</v>
      </c>
      <c r="F11" s="20">
        <f ca="1">IFERROR(E11-Table1[GIA NHAP]/Table1[DON VI NHAP]*(D11-H11)-((D11-H11)*'Tiền Hàng'!E11),0)</f>
        <v>5.9746003287016283</v>
      </c>
      <c r="G11" s="20">
        <v>26</v>
      </c>
      <c r="H11" s="21">
        <v>57</v>
      </c>
    </row>
    <row r="12" spans="1:11" x14ac:dyDescent="0.25">
      <c r="A12" s="26">
        <v>10</v>
      </c>
      <c r="B12" s="30" t="s">
        <v>14</v>
      </c>
      <c r="C12" s="24">
        <v>1</v>
      </c>
      <c r="D12" s="25">
        <f>C12*Table1[DON VI NHAP]+G12</f>
        <v>40</v>
      </c>
      <c r="E12" s="25">
        <f>(D12-H12)/Table1[[#This Row],[XIEN]]*Table1[Giá]</f>
        <v>72</v>
      </c>
      <c r="F12" s="20">
        <f ca="1">IFERROR(E12-Table1[GIA NHAP]/Table1[DON VI NHAP]*(D12-H12)-((D12-H12)*'Tiền Hàng'!E12),0)</f>
        <v>31.279567138374848</v>
      </c>
      <c r="G12" s="20">
        <v>5</v>
      </c>
      <c r="H12" s="21">
        <v>13</v>
      </c>
    </row>
    <row r="13" spans="1:11" x14ac:dyDescent="0.25">
      <c r="A13" s="26">
        <v>11</v>
      </c>
      <c r="B13" s="30" t="s">
        <v>4</v>
      </c>
      <c r="C13" s="24">
        <v>1</v>
      </c>
      <c r="D13" s="25">
        <f>C13*Table1[DON VI NHAP]+G13</f>
        <v>28</v>
      </c>
      <c r="E13" s="25">
        <f>(D13-H13)/Table1[[#This Row],[XIEN]]*Table1[Giá]</f>
        <v>34.666666666666664</v>
      </c>
      <c r="F13" s="20">
        <f ca="1">IFERROR(E13-Table1[GIA NHAP]/Table1[DON VI NHAP]*(D13-H13)-((D13-H13)*'Tiền Hàng'!E13),0)</f>
        <v>11.792843269087104</v>
      </c>
      <c r="G13" s="20">
        <v>0</v>
      </c>
      <c r="H13" s="21">
        <v>15</v>
      </c>
    </row>
    <row r="14" spans="1:11" x14ac:dyDescent="0.25">
      <c r="A14" s="26">
        <v>12</v>
      </c>
      <c r="B14" s="30" t="s">
        <v>12</v>
      </c>
      <c r="C14" s="24">
        <v>2</v>
      </c>
      <c r="D14" s="25">
        <f>C14*Table1[DON VI NHAP]+G14</f>
        <v>64</v>
      </c>
      <c r="E14" s="25">
        <f>(D14-H14)/Table1[[#This Row],[XIEN]]*Table1[Giá]</f>
        <v>50.666666666666664</v>
      </c>
      <c r="F14" s="20">
        <f ca="1">IFERROR(E14-Table1[GIA NHAP]/Table1[DON VI NHAP]*(D14-H14)-((D14-H14)*'Tiền Hàng'!E15),0)</f>
        <v>17.235694008665767</v>
      </c>
      <c r="G14" s="20">
        <v>0</v>
      </c>
      <c r="H14" s="21">
        <v>45</v>
      </c>
    </row>
    <row r="15" spans="1:11" x14ac:dyDescent="0.25">
      <c r="A15" s="26">
        <v>13</v>
      </c>
      <c r="B15" s="30" t="s">
        <v>11</v>
      </c>
      <c r="C15" s="24">
        <v>1</v>
      </c>
      <c r="D15" s="25">
        <f>C15*Table1[DON VI NHAP]+G15</f>
        <v>33</v>
      </c>
      <c r="E15" s="25">
        <f>(D15-H15)/Table1[[#This Row],[XIEN]]*Table1[Giá]</f>
        <v>10</v>
      </c>
      <c r="F15" s="20">
        <f ca="1">IFERROR(E15-Table1[GIA NHAP]/Table1[DON VI NHAP]*(D15-H15)-((D15-H15)*'Tiền Hàng'!E16),0)</f>
        <v>4.8944419542805919</v>
      </c>
      <c r="G15" s="20">
        <v>3</v>
      </c>
      <c r="H15" s="21">
        <v>30</v>
      </c>
    </row>
    <row r="16" spans="1:11" x14ac:dyDescent="0.25">
      <c r="A16" s="26">
        <v>14</v>
      </c>
      <c r="B16" s="30" t="s">
        <v>10</v>
      </c>
      <c r="C16" s="24"/>
      <c r="D16" s="25">
        <f>C16*Table1[DON VI NHAP]+G16</f>
        <v>32</v>
      </c>
      <c r="E16" s="25">
        <f>(D16-H16)/Table1[[#This Row],[XIEN]]*Table1[Giá]</f>
        <v>20</v>
      </c>
      <c r="F16" s="20">
        <f ca="1">IFERROR(E16-Table1[GIA NHAP]/Table1[DON VI NHAP]*(D16-H16)-((D16-H16)*'Tiền Hàng'!E17),0)</f>
        <v>10.923800986104887</v>
      </c>
      <c r="G16" s="20">
        <v>32</v>
      </c>
      <c r="H16" s="21">
        <v>26</v>
      </c>
    </row>
    <row r="17" spans="1:8" x14ac:dyDescent="0.25">
      <c r="A17" s="26">
        <v>15</v>
      </c>
      <c r="B17" s="30" t="s">
        <v>9</v>
      </c>
      <c r="C17" s="24">
        <v>1</v>
      </c>
      <c r="D17" s="25">
        <f>C17*Table1[DON VI NHAP]+G17</f>
        <v>29</v>
      </c>
      <c r="E17" s="25">
        <f>(D17-H17)/Table1[[#This Row],[XIEN]]*Table1[Giá]</f>
        <v>66.666666666666671</v>
      </c>
      <c r="F17" s="20">
        <f ca="1">IFERROR(E17-Table1[GIA NHAP]/Table1[DON VI NHAP]*(D17-H17)-((D17-H17)*'Tiền Hàng'!E18),0)</f>
        <v>3.5977887344987352</v>
      </c>
      <c r="G17" s="20">
        <v>3</v>
      </c>
      <c r="H17" s="21">
        <v>9</v>
      </c>
    </row>
    <row r="18" spans="1:8" x14ac:dyDescent="0.25">
      <c r="A18" s="26">
        <v>16</v>
      </c>
      <c r="B18" s="30" t="s">
        <v>8</v>
      </c>
      <c r="C18" s="24"/>
      <c r="D18" s="25">
        <f>C18*Table1[DON VI NHAP]+G18</f>
        <v>5</v>
      </c>
      <c r="E18" s="25">
        <f>(D18-H18)/Table1[[#This Row],[XIEN]]*Table1[Giá]</f>
        <v>0</v>
      </c>
      <c r="F18" s="20">
        <f ca="1">IFERROR(E18-Table1[GIA NHAP]/Table1[DON VI NHAP]*(D18-H18)-((D18-H18)*'Tiền Hàng'!E19),0)</f>
        <v>0</v>
      </c>
      <c r="G18" s="20">
        <v>5</v>
      </c>
      <c r="H18" s="21">
        <v>5</v>
      </c>
    </row>
    <row r="19" spans="1:8" x14ac:dyDescent="0.25">
      <c r="A19" s="26">
        <v>17</v>
      </c>
      <c r="B19" s="30" t="s">
        <v>7</v>
      </c>
      <c r="C19" s="24"/>
      <c r="D19" s="25">
        <f>C19*Table1[DON VI NHAP]+G19</f>
        <v>28</v>
      </c>
      <c r="E19" s="25">
        <f>(D19-H19)/Table1[[#This Row],[XIEN]]*Table1[Giá]</f>
        <v>40</v>
      </c>
      <c r="F19" s="20">
        <f ca="1">IFERROR(E19-Table1[GIA NHAP]/Table1[DON VI NHAP]*(D19-H19)-((D19-H19)*'Tiền Hàng'!E20),0)</f>
        <v>21.724028228034147</v>
      </c>
      <c r="G19" s="20">
        <v>28</v>
      </c>
      <c r="H19" s="21">
        <v>24</v>
      </c>
    </row>
    <row r="20" spans="1:8" x14ac:dyDescent="0.25">
      <c r="A20" s="26">
        <v>18</v>
      </c>
      <c r="B20" s="30" t="s">
        <v>6</v>
      </c>
      <c r="C20" s="24">
        <v>1</v>
      </c>
      <c r="D20" s="25">
        <f>C20*Table1[DON VI NHAP]+G20</f>
        <v>63</v>
      </c>
      <c r="E20" s="25">
        <f>(D20-H20)/Table1[[#This Row],[XIEN]]*Table1[Giá]</f>
        <v>60</v>
      </c>
      <c r="F20" s="20">
        <f ca="1">IFERROR(E20-Table1[GIA NHAP]/Table1[DON VI NHAP]*(D20-H20)-((D20-H20)*'Tiền Hàng'!E21),0)</f>
        <v>31.627166876882825</v>
      </c>
      <c r="G20" s="20">
        <v>20</v>
      </c>
      <c r="H20" s="21">
        <v>39</v>
      </c>
    </row>
    <row r="21" spans="1:8" x14ac:dyDescent="0.25">
      <c r="A21" s="26">
        <v>19</v>
      </c>
      <c r="B21" s="30" t="s">
        <v>5</v>
      </c>
      <c r="C21" s="24">
        <v>1</v>
      </c>
      <c r="D21" s="25">
        <f>C21*Table1[DON VI NHAP]+G21</f>
        <v>100</v>
      </c>
      <c r="E21" s="25">
        <f>(D21-H21)/Table1[[#This Row],[XIEN]]*Table1[Giá]</f>
        <v>47.5</v>
      </c>
      <c r="F21" s="20">
        <f ca="1">IFERROR(E21-Table1[GIA NHAP]/Table1[DON VI NHAP]*(D21-H21)-((D21-H21)*'Tiền Hàng'!E22),0)</f>
        <v>20.710952007427803</v>
      </c>
      <c r="G21" s="20">
        <v>68</v>
      </c>
      <c r="H21" s="21">
        <v>81</v>
      </c>
    </row>
    <row r="22" spans="1:8" x14ac:dyDescent="0.25">
      <c r="A22" s="26">
        <v>20</v>
      </c>
      <c r="B22" s="30" t="s">
        <v>3</v>
      </c>
      <c r="C22" s="24"/>
      <c r="D22" s="25">
        <f>C22*Table1[DON VI NHAP]+G22</f>
        <v>30</v>
      </c>
      <c r="E22" s="25">
        <f>(D22-H22)/Table1[[#This Row],[XIEN]]*Table1[Giá]</f>
        <v>15</v>
      </c>
      <c r="F22" s="20">
        <f ca="1">IFERROR(E22-Table1[GIA NHAP]/Table1[DON VI NHAP]*(D22-H22)-((D22-H22)*'Tiền Hàng'!E23),0)</f>
        <v>5.3169048759861592</v>
      </c>
      <c r="G22" s="20">
        <v>30</v>
      </c>
      <c r="H22" s="21">
        <v>24</v>
      </c>
    </row>
    <row r="23" spans="1:8" x14ac:dyDescent="0.25">
      <c r="A23" s="26">
        <v>21</v>
      </c>
      <c r="B23" s="30" t="s">
        <v>2</v>
      </c>
      <c r="C23" s="24"/>
      <c r="D23" s="25">
        <f>C23*Table1[DON VI NHAP]+G23</f>
        <v>15</v>
      </c>
      <c r="E23" s="25">
        <f>(D23-H23)/Table1[[#This Row],[XIEN]]*Table1[Giá]</f>
        <v>16.666666666666668</v>
      </c>
      <c r="F23" s="20">
        <f ca="1">IFERROR(E23-Table1[GIA NHAP]/Table1[DON VI NHAP]*(D23-H23)-((D23-H23)*'Tiền Hàng'!E24),0)</f>
        <v>2.858493433695525</v>
      </c>
      <c r="G23" s="20">
        <v>15</v>
      </c>
      <c r="H23" s="21">
        <v>10</v>
      </c>
    </row>
    <row r="24" spans="1:8" x14ac:dyDescent="0.25">
      <c r="A24" s="26">
        <v>22</v>
      </c>
      <c r="B24" s="30" t="s">
        <v>0</v>
      </c>
      <c r="C24" s="24">
        <v>1</v>
      </c>
      <c r="D24" s="25">
        <f>C24*Table1[DON VI NHAP]+G24</f>
        <v>12</v>
      </c>
      <c r="E24" s="25">
        <f>(D24-H24)/Table1[[#This Row],[XIEN]]*Table1[Giá]</f>
        <v>-110</v>
      </c>
      <c r="F24" s="20">
        <f ca="1">IFERROR(E24-Table1[GIA NHAP]/Table1[DON VI NHAP]*(D24-H24)-((D24-H24)*'Tiền Hàng'!E26),0)</f>
        <v>-50.242043926490368</v>
      </c>
      <c r="G24" s="20">
        <v>3</v>
      </c>
      <c r="H24" s="21">
        <v>23</v>
      </c>
    </row>
    <row r="25" spans="1:8" x14ac:dyDescent="0.25">
      <c r="A25" s="26">
        <v>23</v>
      </c>
      <c r="B25" s="31" t="s">
        <v>40</v>
      </c>
      <c r="C25" s="24"/>
      <c r="D25" s="25">
        <f>C25*Table1[DON VI NHAP]+G25</f>
        <v>0</v>
      </c>
      <c r="E25" s="25">
        <f>(D25-H25)/Table1[[#This Row],[XIEN]]*Table1[Giá]</f>
        <v>0</v>
      </c>
      <c r="F25" s="20">
        <f ca="1">IFERROR(E25-Table1[GIA NHAP]/Table1[DON VI NHAP]*(D25-H25)-((D25-H25)*'Tiền Hàng'!E27),0)</f>
        <v>0</v>
      </c>
      <c r="G25" s="20">
        <v>0</v>
      </c>
      <c r="H25" s="21">
        <v>0</v>
      </c>
    </row>
    <row r="26" spans="1:8" x14ac:dyDescent="0.25">
      <c r="A26" s="26">
        <v>24</v>
      </c>
      <c r="B26" s="31" t="s">
        <v>41</v>
      </c>
      <c r="C26" s="24"/>
      <c r="D26" s="25">
        <f>C26*Table1[DON VI NHAP]+G26</f>
        <v>0</v>
      </c>
      <c r="E26" s="25">
        <f>(D26-H26)/Table1[[#This Row],[XIEN]]*Table1[Giá]</f>
        <v>0</v>
      </c>
      <c r="F26" s="20">
        <f ca="1">IFERROR(E26-Table1[GIA NHAP]/Table1[DON VI NHAP]*(D26-H26)-((D26-H26)*'Tiền Hàng'!E28),0)</f>
        <v>0</v>
      </c>
      <c r="G26" s="20">
        <v>0</v>
      </c>
      <c r="H26" s="21">
        <v>0</v>
      </c>
    </row>
    <row r="27" spans="1:8" x14ac:dyDescent="0.25">
      <c r="A27" s="26">
        <v>25</v>
      </c>
      <c r="B27" s="31" t="s">
        <v>42</v>
      </c>
      <c r="C27" s="24">
        <v>1</v>
      </c>
      <c r="D27" s="25">
        <f>C27*Table1[DON VI NHAP]+G27</f>
        <v>24</v>
      </c>
      <c r="E27" s="25">
        <f>(D27-H27)/Table1[[#This Row],[XIEN]]*Table1[Giá]</f>
        <v>56</v>
      </c>
      <c r="F27" s="20">
        <f ca="1">IFERROR(E27-Table1[GIA NHAP]/Table1[DON VI NHAP]*(D27-H27)-((D27-H27)*'Tiền Hàng'!E29),0)</f>
        <v>23.936538174211861</v>
      </c>
      <c r="G27" s="20">
        <v>0</v>
      </c>
      <c r="H27" s="21">
        <v>17</v>
      </c>
    </row>
    <row r="28" spans="1:8" x14ac:dyDescent="0.25">
      <c r="A28" s="26">
        <v>26</v>
      </c>
      <c r="B28" s="31" t="s">
        <v>43</v>
      </c>
      <c r="C28" s="24"/>
      <c r="D28" s="25">
        <f>C28*Table1[DON VI NHAP]+G28</f>
        <v>0</v>
      </c>
      <c r="E28" s="25">
        <f>(D28-H28)/Table1[[#This Row],[XIEN]]*Table1[Giá]</f>
        <v>0</v>
      </c>
      <c r="F28" s="20">
        <f ca="1">IFERROR(E28-Table1[GIA NHAP]/Table1[DON VI NHAP]*(D28-H28)-((D28-H28)*'Tiền Hàng'!E30),0)</f>
        <v>0</v>
      </c>
      <c r="G28" s="20">
        <v>0</v>
      </c>
      <c r="H28" s="21">
        <v>0</v>
      </c>
    </row>
  </sheetData>
  <sheetProtection formatCells="0" formatColumns="0" formatRows="0" insertColumns="0" insertRows="0" insertHyperlinks="0" deleteColumns="0" deleteRows="0" sort="0" autoFilter="0" pivotTables="0"/>
  <autoFilter ref="A1:H28"/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69" r:id="rId4" name="Button 1">
              <controlPr defaultSize="0" print="0" autoFill="0" autoPict="0" macro="[0]!Macro1">
                <anchor moveWithCells="1" sizeWithCells="1">
                  <from>
                    <xdr:col>2</xdr:col>
                    <xdr:colOff>9525</xdr:colOff>
                    <xdr:row>0</xdr:row>
                    <xdr:rowOff>0</xdr:rowOff>
                  </from>
                  <to>
                    <xdr:col>3</xdr:col>
                    <xdr:colOff>9525</xdr:colOff>
                    <xdr:row>1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6">
    <tabColor theme="0"/>
  </sheetPr>
  <dimension ref="A1:K28"/>
  <sheetViews>
    <sheetView zoomScale="90" zoomScaleNormal="90" workbookViewId="0">
      <pane ySplit="2" topLeftCell="A3" activePane="bottomLeft" state="frozen"/>
      <selection pane="bottomLeft" activeCell="H5" sqref="H5"/>
    </sheetView>
  </sheetViews>
  <sheetFormatPr defaultRowHeight="15" x14ac:dyDescent="0.25"/>
  <cols>
    <col min="1" max="1" width="5" style="16" bestFit="1" customWidth="1"/>
    <col min="2" max="2" width="25.7109375" style="16" bestFit="1" customWidth="1"/>
    <col min="3" max="3" width="12.28515625" style="16" customWidth="1"/>
    <col min="4" max="4" width="12.140625" style="16" customWidth="1"/>
    <col min="5" max="5" width="14.42578125" style="16" customWidth="1"/>
    <col min="6" max="6" width="14.140625" style="16" customWidth="1"/>
    <col min="7" max="8" width="20.28515625" style="16" customWidth="1"/>
    <col min="9" max="16384" width="9.140625" style="16"/>
  </cols>
  <sheetData>
    <row r="1" spans="1:11" s="12" customFormat="1" ht="21" customHeight="1" x14ac:dyDescent="0.25">
      <c r="A1" s="32" t="s">
        <v>27</v>
      </c>
      <c r="B1" s="32" t="s">
        <v>25</v>
      </c>
      <c r="C1" s="13" t="s">
        <v>28</v>
      </c>
      <c r="D1" s="22" t="s">
        <v>32</v>
      </c>
      <c r="E1" s="35" t="s">
        <v>29</v>
      </c>
      <c r="F1" s="36" t="s">
        <v>30</v>
      </c>
      <c r="G1" s="33" t="s">
        <v>38</v>
      </c>
      <c r="H1" s="34" t="s">
        <v>31</v>
      </c>
      <c r="I1" s="41"/>
      <c r="J1" s="42"/>
    </row>
    <row r="2" spans="1:11" s="15" customFormat="1" ht="14.25" customHeight="1" x14ac:dyDescent="0.25">
      <c r="A2" s="17"/>
      <c r="B2" s="17"/>
      <c r="C2" s="13"/>
      <c r="D2" s="18">
        <f>SUBTOTAL(9,$D$3:$D$280)</f>
        <v>971</v>
      </c>
      <c r="E2" s="18">
        <f>SUBTOTAL(9,E3:E99)</f>
        <v>614</v>
      </c>
      <c r="F2" s="19">
        <f ca="1">SUBTOTAL(9,F3:F99)</f>
        <v>278.19523016042888</v>
      </c>
      <c r="G2" s="18"/>
      <c r="H2" s="14"/>
    </row>
    <row r="3" spans="1:11" x14ac:dyDescent="0.25">
      <c r="A3" s="26">
        <v>1</v>
      </c>
      <c r="B3" s="30" t="s">
        <v>23</v>
      </c>
      <c r="C3" s="24"/>
      <c r="D3" s="75">
        <f>C3*Table1[DON VI NHAP]+G3</f>
        <v>80</v>
      </c>
      <c r="E3" s="25">
        <f>(D3-H3)/Table1[[#This Row],[XIEN]]*Table1[Giá]</f>
        <v>40</v>
      </c>
      <c r="F3" s="20">
        <f ca="1">IFERROR(E3-Table1[GIA NHAP]/Table1[DON VI NHAP]*(D3-H3)-((D3-H3)*'Tiền Hàng'!E3),0)</f>
        <v>21.231734648139849</v>
      </c>
      <c r="G3" s="20">
        <v>80</v>
      </c>
      <c r="H3" s="21">
        <v>40</v>
      </c>
      <c r="K3" s="43"/>
    </row>
    <row r="4" spans="1:11" x14ac:dyDescent="0.25">
      <c r="A4" s="26">
        <v>2</v>
      </c>
      <c r="B4" s="30" t="s">
        <v>22</v>
      </c>
      <c r="C4" s="24"/>
      <c r="D4" s="75">
        <f>C4*Table1[DON VI NHAP]+G4</f>
        <v>128</v>
      </c>
      <c r="E4" s="25">
        <f>(D4-H4)/Table1[[#This Row],[XIEN]]*Table1[Giá]</f>
        <v>0</v>
      </c>
      <c r="F4" s="20">
        <f ca="1">IFERROR(E4-Table1[GIA NHAP]/Table1[DON VI NHAP]*(D4-H4)-((D4-H4)*'Tiền Hàng'!E4),0)</f>
        <v>0</v>
      </c>
      <c r="G4" s="20">
        <v>128</v>
      </c>
      <c r="H4" s="21">
        <v>128</v>
      </c>
      <c r="I4" s="29"/>
      <c r="K4" s="43"/>
    </row>
    <row r="5" spans="1:11" x14ac:dyDescent="0.25">
      <c r="A5" s="26">
        <v>3</v>
      </c>
      <c r="B5" s="30" t="s">
        <v>21</v>
      </c>
      <c r="C5" s="24"/>
      <c r="D5" s="75">
        <f>C5*Table1[DON VI NHAP]+G5</f>
        <v>56</v>
      </c>
      <c r="E5" s="25">
        <f>(D5-H5)/Table1[[#This Row],[XIEN]]*Table1[Giá]</f>
        <v>48</v>
      </c>
      <c r="F5" s="20">
        <f ca="1">IFERROR(E5-Table1[GIA NHAP]/Table1[DON VI NHAP]*(D5-H5)-((D5-H5)*'Tiền Hàng'!E5),0)</f>
        <v>24.070461676378308</v>
      </c>
      <c r="G5" s="20">
        <v>56</v>
      </c>
      <c r="H5" s="21">
        <v>8</v>
      </c>
      <c r="K5" s="43"/>
    </row>
    <row r="6" spans="1:11" x14ac:dyDescent="0.25">
      <c r="A6" s="26">
        <v>4</v>
      </c>
      <c r="B6" s="30" t="s">
        <v>20</v>
      </c>
      <c r="C6" s="24"/>
      <c r="D6" s="75">
        <f>C6*Table1[DON VI NHAP]+G6</f>
        <v>69</v>
      </c>
      <c r="E6" s="25">
        <f>(D6-H6)/Table1[[#This Row],[XIEN]]*Table1[Giá]</f>
        <v>29</v>
      </c>
      <c r="F6" s="20">
        <f ca="1">IFERROR(E6-Table1[GIA NHAP]/Table1[DON VI NHAP]*(D6-H6)-((D6-H6)*'Tiền Hàng'!E6),0)</f>
        <v>14.542570596145227</v>
      </c>
      <c r="G6" s="20">
        <v>69</v>
      </c>
      <c r="H6" s="21">
        <v>40</v>
      </c>
      <c r="K6" s="43"/>
    </row>
    <row r="7" spans="1:11" x14ac:dyDescent="0.25">
      <c r="A7" s="26">
        <v>5</v>
      </c>
      <c r="B7" s="30" t="s">
        <v>19</v>
      </c>
      <c r="C7" s="24">
        <v>1</v>
      </c>
      <c r="D7" s="75">
        <f>C7*Table1[DON VI NHAP]+G7</f>
        <v>21</v>
      </c>
      <c r="E7" s="25">
        <f>(D7-H7)/Table1[[#This Row],[XIEN]]*Table1[Giá]</f>
        <v>48</v>
      </c>
      <c r="F7" s="20">
        <f ca="1">IFERROR(E7-Table1[GIA NHAP]/Table1[DON VI NHAP]*(D7-H7)-((D7-H7)*'Tiền Hàng'!E7),0)</f>
        <v>24.774271627073063</v>
      </c>
      <c r="G7" s="20">
        <v>11</v>
      </c>
      <c r="H7" s="21">
        <v>15</v>
      </c>
      <c r="K7" s="43"/>
    </row>
    <row r="8" spans="1:11" x14ac:dyDescent="0.25">
      <c r="A8" s="26">
        <v>6</v>
      </c>
      <c r="B8" s="30" t="s">
        <v>18</v>
      </c>
      <c r="C8" s="24"/>
      <c r="D8" s="75">
        <f>C8*Table1[DON VI NHAP]+G8</f>
        <v>40</v>
      </c>
      <c r="E8" s="25">
        <f>(D8-H8)/Table1[[#This Row],[XIEN]]*Table1[Giá]</f>
        <v>8</v>
      </c>
      <c r="F8" s="20">
        <f ca="1">IFERROR(E8-Table1[GIA NHAP]/Table1[DON VI NHAP]*(D8-H8)-((D8-H8)*'Tiền Hàng'!E8),0)</f>
        <v>2.4281712236665172</v>
      </c>
      <c r="G8" s="20">
        <v>40</v>
      </c>
      <c r="H8" s="21">
        <v>36</v>
      </c>
      <c r="K8" s="43"/>
    </row>
    <row r="9" spans="1:11" x14ac:dyDescent="0.25">
      <c r="A9" s="26">
        <v>7</v>
      </c>
      <c r="B9" s="30" t="s">
        <v>17</v>
      </c>
      <c r="C9" s="24"/>
      <c r="D9" s="75">
        <f>C9*Table1[DON VI NHAP]+G9</f>
        <v>45</v>
      </c>
      <c r="E9" s="25">
        <f>(D9-H9)/Table1[[#This Row],[XIEN]]*Table1[Giá]</f>
        <v>16</v>
      </c>
      <c r="F9" s="20">
        <f ca="1">IFERROR(E9-Table1[GIA NHAP]/Table1[DON VI NHAP]*(D9-H9)-((D9-H9)*'Tiền Hàng'!E9),0)</f>
        <v>7.956457706345649</v>
      </c>
      <c r="G9" s="20">
        <v>45</v>
      </c>
      <c r="H9" s="21">
        <v>39</v>
      </c>
      <c r="K9" s="43"/>
    </row>
    <row r="10" spans="1:11" x14ac:dyDescent="0.25">
      <c r="A10" s="26">
        <v>8</v>
      </c>
      <c r="B10" s="30" t="s">
        <v>16</v>
      </c>
      <c r="C10" s="24">
        <v>2</v>
      </c>
      <c r="D10" s="75">
        <f>C10*Table1[DON VI NHAP]+G10</f>
        <v>27</v>
      </c>
      <c r="E10" s="25">
        <f>(D10-H10)/Table1[[#This Row],[XIEN]]*Table1[Giá]</f>
        <v>16</v>
      </c>
      <c r="F10" s="20">
        <f ca="1">IFERROR(E10-Table1[GIA NHAP]/Table1[DON VI NHAP]*(D10-H10)-((D10-H10)*'Tiền Hàng'!E10),0)</f>
        <v>8.7814364031307122</v>
      </c>
      <c r="G10" s="20">
        <v>1</v>
      </c>
      <c r="H10" s="21">
        <v>25</v>
      </c>
      <c r="K10" s="43"/>
    </row>
    <row r="11" spans="1:11" x14ac:dyDescent="0.25">
      <c r="A11" s="26">
        <v>9</v>
      </c>
      <c r="B11" s="30" t="s">
        <v>15</v>
      </c>
      <c r="C11" s="24"/>
      <c r="D11" s="75">
        <f>C11*Table1[DON VI NHAP]+G11</f>
        <v>57</v>
      </c>
      <c r="E11" s="25">
        <f>(D11-H11)/Table1[[#This Row],[XIEN]]*Table1[Giá]</f>
        <v>0</v>
      </c>
      <c r="F11" s="20">
        <f ca="1">IFERROR(E11-Table1[GIA NHAP]/Table1[DON VI NHAP]*(D11-H11)-((D11-H11)*'Tiền Hàng'!E11),0)</f>
        <v>0</v>
      </c>
      <c r="G11" s="20">
        <v>57</v>
      </c>
      <c r="H11" s="21">
        <v>57</v>
      </c>
    </row>
    <row r="12" spans="1:11" x14ac:dyDescent="0.25">
      <c r="A12" s="26">
        <v>10</v>
      </c>
      <c r="B12" s="30" t="s">
        <v>14</v>
      </c>
      <c r="C12" s="24">
        <v>1</v>
      </c>
      <c r="D12" s="75">
        <f>C12*Table1[DON VI NHAP]+G12</f>
        <v>48</v>
      </c>
      <c r="E12" s="25">
        <f>(D12-H12)/Table1[[#This Row],[XIEN]]*Table1[Giá]</f>
        <v>32</v>
      </c>
      <c r="F12" s="20">
        <f ca="1">IFERROR(E12-Table1[GIA NHAP]/Table1[DON VI NHAP]*(D12-H12)-((D12-H12)*'Tiền Hàng'!E12),0)</f>
        <v>13.902029839277708</v>
      </c>
      <c r="G12" s="20">
        <v>13</v>
      </c>
      <c r="H12" s="21">
        <v>36</v>
      </c>
    </row>
    <row r="13" spans="1:11" x14ac:dyDescent="0.25">
      <c r="A13" s="26">
        <v>11</v>
      </c>
      <c r="B13" s="30" t="s">
        <v>4</v>
      </c>
      <c r="C13" s="24"/>
      <c r="D13" s="75">
        <f>C13*Table1[DON VI NHAP]+G13</f>
        <v>15</v>
      </c>
      <c r="E13" s="25">
        <f>(D13-H13)/Table1[[#This Row],[XIEN]]*Table1[Giá]</f>
        <v>32</v>
      </c>
      <c r="F13" s="20">
        <f ca="1">IFERROR(E13-Table1[GIA NHAP]/Table1[DON VI NHAP]*(D13-H13)-((D13-H13)*'Tiền Hàng'!E13),0)</f>
        <v>10.885701479157328</v>
      </c>
      <c r="G13" s="20">
        <v>15</v>
      </c>
      <c r="H13" s="21">
        <v>3</v>
      </c>
    </row>
    <row r="14" spans="1:11" x14ac:dyDescent="0.25">
      <c r="A14" s="26">
        <v>12</v>
      </c>
      <c r="B14" s="30" t="s">
        <v>12</v>
      </c>
      <c r="C14" s="24"/>
      <c r="D14" s="75">
        <f>C14*Table1[DON VI NHAP]+G14</f>
        <v>45</v>
      </c>
      <c r="E14" s="25">
        <f>(D14-H14)/Table1[[#This Row],[XIEN]]*Table1[Giá]</f>
        <v>16</v>
      </c>
      <c r="F14" s="20">
        <f ca="1">IFERROR(E14-Table1[GIA NHAP]/Table1[DON VI NHAP]*(D14-H14)-((D14-H14)*'Tiền Hàng'!E15),0)</f>
        <v>5.4428507395786641</v>
      </c>
      <c r="G14" s="20">
        <v>45</v>
      </c>
      <c r="H14" s="21">
        <v>39</v>
      </c>
    </row>
    <row r="15" spans="1:11" x14ac:dyDescent="0.25">
      <c r="A15" s="26">
        <v>13</v>
      </c>
      <c r="B15" s="30" t="s">
        <v>11</v>
      </c>
      <c r="C15" s="24"/>
      <c r="D15" s="75">
        <f>C15*Table1[DON VI NHAP]+G15</f>
        <v>30</v>
      </c>
      <c r="E15" s="25">
        <f>(D15-H15)/Table1[[#This Row],[XIEN]]*Table1[Giá]</f>
        <v>20</v>
      </c>
      <c r="F15" s="20">
        <f ca="1">IFERROR(E15-Table1[GIA NHAP]/Table1[DON VI NHAP]*(D15-H15)-((D15-H15)*'Tiền Hàng'!E16),0)</f>
        <v>9.7888839085611838</v>
      </c>
      <c r="G15" s="20">
        <v>30</v>
      </c>
      <c r="H15" s="21">
        <v>24</v>
      </c>
    </row>
    <row r="16" spans="1:11" x14ac:dyDescent="0.25">
      <c r="A16" s="26">
        <v>14</v>
      </c>
      <c r="B16" s="30" t="s">
        <v>10</v>
      </c>
      <c r="C16" s="24"/>
      <c r="D16" s="75">
        <f>C16*Table1[DON VI NHAP]+G16</f>
        <v>26</v>
      </c>
      <c r="E16" s="25">
        <f>(D16-H16)/Table1[[#This Row],[XIEN]]*Table1[Giá]</f>
        <v>16.666666666666668</v>
      </c>
      <c r="F16" s="20">
        <f ca="1">IFERROR(E16-Table1[GIA NHAP]/Table1[DON VI NHAP]*(D16-H16)-((D16-H16)*'Tiền Hàng'!E17),0)</f>
        <v>9.1031674884207394</v>
      </c>
      <c r="G16" s="20">
        <v>26</v>
      </c>
      <c r="H16" s="21">
        <v>21</v>
      </c>
    </row>
    <row r="17" spans="1:8" x14ac:dyDescent="0.25">
      <c r="A17" s="26">
        <v>15</v>
      </c>
      <c r="B17" s="30" t="s">
        <v>9</v>
      </c>
      <c r="C17" s="24"/>
      <c r="D17" s="75">
        <f>C17*Table1[DON VI NHAP]+G17</f>
        <v>9</v>
      </c>
      <c r="E17" s="25">
        <f>(D17-H17)/Table1[[#This Row],[XIEN]]*Table1[Giá]</f>
        <v>10</v>
      </c>
      <c r="F17" s="20">
        <f ca="1">IFERROR(E17-Table1[GIA NHAP]/Table1[DON VI NHAP]*(D17-H17)-((D17-H17)*'Tiền Hàng'!E18),0)</f>
        <v>0.53966831017480921</v>
      </c>
      <c r="G17" s="20">
        <v>9</v>
      </c>
      <c r="H17" s="21">
        <v>6</v>
      </c>
    </row>
    <row r="18" spans="1:8" x14ac:dyDescent="0.25">
      <c r="A18" s="26">
        <v>16</v>
      </c>
      <c r="B18" s="30" t="s">
        <v>8</v>
      </c>
      <c r="C18" s="24"/>
      <c r="D18" s="75">
        <f>C18*Table1[DON VI NHAP]+G18</f>
        <v>5</v>
      </c>
      <c r="E18" s="25">
        <f>(D18-H18)/Table1[[#This Row],[XIEN]]*Table1[Giá]</f>
        <v>10</v>
      </c>
      <c r="F18" s="20">
        <f ca="1">IFERROR(E18-Table1[GIA NHAP]/Table1[DON VI NHAP]*(D18-H18)-((D18-H18)*'Tiền Hàng'!E19),0)</f>
        <v>2.5720603615717912</v>
      </c>
      <c r="G18" s="20">
        <v>5</v>
      </c>
      <c r="H18" s="21">
        <v>4</v>
      </c>
    </row>
    <row r="19" spans="1:8" x14ac:dyDescent="0.25">
      <c r="A19" s="26">
        <v>17</v>
      </c>
      <c r="B19" s="30" t="s">
        <v>7</v>
      </c>
      <c r="C19" s="24"/>
      <c r="D19" s="75">
        <f>C19*Table1[DON VI NHAP]+G19</f>
        <v>24</v>
      </c>
      <c r="E19" s="25">
        <f>(D19-H19)/Table1[[#This Row],[XIEN]]*Table1[Giá]</f>
        <v>80</v>
      </c>
      <c r="F19" s="20">
        <f ca="1">IFERROR(E19-Table1[GIA NHAP]/Table1[DON VI NHAP]*(D19-H19)-((D19-H19)*'Tiền Hàng'!E20),0)</f>
        <v>43.448056456068294</v>
      </c>
      <c r="G19" s="20">
        <v>24</v>
      </c>
      <c r="H19" s="21">
        <v>16</v>
      </c>
    </row>
    <row r="20" spans="1:8" x14ac:dyDescent="0.25">
      <c r="A20" s="26">
        <v>18</v>
      </c>
      <c r="B20" s="30" t="s">
        <v>6</v>
      </c>
      <c r="C20" s="24"/>
      <c r="D20" s="75">
        <f>C20*Table1[DON VI NHAP]+G20</f>
        <v>39</v>
      </c>
      <c r="E20" s="25">
        <f>(D20-H20)/Table1[[#This Row],[XIEN]]*Table1[Giá]</f>
        <v>37.5</v>
      </c>
      <c r="F20" s="20">
        <f ca="1">IFERROR(E20-Table1[GIA NHAP]/Table1[DON VI NHAP]*(D20-H20)-((D20-H20)*'Tiền Hàng'!E21),0)</f>
        <v>19.766979298051766</v>
      </c>
      <c r="G20" s="20">
        <v>39</v>
      </c>
      <c r="H20" s="21">
        <v>24</v>
      </c>
    </row>
    <row r="21" spans="1:8" x14ac:dyDescent="0.25">
      <c r="A21" s="26">
        <v>19</v>
      </c>
      <c r="B21" s="30" t="s">
        <v>5</v>
      </c>
      <c r="C21" s="24"/>
      <c r="D21" s="75">
        <f>C21*Table1[DON VI NHAP]+G21</f>
        <v>81</v>
      </c>
      <c r="E21" s="25">
        <f>(D21-H21)/Table1[[#This Row],[XIEN]]*Table1[Giá]</f>
        <v>10</v>
      </c>
      <c r="F21" s="20">
        <f ca="1">IFERROR(E21-Table1[GIA NHAP]/Table1[DON VI NHAP]*(D21-H21)-((D21-H21)*'Tiền Hàng'!E22),0)</f>
        <v>4.36020042261638</v>
      </c>
      <c r="G21" s="20">
        <v>81</v>
      </c>
      <c r="H21" s="21">
        <v>77</v>
      </c>
    </row>
    <row r="22" spans="1:8" x14ac:dyDescent="0.25">
      <c r="A22" s="26">
        <v>20</v>
      </c>
      <c r="B22" s="30" t="s">
        <v>3</v>
      </c>
      <c r="C22" s="24"/>
      <c r="D22" s="75">
        <f>C22*Table1[DON VI NHAP]+G22</f>
        <v>24</v>
      </c>
      <c r="E22" s="25">
        <f>(D22-H22)/Table1[[#This Row],[XIEN]]*Table1[Giá]</f>
        <v>22.5</v>
      </c>
      <c r="F22" s="20">
        <f ca="1">IFERROR(E22-Table1[GIA NHAP]/Table1[DON VI NHAP]*(D22-H22)-((D22-H22)*'Tiền Hàng'!E23),0)</f>
        <v>7.9753573139792389</v>
      </c>
      <c r="G22" s="20">
        <v>24</v>
      </c>
      <c r="H22" s="21">
        <v>15</v>
      </c>
    </row>
    <row r="23" spans="1:8" x14ac:dyDescent="0.25">
      <c r="A23" s="26">
        <v>21</v>
      </c>
      <c r="B23" s="30" t="s">
        <v>2</v>
      </c>
      <c r="C23" s="24"/>
      <c r="D23" s="75">
        <f>C23*Table1[DON VI NHAP]+G23</f>
        <v>10</v>
      </c>
      <c r="E23" s="25">
        <f>(D23-H23)/Table1[[#This Row],[XIEN]]*Table1[Giá]</f>
        <v>13.333333333333332</v>
      </c>
      <c r="F23" s="20">
        <f ca="1">IFERROR(E23-Table1[GIA NHAP]/Table1[DON VI NHAP]*(D23-H23)-((D23-H23)*'Tiền Hàng'!E24),0)</f>
        <v>2.2867947469564172</v>
      </c>
      <c r="G23" s="20">
        <v>10</v>
      </c>
      <c r="H23" s="21">
        <v>6</v>
      </c>
    </row>
    <row r="24" spans="1:8" x14ac:dyDescent="0.25">
      <c r="A24" s="26">
        <v>22</v>
      </c>
      <c r="B24" s="30" t="s">
        <v>0</v>
      </c>
      <c r="C24" s="24"/>
      <c r="D24" s="75">
        <f>C24*Table1[DON VI NHAP]+G24</f>
        <v>23</v>
      </c>
      <c r="E24" s="25">
        <f>(D24-H24)/Table1[[#This Row],[XIEN]]*Table1[Giá]</f>
        <v>50</v>
      </c>
      <c r="F24" s="20">
        <f ca="1">IFERROR(E24-Table1[GIA NHAP]/Table1[DON VI NHAP]*(D24-H24)-((D24-H24)*'Tiền Hàng'!E26),0)</f>
        <v>22.837292693859258</v>
      </c>
      <c r="G24" s="20">
        <v>23</v>
      </c>
      <c r="H24" s="21">
        <v>18</v>
      </c>
    </row>
    <row r="25" spans="1:8" x14ac:dyDescent="0.25">
      <c r="A25" s="26">
        <v>23</v>
      </c>
      <c r="B25" s="31" t="s">
        <v>40</v>
      </c>
      <c r="C25" s="24"/>
      <c r="D25" s="75">
        <f>C25*Table1[DON VI NHAP]+G25</f>
        <v>0</v>
      </c>
      <c r="E25" s="25">
        <f>(D25-H25)/Table1[[#This Row],[XIEN]]*Table1[Giá]</f>
        <v>0</v>
      </c>
      <c r="F25" s="20">
        <f ca="1">IFERROR(E25-Table1[GIA NHAP]/Table1[DON VI NHAP]*(D25-H25)-((D25-H25)*'Tiền Hàng'!E27),0)</f>
        <v>0</v>
      </c>
      <c r="G25" s="20">
        <v>0</v>
      </c>
      <c r="H25" s="21"/>
    </row>
    <row r="26" spans="1:8" x14ac:dyDescent="0.25">
      <c r="A26" s="26">
        <v>24</v>
      </c>
      <c r="B26" s="31" t="s">
        <v>41</v>
      </c>
      <c r="C26" s="24">
        <v>1</v>
      </c>
      <c r="D26" s="75">
        <f>C26*Table1[DON VI NHAP]+G26</f>
        <v>28</v>
      </c>
      <c r="E26" s="25">
        <f>(D26-H26)/Table1[[#This Row],[XIEN]]*Table1[Giá]</f>
        <v>35</v>
      </c>
      <c r="F26" s="20">
        <f ca="1">IFERROR(E26-Table1[GIA NHAP]/Table1[DON VI NHAP]*(D26-H26)-((D26-H26)*'Tiền Hàng'!E28),0)</f>
        <v>11.242566860899448</v>
      </c>
      <c r="G26" s="20">
        <v>0</v>
      </c>
      <c r="H26" s="21">
        <v>21</v>
      </c>
    </row>
    <row r="27" spans="1:8" x14ac:dyDescent="0.25">
      <c r="A27" s="26">
        <v>25</v>
      </c>
      <c r="B27" s="31" t="s">
        <v>42</v>
      </c>
      <c r="C27" s="24"/>
      <c r="D27" s="75">
        <f>C27*Table1[DON VI NHAP]+G27</f>
        <v>17</v>
      </c>
      <c r="E27" s="25">
        <f>(D27-H27)/Table1[[#This Row],[XIEN]]*Table1[Giá]</f>
        <v>24</v>
      </c>
      <c r="F27" s="20">
        <f ca="1">IFERROR(E27-Table1[GIA NHAP]/Table1[DON VI NHAP]*(D27-H27)-((D27-H27)*'Tiền Hàng'!E29),0)</f>
        <v>10.258516360376513</v>
      </c>
      <c r="G27" s="20">
        <v>17</v>
      </c>
      <c r="H27" s="21">
        <v>14</v>
      </c>
    </row>
    <row r="28" spans="1:8" x14ac:dyDescent="0.25">
      <c r="A28" s="26">
        <v>26</v>
      </c>
      <c r="B28" s="31" t="s">
        <v>43</v>
      </c>
      <c r="C28" s="24">
        <v>1</v>
      </c>
      <c r="D28" s="75">
        <f>C28*Table1[DON VI NHAP]+G28</f>
        <v>24</v>
      </c>
      <c r="E28" s="25">
        <f>(D28-H28)/Table1[[#This Row],[XIEN]]*Table1[Giá]</f>
        <v>0</v>
      </c>
      <c r="F28" s="20">
        <f ca="1">IFERROR(E28-Table1[GIA NHAP]/Table1[DON VI NHAP]*(D28-H28)-((D28-H28)*'Tiền Hàng'!E30),0)</f>
        <v>0</v>
      </c>
      <c r="G28" s="20">
        <v>0</v>
      </c>
      <c r="H28" s="21">
        <v>24</v>
      </c>
    </row>
  </sheetData>
  <sheetProtection formatCells="0" formatColumns="0" formatRows="0" insertColumns="0" insertRows="0" insertHyperlinks="0" deleteColumns="0" deleteRows="0" sort="0" autoFilter="0" pivotTables="0"/>
  <autoFilter ref="A1:H28"/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3" r:id="rId4" name="Button 1">
              <controlPr defaultSize="0" print="0" autoFill="0" autoPict="0" macro="[0]!Macro1">
                <anchor moveWithCells="1" sizeWithCells="1">
                  <from>
                    <xdr:col>2</xdr:col>
                    <xdr:colOff>9525</xdr:colOff>
                    <xdr:row>0</xdr:row>
                    <xdr:rowOff>0</xdr:rowOff>
                  </from>
                  <to>
                    <xdr:col>3</xdr:col>
                    <xdr:colOff>9525</xdr:colOff>
                    <xdr:row>1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>
    <tabColor theme="0"/>
  </sheetPr>
  <dimension ref="A1:K30"/>
  <sheetViews>
    <sheetView zoomScale="90" zoomScaleNormal="90" workbookViewId="0">
      <pane ySplit="2" topLeftCell="A9" activePane="bottomLeft" state="frozen"/>
      <selection pane="bottomLeft" activeCell="P5" sqref="P5"/>
    </sheetView>
  </sheetViews>
  <sheetFormatPr defaultRowHeight="15" x14ac:dyDescent="0.25"/>
  <cols>
    <col min="1" max="1" width="5" style="16" bestFit="1" customWidth="1"/>
    <col min="2" max="2" width="25.7109375" style="16" bestFit="1" customWidth="1"/>
    <col min="3" max="3" width="12.28515625" style="16" customWidth="1"/>
    <col min="4" max="4" width="12.140625" style="16" customWidth="1"/>
    <col min="5" max="5" width="14.42578125" style="16" customWidth="1"/>
    <col min="6" max="6" width="14.140625" style="16" customWidth="1"/>
    <col min="7" max="8" width="20.28515625" style="16" customWidth="1"/>
    <col min="9" max="16384" width="9.140625" style="16"/>
  </cols>
  <sheetData>
    <row r="1" spans="1:11" s="12" customFormat="1" ht="21" customHeight="1" x14ac:dyDescent="0.25">
      <c r="A1" s="32" t="s">
        <v>27</v>
      </c>
      <c r="B1" s="32" t="s">
        <v>25</v>
      </c>
      <c r="C1" s="13" t="s">
        <v>28</v>
      </c>
      <c r="D1" s="22" t="s">
        <v>32</v>
      </c>
      <c r="E1" s="35" t="s">
        <v>29</v>
      </c>
      <c r="F1" s="36" t="s">
        <v>30</v>
      </c>
      <c r="G1" s="33" t="s">
        <v>38</v>
      </c>
      <c r="H1" s="34" t="s">
        <v>31</v>
      </c>
      <c r="I1" s="41"/>
      <c r="J1" s="42"/>
    </row>
    <row r="2" spans="1:11" s="15" customFormat="1" ht="14.25" customHeight="1" x14ac:dyDescent="0.25">
      <c r="A2" s="17"/>
      <c r="B2" s="17"/>
      <c r="C2" s="13"/>
      <c r="D2" s="18">
        <f>SUBTOTAL(9,$D$3:$D$282)</f>
        <v>1107</v>
      </c>
      <c r="E2" s="18">
        <f>SUBTOTAL(9,E3:E101)</f>
        <v>452.49999999999994</v>
      </c>
      <c r="F2" s="19">
        <f ca="1">SUBTOTAL(9,F3:F101)</f>
        <v>188.96027565193833</v>
      </c>
      <c r="G2" s="18"/>
      <c r="H2" s="14"/>
    </row>
    <row r="3" spans="1:11" x14ac:dyDescent="0.25">
      <c r="A3" s="26">
        <v>1</v>
      </c>
      <c r="B3" s="30" t="s">
        <v>23</v>
      </c>
      <c r="C3" s="24">
        <v>1</v>
      </c>
      <c r="D3" s="75">
        <f>C3*Table1[DON VI NHAP]+G3</f>
        <v>120</v>
      </c>
      <c r="E3" s="25">
        <f>(D3-H3)/Table1[[#This Row],[XIEN]]*Table1[Giá]</f>
        <v>63</v>
      </c>
      <c r="F3" s="20">
        <f ca="1">IFERROR(E3-Table1[GIA NHAP]/Table1[DON VI NHAP]*(D3-H3)-((D3-H3)*'Tiền Hàng'!E3),0)</f>
        <v>33.439982070820257</v>
      </c>
      <c r="G3" s="20">
        <v>40</v>
      </c>
      <c r="H3" s="21">
        <v>57</v>
      </c>
      <c r="K3" s="43"/>
    </row>
    <row r="4" spans="1:11" x14ac:dyDescent="0.25">
      <c r="A4" s="26">
        <v>2</v>
      </c>
      <c r="B4" s="30" t="s">
        <v>22</v>
      </c>
      <c r="C4" s="24"/>
      <c r="D4" s="75">
        <f>C4*Table1[DON VI NHAP]+G4</f>
        <v>128</v>
      </c>
      <c r="E4" s="25">
        <f>(D4-H4)/Table1[[#This Row],[XIEN]]*Table1[Giá]</f>
        <v>0</v>
      </c>
      <c r="F4" s="20">
        <f ca="1">IFERROR(E4-Table1[GIA NHAP]/Table1[DON VI NHAP]*(D4-H4)-((D4-H4)*'Tiền Hàng'!E4),0)</f>
        <v>0</v>
      </c>
      <c r="G4" s="20">
        <v>128</v>
      </c>
      <c r="H4" s="21">
        <v>128</v>
      </c>
      <c r="I4" s="29"/>
      <c r="K4" s="43"/>
    </row>
    <row r="5" spans="1:11" x14ac:dyDescent="0.25">
      <c r="A5" s="26">
        <v>3</v>
      </c>
      <c r="B5" s="30" t="s">
        <v>21</v>
      </c>
      <c r="C5" s="24">
        <v>1</v>
      </c>
      <c r="D5" s="75">
        <f>C5*Table1[DON VI NHAP]+G5</f>
        <v>88</v>
      </c>
      <c r="E5" s="25">
        <f>(D5-H5)/Table1[[#This Row],[XIEN]]*Table1[Giá]</f>
        <v>10</v>
      </c>
      <c r="F5" s="20">
        <f ca="1">IFERROR(E5-Table1[GIA NHAP]/Table1[DON VI NHAP]*(D5-H5)-((D5-H5)*'Tiền Hàng'!E5),0)</f>
        <v>5.0146795159121469</v>
      </c>
      <c r="G5" s="20">
        <v>8</v>
      </c>
      <c r="H5" s="21">
        <v>78</v>
      </c>
      <c r="K5" s="43"/>
    </row>
    <row r="6" spans="1:11" x14ac:dyDescent="0.25">
      <c r="A6" s="26">
        <v>4</v>
      </c>
      <c r="B6" s="30" t="s">
        <v>20</v>
      </c>
      <c r="C6" s="24">
        <v>1</v>
      </c>
      <c r="D6" s="75">
        <f>C6*Table1[DON VI NHAP]+G6</f>
        <v>120</v>
      </c>
      <c r="E6" s="25">
        <f>(D6-H6)/Table1[[#This Row],[XIEN]]*Table1[Giá]</f>
        <v>0</v>
      </c>
      <c r="F6" s="20">
        <f ca="1">IFERROR(E6-Table1[GIA NHAP]/Table1[DON VI NHAP]*(D6-H6)-((D6-H6)*'Tiền Hàng'!E6),0)</f>
        <v>0</v>
      </c>
      <c r="G6" s="20">
        <v>40</v>
      </c>
      <c r="H6" s="21">
        <v>120</v>
      </c>
      <c r="K6" s="43"/>
    </row>
    <row r="7" spans="1:11" x14ac:dyDescent="0.25">
      <c r="A7" s="26">
        <v>5</v>
      </c>
      <c r="B7" s="30" t="s">
        <v>19</v>
      </c>
      <c r="C7" s="24"/>
      <c r="D7" s="75">
        <f>C7*Table1[DON VI NHAP]+G7</f>
        <v>15</v>
      </c>
      <c r="E7" s="25">
        <f>(D7-H7)/Table1[[#This Row],[XIEN]]*Table1[Giá]</f>
        <v>32</v>
      </c>
      <c r="F7" s="20">
        <f ca="1">IFERROR(E7-Table1[GIA NHAP]/Table1[DON VI NHAP]*(D7-H7)-((D7-H7)*'Tiền Hàng'!E7),0)</f>
        <v>16.516181084715374</v>
      </c>
      <c r="G7" s="20">
        <v>15</v>
      </c>
      <c r="H7" s="21">
        <v>11</v>
      </c>
      <c r="K7" s="43"/>
    </row>
    <row r="8" spans="1:11" x14ac:dyDescent="0.25">
      <c r="A8" s="26">
        <v>6</v>
      </c>
      <c r="B8" s="30" t="s">
        <v>18</v>
      </c>
      <c r="C8" s="24"/>
      <c r="D8" s="75">
        <f>C8*Table1[DON VI NHAP]+G8</f>
        <v>36</v>
      </c>
      <c r="E8" s="25">
        <f>(D8-H8)/Table1[[#This Row],[XIEN]]*Table1[Giá]</f>
        <v>14</v>
      </c>
      <c r="F8" s="20">
        <f ca="1">IFERROR(E8-Table1[GIA NHAP]/Table1[DON VI NHAP]*(D8-H8)-((D8-H8)*'Tiền Hàng'!E8),0)</f>
        <v>4.249299641416405</v>
      </c>
      <c r="G8" s="20">
        <v>36</v>
      </c>
      <c r="H8" s="21">
        <v>29</v>
      </c>
      <c r="K8" s="43"/>
    </row>
    <row r="9" spans="1:11" x14ac:dyDescent="0.25">
      <c r="A9" s="26">
        <v>7</v>
      </c>
      <c r="B9" s="30" t="s">
        <v>17</v>
      </c>
      <c r="C9" s="24"/>
      <c r="D9" s="75">
        <f>C9*Table1[DON VI NHAP]+G9</f>
        <v>39</v>
      </c>
      <c r="E9" s="25">
        <f>(D9-H9)/Table1[[#This Row],[XIEN]]*Table1[Giá]</f>
        <v>8</v>
      </c>
      <c r="F9" s="20">
        <f ca="1">IFERROR(E9-Table1[GIA NHAP]/Table1[DON VI NHAP]*(D9-H9)-((D9-H9)*'Tiền Hàng'!E9),0)</f>
        <v>3.9782288531728245</v>
      </c>
      <c r="G9" s="20">
        <v>39</v>
      </c>
      <c r="H9" s="21">
        <v>36</v>
      </c>
      <c r="K9" s="43"/>
    </row>
    <row r="10" spans="1:11" x14ac:dyDescent="0.25">
      <c r="A10" s="26">
        <v>8</v>
      </c>
      <c r="B10" s="30" t="s">
        <v>16</v>
      </c>
      <c r="C10" s="24"/>
      <c r="D10" s="75">
        <f>C10*Table1[DON VI NHAP]+G10</f>
        <v>25</v>
      </c>
      <c r="E10" s="25">
        <f>(D10-H10)/Table1[[#This Row],[XIEN]]*Table1[Giá]</f>
        <v>0</v>
      </c>
      <c r="F10" s="20">
        <f ca="1">IFERROR(E10-Table1[GIA NHAP]/Table1[DON VI NHAP]*(D10-H10)-((D10-H10)*'Tiền Hàng'!E10),0)</f>
        <v>0</v>
      </c>
      <c r="G10" s="20">
        <v>25</v>
      </c>
      <c r="H10" s="21">
        <v>25</v>
      </c>
      <c r="K10" s="43"/>
    </row>
    <row r="11" spans="1:11" x14ac:dyDescent="0.25">
      <c r="A11" s="26">
        <v>9</v>
      </c>
      <c r="B11" s="30" t="s">
        <v>15</v>
      </c>
      <c r="C11" s="24"/>
      <c r="D11" s="75">
        <f>C11*Table1[DON VI NHAP]+G11</f>
        <v>57</v>
      </c>
      <c r="E11" s="25">
        <f>(D11-H11)/Table1[[#This Row],[XIEN]]*Table1[Giá]</f>
        <v>26.666666666666668</v>
      </c>
      <c r="F11" s="20">
        <f ca="1">IFERROR(E11-Table1[GIA NHAP]/Table1[DON VI NHAP]*(D11-H11)-((D11-H11)*'Tiền Hàng'!E11),0)</f>
        <v>14.936500821754073</v>
      </c>
      <c r="G11" s="20">
        <v>57</v>
      </c>
      <c r="H11" s="21">
        <v>47</v>
      </c>
    </row>
    <row r="12" spans="1:11" x14ac:dyDescent="0.25">
      <c r="A12" s="26">
        <v>10</v>
      </c>
      <c r="B12" s="30" t="s">
        <v>14</v>
      </c>
      <c r="C12" s="24"/>
      <c r="D12" s="75">
        <f>C12*Table1[DON VI NHAP]+G12</f>
        <v>36</v>
      </c>
      <c r="E12" s="25">
        <f>(D12-H12)/Table1[[#This Row],[XIEN]]*Table1[Giá]</f>
        <v>32</v>
      </c>
      <c r="F12" s="20">
        <f ca="1">IFERROR(E12-Table1[GIA NHAP]/Table1[DON VI NHAP]*(D12-H12)-((D12-H12)*'Tiền Hàng'!E12),0)</f>
        <v>13.902029839277708</v>
      </c>
      <c r="G12" s="20">
        <v>36</v>
      </c>
      <c r="H12" s="21">
        <v>24</v>
      </c>
    </row>
    <row r="13" spans="1:11" x14ac:dyDescent="0.25">
      <c r="A13" s="26">
        <v>11</v>
      </c>
      <c r="B13" s="30" t="s">
        <v>4</v>
      </c>
      <c r="C13" s="24">
        <v>1</v>
      </c>
      <c r="D13" s="75">
        <f>C13*Table1[DON VI NHAP]+G13</f>
        <v>31</v>
      </c>
      <c r="E13" s="25">
        <f>(D13-H13)/Table1[[#This Row],[XIEN]]*Table1[Giá]</f>
        <v>42.666666666666664</v>
      </c>
      <c r="F13" s="20">
        <f ca="1">IFERROR(E13-Table1[GIA NHAP]/Table1[DON VI NHAP]*(D13-H13)-((D13-H13)*'Tiền Hàng'!E13),0)</f>
        <v>14.514268638876436</v>
      </c>
      <c r="G13" s="20">
        <v>3</v>
      </c>
      <c r="H13" s="21">
        <v>15</v>
      </c>
    </row>
    <row r="14" spans="1:11" x14ac:dyDescent="0.25">
      <c r="A14" s="26">
        <v>12</v>
      </c>
      <c r="B14" s="30" t="s">
        <v>69</v>
      </c>
      <c r="C14" s="24">
        <v>1</v>
      </c>
      <c r="D14" s="75">
        <f>C14*Table1[DON VI NHAP]+G14</f>
        <v>32</v>
      </c>
      <c r="E14" s="25">
        <f>(D14-H14)/Table1[[#This Row],[XIEN]]*Table1[Giá]</f>
        <v>61.333333333333336</v>
      </c>
      <c r="F14" s="20">
        <f ca="1">IFERROR(E14-Table1[GIA NHAP]/Table1[DON VI NHAP]*(D14-H14)-((D14-H14)*'Tiền Hàng'!E14),0)</f>
        <v>20.864261168384882</v>
      </c>
      <c r="G14" s="20">
        <v>0</v>
      </c>
      <c r="H14" s="21">
        <v>9</v>
      </c>
    </row>
    <row r="15" spans="1:11" x14ac:dyDescent="0.25">
      <c r="A15" s="26">
        <v>13</v>
      </c>
      <c r="B15" s="30" t="s">
        <v>12</v>
      </c>
      <c r="C15" s="24"/>
      <c r="D15" s="75">
        <f>C15*Table1[DON VI NHAP]+G15</f>
        <v>39</v>
      </c>
      <c r="E15" s="25">
        <f>(D15-H15)/Table1[[#This Row],[XIEN]]*Table1[Giá]</f>
        <v>30</v>
      </c>
      <c r="F15" s="20">
        <f ca="1">IFERROR(E15-Table1[GIA NHAP]/Table1[DON VI NHAP]*(D15-H15)-((D15-H15)*'Tiền Hàng'!E15),0)</f>
        <v>14.164276109367997</v>
      </c>
      <c r="G15" s="20">
        <v>39</v>
      </c>
      <c r="H15" s="21">
        <v>30</v>
      </c>
    </row>
    <row r="16" spans="1:11" x14ac:dyDescent="0.25">
      <c r="A16" s="26">
        <v>14</v>
      </c>
      <c r="B16" s="30" t="s">
        <v>11</v>
      </c>
      <c r="C16" s="24"/>
      <c r="D16" s="75">
        <f>C16*Table1[DON VI NHAP]+G16</f>
        <v>24</v>
      </c>
      <c r="E16" s="25">
        <f>(D16-H16)/Table1[[#This Row],[XIEN]]*Table1[Giá]</f>
        <v>10</v>
      </c>
      <c r="F16" s="20">
        <f ca="1">IFERROR(E16-Table1[GIA NHAP]/Table1[DON VI NHAP]*(D16-H16)-((D16-H16)*'Tiền Hàng'!E16),0)</f>
        <v>5.8944419542805919</v>
      </c>
      <c r="G16" s="20">
        <v>24</v>
      </c>
      <c r="H16" s="21">
        <v>21</v>
      </c>
    </row>
    <row r="17" spans="1:8" x14ac:dyDescent="0.25">
      <c r="A17" s="26">
        <v>15</v>
      </c>
      <c r="B17" s="30" t="s">
        <v>10</v>
      </c>
      <c r="C17" s="24"/>
      <c r="D17" s="75">
        <f>C17*Table1[DON VI NHAP]+G17</f>
        <v>21</v>
      </c>
      <c r="E17" s="25">
        <f>(D17-H17)/Table1[[#This Row],[XIEN]]*Table1[Giá]</f>
        <v>13.333333333333332</v>
      </c>
      <c r="F17" s="20">
        <f ca="1">IFERROR(E17-Table1[GIA NHAP]/Table1[DON VI NHAP]*(D17-H17)-((D17-H17)*'Tiền Hàng'!E17),0)</f>
        <v>3.9492006574032561</v>
      </c>
      <c r="G17" s="20">
        <v>21</v>
      </c>
      <c r="H17" s="21">
        <v>17</v>
      </c>
    </row>
    <row r="18" spans="1:8" x14ac:dyDescent="0.25">
      <c r="A18" s="26">
        <v>16</v>
      </c>
      <c r="B18" s="30" t="s">
        <v>9</v>
      </c>
      <c r="C18" s="24"/>
      <c r="D18" s="75">
        <f>C18*Table1[DON VI NHAP]+G18</f>
        <v>6</v>
      </c>
      <c r="E18" s="25">
        <f>(D18-H18)/Table1[[#This Row],[XIEN]]*Table1[Giá]</f>
        <v>0</v>
      </c>
      <c r="F18" s="20">
        <f ca="1">IFERROR(E18-Table1[GIA NHAP]/Table1[DON VI NHAP]*(D18-H18)-((D18-H18)*'Tiền Hàng'!E18),0)</f>
        <v>0</v>
      </c>
      <c r="G18" s="20">
        <v>6</v>
      </c>
      <c r="H18" s="21">
        <v>6</v>
      </c>
    </row>
    <row r="19" spans="1:8" x14ac:dyDescent="0.25">
      <c r="A19" s="26">
        <v>17</v>
      </c>
      <c r="B19" s="30" t="s">
        <v>8</v>
      </c>
      <c r="C19" s="24"/>
      <c r="D19" s="75">
        <f>C19*Table1[DON VI NHAP]+G19</f>
        <v>4</v>
      </c>
      <c r="E19" s="25">
        <f>(D19-H19)/Table1[[#This Row],[XIEN]]*Table1[Giá]</f>
        <v>0</v>
      </c>
      <c r="F19" s="20">
        <f ca="1">IFERROR(E19-Table1[GIA NHAP]/Table1[DON VI NHAP]*(D19-H19)-((D19-H19)*'Tiền Hàng'!E19),0)</f>
        <v>0</v>
      </c>
      <c r="G19" s="20">
        <v>4</v>
      </c>
      <c r="H19" s="21">
        <v>4</v>
      </c>
    </row>
    <row r="20" spans="1:8" x14ac:dyDescent="0.25">
      <c r="A20" s="26">
        <v>18</v>
      </c>
      <c r="B20" s="30" t="s">
        <v>7</v>
      </c>
      <c r="C20" s="24">
        <v>1</v>
      </c>
      <c r="D20" s="75">
        <f>C20*Table1[DON VI NHAP]+G20</f>
        <v>59</v>
      </c>
      <c r="E20" s="25">
        <f>(D20-H20)/Table1[[#This Row],[XIEN]]*Table1[Giá]</f>
        <v>0</v>
      </c>
      <c r="F20" s="20">
        <f ca="1">IFERROR(E20-Table1[GIA NHAP]/Table1[DON VI NHAP]*(D20-H20)-((D20-H20)*'Tiền Hàng'!E20),0)</f>
        <v>0</v>
      </c>
      <c r="G20" s="20">
        <v>16</v>
      </c>
      <c r="H20" s="21">
        <v>59</v>
      </c>
    </row>
    <row r="21" spans="1:8" x14ac:dyDescent="0.25">
      <c r="A21" s="26">
        <v>19</v>
      </c>
      <c r="B21" s="30" t="s">
        <v>6</v>
      </c>
      <c r="C21" s="24"/>
      <c r="D21" s="75">
        <f>C21*Table1[DON VI NHAP]+G21</f>
        <v>24</v>
      </c>
      <c r="E21" s="25">
        <f>(D21-H21)/Table1[[#This Row],[XIEN]]*Table1[Giá]</f>
        <v>0</v>
      </c>
      <c r="F21" s="20">
        <f ca="1">IFERROR(E21-Table1[GIA NHAP]/Table1[DON VI NHAP]*(D21-H21)-((D21-H21)*'Tiền Hàng'!E21),0)</f>
        <v>0</v>
      </c>
      <c r="G21" s="20">
        <v>24</v>
      </c>
      <c r="H21" s="21">
        <v>24</v>
      </c>
    </row>
    <row r="22" spans="1:8" x14ac:dyDescent="0.25">
      <c r="A22" s="26">
        <v>20</v>
      </c>
      <c r="B22" s="30" t="s">
        <v>5</v>
      </c>
      <c r="C22" s="24"/>
      <c r="D22" s="75">
        <f>C22*Table1[DON VI NHAP]+G22</f>
        <v>77</v>
      </c>
      <c r="E22" s="25">
        <f>(D22-H22)/Table1[[#This Row],[XIEN]]*Table1[Giá]</f>
        <v>12.5</v>
      </c>
      <c r="F22" s="20">
        <f ca="1">IFERROR(E22-Table1[GIA NHAP]/Table1[DON VI NHAP]*(D22-H22)-((D22-H22)*'Tiền Hàng'!E22),0)</f>
        <v>4.9591790996990461</v>
      </c>
      <c r="G22" s="20">
        <v>77</v>
      </c>
      <c r="H22" s="21">
        <v>72</v>
      </c>
    </row>
    <row r="23" spans="1:8" x14ac:dyDescent="0.25">
      <c r="A23" s="26">
        <v>21</v>
      </c>
      <c r="B23" s="30" t="s">
        <v>3</v>
      </c>
      <c r="C23" s="24"/>
      <c r="D23" s="75">
        <f>C23*Table1[DON VI NHAP]+G23</f>
        <v>15</v>
      </c>
      <c r="E23" s="25">
        <f>(D23-H23)/Table1[[#This Row],[XIEN]]*Table1[Giá]</f>
        <v>30</v>
      </c>
      <c r="F23" s="20">
        <f ca="1">IFERROR(E23-Table1[GIA NHAP]/Table1[DON VI NHAP]*(D23-H23)-((D23-H23)*'Tiền Hàng'!E23),0)</f>
        <v>9.9778203681664301</v>
      </c>
      <c r="G23" s="20">
        <v>15</v>
      </c>
      <c r="H23" s="21">
        <v>6</v>
      </c>
    </row>
    <row r="24" spans="1:8" x14ac:dyDescent="0.25">
      <c r="A24" s="26">
        <v>22</v>
      </c>
      <c r="B24" s="30" t="s">
        <v>2</v>
      </c>
      <c r="C24" s="24"/>
      <c r="D24" s="75">
        <f>C24*Table1[DON VI NHAP]+G24</f>
        <v>6</v>
      </c>
      <c r="E24" s="25">
        <f>(D24-H24)/Table1[[#This Row],[XIEN]]*Table1[Giá]</f>
        <v>10</v>
      </c>
      <c r="F24" s="20">
        <f ca="1">IFERROR(E24-Table1[GIA NHAP]/Table1[DON VI NHAP]*(D24-H24)-((D24-H24)*'Tiền Hàng'!E24),0)</f>
        <v>4.1349170775437027</v>
      </c>
      <c r="G24" s="20">
        <v>6</v>
      </c>
      <c r="H24" s="21">
        <v>5</v>
      </c>
    </row>
    <row r="25" spans="1:8" x14ac:dyDescent="0.25">
      <c r="A25" s="26">
        <v>23</v>
      </c>
      <c r="B25" s="30" t="s">
        <v>70</v>
      </c>
      <c r="C25" s="24">
        <v>1</v>
      </c>
      <c r="D25" s="75">
        <f>C25*Table1[DON VI NHAP]+G25</f>
        <v>28</v>
      </c>
      <c r="E25" s="25">
        <f>(D25-H25)/Table1[[#This Row],[XIEN]]*Table1[Giá]</f>
        <v>40</v>
      </c>
      <c r="F25" s="20">
        <f ca="1">IFERROR(E25-Table1[GIA NHAP]/Table1[DON VI NHAP]*(D25-H25)-((D25-H25)*'Tiền Hàng'!E25),0)</f>
        <v>12.853044758916566</v>
      </c>
      <c r="G25" s="20">
        <v>0</v>
      </c>
      <c r="H25" s="21">
        <v>16</v>
      </c>
    </row>
    <row r="26" spans="1:8" x14ac:dyDescent="0.25">
      <c r="A26" s="26">
        <v>24</v>
      </c>
      <c r="B26" s="30" t="s">
        <v>0</v>
      </c>
      <c r="C26" s="24"/>
      <c r="D26" s="75">
        <f>C26*Table1[DON VI NHAP]+G26</f>
        <v>18</v>
      </c>
      <c r="E26" s="25">
        <f>(D26-H26)/Table1[[#This Row],[XIEN]]*Table1[Giá]</f>
        <v>5</v>
      </c>
      <c r="F26" s="20">
        <f ca="1">IFERROR(E26-Table1[GIA NHAP]/Table1[DON VI NHAP]*(D26-H26)-((D26-H26)*'Tiền Hàng'!E26),0)</f>
        <v>2.0674585387718514</v>
      </c>
      <c r="G26" s="20">
        <v>18</v>
      </c>
      <c r="H26" s="21">
        <v>17</v>
      </c>
    </row>
    <row r="27" spans="1:8" x14ac:dyDescent="0.25">
      <c r="A27" s="26">
        <v>25</v>
      </c>
      <c r="B27" s="31" t="s">
        <v>40</v>
      </c>
      <c r="C27" s="24"/>
      <c r="D27" s="75">
        <f>C27*Table1[DON VI NHAP]+G27</f>
        <v>0</v>
      </c>
      <c r="E27" s="25">
        <f>(D27-H27)/Table1[[#This Row],[XIEN]]*Table1[Giá]</f>
        <v>0</v>
      </c>
      <c r="F27" s="20">
        <f ca="1">IFERROR(E27-Table1[GIA NHAP]/Table1[DON VI NHAP]*(D27-H27)-((D27-H27)*'Tiền Hàng'!E27),0)</f>
        <v>0</v>
      </c>
      <c r="G27" s="20">
        <v>0</v>
      </c>
      <c r="H27" s="21"/>
    </row>
    <row r="28" spans="1:8" x14ac:dyDescent="0.25">
      <c r="A28" s="26">
        <v>26</v>
      </c>
      <c r="B28" s="31" t="s">
        <v>41</v>
      </c>
      <c r="C28" s="24"/>
      <c r="D28" s="75">
        <f>C28*Table1[DON VI NHAP]+G28</f>
        <v>21</v>
      </c>
      <c r="E28" s="25">
        <f>(D28-H28)/Table1[[#This Row],[XIEN]]*Table1[Giá]</f>
        <v>0</v>
      </c>
      <c r="F28" s="20">
        <f ca="1">IFERROR(E28-Table1[GIA NHAP]/Table1[DON VI NHAP]*(D28-H28)-((D28-H28)*'Tiền Hàng'!E28),0)</f>
        <v>0</v>
      </c>
      <c r="G28" s="20">
        <v>21</v>
      </c>
      <c r="H28" s="21">
        <v>21</v>
      </c>
    </row>
    <row r="29" spans="1:8" x14ac:dyDescent="0.25">
      <c r="A29" s="26">
        <v>27</v>
      </c>
      <c r="B29" s="31" t="s">
        <v>42</v>
      </c>
      <c r="C29" s="24"/>
      <c r="D29" s="75">
        <f>C29*Table1[DON VI NHAP]+G29</f>
        <v>14</v>
      </c>
      <c r="E29" s="25">
        <f>(D29-H29)/Table1[[#This Row],[XIEN]]*Table1[Giá]</f>
        <v>12</v>
      </c>
      <c r="F29" s="20">
        <f ca="1">IFERROR(E29-Table1[GIA NHAP]/Table1[DON VI NHAP]*(D29-H29)-((D29-H29)*'Tiền Hàng'!E29),0)</f>
        <v>3.5445054534588376</v>
      </c>
      <c r="G29" s="20">
        <v>14</v>
      </c>
      <c r="H29" s="21">
        <v>13</v>
      </c>
    </row>
    <row r="30" spans="1:8" x14ac:dyDescent="0.25">
      <c r="A30" s="26">
        <v>28</v>
      </c>
      <c r="B30" s="31" t="s">
        <v>43</v>
      </c>
      <c r="C30" s="24"/>
      <c r="D30" s="75">
        <f>C30*Table1[DON VI NHAP]+G30</f>
        <v>24</v>
      </c>
      <c r="E30" s="25">
        <f>(D30-H30)/Table1[[#This Row],[XIEN]]*Table1[Giá]</f>
        <v>0</v>
      </c>
      <c r="F30" s="20">
        <f ca="1">IFERROR(E30-Table1[GIA NHAP]/Table1[DON VI NHAP]*(D30-H30)-((D30-H30)*'Tiền Hàng'!E30),0)</f>
        <v>0</v>
      </c>
      <c r="G30" s="20">
        <v>24</v>
      </c>
      <c r="H30" s="21">
        <v>24</v>
      </c>
    </row>
  </sheetData>
  <sheetProtection formatCells="0" formatColumns="0" formatRows="0" insertColumns="0" insertRows="0" insertHyperlinks="0" deleteColumns="0" deleteRows="0" sort="0" autoFilter="0" pivotTables="0"/>
  <autoFilter ref="A1:H30"/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4" name="Button 1">
              <controlPr defaultSize="0" print="0" autoFill="0" autoPict="0" macro="[0]!Macro1">
                <anchor moveWithCells="1" sizeWithCells="1">
                  <from>
                    <xdr:col>2</xdr:col>
                    <xdr:colOff>9525</xdr:colOff>
                    <xdr:row>0</xdr:row>
                    <xdr:rowOff>0</xdr:rowOff>
                  </from>
                  <to>
                    <xdr:col>3</xdr:col>
                    <xdr:colOff>9525</xdr:colOff>
                    <xdr:row>1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8">
    <tabColor theme="0"/>
  </sheetPr>
  <dimension ref="A1:K30"/>
  <sheetViews>
    <sheetView zoomScale="90" zoomScaleNormal="90" workbookViewId="0">
      <pane ySplit="2" topLeftCell="A3" activePane="bottomLeft" state="frozen"/>
      <selection pane="bottomLeft" activeCell="H23" sqref="H23"/>
    </sheetView>
  </sheetViews>
  <sheetFormatPr defaultRowHeight="15" x14ac:dyDescent="0.25"/>
  <cols>
    <col min="1" max="1" width="5" style="16" bestFit="1" customWidth="1"/>
    <col min="2" max="2" width="25.7109375" style="16" bestFit="1" customWidth="1"/>
    <col min="3" max="3" width="12.28515625" style="16" customWidth="1"/>
    <col min="4" max="4" width="12.140625" style="16" customWidth="1"/>
    <col min="5" max="5" width="14.42578125" style="16" customWidth="1"/>
    <col min="6" max="6" width="14.140625" style="16" customWidth="1"/>
    <col min="7" max="8" width="20.28515625" style="16" customWidth="1"/>
    <col min="9" max="16384" width="9.140625" style="16"/>
  </cols>
  <sheetData>
    <row r="1" spans="1:11" s="12" customFormat="1" ht="21" customHeight="1" x14ac:dyDescent="0.25">
      <c r="A1" s="32" t="s">
        <v>27</v>
      </c>
      <c r="B1" s="32" t="s">
        <v>25</v>
      </c>
      <c r="C1" s="13" t="s">
        <v>28</v>
      </c>
      <c r="D1" s="22" t="s">
        <v>32</v>
      </c>
      <c r="E1" s="35" t="s">
        <v>29</v>
      </c>
      <c r="F1" s="36" t="s">
        <v>30</v>
      </c>
      <c r="G1" s="33" t="s">
        <v>38</v>
      </c>
      <c r="H1" s="34" t="s">
        <v>31</v>
      </c>
      <c r="I1" s="41"/>
      <c r="J1" s="42"/>
    </row>
    <row r="2" spans="1:11" s="15" customFormat="1" ht="14.25" customHeight="1" x14ac:dyDescent="0.25">
      <c r="A2" s="17"/>
      <c r="B2" s="17"/>
      <c r="C2" s="13"/>
      <c r="D2" s="18">
        <f>SUBTOTAL(9,$D$3:$D$282)</f>
        <v>996</v>
      </c>
      <c r="E2" s="18">
        <f>SUBTOTAL(9,E3:E101)</f>
        <v>805.5</v>
      </c>
      <c r="F2" s="19">
        <f ca="1">SUBTOTAL(9,F3:F101)</f>
        <v>322.40832563924118</v>
      </c>
      <c r="G2" s="18"/>
      <c r="H2" s="14"/>
    </row>
    <row r="3" spans="1:11" x14ac:dyDescent="0.25">
      <c r="A3" s="26">
        <v>1</v>
      </c>
      <c r="B3" s="30" t="s">
        <v>23</v>
      </c>
      <c r="C3" s="24"/>
      <c r="D3" s="75">
        <f>C3*Table1[DON VI NHAP]+G3</f>
        <v>57</v>
      </c>
      <c r="E3" s="25">
        <f>(D3-H3)/Table1[[#This Row],[XIEN]]*Table1[Giá]</f>
        <v>1</v>
      </c>
      <c r="F3" s="20">
        <f ca="1">IFERROR(E3-Table1[GIA NHAP]/Table1[DON VI NHAP]*(D3-H3)-((D3-H3)*'Tiền Hàng'!E3),0)</f>
        <v>0.53079336620349615</v>
      </c>
      <c r="G3" s="20">
        <v>57</v>
      </c>
      <c r="H3" s="21">
        <v>56</v>
      </c>
      <c r="K3" s="43"/>
    </row>
    <row r="4" spans="1:11" x14ac:dyDescent="0.25">
      <c r="A4" s="26">
        <v>2</v>
      </c>
      <c r="B4" s="30" t="s">
        <v>22</v>
      </c>
      <c r="C4" s="24"/>
      <c r="D4" s="75">
        <f>C4*Table1[DON VI NHAP]+G4</f>
        <v>112</v>
      </c>
      <c r="E4" s="25">
        <f>(D4-H4)/Table1[[#This Row],[XIEN]]*Table1[Giá]</f>
        <v>16</v>
      </c>
      <c r="F4" s="20">
        <f ca="1">IFERROR(E4-Table1[GIA NHAP]/Table1[DON VI NHAP]*(D4-H4)-((D4-H4)*'Tiền Hàng'!E4),0)</f>
        <v>8.4926938592559384</v>
      </c>
      <c r="G4" s="20">
        <v>112</v>
      </c>
      <c r="H4" s="21">
        <v>96</v>
      </c>
      <c r="I4" s="29"/>
      <c r="K4" s="43"/>
    </row>
    <row r="5" spans="1:11" x14ac:dyDescent="0.25">
      <c r="A5" s="26">
        <v>3</v>
      </c>
      <c r="B5" s="30" t="s">
        <v>21</v>
      </c>
      <c r="C5" s="24"/>
      <c r="D5" s="75">
        <f>C5*Table1[DON VI NHAP]+G5</f>
        <v>78</v>
      </c>
      <c r="E5" s="25">
        <f>(D5-H5)/Table1[[#This Row],[XIEN]]*Table1[Giá]</f>
        <v>28</v>
      </c>
      <c r="F5" s="20">
        <f ca="1">IFERROR(E5-Table1[GIA NHAP]/Table1[DON VI NHAP]*(D5-H5)-((D5-H5)*'Tiền Hàng'!E5),0)</f>
        <v>14.041102644554012</v>
      </c>
      <c r="G5" s="20">
        <v>78</v>
      </c>
      <c r="H5" s="21">
        <v>50</v>
      </c>
      <c r="K5" s="43"/>
    </row>
    <row r="6" spans="1:11" x14ac:dyDescent="0.25">
      <c r="A6" s="26">
        <v>4</v>
      </c>
      <c r="B6" s="30" t="s">
        <v>20</v>
      </c>
      <c r="C6" s="24"/>
      <c r="D6" s="75">
        <f>C6*Table1[DON VI NHAP]+G6</f>
        <v>120</v>
      </c>
      <c r="E6" s="25">
        <f>(D6-H6)/Table1[[#This Row],[XIEN]]*Table1[Giá]</f>
        <v>8</v>
      </c>
      <c r="F6" s="20">
        <f ca="1">IFERROR(E6-Table1[GIA NHAP]/Table1[DON VI NHAP]*(D6-H6)-((D6-H6)*'Tiền Hàng'!E6),0)</f>
        <v>4.0117436127297168</v>
      </c>
      <c r="G6" s="20">
        <v>120</v>
      </c>
      <c r="H6" s="21">
        <v>112</v>
      </c>
      <c r="K6" s="43"/>
    </row>
    <row r="7" spans="1:11" x14ac:dyDescent="0.25">
      <c r="A7" s="26">
        <v>5</v>
      </c>
      <c r="B7" s="30" t="s">
        <v>19</v>
      </c>
      <c r="C7" s="24"/>
      <c r="D7" s="75">
        <f>C7*Table1[DON VI NHAP]+G7</f>
        <v>11</v>
      </c>
      <c r="E7" s="25">
        <f>(D7-H7)/Table1[[#This Row],[XIEN]]*Table1[Giá]</f>
        <v>8</v>
      </c>
      <c r="F7" s="20">
        <f ca="1">IFERROR(E7-Table1[GIA NHAP]/Table1[DON VI NHAP]*(D7-H7)-((D7-H7)*'Tiền Hàng'!E7),0)</f>
        <v>4.1290452711788435</v>
      </c>
      <c r="G7" s="20">
        <v>11</v>
      </c>
      <c r="H7" s="21">
        <v>10</v>
      </c>
      <c r="K7" s="43"/>
    </row>
    <row r="8" spans="1:11" x14ac:dyDescent="0.25">
      <c r="A8" s="26">
        <v>6</v>
      </c>
      <c r="B8" s="30" t="s">
        <v>18</v>
      </c>
      <c r="C8" s="24"/>
      <c r="D8" s="75">
        <f>C8*Table1[DON VI NHAP]+G8</f>
        <v>29</v>
      </c>
      <c r="E8" s="25">
        <f>(D8-H8)/Table1[[#This Row],[XIEN]]*Table1[Giá]</f>
        <v>24</v>
      </c>
      <c r="F8" s="20">
        <f ca="1">IFERROR(E8-Table1[GIA NHAP]/Table1[DON VI NHAP]*(D8-H8)-((D8-H8)*'Tiền Hàng'!E8),0)</f>
        <v>7.2845136709995515</v>
      </c>
      <c r="G8" s="20">
        <v>29</v>
      </c>
      <c r="H8" s="21">
        <v>17</v>
      </c>
      <c r="K8" s="43"/>
    </row>
    <row r="9" spans="1:11" x14ac:dyDescent="0.25">
      <c r="A9" s="26">
        <v>7</v>
      </c>
      <c r="B9" s="30" t="s">
        <v>17</v>
      </c>
      <c r="C9" s="24"/>
      <c r="D9" s="75">
        <f>C9*Table1[DON VI NHAP]+G9</f>
        <v>36</v>
      </c>
      <c r="E9" s="25">
        <f>(D9-H9)/Table1[[#This Row],[XIEN]]*Table1[Giá]</f>
        <v>16</v>
      </c>
      <c r="F9" s="20">
        <f ca="1">IFERROR(E9-Table1[GIA NHAP]/Table1[DON VI NHAP]*(D9-H9)-((D9-H9)*'Tiền Hàng'!E9),0)</f>
        <v>7.956457706345649</v>
      </c>
      <c r="G9" s="20">
        <v>36</v>
      </c>
      <c r="H9" s="21">
        <v>30</v>
      </c>
      <c r="K9" s="43"/>
    </row>
    <row r="10" spans="1:11" x14ac:dyDescent="0.25">
      <c r="A10" s="26">
        <v>8</v>
      </c>
      <c r="B10" s="30" t="s">
        <v>16</v>
      </c>
      <c r="C10" s="24"/>
      <c r="D10" s="75">
        <f>C10*Table1[DON VI NHAP]+G10</f>
        <v>25</v>
      </c>
      <c r="E10" s="25">
        <f>(D10-H10)/Table1[[#This Row],[XIEN]]*Table1[Giá]</f>
        <v>8</v>
      </c>
      <c r="F10" s="20">
        <f ca="1">IFERROR(E10-Table1[GIA NHAP]/Table1[DON VI NHAP]*(D10-H10)-((D10-H10)*'Tiền Hàng'!E10),0)</f>
        <v>4.3907182015653561</v>
      </c>
      <c r="G10" s="20">
        <v>25</v>
      </c>
      <c r="H10" s="21">
        <v>24</v>
      </c>
      <c r="K10" s="43"/>
    </row>
    <row r="11" spans="1:11" x14ac:dyDescent="0.25">
      <c r="A11" s="26">
        <v>9</v>
      </c>
      <c r="B11" s="30" t="s">
        <v>15</v>
      </c>
      <c r="C11" s="24"/>
      <c r="D11" s="75">
        <f>C11*Table1[DON VI NHAP]+G11</f>
        <v>47</v>
      </c>
      <c r="E11" s="25">
        <f>(D11-H11)/Table1[[#This Row],[XIEN]]*Table1[Giá]</f>
        <v>37.333333333333336</v>
      </c>
      <c r="F11" s="20">
        <f ca="1">IFERROR(E11-Table1[GIA NHAP]/Table1[DON VI NHAP]*(D11-H11)-((D11-H11)*'Tiền Hàng'!E11),0)</f>
        <v>20.911101150455703</v>
      </c>
      <c r="G11" s="20">
        <v>47</v>
      </c>
      <c r="H11" s="21">
        <v>33</v>
      </c>
    </row>
    <row r="12" spans="1:11" x14ac:dyDescent="0.25">
      <c r="A12" s="26">
        <v>10</v>
      </c>
      <c r="B12" s="30" t="s">
        <v>14</v>
      </c>
      <c r="C12" s="24"/>
      <c r="D12" s="75">
        <f>C12*Table1[DON VI NHAP]+G12</f>
        <v>24</v>
      </c>
      <c r="E12" s="25">
        <f>(D12-H12)/Table1[[#This Row],[XIEN]]*Table1[Giá]</f>
        <v>48</v>
      </c>
      <c r="F12" s="20">
        <f ca="1">IFERROR(E12-Table1[GIA NHAP]/Table1[DON VI NHAP]*(D12-H12)-((D12-H12)*'Tiền Hàng'!E12),0)</f>
        <v>20.85304475891656</v>
      </c>
      <c r="G12" s="20">
        <v>24</v>
      </c>
      <c r="H12" s="21">
        <v>6</v>
      </c>
    </row>
    <row r="13" spans="1:11" x14ac:dyDescent="0.25">
      <c r="A13" s="26">
        <v>11</v>
      </c>
      <c r="B13" s="30" t="s">
        <v>4</v>
      </c>
      <c r="C13" s="24">
        <v>1</v>
      </c>
      <c r="D13" s="75">
        <f>C13*Table1[DON VI NHAP]+G13</f>
        <v>43</v>
      </c>
      <c r="E13" s="25">
        <f>(D13-H13)/Table1[[#This Row],[XIEN]]*Table1[Giá]</f>
        <v>72</v>
      </c>
      <c r="F13" s="20">
        <f ca="1">IFERROR(E13-Table1[GIA NHAP]/Table1[DON VI NHAP]*(D13-H13)-((D13-H13)*'Tiền Hàng'!E13),0)</f>
        <v>24.49282832810399</v>
      </c>
      <c r="G13" s="20">
        <v>15</v>
      </c>
      <c r="H13" s="21">
        <v>16</v>
      </c>
    </row>
    <row r="14" spans="1:11" x14ac:dyDescent="0.25">
      <c r="A14" s="26">
        <v>12</v>
      </c>
      <c r="B14" s="30" t="s">
        <v>69</v>
      </c>
      <c r="C14" s="24">
        <v>1</v>
      </c>
      <c r="D14" s="75">
        <f>C14*Table1[DON VI NHAP]+G14</f>
        <v>41</v>
      </c>
      <c r="E14" s="25">
        <f>(D14-H14)/Table1[[#This Row],[XIEN]]*Table1[Giá]</f>
        <v>40</v>
      </c>
      <c r="F14" s="20">
        <f ca="1">IFERROR(E14-Table1[GIA NHAP]/Table1[DON VI NHAP]*(D14-H14)-((D14-H14)*'Tiền Hàng'!E14),0)</f>
        <v>13.60712684894666</v>
      </c>
      <c r="G14" s="20">
        <v>9</v>
      </c>
      <c r="H14" s="21">
        <v>26</v>
      </c>
    </row>
    <row r="15" spans="1:11" x14ac:dyDescent="0.25">
      <c r="A15" s="26">
        <v>13</v>
      </c>
      <c r="B15" s="30" t="s">
        <v>12</v>
      </c>
      <c r="C15" s="24"/>
      <c r="D15" s="75">
        <f>C15*Table1[DON VI NHAP]+G15</f>
        <v>30</v>
      </c>
      <c r="E15" s="25">
        <f>(D15-H15)/Table1[[#This Row],[XIEN]]*Table1[Giá]</f>
        <v>50</v>
      </c>
      <c r="F15" s="20">
        <f ca="1">IFERROR(E15-Table1[GIA NHAP]/Table1[DON VI NHAP]*(D15-H15)-((D15-H15)*'Tiền Hàng'!E15),0)</f>
        <v>23.60712684894666</v>
      </c>
      <c r="G15" s="20">
        <v>30</v>
      </c>
      <c r="H15" s="21">
        <v>15</v>
      </c>
    </row>
    <row r="16" spans="1:11" x14ac:dyDescent="0.25">
      <c r="A16" s="26">
        <v>14</v>
      </c>
      <c r="B16" s="30" t="s">
        <v>11</v>
      </c>
      <c r="C16" s="24"/>
      <c r="D16" s="75">
        <f>C16*Table1[DON VI NHAP]+G16</f>
        <v>21</v>
      </c>
      <c r="E16" s="25">
        <f>(D16-H16)/Table1[[#This Row],[XIEN]]*Table1[Giá]</f>
        <v>30</v>
      </c>
      <c r="F16" s="20">
        <f ca="1">IFERROR(E16-Table1[GIA NHAP]/Table1[DON VI NHAP]*(D16-H16)-((D16-H16)*'Tiền Hàng'!E16),0)</f>
        <v>17.683325862841777</v>
      </c>
      <c r="G16" s="20">
        <v>21</v>
      </c>
      <c r="H16" s="21">
        <v>12</v>
      </c>
    </row>
    <row r="17" spans="1:8" x14ac:dyDescent="0.25">
      <c r="A17" s="26">
        <v>15</v>
      </c>
      <c r="B17" s="30" t="s">
        <v>10</v>
      </c>
      <c r="C17" s="24"/>
      <c r="D17" s="75">
        <f>C17*Table1[DON VI NHAP]+G17</f>
        <v>17</v>
      </c>
      <c r="E17" s="25">
        <f>(D17-H17)/Table1[[#This Row],[XIEN]]*Table1[Giá]</f>
        <v>0</v>
      </c>
      <c r="F17" s="20">
        <f ca="1">IFERROR(E17-Table1[GIA NHAP]/Table1[DON VI NHAP]*(D17-H17)-((D17-H17)*'Tiền Hàng'!E17),0)</f>
        <v>0</v>
      </c>
      <c r="G17" s="20">
        <v>17</v>
      </c>
      <c r="H17" s="21">
        <v>17</v>
      </c>
    </row>
    <row r="18" spans="1:8" x14ac:dyDescent="0.25">
      <c r="A18" s="26">
        <v>16</v>
      </c>
      <c r="B18" s="30" t="s">
        <v>9</v>
      </c>
      <c r="C18" s="24"/>
      <c r="D18" s="75">
        <f>C18*Table1[DON VI NHAP]+G18</f>
        <v>6</v>
      </c>
      <c r="E18" s="25">
        <f>(D18-H18)/Table1[[#This Row],[XIEN]]*Table1[Giá]</f>
        <v>60</v>
      </c>
      <c r="F18" s="20">
        <f ca="1">IFERROR(E18-Table1[GIA NHAP]/Table1[DON VI NHAP]*(D18-H18)-((D18-H18)*'Tiền Hàng'!E18),0)</f>
        <v>13.079336620349618</v>
      </c>
      <c r="G18" s="20">
        <v>6</v>
      </c>
      <c r="H18" s="21">
        <v>0</v>
      </c>
    </row>
    <row r="19" spans="1:8" x14ac:dyDescent="0.25">
      <c r="A19" s="26">
        <v>17</v>
      </c>
      <c r="B19" s="30" t="s">
        <v>8</v>
      </c>
      <c r="C19" s="24"/>
      <c r="D19" s="75">
        <f>C19*Table1[DON VI NHAP]+G19</f>
        <v>4</v>
      </c>
      <c r="E19" s="25">
        <f>(D19-H19)/Table1[[#This Row],[XIEN]]*Table1[Giá]</f>
        <v>10</v>
      </c>
      <c r="F19" s="20">
        <f ca="1">IFERROR(E19-Table1[GIA NHAP]/Table1[DON VI NHAP]*(D19-H19)-((D19-H19)*'Tiền Hàng'!E19),0)</f>
        <v>4.8387270282384574</v>
      </c>
      <c r="G19" s="20">
        <v>4</v>
      </c>
      <c r="H19" s="21">
        <v>3</v>
      </c>
    </row>
    <row r="20" spans="1:8" x14ac:dyDescent="0.25">
      <c r="A20" s="26">
        <v>18</v>
      </c>
      <c r="B20" s="30" t="s">
        <v>7</v>
      </c>
      <c r="C20" s="24"/>
      <c r="D20" s="75">
        <f>C20*Table1[DON VI NHAP]+G20</f>
        <v>59</v>
      </c>
      <c r="E20" s="25">
        <f>(D20-H20)/Table1[[#This Row],[XIEN]]*Table1[Giá]</f>
        <v>27.5</v>
      </c>
      <c r="F20" s="20">
        <f ca="1">IFERROR(E20-Table1[GIA NHAP]/Table1[DON VI NHAP]*(D20-H20)-((D20-H20)*'Tiền Hàng'!E20),0)</f>
        <v>14.896891580582279</v>
      </c>
      <c r="G20" s="20">
        <v>59</v>
      </c>
      <c r="H20" s="21">
        <v>48</v>
      </c>
    </row>
    <row r="21" spans="1:8" x14ac:dyDescent="0.25">
      <c r="A21" s="26">
        <v>19</v>
      </c>
      <c r="B21" s="30" t="s">
        <v>6</v>
      </c>
      <c r="C21" s="24"/>
      <c r="D21" s="75">
        <f>C21*Table1[DON VI NHAP]+G21</f>
        <v>24</v>
      </c>
      <c r="E21" s="25">
        <f>(D21-H21)/Table1[[#This Row],[XIEN]]*Table1[Giá]</f>
        <v>20</v>
      </c>
      <c r="F21" s="20">
        <f ca="1">IFERROR(E21-Table1[GIA NHAP]/Table1[DON VI NHAP]*(D21-H21)-((D21-H21)*'Tiền Hàng'!E21),0)</f>
        <v>8.8563424473330343</v>
      </c>
      <c r="G21" s="20">
        <v>24</v>
      </c>
      <c r="H21" s="21">
        <v>16</v>
      </c>
    </row>
    <row r="22" spans="1:8" x14ac:dyDescent="0.25">
      <c r="A22" s="26">
        <v>20</v>
      </c>
      <c r="B22" s="30" t="s">
        <v>5</v>
      </c>
      <c r="C22" s="24"/>
      <c r="D22" s="75">
        <f>C22*Table1[DON VI NHAP]+G22</f>
        <v>72</v>
      </c>
      <c r="E22" s="25">
        <f>(D22-H22)/Table1[[#This Row],[XIEN]]*Table1[Giá]</f>
        <v>0</v>
      </c>
      <c r="F22" s="20">
        <f ca="1">IFERROR(E22-Table1[GIA NHAP]/Table1[DON VI NHAP]*(D22-H22)-((D22-H22)*'Tiền Hàng'!E22),0)</f>
        <v>0</v>
      </c>
      <c r="G22" s="20">
        <v>72</v>
      </c>
      <c r="H22" s="21">
        <v>72</v>
      </c>
    </row>
    <row r="23" spans="1:8" x14ac:dyDescent="0.25">
      <c r="A23" s="26">
        <v>21</v>
      </c>
      <c r="B23" s="30" t="s">
        <v>3</v>
      </c>
      <c r="C23" s="24">
        <v>1</v>
      </c>
      <c r="D23" s="75">
        <f>C23*Table1[DON VI NHAP]+G23</f>
        <v>35</v>
      </c>
      <c r="E23" s="25">
        <f>(D23-H23)/Table1[[#This Row],[XIEN]]*Table1[Giá]</f>
        <v>76.666666666666671</v>
      </c>
      <c r="F23" s="20">
        <f ca="1">IFERROR(E23-Table1[GIA NHAP]/Table1[DON VI NHAP]*(D23-H23)-((D23-H23)*'Tiền Hàng'!E23),0)</f>
        <v>25.498874274203111</v>
      </c>
      <c r="G23" s="20">
        <v>6</v>
      </c>
      <c r="H23" s="21">
        <v>12</v>
      </c>
    </row>
    <row r="24" spans="1:8" x14ac:dyDescent="0.25">
      <c r="A24" s="26">
        <v>22</v>
      </c>
      <c r="B24" s="30" t="s">
        <v>2</v>
      </c>
      <c r="C24" s="24">
        <v>1</v>
      </c>
      <c r="D24" s="75">
        <f>C24*Table1[DON VI NHAP]+G24</f>
        <v>14</v>
      </c>
      <c r="E24" s="25">
        <f>(D24-H24)/Table1[[#This Row],[XIEN]]*Table1[Giá]</f>
        <v>70</v>
      </c>
      <c r="F24" s="20">
        <f ca="1">IFERROR(E24-Table1[GIA NHAP]/Table1[DON VI NHAP]*(D24-H24)-((D24-H24)*'Tiền Hàng'!E24),0)</f>
        <v>28.944419542805917</v>
      </c>
      <c r="G24" s="20">
        <v>5</v>
      </c>
      <c r="H24" s="21">
        <v>7</v>
      </c>
    </row>
    <row r="25" spans="1:8" x14ac:dyDescent="0.25">
      <c r="A25" s="26">
        <v>23</v>
      </c>
      <c r="B25" s="30" t="s">
        <v>70</v>
      </c>
      <c r="C25" s="24"/>
      <c r="D25" s="75">
        <f>C25*Table1[DON VI NHAP]+G25</f>
        <v>16</v>
      </c>
      <c r="E25" s="25">
        <f>(D25-H25)/Table1[[#This Row],[XIEN]]*Table1[Giá]</f>
        <v>50</v>
      </c>
      <c r="F25" s="20">
        <f ca="1">IFERROR(E25-Table1[GIA NHAP]/Table1[DON VI NHAP]*(D25-H25)-((D25-H25)*'Tiền Hàng'!E25),0)</f>
        <v>16.066305948645706</v>
      </c>
      <c r="G25" s="20">
        <v>16</v>
      </c>
      <c r="H25" s="21">
        <v>1</v>
      </c>
    </row>
    <row r="26" spans="1:8" x14ac:dyDescent="0.25">
      <c r="A26" s="26">
        <v>24</v>
      </c>
      <c r="B26" s="30" t="s">
        <v>0</v>
      </c>
      <c r="C26" s="24"/>
      <c r="D26" s="75">
        <f>C26*Table1[DON VI NHAP]+G26</f>
        <v>17</v>
      </c>
      <c r="E26" s="25">
        <f>(D26-H26)/Table1[[#This Row],[XIEN]]*Table1[Giá]</f>
        <v>15</v>
      </c>
      <c r="F26" s="20">
        <f ca="1">IFERROR(E26-Table1[GIA NHAP]/Table1[DON VI NHAP]*(D26-H26)-((D26-H26)*'Tiền Hàng'!E26),0)</f>
        <v>6.2023756163155532</v>
      </c>
      <c r="G26" s="20">
        <v>17</v>
      </c>
      <c r="H26" s="21">
        <v>14</v>
      </c>
    </row>
    <row r="27" spans="1:8" x14ac:dyDescent="0.25">
      <c r="A27" s="26">
        <v>25</v>
      </c>
      <c r="B27" s="31" t="s">
        <v>40</v>
      </c>
      <c r="C27" s="24"/>
      <c r="D27" s="75">
        <f>C27*Table1[DON VI NHAP]+G27</f>
        <v>0</v>
      </c>
      <c r="E27" s="25">
        <f>(D27-H27)/Table1[[#This Row],[XIEN]]*Table1[Giá]</f>
        <v>0</v>
      </c>
      <c r="F27" s="20">
        <f ca="1">IFERROR(E27-Table1[GIA NHAP]/Table1[DON VI NHAP]*(D27-H27)-((D27-H27)*'Tiền Hàng'!E27),0)</f>
        <v>0</v>
      </c>
      <c r="G27" s="20"/>
      <c r="H27" s="21"/>
    </row>
    <row r="28" spans="1:8" x14ac:dyDescent="0.25">
      <c r="A28" s="26">
        <v>26</v>
      </c>
      <c r="B28" s="31" t="s">
        <v>41</v>
      </c>
      <c r="C28" s="24"/>
      <c r="D28" s="75">
        <f>C28*Table1[DON VI NHAP]+G28</f>
        <v>21</v>
      </c>
      <c r="E28" s="25">
        <f>(D28-H28)/Table1[[#This Row],[XIEN]]*Table1[Giá]</f>
        <v>30</v>
      </c>
      <c r="F28" s="20">
        <f ca="1">IFERROR(E28-Table1[GIA NHAP]/Table1[DON VI NHAP]*(D28-H28)-((D28-H28)*'Tiền Hàng'!E28),0)</f>
        <v>11.818242940385478</v>
      </c>
      <c r="G28" s="20">
        <v>21</v>
      </c>
      <c r="H28" s="21">
        <v>18</v>
      </c>
    </row>
    <row r="29" spans="1:8" x14ac:dyDescent="0.25">
      <c r="A29" s="26">
        <v>27</v>
      </c>
      <c r="B29" s="31" t="s">
        <v>42</v>
      </c>
      <c r="C29" s="24"/>
      <c r="D29" s="75">
        <f>C29*Table1[DON VI NHAP]+G29</f>
        <v>13</v>
      </c>
      <c r="E29" s="25">
        <f>(D29-H29)/Table1[[#This Row],[XIEN]]*Table1[Giá]</f>
        <v>48</v>
      </c>
      <c r="F29" s="20">
        <f ca="1">IFERROR(E29-Table1[GIA NHAP]/Table1[DON VI NHAP]*(D29-H29)-((D29-H29)*'Tiền Hàng'!E29),0)</f>
        <v>14.17802181383535</v>
      </c>
      <c r="G29" s="20">
        <v>13</v>
      </c>
      <c r="H29" s="21">
        <v>9</v>
      </c>
    </row>
    <row r="30" spans="1:8" x14ac:dyDescent="0.25">
      <c r="A30" s="26">
        <v>28</v>
      </c>
      <c r="B30" s="31" t="s">
        <v>43</v>
      </c>
      <c r="C30" s="24"/>
      <c r="D30" s="75">
        <f>C30*Table1[DON VI NHAP]+G30</f>
        <v>24</v>
      </c>
      <c r="E30" s="25">
        <f>(D30-H30)/Table1[[#This Row],[XIEN]]*Table1[Giá]</f>
        <v>12</v>
      </c>
      <c r="F30" s="20">
        <f ca="1">IFERROR(E30-Table1[GIA NHAP]/Table1[DON VI NHAP]*(D30-H30)-((D30-H30)*'Tiền Hàng'!E30),0)</f>
        <v>6.0371656955027646</v>
      </c>
      <c r="G30" s="20">
        <v>24</v>
      </c>
      <c r="H30" s="21">
        <v>23</v>
      </c>
    </row>
  </sheetData>
  <sheetProtection formatCells="0" formatColumns="0" formatRows="0" insertColumns="0" insertRows="0" insertHyperlinks="0" deleteColumns="0" deleteRows="0" sort="0" autoFilter="0" pivotTables="0"/>
  <autoFilter ref="A1:H30"/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1" r:id="rId4" name="Button 1">
              <controlPr defaultSize="0" print="0" autoFill="0" autoPict="0" macro="[0]!Macro1">
                <anchor moveWithCells="1" sizeWithCells="1">
                  <from>
                    <xdr:col>2</xdr:col>
                    <xdr:colOff>9525</xdr:colOff>
                    <xdr:row>0</xdr:row>
                    <xdr:rowOff>0</xdr:rowOff>
                  </from>
                  <to>
                    <xdr:col>3</xdr:col>
                    <xdr:colOff>9525</xdr:colOff>
                    <xdr:row>1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>
    <tabColor theme="0"/>
  </sheetPr>
  <dimension ref="A1:K30"/>
  <sheetViews>
    <sheetView zoomScale="90" zoomScaleNormal="90" workbookViewId="0">
      <pane ySplit="2" topLeftCell="A9" activePane="bottomLeft" state="frozen"/>
      <selection pane="bottomLeft" activeCell="J21" sqref="J21"/>
    </sheetView>
  </sheetViews>
  <sheetFormatPr defaultRowHeight="15" x14ac:dyDescent="0.25"/>
  <cols>
    <col min="1" max="1" width="5" style="16" bestFit="1" customWidth="1"/>
    <col min="2" max="2" width="25.7109375" style="16" bestFit="1" customWidth="1"/>
    <col min="3" max="3" width="12.28515625" style="16" customWidth="1"/>
    <col min="4" max="4" width="12.140625" style="16" customWidth="1"/>
    <col min="5" max="5" width="14.42578125" style="16" customWidth="1"/>
    <col min="6" max="6" width="14.140625" style="16" customWidth="1"/>
    <col min="7" max="8" width="20.28515625" style="16" customWidth="1"/>
    <col min="9" max="16384" width="9.140625" style="16"/>
  </cols>
  <sheetData>
    <row r="1" spans="1:11" s="12" customFormat="1" ht="21" customHeight="1" x14ac:dyDescent="0.25">
      <c r="A1" s="32" t="s">
        <v>27</v>
      </c>
      <c r="B1" s="32" t="s">
        <v>25</v>
      </c>
      <c r="C1" s="13" t="s">
        <v>28</v>
      </c>
      <c r="D1" s="22" t="s">
        <v>32</v>
      </c>
      <c r="E1" s="35" t="s">
        <v>29</v>
      </c>
      <c r="F1" s="36" t="s">
        <v>30</v>
      </c>
      <c r="G1" s="33" t="s">
        <v>38</v>
      </c>
      <c r="H1" s="34" t="s">
        <v>31</v>
      </c>
      <c r="I1" s="41"/>
      <c r="J1" s="42"/>
    </row>
    <row r="2" spans="1:11" s="15" customFormat="1" ht="14.25" customHeight="1" x14ac:dyDescent="0.25">
      <c r="A2" s="17"/>
      <c r="B2" s="17"/>
      <c r="C2" s="13"/>
      <c r="D2" s="18">
        <f>SUBTOTAL(9,$D$3:$D$282)</f>
        <v>909</v>
      </c>
      <c r="E2" s="18">
        <f>SUBTOTAL(9,E3:E101)</f>
        <v>755.33333333333337</v>
      </c>
      <c r="F2" s="19">
        <f ca="1">SUBTOTAL(9,F3:F101)</f>
        <v>315.45744892451899</v>
      </c>
      <c r="G2" s="18"/>
      <c r="H2" s="14"/>
    </row>
    <row r="3" spans="1:11" x14ac:dyDescent="0.25">
      <c r="A3" s="26">
        <v>1</v>
      </c>
      <c r="B3" s="30" t="s">
        <v>23</v>
      </c>
      <c r="C3" s="24"/>
      <c r="D3" s="75">
        <f>C3*Table1[DON VI NHAP]+G3</f>
        <v>56</v>
      </c>
      <c r="E3" s="25">
        <f>(D3-H3)/Table1[[#This Row],[XIEN]]*Table1[Giá]</f>
        <v>48</v>
      </c>
      <c r="F3" s="20">
        <f ca="1">IFERROR(E3-Table1[GIA NHAP]/Table1[DON VI NHAP]*(D3-H3)-((D3-H3)*'Tiền Hàng'!E3),0)</f>
        <v>25.478081577767814</v>
      </c>
      <c r="G3" s="20">
        <v>56</v>
      </c>
      <c r="H3" s="21">
        <v>8</v>
      </c>
      <c r="K3" s="43"/>
    </row>
    <row r="4" spans="1:11" x14ac:dyDescent="0.25">
      <c r="A4" s="26">
        <v>2</v>
      </c>
      <c r="B4" s="30" t="s">
        <v>22</v>
      </c>
      <c r="C4" s="24"/>
      <c r="D4" s="75">
        <f>C4*Table1[DON VI NHAP]+G4</f>
        <v>96</v>
      </c>
      <c r="E4" s="25">
        <f>(D4-H4)/Table1[[#This Row],[XIEN]]*Table1[Giá]</f>
        <v>8</v>
      </c>
      <c r="F4" s="20">
        <f ca="1">IFERROR(E4-Table1[GIA NHAP]/Table1[DON VI NHAP]*(D4-H4)-((D4-H4)*'Tiền Hàng'!E4),0)</f>
        <v>4.2463469296279692</v>
      </c>
      <c r="G4" s="20">
        <v>96</v>
      </c>
      <c r="H4" s="21">
        <v>88</v>
      </c>
      <c r="I4" s="29"/>
      <c r="K4" s="43"/>
    </row>
    <row r="5" spans="1:11" x14ac:dyDescent="0.25">
      <c r="A5" s="26">
        <v>3</v>
      </c>
      <c r="B5" s="30" t="s">
        <v>21</v>
      </c>
      <c r="C5" s="24"/>
      <c r="D5" s="75">
        <f>C5*Table1[DON VI NHAP]+G5</f>
        <v>50</v>
      </c>
      <c r="E5" s="25">
        <f>(D5-H5)/Table1[[#This Row],[XIEN]]*Table1[Giá]</f>
        <v>16</v>
      </c>
      <c r="F5" s="20">
        <f ca="1">IFERROR(E5-Table1[GIA NHAP]/Table1[DON VI NHAP]*(D5-H5)-((D5-H5)*'Tiền Hàng'!E5),0)</f>
        <v>8.0234872254594336</v>
      </c>
      <c r="G5" s="20">
        <v>50</v>
      </c>
      <c r="H5" s="21">
        <v>34</v>
      </c>
      <c r="K5" s="43"/>
    </row>
    <row r="6" spans="1:11" x14ac:dyDescent="0.25">
      <c r="A6" s="26">
        <v>4</v>
      </c>
      <c r="B6" s="30" t="s">
        <v>20</v>
      </c>
      <c r="C6" s="24"/>
      <c r="D6" s="75">
        <f>C6*Table1[DON VI NHAP]+G6</f>
        <v>112</v>
      </c>
      <c r="E6" s="25">
        <f>(D6-H6)/Table1[[#This Row],[XIEN]]*Table1[Giá]</f>
        <v>15</v>
      </c>
      <c r="F6" s="20">
        <f ca="1">IFERROR(E6-Table1[GIA NHAP]/Table1[DON VI NHAP]*(D6-H6)-((D6-H6)*'Tiền Hàng'!E6),0)</f>
        <v>7.5220192738682208</v>
      </c>
      <c r="G6" s="20">
        <v>112</v>
      </c>
      <c r="H6" s="21">
        <v>97</v>
      </c>
      <c r="K6" s="43"/>
    </row>
    <row r="7" spans="1:11" x14ac:dyDescent="0.25">
      <c r="A7" s="26">
        <v>5</v>
      </c>
      <c r="B7" s="30" t="s">
        <v>19</v>
      </c>
      <c r="C7" s="24"/>
      <c r="D7" s="75">
        <f>C7*Table1[DON VI NHAP]+G7</f>
        <v>10</v>
      </c>
      <c r="E7" s="25">
        <f>(D7-H7)/Table1[[#This Row],[XIEN]]*Table1[Giá]</f>
        <v>24</v>
      </c>
      <c r="F7" s="20">
        <f ca="1">IFERROR(E7-Table1[GIA NHAP]/Table1[DON VI NHAP]*(D7-H7)-((D7-H7)*'Tiền Hàng'!E7),0)</f>
        <v>12.387135813536531</v>
      </c>
      <c r="G7" s="20">
        <v>10</v>
      </c>
      <c r="H7" s="21">
        <v>7</v>
      </c>
      <c r="K7" s="43"/>
    </row>
    <row r="8" spans="1:11" x14ac:dyDescent="0.25">
      <c r="A8" s="26">
        <v>6</v>
      </c>
      <c r="B8" s="30" t="s">
        <v>18</v>
      </c>
      <c r="C8" s="24"/>
      <c r="D8" s="75">
        <f>C8*Table1[DON VI NHAP]+G8</f>
        <v>17</v>
      </c>
      <c r="E8" s="25">
        <f>(D8-H8)/Table1[[#This Row],[XIEN]]*Table1[Giá]</f>
        <v>8</v>
      </c>
      <c r="F8" s="20">
        <f ca="1">IFERROR(E8-Table1[GIA NHAP]/Table1[DON VI NHAP]*(D8-H8)-((D8-H8)*'Tiền Hàng'!E8),0)</f>
        <v>2.4281712236665172</v>
      </c>
      <c r="G8" s="20">
        <v>17</v>
      </c>
      <c r="H8" s="21">
        <v>13</v>
      </c>
      <c r="K8" s="43"/>
    </row>
    <row r="9" spans="1:11" x14ac:dyDescent="0.25">
      <c r="A9" s="26">
        <v>7</v>
      </c>
      <c r="B9" s="30" t="s">
        <v>17</v>
      </c>
      <c r="C9" s="24"/>
      <c r="D9" s="75">
        <f>C9*Table1[DON VI NHAP]+G9</f>
        <v>30</v>
      </c>
      <c r="E9" s="25">
        <f>(D9-H9)/Table1[[#This Row],[XIEN]]*Table1[Giá]</f>
        <v>16</v>
      </c>
      <c r="F9" s="20">
        <f ca="1">IFERROR(E9-Table1[GIA NHAP]/Table1[DON VI NHAP]*(D9-H9)-((D9-H9)*'Tiền Hàng'!E9),0)</f>
        <v>7.956457706345649</v>
      </c>
      <c r="G9" s="20">
        <v>30</v>
      </c>
      <c r="H9" s="21">
        <v>24</v>
      </c>
      <c r="K9" s="43"/>
    </row>
    <row r="10" spans="1:11" x14ac:dyDescent="0.25">
      <c r="A10" s="26">
        <v>8</v>
      </c>
      <c r="B10" s="30" t="s">
        <v>16</v>
      </c>
      <c r="C10" s="24"/>
      <c r="D10" s="75">
        <f>C10*Table1[DON VI NHAP]+G10</f>
        <v>24</v>
      </c>
      <c r="E10" s="25">
        <f>(D10-H10)/Table1[[#This Row],[XIEN]]*Table1[Giá]</f>
        <v>24</v>
      </c>
      <c r="F10" s="20">
        <f ca="1">IFERROR(E10-Table1[GIA NHAP]/Table1[DON VI NHAP]*(D10-H10)-((D10-H10)*'Tiền Hàng'!E10),0)</f>
        <v>13.172154604696065</v>
      </c>
      <c r="G10" s="20">
        <v>24</v>
      </c>
      <c r="H10" s="21">
        <v>21</v>
      </c>
      <c r="K10" s="43"/>
    </row>
    <row r="11" spans="1:11" x14ac:dyDescent="0.25">
      <c r="A11" s="26">
        <v>9</v>
      </c>
      <c r="B11" s="30" t="s">
        <v>15</v>
      </c>
      <c r="C11" s="24"/>
      <c r="D11" s="75">
        <f>C11*Table1[DON VI NHAP]+G11</f>
        <v>33</v>
      </c>
      <c r="E11" s="25">
        <f>(D11-H11)/Table1[[#This Row],[XIEN]]*Table1[Giá]</f>
        <v>16</v>
      </c>
      <c r="F11" s="20">
        <f ca="1">IFERROR(E11-Table1[GIA NHAP]/Table1[DON VI NHAP]*(D11-H11)-((D11-H11)*'Tiền Hàng'!E11),0)</f>
        <v>8.9619004930524433</v>
      </c>
      <c r="G11" s="20">
        <v>33</v>
      </c>
      <c r="H11" s="21">
        <v>27</v>
      </c>
    </row>
    <row r="12" spans="1:11" x14ac:dyDescent="0.25">
      <c r="A12" s="26">
        <v>10</v>
      </c>
      <c r="B12" s="30" t="s">
        <v>14</v>
      </c>
      <c r="C12" s="24">
        <v>1</v>
      </c>
      <c r="D12" s="75">
        <f>C12*Table1[DON VI NHAP]+G12</f>
        <v>41</v>
      </c>
      <c r="E12" s="25">
        <f>(D12-H12)/Table1[[#This Row],[XIEN]]*Table1[Giá]</f>
        <v>32</v>
      </c>
      <c r="F12" s="20">
        <f ca="1">IFERROR(E12-Table1[GIA NHAP]/Table1[DON VI NHAP]*(D12-H12)-((D12-H12)*'Tiền Hàng'!E12),0)</f>
        <v>13.902029839277708</v>
      </c>
      <c r="G12" s="20">
        <v>6</v>
      </c>
      <c r="H12" s="21">
        <v>29</v>
      </c>
    </row>
    <row r="13" spans="1:11" x14ac:dyDescent="0.25">
      <c r="A13" s="26">
        <v>11</v>
      </c>
      <c r="B13" s="30" t="s">
        <v>4</v>
      </c>
      <c r="C13" s="24">
        <v>1</v>
      </c>
      <c r="D13" s="75">
        <f>C13*Table1[DON VI NHAP]+G13</f>
        <v>44</v>
      </c>
      <c r="E13" s="25">
        <f>(D13-H13)/Table1[[#This Row],[XIEN]]*Table1[Giá]</f>
        <v>24</v>
      </c>
      <c r="F13" s="20">
        <f ca="1">IFERROR(E13-Table1[GIA NHAP]/Table1[DON VI NHAP]*(D13-H13)-((D13-H13)*'Tiền Hàng'!E13),0)</f>
        <v>8.1642761093679965</v>
      </c>
      <c r="G13" s="20">
        <v>16</v>
      </c>
      <c r="H13" s="21">
        <v>35</v>
      </c>
    </row>
    <row r="14" spans="1:11" x14ac:dyDescent="0.25">
      <c r="A14" s="26">
        <v>12</v>
      </c>
      <c r="B14" s="30" t="s">
        <v>69</v>
      </c>
      <c r="C14" s="24">
        <v>1</v>
      </c>
      <c r="D14" s="75">
        <f>C14*Table1[DON VI NHAP]+G14</f>
        <v>58</v>
      </c>
      <c r="E14" s="25">
        <f>(D14-H14)/Table1[[#This Row],[XIEN]]*Table1[Giá]</f>
        <v>128</v>
      </c>
      <c r="F14" s="20">
        <f ca="1">IFERROR(E14-Table1[GIA NHAP]/Table1[DON VI NHAP]*(D14-H14)-((D14-H14)*'Tiền Hàng'!E14),0)</f>
        <v>43.542805916629312</v>
      </c>
      <c r="G14" s="20">
        <v>26</v>
      </c>
      <c r="H14" s="21">
        <v>10</v>
      </c>
    </row>
    <row r="15" spans="1:11" x14ac:dyDescent="0.25">
      <c r="A15" s="26">
        <v>13</v>
      </c>
      <c r="B15" s="30" t="s">
        <v>12</v>
      </c>
      <c r="C15" s="24"/>
      <c r="D15" s="75">
        <f>C15*Table1[DON VI NHAP]+G15</f>
        <v>15</v>
      </c>
      <c r="E15" s="25">
        <f>(D15-H15)/Table1[[#This Row],[XIEN]]*Table1[Giá]</f>
        <v>20</v>
      </c>
      <c r="F15" s="20">
        <f ca="1">IFERROR(E15-Table1[GIA NHAP]/Table1[DON VI NHAP]*(D15-H15)-((D15-H15)*'Tiền Hàng'!E15),0)</f>
        <v>9.4428507395786649</v>
      </c>
      <c r="G15" s="20">
        <v>15</v>
      </c>
      <c r="H15" s="21">
        <v>9</v>
      </c>
    </row>
    <row r="16" spans="1:11" x14ac:dyDescent="0.25">
      <c r="A16" s="26">
        <v>14</v>
      </c>
      <c r="B16" s="30" t="s">
        <v>11</v>
      </c>
      <c r="C16" s="24"/>
      <c r="D16" s="75">
        <f>C16*Table1[DON VI NHAP]+G16</f>
        <v>12</v>
      </c>
      <c r="E16" s="25">
        <f>(D16-H16)/Table1[[#This Row],[XIEN]]*Table1[Giá]</f>
        <v>0</v>
      </c>
      <c r="F16" s="20">
        <f ca="1">IFERROR(E16-Table1[GIA NHAP]/Table1[DON VI NHAP]*(D16-H16)-((D16-H16)*'Tiền Hàng'!E16),0)</f>
        <v>0</v>
      </c>
      <c r="G16" s="20">
        <v>12</v>
      </c>
      <c r="H16" s="21">
        <v>12</v>
      </c>
    </row>
    <row r="17" spans="1:8" x14ac:dyDescent="0.25">
      <c r="A17" s="26">
        <v>15</v>
      </c>
      <c r="B17" s="30" t="s">
        <v>10</v>
      </c>
      <c r="C17" s="24"/>
      <c r="D17" s="75">
        <f>C17*Table1[DON VI NHAP]+G17</f>
        <v>17</v>
      </c>
      <c r="E17" s="25">
        <f>(D17-H17)/Table1[[#This Row],[XIEN]]*Table1[Giá]</f>
        <v>0</v>
      </c>
      <c r="F17" s="20">
        <f ca="1">IFERROR(E17-Table1[GIA NHAP]/Table1[DON VI NHAP]*(D17-H17)-((D17-H17)*'Tiền Hàng'!E17),0)</f>
        <v>0</v>
      </c>
      <c r="G17" s="20">
        <v>17</v>
      </c>
      <c r="H17" s="21">
        <v>17</v>
      </c>
    </row>
    <row r="18" spans="1:8" x14ac:dyDescent="0.25">
      <c r="A18" s="26">
        <v>16</v>
      </c>
      <c r="B18" s="30" t="s">
        <v>9</v>
      </c>
      <c r="C18" s="24">
        <v>1</v>
      </c>
      <c r="D18" s="75">
        <f>C18*Table1[DON VI NHAP]+G18</f>
        <v>6</v>
      </c>
      <c r="E18" s="25">
        <f>(D18-H18)/Table1[[#This Row],[XIEN]]*Table1[Giá]</f>
        <v>30</v>
      </c>
      <c r="F18" s="20">
        <f ca="1">IFERROR(E18-Table1[GIA NHAP]/Table1[DON VI NHAP]*(D18-H18)-((D18-H18)*'Tiền Hàng'!E18),0)</f>
        <v>6.5396683101748092</v>
      </c>
      <c r="G18" s="20">
        <v>0</v>
      </c>
      <c r="H18" s="21">
        <v>3</v>
      </c>
    </row>
    <row r="19" spans="1:8" x14ac:dyDescent="0.25">
      <c r="A19" s="26">
        <v>17</v>
      </c>
      <c r="B19" s="30" t="s">
        <v>8</v>
      </c>
      <c r="C19" s="24"/>
      <c r="D19" s="75">
        <f>C19*Table1[DON VI NHAP]+G19</f>
        <v>3</v>
      </c>
      <c r="E19" s="25">
        <f>(D19-H19)/Table1[[#This Row],[XIEN]]*Table1[Giá]</f>
        <v>10</v>
      </c>
      <c r="F19" s="20">
        <f ca="1">IFERROR(E19-Table1[GIA NHAP]/Table1[DON VI NHAP]*(D19-H19)-((D19-H19)*'Tiền Hàng'!E19),0)</f>
        <v>4.8387270282384574</v>
      </c>
      <c r="G19" s="20">
        <v>3</v>
      </c>
      <c r="H19" s="21">
        <v>2</v>
      </c>
    </row>
    <row r="20" spans="1:8" x14ac:dyDescent="0.25">
      <c r="A20" s="26">
        <v>18</v>
      </c>
      <c r="B20" s="30" t="s">
        <v>7</v>
      </c>
      <c r="C20" s="24"/>
      <c r="D20" s="75">
        <f>C20*Table1[DON VI NHAP]+G20</f>
        <v>48</v>
      </c>
      <c r="E20" s="25">
        <f>(D20-H20)/Table1[[#This Row],[XIEN]]*Table1[Giá]</f>
        <v>70</v>
      </c>
      <c r="F20" s="20">
        <f ca="1">IFERROR(E20-Table1[GIA NHAP]/Table1[DON VI NHAP]*(D20-H20)-((D20-H20)*'Tiền Hàng'!E20),0)</f>
        <v>37.919360386936717</v>
      </c>
      <c r="G20" s="20">
        <v>48</v>
      </c>
      <c r="H20" s="21">
        <v>20</v>
      </c>
    </row>
    <row r="21" spans="1:8" x14ac:dyDescent="0.25">
      <c r="A21" s="26">
        <v>19</v>
      </c>
      <c r="B21" s="30" t="s">
        <v>6</v>
      </c>
      <c r="C21" s="24"/>
      <c r="D21" s="75">
        <f>C21*Table1[DON VI NHAP]+G21</f>
        <v>16</v>
      </c>
      <c r="E21" s="25">
        <f>(D21-H21)/Table1[[#This Row],[XIEN]]*Table1[Giá]</f>
        <v>10</v>
      </c>
      <c r="F21" s="20">
        <f ca="1">IFERROR(E21-Table1[GIA NHAP]/Table1[DON VI NHAP]*(D21-H21)-((D21-H21)*'Tiền Hàng'!E21),0)</f>
        <v>4.4281712236665172</v>
      </c>
      <c r="G21" s="20">
        <v>16</v>
      </c>
      <c r="H21" s="21">
        <v>12</v>
      </c>
    </row>
    <row r="22" spans="1:8" x14ac:dyDescent="0.25">
      <c r="A22" s="26">
        <v>20</v>
      </c>
      <c r="B22" s="30" t="s">
        <v>5</v>
      </c>
      <c r="C22" s="24"/>
      <c r="D22" s="75">
        <f>C22*Table1[DON VI NHAP]+G22</f>
        <v>72</v>
      </c>
      <c r="E22" s="25">
        <f>(D22-H22)/Table1[[#This Row],[XIEN]]*Table1[Giá]</f>
        <v>0</v>
      </c>
      <c r="F22" s="20">
        <f ca="1">IFERROR(E22-Table1[GIA NHAP]/Table1[DON VI NHAP]*(D22-H22)-((D22-H22)*'Tiền Hàng'!E22),0)</f>
        <v>0</v>
      </c>
      <c r="G22" s="20">
        <v>72</v>
      </c>
      <c r="H22" s="21">
        <v>72</v>
      </c>
    </row>
    <row r="23" spans="1:8" x14ac:dyDescent="0.25">
      <c r="A23" s="26">
        <v>21</v>
      </c>
      <c r="B23" s="30" t="s">
        <v>3</v>
      </c>
      <c r="C23" s="24"/>
      <c r="D23" s="75">
        <f>C23*Table1[DON VI NHAP]+G23</f>
        <v>12</v>
      </c>
      <c r="E23" s="25">
        <f>(D23-H23)/Table1[[#This Row],[XIEN]]*Table1[Giá]</f>
        <v>10</v>
      </c>
      <c r="F23" s="20">
        <f ca="1">IFERROR(E23-Table1[GIA NHAP]/Table1[DON VI NHAP]*(D23-H23)-((D23-H23)*'Tiền Hàng'!E23),0)</f>
        <v>3.3259401227221437</v>
      </c>
      <c r="G23" s="20">
        <v>12</v>
      </c>
      <c r="H23" s="21">
        <v>9</v>
      </c>
    </row>
    <row r="24" spans="1:8" x14ac:dyDescent="0.25">
      <c r="A24" s="26">
        <v>22</v>
      </c>
      <c r="B24" s="30" t="s">
        <v>2</v>
      </c>
      <c r="C24" s="24">
        <v>1</v>
      </c>
      <c r="D24" s="75">
        <f>C24*Table1[DON VI NHAP]+G24</f>
        <v>16</v>
      </c>
      <c r="E24" s="25">
        <f>(D24-H24)/Table1[[#This Row],[XIEN]]*Table1[Giá]</f>
        <v>50</v>
      </c>
      <c r="F24" s="20">
        <f ca="1">IFERROR(E24-Table1[GIA NHAP]/Table1[DON VI NHAP]*(D24-H24)-((D24-H24)*'Tiền Hàng'!E24),0)</f>
        <v>20.674585387718512</v>
      </c>
      <c r="G24" s="20">
        <v>7</v>
      </c>
      <c r="H24" s="21">
        <v>11</v>
      </c>
    </row>
    <row r="25" spans="1:8" x14ac:dyDescent="0.25">
      <c r="A25" s="26">
        <v>23</v>
      </c>
      <c r="B25" s="30" t="s">
        <v>70</v>
      </c>
      <c r="C25" s="24">
        <v>1</v>
      </c>
      <c r="D25" s="75">
        <f>C25*Table1[DON VI NHAP]+G25</f>
        <v>29</v>
      </c>
      <c r="E25" s="25">
        <f>(D25-H25)/Table1[[#This Row],[XIEN]]*Table1[Giá]</f>
        <v>53.333333333333329</v>
      </c>
      <c r="F25" s="20">
        <f ca="1">IFERROR(E25-Table1[GIA NHAP]/Table1[DON VI NHAP]*(D25-H25)-((D25-H25)*'Tiền Hàng'!E25),0)</f>
        <v>17.137393011888747</v>
      </c>
      <c r="G25" s="20">
        <v>1</v>
      </c>
      <c r="H25" s="21">
        <v>13</v>
      </c>
    </row>
    <row r="26" spans="1:8" x14ac:dyDescent="0.25">
      <c r="A26" s="26">
        <v>24</v>
      </c>
      <c r="B26" s="30" t="s">
        <v>0</v>
      </c>
      <c r="C26" s="24">
        <v>1</v>
      </c>
      <c r="D26" s="75">
        <f>C26*Table1[DON VI NHAP]+G26</f>
        <v>42</v>
      </c>
      <c r="E26" s="25">
        <f>(D26-H26)/Table1[[#This Row],[XIEN]]*Table1[Giá]</f>
        <v>65</v>
      </c>
      <c r="F26" s="20">
        <f ca="1">IFERROR(E26-Table1[GIA NHAP]/Table1[DON VI NHAP]*(D26-H26)-((D26-H26)*'Tiền Hàng'!E26),0)</f>
        <v>26.876961004034065</v>
      </c>
      <c r="G26" s="20">
        <v>14</v>
      </c>
      <c r="H26" s="21">
        <v>29</v>
      </c>
    </row>
    <row r="27" spans="1:8" x14ac:dyDescent="0.25">
      <c r="A27" s="26">
        <v>25</v>
      </c>
      <c r="B27" s="31" t="s">
        <v>40</v>
      </c>
      <c r="C27" s="24"/>
      <c r="D27" s="75">
        <f>C27*Table1[DON VI NHAP]+G27</f>
        <v>0</v>
      </c>
      <c r="E27" s="25">
        <f>(D27-H27)/Table1[[#This Row],[XIEN]]*Table1[Giá]</f>
        <v>0</v>
      </c>
      <c r="F27" s="20">
        <f ca="1">IFERROR(E27-Table1[GIA NHAP]/Table1[DON VI NHAP]*(D27-H27)-((D27-H27)*'Tiền Hàng'!E27),0)</f>
        <v>0</v>
      </c>
      <c r="G27" s="20"/>
      <c r="H27" s="21"/>
    </row>
    <row r="28" spans="1:8" x14ac:dyDescent="0.25">
      <c r="A28" s="26">
        <v>26</v>
      </c>
      <c r="B28" s="31" t="s">
        <v>41</v>
      </c>
      <c r="C28" s="24"/>
      <c r="D28" s="75">
        <f>C28*Table1[DON VI NHAP]+G28</f>
        <v>18</v>
      </c>
      <c r="E28" s="25">
        <f>(D28-H28)/Table1[[#This Row],[XIEN]]*Table1[Giá]</f>
        <v>30</v>
      </c>
      <c r="F28" s="20">
        <f ca="1">IFERROR(E28-Table1[GIA NHAP]/Table1[DON VI NHAP]*(D28-H28)-((D28-H28)*'Tiền Hàng'!E28),0)</f>
        <v>11.818242940385478</v>
      </c>
      <c r="G28" s="20">
        <v>18</v>
      </c>
      <c r="H28" s="21">
        <v>15</v>
      </c>
    </row>
    <row r="29" spans="1:8" x14ac:dyDescent="0.25">
      <c r="A29" s="26">
        <v>27</v>
      </c>
      <c r="B29" s="31" t="s">
        <v>42</v>
      </c>
      <c r="C29" s="24"/>
      <c r="D29" s="75">
        <f>C29*Table1[DON VI NHAP]+G29</f>
        <v>9</v>
      </c>
      <c r="E29" s="25">
        <f>(D29-H29)/Table1[[#This Row],[XIEN]]*Table1[Giá]</f>
        <v>36</v>
      </c>
      <c r="F29" s="20">
        <f ca="1">IFERROR(E29-Table1[GIA NHAP]/Table1[DON VI NHAP]*(D29-H29)-((D29-H29)*'Tiền Hàng'!E29),0)</f>
        <v>10.633516360376513</v>
      </c>
      <c r="G29" s="20">
        <v>9</v>
      </c>
      <c r="H29" s="21">
        <v>6</v>
      </c>
    </row>
    <row r="30" spans="1:8" x14ac:dyDescent="0.25">
      <c r="A30" s="26">
        <v>28</v>
      </c>
      <c r="B30" s="31" t="s">
        <v>43</v>
      </c>
      <c r="C30" s="24"/>
      <c r="D30" s="75">
        <f>C30*Table1[DON VI NHAP]+G30</f>
        <v>23</v>
      </c>
      <c r="E30" s="25">
        <f>(D30-H30)/Table1[[#This Row],[XIEN]]*Table1[Giá]</f>
        <v>12</v>
      </c>
      <c r="F30" s="20">
        <f ca="1">IFERROR(E30-Table1[GIA NHAP]/Table1[DON VI NHAP]*(D30-H30)-((D30-H30)*'Tiền Hàng'!E30),0)</f>
        <v>6.0371656955027646</v>
      </c>
      <c r="G30" s="20">
        <v>23</v>
      </c>
      <c r="H30" s="21">
        <v>22</v>
      </c>
    </row>
  </sheetData>
  <sheetProtection formatCells="0" formatColumns="0" formatRows="0" insertColumns="0" insertRows="0" insertHyperlinks="0" deleteColumns="0" deleteRows="0" sort="0" autoFilter="0" pivotTables="0"/>
  <autoFilter ref="A1:H30"/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4337" r:id="rId4" name="Button 1">
              <controlPr defaultSize="0" print="0" autoFill="0" autoPict="0" macro="[0]!Macro1">
                <anchor moveWithCells="1" sizeWithCells="1">
                  <from>
                    <xdr:col>2</xdr:col>
                    <xdr:colOff>9525</xdr:colOff>
                    <xdr:row>0</xdr:row>
                    <xdr:rowOff>0</xdr:rowOff>
                  </from>
                  <to>
                    <xdr:col>3</xdr:col>
                    <xdr:colOff>9525</xdr:colOff>
                    <xdr:row>1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">
    <tabColor theme="0"/>
  </sheetPr>
  <dimension ref="A1:K30"/>
  <sheetViews>
    <sheetView zoomScale="90" zoomScaleNormal="90" workbookViewId="0">
      <pane ySplit="2" topLeftCell="A3" activePane="bottomLeft" state="frozen"/>
      <selection pane="bottomLeft" activeCell="H24" sqref="H24"/>
    </sheetView>
  </sheetViews>
  <sheetFormatPr defaultRowHeight="15" x14ac:dyDescent="0.25"/>
  <cols>
    <col min="1" max="1" width="5" style="16" bestFit="1" customWidth="1"/>
    <col min="2" max="2" width="25.7109375" style="16" bestFit="1" customWidth="1"/>
    <col min="3" max="3" width="12.28515625" style="16" customWidth="1"/>
    <col min="4" max="4" width="12.140625" style="16" customWidth="1"/>
    <col min="5" max="5" width="14.42578125" style="16" customWidth="1"/>
    <col min="6" max="6" width="14.140625" style="16" customWidth="1"/>
    <col min="7" max="8" width="20.28515625" style="16" customWidth="1"/>
    <col min="9" max="16384" width="9.140625" style="16"/>
  </cols>
  <sheetData>
    <row r="1" spans="1:11" s="12" customFormat="1" ht="21" customHeight="1" x14ac:dyDescent="0.25">
      <c r="A1" s="32" t="s">
        <v>27</v>
      </c>
      <c r="B1" s="32" t="s">
        <v>25</v>
      </c>
      <c r="C1" s="13" t="s">
        <v>28</v>
      </c>
      <c r="D1" s="22" t="s">
        <v>32</v>
      </c>
      <c r="E1" s="35" t="s">
        <v>29</v>
      </c>
      <c r="F1" s="36" t="s">
        <v>30</v>
      </c>
      <c r="G1" s="33" t="s">
        <v>38</v>
      </c>
      <c r="H1" s="34" t="s">
        <v>31</v>
      </c>
      <c r="I1" s="41"/>
      <c r="J1" s="42"/>
    </row>
    <row r="2" spans="1:11" s="15" customFormat="1" ht="14.25" customHeight="1" x14ac:dyDescent="0.25">
      <c r="A2" s="17"/>
      <c r="B2" s="17"/>
      <c r="C2" s="13"/>
      <c r="D2" s="18">
        <f>SUBTOTAL(9,$D$3:$D$282)</f>
        <v>851</v>
      </c>
      <c r="E2" s="18">
        <f>SUBTOTAL(9,E3:E101)</f>
        <v>293.16666666666663</v>
      </c>
      <c r="F2" s="19">
        <f ca="1">SUBTOTAL(9,F3:F101)</f>
        <v>120.41513709890847</v>
      </c>
      <c r="G2" s="18"/>
      <c r="H2" s="14"/>
    </row>
    <row r="3" spans="1:11" x14ac:dyDescent="0.25">
      <c r="A3" s="26">
        <v>1</v>
      </c>
      <c r="B3" s="30" t="s">
        <v>23</v>
      </c>
      <c r="C3" s="24">
        <v>1</v>
      </c>
      <c r="D3" s="75">
        <f>C3*Table1[DON VI NHAP]+G3</f>
        <v>88</v>
      </c>
      <c r="E3" s="25">
        <f>(D3-H3)/Table1[[#This Row],[XIEN]]*Table1[Giá]</f>
        <v>8</v>
      </c>
      <c r="F3" s="20">
        <f ca="1">IFERROR(E3-Table1[GIA NHAP]/Table1[DON VI NHAP]*(D3-H3)-((D3-H3)*'Tiền Hàng'!E3),0)</f>
        <v>4.2463469296279692</v>
      </c>
      <c r="G3" s="20">
        <v>8</v>
      </c>
      <c r="H3" s="21">
        <v>80</v>
      </c>
      <c r="K3" s="43"/>
    </row>
    <row r="4" spans="1:11" x14ac:dyDescent="0.25">
      <c r="A4" s="26">
        <v>2</v>
      </c>
      <c r="B4" s="30" t="s">
        <v>22</v>
      </c>
      <c r="C4" s="24"/>
      <c r="D4" s="75">
        <f>C4*Table1[DON VI NHAP]+G4</f>
        <v>88</v>
      </c>
      <c r="E4" s="25">
        <f>(D4-H4)/Table1[[#This Row],[XIEN]]*Table1[Giá]</f>
        <v>0</v>
      </c>
      <c r="F4" s="20">
        <f ca="1">IFERROR(E4-Table1[GIA NHAP]/Table1[DON VI NHAP]*(D4-H4)-((D4-H4)*'Tiền Hàng'!E4),0)</f>
        <v>0</v>
      </c>
      <c r="G4" s="20">
        <v>88</v>
      </c>
      <c r="H4" s="21">
        <v>88</v>
      </c>
      <c r="I4" s="29"/>
      <c r="K4" s="43"/>
    </row>
    <row r="5" spans="1:11" x14ac:dyDescent="0.25">
      <c r="A5" s="26">
        <v>3</v>
      </c>
      <c r="B5" s="30" t="s">
        <v>21</v>
      </c>
      <c r="C5" s="24"/>
      <c r="D5" s="75">
        <f>C5*Table1[DON VI NHAP]+G5</f>
        <v>34</v>
      </c>
      <c r="E5" s="25">
        <f>(D5-H5)/Table1[[#This Row],[XIEN]]*Table1[Giá]</f>
        <v>0</v>
      </c>
      <c r="F5" s="20">
        <f ca="1">IFERROR(E5-Table1[GIA NHAP]/Table1[DON VI NHAP]*(D5-H5)-((D5-H5)*'Tiền Hàng'!E5),0)</f>
        <v>0</v>
      </c>
      <c r="G5" s="20">
        <v>34</v>
      </c>
      <c r="H5" s="21">
        <v>34</v>
      </c>
      <c r="K5" s="43"/>
    </row>
    <row r="6" spans="1:11" x14ac:dyDescent="0.25">
      <c r="A6" s="26">
        <v>4</v>
      </c>
      <c r="B6" s="30" t="s">
        <v>20</v>
      </c>
      <c r="C6" s="24"/>
      <c r="D6" s="75">
        <f>C6*Table1[DON VI NHAP]+G6</f>
        <v>97</v>
      </c>
      <c r="E6" s="25">
        <f>(D6-H6)/Table1[[#This Row],[XIEN]]*Table1[Giá]</f>
        <v>0</v>
      </c>
      <c r="F6" s="20">
        <f ca="1">IFERROR(E6-Table1[GIA NHAP]/Table1[DON VI NHAP]*(D6-H6)-((D6-H6)*'Tiền Hàng'!E6),0)</f>
        <v>0</v>
      </c>
      <c r="G6" s="20">
        <v>97</v>
      </c>
      <c r="H6" s="21">
        <v>97</v>
      </c>
      <c r="K6" s="43"/>
    </row>
    <row r="7" spans="1:11" x14ac:dyDescent="0.25">
      <c r="A7" s="26">
        <v>5</v>
      </c>
      <c r="B7" s="30" t="s">
        <v>19</v>
      </c>
      <c r="C7" s="24"/>
      <c r="D7" s="75">
        <f>C7*Table1[DON VI NHAP]+G7</f>
        <v>7</v>
      </c>
      <c r="E7" s="25">
        <f>(D7-H7)/Table1[[#This Row],[XIEN]]*Table1[Giá]</f>
        <v>16</v>
      </c>
      <c r="F7" s="20">
        <f ca="1">IFERROR(E7-Table1[GIA NHAP]/Table1[DON VI NHAP]*(D7-H7)-((D7-H7)*'Tiền Hàng'!E7),0)</f>
        <v>8.2580905423576869</v>
      </c>
      <c r="G7" s="20">
        <v>7</v>
      </c>
      <c r="H7" s="21">
        <v>5</v>
      </c>
      <c r="K7" s="43"/>
    </row>
    <row r="8" spans="1:11" x14ac:dyDescent="0.25">
      <c r="A8" s="26">
        <v>6</v>
      </c>
      <c r="B8" s="30" t="s">
        <v>18</v>
      </c>
      <c r="C8" s="24"/>
      <c r="D8" s="75">
        <f>C8*Table1[DON VI NHAP]+G8</f>
        <v>13</v>
      </c>
      <c r="E8" s="25">
        <f>(D8-H8)/Table1[[#This Row],[XIEN]]*Table1[Giá]</f>
        <v>0</v>
      </c>
      <c r="F8" s="20">
        <f ca="1">IFERROR(E8-Table1[GIA NHAP]/Table1[DON VI NHAP]*(D8-H8)-((D8-H8)*'Tiền Hàng'!E8),0)</f>
        <v>0</v>
      </c>
      <c r="G8" s="20">
        <v>13</v>
      </c>
      <c r="H8" s="21">
        <v>13</v>
      </c>
      <c r="K8" s="43"/>
    </row>
    <row r="9" spans="1:11" x14ac:dyDescent="0.25">
      <c r="A9" s="26">
        <v>7</v>
      </c>
      <c r="B9" s="30" t="s">
        <v>17</v>
      </c>
      <c r="C9" s="24"/>
      <c r="D9" s="75">
        <f>C9*Table1[DON VI NHAP]+G9</f>
        <v>24</v>
      </c>
      <c r="E9" s="25">
        <f>(D9-H9)/Table1[[#This Row],[XIEN]]*Table1[Giá]</f>
        <v>0</v>
      </c>
      <c r="F9" s="20">
        <f ca="1">IFERROR(E9-Table1[GIA NHAP]/Table1[DON VI NHAP]*(D9-H9)-((D9-H9)*'Tiền Hàng'!E9),0)</f>
        <v>0</v>
      </c>
      <c r="G9" s="20">
        <v>24</v>
      </c>
      <c r="H9" s="21">
        <v>24</v>
      </c>
      <c r="K9" s="43"/>
    </row>
    <row r="10" spans="1:11" x14ac:dyDescent="0.25">
      <c r="A10" s="26">
        <v>8</v>
      </c>
      <c r="B10" s="30" t="s">
        <v>16</v>
      </c>
      <c r="C10" s="24"/>
      <c r="D10" s="75">
        <f>C10*Table1[DON VI NHAP]+G10</f>
        <v>21</v>
      </c>
      <c r="E10" s="25">
        <f>(D10-H10)/Table1[[#This Row],[XIEN]]*Table1[Giá]</f>
        <v>8</v>
      </c>
      <c r="F10" s="20">
        <f ca="1">IFERROR(E10-Table1[GIA NHAP]/Table1[DON VI NHAP]*(D10-H10)-((D10-H10)*'Tiền Hàng'!E10),0)</f>
        <v>4.3907182015653561</v>
      </c>
      <c r="G10" s="20">
        <v>21</v>
      </c>
      <c r="H10" s="21">
        <v>20</v>
      </c>
      <c r="K10" s="43"/>
    </row>
    <row r="11" spans="1:11" x14ac:dyDescent="0.25">
      <c r="A11" s="26">
        <v>9</v>
      </c>
      <c r="B11" s="30" t="s">
        <v>15</v>
      </c>
      <c r="C11" s="24"/>
      <c r="D11" s="75">
        <f>C11*Table1[DON VI NHAP]+G11</f>
        <v>27</v>
      </c>
      <c r="E11" s="25">
        <f>(D11-H11)/Table1[[#This Row],[XIEN]]*Table1[Giá]</f>
        <v>0</v>
      </c>
      <c r="F11" s="20">
        <f ca="1">IFERROR(E11-Table1[GIA NHAP]/Table1[DON VI NHAP]*(D11-H11)-((D11-H11)*'Tiền Hàng'!E11),0)</f>
        <v>0</v>
      </c>
      <c r="G11" s="20">
        <v>27</v>
      </c>
      <c r="H11" s="21">
        <v>27</v>
      </c>
    </row>
    <row r="12" spans="1:11" x14ac:dyDescent="0.25">
      <c r="A12" s="26">
        <v>10</v>
      </c>
      <c r="B12" s="30" t="s">
        <v>14</v>
      </c>
      <c r="C12" s="24"/>
      <c r="D12" s="75">
        <f>C12*Table1[DON VI NHAP]+G12</f>
        <v>29</v>
      </c>
      <c r="E12" s="25">
        <f>(D12-H12)/Table1[[#This Row],[XIEN]]*Table1[Giá]</f>
        <v>0</v>
      </c>
      <c r="F12" s="20">
        <f ca="1">IFERROR(E12-Table1[GIA NHAP]/Table1[DON VI NHAP]*(D12-H12)-((D12-H12)*'Tiền Hàng'!E12),0)</f>
        <v>0</v>
      </c>
      <c r="G12" s="20">
        <v>29</v>
      </c>
      <c r="H12" s="21">
        <v>29</v>
      </c>
    </row>
    <row r="13" spans="1:11" x14ac:dyDescent="0.25">
      <c r="A13" s="26">
        <v>11</v>
      </c>
      <c r="B13" s="30" t="s">
        <v>4</v>
      </c>
      <c r="C13" s="24"/>
      <c r="D13" s="75">
        <f>C13*Table1[DON VI NHAP]+G13</f>
        <v>35</v>
      </c>
      <c r="E13" s="25">
        <f>(D13-H13)/Table1[[#This Row],[XIEN]]*Table1[Giá]</f>
        <v>10.666666666666666</v>
      </c>
      <c r="F13" s="20">
        <f ca="1">IFERROR(E13-Table1[GIA NHAP]/Table1[DON VI NHAP]*(D13-H13)-((D13-H13)*'Tiền Hàng'!E13),0)</f>
        <v>3.6285671597191089</v>
      </c>
      <c r="G13" s="20">
        <v>35</v>
      </c>
      <c r="H13" s="21">
        <v>31</v>
      </c>
    </row>
    <row r="14" spans="1:11" x14ac:dyDescent="0.25">
      <c r="A14" s="26">
        <v>12</v>
      </c>
      <c r="B14" s="30" t="s">
        <v>69</v>
      </c>
      <c r="C14" s="24">
        <v>2</v>
      </c>
      <c r="D14" s="75">
        <f>C14*Table1[DON VI NHAP]+G14</f>
        <v>74</v>
      </c>
      <c r="E14" s="25">
        <f>(D14-H14)/Table1[[#This Row],[XIEN]]*Table1[Giá]</f>
        <v>0</v>
      </c>
      <c r="F14" s="20">
        <f ca="1">IFERROR(E14-Table1[GIA NHAP]/Table1[DON VI NHAP]*(D14-H14)-((D14-H14)*'Tiền Hàng'!E14),0)</f>
        <v>0</v>
      </c>
      <c r="G14" s="20">
        <v>10</v>
      </c>
      <c r="H14" s="21">
        <v>74</v>
      </c>
    </row>
    <row r="15" spans="1:11" x14ac:dyDescent="0.25">
      <c r="A15" s="26">
        <v>13</v>
      </c>
      <c r="B15" s="30" t="s">
        <v>12</v>
      </c>
      <c r="C15" s="24">
        <v>1</v>
      </c>
      <c r="D15" s="75">
        <f>C15*Table1[DON VI NHAP]+G15</f>
        <v>39</v>
      </c>
      <c r="E15" s="25">
        <f>(D15-H15)/Table1[[#This Row],[XIEN]]*Table1[Giá]</f>
        <v>0</v>
      </c>
      <c r="F15" s="20">
        <f ca="1">IFERROR(E15-Table1[GIA NHAP]/Table1[DON VI NHAP]*(D15-H15)-((D15-H15)*'Tiền Hàng'!E15),0)</f>
        <v>0</v>
      </c>
      <c r="G15" s="20">
        <v>9</v>
      </c>
      <c r="H15" s="21">
        <v>39</v>
      </c>
    </row>
    <row r="16" spans="1:11" x14ac:dyDescent="0.25">
      <c r="A16" s="26">
        <v>14</v>
      </c>
      <c r="B16" s="30" t="s">
        <v>11</v>
      </c>
      <c r="C16" s="24"/>
      <c r="D16" s="75">
        <f>C16*Table1[DON VI NHAP]+G16</f>
        <v>12</v>
      </c>
      <c r="E16" s="25">
        <f>(D16-H16)/Table1[[#This Row],[XIEN]]*Table1[Giá]</f>
        <v>0</v>
      </c>
      <c r="F16" s="20">
        <f ca="1">IFERROR(E16-Table1[GIA NHAP]/Table1[DON VI NHAP]*(D16-H16)-((D16-H16)*'Tiền Hàng'!E16),0)</f>
        <v>0</v>
      </c>
      <c r="G16" s="20">
        <v>12</v>
      </c>
      <c r="H16" s="21">
        <v>12</v>
      </c>
    </row>
    <row r="17" spans="1:8" x14ac:dyDescent="0.25">
      <c r="A17" s="26">
        <v>15</v>
      </c>
      <c r="B17" s="30" t="s">
        <v>10</v>
      </c>
      <c r="C17" s="24"/>
      <c r="D17" s="75">
        <f>C17*Table1[DON VI NHAP]+G17</f>
        <v>17</v>
      </c>
      <c r="E17" s="25">
        <f>(D17-H17)/Table1[[#This Row],[XIEN]]*Table1[Giá]</f>
        <v>0</v>
      </c>
      <c r="F17" s="20">
        <f ca="1">IFERROR(E17-Table1[GIA NHAP]/Table1[DON VI NHAP]*(D17-H17)-((D17-H17)*'Tiền Hàng'!E17),0)</f>
        <v>0</v>
      </c>
      <c r="G17" s="20">
        <v>17</v>
      </c>
      <c r="H17" s="21">
        <v>17</v>
      </c>
    </row>
    <row r="18" spans="1:8" x14ac:dyDescent="0.25">
      <c r="A18" s="26">
        <v>16</v>
      </c>
      <c r="B18" s="30" t="s">
        <v>9</v>
      </c>
      <c r="C18" s="24"/>
      <c r="D18" s="75">
        <f>C18*Table1[DON VI NHAP]+G18</f>
        <v>3</v>
      </c>
      <c r="E18" s="25">
        <f>(D18-H18)/Table1[[#This Row],[XIEN]]*Table1[Giá]</f>
        <v>10</v>
      </c>
      <c r="F18" s="20">
        <f ca="1">IFERROR(E18-Table1[GIA NHAP]/Table1[DON VI NHAP]*(D18-H18)-((D18-H18)*'Tiền Hàng'!E18),0)</f>
        <v>2.1798894367249364</v>
      </c>
      <c r="G18" s="20">
        <v>3</v>
      </c>
      <c r="H18" s="21">
        <v>2</v>
      </c>
    </row>
    <row r="19" spans="1:8" x14ac:dyDescent="0.25">
      <c r="A19" s="26">
        <v>17</v>
      </c>
      <c r="B19" s="30" t="s">
        <v>8</v>
      </c>
      <c r="C19" s="24"/>
      <c r="D19" s="75">
        <f>C19*Table1[DON VI NHAP]+G19</f>
        <v>2</v>
      </c>
      <c r="E19" s="25">
        <f>(D19-H19)/Table1[[#This Row],[XIEN]]*Table1[Giá]</f>
        <v>0</v>
      </c>
      <c r="F19" s="20">
        <f ca="1">IFERROR(E19-Table1[GIA NHAP]/Table1[DON VI NHAP]*(D19-H19)-((D19-H19)*'Tiền Hàng'!E19),0)</f>
        <v>0</v>
      </c>
      <c r="G19" s="20">
        <v>2</v>
      </c>
      <c r="H19" s="21">
        <v>2</v>
      </c>
    </row>
    <row r="20" spans="1:8" x14ac:dyDescent="0.25">
      <c r="A20" s="26">
        <v>18</v>
      </c>
      <c r="B20" s="30" t="s">
        <v>7</v>
      </c>
      <c r="C20" s="24"/>
      <c r="D20" s="75">
        <f>C20*Table1[DON VI NHAP]+G20</f>
        <v>20</v>
      </c>
      <c r="E20" s="25">
        <f>(D20-H20)/Table1[[#This Row],[XIEN]]*Table1[Giá]</f>
        <v>10</v>
      </c>
      <c r="F20" s="20">
        <f ca="1">IFERROR(E20-Table1[GIA NHAP]/Table1[DON VI NHAP]*(D20-H20)-((D20-H20)*'Tiền Hàng'!E20),0)</f>
        <v>5.4170514838481028</v>
      </c>
      <c r="G20" s="20">
        <v>20</v>
      </c>
      <c r="H20" s="21">
        <v>16</v>
      </c>
    </row>
    <row r="21" spans="1:8" x14ac:dyDescent="0.25">
      <c r="A21" s="26">
        <v>19</v>
      </c>
      <c r="B21" s="30" t="s">
        <v>6</v>
      </c>
      <c r="C21" s="24">
        <v>1</v>
      </c>
      <c r="D21" s="75">
        <f>C21*Table1[DON VI NHAP]+G21</f>
        <v>44</v>
      </c>
      <c r="E21" s="25">
        <f>(D21-H21)/Table1[[#This Row],[XIEN]]*Table1[Giá]</f>
        <v>0</v>
      </c>
      <c r="F21" s="20">
        <f ca="1">IFERROR(E21-Table1[GIA NHAP]/Table1[DON VI NHAP]*(D21-H21)-((D21-H21)*'Tiền Hàng'!E21),0)</f>
        <v>0</v>
      </c>
      <c r="G21" s="20">
        <v>12</v>
      </c>
      <c r="H21" s="21">
        <v>44</v>
      </c>
    </row>
    <row r="22" spans="1:8" x14ac:dyDescent="0.25">
      <c r="A22" s="26">
        <v>20</v>
      </c>
      <c r="B22" s="30" t="s">
        <v>5</v>
      </c>
      <c r="C22" s="24"/>
      <c r="D22" s="75">
        <f>C22*Table1[DON VI NHAP]+G22</f>
        <v>72</v>
      </c>
      <c r="E22" s="25">
        <f>(D22-H22)/Table1[[#This Row],[XIEN]]*Table1[Giá]</f>
        <v>67.5</v>
      </c>
      <c r="F22" s="20">
        <f ca="1">IFERROR(E22-Table1[GIA NHAP]/Table1[DON VI NHAP]*(D22-H22)-((D22-H22)*'Tiền Hàng'!E22),0)</f>
        <v>26.779567138374848</v>
      </c>
      <c r="G22" s="20">
        <v>72</v>
      </c>
      <c r="H22" s="21">
        <v>45</v>
      </c>
    </row>
    <row r="23" spans="1:8" x14ac:dyDescent="0.25">
      <c r="A23" s="26">
        <v>21</v>
      </c>
      <c r="B23" s="30" t="s">
        <v>3</v>
      </c>
      <c r="C23" s="24"/>
      <c r="D23" s="75">
        <f>C23*Table1[DON VI NHAP]+G23</f>
        <v>9</v>
      </c>
      <c r="E23" s="25">
        <f>(D23-H23)/Table1[[#This Row],[XIEN]]*Table1[Giá]</f>
        <v>10</v>
      </c>
      <c r="F23" s="20">
        <f ca="1">IFERROR(E23-Table1[GIA NHAP]/Table1[DON VI NHAP]*(D23-H23)-((D23-H23)*'Tiền Hàng'!E23),0)</f>
        <v>3.3259401227221437</v>
      </c>
      <c r="G23" s="20">
        <v>9</v>
      </c>
      <c r="H23" s="21">
        <v>6</v>
      </c>
    </row>
    <row r="24" spans="1:8" x14ac:dyDescent="0.25">
      <c r="A24" s="26">
        <v>22</v>
      </c>
      <c r="B24" s="30" t="s">
        <v>2</v>
      </c>
      <c r="C24" s="24"/>
      <c r="D24" s="75">
        <f>C24*Table1[DON VI NHAP]+G24</f>
        <v>11</v>
      </c>
      <c r="E24" s="25">
        <f>(D24-H24)/Table1[[#This Row],[XIEN]]*Table1[Giá]</f>
        <v>80</v>
      </c>
      <c r="F24" s="20">
        <f ca="1">IFERROR(E24-Table1[GIA NHAP]/Table1[DON VI NHAP]*(D24-H24)-((D24-H24)*'Tiền Hàng'!E24),0)</f>
        <v>33.079336620349622</v>
      </c>
      <c r="G24" s="20">
        <v>11</v>
      </c>
      <c r="H24" s="21">
        <v>3</v>
      </c>
    </row>
    <row r="25" spans="1:8" x14ac:dyDescent="0.25">
      <c r="A25" s="26">
        <v>23</v>
      </c>
      <c r="B25" s="30" t="s">
        <v>70</v>
      </c>
      <c r="C25" s="24"/>
      <c r="D25" s="75">
        <f>C25*Table1[DON VI NHAP]+G25</f>
        <v>13</v>
      </c>
      <c r="E25" s="25">
        <f>(D25-H25)/Table1[[#This Row],[XIEN]]*Table1[Giá]</f>
        <v>0</v>
      </c>
      <c r="F25" s="20">
        <f ca="1">IFERROR(E25-Table1[GIA NHAP]/Table1[DON VI NHAP]*(D25-H25)-((D25-H25)*'Tiền Hàng'!E25),0)</f>
        <v>0</v>
      </c>
      <c r="G25" s="20">
        <v>13</v>
      </c>
      <c r="H25" s="21">
        <v>13</v>
      </c>
    </row>
    <row r="26" spans="1:8" x14ac:dyDescent="0.25">
      <c r="A26" s="26">
        <v>24</v>
      </c>
      <c r="B26" s="30" t="s">
        <v>0</v>
      </c>
      <c r="C26" s="24"/>
      <c r="D26" s="75">
        <f>C26*Table1[DON VI NHAP]+G26</f>
        <v>29</v>
      </c>
      <c r="E26" s="25">
        <f>(D26-H26)/Table1[[#This Row],[XIEN]]*Table1[Giá]</f>
        <v>5</v>
      </c>
      <c r="F26" s="20">
        <f ca="1">IFERROR(E26-Table1[GIA NHAP]/Table1[DON VI NHAP]*(D26-H26)-((D26-H26)*'Tiền Hàng'!E26),0)</f>
        <v>2.0674585387718514</v>
      </c>
      <c r="G26" s="20">
        <v>29</v>
      </c>
      <c r="H26" s="21">
        <v>28</v>
      </c>
    </row>
    <row r="27" spans="1:8" x14ac:dyDescent="0.25">
      <c r="A27" s="26">
        <v>25</v>
      </c>
      <c r="B27" s="31" t="s">
        <v>40</v>
      </c>
      <c r="C27" s="24"/>
      <c r="D27" s="75">
        <f>C27*Table1[DON VI NHAP]+G27</f>
        <v>0</v>
      </c>
      <c r="E27" s="25">
        <f>(D27-H27)/Table1[[#This Row],[XIEN]]*Table1[Giá]</f>
        <v>0</v>
      </c>
      <c r="F27" s="20">
        <f ca="1">IFERROR(E27-Table1[GIA NHAP]/Table1[DON VI NHAP]*(D27-H27)-((D27-H27)*'Tiền Hàng'!E27),0)</f>
        <v>0</v>
      </c>
      <c r="G27" s="20"/>
      <c r="H27" s="21"/>
    </row>
    <row r="28" spans="1:8" x14ac:dyDescent="0.25">
      <c r="A28" s="26">
        <v>26</v>
      </c>
      <c r="B28" s="31" t="s">
        <v>41</v>
      </c>
      <c r="C28" s="24"/>
      <c r="D28" s="75">
        <f>C28*Table1[DON VI NHAP]+G28</f>
        <v>15</v>
      </c>
      <c r="E28" s="25">
        <f>(D28-H28)/Table1[[#This Row],[XIEN]]*Table1[Giá]</f>
        <v>20</v>
      </c>
      <c r="F28" s="20">
        <f ca="1">IFERROR(E28-Table1[GIA NHAP]/Table1[DON VI NHAP]*(D28-H28)-((D28-H28)*'Tiền Hàng'!E28),0)</f>
        <v>7.8788286269236512</v>
      </c>
      <c r="G28" s="20">
        <v>15</v>
      </c>
      <c r="H28" s="21">
        <v>13</v>
      </c>
    </row>
    <row r="29" spans="1:8" x14ac:dyDescent="0.25">
      <c r="A29" s="26">
        <v>27</v>
      </c>
      <c r="B29" s="31" t="s">
        <v>42</v>
      </c>
      <c r="C29" s="24"/>
      <c r="D29" s="75">
        <f>C29*Table1[DON VI NHAP]+G29</f>
        <v>6</v>
      </c>
      <c r="E29" s="25">
        <f>(D29-H29)/Table1[[#This Row],[XIEN]]*Table1[Giá]</f>
        <v>24</v>
      </c>
      <c r="F29" s="20">
        <f ca="1">IFERROR(E29-Table1[GIA NHAP]/Table1[DON VI NHAP]*(D29-H29)-((D29-H29)*'Tiền Hàng'!E29),0)</f>
        <v>7.0890109069176752</v>
      </c>
      <c r="G29" s="20">
        <v>6</v>
      </c>
      <c r="H29" s="21">
        <v>4</v>
      </c>
    </row>
    <row r="30" spans="1:8" x14ac:dyDescent="0.25">
      <c r="A30" s="26">
        <v>28</v>
      </c>
      <c r="B30" s="31" t="s">
        <v>43</v>
      </c>
      <c r="C30" s="24"/>
      <c r="D30" s="75">
        <f>C30*Table1[DON VI NHAP]+G30</f>
        <v>22</v>
      </c>
      <c r="E30" s="25">
        <f>(D30-H30)/Table1[[#This Row],[XIEN]]*Table1[Giá]</f>
        <v>24</v>
      </c>
      <c r="F30" s="20">
        <f ca="1">IFERROR(E30-Table1[GIA NHAP]/Table1[DON VI NHAP]*(D30-H30)-((D30-H30)*'Tiền Hàng'!E30),0)</f>
        <v>12.074331391005529</v>
      </c>
      <c r="G30" s="20">
        <v>22</v>
      </c>
      <c r="H30" s="21">
        <v>20</v>
      </c>
    </row>
  </sheetData>
  <sheetProtection formatCells="0" formatColumns="0" formatRows="0" insertColumns="0" insertRows="0" insertHyperlinks="0" deleteColumns="0" deleteRows="0" sort="0" autoFilter="0" pivotTables="0"/>
  <autoFilter ref="A1:H30"/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5361" r:id="rId4" name="Button 1">
              <controlPr defaultSize="0" print="0" autoFill="0" autoPict="0" macro="[0]!Macro1">
                <anchor moveWithCells="1" sizeWithCells="1">
                  <from>
                    <xdr:col>2</xdr:col>
                    <xdr:colOff>9525</xdr:colOff>
                    <xdr:row>0</xdr:row>
                    <xdr:rowOff>0</xdr:rowOff>
                  </from>
                  <to>
                    <xdr:col>3</xdr:col>
                    <xdr:colOff>9525</xdr:colOff>
                    <xdr:row>1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1">
    <tabColor theme="0"/>
  </sheetPr>
  <dimension ref="A1:K30"/>
  <sheetViews>
    <sheetView tabSelected="1" zoomScale="90" zoomScaleNormal="90" workbookViewId="0">
      <pane ySplit="2" topLeftCell="A3" activePane="bottomLeft" state="frozen"/>
      <selection pane="bottomLeft" activeCell="L12" sqref="L12"/>
    </sheetView>
  </sheetViews>
  <sheetFormatPr defaultRowHeight="15" x14ac:dyDescent="0.25"/>
  <cols>
    <col min="1" max="1" width="5" style="16" bestFit="1" customWidth="1"/>
    <col min="2" max="2" width="25.7109375" style="16" bestFit="1" customWidth="1"/>
    <col min="3" max="3" width="12.28515625" style="16" customWidth="1"/>
    <col min="4" max="4" width="12.140625" style="16" customWidth="1"/>
    <col min="5" max="5" width="14.42578125" style="16" customWidth="1"/>
    <col min="6" max="6" width="14.140625" style="16" customWidth="1"/>
    <col min="7" max="8" width="20.28515625" style="16" customWidth="1"/>
    <col min="9" max="16384" width="9.140625" style="16"/>
  </cols>
  <sheetData>
    <row r="1" spans="1:11" s="12" customFormat="1" ht="21" customHeight="1" x14ac:dyDescent="0.25">
      <c r="A1" s="32" t="s">
        <v>27</v>
      </c>
      <c r="B1" s="32" t="s">
        <v>25</v>
      </c>
      <c r="C1" s="13" t="s">
        <v>28</v>
      </c>
      <c r="D1" s="22" t="s">
        <v>32</v>
      </c>
      <c r="E1" s="35" t="s">
        <v>29</v>
      </c>
      <c r="F1" s="36" t="s">
        <v>30</v>
      </c>
      <c r="G1" s="33" t="s">
        <v>38</v>
      </c>
      <c r="H1" s="34" t="s">
        <v>31</v>
      </c>
      <c r="I1" s="41"/>
      <c r="J1" s="42"/>
    </row>
    <row r="2" spans="1:11" s="15" customFormat="1" ht="14.25" customHeight="1" x14ac:dyDescent="0.25">
      <c r="A2" s="17"/>
      <c r="B2" s="17"/>
      <c r="C2" s="13"/>
      <c r="D2" s="18">
        <f>SUBTOTAL(9,$D$3:$D$282)</f>
        <v>875</v>
      </c>
      <c r="E2" s="18">
        <f>SUBTOTAL(9,E3:E101)</f>
        <v>606.83333333333326</v>
      </c>
      <c r="F2" s="19">
        <f ca="1">SUBTOTAL(9,F3:F101)</f>
        <v>259.60037067660812</v>
      </c>
      <c r="G2" s="18"/>
      <c r="H2" s="14"/>
    </row>
    <row r="3" spans="1:11" x14ac:dyDescent="0.25">
      <c r="A3" s="26">
        <v>1</v>
      </c>
      <c r="B3" s="30" t="s">
        <v>23</v>
      </c>
      <c r="C3" s="24"/>
      <c r="D3" s="75">
        <f>C3*Table1[DON VI NHAP]+G3</f>
        <v>80</v>
      </c>
      <c r="E3" s="25">
        <f>(D3-H3)/Table1[[#This Row],[XIEN]]*Table1[Giá]</f>
        <v>24</v>
      </c>
      <c r="F3" s="20">
        <f ca="1">IFERROR(E3-Table1[GIA NHAP]/Table1[DON VI NHAP]*(D3-H3)-((D3-H3)*'Tiền Hàng'!E3),0)</f>
        <v>12.739040788883907</v>
      </c>
      <c r="G3" s="20">
        <v>80</v>
      </c>
      <c r="H3" s="21">
        <v>56</v>
      </c>
      <c r="K3" s="43"/>
    </row>
    <row r="4" spans="1:11" x14ac:dyDescent="0.25">
      <c r="A4" s="26">
        <v>2</v>
      </c>
      <c r="B4" s="30" t="s">
        <v>22</v>
      </c>
      <c r="C4" s="24"/>
      <c r="D4" s="75">
        <f>C4*Table1[DON VI NHAP]+G4</f>
        <v>88</v>
      </c>
      <c r="E4" s="25">
        <f>(D4-H4)/Table1[[#This Row],[XIEN]]*Table1[Giá]</f>
        <v>24</v>
      </c>
      <c r="F4" s="20">
        <f ca="1">IFERROR(E4-Table1[GIA NHAP]/Table1[DON VI NHAP]*(D4-H4)-((D4-H4)*'Tiền Hàng'!E4),0)</f>
        <v>12.739040788883907</v>
      </c>
      <c r="G4" s="20">
        <v>88</v>
      </c>
      <c r="H4" s="21">
        <v>64</v>
      </c>
      <c r="I4" s="29"/>
      <c r="K4" s="43"/>
    </row>
    <row r="5" spans="1:11" x14ac:dyDescent="0.25">
      <c r="A5" s="26">
        <v>3</v>
      </c>
      <c r="B5" s="30" t="s">
        <v>21</v>
      </c>
      <c r="C5" s="24">
        <v>1</v>
      </c>
      <c r="D5" s="75">
        <f>C5*Table1[DON VI NHAP]+G5</f>
        <v>114</v>
      </c>
      <c r="E5" s="25">
        <f>(D5-H5)/Table1[[#This Row],[XIEN]]*Table1[Giá]</f>
        <v>56</v>
      </c>
      <c r="F5" s="20">
        <f ca="1">IFERROR(E5-Table1[GIA NHAP]/Table1[DON VI NHAP]*(D5-H5)-((D5-H5)*'Tiền Hàng'!E5),0)</f>
        <v>28.082205289108025</v>
      </c>
      <c r="G5" s="20">
        <v>34</v>
      </c>
      <c r="H5" s="21">
        <v>58</v>
      </c>
      <c r="K5" s="43"/>
    </row>
    <row r="6" spans="1:11" x14ac:dyDescent="0.25">
      <c r="A6" s="26">
        <v>4</v>
      </c>
      <c r="B6" s="30" t="s">
        <v>20</v>
      </c>
      <c r="C6" s="24"/>
      <c r="D6" s="75">
        <f>C6*Table1[DON VI NHAP]+G6</f>
        <v>97</v>
      </c>
      <c r="E6" s="25">
        <f>(D6-H6)/Table1[[#This Row],[XIEN]]*Table1[Giá]</f>
        <v>9</v>
      </c>
      <c r="F6" s="20">
        <f ca="1">IFERROR(E6-Table1[GIA NHAP]/Table1[DON VI NHAP]*(D6-H6)-((D6-H6)*'Tiền Hàng'!E6),0)</f>
        <v>4.5132115643209332</v>
      </c>
      <c r="G6" s="20">
        <v>97</v>
      </c>
      <c r="H6" s="21">
        <v>88</v>
      </c>
      <c r="K6" s="43"/>
    </row>
    <row r="7" spans="1:11" x14ac:dyDescent="0.25">
      <c r="A7" s="26">
        <v>5</v>
      </c>
      <c r="B7" s="30" t="s">
        <v>19</v>
      </c>
      <c r="C7" s="24"/>
      <c r="D7" s="75">
        <f>C7*Table1[DON VI NHAP]+G7</f>
        <v>5</v>
      </c>
      <c r="E7" s="25">
        <f>(D7-H7)/Table1[[#This Row],[XIEN]]*Table1[Giá]</f>
        <v>40</v>
      </c>
      <c r="F7" s="20">
        <f ca="1">IFERROR(E7-Table1[GIA NHAP]/Table1[DON VI NHAP]*(D7-H7)-((D7-H7)*'Tiền Hàng'!E7),0)</f>
        <v>20.645226355894216</v>
      </c>
      <c r="G7" s="20">
        <v>5</v>
      </c>
      <c r="H7" s="21">
        <v>0</v>
      </c>
      <c r="K7" s="43"/>
    </row>
    <row r="8" spans="1:11" x14ac:dyDescent="0.25">
      <c r="A8" s="26">
        <v>6</v>
      </c>
      <c r="B8" s="30" t="s">
        <v>18</v>
      </c>
      <c r="C8" s="24"/>
      <c r="D8" s="75">
        <f>C8*Table1[DON VI NHAP]+G8</f>
        <v>13</v>
      </c>
      <c r="E8" s="25">
        <f>(D8-H8)/Table1[[#This Row],[XIEN]]*Table1[Giá]</f>
        <v>10</v>
      </c>
      <c r="F8" s="20">
        <f ca="1">IFERROR(E8-Table1[GIA NHAP]/Table1[DON VI NHAP]*(D8-H8)-((D8-H8)*'Tiền Hàng'!E8),0)</f>
        <v>3.0352140295831465</v>
      </c>
      <c r="G8" s="20">
        <v>13</v>
      </c>
      <c r="H8" s="21">
        <v>8</v>
      </c>
      <c r="K8" s="43"/>
    </row>
    <row r="9" spans="1:11" x14ac:dyDescent="0.25">
      <c r="A9" s="26">
        <v>7</v>
      </c>
      <c r="B9" s="30" t="s">
        <v>17</v>
      </c>
      <c r="C9" s="24"/>
      <c r="D9" s="75">
        <f>C9*Table1[DON VI NHAP]+G9</f>
        <v>24</v>
      </c>
      <c r="E9" s="25">
        <f>(D9-H9)/Table1[[#This Row],[XIEN]]*Table1[Giá]</f>
        <v>0</v>
      </c>
      <c r="F9" s="20">
        <f ca="1">IFERROR(E9-Table1[GIA NHAP]/Table1[DON VI NHAP]*(D9-H9)-((D9-H9)*'Tiền Hàng'!E9),0)</f>
        <v>0</v>
      </c>
      <c r="G9" s="20">
        <v>24</v>
      </c>
      <c r="H9" s="21">
        <v>24</v>
      </c>
      <c r="K9" s="43"/>
    </row>
    <row r="10" spans="1:11" x14ac:dyDescent="0.25">
      <c r="A10" s="26">
        <v>8</v>
      </c>
      <c r="B10" s="30" t="s">
        <v>16</v>
      </c>
      <c r="C10" s="24"/>
      <c r="D10" s="75">
        <f>C10*Table1[DON VI NHAP]+G10</f>
        <v>20</v>
      </c>
      <c r="E10" s="25">
        <f>(D10-H10)/Table1[[#This Row],[XIEN]]*Table1[Giá]</f>
        <v>0</v>
      </c>
      <c r="F10" s="20">
        <f ca="1">IFERROR(E10-Table1[GIA NHAP]/Table1[DON VI NHAP]*(D10-H10)-((D10-H10)*'Tiền Hàng'!E10),0)</f>
        <v>0</v>
      </c>
      <c r="G10" s="20">
        <v>20</v>
      </c>
      <c r="H10" s="21">
        <v>20</v>
      </c>
      <c r="K10" s="43"/>
    </row>
    <row r="11" spans="1:11" x14ac:dyDescent="0.25">
      <c r="A11" s="26">
        <v>9</v>
      </c>
      <c r="B11" s="30" t="s">
        <v>15</v>
      </c>
      <c r="C11" s="24"/>
      <c r="D11" s="75">
        <f>C11*Table1[DON VI NHAP]+G11</f>
        <v>27</v>
      </c>
      <c r="E11" s="25">
        <f>(D11-H11)/Table1[[#This Row],[XIEN]]*Table1[Giá]</f>
        <v>0</v>
      </c>
      <c r="F11" s="20">
        <f ca="1">IFERROR(E11-Table1[GIA NHAP]/Table1[DON VI NHAP]*(D11-H11)-((D11-H11)*'Tiền Hàng'!E11),0)</f>
        <v>0</v>
      </c>
      <c r="G11" s="20">
        <v>27</v>
      </c>
      <c r="H11" s="21">
        <v>27</v>
      </c>
    </row>
    <row r="12" spans="1:11" x14ac:dyDescent="0.25">
      <c r="A12" s="26">
        <v>10</v>
      </c>
      <c r="B12" s="30" t="s">
        <v>14</v>
      </c>
      <c r="C12" s="24"/>
      <c r="D12" s="75">
        <f>C12*Table1[DON VI NHAP]+G12</f>
        <v>29</v>
      </c>
      <c r="E12" s="25">
        <f>(D12-H12)/Table1[[#This Row],[XIEN]]*Table1[Giá]</f>
        <v>0</v>
      </c>
      <c r="F12" s="20">
        <f ca="1">IFERROR(E12-Table1[GIA NHAP]/Table1[DON VI NHAP]*(D12-H12)-((D12-H12)*'Tiền Hàng'!E12),0)</f>
        <v>0</v>
      </c>
      <c r="G12" s="20">
        <v>29</v>
      </c>
      <c r="H12" s="21">
        <v>29</v>
      </c>
    </row>
    <row r="13" spans="1:11" x14ac:dyDescent="0.25">
      <c r="A13" s="26">
        <v>11</v>
      </c>
      <c r="B13" s="30" t="s">
        <v>4</v>
      </c>
      <c r="C13" s="24"/>
      <c r="D13" s="75">
        <f>C13*Table1[DON VI NHAP]+G13</f>
        <v>31</v>
      </c>
      <c r="E13" s="25">
        <f>(D13-H13)/Table1[[#This Row],[XIEN]]*Table1[Giá]</f>
        <v>21.333333333333332</v>
      </c>
      <c r="F13" s="20">
        <f ca="1">IFERROR(E13-Table1[GIA NHAP]/Table1[DON VI NHAP]*(D13-H13)-((D13-H13)*'Tiền Hàng'!E13),0)</f>
        <v>7.2571343194382179</v>
      </c>
      <c r="G13" s="20">
        <v>31</v>
      </c>
      <c r="H13" s="21">
        <v>23</v>
      </c>
    </row>
    <row r="14" spans="1:11" x14ac:dyDescent="0.25">
      <c r="A14" s="26">
        <v>12</v>
      </c>
      <c r="B14" s="30" t="s">
        <v>69</v>
      </c>
      <c r="C14" s="24"/>
      <c r="D14" s="75">
        <f>C14*Table1[DON VI NHAP]+G14</f>
        <v>74</v>
      </c>
      <c r="E14" s="25">
        <f>(D14-H14)/Table1[[#This Row],[XIEN]]*Table1[Giá]</f>
        <v>50.666666666666664</v>
      </c>
      <c r="F14" s="20">
        <f ca="1">IFERROR(E14-Table1[GIA NHAP]/Table1[DON VI NHAP]*(D14-H14)-((D14-H14)*'Tiền Hàng'!E14),0)</f>
        <v>17.235694008665767</v>
      </c>
      <c r="G14" s="20">
        <v>74</v>
      </c>
      <c r="H14" s="21">
        <v>55</v>
      </c>
    </row>
    <row r="15" spans="1:11" x14ac:dyDescent="0.25">
      <c r="A15" s="26">
        <v>13</v>
      </c>
      <c r="B15" s="30" t="s">
        <v>12</v>
      </c>
      <c r="C15" s="24"/>
      <c r="D15" s="75">
        <f>C15*Table1[DON VI NHAP]+G15</f>
        <v>39</v>
      </c>
      <c r="E15" s="25">
        <f>(D15-H15)/Table1[[#This Row],[XIEN]]*Table1[Giá]</f>
        <v>60</v>
      </c>
      <c r="F15" s="20">
        <f ca="1">IFERROR(E15-Table1[GIA NHAP]/Table1[DON VI NHAP]*(D15-H15)-((D15-H15)*'Tiền Hàng'!E15),0)</f>
        <v>28.328552218735993</v>
      </c>
      <c r="G15" s="20">
        <v>39</v>
      </c>
      <c r="H15" s="21">
        <v>21</v>
      </c>
    </row>
    <row r="16" spans="1:11" x14ac:dyDescent="0.25">
      <c r="A16" s="26">
        <v>14</v>
      </c>
      <c r="B16" s="30" t="s">
        <v>11</v>
      </c>
      <c r="C16" s="24"/>
      <c r="D16" s="75">
        <f>C16*Table1[DON VI NHAP]+G16</f>
        <v>12</v>
      </c>
      <c r="E16" s="25">
        <f>(D16-H16)/Table1[[#This Row],[XIEN]]*Table1[Giá]</f>
        <v>0</v>
      </c>
      <c r="F16" s="20">
        <f ca="1">IFERROR(E16-Table1[GIA NHAP]/Table1[DON VI NHAP]*(D16-H16)-((D16-H16)*'Tiền Hàng'!E16),0)</f>
        <v>0</v>
      </c>
      <c r="G16" s="20">
        <v>12</v>
      </c>
      <c r="H16" s="21">
        <v>12</v>
      </c>
    </row>
    <row r="17" spans="1:8" x14ac:dyDescent="0.25">
      <c r="A17" s="26">
        <v>15</v>
      </c>
      <c r="B17" s="30" t="s">
        <v>10</v>
      </c>
      <c r="C17" s="24"/>
      <c r="D17" s="75">
        <f>C17*Table1[DON VI NHAP]+G17</f>
        <v>17</v>
      </c>
      <c r="E17" s="25">
        <f>(D17-H17)/Table1[[#This Row],[XIEN]]*Table1[Giá]</f>
        <v>10</v>
      </c>
      <c r="F17" s="20">
        <f ca="1">IFERROR(E17-Table1[GIA NHAP]/Table1[DON VI NHAP]*(D17-H17)-((D17-H17)*'Tiền Hàng'!E17),0)</f>
        <v>2.9619004930524429</v>
      </c>
      <c r="G17" s="20">
        <v>17</v>
      </c>
      <c r="H17" s="21">
        <v>14</v>
      </c>
    </row>
    <row r="18" spans="1:8" x14ac:dyDescent="0.25">
      <c r="A18" s="26">
        <v>16</v>
      </c>
      <c r="B18" s="30" t="s">
        <v>9</v>
      </c>
      <c r="C18" s="24"/>
      <c r="D18" s="75">
        <f>C18*Table1[DON VI NHAP]+G18</f>
        <v>2</v>
      </c>
      <c r="E18" s="25">
        <f>(D18-H18)/Table1[[#This Row],[XIEN]]*Table1[Giá]</f>
        <v>10</v>
      </c>
      <c r="F18" s="20">
        <f ca="1">IFERROR(E18-Table1[GIA NHAP]/Table1[DON VI NHAP]*(D18-H18)-((D18-H18)*'Tiền Hàng'!E18),0)</f>
        <v>2.1798894367249364</v>
      </c>
      <c r="G18" s="20">
        <v>2</v>
      </c>
      <c r="H18" s="21">
        <v>1</v>
      </c>
    </row>
    <row r="19" spans="1:8" x14ac:dyDescent="0.25">
      <c r="A19" s="26">
        <v>17</v>
      </c>
      <c r="B19" s="30" t="s">
        <v>8</v>
      </c>
      <c r="C19" s="24"/>
      <c r="D19" s="75">
        <f>C19*Table1[DON VI NHAP]+G19</f>
        <v>2</v>
      </c>
      <c r="E19" s="25">
        <f>(D19-H19)/Table1[[#This Row],[XIEN]]*Table1[Giá]</f>
        <v>20</v>
      </c>
      <c r="F19" s="20">
        <f ca="1">IFERROR(E19-Table1[GIA NHAP]/Table1[DON VI NHAP]*(D19-H19)-((D19-H19)*'Tiền Hàng'!E19),0)</f>
        <v>9.6774540564769147</v>
      </c>
      <c r="G19" s="20">
        <v>2</v>
      </c>
      <c r="H19" s="21">
        <v>0</v>
      </c>
    </row>
    <row r="20" spans="1:8" x14ac:dyDescent="0.25">
      <c r="A20" s="26">
        <v>18</v>
      </c>
      <c r="B20" s="30" t="s">
        <v>7</v>
      </c>
      <c r="C20" s="24"/>
      <c r="D20" s="75">
        <f>C20*Table1[DON VI NHAP]+G20</f>
        <v>16</v>
      </c>
      <c r="E20" s="25">
        <f>(D20-H20)/Table1[[#This Row],[XIEN]]*Table1[Giá]</f>
        <v>10</v>
      </c>
      <c r="F20" s="20">
        <f ca="1">IFERROR(E20-Table1[GIA NHAP]/Table1[DON VI NHAP]*(D20-H20)-((D20-H20)*'Tiền Hàng'!E20),0)</f>
        <v>5.4170514838481028</v>
      </c>
      <c r="G20" s="20">
        <v>16</v>
      </c>
      <c r="H20" s="21">
        <v>12</v>
      </c>
    </row>
    <row r="21" spans="1:8" x14ac:dyDescent="0.25">
      <c r="A21" s="26">
        <v>19</v>
      </c>
      <c r="B21" s="30" t="s">
        <v>6</v>
      </c>
      <c r="C21" s="24"/>
      <c r="D21" s="75">
        <f>C21*Table1[DON VI NHAP]+G21</f>
        <v>44</v>
      </c>
      <c r="E21" s="25">
        <f>(D21-H21)/Table1[[#This Row],[XIEN]]*Table1[Giá]</f>
        <v>40</v>
      </c>
      <c r="F21" s="20">
        <f ca="1">IFERROR(E21-Table1[GIA NHAP]/Table1[DON VI NHAP]*(D21-H21)-((D21-H21)*'Tiền Hàng'!E21),0)</f>
        <v>17.712684894666069</v>
      </c>
      <c r="G21" s="20">
        <v>44</v>
      </c>
      <c r="H21" s="21">
        <v>28</v>
      </c>
    </row>
    <row r="22" spans="1:8" x14ac:dyDescent="0.25">
      <c r="A22" s="26">
        <v>20</v>
      </c>
      <c r="B22" s="30" t="s">
        <v>5</v>
      </c>
      <c r="C22" s="24"/>
      <c r="D22" s="75">
        <f>C22*Table1[DON VI NHAP]+G22</f>
        <v>45</v>
      </c>
      <c r="E22" s="25">
        <f>(D22-H22)/Table1[[#This Row],[XIEN]]*Table1[Giá]</f>
        <v>52.5</v>
      </c>
      <c r="F22" s="20">
        <f ca="1">IFERROR(E22-Table1[GIA NHAP]/Table1[DON VI NHAP]*(D22-H22)-((D22-H22)*'Tiền Hàng'!E22),0)</f>
        <v>20.828552218735989</v>
      </c>
      <c r="G22" s="20">
        <v>45</v>
      </c>
      <c r="H22" s="21">
        <v>24</v>
      </c>
    </row>
    <row r="23" spans="1:8" x14ac:dyDescent="0.25">
      <c r="A23" s="26">
        <v>6</v>
      </c>
      <c r="B23" s="30" t="s">
        <v>3</v>
      </c>
      <c r="C23" s="24"/>
      <c r="D23" s="75">
        <f>C23*Table1[DON VI NHAP]+G23</f>
        <v>6</v>
      </c>
      <c r="E23" s="25">
        <f>(D23-H23)/Table1[[#This Row],[XIEN]]*Table1[Giá]</f>
        <v>0</v>
      </c>
      <c r="F23" s="20">
        <f ca="1">IFERROR(E23-Table1[GIA NHAP]/Table1[DON VI NHAP]*(D23-H23)-((D23-H23)*'Tiền Hàng'!E23),0)</f>
        <v>0</v>
      </c>
      <c r="G23" s="20">
        <v>6</v>
      </c>
      <c r="H23" s="21">
        <v>6</v>
      </c>
    </row>
    <row r="24" spans="1:8" x14ac:dyDescent="0.25">
      <c r="A24" s="26">
        <v>22</v>
      </c>
      <c r="B24" s="30" t="s">
        <v>2</v>
      </c>
      <c r="C24" s="24">
        <v>1</v>
      </c>
      <c r="D24" s="75">
        <f>C24*Table1[DON VI NHAP]+G24</f>
        <v>12</v>
      </c>
      <c r="E24" s="25">
        <f>(D24-H24)/Table1[[#This Row],[XIEN]]*Table1[Giá]</f>
        <v>60</v>
      </c>
      <c r="F24" s="20">
        <f ca="1">IFERROR(E24-Table1[GIA NHAP]/Table1[DON VI NHAP]*(D24-H24)-((D24-H24)*'Tiền Hàng'!E24),0)</f>
        <v>24.809502465262213</v>
      </c>
      <c r="G24" s="20">
        <v>3</v>
      </c>
      <c r="H24" s="21">
        <v>6</v>
      </c>
    </row>
    <row r="25" spans="1:8" x14ac:dyDescent="0.25">
      <c r="A25" s="26">
        <v>23</v>
      </c>
      <c r="B25" s="30" t="s">
        <v>70</v>
      </c>
      <c r="C25" s="24"/>
      <c r="D25" s="75">
        <f>C25*Table1[DON VI NHAP]+G25</f>
        <v>13</v>
      </c>
      <c r="E25" s="25">
        <f>(D25-H25)/Table1[[#This Row],[XIEN]]*Table1[Giá]</f>
        <v>13.333333333333332</v>
      </c>
      <c r="F25" s="20">
        <f ca="1">IFERROR(E25-Table1[GIA NHAP]/Table1[DON VI NHAP]*(D25-H25)-((D25-H25)*'Tiền Hàng'!E25),0)</f>
        <v>4.2843482529721868</v>
      </c>
      <c r="G25" s="20">
        <v>13</v>
      </c>
      <c r="H25" s="21">
        <v>9</v>
      </c>
    </row>
    <row r="26" spans="1:8" x14ac:dyDescent="0.25">
      <c r="A26" s="26">
        <v>24</v>
      </c>
      <c r="B26" s="30" t="s">
        <v>0</v>
      </c>
      <c r="C26" s="24"/>
      <c r="D26" s="75">
        <f>C26*Table1[DON VI NHAP]+G26</f>
        <v>28</v>
      </c>
      <c r="E26" s="25">
        <f>(D26-H26)/Table1[[#This Row],[XIEN]]*Table1[Giá]</f>
        <v>20</v>
      </c>
      <c r="F26" s="20">
        <f ca="1">IFERROR(E26-Table1[GIA NHAP]/Table1[DON VI NHAP]*(D26-H26)-((D26-H26)*'Tiền Hàng'!E26),0)</f>
        <v>8.2698341550874055</v>
      </c>
      <c r="G26" s="20">
        <v>28</v>
      </c>
      <c r="H26" s="21">
        <v>24</v>
      </c>
    </row>
    <row r="27" spans="1:8" x14ac:dyDescent="0.25">
      <c r="A27" s="26">
        <v>25</v>
      </c>
      <c r="B27" s="31" t="s">
        <v>40</v>
      </c>
      <c r="C27" s="24"/>
      <c r="D27" s="75">
        <f>C27*Table1[DON VI NHAP]+G27</f>
        <v>0</v>
      </c>
      <c r="E27" s="25">
        <f>(D27-H27)/Table1[[#This Row],[XIEN]]*Table1[Giá]</f>
        <v>0</v>
      </c>
      <c r="F27" s="20">
        <f ca="1">IFERROR(E27-Table1[GIA NHAP]/Table1[DON VI NHAP]*(D27-H27)-((D27-H27)*'Tiền Hàng'!E27),0)</f>
        <v>0</v>
      </c>
      <c r="G27" s="20"/>
      <c r="H27" s="21"/>
    </row>
    <row r="28" spans="1:8" x14ac:dyDescent="0.25">
      <c r="A28" s="26">
        <v>26</v>
      </c>
      <c r="B28" s="31" t="s">
        <v>41</v>
      </c>
      <c r="C28" s="24"/>
      <c r="D28" s="75">
        <f>C28*Table1[DON VI NHAP]+G28</f>
        <v>13</v>
      </c>
      <c r="E28" s="25">
        <f>(D28-H28)/Table1[[#This Row],[XIEN]]*Table1[Giá]</f>
        <v>40</v>
      </c>
      <c r="F28" s="20">
        <f ca="1">IFERROR(E28-Table1[GIA NHAP]/Table1[DON VI NHAP]*(D28-H28)-((D28-H28)*'Tiền Hàng'!E28),0)</f>
        <v>15.757657253847302</v>
      </c>
      <c r="G28" s="20">
        <v>13</v>
      </c>
      <c r="H28" s="21">
        <v>9</v>
      </c>
    </row>
    <row r="29" spans="1:8" x14ac:dyDescent="0.25">
      <c r="A29" s="26">
        <v>27</v>
      </c>
      <c r="B29" s="31" t="s">
        <v>42</v>
      </c>
      <c r="C29" s="24"/>
      <c r="D29" s="75">
        <f>C29*Table1[DON VI NHAP]+G29</f>
        <v>4</v>
      </c>
      <c r="E29" s="25">
        <f>(D29-H29)/Table1[[#This Row],[XIEN]]*Table1[Giá]</f>
        <v>24</v>
      </c>
      <c r="F29" s="20">
        <f ca="1">IFERROR(E29-Table1[GIA NHAP]/Table1[DON VI NHAP]*(D29-H29)-((D29-H29)*'Tiền Hàng'!E29),0)</f>
        <v>7.0890109069176752</v>
      </c>
      <c r="G29" s="20">
        <v>4</v>
      </c>
      <c r="H29" s="21">
        <v>2</v>
      </c>
    </row>
    <row r="30" spans="1:8" x14ac:dyDescent="0.25">
      <c r="A30" s="26">
        <v>28</v>
      </c>
      <c r="B30" s="31" t="s">
        <v>43</v>
      </c>
      <c r="C30" s="24"/>
      <c r="D30" s="75">
        <f>C30*Table1[DON VI NHAP]+G30</f>
        <v>20</v>
      </c>
      <c r="E30" s="25">
        <f>(D30-H30)/Table1[[#This Row],[XIEN]]*Table1[Giá]</f>
        <v>12</v>
      </c>
      <c r="F30" s="20">
        <f ca="1">IFERROR(E30-Table1[GIA NHAP]/Table1[DON VI NHAP]*(D30-H30)-((D30-H30)*'Tiền Hàng'!E30),0)</f>
        <v>6.0371656955027646</v>
      </c>
      <c r="G30" s="20">
        <v>20</v>
      </c>
      <c r="H30" s="21">
        <v>19</v>
      </c>
    </row>
  </sheetData>
  <sheetProtection formatCells="0" formatColumns="0" formatRows="0" insertColumns="0" insertRows="0" insertHyperlinks="0" deleteColumns="0" deleteRows="0" sort="0" autoFilter="0" pivotTables="0"/>
  <autoFilter ref="A1:H30"/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9457" r:id="rId4" name="Button 1">
              <controlPr defaultSize="0" print="0" autoFill="0" autoPict="0" macro="[0]!Macro1">
                <anchor moveWithCells="1" sizeWithCells="1">
                  <from>
                    <xdr:col>2</xdr:col>
                    <xdr:colOff>9525</xdr:colOff>
                    <xdr:row>0</xdr:row>
                    <xdr:rowOff>0</xdr:rowOff>
                  </from>
                  <to>
                    <xdr:col>3</xdr:col>
                    <xdr:colOff>9525</xdr:colOff>
                    <xdr:row>1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11</vt:i4>
      </vt:variant>
    </vt:vector>
  </HeadingPairs>
  <TitlesOfParts>
    <vt:vector size="11" baseType="lpstr">
      <vt:lpstr>Quy cách</vt:lpstr>
      <vt:lpstr>Chi phí</vt:lpstr>
      <vt:lpstr>Tiền Hàng</vt:lpstr>
      <vt:lpstr>00</vt:lpstr>
      <vt:lpstr>2</vt:lpstr>
      <vt:lpstr>3</vt:lpstr>
      <vt:lpstr>4</vt:lpstr>
      <vt:lpstr>5</vt:lpstr>
      <vt:lpstr>6</vt:lpstr>
      <vt:lpstr>7</vt:lpstr>
      <vt:lpstr>8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Windows User</dc:creator>
  <cp:lastModifiedBy>Windows User</cp:lastModifiedBy>
  <dcterms:created xsi:type="dcterms:W3CDTF">2022-01-02T01:33:03Z</dcterms:created>
  <dcterms:modified xsi:type="dcterms:W3CDTF">2022-01-09T01:29:55Z</dcterms:modified>
</cp:coreProperties>
</file>