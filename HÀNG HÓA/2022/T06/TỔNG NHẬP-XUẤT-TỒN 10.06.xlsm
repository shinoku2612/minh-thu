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6\"/>
    </mc:Choice>
  </mc:AlternateContent>
  <bookViews>
    <workbookView xWindow="0" yWindow="0" windowWidth="20400" windowHeight="7620" tabRatio="925" firstSheet="1"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5)" sheetId="931" r:id="rId13"/>
    <sheet name="Thanh Toán (14)" sheetId="930" r:id="rId14"/>
    <sheet name="Thanh Toán (13)" sheetId="929" r:id="rId15"/>
    <sheet name="Thanh Toán (12)" sheetId="928" r:id="rId16"/>
    <sheet name="Thanh Toán (11)" sheetId="927" r:id="rId17"/>
    <sheet name="Thanh Toán (10)" sheetId="926" r:id="rId18"/>
    <sheet name="Thanh Toán (9)" sheetId="925" r:id="rId19"/>
    <sheet name="Thanh Toán (8)" sheetId="924" r:id="rId20"/>
    <sheet name="Thanh Toán (7)" sheetId="923" r:id="rId21"/>
    <sheet name="Thanh Toán (6)" sheetId="922" r:id="rId22"/>
    <sheet name="Thanh Toán (5)" sheetId="921" r:id="rId23"/>
    <sheet name="Thanh Toán (4)" sheetId="920" r:id="rId24"/>
    <sheet name="Thanh Toán (3)" sheetId="919" r:id="rId25"/>
    <sheet name="Thanh Toán (2)" sheetId="918" r:id="rId26"/>
    <sheet name="DS KHÁCH HÀNG KM (2)" sheetId="76" state="hidden" r:id="rId27"/>
  </sheets>
  <definedNames>
    <definedName name="_xlnm._FilterDatabase" localSheetId="9" hidden="1">'Chi phí'!$A$6:$E$29</definedName>
    <definedName name="_xlnm._FilterDatabase" localSheetId="26"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7">'Thanh Toán (10)'!$C$1:$H$38</definedName>
    <definedName name="_xlnm.Print_Area" localSheetId="16">'Thanh Toán (11)'!$C$1:$H$38</definedName>
    <definedName name="_xlnm.Print_Area" localSheetId="15">'Thanh Toán (12)'!$C$1:$H$38</definedName>
    <definedName name="_xlnm.Print_Area" localSheetId="14">'Thanh Toán (13)'!$C$1:$H$38</definedName>
    <definedName name="_xlnm.Print_Area" localSheetId="13">'Thanh Toán (14)'!$C$1:$H$38</definedName>
    <definedName name="_xlnm.Print_Area" localSheetId="12">'Thanh Toán (15)'!$C$1:$H$38</definedName>
    <definedName name="_xlnm.Print_Area" localSheetId="25">'Thanh Toán (2)'!$C$1:$H$38</definedName>
    <definedName name="_xlnm.Print_Area" localSheetId="24">'Thanh Toán (3)'!$C$1:$H$38</definedName>
    <definedName name="_xlnm.Print_Area" localSheetId="23">'Thanh Toán (4)'!$C$1:$H$38</definedName>
    <definedName name="_xlnm.Print_Area" localSheetId="22">'Thanh Toán (5)'!$C$1:$H$38</definedName>
    <definedName name="_xlnm.Print_Area" localSheetId="21">'Thanh Toán (6)'!$C$1:$H$38</definedName>
    <definedName name="_xlnm.Print_Area" localSheetId="20">'Thanh Toán (7)'!$C$1:$H$38</definedName>
    <definedName name="_xlnm.Print_Area" localSheetId="19">'Thanh Toán (8)'!$C$1:$H$38</definedName>
    <definedName name="_xlnm.Print_Area" localSheetId="18">'Thanh Toán (9)'!$C$1:$H$38</definedName>
    <definedName name="Slicer_Tên_hàng">#N/A</definedName>
  </definedNames>
  <calcPr calcId="162913"/>
  <pivotCaches>
    <pivotCache cacheId="0" r:id="rId28"/>
  </pivotCaches>
  <extLs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931" l="1"/>
  <c r="F37" i="931"/>
  <c r="E37" i="931"/>
  <c r="D37" i="931"/>
  <c r="I36" i="931"/>
  <c r="F36" i="931"/>
  <c r="E36" i="931"/>
  <c r="D36" i="931"/>
  <c r="I35" i="931"/>
  <c r="F35" i="931"/>
  <c r="E35" i="931"/>
  <c r="D35" i="931"/>
  <c r="I34" i="931"/>
  <c r="F34" i="931"/>
  <c r="E34" i="931"/>
  <c r="D34" i="931"/>
  <c r="I33" i="931"/>
  <c r="F33" i="931"/>
  <c r="E33" i="931"/>
  <c r="D33" i="931"/>
  <c r="I32" i="931"/>
  <c r="F32" i="931"/>
  <c r="E32" i="931"/>
  <c r="D32" i="931"/>
  <c r="I31" i="931"/>
  <c r="F31" i="931"/>
  <c r="E31" i="931"/>
  <c r="D31" i="931"/>
  <c r="I30" i="931"/>
  <c r="F30" i="931"/>
  <c r="E30" i="931"/>
  <c r="D30" i="931"/>
  <c r="I29" i="931"/>
  <c r="F29" i="931"/>
  <c r="E29" i="931"/>
  <c r="D29" i="931"/>
  <c r="I28" i="931"/>
  <c r="F28" i="931"/>
  <c r="E28" i="931"/>
  <c r="D28" i="931"/>
  <c r="I27" i="931"/>
  <c r="F27" i="931"/>
  <c r="E27" i="931"/>
  <c r="D27" i="931"/>
  <c r="I26" i="931"/>
  <c r="F26" i="931"/>
  <c r="E26" i="931"/>
  <c r="D26" i="931"/>
  <c r="I25" i="931"/>
  <c r="F25" i="931"/>
  <c r="E25" i="931"/>
  <c r="D25" i="931"/>
  <c r="I24" i="931"/>
  <c r="F24" i="931"/>
  <c r="E24" i="931"/>
  <c r="D24" i="931"/>
  <c r="I23" i="931"/>
  <c r="F23" i="931"/>
  <c r="E23" i="931"/>
  <c r="D23" i="931"/>
  <c r="I22" i="931"/>
  <c r="F22" i="931"/>
  <c r="E22" i="931"/>
  <c r="D22" i="931"/>
  <c r="I21" i="931"/>
  <c r="F21" i="931"/>
  <c r="E21" i="931"/>
  <c r="D21" i="931"/>
  <c r="I20" i="931"/>
  <c r="F20" i="931"/>
  <c r="E20" i="931"/>
  <c r="D20" i="931"/>
  <c r="I19" i="931"/>
  <c r="F19" i="931"/>
  <c r="E19" i="931"/>
  <c r="D19" i="931"/>
  <c r="I18" i="931"/>
  <c r="F18" i="931"/>
  <c r="E18" i="931"/>
  <c r="D18" i="931"/>
  <c r="I17" i="931"/>
  <c r="F17" i="931"/>
  <c r="E17" i="931"/>
  <c r="D17" i="931"/>
  <c r="I16" i="931"/>
  <c r="F16" i="931"/>
  <c r="E16" i="931"/>
  <c r="D16" i="931"/>
  <c r="I15" i="931"/>
  <c r="F15" i="931"/>
  <c r="E15" i="931"/>
  <c r="D15" i="931"/>
  <c r="I14" i="931"/>
  <c r="F14" i="931"/>
  <c r="E14" i="931"/>
  <c r="D14" i="931"/>
  <c r="I13" i="931"/>
  <c r="F13" i="931"/>
  <c r="E13" i="931"/>
  <c r="D13" i="931"/>
  <c r="I12" i="931"/>
  <c r="F12" i="931"/>
  <c r="E12" i="931"/>
  <c r="D12" i="931"/>
  <c r="I11" i="931"/>
  <c r="F11" i="931"/>
  <c r="E11" i="931"/>
  <c r="D11" i="931"/>
  <c r="I10" i="931"/>
  <c r="F10" i="931"/>
  <c r="E10" i="931"/>
  <c r="D10" i="931"/>
  <c r="I9" i="931"/>
  <c r="F9" i="931"/>
  <c r="E9" i="931"/>
  <c r="D9" i="931"/>
  <c r="G8" i="931"/>
  <c r="F8" i="931"/>
  <c r="I8" i="931" s="1"/>
  <c r="I7" i="931" s="1"/>
  <c r="E8" i="931"/>
  <c r="D8" i="931"/>
  <c r="C8" i="931"/>
  <c r="C9" i="931" s="1"/>
  <c r="E7" i="931"/>
  <c r="G6" i="931"/>
  <c r="G9" i="931" l="1"/>
  <c r="C10" i="931"/>
  <c r="I37" i="930"/>
  <c r="F37" i="930"/>
  <c r="E37" i="930"/>
  <c r="D37" i="930"/>
  <c r="I36" i="930"/>
  <c r="F36" i="930"/>
  <c r="E36" i="930"/>
  <c r="D36" i="930"/>
  <c r="I35" i="930"/>
  <c r="F35" i="930"/>
  <c r="E35" i="930"/>
  <c r="D35" i="930"/>
  <c r="I34" i="930"/>
  <c r="F34" i="930"/>
  <c r="E34" i="930"/>
  <c r="D34" i="930"/>
  <c r="I33" i="930"/>
  <c r="F33" i="930"/>
  <c r="E33" i="930"/>
  <c r="D33" i="930"/>
  <c r="I32" i="930"/>
  <c r="F32" i="930"/>
  <c r="E32" i="930"/>
  <c r="D32" i="930"/>
  <c r="I31" i="930"/>
  <c r="F31" i="930"/>
  <c r="E31" i="930"/>
  <c r="D31" i="930"/>
  <c r="I30" i="930"/>
  <c r="F30" i="930"/>
  <c r="E30" i="930"/>
  <c r="D30" i="930"/>
  <c r="I29" i="930"/>
  <c r="F29" i="930"/>
  <c r="E29" i="930"/>
  <c r="D29" i="930"/>
  <c r="I28" i="930"/>
  <c r="F28" i="930"/>
  <c r="E28" i="930"/>
  <c r="D28" i="930"/>
  <c r="I27" i="930"/>
  <c r="F27" i="930"/>
  <c r="E27" i="930"/>
  <c r="D27" i="930"/>
  <c r="I26" i="930"/>
  <c r="F26" i="930"/>
  <c r="E26" i="930"/>
  <c r="D26" i="930"/>
  <c r="I25" i="930"/>
  <c r="F25" i="930"/>
  <c r="E25" i="930"/>
  <c r="D25" i="930"/>
  <c r="I24" i="930"/>
  <c r="F24" i="930"/>
  <c r="E24" i="930"/>
  <c r="D24" i="930"/>
  <c r="I23" i="930"/>
  <c r="F23" i="930"/>
  <c r="E23" i="930"/>
  <c r="D23" i="930"/>
  <c r="I22" i="930"/>
  <c r="F22" i="930"/>
  <c r="E22" i="930"/>
  <c r="D22" i="930"/>
  <c r="I21" i="930"/>
  <c r="F21" i="930"/>
  <c r="E21" i="930"/>
  <c r="D21" i="930"/>
  <c r="I20" i="930"/>
  <c r="F20" i="930"/>
  <c r="E20" i="930"/>
  <c r="D20" i="930"/>
  <c r="I19" i="930"/>
  <c r="F19" i="930"/>
  <c r="E19" i="930"/>
  <c r="D19" i="930"/>
  <c r="I18" i="930"/>
  <c r="F18" i="930"/>
  <c r="E18" i="930"/>
  <c r="D18" i="930"/>
  <c r="I17" i="930"/>
  <c r="F17" i="930"/>
  <c r="E17" i="930"/>
  <c r="D17" i="930"/>
  <c r="I16" i="930"/>
  <c r="F16" i="930"/>
  <c r="E16" i="930"/>
  <c r="D16" i="930"/>
  <c r="I15" i="930"/>
  <c r="F15" i="930"/>
  <c r="E15" i="930"/>
  <c r="D15" i="930"/>
  <c r="I14" i="930"/>
  <c r="F13" i="930"/>
  <c r="E13" i="930"/>
  <c r="I13" i="930" s="1"/>
  <c r="D13" i="930"/>
  <c r="F12" i="930"/>
  <c r="I12" i="930" s="1"/>
  <c r="E12" i="930"/>
  <c r="D12" i="930"/>
  <c r="F11" i="930"/>
  <c r="I11" i="930" s="1"/>
  <c r="E11" i="930"/>
  <c r="D11" i="930"/>
  <c r="F10" i="930"/>
  <c r="E10" i="930"/>
  <c r="I10" i="930" s="1"/>
  <c r="D10" i="930"/>
  <c r="F9" i="930"/>
  <c r="E9" i="930"/>
  <c r="I9" i="930" s="1"/>
  <c r="D9" i="930"/>
  <c r="G8" i="930"/>
  <c r="F8" i="930"/>
  <c r="I8" i="930" s="1"/>
  <c r="E8" i="930"/>
  <c r="D8" i="930"/>
  <c r="C8" i="930"/>
  <c r="C9" i="930" s="1"/>
  <c r="E7" i="930"/>
  <c r="G6" i="930"/>
  <c r="I37" i="929"/>
  <c r="F37" i="929"/>
  <c r="E37" i="929"/>
  <c r="D37" i="929"/>
  <c r="I36" i="929"/>
  <c r="F36" i="929"/>
  <c r="E36" i="929"/>
  <c r="D36" i="929"/>
  <c r="I35" i="929"/>
  <c r="F35" i="929"/>
  <c r="E35" i="929"/>
  <c r="D35" i="929"/>
  <c r="I34" i="929"/>
  <c r="F34" i="929"/>
  <c r="E34" i="929"/>
  <c r="D34" i="929"/>
  <c r="I33" i="929"/>
  <c r="F33" i="929"/>
  <c r="E33" i="929"/>
  <c r="D33" i="929"/>
  <c r="I32" i="929"/>
  <c r="F32" i="929"/>
  <c r="E32" i="929"/>
  <c r="D32" i="929"/>
  <c r="I31" i="929"/>
  <c r="F31" i="929"/>
  <c r="E31" i="929"/>
  <c r="D31" i="929"/>
  <c r="I30" i="929"/>
  <c r="F30" i="929"/>
  <c r="E30" i="929"/>
  <c r="D30" i="929"/>
  <c r="I29" i="929"/>
  <c r="F29" i="929"/>
  <c r="E29" i="929"/>
  <c r="D29" i="929"/>
  <c r="I28" i="929"/>
  <c r="F28" i="929"/>
  <c r="E28" i="929"/>
  <c r="D28" i="929"/>
  <c r="I27" i="929"/>
  <c r="F27" i="929"/>
  <c r="E27" i="929"/>
  <c r="D27" i="929"/>
  <c r="I26" i="929"/>
  <c r="F26" i="929"/>
  <c r="E26" i="929"/>
  <c r="D26" i="929"/>
  <c r="I25" i="929"/>
  <c r="F25" i="929"/>
  <c r="E25" i="929"/>
  <c r="D25" i="929"/>
  <c r="I24" i="929"/>
  <c r="F24" i="929"/>
  <c r="E24" i="929"/>
  <c r="D24" i="929"/>
  <c r="I23" i="929"/>
  <c r="F23" i="929"/>
  <c r="E23" i="929"/>
  <c r="D23" i="929"/>
  <c r="I22" i="929"/>
  <c r="F22" i="929"/>
  <c r="E22" i="929"/>
  <c r="D22" i="929"/>
  <c r="I21" i="929"/>
  <c r="F21" i="929"/>
  <c r="E21" i="929"/>
  <c r="D21" i="929"/>
  <c r="I20" i="929"/>
  <c r="F20" i="929"/>
  <c r="E20" i="929"/>
  <c r="D20" i="929"/>
  <c r="I19" i="929"/>
  <c r="F19" i="929"/>
  <c r="E19" i="929"/>
  <c r="D19" i="929"/>
  <c r="I18" i="929"/>
  <c r="F18" i="929"/>
  <c r="E18" i="929"/>
  <c r="D18" i="929"/>
  <c r="I17" i="929"/>
  <c r="F17" i="929"/>
  <c r="E17" i="929"/>
  <c r="D17" i="929"/>
  <c r="I16" i="929"/>
  <c r="F16" i="929"/>
  <c r="E16" i="929"/>
  <c r="D16" i="929"/>
  <c r="I15" i="929"/>
  <c r="F15" i="929"/>
  <c r="E15" i="929"/>
  <c r="D15" i="929"/>
  <c r="I14" i="929"/>
  <c r="F14" i="929"/>
  <c r="E14" i="929"/>
  <c r="D14" i="929"/>
  <c r="I13" i="929"/>
  <c r="F13" i="929"/>
  <c r="E13" i="929"/>
  <c r="D13" i="929"/>
  <c r="F12" i="929"/>
  <c r="I12" i="929" s="1"/>
  <c r="E12" i="929"/>
  <c r="D12" i="929"/>
  <c r="F11" i="929"/>
  <c r="I11" i="929" s="1"/>
  <c r="E11" i="929"/>
  <c r="D11" i="929"/>
  <c r="F10" i="929"/>
  <c r="E10" i="929"/>
  <c r="I10" i="929" s="1"/>
  <c r="D10" i="929"/>
  <c r="F9" i="929"/>
  <c r="E9" i="929"/>
  <c r="I9" i="929" s="1"/>
  <c r="D9" i="929"/>
  <c r="G8" i="929"/>
  <c r="F8" i="929"/>
  <c r="E8" i="929"/>
  <c r="I8" i="929" s="1"/>
  <c r="D8" i="929"/>
  <c r="C8" i="929"/>
  <c r="C9" i="929" s="1"/>
  <c r="E7" i="929"/>
  <c r="G6" i="929"/>
  <c r="I37" i="928"/>
  <c r="F37" i="928"/>
  <c r="E37" i="928"/>
  <c r="D37" i="928"/>
  <c r="I36" i="928"/>
  <c r="F36" i="928"/>
  <c r="E36" i="928"/>
  <c r="D36" i="928"/>
  <c r="I35" i="928"/>
  <c r="F35" i="928"/>
  <c r="E35" i="928"/>
  <c r="D35" i="928"/>
  <c r="I34" i="928"/>
  <c r="F34" i="928"/>
  <c r="E34" i="928"/>
  <c r="D34" i="928"/>
  <c r="I33" i="928"/>
  <c r="F33" i="928"/>
  <c r="E33" i="928"/>
  <c r="D33" i="928"/>
  <c r="I32" i="928"/>
  <c r="F32" i="928"/>
  <c r="E32" i="928"/>
  <c r="D32" i="928"/>
  <c r="I31" i="928"/>
  <c r="F31" i="928"/>
  <c r="E31" i="928"/>
  <c r="D31" i="928"/>
  <c r="I30" i="928"/>
  <c r="F30" i="928"/>
  <c r="E30" i="928"/>
  <c r="D30" i="928"/>
  <c r="I29" i="928"/>
  <c r="F29" i="928"/>
  <c r="E29" i="928"/>
  <c r="D29" i="928"/>
  <c r="I28" i="928"/>
  <c r="F28" i="928"/>
  <c r="E28" i="928"/>
  <c r="D28" i="928"/>
  <c r="I27" i="928"/>
  <c r="F27" i="928"/>
  <c r="E27" i="928"/>
  <c r="D27" i="928"/>
  <c r="I26" i="928"/>
  <c r="F26" i="928"/>
  <c r="E26" i="928"/>
  <c r="D26" i="928"/>
  <c r="I25" i="928"/>
  <c r="F25" i="928"/>
  <c r="E25" i="928"/>
  <c r="D25" i="928"/>
  <c r="I24" i="928"/>
  <c r="F24" i="928"/>
  <c r="E24" i="928"/>
  <c r="D24" i="928"/>
  <c r="I23" i="928"/>
  <c r="F23" i="928"/>
  <c r="E23" i="928"/>
  <c r="D23" i="928"/>
  <c r="I22" i="928"/>
  <c r="F22" i="928"/>
  <c r="E22" i="928"/>
  <c r="D22" i="928"/>
  <c r="I21" i="928"/>
  <c r="F21" i="928"/>
  <c r="E21" i="928"/>
  <c r="D21" i="928"/>
  <c r="I20" i="928"/>
  <c r="F20" i="928"/>
  <c r="E20" i="928"/>
  <c r="D20" i="928"/>
  <c r="I19" i="928"/>
  <c r="F19" i="928"/>
  <c r="E19" i="928"/>
  <c r="D19" i="928"/>
  <c r="I18" i="928"/>
  <c r="F18" i="928"/>
  <c r="E18" i="928"/>
  <c r="D18" i="928"/>
  <c r="I17" i="928"/>
  <c r="F17" i="928"/>
  <c r="E17" i="928"/>
  <c r="D17" i="928"/>
  <c r="I16" i="928"/>
  <c r="F16" i="928"/>
  <c r="E16" i="928"/>
  <c r="D16" i="928"/>
  <c r="I15" i="928"/>
  <c r="F15" i="928"/>
  <c r="E15" i="928"/>
  <c r="D15" i="928"/>
  <c r="I14" i="928"/>
  <c r="F14" i="928"/>
  <c r="E14" i="928"/>
  <c r="D14" i="928"/>
  <c r="I13" i="928"/>
  <c r="F13" i="928"/>
  <c r="E13" i="928"/>
  <c r="D13" i="928"/>
  <c r="I12" i="928"/>
  <c r="F12" i="928"/>
  <c r="E12" i="928"/>
  <c r="D12" i="928"/>
  <c r="I11" i="928"/>
  <c r="F11" i="928"/>
  <c r="E11" i="928"/>
  <c r="D11" i="928"/>
  <c r="I10" i="928"/>
  <c r="F10" i="928"/>
  <c r="E10" i="928"/>
  <c r="D10" i="928"/>
  <c r="I9" i="928"/>
  <c r="F9" i="928"/>
  <c r="E9" i="928"/>
  <c r="D9" i="928"/>
  <c r="G8" i="928"/>
  <c r="F8" i="928"/>
  <c r="E8" i="928"/>
  <c r="I8" i="928" s="1"/>
  <c r="I7" i="928" s="1"/>
  <c r="D8" i="928"/>
  <c r="C8" i="928"/>
  <c r="C9" i="928" s="1"/>
  <c r="E7" i="928"/>
  <c r="G6" i="928"/>
  <c r="I37" i="927"/>
  <c r="F37" i="927"/>
  <c r="E37" i="927"/>
  <c r="D37" i="927"/>
  <c r="I36" i="927"/>
  <c r="F36" i="927"/>
  <c r="E36" i="927"/>
  <c r="D36" i="927"/>
  <c r="I35" i="927"/>
  <c r="F35" i="927"/>
  <c r="E35" i="927"/>
  <c r="D35" i="927"/>
  <c r="I34" i="927"/>
  <c r="F34" i="927"/>
  <c r="E34" i="927"/>
  <c r="D34" i="927"/>
  <c r="I33" i="927"/>
  <c r="F33" i="927"/>
  <c r="E33" i="927"/>
  <c r="D33" i="927"/>
  <c r="I32" i="927"/>
  <c r="F32" i="927"/>
  <c r="E32" i="927"/>
  <c r="D32" i="927"/>
  <c r="I31" i="927"/>
  <c r="F31" i="927"/>
  <c r="E31" i="927"/>
  <c r="D31" i="927"/>
  <c r="I30" i="927"/>
  <c r="F30" i="927"/>
  <c r="E30" i="927"/>
  <c r="D30" i="927"/>
  <c r="I29" i="927"/>
  <c r="F29" i="927"/>
  <c r="E29" i="927"/>
  <c r="D29" i="927"/>
  <c r="I28" i="927"/>
  <c r="F28" i="927"/>
  <c r="E28" i="927"/>
  <c r="D28" i="927"/>
  <c r="I27" i="927"/>
  <c r="F27" i="927"/>
  <c r="E27" i="927"/>
  <c r="D27" i="927"/>
  <c r="I26" i="927"/>
  <c r="F26" i="927"/>
  <c r="E26" i="927"/>
  <c r="D26" i="927"/>
  <c r="I25" i="927"/>
  <c r="F25" i="927"/>
  <c r="E25" i="927"/>
  <c r="D25" i="927"/>
  <c r="I24" i="927"/>
  <c r="F24" i="927"/>
  <c r="E24" i="927"/>
  <c r="D24" i="927"/>
  <c r="I23" i="927"/>
  <c r="F23" i="927"/>
  <c r="E23" i="927"/>
  <c r="D23" i="927"/>
  <c r="I22" i="927"/>
  <c r="F22" i="927"/>
  <c r="E22" i="927"/>
  <c r="D22" i="927"/>
  <c r="I21" i="927"/>
  <c r="F21" i="927"/>
  <c r="E21" i="927"/>
  <c r="D21" i="927"/>
  <c r="I20" i="927"/>
  <c r="F20" i="927"/>
  <c r="E20" i="927"/>
  <c r="D20" i="927"/>
  <c r="I19" i="927"/>
  <c r="F19" i="927"/>
  <c r="E19" i="927"/>
  <c r="D19" i="927"/>
  <c r="I18" i="927"/>
  <c r="F18" i="927"/>
  <c r="E18" i="927"/>
  <c r="D18" i="927"/>
  <c r="I17" i="927"/>
  <c r="F17" i="927"/>
  <c r="E17" i="927"/>
  <c r="D17" i="927"/>
  <c r="I16" i="927"/>
  <c r="F16" i="927"/>
  <c r="E16" i="927"/>
  <c r="D16" i="927"/>
  <c r="I15" i="927"/>
  <c r="F15" i="927"/>
  <c r="E15" i="927"/>
  <c r="D15" i="927"/>
  <c r="I14" i="927"/>
  <c r="F14" i="927"/>
  <c r="E14" i="927"/>
  <c r="D14" i="927"/>
  <c r="I13" i="927"/>
  <c r="F13" i="927"/>
  <c r="E13" i="927"/>
  <c r="D13" i="927"/>
  <c r="I12" i="927"/>
  <c r="F12" i="927"/>
  <c r="E12" i="927"/>
  <c r="D12" i="927"/>
  <c r="I11" i="927"/>
  <c r="F11" i="927"/>
  <c r="E11" i="927"/>
  <c r="D11" i="927"/>
  <c r="F9" i="927"/>
  <c r="I9" i="927" s="1"/>
  <c r="E9" i="927"/>
  <c r="D9" i="927"/>
  <c r="G8" i="927"/>
  <c r="F8" i="927"/>
  <c r="I8" i="927" s="1"/>
  <c r="E8" i="927"/>
  <c r="D8" i="927"/>
  <c r="C8" i="927"/>
  <c r="C9" i="927" s="1"/>
  <c r="E7" i="927"/>
  <c r="G6" i="927"/>
  <c r="I37" i="926"/>
  <c r="F37" i="926"/>
  <c r="E37" i="926"/>
  <c r="D37" i="926"/>
  <c r="I36" i="926"/>
  <c r="F36" i="926"/>
  <c r="E36" i="926"/>
  <c r="D36" i="926"/>
  <c r="I35" i="926"/>
  <c r="F35" i="926"/>
  <c r="E35" i="926"/>
  <c r="D35" i="926"/>
  <c r="I34" i="926"/>
  <c r="F34" i="926"/>
  <c r="E34" i="926"/>
  <c r="D34" i="926"/>
  <c r="I33" i="926"/>
  <c r="F33" i="926"/>
  <c r="E33" i="926"/>
  <c r="D33" i="926"/>
  <c r="I32" i="926"/>
  <c r="F32" i="926"/>
  <c r="E32" i="926"/>
  <c r="D32" i="926"/>
  <c r="I31" i="926"/>
  <c r="F31" i="926"/>
  <c r="E31" i="926"/>
  <c r="D31" i="926"/>
  <c r="I30" i="926"/>
  <c r="F30" i="926"/>
  <c r="E30" i="926"/>
  <c r="D30" i="926"/>
  <c r="I29" i="926"/>
  <c r="F29" i="926"/>
  <c r="E29" i="926"/>
  <c r="D29" i="926"/>
  <c r="I28" i="926"/>
  <c r="F28" i="926"/>
  <c r="E28" i="926"/>
  <c r="D28" i="926"/>
  <c r="I27" i="926"/>
  <c r="F27" i="926"/>
  <c r="E27" i="926"/>
  <c r="D27" i="926"/>
  <c r="I26" i="926"/>
  <c r="F26" i="926"/>
  <c r="E26" i="926"/>
  <c r="D26" i="926"/>
  <c r="I25" i="926"/>
  <c r="F25" i="926"/>
  <c r="E25" i="926"/>
  <c r="D25" i="926"/>
  <c r="I24" i="926"/>
  <c r="F24" i="926"/>
  <c r="E24" i="926"/>
  <c r="D24" i="926"/>
  <c r="I23" i="926"/>
  <c r="F23" i="926"/>
  <c r="E23" i="926"/>
  <c r="D23" i="926"/>
  <c r="I22" i="926"/>
  <c r="F22" i="926"/>
  <c r="E22" i="926"/>
  <c r="D22" i="926"/>
  <c r="I21" i="926"/>
  <c r="F21" i="926"/>
  <c r="E21" i="926"/>
  <c r="D21" i="926"/>
  <c r="I20" i="926"/>
  <c r="F20" i="926"/>
  <c r="E20" i="926"/>
  <c r="D20" i="926"/>
  <c r="I19" i="926"/>
  <c r="F19" i="926"/>
  <c r="E19" i="926"/>
  <c r="D19" i="926"/>
  <c r="I18" i="926"/>
  <c r="F18" i="926"/>
  <c r="E18" i="926"/>
  <c r="D18" i="926"/>
  <c r="I17" i="926"/>
  <c r="F17" i="926"/>
  <c r="E17" i="926"/>
  <c r="D17" i="926"/>
  <c r="I16" i="926"/>
  <c r="F16" i="926"/>
  <c r="E16" i="926"/>
  <c r="D16" i="926"/>
  <c r="I15" i="926"/>
  <c r="F15" i="926"/>
  <c r="E15" i="926"/>
  <c r="D15" i="926"/>
  <c r="I14" i="926"/>
  <c r="F14" i="926"/>
  <c r="E14" i="926"/>
  <c r="D14" i="926"/>
  <c r="I13" i="926"/>
  <c r="F13" i="926"/>
  <c r="E13" i="926"/>
  <c r="D13" i="926"/>
  <c r="I12" i="926"/>
  <c r="F12" i="926"/>
  <c r="E12" i="926"/>
  <c r="D12" i="926"/>
  <c r="I11" i="926"/>
  <c r="F11" i="926"/>
  <c r="E11" i="926"/>
  <c r="D11" i="926"/>
  <c r="I10" i="926"/>
  <c r="F10" i="926"/>
  <c r="E10" i="926"/>
  <c r="D10" i="926"/>
  <c r="F9" i="926"/>
  <c r="E9" i="926"/>
  <c r="I9" i="926" s="1"/>
  <c r="D9" i="926"/>
  <c r="G8" i="926"/>
  <c r="F8" i="926"/>
  <c r="E8" i="926"/>
  <c r="I8" i="926" s="1"/>
  <c r="I7" i="926" s="1"/>
  <c r="D8" i="926"/>
  <c r="C8" i="926"/>
  <c r="C9" i="926" s="1"/>
  <c r="E7" i="926"/>
  <c r="G6" i="926"/>
  <c r="I37" i="925"/>
  <c r="F37" i="925"/>
  <c r="E37" i="925"/>
  <c r="D37" i="925"/>
  <c r="I36" i="925"/>
  <c r="F36" i="925"/>
  <c r="E36" i="925"/>
  <c r="D36" i="925"/>
  <c r="I35" i="925"/>
  <c r="F35" i="925"/>
  <c r="E35" i="925"/>
  <c r="D35" i="925"/>
  <c r="I34" i="925"/>
  <c r="F34" i="925"/>
  <c r="E34" i="925"/>
  <c r="D34" i="925"/>
  <c r="I33" i="925"/>
  <c r="F33" i="925"/>
  <c r="E33" i="925"/>
  <c r="D33" i="925"/>
  <c r="I32" i="925"/>
  <c r="F32" i="925"/>
  <c r="E32" i="925"/>
  <c r="D32" i="925"/>
  <c r="I31" i="925"/>
  <c r="F31" i="925"/>
  <c r="E31" i="925"/>
  <c r="D31" i="925"/>
  <c r="I30" i="925"/>
  <c r="F30" i="925"/>
  <c r="E30" i="925"/>
  <c r="D30" i="925"/>
  <c r="I29" i="925"/>
  <c r="F29" i="925"/>
  <c r="E29" i="925"/>
  <c r="D29" i="925"/>
  <c r="I28" i="925"/>
  <c r="F28" i="925"/>
  <c r="E28" i="925"/>
  <c r="D28" i="925"/>
  <c r="I27" i="925"/>
  <c r="F27" i="925"/>
  <c r="E27" i="925"/>
  <c r="D27" i="925"/>
  <c r="I26" i="925"/>
  <c r="F26" i="925"/>
  <c r="E26" i="925"/>
  <c r="D26" i="925"/>
  <c r="I25" i="925"/>
  <c r="F25" i="925"/>
  <c r="E25" i="925"/>
  <c r="D25" i="925"/>
  <c r="I24" i="925"/>
  <c r="F24" i="925"/>
  <c r="E24" i="925"/>
  <c r="D24" i="925"/>
  <c r="I23" i="925"/>
  <c r="F23" i="925"/>
  <c r="E23" i="925"/>
  <c r="D23" i="925"/>
  <c r="I22" i="925"/>
  <c r="F22" i="925"/>
  <c r="E22" i="925"/>
  <c r="D22" i="925"/>
  <c r="I21" i="925"/>
  <c r="F21" i="925"/>
  <c r="E21" i="925"/>
  <c r="D21" i="925"/>
  <c r="I20" i="925"/>
  <c r="F20" i="925"/>
  <c r="E20" i="925"/>
  <c r="D20" i="925"/>
  <c r="I19" i="925"/>
  <c r="F19" i="925"/>
  <c r="E19" i="925"/>
  <c r="D19" i="925"/>
  <c r="I18" i="925"/>
  <c r="F18" i="925"/>
  <c r="E18" i="925"/>
  <c r="D18" i="925"/>
  <c r="I17" i="925"/>
  <c r="F17" i="925"/>
  <c r="E17" i="925"/>
  <c r="D17" i="925"/>
  <c r="I16" i="925"/>
  <c r="F16" i="925"/>
  <c r="E16" i="925"/>
  <c r="D16" i="925"/>
  <c r="I15" i="925"/>
  <c r="F15" i="925"/>
  <c r="E15" i="925"/>
  <c r="D15" i="925"/>
  <c r="I14" i="925"/>
  <c r="F14" i="925"/>
  <c r="E14" i="925"/>
  <c r="D14" i="925"/>
  <c r="I13" i="925"/>
  <c r="F13" i="925"/>
  <c r="E13" i="925"/>
  <c r="D13" i="925"/>
  <c r="I12" i="925"/>
  <c r="F12" i="925"/>
  <c r="E12" i="925"/>
  <c r="D12" i="925"/>
  <c r="I11" i="925"/>
  <c r="F11" i="925"/>
  <c r="E11" i="925"/>
  <c r="D11" i="925"/>
  <c r="I10" i="925"/>
  <c r="F10" i="925"/>
  <c r="E10" i="925"/>
  <c r="D10" i="925"/>
  <c r="I9" i="925"/>
  <c r="F9" i="925"/>
  <c r="E9" i="925"/>
  <c r="D9" i="925"/>
  <c r="G8" i="925"/>
  <c r="F8" i="925"/>
  <c r="E8" i="925"/>
  <c r="I8" i="925" s="1"/>
  <c r="I7" i="925" s="1"/>
  <c r="D8" i="925"/>
  <c r="C8" i="925"/>
  <c r="C9" i="925" s="1"/>
  <c r="E7" i="925"/>
  <c r="G6" i="925"/>
  <c r="I37" i="924"/>
  <c r="F37" i="924"/>
  <c r="E37" i="924"/>
  <c r="D37" i="924"/>
  <c r="I36" i="924"/>
  <c r="F36" i="924"/>
  <c r="E36" i="924"/>
  <c r="D36" i="924"/>
  <c r="I35" i="924"/>
  <c r="F35" i="924"/>
  <c r="E35" i="924"/>
  <c r="D35" i="924"/>
  <c r="I34" i="924"/>
  <c r="F34" i="924"/>
  <c r="E34" i="924"/>
  <c r="D34" i="924"/>
  <c r="I33" i="924"/>
  <c r="F33" i="924"/>
  <c r="E33" i="924"/>
  <c r="D33" i="924"/>
  <c r="I32" i="924"/>
  <c r="F32" i="924"/>
  <c r="E32" i="924"/>
  <c r="D32" i="924"/>
  <c r="I31" i="924"/>
  <c r="F31" i="924"/>
  <c r="E31" i="924"/>
  <c r="D31" i="924"/>
  <c r="I30" i="924"/>
  <c r="F30" i="924"/>
  <c r="E30" i="924"/>
  <c r="D30" i="924"/>
  <c r="I29" i="924"/>
  <c r="F29" i="924"/>
  <c r="E29" i="924"/>
  <c r="D29" i="924"/>
  <c r="I28" i="924"/>
  <c r="F28" i="924"/>
  <c r="E28" i="924"/>
  <c r="D28" i="924"/>
  <c r="I27" i="924"/>
  <c r="F27" i="924"/>
  <c r="E27" i="924"/>
  <c r="D27" i="924"/>
  <c r="I26" i="924"/>
  <c r="F26" i="924"/>
  <c r="E26" i="924"/>
  <c r="D26" i="924"/>
  <c r="I25" i="924"/>
  <c r="F25" i="924"/>
  <c r="E25" i="924"/>
  <c r="D25" i="924"/>
  <c r="I24" i="924"/>
  <c r="F24" i="924"/>
  <c r="E24" i="924"/>
  <c r="D24" i="924"/>
  <c r="I23" i="924"/>
  <c r="F23" i="924"/>
  <c r="E23" i="924"/>
  <c r="D23" i="924"/>
  <c r="I22" i="924"/>
  <c r="F22" i="924"/>
  <c r="E22" i="924"/>
  <c r="D22" i="924"/>
  <c r="I21" i="924"/>
  <c r="F21" i="924"/>
  <c r="E21" i="924"/>
  <c r="D21" i="924"/>
  <c r="I20" i="924"/>
  <c r="F20" i="924"/>
  <c r="E20" i="924"/>
  <c r="D20" i="924"/>
  <c r="I19" i="924"/>
  <c r="F19" i="924"/>
  <c r="E19" i="924"/>
  <c r="D19" i="924"/>
  <c r="I18" i="924"/>
  <c r="F18" i="924"/>
  <c r="E18" i="924"/>
  <c r="D18" i="924"/>
  <c r="I17" i="924"/>
  <c r="F17" i="924"/>
  <c r="E17" i="924"/>
  <c r="D17" i="924"/>
  <c r="I16" i="924"/>
  <c r="F16" i="924"/>
  <c r="E16" i="924"/>
  <c r="D16" i="924"/>
  <c r="I15" i="924"/>
  <c r="F15" i="924"/>
  <c r="E15" i="924"/>
  <c r="D15" i="924"/>
  <c r="I14" i="924"/>
  <c r="F14" i="924"/>
  <c r="E14" i="924"/>
  <c r="D14" i="924"/>
  <c r="I13" i="924"/>
  <c r="F13" i="924"/>
  <c r="E13" i="924"/>
  <c r="D13" i="924"/>
  <c r="I12" i="924"/>
  <c r="F12" i="924"/>
  <c r="E12" i="924"/>
  <c r="D12" i="924"/>
  <c r="I11" i="924"/>
  <c r="F11" i="924"/>
  <c r="E11" i="924"/>
  <c r="D11" i="924"/>
  <c r="I10" i="924"/>
  <c r="F10" i="924"/>
  <c r="E10" i="924"/>
  <c r="D10" i="924"/>
  <c r="I9" i="924"/>
  <c r="F9" i="924"/>
  <c r="E9" i="924"/>
  <c r="D9" i="924"/>
  <c r="G8" i="924"/>
  <c r="F8" i="924"/>
  <c r="I8" i="924" s="1"/>
  <c r="I7" i="924" s="1"/>
  <c r="E8" i="924"/>
  <c r="D8" i="924"/>
  <c r="C8" i="924"/>
  <c r="C9" i="924" s="1"/>
  <c r="E7" i="924"/>
  <c r="G6" i="924"/>
  <c r="I37" i="923"/>
  <c r="F37" i="923"/>
  <c r="E37" i="923"/>
  <c r="D37" i="923"/>
  <c r="I36" i="923"/>
  <c r="F36" i="923"/>
  <c r="E36" i="923"/>
  <c r="D36" i="923"/>
  <c r="I35" i="923"/>
  <c r="F35" i="923"/>
  <c r="E35" i="923"/>
  <c r="D35" i="923"/>
  <c r="I34" i="923"/>
  <c r="F34" i="923"/>
  <c r="E34" i="923"/>
  <c r="D34" i="923"/>
  <c r="I33" i="923"/>
  <c r="F33" i="923"/>
  <c r="E33" i="923"/>
  <c r="D33" i="923"/>
  <c r="I32" i="923"/>
  <c r="F32" i="923"/>
  <c r="E32" i="923"/>
  <c r="D32" i="923"/>
  <c r="I31" i="923"/>
  <c r="F31" i="923"/>
  <c r="E31" i="923"/>
  <c r="D31" i="923"/>
  <c r="I30" i="923"/>
  <c r="F30" i="923"/>
  <c r="E30" i="923"/>
  <c r="D30" i="923"/>
  <c r="I29" i="923"/>
  <c r="F29" i="923"/>
  <c r="E29" i="923"/>
  <c r="D29" i="923"/>
  <c r="I28" i="923"/>
  <c r="F28" i="923"/>
  <c r="E28" i="923"/>
  <c r="D28" i="923"/>
  <c r="I27" i="923"/>
  <c r="F27" i="923"/>
  <c r="E27" i="923"/>
  <c r="D27" i="923"/>
  <c r="I26" i="923"/>
  <c r="F26" i="923"/>
  <c r="E26" i="923"/>
  <c r="D26" i="923"/>
  <c r="I25" i="923"/>
  <c r="F25" i="923"/>
  <c r="E25" i="923"/>
  <c r="D25" i="923"/>
  <c r="I24" i="923"/>
  <c r="F24" i="923"/>
  <c r="E24" i="923"/>
  <c r="D24" i="923"/>
  <c r="I23" i="923"/>
  <c r="F23" i="923"/>
  <c r="E23" i="923"/>
  <c r="D23" i="923"/>
  <c r="I22" i="923"/>
  <c r="F22" i="923"/>
  <c r="E22" i="923"/>
  <c r="D22" i="923"/>
  <c r="I21" i="923"/>
  <c r="F21" i="923"/>
  <c r="E21" i="923"/>
  <c r="D21" i="923"/>
  <c r="I20" i="923"/>
  <c r="F20" i="923"/>
  <c r="E20" i="923"/>
  <c r="D20" i="923"/>
  <c r="I19" i="923"/>
  <c r="F19" i="923"/>
  <c r="E19" i="923"/>
  <c r="D19" i="923"/>
  <c r="I18" i="923"/>
  <c r="F18" i="923"/>
  <c r="E18" i="923"/>
  <c r="D18" i="923"/>
  <c r="I17" i="923"/>
  <c r="F17" i="923"/>
  <c r="E17" i="923"/>
  <c r="D17" i="923"/>
  <c r="I16" i="923"/>
  <c r="F16" i="923"/>
  <c r="E16" i="923"/>
  <c r="D16" i="923"/>
  <c r="I15" i="923"/>
  <c r="F15" i="923"/>
  <c r="E15" i="923"/>
  <c r="D15" i="923"/>
  <c r="I14" i="923"/>
  <c r="F14" i="923"/>
  <c r="E14" i="923"/>
  <c r="D14" i="923"/>
  <c r="I13" i="923"/>
  <c r="F13" i="923"/>
  <c r="E13" i="923"/>
  <c r="D13" i="923"/>
  <c r="I12" i="923"/>
  <c r="F12" i="923"/>
  <c r="E12" i="923"/>
  <c r="D12" i="923"/>
  <c r="I11" i="923"/>
  <c r="F11" i="923"/>
  <c r="E11" i="923"/>
  <c r="D11" i="923"/>
  <c r="I10" i="923"/>
  <c r="F10" i="923"/>
  <c r="E10" i="923"/>
  <c r="D10" i="923"/>
  <c r="F9" i="923"/>
  <c r="I9" i="923" s="1"/>
  <c r="E9" i="923"/>
  <c r="D9" i="923"/>
  <c r="G8" i="923"/>
  <c r="F8" i="923"/>
  <c r="E8" i="923"/>
  <c r="I8" i="923" s="1"/>
  <c r="I7" i="923" s="1"/>
  <c r="D8" i="923"/>
  <c r="C8" i="923"/>
  <c r="C9" i="923" s="1"/>
  <c r="E7" i="923"/>
  <c r="G6" i="923"/>
  <c r="I37" i="922"/>
  <c r="F37" i="922"/>
  <c r="E37" i="922"/>
  <c r="D37" i="922"/>
  <c r="I36" i="922"/>
  <c r="F36" i="922"/>
  <c r="E36" i="922"/>
  <c r="D36" i="922"/>
  <c r="I35" i="922"/>
  <c r="F35" i="922"/>
  <c r="E35" i="922"/>
  <c r="D35" i="922"/>
  <c r="I34" i="922"/>
  <c r="F34" i="922"/>
  <c r="E34" i="922"/>
  <c r="D34" i="922"/>
  <c r="I33" i="922"/>
  <c r="F33" i="922"/>
  <c r="E33" i="922"/>
  <c r="D33" i="922"/>
  <c r="I32" i="922"/>
  <c r="F32" i="922"/>
  <c r="E32" i="922"/>
  <c r="D32" i="922"/>
  <c r="I31" i="922"/>
  <c r="F31" i="922"/>
  <c r="E31" i="922"/>
  <c r="D31" i="922"/>
  <c r="I30" i="922"/>
  <c r="F30" i="922"/>
  <c r="E30" i="922"/>
  <c r="D30" i="922"/>
  <c r="I29" i="922"/>
  <c r="F29" i="922"/>
  <c r="E29" i="922"/>
  <c r="D29" i="922"/>
  <c r="I28" i="922"/>
  <c r="F28" i="922"/>
  <c r="E28" i="922"/>
  <c r="D28" i="922"/>
  <c r="I27" i="922"/>
  <c r="F27" i="922"/>
  <c r="E27" i="922"/>
  <c r="D27" i="922"/>
  <c r="I26" i="922"/>
  <c r="F26" i="922"/>
  <c r="E26" i="922"/>
  <c r="D26" i="922"/>
  <c r="I25" i="922"/>
  <c r="F25" i="922"/>
  <c r="E25" i="922"/>
  <c r="D25" i="922"/>
  <c r="I24" i="922"/>
  <c r="F24" i="922"/>
  <c r="E24" i="922"/>
  <c r="D24" i="922"/>
  <c r="I23" i="922"/>
  <c r="F23" i="922"/>
  <c r="E23" i="922"/>
  <c r="D23" i="922"/>
  <c r="I22" i="922"/>
  <c r="F22" i="922"/>
  <c r="E22" i="922"/>
  <c r="D22" i="922"/>
  <c r="I21" i="922"/>
  <c r="F21" i="922"/>
  <c r="E21" i="922"/>
  <c r="D21" i="922"/>
  <c r="I20" i="922"/>
  <c r="F20" i="922"/>
  <c r="E20" i="922"/>
  <c r="D20" i="922"/>
  <c r="I19" i="922"/>
  <c r="F19" i="922"/>
  <c r="E19" i="922"/>
  <c r="D19" i="922"/>
  <c r="I18" i="922"/>
  <c r="F18" i="922"/>
  <c r="E18" i="922"/>
  <c r="D18" i="922"/>
  <c r="I17" i="922"/>
  <c r="F17" i="922"/>
  <c r="E17" i="922"/>
  <c r="D17" i="922"/>
  <c r="I16" i="922"/>
  <c r="F16" i="922"/>
  <c r="E16" i="922"/>
  <c r="D16" i="922"/>
  <c r="I15" i="922"/>
  <c r="F15" i="922"/>
  <c r="E15" i="922"/>
  <c r="D15" i="922"/>
  <c r="I14" i="922"/>
  <c r="F14" i="922"/>
  <c r="E14" i="922"/>
  <c r="D14" i="922"/>
  <c r="I13" i="922"/>
  <c r="F13" i="922"/>
  <c r="E13" i="922"/>
  <c r="D13" i="922"/>
  <c r="I12" i="922"/>
  <c r="F12" i="922"/>
  <c r="E12" i="922"/>
  <c r="D12" i="922"/>
  <c r="I11" i="922"/>
  <c r="F11" i="922"/>
  <c r="E11" i="922"/>
  <c r="D11" i="922"/>
  <c r="I10" i="922"/>
  <c r="F10" i="922"/>
  <c r="E10" i="922"/>
  <c r="D10" i="922"/>
  <c r="I9" i="922"/>
  <c r="F9" i="922"/>
  <c r="E9" i="922"/>
  <c r="D9" i="922"/>
  <c r="G8" i="922"/>
  <c r="F8" i="922"/>
  <c r="I8" i="922" s="1"/>
  <c r="I7" i="922" s="1"/>
  <c r="E8" i="922"/>
  <c r="D8" i="922"/>
  <c r="C8" i="922"/>
  <c r="C9" i="922" s="1"/>
  <c r="E7" i="922"/>
  <c r="G6" i="922"/>
  <c r="I37" i="921"/>
  <c r="F37" i="921"/>
  <c r="E37" i="921"/>
  <c r="D37" i="921"/>
  <c r="I36" i="921"/>
  <c r="F36" i="921"/>
  <c r="E36" i="921"/>
  <c r="D36" i="921"/>
  <c r="I35" i="921"/>
  <c r="F35" i="921"/>
  <c r="E35" i="921"/>
  <c r="D35" i="921"/>
  <c r="I34" i="921"/>
  <c r="F34" i="921"/>
  <c r="E34" i="921"/>
  <c r="D34" i="921"/>
  <c r="I33" i="921"/>
  <c r="F33" i="921"/>
  <c r="E33" i="921"/>
  <c r="D33" i="921"/>
  <c r="I32" i="921"/>
  <c r="F32" i="921"/>
  <c r="E32" i="921"/>
  <c r="D32" i="921"/>
  <c r="I31" i="921"/>
  <c r="F31" i="921"/>
  <c r="E31" i="921"/>
  <c r="D31" i="921"/>
  <c r="I30" i="921"/>
  <c r="F30" i="921"/>
  <c r="E30" i="921"/>
  <c r="D30" i="921"/>
  <c r="I29" i="921"/>
  <c r="F29" i="921"/>
  <c r="E29" i="921"/>
  <c r="D29" i="921"/>
  <c r="I28" i="921"/>
  <c r="F28" i="921"/>
  <c r="E28" i="921"/>
  <c r="D28" i="921"/>
  <c r="I27" i="921"/>
  <c r="F27" i="921"/>
  <c r="E27" i="921"/>
  <c r="D27" i="921"/>
  <c r="I26" i="921"/>
  <c r="F26" i="921"/>
  <c r="E26" i="921"/>
  <c r="D26" i="921"/>
  <c r="I25" i="921"/>
  <c r="F25" i="921"/>
  <c r="E25" i="921"/>
  <c r="D25" i="921"/>
  <c r="I24" i="921"/>
  <c r="F24" i="921"/>
  <c r="E24" i="921"/>
  <c r="D24" i="921"/>
  <c r="I23" i="921"/>
  <c r="F23" i="921"/>
  <c r="E23" i="921"/>
  <c r="D23" i="921"/>
  <c r="I22" i="921"/>
  <c r="F22" i="921"/>
  <c r="E22" i="921"/>
  <c r="D22" i="921"/>
  <c r="I21" i="921"/>
  <c r="F21" i="921"/>
  <c r="E21" i="921"/>
  <c r="D21" i="921"/>
  <c r="I20" i="921"/>
  <c r="F20" i="921"/>
  <c r="E20" i="921"/>
  <c r="D20" i="921"/>
  <c r="I19" i="921"/>
  <c r="F19" i="921"/>
  <c r="E19" i="921"/>
  <c r="D19" i="921"/>
  <c r="I18" i="921"/>
  <c r="F18" i="921"/>
  <c r="E18" i="921"/>
  <c r="D18" i="921"/>
  <c r="I17" i="921"/>
  <c r="F17" i="921"/>
  <c r="E17" i="921"/>
  <c r="D17" i="921"/>
  <c r="I16" i="921"/>
  <c r="F16" i="921"/>
  <c r="E16" i="921"/>
  <c r="D16" i="921"/>
  <c r="I15" i="921"/>
  <c r="F15" i="921"/>
  <c r="E15" i="921"/>
  <c r="D15" i="921"/>
  <c r="I14" i="921"/>
  <c r="F14" i="921"/>
  <c r="E14" i="921"/>
  <c r="D14" i="921"/>
  <c r="I13" i="921"/>
  <c r="F13" i="921"/>
  <c r="E13" i="921"/>
  <c r="D13" i="921"/>
  <c r="I12" i="921"/>
  <c r="F12" i="921"/>
  <c r="E12" i="921"/>
  <c r="D12" i="921"/>
  <c r="I11" i="921"/>
  <c r="F11" i="921"/>
  <c r="E11" i="921"/>
  <c r="D11" i="921"/>
  <c r="I10" i="921"/>
  <c r="F10" i="921"/>
  <c r="E10" i="921"/>
  <c r="D10" i="921"/>
  <c r="F9" i="921"/>
  <c r="E9" i="921"/>
  <c r="I9" i="921" s="1"/>
  <c r="D9" i="921"/>
  <c r="G8" i="921"/>
  <c r="F8" i="921"/>
  <c r="I8" i="921" s="1"/>
  <c r="I7" i="921" s="1"/>
  <c r="E8" i="921"/>
  <c r="D8" i="921"/>
  <c r="C8" i="921"/>
  <c r="C9" i="921" s="1"/>
  <c r="E7" i="921"/>
  <c r="G6" i="921"/>
  <c r="I37" i="920"/>
  <c r="F37" i="920"/>
  <c r="E37" i="920"/>
  <c r="D37" i="920"/>
  <c r="I36" i="920"/>
  <c r="F36" i="920"/>
  <c r="E36" i="920"/>
  <c r="D36" i="920"/>
  <c r="I35" i="920"/>
  <c r="F35" i="920"/>
  <c r="E35" i="920"/>
  <c r="D35" i="920"/>
  <c r="I34" i="920"/>
  <c r="F34" i="920"/>
  <c r="E34" i="920"/>
  <c r="D34" i="920"/>
  <c r="I33" i="920"/>
  <c r="F33" i="920"/>
  <c r="E33" i="920"/>
  <c r="D33" i="920"/>
  <c r="I32" i="920"/>
  <c r="F32" i="920"/>
  <c r="E32" i="920"/>
  <c r="D32" i="920"/>
  <c r="I31" i="920"/>
  <c r="F31" i="920"/>
  <c r="E31" i="920"/>
  <c r="D31" i="920"/>
  <c r="I30" i="920"/>
  <c r="F30" i="920"/>
  <c r="E30" i="920"/>
  <c r="D30" i="920"/>
  <c r="I29" i="920"/>
  <c r="F29" i="920"/>
  <c r="E29" i="920"/>
  <c r="D29" i="920"/>
  <c r="I28" i="920"/>
  <c r="F28" i="920"/>
  <c r="E28" i="920"/>
  <c r="D28" i="920"/>
  <c r="I27" i="920"/>
  <c r="F27" i="920"/>
  <c r="E27" i="920"/>
  <c r="D27" i="920"/>
  <c r="I26" i="920"/>
  <c r="F26" i="920"/>
  <c r="E26" i="920"/>
  <c r="D26" i="920"/>
  <c r="I25" i="920"/>
  <c r="F25" i="920"/>
  <c r="E25" i="920"/>
  <c r="D25" i="920"/>
  <c r="I24" i="920"/>
  <c r="F24" i="920"/>
  <c r="E24" i="920"/>
  <c r="D24" i="920"/>
  <c r="I23" i="920"/>
  <c r="F23" i="920"/>
  <c r="E23" i="920"/>
  <c r="D23" i="920"/>
  <c r="I22" i="920"/>
  <c r="F22" i="920"/>
  <c r="E22" i="920"/>
  <c r="D22" i="920"/>
  <c r="I21" i="920"/>
  <c r="F21" i="920"/>
  <c r="E21" i="920"/>
  <c r="D21" i="920"/>
  <c r="I20" i="920"/>
  <c r="F20" i="920"/>
  <c r="E20" i="920"/>
  <c r="D20" i="920"/>
  <c r="I19" i="920"/>
  <c r="F19" i="920"/>
  <c r="E19" i="920"/>
  <c r="D19" i="920"/>
  <c r="I18" i="920"/>
  <c r="F18" i="920"/>
  <c r="E18" i="920"/>
  <c r="D18" i="920"/>
  <c r="I17" i="920"/>
  <c r="F17" i="920"/>
  <c r="E17" i="920"/>
  <c r="D17" i="920"/>
  <c r="I16" i="920"/>
  <c r="F16" i="920"/>
  <c r="E16" i="920"/>
  <c r="D16" i="920"/>
  <c r="I15" i="920"/>
  <c r="F15" i="920"/>
  <c r="E15" i="920"/>
  <c r="D15" i="920"/>
  <c r="I14" i="920"/>
  <c r="F14" i="920"/>
  <c r="E14" i="920"/>
  <c r="D14" i="920"/>
  <c r="I13" i="920"/>
  <c r="F13" i="920"/>
  <c r="E13" i="920"/>
  <c r="D13" i="920"/>
  <c r="I12" i="920"/>
  <c r="F12" i="920"/>
  <c r="E12" i="920"/>
  <c r="D12" i="920"/>
  <c r="I11" i="920"/>
  <c r="F11" i="920"/>
  <c r="E11" i="920"/>
  <c r="D11" i="920"/>
  <c r="I10" i="920"/>
  <c r="F9" i="920"/>
  <c r="I9" i="920" s="1"/>
  <c r="E9" i="920"/>
  <c r="D9" i="920"/>
  <c r="G8" i="920"/>
  <c r="F8" i="920"/>
  <c r="I8" i="920" s="1"/>
  <c r="E8" i="920"/>
  <c r="D8" i="920"/>
  <c r="C8" i="920"/>
  <c r="C9" i="920" s="1"/>
  <c r="E7" i="920"/>
  <c r="G6" i="920"/>
  <c r="I37" i="919"/>
  <c r="F37" i="919"/>
  <c r="E37" i="919"/>
  <c r="D37" i="919"/>
  <c r="I36" i="919"/>
  <c r="F36" i="919"/>
  <c r="E36" i="919"/>
  <c r="D36" i="919"/>
  <c r="I35" i="919"/>
  <c r="F35" i="919"/>
  <c r="E35" i="919"/>
  <c r="D35" i="919"/>
  <c r="I34" i="919"/>
  <c r="F34" i="919"/>
  <c r="E34" i="919"/>
  <c r="D34" i="919"/>
  <c r="I33" i="919"/>
  <c r="F33" i="919"/>
  <c r="E33" i="919"/>
  <c r="D33" i="919"/>
  <c r="I32" i="919"/>
  <c r="F32" i="919"/>
  <c r="E32" i="919"/>
  <c r="D32" i="919"/>
  <c r="I31" i="919"/>
  <c r="F31" i="919"/>
  <c r="E31" i="919"/>
  <c r="D31" i="919"/>
  <c r="I30" i="919"/>
  <c r="F30" i="919"/>
  <c r="E30" i="919"/>
  <c r="D30" i="919"/>
  <c r="I29" i="919"/>
  <c r="F29" i="919"/>
  <c r="E29" i="919"/>
  <c r="D29" i="919"/>
  <c r="I28" i="919"/>
  <c r="F28" i="919"/>
  <c r="E28" i="919"/>
  <c r="D28" i="919"/>
  <c r="I27" i="919"/>
  <c r="F27" i="919"/>
  <c r="E27" i="919"/>
  <c r="D27" i="919"/>
  <c r="I26" i="919"/>
  <c r="F26" i="919"/>
  <c r="E26" i="919"/>
  <c r="D26" i="919"/>
  <c r="I25" i="919"/>
  <c r="F25" i="919"/>
  <c r="E25" i="919"/>
  <c r="D25" i="919"/>
  <c r="I24" i="919"/>
  <c r="F24" i="919"/>
  <c r="E24" i="919"/>
  <c r="D24" i="919"/>
  <c r="I23" i="919"/>
  <c r="F23" i="919"/>
  <c r="E23" i="919"/>
  <c r="D23" i="919"/>
  <c r="I22" i="919"/>
  <c r="F22" i="919"/>
  <c r="E22" i="919"/>
  <c r="D22" i="919"/>
  <c r="I21" i="919"/>
  <c r="F21" i="919"/>
  <c r="E21" i="919"/>
  <c r="D21" i="919"/>
  <c r="I20" i="919"/>
  <c r="F20" i="919"/>
  <c r="E20" i="919"/>
  <c r="D20" i="919"/>
  <c r="I19" i="919"/>
  <c r="F19" i="919"/>
  <c r="E19" i="919"/>
  <c r="D19" i="919"/>
  <c r="I18" i="919"/>
  <c r="F18" i="919"/>
  <c r="E18" i="919"/>
  <c r="D18" i="919"/>
  <c r="I17" i="919"/>
  <c r="F17" i="919"/>
  <c r="E17" i="919"/>
  <c r="D17" i="919"/>
  <c r="I16" i="919"/>
  <c r="F16" i="919"/>
  <c r="E16" i="919"/>
  <c r="D16" i="919"/>
  <c r="I15" i="919"/>
  <c r="F15" i="919"/>
  <c r="E15" i="919"/>
  <c r="D15" i="919"/>
  <c r="I14" i="919"/>
  <c r="F14" i="919"/>
  <c r="E14" i="919"/>
  <c r="D14" i="919"/>
  <c r="I13" i="919"/>
  <c r="F13" i="919"/>
  <c r="E13" i="919"/>
  <c r="D13" i="919"/>
  <c r="I12" i="919"/>
  <c r="F12" i="919"/>
  <c r="E12" i="919"/>
  <c r="D12" i="919"/>
  <c r="I11" i="919"/>
  <c r="F11" i="919"/>
  <c r="E11" i="919"/>
  <c r="D11" i="919"/>
  <c r="I10" i="919"/>
  <c r="F9" i="919"/>
  <c r="I9" i="919" s="1"/>
  <c r="E9" i="919"/>
  <c r="D9" i="919"/>
  <c r="G8" i="919"/>
  <c r="F8" i="919"/>
  <c r="E8" i="919"/>
  <c r="I8" i="919" s="1"/>
  <c r="D8" i="919"/>
  <c r="C8" i="919"/>
  <c r="C9" i="919" s="1"/>
  <c r="E7" i="919"/>
  <c r="G6" i="919"/>
  <c r="H10" i="918"/>
  <c r="I37" i="918"/>
  <c r="F37" i="918"/>
  <c r="E37" i="918"/>
  <c r="D37" i="918"/>
  <c r="I36" i="918"/>
  <c r="F36" i="918"/>
  <c r="E36" i="918"/>
  <c r="D36" i="918"/>
  <c r="I35" i="918"/>
  <c r="F35" i="918"/>
  <c r="E35" i="918"/>
  <c r="D35" i="918"/>
  <c r="I34" i="918"/>
  <c r="F34" i="918"/>
  <c r="E34" i="918"/>
  <c r="D34" i="918"/>
  <c r="I33" i="918"/>
  <c r="F33" i="918"/>
  <c r="E33" i="918"/>
  <c r="D33" i="918"/>
  <c r="I32" i="918"/>
  <c r="F32" i="918"/>
  <c r="E32" i="918"/>
  <c r="D32" i="918"/>
  <c r="I31" i="918"/>
  <c r="F31" i="918"/>
  <c r="E31" i="918"/>
  <c r="D31" i="918"/>
  <c r="I30" i="918"/>
  <c r="F30" i="918"/>
  <c r="E30" i="918"/>
  <c r="D30" i="918"/>
  <c r="I29" i="918"/>
  <c r="F29" i="918"/>
  <c r="E29" i="918"/>
  <c r="D29" i="918"/>
  <c r="I28" i="918"/>
  <c r="F28" i="918"/>
  <c r="E28" i="918"/>
  <c r="D28" i="918"/>
  <c r="I27" i="918"/>
  <c r="F27" i="918"/>
  <c r="E27" i="918"/>
  <c r="D27" i="918"/>
  <c r="I26" i="918"/>
  <c r="F26" i="918"/>
  <c r="E26" i="918"/>
  <c r="D26" i="918"/>
  <c r="I25" i="918"/>
  <c r="F25" i="918"/>
  <c r="E25" i="918"/>
  <c r="D25" i="918"/>
  <c r="I24" i="918"/>
  <c r="F24" i="918"/>
  <c r="E24" i="918"/>
  <c r="D24" i="918"/>
  <c r="I23" i="918"/>
  <c r="F23" i="918"/>
  <c r="E23" i="918"/>
  <c r="D23" i="918"/>
  <c r="I22" i="918"/>
  <c r="F22" i="918"/>
  <c r="E22" i="918"/>
  <c r="D22" i="918"/>
  <c r="I21" i="918"/>
  <c r="F21" i="918"/>
  <c r="E21" i="918"/>
  <c r="D21" i="918"/>
  <c r="I20" i="918"/>
  <c r="F20" i="918"/>
  <c r="E20" i="918"/>
  <c r="D20" i="918"/>
  <c r="I19" i="918"/>
  <c r="F19" i="918"/>
  <c r="E19" i="918"/>
  <c r="D19" i="918"/>
  <c r="I18" i="918"/>
  <c r="F18" i="918"/>
  <c r="E18" i="918"/>
  <c r="D18" i="918"/>
  <c r="I17" i="918"/>
  <c r="F17" i="918"/>
  <c r="E17" i="918"/>
  <c r="D17" i="918"/>
  <c r="I16" i="918"/>
  <c r="F16" i="918"/>
  <c r="E16" i="918"/>
  <c r="D16" i="918"/>
  <c r="I15" i="918"/>
  <c r="F15" i="918"/>
  <c r="E15" i="918"/>
  <c r="D15" i="918"/>
  <c r="I14" i="918"/>
  <c r="F14" i="918"/>
  <c r="E14" i="918"/>
  <c r="D14" i="918"/>
  <c r="I13" i="918"/>
  <c r="F13" i="918"/>
  <c r="E13" i="918"/>
  <c r="D13" i="918"/>
  <c r="I12" i="918"/>
  <c r="F12" i="918"/>
  <c r="E12" i="918"/>
  <c r="D12" i="918"/>
  <c r="I11" i="918"/>
  <c r="F11" i="918"/>
  <c r="E11" i="918"/>
  <c r="D11" i="918"/>
  <c r="I10" i="918"/>
  <c r="F9" i="918"/>
  <c r="I9" i="918" s="1"/>
  <c r="E9" i="918"/>
  <c r="D9" i="918"/>
  <c r="G8" i="918"/>
  <c r="F8" i="918"/>
  <c r="E8" i="918"/>
  <c r="I8" i="918" s="1"/>
  <c r="D8" i="918"/>
  <c r="C8" i="918"/>
  <c r="C9" i="918" s="1"/>
  <c r="E7" i="918"/>
  <c r="G6" i="918"/>
  <c r="AW5" i="150"/>
  <c r="AA11" i="1"/>
  <c r="AA14" i="1"/>
  <c r="AA15" i="1"/>
  <c r="AA16" i="1"/>
  <c r="AA17" i="1"/>
  <c r="AA19" i="1"/>
  <c r="AA20" i="1"/>
  <c r="AA12" i="4"/>
  <c r="AA7" i="5"/>
  <c r="AA9" i="5"/>
  <c r="I7" i="95"/>
  <c r="A2" i="150"/>
  <c r="A2" i="4"/>
  <c r="G10" i="931" l="1"/>
  <c r="C11" i="931"/>
  <c r="G9" i="930"/>
  <c r="C10" i="930"/>
  <c r="I7" i="930"/>
  <c r="I7" i="929"/>
  <c r="G9" i="929"/>
  <c r="C10" i="929"/>
  <c r="I10" i="927"/>
  <c r="I7" i="927" s="1"/>
  <c r="G9" i="928"/>
  <c r="C10" i="928"/>
  <c r="G9" i="927"/>
  <c r="C10" i="927"/>
  <c r="G9" i="926"/>
  <c r="C10" i="926"/>
  <c r="G9" i="925"/>
  <c r="C10" i="925"/>
  <c r="G9" i="924"/>
  <c r="C10" i="924"/>
  <c r="G9" i="923"/>
  <c r="C10" i="923"/>
  <c r="G9" i="922"/>
  <c r="C10" i="922"/>
  <c r="G9" i="921"/>
  <c r="C10" i="921"/>
  <c r="I7" i="920"/>
  <c r="G9" i="920"/>
  <c r="C10" i="920"/>
  <c r="I7" i="919"/>
  <c r="G9" i="919"/>
  <c r="C10" i="919"/>
  <c r="I7" i="918"/>
  <c r="G9" i="918"/>
  <c r="C10" i="918"/>
  <c r="I2" i="95"/>
  <c r="F10" i="150"/>
  <c r="F5" i="150"/>
  <c r="F23" i="4"/>
  <c r="F20" i="4"/>
  <c r="F8" i="4"/>
  <c r="A2" i="1"/>
  <c r="F29" i="1"/>
  <c r="F18" i="1"/>
  <c r="F9" i="1"/>
  <c r="G2" i="50"/>
  <c r="G11" i="931" l="1"/>
  <c r="C12" i="931"/>
  <c r="G10" i="930"/>
  <c r="C11" i="930"/>
  <c r="G10" i="929"/>
  <c r="C11" i="929"/>
  <c r="G10" i="928"/>
  <c r="C11" i="928"/>
  <c r="C11" i="927"/>
  <c r="G10" i="926"/>
  <c r="C11" i="926"/>
  <c r="G10" i="925"/>
  <c r="C11" i="925"/>
  <c r="G10" i="924"/>
  <c r="C11" i="924"/>
  <c r="G10" i="923"/>
  <c r="C11" i="923"/>
  <c r="G10" i="922"/>
  <c r="C11" i="922"/>
  <c r="G10" i="921"/>
  <c r="C11" i="921"/>
  <c r="C11" i="920"/>
  <c r="C11" i="919"/>
  <c r="C11" i="918"/>
  <c r="L30" i="4"/>
  <c r="C13" i="931" l="1"/>
  <c r="G12" i="931"/>
  <c r="G11" i="930"/>
  <c r="C12" i="930"/>
  <c r="C12" i="929"/>
  <c r="G11" i="929"/>
  <c r="C12" i="928"/>
  <c r="G11" i="928"/>
  <c r="C12" i="927"/>
  <c r="G11" i="927"/>
  <c r="C12" i="926"/>
  <c r="G11" i="926"/>
  <c r="G11" i="925"/>
  <c r="C12" i="925"/>
  <c r="C12" i="924"/>
  <c r="G11" i="924"/>
  <c r="G11" i="923"/>
  <c r="C12" i="923"/>
  <c r="C12" i="922"/>
  <c r="G11" i="922"/>
  <c r="C12" i="921"/>
  <c r="G11" i="921"/>
  <c r="G11" i="920"/>
  <c r="C12" i="920"/>
  <c r="C12" i="919"/>
  <c r="G11" i="919"/>
  <c r="C12" i="918"/>
  <c r="G11" i="918"/>
  <c r="K1" i="50"/>
  <c r="G13" i="931" l="1"/>
  <c r="C14" i="931"/>
  <c r="C13" i="930"/>
  <c r="G12" i="930"/>
  <c r="C13" i="929"/>
  <c r="G12" i="929"/>
  <c r="C13" i="928"/>
  <c r="G12" i="928"/>
  <c r="C13" i="927"/>
  <c r="G12" i="927"/>
  <c r="C13" i="926"/>
  <c r="G12" i="926"/>
  <c r="C13" i="925"/>
  <c r="G12" i="925"/>
  <c r="C13" i="924"/>
  <c r="G12" i="924"/>
  <c r="C13" i="923"/>
  <c r="G12" i="923"/>
  <c r="C13" i="922"/>
  <c r="G12" i="922"/>
  <c r="C13" i="921"/>
  <c r="G12" i="921"/>
  <c r="C13" i="920"/>
  <c r="G12" i="920"/>
  <c r="C13" i="919"/>
  <c r="G12" i="919"/>
  <c r="C13" i="918"/>
  <c r="G12" i="918"/>
  <c r="F28" i="1"/>
  <c r="F25" i="1"/>
  <c r="F21" i="1"/>
  <c r="F9" i="150"/>
  <c r="G14" i="931" l="1"/>
  <c r="C15" i="931"/>
  <c r="G13" i="930"/>
  <c r="C14" i="930"/>
  <c r="G13" i="929"/>
  <c r="C14" i="929"/>
  <c r="G13" i="928"/>
  <c r="C14" i="928"/>
  <c r="G13" i="927"/>
  <c r="C14" i="927"/>
  <c r="G13" i="926"/>
  <c r="C14" i="926"/>
  <c r="G13" i="925"/>
  <c r="C14" i="925"/>
  <c r="G13" i="924"/>
  <c r="C14" i="924"/>
  <c r="G13" i="923"/>
  <c r="C14" i="923"/>
  <c r="G13" i="922"/>
  <c r="C14" i="922"/>
  <c r="G13" i="921"/>
  <c r="C14" i="921"/>
  <c r="G13" i="920"/>
  <c r="C14" i="920"/>
  <c r="G13" i="919"/>
  <c r="C14" i="919"/>
  <c r="G13" i="918"/>
  <c r="C14" i="918"/>
  <c r="AX31" i="1"/>
  <c r="AX32" i="1"/>
  <c r="AX33" i="1"/>
  <c r="AX34" i="1"/>
  <c r="C16" i="931" l="1"/>
  <c r="G15" i="931"/>
  <c r="C15" i="930"/>
  <c r="G14" i="929"/>
  <c r="C15" i="929"/>
  <c r="G14" i="928"/>
  <c r="C15" i="928"/>
  <c r="G14" i="927"/>
  <c r="C15" i="927"/>
  <c r="G14" i="926"/>
  <c r="C15" i="926"/>
  <c r="G14" i="925"/>
  <c r="C15" i="925"/>
  <c r="G14" i="924"/>
  <c r="C15" i="924"/>
  <c r="G14" i="923"/>
  <c r="C15" i="923"/>
  <c r="G14" i="922"/>
  <c r="C15" i="922"/>
  <c r="G14" i="921"/>
  <c r="C15" i="921"/>
  <c r="G14" i="920"/>
  <c r="C15" i="920"/>
  <c r="G14" i="919"/>
  <c r="C15" i="919"/>
  <c r="G14" i="918"/>
  <c r="C15" i="91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C17" i="931" l="1"/>
  <c r="G16" i="931"/>
  <c r="C16" i="930"/>
  <c r="G15" i="930"/>
  <c r="G15" i="929"/>
  <c r="C16" i="929"/>
  <c r="C16" i="928"/>
  <c r="G15" i="928"/>
  <c r="C16" i="927"/>
  <c r="G15" i="927"/>
  <c r="C16" i="926"/>
  <c r="G15" i="926"/>
  <c r="C16" i="925"/>
  <c r="G15" i="925"/>
  <c r="G15" i="924"/>
  <c r="C16" i="924"/>
  <c r="C16" i="923"/>
  <c r="G15" i="923"/>
  <c r="G15" i="922"/>
  <c r="C16" i="922"/>
  <c r="C16" i="921"/>
  <c r="G15" i="921"/>
  <c r="C16" i="920"/>
  <c r="G15" i="920"/>
  <c r="G15" i="919"/>
  <c r="C16" i="919"/>
  <c r="C16" i="918"/>
  <c r="G15" i="918"/>
  <c r="P7" i="137"/>
  <c r="D22" i="95"/>
  <c r="G17" i="931" l="1"/>
  <c r="C18" i="931"/>
  <c r="C17" i="930"/>
  <c r="G16" i="930"/>
  <c r="C17" i="929"/>
  <c r="G16" i="929"/>
  <c r="C17" i="928"/>
  <c r="G16" i="928"/>
  <c r="C17" i="927"/>
  <c r="G16" i="927"/>
  <c r="C17" i="926"/>
  <c r="G16" i="926"/>
  <c r="C17" i="925"/>
  <c r="G16" i="925"/>
  <c r="C17" i="924"/>
  <c r="G16" i="924"/>
  <c r="C17" i="923"/>
  <c r="G16" i="923"/>
  <c r="C17" i="922"/>
  <c r="G16" i="922"/>
  <c r="C17" i="921"/>
  <c r="G16" i="921"/>
  <c r="C17" i="920"/>
  <c r="G16" i="920"/>
  <c r="C17" i="919"/>
  <c r="G16" i="919"/>
  <c r="C17" i="918"/>
  <c r="G16" i="918"/>
  <c r="M7" i="120"/>
  <c r="G18" i="931" l="1"/>
  <c r="C19" i="931"/>
  <c r="G17" i="930"/>
  <c r="C18" i="930"/>
  <c r="G17" i="929"/>
  <c r="C18" i="929"/>
  <c r="G17" i="928"/>
  <c r="C18" i="928"/>
  <c r="G17" i="927"/>
  <c r="C18" i="927"/>
  <c r="G17" i="926"/>
  <c r="C18" i="926"/>
  <c r="G17" i="925"/>
  <c r="C18" i="925"/>
  <c r="G17" i="924"/>
  <c r="C18" i="924"/>
  <c r="G17" i="923"/>
  <c r="C18" i="923"/>
  <c r="G17" i="922"/>
  <c r="C18" i="922"/>
  <c r="G17" i="921"/>
  <c r="C18" i="921"/>
  <c r="G17" i="920"/>
  <c r="C18" i="920"/>
  <c r="G17" i="919"/>
  <c r="C18" i="919"/>
  <c r="G17" i="918"/>
  <c r="C18" i="918"/>
  <c r="F12" i="150"/>
  <c r="F19" i="4"/>
  <c r="F9" i="4"/>
  <c r="G19" i="931" l="1"/>
  <c r="C20" i="931"/>
  <c r="G18" i="930"/>
  <c r="C19" i="930"/>
  <c r="G18" i="929"/>
  <c r="C19" i="929"/>
  <c r="G18" i="928"/>
  <c r="C19" i="928"/>
  <c r="G18" i="927"/>
  <c r="C19" i="927"/>
  <c r="C19" i="926"/>
  <c r="G18" i="926"/>
  <c r="C19" i="925"/>
  <c r="G18" i="925"/>
  <c r="G18" i="924"/>
  <c r="C19" i="924"/>
  <c r="G18" i="923"/>
  <c r="C19" i="923"/>
  <c r="G18" i="922"/>
  <c r="C19" i="922"/>
  <c r="G18" i="921"/>
  <c r="C19" i="921"/>
  <c r="G18" i="920"/>
  <c r="C19" i="920"/>
  <c r="G18" i="919"/>
  <c r="C19" i="919"/>
  <c r="G18" i="918"/>
  <c r="C19" i="918"/>
  <c r="F7" i="4"/>
  <c r="C21" i="931" l="1"/>
  <c r="G20" i="931"/>
  <c r="G19" i="930"/>
  <c r="C20" i="930"/>
  <c r="C20" i="929"/>
  <c r="G19" i="929"/>
  <c r="C20" i="928"/>
  <c r="G19" i="928"/>
  <c r="G19" i="927"/>
  <c r="C20" i="927"/>
  <c r="G19" i="926"/>
  <c r="C20" i="926"/>
  <c r="G19" i="925"/>
  <c r="C20" i="925"/>
  <c r="C20" i="924"/>
  <c r="G19" i="924"/>
  <c r="C20" i="923"/>
  <c r="G19" i="923"/>
  <c r="C20" i="922"/>
  <c r="G19" i="922"/>
  <c r="C20" i="921"/>
  <c r="G19" i="921"/>
  <c r="C20" i="920"/>
  <c r="G19" i="920"/>
  <c r="C20" i="919"/>
  <c r="G19" i="919"/>
  <c r="C20" i="918"/>
  <c r="G19" i="918"/>
  <c r="D10" i="439"/>
  <c r="E10" i="439"/>
  <c r="F10" i="439"/>
  <c r="G21" i="931" l="1"/>
  <c r="C22" i="931"/>
  <c r="C21" i="930"/>
  <c r="G20" i="930"/>
  <c r="C21" i="929"/>
  <c r="G20" i="929"/>
  <c r="C21" i="928"/>
  <c r="G20" i="928"/>
  <c r="C21" i="927"/>
  <c r="G20" i="927"/>
  <c r="C21" i="926"/>
  <c r="G20" i="926"/>
  <c r="C21" i="925"/>
  <c r="G20" i="925"/>
  <c r="C21" i="924"/>
  <c r="G20" i="924"/>
  <c r="C21" i="923"/>
  <c r="G20" i="923"/>
  <c r="C21" i="922"/>
  <c r="G20" i="922"/>
  <c r="C21" i="921"/>
  <c r="G20" i="921"/>
  <c r="C21" i="920"/>
  <c r="G20" i="920"/>
  <c r="C21" i="919"/>
  <c r="G20" i="919"/>
  <c r="C21" i="918"/>
  <c r="G20" i="918"/>
  <c r="N7" i="120"/>
  <c r="G22" i="931" l="1"/>
  <c r="C23" i="931"/>
  <c r="G21" i="930"/>
  <c r="C22" i="930"/>
  <c r="G21" i="929"/>
  <c r="C22" i="929"/>
  <c r="G21" i="928"/>
  <c r="C22" i="928"/>
  <c r="G21" i="927"/>
  <c r="C22" i="927"/>
  <c r="G21" i="926"/>
  <c r="C22" i="926"/>
  <c r="G21" i="925"/>
  <c r="C22" i="925"/>
  <c r="G21" i="924"/>
  <c r="C22" i="924"/>
  <c r="G21" i="923"/>
  <c r="C22" i="923"/>
  <c r="G21" i="922"/>
  <c r="C22" i="922"/>
  <c r="G21" i="921"/>
  <c r="C22" i="921"/>
  <c r="G21" i="920"/>
  <c r="C22" i="920"/>
  <c r="G21" i="919"/>
  <c r="C22" i="919"/>
  <c r="G21" i="918"/>
  <c r="C22" i="918"/>
  <c r="G29" i="1"/>
  <c r="F11" i="150"/>
  <c r="C24" i="931" l="1"/>
  <c r="G23" i="931"/>
  <c r="G22" i="930"/>
  <c r="C23" i="930"/>
  <c r="G22" i="929"/>
  <c r="C23" i="929"/>
  <c r="G22" i="928"/>
  <c r="C23" i="928"/>
  <c r="G22" i="927"/>
  <c r="C23" i="927"/>
  <c r="G22" i="926"/>
  <c r="C23" i="926"/>
  <c r="C23" i="925"/>
  <c r="G22" i="925"/>
  <c r="G22" i="924"/>
  <c r="C23" i="924"/>
  <c r="G22" i="923"/>
  <c r="C23" i="923"/>
  <c r="G22" i="922"/>
  <c r="C23" i="922"/>
  <c r="G22" i="921"/>
  <c r="C23" i="921"/>
  <c r="G22" i="920"/>
  <c r="C23" i="920"/>
  <c r="G22" i="919"/>
  <c r="C23" i="919"/>
  <c r="G22" i="918"/>
  <c r="C23" i="918"/>
  <c r="H5" i="95"/>
  <c r="C25" i="931" l="1"/>
  <c r="G24" i="931"/>
  <c r="G23" i="930"/>
  <c r="C24" i="930"/>
  <c r="G23" i="929"/>
  <c r="C24" i="929"/>
  <c r="G23" i="928"/>
  <c r="C24" i="928"/>
  <c r="C24" i="927"/>
  <c r="G23" i="927"/>
  <c r="G23" i="926"/>
  <c r="C24" i="926"/>
  <c r="G23" i="925"/>
  <c r="C24" i="925"/>
  <c r="C24" i="924"/>
  <c r="G23" i="924"/>
  <c r="G23" i="923"/>
  <c r="C24" i="923"/>
  <c r="G23" i="922"/>
  <c r="C24" i="922"/>
  <c r="C24" i="921"/>
  <c r="G23" i="921"/>
  <c r="C24" i="920"/>
  <c r="G23" i="920"/>
  <c r="G23" i="919"/>
  <c r="C24" i="919"/>
  <c r="C24" i="918"/>
  <c r="G23" i="918"/>
  <c r="F5" i="4"/>
  <c r="G25" i="931" l="1"/>
  <c r="C26" i="931"/>
  <c r="C25" i="930"/>
  <c r="G24" i="930"/>
  <c r="C25" i="929"/>
  <c r="G24" i="929"/>
  <c r="C25" i="928"/>
  <c r="G24" i="928"/>
  <c r="C25" i="927"/>
  <c r="G24" i="927"/>
  <c r="C25" i="926"/>
  <c r="G24" i="926"/>
  <c r="C25" i="925"/>
  <c r="G24" i="925"/>
  <c r="C25" i="924"/>
  <c r="G24" i="924"/>
  <c r="C25" i="923"/>
  <c r="G24" i="923"/>
  <c r="C25" i="922"/>
  <c r="G24" i="922"/>
  <c r="C25" i="921"/>
  <c r="G24" i="921"/>
  <c r="C25" i="920"/>
  <c r="G24" i="920"/>
  <c r="C25" i="919"/>
  <c r="G24" i="919"/>
  <c r="C25" i="918"/>
  <c r="G24" i="918"/>
  <c r="E9" i="439"/>
  <c r="G26" i="931" l="1"/>
  <c r="C27" i="931"/>
  <c r="G25" i="930"/>
  <c r="C26" i="930"/>
  <c r="G25" i="929"/>
  <c r="C26" i="929"/>
  <c r="G25" i="928"/>
  <c r="C26" i="928"/>
  <c r="G25" i="927"/>
  <c r="C26" i="927"/>
  <c r="G25" i="926"/>
  <c r="C26" i="926"/>
  <c r="G25" i="925"/>
  <c r="C26" i="925"/>
  <c r="G25" i="924"/>
  <c r="C26" i="924"/>
  <c r="G25" i="923"/>
  <c r="C26" i="923"/>
  <c r="G25" i="922"/>
  <c r="C26" i="922"/>
  <c r="G25" i="921"/>
  <c r="C26" i="921"/>
  <c r="G25" i="920"/>
  <c r="C26" i="920"/>
  <c r="G25" i="919"/>
  <c r="C26" i="919"/>
  <c r="G25" i="918"/>
  <c r="C26" i="918"/>
  <c r="D17" i="95"/>
  <c r="G27" i="931" l="1"/>
  <c r="C28" i="931"/>
  <c r="G26" i="930"/>
  <c r="C27" i="930"/>
  <c r="G26" i="929"/>
  <c r="C27" i="929"/>
  <c r="G26" i="928"/>
  <c r="C27" i="928"/>
  <c r="G26" i="927"/>
  <c r="C27" i="927"/>
  <c r="G26" i="926"/>
  <c r="C27" i="926"/>
  <c r="C27" i="925"/>
  <c r="G26" i="925"/>
  <c r="G26" i="924"/>
  <c r="C27" i="924"/>
  <c r="G26" i="923"/>
  <c r="C27" i="923"/>
  <c r="G26" i="922"/>
  <c r="C27" i="922"/>
  <c r="G26" i="921"/>
  <c r="C27" i="921"/>
  <c r="G26" i="920"/>
  <c r="C27" i="920"/>
  <c r="G26" i="919"/>
  <c r="C27" i="919"/>
  <c r="G26" i="918"/>
  <c r="C27" i="918"/>
  <c r="F7" i="150"/>
  <c r="C29" i="931" l="1"/>
  <c r="G28" i="931"/>
  <c r="C28" i="930"/>
  <c r="G27" i="930"/>
  <c r="G27" i="929"/>
  <c r="C28" i="929"/>
  <c r="C28" i="928"/>
  <c r="G27" i="928"/>
  <c r="C28" i="927"/>
  <c r="G27" i="927"/>
  <c r="C28" i="926"/>
  <c r="G27" i="926"/>
  <c r="G27" i="925"/>
  <c r="C28" i="925"/>
  <c r="C28" i="924"/>
  <c r="G27" i="924"/>
  <c r="C28" i="923"/>
  <c r="G27" i="923"/>
  <c r="C28" i="922"/>
  <c r="G27" i="922"/>
  <c r="C28" i="921"/>
  <c r="G27" i="921"/>
  <c r="G27" i="920"/>
  <c r="C28" i="920"/>
  <c r="C28" i="919"/>
  <c r="G27" i="919"/>
  <c r="C28" i="918"/>
  <c r="G27" i="918"/>
  <c r="G8" i="439"/>
  <c r="F8" i="439"/>
  <c r="E8" i="439"/>
  <c r="D8" i="439"/>
  <c r="C8" i="439"/>
  <c r="G29" i="931" l="1"/>
  <c r="C30" i="931"/>
  <c r="C29" i="930"/>
  <c r="G28" i="930"/>
  <c r="C29" i="929"/>
  <c r="G28" i="929"/>
  <c r="C29" i="928"/>
  <c r="G28" i="928"/>
  <c r="C29" i="927"/>
  <c r="G28" i="927"/>
  <c r="C29" i="926"/>
  <c r="G28" i="926"/>
  <c r="C29" i="925"/>
  <c r="G28" i="925"/>
  <c r="C29" i="924"/>
  <c r="G28" i="924"/>
  <c r="C29" i="923"/>
  <c r="G28" i="923"/>
  <c r="C29" i="922"/>
  <c r="G28" i="922"/>
  <c r="C29" i="921"/>
  <c r="G28" i="921"/>
  <c r="C29" i="920"/>
  <c r="G28" i="920"/>
  <c r="C29" i="919"/>
  <c r="G28" i="919"/>
  <c r="C29" i="918"/>
  <c r="G28" i="918"/>
  <c r="H4" i="95"/>
  <c r="G30" i="931" l="1"/>
  <c r="C31" i="931"/>
  <c r="G29" i="930"/>
  <c r="C30" i="930"/>
  <c r="G29" i="929"/>
  <c r="C30" i="929"/>
  <c r="G29" i="928"/>
  <c r="C30" i="928"/>
  <c r="G29" i="927"/>
  <c r="C30" i="927"/>
  <c r="G29" i="926"/>
  <c r="C30" i="926"/>
  <c r="G29" i="925"/>
  <c r="C30" i="925"/>
  <c r="G29" i="924"/>
  <c r="C30" i="924"/>
  <c r="G29" i="923"/>
  <c r="C30" i="923"/>
  <c r="G29" i="922"/>
  <c r="C30" i="922"/>
  <c r="G29" i="921"/>
  <c r="C30" i="921"/>
  <c r="G29" i="920"/>
  <c r="C30" i="920"/>
  <c r="G29" i="919"/>
  <c r="C30" i="919"/>
  <c r="G29" i="918"/>
  <c r="C30" i="918"/>
  <c r="J6" i="120"/>
  <c r="G31" i="931" l="1"/>
  <c r="C32" i="931"/>
  <c r="G30" i="930"/>
  <c r="C31" i="930"/>
  <c r="G30" i="929"/>
  <c r="C31" i="929"/>
  <c r="G30" i="928"/>
  <c r="C31" i="928"/>
  <c r="G30" i="927"/>
  <c r="C31" i="927"/>
  <c r="G30" i="926"/>
  <c r="C31" i="926"/>
  <c r="G30" i="925"/>
  <c r="C31" i="925"/>
  <c r="G30" i="924"/>
  <c r="C31" i="924"/>
  <c r="G30" i="923"/>
  <c r="C31" i="923"/>
  <c r="G30" i="922"/>
  <c r="C31" i="922"/>
  <c r="G30" i="921"/>
  <c r="C31" i="921"/>
  <c r="G30" i="920"/>
  <c r="C31" i="920"/>
  <c r="G30" i="919"/>
  <c r="C31" i="919"/>
  <c r="G30" i="918"/>
  <c r="C31" i="918"/>
  <c r="M6" i="120"/>
  <c r="C33" i="931" l="1"/>
  <c r="G32" i="931"/>
  <c r="C32" i="930"/>
  <c r="G31" i="930"/>
  <c r="G31" i="929"/>
  <c r="C32" i="929"/>
  <c r="C32" i="928"/>
  <c r="G31" i="928"/>
  <c r="G31" i="927"/>
  <c r="C32" i="927"/>
  <c r="G31" i="926"/>
  <c r="C32" i="926"/>
  <c r="C32" i="925"/>
  <c r="G31" i="925"/>
  <c r="G31" i="924"/>
  <c r="C32" i="924"/>
  <c r="C32" i="923"/>
  <c r="G31" i="923"/>
  <c r="C32" i="922"/>
  <c r="G31" i="922"/>
  <c r="G31" i="921"/>
  <c r="C32" i="921"/>
  <c r="C32" i="920"/>
  <c r="G31" i="920"/>
  <c r="C32" i="919"/>
  <c r="G31" i="919"/>
  <c r="G31" i="918"/>
  <c r="C32" i="918"/>
  <c r="A2" i="137"/>
  <c r="F7" i="137"/>
  <c r="G33" i="931" l="1"/>
  <c r="C34" i="931"/>
  <c r="C33" i="930"/>
  <c r="G32" i="930"/>
  <c r="C33" i="929"/>
  <c r="G32" i="929"/>
  <c r="C33" i="928"/>
  <c r="G32" i="928"/>
  <c r="C33" i="927"/>
  <c r="G32" i="927"/>
  <c r="C33" i="926"/>
  <c r="G32" i="926"/>
  <c r="C33" i="925"/>
  <c r="G32" i="925"/>
  <c r="C33" i="924"/>
  <c r="G32" i="924"/>
  <c r="C33" i="923"/>
  <c r="G32" i="923"/>
  <c r="C33" i="922"/>
  <c r="G32" i="922"/>
  <c r="C33" i="921"/>
  <c r="G32" i="921"/>
  <c r="C33" i="920"/>
  <c r="G32" i="920"/>
  <c r="C33" i="919"/>
  <c r="G32" i="919"/>
  <c r="C33" i="918"/>
  <c r="G32" i="918"/>
  <c r="N6" i="120"/>
  <c r="G34" i="931" l="1"/>
  <c r="C35" i="931"/>
  <c r="G33" i="930"/>
  <c r="C34" i="930"/>
  <c r="G33" i="929"/>
  <c r="C34" i="929"/>
  <c r="G33" i="928"/>
  <c r="C34" i="928"/>
  <c r="G33" i="927"/>
  <c r="C34" i="927"/>
  <c r="G33" i="926"/>
  <c r="C34" i="926"/>
  <c r="G33" i="925"/>
  <c r="C34" i="925"/>
  <c r="G33" i="924"/>
  <c r="C34" i="924"/>
  <c r="G33" i="923"/>
  <c r="C34" i="923"/>
  <c r="G33" i="922"/>
  <c r="C34" i="922"/>
  <c r="G33" i="921"/>
  <c r="C34" i="921"/>
  <c r="G33" i="920"/>
  <c r="C34" i="920"/>
  <c r="G33" i="919"/>
  <c r="C34" i="919"/>
  <c r="G33" i="918"/>
  <c r="C34" i="918"/>
  <c r="F8" i="150"/>
  <c r="C36" i="931" l="1"/>
  <c r="G35" i="931"/>
  <c r="G34" i="930"/>
  <c r="C35" i="930"/>
  <c r="G34" i="929"/>
  <c r="C35" i="929"/>
  <c r="G34" i="928"/>
  <c r="C35" i="928"/>
  <c r="G34" i="927"/>
  <c r="C35" i="927"/>
  <c r="G34" i="926"/>
  <c r="C35" i="926"/>
  <c r="G34" i="925"/>
  <c r="C35" i="925"/>
  <c r="G34" i="924"/>
  <c r="C35" i="924"/>
  <c r="G34" i="923"/>
  <c r="C35" i="923"/>
  <c r="G34" i="922"/>
  <c r="C35" i="922"/>
  <c r="G34" i="921"/>
  <c r="C35" i="921"/>
  <c r="G34" i="920"/>
  <c r="C35" i="920"/>
  <c r="G34" i="919"/>
  <c r="C35" i="919"/>
  <c r="G34" i="918"/>
  <c r="C35" i="918"/>
  <c r="D11" i="439"/>
  <c r="E11" i="439"/>
  <c r="F11" i="439"/>
  <c r="C37" i="931" l="1"/>
  <c r="G36" i="931"/>
  <c r="H33" i="931"/>
  <c r="C36" i="930"/>
  <c r="G35" i="930"/>
  <c r="G35" i="929"/>
  <c r="C36" i="929"/>
  <c r="G35" i="928"/>
  <c r="C36" i="928"/>
  <c r="C36" i="927"/>
  <c r="G35" i="927"/>
  <c r="C36" i="926"/>
  <c r="G35" i="926"/>
  <c r="C36" i="925"/>
  <c r="G35" i="925"/>
  <c r="G35" i="924"/>
  <c r="C36" i="924"/>
  <c r="C36" i="923"/>
  <c r="G35" i="923"/>
  <c r="C36" i="922"/>
  <c r="G35" i="922"/>
  <c r="G35" i="921"/>
  <c r="C36" i="921"/>
  <c r="G35" i="920"/>
  <c r="C36" i="920"/>
  <c r="C36" i="919"/>
  <c r="G35" i="919"/>
  <c r="G35" i="918"/>
  <c r="C36" i="918"/>
  <c r="F6" i="137"/>
  <c r="G37" i="931" l="1"/>
  <c r="G38" i="931"/>
  <c r="H38" i="931" s="1"/>
  <c r="H10" i="931"/>
  <c r="H8" i="931"/>
  <c r="H9" i="931"/>
  <c r="H13" i="931"/>
  <c r="H11" i="931"/>
  <c r="H12" i="931"/>
  <c r="H15" i="931"/>
  <c r="H14" i="931"/>
  <c r="H16" i="931"/>
  <c r="H20" i="931"/>
  <c r="H17" i="931"/>
  <c r="H19" i="931"/>
  <c r="H18" i="931"/>
  <c r="H21" i="931"/>
  <c r="H23" i="931"/>
  <c r="H24" i="931"/>
  <c r="H22" i="931"/>
  <c r="H26" i="931"/>
  <c r="H25" i="931"/>
  <c r="H27" i="931"/>
  <c r="H29" i="931"/>
  <c r="H28" i="931"/>
  <c r="H32" i="931"/>
  <c r="H30" i="931"/>
  <c r="H35" i="931"/>
  <c r="H34" i="931"/>
  <c r="H31" i="931"/>
  <c r="H37" i="931"/>
  <c r="H36" i="931"/>
  <c r="C37" i="930"/>
  <c r="G36" i="930"/>
  <c r="H36" i="930" s="1"/>
  <c r="C37" i="929"/>
  <c r="G36" i="929"/>
  <c r="H34" i="929"/>
  <c r="C37" i="928"/>
  <c r="G36" i="928"/>
  <c r="H36" i="928" s="1"/>
  <c r="H31" i="928"/>
  <c r="H34" i="928"/>
  <c r="H35" i="928"/>
  <c r="C37" i="927"/>
  <c r="G36" i="927"/>
  <c r="H36" i="927" s="1"/>
  <c r="C37" i="926"/>
  <c r="G36" i="926"/>
  <c r="C37" i="925"/>
  <c r="G36" i="925"/>
  <c r="C37" i="924"/>
  <c r="G36" i="924"/>
  <c r="C37" i="923"/>
  <c r="G36" i="923"/>
  <c r="C37" i="922"/>
  <c r="G36" i="922"/>
  <c r="C37" i="921"/>
  <c r="G36" i="921"/>
  <c r="C37" i="920"/>
  <c r="G36" i="920"/>
  <c r="C37" i="919"/>
  <c r="G36" i="919"/>
  <c r="H35" i="919"/>
  <c r="H36" i="919"/>
  <c r="H34" i="919"/>
  <c r="C37" i="918"/>
  <c r="G36" i="918"/>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9" i="439"/>
  <c r="D9" i="439"/>
  <c r="E7" i="439"/>
  <c r="G6" i="439"/>
  <c r="G37" i="930" l="1"/>
  <c r="G38" i="930"/>
  <c r="H38" i="930" s="1"/>
  <c r="H11" i="930"/>
  <c r="H8" i="930"/>
  <c r="H10" i="930"/>
  <c r="H12" i="930"/>
  <c r="H9" i="930"/>
  <c r="H13" i="930"/>
  <c r="H17" i="930"/>
  <c r="H16" i="930"/>
  <c r="H18" i="930"/>
  <c r="H19" i="930"/>
  <c r="H21" i="930"/>
  <c r="H20" i="930"/>
  <c r="H22" i="930"/>
  <c r="H23" i="930"/>
  <c r="H25" i="930"/>
  <c r="H24" i="930"/>
  <c r="H26" i="930"/>
  <c r="H27" i="930"/>
  <c r="H28" i="930"/>
  <c r="H29" i="930"/>
  <c r="H31" i="930"/>
  <c r="H30" i="930"/>
  <c r="H32" i="930"/>
  <c r="H33" i="930"/>
  <c r="H35" i="930"/>
  <c r="H34" i="930"/>
  <c r="H37" i="930"/>
  <c r="G37" i="929"/>
  <c r="H37" i="929" s="1"/>
  <c r="G38" i="929"/>
  <c r="H38" i="929" s="1"/>
  <c r="H9" i="929"/>
  <c r="H10" i="929"/>
  <c r="H8" i="929"/>
  <c r="H13" i="929" s="1"/>
  <c r="H11" i="929"/>
  <c r="H12" i="929"/>
  <c r="H14" i="929"/>
  <c r="H15" i="929"/>
  <c r="H17" i="929"/>
  <c r="H18" i="929"/>
  <c r="H16" i="929"/>
  <c r="H19" i="929"/>
  <c r="H21" i="929"/>
  <c r="H20" i="929"/>
  <c r="H22" i="929"/>
  <c r="H23" i="929"/>
  <c r="H25" i="929"/>
  <c r="H24" i="929"/>
  <c r="H27" i="929"/>
  <c r="H29" i="929"/>
  <c r="H28" i="929"/>
  <c r="H26" i="929"/>
  <c r="H30" i="929"/>
  <c r="H32" i="929"/>
  <c r="H31" i="929"/>
  <c r="H33" i="929"/>
  <c r="H35" i="929"/>
  <c r="H36" i="929"/>
  <c r="G37" i="928"/>
  <c r="H37" i="928" s="1"/>
  <c r="G38" i="928"/>
  <c r="H38" i="928" s="1"/>
  <c r="H10" i="928"/>
  <c r="H12" i="928"/>
  <c r="H11" i="928"/>
  <c r="H8" i="928"/>
  <c r="H9" i="928" s="1"/>
  <c r="H13" i="928"/>
  <c r="H16" i="928"/>
  <c r="H14" i="928"/>
  <c r="H15" i="928"/>
  <c r="H17" i="928"/>
  <c r="H18" i="928"/>
  <c r="H19" i="928"/>
  <c r="H21" i="928"/>
  <c r="H20" i="928"/>
  <c r="H22" i="928"/>
  <c r="H23" i="928"/>
  <c r="H25" i="928"/>
  <c r="H24" i="928"/>
  <c r="H26" i="928"/>
  <c r="H28" i="928"/>
  <c r="H27" i="928"/>
  <c r="H29" i="928"/>
  <c r="H32" i="928"/>
  <c r="H30" i="928"/>
  <c r="H33" i="928"/>
  <c r="G37" i="927"/>
  <c r="H37" i="927" s="1"/>
  <c r="G38" i="927"/>
  <c r="H38" i="927" s="1"/>
  <c r="H9" i="927"/>
  <c r="H8" i="927"/>
  <c r="H12" i="927"/>
  <c r="H11" i="927"/>
  <c r="H13" i="927"/>
  <c r="H16" i="927"/>
  <c r="H15" i="927"/>
  <c r="H14" i="927"/>
  <c r="H18" i="927"/>
  <c r="H17" i="927"/>
  <c r="H19" i="927"/>
  <c r="H21" i="927"/>
  <c r="H20" i="927"/>
  <c r="H24" i="927"/>
  <c r="H22" i="927"/>
  <c r="H23" i="927"/>
  <c r="H25" i="927"/>
  <c r="H28" i="927"/>
  <c r="H26" i="927"/>
  <c r="H27" i="927"/>
  <c r="H32" i="927"/>
  <c r="H30" i="927"/>
  <c r="H31" i="927"/>
  <c r="H34" i="927"/>
  <c r="H33" i="927"/>
  <c r="H29" i="927"/>
  <c r="H35" i="927"/>
  <c r="G37" i="926"/>
  <c r="H37" i="926" s="1"/>
  <c r="G38" i="926"/>
  <c r="H38" i="926" s="1"/>
  <c r="H8" i="926"/>
  <c r="H10" i="926" s="1"/>
  <c r="H9" i="926"/>
  <c r="H11" i="926"/>
  <c r="H16" i="926"/>
  <c r="H12" i="926"/>
  <c r="H18" i="926"/>
  <c r="H15" i="926"/>
  <c r="H14" i="926"/>
  <c r="H13" i="926"/>
  <c r="H17" i="926"/>
  <c r="H19" i="926"/>
  <c r="H20" i="926"/>
  <c r="H22" i="926"/>
  <c r="H21" i="926"/>
  <c r="H25" i="926"/>
  <c r="H23" i="926"/>
  <c r="H24" i="926"/>
  <c r="H26" i="926"/>
  <c r="H27" i="926"/>
  <c r="H29" i="926"/>
  <c r="H28" i="926"/>
  <c r="H30" i="926"/>
  <c r="H32" i="926"/>
  <c r="H35" i="926"/>
  <c r="H34" i="926"/>
  <c r="H33" i="926"/>
  <c r="H31" i="926"/>
  <c r="H36" i="926"/>
  <c r="G37" i="925"/>
  <c r="G38" i="925"/>
  <c r="H38" i="925" s="1"/>
  <c r="H8" i="925"/>
  <c r="H9" i="925" s="1"/>
  <c r="H10" i="925"/>
  <c r="H11" i="925"/>
  <c r="H13" i="925"/>
  <c r="H12" i="925"/>
  <c r="H15" i="925"/>
  <c r="H14" i="925"/>
  <c r="H18" i="925"/>
  <c r="H16" i="925"/>
  <c r="H21" i="925"/>
  <c r="H17" i="925"/>
  <c r="H20" i="925"/>
  <c r="H19" i="925"/>
  <c r="H22" i="925"/>
  <c r="H23" i="925"/>
  <c r="H25" i="925"/>
  <c r="H26" i="925"/>
  <c r="H24" i="925"/>
  <c r="H27" i="925"/>
  <c r="H29" i="925"/>
  <c r="H28" i="925"/>
  <c r="H30" i="925"/>
  <c r="H31" i="925"/>
  <c r="H33" i="925"/>
  <c r="H32" i="925"/>
  <c r="H36" i="925"/>
  <c r="H35" i="925"/>
  <c r="H34" i="925"/>
  <c r="H37" i="925"/>
  <c r="G37" i="924"/>
  <c r="H37" i="924" s="1"/>
  <c r="G38" i="924"/>
  <c r="H38" i="924" s="1"/>
  <c r="H9" i="924"/>
  <c r="H8" i="924"/>
  <c r="H12" i="924"/>
  <c r="H10" i="924"/>
  <c r="H11" i="924"/>
  <c r="H14" i="924"/>
  <c r="H13" i="924"/>
  <c r="H16" i="924"/>
  <c r="H17" i="924"/>
  <c r="H15" i="924"/>
  <c r="H18" i="924"/>
  <c r="H20" i="924"/>
  <c r="H19" i="924"/>
  <c r="H21" i="924"/>
  <c r="H24" i="924"/>
  <c r="H23" i="924"/>
  <c r="H22" i="924"/>
  <c r="H25" i="924"/>
  <c r="H27" i="924"/>
  <c r="H28" i="924"/>
  <c r="H26" i="924"/>
  <c r="H31" i="924"/>
  <c r="H30" i="924"/>
  <c r="H29" i="924"/>
  <c r="H33" i="924"/>
  <c r="H32" i="924"/>
  <c r="H34" i="924"/>
  <c r="H35" i="924"/>
  <c r="H36" i="924"/>
  <c r="G37" i="923"/>
  <c r="H37" i="923" s="1"/>
  <c r="G38" i="923"/>
  <c r="H38" i="923" s="1"/>
  <c r="H8" i="923"/>
  <c r="H9" i="923"/>
  <c r="H10" i="923"/>
  <c r="H13" i="923"/>
  <c r="H11" i="923"/>
  <c r="H16" i="923"/>
  <c r="H14" i="923"/>
  <c r="H12" i="923"/>
  <c r="H15" i="923"/>
  <c r="H17" i="923"/>
  <c r="H18" i="923"/>
  <c r="H20" i="923"/>
  <c r="H19" i="923"/>
  <c r="H21" i="923"/>
  <c r="H22" i="923"/>
  <c r="H24" i="923"/>
  <c r="H23" i="923"/>
  <c r="H27" i="923"/>
  <c r="H26" i="923"/>
  <c r="H28" i="923"/>
  <c r="H25" i="923"/>
  <c r="H29" i="923"/>
  <c r="H32" i="923"/>
  <c r="H34" i="923"/>
  <c r="H35" i="923"/>
  <c r="H33" i="923"/>
  <c r="H31" i="923"/>
  <c r="H30" i="923"/>
  <c r="H36" i="923"/>
  <c r="G37" i="922"/>
  <c r="G38" i="922"/>
  <c r="H38" i="922" s="1"/>
  <c r="H11" i="922"/>
  <c r="H8" i="922"/>
  <c r="H9" i="922" s="1"/>
  <c r="H10" i="922"/>
  <c r="H12" i="922"/>
  <c r="H14" i="922"/>
  <c r="H13" i="922"/>
  <c r="H15" i="922"/>
  <c r="H16" i="922"/>
  <c r="H17" i="922"/>
  <c r="H18" i="922"/>
  <c r="H20" i="922"/>
  <c r="H19" i="922"/>
  <c r="H21" i="922"/>
  <c r="H22" i="922"/>
  <c r="H23" i="922"/>
  <c r="H24" i="922"/>
  <c r="H25" i="922"/>
  <c r="H26" i="922"/>
  <c r="H29" i="922"/>
  <c r="H27" i="922"/>
  <c r="H28" i="922"/>
  <c r="H30" i="922"/>
  <c r="H31" i="922"/>
  <c r="H32" i="922"/>
  <c r="H35" i="922"/>
  <c r="H36" i="922"/>
  <c r="H33" i="922"/>
  <c r="H34" i="922"/>
  <c r="H37" i="922"/>
  <c r="G37" i="921"/>
  <c r="H37" i="921" s="1"/>
  <c r="G38" i="921"/>
  <c r="H38" i="921" s="1"/>
  <c r="H8" i="921"/>
  <c r="H12" i="921"/>
  <c r="H9" i="921"/>
  <c r="H10" i="921"/>
  <c r="H11" i="921"/>
  <c r="H15" i="921"/>
  <c r="H14" i="921"/>
  <c r="H13" i="921"/>
  <c r="H16" i="921"/>
  <c r="H17" i="921"/>
  <c r="H20" i="921"/>
  <c r="H21" i="921"/>
  <c r="H18" i="921"/>
  <c r="H19" i="921"/>
  <c r="H23" i="921"/>
  <c r="H22" i="921"/>
  <c r="H25" i="921"/>
  <c r="H24" i="921"/>
  <c r="H26" i="921"/>
  <c r="H28" i="921"/>
  <c r="H27" i="921"/>
  <c r="H29" i="921"/>
  <c r="H30" i="921"/>
  <c r="H31" i="921"/>
  <c r="H32" i="921"/>
  <c r="H33" i="921"/>
  <c r="H34" i="921"/>
  <c r="H35" i="921"/>
  <c r="H36" i="921"/>
  <c r="G37" i="920"/>
  <c r="H37" i="920" s="1"/>
  <c r="G38" i="920"/>
  <c r="H38" i="920" s="1"/>
  <c r="H9" i="920"/>
  <c r="H8" i="920"/>
  <c r="H13" i="920"/>
  <c r="H12" i="920"/>
  <c r="H14" i="920"/>
  <c r="H16" i="920"/>
  <c r="H17" i="920"/>
  <c r="H15" i="920"/>
  <c r="H18" i="920"/>
  <c r="H19" i="920"/>
  <c r="H20" i="920"/>
  <c r="H21" i="920"/>
  <c r="H22" i="920"/>
  <c r="H24" i="920"/>
  <c r="H23" i="920"/>
  <c r="H25" i="920"/>
  <c r="H28" i="920"/>
  <c r="H26" i="920"/>
  <c r="H27" i="920"/>
  <c r="H32" i="920"/>
  <c r="H29" i="920"/>
  <c r="H30" i="920"/>
  <c r="H31" i="920"/>
  <c r="H33" i="920"/>
  <c r="H34" i="920"/>
  <c r="H35" i="920"/>
  <c r="H36" i="920"/>
  <c r="H32" i="919"/>
  <c r="H33" i="919"/>
  <c r="G37" i="919"/>
  <c r="H37" i="919" s="1"/>
  <c r="G38" i="919"/>
  <c r="H38" i="919" s="1"/>
  <c r="H8" i="919"/>
  <c r="H9" i="919"/>
  <c r="H12" i="919"/>
  <c r="H11" i="919"/>
  <c r="H13" i="919"/>
  <c r="H14" i="919"/>
  <c r="H17" i="919"/>
  <c r="H15" i="919"/>
  <c r="H16" i="919"/>
  <c r="H18" i="919"/>
  <c r="H20" i="919"/>
  <c r="H19" i="919"/>
  <c r="H21" i="919"/>
  <c r="H23" i="919"/>
  <c r="H22" i="919"/>
  <c r="H25" i="919"/>
  <c r="H24" i="919"/>
  <c r="H26" i="919"/>
  <c r="H27" i="919"/>
  <c r="H28" i="919"/>
  <c r="H29" i="919"/>
  <c r="H30" i="919"/>
  <c r="H31" i="919"/>
  <c r="G37" i="918"/>
  <c r="G38" i="918"/>
  <c r="H38" i="918" s="1"/>
  <c r="H12" i="918"/>
  <c r="H9" i="918"/>
  <c r="H11" i="918" s="1"/>
  <c r="H8" i="918"/>
  <c r="H13" i="918"/>
  <c r="H14" i="918"/>
  <c r="H16" i="918"/>
  <c r="H15" i="918"/>
  <c r="H17" i="918"/>
  <c r="H20" i="918"/>
  <c r="H18" i="918"/>
  <c r="H19" i="918"/>
  <c r="H21" i="918"/>
  <c r="H24" i="918"/>
  <c r="H23" i="918"/>
  <c r="H22" i="918"/>
  <c r="H25" i="918"/>
  <c r="H27" i="918"/>
  <c r="H26" i="918"/>
  <c r="H28" i="918"/>
  <c r="H29" i="918"/>
  <c r="H30" i="918"/>
  <c r="H31" i="918"/>
  <c r="H33" i="918"/>
  <c r="H32" i="918"/>
  <c r="H35" i="918"/>
  <c r="H36" i="918"/>
  <c r="H34" i="918"/>
  <c r="H37" i="918"/>
  <c r="C9" i="439"/>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H15" i="930" l="1"/>
  <c r="H11" i="920"/>
  <c r="C10" i="439"/>
  <c r="G10" i="439" s="1"/>
  <c r="G9" i="439"/>
  <c r="I7" i="439"/>
  <c r="C11" i="439" l="1"/>
  <c r="G11" i="439" s="1"/>
  <c r="C12" i="439" l="1"/>
  <c r="G12" i="439" s="1"/>
  <c r="C13" i="439" l="1"/>
  <c r="G13" i="439" s="1"/>
  <c r="F6" i="4"/>
  <c r="C14" i="439" l="1"/>
  <c r="G14" i="439" s="1"/>
  <c r="P2" i="8"/>
  <c r="C15" i="439" l="1"/>
  <c r="C16" i="439" s="1"/>
  <c r="G15" i="439" l="1"/>
  <c r="C17" i="439"/>
  <c r="G16" i="439"/>
  <c r="F8" i="1"/>
  <c r="G17" i="439" l="1"/>
  <c r="C18" i="439"/>
  <c r="G18" i="439" l="1"/>
  <c r="C19" i="439"/>
  <c r="G19" i="439" l="1"/>
  <c r="C20" i="439"/>
  <c r="O5" i="120"/>
  <c r="C21" i="439" l="1"/>
  <c r="G20" i="439"/>
  <c r="N2" i="120"/>
  <c r="O2" i="120"/>
  <c r="A31" i="1"/>
  <c r="A32" i="1"/>
  <c r="A33" i="1"/>
  <c r="A34" i="1"/>
  <c r="M6" i="50"/>
  <c r="Q6" i="50"/>
  <c r="AW6" i="50"/>
  <c r="AK6" i="50"/>
  <c r="L6" i="50"/>
  <c r="R6" i="50"/>
  <c r="AZ6" i="50"/>
  <c r="AU6" i="50"/>
  <c r="AF6" i="50"/>
  <c r="AL6" i="50"/>
  <c r="N6" i="50"/>
  <c r="AY6" i="50"/>
  <c r="AD6" i="50"/>
  <c r="AV6" i="50"/>
  <c r="AJ6" i="50"/>
  <c r="AI6" i="50"/>
  <c r="Y6" i="50"/>
  <c r="AQ6" i="50"/>
  <c r="T6" i="50"/>
  <c r="AR6" i="50"/>
  <c r="AC6" i="50"/>
  <c r="P6" i="50"/>
  <c r="X6" i="50"/>
  <c r="BA6" i="50"/>
  <c r="O6" i="50"/>
  <c r="BB6" i="50"/>
  <c r="AA6" i="50"/>
  <c r="AS6" i="50"/>
  <c r="AP6" i="50"/>
  <c r="AG6" i="50"/>
  <c r="U6" i="50"/>
  <c r="BC6" i="50"/>
  <c r="AE6" i="50"/>
  <c r="AH6" i="50"/>
  <c r="AT6" i="50"/>
  <c r="AX6" i="50"/>
  <c r="AM6" i="50"/>
  <c r="AN6" i="50"/>
  <c r="Z6" i="50"/>
  <c r="S6" i="50"/>
  <c r="W6" i="50"/>
  <c r="V6" i="50"/>
  <c r="AO6" i="50"/>
  <c r="AB6" i="50"/>
  <c r="G21" i="439" l="1"/>
  <c r="C22" i="439"/>
  <c r="F6" i="50"/>
  <c r="AA6" i="137" s="1"/>
  <c r="G22" i="439" l="1"/>
  <c r="C23" i="439"/>
  <c r="C24" i="439" l="1"/>
  <c r="G23" i="439"/>
  <c r="M6" i="137"/>
  <c r="F5" i="137"/>
  <c r="H6" i="137"/>
  <c r="C25" i="439" l="1"/>
  <c r="G24" i="439"/>
  <c r="G25" i="439" l="1"/>
  <c r="C26" i="439"/>
  <c r="G26" i="439" l="1"/>
  <c r="C27" i="439"/>
  <c r="P9" i="150"/>
  <c r="C28" i="439" l="1"/>
  <c r="G27" i="439"/>
  <c r="D74" i="50"/>
  <c r="U74" i="50"/>
  <c r="W74" i="50"/>
  <c r="AN74" i="50"/>
  <c r="AD74" i="50"/>
  <c r="AA74" i="50"/>
  <c r="AM74" i="50"/>
  <c r="AY74" i="50"/>
  <c r="AW74" i="50"/>
  <c r="AB74" i="50"/>
  <c r="M74" i="50"/>
  <c r="L74" i="50"/>
  <c r="AH74" i="50"/>
  <c r="AT74" i="50"/>
  <c r="AU74" i="50"/>
  <c r="AK74" i="50"/>
  <c r="AE74" i="50"/>
  <c r="AC74" i="50"/>
  <c r="AX74" i="50"/>
  <c r="AV74" i="50"/>
  <c r="AS74" i="50"/>
  <c r="Y74" i="50"/>
  <c r="P74" i="50"/>
  <c r="X74" i="50"/>
  <c r="Q74" i="50"/>
  <c r="BA74" i="50"/>
  <c r="AQ74" i="50"/>
  <c r="AF74" i="50"/>
  <c r="AR74" i="50"/>
  <c r="AO74" i="50"/>
  <c r="BB74" i="50"/>
  <c r="AI74" i="50"/>
  <c r="AL74" i="50"/>
  <c r="R74" i="50"/>
  <c r="T74" i="50"/>
  <c r="AJ74" i="50"/>
  <c r="V74" i="50"/>
  <c r="AP74" i="50"/>
  <c r="N74" i="50"/>
  <c r="Z74" i="50"/>
  <c r="AG74" i="50"/>
  <c r="S74" i="50"/>
  <c r="O74" i="50"/>
  <c r="AZ74" i="50"/>
  <c r="BC74" i="50"/>
  <c r="C29" i="439" l="1"/>
  <c r="G28" i="439"/>
  <c r="F74" i="50"/>
  <c r="AA25" i="4" s="1"/>
  <c r="AX25" i="4"/>
  <c r="M25" i="4"/>
  <c r="H25" i="4"/>
  <c r="D25" i="4"/>
  <c r="G29" i="439" l="1"/>
  <c r="C30" i="439"/>
  <c r="M5" i="120"/>
  <c r="G30" i="439" l="1"/>
  <c r="C31" i="439"/>
  <c r="P8" i="137"/>
  <c r="F26" i="1"/>
  <c r="G31" i="439" l="1"/>
  <c r="C32" i="439"/>
  <c r="C33" i="439" l="1"/>
  <c r="G32" i="439"/>
  <c r="B6" i="95"/>
  <c r="G33" i="439" l="1"/>
  <c r="C34" i="439"/>
  <c r="L2" i="120"/>
  <c r="M2" i="120"/>
  <c r="P2" i="120"/>
  <c r="Q2" i="120"/>
  <c r="R2" i="120"/>
  <c r="P5" i="4"/>
  <c r="P11"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7" i="1"/>
  <c r="F24" i="1"/>
  <c r="B2" i="137"/>
  <c r="F9" i="137"/>
  <c r="C37" i="439" l="1"/>
  <c r="G36" i="439"/>
  <c r="G1" i="50"/>
  <c r="F8" i="137"/>
  <c r="D21" i="95"/>
  <c r="H8" i="439" l="1"/>
  <c r="H36" i="439"/>
  <c r="H32" i="439"/>
  <c r="G37" i="439"/>
  <c r="H37" i="439" s="1"/>
  <c r="G38" i="439"/>
  <c r="H38" i="439" s="1"/>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9" i="439" l="1"/>
  <c r="H10" i="439" s="1"/>
  <c r="AX7" i="137"/>
  <c r="AX8" i="137"/>
  <c r="H11" i="439" l="1"/>
  <c r="H12" i="439" s="1"/>
  <c r="E4" i="137"/>
  <c r="F4" i="137"/>
  <c r="H13" i="439" l="1"/>
  <c r="R2" i="8"/>
  <c r="H14" i="439" l="1"/>
  <c r="M18" i="1"/>
  <c r="G18" i="1"/>
  <c r="H15" i="439" l="1"/>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W4" i="1" l="1"/>
  <c r="P4" i="1"/>
  <c r="Q2" i="1"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14" i="1" l="1"/>
  <c r="N12" i="4"/>
  <c r="N20" i="1"/>
  <c r="N19" i="1"/>
  <c r="N9" i="5"/>
  <c r="A9" i="5" s="1"/>
  <c r="O17" i="1"/>
  <c r="A17" i="1" s="1"/>
  <c r="N7" i="5"/>
  <c r="A7" i="5" s="1"/>
  <c r="O15" i="1"/>
  <c r="A15" i="1" s="1"/>
  <c r="O16" i="1"/>
  <c r="A16" i="1" s="1"/>
  <c r="O11" i="1"/>
  <c r="A11" i="1" s="1"/>
  <c r="O25" i="4" l="1"/>
  <c r="A25" i="4" s="1"/>
  <c r="N16" i="1"/>
  <c r="M7" i="5"/>
  <c r="O14" i="1"/>
  <c r="A14" i="1" s="1"/>
  <c r="O19" i="1"/>
  <c r="A19" i="1" s="1"/>
  <c r="N17" i="1"/>
  <c r="O12" i="4"/>
  <c r="A12" i="4" s="1"/>
  <c r="M9" i="5"/>
  <c r="N15" i="1"/>
  <c r="N11" i="1"/>
  <c r="O20" i="1"/>
  <c r="A20" i="1" s="1"/>
  <c r="N25" i="4"/>
  <c r="J2" i="120" l="1"/>
  <c r="N6" i="137" l="1"/>
  <c r="O6" i="137"/>
  <c r="A6" i="137" s="1"/>
  <c r="AC4" i="1" l="1"/>
  <c r="AF4" i="1"/>
  <c r="AU4" i="1"/>
  <c r="AE4" i="1"/>
  <c r="AT4" i="1"/>
  <c r="AD4" i="1"/>
  <c r="AO4" i="1"/>
  <c r="AR4" i="1"/>
  <c r="AB4" i="1"/>
  <c r="AQ4" i="1"/>
  <c r="AP4" i="1"/>
  <c r="AG4" i="1"/>
  <c r="AN4" i="1"/>
  <c r="AM4" i="1"/>
  <c r="AL4" i="1"/>
  <c r="AS4" i="1"/>
  <c r="AK4" i="1"/>
  <c r="AJ4" i="1"/>
  <c r="AI4" i="1"/>
  <c r="AH4" i="1"/>
  <c r="AR4" i="150"/>
  <c r="AB4" i="150"/>
  <c r="AG4" i="150"/>
  <c r="AM4" i="150"/>
  <c r="AT4" i="150"/>
  <c r="AD4" i="150"/>
  <c r="AN4" i="150"/>
  <c r="AI4" i="150"/>
  <c r="AP4" i="150"/>
  <c r="AK4" i="150"/>
  <c r="AJ4" i="150"/>
  <c r="AU4" i="150"/>
  <c r="AE4" i="150"/>
  <c r="AO4" i="150"/>
  <c r="AL4" i="150"/>
  <c r="AF4" i="150"/>
  <c r="AS4" i="150"/>
  <c r="AQ4" i="150"/>
  <c r="AC4" i="150"/>
  <c r="AH4" i="150"/>
  <c r="AG4" i="4"/>
  <c r="AN4" i="4"/>
  <c r="AM4" i="4"/>
  <c r="AL4" i="4"/>
  <c r="AS4" i="4"/>
  <c r="AK4" i="4"/>
  <c r="AJ4" i="4"/>
  <c r="AI4" i="4"/>
  <c r="AH4" i="4"/>
  <c r="AC4" i="4"/>
  <c r="AF4" i="4"/>
  <c r="AU4" i="4"/>
  <c r="AE4" i="4"/>
  <c r="AT4" i="4"/>
  <c r="AD4" i="4"/>
  <c r="AO4" i="4"/>
  <c r="AR4" i="4"/>
  <c r="AB4" i="4"/>
  <c r="AQ4" i="4"/>
  <c r="AP4" i="4"/>
  <c r="AG4" i="5"/>
  <c r="AN4" i="5"/>
  <c r="AM4" i="5"/>
  <c r="AL4" i="5"/>
  <c r="AS4" i="5"/>
  <c r="AK4" i="5"/>
  <c r="AJ4" i="5"/>
  <c r="AI4" i="5"/>
  <c r="AH4" i="5"/>
  <c r="AC4" i="5"/>
  <c r="AF4" i="5"/>
  <c r="AU4" i="5"/>
  <c r="AE4" i="5"/>
  <c r="AT4" i="5"/>
  <c r="AD4" i="5"/>
  <c r="AO4" i="5"/>
  <c r="AR4" i="5"/>
  <c r="AB4" i="5"/>
  <c r="AQ4" i="5"/>
  <c r="AP4" i="5"/>
  <c r="AR4" i="137"/>
  <c r="AB4" i="137"/>
  <c r="AG4" i="137"/>
  <c r="AM4" i="137"/>
  <c r="AC4" i="137"/>
  <c r="AL4" i="137"/>
  <c r="AN4" i="137"/>
  <c r="AI4" i="137"/>
  <c r="AH4" i="137"/>
  <c r="AJ4" i="137"/>
  <c r="AU4" i="137"/>
  <c r="AE4" i="137"/>
  <c r="AS4" i="137"/>
  <c r="AT4" i="137"/>
  <c r="AD4" i="137"/>
  <c r="AF4" i="137"/>
  <c r="AO4" i="137"/>
  <c r="AQ4" i="137"/>
  <c r="AK4" i="137"/>
  <c r="AP4" i="137"/>
  <c r="AV4" i="5"/>
  <c r="AV4" i="1"/>
  <c r="AV4" i="137"/>
  <c r="AV4" i="150"/>
  <c r="AV4" i="4"/>
  <c r="S4" i="1" l="1"/>
  <c r="S4" i="150"/>
  <c r="S4" i="4"/>
  <c r="S4" i="5"/>
  <c r="S4" i="137"/>
  <c r="R4" i="1" l="1"/>
  <c r="R4" i="137"/>
  <c r="R4" i="5"/>
  <c r="R4" i="4"/>
  <c r="R4" i="150"/>
  <c r="U4" i="1" l="1"/>
  <c r="U4" i="150"/>
  <c r="T4" i="4"/>
  <c r="T4" i="5"/>
  <c r="T4" i="150"/>
  <c r="T4" i="137"/>
  <c r="T4" i="1"/>
  <c r="U4" i="4" l="1"/>
  <c r="U4" i="5"/>
  <c r="U4" i="137"/>
  <c r="W4" i="4" l="1"/>
  <c r="W4" i="1"/>
  <c r="W4" i="137"/>
  <c r="V4" i="137"/>
  <c r="V4" i="4"/>
  <c r="V4" i="5"/>
  <c r="V4" i="150"/>
  <c r="V4" i="1"/>
  <c r="W4" i="150" l="1"/>
  <c r="W4" i="5"/>
  <c r="Y4" i="4" l="1"/>
  <c r="Y4" i="1"/>
  <c r="X4" i="137"/>
  <c r="X4" i="1"/>
  <c r="X4" i="5"/>
  <c r="X4" i="150"/>
  <c r="X4" i="4"/>
  <c r="Y4" i="150" l="1"/>
  <c r="Y4" i="5"/>
  <c r="Y4" i="137"/>
  <c r="Z4" i="1" l="1"/>
  <c r="Z4" i="4"/>
  <c r="Z4" i="5"/>
  <c r="Z4" i="137"/>
  <c r="AE33" i="50"/>
  <c r="AV23" i="50"/>
  <c r="AO21" i="50"/>
  <c r="Q52" i="50"/>
  <c r="AH24" i="50"/>
  <c r="AO35" i="50"/>
  <c r="BC58" i="50"/>
  <c r="M11" i="50"/>
  <c r="AJ40" i="50"/>
  <c r="AI10" i="50"/>
  <c r="AH16" i="50"/>
  <c r="P63" i="50"/>
  <c r="AR54" i="50"/>
  <c r="Y31" i="50"/>
  <c r="S19" i="50"/>
  <c r="BA35" i="50"/>
  <c r="Y46" i="50"/>
  <c r="AN13" i="50"/>
  <c r="AB51" i="50"/>
  <c r="AN28" i="50"/>
  <c r="Z25" i="50"/>
  <c r="BA8" i="50"/>
  <c r="AM54" i="50"/>
  <c r="AP23" i="50"/>
  <c r="AV48" i="50"/>
  <c r="S59" i="50"/>
  <c r="AK71" i="50"/>
  <c r="AU48" i="50"/>
  <c r="AD50" i="50"/>
  <c r="V62" i="50"/>
  <c r="Z16" i="50"/>
  <c r="X47" i="50"/>
  <c r="AH63" i="50"/>
  <c r="AB35" i="50"/>
  <c r="AP25" i="50"/>
  <c r="Q29" i="50"/>
  <c r="AJ63" i="50"/>
  <c r="W11" i="50"/>
  <c r="AO70" i="50"/>
  <c r="AS5" i="50"/>
  <c r="AF70" i="50"/>
  <c r="AT21" i="50"/>
  <c r="AE67" i="50"/>
  <c r="AJ50" i="50"/>
  <c r="AT42" i="50"/>
  <c r="R48" i="50"/>
  <c r="AW20" i="50"/>
  <c r="P66" i="50"/>
  <c r="L43" i="50"/>
  <c r="AD70" i="50"/>
  <c r="P64" i="50"/>
  <c r="AM15" i="50"/>
  <c r="AM43" i="50"/>
  <c r="R71" i="50"/>
  <c r="O46" i="50"/>
  <c r="AD64" i="50"/>
  <c r="AI51" i="50"/>
  <c r="Y47" i="50"/>
  <c r="BC16" i="50"/>
  <c r="AL68" i="50"/>
  <c r="BA51" i="50"/>
  <c r="AZ13" i="50"/>
  <c r="AE21" i="50"/>
  <c r="AM55" i="50"/>
  <c r="AC17" i="50"/>
  <c r="L55" i="50"/>
  <c r="AR55" i="50"/>
  <c r="AQ30" i="50"/>
  <c r="AE44" i="50"/>
  <c r="AF55" i="50"/>
  <c r="O47" i="50"/>
  <c r="AN70" i="50"/>
  <c r="V14" i="50"/>
  <c r="AD31" i="50"/>
  <c r="U32" i="50"/>
  <c r="BB21" i="50"/>
  <c r="AT5" i="50"/>
  <c r="V68" i="50"/>
  <c r="BB34" i="50"/>
  <c r="W60" i="50"/>
  <c r="N72" i="50"/>
  <c r="AD23" i="50"/>
  <c r="AP34" i="50"/>
  <c r="R4" i="50"/>
  <c r="AF62" i="50"/>
  <c r="BB31" i="50"/>
  <c r="AU42" i="50"/>
  <c r="AF66" i="50"/>
  <c r="M55" i="50"/>
  <c r="W55" i="50"/>
  <c r="AU60" i="50"/>
  <c r="Q15" i="50"/>
  <c r="T55" i="50"/>
  <c r="AW14" i="50"/>
  <c r="AA40" i="50"/>
  <c r="AZ22" i="50"/>
  <c r="AG28" i="50"/>
  <c r="R8" i="50"/>
  <c r="AS73" i="50"/>
  <c r="AC35" i="50"/>
  <c r="AU26" i="50"/>
  <c r="Y41" i="50"/>
  <c r="L70" i="50"/>
  <c r="AL24" i="50"/>
  <c r="M12" i="50"/>
  <c r="AM12" i="50"/>
  <c r="S29" i="50"/>
  <c r="AG60" i="50"/>
  <c r="Z62" i="50"/>
  <c r="L61" i="50"/>
  <c r="AW63" i="50"/>
  <c r="AT9" i="50"/>
  <c r="AY10" i="50"/>
  <c r="T66" i="50"/>
  <c r="L7" i="50"/>
  <c r="BB59" i="50"/>
  <c r="AO56" i="50"/>
  <c r="AA36" i="50"/>
  <c r="AM68" i="50"/>
  <c r="AU73" i="50"/>
  <c r="O20" i="50"/>
  <c r="V52" i="50"/>
  <c r="BB44" i="50"/>
  <c r="L26" i="50"/>
  <c r="AQ63" i="50"/>
  <c r="AA56" i="50"/>
  <c r="V42" i="50"/>
  <c r="W36" i="50"/>
  <c r="BA34" i="50"/>
  <c r="AT56" i="50"/>
  <c r="M14" i="50"/>
  <c r="AT57" i="50"/>
  <c r="AW38" i="50"/>
  <c r="AT46" i="50"/>
  <c r="Q33" i="50"/>
  <c r="AM69" i="50"/>
  <c r="AZ50" i="50"/>
  <c r="AE52" i="50"/>
  <c r="W42" i="50"/>
  <c r="AK69" i="50"/>
  <c r="X67" i="50"/>
  <c r="AS67" i="50"/>
  <c r="AA31" i="50"/>
  <c r="AF68" i="50"/>
  <c r="BB23" i="50"/>
  <c r="R24" i="50"/>
  <c r="O22" i="50"/>
  <c r="AI37" i="50"/>
  <c r="AF20" i="50"/>
  <c r="AB62" i="50"/>
  <c r="U42" i="50"/>
  <c r="AX37" i="50"/>
  <c r="AA16" i="50"/>
  <c r="AZ29" i="50"/>
  <c r="X27" i="50"/>
  <c r="X45" i="50"/>
  <c r="L25" i="50"/>
  <c r="AT26" i="50"/>
  <c r="T69" i="50"/>
  <c r="AM26" i="50"/>
  <c r="AJ58" i="50"/>
  <c r="BC68" i="50"/>
  <c r="BC32" i="50"/>
  <c r="W24" i="50"/>
  <c r="AC24" i="50"/>
  <c r="R19" i="50"/>
  <c r="AG51" i="50"/>
  <c r="AP24" i="50"/>
  <c r="AE61" i="50"/>
  <c r="M31" i="50"/>
  <c r="U47" i="50"/>
  <c r="AA23" i="50"/>
  <c r="AZ42" i="50"/>
  <c r="AY22" i="50"/>
  <c r="Q17" i="50"/>
  <c r="AH62" i="50"/>
  <c r="W37" i="50"/>
  <c r="AO40" i="50"/>
  <c r="AB53" i="50"/>
  <c r="S63" i="50"/>
  <c r="W7" i="50"/>
  <c r="AF45" i="50"/>
  <c r="R51" i="50"/>
  <c r="AD53" i="50"/>
  <c r="U72" i="50"/>
  <c r="BA73" i="50"/>
  <c r="R27" i="50"/>
  <c r="AT12" i="50"/>
  <c r="AD42" i="50"/>
  <c r="AN36" i="50"/>
  <c r="AI43" i="50"/>
  <c r="Q12" i="50"/>
  <c r="W71" i="50"/>
  <c r="AN10" i="50"/>
  <c r="N17" i="50"/>
  <c r="M48" i="50"/>
  <c r="AI71" i="50"/>
  <c r="AB39" i="50"/>
  <c r="R63" i="50"/>
  <c r="AB15" i="50"/>
  <c r="AJ70" i="50"/>
  <c r="X17" i="50"/>
  <c r="AU47" i="50"/>
  <c r="AJ48" i="50"/>
  <c r="AP4" i="50"/>
  <c r="AK12" i="50"/>
  <c r="P30" i="50"/>
  <c r="L58" i="50"/>
  <c r="V28" i="50"/>
  <c r="AU4" i="50"/>
  <c r="AJ45" i="50"/>
  <c r="AX70" i="50"/>
  <c r="L53" i="50"/>
  <c r="BB58" i="50"/>
  <c r="Z32" i="50"/>
  <c r="Y64" i="50"/>
  <c r="AQ71" i="50"/>
  <c r="X61" i="50"/>
  <c r="AZ4" i="50"/>
  <c r="BB18" i="50"/>
  <c r="AU21" i="50"/>
  <c r="AQ36" i="50"/>
  <c r="M56" i="50"/>
  <c r="U24" i="50"/>
  <c r="AJ23" i="50"/>
  <c r="X54" i="50"/>
  <c r="AL42" i="50"/>
  <c r="AO71" i="50"/>
  <c r="AE32" i="50"/>
  <c r="AT8" i="50"/>
  <c r="O39" i="50"/>
  <c r="AR44" i="50"/>
  <c r="AW70" i="50"/>
  <c r="AV7" i="50"/>
  <c r="X65" i="50"/>
  <c r="AU8" i="50"/>
  <c r="U58" i="50"/>
  <c r="U63" i="50"/>
  <c r="AW67" i="50"/>
  <c r="Z40" i="50"/>
  <c r="AQ42" i="50"/>
  <c r="AV29" i="50"/>
  <c r="AU66" i="50"/>
  <c r="AI39" i="50"/>
  <c r="BA52" i="50"/>
  <c r="AR66" i="50"/>
  <c r="O14" i="50"/>
  <c r="AA19" i="50"/>
  <c r="AS28" i="50"/>
  <c r="AV35" i="50"/>
  <c r="W26" i="50"/>
  <c r="AY9" i="50"/>
  <c r="AZ48" i="50"/>
  <c r="Q4" i="50"/>
  <c r="AL13" i="50"/>
  <c r="L18" i="50"/>
  <c r="AU56" i="50"/>
  <c r="S46" i="50"/>
  <c r="U7" i="50"/>
  <c r="V51" i="50"/>
  <c r="AB49" i="50"/>
  <c r="BA53" i="50"/>
  <c r="AB28" i="50"/>
  <c r="AY33" i="50"/>
  <c r="AE24" i="50"/>
  <c r="X21" i="50"/>
  <c r="O18" i="50"/>
  <c r="AA61" i="50"/>
  <c r="O25" i="50"/>
  <c r="AQ64" i="50"/>
  <c r="AB58" i="50"/>
  <c r="AU34" i="50"/>
  <c r="N58" i="50"/>
  <c r="BA27" i="50"/>
  <c r="AJ52" i="50"/>
  <c r="AU14" i="50"/>
  <c r="BA44" i="50"/>
  <c r="AI33" i="50"/>
  <c r="BC28" i="50"/>
  <c r="AD61" i="50"/>
  <c r="AD51" i="50"/>
  <c r="AQ15" i="50"/>
  <c r="AA11" i="50"/>
  <c r="AF31" i="50"/>
  <c r="AO59" i="50"/>
  <c r="AX42" i="50"/>
  <c r="W17" i="50"/>
  <c r="AE73" i="50"/>
  <c r="AM9" i="50"/>
  <c r="U20" i="50"/>
  <c r="M64" i="50"/>
  <c r="AM45" i="50"/>
  <c r="AU35" i="50"/>
  <c r="Q24" i="50"/>
  <c r="AB23" i="50"/>
  <c r="AX31" i="50"/>
  <c r="AY38" i="50"/>
  <c r="Q63" i="50"/>
  <c r="AT71" i="50"/>
  <c r="Z70" i="50"/>
  <c r="BC65" i="50"/>
  <c r="Y70" i="50"/>
  <c r="U43" i="50"/>
  <c r="AI72" i="50"/>
  <c r="AB22" i="50"/>
  <c r="AL70" i="50"/>
  <c r="AP69" i="50"/>
  <c r="L8" i="50"/>
  <c r="AN23" i="50"/>
  <c r="AI15" i="50"/>
  <c r="AL67" i="50"/>
  <c r="AW60" i="50"/>
  <c r="S68" i="50"/>
  <c r="X23" i="50"/>
  <c r="BB10" i="50"/>
  <c r="Q9" i="50"/>
  <c r="AE34" i="50"/>
  <c r="O52" i="50"/>
  <c r="AT4" i="50"/>
  <c r="AY49" i="50"/>
  <c r="AQ9" i="50"/>
  <c r="V40" i="50"/>
  <c r="AW7" i="50"/>
  <c r="W4" i="50"/>
  <c r="AM72" i="50"/>
  <c r="AH34" i="50"/>
  <c r="V4" i="50"/>
  <c r="AY59" i="50"/>
  <c r="AF33" i="50"/>
  <c r="AC69" i="50"/>
  <c r="T18" i="50"/>
  <c r="AI20" i="50"/>
  <c r="AF51" i="50"/>
  <c r="AJ55" i="50"/>
  <c r="AA8" i="50"/>
  <c r="Q57" i="50"/>
  <c r="X73" i="50"/>
  <c r="AL69" i="50"/>
  <c r="V39" i="50"/>
  <c r="BB43" i="50"/>
  <c r="BC40" i="50"/>
  <c r="AG17" i="50"/>
  <c r="W43" i="50"/>
  <c r="T39" i="50"/>
  <c r="M50" i="50"/>
  <c r="AE16" i="50"/>
  <c r="Q43" i="50"/>
  <c r="N50" i="50"/>
  <c r="AK60" i="50"/>
  <c r="AU32" i="50"/>
  <c r="BC52" i="50"/>
  <c r="O55" i="50"/>
  <c r="X11" i="50"/>
  <c r="AV47" i="50"/>
  <c r="AB65" i="50"/>
  <c r="Z51" i="50"/>
  <c r="W16" i="50"/>
  <c r="N62" i="50"/>
  <c r="AC49" i="50"/>
  <c r="AV26" i="50"/>
  <c r="R52" i="50"/>
  <c r="AN12" i="50"/>
  <c r="AJ64" i="50"/>
  <c r="AO65" i="50"/>
  <c r="AK23" i="50"/>
  <c r="AP72" i="50"/>
  <c r="AJ69" i="50"/>
  <c r="AO27" i="50"/>
  <c r="T51" i="50"/>
  <c r="AH25" i="50"/>
  <c r="AI8" i="50"/>
  <c r="AW40" i="50"/>
  <c r="AD65" i="50"/>
  <c r="AN31" i="50"/>
  <c r="AL54" i="50"/>
  <c r="X5" i="50"/>
  <c r="T56" i="50"/>
  <c r="X37" i="50"/>
  <c r="Z46" i="50"/>
  <c r="AX25" i="50"/>
  <c r="AB41" i="50"/>
  <c r="AS68" i="50"/>
  <c r="P44" i="50"/>
  <c r="R17" i="50"/>
  <c r="BA58" i="50"/>
  <c r="L38" i="50"/>
  <c r="BC17" i="50"/>
  <c r="P35" i="50"/>
  <c r="AG56" i="50"/>
  <c r="W22" i="50"/>
  <c r="U17" i="50"/>
  <c r="M40" i="50"/>
  <c r="Q38" i="50"/>
  <c r="BA65" i="50"/>
  <c r="AQ12" i="50"/>
  <c r="AC45" i="50"/>
  <c r="AJ25" i="50"/>
  <c r="BC61" i="50"/>
  <c r="AQ8" i="50"/>
  <c r="AQ52" i="50"/>
  <c r="M66" i="50"/>
  <c r="Z57" i="50"/>
  <c r="AV18" i="50"/>
  <c r="BA9" i="50"/>
  <c r="AI42" i="50"/>
  <c r="X41" i="50"/>
  <c r="AH61" i="50"/>
  <c r="AD37" i="50"/>
  <c r="AR43" i="50"/>
  <c r="AK35" i="50"/>
  <c r="AN5" i="50"/>
  <c r="Q44" i="50"/>
  <c r="AI21" i="50"/>
  <c r="AS19" i="50"/>
  <c r="S17" i="50"/>
  <c r="X24" i="50"/>
  <c r="Q62" i="50"/>
  <c r="AX51" i="50"/>
  <c r="Z52" i="50"/>
  <c r="O8" i="50"/>
  <c r="R56" i="50"/>
  <c r="Q64" i="50"/>
  <c r="AS43" i="50"/>
  <c r="AT54" i="50"/>
  <c r="AG49" i="50"/>
  <c r="AF42" i="50"/>
  <c r="AH44" i="50"/>
  <c r="AH32" i="50"/>
  <c r="M23" i="50"/>
  <c r="AD35" i="50"/>
  <c r="BC14" i="50"/>
  <c r="M32" i="50"/>
  <c r="AN60" i="50"/>
  <c r="AC32" i="50"/>
  <c r="Y69" i="50"/>
  <c r="AI23" i="50"/>
  <c r="AI60" i="50"/>
  <c r="AY53" i="50"/>
  <c r="V55" i="50"/>
  <c r="AI48" i="50"/>
  <c r="L59" i="50"/>
  <c r="AH50" i="50"/>
  <c r="AL33" i="50"/>
  <c r="M24" i="50"/>
  <c r="R69" i="50"/>
  <c r="AC47" i="50"/>
  <c r="BB35" i="50"/>
  <c r="AI53" i="50"/>
  <c r="Y32" i="50"/>
  <c r="AJ38" i="50"/>
  <c r="AO58" i="50"/>
  <c r="AZ21" i="50"/>
  <c r="T72" i="50"/>
  <c r="BC26" i="50"/>
  <c r="AT34" i="50"/>
  <c r="U18" i="50"/>
  <c r="AV17" i="50"/>
  <c r="U15" i="50"/>
  <c r="AL19" i="50"/>
  <c r="AS38" i="50"/>
  <c r="AG22" i="50"/>
  <c r="V15" i="50"/>
  <c r="Z71" i="50"/>
  <c r="U66" i="50"/>
  <c r="BA12" i="50"/>
  <c r="AG48" i="50"/>
  <c r="V7" i="50"/>
  <c r="N47" i="50"/>
  <c r="AK54" i="50"/>
  <c r="AY73" i="50"/>
  <c r="W56" i="50"/>
  <c r="L72" i="50"/>
  <c r="AR15" i="50"/>
  <c r="BB56" i="50"/>
  <c r="N30" i="50"/>
  <c r="AO13" i="50"/>
  <c r="Q56" i="50"/>
  <c r="Y34" i="50"/>
  <c r="AI5" i="50"/>
  <c r="N63" i="50"/>
  <c r="AG27" i="50"/>
  <c r="AO29" i="50"/>
  <c r="AX47" i="50"/>
  <c r="O60" i="50"/>
  <c r="AM36" i="50"/>
  <c r="AX22" i="50"/>
  <c r="AA15" i="50"/>
  <c r="R61" i="50"/>
  <c r="T14" i="50"/>
  <c r="AA39" i="50"/>
  <c r="AX49" i="50"/>
  <c r="BA70" i="50"/>
  <c r="AO67" i="50"/>
  <c r="AT44" i="50"/>
  <c r="AW34" i="50"/>
  <c r="O13" i="50"/>
  <c r="AD66" i="50"/>
  <c r="AG32" i="50"/>
  <c r="X59" i="50"/>
  <c r="AQ66" i="50"/>
  <c r="AN32" i="50"/>
  <c r="M29" i="50"/>
  <c r="AG38" i="50"/>
  <c r="BC45" i="50"/>
  <c r="AP37" i="50"/>
  <c r="V50" i="50"/>
  <c r="X72" i="50"/>
  <c r="T21" i="50"/>
  <c r="AL44" i="50"/>
  <c r="AJ57" i="50"/>
  <c r="S5" i="50"/>
  <c r="Y22" i="50"/>
  <c r="AX54" i="50"/>
  <c r="X63" i="50"/>
  <c r="BC25" i="50"/>
  <c r="Y42" i="50"/>
  <c r="Y44" i="50"/>
  <c r="AL49" i="50"/>
  <c r="AP32" i="50"/>
  <c r="AA33" i="50"/>
  <c r="AL23" i="50"/>
  <c r="Y17" i="50"/>
  <c r="BB67" i="50"/>
  <c r="W15" i="50"/>
  <c r="AD45" i="50"/>
  <c r="AK26" i="50"/>
  <c r="AD19" i="50"/>
  <c r="AB30" i="50"/>
  <c r="AE28" i="50"/>
  <c r="AH66" i="50"/>
  <c r="AX67" i="50"/>
  <c r="R34" i="50"/>
  <c r="AT66" i="50"/>
  <c r="AX63" i="50"/>
  <c r="AI52" i="50"/>
  <c r="W21" i="50"/>
  <c r="V21" i="50"/>
  <c r="AI22" i="50"/>
  <c r="AZ49" i="50"/>
  <c r="AJ56" i="50"/>
  <c r="U33" i="50"/>
  <c r="AM4" i="50"/>
  <c r="L39" i="50"/>
  <c r="BC55" i="50"/>
  <c r="Q20" i="50"/>
  <c r="AS56" i="50"/>
  <c r="AM38" i="50"/>
  <c r="AI25" i="50"/>
  <c r="Z18" i="50"/>
  <c r="AG59" i="50"/>
  <c r="AI59" i="50"/>
  <c r="AW41" i="50"/>
  <c r="AP10" i="50"/>
  <c r="AC29" i="50"/>
  <c r="AA44" i="50"/>
  <c r="N5" i="50"/>
  <c r="AW31" i="50"/>
  <c r="AN44" i="50"/>
  <c r="Y28" i="50"/>
  <c r="V72" i="50"/>
  <c r="AS71" i="50"/>
  <c r="AE37" i="50"/>
  <c r="AZ61" i="50"/>
  <c r="BA57" i="50"/>
  <c r="AJ35" i="50"/>
  <c r="T12" i="50"/>
  <c r="BC67" i="50"/>
  <c r="S44" i="50"/>
  <c r="AX65" i="50"/>
  <c r="T8" i="50"/>
  <c r="BC73" i="50"/>
  <c r="AA42" i="50"/>
  <c r="AT48" i="50"/>
  <c r="W40" i="50"/>
  <c r="AB47" i="50"/>
  <c r="AQ69" i="50"/>
  <c r="AH38" i="50"/>
  <c r="BA31" i="50"/>
  <c r="Q27" i="50"/>
  <c r="AG21" i="50"/>
  <c r="AN35" i="50"/>
  <c r="AR25" i="50"/>
  <c r="BC35" i="50"/>
  <c r="AO37" i="50"/>
  <c r="R38" i="50"/>
  <c r="AY65" i="50"/>
  <c r="AD38" i="50"/>
  <c r="AV9" i="50"/>
  <c r="AQ48" i="50"/>
  <c r="Z12" i="50"/>
  <c r="Y52" i="50"/>
  <c r="AJ17" i="50"/>
  <c r="AL16" i="50"/>
  <c r="W72" i="50"/>
  <c r="AC4" i="50"/>
  <c r="AJ62" i="50"/>
  <c r="AG24" i="50"/>
  <c r="N40" i="50"/>
  <c r="AV73" i="50"/>
  <c r="V66" i="50"/>
  <c r="AF67" i="50"/>
  <c r="AH41" i="50"/>
  <c r="BC4" i="50"/>
  <c r="AO72" i="50"/>
  <c r="N10" i="50"/>
  <c r="AU23" i="50"/>
  <c r="AG43" i="50"/>
  <c r="AM42" i="50"/>
  <c r="AP45" i="50"/>
  <c r="AX62" i="50"/>
  <c r="AX55" i="50"/>
  <c r="AR28" i="50"/>
  <c r="AD63" i="50"/>
  <c r="AM17" i="50"/>
  <c r="S22" i="50"/>
  <c r="T63" i="50"/>
  <c r="Z66" i="50"/>
  <c r="AX28" i="50"/>
  <c r="V18" i="50"/>
  <c r="AI67" i="50"/>
  <c r="AV68" i="50"/>
  <c r="AP8" i="50"/>
  <c r="U46" i="50"/>
  <c r="AI70" i="50"/>
  <c r="S16" i="50"/>
  <c r="X9" i="50"/>
  <c r="AB60" i="50"/>
  <c r="Q8" i="50"/>
  <c r="AT65" i="50"/>
  <c r="AI11" i="50"/>
  <c r="Y16" i="50"/>
  <c r="AE11" i="50"/>
  <c r="L66" i="50"/>
  <c r="AU27" i="50"/>
  <c r="AY11" i="50"/>
  <c r="Q14" i="50"/>
  <c r="AE40" i="50"/>
  <c r="AH20" i="50"/>
  <c r="S58" i="50"/>
  <c r="AF44" i="50"/>
  <c r="AZ39" i="50"/>
  <c r="O61" i="50"/>
  <c r="AX48" i="50"/>
  <c r="BC64" i="50"/>
  <c r="Q13" i="50"/>
  <c r="Y49" i="50"/>
  <c r="AP50" i="50"/>
  <c r="AI12" i="50"/>
  <c r="AN47" i="50"/>
  <c r="M33" i="50"/>
  <c r="U35" i="50"/>
  <c r="W19" i="50"/>
  <c r="Z28" i="50"/>
  <c r="AT53" i="50"/>
  <c r="AR70" i="50"/>
  <c r="AR5" i="50"/>
  <c r="AX45" i="50"/>
  <c r="AJ10" i="50"/>
  <c r="AA14" i="50"/>
  <c r="Q47" i="50"/>
  <c r="O73" i="50"/>
  <c r="AS31" i="50"/>
  <c r="AU43" i="50"/>
  <c r="AN9" i="50"/>
  <c r="AF28" i="50"/>
  <c r="BB62" i="50"/>
  <c r="AA71" i="50"/>
  <c r="S21" i="50"/>
  <c r="AL29" i="50"/>
  <c r="BA54" i="50"/>
  <c r="AJ20" i="50"/>
  <c r="AQ40" i="50"/>
  <c r="AM23" i="50"/>
  <c r="AB59" i="50"/>
  <c r="Y20" i="50"/>
  <c r="AQ70" i="50"/>
  <c r="AT16" i="50"/>
  <c r="S23" i="50"/>
  <c r="AF60" i="50"/>
  <c r="AV25" i="50"/>
  <c r="AX30" i="50"/>
  <c r="L29" i="50"/>
  <c r="AT62" i="50"/>
  <c r="AF58" i="50"/>
  <c r="AP73" i="50"/>
  <c r="AT41" i="50"/>
  <c r="AB7" i="50"/>
  <c r="AZ8" i="50"/>
  <c r="AB12" i="50"/>
  <c r="AX34" i="50"/>
  <c r="M8" i="50"/>
  <c r="AC23" i="50"/>
  <c r="U9" i="50"/>
  <c r="AT52" i="50"/>
  <c r="N60" i="50"/>
  <c r="P5" i="50"/>
  <c r="BA37" i="50"/>
  <c r="BA22" i="50"/>
  <c r="AR46" i="50"/>
  <c r="AV57" i="50"/>
  <c r="N67" i="50"/>
  <c r="O19" i="50"/>
  <c r="AF48" i="50"/>
  <c r="AD26" i="50"/>
  <c r="R10" i="50"/>
  <c r="AC40" i="50"/>
  <c r="U16" i="50"/>
  <c r="BB41" i="50"/>
  <c r="AB9" i="50"/>
  <c r="BC29" i="50"/>
  <c r="AU15" i="50"/>
  <c r="AC65" i="50"/>
  <c r="AU49" i="50"/>
  <c r="Q58" i="50"/>
  <c r="AY23" i="50"/>
  <c r="AM8" i="50"/>
  <c r="BA50" i="50"/>
  <c r="AZ62" i="50"/>
  <c r="R41" i="50"/>
  <c r="V10" i="50"/>
  <c r="AP64" i="50"/>
  <c r="AH59" i="50"/>
  <c r="O34" i="50"/>
  <c r="AN61" i="50"/>
  <c r="AB19" i="50"/>
  <c r="BB54" i="50"/>
  <c r="AO30" i="50"/>
  <c r="AY25" i="50"/>
  <c r="W9" i="50"/>
  <c r="AJ59" i="50"/>
  <c r="AP28" i="50"/>
  <c r="AS32" i="50"/>
  <c r="M20" i="50"/>
  <c r="L22" i="50"/>
  <c r="P26" i="50"/>
  <c r="AY64" i="50"/>
  <c r="AT39" i="50"/>
  <c r="AR47" i="50"/>
  <c r="AX13" i="50"/>
  <c r="AE68" i="50"/>
  <c r="O65" i="50"/>
  <c r="W29" i="50"/>
  <c r="AK45" i="50"/>
  <c r="AP35" i="50"/>
  <c r="AC12" i="50"/>
  <c r="AT11" i="50"/>
  <c r="AJ71" i="50"/>
  <c r="AT35" i="50"/>
  <c r="AM10" i="50"/>
  <c r="AJ51" i="50"/>
  <c r="AR49" i="50"/>
  <c r="W62" i="50"/>
  <c r="AG23" i="50"/>
  <c r="AP7" i="50"/>
  <c r="AP58" i="50"/>
  <c r="U67" i="50"/>
  <c r="AG19" i="50"/>
  <c r="AB14" i="50"/>
  <c r="AK22" i="50"/>
  <c r="O41" i="50"/>
  <c r="R40" i="50"/>
  <c r="M69" i="50"/>
  <c r="AT73" i="50"/>
  <c r="N42" i="50"/>
  <c r="U4" i="50"/>
  <c r="BC38" i="50"/>
  <c r="BB13" i="50"/>
  <c r="P11" i="50"/>
  <c r="Y4" i="50"/>
  <c r="AV49" i="50"/>
  <c r="AK66" i="50"/>
  <c r="AG9" i="50"/>
  <c r="AR56" i="50"/>
  <c r="AD41" i="50"/>
  <c r="AA18" i="50"/>
  <c r="V73" i="50"/>
  <c r="AP41" i="50"/>
  <c r="AK48" i="50"/>
  <c r="AN15" i="50"/>
  <c r="P51" i="50"/>
  <c r="AQ17" i="50"/>
  <c r="AL61" i="50"/>
  <c r="AA7" i="50"/>
  <c r="V13" i="50"/>
  <c r="AX61" i="50"/>
  <c r="AX43" i="50"/>
  <c r="AH4" i="50"/>
  <c r="AU7" i="50"/>
  <c r="U34" i="50"/>
  <c r="AZ5" i="50"/>
  <c r="AA47" i="50"/>
  <c r="AX32" i="50"/>
  <c r="AN21" i="50"/>
  <c r="Z19" i="50"/>
  <c r="AP51" i="50"/>
  <c r="Z7" i="50"/>
  <c r="AO64" i="50"/>
  <c r="T31" i="50"/>
  <c r="AS11" i="50"/>
  <c r="AC30" i="50"/>
  <c r="AS49" i="50"/>
  <c r="AW26" i="50"/>
  <c r="AN68" i="50"/>
  <c r="AR21" i="50"/>
  <c r="U27" i="50"/>
  <c r="AN25" i="50"/>
  <c r="AD55" i="50"/>
  <c r="AI13" i="50"/>
  <c r="AC27" i="50"/>
  <c r="T67" i="50"/>
  <c r="AP70" i="50"/>
  <c r="Q73" i="50"/>
  <c r="AU25" i="50"/>
  <c r="AI69" i="50"/>
  <c r="AO7" i="50"/>
  <c r="AM14" i="50"/>
  <c r="AE58" i="50"/>
  <c r="AS57" i="50"/>
  <c r="BA71" i="50"/>
  <c r="AR16" i="50"/>
  <c r="AJ26" i="50"/>
  <c r="AV12" i="50"/>
  <c r="AK9" i="50"/>
  <c r="AP47" i="50"/>
  <c r="AC42" i="50"/>
  <c r="AA22" i="50"/>
  <c r="U30" i="50"/>
  <c r="AS35" i="50"/>
  <c r="AH29" i="50"/>
  <c r="AQ44" i="50"/>
  <c r="R47" i="50"/>
  <c r="S57" i="50"/>
  <c r="AN7" i="50"/>
  <c r="AK40" i="50"/>
  <c r="AH43" i="50"/>
  <c r="AC44" i="50"/>
  <c r="AY34" i="50"/>
  <c r="AI18" i="50"/>
  <c r="O58" i="50"/>
  <c r="Y29" i="50"/>
  <c r="M38" i="50"/>
  <c r="V48" i="50"/>
  <c r="P10" i="50"/>
  <c r="AJ39" i="50"/>
  <c r="R5" i="50"/>
  <c r="AJ44" i="50"/>
  <c r="BB69" i="50"/>
  <c r="AP49" i="50"/>
  <c r="S50" i="50"/>
  <c r="AR32" i="50"/>
  <c r="AH35" i="50"/>
  <c r="AK5" i="50"/>
  <c r="AD62" i="50"/>
  <c r="Z8" i="50"/>
  <c r="AE46" i="50"/>
  <c r="AS10" i="50"/>
  <c r="AB27" i="50"/>
  <c r="Y13" i="50"/>
  <c r="AA21" i="50"/>
  <c r="AG26" i="50"/>
  <c r="AE19" i="50"/>
  <c r="O16" i="50"/>
  <c r="BA19" i="50"/>
  <c r="AC56" i="50"/>
  <c r="AS22" i="50"/>
  <c r="AZ58" i="50"/>
  <c r="V46" i="50"/>
  <c r="AP26" i="50"/>
  <c r="AM34" i="50"/>
  <c r="Q34" i="50"/>
  <c r="AY62" i="50"/>
  <c r="S71" i="50"/>
  <c r="BB47" i="50"/>
  <c r="S60" i="50"/>
  <c r="L28" i="50"/>
  <c r="AI29" i="50"/>
  <c r="AA58" i="50"/>
  <c r="M59" i="50"/>
  <c r="L46" i="50"/>
  <c r="AW64" i="50"/>
  <c r="N22" i="50"/>
  <c r="AA30" i="50"/>
  <c r="V35" i="50"/>
  <c r="AD69" i="50"/>
  <c r="BC44" i="50"/>
  <c r="AO28" i="50"/>
  <c r="AY13" i="50"/>
  <c r="S41" i="50"/>
  <c r="V36" i="50"/>
  <c r="BB28" i="50"/>
  <c r="AY56" i="50"/>
  <c r="AQ68" i="50"/>
  <c r="AR34" i="50"/>
  <c r="Q53" i="50"/>
  <c r="AG42" i="50"/>
  <c r="AV70" i="50"/>
  <c r="AT58" i="50"/>
  <c r="BB4" i="50"/>
  <c r="AI50" i="50"/>
  <c r="AE10" i="50"/>
  <c r="Y35" i="50"/>
  <c r="S15" i="50"/>
  <c r="BB8" i="50"/>
  <c r="L48" i="50"/>
  <c r="O69" i="50"/>
  <c r="AA54" i="50"/>
  <c r="T61" i="50"/>
  <c r="AJ19" i="50"/>
  <c r="R60" i="50"/>
  <c r="AZ52" i="50"/>
  <c r="BC50" i="50"/>
  <c r="BC36" i="50"/>
  <c r="AK20" i="50"/>
  <c r="BC70" i="50"/>
  <c r="S42" i="50"/>
  <c r="L49" i="50"/>
  <c r="Y48" i="50"/>
  <c r="AR36" i="50"/>
  <c r="R54" i="50"/>
  <c r="Y63" i="50"/>
  <c r="BB64" i="50"/>
  <c r="V17" i="50"/>
  <c r="X46" i="50"/>
  <c r="AF57" i="50"/>
  <c r="Y10" i="50"/>
  <c r="AH54" i="50"/>
  <c r="AV15" i="50"/>
  <c r="T23" i="50"/>
  <c r="AD16" i="50"/>
  <c r="AL58" i="50"/>
  <c r="AO48" i="50"/>
  <c r="AZ27" i="50"/>
  <c r="AA5" i="50"/>
  <c r="P69" i="50"/>
  <c r="V60" i="50"/>
  <c r="AV10" i="50"/>
  <c r="AF46" i="50"/>
  <c r="N29" i="50"/>
  <c r="R67" i="50"/>
  <c r="V30" i="50"/>
  <c r="AN55" i="50"/>
  <c r="R42" i="50"/>
  <c r="AT31" i="50"/>
  <c r="AX33" i="50"/>
  <c r="AZ19" i="50"/>
  <c r="Y50" i="50"/>
  <c r="T13" i="50"/>
  <c r="AF37" i="50"/>
  <c r="AI58" i="50"/>
  <c r="AN34" i="50"/>
  <c r="AM57" i="50"/>
  <c r="AM29" i="50"/>
  <c r="O7" i="50"/>
  <c r="AC38" i="50"/>
  <c r="AP54" i="50"/>
  <c r="Q69" i="50"/>
  <c r="L52" i="50"/>
  <c r="W58" i="50"/>
  <c r="AR30" i="50"/>
  <c r="P49" i="50"/>
  <c r="AJ68" i="50"/>
  <c r="AK56" i="50"/>
  <c r="BC9" i="50"/>
  <c r="AI46" i="50"/>
  <c r="AI40" i="50"/>
  <c r="AU33" i="50"/>
  <c r="AF40" i="50"/>
  <c r="AA29" i="50"/>
  <c r="AT60" i="50"/>
  <c r="P18" i="50"/>
  <c r="AM62" i="50"/>
  <c r="V57" i="50"/>
  <c r="AP16" i="50"/>
  <c r="AB18" i="50"/>
  <c r="AU65" i="50"/>
  <c r="R20" i="50"/>
  <c r="AL47" i="50"/>
  <c r="BB33" i="50"/>
  <c r="AW73" i="50"/>
  <c r="AF26" i="50"/>
  <c r="BA11" i="50"/>
  <c r="AL65" i="50"/>
  <c r="S31" i="50"/>
  <c r="W8" i="50"/>
  <c r="AB40" i="50"/>
  <c r="AF41" i="50"/>
  <c r="T24" i="50"/>
  <c r="AG40" i="50"/>
  <c r="AZ18" i="50"/>
  <c r="L45" i="50"/>
  <c r="AS47" i="50"/>
  <c r="AW28" i="50"/>
  <c r="AS21" i="50"/>
  <c r="M49" i="50"/>
  <c r="AZ66" i="50"/>
  <c r="N43" i="50"/>
  <c r="AH26" i="50"/>
  <c r="AN49" i="50"/>
  <c r="AS14" i="50"/>
  <c r="AG71" i="50"/>
  <c r="AH7" i="50"/>
  <c r="AW72" i="50"/>
  <c r="Z13" i="50"/>
  <c r="M27" i="50"/>
  <c r="AV32" i="50"/>
  <c r="AM32" i="50"/>
  <c r="AH22" i="50"/>
  <c r="AK13" i="50"/>
  <c r="AX50" i="50"/>
  <c r="AW61" i="50"/>
  <c r="U55" i="50"/>
  <c r="S45" i="50"/>
  <c r="AF53" i="50"/>
  <c r="BA60" i="50"/>
  <c r="L41" i="50"/>
  <c r="T58" i="50"/>
  <c r="R44" i="50"/>
  <c r="AY46" i="50"/>
  <c r="AE30" i="50"/>
  <c r="BA47" i="50"/>
  <c r="AO53" i="50"/>
  <c r="AB37" i="50"/>
  <c r="V43" i="50"/>
  <c r="AQ62" i="50"/>
  <c r="Z50" i="50"/>
  <c r="AV50" i="50"/>
  <c r="AW32" i="50"/>
  <c r="AW58" i="50"/>
  <c r="L9" i="50"/>
  <c r="AT28" i="50"/>
  <c r="AV67" i="50"/>
  <c r="AG45" i="50"/>
  <c r="O56" i="50"/>
  <c r="BB68" i="50"/>
  <c r="AO12" i="50"/>
  <c r="T50" i="50"/>
  <c r="L27" i="50"/>
  <c r="U11" i="50"/>
  <c r="N24" i="50"/>
  <c r="X7" i="50"/>
  <c r="BA16" i="50"/>
  <c r="AH58" i="50"/>
  <c r="BA45" i="50"/>
  <c r="AL11" i="50"/>
  <c r="AP63" i="50"/>
  <c r="AH60" i="50"/>
  <c r="AQ21" i="50"/>
  <c r="AN20" i="50"/>
  <c r="U54" i="50"/>
  <c r="W35" i="50"/>
  <c r="R64" i="50"/>
  <c r="AX52" i="50"/>
  <c r="AS54" i="50"/>
  <c r="N37" i="50"/>
  <c r="W38" i="50"/>
  <c r="BA15" i="50"/>
  <c r="AE48" i="50"/>
  <c r="AH10" i="50"/>
  <c r="AP66" i="50"/>
  <c r="AB17" i="50"/>
  <c r="U22" i="50"/>
  <c r="AF17" i="50"/>
  <c r="AO46" i="50"/>
  <c r="W50" i="50"/>
  <c r="BB20" i="50"/>
  <c r="BC23" i="50"/>
  <c r="AT10" i="50"/>
  <c r="Y37" i="50"/>
  <c r="AM35" i="50"/>
  <c r="Y26" i="50"/>
  <c r="AU57" i="50"/>
  <c r="X49" i="50"/>
  <c r="AW62" i="50"/>
  <c r="AM22" i="50"/>
  <c r="AY55" i="50"/>
  <c r="AK37" i="50"/>
  <c r="AK10" i="50"/>
  <c r="AR23" i="50"/>
  <c r="AL40" i="50"/>
  <c r="AP59" i="50"/>
  <c r="O43" i="50"/>
  <c r="AE5" i="50"/>
  <c r="AZ69" i="50"/>
  <c r="AE66" i="50"/>
  <c r="R7" i="50"/>
  <c r="BA25" i="50"/>
  <c r="O64" i="50"/>
  <c r="AO9" i="50"/>
  <c r="T29" i="50"/>
  <c r="P73" i="50"/>
  <c r="S35" i="50"/>
  <c r="AE47" i="50"/>
  <c r="AI64" i="50"/>
  <c r="AU40" i="50"/>
  <c r="AR7" i="50"/>
  <c r="Z9" i="50"/>
  <c r="AW18" i="50"/>
  <c r="AT27" i="50"/>
  <c r="AK61" i="50"/>
  <c r="AF52" i="50"/>
  <c r="M36" i="50"/>
  <c r="AE23" i="50"/>
  <c r="AW65" i="50"/>
  <c r="S37" i="50"/>
  <c r="AV11" i="50"/>
  <c r="O11" i="50"/>
  <c r="AM52" i="50"/>
  <c r="AC68" i="50"/>
  <c r="X44" i="50"/>
  <c r="AW69" i="50"/>
  <c r="V37" i="50"/>
  <c r="AY47" i="50"/>
  <c r="AU72" i="50"/>
  <c r="AU12" i="50"/>
  <c r="AZ25" i="50"/>
  <c r="P34" i="50"/>
  <c r="AJ31" i="50"/>
  <c r="X14" i="50"/>
  <c r="AE72" i="50"/>
  <c r="AF71" i="50"/>
  <c r="AB21" i="50"/>
  <c r="AT22" i="50"/>
  <c r="AF43" i="50"/>
  <c r="X29" i="50"/>
  <c r="AP62" i="50"/>
  <c r="O72" i="50"/>
  <c r="AH17" i="50"/>
  <c r="N48" i="50"/>
  <c r="BA61" i="50"/>
  <c r="AN51" i="50"/>
  <c r="L47" i="50"/>
  <c r="AP56" i="50"/>
  <c r="AG57" i="50"/>
  <c r="Y54" i="50"/>
  <c r="S49" i="50"/>
  <c r="AO43" i="50"/>
  <c r="L10" i="50"/>
  <c r="Y25" i="50"/>
  <c r="W34" i="50"/>
  <c r="AU38" i="50"/>
  <c r="AZ73" i="50"/>
  <c r="BA33" i="50"/>
  <c r="AB36" i="50"/>
  <c r="AG58" i="50"/>
  <c r="Z60" i="50"/>
  <c r="AX17" i="50"/>
  <c r="AB16" i="50"/>
  <c r="AK18" i="50"/>
  <c r="AG31" i="50"/>
  <c r="AO17" i="50"/>
  <c r="AK34" i="50"/>
  <c r="S54" i="50"/>
  <c r="AL60" i="50"/>
  <c r="AJ14" i="50"/>
  <c r="L13" i="50"/>
  <c r="AD33" i="50"/>
  <c r="AA9" i="50"/>
  <c r="Z45" i="50"/>
  <c r="W66" i="50"/>
  <c r="U48" i="50"/>
  <c r="Y8" i="50"/>
  <c r="AH67" i="50"/>
  <c r="X8" i="50"/>
  <c r="AB31" i="50"/>
  <c r="AC51" i="50"/>
  <c r="N38" i="50"/>
  <c r="AS37" i="50"/>
  <c r="S28" i="50"/>
  <c r="N61" i="50"/>
  <c r="AD54" i="50"/>
  <c r="L5" i="50"/>
  <c r="AW35" i="50"/>
  <c r="AW17" i="50"/>
  <c r="N36" i="50"/>
  <c r="T73" i="50"/>
  <c r="AX12" i="50"/>
  <c r="AC60" i="50"/>
  <c r="BA30" i="50"/>
  <c r="AY8" i="50"/>
  <c r="U8" i="50"/>
  <c r="AK28" i="50"/>
  <c r="AA57" i="50"/>
  <c r="T28" i="50"/>
  <c r="R9" i="50"/>
  <c r="AX5" i="50"/>
  <c r="AT59" i="50"/>
  <c r="AR72" i="50"/>
  <c r="X25" i="50"/>
  <c r="AR53" i="50"/>
  <c r="AQ39" i="50"/>
  <c r="AA59" i="50"/>
  <c r="R66" i="50"/>
  <c r="AU17" i="50"/>
  <c r="AR50" i="50"/>
  <c r="AP33" i="50"/>
  <c r="AH36" i="50"/>
  <c r="AD4" i="50"/>
  <c r="AN17" i="50"/>
  <c r="M68" i="50"/>
  <c r="P71" i="50"/>
  <c r="Y12" i="50"/>
  <c r="AV20" i="50"/>
  <c r="Y67" i="50"/>
  <c r="T48" i="50"/>
  <c r="R15" i="50"/>
  <c r="BC43" i="50"/>
  <c r="Y45" i="50"/>
  <c r="AH21" i="50"/>
  <c r="AL45" i="50"/>
  <c r="AO49" i="50"/>
  <c r="AL48" i="50"/>
  <c r="AQ45" i="50"/>
  <c r="AO18" i="50"/>
  <c r="N23" i="50"/>
  <c r="AH64" i="50"/>
  <c r="AT72" i="50"/>
  <c r="AF29" i="50"/>
  <c r="S67" i="50"/>
  <c r="AR13" i="50"/>
  <c r="AD29" i="50"/>
  <c r="M4" i="50"/>
  <c r="AJ13" i="50"/>
  <c r="AK27" i="50"/>
  <c r="AU55" i="50"/>
  <c r="BC42" i="50"/>
  <c r="AX35" i="50"/>
  <c r="AJ41" i="50"/>
  <c r="L51" i="50"/>
  <c r="AK73" i="50"/>
  <c r="AB50" i="50"/>
  <c r="AS4" i="50"/>
  <c r="AL26" i="50"/>
  <c r="AO50" i="50"/>
  <c r="V59" i="50"/>
  <c r="BC12" i="50"/>
  <c r="Q19" i="50"/>
  <c r="AL36" i="50"/>
  <c r="AS46" i="50"/>
  <c r="L69" i="50"/>
  <c r="W51" i="50"/>
  <c r="AC64" i="50"/>
  <c r="R31" i="50"/>
  <c r="BC39" i="50"/>
  <c r="BC57" i="50"/>
  <c r="W31" i="50"/>
  <c r="N71" i="50"/>
  <c r="Y38" i="50"/>
  <c r="BA13" i="50"/>
  <c r="AK7" i="50"/>
  <c r="Z22" i="50"/>
  <c r="N20" i="50"/>
  <c r="X19" i="50"/>
  <c r="AK15" i="50"/>
  <c r="Q40" i="50"/>
  <c r="AZ24" i="50"/>
  <c r="W69" i="50"/>
  <c r="AY4" i="50"/>
  <c r="O33" i="50"/>
  <c r="O59" i="50"/>
  <c r="U25" i="50"/>
  <c r="L35" i="50"/>
  <c r="M54" i="50"/>
  <c r="M62" i="50"/>
  <c r="AZ56" i="50"/>
  <c r="AC71" i="50"/>
  <c r="AM16" i="50"/>
  <c r="M57" i="50"/>
  <c r="R30" i="50"/>
  <c r="AG5" i="50"/>
  <c r="BC33" i="50"/>
  <c r="AQ67" i="50"/>
  <c r="BA62" i="50"/>
  <c r="AP14" i="50"/>
  <c r="N59" i="50"/>
  <c r="AU61" i="50"/>
  <c r="O70" i="50"/>
  <c r="AM56" i="50"/>
  <c r="AX14" i="50"/>
  <c r="AS52" i="50"/>
  <c r="T30" i="50"/>
  <c r="Y72" i="50"/>
  <c r="T19" i="50"/>
  <c r="AJ53" i="50"/>
  <c r="N54" i="50"/>
  <c r="S20" i="50"/>
  <c r="AJ42" i="50"/>
  <c r="AV27" i="50"/>
  <c r="AX16" i="50"/>
  <c r="AZ26" i="50"/>
  <c r="BC41" i="50"/>
  <c r="S52" i="50"/>
  <c r="S65" i="50"/>
  <c r="Y19" i="50"/>
  <c r="AK43" i="50"/>
  <c r="AD13" i="50"/>
  <c r="S36" i="50"/>
  <c r="BC72" i="50"/>
  <c r="BC56" i="50"/>
  <c r="AH30" i="50"/>
  <c r="Z37" i="50"/>
  <c r="W20" i="50"/>
  <c r="AZ9" i="50"/>
  <c r="AR73" i="50"/>
  <c r="AX23" i="50"/>
  <c r="W23" i="50"/>
  <c r="AI41" i="50"/>
  <c r="AW43" i="50"/>
  <c r="AU28" i="50"/>
  <c r="AT18" i="50"/>
  <c r="AQ31" i="50"/>
  <c r="AZ53" i="50"/>
  <c r="U37" i="50"/>
  <c r="AN8" i="50"/>
  <c r="R73" i="50"/>
  <c r="AD72" i="50"/>
  <c r="AH46" i="50"/>
  <c r="AH5" i="50"/>
  <c r="T57" i="50"/>
  <c r="BC27" i="50"/>
  <c r="AX71" i="50"/>
  <c r="AN48" i="50"/>
  <c r="R26" i="50"/>
  <c r="AC7" i="50"/>
  <c r="AW54" i="50"/>
  <c r="AF5" i="50"/>
  <c r="R45" i="50"/>
  <c r="AM31" i="50"/>
  <c r="BB40" i="50"/>
  <c r="L30" i="50"/>
  <c r="AM21" i="50"/>
  <c r="Y7" i="50"/>
  <c r="AI61" i="50"/>
  <c r="P46" i="50"/>
  <c r="BC34" i="50"/>
  <c r="V45" i="50"/>
  <c r="BA20" i="50"/>
  <c r="AW44" i="50"/>
  <c r="BB60" i="50"/>
  <c r="BB72" i="50"/>
  <c r="AA62" i="50"/>
  <c r="AX69" i="50"/>
  <c r="AI36" i="50"/>
  <c r="W13" i="50"/>
  <c r="AC41" i="50"/>
  <c r="BC62" i="50"/>
  <c r="AO41" i="50"/>
  <c r="BA66" i="50"/>
  <c r="AK17" i="50"/>
  <c r="N16" i="50"/>
  <c r="AB20" i="50"/>
  <c r="P42" i="50"/>
  <c r="AU63" i="50"/>
  <c r="AN45" i="50"/>
  <c r="R53" i="50"/>
  <c r="AS70" i="50"/>
  <c r="AF15" i="50"/>
  <c r="AG65" i="50"/>
  <c r="AU54" i="50"/>
  <c r="AX10" i="50"/>
  <c r="AL10" i="50"/>
  <c r="X55" i="50"/>
  <c r="AE57" i="50"/>
  <c r="BA43" i="50"/>
  <c r="AF24" i="50"/>
  <c r="AC10" i="50"/>
  <c r="AF18" i="50"/>
  <c r="AR8" i="50"/>
  <c r="T45" i="50"/>
  <c r="AE22" i="50"/>
  <c r="AB64" i="50"/>
  <c r="AM20" i="50"/>
  <c r="AY40" i="50"/>
  <c r="AM46" i="50"/>
  <c r="AU5" i="50"/>
  <c r="AN65" i="50"/>
  <c r="M63" i="50"/>
  <c r="AS17" i="50"/>
  <c r="AE62" i="50"/>
  <c r="AH19" i="50"/>
  <c r="P27" i="50"/>
  <c r="AT14" i="50"/>
  <c r="AU50" i="50"/>
  <c r="AS25" i="50"/>
  <c r="N7" i="50"/>
  <c r="AS15" i="50"/>
  <c r="AP67" i="50"/>
  <c r="AB46" i="50"/>
  <c r="BA23" i="50"/>
  <c r="V47" i="50"/>
  <c r="AX53" i="50"/>
  <c r="AZ34" i="50"/>
  <c r="AV58" i="50"/>
  <c r="AU36" i="50"/>
  <c r="Z43" i="50"/>
  <c r="V61" i="50"/>
  <c r="L37" i="50"/>
  <c r="T46" i="50"/>
  <c r="AY36" i="50"/>
  <c r="P39" i="50"/>
  <c r="AY68" i="50"/>
  <c r="AE70" i="50"/>
  <c r="AM13" i="50"/>
  <c r="AK55" i="50"/>
  <c r="AI28" i="50"/>
  <c r="W63" i="50"/>
  <c r="BA63" i="50"/>
  <c r="AK67" i="50"/>
  <c r="N33" i="50"/>
  <c r="AJ8" i="50"/>
  <c r="T37" i="50"/>
  <c r="AO5" i="50"/>
  <c r="N28" i="50"/>
  <c r="M37" i="50"/>
  <c r="AM44" i="50"/>
  <c r="AJ18" i="50"/>
  <c r="AM28" i="50"/>
  <c r="V27" i="50"/>
  <c r="AO19" i="50"/>
  <c r="AC62" i="50"/>
  <c r="L21" i="50"/>
  <c r="AY50" i="50"/>
  <c r="AS41" i="50"/>
  <c r="AR19" i="50"/>
  <c r="AA25" i="50"/>
  <c r="AL50" i="50"/>
  <c r="AJ24" i="50"/>
  <c r="AB55" i="50"/>
  <c r="AK64" i="50"/>
  <c r="AE51" i="50"/>
  <c r="O9" i="50"/>
  <c r="AI56" i="50"/>
  <c r="AK4" i="50"/>
  <c r="X38" i="50"/>
  <c r="AG67" i="50"/>
  <c r="AY42" i="50"/>
  <c r="M58" i="50"/>
  <c r="AU20" i="50"/>
  <c r="T27" i="50"/>
  <c r="R28" i="50"/>
  <c r="O35" i="50"/>
  <c r="S53" i="50"/>
  <c r="AP30" i="50"/>
  <c r="N55" i="50"/>
  <c r="AG70" i="50"/>
  <c r="AQ43" i="50"/>
  <c r="AM47" i="50"/>
  <c r="AT45" i="50"/>
  <c r="AG53" i="50"/>
  <c r="V41" i="50"/>
  <c r="P29" i="50"/>
  <c r="X43" i="50"/>
  <c r="AT51" i="50"/>
  <c r="Q18" i="50"/>
  <c r="AL4" i="50"/>
  <c r="BA21" i="50"/>
  <c r="Q23" i="50"/>
  <c r="V16" i="50"/>
  <c r="O48" i="50"/>
  <c r="W48" i="50"/>
  <c r="AY21" i="50"/>
  <c r="M19" i="50"/>
  <c r="W53" i="50"/>
  <c r="AM39" i="50"/>
  <c r="AE14" i="50"/>
  <c r="T7" i="50"/>
  <c r="AS36" i="50"/>
  <c r="BA29" i="50"/>
  <c r="BA46" i="50"/>
  <c r="AD24" i="50"/>
  <c r="BC22" i="50"/>
  <c r="AI65" i="50"/>
  <c r="M13" i="50"/>
  <c r="R43" i="50"/>
  <c r="Y9" i="50"/>
  <c r="AT25" i="50"/>
  <c r="AG54" i="50"/>
  <c r="BA38" i="50"/>
  <c r="AB44" i="50"/>
  <c r="P59" i="50"/>
  <c r="AK32" i="50"/>
  <c r="AD8" i="50"/>
  <c r="BA41" i="50"/>
  <c r="AH57" i="50"/>
  <c r="X50" i="50"/>
  <c r="AL56" i="50"/>
  <c r="Z65" i="50"/>
  <c r="AG68" i="50"/>
  <c r="AZ11" i="50"/>
  <c r="AR33" i="50"/>
  <c r="AP48" i="50"/>
  <c r="AM73" i="50"/>
  <c r="L44" i="50"/>
  <c r="M51" i="50"/>
  <c r="AY32" i="50"/>
  <c r="AS51" i="50"/>
  <c r="AG18" i="50"/>
  <c r="AP36" i="50"/>
  <c r="AR63" i="50"/>
  <c r="R55" i="50"/>
  <c r="BC8" i="50"/>
  <c r="AE60" i="50"/>
  <c r="AA43" i="50"/>
  <c r="AD18" i="50"/>
  <c r="AV51" i="50"/>
  <c r="P48" i="50"/>
  <c r="AX56" i="50"/>
  <c r="AI66" i="50"/>
  <c r="BA24" i="50"/>
  <c r="AM33" i="50"/>
  <c r="AL22" i="50"/>
  <c r="U52" i="50"/>
  <c r="AW22" i="50"/>
  <c r="S26" i="50"/>
  <c r="BA4" i="50"/>
  <c r="U57" i="50"/>
  <c r="S7" i="50"/>
  <c r="AG36" i="50"/>
  <c r="AH69" i="50"/>
  <c r="BC19" i="50"/>
  <c r="AQ20" i="50"/>
  <c r="BC10" i="50"/>
  <c r="V71" i="50"/>
  <c r="W33" i="50"/>
  <c r="W41" i="50"/>
  <c r="N13" i="50"/>
  <c r="R50" i="50"/>
  <c r="N26" i="50"/>
  <c r="S70" i="50"/>
  <c r="AF72" i="50"/>
  <c r="Z5" i="50"/>
  <c r="AQ28" i="50"/>
  <c r="AD59" i="50"/>
  <c r="Q10" i="50"/>
  <c r="U23" i="50"/>
  <c r="AW25" i="50"/>
  <c r="N25" i="50"/>
  <c r="O38" i="50"/>
  <c r="AQ25" i="50"/>
  <c r="AU68" i="50"/>
  <c r="X30" i="50"/>
  <c r="X70" i="50"/>
  <c r="AJ5" i="50"/>
  <c r="T11" i="50"/>
  <c r="AH53" i="50"/>
  <c r="L15" i="50"/>
  <c r="AD7" i="50"/>
  <c r="U50" i="50"/>
  <c r="AQ61" i="50"/>
  <c r="U39" i="50"/>
  <c r="T64" i="50"/>
  <c r="AR68" i="50"/>
  <c r="AR57" i="50"/>
  <c r="AD67" i="50"/>
  <c r="Q37" i="50"/>
  <c r="AF35" i="50"/>
  <c r="AM60" i="50"/>
  <c r="X31" i="50"/>
  <c r="AL9" i="50"/>
  <c r="AT30" i="50"/>
  <c r="AB71" i="50"/>
  <c r="AE39" i="50"/>
  <c r="R39" i="50"/>
  <c r="AF25" i="50"/>
  <c r="AN39" i="50"/>
  <c r="AV71" i="50"/>
  <c r="AC70" i="50"/>
  <c r="AC13" i="50"/>
  <c r="AF73" i="50"/>
  <c r="AI34" i="50"/>
  <c r="AG33" i="50"/>
  <c r="S51" i="50"/>
  <c r="P40" i="50"/>
  <c r="AE54" i="50"/>
  <c r="S47" i="50"/>
  <c r="AK50" i="50"/>
  <c r="U69" i="50"/>
  <c r="X20" i="50"/>
  <c r="AO20" i="50"/>
  <c r="O67" i="50"/>
  <c r="AW9" i="50"/>
  <c r="AJ73" i="50"/>
  <c r="AL18" i="50"/>
  <c r="AQ14" i="50"/>
  <c r="AA55" i="50"/>
  <c r="AQ57" i="50"/>
  <c r="AK30" i="50"/>
  <c r="AQ60" i="50"/>
  <c r="Z58" i="50"/>
  <c r="AS34" i="50"/>
  <c r="BB73" i="50"/>
  <c r="V12" i="50"/>
  <c r="O27" i="50"/>
  <c r="AC20" i="50"/>
  <c r="V33" i="50"/>
  <c r="M46" i="50"/>
  <c r="M17" i="50"/>
  <c r="Q26" i="50"/>
  <c r="AL12" i="50"/>
  <c r="AO63" i="50"/>
  <c r="AI24" i="50"/>
  <c r="AF56" i="50"/>
  <c r="AP40" i="50"/>
  <c r="AV64" i="50"/>
  <c r="AR26" i="50"/>
  <c r="AJ36" i="50"/>
  <c r="AN18" i="50"/>
  <c r="M34" i="50"/>
  <c r="AT13" i="50"/>
  <c r="T41" i="50"/>
  <c r="AG25" i="50"/>
  <c r="AF32" i="50"/>
  <c r="L60" i="50"/>
  <c r="AO36" i="50"/>
  <c r="AG47" i="50"/>
  <c r="BA64" i="50"/>
  <c r="AY28" i="50"/>
  <c r="AN26" i="50"/>
  <c r="AN11" i="50"/>
  <c r="R11" i="50"/>
  <c r="L40" i="50"/>
  <c r="AJ15" i="50"/>
  <c r="N69" i="50"/>
  <c r="AL55" i="50"/>
  <c r="Q28" i="50"/>
  <c r="BB5" i="50"/>
  <c r="AR9" i="50"/>
  <c r="AG11" i="50"/>
  <c r="O63" i="50"/>
  <c r="AE49" i="50"/>
  <c r="L71" i="50"/>
  <c r="AE65" i="50"/>
  <c r="AO61" i="50"/>
  <c r="AM59" i="50"/>
  <c r="V44" i="50"/>
  <c r="AY54" i="50"/>
  <c r="AF16" i="50"/>
  <c r="R62" i="50"/>
  <c r="M7" i="50"/>
  <c r="AY20" i="50"/>
  <c r="AA35" i="50"/>
  <c r="AU64" i="50"/>
  <c r="Y55" i="50"/>
  <c r="T54" i="50"/>
  <c r="AY39" i="50"/>
  <c r="V64" i="50"/>
  <c r="AE38" i="50"/>
  <c r="L32" i="50"/>
  <c r="AU62" i="50"/>
  <c r="U62" i="50"/>
  <c r="AU69" i="50"/>
  <c r="U38" i="50"/>
  <c r="N8" i="50"/>
  <c r="P50" i="50"/>
  <c r="AI27" i="50"/>
  <c r="AU39" i="50"/>
  <c r="R21" i="50"/>
  <c r="AP12" i="50"/>
  <c r="T4" i="50"/>
  <c r="AM63" i="50"/>
  <c r="AX68" i="50"/>
  <c r="AA26" i="50"/>
  <c r="M44" i="50"/>
  <c r="AO26" i="50"/>
  <c r="AH39" i="50"/>
  <c r="AV62" i="50"/>
  <c r="U44" i="50"/>
  <c r="AD40" i="50"/>
  <c r="P19" i="50"/>
  <c r="AZ63" i="50"/>
  <c r="P62" i="50"/>
  <c r="AZ40" i="50"/>
  <c r="W61" i="50"/>
  <c r="L73" i="50"/>
  <c r="N46" i="50"/>
  <c r="AU44" i="50"/>
  <c r="N56" i="50"/>
  <c r="AL72" i="50"/>
  <c r="U71" i="50"/>
  <c r="O23" i="50"/>
  <c r="Q16" i="50"/>
  <c r="AY31" i="50"/>
  <c r="AI38" i="50"/>
  <c r="AC8" i="50"/>
  <c r="AC48" i="50"/>
  <c r="AQ27" i="50"/>
  <c r="AK59" i="50"/>
  <c r="N19" i="50"/>
  <c r="AD57" i="50"/>
  <c r="O45" i="50"/>
  <c r="AU10" i="50"/>
  <c r="AV65" i="50"/>
  <c r="AG46" i="50"/>
  <c r="BB26" i="50"/>
  <c r="AK31" i="50"/>
  <c r="AF30" i="50"/>
  <c r="AT19" i="50"/>
  <c r="BB52" i="50"/>
  <c r="AE7" i="50"/>
  <c r="AI63" i="50"/>
  <c r="T16" i="50"/>
  <c r="AY37" i="50"/>
  <c r="X13" i="50"/>
  <c r="AU67" i="50"/>
  <c r="M43" i="50"/>
  <c r="BA72" i="50"/>
  <c r="AF4" i="50"/>
  <c r="AX9" i="50"/>
  <c r="AU9" i="50"/>
  <c r="AA41" i="50"/>
  <c r="T17" i="50"/>
  <c r="AR37" i="50"/>
  <c r="AQ4" i="50"/>
  <c r="AY5" i="50"/>
  <c r="T70" i="50"/>
  <c r="U14" i="50"/>
  <c r="BC11" i="50"/>
  <c r="AO73" i="50"/>
  <c r="AG7" i="50"/>
  <c r="AC15" i="50"/>
  <c r="AP20" i="50"/>
  <c r="AH12" i="50"/>
  <c r="M35" i="50"/>
  <c r="W68" i="50"/>
  <c r="AW48" i="50"/>
  <c r="AB43" i="50"/>
  <c r="V56" i="50"/>
  <c r="AF38" i="50"/>
  <c r="AL28" i="50"/>
  <c r="X62" i="50"/>
  <c r="U49" i="50"/>
  <c r="AC36" i="50"/>
  <c r="AB63" i="50"/>
  <c r="AZ64" i="50"/>
  <c r="AF50" i="50"/>
  <c r="AZ71" i="50"/>
  <c r="R23" i="50"/>
  <c r="T62" i="50"/>
  <c r="AK33" i="50"/>
  <c r="AX59" i="50"/>
  <c r="Q41" i="50"/>
  <c r="W28" i="50"/>
  <c r="P7" i="50"/>
  <c r="AY18" i="50"/>
  <c r="Z68" i="50"/>
  <c r="BC24" i="50"/>
  <c r="AQ35" i="50"/>
  <c r="Z61" i="50"/>
  <c r="BB71" i="50"/>
  <c r="AK47" i="50"/>
  <c r="BA17" i="50"/>
  <c r="AD10" i="50"/>
  <c r="AL39" i="50"/>
  <c r="T43" i="50"/>
  <c r="AW42" i="50"/>
  <c r="O17" i="50"/>
  <c r="AH49" i="50"/>
  <c r="S73" i="50"/>
  <c r="O26" i="50"/>
  <c r="AG16" i="50"/>
  <c r="T5" i="50"/>
  <c r="BA55" i="50"/>
  <c r="AK19" i="50"/>
  <c r="AJ54" i="50"/>
  <c r="U13" i="50"/>
  <c r="AM50" i="50"/>
  <c r="N41" i="50"/>
  <c r="AO34" i="50"/>
  <c r="AT40" i="50"/>
  <c r="AN14" i="50"/>
  <c r="AY35" i="50"/>
  <c r="AN29" i="50"/>
  <c r="AN72" i="50"/>
  <c r="AF65" i="50"/>
  <c r="AH31" i="50"/>
  <c r="AY72" i="50"/>
  <c r="AN40" i="50"/>
  <c r="AL14" i="50"/>
  <c r="X42" i="50"/>
  <c r="T40" i="50"/>
  <c r="BA5" i="50"/>
  <c r="AF47" i="50"/>
  <c r="AL63" i="50"/>
  <c r="AS69" i="50"/>
  <c r="AV4" i="50"/>
  <c r="AZ31" i="50"/>
  <c r="AU41" i="50"/>
  <c r="AB33" i="50"/>
  <c r="Q25" i="50"/>
  <c r="R59" i="50"/>
  <c r="AT70" i="50"/>
  <c r="P23" i="50"/>
  <c r="BC7" i="50"/>
  <c r="AR65" i="50"/>
  <c r="AS29" i="50"/>
  <c r="AT55" i="50"/>
  <c r="U59" i="50"/>
  <c r="O50" i="50"/>
  <c r="BA26" i="50"/>
  <c r="AE4" i="50"/>
  <c r="AK44" i="50"/>
  <c r="AH70" i="50"/>
  <c r="AF19" i="50"/>
  <c r="AR40" i="50"/>
  <c r="O29" i="50"/>
  <c r="P56" i="50"/>
  <c r="U31" i="50"/>
  <c r="AN4" i="50"/>
  <c r="AV36" i="50"/>
  <c r="Z54" i="50"/>
  <c r="M30" i="50"/>
  <c r="AS8" i="50"/>
  <c r="AY29" i="50"/>
  <c r="AC31" i="50"/>
  <c r="N68" i="50"/>
  <c r="AY61" i="50"/>
  <c r="AT43" i="50"/>
  <c r="AL30" i="50"/>
  <c r="M28" i="50"/>
  <c r="N9" i="50"/>
  <c r="M10" i="50"/>
  <c r="AV52" i="50"/>
  <c r="AQ10" i="50"/>
  <c r="BB53" i="50"/>
  <c r="S69" i="50"/>
  <c r="AR62" i="50"/>
  <c r="AX11" i="50"/>
  <c r="Q51" i="50"/>
  <c r="X58" i="50"/>
  <c r="S61" i="50"/>
  <c r="AF22" i="50"/>
  <c r="AW12" i="50"/>
  <c r="AR64" i="50"/>
  <c r="N70" i="50"/>
  <c r="AB70" i="50"/>
  <c r="AD34" i="50"/>
  <c r="L62" i="50"/>
  <c r="M73" i="50"/>
  <c r="AP57" i="50"/>
  <c r="AZ7" i="50"/>
  <c r="AB54" i="50"/>
  <c r="AC22" i="50"/>
  <c r="Z38" i="50"/>
  <c r="W44" i="50"/>
  <c r="S32" i="50"/>
  <c r="BB11" i="50"/>
  <c r="P47" i="50"/>
  <c r="Z14" i="50"/>
  <c r="AZ15" i="50"/>
  <c r="W32" i="50"/>
  <c r="AX7" i="50"/>
  <c r="W30" i="50"/>
  <c r="BC30" i="50"/>
  <c r="AY70" i="50"/>
  <c r="X53" i="50"/>
  <c r="AO47" i="50"/>
  <c r="AR11" i="50"/>
  <c r="R13" i="50"/>
  <c r="Y57" i="50"/>
  <c r="T68" i="50"/>
  <c r="AK38" i="50"/>
  <c r="AB10" i="50"/>
  <c r="AC25" i="50"/>
  <c r="AP27" i="50"/>
  <c r="AL7" i="50"/>
  <c r="O36" i="50"/>
  <c r="AB26" i="50"/>
  <c r="AE26" i="50"/>
  <c r="AS12" i="50"/>
  <c r="BB7" i="50"/>
  <c r="AZ68" i="50"/>
  <c r="L57" i="50"/>
  <c r="AO51" i="50"/>
  <c r="AC54" i="50"/>
  <c r="V34" i="50"/>
  <c r="AE45" i="50"/>
  <c r="AY19" i="50"/>
  <c r="V29" i="50"/>
  <c r="AD12" i="50"/>
  <c r="AN63" i="50"/>
  <c r="AH28" i="50"/>
  <c r="AF54" i="50"/>
  <c r="AY52" i="50"/>
  <c r="AY12" i="50"/>
  <c r="Y27" i="50"/>
  <c r="W73" i="50"/>
  <c r="Y61" i="50"/>
  <c r="X32" i="50"/>
  <c r="AE55" i="50"/>
  <c r="AJ65" i="50"/>
  <c r="AZ43" i="50"/>
  <c r="T36" i="50"/>
  <c r="W59" i="50"/>
  <c r="Y51" i="50"/>
  <c r="O15" i="50"/>
  <c r="T59" i="50"/>
  <c r="AZ20" i="50"/>
  <c r="AZ72" i="50"/>
  <c r="X39" i="50"/>
  <c r="AH72" i="50"/>
  <c r="AL41" i="50"/>
  <c r="AV34" i="50"/>
  <c r="AE71" i="50"/>
  <c r="AK41" i="50"/>
  <c r="AD28" i="50"/>
  <c r="AC26" i="50"/>
  <c r="AL71" i="50"/>
  <c r="AW59" i="50"/>
  <c r="AW19" i="50"/>
  <c r="M42" i="50"/>
  <c r="BB32" i="50"/>
  <c r="AD44" i="50"/>
  <c r="AG73" i="50"/>
  <c r="AE43" i="50"/>
  <c r="AM71" i="50"/>
  <c r="AM51" i="50"/>
  <c r="Q68" i="50"/>
  <c r="P68" i="50"/>
  <c r="AC16" i="50"/>
  <c r="AH8" i="50"/>
  <c r="AA17" i="50"/>
  <c r="AP61" i="50"/>
  <c r="O21" i="50"/>
  <c r="S14" i="50"/>
  <c r="U29" i="50"/>
  <c r="AE9" i="50"/>
  <c r="Q42" i="50"/>
  <c r="AP19" i="50"/>
  <c r="AU22" i="50"/>
  <c r="W5" i="50"/>
  <c r="AG66" i="50"/>
  <c r="AR10" i="50"/>
  <c r="AW45" i="50"/>
  <c r="L64" i="50"/>
  <c r="AA72" i="50"/>
  <c r="Z15" i="50"/>
  <c r="AQ56" i="50"/>
  <c r="AD20" i="50"/>
  <c r="AL5" i="50"/>
  <c r="AT47" i="50"/>
  <c r="AC11" i="50"/>
  <c r="P67" i="50"/>
  <c r="AM11" i="50"/>
  <c r="AT67" i="50"/>
  <c r="AY30" i="50"/>
  <c r="O71" i="50"/>
  <c r="Z63" i="50"/>
  <c r="AM5" i="50"/>
  <c r="AO24" i="50"/>
  <c r="AS24" i="50"/>
  <c r="AY63" i="50"/>
  <c r="AT38" i="50"/>
  <c r="AH37" i="50"/>
  <c r="BB66" i="50"/>
  <c r="Q21" i="50"/>
  <c r="AR14" i="50"/>
  <c r="N21" i="50"/>
  <c r="T26" i="50"/>
  <c r="AI26" i="50"/>
  <c r="AN16" i="50"/>
  <c r="W52" i="50"/>
  <c r="M26" i="50"/>
  <c r="X66" i="50"/>
  <c r="AV24" i="50"/>
  <c r="AI68" i="50"/>
  <c r="AC19" i="50"/>
  <c r="X16" i="50"/>
  <c r="AZ46" i="50"/>
  <c r="Z69" i="50"/>
  <c r="AY60" i="50"/>
  <c r="AE20" i="50"/>
  <c r="P43" i="50"/>
  <c r="AZ36" i="50"/>
  <c r="AW30" i="50"/>
  <c r="AY67" i="50"/>
  <c r="AJ12" i="50"/>
  <c r="AL25" i="50"/>
  <c r="U68" i="50"/>
  <c r="BA42" i="50"/>
  <c r="BA67" i="50"/>
  <c r="AC14" i="50"/>
  <c r="AC53" i="50"/>
  <c r="AD39" i="50"/>
  <c r="L63" i="50"/>
  <c r="AP71" i="50"/>
  <c r="AK51" i="50"/>
  <c r="S24" i="50"/>
  <c r="AA53" i="50"/>
  <c r="AX36" i="50"/>
  <c r="AE63" i="50"/>
  <c r="T42" i="50"/>
  <c r="W49" i="50"/>
  <c r="AF11" i="50"/>
  <c r="AG30" i="50"/>
  <c r="P37" i="50"/>
  <c r="AC33" i="50"/>
  <c r="AJ22" i="50"/>
  <c r="V11" i="50"/>
  <c r="L20" i="50"/>
  <c r="AJ46" i="50"/>
  <c r="AO57" i="50"/>
  <c r="AV39" i="50"/>
  <c r="AY66" i="50"/>
  <c r="AK68" i="50"/>
  <c r="T35" i="50"/>
  <c r="AC66" i="50"/>
  <c r="BB17" i="50"/>
  <c r="Z30" i="50"/>
  <c r="AI7" i="50"/>
  <c r="W10" i="50"/>
  <c r="AI57" i="50"/>
  <c r="AB13" i="50"/>
  <c r="Y39" i="50"/>
  <c r="AK65" i="50"/>
  <c r="AF34" i="50"/>
  <c r="Y30" i="50"/>
  <c r="AL34" i="50"/>
  <c r="AH55" i="50"/>
  <c r="Q46" i="50"/>
  <c r="AX72" i="50"/>
  <c r="P70" i="50"/>
  <c r="AZ65" i="50"/>
  <c r="AM7" i="50"/>
  <c r="AD5" i="50"/>
  <c r="Z31" i="50"/>
  <c r="AX8" i="50"/>
  <c r="AH47" i="50"/>
  <c r="AY7" i="50"/>
  <c r="L24" i="50"/>
  <c r="AL31" i="50"/>
  <c r="AU37" i="50"/>
  <c r="AS48" i="50"/>
  <c r="AJ47" i="50"/>
  <c r="Q22" i="50"/>
  <c r="AY43" i="50"/>
  <c r="AM48" i="50"/>
  <c r="N15" i="50"/>
  <c r="AU58" i="50"/>
  <c r="AQ34" i="50"/>
  <c r="X52" i="50"/>
  <c r="AB24" i="50"/>
  <c r="N53" i="50"/>
  <c r="W64" i="50"/>
  <c r="AG34" i="50"/>
  <c r="N27" i="50"/>
  <c r="AH45" i="50"/>
  <c r="P15" i="50"/>
  <c r="Z49" i="50"/>
  <c r="AR27" i="50"/>
  <c r="R12" i="50"/>
  <c r="Q45" i="50"/>
  <c r="X69" i="50"/>
  <c r="AJ67" i="50"/>
  <c r="W57" i="50"/>
  <c r="AL43" i="50"/>
  <c r="X28" i="50"/>
  <c r="Z72" i="50"/>
  <c r="BB49" i="50"/>
  <c r="AC9" i="50"/>
  <c r="AE13" i="50"/>
  <c r="V32" i="50"/>
  <c r="AI54" i="50"/>
  <c r="BC60" i="50"/>
  <c r="AE53" i="50"/>
  <c r="AX19" i="50"/>
  <c r="AR59" i="50"/>
  <c r="AP52" i="50"/>
  <c r="AH40" i="50"/>
  <c r="AH9" i="50"/>
  <c r="AL59" i="50"/>
  <c r="X56" i="50"/>
  <c r="AB25" i="50"/>
  <c r="AN71" i="50"/>
  <c r="AA37" i="50"/>
  <c r="AA64" i="50"/>
  <c r="AQ22" i="50"/>
  <c r="AB45" i="50"/>
  <c r="T33" i="50"/>
  <c r="AM53" i="50"/>
  <c r="Z27" i="50"/>
  <c r="AW29" i="50"/>
  <c r="AF36" i="50"/>
  <c r="BB16" i="50"/>
  <c r="S34" i="50"/>
  <c r="BB57" i="50"/>
  <c r="L33" i="50"/>
  <c r="AK58" i="50"/>
  <c r="AF61" i="50"/>
  <c r="P72" i="50"/>
  <c r="AQ54" i="50"/>
  <c r="U65" i="50"/>
  <c r="AE27" i="50"/>
  <c r="AU46" i="50"/>
  <c r="U10" i="50"/>
  <c r="AS63" i="50"/>
  <c r="AU18" i="50"/>
  <c r="M9" i="50"/>
  <c r="AC50" i="50"/>
  <c r="AG29" i="50"/>
  <c r="AC43" i="50"/>
  <c r="AS23" i="50"/>
  <c r="AX73" i="50"/>
  <c r="U41" i="50"/>
  <c r="AZ45" i="50"/>
  <c r="AG52" i="50"/>
  <c r="AG55" i="50"/>
  <c r="AO39" i="50"/>
  <c r="W70" i="50"/>
  <c r="BA39" i="50"/>
  <c r="AP9" i="50"/>
  <c r="AO44" i="50"/>
  <c r="AM30" i="50"/>
  <c r="R65" i="50"/>
  <c r="AN50" i="50"/>
  <c r="AB29" i="50"/>
  <c r="AC73" i="50"/>
  <c r="AT50" i="50"/>
  <c r="BB63" i="50"/>
  <c r="X36" i="50"/>
  <c r="AF12" i="50"/>
  <c r="Z10" i="50"/>
  <c r="T15" i="50"/>
  <c r="M60" i="50"/>
  <c r="AR24" i="50"/>
  <c r="N64" i="50"/>
  <c r="P12" i="50"/>
  <c r="AG35" i="50"/>
  <c r="AA50" i="50"/>
  <c r="P53" i="50"/>
  <c r="AX4" i="50"/>
  <c r="BA18" i="50"/>
  <c r="L23" i="50"/>
  <c r="AP60" i="50"/>
  <c r="AY15" i="50"/>
  <c r="AV21" i="50"/>
  <c r="AN57" i="50"/>
  <c r="S25" i="50"/>
  <c r="AV45" i="50"/>
  <c r="AW71" i="50"/>
  <c r="L42" i="50"/>
  <c r="S18" i="50"/>
  <c r="Z17" i="50"/>
  <c r="BB27" i="50"/>
  <c r="AF7" i="50"/>
  <c r="AV43" i="50"/>
  <c r="AO69" i="50"/>
  <c r="AO66" i="50"/>
  <c r="AP38" i="50"/>
  <c r="AU24" i="50"/>
  <c r="P25" i="50"/>
  <c r="AE15" i="50"/>
  <c r="AB11" i="50"/>
  <c r="AN46" i="50"/>
  <c r="U60" i="50"/>
  <c r="BC49" i="50"/>
  <c r="O24" i="50"/>
  <c r="BB37" i="50"/>
  <c r="AX29" i="50"/>
  <c r="AO25" i="50"/>
  <c r="P9" i="50"/>
  <c r="AA32" i="50"/>
  <c r="P36" i="50"/>
  <c r="BB38" i="50"/>
  <c r="AQ73" i="50"/>
  <c r="BC47" i="50"/>
  <c r="V67" i="50"/>
  <c r="AR31" i="50"/>
  <c r="AC18" i="50"/>
  <c r="L50" i="50"/>
  <c r="T34" i="50"/>
  <c r="AV54" i="50"/>
  <c r="X35" i="50"/>
  <c r="V24" i="50"/>
  <c r="AA13" i="50"/>
  <c r="AA68" i="50"/>
  <c r="BC46" i="50"/>
  <c r="AZ35" i="50"/>
  <c r="AP46" i="50"/>
  <c r="AS59" i="50"/>
  <c r="O12" i="50"/>
  <c r="AW11" i="50"/>
  <c r="AB8" i="50"/>
  <c r="AZ17" i="50"/>
  <c r="T52" i="50"/>
  <c r="AV28" i="50"/>
  <c r="AS65" i="50"/>
  <c r="Y68" i="50"/>
  <c r="AN54" i="50"/>
  <c r="L34" i="50"/>
  <c r="AL66" i="50"/>
  <c r="AV41" i="50"/>
  <c r="AX38" i="50"/>
  <c r="N73" i="50"/>
  <c r="AV40" i="50"/>
  <c r="BB45" i="50"/>
  <c r="Q32" i="50"/>
  <c r="M52" i="50"/>
  <c r="P33" i="50"/>
  <c r="AN66" i="50"/>
  <c r="S38" i="50"/>
  <c r="AP21" i="50"/>
  <c r="N49" i="50"/>
  <c r="S11" i="50"/>
  <c r="AN73" i="50"/>
  <c r="AF10" i="50"/>
  <c r="Y23" i="50"/>
  <c r="Q60" i="50"/>
  <c r="AW27" i="50"/>
  <c r="AP5" i="50"/>
  <c r="AA45" i="50"/>
  <c r="AB68" i="50"/>
  <c r="U26" i="50"/>
  <c r="AI44" i="50"/>
  <c r="AS50" i="50"/>
  <c r="AD68" i="50"/>
  <c r="AX26" i="50"/>
  <c r="AB66" i="50"/>
  <c r="P58" i="50"/>
  <c r="O37" i="50"/>
  <c r="AW57" i="50"/>
  <c r="BC51" i="50"/>
  <c r="AU45" i="50"/>
  <c r="AD11" i="50"/>
  <c r="AZ23" i="50"/>
  <c r="Q11" i="50"/>
  <c r="AG63" i="50"/>
  <c r="L17" i="50"/>
  <c r="BB42" i="50"/>
  <c r="AH18" i="50"/>
  <c r="BC31" i="50"/>
  <c r="M45" i="50"/>
  <c r="AJ16" i="50"/>
  <c r="AZ12" i="50"/>
  <c r="N14" i="50"/>
  <c r="AZ16" i="50"/>
  <c r="M18" i="50"/>
  <c r="AZ47" i="50"/>
  <c r="AE29" i="50"/>
  <c r="AJ29" i="50"/>
  <c r="R58" i="50"/>
  <c r="N39" i="50"/>
  <c r="Z11" i="50"/>
  <c r="AM64" i="50"/>
  <c r="T22" i="50"/>
  <c r="AX18" i="50"/>
  <c r="AI17" i="50"/>
  <c r="X64" i="50"/>
  <c r="AJ4" i="50"/>
  <c r="AD9" i="50"/>
  <c r="AF63" i="50"/>
  <c r="AO23" i="50"/>
  <c r="AO33" i="50"/>
  <c r="AK62" i="50"/>
  <c r="AA63" i="50"/>
  <c r="AP39" i="50"/>
  <c r="AK16" i="50"/>
  <c r="AE56" i="50"/>
  <c r="AI19" i="50"/>
  <c r="AA51" i="50"/>
  <c r="BC69" i="50"/>
  <c r="L36" i="50"/>
  <c r="BC54" i="50"/>
  <c r="Z41" i="50"/>
  <c r="Z55" i="50"/>
  <c r="Z48" i="50"/>
  <c r="BB24" i="50"/>
  <c r="BC18" i="50"/>
  <c r="AW53" i="50"/>
  <c r="AH68" i="50"/>
  <c r="AL53" i="50"/>
  <c r="AA67" i="50"/>
  <c r="AW39" i="50"/>
  <c r="AZ57" i="50"/>
  <c r="AD73" i="50"/>
  <c r="Z53" i="50"/>
  <c r="AT23" i="50"/>
  <c r="AS58" i="50"/>
  <c r="AB34" i="50"/>
  <c r="AI35" i="50"/>
  <c r="M16" i="50"/>
  <c r="AG20" i="50"/>
  <c r="X60" i="50"/>
  <c r="Y62" i="50"/>
  <c r="Y33" i="50"/>
  <c r="V65" i="50"/>
  <c r="AQ37" i="50"/>
  <c r="AR12" i="50"/>
  <c r="AH73" i="50"/>
  <c r="X51" i="50"/>
  <c r="AF14" i="50"/>
  <c r="AN30" i="50"/>
  <c r="AB32" i="50"/>
  <c r="AD48" i="50"/>
  <c r="AL62" i="50"/>
  <c r="M21" i="50"/>
  <c r="BB65" i="50"/>
  <c r="AQ7" i="50"/>
  <c r="AW56" i="50"/>
  <c r="R35" i="50"/>
  <c r="AP17" i="50"/>
  <c r="N35" i="50"/>
  <c r="X10" i="50"/>
  <c r="AK42" i="50"/>
  <c r="P52" i="50"/>
  <c r="AM27" i="50"/>
  <c r="U28" i="50"/>
  <c r="AU52" i="50"/>
  <c r="Q35" i="50"/>
  <c r="R32" i="50"/>
  <c r="AJ7" i="50"/>
  <c r="R46" i="50"/>
  <c r="P60" i="50"/>
  <c r="AQ49" i="50"/>
  <c r="X12" i="50"/>
  <c r="BA68" i="50"/>
  <c r="AV16" i="50"/>
  <c r="N32" i="50"/>
  <c r="AL35" i="50"/>
  <c r="Z33" i="50"/>
  <c r="AZ30" i="50"/>
  <c r="AZ28" i="50"/>
  <c r="AO10" i="50"/>
  <c r="AX39" i="50"/>
  <c r="AN58" i="50"/>
  <c r="AE59" i="50"/>
  <c r="Z67" i="50"/>
  <c r="AI55" i="50"/>
  <c r="AB73" i="50"/>
  <c r="AO14" i="50"/>
  <c r="M25" i="50"/>
  <c r="AA12" i="50"/>
  <c r="AL17" i="50"/>
  <c r="AF9" i="50"/>
  <c r="AU13" i="50"/>
  <c r="Q30" i="50"/>
  <c r="AY58" i="50"/>
  <c r="T53" i="50"/>
  <c r="AS60" i="50"/>
  <c r="AY57" i="50"/>
  <c r="AC72" i="50"/>
  <c r="R49" i="50"/>
  <c r="AU16" i="50"/>
  <c r="BB50" i="50"/>
  <c r="AV66" i="50"/>
  <c r="AC34" i="50"/>
  <c r="X18" i="50"/>
  <c r="AV63" i="50"/>
  <c r="W45" i="50"/>
  <c r="O40" i="50"/>
  <c r="N45" i="50"/>
  <c r="AS64" i="50"/>
  <c r="Q7" i="50"/>
  <c r="AL73" i="50"/>
  <c r="BC21" i="50"/>
  <c r="Z39" i="50"/>
  <c r="AR35" i="50"/>
  <c r="AX46" i="50"/>
  <c r="AT15" i="50"/>
  <c r="AU53" i="50"/>
  <c r="AR29" i="50"/>
  <c r="BC20" i="50"/>
  <c r="T25" i="50"/>
  <c r="AP68" i="50"/>
  <c r="AJ60" i="50"/>
  <c r="AL27" i="50"/>
  <c r="X15" i="50"/>
  <c r="AF39" i="50"/>
  <c r="AE36" i="50"/>
  <c r="AQ23" i="50"/>
  <c r="AW68" i="50"/>
  <c r="AV60" i="50"/>
  <c r="AH42" i="50"/>
  <c r="AH65" i="50"/>
  <c r="AU29" i="50"/>
  <c r="Q31" i="50"/>
  <c r="AC39" i="50"/>
  <c r="AK72" i="50"/>
  <c r="AW10" i="50"/>
  <c r="AA24" i="50"/>
  <c r="AJ33" i="50"/>
  <c r="O49" i="50"/>
  <c r="S9" i="50"/>
  <c r="AO15" i="50"/>
  <c r="Q71" i="50"/>
  <c r="AU30" i="50"/>
  <c r="AR45" i="50"/>
  <c r="R25" i="50"/>
  <c r="BB25" i="50"/>
  <c r="P22" i="50"/>
  <c r="BA7" i="50"/>
  <c r="AX41" i="50"/>
  <c r="AE31" i="50"/>
  <c r="AJ37" i="50"/>
  <c r="AD56" i="50"/>
  <c r="O4" i="50"/>
  <c r="AP29" i="50"/>
  <c r="V69" i="50"/>
  <c r="O5" i="50"/>
  <c r="W67" i="50"/>
  <c r="Q70" i="50"/>
  <c r="AV30" i="50"/>
  <c r="BB39" i="50"/>
  <c r="AT33" i="50"/>
  <c r="AK52" i="50"/>
  <c r="V53" i="50"/>
  <c r="AD49" i="50"/>
  <c r="AL15" i="50"/>
  <c r="AC28" i="50"/>
  <c r="Z4" i="50"/>
  <c r="Y43" i="50"/>
  <c r="AQ24" i="50"/>
  <c r="AS9" i="50"/>
  <c r="P16" i="50"/>
  <c r="AN41" i="50"/>
  <c r="AQ26" i="50"/>
  <c r="AR18" i="50"/>
  <c r="AW33" i="50"/>
  <c r="Z56" i="50"/>
  <c r="S8" i="50"/>
  <c r="BB51" i="50"/>
  <c r="AS53" i="50"/>
  <c r="U19" i="50"/>
  <c r="Y65" i="50"/>
  <c r="Q36" i="50"/>
  <c r="AB67" i="50"/>
  <c r="U53" i="50"/>
  <c r="P8" i="50"/>
  <c r="AO45" i="50"/>
  <c r="N18" i="50"/>
  <c r="Z42" i="50"/>
  <c r="Z34" i="50"/>
  <c r="N12" i="50"/>
  <c r="AK53" i="50"/>
  <c r="AC59" i="50"/>
  <c r="T65" i="50"/>
  <c r="BB9" i="50"/>
  <c r="O51" i="50"/>
  <c r="AS18" i="50"/>
  <c r="AR4" i="50"/>
  <c r="Y5" i="50"/>
  <c r="V20" i="50"/>
  <c r="AO55" i="50"/>
  <c r="AQ58" i="50"/>
  <c r="AK63" i="50"/>
  <c r="AM49" i="50"/>
  <c r="BA40" i="50"/>
  <c r="AI16" i="50"/>
  <c r="AL21" i="50"/>
  <c r="X26" i="50"/>
  <c r="Z26" i="50"/>
  <c r="BC53" i="50"/>
  <c r="AO31" i="50"/>
  <c r="Y15" i="50"/>
  <c r="Z23" i="50"/>
  <c r="S33" i="50"/>
  <c r="Q5" i="50"/>
  <c r="M22" i="50"/>
  <c r="P21" i="50"/>
  <c r="AD47" i="50"/>
  <c r="AS16" i="50"/>
  <c r="T47" i="50"/>
  <c r="AZ38" i="50"/>
  <c r="AC58" i="50"/>
  <c r="AA52" i="50"/>
  <c r="R29" i="50"/>
  <c r="AP22" i="50"/>
  <c r="AB57" i="50"/>
  <c r="AT32" i="50"/>
  <c r="BB61" i="50"/>
  <c r="AA10" i="50"/>
  <c r="AG69" i="50"/>
  <c r="O31" i="50"/>
  <c r="N65" i="50"/>
  <c r="AV8" i="50"/>
  <c r="AR48" i="50"/>
  <c r="AK24" i="50"/>
  <c r="AY71" i="50"/>
  <c r="AW5" i="50"/>
  <c r="AR20" i="50"/>
  <c r="AZ59" i="50"/>
  <c r="AX64" i="50"/>
  <c r="AH71" i="50"/>
  <c r="M39" i="50"/>
  <c r="AQ29" i="50"/>
  <c r="P17" i="50"/>
  <c r="AN43" i="50"/>
  <c r="Q48" i="50"/>
  <c r="AI31" i="50"/>
  <c r="Z36" i="50"/>
  <c r="S30" i="50"/>
  <c r="AG14" i="50"/>
  <c r="Q61" i="50"/>
  <c r="AA46" i="50"/>
  <c r="AB61" i="50"/>
  <c r="BC71" i="50"/>
  <c r="L19" i="50"/>
  <c r="R37" i="50"/>
  <c r="AB48" i="50"/>
  <c r="AZ60" i="50"/>
  <c r="AR39" i="50"/>
  <c r="AV61" i="50"/>
  <c r="X68" i="50"/>
  <c r="BC63" i="50"/>
  <c r="S12" i="50"/>
  <c r="Q66" i="50"/>
  <c r="M5" i="50"/>
  <c r="BA56" i="50"/>
  <c r="M53" i="50"/>
  <c r="AW4" i="50"/>
  <c r="P54" i="50"/>
  <c r="BC5" i="50"/>
  <c r="AY69" i="50"/>
  <c r="W65" i="50"/>
  <c r="AN53" i="50"/>
  <c r="AD14" i="50"/>
  <c r="V9" i="50"/>
  <c r="AV59" i="50"/>
  <c r="M65" i="50"/>
  <c r="AJ30" i="50"/>
  <c r="AW52" i="50"/>
  <c r="P57" i="50"/>
  <c r="AG37" i="50"/>
  <c r="AS13" i="50"/>
  <c r="L54" i="50"/>
  <c r="AL32" i="50"/>
  <c r="T60" i="50"/>
  <c r="Q67" i="50"/>
  <c r="N31" i="50"/>
  <c r="AY51" i="50"/>
  <c r="AT17" i="50"/>
  <c r="AR71" i="50"/>
  <c r="AN69" i="50"/>
  <c r="AH14" i="50"/>
  <c r="AA69" i="50"/>
  <c r="AO68" i="50"/>
  <c r="AH15" i="50"/>
  <c r="P32" i="50"/>
  <c r="AD46" i="50"/>
  <c r="AI49" i="50"/>
  <c r="AN59" i="50"/>
  <c r="AW37" i="50"/>
  <c r="AA27" i="50"/>
  <c r="AE64" i="50"/>
  <c r="BB55" i="50"/>
  <c r="AN27" i="50"/>
  <c r="AA38" i="50"/>
  <c r="AL38" i="50"/>
  <c r="AD22" i="50"/>
  <c r="AO54" i="50"/>
  <c r="AA73" i="50"/>
  <c r="AE25" i="50"/>
  <c r="AB5" i="50"/>
  <c r="R14" i="50"/>
  <c r="AV55" i="50"/>
  <c r="V19" i="50"/>
  <c r="AG64" i="50"/>
  <c r="AF69" i="50"/>
  <c r="S10" i="50"/>
  <c r="W14" i="50"/>
  <c r="L56" i="50"/>
  <c r="S48" i="50"/>
  <c r="L31" i="50"/>
  <c r="S72" i="50"/>
  <c r="AW16" i="50"/>
  <c r="AI45" i="50"/>
  <c r="AK70" i="50"/>
  <c r="AV37" i="50"/>
  <c r="AS39" i="50"/>
  <c r="AA49" i="50"/>
  <c r="AC37" i="50"/>
  <c r="Q54" i="50"/>
  <c r="AW51" i="50"/>
  <c r="AE41" i="50"/>
  <c r="AG62" i="50"/>
  <c r="AW50" i="50"/>
  <c r="R57" i="50"/>
  <c r="AD32" i="50"/>
  <c r="AD60" i="50"/>
  <c r="V54" i="50"/>
  <c r="AW24" i="50"/>
  <c r="AG61" i="50"/>
  <c r="AW46" i="50"/>
  <c r="BA36" i="50"/>
  <c r="AL20" i="50"/>
  <c r="AO16" i="50"/>
  <c r="AO42" i="50"/>
  <c r="V25" i="50"/>
  <c r="AB38" i="50"/>
  <c r="BC59" i="50"/>
  <c r="Y73" i="50"/>
  <c r="Q39" i="50"/>
  <c r="AQ33" i="50"/>
  <c r="AL51" i="50"/>
  <c r="AD15" i="50"/>
  <c r="X57" i="50"/>
  <c r="S13" i="50"/>
  <c r="U45" i="50"/>
  <c r="AK14" i="50"/>
  <c r="AY26" i="50"/>
  <c r="AV31" i="50"/>
  <c r="AL8" i="50"/>
  <c r="AD25" i="50"/>
  <c r="V26" i="50"/>
  <c r="AA48" i="50"/>
  <c r="AP18" i="50"/>
  <c r="BB48" i="50"/>
  <c r="U21" i="50"/>
  <c r="AB52" i="50"/>
  <c r="W46" i="50"/>
  <c r="R68" i="50"/>
  <c r="S64" i="50"/>
  <c r="U51" i="50"/>
  <c r="AV22" i="50"/>
  <c r="AZ44" i="50"/>
  <c r="AX27" i="50"/>
  <c r="AR17" i="50"/>
  <c r="Z35" i="50"/>
  <c r="Z64" i="50"/>
  <c r="AW66" i="50"/>
  <c r="AN62" i="50"/>
  <c r="AB72" i="50"/>
  <c r="R33" i="50"/>
  <c r="AP31" i="50"/>
  <c r="AH27" i="50"/>
  <c r="BA32" i="50"/>
  <c r="O57" i="50"/>
  <c r="AS40" i="50"/>
  <c r="Y60" i="50"/>
  <c r="S55" i="50"/>
  <c r="AE12" i="50"/>
  <c r="T32" i="50"/>
  <c r="N44" i="50"/>
  <c r="P65" i="50"/>
  <c r="AE18" i="50"/>
  <c r="AN52" i="50"/>
  <c r="AM18" i="50"/>
  <c r="AM41" i="50"/>
  <c r="AX57" i="50"/>
  <c r="AC52" i="50"/>
  <c r="AB56" i="50"/>
  <c r="Y40" i="50"/>
  <c r="AY14" i="50"/>
  <c r="U40" i="50"/>
  <c r="Q72" i="50"/>
  <c r="O42" i="50"/>
  <c r="Z47" i="50"/>
  <c r="W25" i="50"/>
  <c r="AI14" i="50"/>
  <c r="AJ27" i="50"/>
  <c r="R18" i="50"/>
  <c r="O28" i="50"/>
  <c r="AJ9" i="50"/>
  <c r="M15" i="50"/>
  <c r="Y56" i="50"/>
  <c r="P31" i="50"/>
  <c r="AF21" i="50"/>
  <c r="N34" i="50"/>
  <c r="Y66" i="50"/>
  <c r="Y53" i="50"/>
  <c r="AM24" i="50"/>
  <c r="V8" i="50"/>
  <c r="P28" i="50"/>
  <c r="BB22" i="50"/>
  <c r="AN42" i="50"/>
  <c r="U56" i="50"/>
  <c r="AQ59" i="50"/>
  <c r="AR60" i="50"/>
  <c r="AW47" i="50"/>
  <c r="AJ49" i="50"/>
  <c r="AI9" i="50"/>
  <c r="AJ11" i="50"/>
  <c r="AP42" i="50"/>
  <c r="AG8" i="50"/>
  <c r="AQ65" i="50"/>
  <c r="BB12" i="50"/>
  <c r="N51" i="50"/>
  <c r="T71" i="50"/>
  <c r="AI73" i="50"/>
  <c r="AG10" i="50"/>
  <c r="AD27" i="50"/>
  <c r="S4" i="50"/>
  <c r="AP15" i="50"/>
  <c r="AQ53" i="50"/>
  <c r="T9" i="50"/>
  <c r="AD43" i="50"/>
  <c r="AY27" i="50"/>
  <c r="BC37" i="50"/>
  <c r="BB70" i="50"/>
  <c r="AN22" i="50"/>
  <c r="P38" i="50"/>
  <c r="AQ55" i="50"/>
  <c r="AJ43" i="50"/>
  <c r="AX15" i="50"/>
  <c r="X40" i="50"/>
  <c r="L14" i="50"/>
  <c r="AN19" i="50"/>
  <c r="AZ55" i="50"/>
  <c r="S39" i="50"/>
  <c r="AT7" i="50"/>
  <c r="AO11" i="50"/>
  <c r="AT24" i="50"/>
  <c r="AG41" i="50"/>
  <c r="AC57" i="50"/>
  <c r="AG50" i="50"/>
  <c r="Z59" i="50"/>
  <c r="AV14" i="50"/>
  <c r="AV44" i="50"/>
  <c r="AO32" i="50"/>
  <c r="P4" i="50"/>
  <c r="AQ11" i="50"/>
  <c r="AT49" i="50"/>
  <c r="X71" i="50"/>
  <c r="T20" i="50"/>
  <c r="AM67" i="50"/>
  <c r="AJ72" i="50"/>
  <c r="AZ51" i="50"/>
  <c r="AL46" i="50"/>
  <c r="Y71" i="50"/>
  <c r="Y36" i="50"/>
  <c r="AK21" i="50"/>
  <c r="AY44" i="50"/>
  <c r="M70" i="50"/>
  <c r="V22" i="50"/>
  <c r="AS72" i="50"/>
  <c r="AX44" i="50"/>
  <c r="AV42" i="50"/>
  <c r="AT20" i="50"/>
  <c r="O54" i="50"/>
  <c r="Q55" i="50"/>
  <c r="L11" i="50"/>
  <c r="BC13" i="50"/>
  <c r="X48" i="50"/>
  <c r="AE69" i="50"/>
  <c r="AY48" i="50"/>
  <c r="AO8" i="50"/>
  <c r="AZ32" i="50"/>
  <c r="AJ28" i="50"/>
  <c r="AN67" i="50"/>
  <c r="AT37" i="50"/>
  <c r="AN33" i="50"/>
  <c r="R36" i="50"/>
  <c r="AP44" i="50"/>
  <c r="AI4" i="50"/>
  <c r="AW15" i="50"/>
  <c r="AS45" i="50"/>
  <c r="AX40" i="50"/>
  <c r="Y21" i="50"/>
  <c r="X4" i="50"/>
  <c r="AD17" i="50"/>
  <c r="BB29" i="50"/>
  <c r="AD30" i="50"/>
  <c r="M71" i="50"/>
  <c r="AF27" i="50"/>
  <c r="AS66" i="50"/>
  <c r="M41" i="50"/>
  <c r="AV72" i="50"/>
  <c r="AU31" i="50"/>
  <c r="AE35" i="50"/>
  <c r="P55" i="50"/>
  <c r="Q49" i="50"/>
  <c r="M67" i="50"/>
  <c r="AX21" i="50"/>
  <c r="U73" i="50"/>
  <c r="AW13" i="50"/>
  <c r="AO22" i="50"/>
  <c r="M72" i="50"/>
  <c r="P41" i="50"/>
  <c r="O62" i="50"/>
  <c r="AM19" i="50"/>
  <c r="AP53" i="50"/>
  <c r="AS33" i="50"/>
  <c r="BA59" i="50"/>
  <c r="BA10" i="50"/>
  <c r="AT36" i="50"/>
  <c r="AK57" i="50"/>
  <c r="AJ21" i="50"/>
  <c r="AS42" i="50"/>
  <c r="AQ18" i="50"/>
  <c r="R16" i="50"/>
  <c r="AA70" i="50"/>
  <c r="AM25" i="50"/>
  <c r="BB19" i="50"/>
  <c r="AO38" i="50"/>
  <c r="AP43" i="50"/>
  <c r="AZ14" i="50"/>
  <c r="AO52" i="50"/>
  <c r="AF13" i="50"/>
  <c r="AZ54" i="50"/>
  <c r="AZ33" i="50"/>
  <c r="AX58" i="50"/>
  <c r="P61" i="50"/>
  <c r="AZ70" i="50"/>
  <c r="AG15" i="50"/>
  <c r="AU11" i="50"/>
  <c r="AR58" i="50"/>
  <c r="S56" i="50"/>
  <c r="AQ72" i="50"/>
  <c r="AX20" i="50"/>
  <c r="AV5" i="50"/>
  <c r="AN37" i="50"/>
  <c r="AJ32" i="50"/>
  <c r="AW55" i="50"/>
  <c r="AV53" i="50"/>
  <c r="W27" i="50"/>
  <c r="AF49" i="50"/>
  <c r="V5" i="50"/>
  <c r="AI62" i="50"/>
  <c r="AP65" i="50"/>
  <c r="Q59" i="50"/>
  <c r="R22" i="50"/>
  <c r="BC66" i="50"/>
  <c r="AS55" i="50"/>
  <c r="AP55" i="50"/>
  <c r="AK29" i="50"/>
  <c r="AX24" i="50"/>
  <c r="AL37" i="50"/>
  <c r="AV38" i="50"/>
  <c r="Z24" i="50"/>
  <c r="AG4" i="50"/>
  <c r="AA28" i="50"/>
  <c r="AH51" i="50"/>
  <c r="AP11" i="50"/>
  <c r="AE17" i="50"/>
  <c r="AM70" i="50"/>
  <c r="AR38" i="50"/>
  <c r="AQ32" i="50"/>
  <c r="AM61" i="50"/>
  <c r="AT29" i="50"/>
  <c r="Q50" i="50"/>
  <c r="P24" i="50"/>
  <c r="BB30" i="50"/>
  <c r="P13" i="50"/>
  <c r="BA49" i="50"/>
  <c r="AY16" i="50"/>
  <c r="AZ41" i="50"/>
  <c r="U12" i="50"/>
  <c r="AQ50" i="50"/>
  <c r="U61" i="50"/>
  <c r="AK49" i="50"/>
  <c r="R70" i="50"/>
  <c r="AV19" i="50"/>
  <c r="AB4" i="50"/>
  <c r="T44" i="50"/>
  <c r="AD58" i="50"/>
  <c r="AT63" i="50"/>
  <c r="L12" i="50"/>
  <c r="AH33" i="50"/>
  <c r="AG39" i="50"/>
  <c r="Z73" i="50"/>
  <c r="AN64" i="50"/>
  <c r="X34" i="50"/>
  <c r="R72" i="50"/>
  <c r="AE50" i="50"/>
  <c r="AX60" i="50"/>
  <c r="V49" i="50"/>
  <c r="AS26" i="50"/>
  <c r="AK36" i="50"/>
  <c r="AV46" i="50"/>
  <c r="AR51" i="50"/>
  <c r="AQ41" i="50"/>
  <c r="U5" i="50"/>
  <c r="AC61" i="50"/>
  <c r="BB36" i="50"/>
  <c r="AG12" i="50"/>
  <c r="L68" i="50"/>
  <c r="AC63" i="50"/>
  <c r="AQ51" i="50"/>
  <c r="AQ13" i="50"/>
  <c r="AW49" i="50"/>
  <c r="AA66" i="50"/>
  <c r="M47" i="50"/>
  <c r="L67" i="50"/>
  <c r="AS62" i="50"/>
  <c r="AR42" i="50"/>
  <c r="O66" i="50"/>
  <c r="AG13" i="50"/>
  <c r="AC46" i="50"/>
  <c r="X22" i="50"/>
  <c r="AB69" i="50"/>
  <c r="Z44" i="50"/>
  <c r="Z20" i="50"/>
  <c r="AC67" i="50"/>
  <c r="V63" i="50"/>
  <c r="O44" i="50"/>
  <c r="T10" i="50"/>
  <c r="AF8" i="50"/>
  <c r="AK11" i="50"/>
  <c r="AR41" i="50"/>
  <c r="AM37" i="50"/>
  <c r="AD52" i="50"/>
  <c r="W39" i="50"/>
  <c r="W12" i="50"/>
  <c r="V38" i="50"/>
  <c r="AN24" i="50"/>
  <c r="N52" i="50"/>
  <c r="AT68" i="50"/>
  <c r="AH11" i="50"/>
  <c r="AR52" i="50"/>
  <c r="BB14" i="50"/>
  <c r="O68" i="50"/>
  <c r="AR69" i="50"/>
  <c r="AA4" i="50"/>
  <c r="AA65" i="50"/>
  <c r="AY45" i="50"/>
  <c r="W47" i="50"/>
  <c r="AO62" i="50"/>
  <c r="U64" i="50"/>
  <c r="AR67" i="50"/>
  <c r="AS20" i="50"/>
  <c r="Y11" i="50"/>
  <c r="AU51" i="50"/>
  <c r="P14" i="50"/>
  <c r="W54" i="50"/>
  <c r="AF59" i="50"/>
  <c r="AB42" i="50"/>
  <c r="Y18" i="50"/>
  <c r="AV56" i="50"/>
  <c r="L65" i="50"/>
  <c r="AH48" i="50"/>
  <c r="AL64" i="50"/>
  <c r="S62" i="50"/>
  <c r="AS44" i="50"/>
  <c r="AQ16" i="50"/>
  <c r="AL52" i="50"/>
  <c r="AW8" i="50"/>
  <c r="S40" i="50"/>
  <c r="L16" i="50"/>
  <c r="AS30" i="50"/>
  <c r="Y24" i="50"/>
  <c r="BC48" i="50"/>
  <c r="AH23" i="50"/>
  <c r="AW23" i="50"/>
  <c r="N11" i="50"/>
  <c r="AQ47" i="50"/>
  <c r="O10" i="50"/>
  <c r="AX66" i="50"/>
  <c r="V23" i="50"/>
  <c r="AR61" i="50"/>
  <c r="AY24" i="50"/>
  <c r="BA48" i="50"/>
  <c r="S66" i="50"/>
  <c r="AM65" i="50"/>
  <c r="AV33" i="50"/>
  <c r="AD36" i="50"/>
  <c r="AH56" i="50"/>
  <c r="AE42" i="50"/>
  <c r="N4" i="50"/>
  <c r="AY41" i="50"/>
  <c r="V70" i="50"/>
  <c r="AO4" i="50"/>
  <c r="O53" i="50"/>
  <c r="Y14" i="50"/>
  <c r="BC15" i="50"/>
  <c r="AT69" i="50"/>
  <c r="S27" i="50"/>
  <c r="AS61" i="50"/>
  <c r="AN56" i="50"/>
  <c r="AD21" i="50"/>
  <c r="AQ5" i="50"/>
  <c r="Y59" i="50"/>
  <c r="N57" i="50"/>
  <c r="AD71" i="50"/>
  <c r="W18" i="50"/>
  <c r="AM40" i="50"/>
  <c r="T49" i="50"/>
  <c r="BB46" i="50"/>
  <c r="AM66" i="50"/>
  <c r="AU19" i="50"/>
  <c r="AY17" i="50"/>
  <c r="AJ61" i="50"/>
  <c r="AI47" i="50"/>
  <c r="AS7" i="50"/>
  <c r="AK46" i="50"/>
  <c r="AV69" i="50"/>
  <c r="AF23" i="50"/>
  <c r="BB15" i="50"/>
  <c r="AT64" i="50"/>
  <c r="Z21" i="50"/>
  <c r="BA69" i="50"/>
  <c r="O30" i="50"/>
  <c r="U36" i="50"/>
  <c r="AC21" i="50"/>
  <c r="O32" i="50"/>
  <c r="AK25" i="50"/>
  <c r="T38" i="50"/>
  <c r="AS27" i="50"/>
  <c r="N66" i="50"/>
  <c r="AT61" i="50"/>
  <c r="AI30" i="50"/>
  <c r="AQ38" i="50"/>
  <c r="AG44" i="50"/>
  <c r="M61" i="50"/>
  <c r="AF64" i="50"/>
  <c r="AQ46" i="50"/>
  <c r="V58" i="50"/>
  <c r="AH52" i="50"/>
  <c r="AW21" i="50"/>
  <c r="AU71" i="50"/>
  <c r="AJ66" i="50"/>
  <c r="AJ34" i="50"/>
  <c r="S43" i="50"/>
  <c r="AE8" i="50"/>
  <c r="BA28" i="50"/>
  <c r="AR22" i="50"/>
  <c r="AI32" i="50"/>
  <c r="AQ19" i="50"/>
  <c r="AN38" i="50"/>
  <c r="AC55" i="50"/>
  <c r="AA20" i="50"/>
  <c r="P45" i="50"/>
  <c r="AM58" i="50"/>
  <c r="AH13" i="50"/>
  <c r="AU59" i="50"/>
  <c r="Q65" i="50"/>
  <c r="AZ37" i="50"/>
  <c r="AG72" i="50"/>
  <c r="Y58" i="50"/>
  <c r="AV13" i="50"/>
  <c r="AP13" i="50"/>
  <c r="AZ67" i="50"/>
  <c r="AZ10" i="50"/>
  <c r="X33" i="50"/>
  <c r="AO60" i="50"/>
  <c r="AA34" i="50"/>
  <c r="AA60" i="50"/>
  <c r="Z29" i="50"/>
  <c r="AK39" i="50"/>
  <c r="P20" i="50"/>
  <c r="AU70" i="50"/>
  <c r="BA14" i="50"/>
  <c r="U70" i="50"/>
  <c r="V31" i="50"/>
  <c r="AL57" i="50"/>
  <c r="AK8" i="50"/>
  <c r="AC5" i="50"/>
  <c r="AW36" i="50"/>
  <c r="F16" i="50" l="1"/>
  <c r="F65" i="50"/>
  <c r="F67" i="50"/>
  <c r="F68" i="50"/>
  <c r="F12" i="50"/>
  <c r="F11" i="50"/>
  <c r="F14" i="50"/>
  <c r="F31" i="50"/>
  <c r="F56" i="50"/>
  <c r="F54" i="50"/>
  <c r="F19" i="50"/>
  <c r="F36" i="50"/>
  <c r="F17" i="50"/>
  <c r="F34" i="50"/>
  <c r="F50" i="50"/>
  <c r="F42" i="50"/>
  <c r="F23" i="50"/>
  <c r="F33" i="50"/>
  <c r="F24" i="50"/>
  <c r="F20" i="50"/>
  <c r="F63" i="50"/>
  <c r="F64" i="50"/>
  <c r="F57" i="50"/>
  <c r="F62" i="50"/>
  <c r="F73" i="50"/>
  <c r="F32" i="50"/>
  <c r="F71" i="50"/>
  <c r="F40" i="50"/>
  <c r="F60" i="50"/>
  <c r="F15" i="50"/>
  <c r="F44" i="50"/>
  <c r="F21" i="50"/>
  <c r="F37" i="50"/>
  <c r="F30" i="50"/>
  <c r="F35" i="50"/>
  <c r="F69" i="50"/>
  <c r="F51" i="50"/>
  <c r="K4" i="50"/>
  <c r="F5" i="50"/>
  <c r="F13" i="50"/>
  <c r="F10" i="50"/>
  <c r="F47" i="50"/>
  <c r="F27" i="50"/>
  <c r="F9" i="50"/>
  <c r="F41" i="50"/>
  <c r="F45" i="50"/>
  <c r="F52" i="50"/>
  <c r="F49" i="50"/>
  <c r="F48" i="50"/>
  <c r="F46" i="50"/>
  <c r="F28" i="50"/>
  <c r="F22" i="50"/>
  <c r="F29" i="50"/>
  <c r="F66" i="50"/>
  <c r="F39" i="50"/>
  <c r="F72" i="50"/>
  <c r="F59" i="50"/>
  <c r="F38" i="50"/>
  <c r="F8" i="50"/>
  <c r="F18" i="50"/>
  <c r="F53" i="50"/>
  <c r="F58" i="50"/>
  <c r="F25" i="50"/>
  <c r="F26" i="50"/>
  <c r="F7" i="50"/>
  <c r="F61" i="50"/>
  <c r="F70" i="50"/>
  <c r="F55" i="50"/>
  <c r="F43" i="50"/>
  <c r="Z4" i="150"/>
  <c r="AA25" i="1" l="1"/>
  <c r="H55" i="50"/>
  <c r="J55" i="50"/>
  <c r="AA18" i="1"/>
  <c r="H26" i="50"/>
  <c r="J26" i="50"/>
  <c r="AA17" i="4"/>
  <c r="H18" i="50"/>
  <c r="J18" i="50"/>
  <c r="J72" i="50"/>
  <c r="AA12" i="150"/>
  <c r="H72" i="50"/>
  <c r="AA15" i="4"/>
  <c r="J22" i="50"/>
  <c r="H22" i="50"/>
  <c r="AA20" i="4"/>
  <c r="H49" i="50"/>
  <c r="J49" i="50"/>
  <c r="AA6" i="4"/>
  <c r="H9" i="50"/>
  <c r="J9" i="50"/>
  <c r="AA7" i="4"/>
  <c r="H13" i="50"/>
  <c r="J13" i="50"/>
  <c r="AA9" i="150"/>
  <c r="H69" i="50"/>
  <c r="J69" i="50"/>
  <c r="AA14" i="4"/>
  <c r="J21" i="50"/>
  <c r="H21" i="50"/>
  <c r="AA17" i="5"/>
  <c r="J40" i="50"/>
  <c r="H40" i="50"/>
  <c r="AA30" i="1"/>
  <c r="J62" i="50"/>
  <c r="H62" i="50"/>
  <c r="AA16" i="4"/>
  <c r="H20" i="50"/>
  <c r="J20" i="50"/>
  <c r="AA8" i="5"/>
  <c r="J42" i="50"/>
  <c r="H42" i="50"/>
  <c r="AA15" i="5"/>
  <c r="J36" i="50"/>
  <c r="H36" i="50"/>
  <c r="AA11" i="5"/>
  <c r="H31" i="50"/>
  <c r="J31" i="50"/>
  <c r="AA8" i="150"/>
  <c r="H68" i="50"/>
  <c r="J68" i="50"/>
  <c r="AA10" i="150"/>
  <c r="J70" i="50"/>
  <c r="H70" i="50"/>
  <c r="AA8" i="137"/>
  <c r="H8" i="50"/>
  <c r="J8" i="50"/>
  <c r="J28" i="50"/>
  <c r="AA11" i="4"/>
  <c r="H28" i="50"/>
  <c r="AA24" i="5"/>
  <c r="J52" i="50"/>
  <c r="H52" i="50"/>
  <c r="AA5" i="137"/>
  <c r="H5" i="50"/>
  <c r="J5" i="50"/>
  <c r="F4" i="50"/>
  <c r="AA14" i="5"/>
  <c r="H35" i="50"/>
  <c r="J35" i="50"/>
  <c r="AA5" i="5"/>
  <c r="H44" i="50"/>
  <c r="J44" i="50"/>
  <c r="AA11" i="150"/>
  <c r="H71" i="50"/>
  <c r="J71" i="50"/>
  <c r="AA27" i="1"/>
  <c r="H57" i="50"/>
  <c r="J57" i="50"/>
  <c r="AA8" i="1"/>
  <c r="J24" i="50"/>
  <c r="H24" i="50"/>
  <c r="AA18" i="4"/>
  <c r="J50" i="50"/>
  <c r="H50" i="50"/>
  <c r="AA13" i="4"/>
  <c r="H19" i="50"/>
  <c r="J19" i="50"/>
  <c r="AA9" i="4"/>
  <c r="J14" i="50"/>
  <c r="H14" i="50"/>
  <c r="AA7" i="150"/>
  <c r="J67" i="50"/>
  <c r="H67" i="50"/>
  <c r="H25" i="50"/>
  <c r="AA13" i="1"/>
  <c r="J25" i="50"/>
  <c r="AA20" i="5"/>
  <c r="J39" i="50"/>
  <c r="H39" i="50"/>
  <c r="AA12" i="1"/>
  <c r="H27" i="50"/>
  <c r="J27" i="50"/>
  <c r="AA29" i="1"/>
  <c r="H61" i="50"/>
  <c r="J61" i="50"/>
  <c r="AA28" i="1"/>
  <c r="J58" i="50"/>
  <c r="H58" i="50"/>
  <c r="AA19" i="5"/>
  <c r="J38" i="50"/>
  <c r="H38" i="50"/>
  <c r="AA6" i="150"/>
  <c r="H66" i="50"/>
  <c r="J66" i="50"/>
  <c r="AA21" i="1"/>
  <c r="H46" i="50"/>
  <c r="J46" i="50"/>
  <c r="AA21" i="5"/>
  <c r="J45" i="50"/>
  <c r="H45" i="50"/>
  <c r="AA22" i="1"/>
  <c r="H47" i="50"/>
  <c r="J47" i="50"/>
  <c r="AA10" i="5"/>
  <c r="H30" i="50"/>
  <c r="J30" i="50"/>
  <c r="AA10" i="4"/>
  <c r="H15" i="50"/>
  <c r="J15" i="50"/>
  <c r="AA16" i="5"/>
  <c r="H32" i="50"/>
  <c r="J32" i="50"/>
  <c r="AA23" i="4"/>
  <c r="H64" i="50"/>
  <c r="J64" i="50"/>
  <c r="AA12" i="5"/>
  <c r="J33" i="50"/>
  <c r="H33" i="50"/>
  <c r="AA13" i="5"/>
  <c r="J34" i="50"/>
  <c r="H34" i="50"/>
  <c r="AA24" i="1"/>
  <c r="H54" i="50"/>
  <c r="J54" i="50"/>
  <c r="AA6" i="1"/>
  <c r="J11" i="50"/>
  <c r="H11" i="50"/>
  <c r="AA5" i="150"/>
  <c r="H65" i="50"/>
  <c r="J65" i="50"/>
  <c r="J43" i="50"/>
  <c r="H43" i="50"/>
  <c r="AA6" i="5"/>
  <c r="AA7" i="137"/>
  <c r="J7" i="50"/>
  <c r="H7" i="50"/>
  <c r="J53" i="50"/>
  <c r="H53" i="50"/>
  <c r="AA23" i="1"/>
  <c r="J59" i="50"/>
  <c r="H59" i="50"/>
  <c r="AA19" i="4"/>
  <c r="AA8" i="4"/>
  <c r="H29" i="50"/>
  <c r="J29" i="50"/>
  <c r="AA9" i="137"/>
  <c r="J48" i="50"/>
  <c r="H48" i="50"/>
  <c r="AA22" i="5"/>
  <c r="J41" i="50"/>
  <c r="H41" i="50"/>
  <c r="AA5" i="1"/>
  <c r="H10" i="50"/>
  <c r="J10" i="50"/>
  <c r="AA23" i="5"/>
  <c r="J51" i="50"/>
  <c r="H51" i="50"/>
  <c r="AA18" i="5"/>
  <c r="H37" i="50"/>
  <c r="J37" i="50"/>
  <c r="AA21" i="4"/>
  <c r="J60" i="50"/>
  <c r="H60" i="50"/>
  <c r="AA24" i="4"/>
  <c r="J73" i="50"/>
  <c r="H73" i="50"/>
  <c r="AA22" i="4"/>
  <c r="J63" i="50"/>
  <c r="H63" i="50"/>
  <c r="AA9" i="1"/>
  <c r="J23" i="50"/>
  <c r="H23" i="50"/>
  <c r="AA10" i="1"/>
  <c r="J17" i="50"/>
  <c r="H17" i="50"/>
  <c r="AA26" i="1"/>
  <c r="J56" i="50"/>
  <c r="H56" i="50"/>
  <c r="AA7" i="1"/>
  <c r="J12" i="50"/>
  <c r="H12" i="50"/>
  <c r="AA5" i="4"/>
  <c r="J16" i="50"/>
  <c r="H16" i="50"/>
  <c r="N23" i="5" l="1"/>
  <c r="A23" i="5" s="1"/>
  <c r="M23" i="5"/>
  <c r="N10" i="4"/>
  <c r="O10" i="4"/>
  <c r="A10" i="4" s="1"/>
  <c r="O29" i="1"/>
  <c r="A29" i="1" s="1"/>
  <c r="N29" i="1"/>
  <c r="O13" i="1"/>
  <c r="A13" i="1" s="1"/>
  <c r="N13" i="1"/>
  <c r="O7" i="150"/>
  <c r="A7" i="150" s="1"/>
  <c r="N7" i="150"/>
  <c r="O8" i="1"/>
  <c r="A8" i="1" s="1"/>
  <c r="N8" i="1"/>
  <c r="N14" i="5"/>
  <c r="A14" i="5" s="1"/>
  <c r="M14" i="5"/>
  <c r="N5" i="137"/>
  <c r="O5" i="137"/>
  <c r="AA4" i="137"/>
  <c r="O10" i="150"/>
  <c r="A10" i="150" s="1"/>
  <c r="N10" i="150"/>
  <c r="M8" i="5"/>
  <c r="N8" i="5"/>
  <c r="A8" i="5" s="1"/>
  <c r="O14" i="4"/>
  <c r="A14" i="4" s="1"/>
  <c r="N14" i="4"/>
  <c r="N20" i="4"/>
  <c r="O20" i="4"/>
  <c r="A20" i="4" s="1"/>
  <c r="O18" i="1"/>
  <c r="A18" i="1" s="1"/>
  <c r="N18" i="1"/>
  <c r="N22" i="4"/>
  <c r="O22" i="4"/>
  <c r="A22" i="4" s="1"/>
  <c r="O23" i="1"/>
  <c r="A23" i="1" s="1"/>
  <c r="N23" i="1"/>
  <c r="O21" i="1"/>
  <c r="A21" i="1" s="1"/>
  <c r="N21" i="1"/>
  <c r="N18" i="5"/>
  <c r="A18" i="5" s="1"/>
  <c r="M18" i="5"/>
  <c r="N7" i="137"/>
  <c r="O7" i="137"/>
  <c r="A7" i="137" s="1"/>
  <c r="N24" i="1"/>
  <c r="O24" i="1"/>
  <c r="A24" i="1" s="1"/>
  <c r="N16" i="5"/>
  <c r="A16" i="5" s="1"/>
  <c r="M16" i="5"/>
  <c r="M21" i="5"/>
  <c r="N21" i="5"/>
  <c r="A21" i="5" s="1"/>
  <c r="O28" i="1"/>
  <c r="A28" i="1" s="1"/>
  <c r="N28" i="1"/>
  <c r="O18" i="4"/>
  <c r="A18" i="4" s="1"/>
  <c r="N18" i="4"/>
  <c r="M5" i="5"/>
  <c r="N5" i="5"/>
  <c r="O11" i="4"/>
  <c r="A11" i="4" s="1"/>
  <c r="N11" i="4"/>
  <c r="O8" i="137"/>
  <c r="A8" i="137" s="1"/>
  <c r="N8" i="137"/>
  <c r="M15" i="5"/>
  <c r="N15" i="5"/>
  <c r="A15" i="5" s="1"/>
  <c r="M17" i="5"/>
  <c r="N17" i="5"/>
  <c r="A17" i="5" s="1"/>
  <c r="N6" i="4"/>
  <c r="O6" i="4"/>
  <c r="A6" i="4" s="1"/>
  <c r="O12" i="150"/>
  <c r="A12" i="150" s="1"/>
  <c r="N12" i="150"/>
  <c r="N17" i="4"/>
  <c r="O17" i="4"/>
  <c r="A17" i="4" s="1"/>
  <c r="N7" i="1"/>
  <c r="O7" i="1"/>
  <c r="A7" i="1" s="1"/>
  <c r="M13" i="5"/>
  <c r="N13" i="5"/>
  <c r="A13" i="5" s="1"/>
  <c r="O5" i="4"/>
  <c r="N5" i="4"/>
  <c r="AA4" i="4"/>
  <c r="O9" i="137"/>
  <c r="A9" i="137" s="1"/>
  <c r="N9" i="137"/>
  <c r="O19" i="4"/>
  <c r="A19" i="4" s="1"/>
  <c r="N19" i="4"/>
  <c r="N10" i="1"/>
  <c r="O10" i="1"/>
  <c r="A10" i="1" s="1"/>
  <c r="N21" i="4"/>
  <c r="O21" i="4"/>
  <c r="A21" i="4" s="1"/>
  <c r="N22" i="5"/>
  <c r="A22" i="5" s="1"/>
  <c r="M22" i="5"/>
  <c r="AA4" i="5"/>
  <c r="M6" i="5"/>
  <c r="N6" i="5"/>
  <c r="A6" i="5" s="1"/>
  <c r="N6" i="1"/>
  <c r="O6" i="1"/>
  <c r="A6" i="1" s="1"/>
  <c r="O23" i="4"/>
  <c r="A23" i="4" s="1"/>
  <c r="N23" i="4"/>
  <c r="N22" i="1"/>
  <c r="O22" i="1"/>
  <c r="A22" i="1" s="1"/>
  <c r="M19" i="5"/>
  <c r="N19" i="5"/>
  <c r="A19" i="5" s="1"/>
  <c r="M20" i="5"/>
  <c r="N20" i="5"/>
  <c r="A20" i="5" s="1"/>
  <c r="N13" i="4"/>
  <c r="O13" i="4"/>
  <c r="A13" i="4" s="1"/>
  <c r="O11" i="150"/>
  <c r="A11" i="150" s="1"/>
  <c r="N11" i="150"/>
  <c r="J4" i="50"/>
  <c r="I4" i="50" s="1"/>
  <c r="K12" i="50" s="1"/>
  <c r="M11" i="5"/>
  <c r="N11" i="5"/>
  <c r="A11" i="5" s="1"/>
  <c r="O30" i="1"/>
  <c r="A30" i="1" s="1"/>
  <c r="N30" i="1"/>
  <c r="N7" i="4"/>
  <c r="O7" i="4"/>
  <c r="A7" i="4" s="1"/>
  <c r="N8" i="4"/>
  <c r="O8" i="4"/>
  <c r="A8" i="4" s="1"/>
  <c r="O9" i="1"/>
  <c r="A9" i="1" s="1"/>
  <c r="N9" i="1"/>
  <c r="O26" i="1"/>
  <c r="A26" i="1" s="1"/>
  <c r="N26" i="1"/>
  <c r="N24" i="4"/>
  <c r="O24" i="4"/>
  <c r="A24" i="4" s="1"/>
  <c r="N5" i="1"/>
  <c r="O5" i="1"/>
  <c r="AA4" i="1"/>
  <c r="N5" i="150"/>
  <c r="O5" i="150"/>
  <c r="AA4" i="150"/>
  <c r="N12" i="5"/>
  <c r="A12" i="5" s="1"/>
  <c r="M12" i="5"/>
  <c r="M10" i="5"/>
  <c r="N10" i="5"/>
  <c r="A10" i="5" s="1"/>
  <c r="N6" i="150"/>
  <c r="O6" i="150"/>
  <c r="A6" i="150" s="1"/>
  <c r="N12" i="1"/>
  <c r="O12" i="1"/>
  <c r="A12" i="1" s="1"/>
  <c r="N9" i="4"/>
  <c r="O9" i="4"/>
  <c r="A9" i="4" s="1"/>
  <c r="O27" i="1"/>
  <c r="A27" i="1" s="1"/>
  <c r="N27" i="1"/>
  <c r="H4" i="50"/>
  <c r="N24" i="5"/>
  <c r="A24" i="5" s="1"/>
  <c r="M24" i="5"/>
  <c r="O8" i="150"/>
  <c r="A8" i="150" s="1"/>
  <c r="N8" i="150"/>
  <c r="N16" i="4"/>
  <c r="O16" i="4"/>
  <c r="A16" i="4" s="1"/>
  <c r="N9" i="150"/>
  <c r="O9" i="150"/>
  <c r="A9" i="150" s="1"/>
  <c r="O15" i="4"/>
  <c r="A15" i="4" s="1"/>
  <c r="N15" i="4"/>
  <c r="N25" i="1"/>
  <c r="O25" i="1"/>
  <c r="A25" i="1" s="1"/>
  <c r="N4" i="150" l="1"/>
  <c r="A5" i="4"/>
  <c r="A4" i="4" s="1"/>
  <c r="O4" i="4"/>
  <c r="O4" i="137"/>
  <c r="A5" i="137"/>
  <c r="A4" i="137" s="1"/>
  <c r="N4" i="137"/>
  <c r="M4" i="5"/>
  <c r="N4" i="4"/>
  <c r="O4" i="1"/>
  <c r="A5" i="1"/>
  <c r="A4" i="1" s="1"/>
  <c r="A5" i="150"/>
  <c r="A4" i="150" s="1"/>
  <c r="O4" i="150"/>
  <c r="N4" i="1"/>
  <c r="A5" i="5"/>
  <c r="A4" i="5" s="1"/>
  <c r="N4" i="5"/>
  <c r="E1" i="50" l="1"/>
  <c r="A1" i="50"/>
  <c r="I4" i="95"/>
  <c r="I5" i="95" s="1"/>
  <c r="D1" i="50"/>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<sst xmlns="http://schemas.openxmlformats.org/spreadsheetml/2006/main" count="1624" uniqueCount="323">
  <si>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</si>
  <si>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</si>
  <si>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</si>
  <si>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</si>
  <si>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</si>
  <si>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</si>
  <si>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</si>
  <si>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</si>
  <si>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</si>
  <si>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</si>
  <si>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</si>
  <si>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</si>
  <si>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</si>
  <si>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</si>
  <si>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</si>
  <si>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</si>
  <si>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</si>
  <si>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</si>
  <si>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</si>
  <si>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</si>
  <si>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</si>
  <si>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</si>
  <si>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</si>
  <si>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</si>
  <si>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</si>
  <si>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</si>
  <si>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</si>
  <si>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</si>
  <si>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</si>
  <si>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</si>
  <si>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</si>
  <si>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</si>
  <si>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</si>
  <si>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</si>
  <si>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</si>
  <si>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</si>
  <si>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</si>
  <si>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</si>
  <si>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</si>
  <si>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</si>
  <si>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</si>
  <si>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</si>
  <si>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</si>
  <si>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</si>
  <si>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</si>
  <si>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</si>
  <si>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</si>
  <si>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</si>
  <si>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</si>
  <si>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</si>
  <si>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</si>
  <si>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</si>
  <si>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</si>
  <si>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</si>
  <si>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</si>
  <si>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</si>
  <si>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</si>
  <si>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</si>
  <si>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</si>
  <si>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</si>
  <si>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</si>
  <si>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</si>
  <si>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</si>
  <si>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</si>
  <si>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</si>
  <si>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</si>
  <si>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</si>
  <si>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</si>
  <si>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</si>
  <si>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</si>
  <si>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</si>
  <si>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</si>
  <si>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</si>
  <si>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</si>
  <si>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</si>
  <si>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</si>
  <si>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</si>
  <si>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</si>
  <si>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</si>
  <si>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</si>
  <si>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</si>
  <si>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</si>
  <si>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</si>
  <si>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</si>
  <si>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</si>
  <si>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</si>
  <si>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</si>
  <si>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</si>
  <si>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</si>
  <si>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</si>
  <si>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</si>
  <si>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</si>
  <si>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</si>
  <si>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</si>
  <si>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</si>
  <si>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</si>
  <si>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</si>
  <si>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</si>
  <si>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</si>
  <si>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</si>
  <si>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</si>
  <si>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</si>
  <si>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</si>
  <si>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</si>
  <si>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</si>
  <si>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</si>
  <si>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</si>
  <si>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</si>
  <si>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</si>
  <si>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</si>
  <si>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</si>
  <si>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</si>
  <si>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</si>
  <si>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</si>
  <si>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</si>
  <si>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</si>
  <si>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</si>
  <si>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</si>
  <si>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</si>
  <si>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</si>
  <si>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</si>
  <si>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</si>
  <si>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</si>
  <si>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</si>
  <si>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</si>
  <si>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</si>
  <si>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</si>
  <si>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</si>
  <si>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</si>
  <si>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</si>
  <si>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</si>
  <si>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</si>
  <si>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</si>
  <si>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</si>
  <si>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</si>
  <si>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</si>
  <si>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</si>
  <si>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</si>
  <si>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</si>
  <si>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</si>
  <si>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</si>
  <si>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</si>
  <si>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</si>
  <si>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</si>
  <si>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</si>
  <si>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</si>
  <si>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</si>
  <si>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</si>
  <si>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</si>
  <si>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</si>
  <si>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</si>
  <si>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</si>
  <si>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</si>
  <si>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</si>
  <si>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</si>
  <si>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</si>
  <si>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</si>
  <si>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</si>
  <si>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</si>
  <si>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</si>
  <si>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</si>
  <si>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</si>
  <si>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</si>
  <si>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</si>
  <si>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</si>
  <si>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</si>
  <si>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</si>
  <si>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</si>
  <si>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</si>
  <si>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</si>
  <si>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</si>
  <si>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</si>
  <si>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</si>
  <si>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</si>
  <si>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</si>
  <si>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</si>
  <si>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</si>
  <si>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</si>
  <si>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</si>
  <si>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</si>
  <si>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</si>
  <si>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</si>
  <si>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</si>
  <si>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</si>
  <si>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</si>
  <si>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</si>
  <si>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</si>
  <si>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</si>
  <si>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</si>
  <si>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</si>
  <si>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</si>
  <si>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</si>
  <si>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</si>
  <si>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</si>
  <si>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</si>
  <si>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</si>
  <si>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</si>
  <si>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</si>
  <si>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</si>
  <si>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</si>
  <si>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</si>
  <si>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</si>
  <si>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</si>
  <si>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</si>
  <si>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</si>
  <si>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</si>
  <si>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</si>
  <si>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</si>
  <si>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</si>
  <si>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</si>
  <si>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</si>
  <si>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</si>
  <si>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</si>
  <si>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</si>
  <si>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</si>
  <si>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</si>
  <si>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</si>
  <si>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</si>
  <si>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</si>
  <si>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</si>
  <si>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</si>
  <si>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</si>
  <si>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</si>
  <si>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</si>
  <si>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</si>
  <si>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</si>
  <si>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</si>
  <si>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</si>
  <si>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</si>
  <si>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</si>
  <si>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</si>
  <si>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</si>
  <si>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</si>
  <si>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</si>
  <si>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</si>
  <si>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</si>
  <si>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</si>
  <si>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</si>
  <si>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</si>
  <si>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</si>
  <si>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</si>
  <si>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</si>
  <si>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</si>
  <si>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</si>
  <si>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</si>
  <si>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</si>
  <si>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</si>
  <si>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</si>
  <si>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</si>
  <si>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</si>
  <si>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</si>
  <si>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</si>
  <si>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</si>
  <si>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</si>
  <si>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</si>
  <si>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</si>
  <si>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</si>
  <si>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</si>
  <si>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</si>
  <si>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</si>
  <si>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</si>
  <si>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</si>
  <si>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</si>
  <si>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</si>
  <si>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</si>
  <si>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</si>
  <si>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</si>
  <si>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</si>
  <si>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</si>
  <si>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</si>
  <si>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</si>
  <si>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</si>
  <si>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</si>
  <si>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</si>
  <si>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</si>
  <si>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</si>
  <si>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</si>
  <si>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</si>
  <si>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</si>
  <si>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</si>
  <si>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</si>
  <si>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</si>
  <si>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</si>
  <si>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</si>
  <si>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</si>
  <si>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</si>
  <si>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</si>
  <si>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</si>
  <si>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</si>
  <si>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</si>
  <si>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</si>
  <si>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</si>
  <si>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</si>
  <si>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</si>
  <si>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</si>
  <si>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</si>
  <si>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</si>
  <si>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</si>
  <si>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</si>
  <si>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</si>
  <si>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</si>
  <si>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0-Chân To</t>
  </si>
  <si>
    <t>0-Chân Nhỏ</t>
  </si>
  <si>
    <t>G4</t>
  </si>
  <si>
    <t>MTG4</t>
  </si>
  <si>
    <t>Bị</t>
  </si>
  <si>
    <t>Hậu mãi</t>
  </si>
  <si>
    <t>???</t>
  </si>
  <si>
    <t>chi phí</t>
  </si>
  <si>
    <t/>
  </si>
  <si>
    <t>Chênh lệch giá</t>
  </si>
  <si>
    <t>T12+T01+T02+T03+T04+T05</t>
  </si>
  <si>
    <t>T01 (19-31) + T02 + T03+T04+T05</t>
  </si>
  <si>
    <t>Cô Linh (Sỉ)</t>
  </si>
  <si>
    <t>KH lẻ</t>
  </si>
  <si>
    <t>Cô Út</t>
  </si>
  <si>
    <t>Chị Trang</t>
  </si>
  <si>
    <t>Mẹ</t>
  </si>
  <si>
    <t>Chị Chi</t>
  </si>
  <si>
    <t>Chị 5</t>
  </si>
  <si>
    <t>KH Lẻ</t>
  </si>
  <si>
    <t>Mỹ Duyên</t>
  </si>
  <si>
    <t>Dì Nguyệt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</si>
</sst>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cellXfs>
  <cellStyles count="3">
    <cellStyle name="Comma [0]" xfId="1" builtinId="6"/>
    <cellStyle name="Normal" xfId="0" builtinId="0"/>
    <cellStyle name="Percent" xfId="2" builtinId="5"/>
  </cellStyles>
  <dxfs count="531">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30"/>
      <tableStyleElement type="headerRow" dxfId="52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03969" name="Button 1" hidden="1">
              <a:extLst>
                <a:ext uri="{63B3BB69-23CF-44E3-9099-C40C66FF867C}">
                  <a14:compatExt spid="_x0000_s20039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90657" name="Button 1" hidden="1">
              <a:extLst>
                <a:ext uri="{63B3BB69-23CF-44E3-9099-C40C66FF867C}">
                  <a14:compatExt spid="_x0000_s19906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89633" name="Button 1" hidden="1">
              <a:extLst>
                <a:ext uri="{63B3BB69-23CF-44E3-9099-C40C66FF867C}">
                  <a14:compatExt spid="_x0000_s19896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88609" name="Button 1" hidden="1">
              <a:extLst>
                <a:ext uri="{63B3BB69-23CF-44E3-9099-C40C66FF867C}">
                  <a14:compatExt spid="_x0000_s19886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87585" name="Button 1" hidden="1">
              <a:extLst>
                <a:ext uri="{63B3BB69-23CF-44E3-9099-C40C66FF867C}">
                  <a14:compatExt spid="_x0000_s19875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86561" name="Button 1" hidden="1">
              <a:extLst>
                <a:ext uri="{63B3BB69-23CF-44E3-9099-C40C66FF867C}">
                  <a14:compatExt spid="_x0000_s19865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85537" name="Button 1" hidden="1">
              <a:extLst>
                <a:ext uri="{63B3BB69-23CF-44E3-9099-C40C66FF867C}">
                  <a14:compatExt spid="_x0000_s19855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84513" name="Button 1" hidden="1">
              <a:extLst>
                <a:ext uri="{63B3BB69-23CF-44E3-9099-C40C66FF867C}">
                  <a14:compatExt spid="_x0000_s19845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83489" name="Button 1" hidden="1">
              <a:extLst>
                <a:ext uri="{63B3BB69-23CF-44E3-9099-C40C66FF867C}">
                  <a14:compatExt spid="_x0000_s19834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82465" name="Button 1" hidden="1">
              <a:extLst>
                <a:ext uri="{63B3BB69-23CF-44E3-9099-C40C66FF867C}">
                  <a14:compatExt spid="_x0000_s19824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81441" name="Button 1" hidden="1">
              <a:extLst>
                <a:ext uri="{63B3BB69-23CF-44E3-9099-C40C66FF867C}">
                  <a14:compatExt spid="_x0000_s19814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80417" name="Button 1" hidden="1">
              <a:extLst>
                <a:ext uri="{63B3BB69-23CF-44E3-9099-C40C66FF867C}">
                  <a14:compatExt spid="_x0000_s19804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79393" name="Button 1" hidden="1">
              <a:extLst>
                <a:ext uri="{63B3BB69-23CF-44E3-9099-C40C66FF867C}">
                  <a14:compatExt spid="_x0000_s19793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78369" name="Button 1" hidden="1">
              <a:extLst>
                <a:ext uri="{63B3BB69-23CF-44E3-9099-C40C66FF867C}">
                  <a14:compatExt spid="_x0000_s19783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97">
      <pivotArea field="3" type="button" dataOnly="0" labelOnly="1" outline="0" axis="axisRow" fieldPosition="3"/>
    </format>
    <format dxfId="49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9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9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9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9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9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9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8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8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8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8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8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8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8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8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8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8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7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7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7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7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7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7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7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7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7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7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6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6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6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6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6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6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6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6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6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6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5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5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5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5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5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5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5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5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5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5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4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4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4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4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4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4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4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4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4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4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3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3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3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3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3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3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3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3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3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2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2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2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2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2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2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2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2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2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2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1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1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1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16">
      <pivotArea field="1" type="button" dataOnly="0" labelOnly="1" outline="0" axis="axisRow" fieldPosition="2"/>
    </format>
    <format dxfId="415">
      <pivotArea dataOnly="0" labelOnly="1" outline="0" fieldPosition="0">
        <references count="1">
          <reference field="1" count="0"/>
        </references>
      </pivotArea>
    </format>
    <format dxfId="414">
      <pivotArea field="0" type="button" dataOnly="0" labelOnly="1" outline="0" axis="axisRow" fieldPosition="0"/>
    </format>
    <format dxfId="41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12">
      <pivotArea dataOnly="0" labelOnly="1" outline="0" fieldPosition="0">
        <references count="1">
          <reference field="0" count="5">
            <x v="50"/>
            <x v="51"/>
            <x v="52"/>
            <x v="53"/>
            <x v="54"/>
          </reference>
        </references>
      </pivotArea>
    </format>
    <format dxfId="411">
      <pivotArea dataOnly="0" labelOnly="1" grandRow="1" outline="0" fieldPosition="0"/>
    </format>
    <format dxfId="41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09">
      <pivotArea dataOnly="0" labelOnly="1" outline="0" fieldPosition="0">
        <references count="1">
          <reference field="0" count="5">
            <x v="50"/>
            <x v="51"/>
            <x v="52"/>
            <x v="53"/>
            <x v="54"/>
          </reference>
        </references>
      </pivotArea>
    </format>
    <format dxfId="408">
      <pivotArea dataOnly="0" labelOnly="1" grandRow="1" outline="0" fieldPosition="0"/>
    </format>
    <format dxfId="407">
      <pivotArea field="2" type="button" dataOnly="0" labelOnly="1" outline="0" axis="axisRow" fieldPosition="1"/>
    </format>
    <format dxfId="406">
      <pivotArea type="all" dataOnly="0" outline="0" fieldPosition="0"/>
    </format>
    <format dxfId="405">
      <pivotArea field="0" type="button" dataOnly="0" labelOnly="1" outline="0" axis="axisRow" fieldPosition="0"/>
    </format>
    <format dxfId="404">
      <pivotArea field="2" type="button" dataOnly="0" labelOnly="1" outline="0" axis="axisRow" fieldPosition="1"/>
    </format>
    <format dxfId="403">
      <pivotArea field="1" type="button" dataOnly="0" labelOnly="1" outline="0" axis="axisRow" fieldPosition="2"/>
    </format>
    <format dxfId="402">
      <pivotArea field="3" type="button" dataOnly="0" labelOnly="1" outline="0" axis="axisRow" fieldPosition="3"/>
    </format>
    <format dxfId="401">
      <pivotArea field="0" type="button" dataOnly="0" labelOnly="1" outline="0" axis="axisRow" fieldPosition="0"/>
    </format>
    <format dxfId="400">
      <pivotArea field="2" type="button" dataOnly="0" labelOnly="1" outline="0" axis="axisRow" fieldPosition="1"/>
    </format>
    <format dxfId="399">
      <pivotArea field="1" type="button" dataOnly="0" labelOnly="1" outline="0" axis="axisRow" fieldPosition="2"/>
    </format>
    <format dxfId="398">
      <pivotArea field="3" type="button" dataOnly="0" labelOnly="1" outline="0" axis="axisRow" fieldPosition="3"/>
    </format>
    <format dxfId="397">
      <pivotArea field="0" type="button" dataOnly="0" labelOnly="1" outline="0" axis="axisRow" fieldPosition="0"/>
    </format>
    <format dxfId="396">
      <pivotArea field="2" type="button" dataOnly="0" labelOnly="1" outline="0" axis="axisRow" fieldPosition="1"/>
    </format>
    <format dxfId="395">
      <pivotArea dataOnly="0" labelOnly="1" outline="0" fieldPosition="0">
        <references count="3">
          <reference field="0" count="1" selected="0">
            <x v="1"/>
          </reference>
          <reference field="1" count="1">
            <x v="5"/>
          </reference>
          <reference field="2" count="1" selected="0">
            <x v="1"/>
          </reference>
        </references>
      </pivotArea>
    </format>
    <format dxfId="394">
      <pivotArea dataOnly="0" labelOnly="1" outline="0" fieldPosition="0">
        <references count="3">
          <reference field="0" count="1" selected="0">
            <x v="2"/>
          </reference>
          <reference field="1" count="1">
            <x v="6"/>
          </reference>
          <reference field="2" count="1" selected="0">
            <x v="2"/>
          </reference>
        </references>
      </pivotArea>
    </format>
    <format dxfId="393">
      <pivotArea dataOnly="0" labelOnly="1" outline="0" fieldPosition="0">
        <references count="3">
          <reference field="0" count="1" selected="0">
            <x v="3"/>
          </reference>
          <reference field="1" count="1">
            <x v="31"/>
          </reference>
          <reference field="2" count="1" selected="0">
            <x v="3"/>
          </reference>
        </references>
      </pivotArea>
    </format>
    <format dxfId="392">
      <pivotArea dataOnly="0" labelOnly="1" outline="0" fieldPosition="0">
        <references count="3">
          <reference field="0" count="1" selected="0">
            <x v="4"/>
          </reference>
          <reference field="1" count="1">
            <x v="12"/>
          </reference>
          <reference field="2" count="1" selected="0">
            <x v="4"/>
          </reference>
        </references>
      </pivotArea>
    </format>
    <format dxfId="391">
      <pivotArea dataOnly="0" labelOnly="1" outline="0" fieldPosition="0">
        <references count="3">
          <reference field="0" count="1" selected="0">
            <x v="5"/>
          </reference>
          <reference field="1" count="1">
            <x v="25"/>
          </reference>
          <reference field="2" count="1" selected="0">
            <x v="5"/>
          </reference>
        </references>
      </pivotArea>
    </format>
    <format dxfId="390">
      <pivotArea dataOnly="0" labelOnly="1" outline="0" fieldPosition="0">
        <references count="3">
          <reference field="0" count="1" selected="0">
            <x v="7"/>
          </reference>
          <reference field="1" count="1">
            <x v="22"/>
          </reference>
          <reference field="2" count="1" selected="0">
            <x v="7"/>
          </reference>
        </references>
      </pivotArea>
    </format>
    <format dxfId="389">
      <pivotArea dataOnly="0" labelOnly="1" outline="0" fieldPosition="0">
        <references count="3">
          <reference field="0" count="1" selected="0">
            <x v="8"/>
          </reference>
          <reference field="1" count="1">
            <x v="21"/>
          </reference>
          <reference field="2" count="1" selected="0">
            <x v="8"/>
          </reference>
        </references>
      </pivotArea>
    </format>
    <format dxfId="388">
      <pivotArea dataOnly="0" labelOnly="1" outline="0" fieldPosition="0">
        <references count="3">
          <reference field="0" count="1" selected="0">
            <x v="9"/>
          </reference>
          <reference field="1" count="1">
            <x v="34"/>
          </reference>
          <reference field="2" count="1" selected="0">
            <x v="9"/>
          </reference>
        </references>
      </pivotArea>
    </format>
    <format dxfId="387">
      <pivotArea dataOnly="0" labelOnly="1" outline="0" fieldPosition="0">
        <references count="3">
          <reference field="0" count="1" selected="0">
            <x v="10"/>
          </reference>
          <reference field="1" count="1">
            <x v="35"/>
          </reference>
          <reference field="2" count="1" selected="0">
            <x v="10"/>
          </reference>
        </references>
      </pivotArea>
    </format>
    <format dxfId="386">
      <pivotArea dataOnly="0" labelOnly="1" outline="0" fieldPosition="0">
        <references count="3">
          <reference field="0" count="1" selected="0">
            <x v="11"/>
          </reference>
          <reference field="1" count="1">
            <x v="36"/>
          </reference>
          <reference field="2" count="1" selected="0">
            <x v="11"/>
          </reference>
        </references>
      </pivotArea>
    </format>
    <format dxfId="385">
      <pivotArea dataOnly="0" labelOnly="1" outline="0" fieldPosition="0">
        <references count="3">
          <reference field="0" count="1" selected="0">
            <x v="12"/>
          </reference>
          <reference field="1" count="1">
            <x v="37"/>
          </reference>
          <reference field="2" count="1" selected="0">
            <x v="12"/>
          </reference>
        </references>
      </pivotArea>
    </format>
    <format dxfId="384">
      <pivotArea dataOnly="0" labelOnly="1" outline="0" fieldPosition="0">
        <references count="3">
          <reference field="0" count="1" selected="0">
            <x v="13"/>
          </reference>
          <reference field="1" count="1">
            <x v="38"/>
          </reference>
          <reference field="2" count="1" selected="0">
            <x v="13"/>
          </reference>
        </references>
      </pivotArea>
    </format>
    <format dxfId="383">
      <pivotArea dataOnly="0" labelOnly="1" outline="0" fieldPosition="0">
        <references count="3">
          <reference field="0" count="1" selected="0">
            <x v="14"/>
          </reference>
          <reference field="1" count="1">
            <x v="39"/>
          </reference>
          <reference field="2" count="1" selected="0">
            <x v="14"/>
          </reference>
        </references>
      </pivotArea>
    </format>
    <format dxfId="382">
      <pivotArea dataOnly="0" labelOnly="1" outline="0" fieldPosition="0">
        <references count="3">
          <reference field="0" count="1" selected="0">
            <x v="15"/>
          </reference>
          <reference field="1" count="1">
            <x v="28"/>
          </reference>
          <reference field="2" count="1" selected="0">
            <x v="15"/>
          </reference>
        </references>
      </pivotArea>
    </format>
    <format dxfId="381">
      <pivotArea dataOnly="0" labelOnly="1" outline="0" fieldPosition="0">
        <references count="3">
          <reference field="0" count="1" selected="0">
            <x v="16"/>
          </reference>
          <reference field="1" count="1">
            <x v="29"/>
          </reference>
          <reference field="2" count="1" selected="0">
            <x v="16"/>
          </reference>
        </references>
      </pivotArea>
    </format>
    <format dxfId="380">
      <pivotArea dataOnly="0" labelOnly="1" outline="0" fieldPosition="0">
        <references count="3">
          <reference field="0" count="1" selected="0">
            <x v="17"/>
          </reference>
          <reference field="1" count="1">
            <x v="14"/>
          </reference>
          <reference field="2" count="1" selected="0">
            <x v="17"/>
          </reference>
        </references>
      </pivotArea>
    </format>
    <format dxfId="379">
      <pivotArea dataOnly="0" labelOnly="1" outline="0" fieldPosition="0">
        <references count="3">
          <reference field="0" count="1" selected="0">
            <x v="20"/>
          </reference>
          <reference field="1" count="1">
            <x v="42"/>
          </reference>
          <reference field="2" count="1" selected="0">
            <x v="20"/>
          </reference>
        </references>
      </pivotArea>
    </format>
    <format dxfId="378">
      <pivotArea dataOnly="0" labelOnly="1" outline="0" fieldPosition="0">
        <references count="3">
          <reference field="0" count="1" selected="0">
            <x v="22"/>
          </reference>
          <reference field="1" count="1">
            <x v="45"/>
          </reference>
          <reference field="2" count="1" selected="0">
            <x v="22"/>
          </reference>
        </references>
      </pivotArea>
    </format>
    <format dxfId="377">
      <pivotArea dataOnly="0" labelOnly="1" outline="0" fieldPosition="0">
        <references count="3">
          <reference field="0" count="1" selected="0">
            <x v="25"/>
          </reference>
          <reference field="1" count="1">
            <x v="10"/>
          </reference>
          <reference field="2" count="1" selected="0">
            <x v="25"/>
          </reference>
        </references>
      </pivotArea>
    </format>
    <format dxfId="376">
      <pivotArea dataOnly="0" labelOnly="1" outline="0" fieldPosition="0">
        <references count="3">
          <reference field="0" count="1" selected="0">
            <x v="28"/>
          </reference>
          <reference field="1" count="1">
            <x v="8"/>
          </reference>
          <reference field="2" count="1" selected="0">
            <x v="28"/>
          </reference>
        </references>
      </pivotArea>
    </format>
    <format dxfId="375">
      <pivotArea dataOnly="0" labelOnly="1" outline="0" fieldPosition="0">
        <references count="3">
          <reference field="0" count="1" selected="0">
            <x v="29"/>
          </reference>
          <reference field="1" count="1">
            <x v="9"/>
          </reference>
          <reference field="2" count="1" selected="0">
            <x v="29"/>
          </reference>
        </references>
      </pivotArea>
    </format>
    <format dxfId="374">
      <pivotArea dataOnly="0" labelOnly="1" outline="0" fieldPosition="0">
        <references count="3">
          <reference field="0" count="1" selected="0">
            <x v="30"/>
          </reference>
          <reference field="1" count="1">
            <x v="7"/>
          </reference>
          <reference field="2" count="1" selected="0">
            <x v="30"/>
          </reference>
        </references>
      </pivotArea>
    </format>
    <format dxfId="373">
      <pivotArea dataOnly="0" labelOnly="1" outline="0" fieldPosition="0">
        <references count="3">
          <reference field="0" count="1" selected="0">
            <x v="31"/>
          </reference>
          <reference field="1" count="1">
            <x v="32"/>
          </reference>
          <reference field="2" count="1" selected="0">
            <x v="31"/>
          </reference>
        </references>
      </pivotArea>
    </format>
    <format dxfId="372">
      <pivotArea dataOnly="0" labelOnly="1" outline="0" fieldPosition="0">
        <references count="3">
          <reference field="0" count="1" selected="0">
            <x v="32"/>
          </reference>
          <reference field="1" count="1">
            <x v="33"/>
          </reference>
          <reference field="2" count="1" selected="0">
            <x v="32"/>
          </reference>
        </references>
      </pivotArea>
    </format>
    <format dxfId="371">
      <pivotArea dataOnly="0" labelOnly="1" outline="0" fieldPosition="0">
        <references count="3">
          <reference field="0" count="1" selected="0">
            <x v="33"/>
          </reference>
          <reference field="1" count="1">
            <x v="3"/>
          </reference>
          <reference field="2" count="1" selected="0">
            <x v="33"/>
          </reference>
        </references>
      </pivotArea>
    </format>
    <format dxfId="370">
      <pivotArea dataOnly="0" labelOnly="1" outline="0" fieldPosition="0">
        <references count="3">
          <reference field="0" count="1" selected="0">
            <x v="34"/>
          </reference>
          <reference field="1" count="1">
            <x v="4"/>
          </reference>
          <reference field="2" count="1" selected="0">
            <x v="34"/>
          </reference>
        </references>
      </pivotArea>
    </format>
    <format dxfId="369">
      <pivotArea dataOnly="0" labelOnly="1" outline="0" fieldPosition="0">
        <references count="3">
          <reference field="0" count="1" selected="0">
            <x v="35"/>
          </reference>
          <reference field="1" count="1">
            <x v="40"/>
          </reference>
          <reference field="2" count="1" selected="0">
            <x v="35"/>
          </reference>
        </references>
      </pivotArea>
    </format>
    <format dxfId="368">
      <pivotArea dataOnly="0" labelOnly="1" outline="0" fieldPosition="0">
        <references count="3">
          <reference field="0" count="1" selected="0">
            <x v="36"/>
          </reference>
          <reference field="1" count="1">
            <x v="41"/>
          </reference>
          <reference field="2" count="1" selected="0">
            <x v="36"/>
          </reference>
        </references>
      </pivotArea>
    </format>
    <format dxfId="367">
      <pivotArea dataOnly="0" labelOnly="1" outline="0" fieldPosition="0">
        <references count="3">
          <reference field="0" count="1" selected="0">
            <x v="37"/>
          </reference>
          <reference field="1" count="1">
            <x v="43"/>
          </reference>
          <reference field="2" count="1" selected="0">
            <x v="37"/>
          </reference>
        </references>
      </pivotArea>
    </format>
    <format dxfId="366">
      <pivotArea dataOnly="0" labelOnly="1" outline="0" fieldPosition="0">
        <references count="3">
          <reference field="0" count="1" selected="0">
            <x v="38"/>
          </reference>
          <reference field="1" count="1">
            <x v="44"/>
          </reference>
          <reference field="2" count="1" selected="0">
            <x v="38"/>
          </reference>
        </references>
      </pivotArea>
    </format>
    <format dxfId="365">
      <pivotArea dataOnly="0" labelOnly="1" outline="0" fieldPosition="0">
        <references count="3">
          <reference field="0" count="1" selected="0">
            <x v="39"/>
          </reference>
          <reference field="1" count="1">
            <x v="26"/>
          </reference>
          <reference field="2" count="1" selected="0">
            <x v="39"/>
          </reference>
        </references>
      </pivotArea>
    </format>
    <format dxfId="364">
      <pivotArea dataOnly="0" labelOnly="1" outline="0" fieldPosition="0">
        <references count="3">
          <reference field="0" count="1" selected="0">
            <x v="40"/>
          </reference>
          <reference field="1" count="1">
            <x v="23"/>
          </reference>
          <reference field="2" count="1" selected="0">
            <x v="40"/>
          </reference>
        </references>
      </pivotArea>
    </format>
    <format dxfId="363">
      <pivotArea dataOnly="0" labelOnly="1" outline="0" fieldPosition="0">
        <references count="3">
          <reference field="0" count="1" selected="0">
            <x v="43"/>
          </reference>
          <reference field="1" count="1">
            <x v="16"/>
          </reference>
          <reference field="2" count="1" selected="0">
            <x v="42"/>
          </reference>
        </references>
      </pivotArea>
    </format>
    <format dxfId="362">
      <pivotArea dataOnly="0" labelOnly="1" outline="0" fieldPosition="0">
        <references count="3">
          <reference field="0" count="1" selected="0">
            <x v="44"/>
          </reference>
          <reference field="1" count="1">
            <x v="17"/>
          </reference>
          <reference field="2" count="1" selected="0">
            <x v="43"/>
          </reference>
        </references>
      </pivotArea>
    </format>
    <format dxfId="361">
      <pivotArea dataOnly="0" labelOnly="1" outline="0" fieldPosition="0">
        <references count="3">
          <reference field="0" count="1" selected="0">
            <x v="45"/>
          </reference>
          <reference field="1" count="1">
            <x v="18"/>
          </reference>
          <reference field="2" count="1" selected="0">
            <x v="44"/>
          </reference>
        </references>
      </pivotArea>
    </format>
    <format dxfId="360">
      <pivotArea dataOnly="0" labelOnly="1" outline="0" fieldPosition="0">
        <references count="3">
          <reference field="0" count="1" selected="0">
            <x v="47"/>
          </reference>
          <reference field="1" count="1">
            <x v="13"/>
          </reference>
          <reference field="2" count="1" selected="0">
            <x v="46"/>
          </reference>
        </references>
      </pivotArea>
    </format>
    <format dxfId="359">
      <pivotArea dataOnly="0" labelOnly="1" outline="0" fieldPosition="0">
        <references count="3">
          <reference field="0" count="1" selected="0">
            <x v="49"/>
          </reference>
          <reference field="1" count="1">
            <x v="0"/>
          </reference>
          <reference field="2" count="1" selected="0">
            <x v="48"/>
          </reference>
        </references>
      </pivotArea>
    </format>
    <format dxfId="358">
      <pivotArea dataOnly="0" labelOnly="1" outline="0" fieldPosition="0">
        <references count="3">
          <reference field="0" count="1" selected="0">
            <x v="50"/>
          </reference>
          <reference field="1" count="1">
            <x v="27"/>
          </reference>
          <reference field="2" count="1" selected="0">
            <x v="49"/>
          </reference>
        </references>
      </pivotArea>
    </format>
    <format dxfId="357">
      <pivotArea dataOnly="0" labelOnly="1" outline="0" fieldPosition="0">
        <references count="3">
          <reference field="0" count="1" selected="0">
            <x v="51"/>
          </reference>
          <reference field="1" count="1">
            <x v="11"/>
          </reference>
          <reference field="2" count="1" selected="0">
            <x v="50"/>
          </reference>
        </references>
      </pivotArea>
    </format>
    <format dxfId="356">
      <pivotArea dataOnly="0" labelOnly="1" outline="0" fieldPosition="0">
        <references count="3">
          <reference field="0" count="1" selected="0">
            <x v="52"/>
          </reference>
          <reference field="1" count="1">
            <x v="2"/>
          </reference>
          <reference field="2" count="1" selected="0">
            <x v="51"/>
          </reference>
        </references>
      </pivotArea>
    </format>
    <format dxfId="355">
      <pivotArea dataOnly="0" labelOnly="1" outline="0" fieldPosition="0">
        <references count="3">
          <reference field="0" count="1" selected="0">
            <x v="53"/>
          </reference>
          <reference field="1" count="1">
            <x v="1"/>
          </reference>
          <reference field="2" count="1" selected="0">
            <x v="52"/>
          </reference>
        </references>
      </pivotArea>
    </format>
    <format dxfId="354">
      <pivotArea dataOnly="0" labelOnly="1" outline="0" fieldPosition="0">
        <references count="3">
          <reference field="0" count="1" selected="0">
            <x v="54"/>
          </reference>
          <reference field="1" count="1">
            <x v="24"/>
          </reference>
          <reference field="2" count="1" selected="0">
            <x v="53"/>
          </reference>
        </references>
      </pivotArea>
    </format>
    <format dxfId="35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5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5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5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4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4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4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4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4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4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4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4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4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4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3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3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3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3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3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3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3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3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3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3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2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2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2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2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2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2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2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2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2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2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1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1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1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1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1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1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1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12">
      <pivotArea dataOnly="0" labelOnly="1" outline="0" fieldPosition="0">
        <references count="1">
          <reference field="0" count="5">
            <x v="50"/>
            <x v="51"/>
            <x v="52"/>
            <x v="53"/>
            <x v="54"/>
          </reference>
        </references>
      </pivotArea>
    </format>
    <format dxfId="311">
      <pivotArea dataOnly="0" labelOnly="1" outline="0" fieldPosition="0">
        <references count="2">
          <reference field="0" count="1" selected="0">
            <x v="0"/>
          </reference>
          <reference field="2" count="1">
            <x v="0"/>
          </reference>
        </references>
      </pivotArea>
    </format>
    <format dxfId="310">
      <pivotArea dataOnly="0" labelOnly="1" outline="0" fieldPosition="0">
        <references count="2">
          <reference field="0" count="1" selected="0">
            <x v="1"/>
          </reference>
          <reference field="2" count="1">
            <x v="1"/>
          </reference>
        </references>
      </pivotArea>
    </format>
    <format dxfId="309">
      <pivotArea dataOnly="0" labelOnly="1" outline="0" fieldPosition="0">
        <references count="2">
          <reference field="0" count="1" selected="0">
            <x v="2"/>
          </reference>
          <reference field="2" count="1">
            <x v="2"/>
          </reference>
        </references>
      </pivotArea>
    </format>
    <format dxfId="308">
      <pivotArea dataOnly="0" labelOnly="1" outline="0" fieldPosition="0">
        <references count="2">
          <reference field="0" count="1" selected="0">
            <x v="3"/>
          </reference>
          <reference field="2" count="1">
            <x v="3"/>
          </reference>
        </references>
      </pivotArea>
    </format>
    <format dxfId="307">
      <pivotArea dataOnly="0" labelOnly="1" outline="0" fieldPosition="0">
        <references count="2">
          <reference field="0" count="1" selected="0">
            <x v="4"/>
          </reference>
          <reference field="2" count="1">
            <x v="4"/>
          </reference>
        </references>
      </pivotArea>
    </format>
    <format dxfId="306">
      <pivotArea dataOnly="0" labelOnly="1" outline="0" fieldPosition="0">
        <references count="2">
          <reference field="0" count="1" selected="0">
            <x v="5"/>
          </reference>
          <reference field="2" count="1">
            <x v="5"/>
          </reference>
        </references>
      </pivotArea>
    </format>
    <format dxfId="305">
      <pivotArea dataOnly="0" labelOnly="1" outline="0" fieldPosition="0">
        <references count="2">
          <reference field="0" count="1" selected="0">
            <x v="6"/>
          </reference>
          <reference field="2" count="1">
            <x v="6"/>
          </reference>
        </references>
      </pivotArea>
    </format>
    <format dxfId="304">
      <pivotArea dataOnly="0" labelOnly="1" outline="0" fieldPosition="0">
        <references count="2">
          <reference field="0" count="1" selected="0">
            <x v="7"/>
          </reference>
          <reference field="2" count="1">
            <x v="7"/>
          </reference>
        </references>
      </pivotArea>
    </format>
    <format dxfId="303">
      <pivotArea dataOnly="0" labelOnly="1" outline="0" fieldPosition="0">
        <references count="2">
          <reference field="0" count="1" selected="0">
            <x v="8"/>
          </reference>
          <reference field="2" count="1">
            <x v="8"/>
          </reference>
        </references>
      </pivotArea>
    </format>
    <format dxfId="302">
      <pivotArea dataOnly="0" labelOnly="1" outline="0" fieldPosition="0">
        <references count="2">
          <reference field="0" count="1" selected="0">
            <x v="9"/>
          </reference>
          <reference field="2" count="1">
            <x v="9"/>
          </reference>
        </references>
      </pivotArea>
    </format>
    <format dxfId="301">
      <pivotArea dataOnly="0" labelOnly="1" outline="0" fieldPosition="0">
        <references count="2">
          <reference field="0" count="1" selected="0">
            <x v="10"/>
          </reference>
          <reference field="2" count="1">
            <x v="10"/>
          </reference>
        </references>
      </pivotArea>
    </format>
    <format dxfId="300">
      <pivotArea dataOnly="0" labelOnly="1" outline="0" fieldPosition="0">
        <references count="2">
          <reference field="0" count="1" selected="0">
            <x v="11"/>
          </reference>
          <reference field="2" count="1">
            <x v="11"/>
          </reference>
        </references>
      </pivotArea>
    </format>
    <format dxfId="299">
      <pivotArea dataOnly="0" labelOnly="1" outline="0" fieldPosition="0">
        <references count="2">
          <reference field="0" count="1" selected="0">
            <x v="12"/>
          </reference>
          <reference field="2" count="1">
            <x v="12"/>
          </reference>
        </references>
      </pivotArea>
    </format>
    <format dxfId="298">
      <pivotArea dataOnly="0" labelOnly="1" outline="0" fieldPosition="0">
        <references count="2">
          <reference field="0" count="1" selected="0">
            <x v="13"/>
          </reference>
          <reference field="2" count="1">
            <x v="13"/>
          </reference>
        </references>
      </pivotArea>
    </format>
    <format dxfId="297">
      <pivotArea dataOnly="0" labelOnly="1" outline="0" fieldPosition="0">
        <references count="2">
          <reference field="0" count="1" selected="0">
            <x v="14"/>
          </reference>
          <reference field="2" count="1">
            <x v="14"/>
          </reference>
        </references>
      </pivotArea>
    </format>
    <format dxfId="296">
      <pivotArea dataOnly="0" labelOnly="1" outline="0" fieldPosition="0">
        <references count="2">
          <reference field="0" count="1" selected="0">
            <x v="15"/>
          </reference>
          <reference field="2" count="1">
            <x v="15"/>
          </reference>
        </references>
      </pivotArea>
    </format>
    <format dxfId="295">
      <pivotArea dataOnly="0" labelOnly="1" outline="0" fieldPosition="0">
        <references count="2">
          <reference field="0" count="1" selected="0">
            <x v="16"/>
          </reference>
          <reference field="2" count="1">
            <x v="16"/>
          </reference>
        </references>
      </pivotArea>
    </format>
    <format dxfId="294">
      <pivotArea dataOnly="0" labelOnly="1" outline="0" fieldPosition="0">
        <references count="2">
          <reference field="0" count="1" selected="0">
            <x v="17"/>
          </reference>
          <reference field="2" count="1">
            <x v="17"/>
          </reference>
        </references>
      </pivotArea>
    </format>
    <format dxfId="293">
      <pivotArea dataOnly="0" labelOnly="1" outline="0" fieldPosition="0">
        <references count="2">
          <reference field="0" count="1" selected="0">
            <x v="18"/>
          </reference>
          <reference field="2" count="1">
            <x v="18"/>
          </reference>
        </references>
      </pivotArea>
    </format>
    <format dxfId="292">
      <pivotArea dataOnly="0" labelOnly="1" outline="0" fieldPosition="0">
        <references count="2">
          <reference field="0" count="1" selected="0">
            <x v="19"/>
          </reference>
          <reference field="2" count="1">
            <x v="19"/>
          </reference>
        </references>
      </pivotArea>
    </format>
    <format dxfId="291">
      <pivotArea dataOnly="0" labelOnly="1" outline="0" fieldPosition="0">
        <references count="2">
          <reference field="0" count="1" selected="0">
            <x v="20"/>
          </reference>
          <reference field="2" count="1">
            <x v="20"/>
          </reference>
        </references>
      </pivotArea>
    </format>
    <format dxfId="290">
      <pivotArea dataOnly="0" labelOnly="1" outline="0" fieldPosition="0">
        <references count="2">
          <reference field="0" count="1" selected="0">
            <x v="21"/>
          </reference>
          <reference field="2" count="1">
            <x v="21"/>
          </reference>
        </references>
      </pivotArea>
    </format>
    <format dxfId="289">
      <pivotArea dataOnly="0" labelOnly="1" outline="0" fieldPosition="0">
        <references count="2">
          <reference field="0" count="1" selected="0">
            <x v="22"/>
          </reference>
          <reference field="2" count="1">
            <x v="22"/>
          </reference>
        </references>
      </pivotArea>
    </format>
    <format dxfId="288">
      <pivotArea dataOnly="0" labelOnly="1" outline="0" fieldPosition="0">
        <references count="2">
          <reference field="0" count="1" selected="0">
            <x v="23"/>
          </reference>
          <reference field="2" count="1">
            <x v="23"/>
          </reference>
        </references>
      </pivotArea>
    </format>
    <format dxfId="287">
      <pivotArea dataOnly="0" labelOnly="1" outline="0" fieldPosition="0">
        <references count="2">
          <reference field="0" count="1" selected="0">
            <x v="24"/>
          </reference>
          <reference field="2" count="1">
            <x v="24"/>
          </reference>
        </references>
      </pivotArea>
    </format>
    <format dxfId="286">
      <pivotArea dataOnly="0" labelOnly="1" outline="0" fieldPosition="0">
        <references count="2">
          <reference field="0" count="1" selected="0">
            <x v="25"/>
          </reference>
          <reference field="2" count="1">
            <x v="25"/>
          </reference>
        </references>
      </pivotArea>
    </format>
    <format dxfId="285">
      <pivotArea dataOnly="0" labelOnly="1" outline="0" fieldPosition="0">
        <references count="2">
          <reference field="0" count="1" selected="0">
            <x v="26"/>
          </reference>
          <reference field="2" count="1">
            <x v="26"/>
          </reference>
        </references>
      </pivotArea>
    </format>
    <format dxfId="284">
      <pivotArea dataOnly="0" labelOnly="1" outline="0" fieldPosition="0">
        <references count="2">
          <reference field="0" count="1" selected="0">
            <x v="27"/>
          </reference>
          <reference field="2" count="1">
            <x v="27"/>
          </reference>
        </references>
      </pivotArea>
    </format>
    <format dxfId="283">
      <pivotArea dataOnly="0" labelOnly="1" outline="0" fieldPosition="0">
        <references count="2">
          <reference field="0" count="1" selected="0">
            <x v="28"/>
          </reference>
          <reference field="2" count="1">
            <x v="28"/>
          </reference>
        </references>
      </pivotArea>
    </format>
    <format dxfId="282">
      <pivotArea dataOnly="0" labelOnly="1" outline="0" fieldPosition="0">
        <references count="2">
          <reference field="0" count="1" selected="0">
            <x v="29"/>
          </reference>
          <reference field="2" count="1">
            <x v="29"/>
          </reference>
        </references>
      </pivotArea>
    </format>
    <format dxfId="281">
      <pivotArea dataOnly="0" labelOnly="1" outline="0" fieldPosition="0">
        <references count="2">
          <reference field="0" count="1" selected="0">
            <x v="30"/>
          </reference>
          <reference field="2" count="1">
            <x v="30"/>
          </reference>
        </references>
      </pivotArea>
    </format>
    <format dxfId="280">
      <pivotArea dataOnly="0" labelOnly="1" outline="0" fieldPosition="0">
        <references count="2">
          <reference field="0" count="1" selected="0">
            <x v="31"/>
          </reference>
          <reference field="2" count="1">
            <x v="31"/>
          </reference>
        </references>
      </pivotArea>
    </format>
    <format dxfId="279">
      <pivotArea dataOnly="0" labelOnly="1" outline="0" fieldPosition="0">
        <references count="2">
          <reference field="0" count="1" selected="0">
            <x v="32"/>
          </reference>
          <reference field="2" count="1">
            <x v="32"/>
          </reference>
        </references>
      </pivotArea>
    </format>
    <format dxfId="278">
      <pivotArea dataOnly="0" labelOnly="1" outline="0" fieldPosition="0">
        <references count="2">
          <reference field="0" count="1" selected="0">
            <x v="33"/>
          </reference>
          <reference field="2" count="1">
            <x v="33"/>
          </reference>
        </references>
      </pivotArea>
    </format>
    <format dxfId="277">
      <pivotArea dataOnly="0" labelOnly="1" outline="0" fieldPosition="0">
        <references count="2">
          <reference field="0" count="1" selected="0">
            <x v="34"/>
          </reference>
          <reference field="2" count="1">
            <x v="34"/>
          </reference>
        </references>
      </pivotArea>
    </format>
    <format dxfId="276">
      <pivotArea dataOnly="0" labelOnly="1" outline="0" fieldPosition="0">
        <references count="2">
          <reference field="0" count="1" selected="0">
            <x v="35"/>
          </reference>
          <reference field="2" count="1">
            <x v="35"/>
          </reference>
        </references>
      </pivotArea>
    </format>
    <format dxfId="275">
      <pivotArea dataOnly="0" labelOnly="1" outline="0" fieldPosition="0">
        <references count="2">
          <reference field="0" count="1" selected="0">
            <x v="36"/>
          </reference>
          <reference field="2" count="1">
            <x v="36"/>
          </reference>
        </references>
      </pivotArea>
    </format>
    <format dxfId="274">
      <pivotArea dataOnly="0" labelOnly="1" outline="0" fieldPosition="0">
        <references count="2">
          <reference field="0" count="1" selected="0">
            <x v="37"/>
          </reference>
          <reference field="2" count="1">
            <x v="37"/>
          </reference>
        </references>
      </pivotArea>
    </format>
    <format dxfId="273">
      <pivotArea dataOnly="0" labelOnly="1" outline="0" fieldPosition="0">
        <references count="2">
          <reference field="0" count="1" selected="0">
            <x v="38"/>
          </reference>
          <reference field="2" count="1">
            <x v="38"/>
          </reference>
        </references>
      </pivotArea>
    </format>
    <format dxfId="272">
      <pivotArea dataOnly="0" labelOnly="1" outline="0" fieldPosition="0">
        <references count="2">
          <reference field="0" count="1" selected="0">
            <x v="39"/>
          </reference>
          <reference field="2" count="1">
            <x v="39"/>
          </reference>
        </references>
      </pivotArea>
    </format>
    <format dxfId="271">
      <pivotArea dataOnly="0" labelOnly="1" outline="0" fieldPosition="0">
        <references count="2">
          <reference field="0" count="1" selected="0">
            <x v="40"/>
          </reference>
          <reference field="2" count="1">
            <x v="40"/>
          </reference>
        </references>
      </pivotArea>
    </format>
    <format dxfId="270">
      <pivotArea dataOnly="0" labelOnly="1" outline="0" fieldPosition="0">
        <references count="2">
          <reference field="0" count="1" selected="0">
            <x v="42"/>
          </reference>
          <reference field="2" count="1">
            <x v="41"/>
          </reference>
        </references>
      </pivotArea>
    </format>
    <format dxfId="269">
      <pivotArea dataOnly="0" labelOnly="1" outline="0" fieldPosition="0">
        <references count="2">
          <reference field="0" count="1" selected="0">
            <x v="43"/>
          </reference>
          <reference field="2" count="1">
            <x v="42"/>
          </reference>
        </references>
      </pivotArea>
    </format>
    <format dxfId="268">
      <pivotArea dataOnly="0" labelOnly="1" outline="0" fieldPosition="0">
        <references count="2">
          <reference field="0" count="1" selected="0">
            <x v="44"/>
          </reference>
          <reference field="2" count="1">
            <x v="43"/>
          </reference>
        </references>
      </pivotArea>
    </format>
    <format dxfId="267">
      <pivotArea dataOnly="0" labelOnly="1" outline="0" fieldPosition="0">
        <references count="2">
          <reference field="0" count="1" selected="0">
            <x v="45"/>
          </reference>
          <reference field="2" count="1">
            <x v="44"/>
          </reference>
        </references>
      </pivotArea>
    </format>
    <format dxfId="266">
      <pivotArea dataOnly="0" labelOnly="1" outline="0" fieldPosition="0">
        <references count="2">
          <reference field="0" count="1" selected="0">
            <x v="46"/>
          </reference>
          <reference field="2" count="1">
            <x v="45"/>
          </reference>
        </references>
      </pivotArea>
    </format>
    <format dxfId="265">
      <pivotArea dataOnly="0" labelOnly="1" outline="0" fieldPosition="0">
        <references count="2">
          <reference field="0" count="1" selected="0">
            <x v="47"/>
          </reference>
          <reference field="2" count="1">
            <x v="46"/>
          </reference>
        </references>
      </pivotArea>
    </format>
    <format dxfId="264">
      <pivotArea dataOnly="0" labelOnly="1" outline="0" fieldPosition="0">
        <references count="2">
          <reference field="0" count="1" selected="0">
            <x v="48"/>
          </reference>
          <reference field="2" count="1">
            <x v="47"/>
          </reference>
        </references>
      </pivotArea>
    </format>
    <format dxfId="263">
      <pivotArea dataOnly="0" labelOnly="1" outline="0" fieldPosition="0">
        <references count="2">
          <reference field="0" count="1" selected="0">
            <x v="49"/>
          </reference>
          <reference field="2" count="1">
            <x v="48"/>
          </reference>
        </references>
      </pivotArea>
    </format>
    <format dxfId="262">
      <pivotArea dataOnly="0" labelOnly="1" outline="0" fieldPosition="0">
        <references count="2">
          <reference field="0" count="1" selected="0">
            <x v="50"/>
          </reference>
          <reference field="2" count="1">
            <x v="49"/>
          </reference>
        </references>
      </pivotArea>
    </format>
    <format dxfId="261">
      <pivotArea dataOnly="0" labelOnly="1" outline="0" fieldPosition="0">
        <references count="2">
          <reference field="0" count="1" selected="0">
            <x v="51"/>
          </reference>
          <reference field="2" count="1">
            <x v="50"/>
          </reference>
        </references>
      </pivotArea>
    </format>
    <format dxfId="260">
      <pivotArea dataOnly="0" labelOnly="1" outline="0" fieldPosition="0">
        <references count="2">
          <reference field="0" count="1" selected="0">
            <x v="52"/>
          </reference>
          <reference field="2" count="1">
            <x v="51"/>
          </reference>
        </references>
      </pivotArea>
    </format>
    <format dxfId="259">
      <pivotArea dataOnly="0" labelOnly="1" outline="0" fieldPosition="0">
        <references count="2">
          <reference field="0" count="1" selected="0">
            <x v="53"/>
          </reference>
          <reference field="2" count="1">
            <x v="52"/>
          </reference>
        </references>
      </pivotArea>
    </format>
    <format dxfId="258">
      <pivotArea dataOnly="0" labelOnly="1" outline="0" fieldPosition="0">
        <references count="2">
          <reference field="0" count="1" selected="0">
            <x v="54"/>
          </reference>
          <reference field="2" count="1">
            <x v="53"/>
          </reference>
        </references>
      </pivotArea>
    </format>
    <format dxfId="257">
      <pivotArea dataOnly="0" labelOnly="1" outline="0" fieldPosition="0">
        <references count="3">
          <reference field="0" count="1" selected="0">
            <x v="1"/>
          </reference>
          <reference field="1" count="1">
            <x v="5"/>
          </reference>
          <reference field="2" count="1" selected="0">
            <x v="1"/>
          </reference>
        </references>
      </pivotArea>
    </format>
    <format dxfId="256">
      <pivotArea dataOnly="0" labelOnly="1" outline="0" fieldPosition="0">
        <references count="3">
          <reference field="0" count="1" selected="0">
            <x v="2"/>
          </reference>
          <reference field="1" count="1">
            <x v="6"/>
          </reference>
          <reference field="2" count="1" selected="0">
            <x v="2"/>
          </reference>
        </references>
      </pivotArea>
    </format>
    <format dxfId="255">
      <pivotArea dataOnly="0" labelOnly="1" outline="0" fieldPosition="0">
        <references count="3">
          <reference field="0" count="1" selected="0">
            <x v="3"/>
          </reference>
          <reference field="1" count="1">
            <x v="31"/>
          </reference>
          <reference field="2" count="1" selected="0">
            <x v="3"/>
          </reference>
        </references>
      </pivotArea>
    </format>
    <format dxfId="254">
      <pivotArea dataOnly="0" labelOnly="1" outline="0" fieldPosition="0">
        <references count="3">
          <reference field="0" count="1" selected="0">
            <x v="4"/>
          </reference>
          <reference field="1" count="1">
            <x v="12"/>
          </reference>
          <reference field="2" count="1" selected="0">
            <x v="4"/>
          </reference>
        </references>
      </pivotArea>
    </format>
    <format dxfId="253">
      <pivotArea dataOnly="0" labelOnly="1" outline="0" fieldPosition="0">
        <references count="3">
          <reference field="0" count="1" selected="0">
            <x v="5"/>
          </reference>
          <reference field="1" count="1">
            <x v="25"/>
          </reference>
          <reference field="2" count="1" selected="0">
            <x v="5"/>
          </reference>
        </references>
      </pivotArea>
    </format>
    <format dxfId="252">
      <pivotArea dataOnly="0" labelOnly="1" outline="0" fieldPosition="0">
        <references count="3">
          <reference field="0" count="1" selected="0">
            <x v="7"/>
          </reference>
          <reference field="1" count="1">
            <x v="22"/>
          </reference>
          <reference field="2" count="1" selected="0">
            <x v="7"/>
          </reference>
        </references>
      </pivotArea>
    </format>
    <format dxfId="251">
      <pivotArea dataOnly="0" labelOnly="1" outline="0" fieldPosition="0">
        <references count="3">
          <reference field="0" count="1" selected="0">
            <x v="8"/>
          </reference>
          <reference field="1" count="1">
            <x v="21"/>
          </reference>
          <reference field="2" count="1" selected="0">
            <x v="8"/>
          </reference>
        </references>
      </pivotArea>
    </format>
    <format dxfId="250">
      <pivotArea dataOnly="0" labelOnly="1" outline="0" fieldPosition="0">
        <references count="3">
          <reference field="0" count="1" selected="0">
            <x v="9"/>
          </reference>
          <reference field="1" count="1">
            <x v="34"/>
          </reference>
          <reference field="2" count="1" selected="0">
            <x v="9"/>
          </reference>
        </references>
      </pivotArea>
    </format>
    <format dxfId="249">
      <pivotArea dataOnly="0" labelOnly="1" outline="0" fieldPosition="0">
        <references count="3">
          <reference field="0" count="1" selected="0">
            <x v="10"/>
          </reference>
          <reference field="1" count="1">
            <x v="35"/>
          </reference>
          <reference field="2" count="1" selected="0">
            <x v="10"/>
          </reference>
        </references>
      </pivotArea>
    </format>
    <format dxfId="248">
      <pivotArea dataOnly="0" labelOnly="1" outline="0" fieldPosition="0">
        <references count="3">
          <reference field="0" count="1" selected="0">
            <x v="11"/>
          </reference>
          <reference field="1" count="1">
            <x v="36"/>
          </reference>
          <reference field="2" count="1" selected="0">
            <x v="11"/>
          </reference>
        </references>
      </pivotArea>
    </format>
    <format dxfId="247">
      <pivotArea dataOnly="0" labelOnly="1" outline="0" fieldPosition="0">
        <references count="3">
          <reference field="0" count="1" selected="0">
            <x v="12"/>
          </reference>
          <reference field="1" count="1">
            <x v="37"/>
          </reference>
          <reference field="2" count="1" selected="0">
            <x v="12"/>
          </reference>
        </references>
      </pivotArea>
    </format>
    <format dxfId="246">
      <pivotArea dataOnly="0" labelOnly="1" outline="0" fieldPosition="0">
        <references count="3">
          <reference field="0" count="1" selected="0">
            <x v="13"/>
          </reference>
          <reference field="1" count="1">
            <x v="38"/>
          </reference>
          <reference field="2" count="1" selected="0">
            <x v="13"/>
          </reference>
        </references>
      </pivotArea>
    </format>
    <format dxfId="245">
      <pivotArea dataOnly="0" labelOnly="1" outline="0" fieldPosition="0">
        <references count="3">
          <reference field="0" count="1" selected="0">
            <x v="14"/>
          </reference>
          <reference field="1" count="1">
            <x v="39"/>
          </reference>
          <reference field="2" count="1" selected="0">
            <x v="14"/>
          </reference>
        </references>
      </pivotArea>
    </format>
    <format dxfId="244">
      <pivotArea dataOnly="0" labelOnly="1" outline="0" fieldPosition="0">
        <references count="3">
          <reference field="0" count="1" selected="0">
            <x v="15"/>
          </reference>
          <reference field="1" count="1">
            <x v="28"/>
          </reference>
          <reference field="2" count="1" selected="0">
            <x v="15"/>
          </reference>
        </references>
      </pivotArea>
    </format>
    <format dxfId="243">
      <pivotArea dataOnly="0" labelOnly="1" outline="0" fieldPosition="0">
        <references count="3">
          <reference field="0" count="1" selected="0">
            <x v="16"/>
          </reference>
          <reference field="1" count="1">
            <x v="29"/>
          </reference>
          <reference field="2" count="1" selected="0">
            <x v="16"/>
          </reference>
        </references>
      </pivotArea>
    </format>
    <format dxfId="242">
      <pivotArea dataOnly="0" labelOnly="1" outline="0" fieldPosition="0">
        <references count="3">
          <reference field="0" count="1" selected="0">
            <x v="17"/>
          </reference>
          <reference field="1" count="1">
            <x v="14"/>
          </reference>
          <reference field="2" count="1" selected="0">
            <x v="17"/>
          </reference>
        </references>
      </pivotArea>
    </format>
    <format dxfId="241">
      <pivotArea dataOnly="0" labelOnly="1" outline="0" fieldPosition="0">
        <references count="3">
          <reference field="0" count="1" selected="0">
            <x v="20"/>
          </reference>
          <reference field="1" count="1">
            <x v="42"/>
          </reference>
          <reference field="2" count="1" selected="0">
            <x v="20"/>
          </reference>
        </references>
      </pivotArea>
    </format>
    <format dxfId="240">
      <pivotArea dataOnly="0" labelOnly="1" outline="0" fieldPosition="0">
        <references count="3">
          <reference field="0" count="1" selected="0">
            <x v="22"/>
          </reference>
          <reference field="1" count="1">
            <x v="45"/>
          </reference>
          <reference field="2" count="1" selected="0">
            <x v="22"/>
          </reference>
        </references>
      </pivotArea>
    </format>
    <format dxfId="239">
      <pivotArea dataOnly="0" labelOnly="1" outline="0" fieldPosition="0">
        <references count="3">
          <reference field="0" count="1" selected="0">
            <x v="25"/>
          </reference>
          <reference field="1" count="1">
            <x v="10"/>
          </reference>
          <reference field="2" count="1" selected="0">
            <x v="25"/>
          </reference>
        </references>
      </pivotArea>
    </format>
    <format dxfId="238">
      <pivotArea dataOnly="0" labelOnly="1" outline="0" fieldPosition="0">
        <references count="3">
          <reference field="0" count="1" selected="0">
            <x v="28"/>
          </reference>
          <reference field="1" count="1">
            <x v="8"/>
          </reference>
          <reference field="2" count="1" selected="0">
            <x v="28"/>
          </reference>
        </references>
      </pivotArea>
    </format>
    <format dxfId="237">
      <pivotArea dataOnly="0" labelOnly="1" outline="0" fieldPosition="0">
        <references count="3">
          <reference field="0" count="1" selected="0">
            <x v="29"/>
          </reference>
          <reference field="1" count="1">
            <x v="9"/>
          </reference>
          <reference field="2" count="1" selected="0">
            <x v="29"/>
          </reference>
        </references>
      </pivotArea>
    </format>
    <format dxfId="236">
      <pivotArea dataOnly="0" labelOnly="1" outline="0" fieldPosition="0">
        <references count="3">
          <reference field="0" count="1" selected="0">
            <x v="30"/>
          </reference>
          <reference field="1" count="1">
            <x v="7"/>
          </reference>
          <reference field="2" count="1" selected="0">
            <x v="30"/>
          </reference>
        </references>
      </pivotArea>
    </format>
    <format dxfId="235">
      <pivotArea dataOnly="0" labelOnly="1" outline="0" fieldPosition="0">
        <references count="3">
          <reference field="0" count="1" selected="0">
            <x v="31"/>
          </reference>
          <reference field="1" count="1">
            <x v="32"/>
          </reference>
          <reference field="2" count="1" selected="0">
            <x v="31"/>
          </reference>
        </references>
      </pivotArea>
    </format>
    <format dxfId="234">
      <pivotArea dataOnly="0" labelOnly="1" outline="0" fieldPosition="0">
        <references count="3">
          <reference field="0" count="1" selected="0">
            <x v="32"/>
          </reference>
          <reference field="1" count="1">
            <x v="33"/>
          </reference>
          <reference field="2" count="1" selected="0">
            <x v="32"/>
          </reference>
        </references>
      </pivotArea>
    </format>
    <format dxfId="233">
      <pivotArea dataOnly="0" labelOnly="1" outline="0" fieldPosition="0">
        <references count="3">
          <reference field="0" count="1" selected="0">
            <x v="33"/>
          </reference>
          <reference field="1" count="1">
            <x v="3"/>
          </reference>
          <reference field="2" count="1" selected="0">
            <x v="33"/>
          </reference>
        </references>
      </pivotArea>
    </format>
    <format dxfId="232">
      <pivotArea dataOnly="0" labelOnly="1" outline="0" fieldPosition="0">
        <references count="3">
          <reference field="0" count="1" selected="0">
            <x v="34"/>
          </reference>
          <reference field="1" count="1">
            <x v="4"/>
          </reference>
          <reference field="2" count="1" selected="0">
            <x v="34"/>
          </reference>
        </references>
      </pivotArea>
    </format>
    <format dxfId="231">
      <pivotArea dataOnly="0" labelOnly="1" outline="0" fieldPosition="0">
        <references count="3">
          <reference field="0" count="1" selected="0">
            <x v="35"/>
          </reference>
          <reference field="1" count="1">
            <x v="40"/>
          </reference>
          <reference field="2" count="1" selected="0">
            <x v="35"/>
          </reference>
        </references>
      </pivotArea>
    </format>
    <format dxfId="230">
      <pivotArea dataOnly="0" labelOnly="1" outline="0" fieldPosition="0">
        <references count="3">
          <reference field="0" count="1" selected="0">
            <x v="36"/>
          </reference>
          <reference field="1" count="1">
            <x v="41"/>
          </reference>
          <reference field="2" count="1" selected="0">
            <x v="36"/>
          </reference>
        </references>
      </pivotArea>
    </format>
    <format dxfId="229">
      <pivotArea dataOnly="0" labelOnly="1" outline="0" fieldPosition="0">
        <references count="3">
          <reference field="0" count="1" selected="0">
            <x v="37"/>
          </reference>
          <reference field="1" count="1">
            <x v="43"/>
          </reference>
          <reference field="2" count="1" selected="0">
            <x v="37"/>
          </reference>
        </references>
      </pivotArea>
    </format>
    <format dxfId="228">
      <pivotArea dataOnly="0" labelOnly="1" outline="0" fieldPosition="0">
        <references count="3">
          <reference field="0" count="1" selected="0">
            <x v="38"/>
          </reference>
          <reference field="1" count="1">
            <x v="44"/>
          </reference>
          <reference field="2" count="1" selected="0">
            <x v="38"/>
          </reference>
        </references>
      </pivotArea>
    </format>
    <format dxfId="227">
      <pivotArea dataOnly="0" labelOnly="1" outline="0" fieldPosition="0">
        <references count="3">
          <reference field="0" count="1" selected="0">
            <x v="39"/>
          </reference>
          <reference field="1" count="1">
            <x v="26"/>
          </reference>
          <reference field="2" count="1" selected="0">
            <x v="39"/>
          </reference>
        </references>
      </pivotArea>
    </format>
    <format dxfId="226">
      <pivotArea dataOnly="0" labelOnly="1" outline="0" fieldPosition="0">
        <references count="3">
          <reference field="0" count="1" selected="0">
            <x v="40"/>
          </reference>
          <reference field="1" count="1">
            <x v="23"/>
          </reference>
          <reference field="2" count="1" selected="0">
            <x v="40"/>
          </reference>
        </references>
      </pivotArea>
    </format>
    <format dxfId="225">
      <pivotArea dataOnly="0" labelOnly="1" outline="0" fieldPosition="0">
        <references count="3">
          <reference field="0" count="1" selected="0">
            <x v="43"/>
          </reference>
          <reference field="1" count="1">
            <x v="16"/>
          </reference>
          <reference field="2" count="1" selected="0">
            <x v="42"/>
          </reference>
        </references>
      </pivotArea>
    </format>
    <format dxfId="224">
      <pivotArea dataOnly="0" labelOnly="1" outline="0" fieldPosition="0">
        <references count="3">
          <reference field="0" count="1" selected="0">
            <x v="44"/>
          </reference>
          <reference field="1" count="1">
            <x v="17"/>
          </reference>
          <reference field="2" count="1" selected="0">
            <x v="43"/>
          </reference>
        </references>
      </pivotArea>
    </format>
    <format dxfId="223">
      <pivotArea dataOnly="0" labelOnly="1" outline="0" fieldPosition="0">
        <references count="3">
          <reference field="0" count="1" selected="0">
            <x v="45"/>
          </reference>
          <reference field="1" count="1">
            <x v="18"/>
          </reference>
          <reference field="2" count="1" selected="0">
            <x v="44"/>
          </reference>
        </references>
      </pivotArea>
    </format>
    <format dxfId="222">
      <pivotArea dataOnly="0" labelOnly="1" outline="0" fieldPosition="0">
        <references count="3">
          <reference field="0" count="1" selected="0">
            <x v="47"/>
          </reference>
          <reference field="1" count="1">
            <x v="13"/>
          </reference>
          <reference field="2" count="1" selected="0">
            <x v="46"/>
          </reference>
        </references>
      </pivotArea>
    </format>
    <format dxfId="221">
      <pivotArea dataOnly="0" labelOnly="1" outline="0" fieldPosition="0">
        <references count="3">
          <reference field="0" count="1" selected="0">
            <x v="49"/>
          </reference>
          <reference field="1" count="1">
            <x v="0"/>
          </reference>
          <reference field="2" count="1" selected="0">
            <x v="48"/>
          </reference>
        </references>
      </pivotArea>
    </format>
    <format dxfId="220">
      <pivotArea dataOnly="0" labelOnly="1" outline="0" fieldPosition="0">
        <references count="3">
          <reference field="0" count="1" selected="0">
            <x v="50"/>
          </reference>
          <reference field="1" count="1">
            <x v="27"/>
          </reference>
          <reference field="2" count="1" selected="0">
            <x v="49"/>
          </reference>
        </references>
      </pivotArea>
    </format>
    <format dxfId="219">
      <pivotArea dataOnly="0" labelOnly="1" outline="0" fieldPosition="0">
        <references count="3">
          <reference field="0" count="1" selected="0">
            <x v="51"/>
          </reference>
          <reference field="1" count="1">
            <x v="11"/>
          </reference>
          <reference field="2" count="1" selected="0">
            <x v="50"/>
          </reference>
        </references>
      </pivotArea>
    </format>
    <format dxfId="218">
      <pivotArea dataOnly="0" labelOnly="1" outline="0" fieldPosition="0">
        <references count="3">
          <reference field="0" count="1" selected="0">
            <x v="52"/>
          </reference>
          <reference field="1" count="1">
            <x v="2"/>
          </reference>
          <reference field="2" count="1" selected="0">
            <x v="51"/>
          </reference>
        </references>
      </pivotArea>
    </format>
    <format dxfId="217">
      <pivotArea dataOnly="0" labelOnly="1" outline="0" fieldPosition="0">
        <references count="3">
          <reference field="0" count="1" selected="0">
            <x v="53"/>
          </reference>
          <reference field="1" count="1">
            <x v="1"/>
          </reference>
          <reference field="2" count="1" selected="0">
            <x v="52"/>
          </reference>
        </references>
      </pivotArea>
    </format>
    <format dxfId="216">
      <pivotArea dataOnly="0" labelOnly="1" outline="0" fieldPosition="0">
        <references count="3">
          <reference field="0" count="1" selected="0">
            <x v="54"/>
          </reference>
          <reference field="1" count="1">
            <x v="24"/>
          </reference>
          <reference field="2" count="1" selected="0">
            <x v="53"/>
          </reference>
        </references>
      </pivotArea>
    </format>
    <format dxfId="21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1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1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1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1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1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0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0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0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0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0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0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0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0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0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0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9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9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9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9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9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9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9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9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9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9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8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8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8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8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8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8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8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8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8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8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7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7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7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7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75">
      <pivotArea type="all" dataOnly="0" outline="0" fieldPosition="0"/>
    </format>
    <format dxfId="174">
      <pivotArea type="all" dataOnly="0" outline="0" fieldPosition="0"/>
    </format>
    <format dxfId="173">
      <pivotArea type="all" dataOnly="0" outline="0" fieldPosition="0"/>
    </format>
    <format dxfId="172">
      <pivotArea dataOnly="0" labelOnly="1" outline="0" fieldPosition="0">
        <references count="1">
          <reference field="0" count="3">
            <x v="0"/>
            <x v="1"/>
            <x v="2"/>
          </reference>
        </references>
      </pivotArea>
    </format>
    <format dxfId="171">
      <pivotArea dataOnly="0" labelOnly="1" outline="0" fieldPosition="0">
        <references count="2">
          <reference field="0" count="1" selected="0">
            <x v="0"/>
          </reference>
          <reference field="2" count="1">
            <x v="0"/>
          </reference>
        </references>
      </pivotArea>
    </format>
    <format dxfId="170">
      <pivotArea dataOnly="0" labelOnly="1" outline="0" fieldPosition="0">
        <references count="2">
          <reference field="0" count="1" selected="0">
            <x v="1"/>
          </reference>
          <reference field="2" count="1">
            <x v="1"/>
          </reference>
        </references>
      </pivotArea>
    </format>
    <format dxfId="169">
      <pivotArea dataOnly="0" labelOnly="1" outline="0" fieldPosition="0">
        <references count="2">
          <reference field="0" count="1" selected="0">
            <x v="2"/>
          </reference>
          <reference field="2" count="1">
            <x v="2"/>
          </reference>
        </references>
      </pivotArea>
    </format>
    <format dxfId="168">
      <pivotArea dataOnly="0" labelOnly="1" outline="0" fieldPosition="0">
        <references count="3">
          <reference field="0" count="1" selected="0">
            <x v="1"/>
          </reference>
          <reference field="1" count="1">
            <x v="5"/>
          </reference>
          <reference field="2" count="1" selected="0">
            <x v="1"/>
          </reference>
        </references>
      </pivotArea>
    </format>
    <format dxfId="167">
      <pivotArea dataOnly="0" labelOnly="1" outline="0" fieldPosition="0">
        <references count="3">
          <reference field="0" count="1" selected="0">
            <x v="2"/>
          </reference>
          <reference field="1" count="1">
            <x v="6"/>
          </reference>
          <reference field="2" count="1" selected="0">
            <x v="2"/>
          </reference>
        </references>
      </pivotArea>
    </format>
    <format dxfId="16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6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64">
      <pivotArea dataOnly="0" labelOnly="1" outline="0" fieldPosition="0">
        <references count="1">
          <reference field="1" count="0"/>
        </references>
      </pivotArea>
    </format>
    <format dxfId="163">
      <pivotArea dataOnly="0" labelOnly="1" outline="0" fieldPosition="0">
        <references count="1">
          <reference field="0" count="3">
            <x v="66"/>
            <x v="67"/>
            <x v="68"/>
          </reference>
        </references>
      </pivotArea>
    </format>
    <format dxfId="162">
      <pivotArea dataOnly="0" labelOnly="1" outline="0" fieldPosition="0">
        <references count="1">
          <reference field="0" count="1">
            <x v="68"/>
          </reference>
        </references>
      </pivotArea>
    </format>
    <format dxfId="161">
      <pivotArea dataOnly="0" labelOnly="1" outline="0" fieldPosition="0">
        <references count="1">
          <reference field="0" count="1">
            <x v="68"/>
          </reference>
        </references>
      </pivotArea>
    </format>
    <format dxfId="160">
      <pivotArea dataOnly="0" labelOnly="1" outline="0" fieldPosition="0">
        <references count="1">
          <reference field="0" count="1">
            <x v="41"/>
          </reference>
        </references>
      </pivotArea>
    </format>
    <format dxfId="159">
      <pivotArea dataOnly="0" outline="0" fieldPosition="0">
        <references count="1">
          <reference field="0" count="10">
            <x v="55"/>
            <x v="56"/>
            <x v="57"/>
            <x v="58"/>
            <x v="59"/>
            <x v="60"/>
            <x v="61"/>
            <x v="62"/>
            <x v="63"/>
            <x v="64"/>
          </reference>
        </references>
      </pivotArea>
    </format>
    <format dxfId="158">
      <pivotArea dataOnly="0" outline="0" fieldPosition="0">
        <references count="1">
          <reference field="0" count="10">
            <x v="55"/>
            <x v="56"/>
            <x v="57"/>
            <x v="58"/>
            <x v="59"/>
            <x v="60"/>
            <x v="61"/>
            <x v="62"/>
            <x v="63"/>
            <x v="64"/>
          </reference>
        </references>
      </pivotArea>
    </format>
    <format dxfId="157">
      <pivotArea dataOnly="0" labelOnly="1" outline="0" fieldPosition="0">
        <references count="1">
          <reference field="0" count="1">
            <x v="65"/>
          </reference>
        </references>
      </pivotArea>
    </format>
    <format dxfId="156">
      <pivotArea dataOnly="0" labelOnly="1" outline="0" fieldPosition="0">
        <references count="1">
          <reference field="0" count="1">
            <x v="1"/>
          </reference>
        </references>
      </pivotArea>
    </format>
    <format dxfId="155">
      <pivotArea dataOnly="0" labelOnly="1" outline="0" fieldPosition="0">
        <references count="2">
          <reference field="0" count="1" selected="0">
            <x v="1"/>
          </reference>
          <reference field="2" count="1">
            <x v="1"/>
          </reference>
        </references>
      </pivotArea>
    </format>
    <format dxfId="154">
      <pivotArea dataOnly="0" labelOnly="1" outline="0" fieldPosition="0">
        <references count="3">
          <reference field="0" count="1" selected="0">
            <x v="1"/>
          </reference>
          <reference field="1" count="1">
            <x v="5"/>
          </reference>
          <reference field="2" count="1" selected="0">
            <x v="1"/>
          </reference>
        </references>
      </pivotArea>
    </format>
    <format dxfId="15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52">
      <pivotArea dataOnly="0" labelOnly="1" outline="0" fieldPosition="0">
        <references count="3">
          <reference field="0" count="1" selected="0">
            <x v="1"/>
          </reference>
          <reference field="1" count="1">
            <x v="5"/>
          </reference>
          <reference field="2" count="1" selected="0">
            <x v="1"/>
          </reference>
        </references>
      </pivotArea>
    </format>
    <format dxfId="15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M8" sqref="M8"/>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7" t="s">
        <v>297</v>
      </c>
      <c r="J1" s="237" t="s">
        <v>294</v>
      </c>
      <c r="K1" s="237" t="s">
        <v>295</v>
      </c>
      <c r="L1" s="237" t="s">
        <v>286</v>
      </c>
      <c r="M1" s="237" t="s">
        <v>288</v>
      </c>
      <c r="N1" s="237" t="s">
        <v>305</v>
      </c>
      <c r="O1" s="237" t="s">
        <v>306</v>
      </c>
      <c r="P1" s="238" t="s">
        <v>291</v>
      </c>
      <c r="Q1" s="238" t="s">
        <v>296</v>
      </c>
      <c r="R1" s="237" t="s">
        <v>292</v>
      </c>
      <c r="S1" s="237" t="s">
        <v>293</v>
      </c>
    </row>
    <row r="2" spans="1:19" s="51" customFormat="1" ht="30" customHeight="1" x14ac:dyDescent="0.25">
      <c r="A2" s="121"/>
      <c r="B2" s="121"/>
      <c r="C2" s="121"/>
      <c r="D2" s="121"/>
      <c r="E2" s="121"/>
      <c r="F2" s="121"/>
      <c r="G2" s="121"/>
      <c r="H2" s="131"/>
      <c r="I2" s="239"/>
      <c r="J2" s="240">
        <f>SUBTOTAL(9,J3:J14)</f>
        <v>28786</v>
      </c>
      <c r="K2" s="240">
        <f t="shared" ref="K2:S2" si="0">SUBTOTAL(9,K3:K14)</f>
        <v>84022</v>
      </c>
      <c r="L2" s="240">
        <f t="shared" si="0"/>
        <v>21800</v>
      </c>
      <c r="M2" s="240">
        <f t="shared" si="0"/>
        <v>1825</v>
      </c>
      <c r="N2" s="240">
        <f t="shared" si="0"/>
        <v>467</v>
      </c>
      <c r="O2" s="240">
        <f t="shared" si="0"/>
        <v>1452</v>
      </c>
      <c r="P2" s="240">
        <f t="shared" si="0"/>
        <v>5778</v>
      </c>
      <c r="Q2" s="240">
        <f t="shared" si="0"/>
        <v>700</v>
      </c>
      <c r="R2" s="240">
        <f t="shared" si="0"/>
        <v>12000</v>
      </c>
      <c r="S2" s="240">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5" t="s">
        <v>307</v>
      </c>
      <c r="K3" s="236">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5" t="s">
        <v>307</v>
      </c>
      <c r="K4" s="236">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5" t="s">
        <v>307</v>
      </c>
      <c r="K5" s="236">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5">
        <f>4500+7200+2300+550+180+50+6</f>
        <v>14786</v>
      </c>
      <c r="K6" s="236">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5">
        <v>14000</v>
      </c>
      <c r="K7" s="236">
        <f t="shared" si="1"/>
        <v>8900.3333333333339</v>
      </c>
      <c r="L7" s="41">
        <v>2000</v>
      </c>
      <c r="M7" s="41">
        <f>200+100+105+100+100</f>
        <v>605</v>
      </c>
      <c r="N7" s="41">
        <f>88+45</f>
        <v>133</v>
      </c>
      <c r="O7" s="41">
        <v>800</v>
      </c>
      <c r="P7" s="41">
        <v>1029</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5"/>
      <c r="K8" s="236">
        <f t="shared" si="1"/>
        <v>6552.3333333333339</v>
      </c>
      <c r="L8" s="41">
        <v>2000</v>
      </c>
      <c r="M8" s="41">
        <v>100</v>
      </c>
      <c r="N8" s="41">
        <v>119</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5"/>
      <c r="K9" s="236">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5"/>
      <c r="K10" s="236">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5"/>
      <c r="K11" s="236">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5"/>
      <c r="K12" s="236">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5"/>
      <c r="K13" s="236">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5"/>
      <c r="K14" s="236">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Z5" sqref="Z5:Z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1" t="s">
        <v>59</v>
      </c>
      <c r="C1" s="251"/>
      <c r="D1" s="251"/>
      <c r="E1" s="251"/>
      <c r="F1" s="251"/>
      <c r="G1" s="251"/>
      <c r="H1" s="251"/>
      <c r="I1" s="251"/>
      <c r="J1" s="251"/>
      <c r="K1" s="251"/>
      <c r="L1" s="251"/>
      <c r="M1" s="251"/>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4"/>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3"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1462.1993075567393</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71784</v>
      </c>
      <c r="O4" s="65">
        <f ca="1">SUBTOTAL(9,O5:O9)</f>
        <v>30.499999999999989</v>
      </c>
      <c r="P4" s="98">
        <f>SUBTOTAL(9,P5:P9)</f>
        <v>41.14</v>
      </c>
      <c r="Q4" s="98"/>
      <c r="R4" s="40">
        <f>SUBTOTAL(9,R5:R10)</f>
        <v>0</v>
      </c>
      <c r="S4" s="40">
        <f t="shared" ref="S4:AV4" si="0">SUBTOTAL(9,S5:S10)</f>
        <v>0</v>
      </c>
      <c r="T4" s="40">
        <f t="shared" si="0"/>
        <v>0.5</v>
      </c>
      <c r="U4" s="40">
        <f t="shared" si="0"/>
        <v>0</v>
      </c>
      <c r="V4" s="40">
        <f t="shared" si="0"/>
        <v>0</v>
      </c>
      <c r="W4" s="40">
        <f t="shared" si="0"/>
        <v>0</v>
      </c>
      <c r="X4" s="40">
        <f t="shared" si="0"/>
        <v>0</v>
      </c>
      <c r="Y4" s="40">
        <f t="shared" si="0"/>
        <v>2</v>
      </c>
      <c r="Z4" s="40">
        <f t="shared" si="0"/>
        <v>0</v>
      </c>
      <c r="AA4" s="40">
        <f t="shared" ca="1" si="0"/>
        <v>5</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772.11597422340674</v>
      </c>
      <c r="B5" s="6">
        <v>1</v>
      </c>
      <c r="C5" s="84" t="s">
        <v>302</v>
      </c>
      <c r="D5" s="92">
        <v>31.5</v>
      </c>
      <c r="E5" s="85">
        <v>1</v>
      </c>
      <c r="F5" s="85">
        <f>48+60</f>
        <v>108</v>
      </c>
      <c r="G5" s="86">
        <v>31.5</v>
      </c>
      <c r="H5" s="165">
        <f t="shared" ref="H5:H7" si="1">G5*F5</f>
        <v>3402</v>
      </c>
      <c r="I5" s="166">
        <f>((H5/$H$4)*$A$2)/F5</f>
        <v>1.3559989031236921</v>
      </c>
      <c r="J5" s="245">
        <f t="shared" ref="J5:J8" si="2">G5+I5</f>
        <v>32.855998903123691</v>
      </c>
      <c r="K5" s="89">
        <f>J5*F5</f>
        <v>3548.4478815373586</v>
      </c>
      <c r="L5" s="93">
        <v>50</v>
      </c>
      <c r="M5" s="87">
        <f>L5*F5</f>
        <v>5400</v>
      </c>
      <c r="N5" s="87">
        <f ca="1">SUMPRODUCT(($Q5:$AV5)*$L5)</f>
        <v>4225</v>
      </c>
      <c r="O5" s="190">
        <f ca="1">F5-SUM(Q5:AV5)-P5</f>
        <v>23.5</v>
      </c>
      <c r="P5" s="192">
        <v>0</v>
      </c>
      <c r="Q5" s="249">
        <v>84.5</v>
      </c>
      <c r="R5" s="191">
        <v>0</v>
      </c>
      <c r="S5" s="191">
        <v>0</v>
      </c>
      <c r="T5" s="191">
        <v>0</v>
      </c>
      <c r="U5" s="191">
        <v>0</v>
      </c>
      <c r="V5" s="191">
        <v>0</v>
      </c>
      <c r="W5" s="191">
        <v>0</v>
      </c>
      <c r="X5" s="191">
        <v>0</v>
      </c>
      <c r="Y5" s="191">
        <v>0</v>
      </c>
      <c r="Z5" s="191">
        <v>0</v>
      </c>
      <c r="AA5" s="191">
        <f ca="1">SUMIFS('Tổng Đơn'!$F:$F,'Tổng Đơn'!$B:$B,$C5)</f>
        <v>0</v>
      </c>
      <c r="AB5" s="191">
        <v>0</v>
      </c>
      <c r="AC5" s="191">
        <v>0</v>
      </c>
      <c r="AD5" s="191">
        <v>0</v>
      </c>
      <c r="AE5" s="191">
        <v>0</v>
      </c>
      <c r="AF5" s="191">
        <v>0</v>
      </c>
      <c r="AG5" s="191">
        <v>0</v>
      </c>
      <c r="AH5" s="191">
        <v>0</v>
      </c>
      <c r="AI5" s="191">
        <v>0</v>
      </c>
      <c r="AJ5" s="191">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301</v>
      </c>
      <c r="D6" s="92">
        <v>57</v>
      </c>
      <c r="E6" s="85">
        <v>1</v>
      </c>
      <c r="F6" s="85">
        <f>120+15</f>
        <v>135</v>
      </c>
      <c r="G6" s="86">
        <v>57</v>
      </c>
      <c r="H6" s="165">
        <f t="shared" si="1"/>
        <v>7695</v>
      </c>
      <c r="I6" s="166">
        <f>((H6/$H$4)*$A$2)/(F6+F12)</f>
        <v>1.6987239006164931</v>
      </c>
      <c r="J6" s="245">
        <f t="shared" ref="J6" si="4">G6+I6</f>
        <v>58.698723900616493</v>
      </c>
      <c r="K6" s="89">
        <f>J6*F6</f>
        <v>7924.3277265832266</v>
      </c>
      <c r="L6" s="93">
        <v>60</v>
      </c>
      <c r="M6" s="87">
        <f>L6*F6</f>
        <v>8100</v>
      </c>
      <c r="N6" s="87">
        <f ca="1">SUMPRODUCT(($Q6:$AV6)*$L6)</f>
        <v>7936.2000000000007</v>
      </c>
      <c r="O6" s="190">
        <f ca="1">F6-SUM(Q6:AV6)-P6</f>
        <v>-1.021405182655144E-14</v>
      </c>
      <c r="P6" s="192">
        <v>2.73</v>
      </c>
      <c r="Q6" s="249">
        <v>132.27000000000001</v>
      </c>
      <c r="R6" s="191">
        <v>0</v>
      </c>
      <c r="S6" s="191">
        <v>0</v>
      </c>
      <c r="T6" s="191">
        <v>0</v>
      </c>
      <c r="U6" s="191">
        <v>0</v>
      </c>
      <c r="V6" s="191">
        <v>0</v>
      </c>
      <c r="W6" s="191">
        <v>0</v>
      </c>
      <c r="X6" s="191">
        <v>0</v>
      </c>
      <c r="Y6" s="191">
        <v>0</v>
      </c>
      <c r="Z6" s="191">
        <v>0</v>
      </c>
      <c r="AA6" s="191">
        <f ca="1">SUMIFS('Tổng Đơn'!$F:$F,'Tổng Đơn'!$B:$B,$C6)</f>
        <v>0</v>
      </c>
      <c r="AB6" s="191">
        <v>0</v>
      </c>
      <c r="AC6" s="191">
        <v>0</v>
      </c>
      <c r="AD6" s="191">
        <v>0</v>
      </c>
      <c r="AE6" s="191">
        <v>0</v>
      </c>
      <c r="AF6" s="191">
        <v>0</v>
      </c>
      <c r="AG6" s="191">
        <v>0</v>
      </c>
      <c r="AH6" s="191">
        <v>0</v>
      </c>
      <c r="AI6" s="191">
        <v>0</v>
      </c>
      <c r="AJ6" s="191">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0</v>
      </c>
      <c r="B7" s="6">
        <v>3</v>
      </c>
      <c r="C7" s="84" t="s">
        <v>212</v>
      </c>
      <c r="D7" s="92">
        <v>53</v>
      </c>
      <c r="E7" s="85">
        <v>1</v>
      </c>
      <c r="F7" s="85">
        <f>25+30+20+50+40+40+50</f>
        <v>255</v>
      </c>
      <c r="G7" s="86">
        <v>53</v>
      </c>
      <c r="H7" s="165">
        <f t="shared" si="1"/>
        <v>13515</v>
      </c>
      <c r="I7" s="166">
        <f>((H7/$H$4)*$A$2)/(F7+F11)</f>
        <v>1.2928624462586735</v>
      </c>
      <c r="J7" s="245">
        <f t="shared" si="2"/>
        <v>54.292862446258674</v>
      </c>
      <c r="K7" s="89">
        <f t="shared" ref="K7:K8" si="5">J7*F7</f>
        <v>13844.679923795962</v>
      </c>
      <c r="L7" s="93">
        <v>70</v>
      </c>
      <c r="M7" s="87">
        <f t="shared" ref="M7:M8" si="6">L7*F7</f>
        <v>17850</v>
      </c>
      <c r="N7" s="87">
        <f ca="1">SUMPRODUCT(($Q7:$AV7)*$L7)</f>
        <v>16732.8</v>
      </c>
      <c r="O7" s="190">
        <f ca="1">F7-SUM(Q7:AV7)-P7</f>
        <v>0</v>
      </c>
      <c r="P7" s="192">
        <f>9.05+6.91</f>
        <v>15.96</v>
      </c>
      <c r="Q7" s="249">
        <v>239.04</v>
      </c>
      <c r="R7" s="191">
        <v>0</v>
      </c>
      <c r="S7" s="191">
        <v>0</v>
      </c>
      <c r="T7" s="191">
        <v>0</v>
      </c>
      <c r="U7" s="191">
        <v>0</v>
      </c>
      <c r="V7" s="191">
        <v>0</v>
      </c>
      <c r="W7" s="191">
        <v>0</v>
      </c>
      <c r="X7" s="191">
        <v>0</v>
      </c>
      <c r="Y7" s="191">
        <v>0</v>
      </c>
      <c r="Z7" s="191">
        <v>0</v>
      </c>
      <c r="AA7" s="191">
        <f ca="1">SUMIFS('Tổng Đơn'!$F:$F,'Tổng Đơn'!$B:$B,$C7)</f>
        <v>0</v>
      </c>
      <c r="AB7" s="191">
        <v>0</v>
      </c>
      <c r="AC7" s="191">
        <v>0</v>
      </c>
      <c r="AD7" s="191">
        <v>0</v>
      </c>
      <c r="AE7" s="191">
        <v>0</v>
      </c>
      <c r="AF7" s="191">
        <v>0</v>
      </c>
      <c r="AG7" s="191">
        <v>0</v>
      </c>
      <c r="AH7" s="191">
        <v>0</v>
      </c>
      <c r="AI7" s="191">
        <v>0</v>
      </c>
      <c r="AJ7" s="191">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5">
        <f t="shared" si="2"/>
        <v>42.764950953272105</v>
      </c>
      <c r="K8" s="89">
        <f t="shared" si="5"/>
        <v>14058.977625888205</v>
      </c>
      <c r="L8" s="93">
        <v>45</v>
      </c>
      <c r="M8" s="87">
        <f t="shared" si="6"/>
        <v>14793.75</v>
      </c>
      <c r="N8" s="87">
        <f ca="1">SUMPRODUCT(($Q8:$AV8)*$L8)</f>
        <v>13783.5</v>
      </c>
      <c r="O8" s="190">
        <f ca="1">F8-SUM(Q8:AV8)-P8</f>
        <v>0</v>
      </c>
      <c r="P8" s="192">
        <f>9.35+1.55+0.05+5+2.7+3.8</f>
        <v>22.450000000000003</v>
      </c>
      <c r="Q8" s="249">
        <v>306.3</v>
      </c>
      <c r="R8" s="191">
        <v>0</v>
      </c>
      <c r="S8" s="191">
        <v>0</v>
      </c>
      <c r="T8" s="191">
        <v>0</v>
      </c>
      <c r="U8" s="191">
        <v>0</v>
      </c>
      <c r="V8" s="191">
        <v>0</v>
      </c>
      <c r="W8" s="191">
        <v>0</v>
      </c>
      <c r="X8" s="191">
        <v>0</v>
      </c>
      <c r="Y8" s="191">
        <v>0</v>
      </c>
      <c r="Z8" s="191">
        <v>0</v>
      </c>
      <c r="AA8" s="191">
        <f ca="1">SUMIFS('Tổng Đơn'!$F:$F,'Tổng Đơn'!$B:$B,$C8)</f>
        <v>0</v>
      </c>
      <c r="AB8" s="191">
        <v>0</v>
      </c>
      <c r="AC8" s="191">
        <v>0</v>
      </c>
      <c r="AD8" s="191">
        <v>0</v>
      </c>
      <c r="AE8" s="191">
        <v>0</v>
      </c>
      <c r="AF8" s="191">
        <v>0</v>
      </c>
      <c r="AG8" s="191">
        <v>0</v>
      </c>
      <c r="AH8" s="191">
        <v>0</v>
      </c>
      <c r="AI8" s="191">
        <v>0</v>
      </c>
      <c r="AJ8" s="191">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690.08333333333326</v>
      </c>
      <c r="B9" s="6">
        <v>5</v>
      </c>
      <c r="C9" s="84" t="s">
        <v>242</v>
      </c>
      <c r="D9" s="92">
        <v>195</v>
      </c>
      <c r="E9" s="85">
        <v>0.5</v>
      </c>
      <c r="F9" s="85">
        <f>60+60</f>
        <v>120</v>
      </c>
      <c r="G9" s="86">
        <f>D9/(1/E9)</f>
        <v>97.5</v>
      </c>
      <c r="H9" s="165">
        <f>G9*F9</f>
        <v>11700</v>
      </c>
      <c r="I9" s="166">
        <f>((H9/$H$2)*$B$2)/F9</f>
        <v>1.0833333333333333</v>
      </c>
      <c r="J9" s="245">
        <f>G9+I9</f>
        <v>98.583333333333329</v>
      </c>
      <c r="K9" s="89">
        <f>J9*F9</f>
        <v>11830</v>
      </c>
      <c r="L9" s="93">
        <v>105</v>
      </c>
      <c r="M9" s="87">
        <f>L9*F9</f>
        <v>12600</v>
      </c>
      <c r="N9" s="87">
        <f ca="1">SUMPRODUCT(($Q9:$AV9)*$L9)</f>
        <v>11865</v>
      </c>
      <c r="O9" s="161">
        <f ca="1">F9-SUM(Q9:AV9)-P9</f>
        <v>7</v>
      </c>
      <c r="P9" s="192">
        <v>0</v>
      </c>
      <c r="Q9" s="249">
        <v>105.5</v>
      </c>
      <c r="R9" s="6">
        <v>0</v>
      </c>
      <c r="S9" s="6">
        <v>0</v>
      </c>
      <c r="T9" s="6">
        <v>0.5</v>
      </c>
      <c r="U9" s="6">
        <v>0</v>
      </c>
      <c r="V9" s="6">
        <v>0</v>
      </c>
      <c r="W9" s="6">
        <v>0</v>
      </c>
      <c r="X9" s="6">
        <v>0</v>
      </c>
      <c r="Y9" s="6">
        <v>2</v>
      </c>
      <c r="Z9" s="6">
        <v>0</v>
      </c>
      <c r="AA9" s="6">
        <f ca="1">SUMIFS('Tổng Đơn'!$F:$F,'Tổng Đơn'!$B:$B,$C9)</f>
        <v>5</v>
      </c>
      <c r="AB9" s="6">
        <v>0</v>
      </c>
      <c r="AC9" s="6">
        <v>0</v>
      </c>
      <c r="AD9" s="6">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3">
        <v>1</v>
      </c>
      <c r="F11" s="223">
        <v>195</v>
      </c>
      <c r="G11" s="224">
        <v>57</v>
      </c>
      <c r="H11" s="225">
        <v>11115</v>
      </c>
      <c r="I11" s="224">
        <v>3.2669162854647493</v>
      </c>
      <c r="J11" s="224">
        <v>60.266916285464752</v>
      </c>
      <c r="K11" s="214">
        <v>11752.048675665626</v>
      </c>
      <c r="L11" s="226">
        <v>70</v>
      </c>
      <c r="M11" s="220">
        <v>13650</v>
      </c>
      <c r="N11" s="220">
        <v>14241.5</v>
      </c>
      <c r="O11" s="227">
        <v>0</v>
      </c>
      <c r="P11" s="228">
        <v>-8.4500000000000011</v>
      </c>
      <c r="Q11" s="229">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3">
        <v>1</v>
      </c>
      <c r="F12" s="223">
        <v>60</v>
      </c>
      <c r="G12" s="224">
        <v>46</v>
      </c>
      <c r="H12" s="225">
        <v>2760</v>
      </c>
      <c r="I12" s="224">
        <v>2.338883716371833</v>
      </c>
      <c r="J12" s="224">
        <v>48.338883716371832</v>
      </c>
      <c r="K12" s="214">
        <v>2900.33302298231</v>
      </c>
      <c r="L12" s="226">
        <v>60</v>
      </c>
      <c r="M12" s="220">
        <v>3600</v>
      </c>
      <c r="N12" s="220">
        <v>3000</v>
      </c>
      <c r="O12" s="227">
        <v>0</v>
      </c>
      <c r="P12" s="228">
        <v>10</v>
      </c>
      <c r="Q12" s="229">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528" priority="12">
      <formula>($O7/$O7)&lt;=1/4</formula>
    </cfRule>
  </conditionalFormatting>
  <conditionalFormatting sqref="C5:C8">
    <cfRule type="expression" dxfId="527" priority="13">
      <formula>($O5/$F5)&lt;=1/4</formula>
    </cfRule>
  </conditionalFormatting>
  <conditionalFormatting sqref="C9:C10">
    <cfRule type="expression" dxfId="526" priority="3">
      <formula>($O9/$O9)&lt;=1/4</formula>
    </cfRule>
  </conditionalFormatting>
  <conditionalFormatting sqref="C9:C10">
    <cfRule type="expression" dxfId="52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8" activePane="bottomRight" state="frozen"/>
      <selection activeCell="A2" sqref="A2"/>
      <selection pane="topRight" activeCell="R2" sqref="R2"/>
      <selection pane="bottomLeft" activeCell="A5" sqref="A5"/>
      <selection pane="bottomRight" activeCell="Z5" sqref="Z5:Z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1" t="s">
        <v>59</v>
      </c>
      <c r="C1" s="251"/>
      <c r="D1" s="251"/>
      <c r="E1" s="251"/>
      <c r="F1" s="251"/>
      <c r="G1" s="251"/>
      <c r="H1" s="251"/>
      <c r="I1" s="251"/>
      <c r="J1" s="251"/>
      <c r="K1" s="251"/>
      <c r="L1" s="251"/>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4546.7025870842772</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46913</v>
      </c>
      <c r="N4" s="39">
        <f ca="1">SUBTOTAL(9,N5:N24)</f>
        <v>190</v>
      </c>
      <c r="O4" s="98"/>
      <c r="P4" s="98">
        <f t="shared" ref="P4:AV4" si="0">SUBTOTAL(9,P5:P24)</f>
        <v>53</v>
      </c>
      <c r="Q4" s="98">
        <f t="shared" si="0"/>
        <v>890</v>
      </c>
      <c r="R4" s="40">
        <f t="shared" si="0"/>
        <v>0</v>
      </c>
      <c r="S4" s="40">
        <f t="shared" si="0"/>
        <v>0</v>
      </c>
      <c r="T4" s="40">
        <f t="shared" si="0"/>
        <v>3</v>
      </c>
      <c r="U4" s="40">
        <f t="shared" si="0"/>
        <v>0</v>
      </c>
      <c r="V4" s="40">
        <f t="shared" si="0"/>
        <v>0</v>
      </c>
      <c r="W4" s="40">
        <f t="shared" si="0"/>
        <v>1</v>
      </c>
      <c r="X4" s="40">
        <f t="shared" si="0"/>
        <v>0</v>
      </c>
      <c r="Y4" s="40">
        <f t="shared" si="0"/>
        <v>1</v>
      </c>
      <c r="Z4" s="40">
        <f t="shared" si="0"/>
        <v>0</v>
      </c>
      <c r="AA4" s="40">
        <f t="shared" ca="1" si="0"/>
        <v>1</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f ca="1">SUMIFS('Tổng Đơn'!$F:$F,'Tổng Đơn'!$B:$B,$C5)</f>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0</v>
      </c>
      <c r="O6" s="81">
        <v>0</v>
      </c>
      <c r="P6" s="81"/>
      <c r="Q6" s="81">
        <v>76</v>
      </c>
      <c r="R6" s="41">
        <v>0</v>
      </c>
      <c r="S6" s="41">
        <v>0</v>
      </c>
      <c r="T6" s="41">
        <v>0</v>
      </c>
      <c r="U6" s="41">
        <v>0</v>
      </c>
      <c r="V6" s="41">
        <v>0</v>
      </c>
      <c r="W6" s="41">
        <v>0</v>
      </c>
      <c r="X6" s="41">
        <v>0</v>
      </c>
      <c r="Y6" s="41">
        <v>0</v>
      </c>
      <c r="Z6" s="41">
        <v>0</v>
      </c>
      <c r="AA6" s="41">
        <f ca="1">SUMIFS('Tổng Đơn'!$F:$F,'Tổng Đơn'!$B:$B,$C6)</f>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f>SUMIFS('Tổng Đơn'!$F:$F,'Tổng Đơn'!$B:$B,$C7)</f>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0</v>
      </c>
      <c r="O8" s="81">
        <v>-2</v>
      </c>
      <c r="P8" s="81">
        <v>11</v>
      </c>
      <c r="Q8" s="81">
        <v>71</v>
      </c>
      <c r="R8" s="41">
        <v>0</v>
      </c>
      <c r="S8" s="41">
        <v>0</v>
      </c>
      <c r="T8" s="41">
        <v>0</v>
      </c>
      <c r="U8" s="41">
        <v>0</v>
      </c>
      <c r="V8" s="41">
        <v>0</v>
      </c>
      <c r="W8" s="41">
        <v>0</v>
      </c>
      <c r="X8" s="41">
        <v>0</v>
      </c>
      <c r="Y8" s="41">
        <v>0</v>
      </c>
      <c r="Z8" s="41">
        <v>0</v>
      </c>
      <c r="AA8" s="41">
        <f ca="1">SUMIFS('Tổng Đơn'!$F:$F,'Tổng Đơn'!$B:$B,$C8)</f>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f>SUMIFS('Tổng Đơn'!$F:$F,'Tổng Đơn'!$B:$B,$C9)</f>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2592</v>
      </c>
      <c r="N10" s="91">
        <f t="shared" ca="1" si="7"/>
        <v>0</v>
      </c>
      <c r="O10" s="81">
        <v>0</v>
      </c>
      <c r="P10" s="81">
        <v>-1</v>
      </c>
      <c r="Q10" s="81">
        <v>81</v>
      </c>
      <c r="R10" s="41">
        <v>0</v>
      </c>
      <c r="S10" s="41">
        <v>0</v>
      </c>
      <c r="T10" s="41">
        <v>0</v>
      </c>
      <c r="U10" s="41">
        <v>0</v>
      </c>
      <c r="V10" s="41">
        <v>0</v>
      </c>
      <c r="W10" s="41">
        <v>0</v>
      </c>
      <c r="X10" s="41">
        <v>0</v>
      </c>
      <c r="Y10" s="41">
        <v>0</v>
      </c>
      <c r="Z10" s="41">
        <v>0</v>
      </c>
      <c r="AA10" s="41">
        <f ca="1">SUMIFS('Tổng Đơn'!$F:$F,'Tổng Đơn'!$B:$B,$C10)</f>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76</v>
      </c>
      <c r="R11" s="41">
        <v>0</v>
      </c>
      <c r="S11" s="41">
        <v>0</v>
      </c>
      <c r="T11" s="41">
        <v>0</v>
      </c>
      <c r="U11" s="41">
        <v>0</v>
      </c>
      <c r="V11" s="41">
        <v>0</v>
      </c>
      <c r="W11" s="41">
        <v>0</v>
      </c>
      <c r="X11" s="41">
        <v>0</v>
      </c>
      <c r="Y11" s="41">
        <v>0</v>
      </c>
      <c r="Z11" s="41">
        <v>0</v>
      </c>
      <c r="AA11" s="41">
        <f ca="1">SUMIFS('Tổng Đơn'!$F:$F,'Tổng Đơn'!$B:$B,$C11)</f>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687.1438983551659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1085</v>
      </c>
      <c r="N12" s="91">
        <f t="shared" ca="1" si="7"/>
        <v>24</v>
      </c>
      <c r="O12" s="81">
        <v>0</v>
      </c>
      <c r="P12" s="81">
        <v>1</v>
      </c>
      <c r="Q12" s="81">
        <v>31</v>
      </c>
      <c r="R12" s="41">
        <v>0</v>
      </c>
      <c r="S12" s="41">
        <v>0</v>
      </c>
      <c r="T12" s="41">
        <v>0</v>
      </c>
      <c r="U12" s="41">
        <v>0</v>
      </c>
      <c r="V12" s="41">
        <v>0</v>
      </c>
      <c r="W12" s="41">
        <v>0</v>
      </c>
      <c r="X12" s="41">
        <v>0</v>
      </c>
      <c r="Y12" s="41">
        <v>0</v>
      </c>
      <c r="Z12" s="41">
        <v>0</v>
      </c>
      <c r="AA12" s="41">
        <f ca="1">SUMIFS('Tổng Đơn'!$F:$F,'Tổng Đơn'!$B:$B,$C12)</f>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f ca="1">SUMIFS('Tổng Đơn'!$F:$F,'Tổng Đơn'!$B:$B,$C13)</f>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658.51290259036739</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1505</v>
      </c>
      <c r="N14" s="91">
        <f t="shared" ca="1" si="7"/>
        <v>23</v>
      </c>
      <c r="O14" s="81">
        <v>0</v>
      </c>
      <c r="P14" s="81"/>
      <c r="Q14" s="81">
        <v>43</v>
      </c>
      <c r="R14" s="41">
        <v>0</v>
      </c>
      <c r="S14" s="41">
        <v>0</v>
      </c>
      <c r="T14" s="41">
        <v>0</v>
      </c>
      <c r="U14" s="41">
        <v>0</v>
      </c>
      <c r="V14" s="41">
        <v>0</v>
      </c>
      <c r="W14" s="41">
        <v>0</v>
      </c>
      <c r="X14" s="41">
        <v>0</v>
      </c>
      <c r="Y14" s="41">
        <v>0</v>
      </c>
      <c r="Z14" s="41">
        <v>0</v>
      </c>
      <c r="AA14" s="41">
        <f ca="1">SUMIFS('Tổng Đơn'!$F:$F,'Tổng Đơn'!$B:$B,$C14)</f>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f ca="1">SUMIFS('Tổng Đơn'!$F:$F,'Tổng Đơn'!$B:$B,$C15)</f>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239.59622771594601</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992</v>
      </c>
      <c r="N16" s="91">
        <f t="shared" ca="1" si="7"/>
        <v>9</v>
      </c>
      <c r="O16" s="81">
        <v>0</v>
      </c>
      <c r="P16" s="81"/>
      <c r="Q16" s="81">
        <v>31</v>
      </c>
      <c r="R16" s="41">
        <v>0</v>
      </c>
      <c r="S16" s="41">
        <v>0</v>
      </c>
      <c r="T16" s="41">
        <v>0</v>
      </c>
      <c r="U16" s="41">
        <v>0</v>
      </c>
      <c r="V16" s="41">
        <v>0</v>
      </c>
      <c r="W16" s="41">
        <v>0</v>
      </c>
      <c r="X16" s="41">
        <v>0</v>
      </c>
      <c r="Y16" s="41">
        <v>0</v>
      </c>
      <c r="Z16" s="41">
        <v>0</v>
      </c>
      <c r="AA16" s="41">
        <f ca="1">SUMIFS('Tổng Đơn'!$F:$F,'Tổng Đơn'!$B:$B,$C16)</f>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623.35203059850949</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1672</v>
      </c>
      <c r="N17" s="91">
        <f t="shared" ca="1" si="7"/>
        <v>17</v>
      </c>
      <c r="O17" s="81">
        <v>0</v>
      </c>
      <c r="P17" s="81"/>
      <c r="Q17" s="81">
        <v>35</v>
      </c>
      <c r="R17" s="41">
        <v>0</v>
      </c>
      <c r="S17" s="41">
        <v>0</v>
      </c>
      <c r="T17" s="41">
        <v>2</v>
      </c>
      <c r="U17" s="41">
        <v>0</v>
      </c>
      <c r="V17" s="41">
        <v>0</v>
      </c>
      <c r="W17" s="41">
        <v>1</v>
      </c>
      <c r="X17" s="41">
        <v>0</v>
      </c>
      <c r="Y17" s="41">
        <v>0</v>
      </c>
      <c r="Z17" s="41">
        <v>0</v>
      </c>
      <c r="AA17" s="41">
        <f ca="1">SUMIFS('Tổng Đơn'!$F:$F,'Tổng Đơn'!$B:$B,$C17)</f>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0</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1357</v>
      </c>
      <c r="N18" s="91">
        <f t="shared" ca="1" si="7"/>
        <v>0</v>
      </c>
      <c r="O18" s="81">
        <v>0</v>
      </c>
      <c r="P18" s="81">
        <v>2</v>
      </c>
      <c r="Q18" s="81">
        <v>23</v>
      </c>
      <c r="R18" s="41">
        <v>0</v>
      </c>
      <c r="S18" s="41">
        <v>0</v>
      </c>
      <c r="T18" s="41">
        <v>0</v>
      </c>
      <c r="U18" s="41">
        <v>0</v>
      </c>
      <c r="V18" s="41">
        <v>0</v>
      </c>
      <c r="W18" s="41">
        <v>0</v>
      </c>
      <c r="X18" s="41">
        <v>0</v>
      </c>
      <c r="Y18" s="41">
        <v>0</v>
      </c>
      <c r="Z18" s="41">
        <v>0</v>
      </c>
      <c r="AA18" s="41">
        <f ca="1">SUMIFS('Tổng Đơn'!$F:$F,'Tổng Đơn'!$B:$B,$C18)</f>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647.96464099281002</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1820</v>
      </c>
      <c r="N19" s="91">
        <f t="shared" ca="1" si="7"/>
        <v>15</v>
      </c>
      <c r="O19" s="81">
        <v>0</v>
      </c>
      <c r="P19" s="81">
        <v>5</v>
      </c>
      <c r="Q19" s="81">
        <v>34</v>
      </c>
      <c r="R19" s="41">
        <v>0</v>
      </c>
      <c r="S19" s="41">
        <v>0</v>
      </c>
      <c r="T19" s="41">
        <v>1</v>
      </c>
      <c r="U19" s="41">
        <v>0</v>
      </c>
      <c r="V19" s="41">
        <v>0</v>
      </c>
      <c r="W19" s="41">
        <v>0</v>
      </c>
      <c r="X19" s="41">
        <v>0</v>
      </c>
      <c r="Y19" s="41">
        <v>0</v>
      </c>
      <c r="Z19" s="41">
        <v>0</v>
      </c>
      <c r="AA19" s="41">
        <f ca="1">SUMIFS('Tổng Đơn'!$F:$F,'Tổng Đơn'!$B:$B,$C19)</f>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v>0</v>
      </c>
      <c r="Q20" s="81">
        <v>10</v>
      </c>
      <c r="R20" s="41">
        <v>0</v>
      </c>
      <c r="S20" s="41">
        <v>0</v>
      </c>
      <c r="T20" s="41">
        <v>0</v>
      </c>
      <c r="U20" s="41">
        <v>0</v>
      </c>
      <c r="V20" s="41">
        <v>0</v>
      </c>
      <c r="W20" s="41">
        <v>0</v>
      </c>
      <c r="X20" s="41">
        <v>0</v>
      </c>
      <c r="Y20" s="41">
        <v>0</v>
      </c>
      <c r="Z20" s="41">
        <v>0</v>
      </c>
      <c r="AA20" s="41">
        <f ca="1">SUMIFS('Tổng Đơn'!$F:$F,'Tổng Đơn'!$B:$B,$C20)</f>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295.35132473160644</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4720</v>
      </c>
      <c r="N21" s="91">
        <f t="shared" ca="1" si="7"/>
        <v>6</v>
      </c>
      <c r="O21" s="81">
        <v>-2</v>
      </c>
      <c r="P21" s="81">
        <v>6</v>
      </c>
      <c r="Q21" s="81">
        <v>80</v>
      </c>
      <c r="R21" s="41">
        <v>0</v>
      </c>
      <c r="S21" s="41">
        <v>0</v>
      </c>
      <c r="T21" s="41">
        <v>0</v>
      </c>
      <c r="U21" s="41">
        <v>0</v>
      </c>
      <c r="V21" s="41">
        <v>0</v>
      </c>
      <c r="W21" s="41">
        <v>0</v>
      </c>
      <c r="X21" s="41">
        <v>0</v>
      </c>
      <c r="Y21" s="41">
        <v>0</v>
      </c>
      <c r="Z21" s="41">
        <v>0</v>
      </c>
      <c r="AA21" s="41">
        <f ca="1">SUMIFS('Tổng Đơn'!$F:$F,'Tổng Đơn'!$B:$B,$C21)</f>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2133</v>
      </c>
      <c r="N22" s="91">
        <f t="shared" ca="1" si="7"/>
        <v>0</v>
      </c>
      <c r="O22" s="81">
        <v>-2</v>
      </c>
      <c r="P22" s="81"/>
      <c r="Q22" s="81">
        <v>27</v>
      </c>
      <c r="R22" s="41">
        <v>0</v>
      </c>
      <c r="S22" s="41">
        <v>0</v>
      </c>
      <c r="T22" s="41">
        <v>0</v>
      </c>
      <c r="U22" s="41">
        <v>0</v>
      </c>
      <c r="V22" s="41">
        <v>0</v>
      </c>
      <c r="W22" s="41">
        <v>0</v>
      </c>
      <c r="X22" s="41">
        <v>0</v>
      </c>
      <c r="Y22" s="41">
        <v>0</v>
      </c>
      <c r="Z22" s="41">
        <v>0</v>
      </c>
      <c r="AA22" s="41">
        <f ca="1">SUMIFS('Tổng Đơn'!$F:$F,'Tổng Đơn'!$B:$B,$C22)</f>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0</v>
      </c>
      <c r="O23" s="81">
        <v>0</v>
      </c>
      <c r="P23" s="81">
        <v>23</v>
      </c>
      <c r="Q23" s="81">
        <v>177</v>
      </c>
      <c r="R23" s="41">
        <v>0</v>
      </c>
      <c r="S23" s="41">
        <v>0</v>
      </c>
      <c r="T23" s="41">
        <v>0</v>
      </c>
      <c r="U23" s="41">
        <v>0</v>
      </c>
      <c r="V23" s="41">
        <v>0</v>
      </c>
      <c r="W23" s="41">
        <v>0</v>
      </c>
      <c r="X23" s="41">
        <v>0</v>
      </c>
      <c r="Y23" s="41">
        <v>0</v>
      </c>
      <c r="Z23" s="41">
        <v>0</v>
      </c>
      <c r="AA23" s="41">
        <f ca="1">SUMIFS('Tổng Đơn'!$F:$F,'Tổng Đơn'!$B:$B,$C23)</f>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253.15827834137693</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3268</v>
      </c>
      <c r="N24" s="91">
        <f t="shared" ca="1" si="7"/>
        <v>4</v>
      </c>
      <c r="O24" s="81">
        <v>0</v>
      </c>
      <c r="P24" s="81"/>
      <c r="Q24" s="81">
        <v>41</v>
      </c>
      <c r="R24" s="41">
        <v>0</v>
      </c>
      <c r="S24" s="41">
        <v>0</v>
      </c>
      <c r="T24" s="41">
        <v>0</v>
      </c>
      <c r="U24" s="41">
        <v>0</v>
      </c>
      <c r="V24" s="41">
        <v>0</v>
      </c>
      <c r="W24" s="41">
        <v>0</v>
      </c>
      <c r="X24" s="41">
        <v>0</v>
      </c>
      <c r="Y24" s="41">
        <v>1</v>
      </c>
      <c r="Z24" s="41">
        <v>0</v>
      </c>
      <c r="AA24" s="41">
        <f ca="1">SUMIFS('Tổng Đơn'!$F:$F,'Tổng Đơn'!$B:$B,$C24)</f>
        <v>1</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52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W8" sqref="AW8"/>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1" t="s">
        <v>59</v>
      </c>
      <c r="C1" s="251"/>
      <c r="D1" s="251"/>
      <c r="E1" s="251"/>
      <c r="F1" s="251"/>
      <c r="G1" s="251"/>
      <c r="H1" s="251"/>
      <c r="I1" s="251"/>
      <c r="J1" s="251"/>
      <c r="K1" s="251"/>
      <c r="L1" s="251"/>
      <c r="M1" s="251"/>
      <c r="N1" s="83"/>
    </row>
    <row r="2" spans="1:50" ht="34.5" customHeight="1" x14ac:dyDescent="0.25">
      <c r="A2" s="1">
        <f>370+100+80+150+170+60+300+200+40+180+50+100+30+60+30+160+60+70+70+30+50+60+40+20+90+40+30+70+40</f>
        <v>2750</v>
      </c>
      <c r="F2" s="13">
        <f>SUMPRODUCT((E5:E18)*(F5:F18))</f>
        <v>904.5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16932.694797844997</v>
      </c>
      <c r="B4" s="19"/>
      <c r="C4" s="19"/>
      <c r="D4" s="63"/>
      <c r="E4" s="19">
        <f>SUMPRODUCT((E5:E27)*(F5:F27))</f>
        <v>1641.2</v>
      </c>
      <c r="F4" s="19">
        <f>SUBTOTAL(9,F5:F27)</f>
        <v>3610</v>
      </c>
      <c r="G4" s="7"/>
      <c r="H4" s="7">
        <f>SUBTOTAL(9,H5:H27)+H2</f>
        <v>117066.78947368421</v>
      </c>
      <c r="I4" s="12"/>
      <c r="J4" s="12"/>
      <c r="K4" s="12">
        <f>SUBTOTAL(9,K5:K27)+K2</f>
        <v>119807.96927057246</v>
      </c>
      <c r="L4" s="64"/>
      <c r="M4" s="7">
        <f>SUBTOTAL(9,M5:M27)+M2</f>
        <v>141644</v>
      </c>
      <c r="N4" s="7">
        <f ca="1">SUBTOTAL(9,N5:N27)+N2</f>
        <v>121228</v>
      </c>
      <c r="O4" s="65">
        <f ca="1">SUBTOTAL(9,O5:O27)</f>
        <v>467</v>
      </c>
      <c r="P4" s="98">
        <f t="shared" ref="P4" si="0">SUBTOTAL(9,P5:P24)</f>
        <v>15</v>
      </c>
      <c r="Q4" s="98">
        <f>SUBTOTAL(9,Q5:Q27)</f>
        <v>3009</v>
      </c>
      <c r="R4" s="40">
        <f>SUBTOTAL(9,R5:R26)</f>
        <v>2</v>
      </c>
      <c r="S4" s="40">
        <f t="shared" ref="S4:AV4" si="1">SUBTOTAL(9,S5:S26)</f>
        <v>18</v>
      </c>
      <c r="T4" s="40">
        <f t="shared" si="1"/>
        <v>13</v>
      </c>
      <c r="U4" s="40">
        <f t="shared" si="1"/>
        <v>9</v>
      </c>
      <c r="V4" s="40">
        <f t="shared" si="1"/>
        <v>7</v>
      </c>
      <c r="W4" s="40">
        <f t="shared" si="1"/>
        <v>17</v>
      </c>
      <c r="X4" s="40">
        <f t="shared" si="1"/>
        <v>4</v>
      </c>
      <c r="Y4" s="40">
        <f t="shared" si="1"/>
        <v>11</v>
      </c>
      <c r="Z4" s="40">
        <f t="shared" si="1"/>
        <v>18</v>
      </c>
      <c r="AA4" s="40">
        <f t="shared" ca="1" si="1"/>
        <v>4</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15 Kg</v>
      </c>
      <c r="AX4" s="101">
        <f>SUBTOTAL(9,AX5:AX24)</f>
        <v>1200</v>
      </c>
    </row>
    <row r="5" spans="1:50" ht="18.75" x14ac:dyDescent="0.25">
      <c r="A5" s="82">
        <f t="shared" ref="A5:A25" ca="1" si="2">J5*O5</f>
        <v>1966.6376946763182</v>
      </c>
      <c r="B5" s="6">
        <v>1</v>
      </c>
      <c r="C5" s="84" t="s">
        <v>158</v>
      </c>
      <c r="D5" s="92">
        <f>G5*2</f>
        <v>63</v>
      </c>
      <c r="E5" s="85">
        <v>0.5</v>
      </c>
      <c r="F5" s="136">
        <f>160+41+55+72+72+48+24+120</f>
        <v>592</v>
      </c>
      <c r="G5" s="86">
        <v>31.5</v>
      </c>
      <c r="H5" s="87">
        <f t="shared" ref="H5:H19" si="3">G5*F5</f>
        <v>18648</v>
      </c>
      <c r="I5" s="88">
        <f t="shared" ref="I5:I19" si="4">((H5/$H$4)*$A$2)/F5</f>
        <v>0.73996220780849797</v>
      </c>
      <c r="J5" s="162">
        <f t="shared" ref="J5:J17" si="5">G5+I5</f>
        <v>32.239962207808496</v>
      </c>
      <c r="K5" s="89">
        <f>J5*F5</f>
        <v>19086.05762702263</v>
      </c>
      <c r="L5" s="93">
        <v>45</v>
      </c>
      <c r="M5" s="87">
        <f t="shared" ref="M5:M18" si="6">L5*F5</f>
        <v>26640</v>
      </c>
      <c r="N5" s="87">
        <f t="shared" ref="N5:N25" ca="1" si="7">SUMPRODUCT(($Q5:$AV5)*$L5)</f>
        <v>23805</v>
      </c>
      <c r="O5" s="94">
        <f t="shared" ref="O5:O25" ca="1" si="8">F5-SUM(Q5:AV5)-P5</f>
        <v>61</v>
      </c>
      <c r="P5" s="81">
        <f>1+1</f>
        <v>2</v>
      </c>
      <c r="Q5" s="81">
        <v>521</v>
      </c>
      <c r="R5" s="37">
        <v>0</v>
      </c>
      <c r="S5" s="37">
        <v>4</v>
      </c>
      <c r="T5" s="37">
        <v>0</v>
      </c>
      <c r="U5" s="37">
        <v>0</v>
      </c>
      <c r="V5" s="37">
        <v>1</v>
      </c>
      <c r="W5" s="37">
        <v>1</v>
      </c>
      <c r="X5" s="37">
        <v>0</v>
      </c>
      <c r="Y5" s="37">
        <v>0</v>
      </c>
      <c r="Z5" s="37">
        <v>1</v>
      </c>
      <c r="AA5" s="37">
        <f ca="1">SUMIFS('Tổng Đơn'!$F:$F,'Tổng Đơn'!$B:$B,$C5)</f>
        <v>1</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-41.451379981468065</v>
      </c>
      <c r="B6" s="6">
        <v>2</v>
      </c>
      <c r="C6" s="84" t="s">
        <v>276</v>
      </c>
      <c r="D6" s="92">
        <f t="shared" ref="D6:D11" si="10">G6*2</f>
        <v>81</v>
      </c>
      <c r="E6" s="85">
        <v>0.5</v>
      </c>
      <c r="F6" s="136">
        <f>20+60+20+20</f>
        <v>120</v>
      </c>
      <c r="G6" s="86">
        <v>40.5</v>
      </c>
      <c r="H6" s="87">
        <f t="shared" si="3"/>
        <v>4860</v>
      </c>
      <c r="I6" s="88">
        <f t="shared" si="4"/>
        <v>0.95137998146806879</v>
      </c>
      <c r="J6" s="162">
        <f t="shared" si="5"/>
        <v>41.451379981468065</v>
      </c>
      <c r="K6" s="89">
        <f t="shared" ref="K6:K17" si="11">J6*F6</f>
        <v>4974.1655977761675</v>
      </c>
      <c r="L6" s="93">
        <v>46</v>
      </c>
      <c r="M6" s="87">
        <f t="shared" si="6"/>
        <v>5520</v>
      </c>
      <c r="N6" s="87">
        <f t="shared" ca="1" si="7"/>
        <v>5520</v>
      </c>
      <c r="O6" s="94">
        <f t="shared" ca="1" si="8"/>
        <v>-1</v>
      </c>
      <c r="P6" s="81">
        <v>1</v>
      </c>
      <c r="Q6" s="81">
        <v>118</v>
      </c>
      <c r="R6" s="37">
        <v>0</v>
      </c>
      <c r="S6" s="37">
        <v>0</v>
      </c>
      <c r="T6" s="37">
        <v>2</v>
      </c>
      <c r="U6" s="37">
        <v>0</v>
      </c>
      <c r="V6" s="37">
        <v>0</v>
      </c>
      <c r="W6" s="37">
        <v>0</v>
      </c>
      <c r="X6" s="37">
        <v>0</v>
      </c>
      <c r="Y6" s="37">
        <v>0</v>
      </c>
      <c r="Z6" s="37">
        <v>0</v>
      </c>
      <c r="AA6" s="37">
        <f ca="1">SUMIFS('Tổng Đơn'!$F:$F,'Tổng Đơn'!$B:$B,$C6)</f>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1397.0650290050348</v>
      </c>
      <c r="B7" s="6">
        <v>3</v>
      </c>
      <c r="C7" s="84" t="s">
        <v>30</v>
      </c>
      <c r="D7" s="92">
        <f t="shared" si="10"/>
        <v>65</v>
      </c>
      <c r="E7" s="85">
        <v>0.5</v>
      </c>
      <c r="F7" s="136">
        <f>120+40+40+40</f>
        <v>240</v>
      </c>
      <c r="G7" s="86">
        <v>32.5</v>
      </c>
      <c r="H7" s="87">
        <f t="shared" si="3"/>
        <v>7800</v>
      </c>
      <c r="I7" s="88">
        <f t="shared" si="4"/>
        <v>0.76345307154845032</v>
      </c>
      <c r="J7" s="162">
        <f t="shared" si="5"/>
        <v>33.263453071548447</v>
      </c>
      <c r="K7" s="89">
        <f t="shared" si="11"/>
        <v>7983.2287371716275</v>
      </c>
      <c r="L7" s="93">
        <v>38</v>
      </c>
      <c r="M7" s="87">
        <f t="shared" si="6"/>
        <v>9120</v>
      </c>
      <c r="N7" s="87">
        <f t="shared" ca="1" si="7"/>
        <v>7448</v>
      </c>
      <c r="O7" s="94">
        <f t="shared" ca="1" si="8"/>
        <v>42</v>
      </c>
      <c r="P7" s="81">
        <v>2</v>
      </c>
      <c r="Q7" s="81">
        <v>191</v>
      </c>
      <c r="R7" s="37">
        <v>1</v>
      </c>
      <c r="S7" s="37">
        <v>2</v>
      </c>
      <c r="T7" s="37">
        <v>0</v>
      </c>
      <c r="U7" s="37">
        <v>0</v>
      </c>
      <c r="V7" s="37">
        <v>0</v>
      </c>
      <c r="W7" s="37">
        <v>1</v>
      </c>
      <c r="X7" s="37">
        <v>0</v>
      </c>
      <c r="Y7" s="37">
        <v>1</v>
      </c>
      <c r="Z7" s="37">
        <v>0</v>
      </c>
      <c r="AA7" s="37">
        <f ca="1">SUMIFS('Tổng Đơn'!$F:$F,'Tổng Đơn'!$B:$B,$C7)</f>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327.51707639678472</v>
      </c>
      <c r="B8" s="6">
        <v>4</v>
      </c>
      <c r="C8" s="84" t="s">
        <v>29</v>
      </c>
      <c r="D8" s="92">
        <f t="shared" si="10"/>
        <v>80</v>
      </c>
      <c r="E8" s="85">
        <v>0.5</v>
      </c>
      <c r="F8" s="136">
        <f>70+30+20+30+20+20+20+30+10+10+20+20</f>
        <v>300</v>
      </c>
      <c r="G8" s="86">
        <v>40</v>
      </c>
      <c r="H8" s="87">
        <f t="shared" si="3"/>
        <v>12000</v>
      </c>
      <c r="I8" s="88">
        <f t="shared" si="4"/>
        <v>0.93963454959809267</v>
      </c>
      <c r="J8" s="162">
        <f t="shared" si="5"/>
        <v>40.93963454959809</v>
      </c>
      <c r="K8" s="89">
        <f t="shared" si="11"/>
        <v>12281.890364879428</v>
      </c>
      <c r="L8" s="93">
        <v>45</v>
      </c>
      <c r="M8" s="87">
        <f t="shared" si="6"/>
        <v>13500</v>
      </c>
      <c r="N8" s="87">
        <f t="shared" ca="1" si="7"/>
        <v>13095</v>
      </c>
      <c r="O8" s="94">
        <f t="shared" ca="1" si="8"/>
        <v>8</v>
      </c>
      <c r="P8" s="81">
        <f>-1+2</f>
        <v>1</v>
      </c>
      <c r="Q8" s="81">
        <v>258</v>
      </c>
      <c r="R8" s="37">
        <v>0</v>
      </c>
      <c r="S8" s="37">
        <v>1</v>
      </c>
      <c r="T8" s="37">
        <v>0</v>
      </c>
      <c r="U8" s="37">
        <v>0</v>
      </c>
      <c r="V8" s="37">
        <v>6</v>
      </c>
      <c r="W8" s="37">
        <v>7</v>
      </c>
      <c r="X8" s="37">
        <v>2</v>
      </c>
      <c r="Y8" s="37">
        <v>3</v>
      </c>
      <c r="Z8" s="37">
        <v>13</v>
      </c>
      <c r="AA8" s="37">
        <f ca="1">SUMIFS('Tổng Đơn'!$F:$F,'Tổng Đơn'!$B:$B,$C8)</f>
        <v>1</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30</v>
      </c>
      <c r="AX8" s="82">
        <f t="shared" si="9"/>
        <v>1200</v>
      </c>
    </row>
    <row r="9" spans="1:50" ht="18.75" x14ac:dyDescent="0.25">
      <c r="A9" s="82">
        <f t="shared" ca="1" si="2"/>
        <v>1343.3317586586875</v>
      </c>
      <c r="B9" s="6">
        <v>5</v>
      </c>
      <c r="C9" s="84" t="s">
        <v>28</v>
      </c>
      <c r="D9" s="92">
        <f t="shared" si="10"/>
        <v>75</v>
      </c>
      <c r="E9" s="85">
        <v>0.5</v>
      </c>
      <c r="F9" s="136">
        <f>9+48+24+24+24</f>
        <v>129</v>
      </c>
      <c r="G9" s="86">
        <v>37.5</v>
      </c>
      <c r="H9" s="87">
        <f>G9*F9</f>
        <v>4837.5</v>
      </c>
      <c r="I9" s="88">
        <f>((H9/$H$4)*$A$2)/F9</f>
        <v>0.88090739024821185</v>
      </c>
      <c r="J9" s="162">
        <f t="shared" si="5"/>
        <v>38.380907390248211</v>
      </c>
      <c r="K9" s="89">
        <f t="shared" si="11"/>
        <v>4951.1370533420195</v>
      </c>
      <c r="L9" s="93">
        <v>42</v>
      </c>
      <c r="M9" s="87">
        <f t="shared" si="6"/>
        <v>5418</v>
      </c>
      <c r="N9" s="87">
        <f t="shared" ca="1" si="7"/>
        <v>3906</v>
      </c>
      <c r="O9" s="94">
        <f t="shared" ca="1" si="8"/>
        <v>35</v>
      </c>
      <c r="P9" s="81">
        <v>1</v>
      </c>
      <c r="Q9" s="81">
        <v>80</v>
      </c>
      <c r="R9" s="37">
        <v>1</v>
      </c>
      <c r="S9" s="37">
        <v>3</v>
      </c>
      <c r="T9" s="37">
        <v>0</v>
      </c>
      <c r="U9" s="37">
        <v>2</v>
      </c>
      <c r="V9" s="37">
        <v>0</v>
      </c>
      <c r="W9" s="37">
        <v>3</v>
      </c>
      <c r="X9" s="37">
        <v>0</v>
      </c>
      <c r="Y9" s="37">
        <v>2</v>
      </c>
      <c r="Z9" s="37">
        <v>2</v>
      </c>
      <c r="AA9" s="37">
        <f ca="1">SUMIFS('Tổng Đơn'!$F:$F,'Tổng Đơn'!$B:$B,$C9)</f>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241.54384384262875</v>
      </c>
      <c r="B10" s="6">
        <v>6</v>
      </c>
      <c r="C10" s="84" t="s">
        <v>61</v>
      </c>
      <c r="D10" s="92">
        <f t="shared" si="10"/>
        <v>59</v>
      </c>
      <c r="E10" s="85">
        <v>0.5</v>
      </c>
      <c r="F10" s="136">
        <f>60+20+40</f>
        <v>120</v>
      </c>
      <c r="G10" s="86">
        <v>29.5</v>
      </c>
      <c r="H10" s="87">
        <f t="shared" si="3"/>
        <v>3540</v>
      </c>
      <c r="I10" s="88">
        <f t="shared" si="4"/>
        <v>0.69298048032859338</v>
      </c>
      <c r="J10" s="162">
        <f t="shared" si="5"/>
        <v>30.192980480328593</v>
      </c>
      <c r="K10" s="89">
        <f t="shared" si="11"/>
        <v>3623.1576576394314</v>
      </c>
      <c r="L10" s="93">
        <v>35</v>
      </c>
      <c r="M10" s="87">
        <f t="shared" si="6"/>
        <v>4200</v>
      </c>
      <c r="N10" s="87">
        <f t="shared" ca="1" si="7"/>
        <v>3920</v>
      </c>
      <c r="O10" s="94">
        <f t="shared" ca="1" si="8"/>
        <v>8</v>
      </c>
      <c r="P10" s="81"/>
      <c r="Q10" s="81">
        <v>111</v>
      </c>
      <c r="R10" s="37">
        <v>0</v>
      </c>
      <c r="S10" s="37">
        <v>0</v>
      </c>
      <c r="T10" s="37">
        <v>0</v>
      </c>
      <c r="U10" s="37">
        <v>0</v>
      </c>
      <c r="V10" s="37">
        <v>0</v>
      </c>
      <c r="W10" s="37">
        <v>0</v>
      </c>
      <c r="X10" s="37">
        <v>0</v>
      </c>
      <c r="Y10" s="37">
        <v>0</v>
      </c>
      <c r="Z10" s="37">
        <v>1</v>
      </c>
      <c r="AA10" s="37">
        <f ca="1">SUMIFS('Tổng Đơn'!$F:$F,'Tổng Đơn'!$B:$B,$C10)</f>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0.77519850341842644</v>
      </c>
      <c r="J11" s="162">
        <f t="shared" si="5"/>
        <v>33.775198503418423</v>
      </c>
      <c r="K11" s="89">
        <f t="shared" si="11"/>
        <v>337.75198503418426</v>
      </c>
      <c r="L11" s="93">
        <v>40</v>
      </c>
      <c r="M11" s="87">
        <f t="shared" si="6"/>
        <v>400</v>
      </c>
      <c r="N11" s="87">
        <f t="shared" ca="1" si="7"/>
        <v>400</v>
      </c>
      <c r="O11" s="94">
        <f t="shared" ca="1" si="8"/>
        <v>0</v>
      </c>
      <c r="P11" s="81"/>
      <c r="Q11" s="81">
        <v>10</v>
      </c>
      <c r="R11" s="37">
        <v>0</v>
      </c>
      <c r="S11" s="37">
        <v>0</v>
      </c>
      <c r="T11" s="37">
        <v>0</v>
      </c>
      <c r="U11" s="37">
        <v>0</v>
      </c>
      <c r="V11" s="37">
        <v>0</v>
      </c>
      <c r="W11" s="37">
        <v>0</v>
      </c>
      <c r="X11" s="37">
        <v>0</v>
      </c>
      <c r="Y11" s="37">
        <v>0</v>
      </c>
      <c r="Z11" s="37">
        <v>0</v>
      </c>
      <c r="AA11" s="37">
        <f ca="1">SUMIFS('Tổng Đơn'!$F:$F,'Tổng Đơn'!$B:$B,$C11)</f>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0.66557447263198233</v>
      </c>
      <c r="J12" s="162">
        <f t="shared" si="5"/>
        <v>28.998907805965313</v>
      </c>
      <c r="K12" s="89">
        <f t="shared" si="11"/>
        <v>1043.9606810147513</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f>SUMIFS('Tổng Đơn'!$F:$F,'Tổng Đơn'!$B:$B,$C12)</f>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614.09451824397138</v>
      </c>
      <c r="B13" s="6">
        <v>9</v>
      </c>
      <c r="C13" s="84" t="s">
        <v>35</v>
      </c>
      <c r="D13" s="92">
        <f t="shared" ref="D13:D22" si="12">G13*2</f>
        <v>80</v>
      </c>
      <c r="E13" s="85">
        <v>0.5</v>
      </c>
      <c r="F13" s="136">
        <v>40</v>
      </c>
      <c r="G13" s="86">
        <v>40</v>
      </c>
      <c r="H13" s="87">
        <f t="shared" si="3"/>
        <v>1600</v>
      </c>
      <c r="I13" s="88">
        <f t="shared" si="4"/>
        <v>0.93963454959809278</v>
      </c>
      <c r="J13" s="162">
        <f t="shared" si="5"/>
        <v>40.93963454959809</v>
      </c>
      <c r="K13" s="89">
        <f t="shared" si="11"/>
        <v>1637.5853819839235</v>
      </c>
      <c r="L13" s="93">
        <v>45</v>
      </c>
      <c r="M13" s="87">
        <f t="shared" si="6"/>
        <v>1800</v>
      </c>
      <c r="N13" s="87">
        <f t="shared" ca="1" si="7"/>
        <v>1125</v>
      </c>
      <c r="O13" s="94">
        <f t="shared" ca="1" si="8"/>
        <v>15</v>
      </c>
      <c r="P13" s="81"/>
      <c r="Q13" s="81">
        <v>25</v>
      </c>
      <c r="R13" s="37">
        <v>0</v>
      </c>
      <c r="S13" s="37">
        <v>0</v>
      </c>
      <c r="T13" s="37">
        <v>0</v>
      </c>
      <c r="U13" s="37">
        <v>0</v>
      </c>
      <c r="V13" s="37">
        <v>0</v>
      </c>
      <c r="W13" s="37">
        <v>0</v>
      </c>
      <c r="X13" s="37">
        <v>0</v>
      </c>
      <c r="Y13" s="37">
        <v>0</v>
      </c>
      <c r="Z13" s="37">
        <v>0</v>
      </c>
      <c r="AA13" s="37">
        <f ca="1">SUMIFS('Tổng Đơn'!$F:$F,'Tổng Đơn'!$B:$B,$C13)</f>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1310.0683055871389</v>
      </c>
      <c r="B14" s="6">
        <v>10</v>
      </c>
      <c r="C14" s="84" t="s">
        <v>34</v>
      </c>
      <c r="D14" s="92">
        <f t="shared" si="12"/>
        <v>80</v>
      </c>
      <c r="E14" s="85">
        <v>0.5</v>
      </c>
      <c r="F14" s="136">
        <v>40</v>
      </c>
      <c r="G14" s="86">
        <v>40</v>
      </c>
      <c r="H14" s="87">
        <f t="shared" si="3"/>
        <v>1600</v>
      </c>
      <c r="I14" s="88">
        <f t="shared" si="4"/>
        <v>0.93963454959809278</v>
      </c>
      <c r="J14" s="162">
        <f t="shared" si="5"/>
        <v>40.93963454959809</v>
      </c>
      <c r="K14" s="89">
        <f t="shared" si="11"/>
        <v>1637.5853819839235</v>
      </c>
      <c r="L14" s="93">
        <v>45</v>
      </c>
      <c r="M14" s="87">
        <f t="shared" si="6"/>
        <v>1800</v>
      </c>
      <c r="N14" s="87">
        <f t="shared" ca="1" si="7"/>
        <v>360</v>
      </c>
      <c r="O14" s="94">
        <f t="shared" ca="1" si="8"/>
        <v>32</v>
      </c>
      <c r="P14" s="81"/>
      <c r="Q14" s="81">
        <v>8</v>
      </c>
      <c r="R14" s="37">
        <v>0</v>
      </c>
      <c r="S14" s="37">
        <v>0</v>
      </c>
      <c r="T14" s="37">
        <v>0</v>
      </c>
      <c r="U14" s="37">
        <v>0</v>
      </c>
      <c r="V14" s="37">
        <v>0</v>
      </c>
      <c r="W14" s="37">
        <v>0</v>
      </c>
      <c r="X14" s="37">
        <v>0</v>
      </c>
      <c r="Y14" s="37">
        <v>0</v>
      </c>
      <c r="Z14" s="37">
        <v>0</v>
      </c>
      <c r="AA14" s="37">
        <f ca="1">SUMIFS('Tổng Đơn'!$F:$F,'Tổng Đơn'!$B:$B,$C14)</f>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736.91342189276565</v>
      </c>
      <c r="B15" s="6">
        <v>11</v>
      </c>
      <c r="C15" s="84" t="s">
        <v>33</v>
      </c>
      <c r="D15" s="92">
        <f t="shared" si="12"/>
        <v>80</v>
      </c>
      <c r="E15" s="85">
        <v>0.5</v>
      </c>
      <c r="F15" s="136">
        <v>40</v>
      </c>
      <c r="G15" s="86">
        <v>40</v>
      </c>
      <c r="H15" s="87">
        <f t="shared" si="3"/>
        <v>1600</v>
      </c>
      <c r="I15" s="88">
        <f t="shared" si="4"/>
        <v>0.93963454959809278</v>
      </c>
      <c r="J15" s="162">
        <f t="shared" si="5"/>
        <v>40.93963454959809</v>
      </c>
      <c r="K15" s="89">
        <f t="shared" si="11"/>
        <v>1637.5853819839235</v>
      </c>
      <c r="L15" s="93">
        <v>45</v>
      </c>
      <c r="M15" s="87">
        <f t="shared" si="6"/>
        <v>1800</v>
      </c>
      <c r="N15" s="87">
        <f t="shared" ca="1" si="7"/>
        <v>990</v>
      </c>
      <c r="O15" s="94">
        <f t="shared" ca="1" si="8"/>
        <v>18</v>
      </c>
      <c r="P15" s="81"/>
      <c r="Q15" s="81">
        <v>19</v>
      </c>
      <c r="R15" s="37">
        <v>0</v>
      </c>
      <c r="S15" s="37">
        <v>0</v>
      </c>
      <c r="T15" s="37">
        <v>1</v>
      </c>
      <c r="U15" s="37">
        <v>0</v>
      </c>
      <c r="V15" s="37">
        <v>0</v>
      </c>
      <c r="W15" s="37">
        <v>0</v>
      </c>
      <c r="X15" s="37">
        <v>1</v>
      </c>
      <c r="Y15" s="37">
        <v>0</v>
      </c>
      <c r="Z15" s="37">
        <v>1</v>
      </c>
      <c r="AA15" s="37">
        <f ca="1">SUMIFS('Tổng Đơn'!$F:$F,'Tổng Đơn'!$B:$B,$C15)</f>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1064.4304982895503</v>
      </c>
      <c r="B16" s="6">
        <v>12</v>
      </c>
      <c r="C16" s="84" t="s">
        <v>32</v>
      </c>
      <c r="D16" s="92">
        <f t="shared" si="12"/>
        <v>80</v>
      </c>
      <c r="E16" s="85">
        <v>0.5</v>
      </c>
      <c r="F16" s="136">
        <v>40</v>
      </c>
      <c r="G16" s="86">
        <v>40</v>
      </c>
      <c r="H16" s="87">
        <f t="shared" si="3"/>
        <v>1600</v>
      </c>
      <c r="I16" s="88">
        <f t="shared" si="4"/>
        <v>0.93963454959809278</v>
      </c>
      <c r="J16" s="162">
        <f t="shared" si="5"/>
        <v>40.93963454959809</v>
      </c>
      <c r="K16" s="89">
        <f t="shared" si="11"/>
        <v>1637.5853819839235</v>
      </c>
      <c r="L16" s="93">
        <v>45</v>
      </c>
      <c r="M16" s="87">
        <f t="shared" si="6"/>
        <v>1800</v>
      </c>
      <c r="N16" s="87">
        <f t="shared" ca="1" si="7"/>
        <v>630</v>
      </c>
      <c r="O16" s="94">
        <f t="shared" ca="1" si="8"/>
        <v>26</v>
      </c>
      <c r="P16" s="81"/>
      <c r="Q16" s="81">
        <v>14</v>
      </c>
      <c r="R16" s="37">
        <v>0</v>
      </c>
      <c r="S16" s="37">
        <v>0</v>
      </c>
      <c r="T16" s="37">
        <v>0</v>
      </c>
      <c r="U16" s="37">
        <v>0</v>
      </c>
      <c r="V16" s="37">
        <v>0</v>
      </c>
      <c r="W16" s="37">
        <v>0</v>
      </c>
      <c r="X16" s="37">
        <v>0</v>
      </c>
      <c r="Y16" s="37">
        <v>0</v>
      </c>
      <c r="Z16" s="37">
        <v>0</v>
      </c>
      <c r="AA16" s="37">
        <f ca="1">SUMIFS('Tổng Đơn'!$F:$F,'Tổng Đơn'!$B:$B,$C16)</f>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286.57744184718661</v>
      </c>
      <c r="B17" s="6">
        <v>13</v>
      </c>
      <c r="C17" s="84" t="s">
        <v>58</v>
      </c>
      <c r="D17" s="92">
        <f t="shared" si="12"/>
        <v>80</v>
      </c>
      <c r="E17" s="85">
        <v>0.5</v>
      </c>
      <c r="F17" s="136">
        <v>40</v>
      </c>
      <c r="G17" s="86">
        <v>40</v>
      </c>
      <c r="H17" s="87">
        <f t="shared" si="3"/>
        <v>1600</v>
      </c>
      <c r="I17" s="88">
        <f t="shared" si="4"/>
        <v>0.93963454959809278</v>
      </c>
      <c r="J17" s="162">
        <f t="shared" si="5"/>
        <v>40.93963454959809</v>
      </c>
      <c r="K17" s="89">
        <f t="shared" si="11"/>
        <v>1637.5853819839235</v>
      </c>
      <c r="L17" s="93">
        <v>45</v>
      </c>
      <c r="M17" s="87">
        <f t="shared" si="6"/>
        <v>1800</v>
      </c>
      <c r="N17" s="87">
        <f t="shared" ca="1" si="7"/>
        <v>1485</v>
      </c>
      <c r="O17" s="94">
        <f t="shared" ca="1" si="8"/>
        <v>7</v>
      </c>
      <c r="P17" s="81"/>
      <c r="Q17" s="81">
        <v>33</v>
      </c>
      <c r="R17" s="37">
        <v>0</v>
      </c>
      <c r="S17" s="37">
        <v>0</v>
      </c>
      <c r="T17" s="37">
        <v>0</v>
      </c>
      <c r="U17" s="37">
        <v>0</v>
      </c>
      <c r="V17" s="37">
        <v>0</v>
      </c>
      <c r="W17" s="37">
        <v>0</v>
      </c>
      <c r="X17" s="37">
        <v>0</v>
      </c>
      <c r="Y17" s="37">
        <v>0</v>
      </c>
      <c r="Z17" s="37">
        <v>0</v>
      </c>
      <c r="AA17" s="37">
        <f ca="1">SUMIFS('Tổng Đơn'!$F:$F,'Tổng Đơn'!$B:$B,$C17)</f>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417.54387145075293</v>
      </c>
      <c r="B18" s="6">
        <v>14</v>
      </c>
      <c r="C18" s="84" t="s">
        <v>144</v>
      </c>
      <c r="D18" s="92">
        <f t="shared" si="12"/>
        <v>54.39473684210526</v>
      </c>
      <c r="E18" s="85">
        <v>0.5</v>
      </c>
      <c r="F18" s="136">
        <f>80</f>
        <v>80</v>
      </c>
      <c r="G18" s="86">
        <f>1033.5/38</f>
        <v>27.19736842105263</v>
      </c>
      <c r="H18" s="87">
        <f t="shared" si="3"/>
        <v>2175.7894736842104</v>
      </c>
      <c r="I18" s="88">
        <f t="shared" si="4"/>
        <v>0.63888967566422938</v>
      </c>
      <c r="J18" s="162">
        <f t="shared" ref="J18" si="13">G18+I18</f>
        <v>27.836258096716861</v>
      </c>
      <c r="K18" s="89">
        <f t="shared" ref="K18" si="14">J18*F18</f>
        <v>2226.9006477373487</v>
      </c>
      <c r="L18" s="93">
        <v>35</v>
      </c>
      <c r="M18" s="87">
        <f t="shared" si="6"/>
        <v>2800</v>
      </c>
      <c r="N18" s="87">
        <f t="shared" ca="1" si="7"/>
        <v>2275</v>
      </c>
      <c r="O18" s="94">
        <f t="shared" ca="1" si="8"/>
        <v>15</v>
      </c>
      <c r="P18" s="81"/>
      <c r="Q18" s="81">
        <v>65</v>
      </c>
      <c r="R18" s="37">
        <v>0</v>
      </c>
      <c r="S18" s="37">
        <v>0</v>
      </c>
      <c r="T18" s="37">
        <v>0</v>
      </c>
      <c r="U18" s="37">
        <v>0</v>
      </c>
      <c r="V18" s="37">
        <v>0</v>
      </c>
      <c r="W18" s="37">
        <v>0</v>
      </c>
      <c r="X18" s="37">
        <v>0</v>
      </c>
      <c r="Y18" s="37">
        <v>0</v>
      </c>
      <c r="Z18" s="37">
        <v>0</v>
      </c>
      <c r="AA18" s="37">
        <f ca="1">SUMIFS('Tổng Đơn'!$F:$F,'Tổng Đơn'!$B:$B,$C18)</f>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1166.7795846635456</v>
      </c>
      <c r="B19" s="6">
        <v>15</v>
      </c>
      <c r="C19" s="84" t="s">
        <v>182</v>
      </c>
      <c r="D19" s="92">
        <f t="shared" si="12"/>
        <v>120</v>
      </c>
      <c r="E19" s="85">
        <v>0.5</v>
      </c>
      <c r="F19" s="136">
        <f>60+20+20+20+20+20+20+20</f>
        <v>200</v>
      </c>
      <c r="G19" s="86">
        <v>60</v>
      </c>
      <c r="H19" s="87">
        <f t="shared" si="3"/>
        <v>12000</v>
      </c>
      <c r="I19" s="88">
        <f t="shared" si="4"/>
        <v>1.409451824397139</v>
      </c>
      <c r="J19" s="162">
        <f t="shared" ref="J19" si="15">G19+I19</f>
        <v>61.409451824397138</v>
      </c>
      <c r="K19" s="89">
        <f t="shared" ref="K19" si="16">J19*F19</f>
        <v>12281.890364879428</v>
      </c>
      <c r="L19" s="93">
        <v>70</v>
      </c>
      <c r="M19" s="87">
        <f t="shared" ref="M19" si="17">L19*F19</f>
        <v>14000</v>
      </c>
      <c r="N19" s="87">
        <f t="shared" ca="1" si="7"/>
        <v>12600</v>
      </c>
      <c r="O19" s="94">
        <f t="shared" ca="1" si="8"/>
        <v>19</v>
      </c>
      <c r="P19" s="81">
        <v>1</v>
      </c>
      <c r="Q19" s="81">
        <v>171</v>
      </c>
      <c r="R19" s="37">
        <v>0</v>
      </c>
      <c r="S19" s="37">
        <v>3</v>
      </c>
      <c r="T19" s="37">
        <v>0</v>
      </c>
      <c r="U19" s="37">
        <v>2</v>
      </c>
      <c r="V19" s="37">
        <v>0</v>
      </c>
      <c r="W19" s="37">
        <v>0</v>
      </c>
      <c r="X19" s="37">
        <v>0</v>
      </c>
      <c r="Y19" s="37">
        <v>3</v>
      </c>
      <c r="Z19" s="37">
        <v>0</v>
      </c>
      <c r="AA19" s="37">
        <f ca="1">SUMIFS('Tổng Đơn'!$F:$F,'Tổng Đơn'!$B:$B,$C19)</f>
        <v>1</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2417.9971655856375</v>
      </c>
      <c r="B20" s="6">
        <v>16</v>
      </c>
      <c r="C20" s="84" t="s">
        <v>141</v>
      </c>
      <c r="D20" s="92">
        <f t="shared" si="12"/>
        <v>75</v>
      </c>
      <c r="E20" s="85">
        <v>0.5</v>
      </c>
      <c r="F20" s="136">
        <f>161+40+80+40+40+40+40</f>
        <v>441</v>
      </c>
      <c r="G20" s="86">
        <v>37.5</v>
      </c>
      <c r="H20" s="87">
        <f t="shared" ref="H20:H25" si="18">G20*F20</f>
        <v>16537.5</v>
      </c>
      <c r="I20" s="88">
        <f t="shared" ref="I20:I21" si="19">((H20/$H$4)*$A$2)/F20</f>
        <v>0.88090739024821174</v>
      </c>
      <c r="J20" s="162">
        <f t="shared" ref="J20:J21" si="20">G20+I20</f>
        <v>38.380907390248211</v>
      </c>
      <c r="K20" s="89">
        <f t="shared" ref="K20:K21" si="21">J20*F20</f>
        <v>16925.980159099461</v>
      </c>
      <c r="L20" s="93">
        <v>42</v>
      </c>
      <c r="M20" s="87">
        <f t="shared" ref="M20:M21" si="22">L20*F20</f>
        <v>18522</v>
      </c>
      <c r="N20" s="87">
        <f t="shared" ca="1" si="7"/>
        <v>15876</v>
      </c>
      <c r="O20" s="94">
        <f t="shared" ca="1" si="8"/>
        <v>63</v>
      </c>
      <c r="P20" s="81"/>
      <c r="Q20" s="81">
        <v>365</v>
      </c>
      <c r="R20" s="37">
        <v>0</v>
      </c>
      <c r="S20" s="37">
        <v>3</v>
      </c>
      <c r="T20" s="37">
        <v>0</v>
      </c>
      <c r="U20" s="37">
        <v>3</v>
      </c>
      <c r="V20" s="37">
        <v>0</v>
      </c>
      <c r="W20" s="37">
        <v>4</v>
      </c>
      <c r="X20" s="37">
        <v>1</v>
      </c>
      <c r="Y20" s="37">
        <v>1</v>
      </c>
      <c r="Z20" s="37">
        <v>0</v>
      </c>
      <c r="AA20" s="37">
        <f ca="1">SUMIFS('Tổng Đơn'!$F:$F,'Tổng Đơn'!$B:$B,$C20)</f>
        <v>1</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2431.8142922461266</v>
      </c>
      <c r="B21" s="6">
        <v>17</v>
      </c>
      <c r="C21" s="84" t="s">
        <v>196</v>
      </c>
      <c r="D21" s="92">
        <f t="shared" si="12"/>
        <v>88</v>
      </c>
      <c r="E21" s="85">
        <v>0.5</v>
      </c>
      <c r="F21" s="136">
        <f>80</f>
        <v>80</v>
      </c>
      <c r="G21" s="86">
        <v>44</v>
      </c>
      <c r="H21" s="87">
        <f t="shared" si="18"/>
        <v>3520</v>
      </c>
      <c r="I21" s="88">
        <f t="shared" si="19"/>
        <v>1.0335980045579019</v>
      </c>
      <c r="J21" s="162">
        <f t="shared" si="20"/>
        <v>45.033598004557902</v>
      </c>
      <c r="K21" s="89">
        <f t="shared" si="21"/>
        <v>3602.6878403646324</v>
      </c>
      <c r="L21" s="93">
        <v>54</v>
      </c>
      <c r="M21" s="87">
        <f t="shared" si="22"/>
        <v>4320</v>
      </c>
      <c r="N21" s="87">
        <f t="shared" ca="1" si="7"/>
        <v>1350</v>
      </c>
      <c r="O21" s="94">
        <f t="shared" ca="1" si="8"/>
        <v>54</v>
      </c>
      <c r="P21" s="81">
        <v>1</v>
      </c>
      <c r="Q21" s="81">
        <v>25</v>
      </c>
      <c r="R21" s="37">
        <v>0</v>
      </c>
      <c r="S21" s="37">
        <v>0</v>
      </c>
      <c r="T21" s="37">
        <v>0</v>
      </c>
      <c r="U21" s="37">
        <v>0</v>
      </c>
      <c r="V21" s="37">
        <v>0</v>
      </c>
      <c r="W21" s="37">
        <v>0</v>
      </c>
      <c r="X21" s="37">
        <v>0</v>
      </c>
      <c r="Y21" s="37">
        <v>0</v>
      </c>
      <c r="Z21" s="37">
        <v>0</v>
      </c>
      <c r="AA21" s="37">
        <f ca="1">SUMIFS('Tổng Đơn'!$F:$F,'Tổng Đơn'!$B:$B,$C21)</f>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149.42966610603304</v>
      </c>
      <c r="B22" s="6">
        <v>18</v>
      </c>
      <c r="C22" s="84" t="s">
        <v>201</v>
      </c>
      <c r="D22" s="92">
        <f t="shared" si="12"/>
        <v>73</v>
      </c>
      <c r="E22" s="85">
        <v>0.5</v>
      </c>
      <c r="F22" s="136">
        <f>40</f>
        <v>40</v>
      </c>
      <c r="G22" s="86">
        <v>36.5</v>
      </c>
      <c r="H22" s="87">
        <f t="shared" si="18"/>
        <v>1460</v>
      </c>
      <c r="I22" s="88">
        <f t="shared" ref="I22:I23" si="23">((H22/$H$4)*$A$2)/F22</f>
        <v>0.85741652650825961</v>
      </c>
      <c r="J22" s="162">
        <f t="shared" ref="J22:J23" si="24">G22+I22</f>
        <v>37.35741652650826</v>
      </c>
      <c r="K22" s="89">
        <f t="shared" ref="K22:K23" si="25">J22*F22</f>
        <v>1494.2966610603303</v>
      </c>
      <c r="L22" s="93">
        <v>42</v>
      </c>
      <c r="M22" s="87">
        <f t="shared" ref="M22:M23" si="26">L22*F22</f>
        <v>1680</v>
      </c>
      <c r="N22" s="87">
        <f t="shared" ca="1" si="7"/>
        <v>1470</v>
      </c>
      <c r="O22" s="94">
        <f t="shared" ca="1" si="8"/>
        <v>4</v>
      </c>
      <c r="P22" s="81">
        <v>1</v>
      </c>
      <c r="Q22" s="81">
        <v>34</v>
      </c>
      <c r="R22" s="37">
        <v>0</v>
      </c>
      <c r="S22" s="37">
        <v>0</v>
      </c>
      <c r="T22" s="37">
        <v>0</v>
      </c>
      <c r="U22" s="37">
        <v>0</v>
      </c>
      <c r="V22" s="37">
        <v>0</v>
      </c>
      <c r="W22" s="37">
        <v>0</v>
      </c>
      <c r="X22" s="37">
        <v>0</v>
      </c>
      <c r="Y22" s="37">
        <v>1</v>
      </c>
      <c r="Z22" s="37">
        <v>0</v>
      </c>
      <c r="AA22" s="37">
        <f ca="1">SUMIFS('Tổng Đơn'!$F:$F,'Tổng Đơn'!$B:$B,$C22)</f>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540.40317605469477</v>
      </c>
      <c r="B23" s="6">
        <v>19</v>
      </c>
      <c r="C23" s="84" t="s">
        <v>233</v>
      </c>
      <c r="D23" s="92">
        <v>24</v>
      </c>
      <c r="E23" s="85">
        <v>0.3</v>
      </c>
      <c r="F23" s="136">
        <f>260+40+80+100+40-16+80+40+40+10+40+40+20</f>
        <v>774</v>
      </c>
      <c r="G23" s="86">
        <f>D23/2</f>
        <v>12</v>
      </c>
      <c r="H23" s="87">
        <f t="shared" si="18"/>
        <v>9288</v>
      </c>
      <c r="I23" s="88">
        <f t="shared" si="23"/>
        <v>0.28189036487942776</v>
      </c>
      <c r="J23" s="162">
        <f t="shared" si="24"/>
        <v>12.281890364879427</v>
      </c>
      <c r="K23" s="89">
        <f t="shared" si="25"/>
        <v>9506.1831424166758</v>
      </c>
      <c r="L23" s="93">
        <v>16</v>
      </c>
      <c r="M23" s="87">
        <f t="shared" si="26"/>
        <v>12384</v>
      </c>
      <c r="N23" s="87">
        <f t="shared" ca="1" si="7"/>
        <v>11616</v>
      </c>
      <c r="O23" s="94">
        <f t="shared" ca="1" si="8"/>
        <v>44</v>
      </c>
      <c r="P23" s="81">
        <v>4</v>
      </c>
      <c r="Q23" s="81">
        <v>712</v>
      </c>
      <c r="R23" s="37">
        <v>0</v>
      </c>
      <c r="S23" s="37">
        <v>2</v>
      </c>
      <c r="T23" s="37">
        <v>10</v>
      </c>
      <c r="U23" s="37">
        <v>2</v>
      </c>
      <c r="V23" s="37">
        <v>0</v>
      </c>
      <c r="W23" s="37">
        <v>0</v>
      </c>
      <c r="X23" s="37">
        <v>0</v>
      </c>
      <c r="Y23" s="37">
        <v>0</v>
      </c>
      <c r="Z23" s="37">
        <v>0</v>
      </c>
      <c r="AA23" s="37">
        <f ca="1">SUMIFS('Tổng Đơn'!$F:$F,'Tổng Đơn'!$B:$B,$C23)</f>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0.79868936715837879</v>
      </c>
      <c r="J24" s="162">
        <f t="shared" ref="J24" si="28">G24+I24</f>
        <v>34.798689367158381</v>
      </c>
      <c r="K24" s="89">
        <f t="shared" ref="K24" si="29">J24*F24</f>
        <v>347.9868936715838</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f ca="1">SUMIFS('Tổng Đơn'!$F:$F,'Tổng Đơn'!$B:$B,$C24)</f>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561.99883327960777</v>
      </c>
      <c r="B25" s="6">
        <v>21</v>
      </c>
      <c r="C25" s="84" t="s">
        <v>298</v>
      </c>
      <c r="D25" s="92">
        <f>G25*2</f>
        <v>64.599999999999994</v>
      </c>
      <c r="E25" s="85">
        <v>0.5</v>
      </c>
      <c r="F25" s="136">
        <v>40</v>
      </c>
      <c r="G25" s="86">
        <v>32.299999999999997</v>
      </c>
      <c r="H25" s="87">
        <f t="shared" si="18"/>
        <v>1292</v>
      </c>
      <c r="I25" s="88">
        <f t="shared" ref="I25" si="31">((H25/$H$4)*$A$2)/F25</f>
        <v>0.75875489880045976</v>
      </c>
      <c r="J25" s="162">
        <f t="shared" ref="J25" si="32">G25+I25</f>
        <v>33.058754898800458</v>
      </c>
      <c r="K25" s="89">
        <f t="shared" ref="K25" si="33">J25*F25</f>
        <v>1322.3501959520183</v>
      </c>
      <c r="L25" s="93">
        <v>40</v>
      </c>
      <c r="M25" s="87">
        <f t="shared" si="30"/>
        <v>1600</v>
      </c>
      <c r="N25" s="87">
        <f t="shared" ca="1" si="7"/>
        <v>920</v>
      </c>
      <c r="O25" s="94">
        <f t="shared" ca="1" si="8"/>
        <v>17</v>
      </c>
      <c r="P25" s="81"/>
      <c r="Q25" s="81">
        <v>22</v>
      </c>
      <c r="R25" s="37">
        <v>0</v>
      </c>
      <c r="S25" s="37">
        <v>0</v>
      </c>
      <c r="T25" s="37">
        <v>0</v>
      </c>
      <c r="U25" s="37">
        <v>0</v>
      </c>
      <c r="V25" s="37">
        <v>0</v>
      </c>
      <c r="W25" s="37">
        <v>1</v>
      </c>
      <c r="X25" s="37">
        <v>0</v>
      </c>
      <c r="Y25" s="37">
        <v>0</v>
      </c>
      <c r="Z25" s="37">
        <v>0</v>
      </c>
      <c r="AA25" s="37">
        <f ca="1">SUMIFS('Tổng Đơn'!$F:$F,'Tổng Đơn'!$B:$B,$C25)</f>
        <v>0</v>
      </c>
      <c r="AB25" s="37">
        <v>0</v>
      </c>
      <c r="AC25" s="37">
        <v>0</v>
      </c>
      <c r="AD25" s="37">
        <v>0</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3">
        <v>0.5</v>
      </c>
      <c r="F27" s="230">
        <v>198</v>
      </c>
      <c r="G27" s="223">
        <v>36.5</v>
      </c>
      <c r="H27" s="220">
        <v>7227</v>
      </c>
      <c r="I27" s="218">
        <v>0.80008460399561587</v>
      </c>
      <c r="J27" s="231">
        <v>37.300084603995614</v>
      </c>
      <c r="K27" s="214">
        <v>7385.4167515911313</v>
      </c>
      <c r="L27" s="226">
        <v>42</v>
      </c>
      <c r="M27" s="220">
        <v>8316</v>
      </c>
      <c r="N27" s="220">
        <v>8274</v>
      </c>
      <c r="O27" s="232">
        <v>0</v>
      </c>
      <c r="P27" s="148">
        <v>1</v>
      </c>
      <c r="Q27" s="148">
        <v>182</v>
      </c>
      <c r="R27" s="233">
        <v>0</v>
      </c>
      <c r="S27" s="233">
        <v>0</v>
      </c>
      <c r="T27" s="233">
        <v>0</v>
      </c>
      <c r="U27" s="233">
        <v>0</v>
      </c>
      <c r="V27" s="233">
        <v>0</v>
      </c>
      <c r="W27" s="233">
        <v>0</v>
      </c>
      <c r="X27" s="233">
        <v>0</v>
      </c>
      <c r="Y27" s="233">
        <v>0</v>
      </c>
      <c r="Z27" s="233">
        <v>0</v>
      </c>
      <c r="AA27" s="233">
        <v>0</v>
      </c>
      <c r="AB27" s="233">
        <v>15</v>
      </c>
      <c r="AC27" s="233">
        <v>0</v>
      </c>
      <c r="AD27" s="233">
        <v>0</v>
      </c>
      <c r="AE27" s="233">
        <v>0</v>
      </c>
      <c r="AF27" s="233">
        <v>0</v>
      </c>
      <c r="AG27" s="233">
        <v>0</v>
      </c>
      <c r="AH27" s="233">
        <v>0</v>
      </c>
      <c r="AI27" s="233">
        <v>0</v>
      </c>
      <c r="AJ27" s="233">
        <v>0</v>
      </c>
      <c r="AK27" s="233">
        <v>0</v>
      </c>
      <c r="AL27" s="233">
        <v>0</v>
      </c>
      <c r="AM27" s="233">
        <v>0</v>
      </c>
      <c r="AN27" s="233">
        <v>0</v>
      </c>
      <c r="AO27" s="233">
        <v>0</v>
      </c>
      <c r="AP27" s="233">
        <v>0</v>
      </c>
      <c r="AQ27" s="233">
        <v>0</v>
      </c>
      <c r="AR27" s="233">
        <v>0</v>
      </c>
      <c r="AS27" s="233">
        <v>0</v>
      </c>
      <c r="AT27" s="233">
        <v>0</v>
      </c>
      <c r="AU27" s="233">
        <v>0</v>
      </c>
      <c r="AV27" s="233">
        <v>0</v>
      </c>
      <c r="AW27" s="82">
        <v>0</v>
      </c>
      <c r="AX27" s="82">
        <v>0</v>
      </c>
    </row>
    <row r="30" spans="1:50" x14ac:dyDescent="0.25">
      <c r="L30" s="82">
        <f>J30*5</f>
        <v>0</v>
      </c>
    </row>
  </sheetData>
  <autoFilter ref="B4:M24"/>
  <mergeCells count="1">
    <mergeCell ref="B1:M1"/>
  </mergeCells>
  <conditionalFormatting sqref="C6:C17">
    <cfRule type="expression" dxfId="523" priority="21">
      <formula>($O6/$O6)&lt;=1/4</formula>
    </cfRule>
  </conditionalFormatting>
  <conditionalFormatting sqref="C18">
    <cfRule type="expression" dxfId="522" priority="18">
      <formula>($O18/$O18)&lt;=1/4</formula>
    </cfRule>
  </conditionalFormatting>
  <conditionalFormatting sqref="C5:C18">
    <cfRule type="expression" dxfId="521" priority="29">
      <formula>($O5/$F5)&lt;=1/4</formula>
    </cfRule>
  </conditionalFormatting>
  <conditionalFormatting sqref="C19">
    <cfRule type="expression" dxfId="520" priority="9">
      <formula>($O19/$O19)&lt;=1/4</formula>
    </cfRule>
  </conditionalFormatting>
  <conditionalFormatting sqref="C19">
    <cfRule type="expression" dxfId="519" priority="10">
      <formula>($O19/$F19)&lt;=1/4</formula>
    </cfRule>
  </conditionalFormatting>
  <conditionalFormatting sqref="C20:C21">
    <cfRule type="expression" dxfId="518" priority="7">
      <formula>($O20/$O20)&lt;=1/4</formula>
    </cfRule>
  </conditionalFormatting>
  <conditionalFormatting sqref="C20:C21">
    <cfRule type="expression" dxfId="517" priority="8">
      <formula>($O20/$F20)&lt;=1/4</formula>
    </cfRule>
  </conditionalFormatting>
  <conditionalFormatting sqref="C22:C23">
    <cfRule type="expression" dxfId="516" priority="5">
      <formula>($O22/$O22)&lt;=1/4</formula>
    </cfRule>
  </conditionalFormatting>
  <conditionalFormatting sqref="C22:C23">
    <cfRule type="expression" dxfId="515" priority="6">
      <formula>($O22/$F22)&lt;=1/4</formula>
    </cfRule>
  </conditionalFormatting>
  <conditionalFormatting sqref="C24">
    <cfRule type="expression" dxfId="514" priority="3">
      <formula>($O24/$O24)&lt;=1/4</formula>
    </cfRule>
  </conditionalFormatting>
  <conditionalFormatting sqref="C24">
    <cfRule type="expression" dxfId="513" priority="4">
      <formula>($O24/$F24)&lt;=1/4</formula>
    </cfRule>
  </conditionalFormatting>
  <conditionalFormatting sqref="C25:C26">
    <cfRule type="expression" dxfId="512" priority="1">
      <formula>($O25/$O25)&lt;=1/4</formula>
    </cfRule>
  </conditionalFormatting>
  <conditionalFormatting sqref="C25:C26">
    <cfRule type="expression" dxfId="511"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X2" sqref="AX2:AX4"/>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1" t="s">
        <v>59</v>
      </c>
      <c r="C1" s="251"/>
      <c r="D1" s="251"/>
      <c r="E1" s="251"/>
      <c r="F1" s="251"/>
      <c r="G1" s="251"/>
      <c r="H1" s="251"/>
      <c r="I1" s="251"/>
      <c r="J1" s="251"/>
      <c r="K1" s="251"/>
      <c r="L1" s="251"/>
      <c r="M1" s="251"/>
      <c r="N1" s="180"/>
    </row>
    <row r="2" spans="1:51" ht="34.5" customHeight="1" x14ac:dyDescent="0.25">
      <c r="A2" s="1">
        <f>300+200+120+200+200+200+140+190+120+60+100+95+145+70+100+165+70+80+320+100+270+80+100+140+50+170+140+170+110+140</f>
        <v>4345</v>
      </c>
      <c r="K2" s="13">
        <f>SUMPRODUCT((E5:E12)*(F5:F12))</f>
        <v>4192.5</v>
      </c>
      <c r="L2" s="13">
        <f>M4-K4</f>
        <v>35743.636363636382</v>
      </c>
      <c r="M2" s="8">
        <f>M4/K4-1</f>
        <v>0.1889614377947868</v>
      </c>
      <c r="N2" s="8"/>
      <c r="O2" s="82">
        <f>46+59+69+65</f>
        <v>239</v>
      </c>
      <c r="P2" s="82">
        <f>45+40+40+33+42+23+15</f>
        <v>238</v>
      </c>
      <c r="Q2" s="234"/>
      <c r="AX2" s="157">
        <v>-721</v>
      </c>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2"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1200</v>
      </c>
    </row>
    <row r="4" spans="1:51" s="62" customFormat="1" ht="27" customHeight="1" x14ac:dyDescent="0.25">
      <c r="A4" s="71">
        <f ca="1">SUBTOTAL(9,A5:A12)</f>
        <v>12265.746292451306</v>
      </c>
      <c r="B4" s="19"/>
      <c r="C4" s="19"/>
      <c r="D4" s="63"/>
      <c r="E4" s="19">
        <f>SUMPRODUCT((E5:E12)*(F5:F12))</f>
        <v>4192.5</v>
      </c>
      <c r="F4" s="19">
        <f>SUBTOTAL(9,F5:F12)</f>
        <v>8385</v>
      </c>
      <c r="G4" s="7"/>
      <c r="H4" s="7">
        <f>SUBTOTAL(9,H5:H12)</f>
        <v>184813.36363636365</v>
      </c>
      <c r="I4" s="12"/>
      <c r="J4" s="12"/>
      <c r="K4" s="12">
        <f>SUBTOTAL(9,K5:K12)</f>
        <v>189158.36363636362</v>
      </c>
      <c r="L4" s="64"/>
      <c r="M4" s="7">
        <f>SUBTOTAL(9,M5:M12)</f>
        <v>224902</v>
      </c>
      <c r="N4" s="7">
        <f ca="1">SUBTOTAL(9,N5:N12)</f>
        <v>209956</v>
      </c>
      <c r="O4" s="65">
        <f ca="1">SUBTOTAL(9,O5:O12)</f>
        <v>505</v>
      </c>
      <c r="P4" s="98">
        <f>SUBTOTAL(9,P5:P12)</f>
        <v>16</v>
      </c>
      <c r="Q4" s="98"/>
      <c r="R4" s="40">
        <f t="shared" ref="R4:AV4" si="0">SUBTOTAL(9,R5:R12)</f>
        <v>40</v>
      </c>
      <c r="S4" s="40">
        <f t="shared" si="0"/>
        <v>41</v>
      </c>
      <c r="T4" s="40">
        <f t="shared" si="0"/>
        <v>58</v>
      </c>
      <c r="U4" s="40">
        <f t="shared" si="0"/>
        <v>53</v>
      </c>
      <c r="V4" s="40">
        <f t="shared" si="0"/>
        <v>21</v>
      </c>
      <c r="W4" s="40">
        <f t="shared" si="0"/>
        <v>121</v>
      </c>
      <c r="X4" s="40">
        <f t="shared" si="0"/>
        <v>26</v>
      </c>
      <c r="Y4" s="40">
        <f t="shared" si="0"/>
        <v>55</v>
      </c>
      <c r="Z4" s="40">
        <f t="shared" si="0"/>
        <v>94</v>
      </c>
      <c r="AA4" s="40">
        <f t="shared" ca="1" si="0"/>
        <v>41</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208 Kg</v>
      </c>
      <c r="AX4" s="101">
        <f>SUBTOTAL(9,AX5:AX12)</f>
        <v>8564</v>
      </c>
    </row>
    <row r="5" spans="1:51" ht="18.75" x14ac:dyDescent="0.25">
      <c r="A5" s="82">
        <f t="shared" ref="A5:A12" ca="1" si="1">J5*O5</f>
        <v>4083.8057165287637</v>
      </c>
      <c r="B5" s="6">
        <v>1</v>
      </c>
      <c r="C5" s="84" t="s">
        <v>225</v>
      </c>
      <c r="D5" s="92">
        <v>38</v>
      </c>
      <c r="E5" s="6">
        <v>0.5</v>
      </c>
      <c r="F5" s="6">
        <f>240+126+126+100+126+210+126+42+84+84+126+210+84+210+126+84+126+420+420+210+210+42+210+252+210+126+210</f>
        <v>4540</v>
      </c>
      <c r="G5" s="86">
        <f t="shared" ref="G5:G12" si="2">D5/(1/E5)</f>
        <v>19</v>
      </c>
      <c r="H5" s="87">
        <f t="shared" ref="H5:H12" si="3">G5*F5</f>
        <v>86260</v>
      </c>
      <c r="I5" s="88">
        <f t="shared" ref="I5:I12" si="4">((H5/$H$4)*$A$2)/F5</f>
        <v>0.44669388823220668</v>
      </c>
      <c r="J5" s="162">
        <f t="shared" ref="J5:J12" si="5">G5+I5</f>
        <v>19.446693888232208</v>
      </c>
      <c r="K5" s="89">
        <f>J5*F5</f>
        <v>88287.990252574222</v>
      </c>
      <c r="L5" s="93">
        <v>23</v>
      </c>
      <c r="M5" s="87">
        <f t="shared" ref="M5:M12" si="6">L5*F5</f>
        <v>104420</v>
      </c>
      <c r="N5" s="87">
        <f t="shared" ref="N5:N12" ca="1" si="7">SUMPRODUCT(($Q5:$AV5)*$L5)</f>
        <v>99429</v>
      </c>
      <c r="O5" s="94">
        <f t="shared" ref="O5:O12" ca="1" si="8">F5-SUM(Q5:AV5)-P5</f>
        <v>210</v>
      </c>
      <c r="P5" s="81">
        <v>7</v>
      </c>
      <c r="Q5" s="81">
        <v>3944</v>
      </c>
      <c r="R5" s="37">
        <v>38</v>
      </c>
      <c r="S5" s="37">
        <v>21</v>
      </c>
      <c r="T5" s="37">
        <v>34</v>
      </c>
      <c r="U5" s="37">
        <v>45</v>
      </c>
      <c r="V5" s="37">
        <v>18</v>
      </c>
      <c r="W5" s="37">
        <v>90</v>
      </c>
      <c r="X5" s="37">
        <v>14</v>
      </c>
      <c r="Y5" s="37">
        <v>37</v>
      </c>
      <c r="Z5" s="37">
        <v>54</v>
      </c>
      <c r="AA5" s="37">
        <f ca="1">SUMIFS('Tổng Đơn'!$F:$F,'Tổng Đơn'!$B:$B,$C5)</f>
        <v>28</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f>8*42</f>
        <v>336</v>
      </c>
      <c r="AX5" s="82">
        <f>AW5*AY5/2</f>
        <v>6384</v>
      </c>
      <c r="AY5" s="82">
        <v>38</v>
      </c>
    </row>
    <row r="6" spans="1:51" ht="18.75" x14ac:dyDescent="0.25">
      <c r="A6" s="82">
        <f t="shared" ca="1" si="1"/>
        <v>150.45600008263867</v>
      </c>
      <c r="B6" s="6">
        <v>2</v>
      </c>
      <c r="C6" s="84" t="s">
        <v>226</v>
      </c>
      <c r="D6" s="92">
        <v>42</v>
      </c>
      <c r="E6" s="6">
        <v>0.5</v>
      </c>
      <c r="F6" s="6">
        <v>40</v>
      </c>
      <c r="G6" s="86">
        <f t="shared" si="2"/>
        <v>21</v>
      </c>
      <c r="H6" s="87">
        <f t="shared" si="3"/>
        <v>840</v>
      </c>
      <c r="I6" s="88">
        <f t="shared" si="4"/>
        <v>0.49371429751980739</v>
      </c>
      <c r="J6" s="162">
        <f t="shared" si="5"/>
        <v>21.493714297519809</v>
      </c>
      <c r="K6" s="89">
        <f>J6*F6</f>
        <v>859.74857190079229</v>
      </c>
      <c r="L6" s="93">
        <v>26</v>
      </c>
      <c r="M6" s="87">
        <f t="shared" si="6"/>
        <v>1040</v>
      </c>
      <c r="N6" s="87">
        <f t="shared" ca="1" si="7"/>
        <v>858</v>
      </c>
      <c r="O6" s="94">
        <f t="shared" ca="1" si="8"/>
        <v>7</v>
      </c>
      <c r="P6" s="81"/>
      <c r="Q6" s="81">
        <v>33</v>
      </c>
      <c r="R6" s="37">
        <v>0</v>
      </c>
      <c r="S6" s="37">
        <v>0</v>
      </c>
      <c r="T6" s="37">
        <v>0</v>
      </c>
      <c r="U6" s="37">
        <v>0</v>
      </c>
      <c r="V6" s="37">
        <v>0</v>
      </c>
      <c r="W6" s="37">
        <v>0</v>
      </c>
      <c r="X6" s="37">
        <v>0</v>
      </c>
      <c r="Y6" s="37">
        <v>0</v>
      </c>
      <c r="Z6" s="37">
        <v>0</v>
      </c>
      <c r="AA6" s="37">
        <f ca="1">SUMIFS('Tổng Đơn'!$F:$F,'Tổng Đơn'!$B:$B,$C6)</f>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601.82400033055467</v>
      </c>
      <c r="B7" s="6">
        <v>3</v>
      </c>
      <c r="C7" s="84" t="s">
        <v>227</v>
      </c>
      <c r="D7" s="92">
        <v>42</v>
      </c>
      <c r="E7" s="6">
        <v>0.5</v>
      </c>
      <c r="F7" s="6">
        <f>40+42+42+42+42+42+42</f>
        <v>292</v>
      </c>
      <c r="G7" s="86">
        <f t="shared" si="2"/>
        <v>21</v>
      </c>
      <c r="H7" s="87">
        <f t="shared" si="3"/>
        <v>6132</v>
      </c>
      <c r="I7" s="88">
        <f t="shared" si="4"/>
        <v>0.49371429751980739</v>
      </c>
      <c r="J7" s="162">
        <f t="shared" si="5"/>
        <v>21.493714297519809</v>
      </c>
      <c r="K7" s="89">
        <f t="shared" ref="K7:K12" si="10">J7*F7</f>
        <v>6276.1645748757837</v>
      </c>
      <c r="L7" s="93">
        <v>26</v>
      </c>
      <c r="M7" s="87">
        <f t="shared" si="6"/>
        <v>7592</v>
      </c>
      <c r="N7" s="87">
        <f t="shared" ca="1" si="7"/>
        <v>6812</v>
      </c>
      <c r="O7" s="94">
        <f t="shared" ca="1" si="8"/>
        <v>28</v>
      </c>
      <c r="P7" s="81">
        <v>2</v>
      </c>
      <c r="Q7" s="81">
        <v>260</v>
      </c>
      <c r="R7" s="37">
        <v>0</v>
      </c>
      <c r="S7" s="37">
        <v>0</v>
      </c>
      <c r="T7" s="37">
        <v>0</v>
      </c>
      <c r="U7" s="37">
        <v>0</v>
      </c>
      <c r="V7" s="37">
        <v>0</v>
      </c>
      <c r="W7" s="37">
        <v>0</v>
      </c>
      <c r="X7" s="37">
        <v>0</v>
      </c>
      <c r="Y7" s="37">
        <v>0</v>
      </c>
      <c r="Z7" s="37">
        <v>1</v>
      </c>
      <c r="AA7" s="37">
        <f ca="1">SUMIFS('Tổng Đơn'!$F:$F,'Tổng Đơn'!$B:$B,$C7)</f>
        <v>1</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450.34449004327212</v>
      </c>
      <c r="B8" s="6">
        <v>4</v>
      </c>
      <c r="C8" s="84" t="s">
        <v>228</v>
      </c>
      <c r="D8" s="92">
        <v>40</v>
      </c>
      <c r="E8" s="6">
        <v>0.5</v>
      </c>
      <c r="F8" s="6">
        <f>40+42+42+42</f>
        <v>166</v>
      </c>
      <c r="G8" s="86">
        <f t="shared" si="2"/>
        <v>20</v>
      </c>
      <c r="H8" s="87">
        <f t="shared" si="3"/>
        <v>3320</v>
      </c>
      <c r="I8" s="88">
        <f t="shared" si="4"/>
        <v>0.47020409287600701</v>
      </c>
      <c r="J8" s="162">
        <f t="shared" si="5"/>
        <v>20.470204092876006</v>
      </c>
      <c r="K8" s="89">
        <f t="shared" si="10"/>
        <v>3398.0538794174172</v>
      </c>
      <c r="L8" s="93">
        <v>26</v>
      </c>
      <c r="M8" s="87">
        <f t="shared" si="6"/>
        <v>4316</v>
      </c>
      <c r="N8" s="87">
        <f t="shared" ca="1" si="7"/>
        <v>3718</v>
      </c>
      <c r="O8" s="94">
        <f t="shared" ca="1" si="8"/>
        <v>22</v>
      </c>
      <c r="P8" s="81">
        <v>1</v>
      </c>
      <c r="Q8" s="81">
        <v>139</v>
      </c>
      <c r="R8" s="37">
        <v>0</v>
      </c>
      <c r="S8" s="37">
        <v>0</v>
      </c>
      <c r="T8" s="37">
        <v>0</v>
      </c>
      <c r="U8" s="37">
        <v>0</v>
      </c>
      <c r="V8" s="37">
        <v>0</v>
      </c>
      <c r="W8" s="37">
        <v>0</v>
      </c>
      <c r="X8" s="37">
        <v>0</v>
      </c>
      <c r="Y8" s="37">
        <v>1</v>
      </c>
      <c r="Z8" s="37">
        <v>3</v>
      </c>
      <c r="AA8" s="37">
        <f ca="1">SUMIFS('Tổng Đơn'!$F:$F,'Tổng Đơn'!$B:$B,$C8)</f>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1591.0931363099078</v>
      </c>
      <c r="B9" s="6">
        <v>5</v>
      </c>
      <c r="C9" s="84" t="s">
        <v>229</v>
      </c>
      <c r="D9" s="92">
        <f>(45*20)/22</f>
        <v>40.909090909090907</v>
      </c>
      <c r="E9" s="6">
        <v>0.5</v>
      </c>
      <c r="F9" s="6">
        <f>176+88+44+44+40+220+88+44+132+40+160+80+80+40+40+23+40+40+40</f>
        <v>1459</v>
      </c>
      <c r="G9" s="86">
        <f t="shared" si="2"/>
        <v>20.454545454545453</v>
      </c>
      <c r="H9" s="87">
        <f t="shared" si="3"/>
        <v>29843.181818181816</v>
      </c>
      <c r="I9" s="88">
        <f t="shared" si="4"/>
        <v>0.48089054953227994</v>
      </c>
      <c r="J9" s="162">
        <f t="shared" si="5"/>
        <v>20.935436004077733</v>
      </c>
      <c r="K9" s="89">
        <f t="shared" si="10"/>
        <v>30544.801129949414</v>
      </c>
      <c r="L9" s="93">
        <v>26</v>
      </c>
      <c r="M9" s="87">
        <f t="shared" si="6"/>
        <v>37934</v>
      </c>
      <c r="N9" s="87">
        <f t="shared" ca="1" si="7"/>
        <v>35880</v>
      </c>
      <c r="O9" s="94">
        <f t="shared" ca="1" si="8"/>
        <v>76</v>
      </c>
      <c r="P9" s="81">
        <f>1+2</f>
        <v>3</v>
      </c>
      <c r="Q9" s="81">
        <v>1322</v>
      </c>
      <c r="R9" s="37">
        <v>2</v>
      </c>
      <c r="S9" s="37">
        <v>3</v>
      </c>
      <c r="T9" s="37">
        <v>18</v>
      </c>
      <c r="U9" s="37">
        <v>1</v>
      </c>
      <c r="V9" s="37">
        <v>2</v>
      </c>
      <c r="W9" s="37">
        <v>5</v>
      </c>
      <c r="X9" s="37">
        <v>2</v>
      </c>
      <c r="Y9" s="37">
        <v>7</v>
      </c>
      <c r="Z9" s="37">
        <v>13</v>
      </c>
      <c r="AA9" s="37">
        <f ca="1">SUMIFS('Tổng Đơn'!$F:$F,'Tổng Đơn'!$B:$B,$C9)</f>
        <v>5</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40</v>
      </c>
      <c r="AX9" s="82">
        <f t="shared" si="9"/>
        <v>900</v>
      </c>
      <c r="AY9" s="82">
        <v>45</v>
      </c>
    </row>
    <row r="10" spans="1:51" ht="18.75" x14ac:dyDescent="0.25">
      <c r="A10" s="82">
        <f ca="1">J10*O10</f>
        <v>2352.2125430359338</v>
      </c>
      <c r="B10" s="6">
        <v>6</v>
      </c>
      <c r="C10" s="84" t="s">
        <v>230</v>
      </c>
      <c r="D10" s="92">
        <f>(64*20)/22</f>
        <v>58.18181818181818</v>
      </c>
      <c r="E10" s="6">
        <v>0.5</v>
      </c>
      <c r="F10" s="6">
        <f>176+88+88+132+88+132+44+44+40+80+120+40+40+40+40+40+40+40+40</f>
        <v>1352</v>
      </c>
      <c r="G10" s="86">
        <f t="shared" si="2"/>
        <v>29.09090909090909</v>
      </c>
      <c r="H10" s="87">
        <f t="shared" si="3"/>
        <v>39330.909090909088</v>
      </c>
      <c r="I10" s="88">
        <f t="shared" si="4"/>
        <v>0.68393322600146478</v>
      </c>
      <c r="J10" s="162">
        <f t="shared" si="5"/>
        <v>29.774842316910554</v>
      </c>
      <c r="K10" s="89">
        <f t="shared" si="10"/>
        <v>40255.586812463072</v>
      </c>
      <c r="L10" s="93">
        <v>35</v>
      </c>
      <c r="M10" s="87">
        <f t="shared" si="6"/>
        <v>47320</v>
      </c>
      <c r="N10" s="87">
        <f t="shared" ca="1" si="7"/>
        <v>44520</v>
      </c>
      <c r="O10" s="94">
        <f t="shared" ca="1" si="8"/>
        <v>79</v>
      </c>
      <c r="P10" s="81">
        <v>1</v>
      </c>
      <c r="Q10" s="81">
        <v>1189</v>
      </c>
      <c r="R10" s="37">
        <v>0</v>
      </c>
      <c r="S10" s="37">
        <v>13</v>
      </c>
      <c r="T10" s="37">
        <v>5</v>
      </c>
      <c r="U10" s="37">
        <v>6</v>
      </c>
      <c r="V10" s="37">
        <v>1</v>
      </c>
      <c r="W10" s="37">
        <v>19</v>
      </c>
      <c r="X10" s="37">
        <v>10</v>
      </c>
      <c r="Y10" s="37">
        <v>6</v>
      </c>
      <c r="Z10" s="37">
        <v>16</v>
      </c>
      <c r="AA10" s="37">
        <f ca="1">SUMIFS('Tổng Đơn'!$F:$F,'Tổng Đơn'!$B:$B,$C10)</f>
        <v>7</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40</v>
      </c>
      <c r="AX10" s="82">
        <f t="shared" si="9"/>
        <v>1280</v>
      </c>
      <c r="AY10" s="82">
        <v>64</v>
      </c>
    </row>
    <row r="11" spans="1:51" ht="18.75" x14ac:dyDescent="0.25">
      <c r="A11" s="82">
        <f t="shared" ca="1" si="1"/>
        <v>1256.1261602446641</v>
      </c>
      <c r="B11" s="6">
        <v>7</v>
      </c>
      <c r="C11" s="84" t="s">
        <v>231</v>
      </c>
      <c r="D11" s="92">
        <f>(75*20)/22</f>
        <v>68.181818181818187</v>
      </c>
      <c r="E11" s="6">
        <v>0.5</v>
      </c>
      <c r="F11" s="6">
        <f>44+44+88+40+40</f>
        <v>256</v>
      </c>
      <c r="G11" s="86">
        <f t="shared" si="2"/>
        <v>34.090909090909093</v>
      </c>
      <c r="H11" s="87">
        <f t="shared" si="3"/>
        <v>8727.2727272727279</v>
      </c>
      <c r="I11" s="88">
        <f t="shared" si="4"/>
        <v>0.80148424922046657</v>
      </c>
      <c r="J11" s="162">
        <f t="shared" si="5"/>
        <v>34.892393340129559</v>
      </c>
      <c r="K11" s="89">
        <f t="shared" si="10"/>
        <v>8932.452695073167</v>
      </c>
      <c r="L11" s="93">
        <v>40</v>
      </c>
      <c r="M11" s="87">
        <f t="shared" si="6"/>
        <v>10240</v>
      </c>
      <c r="N11" s="87">
        <f t="shared" ca="1" si="7"/>
        <v>8720</v>
      </c>
      <c r="O11" s="94">
        <f t="shared" ca="1" si="8"/>
        <v>36</v>
      </c>
      <c r="P11" s="81">
        <f>1+1</f>
        <v>2</v>
      </c>
      <c r="Q11" s="81">
        <v>208</v>
      </c>
      <c r="R11" s="37">
        <v>0</v>
      </c>
      <c r="S11" s="37">
        <v>2</v>
      </c>
      <c r="T11" s="37">
        <v>0</v>
      </c>
      <c r="U11" s="37">
        <v>1</v>
      </c>
      <c r="V11" s="37">
        <v>0</v>
      </c>
      <c r="W11" s="37">
        <v>6</v>
      </c>
      <c r="X11" s="37">
        <v>0</v>
      </c>
      <c r="Y11" s="37">
        <v>1</v>
      </c>
      <c r="Z11" s="37">
        <v>0</v>
      </c>
      <c r="AA11" s="37">
        <f ca="1">SUMIFS('Tổng Đơn'!$F:$F,'Tổng Đơn'!$B:$B,$C11)</f>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1779.8842458755689</v>
      </c>
      <c r="B12" s="6">
        <v>8</v>
      </c>
      <c r="C12" s="84" t="s">
        <v>232</v>
      </c>
      <c r="D12" s="92">
        <v>74</v>
      </c>
      <c r="E12" s="6">
        <v>0.5</v>
      </c>
      <c r="F12" s="6">
        <f>80+80+40+40+40</f>
        <v>280</v>
      </c>
      <c r="G12" s="86">
        <f t="shared" si="2"/>
        <v>37</v>
      </c>
      <c r="H12" s="87">
        <f t="shared" si="3"/>
        <v>10360</v>
      </c>
      <c r="I12" s="88">
        <f t="shared" si="4"/>
        <v>0.86987757182061309</v>
      </c>
      <c r="J12" s="162">
        <f t="shared" si="5"/>
        <v>37.869877571820616</v>
      </c>
      <c r="K12" s="89">
        <f t="shared" si="10"/>
        <v>10603.565720109773</v>
      </c>
      <c r="L12" s="93">
        <v>43</v>
      </c>
      <c r="M12" s="87">
        <f t="shared" si="6"/>
        <v>12040</v>
      </c>
      <c r="N12" s="87">
        <f t="shared" ca="1" si="7"/>
        <v>10019</v>
      </c>
      <c r="O12" s="94">
        <f t="shared" ca="1" si="8"/>
        <v>47</v>
      </c>
      <c r="P12" s="81"/>
      <c r="Q12" s="81">
        <v>219</v>
      </c>
      <c r="R12" s="37">
        <v>0</v>
      </c>
      <c r="S12" s="37">
        <v>2</v>
      </c>
      <c r="T12" s="37">
        <v>1</v>
      </c>
      <c r="U12" s="37">
        <v>0</v>
      </c>
      <c r="V12" s="37">
        <v>0</v>
      </c>
      <c r="W12" s="37">
        <v>1</v>
      </c>
      <c r="X12" s="37">
        <v>0</v>
      </c>
      <c r="Y12" s="37">
        <v>3</v>
      </c>
      <c r="Z12" s="37">
        <v>7</v>
      </c>
      <c r="AA12" s="37">
        <f ca="1">SUMIFS('Tổng Đơn'!$F:$F,'Tổng Đơn'!$B:$B,$C12)</f>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510" priority="8">
      <formula>($O6/$O6)&lt;=1/4</formula>
    </cfRule>
  </conditionalFormatting>
  <conditionalFormatting sqref="C5:C12">
    <cfRule type="expression" dxfId="50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2" t="s">
        <v>66</v>
      </c>
      <c r="B1" s="252"/>
      <c r="C1" s="252"/>
      <c r="E1" s="252" t="s">
        <v>66</v>
      </c>
      <c r="F1" s="252"/>
      <c r="G1" s="252"/>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23" activePane="bottomRight" state="frozen"/>
      <selection activeCell="A2" sqref="A2"/>
      <selection pane="topRight" activeCell="R2" sqref="R2"/>
      <selection pane="bottomLeft" activeCell="A5" sqref="A5"/>
      <selection pane="bottomRight" activeCell="O25" sqref="O25"/>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1" t="s">
        <v>59</v>
      </c>
      <c r="C1" s="251"/>
      <c r="D1" s="251"/>
      <c r="E1" s="251"/>
      <c r="F1" s="251"/>
      <c r="G1" s="251"/>
      <c r="H1" s="251"/>
      <c r="I1" s="251"/>
      <c r="J1" s="251"/>
      <c r="K1" s="251"/>
      <c r="L1" s="251"/>
      <c r="M1" s="251"/>
      <c r="N1" s="83"/>
    </row>
    <row r="2" spans="1:50" ht="24" customHeight="1" x14ac:dyDescent="0.25">
      <c r="A2" s="1">
        <f>150+160+120+70+30+100+30+150+120+30+140+30+70+120+30+30+120+60+120+190+60+30+120+100+60+140+60+40+60+50+120+60+30+60+40+80+120+60+75+75+55+40+70+40+150+40+70+40+70+40+70+40+120+40+70+60+40+60+40+70</f>
        <v>4535</v>
      </c>
      <c r="K2" s="13"/>
      <c r="L2" s="13">
        <f>M4-K4</f>
        <v>27770.23812509462</v>
      </c>
      <c r="M2" s="8">
        <f>M4/K4-1</f>
        <v>0.16018109609751097</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14063.899447363277</v>
      </c>
      <c r="B4" s="19"/>
      <c r="C4" s="19"/>
      <c r="D4" s="63"/>
      <c r="E4" s="19">
        <f>SUMPRODUCT((E5:E34)*(F5:F34))</f>
        <v>2656</v>
      </c>
      <c r="F4" s="19">
        <f>SUBTOTAL(9,F5:F102)</f>
        <v>5037</v>
      </c>
      <c r="G4" s="7"/>
      <c r="H4" s="7">
        <f>SUBTOTAL(9,H5:H102)</f>
        <v>168827</v>
      </c>
      <c r="I4" s="12"/>
      <c r="J4" s="12"/>
      <c r="K4" s="12">
        <f>SUBTOTAL(9,K5:K102)</f>
        <v>173367.76187490538</v>
      </c>
      <c r="L4" s="64"/>
      <c r="M4" s="7">
        <f t="shared" ref="M4:Q4" si="0">SUBTOTAL(9,M5:M102)</f>
        <v>201138</v>
      </c>
      <c r="N4" s="7">
        <f t="shared" ca="1" si="0"/>
        <v>184830</v>
      </c>
      <c r="O4" s="39">
        <f t="shared" ca="1" si="0"/>
        <v>354</v>
      </c>
      <c r="P4" s="98">
        <f t="shared" si="0"/>
        <v>6</v>
      </c>
      <c r="Q4" s="98">
        <f t="shared" si="0"/>
        <v>4495</v>
      </c>
      <c r="R4" s="40">
        <f>SUBTOTAL(9,R5:R32)</f>
        <v>11</v>
      </c>
      <c r="S4" s="40">
        <f t="shared" ref="S4:AV4" si="1">SUBTOTAL(9,S5:S32)</f>
        <v>20</v>
      </c>
      <c r="T4" s="40">
        <f t="shared" si="1"/>
        <v>15</v>
      </c>
      <c r="U4" s="40">
        <f t="shared" si="1"/>
        <v>22</v>
      </c>
      <c r="V4" s="40">
        <f t="shared" si="1"/>
        <v>12</v>
      </c>
      <c r="W4" s="40">
        <f t="shared" si="1"/>
        <v>35</v>
      </c>
      <c r="X4" s="40">
        <f t="shared" si="1"/>
        <v>1</v>
      </c>
      <c r="Y4" s="40">
        <f t="shared" si="1"/>
        <v>16</v>
      </c>
      <c r="Z4" s="40">
        <f t="shared" si="1"/>
        <v>15</v>
      </c>
      <c r="AA4" s="40">
        <f t="shared" ca="1" si="1"/>
        <v>21</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f>SUBTOTAL(9,AX5:AX34)</f>
        <v>0</v>
      </c>
    </row>
    <row r="5" spans="1:50" ht="18.75" x14ac:dyDescent="0.25">
      <c r="A5" s="82">
        <f t="shared" ref="A5:A34" ca="1" si="2">IFERROR(J5*O5,"")</f>
        <v>130.92488168361695</v>
      </c>
      <c r="B5" s="6">
        <v>1</v>
      </c>
      <c r="C5" s="84" t="s">
        <v>1</v>
      </c>
      <c r="D5" s="92">
        <v>42.5</v>
      </c>
      <c r="E5" s="6">
        <v>0.5</v>
      </c>
      <c r="F5" s="6">
        <f>430+30+40</f>
        <v>500</v>
      </c>
      <c r="G5" s="95">
        <f t="shared" ref="G5:G28" si="3">D5/(1/E5)</f>
        <v>21.25</v>
      </c>
      <c r="H5" s="87">
        <f t="shared" ref="H5:H30" si="4">G5*F5</f>
        <v>10625</v>
      </c>
      <c r="I5" s="88">
        <f t="shared" ref="I5:I25" si="5">((H5/$H$4)*$A$2)/F5</f>
        <v>0.57081361393615937</v>
      </c>
      <c r="J5" s="89">
        <f t="shared" ref="J5:J19" si="6">G5+I5</f>
        <v>21.82081361393616</v>
      </c>
      <c r="K5" s="89">
        <f t="shared" ref="K5:K25" si="7">J5*F5</f>
        <v>10910.40680696808</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v>0</v>
      </c>
      <c r="Y5" s="84">
        <v>0</v>
      </c>
      <c r="Z5" s="84">
        <v>0</v>
      </c>
      <c r="AA5" s="84">
        <f ca="1">SUMIFS('Tổng Đơn'!$F:$F,'Tổng Đơn'!$B:$B,$C5)</f>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0" si="11">AW5*G5</f>
        <v>0</v>
      </c>
    </row>
    <row r="6" spans="1:50" ht="18.75" x14ac:dyDescent="0.25">
      <c r="A6" s="82">
        <f t="shared" ca="1" si="2"/>
        <v>0</v>
      </c>
      <c r="B6" s="6">
        <v>2</v>
      </c>
      <c r="C6" s="84" t="s">
        <v>2</v>
      </c>
      <c r="D6" s="92">
        <v>44</v>
      </c>
      <c r="E6" s="6">
        <v>0.5</v>
      </c>
      <c r="F6" s="6">
        <v>80</v>
      </c>
      <c r="G6" s="95">
        <f t="shared" si="3"/>
        <v>22</v>
      </c>
      <c r="H6" s="87">
        <f t="shared" si="4"/>
        <v>1760</v>
      </c>
      <c r="I6" s="88">
        <f t="shared" si="5"/>
        <v>0.59095997678096501</v>
      </c>
      <c r="J6" s="89">
        <f t="shared" si="6"/>
        <v>22.590959976780965</v>
      </c>
      <c r="K6" s="89">
        <f t="shared" si="7"/>
        <v>1807.2767981424772</v>
      </c>
      <c r="L6" s="96">
        <v>28</v>
      </c>
      <c r="M6" s="87">
        <f t="shared" si="8"/>
        <v>2240</v>
      </c>
      <c r="N6" s="87">
        <f t="shared" ca="1" si="9"/>
        <v>2268</v>
      </c>
      <c r="O6" s="91">
        <f t="shared" ca="1" si="10"/>
        <v>0</v>
      </c>
      <c r="P6" s="81">
        <v>-1</v>
      </c>
      <c r="Q6" s="81">
        <v>81</v>
      </c>
      <c r="R6" s="84">
        <v>0</v>
      </c>
      <c r="S6" s="84">
        <v>0</v>
      </c>
      <c r="T6" s="84">
        <v>0</v>
      </c>
      <c r="U6" s="84">
        <v>0</v>
      </c>
      <c r="V6" s="84">
        <v>0</v>
      </c>
      <c r="W6" s="84">
        <v>0</v>
      </c>
      <c r="X6" s="84">
        <v>0</v>
      </c>
      <c r="Y6" s="84">
        <v>0</v>
      </c>
      <c r="Z6" s="84">
        <v>0</v>
      </c>
      <c r="AA6" s="84">
        <f ca="1">SUMIFS('Tổng Đơn'!$F:$F,'Tổng Đơn'!$B:$B,$C6)</f>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0.58424452249936332</v>
      </c>
      <c r="J7" s="89">
        <f t="shared" si="6"/>
        <v>22.334244522499365</v>
      </c>
      <c r="K7" s="89">
        <f t="shared" si="7"/>
        <v>1563.3971165749556</v>
      </c>
      <c r="L7" s="96">
        <v>30</v>
      </c>
      <c r="M7" s="87">
        <f t="shared" si="8"/>
        <v>2100</v>
      </c>
      <c r="N7" s="87">
        <f t="shared" ca="1" si="9"/>
        <v>2100</v>
      </c>
      <c r="O7" s="91">
        <f t="shared" ca="1" si="10"/>
        <v>0</v>
      </c>
      <c r="P7" s="81"/>
      <c r="Q7" s="81">
        <v>70</v>
      </c>
      <c r="R7" s="84">
        <v>0</v>
      </c>
      <c r="S7" s="84">
        <v>0</v>
      </c>
      <c r="T7" s="84">
        <v>0</v>
      </c>
      <c r="U7" s="84">
        <v>0</v>
      </c>
      <c r="V7" s="84">
        <v>0</v>
      </c>
      <c r="W7" s="84">
        <v>0</v>
      </c>
      <c r="X7" s="84">
        <v>0</v>
      </c>
      <c r="Y7" s="84">
        <v>0</v>
      </c>
      <c r="Z7" s="84">
        <v>0</v>
      </c>
      <c r="AA7" s="84">
        <f ca="1">SUMIFS('Tổng Đơn'!$F:$F,'Tổng Đơn'!$B:$B,$C7)</f>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462.08781770688341</v>
      </c>
      <c r="B8" s="6">
        <v>4</v>
      </c>
      <c r="C8" s="84" t="s">
        <v>4</v>
      </c>
      <c r="D8" s="92">
        <v>60</v>
      </c>
      <c r="E8" s="6">
        <v>0.5</v>
      </c>
      <c r="F8" s="6">
        <f>160+22+12+30+10+26</f>
        <v>260</v>
      </c>
      <c r="G8" s="95">
        <f t="shared" si="3"/>
        <v>30</v>
      </c>
      <c r="H8" s="97">
        <f t="shared" si="4"/>
        <v>7800</v>
      </c>
      <c r="I8" s="88">
        <f t="shared" si="5"/>
        <v>0.80585451379222506</v>
      </c>
      <c r="J8" s="89">
        <f t="shared" si="6"/>
        <v>30.805854513792227</v>
      </c>
      <c r="K8" s="89">
        <f t="shared" si="7"/>
        <v>8009.5221735859786</v>
      </c>
      <c r="L8" s="96">
        <v>40</v>
      </c>
      <c r="M8" s="87">
        <f t="shared" si="8"/>
        <v>10400</v>
      </c>
      <c r="N8" s="87">
        <f t="shared" ca="1" si="9"/>
        <v>9760</v>
      </c>
      <c r="O8" s="91">
        <f t="shared" ca="1" si="10"/>
        <v>15</v>
      </c>
      <c r="P8" s="81">
        <v>1</v>
      </c>
      <c r="Q8" s="81">
        <v>244</v>
      </c>
      <c r="R8" s="84">
        <v>0</v>
      </c>
      <c r="S8" s="84">
        <v>0</v>
      </c>
      <c r="T8" s="84">
        <v>0</v>
      </c>
      <c r="U8" s="84">
        <v>0</v>
      </c>
      <c r="V8" s="84">
        <v>0</v>
      </c>
      <c r="W8" s="84">
        <v>0</v>
      </c>
      <c r="X8" s="84">
        <v>0</v>
      </c>
      <c r="Y8" s="84">
        <v>0</v>
      </c>
      <c r="Z8" s="84">
        <v>0</v>
      </c>
      <c r="AA8" s="84">
        <f ca="1">SUMIFS('Tổng Đơn'!$F:$F,'Tổng Đơn'!$B:$B,$C8)</f>
        <v>0</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2688.324237236935</v>
      </c>
      <c r="B9" s="6">
        <v>5</v>
      </c>
      <c r="C9" s="84" t="s">
        <v>5</v>
      </c>
      <c r="D9" s="92">
        <v>68</v>
      </c>
      <c r="E9" s="6">
        <v>0.5</v>
      </c>
      <c r="F9" s="6">
        <f>285+40+50+20+50+50+40+60+92+36+30+50+20+50+40+30+50</f>
        <v>993</v>
      </c>
      <c r="G9" s="95">
        <f t="shared" si="3"/>
        <v>34</v>
      </c>
      <c r="H9" s="97">
        <f t="shared" si="4"/>
        <v>33762</v>
      </c>
      <c r="I9" s="88">
        <f t="shared" si="5"/>
        <v>0.91330178229785519</v>
      </c>
      <c r="J9" s="89">
        <f t="shared" si="6"/>
        <v>34.913301782297857</v>
      </c>
      <c r="K9" s="89">
        <f t="shared" si="7"/>
        <v>34668.908669821772</v>
      </c>
      <c r="L9" s="96">
        <v>40</v>
      </c>
      <c r="M9" s="87">
        <f t="shared" si="8"/>
        <v>39720</v>
      </c>
      <c r="N9" s="87">
        <f t="shared" ca="1" si="9"/>
        <v>36640</v>
      </c>
      <c r="O9" s="91">
        <f t="shared" ca="1" si="10"/>
        <v>77</v>
      </c>
      <c r="P9" s="81"/>
      <c r="Q9" s="81">
        <v>882</v>
      </c>
      <c r="R9" s="84">
        <v>5</v>
      </c>
      <c r="S9" s="84">
        <v>2</v>
      </c>
      <c r="T9" s="84">
        <v>0</v>
      </c>
      <c r="U9" s="84">
        <v>10</v>
      </c>
      <c r="V9" s="84">
        <v>0</v>
      </c>
      <c r="W9" s="84">
        <v>9</v>
      </c>
      <c r="X9" s="84">
        <v>0</v>
      </c>
      <c r="Y9" s="84">
        <v>0</v>
      </c>
      <c r="Z9" s="84">
        <v>2</v>
      </c>
      <c r="AA9" s="84">
        <f ca="1">SUMIFS('Tổng Đơn'!$F:$F,'Tổng Đơn'!$B:$B,$C9)</f>
        <v>6</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0</v>
      </c>
      <c r="B10" s="6">
        <v>6</v>
      </c>
      <c r="C10" s="84" t="s">
        <v>6</v>
      </c>
      <c r="D10" s="92">
        <v>86</v>
      </c>
      <c r="E10" s="6">
        <v>0.5</v>
      </c>
      <c r="F10" s="6">
        <f>76+10</f>
        <v>86</v>
      </c>
      <c r="G10" s="95">
        <f t="shared" si="3"/>
        <v>43</v>
      </c>
      <c r="H10" s="97">
        <f t="shared" si="4"/>
        <v>3698</v>
      </c>
      <c r="I10" s="88">
        <f t="shared" si="5"/>
        <v>1.1550581364355226</v>
      </c>
      <c r="J10" s="89">
        <f t="shared" si="6"/>
        <v>44.155058136435521</v>
      </c>
      <c r="K10" s="89">
        <f t="shared" si="7"/>
        <v>3797.3349997334549</v>
      </c>
      <c r="L10" s="96">
        <v>50</v>
      </c>
      <c r="M10" s="87">
        <f t="shared" si="8"/>
        <v>4300</v>
      </c>
      <c r="N10" s="87">
        <f t="shared" ca="1" si="9"/>
        <v>4200</v>
      </c>
      <c r="O10" s="91">
        <f t="shared" ca="1" si="10"/>
        <v>0</v>
      </c>
      <c r="P10" s="81">
        <v>2</v>
      </c>
      <c r="Q10" s="81">
        <v>83</v>
      </c>
      <c r="R10" s="84">
        <v>1</v>
      </c>
      <c r="S10" s="84">
        <v>0</v>
      </c>
      <c r="T10" s="84">
        <v>0</v>
      </c>
      <c r="U10" s="84">
        <v>0</v>
      </c>
      <c r="V10" s="84">
        <v>0</v>
      </c>
      <c r="W10" s="84">
        <v>0</v>
      </c>
      <c r="X10" s="84">
        <v>0</v>
      </c>
      <c r="Y10" s="84">
        <v>0</v>
      </c>
      <c r="Z10" s="84">
        <v>0</v>
      </c>
      <c r="AA10" s="84">
        <f ca="1">SUMIFS('Tổng Đơn'!$F:$F,'Tổng Đơn'!$B:$B,$C10)</f>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0.73869997097620632</v>
      </c>
      <c r="J11" s="89">
        <f t="shared" si="6"/>
        <v>28.238699970976207</v>
      </c>
      <c r="K11" s="89">
        <f t="shared" si="7"/>
        <v>564.7739994195241</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f>SUMIFS('Tổng Đơn'!$F:$F,'Tổng Đơn'!$B:$B,$C11)</f>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590.44554484768435</v>
      </c>
      <c r="B12" s="6">
        <v>8</v>
      </c>
      <c r="C12" s="84" t="s">
        <v>8</v>
      </c>
      <c r="D12" s="92">
        <v>115</v>
      </c>
      <c r="E12" s="6">
        <v>0.5</v>
      </c>
      <c r="F12" s="6">
        <v>38</v>
      </c>
      <c r="G12" s="95">
        <f t="shared" si="3"/>
        <v>57.5</v>
      </c>
      <c r="H12" s="97">
        <f t="shared" si="4"/>
        <v>2185</v>
      </c>
      <c r="I12" s="88">
        <f t="shared" si="5"/>
        <v>1.5445544847684314</v>
      </c>
      <c r="J12" s="89">
        <f t="shared" si="6"/>
        <v>59.044554484768433</v>
      </c>
      <c r="K12" s="89">
        <f t="shared" si="7"/>
        <v>2243.6930704212004</v>
      </c>
      <c r="L12" s="96">
        <v>69</v>
      </c>
      <c r="M12" s="87">
        <f t="shared" si="8"/>
        <v>2622</v>
      </c>
      <c r="N12" s="87">
        <f t="shared" ca="1" si="9"/>
        <v>1863</v>
      </c>
      <c r="O12" s="91">
        <f t="shared" ca="1" si="10"/>
        <v>10</v>
      </c>
      <c r="P12" s="81">
        <v>1</v>
      </c>
      <c r="Q12" s="81">
        <v>27</v>
      </c>
      <c r="R12" s="84">
        <v>0</v>
      </c>
      <c r="S12" s="84">
        <v>0</v>
      </c>
      <c r="T12" s="84">
        <v>0</v>
      </c>
      <c r="U12" s="84">
        <v>0</v>
      </c>
      <c r="V12" s="84">
        <v>0</v>
      </c>
      <c r="W12" s="84">
        <v>0</v>
      </c>
      <c r="X12" s="84">
        <v>0</v>
      </c>
      <c r="Y12" s="84">
        <v>0</v>
      </c>
      <c r="Z12" s="84">
        <v>0</v>
      </c>
      <c r="AA12" s="84">
        <f ca="1">SUMIFS('Tổng Đơn'!$F:$F,'Tổng Đơn'!$B:$B,$C12)</f>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523.69952673446778</v>
      </c>
      <c r="B13" s="6">
        <v>9</v>
      </c>
      <c r="C13" s="84" t="s">
        <v>9</v>
      </c>
      <c r="D13" s="92">
        <v>85</v>
      </c>
      <c r="E13" s="6">
        <v>0.5</v>
      </c>
      <c r="F13" s="6">
        <f>190+30</f>
        <v>220</v>
      </c>
      <c r="G13" s="95">
        <f t="shared" si="3"/>
        <v>42.5</v>
      </c>
      <c r="H13" s="97">
        <f t="shared" si="4"/>
        <v>9350</v>
      </c>
      <c r="I13" s="88">
        <f t="shared" si="5"/>
        <v>1.1416272278723192</v>
      </c>
      <c r="J13" s="89">
        <f t="shared" si="6"/>
        <v>43.64162722787232</v>
      </c>
      <c r="K13" s="89">
        <f t="shared" si="7"/>
        <v>9601.157990131911</v>
      </c>
      <c r="L13" s="96">
        <v>55</v>
      </c>
      <c r="M13" s="87">
        <f t="shared" si="8"/>
        <v>12100</v>
      </c>
      <c r="N13" s="87">
        <f t="shared" ca="1" si="9"/>
        <v>11330</v>
      </c>
      <c r="O13" s="91">
        <f t="shared" ca="1" si="10"/>
        <v>12</v>
      </c>
      <c r="P13" s="81">
        <v>2</v>
      </c>
      <c r="Q13" s="81">
        <v>205</v>
      </c>
      <c r="R13" s="84">
        <v>0</v>
      </c>
      <c r="S13" s="84">
        <v>0</v>
      </c>
      <c r="T13" s="84">
        <v>0</v>
      </c>
      <c r="U13" s="84">
        <v>0</v>
      </c>
      <c r="V13" s="84">
        <v>1</v>
      </c>
      <c r="W13" s="84">
        <v>0</v>
      </c>
      <c r="X13" s="84">
        <v>0</v>
      </c>
      <c r="Y13" s="84">
        <v>0</v>
      </c>
      <c r="Z13" s="84">
        <v>0</v>
      </c>
      <c r="AA13" s="84">
        <f ca="1">SUMIFS('Tổng Đơn'!$F:$F,'Tổng Đơn'!$B:$B,$C13)</f>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0.7252690624130026</v>
      </c>
      <c r="J14" s="89">
        <f t="shared" si="6"/>
        <v>27.725269062413002</v>
      </c>
      <c r="K14" s="89">
        <f t="shared" si="7"/>
        <v>831.75807187239002</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f>SUMIFS('Tổng Đơn'!$F:$F,'Tổng Đơn'!$B:$B,$C14)</f>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0.72526906241300271</v>
      </c>
      <c r="J15" s="89">
        <f t="shared" si="6"/>
        <v>27.725269062413002</v>
      </c>
      <c r="K15" s="89">
        <f t="shared" si="7"/>
        <v>277.25269062413003</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f>SUMIFS('Tổng Đơn'!$F:$F,'Tổng Đơn'!$B:$B,$C15)</f>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0.55066725109135384</v>
      </c>
      <c r="J16" s="89">
        <f t="shared" si="6"/>
        <v>21.050667251091355</v>
      </c>
      <c r="K16" s="89">
        <f t="shared" si="7"/>
        <v>3368.1067601746167</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f>SUMIFS('Tổng Đơn'!$F:$F,'Tổng Đơn'!$B:$B,$C16)</f>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0.55066725109135384</v>
      </c>
      <c r="J17" s="89">
        <f t="shared" si="6"/>
        <v>21.050667251091355</v>
      </c>
      <c r="K17" s="89">
        <f t="shared" si="7"/>
        <v>2315.573397620049</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f>SUMIFS('Tổng Đơn'!$F:$F,'Tổng Đơn'!$B:$B,$C17)</f>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2136.3860105314907</v>
      </c>
      <c r="B18" s="6">
        <v>14</v>
      </c>
      <c r="C18" s="84" t="s">
        <v>14</v>
      </c>
      <c r="D18" s="92">
        <v>57</v>
      </c>
      <c r="E18" s="6">
        <v>0.5</v>
      </c>
      <c r="F18" s="6">
        <f>30+46+100+40+60+50+40+100+100+70</f>
        <v>636</v>
      </c>
      <c r="G18" s="95">
        <f>D18/2</f>
        <v>28.5</v>
      </c>
      <c r="H18" s="97">
        <f t="shared" ref="H18" si="12">G18*F18</f>
        <v>18126</v>
      </c>
      <c r="I18" s="88">
        <f t="shared" si="5"/>
        <v>0.76556178810261388</v>
      </c>
      <c r="J18" s="89">
        <f t="shared" si="6"/>
        <v>29.265561788102612</v>
      </c>
      <c r="K18" s="89">
        <f t="shared" si="7"/>
        <v>18612.897297233263</v>
      </c>
      <c r="L18" s="96">
        <v>33</v>
      </c>
      <c r="M18" s="87">
        <f t="shared" ref="M18" si="13">L18*F18</f>
        <v>20988</v>
      </c>
      <c r="N18" s="87">
        <f t="shared" ca="1" si="9"/>
        <v>18975</v>
      </c>
      <c r="O18" s="91">
        <f t="shared" ca="1" si="10"/>
        <v>73</v>
      </c>
      <c r="P18" s="81">
        <v>-12</v>
      </c>
      <c r="Q18" s="81">
        <v>496</v>
      </c>
      <c r="R18" s="84">
        <v>1</v>
      </c>
      <c r="S18" s="84">
        <v>10</v>
      </c>
      <c r="T18" s="84">
        <v>15</v>
      </c>
      <c r="U18" s="84">
        <v>0</v>
      </c>
      <c r="V18" s="84">
        <v>10</v>
      </c>
      <c r="W18" s="84">
        <v>14</v>
      </c>
      <c r="X18" s="84">
        <v>0</v>
      </c>
      <c r="Y18" s="84">
        <v>8</v>
      </c>
      <c r="Z18" s="84">
        <v>10</v>
      </c>
      <c r="AA18" s="84">
        <f ca="1">SUMIFS('Tổng Đơn'!$F:$F,'Tổng Đơn'!$B:$B,$C18)</f>
        <v>11</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0.80585451379222517</v>
      </c>
      <c r="J19" s="89">
        <f t="shared" si="6"/>
        <v>30.805854513792227</v>
      </c>
      <c r="K19" s="89">
        <f t="shared" si="7"/>
        <v>308.05854513792224</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f>SUMIFS('Tổng Đơn'!$F:$F,'Tổng Đơn'!$B:$B,$C19)</f>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0.72526906241300271</v>
      </c>
      <c r="J20" s="89">
        <f t="shared" ref="J20:J24" si="14">G20+I20</f>
        <v>27.725269062413002</v>
      </c>
      <c r="K20" s="89">
        <f t="shared" si="7"/>
        <v>277.25269062413003</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f>SUMIFS('Tổng Đơn'!$F:$F,'Tổng Đơn'!$B:$B,$C20)</f>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859.4833409348031</v>
      </c>
      <c r="B21" s="6">
        <v>17</v>
      </c>
      <c r="C21" s="84" t="s">
        <v>275</v>
      </c>
      <c r="D21" s="92">
        <v>62</v>
      </c>
      <c r="E21" s="6">
        <v>0.5</v>
      </c>
      <c r="F21" s="6">
        <f>135+80+20+10+20</f>
        <v>265</v>
      </c>
      <c r="G21" s="95">
        <f t="shared" si="3"/>
        <v>31</v>
      </c>
      <c r="H21" s="97">
        <f t="shared" si="4"/>
        <v>8215</v>
      </c>
      <c r="I21" s="88">
        <f t="shared" si="5"/>
        <v>0.83271633091863273</v>
      </c>
      <c r="J21" s="89">
        <f t="shared" si="14"/>
        <v>31.832716330918633</v>
      </c>
      <c r="K21" s="89">
        <f t="shared" si="7"/>
        <v>8435.6698276934385</v>
      </c>
      <c r="L21" s="96">
        <v>40</v>
      </c>
      <c r="M21" s="87">
        <f t="shared" si="8"/>
        <v>10600</v>
      </c>
      <c r="N21" s="87">
        <f t="shared" ca="1" si="9"/>
        <v>9520</v>
      </c>
      <c r="O21" s="91">
        <f t="shared" ca="1" si="10"/>
        <v>27</v>
      </c>
      <c r="P21" s="81"/>
      <c r="Q21" s="81">
        <v>230</v>
      </c>
      <c r="R21" s="84">
        <v>1</v>
      </c>
      <c r="S21" s="84">
        <v>1</v>
      </c>
      <c r="T21" s="84">
        <v>0</v>
      </c>
      <c r="U21" s="84">
        <v>0</v>
      </c>
      <c r="V21" s="84">
        <v>0</v>
      </c>
      <c r="W21" s="84">
        <v>2</v>
      </c>
      <c r="X21" s="84">
        <v>0</v>
      </c>
      <c r="Y21" s="84">
        <v>1</v>
      </c>
      <c r="Z21" s="84">
        <v>2</v>
      </c>
      <c r="AA21" s="84">
        <f ca="1">SUMIFS('Tổng Đơn'!$F:$F,'Tổng Đơn'!$B:$B,$C21)</f>
        <v>1</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0.5775290682177614</v>
      </c>
      <c r="J22" s="89">
        <f t="shared" si="14"/>
        <v>22.077529068217761</v>
      </c>
      <c r="K22" s="89">
        <f t="shared" si="7"/>
        <v>551.93822670544398</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f ca="1">SUMIFS('Tổng Đơn'!$F:$F,'Tổng Đơn'!$B:$B,$C22)</f>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0.58424452249936332</v>
      </c>
      <c r="J23" s="89">
        <f t="shared" si="14"/>
        <v>22.334244522499365</v>
      </c>
      <c r="K23" s="89">
        <f t="shared" si="7"/>
        <v>1563.3971165749556</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f ca="1">SUMIFS('Tổng Đơn'!$F:$F,'Tổng Đơn'!$B:$B,$C23)</f>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1.0476108679298928</v>
      </c>
      <c r="J24" s="89">
        <f t="shared" si="14"/>
        <v>40.04761086792989</v>
      </c>
      <c r="K24" s="89">
        <f t="shared" si="7"/>
        <v>11013.092988680721</v>
      </c>
      <c r="L24" s="96">
        <v>45</v>
      </c>
      <c r="M24" s="87">
        <f t="shared" si="8"/>
        <v>12375</v>
      </c>
      <c r="N24" s="87">
        <f t="shared" ca="1" si="9"/>
        <v>12420</v>
      </c>
      <c r="O24" s="91">
        <f t="shared" ca="1" si="10"/>
        <v>0</v>
      </c>
      <c r="P24" s="81">
        <v>-1</v>
      </c>
      <c r="Q24" s="81">
        <v>276</v>
      </c>
      <c r="R24" s="84">
        <v>0</v>
      </c>
      <c r="S24" s="84">
        <v>0</v>
      </c>
      <c r="T24" s="84">
        <v>0</v>
      </c>
      <c r="U24" s="84">
        <v>0</v>
      </c>
      <c r="V24" s="84">
        <v>0</v>
      </c>
      <c r="W24" s="84">
        <v>0</v>
      </c>
      <c r="X24" s="84">
        <v>0</v>
      </c>
      <c r="Y24" s="84">
        <v>0</v>
      </c>
      <c r="Z24" s="84">
        <v>0</v>
      </c>
      <c r="AA24" s="84">
        <f ca="1">SUMIFS('Tổng Đơn'!$F:$F,'Tổng Đơn'!$B:$B,$C24)</f>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2829.004306183253</v>
      </c>
      <c r="B25" s="6">
        <v>21</v>
      </c>
      <c r="C25" s="84" t="s">
        <v>168</v>
      </c>
      <c r="D25" s="92">
        <v>145</v>
      </c>
      <c r="E25" s="6">
        <v>0.5</v>
      </c>
      <c r="F25" s="6">
        <f>76+40+40+20+20+40+20+20+40</f>
        <v>316</v>
      </c>
      <c r="G25" s="95">
        <f t="shared" si="3"/>
        <v>72.5</v>
      </c>
      <c r="H25" s="97">
        <f t="shared" si="4"/>
        <v>22910</v>
      </c>
      <c r="I25" s="88">
        <f t="shared" si="5"/>
        <v>1.9474817416645442</v>
      </c>
      <c r="J25" s="89">
        <f>G25+I25</f>
        <v>74.447481741664546</v>
      </c>
      <c r="K25" s="89">
        <f t="shared" si="7"/>
        <v>23525.404230365995</v>
      </c>
      <c r="L25" s="96">
        <v>80</v>
      </c>
      <c r="M25" s="87">
        <f t="shared" si="8"/>
        <v>25280</v>
      </c>
      <c r="N25" s="87">
        <f t="shared" ca="1" si="9"/>
        <v>22160</v>
      </c>
      <c r="O25" s="91">
        <f t="shared" ca="1" si="10"/>
        <v>38</v>
      </c>
      <c r="P25" s="81">
        <v>1</v>
      </c>
      <c r="Q25" s="81">
        <v>262</v>
      </c>
      <c r="R25" s="84">
        <v>3</v>
      </c>
      <c r="S25" s="84">
        <v>1</v>
      </c>
      <c r="T25" s="84">
        <v>0</v>
      </c>
      <c r="U25" s="84">
        <v>4</v>
      </c>
      <c r="V25" s="84">
        <v>0</v>
      </c>
      <c r="W25" s="84">
        <v>2</v>
      </c>
      <c r="X25" s="84">
        <v>0</v>
      </c>
      <c r="Y25" s="84">
        <v>5</v>
      </c>
      <c r="Z25" s="84">
        <v>0</v>
      </c>
      <c r="AA25" s="84">
        <f ca="1">SUMIFS('Tổng Đơn'!$F:$F,'Tổng Đơn'!$B:$B,$C25)</f>
        <v>0</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640.76177388687825</v>
      </c>
      <c r="B26" s="6">
        <v>22</v>
      </c>
      <c r="C26" s="84" t="s">
        <v>273</v>
      </c>
      <c r="D26" s="92">
        <v>78</v>
      </c>
      <c r="E26" s="6">
        <v>0.5</v>
      </c>
      <c r="F26" s="6">
        <f>27+20</f>
        <v>47</v>
      </c>
      <c r="G26" s="95">
        <f t="shared" si="3"/>
        <v>39</v>
      </c>
      <c r="H26" s="97">
        <f t="shared" si="4"/>
        <v>1833</v>
      </c>
      <c r="I26" s="88">
        <f t="shared" ref="I26:I30" si="15">((H26/$H$4)*$A$2)/F26</f>
        <v>1.0476108679298928</v>
      </c>
      <c r="J26" s="89">
        <f t="shared" ref="J26:J30" si="16">G26+I26</f>
        <v>40.04761086792989</v>
      </c>
      <c r="K26" s="89">
        <f t="shared" ref="K26:K30" si="17">J26*F26</f>
        <v>1882.2377107927048</v>
      </c>
      <c r="L26" s="96">
        <v>44</v>
      </c>
      <c r="M26" s="87">
        <f t="shared" si="8"/>
        <v>2068</v>
      </c>
      <c r="N26" s="87">
        <f t="shared" ca="1" si="9"/>
        <v>1364</v>
      </c>
      <c r="O26" s="91">
        <f t="shared" ca="1" si="10"/>
        <v>16</v>
      </c>
      <c r="P26" s="81"/>
      <c r="Q26" s="81">
        <v>30</v>
      </c>
      <c r="R26" s="84">
        <v>0</v>
      </c>
      <c r="S26" s="84">
        <v>0</v>
      </c>
      <c r="T26" s="84">
        <v>0</v>
      </c>
      <c r="U26" s="84">
        <v>0</v>
      </c>
      <c r="V26" s="84">
        <v>0</v>
      </c>
      <c r="W26" s="84">
        <v>0</v>
      </c>
      <c r="X26" s="84">
        <v>0</v>
      </c>
      <c r="Y26" s="84">
        <v>0</v>
      </c>
      <c r="Z26" s="84">
        <v>0</v>
      </c>
      <c r="AA26" s="84">
        <f ca="1">SUMIFS('Tổng Đơn'!$F:$F,'Tổng Đơn'!$B:$B,$C26)</f>
        <v>1</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393.80150686797731</v>
      </c>
      <c r="B27" s="6">
        <v>23</v>
      </c>
      <c r="C27" s="84" t="s">
        <v>175</v>
      </c>
      <c r="D27" s="92">
        <v>59</v>
      </c>
      <c r="E27" s="6">
        <v>0.5</v>
      </c>
      <c r="F27" s="6">
        <f>10+10+20</f>
        <v>40</v>
      </c>
      <c r="G27" s="95">
        <f t="shared" si="3"/>
        <v>29.5</v>
      </c>
      <c r="H27" s="97">
        <f t="shared" si="4"/>
        <v>1180</v>
      </c>
      <c r="I27" s="88">
        <f t="shared" si="15"/>
        <v>0.79242360522902144</v>
      </c>
      <c r="J27" s="89">
        <f t="shared" si="16"/>
        <v>30.292423605229022</v>
      </c>
      <c r="K27" s="89">
        <f t="shared" si="17"/>
        <v>1211.6969442091608</v>
      </c>
      <c r="L27" s="96">
        <v>35</v>
      </c>
      <c r="M27" s="87">
        <f t="shared" si="8"/>
        <v>1400</v>
      </c>
      <c r="N27" s="87">
        <f t="shared" ca="1" si="9"/>
        <v>735</v>
      </c>
      <c r="O27" s="91">
        <f t="shared" ca="1" si="10"/>
        <v>13</v>
      </c>
      <c r="P27" s="81">
        <v>6</v>
      </c>
      <c r="Q27" s="81">
        <v>20</v>
      </c>
      <c r="R27" s="84">
        <v>0</v>
      </c>
      <c r="S27" s="84">
        <v>0</v>
      </c>
      <c r="T27" s="84">
        <v>0</v>
      </c>
      <c r="U27" s="84">
        <v>0</v>
      </c>
      <c r="V27" s="84">
        <v>0</v>
      </c>
      <c r="W27" s="84">
        <v>1</v>
      </c>
      <c r="X27" s="84">
        <v>0</v>
      </c>
      <c r="Y27" s="84">
        <v>0</v>
      </c>
      <c r="Z27" s="84">
        <v>0</v>
      </c>
      <c r="AA27" s="84">
        <f ca="1">SUMIFS('Tổng Đơn'!$F:$F,'Tổng Đơn'!$B:$B,$C27)</f>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355.80761963430018</v>
      </c>
      <c r="B28" s="6">
        <v>24</v>
      </c>
      <c r="C28" s="84" t="s">
        <v>176</v>
      </c>
      <c r="D28" s="92">
        <v>63</v>
      </c>
      <c r="E28" s="6">
        <v>0.5</v>
      </c>
      <c r="F28" s="6">
        <f>30+20+20+13+10</f>
        <v>93</v>
      </c>
      <c r="G28" s="248">
        <f t="shared" si="3"/>
        <v>31.5</v>
      </c>
      <c r="H28" s="97">
        <f t="shared" si="4"/>
        <v>2929.5</v>
      </c>
      <c r="I28" s="88">
        <f t="shared" si="15"/>
        <v>0.84614723948183646</v>
      </c>
      <c r="J28" s="89">
        <f t="shared" si="16"/>
        <v>32.346147239481837</v>
      </c>
      <c r="K28" s="89">
        <f t="shared" si="17"/>
        <v>3008.1916932718109</v>
      </c>
      <c r="L28" s="96">
        <v>38</v>
      </c>
      <c r="M28" s="87">
        <f t="shared" si="8"/>
        <v>3534</v>
      </c>
      <c r="N28" s="87">
        <f t="shared" ca="1" si="9"/>
        <v>3116</v>
      </c>
      <c r="O28" s="91">
        <f t="shared" ca="1" si="10"/>
        <v>11</v>
      </c>
      <c r="P28" s="81"/>
      <c r="Q28" s="81">
        <v>69</v>
      </c>
      <c r="R28" s="84">
        <v>0</v>
      </c>
      <c r="S28" s="84">
        <v>5</v>
      </c>
      <c r="T28" s="84">
        <v>0</v>
      </c>
      <c r="U28" s="84">
        <v>6</v>
      </c>
      <c r="V28" s="84">
        <v>0</v>
      </c>
      <c r="W28" s="84">
        <v>0</v>
      </c>
      <c r="X28" s="84">
        <v>0</v>
      </c>
      <c r="Y28" s="84">
        <v>0</v>
      </c>
      <c r="Z28" s="84">
        <v>1</v>
      </c>
      <c r="AA28" s="84">
        <f ca="1">SUMIFS('Tổng Đơn'!$F:$F,'Tổng Đơn'!$B:$B,$C28)</f>
        <v>1</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2051.1564797099991</v>
      </c>
      <c r="B29" s="6">
        <v>25</v>
      </c>
      <c r="C29" s="84" t="s">
        <v>199</v>
      </c>
      <c r="D29" s="92">
        <v>85</v>
      </c>
      <c r="E29" s="6">
        <v>0.5</v>
      </c>
      <c r="F29" s="6">
        <f>50+40+40+30+20</f>
        <v>180</v>
      </c>
      <c r="G29" s="247">
        <f>D29/(1/E29)</f>
        <v>42.5</v>
      </c>
      <c r="H29" s="97">
        <f t="shared" si="4"/>
        <v>7650</v>
      </c>
      <c r="I29" s="88">
        <f t="shared" si="15"/>
        <v>1.141627227872319</v>
      </c>
      <c r="J29" s="89">
        <f t="shared" si="16"/>
        <v>43.64162722787232</v>
      </c>
      <c r="K29" s="89">
        <f t="shared" si="17"/>
        <v>7855.4929010170172</v>
      </c>
      <c r="L29" s="96">
        <v>47</v>
      </c>
      <c r="M29" s="87">
        <f t="shared" si="8"/>
        <v>8460</v>
      </c>
      <c r="N29" s="87">
        <f t="shared" ca="1" si="9"/>
        <v>6204</v>
      </c>
      <c r="O29" s="91">
        <f t="shared" ca="1" si="10"/>
        <v>47</v>
      </c>
      <c r="P29" s="81">
        <v>1</v>
      </c>
      <c r="Q29" s="81">
        <v>118</v>
      </c>
      <c r="R29" s="84">
        <v>0</v>
      </c>
      <c r="S29" s="84">
        <v>1</v>
      </c>
      <c r="T29" s="84">
        <v>0</v>
      </c>
      <c r="U29" s="84">
        <v>2</v>
      </c>
      <c r="V29" s="84">
        <v>0</v>
      </c>
      <c r="W29" s="84">
        <v>7</v>
      </c>
      <c r="X29" s="84">
        <v>1</v>
      </c>
      <c r="Y29" s="84">
        <v>2</v>
      </c>
      <c r="Z29" s="84">
        <v>0</v>
      </c>
      <c r="AA29" s="84">
        <f ca="1">SUMIFS('Tổng Đơn'!$F:$F,'Tổng Đơn'!$B:$B,$C29)</f>
        <v>1</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402.01640140498858</v>
      </c>
      <c r="B30" s="6">
        <v>26</v>
      </c>
      <c r="C30" s="84" t="s">
        <v>202</v>
      </c>
      <c r="D30" s="92">
        <v>87</v>
      </c>
      <c r="E30" s="6">
        <v>0.5</v>
      </c>
      <c r="F30" s="6">
        <v>20</v>
      </c>
      <c r="G30" s="95">
        <f>D30/2</f>
        <v>43.5</v>
      </c>
      <c r="H30" s="97">
        <f t="shared" si="4"/>
        <v>870</v>
      </c>
      <c r="I30" s="88">
        <f t="shared" si="15"/>
        <v>1.1684890449987264</v>
      </c>
      <c r="J30" s="89">
        <f t="shared" si="16"/>
        <v>44.668489044998729</v>
      </c>
      <c r="K30" s="89">
        <f t="shared" si="17"/>
        <v>893.36978089997456</v>
      </c>
      <c r="L30" s="96">
        <v>50</v>
      </c>
      <c r="M30" s="87">
        <f t="shared" si="8"/>
        <v>1000</v>
      </c>
      <c r="N30" s="87">
        <f t="shared" ca="1" si="9"/>
        <v>550</v>
      </c>
      <c r="O30" s="91">
        <f t="shared" ca="1" si="10"/>
        <v>9</v>
      </c>
      <c r="P30" s="81"/>
      <c r="Q30" s="81">
        <v>10</v>
      </c>
      <c r="R30" s="84">
        <v>0</v>
      </c>
      <c r="S30" s="84">
        <v>0</v>
      </c>
      <c r="T30" s="84">
        <v>0</v>
      </c>
      <c r="U30" s="84">
        <v>0</v>
      </c>
      <c r="V30" s="84">
        <v>1</v>
      </c>
      <c r="W30" s="84">
        <v>0</v>
      </c>
      <c r="X30" s="84">
        <v>0</v>
      </c>
      <c r="Y30" s="84">
        <v>0</v>
      </c>
      <c r="Z30" s="84">
        <v>0</v>
      </c>
      <c r="AA30" s="84">
        <f ca="1">SUMIFS('Tổng Đơn'!$F:$F,'Tổng Đơn'!$B:$B,$C30)</f>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ref="AX31:AX34" si="18">AW31*G31</f>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c r="AX32" s="82">
        <f t="shared" si="18"/>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f t="shared" si="18"/>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 t="shared" si="18"/>
        <v>0</v>
      </c>
    </row>
  </sheetData>
  <autoFilter ref="B4:AW34"/>
  <mergeCells count="1">
    <mergeCell ref="B1:M1"/>
  </mergeCells>
  <conditionalFormatting sqref="C6:C19">
    <cfRule type="expression" dxfId="508" priority="25">
      <formula>($O6/$O6)&lt;=1/4</formula>
    </cfRule>
  </conditionalFormatting>
  <conditionalFormatting sqref="C20">
    <cfRule type="expression" dxfId="507" priority="24">
      <formula>($O20/$O20)&lt;=1/4</formula>
    </cfRule>
  </conditionalFormatting>
  <conditionalFormatting sqref="C21">
    <cfRule type="expression" dxfId="506" priority="22">
      <formula>($O21/$O21)&lt;=1/4</formula>
    </cfRule>
  </conditionalFormatting>
  <conditionalFormatting sqref="C22">
    <cfRule type="expression" dxfId="505" priority="20">
      <formula>($O22/$O22)&lt;=1/4</formula>
    </cfRule>
  </conditionalFormatting>
  <conditionalFormatting sqref="C23">
    <cfRule type="expression" dxfId="504" priority="18">
      <formula>($O23/$O23)&lt;=1/4</formula>
    </cfRule>
  </conditionalFormatting>
  <conditionalFormatting sqref="C24:C25">
    <cfRule type="expression" dxfId="503" priority="16">
      <formula>($O24/$O24)&lt;=1/4</formula>
    </cfRule>
  </conditionalFormatting>
  <conditionalFormatting sqref="C26">
    <cfRule type="expression" dxfId="502" priority="14">
      <formula>($O26/$O26)&lt;=1/4</formula>
    </cfRule>
  </conditionalFormatting>
  <conditionalFormatting sqref="C27:C28">
    <cfRule type="expression" dxfId="501" priority="12">
      <formula>($O27/$O27)&lt;=1/4</formula>
    </cfRule>
  </conditionalFormatting>
  <conditionalFormatting sqref="C29">
    <cfRule type="expression" dxfId="500" priority="9">
      <formula>($O29/$O29)&lt;=1/4</formula>
    </cfRule>
  </conditionalFormatting>
  <conditionalFormatting sqref="C30:C32">
    <cfRule type="expression" dxfId="499" priority="7">
      <formula>($O30/$O30)&lt;=1/4</formula>
    </cfRule>
  </conditionalFormatting>
  <conditionalFormatting sqref="C5:C32">
    <cfRule type="expression" dxfId="498"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70" t="s">
        <v>106</v>
      </c>
      <c r="M1" s="270" t="s">
        <v>107</v>
      </c>
      <c r="N1" s="270" t="s">
        <v>17</v>
      </c>
      <c r="O1" s="270" t="s">
        <v>117</v>
      </c>
      <c r="P1" s="154" t="s">
        <v>107</v>
      </c>
      <c r="Q1" s="139" t="s">
        <v>184</v>
      </c>
      <c r="R1" s="140">
        <f>SUBTOTAL(9,R2:R31)</f>
        <v>0</v>
      </c>
    </row>
    <row r="2" spans="1:18" s="145" customFormat="1" ht="18.75" x14ac:dyDescent="0.3">
      <c r="A2" s="141" t="s">
        <v>206</v>
      </c>
      <c r="B2" s="142" t="s">
        <v>302</v>
      </c>
      <c r="C2" s="141" t="s">
        <v>209</v>
      </c>
      <c r="D2" s="143">
        <v>50000</v>
      </c>
      <c r="E2" s="144"/>
      <c r="F2" s="144"/>
      <c r="G2" s="144"/>
      <c r="H2" s="144"/>
      <c r="I2" s="144"/>
      <c r="J2" s="144"/>
      <c r="K2" s="144"/>
      <c r="L2" s="268">
        <v>1</v>
      </c>
      <c r="M2" s="268" t="s">
        <v>108</v>
      </c>
      <c r="N2" s="271" t="s">
        <v>276</v>
      </c>
      <c r="O2" s="272">
        <v>48000</v>
      </c>
      <c r="P2" s="155">
        <f t="shared" ref="P2:P65" si="0">IF($N2="","",LOOKUP(2,1/($N2=$B$2:$B$100),$A$2:$A$100))</f>
        <v>1</v>
      </c>
      <c r="Q2" s="146"/>
      <c r="R2" s="147">
        <f t="shared" ref="R2:R31" si="1">O2*Q2</f>
        <v>0</v>
      </c>
    </row>
    <row r="3" spans="1:18" s="145" customFormat="1" ht="18.75" x14ac:dyDescent="0.3">
      <c r="A3" s="141" t="s">
        <v>207</v>
      </c>
      <c r="B3" s="142" t="s">
        <v>301</v>
      </c>
      <c r="C3" s="141" t="s">
        <v>210</v>
      </c>
      <c r="D3" s="143">
        <v>65000</v>
      </c>
      <c r="E3" s="144"/>
      <c r="F3" s="144"/>
      <c r="G3" s="144"/>
      <c r="H3" s="144"/>
      <c r="I3" s="144"/>
      <c r="J3" s="144"/>
      <c r="K3" s="144"/>
      <c r="L3" s="268">
        <v>2</v>
      </c>
      <c r="M3" s="268" t="s">
        <v>109</v>
      </c>
      <c r="N3" s="271" t="s">
        <v>1</v>
      </c>
      <c r="O3" s="273">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68">
        <v>3</v>
      </c>
      <c r="M4" s="268" t="s">
        <v>110</v>
      </c>
      <c r="N4" s="271" t="s">
        <v>2</v>
      </c>
      <c r="O4" s="273">
        <v>28000</v>
      </c>
      <c r="P4" s="155">
        <f t="shared" si="0"/>
        <v>3</v>
      </c>
      <c r="Q4" s="146"/>
      <c r="R4" s="147">
        <f>O4*Q4</f>
        <v>0</v>
      </c>
    </row>
    <row r="5" spans="1:18" s="145" customFormat="1" ht="18.75" x14ac:dyDescent="0.3">
      <c r="A5" s="141" t="s">
        <v>303</v>
      </c>
      <c r="B5" s="142" t="s">
        <v>213</v>
      </c>
      <c r="C5" s="141" t="s">
        <v>304</v>
      </c>
      <c r="D5" s="143">
        <v>48000</v>
      </c>
      <c r="E5" s="144"/>
      <c r="F5" s="144"/>
      <c r="G5" s="144"/>
      <c r="H5" s="144"/>
      <c r="I5" s="144"/>
      <c r="J5" s="144"/>
      <c r="K5" s="144"/>
      <c r="L5" s="268">
        <v>4</v>
      </c>
      <c r="M5" s="269" t="s">
        <v>111</v>
      </c>
      <c r="N5" s="271" t="s">
        <v>3</v>
      </c>
      <c r="O5" s="273">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68">
        <v>5</v>
      </c>
      <c r="M6" s="269" t="s">
        <v>112</v>
      </c>
      <c r="N6" s="271" t="s">
        <v>30</v>
      </c>
      <c r="O6" s="273">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68">
        <v>6</v>
      </c>
      <c r="M7" s="269" t="s">
        <v>113</v>
      </c>
      <c r="N7" s="271" t="s">
        <v>28</v>
      </c>
      <c r="O7" s="273">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68">
        <v>7</v>
      </c>
      <c r="M8" s="269" t="s">
        <v>114</v>
      </c>
      <c r="N8" s="271" t="s">
        <v>61</v>
      </c>
      <c r="O8" s="272">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68">
        <v>8</v>
      </c>
      <c r="M9" s="269" t="s">
        <v>115</v>
      </c>
      <c r="N9" s="271" t="s">
        <v>158</v>
      </c>
      <c r="O9" s="272">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68">
        <v>9</v>
      </c>
      <c r="M10" s="269" t="s">
        <v>116</v>
      </c>
      <c r="N10" s="271" t="s">
        <v>6</v>
      </c>
      <c r="O10" s="272">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68">
        <v>10</v>
      </c>
      <c r="M11" s="269" t="s">
        <v>69</v>
      </c>
      <c r="N11" s="271" t="s">
        <v>58</v>
      </c>
      <c r="O11" s="272">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68">
        <v>11</v>
      </c>
      <c r="M12" s="269" t="s">
        <v>70</v>
      </c>
      <c r="N12" s="271" t="s">
        <v>35</v>
      </c>
      <c r="O12" s="272">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68">
        <v>12</v>
      </c>
      <c r="M13" s="269" t="s">
        <v>71</v>
      </c>
      <c r="N13" s="271" t="s">
        <v>32</v>
      </c>
      <c r="O13" s="272">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68">
        <v>13</v>
      </c>
      <c r="M14" s="269" t="s">
        <v>72</v>
      </c>
      <c r="N14" s="271" t="s">
        <v>34</v>
      </c>
      <c r="O14" s="272">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68">
        <v>14</v>
      </c>
      <c r="M15" s="269" t="s">
        <v>73</v>
      </c>
      <c r="N15" s="271" t="s">
        <v>33</v>
      </c>
      <c r="O15" s="272">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68">
        <v>15</v>
      </c>
      <c r="M16" s="269" t="s">
        <v>74</v>
      </c>
      <c r="N16" s="271" t="s">
        <v>5</v>
      </c>
      <c r="O16" s="272">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68">
        <v>16</v>
      </c>
      <c r="M17" s="269" t="s">
        <v>75</v>
      </c>
      <c r="N17" s="271" t="s">
        <v>4</v>
      </c>
      <c r="O17" s="272">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68">
        <v>17</v>
      </c>
      <c r="M18" s="269" t="s">
        <v>76</v>
      </c>
      <c r="N18" s="271" t="s">
        <v>9</v>
      </c>
      <c r="O18" s="272">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68">
        <v>18</v>
      </c>
      <c r="M19" s="269" t="s">
        <v>77</v>
      </c>
      <c r="N19" s="271" t="s">
        <v>14</v>
      </c>
      <c r="O19" s="272">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68">
        <v>19</v>
      </c>
      <c r="M20" s="269" t="s">
        <v>78</v>
      </c>
      <c r="N20" s="271" t="s">
        <v>8</v>
      </c>
      <c r="O20" s="272">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68">
        <v>20</v>
      </c>
      <c r="M21" s="269" t="s">
        <v>79</v>
      </c>
      <c r="N21" s="271" t="s">
        <v>277</v>
      </c>
      <c r="O21" s="272">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68">
        <v>21</v>
      </c>
      <c r="M22" s="269" t="s">
        <v>80</v>
      </c>
      <c r="N22" s="271" t="s">
        <v>29</v>
      </c>
      <c r="O22" s="272">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68">
        <v>22</v>
      </c>
      <c r="M23" s="269" t="s">
        <v>81</v>
      </c>
      <c r="N23" s="271" t="s">
        <v>38</v>
      </c>
      <c r="O23" s="272">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68">
        <v>23</v>
      </c>
      <c r="M24" s="269" t="s">
        <v>82</v>
      </c>
      <c r="N24" s="271" t="s">
        <v>39</v>
      </c>
      <c r="O24" s="272">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68">
        <v>24</v>
      </c>
      <c r="M25" s="269" t="s">
        <v>83</v>
      </c>
      <c r="N25" s="271" t="s">
        <v>67</v>
      </c>
      <c r="O25" s="272">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68">
        <v>25</v>
      </c>
      <c r="M26" s="269" t="s">
        <v>84</v>
      </c>
      <c r="N26" s="271" t="s">
        <v>40</v>
      </c>
      <c r="O26" s="272">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68">
        <v>26</v>
      </c>
      <c r="M27" s="269" t="s">
        <v>85</v>
      </c>
      <c r="N27" s="271" t="s">
        <v>41</v>
      </c>
      <c r="O27" s="272">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68">
        <v>27</v>
      </c>
      <c r="M28" s="269" t="s">
        <v>86</v>
      </c>
      <c r="N28" s="271" t="s">
        <v>42</v>
      </c>
      <c r="O28" s="272">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68">
        <v>28</v>
      </c>
      <c r="M29" s="269" t="s">
        <v>87</v>
      </c>
      <c r="N29" s="271" t="s">
        <v>43</v>
      </c>
      <c r="O29" s="272">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68">
        <v>29</v>
      </c>
      <c r="M30" s="269" t="s">
        <v>88</v>
      </c>
      <c r="N30" s="271" t="s">
        <v>48</v>
      </c>
      <c r="O30" s="272">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68">
        <v>30</v>
      </c>
      <c r="M31" s="269" t="s">
        <v>89</v>
      </c>
      <c r="N31" s="271" t="s">
        <v>49</v>
      </c>
      <c r="O31" s="272">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68">
        <v>31</v>
      </c>
      <c r="M32" s="269" t="s">
        <v>90</v>
      </c>
      <c r="N32" s="271" t="s">
        <v>45</v>
      </c>
      <c r="O32" s="272">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68">
        <v>32</v>
      </c>
      <c r="M33" s="269" t="s">
        <v>91</v>
      </c>
      <c r="N33" s="271" t="s">
        <v>44</v>
      </c>
      <c r="O33" s="272">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68">
        <v>33</v>
      </c>
      <c r="M34" s="269" t="s">
        <v>92</v>
      </c>
      <c r="N34" s="271" t="s">
        <v>47</v>
      </c>
      <c r="O34" s="272">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68">
        <v>34</v>
      </c>
      <c r="M35" s="269" t="s">
        <v>93</v>
      </c>
      <c r="N35" s="271" t="s">
        <v>37</v>
      </c>
      <c r="O35" s="272">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68">
        <v>35</v>
      </c>
      <c r="M36" s="269" t="s">
        <v>94</v>
      </c>
      <c r="N36" s="271" t="s">
        <v>51</v>
      </c>
      <c r="O36" s="272">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68">
        <v>36</v>
      </c>
      <c r="M37" s="269" t="s">
        <v>95</v>
      </c>
      <c r="N37" s="271" t="s">
        <v>52</v>
      </c>
      <c r="O37" s="272">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68">
        <v>37</v>
      </c>
      <c r="M38" s="269" t="s">
        <v>96</v>
      </c>
      <c r="N38" s="271" t="s">
        <v>46</v>
      </c>
      <c r="O38" s="272">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68">
        <v>38</v>
      </c>
      <c r="M39" s="269" t="s">
        <v>97</v>
      </c>
      <c r="N39" s="271" t="s">
        <v>275</v>
      </c>
      <c r="O39" s="272">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68">
        <v>39</v>
      </c>
      <c r="M40" s="269" t="s">
        <v>98</v>
      </c>
      <c r="N40" s="271" t="s">
        <v>137</v>
      </c>
      <c r="O40" s="272">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68">
        <v>40</v>
      </c>
      <c r="M41" s="269" t="s">
        <v>99</v>
      </c>
      <c r="N41" s="271" t="s">
        <v>242</v>
      </c>
      <c r="O41" s="272">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68">
        <v>41</v>
      </c>
      <c r="M42" s="269" t="s">
        <v>100</v>
      </c>
      <c r="N42" s="271" t="s">
        <v>141</v>
      </c>
      <c r="O42" s="272">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68">
        <v>42</v>
      </c>
      <c r="M43" s="269" t="s">
        <v>101</v>
      </c>
      <c r="N43" s="271" t="s">
        <v>144</v>
      </c>
      <c r="O43" s="272">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68">
        <v>43</v>
      </c>
      <c r="M44" s="269" t="s">
        <v>102</v>
      </c>
      <c r="N44" s="271" t="s">
        <v>160</v>
      </c>
      <c r="O44" s="272">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68">
        <v>44</v>
      </c>
      <c r="M45" s="269" t="s">
        <v>103</v>
      </c>
      <c r="N45" s="271" t="s">
        <v>162</v>
      </c>
      <c r="O45" s="272">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68">
        <v>45</v>
      </c>
      <c r="M46" s="269" t="s">
        <v>104</v>
      </c>
      <c r="N46" s="271" t="s">
        <v>172</v>
      </c>
      <c r="O46" s="272">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68">
        <v>46</v>
      </c>
      <c r="M47" s="269" t="s">
        <v>105</v>
      </c>
      <c r="N47" s="271" t="s">
        <v>170</v>
      </c>
      <c r="O47" s="272">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68">
        <v>47</v>
      </c>
      <c r="M48" s="269" t="s">
        <v>126</v>
      </c>
      <c r="N48" s="271" t="s">
        <v>168</v>
      </c>
      <c r="O48" s="272">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68">
        <v>48</v>
      </c>
      <c r="M49" s="269" t="s">
        <v>138</v>
      </c>
      <c r="N49" s="271" t="s">
        <v>273</v>
      </c>
      <c r="O49" s="272">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68">
        <v>49</v>
      </c>
      <c r="M50" s="269" t="s">
        <v>140</v>
      </c>
      <c r="N50" s="271" t="s">
        <v>175</v>
      </c>
      <c r="O50" s="272">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68">
        <v>50</v>
      </c>
      <c r="M51" s="269" t="s">
        <v>142</v>
      </c>
      <c r="N51" s="271" t="s">
        <v>176</v>
      </c>
      <c r="O51" s="272">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68">
        <v>51</v>
      </c>
      <c r="M52" s="269" t="s">
        <v>155</v>
      </c>
      <c r="N52" s="271" t="s">
        <v>182</v>
      </c>
      <c r="O52" s="272">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68">
        <v>52</v>
      </c>
      <c r="M53" s="269" t="s">
        <v>161</v>
      </c>
      <c r="N53" s="271" t="s">
        <v>196</v>
      </c>
      <c r="O53" s="272">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68">
        <v>53</v>
      </c>
      <c r="M54" s="269" t="s">
        <v>163</v>
      </c>
      <c r="N54" s="271" t="s">
        <v>199</v>
      </c>
      <c r="O54" s="272">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68">
        <v>54</v>
      </c>
      <c r="M55" s="269" t="s">
        <v>169</v>
      </c>
      <c r="N55" s="271" t="s">
        <v>202</v>
      </c>
      <c r="O55" s="272">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68">
        <v>55</v>
      </c>
      <c r="M56" s="269" t="s">
        <v>171</v>
      </c>
      <c r="N56" s="271" t="s">
        <v>201</v>
      </c>
      <c r="O56" s="272">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68">
        <v>56</v>
      </c>
      <c r="M57" s="269" t="s">
        <v>173</v>
      </c>
      <c r="N57" s="271" t="s">
        <v>233</v>
      </c>
      <c r="O57" s="272">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68">
        <v>57</v>
      </c>
      <c r="M58" s="269" t="s">
        <v>174</v>
      </c>
      <c r="N58" s="271" t="s">
        <v>225</v>
      </c>
      <c r="O58" s="272">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68">
        <v>58</v>
      </c>
      <c r="M59" s="269" t="s">
        <v>177</v>
      </c>
      <c r="N59" s="271" t="s">
        <v>226</v>
      </c>
      <c r="O59" s="272">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68">
        <v>59</v>
      </c>
      <c r="M60" s="269" t="s">
        <v>178</v>
      </c>
      <c r="N60" s="271" t="s">
        <v>227</v>
      </c>
      <c r="O60" s="272">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68">
        <v>60</v>
      </c>
      <c r="M61" s="269" t="s">
        <v>183</v>
      </c>
      <c r="N61" s="271" t="s">
        <v>228</v>
      </c>
      <c r="O61" s="272">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68">
        <v>61</v>
      </c>
      <c r="M62" s="269" t="s">
        <v>197</v>
      </c>
      <c r="N62" s="271" t="s">
        <v>229</v>
      </c>
      <c r="O62" s="272">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68">
        <v>62</v>
      </c>
      <c r="M63" s="269" t="s">
        <v>200</v>
      </c>
      <c r="N63" s="271" t="s">
        <v>230</v>
      </c>
      <c r="O63" s="272">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68">
        <v>63</v>
      </c>
      <c r="M64" s="269" t="s">
        <v>203</v>
      </c>
      <c r="N64" s="271" t="s">
        <v>231</v>
      </c>
      <c r="O64" s="272">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68">
        <v>64</v>
      </c>
      <c r="M65" s="269" t="s">
        <v>204</v>
      </c>
      <c r="N65" s="271" t="s">
        <v>232</v>
      </c>
      <c r="O65" s="272">
        <v>45000</v>
      </c>
      <c r="P65" s="155">
        <f t="shared" si="0"/>
        <v>64</v>
      </c>
      <c r="Q65" s="146"/>
      <c r="R65" s="146"/>
    </row>
    <row r="66" spans="1:18" ht="18.75" x14ac:dyDescent="0.3">
      <c r="A66" s="141">
        <v>61</v>
      </c>
      <c r="B66" s="142" t="s">
        <v>229</v>
      </c>
      <c r="C66" s="141" t="s">
        <v>197</v>
      </c>
      <c r="D66" s="143">
        <v>26000</v>
      </c>
      <c r="L66" s="268">
        <v>65</v>
      </c>
      <c r="M66" s="269" t="s">
        <v>234</v>
      </c>
      <c r="N66" s="271" t="s">
        <v>278</v>
      </c>
      <c r="O66" s="272">
        <v>40000</v>
      </c>
      <c r="P66" s="155">
        <f t="shared" ref="P66:P78" si="2">IF($N66="","",LOOKUP(2,1/($N66=$B$2:$B$100),$A$2:$A$100))</f>
        <v>65</v>
      </c>
      <c r="Q66" s="146"/>
    </row>
    <row r="67" spans="1:18" ht="18.75" x14ac:dyDescent="0.3">
      <c r="A67" s="141">
        <v>62</v>
      </c>
      <c r="B67" s="142" t="s">
        <v>230</v>
      </c>
      <c r="C67" s="141" t="s">
        <v>200</v>
      </c>
      <c r="D67" s="143">
        <v>35000</v>
      </c>
      <c r="L67" s="268">
        <v>66</v>
      </c>
      <c r="M67" s="269" t="s">
        <v>299</v>
      </c>
      <c r="N67" s="271" t="s">
        <v>298</v>
      </c>
      <c r="O67" s="272">
        <v>40000</v>
      </c>
      <c r="P67" s="155">
        <f t="shared" si="2"/>
        <v>66</v>
      </c>
      <c r="Q67" s="146"/>
    </row>
    <row r="68" spans="1:18" ht="18.75" x14ac:dyDescent="0.3">
      <c r="A68" s="141">
        <v>63</v>
      </c>
      <c r="B68" s="142" t="s">
        <v>231</v>
      </c>
      <c r="C68" s="141" t="s">
        <v>203</v>
      </c>
      <c r="D68" s="143">
        <v>42000</v>
      </c>
      <c r="L68" s="268" t="s">
        <v>206</v>
      </c>
      <c r="M68" s="269" t="s">
        <v>209</v>
      </c>
      <c r="N68" s="271" t="s">
        <v>302</v>
      </c>
      <c r="O68" s="272">
        <v>50000</v>
      </c>
      <c r="P68" s="155" t="str">
        <f t="shared" si="2"/>
        <v>G1</v>
      </c>
      <c r="Q68" s="146"/>
    </row>
    <row r="69" spans="1:18" ht="18.75" x14ac:dyDescent="0.3">
      <c r="A69" s="141">
        <v>64</v>
      </c>
      <c r="B69" s="142" t="s">
        <v>232</v>
      </c>
      <c r="C69" s="141" t="s">
        <v>204</v>
      </c>
      <c r="D69" s="143">
        <v>45000</v>
      </c>
      <c r="L69" s="268" t="s">
        <v>207</v>
      </c>
      <c r="M69" s="269" t="s">
        <v>210</v>
      </c>
      <c r="N69" s="271" t="s">
        <v>301</v>
      </c>
      <c r="O69" s="272">
        <v>65000</v>
      </c>
      <c r="P69" s="155" t="str">
        <f t="shared" si="2"/>
        <v>G2</v>
      </c>
      <c r="Q69" s="146"/>
    </row>
    <row r="70" spans="1:18" ht="18.75" x14ac:dyDescent="0.3">
      <c r="A70" s="141">
        <v>65</v>
      </c>
      <c r="B70" s="142" t="s">
        <v>278</v>
      </c>
      <c r="C70" s="141" t="s">
        <v>234</v>
      </c>
      <c r="D70" s="143">
        <v>40000</v>
      </c>
      <c r="L70" s="268" t="s">
        <v>208</v>
      </c>
      <c r="M70" s="269" t="s">
        <v>211</v>
      </c>
      <c r="N70" s="271" t="s">
        <v>212</v>
      </c>
      <c r="O70" s="272">
        <v>70000</v>
      </c>
      <c r="P70" s="155" t="str">
        <f t="shared" si="2"/>
        <v>G3</v>
      </c>
      <c r="Q70" s="146"/>
    </row>
    <row r="71" spans="1:18" ht="18.75" x14ac:dyDescent="0.3">
      <c r="A71" s="141">
        <v>66</v>
      </c>
      <c r="B71" s="142" t="s">
        <v>298</v>
      </c>
      <c r="C71" s="141" t="s">
        <v>299</v>
      </c>
      <c r="D71" s="143">
        <v>40000</v>
      </c>
      <c r="L71" s="268" t="s">
        <v>303</v>
      </c>
      <c r="M71" s="269" t="s">
        <v>304</v>
      </c>
      <c r="N71" s="271" t="s">
        <v>213</v>
      </c>
      <c r="O71" s="272">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90" zoomScaleNormal="90" workbookViewId="0">
      <selection activeCell="I7" sqref="I7"/>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45207</v>
      </c>
      <c r="G1" s="103" t="s">
        <v>150</v>
      </c>
      <c r="H1" s="153">
        <f>60000+6217+H4+H5</f>
        <v>130817</v>
      </c>
      <c r="I1" s="104">
        <f>H1-H2-H3</f>
        <v>-508481</v>
      </c>
      <c r="J1" s="111" t="s">
        <v>148</v>
      </c>
      <c r="L1" s="241"/>
    </row>
    <row r="2" spans="1:17" ht="27.75" customHeight="1" x14ac:dyDescent="0.25">
      <c r="G2" s="114" t="s">
        <v>147</v>
      </c>
      <c r="H2" s="105">
        <f>D1</f>
        <v>45207</v>
      </c>
      <c r="I2" s="106">
        <f>-12552+4585+7682</f>
        <v>-285</v>
      </c>
      <c r="J2" s="106" t="s">
        <v>151</v>
      </c>
      <c r="L2" s="241"/>
    </row>
    <row r="3" spans="1:17" ht="27.75" customHeight="1" x14ac:dyDescent="0.25">
      <c r="G3" s="107" t="s">
        <v>149</v>
      </c>
      <c r="H3" s="119">
        <f>INT('Quốc Nhân'!K4+'La Cusina'!K4+TVP!J4+Gà!K4+Kitkool!K4)</f>
        <v>594091</v>
      </c>
      <c r="I3" s="108">
        <f>I1+I2</f>
        <v>-508766</v>
      </c>
      <c r="J3" s="112" t="s">
        <v>146</v>
      </c>
      <c r="L3" s="241"/>
    </row>
    <row r="4" spans="1:17" ht="27.75" customHeight="1" x14ac:dyDescent="0.25">
      <c r="A4" s="134" t="s">
        <v>238</v>
      </c>
      <c r="B4">
        <v>3500</v>
      </c>
      <c r="G4" s="109" t="s">
        <v>198</v>
      </c>
      <c r="H4" s="149">
        <f>35000</f>
        <v>35000</v>
      </c>
      <c r="I4" s="110">
        <f ca="1">INT('Quốc Nhân'!K4+'La Cusina'!K4+TVP!J4+Gà!K4+Kitkool!K4-('Quốc Nhân'!A4+'La Cusina'!A4+TVP!A4+Gà!A4+Kitkool!A4))</f>
        <v>544820</v>
      </c>
      <c r="J4" s="113" t="s">
        <v>156</v>
      </c>
      <c r="L4" s="241"/>
    </row>
    <row r="5" spans="1:17" ht="27.75" customHeight="1" x14ac:dyDescent="0.25">
      <c r="A5" s="134" t="s">
        <v>222</v>
      </c>
      <c r="B5">
        <v>200</v>
      </c>
      <c r="G5" s="109" t="s">
        <v>195</v>
      </c>
      <c r="H5" s="149">
        <f>7400+5000+2400+10000+5000-200</f>
        <v>29600</v>
      </c>
      <c r="I5" s="115">
        <f ca="1">I4+I3</f>
        <v>36054</v>
      </c>
      <c r="J5" s="116" t="s">
        <v>157</v>
      </c>
      <c r="L5" s="241"/>
    </row>
    <row r="6" spans="1:17" x14ac:dyDescent="0.25">
      <c r="A6" s="134" t="s">
        <v>223</v>
      </c>
      <c r="B6">
        <f>1162+1204+1064</f>
        <v>3430</v>
      </c>
      <c r="C6" t="s">
        <v>128</v>
      </c>
      <c r="D6">
        <v>400</v>
      </c>
      <c r="E6" t="s">
        <v>129</v>
      </c>
      <c r="H6" s="152"/>
      <c r="I6" s="117">
        <v>30000</v>
      </c>
      <c r="J6" s="117"/>
      <c r="K6" s="117"/>
      <c r="L6" s="241"/>
      <c r="M6" s="14"/>
      <c r="N6" s="14"/>
      <c r="O6" s="14"/>
      <c r="P6" s="14"/>
      <c r="Q6" s="14"/>
    </row>
    <row r="7" spans="1:17" x14ac:dyDescent="0.25">
      <c r="A7" s="134" t="s">
        <v>224</v>
      </c>
      <c r="B7">
        <v>1000</v>
      </c>
      <c r="C7" t="s">
        <v>130</v>
      </c>
      <c r="D7">
        <v>1000</v>
      </c>
      <c r="E7" t="s">
        <v>129</v>
      </c>
      <c r="H7" s="117"/>
      <c r="I7" s="117">
        <f>300+900</f>
        <v>1200</v>
      </c>
      <c r="J7" s="117"/>
      <c r="K7" s="117"/>
      <c r="L7" s="14"/>
      <c r="M7" s="14"/>
      <c r="N7" s="14"/>
      <c r="O7" s="14"/>
      <c r="P7" s="14"/>
      <c r="Q7" s="14"/>
    </row>
    <row r="8" spans="1:17" x14ac:dyDescent="0.25">
      <c r="A8" t="s">
        <v>241</v>
      </c>
      <c r="B8">
        <v>250</v>
      </c>
      <c r="C8" t="s">
        <v>131</v>
      </c>
      <c r="D8">
        <v>80</v>
      </c>
      <c r="E8" t="s">
        <v>129</v>
      </c>
      <c r="H8" s="117"/>
      <c r="I8" s="117">
        <v>870</v>
      </c>
      <c r="J8" s="117"/>
      <c r="L8" s="14"/>
      <c r="M8" s="14"/>
      <c r="N8" s="14"/>
      <c r="O8" s="14"/>
      <c r="P8" s="14"/>
      <c r="Q8" s="14"/>
    </row>
    <row r="9" spans="1:17" x14ac:dyDescent="0.25">
      <c r="A9" t="s">
        <v>243</v>
      </c>
      <c r="B9">
        <v>400</v>
      </c>
      <c r="C9" t="s">
        <v>132</v>
      </c>
      <c r="D9">
        <v>145</v>
      </c>
      <c r="E9" t="s">
        <v>133</v>
      </c>
      <c r="G9" s="117"/>
      <c r="H9" s="117"/>
      <c r="I9" s="117">
        <v>240</v>
      </c>
      <c r="J9" s="117"/>
      <c r="M9" s="14"/>
    </row>
    <row r="10" spans="1:17" x14ac:dyDescent="0.25">
      <c r="A10" t="s">
        <v>235</v>
      </c>
      <c r="B10">
        <v>300</v>
      </c>
      <c r="C10" t="s">
        <v>134</v>
      </c>
      <c r="D10">
        <v>800</v>
      </c>
      <c r="E10" t="s">
        <v>133</v>
      </c>
      <c r="H10" s="246"/>
      <c r="I10" s="117">
        <v>10</v>
      </c>
      <c r="J10" s="117"/>
      <c r="M10" s="14"/>
    </row>
    <row r="11" spans="1:17" x14ac:dyDescent="0.25">
      <c r="A11" t="s">
        <v>236</v>
      </c>
      <c r="B11">
        <f>45+56</f>
        <v>101</v>
      </c>
      <c r="C11" t="s">
        <v>135</v>
      </c>
      <c r="D11">
        <v>1500</v>
      </c>
      <c r="E11" t="s">
        <v>133</v>
      </c>
      <c r="H11" s="246"/>
      <c r="I11" s="117">
        <v>10</v>
      </c>
      <c r="J11" s="117"/>
      <c r="M11" s="14"/>
    </row>
    <row r="12" spans="1:17" x14ac:dyDescent="0.25">
      <c r="A12" t="s">
        <v>237</v>
      </c>
      <c r="B12">
        <v>119</v>
      </c>
      <c r="C12" t="s">
        <v>152</v>
      </c>
      <c r="D12">
        <v>160</v>
      </c>
      <c r="E12" t="s">
        <v>133</v>
      </c>
      <c r="I12" s="117">
        <v>316</v>
      </c>
      <c r="J12" s="117"/>
      <c r="M12" s="14"/>
    </row>
    <row r="13" spans="1:17" x14ac:dyDescent="0.25">
      <c r="A13" t="s">
        <v>239</v>
      </c>
      <c r="B13">
        <v>140</v>
      </c>
      <c r="C13" t="s">
        <v>167</v>
      </c>
      <c r="D13">
        <v>42</v>
      </c>
      <c r="E13" t="s">
        <v>133</v>
      </c>
      <c r="I13" s="117">
        <v>720</v>
      </c>
      <c r="J13" s="117"/>
      <c r="K13" s="117"/>
    </row>
    <row r="14" spans="1:17" x14ac:dyDescent="0.25">
      <c r="A14" t="s">
        <v>240</v>
      </c>
      <c r="B14">
        <v>40</v>
      </c>
      <c r="C14" s="134" t="s">
        <v>179</v>
      </c>
      <c r="D14" s="134">
        <v>7500</v>
      </c>
      <c r="E14" s="134" t="s">
        <v>133</v>
      </c>
      <c r="I14" s="117"/>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row>
    <row r="20" spans="1:10" x14ac:dyDescent="0.25">
      <c r="A20" t="s">
        <v>249</v>
      </c>
      <c r="B20">
        <v>69</v>
      </c>
      <c r="C20" s="134" t="s">
        <v>205</v>
      </c>
      <c r="D20">
        <v>15000</v>
      </c>
    </row>
    <row r="21" spans="1:10" x14ac:dyDescent="0.25">
      <c r="A21" t="s">
        <v>250</v>
      </c>
      <c r="B21">
        <v>110</v>
      </c>
      <c r="C21" t="s">
        <v>289</v>
      </c>
      <c r="D21">
        <f>85+100</f>
        <v>185</v>
      </c>
    </row>
    <row r="22" spans="1:10" x14ac:dyDescent="0.25">
      <c r="A22" t="s">
        <v>251</v>
      </c>
      <c r="B22">
        <v>69</v>
      </c>
      <c r="C22" s="134" t="s">
        <v>300</v>
      </c>
      <c r="D22">
        <f>'Tổng Đơn'!G2</f>
        <v>1620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3">
        <f ca="1">'Quốc Nhân'!N4+'La Cusina'!N4+TVP!M4+Gà!N4+Kitkool!N4-('Quốc Nhân'!K4+'La Cusina'!K4+TVP!J4+Gà!K4+Kitkool!K4-('Quốc Nhân'!A4+'La Cusina'!A4+TVP!A4+Gà!A4+Kitkool!A4))</f>
        <v>89890.832794006448</v>
      </c>
      <c r="B1" s="259" t="str">
        <f>"Tiền Hàng: "&amp;INT('Quốc Nhân'!K4+'La Cusina'!K4+TVP!J4+Gà!K4+Kitkool!K4)</f>
        <v>Tiền Hàng: 594091</v>
      </c>
      <c r="C1" s="258" t="str">
        <f ca="1">"Giá trị hàng Tồn: "&amp;INT('Quốc Nhân'!A4+'La Cusina'!A4+TVP!A4+Gà!A4+Kitkool!A4)</f>
        <v>Giá trị hàng Tồn: 49271</v>
      </c>
      <c r="D1" s="257" t="str">
        <f ca="1">"Giá trị Hàng xuất: "&amp;CHAR(10)&amp;INT('Quốc Nhân'!K4+'La Cusina'!K4+TVP!J4+Gà!K4+Kitkool!K4-('Quốc Nhân'!A4+'La Cusina'!A4+TVP!A4+Gà!A4+Kitkool!A4))</f>
        <v>Giá trị Hàng xuất: 
544820</v>
      </c>
      <c r="E1" s="260" t="str">
        <f ca="1">"Doanh Thu Tích Lũy: "&amp;INT('Quốc Nhân'!N4+'La Cusina'!N4+TVP!M4+Gà!N4+Kitkool!N4)</f>
        <v>Doanh Thu Tích Lũy: 634711</v>
      </c>
      <c r="F1" s="255">
        <v>9999</v>
      </c>
      <c r="G1" s="203">
        <f>-774-503+13</f>
        <v>-1264</v>
      </c>
      <c r="H1" s="204" t="s">
        <v>259</v>
      </c>
      <c r="I1" s="205">
        <f>-176</f>
        <v>-176</v>
      </c>
      <c r="J1" s="206" t="s">
        <v>260</v>
      </c>
      <c r="K1" s="222">
        <f>316</f>
        <v>316</v>
      </c>
      <c r="L1" s="222"/>
      <c r="M1" s="222"/>
      <c r="N1" s="222"/>
      <c r="O1" s="207"/>
      <c r="P1" s="207"/>
      <c r="Q1" s="207"/>
    </row>
    <row r="2" spans="1:55" s="208" customFormat="1" ht="20.25" customHeight="1" x14ac:dyDescent="0.25">
      <c r="A2" s="254"/>
      <c r="B2" s="259"/>
      <c r="C2" s="258"/>
      <c r="D2" s="257"/>
      <c r="E2" s="260"/>
      <c r="F2" s="256"/>
      <c r="G2" s="209">
        <f>230+580+810</f>
        <v>1620</v>
      </c>
      <c r="H2" s="210" t="s">
        <v>300</v>
      </c>
      <c r="I2" s="203">
        <v>-374</v>
      </c>
      <c r="J2" s="204" t="s">
        <v>279</v>
      </c>
      <c r="K2" s="222"/>
      <c r="L2" s="250"/>
      <c r="M2" s="222"/>
      <c r="N2" s="222"/>
    </row>
    <row r="3" spans="1:55" s="43" customFormat="1" ht="30" customHeight="1" x14ac:dyDescent="0.25">
      <c r="A3" s="32" t="s">
        <v>106</v>
      </c>
      <c r="B3" s="32" t="s">
        <v>17</v>
      </c>
      <c r="C3" s="32" t="s">
        <v>107</v>
      </c>
      <c r="D3" s="32" t="s">
        <v>117</v>
      </c>
      <c r="E3" s="54" t="s">
        <v>55</v>
      </c>
      <c r="F3" s="54" t="s">
        <v>119</v>
      </c>
      <c r="G3" s="32" t="s">
        <v>308</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36</v>
      </c>
      <c r="G4" s="55"/>
      <c r="H4" s="75">
        <f ca="1">SUBTOTAL(9,H5:H93)</f>
        <v>417452.49634003447</v>
      </c>
      <c r="I4" s="75">
        <f ca="1">K4-J4</f>
        <v>286452.49634003453</v>
      </c>
      <c r="J4" s="40">
        <f ca="1">SUBTOTAL(9,J5:J93)</f>
        <v>2287547.5036599655</v>
      </c>
      <c r="K4" s="60">
        <f ca="1">SUM(L4:BC4)</f>
        <v>2574000</v>
      </c>
      <c r="L4" s="79">
        <f ca="1">IFERROR(INDIRECT("'Thanh Toán ("&amp;L$3&amp;")'!$H"&amp;SUBTOTAL(3,INDIRECT("'Thanh Toán ("&amp;L$3&amp;")'!$H$8:$H$50"))+7-COUNTIF(INDIRECT("'Thanh Toán ("&amp;L$3&amp;")'!$H$8:$H$50"),""&amp;"*")),"")</f>
        <v>720000</v>
      </c>
      <c r="M4" s="79">
        <f t="shared" ref="M4:AN4" ca="1" si="0">IFERROR(INDIRECT("'Thanh Toán ("&amp;M$3&amp;")'!$H"&amp;SUBTOTAL(3,INDIRECT("'Thanh Toán ("&amp;M$3&amp;")'!$H$8:$H$50"))+7-COUNTIF(INDIRECT("'Thanh Toán ("&amp;M$3&amp;")'!$H$8:$H$50"),""&amp;"*")),"")</f>
        <v>50000</v>
      </c>
      <c r="N4" s="79">
        <f t="shared" ca="1" si="0"/>
        <v>60000</v>
      </c>
      <c r="O4" s="79">
        <f t="shared" ca="1" si="0"/>
        <v>575000</v>
      </c>
      <c r="P4" s="79">
        <f t="shared" ca="1" si="0"/>
        <v>76000</v>
      </c>
      <c r="Q4" s="79">
        <f t="shared" ca="1" si="0"/>
        <v>157000</v>
      </c>
      <c r="R4" s="79">
        <f t="shared" ca="1" si="0"/>
        <v>200000</v>
      </c>
      <c r="S4" s="79">
        <f t="shared" ca="1" si="0"/>
        <v>25000</v>
      </c>
      <c r="T4" s="79">
        <f t="shared" ca="1" si="0"/>
        <v>51000</v>
      </c>
      <c r="U4" s="79">
        <f t="shared" ca="1" si="0"/>
        <v>51000</v>
      </c>
      <c r="V4" s="79">
        <f t="shared" ca="1" si="0"/>
        <v>38000</v>
      </c>
      <c r="W4" s="79">
        <f t="shared" ca="1" si="0"/>
        <v>272000</v>
      </c>
      <c r="X4" s="79">
        <f t="shared" ca="1" si="0"/>
        <v>249000</v>
      </c>
      <c r="Y4" s="79">
        <f t="shared" ca="1" si="0"/>
        <v>50000</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302</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1">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301</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1">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1">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303</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1">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41.451379981468065</v>
      </c>
      <c r="H9" s="199">
        <f t="shared" ca="1" si="5"/>
        <v>0</v>
      </c>
      <c r="I9" s="221">
        <f t="shared" si="3"/>
        <v>0.15798316054760209</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21.82081361393616</v>
      </c>
      <c r="H10" s="199">
        <f t="shared" ca="1" si="5"/>
        <v>0</v>
      </c>
      <c r="I10" s="221">
        <f t="shared" si="3"/>
        <v>0.14569513503535947</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22.590959976780965</v>
      </c>
      <c r="H11" s="199">
        <f t="shared" ca="1" si="5"/>
        <v>0</v>
      </c>
      <c r="I11" s="221">
        <f t="shared" si="3"/>
        <v>0.23943382790188883</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22.334244522499365</v>
      </c>
      <c r="H12" s="199">
        <f t="shared" ca="1" si="5"/>
        <v>0</v>
      </c>
      <c r="I12" s="221">
        <f t="shared" si="3"/>
        <v>0.34322877900697324</v>
      </c>
      <c r="J12" s="199">
        <f t="shared" ca="1" si="4"/>
        <v>0</v>
      </c>
      <c r="K12" s="137">
        <f ca="1">I4/J4</f>
        <v>0.12522253456233123</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33.263453071548447</v>
      </c>
      <c r="H13" s="199">
        <f t="shared" ca="1" si="5"/>
        <v>0</v>
      </c>
      <c r="I13" s="221">
        <f t="shared" si="3"/>
        <v>0.14239492569407664</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0</v>
      </c>
      <c r="G14" s="198">
        <f>IFERROR(VLOOKUP($B14,Gà!C:J,8,0),IFERROR(VLOOKUP($B14,TVP!C:J,7,0),IFERROR(VLOOKUP($B14,Kitkool!C:J,8,0),IFERROR(VLOOKUP($B14,'La Cusina'!C:J,8,0),VLOOKUP($B14,'Quốc Nhân'!C:J,8,0)))))</f>
        <v>38.380907390248211</v>
      </c>
      <c r="H14" s="199">
        <f t="shared" ca="1" si="5"/>
        <v>0</v>
      </c>
      <c r="I14" s="221">
        <f t="shared" si="3"/>
        <v>9.429408671748396E-2</v>
      </c>
      <c r="J14" s="199">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30.192980480328593</v>
      </c>
      <c r="H15" s="199">
        <f t="shared" ca="1" si="5"/>
        <v>0</v>
      </c>
      <c r="I15" s="221">
        <f t="shared" si="3"/>
        <v>0.15920983762445351</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1</v>
      </c>
      <c r="G16" s="198">
        <f>IFERROR(VLOOKUP($B16,Gà!C:J,8,0),IFERROR(VLOOKUP($B16,TVP!C:J,7,0),IFERROR(VLOOKUP($B16,Kitkool!C:J,8,0),IFERROR(VLOOKUP($B16,'La Cusina'!C:J,8,0),VLOOKUP($B16,'Quốc Nhân'!C:J,8,0)))))</f>
        <v>32.239962207808496</v>
      </c>
      <c r="H16" s="199">
        <f t="shared" ca="1" si="5"/>
        <v>12760.037792191502</v>
      </c>
      <c r="I16" s="221">
        <f t="shared" si="3"/>
        <v>0.39578327387434187</v>
      </c>
      <c r="J16" s="199">
        <f t="shared" ca="1" si="4"/>
        <v>32239.962207808498</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1</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44.155058136435521</v>
      </c>
      <c r="H17" s="199">
        <f t="shared" ca="1" si="5"/>
        <v>0</v>
      </c>
      <c r="I17" s="221">
        <f t="shared" si="3"/>
        <v>0.13237309858145996</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40.93963454959809</v>
      </c>
      <c r="H18" s="199">
        <f t="shared" ca="1" si="5"/>
        <v>0</v>
      </c>
      <c r="I18" s="221">
        <f t="shared" si="3"/>
        <v>9.9179328176044246E-2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40.93963454959809</v>
      </c>
      <c r="H19" s="199">
        <f t="shared" ca="1" si="5"/>
        <v>0</v>
      </c>
      <c r="I19" s="221">
        <f t="shared" si="3"/>
        <v>9.9179328176044246E-2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40.93963454959809</v>
      </c>
      <c r="H20" s="199">
        <f t="shared" ca="1" si="5"/>
        <v>0</v>
      </c>
      <c r="I20" s="221">
        <f t="shared" si="3"/>
        <v>9.9179328176044246E-2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40.93963454959809</v>
      </c>
      <c r="H21" s="199">
        <f t="shared" ca="1" si="5"/>
        <v>0</v>
      </c>
      <c r="I21" s="221">
        <f t="shared" si="3"/>
        <v>9.9179328176044246E-2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40.93963454959809</v>
      </c>
      <c r="H22" s="199">
        <f t="shared" ca="1" si="5"/>
        <v>0</v>
      </c>
      <c r="I22" s="221">
        <f t="shared" si="3"/>
        <v>9.9179328176044246E-2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6</v>
      </c>
      <c r="G23" s="198">
        <f>IFERROR(VLOOKUP($B23,Gà!C:J,8,0),IFERROR(VLOOKUP($B23,TVP!C:J,7,0),IFERROR(VLOOKUP($B23,Kitkool!C:J,8,0),IFERROR(VLOOKUP($B23,'La Cusina'!C:J,8,0),VLOOKUP($B23,'Quốc Nhân'!C:J,8,0)))))</f>
        <v>34.913301782297857</v>
      </c>
      <c r="H23" s="199">
        <f t="shared" ca="1" si="5"/>
        <v>30520.189306212851</v>
      </c>
      <c r="I23" s="221">
        <f t="shared" si="3"/>
        <v>0.14569513503535947</v>
      </c>
      <c r="J23" s="199">
        <f t="shared" ca="1" si="4"/>
        <v>209479.81069378715</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5</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1</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30.805854513792227</v>
      </c>
      <c r="H24" s="199">
        <f t="shared" ca="1" si="5"/>
        <v>0</v>
      </c>
      <c r="I24" s="221">
        <f t="shared" si="3"/>
        <v>0.29845448637340732</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43.64162722787232</v>
      </c>
      <c r="H25" s="199">
        <f t="shared" ca="1" si="5"/>
        <v>0</v>
      </c>
      <c r="I25" s="221">
        <f t="shared" si="3"/>
        <v>0.26026464853889553</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11</v>
      </c>
      <c r="G26" s="198">
        <f>IFERROR(VLOOKUP($B26,Gà!C:J,8,0),IFERROR(VLOOKUP($B26,TVP!C:J,7,0),IFERROR(VLOOKUP($B26,Kitkool!C:J,8,0),IFERROR(VLOOKUP($B26,'La Cusina'!C:J,8,0),VLOOKUP($B26,'Quốc Nhân'!C:J,8,0)))))</f>
        <v>29.265561788102612</v>
      </c>
      <c r="H26" s="199">
        <f t="shared" ca="1" si="5"/>
        <v>63078.820330871269</v>
      </c>
      <c r="I26" s="221">
        <f t="shared" si="3"/>
        <v>0.19594492165971755</v>
      </c>
      <c r="J26" s="199">
        <f t="shared" ca="1" si="4"/>
        <v>321921.17966912873</v>
      </c>
      <c r="K26" s="53"/>
      <c r="L26" s="2">
        <f ca="1">IFERROR(SUMIFS(INDIRECT("'Thanh Toán ("&amp;L$3&amp;")'!$F:$F"),INDIRECT("'Thanh Toán ("&amp;L$3&amp;")'!$D:$D"),'Tổng Đơn'!$B26),0)</f>
        <v>10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1</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59.044554484768433</v>
      </c>
      <c r="H27" s="199">
        <f t="shared" ca="1" si="5"/>
        <v>0</v>
      </c>
      <c r="I27" s="221">
        <f t="shared" si="3"/>
        <v>0.16860903773606672</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33.775198503418423</v>
      </c>
      <c r="H28" s="199">
        <f t="shared" ca="1" si="5"/>
        <v>0</v>
      </c>
      <c r="I28" s="221">
        <f t="shared" si="3"/>
        <v>0.18430095965095683</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1</v>
      </c>
      <c r="G29" s="198">
        <f>IFERROR(VLOOKUP($B29,Gà!C:J,8,0),IFERROR(VLOOKUP($B29,TVP!C:J,7,0),IFERROR(VLOOKUP($B29,Kitkool!C:J,8,0),IFERROR(VLOOKUP($B29,'La Cusina'!C:J,8,0),VLOOKUP($B29,'Quốc Nhân'!C:J,8,0)))))</f>
        <v>40.93963454959809</v>
      </c>
      <c r="H29" s="199">
        <f t="shared" ca="1" si="5"/>
        <v>9060.3654504019069</v>
      </c>
      <c r="I29" s="221">
        <f t="shared" si="3"/>
        <v>0.22131036464004916</v>
      </c>
      <c r="J29" s="199">
        <f t="shared" ca="1" si="4"/>
        <v>40939.634549598093</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1</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1">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1">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1">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1">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1">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1">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1">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1">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1">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1">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1">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1">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1">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1">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1">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1">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1</v>
      </c>
      <c r="G46" s="198">
        <f>IFERROR(VLOOKUP($B46,Gà!C:J,8,0),IFERROR(VLOOKUP($B46,TVP!C:J,7,0),IFERROR(VLOOKUP($B46,Kitkool!C:J,8,0),IFERROR(VLOOKUP($B46,'La Cusina'!C:J,8,0),VLOOKUP($B46,'Quốc Nhân'!C:J,8,0)))))</f>
        <v>31.832716330918633</v>
      </c>
      <c r="H46" s="199">
        <f t="shared" ca="1" si="5"/>
        <v>8167.2836690813674</v>
      </c>
      <c r="I46" s="221">
        <f t="shared" si="3"/>
        <v>0.25656885778071681</v>
      </c>
      <c r="J46" s="199">
        <f t="shared" ca="1" si="4"/>
        <v>31832.716330918633</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1</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22.077529068217761</v>
      </c>
      <c r="H47" s="199">
        <f t="shared" ca="1" si="5"/>
        <v>0</v>
      </c>
      <c r="I47" s="221">
        <f t="shared" si="3"/>
        <v>0.58532233801404399</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5</v>
      </c>
      <c r="G48" s="198">
        <f>IFERROR(VLOOKUP($B48,Gà!C:J,8,0),IFERROR(VLOOKUP($B48,TVP!C:J,7,0),IFERROR(VLOOKUP($B48,Kitkool!C:J,8,0),IFERROR(VLOOKUP($B48,'La Cusina'!C:J,8,0),VLOOKUP($B48,'Quốc Nhân'!C:J,8,0)))))</f>
        <v>98.583333333333329</v>
      </c>
      <c r="H48" s="199">
        <f t="shared" ca="1" si="5"/>
        <v>32083.333333333358</v>
      </c>
      <c r="I48" s="221">
        <f t="shared" si="3"/>
        <v>6.5088757396449815E-2</v>
      </c>
      <c r="J48" s="199">
        <f t="shared" ca="1" si="4"/>
        <v>492916.66666666663</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5</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1</v>
      </c>
      <c r="G49" s="198">
        <f>IFERROR(VLOOKUP($B49,Gà!C:J,8,0),IFERROR(VLOOKUP($B49,TVP!C:J,7,0),IFERROR(VLOOKUP($B49,Kitkool!C:J,8,0),IFERROR(VLOOKUP($B49,'La Cusina'!C:J,8,0),VLOOKUP($B49,'Quốc Nhân'!C:J,8,0)))))</f>
        <v>38.380907390248211</v>
      </c>
      <c r="H49" s="199">
        <f t="shared" ca="1" si="5"/>
        <v>3619.0926097517877</v>
      </c>
      <c r="I49" s="221">
        <f t="shared" si="3"/>
        <v>9.429408671748396E-2</v>
      </c>
      <c r="J49" s="199">
        <f t="shared" ca="1" si="4"/>
        <v>38380.907390248212</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1</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27.836258096716861</v>
      </c>
      <c r="H50" s="199">
        <f t="shared" ca="1" si="5"/>
        <v>0</v>
      </c>
      <c r="I50" s="221">
        <f t="shared" si="3"/>
        <v>0.25735290563813473</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1">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1</v>
      </c>
      <c r="G52" s="198">
        <f>IFERROR(VLOOKUP($B52,Gà!C:J,8,0),IFERROR(VLOOKUP($B52,TVP!C:J,7,0),IFERROR(VLOOKUP($B52,Kitkool!C:J,8,0),IFERROR(VLOOKUP($B52,'La Cusina'!C:J,8,0),VLOOKUP($B52,'Quốc Nhân'!C:J,8,0)))))</f>
        <v>63.289569585344232</v>
      </c>
      <c r="H52" s="199">
        <f t="shared" ca="1" si="5"/>
        <v>12710.43041465577</v>
      </c>
      <c r="I52" s="221">
        <f t="shared" si="3"/>
        <v>0.20082978124090589</v>
      </c>
      <c r="J52" s="199">
        <f t="shared" ca="1" si="4"/>
        <v>63289.56958534423</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1</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22.334244522499365</v>
      </c>
      <c r="H53" s="199">
        <f t="shared" ca="1" si="5"/>
        <v>0</v>
      </c>
      <c r="I53" s="221">
        <f t="shared" si="3"/>
        <v>0.34322877900697324</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40.04761086792989</v>
      </c>
      <c r="H54" s="199">
        <f t="shared" ca="1" si="5"/>
        <v>0</v>
      </c>
      <c r="I54" s="221">
        <f t="shared" si="3"/>
        <v>0.22354365062109549</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0</v>
      </c>
      <c r="G55" s="198">
        <f>IFERROR(VLOOKUP($B55,Gà!C:J,8,0),IFERROR(VLOOKUP($B55,TVP!C:J,7,0),IFERROR(VLOOKUP($B55,Kitkool!C:J,8,0),IFERROR(VLOOKUP($B55,'La Cusina'!C:J,8,0),VLOOKUP($B55,'Quốc Nhân'!C:J,8,0)))))</f>
        <v>74.447481741664546</v>
      </c>
      <c r="H55" s="199">
        <f t="shared" ca="1" si="5"/>
        <v>0</v>
      </c>
      <c r="I55" s="221">
        <f t="shared" si="3"/>
        <v>7.4583023205578414E-2</v>
      </c>
      <c r="J55" s="199">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1</v>
      </c>
      <c r="G56" s="198">
        <f>IFERROR(VLOOKUP($B56,Gà!C:J,8,0),IFERROR(VLOOKUP($B56,TVP!C:J,7,0),IFERROR(VLOOKUP($B56,Kitkool!C:J,8,0),IFERROR(VLOOKUP($B56,'La Cusina'!C:J,8,0),VLOOKUP($B56,'Quốc Nhân'!C:J,8,0)))))</f>
        <v>40.04761086792989</v>
      </c>
      <c r="H56" s="199">
        <f t="shared" ca="1" si="5"/>
        <v>3952.3891320701077</v>
      </c>
      <c r="I56" s="221">
        <f t="shared" si="3"/>
        <v>9.8692257700575547E-2</v>
      </c>
      <c r="J56" s="199">
        <f t="shared" ca="1" si="4"/>
        <v>40047.610867929892</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1</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30.292423605229022</v>
      </c>
      <c r="H57" s="199">
        <f t="shared" ca="1" si="5"/>
        <v>0</v>
      </c>
      <c r="I57" s="221">
        <f t="shared" si="3"/>
        <v>0.15540441584074394</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1</v>
      </c>
      <c r="G58" s="198">
        <f>IFERROR(VLOOKUP($B58,Gà!C:J,8,0),IFERROR(VLOOKUP($B58,TVP!C:J,7,0),IFERROR(VLOOKUP($B58,Kitkool!C:J,8,0),IFERROR(VLOOKUP($B58,'La Cusina'!C:J,8,0),VLOOKUP($B58,'Quốc Nhân'!C:J,8,0)))))</f>
        <v>32.346147239481837</v>
      </c>
      <c r="H58" s="199">
        <f t="shared" ca="1" si="5"/>
        <v>5653.8527605181625</v>
      </c>
      <c r="I58" s="221">
        <f t="shared" si="3"/>
        <v>0.17479215433784479</v>
      </c>
      <c r="J58" s="199">
        <f t="shared" ca="1" si="4"/>
        <v>32346.147239481837</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1</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1</v>
      </c>
      <c r="G59" s="198">
        <f>IFERROR(VLOOKUP($B59,Gà!C:J,8,0),IFERROR(VLOOKUP($B59,TVP!C:J,7,0),IFERROR(VLOOKUP($B59,Kitkool!C:J,8,0),IFERROR(VLOOKUP($B59,'La Cusina'!C:J,8,0),VLOOKUP($B59,'Quốc Nhân'!C:J,8,0)))))</f>
        <v>61.409451824397138</v>
      </c>
      <c r="H59" s="199">
        <f t="shared" ca="1" si="5"/>
        <v>8590.5481756028603</v>
      </c>
      <c r="I59" s="221">
        <f t="shared" si="3"/>
        <v>0.13988967366404581</v>
      </c>
      <c r="J59" s="199">
        <f t="shared" ca="1" si="4"/>
        <v>61409.45182439714</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1</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45.033598004557902</v>
      </c>
      <c r="H60" s="199">
        <f t="shared" ca="1" si="5"/>
        <v>0</v>
      </c>
      <c r="I60" s="221">
        <f t="shared" si="3"/>
        <v>0.19910472164659354</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1</v>
      </c>
      <c r="G61" s="198">
        <f>IFERROR(VLOOKUP($B61,Gà!C:J,8,0),IFERROR(VLOOKUP($B61,TVP!C:J,7,0),IFERROR(VLOOKUP($B61,Kitkool!C:J,8,0),IFERROR(VLOOKUP($B61,'La Cusina'!C:J,8,0),VLOOKUP($B61,'Quốc Nhân'!C:J,8,0)))))</f>
        <v>43.64162722787232</v>
      </c>
      <c r="H61" s="199">
        <f t="shared" ca="1" si="5"/>
        <v>3358.3727721276809</v>
      </c>
      <c r="I61" s="221">
        <f t="shared" si="3"/>
        <v>7.6953426933237923E-2</v>
      </c>
      <c r="J61" s="199">
        <f t="shared" ca="1" si="4"/>
        <v>43641.627227872319</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1</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44.668489044998729</v>
      </c>
      <c r="H62" s="199">
        <f t="shared" ca="1" si="5"/>
        <v>0</v>
      </c>
      <c r="I62" s="221">
        <f t="shared" si="3"/>
        <v>0.11935731583914433</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37.35741652650826</v>
      </c>
      <c r="H63" s="199">
        <f t="shared" ca="1" si="5"/>
        <v>0</v>
      </c>
      <c r="I63" s="221">
        <f t="shared" si="3"/>
        <v>0.124274746627552</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0</v>
      </c>
      <c r="G64" s="198">
        <f>IFERROR(VLOOKUP($B64,Gà!C:J,8,0),IFERROR(VLOOKUP($B64,TVP!C:J,7,0),IFERROR(VLOOKUP($B64,Kitkool!C:J,8,0),IFERROR(VLOOKUP($B64,'La Cusina'!C:J,8,0),VLOOKUP($B64,'Quốc Nhân'!C:J,8,0)))))</f>
        <v>12.281890364879427</v>
      </c>
      <c r="H64" s="199">
        <f t="shared" ca="1" si="5"/>
        <v>0</v>
      </c>
      <c r="I64" s="221">
        <f t="shared" si="3"/>
        <v>0.30273105561605251</v>
      </c>
      <c r="J64" s="199">
        <f t="shared" ca="1" si="4"/>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28</v>
      </c>
      <c r="G65" s="198">
        <f>IFERROR(VLOOKUP($B65,Gà!C:J,8,0),IFERROR(VLOOKUP($B65,TVP!C:J,7,0),IFERROR(VLOOKUP($B65,Kitkool!C:J,8,0),IFERROR(VLOOKUP($B65,'La Cusina'!C:J,8,0),VLOOKUP($B65,'Quốc Nhân'!C:J,8,0)))))</f>
        <v>19.446693888232208</v>
      </c>
      <c r="H65" s="199">
        <f t="shared" ca="1" si="5"/>
        <v>155492.57112949822</v>
      </c>
      <c r="I65" s="221">
        <f t="shared" si="3"/>
        <v>0.28556556418714796</v>
      </c>
      <c r="J65" s="199">
        <f t="shared" ca="1" si="4"/>
        <v>544507.42887050181</v>
      </c>
      <c r="K65" s="53"/>
      <c r="L65" s="2">
        <f ca="1">IFERROR(SUMIFS(INDIRECT("'Thanh Toán ("&amp;L$3&amp;")'!$F:$F"),INDIRECT("'Thanh Toán ("&amp;L$3&amp;")'!$D:$D"),'Tổng Đơn'!$B65),0)</f>
        <v>20</v>
      </c>
      <c r="M65" s="2">
        <f ca="1">IFERROR(SUMIFS(INDIRECT("'Thanh Toán ("&amp;M$3&amp;")'!$F:$F"),INDIRECT("'Thanh Toán ("&amp;M$3&amp;")'!$D:$D"),'Tổng Đơn'!$B65),0)</f>
        <v>1</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1</v>
      </c>
      <c r="T65" s="2">
        <f ca="1">IFERROR(SUMIFS(INDIRECT("'Thanh Toán ("&amp;T$3&amp;")'!$F:$F"),INDIRECT("'Thanh Toán ("&amp;T$3&amp;")'!$D:$D"),'Tổng Đơn'!$B65),0)</f>
        <v>1</v>
      </c>
      <c r="U65" s="2">
        <f ca="1">IFERROR(SUMIFS(INDIRECT("'Thanh Toán ("&amp;U$3&amp;")'!$F:$F"),INDIRECT("'Thanh Toán ("&amp;U$3&amp;")'!$D:$D"),'Tổng Đơn'!$B65),0)</f>
        <v>1</v>
      </c>
      <c r="V65" s="2">
        <f ca="1">IFERROR(SUMIFS(INDIRECT("'Thanh Toán ("&amp;V$3&amp;")'!$F:$F"),INDIRECT("'Thanh Toán ("&amp;V$3&amp;")'!$D:$D"),'Tổng Đơn'!$B65),0)</f>
        <v>0</v>
      </c>
      <c r="W65" s="2">
        <f ca="1">IFERROR(SUMIFS(INDIRECT("'Thanh Toán ("&amp;W$3&amp;")'!$F:$F"),INDIRECT("'Thanh Toán ("&amp;W$3&amp;")'!$D:$D"),'Tổng Đơn'!$B65),0)</f>
        <v>2</v>
      </c>
      <c r="X65" s="2">
        <f ca="1">IFERROR(SUMIFS(INDIRECT("'Thanh Toán ("&amp;X$3&amp;")'!$F:$F"),INDIRECT("'Thanh Toán ("&amp;X$3&amp;")'!$D:$D"),'Tổng Đơn'!$B65),0)</f>
        <v>0</v>
      </c>
      <c r="Y65" s="2">
        <f ca="1">IFERROR(SUMIFS(INDIRECT("'Thanh Toán ("&amp;Y$3&amp;")'!$F:$F"),INDIRECT("'Thanh Toán ("&amp;Y$3&amp;")'!$D:$D"),'Tổng Đơn'!$B65),0)</f>
        <v>2</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21.493714297519809</v>
      </c>
      <c r="H66" s="199">
        <f t="shared" ca="1" si="5"/>
        <v>0</v>
      </c>
      <c r="I66" s="221">
        <f t="shared" si="3"/>
        <v>0.20965597849228779</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1</v>
      </c>
      <c r="G67" s="198">
        <f>IFERROR(VLOOKUP($B67,Gà!C:J,8,0),IFERROR(VLOOKUP($B67,TVP!C:J,7,0),IFERROR(VLOOKUP($B67,Kitkool!C:J,8,0),IFERROR(VLOOKUP($B67,'La Cusina'!C:J,8,0),VLOOKUP($B67,'Quốc Nhân'!C:J,8,0)))))</f>
        <v>21.493714297519809</v>
      </c>
      <c r="H67" s="199">
        <f t="shared" ca="1" si="5"/>
        <v>6506.2857024801924</v>
      </c>
      <c r="I67" s="221">
        <f t="shared" si="3"/>
        <v>0.30270643837631006</v>
      </c>
      <c r="J67" s="199">
        <f t="shared" ca="1" si="4"/>
        <v>21493.714297519808</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1</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0</v>
      </c>
      <c r="G68" s="198">
        <f>IFERROR(VLOOKUP($B68,Gà!C:J,8,0),IFERROR(VLOOKUP($B68,TVP!C:J,7,0),IFERROR(VLOOKUP($B68,Kitkool!C:J,8,0),IFERROR(VLOOKUP($B68,'La Cusina'!C:J,8,0),VLOOKUP($B68,'Quốc Nhân'!C:J,8,0)))))</f>
        <v>20.470204092876006</v>
      </c>
      <c r="H68" s="199">
        <f t="shared" ca="1" si="5"/>
        <v>0</v>
      </c>
      <c r="I68" s="221">
        <f t="shared" si="3"/>
        <v>0.36784176029512539</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5</v>
      </c>
      <c r="G69" s="198">
        <f>IFERROR(VLOOKUP($B69,Gà!C:J,8,0),IFERROR(VLOOKUP($B69,TVP!C:J,7,0),IFERROR(VLOOKUP($B69,Kitkool!C:J,8,0),IFERROR(VLOOKUP($B69,'La Cusina'!C:J,8,0),VLOOKUP($B69,'Quốc Nhân'!C:J,8,0)))))</f>
        <v>20.935436004077733</v>
      </c>
      <c r="H69" s="199">
        <f t="shared" ca="1" si="5"/>
        <v>25322.81997961134</v>
      </c>
      <c r="I69" s="221">
        <f t="shared" si="3"/>
        <v>0.24191347125208229</v>
      </c>
      <c r="J69" s="199">
        <f t="shared" ca="1" si="4"/>
        <v>104677.18002038867</v>
      </c>
      <c r="K69" s="53"/>
      <c r="L69" s="2">
        <f ca="1">IFERROR(SUMIFS(INDIRECT("'Thanh Toán ("&amp;L$3&amp;")'!$F:$F"),INDIRECT("'Thanh Toán ("&amp;L$3&amp;")'!$D:$D"),'Tổng Đơn'!$B69),0)</f>
        <v>0</v>
      </c>
      <c r="M69" s="2">
        <f ca="1">IFERROR(SUMIFS(INDIRECT("'Thanh Toán ("&amp;M$3&amp;")'!$F:$F"),INDIRECT("'Thanh Toán ("&amp;M$3&amp;")'!$D:$D"),'Tổng Đơn'!$B69),0)</f>
        <v>1</v>
      </c>
      <c r="N69" s="2">
        <f ca="1">IFERROR(SUMIFS(INDIRECT("'Thanh Toán ("&amp;N$3&amp;")'!$F:$F"),INDIRECT("'Thanh Toán ("&amp;N$3&amp;")'!$D:$D"),'Tổng Đơn'!$B69),0)</f>
        <v>1</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2</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1</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7</v>
      </c>
      <c r="G70" s="198">
        <f>IFERROR(VLOOKUP($B70,Gà!C:J,8,0),IFERROR(VLOOKUP($B70,TVP!C:J,7,0),IFERROR(VLOOKUP($B70,Kitkool!C:J,8,0),IFERROR(VLOOKUP($B70,'La Cusina'!C:J,8,0),VLOOKUP($B70,'Quốc Nhân'!C:J,8,0)))))</f>
        <v>29.774842316910554</v>
      </c>
      <c r="H70" s="199">
        <f t="shared" ca="1" si="5"/>
        <v>36576.103781626109</v>
      </c>
      <c r="I70" s="221">
        <f t="shared" si="3"/>
        <v>0.1754890127536235</v>
      </c>
      <c r="J70" s="199">
        <f t="shared" ca="1" si="4"/>
        <v>208423.89621837388</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1</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3</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2</v>
      </c>
      <c r="X70" s="2">
        <f ca="1">IFERROR(SUMIFS(INDIRECT("'Thanh Toán ("&amp;X$3&amp;")'!$F:$F"),INDIRECT("'Thanh Toán ("&amp;X$3&amp;")'!$D:$D"),'Tổng Đơn'!$B70),0)</f>
        <v>1</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0</v>
      </c>
      <c r="G71" s="198">
        <f>IFERROR(VLOOKUP($B71,Gà!C:J,8,0),IFERROR(VLOOKUP($B71,TVP!C:J,7,0),IFERROR(VLOOKUP($B71,Kitkool!C:J,8,0),IFERROR(VLOOKUP($B71,'La Cusina'!C:J,8,0),VLOOKUP($B71,'Quốc Nhân'!C:J,8,0)))))</f>
        <v>34.892393340129559</v>
      </c>
      <c r="H71" s="199">
        <f t="shared" ref="H71:H74" ca="1" si="8">(D71-G71*1000)*$F71</f>
        <v>0</v>
      </c>
      <c r="I71" s="221">
        <f t="shared" ref="I71:I74" si="9">D71/(G71*1000)-1</f>
        <v>0.20370074905971047</v>
      </c>
      <c r="J71" s="199">
        <f t="shared" ref="J71:J73" ca="1" si="10">F71*G71*1000</f>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0</v>
      </c>
      <c r="G72" s="198">
        <f>IFERROR(VLOOKUP($B72,Gà!C:J,8,0),IFERROR(VLOOKUP($B72,TVP!C:J,7,0),IFERROR(VLOOKUP($B72,Kitkool!C:J,8,0),IFERROR(VLOOKUP($B72,'La Cusina'!C:J,8,0),VLOOKUP($B72,'Quốc Nhân'!C:J,8,0)))))</f>
        <v>37.869877571820616</v>
      </c>
      <c r="H72" s="199">
        <f t="shared" ca="1" si="8"/>
        <v>0</v>
      </c>
      <c r="I72" s="221">
        <f t="shared" si="9"/>
        <v>0.18827952149190419</v>
      </c>
      <c r="J72" s="199">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34.798689367158381</v>
      </c>
      <c r="H73" s="199">
        <f t="shared" ca="1" si="8"/>
        <v>0</v>
      </c>
      <c r="I73" s="221">
        <f t="shared" si="9"/>
        <v>0.14946857848475203</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33.058754898800458</v>
      </c>
      <c r="H74" s="199">
        <f t="shared" ca="1" si="8"/>
        <v>0</v>
      </c>
      <c r="I74" s="221">
        <f t="shared" si="9"/>
        <v>0.20996692472079181</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50"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215</v>
      </c>
      <c r="D1" s="262"/>
      <c r="E1" s="262"/>
      <c r="F1" s="262"/>
      <c r="G1" s="262"/>
      <c r="H1" s="262"/>
    </row>
    <row r="2" spans="1:14" ht="15.75" customHeight="1" x14ac:dyDescent="0.25">
      <c r="C2" s="262"/>
      <c r="D2" s="262"/>
      <c r="E2" s="262"/>
      <c r="F2" s="262"/>
      <c r="G2" s="262"/>
      <c r="H2" s="262"/>
    </row>
    <row r="3" spans="1:14" ht="15" customHeight="1" x14ac:dyDescent="0.25">
      <c r="C3" s="263" t="s">
        <v>217</v>
      </c>
      <c r="D3" s="263"/>
      <c r="E3" s="263"/>
      <c r="F3" s="264" t="s">
        <v>219</v>
      </c>
      <c r="G3" s="264"/>
      <c r="H3" s="264"/>
    </row>
    <row r="4" spans="1:14" x14ac:dyDescent="0.25">
      <c r="C4" s="265" t="s">
        <v>218</v>
      </c>
      <c r="D4" s="265"/>
      <c r="E4" s="265"/>
      <c r="F4" s="266" t="s">
        <v>220</v>
      </c>
      <c r="G4" s="266"/>
      <c r="H4" s="266"/>
    </row>
    <row r="5" spans="1:14" s="168" customFormat="1" ht="21" customHeight="1" x14ac:dyDescent="0.25">
      <c r="C5" s="267" t="s">
        <v>216</v>
      </c>
      <c r="D5" s="267"/>
      <c r="E5" s="267"/>
      <c r="F5" s="267"/>
      <c r="G5" s="267"/>
      <c r="H5" s="267"/>
    </row>
    <row r="6" spans="1:14" s="168" customFormat="1" ht="17.25" customHeight="1" x14ac:dyDescent="0.25">
      <c r="C6" s="177" t="s">
        <v>221</v>
      </c>
      <c r="D6" s="182"/>
      <c r="E6" s="173"/>
      <c r="F6" s="173"/>
      <c r="G6" s="261" t="str">
        <f ca="1">"Ngày "&amp;DAY(TODAY())&amp;" Tháng "&amp;MONTH(TODAY())&amp;" Năm "&amp;YEAR(TODAY())</f>
        <v>Ngày 11 Tháng 6 Năm 2022</v>
      </c>
      <c r="H6" s="261"/>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ref="F10" si="5">IF($B10="","",B10)</f>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49" priority="20">
      <formula>$C8=MAX($C$8:$C$37)</formula>
    </cfRule>
  </conditionalFormatting>
  <conditionalFormatting sqref="C9:C37">
    <cfRule type="expression" dxfId="148" priority="19">
      <formula>$C8=MAX($C$8:$C$37)</formula>
    </cfRule>
  </conditionalFormatting>
  <conditionalFormatting sqref="E9:E38">
    <cfRule type="expression" dxfId="147" priority="21">
      <formula>AND($A9="",$F9&lt;&gt;"")</formula>
    </cfRule>
  </conditionalFormatting>
  <conditionalFormatting sqref="F9:F38">
    <cfRule type="expression" dxfId="146" priority="22">
      <formula>AND($F9="",$A9&lt;&gt;"")</formula>
    </cfRule>
  </conditionalFormatting>
  <conditionalFormatting sqref="D8:G8">
    <cfRule type="expression" dxfId="145" priority="4">
      <formula>$C7=MAX($C$8:$C$37)</formula>
    </cfRule>
  </conditionalFormatting>
  <conditionalFormatting sqref="C8">
    <cfRule type="expression" dxfId="144" priority="3">
      <formula>$C7=MAX($C$8:$C$37)</formula>
    </cfRule>
  </conditionalFormatting>
  <conditionalFormatting sqref="E8">
    <cfRule type="expression" dxfId="143" priority="5">
      <formula>AND($A8="",$F8&lt;&gt;"")</formula>
    </cfRule>
  </conditionalFormatting>
  <conditionalFormatting sqref="F8">
    <cfRule type="expression" dxfId="142" priority="6">
      <formula>AND($F8="",$A8&lt;&gt;"")</formula>
    </cfRule>
  </conditionalFormatting>
  <conditionalFormatting sqref="H9:H11">
    <cfRule type="expression" dxfId="141" priority="2">
      <formula>$C8=MAX($C$8:$C$37)</formula>
    </cfRule>
  </conditionalFormatting>
  <conditionalFormatting sqref="H8">
    <cfRule type="expression" dxfId="1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pageSetUpPr fitToPage="1"/>
  </sheetPr>
  <dimension ref="A1:N53"/>
  <sheetViews>
    <sheetView zoomScaleNormal="100" workbookViewId="0">
      <pane ySplit="7" topLeftCell="A8" activePane="bottomLeft" state="frozen"/>
      <selection activeCell="L2" sqref="L2:L29"/>
      <selection pane="bottomLeft" activeCell="C5" sqref="C5:H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215</v>
      </c>
      <c r="D1" s="262"/>
      <c r="E1" s="262"/>
      <c r="F1" s="262"/>
      <c r="G1" s="262"/>
      <c r="H1" s="262"/>
    </row>
    <row r="2" spans="1:14" ht="15.75" customHeight="1" x14ac:dyDescent="0.25">
      <c r="C2" s="262"/>
      <c r="D2" s="262"/>
      <c r="E2" s="262"/>
      <c r="F2" s="262"/>
      <c r="G2" s="262"/>
      <c r="H2" s="262"/>
    </row>
    <row r="3" spans="1:14" ht="15" customHeight="1" x14ac:dyDescent="0.25">
      <c r="C3" s="263" t="s">
        <v>217</v>
      </c>
      <c r="D3" s="263"/>
      <c r="E3" s="263"/>
      <c r="F3" s="264" t="s">
        <v>219</v>
      </c>
      <c r="G3" s="264"/>
      <c r="H3" s="264"/>
    </row>
    <row r="4" spans="1:14" x14ac:dyDescent="0.25">
      <c r="C4" s="265" t="s">
        <v>218</v>
      </c>
      <c r="D4" s="265"/>
      <c r="E4" s="265"/>
      <c r="F4" s="266" t="s">
        <v>220</v>
      </c>
      <c r="G4" s="266"/>
      <c r="H4" s="266"/>
    </row>
    <row r="5" spans="1:14" s="168" customFormat="1" ht="21" customHeight="1" x14ac:dyDescent="0.25">
      <c r="C5" s="267" t="s">
        <v>216</v>
      </c>
      <c r="D5" s="267"/>
      <c r="E5" s="267"/>
      <c r="F5" s="267"/>
      <c r="G5" s="267"/>
      <c r="H5" s="267"/>
    </row>
    <row r="6" spans="1:14" s="168" customFormat="1" ht="17.25" customHeight="1" x14ac:dyDescent="0.25">
      <c r="C6" s="177" t="s">
        <v>221</v>
      </c>
      <c r="D6" s="182" t="s">
        <v>314</v>
      </c>
      <c r="E6" s="173"/>
      <c r="F6" s="173"/>
      <c r="G6" s="261" t="str">
        <f ca="1">"Ngày "&amp;DAY(TODAY())&amp;" Tháng "&amp;MONTH(TODAY())&amp;" Năm "&amp;YEAR(TODAY())</f>
        <v>Ngày 11 Tháng 6 Năm 2022</v>
      </c>
      <c r="H6" s="261"/>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50000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 priority="8">
      <formula>$C8=MAX($C$8:$C$37)</formula>
    </cfRule>
  </conditionalFormatting>
  <conditionalFormatting sqref="C9:C37">
    <cfRule type="expression" dxfId="8" priority="7">
      <formula>$C8=MAX($C$8:$C$37)</formula>
    </cfRule>
  </conditionalFormatting>
  <conditionalFormatting sqref="E9:E38">
    <cfRule type="expression" dxfId="7" priority="9">
      <formula>AND($A9="",$F9&lt;&gt;"")</formula>
    </cfRule>
  </conditionalFormatting>
  <conditionalFormatting sqref="F9:F38">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1">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039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215</v>
      </c>
      <c r="D1" s="262"/>
      <c r="E1" s="262"/>
      <c r="F1" s="262"/>
      <c r="G1" s="262"/>
      <c r="H1" s="262"/>
    </row>
    <row r="2" spans="1:14" ht="15.75" customHeight="1" x14ac:dyDescent="0.25">
      <c r="C2" s="262"/>
      <c r="D2" s="262"/>
      <c r="E2" s="262"/>
      <c r="F2" s="262"/>
      <c r="G2" s="262"/>
      <c r="H2" s="262"/>
    </row>
    <row r="3" spans="1:14" ht="15" customHeight="1" x14ac:dyDescent="0.25">
      <c r="C3" s="263" t="s">
        <v>217</v>
      </c>
      <c r="D3" s="263"/>
      <c r="E3" s="263"/>
      <c r="F3" s="264" t="s">
        <v>219</v>
      </c>
      <c r="G3" s="264"/>
      <c r="H3" s="264"/>
    </row>
    <row r="4" spans="1:14" x14ac:dyDescent="0.25">
      <c r="C4" s="265" t="s">
        <v>218</v>
      </c>
      <c r="D4" s="265"/>
      <c r="E4" s="265"/>
      <c r="F4" s="266" t="s">
        <v>220</v>
      </c>
      <c r="G4" s="266"/>
      <c r="H4" s="266"/>
    </row>
    <row r="5" spans="1:14" s="168" customFormat="1" ht="21" customHeight="1" x14ac:dyDescent="0.25">
      <c r="C5" s="267" t="s">
        <v>216</v>
      </c>
      <c r="D5" s="267"/>
      <c r="E5" s="267"/>
      <c r="F5" s="267"/>
      <c r="G5" s="267"/>
      <c r="H5" s="267"/>
    </row>
    <row r="6" spans="1:14" s="168" customFormat="1" ht="17.25" customHeight="1" x14ac:dyDescent="0.25">
      <c r="C6" s="177" t="s">
        <v>221</v>
      </c>
      <c r="D6" s="182" t="s">
        <v>314</v>
      </c>
      <c r="E6" s="173"/>
      <c r="F6" s="173"/>
      <c r="G6" s="261" t="str">
        <f ca="1">"Ngày "&amp;DAY(TODAY())&amp;" Tháng "&amp;MONTH(TODAY())&amp;" Năm "&amp;YEAR(TODAY())</f>
        <v>Ngày 11 Tháng 6 Năm 2022</v>
      </c>
      <c r="H6" s="261"/>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15</v>
      </c>
      <c r="B9" s="178">
        <v>1</v>
      </c>
      <c r="C9" s="45">
        <f t="shared" si="0"/>
        <v>2</v>
      </c>
      <c r="D9" s="175" t="str">
        <f>IFERROR(VLOOKUP($A9,Sheet1!$A$1:$B$98,2,0),"")</f>
        <v>Phô mai que (13 que)</v>
      </c>
      <c r="E9" s="45">
        <f>IFERROR(VLOOKUP($A9,'Tổng Đơn'!$A$5:$E$74,5,0),"")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v>18</v>
      </c>
      <c r="B10" s="178">
        <v>1</v>
      </c>
      <c r="C10" s="45">
        <f t="shared" si="0"/>
        <v>3</v>
      </c>
      <c r="D10" s="175" t="str">
        <f>IFERROR(VLOOKUP($A10,Sheet1!$A$1:$B$98,2,0),"")</f>
        <v>XX Đức HS ĐNA</v>
      </c>
      <c r="E10" s="45">
        <f>IFERROR(VLOOKUP($A10,'Tổng Đơn'!$A$5:$E$73,5,0),"")</f>
        <v>0.5</v>
      </c>
      <c r="F10" s="45">
        <f t="shared" si="1"/>
        <v>1</v>
      </c>
      <c r="G10" s="186">
        <f>IF(AND($C10="",$C9&lt;&gt;""),"Tổng Cộng",IFERROR(VLOOKUP($A10,Sheet1!$A$1:$D$98,4,0),""))</f>
        <v>35000</v>
      </c>
      <c r="H10" s="176">
        <f>IF($C9=MAX($C$8:$C$56),SUM($H$8:$H9),IFERROR($G10*$F10,""))</f>
        <v>35000</v>
      </c>
      <c r="I10" s="78">
        <f t="shared" si="2"/>
        <v>0.5</v>
      </c>
      <c r="L10" s="46"/>
    </row>
    <row r="11" spans="1:14" s="44" customFormat="1" ht="14.25" customHeight="1" x14ac:dyDescent="0.25">
      <c r="A11" s="178">
        <v>48</v>
      </c>
      <c r="B11" s="178">
        <v>1</v>
      </c>
      <c r="C11" s="45">
        <f t="shared" si="0"/>
        <v>4</v>
      </c>
      <c r="D11" s="175" t="str">
        <f>IFERROR(VLOOKUP($A11,Sheet1!$A$1:$B$98,2,0),"")</f>
        <v>Hồ lô ĐNA</v>
      </c>
      <c r="E11" s="45">
        <f>IFERROR(VLOOKUP($A11,'Tổng Đơn'!$A$5:$E$73,5,0),"")</f>
        <v>0.5</v>
      </c>
      <c r="F11" s="45">
        <f t="shared" si="1"/>
        <v>1</v>
      </c>
      <c r="G11" s="186">
        <f>IF(AND($C11="",$C10&lt;&gt;""),"Tổng Cộng",IFERROR(VLOOKUP($A11,Sheet1!$A$1:$D$98,4,0),""))</f>
        <v>44000</v>
      </c>
      <c r="H11" s="176">
        <f>IF($C10=MAX($C$8:$C$56),SUM($H$8:$H10),IFERROR($G11*$F11,""))</f>
        <v>44000</v>
      </c>
      <c r="I11" s="78">
        <f t="shared" si="2"/>
        <v>0.5</v>
      </c>
      <c r="L11" s="46"/>
    </row>
    <row r="12" spans="1:14" s="44" customFormat="1" ht="14.25" customHeight="1" x14ac:dyDescent="0.25">
      <c r="A12" s="178">
        <v>53</v>
      </c>
      <c r="B12" s="178">
        <v>1</v>
      </c>
      <c r="C12" s="45">
        <f t="shared" si="0"/>
        <v>5</v>
      </c>
      <c r="D12" s="175" t="str">
        <f>IFERROR(VLOOKUP($A12,Sheet1!$A$1:$B$98,2,0),"")</f>
        <v xml:space="preserve">Viên thả lẩu Cam-Trứng cá </v>
      </c>
      <c r="E12" s="45">
        <f>IFERROR(VLOOKUP($A12,'Tổng Đơn'!$A$5:$E$73,5,0),"")</f>
        <v>0.5</v>
      </c>
      <c r="F12" s="45">
        <f t="shared" si="1"/>
        <v>1</v>
      </c>
      <c r="G12" s="186">
        <f>IF(AND($C12="",$C11&lt;&gt;""),"Tổng Cộng",IFERROR(VLOOKUP($A12,Sheet1!$A$1:$D$98,4,0),""))</f>
        <v>47000</v>
      </c>
      <c r="H12" s="176">
        <f>IF($C11=MAX($C$8:$C$56),SUM($H$8:$H11),IFERROR($G12*$F12,""))</f>
        <v>47000</v>
      </c>
      <c r="I12" s="78">
        <f t="shared" si="2"/>
        <v>0.5</v>
      </c>
      <c r="J12" s="150"/>
      <c r="L12" s="46"/>
      <c r="M12" s="158"/>
      <c r="N12" s="151"/>
    </row>
    <row r="13" spans="1:14" s="44" customFormat="1" ht="14.25" customHeight="1" x14ac:dyDescent="0.25">
      <c r="A13" s="178">
        <v>62</v>
      </c>
      <c r="B13" s="178">
        <v>1</v>
      </c>
      <c r="C13" s="45">
        <f t="shared" si="0"/>
        <v>6</v>
      </c>
      <c r="D13" s="175" t="str">
        <f>IFERROR(VLOOKUP($A13,Sheet1!$A$1:$B$98,2,0),"")</f>
        <v>XX Đức KK</v>
      </c>
      <c r="E13" s="45">
        <f>IFERROR(VLOOKUP($A13,'Tổng Đơn'!$A$5:$E$73,5,0),"")</f>
        <v>0.5</v>
      </c>
      <c r="F13" s="45">
        <f t="shared" si="1"/>
        <v>1</v>
      </c>
      <c r="G13" s="186">
        <f>IF(AND($C13="",$C12&lt;&gt;""),"Tổng Cộng",IFERROR(VLOOKUP($A13,Sheet1!$A$1:$D$98,4,0),""))</f>
        <v>35000</v>
      </c>
      <c r="H13" s="176">
        <f>IF($C12=MAX($C$8:$C$56),SUM($H$8:$H12),IFERROR($G13*$F13,""))</f>
        <v>35000</v>
      </c>
      <c r="I13" s="78">
        <f t="shared" si="2"/>
        <v>0.5</v>
      </c>
      <c r="L13" s="46"/>
    </row>
    <row r="14" spans="1:14" s="44" customFormat="1" ht="14.25" customHeight="1" x14ac:dyDescent="0.25">
      <c r="A14" s="178">
        <v>1</v>
      </c>
      <c r="B14" s="178">
        <v>1</v>
      </c>
      <c r="C14" s="45">
        <f t="shared" si="0"/>
        <v>7</v>
      </c>
      <c r="D14" s="175" t="s">
        <v>310</v>
      </c>
      <c r="E14" s="45" t="s">
        <v>287</v>
      </c>
      <c r="F14" s="45" t="s">
        <v>287</v>
      </c>
      <c r="G14" s="186" t="s">
        <v>287</v>
      </c>
      <c r="H14" s="176">
        <v>3000</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Tổng Cộng</v>
      </c>
      <c r="H15" s="176">
        <f>IF($C14=MAX($C$8:$C$56),SUM($H$8:$H14),IFERROR($G15*$F15,""))</f>
        <v>249000</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39" priority="8">
      <formula>$C8=MAX($C$8:$C$37)</formula>
    </cfRule>
  </conditionalFormatting>
  <conditionalFormatting sqref="C9:C37">
    <cfRule type="expression" dxfId="138" priority="7">
      <formula>$C8=MAX($C$8:$C$37)</formula>
    </cfRule>
  </conditionalFormatting>
  <conditionalFormatting sqref="E9:E38">
    <cfRule type="expression" dxfId="137" priority="9">
      <formula>AND($A9="",$F9&lt;&gt;"")</formula>
    </cfRule>
  </conditionalFormatting>
  <conditionalFormatting sqref="F9:F38">
    <cfRule type="expression" dxfId="136" priority="10">
      <formula>AND($F9="",$A9&lt;&gt;"")</formula>
    </cfRule>
  </conditionalFormatting>
  <conditionalFormatting sqref="D8:G8">
    <cfRule type="expression" dxfId="135" priority="4">
      <formula>$C7=MAX($C$8:$C$37)</formula>
    </cfRule>
  </conditionalFormatting>
  <conditionalFormatting sqref="C8">
    <cfRule type="expression" dxfId="134" priority="3">
      <formula>$C7=MAX($C$8:$C$37)</formula>
    </cfRule>
  </conditionalFormatting>
  <conditionalFormatting sqref="E8">
    <cfRule type="expression" dxfId="133" priority="5">
      <formula>AND($A8="",$F8&lt;&gt;"")</formula>
    </cfRule>
  </conditionalFormatting>
  <conditionalFormatting sqref="F8">
    <cfRule type="expression" dxfId="132" priority="6">
      <formula>AND($F8="",$A8&lt;&gt;"")</formula>
    </cfRule>
  </conditionalFormatting>
  <conditionalFormatting sqref="H9:H11">
    <cfRule type="expression" dxfId="131" priority="2">
      <formula>$C8=MAX($C$8:$C$37)</formula>
    </cfRule>
  </conditionalFormatting>
  <conditionalFormatting sqref="H8">
    <cfRule type="expression" dxfId="1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906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215</v>
      </c>
      <c r="D1" s="262"/>
      <c r="E1" s="262"/>
      <c r="F1" s="262"/>
      <c r="G1" s="262"/>
      <c r="H1" s="262"/>
    </row>
    <row r="2" spans="1:14" ht="15.75" customHeight="1" x14ac:dyDescent="0.25">
      <c r="C2" s="262"/>
      <c r="D2" s="262"/>
      <c r="E2" s="262"/>
      <c r="F2" s="262"/>
      <c r="G2" s="262"/>
      <c r="H2" s="262"/>
    </row>
    <row r="3" spans="1:14" ht="15" customHeight="1" x14ac:dyDescent="0.25">
      <c r="C3" s="263" t="s">
        <v>217</v>
      </c>
      <c r="D3" s="263"/>
      <c r="E3" s="263"/>
      <c r="F3" s="264" t="s">
        <v>219</v>
      </c>
      <c r="G3" s="264"/>
      <c r="H3" s="264"/>
    </row>
    <row r="4" spans="1:14" x14ac:dyDescent="0.25">
      <c r="C4" s="265" t="s">
        <v>218</v>
      </c>
      <c r="D4" s="265"/>
      <c r="E4" s="265"/>
      <c r="F4" s="266" t="s">
        <v>220</v>
      </c>
      <c r="G4" s="266"/>
      <c r="H4" s="266"/>
    </row>
    <row r="5" spans="1:14" s="168" customFormat="1" ht="21" customHeight="1" x14ac:dyDescent="0.25">
      <c r="C5" s="267" t="s">
        <v>216</v>
      </c>
      <c r="D5" s="267"/>
      <c r="E5" s="267"/>
      <c r="F5" s="267"/>
      <c r="G5" s="267"/>
      <c r="H5" s="267"/>
    </row>
    <row r="6" spans="1:14" s="168" customFormat="1" ht="17.25" customHeight="1" x14ac:dyDescent="0.25">
      <c r="C6" s="177" t="s">
        <v>221</v>
      </c>
      <c r="D6" s="182" t="s">
        <v>322</v>
      </c>
      <c r="E6" s="173"/>
      <c r="F6" s="173"/>
      <c r="G6" s="261" t="str">
        <f ca="1">"Ngày "&amp;DAY(TODAY())&amp;" Tháng "&amp;MONTH(TODAY())&amp;" Năm "&amp;YEAR(TODAY())</f>
        <v>Ngày 11 Tháng 6 Năm 2022</v>
      </c>
      <c r="H6" s="261"/>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3.5</v>
      </c>
      <c r="L7" s="168"/>
    </row>
    <row r="8" spans="1:14" s="44" customFormat="1" ht="14.25" customHeight="1" x14ac:dyDescent="0.25">
      <c r="A8" s="178">
        <v>38</v>
      </c>
      <c r="B8" s="178">
        <v>1</v>
      </c>
      <c r="C8" s="45">
        <f t="shared" ref="C8:C37" si="0">IF(OR(SUM($C7,$A8&lt;&gt;"")=0,$A8=""),"",SUM($C7,$A8&lt;&gt;""))</f>
        <v>1</v>
      </c>
      <c r="D8" s="175" t="str">
        <f>IFERROR(VLOOKUP($A8,Sheet1!$A$1:$B$98,2,0),"")</f>
        <v>XX Hotdog Phô mai</v>
      </c>
      <c r="E8" s="45">
        <f>IFERROR(VLOOKUP($A8,'Tổng Đơn'!$A$5:$E$73,5,0),"")</f>
        <v>0.5</v>
      </c>
      <c r="F8" s="45">
        <f t="shared" ref="F8:F37" si="1">IF($B8="","",B8)</f>
        <v>1</v>
      </c>
      <c r="G8" s="186">
        <f>IFERROR(VLOOKUP($A8,Sheet1!$A1:$D$98,4,0),"")</f>
        <v>40000</v>
      </c>
      <c r="H8" s="176">
        <f>IF($C7=MAX($C$8:$C$56),SUM($H7:$H$8),IFERROR($G8*$F8,""))</f>
        <v>40000</v>
      </c>
      <c r="I8" s="78">
        <f t="shared" ref="I8:I37" si="2">IF(TYPE($A8)&lt;&gt;1,"",IFERROR(F8*E8,""))</f>
        <v>0.5</v>
      </c>
      <c r="L8" s="47"/>
    </row>
    <row r="9" spans="1:14" s="44" customFormat="1" ht="14.25" customHeight="1" x14ac:dyDescent="0.25">
      <c r="A9" s="178">
        <v>41</v>
      </c>
      <c r="B9" s="178">
        <v>1</v>
      </c>
      <c r="C9" s="45">
        <f t="shared" si="0"/>
        <v>2</v>
      </c>
      <c r="D9" s="175" t="str">
        <f>IFERROR(VLOOKUP($A9,Sheet1!$A$1:$B$98,2,0),"")</f>
        <v>Bò lá lốt</v>
      </c>
      <c r="E9" s="45">
        <f>IFERROR(VLOOKUP($A9,'Tổng Đơn'!$A$5:$E$74,5,0),"")</f>
        <v>0.5</v>
      </c>
      <c r="F9" s="45">
        <f t="shared" si="1"/>
        <v>1</v>
      </c>
      <c r="G9" s="186">
        <f>IF(AND($C9="",$C8&lt;&gt;""),"Tổng Cộng",IFERROR(VLOOKUP($A9,Sheet1!$A$1:$D$98,4,0),""))</f>
        <v>42000</v>
      </c>
      <c r="H9" s="176">
        <f>IF($C8=MAX($C$8:$C$56),SUM($H$8:$H8),IFERROR($G9*$F9,""))</f>
        <v>42000</v>
      </c>
      <c r="I9" s="78">
        <f t="shared" si="2"/>
        <v>0.5</v>
      </c>
      <c r="L9" s="46"/>
    </row>
    <row r="10" spans="1:14" s="44" customFormat="1" ht="14.25" customHeight="1" x14ac:dyDescent="0.25">
      <c r="A10" s="178">
        <v>51</v>
      </c>
      <c r="B10" s="178">
        <v>1</v>
      </c>
      <c r="C10" s="45">
        <f t="shared" si="0"/>
        <v>3</v>
      </c>
      <c r="D10" s="175" t="str">
        <f>IFERROR(VLOOKUP($A10,Sheet1!$A$1:$B$98,2,0),"")</f>
        <v>Thanh cua dài Liên Anh</v>
      </c>
      <c r="E10" s="45">
        <f>IFERROR(VLOOKUP($A10,'Tổng Đơn'!$A$5:$E$73,5,0),"")</f>
        <v>0.5</v>
      </c>
      <c r="F10" s="45">
        <f t="shared" si="1"/>
        <v>1</v>
      </c>
      <c r="G10" s="186">
        <f>IF(AND($C10="",$C9&lt;&gt;""),"Tổng Cộng",IFERROR(VLOOKUP($A10,Sheet1!$A$1:$D$98,4,0),""))</f>
        <v>70000</v>
      </c>
      <c r="H10" s="176">
        <f>IF($C9=MAX($C$8:$C$56),SUM($H$8:$H9),IFERROR($G10*$F10,""))</f>
        <v>70000</v>
      </c>
      <c r="I10" s="78">
        <f t="shared" si="2"/>
        <v>0.5</v>
      </c>
      <c r="L10" s="46"/>
    </row>
    <row r="11" spans="1:14" s="44" customFormat="1" ht="14.25" customHeight="1" x14ac:dyDescent="0.25">
      <c r="A11" s="178">
        <v>57</v>
      </c>
      <c r="B11" s="178">
        <v>2</v>
      </c>
      <c r="C11" s="45">
        <f t="shared" si="0"/>
        <v>4</v>
      </c>
      <c r="D11" s="175" t="str">
        <f>IFERROR(VLOOKUP($A11,Sheet1!$A$1:$B$98,2,0),"")</f>
        <v>Cá viên KK</v>
      </c>
      <c r="E11" s="45">
        <f>IFERROR(VLOOKUP($A11,'Tổng Đơn'!$A$5:$E$73,5,0),"")</f>
        <v>0.5</v>
      </c>
      <c r="F11" s="45">
        <f t="shared" si="1"/>
        <v>2</v>
      </c>
      <c r="G11" s="186">
        <f>IF(AND($C11="",$C10&lt;&gt;""),"Tổng Cộng",IFERROR(VLOOKUP($A11,Sheet1!$A$1:$D$98,4,0),""))</f>
        <v>25000</v>
      </c>
      <c r="H11" s="176">
        <f>IF($C10=MAX($C$8:$C$56),SUM($H$8:$H10),IFERROR($G11*$F11,""))</f>
        <v>50000</v>
      </c>
      <c r="I11" s="78">
        <f t="shared" si="2"/>
        <v>1</v>
      </c>
      <c r="L11" s="46"/>
    </row>
    <row r="12" spans="1:14" s="44" customFormat="1" ht="14.25" customHeight="1" x14ac:dyDescent="0.25">
      <c r="A12" s="178">
        <v>62</v>
      </c>
      <c r="B12" s="178">
        <v>2</v>
      </c>
      <c r="C12" s="45">
        <f t="shared" si="0"/>
        <v>5</v>
      </c>
      <c r="D12" s="175" t="str">
        <f>IFERROR(VLOOKUP($A12,Sheet1!$A$1:$B$98,2,0),"")</f>
        <v>XX Đức KK</v>
      </c>
      <c r="E12" s="45">
        <f>IFERROR(VLOOKUP($A12,'Tổng Đơn'!$A$5:$E$73,5,0),"")</f>
        <v>0.5</v>
      </c>
      <c r="F12" s="45">
        <f t="shared" si="1"/>
        <v>2</v>
      </c>
      <c r="G12" s="186">
        <f>IF(AND($C12="",$C11&lt;&gt;""),"Tổng Cộng",IFERROR(VLOOKUP($A12,Sheet1!$A$1:$D$98,4,0),""))</f>
        <v>35000</v>
      </c>
      <c r="H12" s="176">
        <f>IF($C11=MAX($C$8:$C$56),SUM($H$8:$H11),IFERROR($G12*$F12,""))</f>
        <v>70000</v>
      </c>
      <c r="I12" s="78">
        <f t="shared" si="2"/>
        <v>1</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272000</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29" priority="8">
      <formula>$C8=MAX($C$8:$C$37)</formula>
    </cfRule>
  </conditionalFormatting>
  <conditionalFormatting sqref="C9:C37">
    <cfRule type="expression" dxfId="128" priority="7">
      <formula>$C8=MAX($C$8:$C$37)</formula>
    </cfRule>
  </conditionalFormatting>
  <conditionalFormatting sqref="E9:E38">
    <cfRule type="expression" dxfId="127" priority="9">
      <formula>AND($A9="",$F9&lt;&gt;"")</formula>
    </cfRule>
  </conditionalFormatting>
  <conditionalFormatting sqref="F9:F38">
    <cfRule type="expression" dxfId="126" priority="10">
      <formula>AND($F9="",$A9&lt;&gt;"")</formula>
    </cfRule>
  </conditionalFormatting>
  <conditionalFormatting sqref="D8:G8">
    <cfRule type="expression" dxfId="125" priority="4">
      <formula>$C7=MAX($C$8:$C$37)</formula>
    </cfRule>
  </conditionalFormatting>
  <conditionalFormatting sqref="C8">
    <cfRule type="expression" dxfId="124" priority="3">
      <formula>$C7=MAX($C$8:$C$37)</formula>
    </cfRule>
  </conditionalFormatting>
  <conditionalFormatting sqref="E8">
    <cfRule type="expression" dxfId="123" priority="5">
      <formula>AND($A8="",$F8&lt;&gt;"")</formula>
    </cfRule>
  </conditionalFormatting>
  <conditionalFormatting sqref="F8">
    <cfRule type="expression" dxfId="122" priority="6">
      <formula>AND($F8="",$A8&lt;&gt;"")</formula>
    </cfRule>
  </conditionalFormatting>
  <conditionalFormatting sqref="H9:H11">
    <cfRule type="expression" dxfId="121" priority="2">
      <formula>$C8=MAX($C$8:$C$37)</formula>
    </cfRule>
  </conditionalFormatting>
  <conditionalFormatting sqref="H8">
    <cfRule type="expression" dxfId="1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896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23" sqref="D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215</v>
      </c>
      <c r="D1" s="262"/>
      <c r="E1" s="262"/>
      <c r="F1" s="262"/>
      <c r="G1" s="262"/>
      <c r="H1" s="262"/>
    </row>
    <row r="2" spans="1:14" ht="15.75" customHeight="1" x14ac:dyDescent="0.25">
      <c r="C2" s="262"/>
      <c r="D2" s="262"/>
      <c r="E2" s="262"/>
      <c r="F2" s="262"/>
      <c r="G2" s="262"/>
      <c r="H2" s="262"/>
    </row>
    <row r="3" spans="1:14" ht="15" customHeight="1" x14ac:dyDescent="0.25">
      <c r="C3" s="263" t="s">
        <v>217</v>
      </c>
      <c r="D3" s="263"/>
      <c r="E3" s="263"/>
      <c r="F3" s="264" t="s">
        <v>219</v>
      </c>
      <c r="G3" s="264"/>
      <c r="H3" s="264"/>
    </row>
    <row r="4" spans="1:14" x14ac:dyDescent="0.25">
      <c r="C4" s="265" t="s">
        <v>218</v>
      </c>
      <c r="D4" s="265"/>
      <c r="E4" s="265"/>
      <c r="F4" s="266" t="s">
        <v>220</v>
      </c>
      <c r="G4" s="266"/>
      <c r="H4" s="266"/>
    </row>
    <row r="5" spans="1:14" s="168" customFormat="1" ht="21" customHeight="1" x14ac:dyDescent="0.25">
      <c r="C5" s="267" t="s">
        <v>216</v>
      </c>
      <c r="D5" s="267"/>
      <c r="E5" s="267"/>
      <c r="F5" s="267"/>
      <c r="G5" s="267"/>
      <c r="H5" s="267"/>
    </row>
    <row r="6" spans="1:14" s="168" customFormat="1" ht="17.25" customHeight="1" x14ac:dyDescent="0.25">
      <c r="C6" s="177" t="s">
        <v>221</v>
      </c>
      <c r="D6" s="182" t="s">
        <v>320</v>
      </c>
      <c r="E6" s="173"/>
      <c r="F6" s="173"/>
      <c r="G6" s="261" t="str">
        <f ca="1">"Ngày "&amp;DAY(TODAY())&amp;" Tháng "&amp;MONTH(TODAY())&amp;" Năm "&amp;YEAR(TODAY())</f>
        <v>Ngày 11 Tháng 6 Năm 2022</v>
      </c>
      <c r="H6" s="261"/>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50</v>
      </c>
      <c r="B8" s="178">
        <v>1</v>
      </c>
      <c r="C8" s="45">
        <f t="shared" ref="C8:C37" si="0">IF(OR(SUM($C7,$A8&lt;&gt;"")=0,$A8=""),"",SUM($C7,$A8&lt;&gt;""))</f>
        <v>1</v>
      </c>
      <c r="D8" s="175" t="str">
        <f>IFERROR(VLOOKUP($A8,Sheet1!$A$1:$B$98,2,0),"")</f>
        <v>Há cảo Mini</v>
      </c>
      <c r="E8" s="45">
        <f>IFERROR(VLOOKUP($A8,'Tổng Đơn'!$A$5:$E$73,5,0),"")</f>
        <v>0.5</v>
      </c>
      <c r="F8" s="45">
        <f t="shared" ref="F8:F37" si="1">IF($B8="","",B8)</f>
        <v>1</v>
      </c>
      <c r="G8" s="186">
        <f>IFERROR(VLOOKUP($A8,Sheet1!$A1:$D$98,4,0),"")</f>
        <v>38000</v>
      </c>
      <c r="H8" s="176">
        <f>IF($C7=MAX($C$8:$C$56),SUM($H7:$H$8),IFERROR($G8*$F8,""))</f>
        <v>38000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38000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19" priority="8">
      <formula>$C8=MAX($C$8:$C$37)</formula>
    </cfRule>
  </conditionalFormatting>
  <conditionalFormatting sqref="C9:C37">
    <cfRule type="expression" dxfId="118" priority="7">
      <formula>$C8=MAX($C$8:$C$37)</formula>
    </cfRule>
  </conditionalFormatting>
  <conditionalFormatting sqref="E9:E38">
    <cfRule type="expression" dxfId="117" priority="9">
      <formula>AND($A9="",$F9&lt;&gt;"")</formula>
    </cfRule>
  </conditionalFormatting>
  <conditionalFormatting sqref="F9:F38">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1">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886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215</v>
      </c>
      <c r="D1" s="262"/>
      <c r="E1" s="262"/>
      <c r="F1" s="262"/>
      <c r="G1" s="262"/>
      <c r="H1" s="262"/>
    </row>
    <row r="2" spans="1:14" ht="15.75" customHeight="1" x14ac:dyDescent="0.25">
      <c r="C2" s="262"/>
      <c r="D2" s="262"/>
      <c r="E2" s="262"/>
      <c r="F2" s="262"/>
      <c r="G2" s="262"/>
      <c r="H2" s="262"/>
    </row>
    <row r="3" spans="1:14" ht="15" customHeight="1" x14ac:dyDescent="0.25">
      <c r="C3" s="263" t="s">
        <v>217</v>
      </c>
      <c r="D3" s="263"/>
      <c r="E3" s="263"/>
      <c r="F3" s="264" t="s">
        <v>219</v>
      </c>
      <c r="G3" s="264"/>
      <c r="H3" s="264"/>
    </row>
    <row r="4" spans="1:14" x14ac:dyDescent="0.25">
      <c r="C4" s="265" t="s">
        <v>218</v>
      </c>
      <c r="D4" s="265"/>
      <c r="E4" s="265"/>
      <c r="F4" s="266" t="s">
        <v>220</v>
      </c>
      <c r="G4" s="266"/>
      <c r="H4" s="266"/>
    </row>
    <row r="5" spans="1:14" s="168" customFormat="1" ht="21" customHeight="1" x14ac:dyDescent="0.25">
      <c r="C5" s="267" t="s">
        <v>216</v>
      </c>
      <c r="D5" s="267"/>
      <c r="E5" s="267"/>
      <c r="F5" s="267"/>
      <c r="G5" s="267"/>
      <c r="H5" s="267"/>
    </row>
    <row r="6" spans="1:14" s="168" customFormat="1" ht="17.25" customHeight="1" x14ac:dyDescent="0.25">
      <c r="C6" s="177" t="s">
        <v>221</v>
      </c>
      <c r="D6" s="182" t="s">
        <v>321</v>
      </c>
      <c r="E6" s="173"/>
      <c r="F6" s="173"/>
      <c r="G6" s="261" t="str">
        <f ca="1">"Ngày "&amp;DAY(TODAY())&amp;" Tháng "&amp;MONTH(TODAY())&amp;" Năm "&amp;YEAR(TODAY())</f>
        <v>Ngày 11 Tháng 6 Năm 2022</v>
      </c>
      <c r="H6" s="261"/>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59</v>
      </c>
      <c r="B9" s="178">
        <v>1</v>
      </c>
      <c r="C9" s="45">
        <f t="shared" si="0"/>
        <v>2</v>
      </c>
      <c r="D9" s="175" t="str">
        <f>IFERROR(VLOOKUP($A9,Sheet1!$A$1:$B$98,2,0),"")</f>
        <v>Bò viên KK</v>
      </c>
      <c r="E9" s="45">
        <f>IFERROR(VLOOKUP($A9,'Tổng Đơn'!$A$5:$E$74,5,0),"")</f>
        <v>0.5</v>
      </c>
      <c r="F9" s="45">
        <f t="shared" si="1"/>
        <v>1</v>
      </c>
      <c r="G9" s="186">
        <f>IF(AND($C9="",$C8&lt;&gt;""),"Tổng Cộng",IFERROR(VLOOKUP($A9,Sheet1!$A$1:$D$98,4,0),""))</f>
        <v>28000</v>
      </c>
      <c r="H9" s="176">
        <f>IF($C8=MAX($C$8:$C$56),SUM($H$8:$H8),IFERROR($G9*$F9,""))</f>
        <v>28000</v>
      </c>
      <c r="I9" s="78">
        <f t="shared" si="2"/>
        <v>0.5</v>
      </c>
      <c r="L9" s="46"/>
    </row>
    <row r="10" spans="1:14" s="44" customFormat="1" ht="14.25" customHeight="1" x14ac:dyDescent="0.25">
      <c r="A10" s="178">
        <v>1</v>
      </c>
      <c r="B10" s="178">
        <v>1</v>
      </c>
      <c r="C10" s="45">
        <f t="shared" si="0"/>
        <v>3</v>
      </c>
      <c r="D10" s="175" t="s">
        <v>310</v>
      </c>
      <c r="E10" s="45" t="s">
        <v>287</v>
      </c>
      <c r="F10" s="45" t="s">
        <v>287</v>
      </c>
      <c r="G10" s="186" t="s">
        <v>287</v>
      </c>
      <c r="H10" s="176">
        <v>-2000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51000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09" priority="8">
      <formula>$C8=MAX($C$8:$C$37)</formula>
    </cfRule>
  </conditionalFormatting>
  <conditionalFormatting sqref="C9:C37">
    <cfRule type="expression" dxfId="108" priority="7">
      <formula>$C8=MAX($C$8:$C$37)</formula>
    </cfRule>
  </conditionalFormatting>
  <conditionalFormatting sqref="E9:E38">
    <cfRule type="expression" dxfId="107" priority="9">
      <formula>AND($A9="",$F9&lt;&gt;"")</formula>
    </cfRule>
  </conditionalFormatting>
  <conditionalFormatting sqref="F9:F38">
    <cfRule type="expression" dxfId="106" priority="10">
      <formula>AND($F9="",$A9&lt;&gt;"")</formula>
    </cfRule>
  </conditionalFormatting>
  <conditionalFormatting sqref="D8:G8">
    <cfRule type="expression" dxfId="105" priority="4">
      <formula>$C7=MAX($C$8:$C$37)</formula>
    </cfRule>
  </conditionalFormatting>
  <conditionalFormatting sqref="C8">
    <cfRule type="expression" dxfId="104" priority="3">
      <formula>$C7=MAX($C$8:$C$37)</formula>
    </cfRule>
  </conditionalFormatting>
  <conditionalFormatting sqref="E8">
    <cfRule type="expression" dxfId="103" priority="5">
      <formula>AND($A8="",$F8&lt;&gt;"")</formula>
    </cfRule>
  </conditionalFormatting>
  <conditionalFormatting sqref="F8">
    <cfRule type="expression" dxfId="102" priority="6">
      <formula>AND($F8="",$A8&lt;&gt;"")</formula>
    </cfRule>
  </conditionalFormatting>
  <conditionalFormatting sqref="H9:H11">
    <cfRule type="expression" dxfId="101" priority="2">
      <formula>$C8=MAX($C$8:$C$37)</formula>
    </cfRule>
  </conditionalFormatting>
  <conditionalFormatting sqref="H8">
    <cfRule type="expression" dxfId="10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875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215</v>
      </c>
      <c r="D1" s="262"/>
      <c r="E1" s="262"/>
      <c r="F1" s="262"/>
      <c r="G1" s="262"/>
      <c r="H1" s="262"/>
    </row>
    <row r="2" spans="1:14" ht="15.75" customHeight="1" x14ac:dyDescent="0.25">
      <c r="C2" s="262"/>
      <c r="D2" s="262"/>
      <c r="E2" s="262"/>
      <c r="F2" s="262"/>
      <c r="G2" s="262"/>
      <c r="H2" s="262"/>
    </row>
    <row r="3" spans="1:14" ht="15" customHeight="1" x14ac:dyDescent="0.25">
      <c r="C3" s="263" t="s">
        <v>217</v>
      </c>
      <c r="D3" s="263"/>
      <c r="E3" s="263"/>
      <c r="F3" s="264" t="s">
        <v>219</v>
      </c>
      <c r="G3" s="264"/>
      <c r="H3" s="264"/>
    </row>
    <row r="4" spans="1:14" x14ac:dyDescent="0.25">
      <c r="C4" s="265" t="s">
        <v>218</v>
      </c>
      <c r="D4" s="265"/>
      <c r="E4" s="265"/>
      <c r="F4" s="266" t="s">
        <v>220</v>
      </c>
      <c r="G4" s="266"/>
      <c r="H4" s="266"/>
    </row>
    <row r="5" spans="1:14" s="168" customFormat="1" ht="21" customHeight="1" x14ac:dyDescent="0.25">
      <c r="C5" s="267" t="s">
        <v>216</v>
      </c>
      <c r="D5" s="267"/>
      <c r="E5" s="267"/>
      <c r="F5" s="267"/>
      <c r="G5" s="267"/>
      <c r="H5" s="267"/>
    </row>
    <row r="6" spans="1:14" s="168" customFormat="1" ht="17.25" customHeight="1" x14ac:dyDescent="0.25">
      <c r="C6" s="177" t="s">
        <v>221</v>
      </c>
      <c r="D6" s="182" t="s">
        <v>320</v>
      </c>
      <c r="E6" s="173"/>
      <c r="F6" s="173"/>
      <c r="G6" s="261" t="str">
        <f ca="1">"Ngày "&amp;DAY(TODAY())&amp;" Tháng "&amp;MONTH(TODAY())&amp;" Năm "&amp;YEAR(TODAY())</f>
        <v>Ngày 11 Tháng 6 Năm 2022</v>
      </c>
      <c r="H6" s="261"/>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51000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9" priority="8">
      <formula>$C8=MAX($C$8:$C$37)</formula>
    </cfRule>
  </conditionalFormatting>
  <conditionalFormatting sqref="C9:C37">
    <cfRule type="expression" dxfId="98" priority="7">
      <formula>$C8=MAX($C$8:$C$37)</formula>
    </cfRule>
  </conditionalFormatting>
  <conditionalFormatting sqref="E9:E38">
    <cfRule type="expression" dxfId="97" priority="9">
      <formula>AND($A9="",$F9&lt;&gt;"")</formula>
    </cfRule>
  </conditionalFormatting>
  <conditionalFormatting sqref="F9:F38">
    <cfRule type="expression" dxfId="96" priority="10">
      <formula>AND($F9="",$A9&lt;&gt;"")</formula>
    </cfRule>
  </conditionalFormatting>
  <conditionalFormatting sqref="D8:G8">
    <cfRule type="expression" dxfId="95" priority="4">
      <formula>$C7=MAX($C$8:$C$37)</formula>
    </cfRule>
  </conditionalFormatting>
  <conditionalFormatting sqref="C8">
    <cfRule type="expression" dxfId="94" priority="3">
      <formula>$C7=MAX($C$8:$C$37)</formula>
    </cfRule>
  </conditionalFormatting>
  <conditionalFormatting sqref="E8">
    <cfRule type="expression" dxfId="93" priority="5">
      <formula>AND($A8="",$F8&lt;&gt;"")</formula>
    </cfRule>
  </conditionalFormatting>
  <conditionalFormatting sqref="F8">
    <cfRule type="expression" dxfId="92" priority="6">
      <formula>AND($F8="",$A8&lt;&gt;"")</formula>
    </cfRule>
  </conditionalFormatting>
  <conditionalFormatting sqref="H9:H11">
    <cfRule type="expression" dxfId="91" priority="2">
      <formula>$C8=MAX($C$8:$C$37)</formula>
    </cfRule>
  </conditionalFormatting>
  <conditionalFormatting sqref="H8">
    <cfRule type="expression" dxfId="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865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215</v>
      </c>
      <c r="D1" s="262"/>
      <c r="E1" s="262"/>
      <c r="F1" s="262"/>
      <c r="G1" s="262"/>
      <c r="H1" s="262"/>
    </row>
    <row r="2" spans="1:14" ht="15.75" customHeight="1" x14ac:dyDescent="0.25">
      <c r="C2" s="262"/>
      <c r="D2" s="262"/>
      <c r="E2" s="262"/>
      <c r="F2" s="262"/>
      <c r="G2" s="262"/>
      <c r="H2" s="262"/>
    </row>
    <row r="3" spans="1:14" ht="15" customHeight="1" x14ac:dyDescent="0.25">
      <c r="C3" s="263" t="s">
        <v>217</v>
      </c>
      <c r="D3" s="263"/>
      <c r="E3" s="263"/>
      <c r="F3" s="264" t="s">
        <v>219</v>
      </c>
      <c r="G3" s="264"/>
      <c r="H3" s="264"/>
    </row>
    <row r="4" spans="1:14" x14ac:dyDescent="0.25">
      <c r="C4" s="265" t="s">
        <v>218</v>
      </c>
      <c r="D4" s="265"/>
      <c r="E4" s="265"/>
      <c r="F4" s="266" t="s">
        <v>220</v>
      </c>
      <c r="G4" s="266"/>
      <c r="H4" s="266"/>
    </row>
    <row r="5" spans="1:14" s="168" customFormat="1" ht="21" customHeight="1" x14ac:dyDescent="0.25">
      <c r="C5" s="267" t="s">
        <v>216</v>
      </c>
      <c r="D5" s="267"/>
      <c r="E5" s="267"/>
      <c r="F5" s="267"/>
      <c r="G5" s="267"/>
      <c r="H5" s="267"/>
    </row>
    <row r="6" spans="1:14" s="168" customFormat="1" ht="17.25" customHeight="1" x14ac:dyDescent="0.25">
      <c r="C6" s="177" t="s">
        <v>221</v>
      </c>
      <c r="D6" s="182" t="s">
        <v>320</v>
      </c>
      <c r="E6" s="173"/>
      <c r="F6" s="173"/>
      <c r="G6" s="261" t="str">
        <f ca="1">"Ngày "&amp;DAY(TODAY())&amp;" Tháng "&amp;MONTH(TODAY())&amp;" Năm "&amp;YEAR(TODAY())</f>
        <v>Ngày 11 Tháng 6 Năm 2022</v>
      </c>
      <c r="H6" s="261"/>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89" priority="8">
      <formula>$C8=MAX($C$8:$C$37)</formula>
    </cfRule>
  </conditionalFormatting>
  <conditionalFormatting sqref="C9:C37">
    <cfRule type="expression" dxfId="88" priority="7">
      <formula>$C8=MAX($C$8:$C$37)</formula>
    </cfRule>
  </conditionalFormatting>
  <conditionalFormatting sqref="E9:E38">
    <cfRule type="expression" dxfId="87" priority="9">
      <formula>AND($A9="",$F9&lt;&gt;"")</formula>
    </cfRule>
  </conditionalFormatting>
  <conditionalFormatting sqref="F9:F38">
    <cfRule type="expression" dxfId="86" priority="10">
      <formula>AND($F9="",$A9&lt;&gt;"")</formula>
    </cfRule>
  </conditionalFormatting>
  <conditionalFormatting sqref="D8:G8">
    <cfRule type="expression" dxfId="85" priority="4">
      <formula>$C7=MAX($C$8:$C$37)</formula>
    </cfRule>
  </conditionalFormatting>
  <conditionalFormatting sqref="C8">
    <cfRule type="expression" dxfId="84" priority="3">
      <formula>$C7=MAX($C$8:$C$37)</formula>
    </cfRule>
  </conditionalFormatting>
  <conditionalFormatting sqref="E8">
    <cfRule type="expression" dxfId="83" priority="5">
      <formula>AND($A8="",$F8&lt;&gt;"")</formula>
    </cfRule>
  </conditionalFormatting>
  <conditionalFormatting sqref="F8">
    <cfRule type="expression" dxfId="82" priority="6">
      <formula>AND($F8="",$A8&lt;&gt;"")</formula>
    </cfRule>
  </conditionalFormatting>
  <conditionalFormatting sqref="H9:H11">
    <cfRule type="expression" dxfId="81" priority="2">
      <formula>$C8=MAX($C$8:$C$37)</formula>
    </cfRule>
  </conditionalFormatting>
  <conditionalFormatting sqref="H8">
    <cfRule type="expression" dxfId="8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855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215</v>
      </c>
      <c r="D1" s="262"/>
      <c r="E1" s="262"/>
      <c r="F1" s="262"/>
      <c r="G1" s="262"/>
      <c r="H1" s="262"/>
    </row>
    <row r="2" spans="1:14" ht="15.75" customHeight="1" x14ac:dyDescent="0.25">
      <c r="C2" s="262"/>
      <c r="D2" s="262"/>
      <c r="E2" s="262"/>
      <c r="F2" s="262"/>
      <c r="G2" s="262"/>
      <c r="H2" s="262"/>
    </row>
    <row r="3" spans="1:14" ht="15" customHeight="1" x14ac:dyDescent="0.25">
      <c r="C3" s="263" t="s">
        <v>217</v>
      </c>
      <c r="D3" s="263"/>
      <c r="E3" s="263"/>
      <c r="F3" s="264" t="s">
        <v>219</v>
      </c>
      <c r="G3" s="264"/>
      <c r="H3" s="264"/>
    </row>
    <row r="4" spans="1:14" x14ac:dyDescent="0.25">
      <c r="C4" s="265" t="s">
        <v>218</v>
      </c>
      <c r="D4" s="265"/>
      <c r="E4" s="265"/>
      <c r="F4" s="266" t="s">
        <v>220</v>
      </c>
      <c r="G4" s="266"/>
      <c r="H4" s="266"/>
    </row>
    <row r="5" spans="1:14" s="168" customFormat="1" ht="21" customHeight="1" x14ac:dyDescent="0.25">
      <c r="C5" s="267" t="s">
        <v>216</v>
      </c>
      <c r="D5" s="267"/>
      <c r="E5" s="267"/>
      <c r="F5" s="267"/>
      <c r="G5" s="267"/>
      <c r="H5" s="267"/>
    </row>
    <row r="6" spans="1:14" s="168" customFormat="1" ht="17.25" customHeight="1" x14ac:dyDescent="0.25">
      <c r="C6" s="177" t="s">
        <v>221</v>
      </c>
      <c r="D6" s="182" t="s">
        <v>319</v>
      </c>
      <c r="E6" s="173"/>
      <c r="F6" s="173"/>
      <c r="G6" s="261" t="str">
        <f ca="1">"Ngày "&amp;DAY(TODAY())&amp;" Tháng "&amp;MONTH(TODAY())&amp;" Năm "&amp;YEAR(TODAY())</f>
        <v>Ngày 11 Tháng 6 Năm 2022</v>
      </c>
      <c r="H6" s="261"/>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15</v>
      </c>
      <c r="B8" s="178">
        <v>5</v>
      </c>
      <c r="C8" s="45">
        <f t="shared" ref="C8:C37" si="0">IF(OR(SUM($C7,$A8&lt;&gt;"")=0,$A8=""),"",SUM($C7,$A8&lt;&gt;""))</f>
        <v>1</v>
      </c>
      <c r="D8" s="175" t="str">
        <f>IFERROR(VLOOKUP($A8,Sheet1!$A$1:$B$98,2,0),"")</f>
        <v>Phô mai que (13 que)</v>
      </c>
      <c r="E8" s="45">
        <f>IFERROR(VLOOKUP($A8,'Tổng Đơn'!$A$5:$E$73,5,0),"")</f>
        <v>0.5</v>
      </c>
      <c r="F8" s="45">
        <f t="shared" ref="F8:F37" si="1">IF($B8="","",B8)</f>
        <v>5</v>
      </c>
      <c r="G8" s="186">
        <f>IFERROR(VLOOKUP($A8,Sheet1!$A1:$D$98,4,0),"")</f>
        <v>40000</v>
      </c>
      <c r="H8" s="176">
        <f>IF($C7=MAX($C$8:$C$56),SUM($H7:$H$8),IFERROR($G8*$F8,""))</f>
        <v>200000</v>
      </c>
      <c r="I8" s="78">
        <f t="shared" ref="I8:I37" si="2">IF(TYPE($A8)&lt;&gt;1,"",IFERROR(F8*E8,""))</f>
        <v>2.5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200000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79" priority="8">
      <formula>$C8=MAX($C$8:$C$37)</formula>
    </cfRule>
  </conditionalFormatting>
  <conditionalFormatting sqref="C9:C37">
    <cfRule type="expression" dxfId="78" priority="7">
      <formula>$C8=MAX($C$8:$C$37)</formula>
    </cfRule>
  </conditionalFormatting>
  <conditionalFormatting sqref="E9:E38">
    <cfRule type="expression" dxfId="77" priority="9">
      <formula>AND($A9="",$F9&lt;&gt;"")</formula>
    </cfRule>
  </conditionalFormatting>
  <conditionalFormatting sqref="F9:F38">
    <cfRule type="expression" dxfId="76" priority="10">
      <formula>AND($F9="",$A9&lt;&gt;"")</formula>
    </cfRule>
  </conditionalFormatting>
  <conditionalFormatting sqref="D8:G8">
    <cfRule type="expression" dxfId="75" priority="4">
      <formula>$C7=MAX($C$8:$C$37)</formula>
    </cfRule>
  </conditionalFormatting>
  <conditionalFormatting sqref="C8">
    <cfRule type="expression" dxfId="74" priority="3">
      <formula>$C7=MAX($C$8:$C$37)</formula>
    </cfRule>
  </conditionalFormatting>
  <conditionalFormatting sqref="E8">
    <cfRule type="expression" dxfId="73" priority="5">
      <formula>AND($A8="",$F8&lt;&gt;"")</formula>
    </cfRule>
  </conditionalFormatting>
  <conditionalFormatting sqref="F8">
    <cfRule type="expression" dxfId="72" priority="6">
      <formula>AND($F8="",$A8&lt;&gt;"")</formula>
    </cfRule>
  </conditionalFormatting>
  <conditionalFormatting sqref="H9:H11">
    <cfRule type="expression" dxfId="71" priority="2">
      <formula>$C8=MAX($C$8:$C$37)</formula>
    </cfRule>
  </conditionalFormatting>
  <conditionalFormatting sqref="H8">
    <cfRule type="expression" dxfId="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845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A3" sqref="A3:XFD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215</v>
      </c>
      <c r="D1" s="262"/>
      <c r="E1" s="262"/>
      <c r="F1" s="262"/>
      <c r="G1" s="262"/>
      <c r="H1" s="262"/>
    </row>
    <row r="2" spans="1:14" ht="15.75" customHeight="1" x14ac:dyDescent="0.25">
      <c r="C2" s="262"/>
      <c r="D2" s="262"/>
      <c r="E2" s="262"/>
      <c r="F2" s="262"/>
      <c r="G2" s="262"/>
      <c r="H2" s="262"/>
    </row>
    <row r="3" spans="1:14" ht="15" customHeight="1" x14ac:dyDescent="0.25">
      <c r="C3" s="263" t="s">
        <v>217</v>
      </c>
      <c r="D3" s="263"/>
      <c r="E3" s="263"/>
      <c r="F3" s="264" t="s">
        <v>219</v>
      </c>
      <c r="G3" s="264"/>
      <c r="H3" s="264"/>
    </row>
    <row r="4" spans="1:14" x14ac:dyDescent="0.25">
      <c r="C4" s="265" t="s">
        <v>218</v>
      </c>
      <c r="D4" s="265"/>
      <c r="E4" s="265"/>
      <c r="F4" s="266" t="s">
        <v>220</v>
      </c>
      <c r="G4" s="266"/>
      <c r="H4" s="266"/>
    </row>
    <row r="5" spans="1:14" s="168" customFormat="1" ht="21" customHeight="1" x14ac:dyDescent="0.25">
      <c r="C5" s="267" t="s">
        <v>216</v>
      </c>
      <c r="D5" s="267"/>
      <c r="E5" s="267"/>
      <c r="F5" s="267"/>
      <c r="G5" s="267"/>
      <c r="H5" s="267"/>
    </row>
    <row r="6" spans="1:14" s="168" customFormat="1" ht="17.25" customHeight="1" x14ac:dyDescent="0.25">
      <c r="C6" s="177" t="s">
        <v>221</v>
      </c>
      <c r="D6" s="182" t="s">
        <v>318</v>
      </c>
      <c r="E6" s="173"/>
      <c r="F6" s="173"/>
      <c r="G6" s="261" t="str">
        <f ca="1">"Ngày "&amp;DAY(TODAY())&amp;" Tháng "&amp;MONTH(TODAY())&amp;" Năm "&amp;YEAR(TODAY())</f>
        <v>Ngày 11 Tháng 6 Năm 2022</v>
      </c>
      <c r="H6" s="261"/>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61</v>
      </c>
      <c r="B8" s="178">
        <v>2</v>
      </c>
      <c r="C8" s="45">
        <f t="shared" ref="C8:C37" si="0">IF(OR(SUM($C7,$A8&lt;&gt;"")=0,$A8=""),"",SUM($C7,$A8&lt;&gt;""))</f>
        <v>1</v>
      </c>
      <c r="D8" s="175" t="str">
        <f>IFERROR(VLOOKUP($A8,Sheet1!$A$1:$B$98,2,0),"")</f>
        <v>XX Đỏ KK</v>
      </c>
      <c r="E8" s="45">
        <f>IFERROR(VLOOKUP($A8,'Tổng Đơn'!$A$5:$E$73,5,0),"")</f>
        <v>0.5</v>
      </c>
      <c r="F8" s="45">
        <f t="shared" ref="F8:F37" si="1">IF($B8="","",B8)</f>
        <v>2</v>
      </c>
      <c r="G8" s="186">
        <f>IFERROR(VLOOKUP($A8,Sheet1!$A1:$D$98,4,0),"")</f>
        <v>26000</v>
      </c>
      <c r="H8" s="176">
        <f>IF($C7=MAX($C$8:$C$56),SUM($H7:$H$8),IFERROR($G8*$F8,""))</f>
        <v>52000</v>
      </c>
      <c r="I8" s="78">
        <f t="shared" ref="I8:I37" si="2">IF(TYPE($A8)&lt;&gt;1,"",IFERROR(F8*E8,""))</f>
        <v>1</v>
      </c>
      <c r="L8" s="47"/>
    </row>
    <row r="9" spans="1:14" s="44" customFormat="1" ht="14.25" customHeight="1" x14ac:dyDescent="0.25">
      <c r="A9" s="178">
        <v>62</v>
      </c>
      <c r="B9" s="178">
        <v>3</v>
      </c>
      <c r="C9" s="45">
        <f t="shared" si="0"/>
        <v>2</v>
      </c>
      <c r="D9" s="175" t="str">
        <f>IFERROR(VLOOKUP($A9,Sheet1!$A$1:$B$98,2,0),"")</f>
        <v>XX Đức KK</v>
      </c>
      <c r="E9" s="45">
        <f>IFERROR(VLOOKUP($A9,'Tổng Đơn'!$A$5:$E$74,5,0),"")</f>
        <v>0.5</v>
      </c>
      <c r="F9" s="45">
        <f t="shared" si="1"/>
        <v>3</v>
      </c>
      <c r="G9" s="186">
        <f>IF(AND($C9="",$C8&lt;&gt;""),"Tổng Cộng",IFERROR(VLOOKUP($A9,Sheet1!$A$1:$D$98,4,0),""))</f>
        <v>35000</v>
      </c>
      <c r="H9" s="176">
        <f>IF($C8=MAX($C$8:$C$56),SUM($H$8:$H8),IFERROR($G9*$F9,""))</f>
        <v>105000</v>
      </c>
      <c r="I9" s="78">
        <f t="shared" si="2"/>
        <v>1.5</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157000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69" priority="8">
      <formula>$C8=MAX($C$8:$C$37)</formula>
    </cfRule>
  </conditionalFormatting>
  <conditionalFormatting sqref="C9:C37">
    <cfRule type="expression" dxfId="68" priority="7">
      <formula>$C8=MAX($C$8:$C$37)</formula>
    </cfRule>
  </conditionalFormatting>
  <conditionalFormatting sqref="E9:E38">
    <cfRule type="expression" dxfId="67" priority="9">
      <formula>AND($A9="",$F9&lt;&gt;"")</formula>
    </cfRule>
  </conditionalFormatting>
  <conditionalFormatting sqref="F9:F38">
    <cfRule type="expression" dxfId="66" priority="10">
      <formula>AND($F9="",$A9&lt;&gt;"")</formula>
    </cfRule>
  </conditionalFormatting>
  <conditionalFormatting sqref="D8:G8">
    <cfRule type="expression" dxfId="65" priority="4">
      <formula>$C7=MAX($C$8:$C$37)</formula>
    </cfRule>
  </conditionalFormatting>
  <conditionalFormatting sqref="C8">
    <cfRule type="expression" dxfId="64" priority="3">
      <formula>$C7=MAX($C$8:$C$37)</formula>
    </cfRule>
  </conditionalFormatting>
  <conditionalFormatting sqref="E8">
    <cfRule type="expression" dxfId="63" priority="5">
      <formula>AND($A8="",$F8&lt;&gt;"")</formula>
    </cfRule>
  </conditionalFormatting>
  <conditionalFormatting sqref="F8">
    <cfRule type="expression" dxfId="62" priority="6">
      <formula>AND($F8="",$A8&lt;&gt;"")</formula>
    </cfRule>
  </conditionalFormatting>
  <conditionalFormatting sqref="H9:H11">
    <cfRule type="expression" dxfId="61" priority="2">
      <formula>$C8=MAX($C$8:$C$37)</formula>
    </cfRule>
  </conditionalFormatting>
  <conditionalFormatting sqref="H8">
    <cfRule type="expression" dxfId="6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834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215</v>
      </c>
      <c r="D1" s="262"/>
      <c r="E1" s="262"/>
      <c r="F1" s="262"/>
      <c r="G1" s="262"/>
      <c r="H1" s="262"/>
    </row>
    <row r="2" spans="1:14" ht="15.75" customHeight="1" x14ac:dyDescent="0.25">
      <c r="C2" s="262"/>
      <c r="D2" s="262"/>
      <c r="E2" s="262"/>
      <c r="F2" s="262"/>
      <c r="G2" s="262"/>
      <c r="H2" s="262"/>
    </row>
    <row r="3" spans="1:14" ht="15" customHeight="1" x14ac:dyDescent="0.25">
      <c r="C3" s="263" t="s">
        <v>217</v>
      </c>
      <c r="D3" s="263"/>
      <c r="E3" s="263"/>
      <c r="F3" s="264" t="s">
        <v>219</v>
      </c>
      <c r="G3" s="264"/>
      <c r="H3" s="264"/>
    </row>
    <row r="4" spans="1:14" x14ac:dyDescent="0.25">
      <c r="C4" s="265" t="s">
        <v>218</v>
      </c>
      <c r="D4" s="265"/>
      <c r="E4" s="265"/>
      <c r="F4" s="266" t="s">
        <v>220</v>
      </c>
      <c r="G4" s="266"/>
      <c r="H4" s="266"/>
    </row>
    <row r="5" spans="1:14" s="168" customFormat="1" ht="21" customHeight="1" x14ac:dyDescent="0.25">
      <c r="C5" s="267" t="s">
        <v>216</v>
      </c>
      <c r="D5" s="267"/>
      <c r="E5" s="267"/>
      <c r="F5" s="267"/>
      <c r="G5" s="267"/>
      <c r="H5" s="267"/>
    </row>
    <row r="6" spans="1:14" s="168" customFormat="1" ht="17.25" customHeight="1" x14ac:dyDescent="0.25">
      <c r="C6" s="177" t="s">
        <v>221</v>
      </c>
      <c r="D6" s="182" t="s">
        <v>317</v>
      </c>
      <c r="E6" s="173"/>
      <c r="F6" s="173"/>
      <c r="G6" s="261" t="str">
        <f ca="1">"Ngày "&amp;DAY(TODAY())&amp;" Tháng "&amp;MONTH(TODAY())&amp;" Năm "&amp;YEAR(TODAY())</f>
        <v>Ngày 11 Tháng 6 Năm 2022</v>
      </c>
      <c r="H6" s="261"/>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44</v>
      </c>
      <c r="B8" s="178">
        <v>1</v>
      </c>
      <c r="C8" s="45">
        <f t="shared" ref="C8:C37" si="0">IF(OR(SUM($C7,$A8&lt;&gt;"")=0,$A8=""),"",SUM($C7,$A8&lt;&gt;""))</f>
        <v>1</v>
      </c>
      <c r="D8" s="175" t="str">
        <f>IFERROR(VLOOKUP($A8,Sheet1!$A$1:$B$98,2,0),"")</f>
        <v>Bò viên phở TVP</v>
      </c>
      <c r="E8" s="45">
        <f>IFERROR(VLOOKUP($A8,'Tổng Đơn'!$A$5:$E$73,5,0),"")</f>
        <v>0.5</v>
      </c>
      <c r="F8" s="45">
        <f t="shared" ref="F8:F37" si="1">IF($B8="","",B8)</f>
        <v>1</v>
      </c>
      <c r="G8" s="186">
        <f>IFERROR(VLOOKUP($A8,Sheet1!$A1:$D$98,4,0),"")</f>
        <v>76000</v>
      </c>
      <c r="H8" s="176">
        <f>IF($C7=MAX($C$8:$C$56),SUM($H7:$H$8),IFERROR($G8*$F8,""))</f>
        <v>76000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76000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59" priority="8">
      <formula>$C8=MAX($C$8:$C$37)</formula>
    </cfRule>
  </conditionalFormatting>
  <conditionalFormatting sqref="C9:C37">
    <cfRule type="expression" dxfId="58" priority="7">
      <formula>$C8=MAX($C$8:$C$37)</formula>
    </cfRule>
  </conditionalFormatting>
  <conditionalFormatting sqref="E9:E38">
    <cfRule type="expression" dxfId="57" priority="9">
      <formula>AND($A9="",$F9&lt;&gt;"")</formula>
    </cfRule>
  </conditionalFormatting>
  <conditionalFormatting sqref="F9:F38">
    <cfRule type="expression" dxfId="56" priority="10">
      <formula>AND($F9="",$A9&lt;&gt;"")</formula>
    </cfRule>
  </conditionalFormatting>
  <conditionalFormatting sqref="D8:G8">
    <cfRule type="expression" dxfId="55" priority="4">
      <formula>$C7=MAX($C$8:$C$37)</formula>
    </cfRule>
  </conditionalFormatting>
  <conditionalFormatting sqref="C8">
    <cfRule type="expression" dxfId="54" priority="3">
      <formula>$C7=MAX($C$8:$C$37)</formula>
    </cfRule>
  </conditionalFormatting>
  <conditionalFormatting sqref="E8">
    <cfRule type="expression" dxfId="53" priority="5">
      <formula>AND($A8="",$F8&lt;&gt;"")</formula>
    </cfRule>
  </conditionalFormatting>
  <conditionalFormatting sqref="F8">
    <cfRule type="expression" dxfId="52" priority="6">
      <formula>AND($F8="",$A8&lt;&gt;"")</formula>
    </cfRule>
  </conditionalFormatting>
  <conditionalFormatting sqref="H9:H11">
    <cfRule type="expression" dxfId="51" priority="2">
      <formula>$C8=MAX($C$8:$C$37)</formula>
    </cfRule>
  </conditionalFormatting>
  <conditionalFormatting sqref="H8">
    <cfRule type="expression" dxfId="5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824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215</v>
      </c>
      <c r="D1" s="262"/>
      <c r="E1" s="262"/>
      <c r="F1" s="262"/>
      <c r="G1" s="262"/>
      <c r="H1" s="262"/>
    </row>
    <row r="2" spans="1:14" ht="15.75" customHeight="1" x14ac:dyDescent="0.25">
      <c r="C2" s="262"/>
      <c r="D2" s="262"/>
      <c r="E2" s="262"/>
      <c r="F2" s="262"/>
      <c r="G2" s="262"/>
      <c r="H2" s="262"/>
    </row>
    <row r="3" spans="1:14" ht="15" customHeight="1" x14ac:dyDescent="0.25">
      <c r="C3" s="263" t="s">
        <v>217</v>
      </c>
      <c r="D3" s="263"/>
      <c r="E3" s="263"/>
      <c r="F3" s="264" t="s">
        <v>219</v>
      </c>
      <c r="G3" s="264"/>
      <c r="H3" s="264"/>
    </row>
    <row r="4" spans="1:14" x14ac:dyDescent="0.25">
      <c r="C4" s="265" t="s">
        <v>218</v>
      </c>
      <c r="D4" s="265"/>
      <c r="E4" s="265"/>
      <c r="F4" s="266" t="s">
        <v>220</v>
      </c>
      <c r="G4" s="266"/>
      <c r="H4" s="266"/>
    </row>
    <row r="5" spans="1:14" s="168" customFormat="1" ht="21" customHeight="1" x14ac:dyDescent="0.25">
      <c r="C5" s="267" t="s">
        <v>216</v>
      </c>
      <c r="D5" s="267"/>
      <c r="E5" s="267"/>
      <c r="F5" s="267"/>
      <c r="G5" s="267"/>
      <c r="H5" s="267"/>
    </row>
    <row r="6" spans="1:14" s="168" customFormat="1" ht="17.25" customHeight="1" x14ac:dyDescent="0.25">
      <c r="C6" s="177" t="s">
        <v>221</v>
      </c>
      <c r="D6" s="182" t="s">
        <v>316</v>
      </c>
      <c r="E6" s="173"/>
      <c r="F6" s="173"/>
      <c r="G6" s="261" t="str">
        <f ca="1">"Ngày "&amp;DAY(TODAY())&amp;" Tháng "&amp;MONTH(TODAY())&amp;" Năm "&amp;YEAR(TODAY())</f>
        <v>Ngày 11 Tháng 6 Năm 2022</v>
      </c>
      <c r="H6" s="261"/>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8">
        <v>21</v>
      </c>
      <c r="B8" s="178">
        <v>1</v>
      </c>
      <c r="C8" s="45">
        <f t="shared" ref="C8:C37" si="0">IF(OR(SUM($C7,$A8&lt;&gt;"")=0,$A8=""),"",SUM($C7,$A8&lt;&gt;""))</f>
        <v>1</v>
      </c>
      <c r="D8" s="175" t="str">
        <f>IFERROR(VLOOKUP($A8,Sheet1!$A$1:$B$98,2,0),"")</f>
        <v>Chả giò Rế tôm mực LC</v>
      </c>
      <c r="E8" s="45">
        <f>IFERROR(VLOOKUP($A8,'Tổng Đơn'!$A$5:$E$73,5,0),"")</f>
        <v>0.5</v>
      </c>
      <c r="F8" s="45">
        <f t="shared" ref="F8:F37" si="1">IF($B8="","",B8)</f>
        <v>1</v>
      </c>
      <c r="G8" s="186">
        <f>IFERROR(VLOOKUP($A8,Sheet1!$A1:$D$98,4,0),"")</f>
        <v>50000</v>
      </c>
      <c r="H8" s="176">
        <f>IF($C7=MAX($C$8:$C$56),SUM($H7:$H$8),IFERROR($G8*$F8,""))</f>
        <v>50000</v>
      </c>
      <c r="I8" s="78">
        <f t="shared" ref="I8:I37" si="2">IF(TYPE($A8)&lt;&gt;1,"",IFERROR(F8*E8,""))</f>
        <v>0.5</v>
      </c>
      <c r="L8" s="47"/>
    </row>
    <row r="9" spans="1:14" s="44" customFormat="1" ht="14.25" customHeight="1" x14ac:dyDescent="0.25">
      <c r="A9" s="178">
        <v>40</v>
      </c>
      <c r="B9" s="178">
        <v>5</v>
      </c>
      <c r="C9" s="45">
        <f t="shared" si="0"/>
        <v>2</v>
      </c>
      <c r="D9" s="175" t="str">
        <f>IFERROR(VLOOKUP($A9,Sheet1!$A$1:$B$98,2,0),"")</f>
        <v>0-Bò cuộn Excel Canada</v>
      </c>
      <c r="E9" s="45">
        <f>IFERROR(VLOOKUP($A9,'Tổng Đơn'!$A$5:$E$74,5,0),"")</f>
        <v>0.5</v>
      </c>
      <c r="F9" s="45">
        <f t="shared" si="1"/>
        <v>5</v>
      </c>
      <c r="G9" s="186">
        <f>IF(AND($C9="",$C8&lt;&gt;""),"Tổng Cộng",IFERROR(VLOOKUP($A9,Sheet1!$A$1:$D$98,4,0),""))</f>
        <v>105000</v>
      </c>
      <c r="H9" s="176">
        <f>IF($C8=MAX($C$8:$C$56),SUM($H$8:$H8),IFERROR($G9*$F9,""))</f>
        <v>525000</v>
      </c>
      <c r="I9" s="78">
        <f t="shared" si="2"/>
        <v>2.5</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575000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49" priority="8">
      <formula>$C8=MAX($C$8:$C$37)</formula>
    </cfRule>
  </conditionalFormatting>
  <conditionalFormatting sqref="C9:C37">
    <cfRule type="expression" dxfId="48" priority="7">
      <formula>$C8=MAX($C$8:$C$37)</formula>
    </cfRule>
  </conditionalFormatting>
  <conditionalFormatting sqref="E9:E38">
    <cfRule type="expression" dxfId="47" priority="9">
      <formula>AND($A9="",$F9&lt;&gt;"")</formula>
    </cfRule>
  </conditionalFormatting>
  <conditionalFormatting sqref="F9:F38">
    <cfRule type="expression" dxfId="46" priority="10">
      <formula>AND($F9="",$A9&lt;&gt;"")</formula>
    </cfRule>
  </conditionalFormatting>
  <conditionalFormatting sqref="D8:G8">
    <cfRule type="expression" dxfId="45" priority="4">
      <formula>$C7=MAX($C$8:$C$37)</formula>
    </cfRule>
  </conditionalFormatting>
  <conditionalFormatting sqref="C8">
    <cfRule type="expression" dxfId="44" priority="3">
      <formula>$C7=MAX($C$8:$C$37)</formula>
    </cfRule>
  </conditionalFormatting>
  <conditionalFormatting sqref="E8">
    <cfRule type="expression" dxfId="43" priority="5">
      <formula>AND($A8="",$F8&lt;&gt;"")</formula>
    </cfRule>
  </conditionalFormatting>
  <conditionalFormatting sqref="F8">
    <cfRule type="expression" dxfId="42" priority="6">
      <formula>AND($F8="",$A8&lt;&gt;"")</formula>
    </cfRule>
  </conditionalFormatting>
  <conditionalFormatting sqref="H9:H11">
    <cfRule type="expression" dxfId="41" priority="2">
      <formula>$C8=MAX($C$8:$C$37)</formula>
    </cfRule>
  </conditionalFormatting>
  <conditionalFormatting sqref="H8">
    <cfRule type="expression" dxfId="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814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215</v>
      </c>
      <c r="D1" s="262"/>
      <c r="E1" s="262"/>
      <c r="F1" s="262"/>
      <c r="G1" s="262"/>
      <c r="H1" s="262"/>
    </row>
    <row r="2" spans="1:14" ht="15.75" customHeight="1" x14ac:dyDescent="0.25">
      <c r="C2" s="262"/>
      <c r="D2" s="262"/>
      <c r="E2" s="262"/>
      <c r="F2" s="262"/>
      <c r="G2" s="262"/>
      <c r="H2" s="262"/>
    </row>
    <row r="3" spans="1:14" ht="15" customHeight="1" x14ac:dyDescent="0.25">
      <c r="C3" s="263" t="s">
        <v>217</v>
      </c>
      <c r="D3" s="263"/>
      <c r="E3" s="263"/>
      <c r="F3" s="264" t="s">
        <v>219</v>
      </c>
      <c r="G3" s="264"/>
      <c r="H3" s="264"/>
    </row>
    <row r="4" spans="1:14" x14ac:dyDescent="0.25">
      <c r="C4" s="265" t="s">
        <v>218</v>
      </c>
      <c r="D4" s="265"/>
      <c r="E4" s="265"/>
      <c r="F4" s="266" t="s">
        <v>220</v>
      </c>
      <c r="G4" s="266"/>
      <c r="H4" s="266"/>
    </row>
    <row r="5" spans="1:14" s="168" customFormat="1" ht="21" customHeight="1" x14ac:dyDescent="0.25">
      <c r="C5" s="267" t="s">
        <v>216</v>
      </c>
      <c r="D5" s="267"/>
      <c r="E5" s="267"/>
      <c r="F5" s="267"/>
      <c r="G5" s="267"/>
      <c r="H5" s="267"/>
    </row>
    <row r="6" spans="1:14" s="168" customFormat="1" ht="17.25" customHeight="1" x14ac:dyDescent="0.25">
      <c r="C6" s="177" t="s">
        <v>221</v>
      </c>
      <c r="D6" s="182" t="s">
        <v>315</v>
      </c>
      <c r="E6" s="173"/>
      <c r="F6" s="173"/>
      <c r="G6" s="261" t="str">
        <f ca="1">"Ngày "&amp;DAY(TODAY())&amp;" Tháng "&amp;MONTH(TODAY())&amp;" Năm "&amp;YEAR(TODAY())</f>
        <v>Ngày 11 Tháng 6 Năm 2022</v>
      </c>
      <c r="H6" s="261"/>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61</v>
      </c>
      <c r="B8" s="178">
        <v>1</v>
      </c>
      <c r="C8" s="45">
        <f t="shared" ref="C8:C37" si="0">IF(OR(SUM($C7,$A8&lt;&gt;"")=0,$A8=""),"",SUM($C7,$A8&lt;&gt;""))</f>
        <v>1</v>
      </c>
      <c r="D8" s="175" t="str">
        <f>IFERROR(VLOOKUP($A8,Sheet1!$A$1:$B$98,2,0),"")</f>
        <v>XX Đỏ KK</v>
      </c>
      <c r="E8" s="45">
        <f>IFERROR(VLOOKUP($A8,'Tổng Đơn'!$A$5:$E$73,5,0),"")</f>
        <v>0.5</v>
      </c>
      <c r="F8" s="45">
        <f t="shared" ref="F8:F37" si="1">IF($B8="","",B8)</f>
        <v>1</v>
      </c>
      <c r="G8" s="186">
        <f>IFERROR(VLOOKUP($A8,Sheet1!$A1:$D$98,4,0),"")</f>
        <v>26000</v>
      </c>
      <c r="H8" s="176">
        <f>IF($C7=MAX($C$8:$C$56),SUM($H7:$H$8),IFERROR($G8*$F8,""))</f>
        <v>26000</v>
      </c>
      <c r="I8" s="78">
        <f t="shared" ref="I8:I37" si="2">IF(TYPE($A8)&lt;&gt;1,"",IFERROR(F8*E8,""))</f>
        <v>0.5</v>
      </c>
      <c r="L8" s="47"/>
    </row>
    <row r="9" spans="1:14" s="44" customFormat="1" ht="14.25" customHeight="1" x14ac:dyDescent="0.25">
      <c r="A9" s="178">
        <v>62</v>
      </c>
      <c r="B9" s="178">
        <v>1</v>
      </c>
      <c r="C9" s="45">
        <f t="shared" si="0"/>
        <v>2</v>
      </c>
      <c r="D9" s="175" t="str">
        <f>IFERROR(VLOOKUP($A9,Sheet1!$A$1:$B$98,2,0),"")</f>
        <v>XX Đức KK</v>
      </c>
      <c r="E9" s="45">
        <f>IFERROR(VLOOKUP($A9,'Tổng Đơn'!$A$5:$E$74,5,0),"")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v>1</v>
      </c>
      <c r="B10" s="178">
        <v>1</v>
      </c>
      <c r="C10" s="45">
        <f t="shared" si="0"/>
        <v>3</v>
      </c>
      <c r="D10" s="175" t="s">
        <v>310</v>
      </c>
      <c r="E10" s="45" t="s">
        <v>287</v>
      </c>
      <c r="F10" s="45" t="s">
        <v>287</v>
      </c>
      <c r="G10" s="186" t="s">
        <v>287</v>
      </c>
      <c r="H10" s="176">
        <v>-1000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60000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39" priority="8">
      <formula>$C8=MAX($C$8:$C$37)</formula>
    </cfRule>
  </conditionalFormatting>
  <conditionalFormatting sqref="C9:C37">
    <cfRule type="expression" dxfId="38" priority="7">
      <formula>$C8=MAX($C$8:$C$37)</formula>
    </cfRule>
  </conditionalFormatting>
  <conditionalFormatting sqref="E9:E38">
    <cfRule type="expression" dxfId="37" priority="9">
      <formula>AND($A9="",$F9&lt;&gt;"")</formula>
    </cfRule>
  </conditionalFormatting>
  <conditionalFormatting sqref="F9:F38">
    <cfRule type="expression" dxfId="36" priority="10">
      <formula>AND($F9="",$A9&lt;&gt;"")</formula>
    </cfRule>
  </conditionalFormatting>
  <conditionalFormatting sqref="D8:G8">
    <cfRule type="expression" dxfId="35" priority="4">
      <formula>$C7=MAX($C$8:$C$37)</formula>
    </cfRule>
  </conditionalFormatting>
  <conditionalFormatting sqref="C8">
    <cfRule type="expression" dxfId="34" priority="3">
      <formula>$C7=MAX($C$8:$C$37)</formula>
    </cfRule>
  </conditionalFormatting>
  <conditionalFormatting sqref="E8">
    <cfRule type="expression" dxfId="33" priority="5">
      <formula>AND($A8="",$F8&lt;&gt;"")</formula>
    </cfRule>
  </conditionalFormatting>
  <conditionalFormatting sqref="F8">
    <cfRule type="expression" dxfId="32" priority="6">
      <formula>AND($F8="",$A8&lt;&gt;"")</formula>
    </cfRule>
  </conditionalFormatting>
  <conditionalFormatting sqref="H9:H11">
    <cfRule type="expression" dxfId="31" priority="2">
      <formula>$C8=MAX($C$8:$C$37)</formula>
    </cfRule>
  </conditionalFormatting>
  <conditionalFormatting sqref="H8">
    <cfRule type="expression" dxfId="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804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215</v>
      </c>
      <c r="D1" s="262"/>
      <c r="E1" s="262"/>
      <c r="F1" s="262"/>
      <c r="G1" s="262"/>
      <c r="H1" s="262"/>
    </row>
    <row r="2" spans="1:14" ht="15.75" customHeight="1" x14ac:dyDescent="0.25">
      <c r="C2" s="262"/>
      <c r="D2" s="262"/>
      <c r="E2" s="262"/>
      <c r="F2" s="262"/>
      <c r="G2" s="262"/>
      <c r="H2" s="262"/>
    </row>
    <row r="3" spans="1:14" ht="15" customHeight="1" x14ac:dyDescent="0.25">
      <c r="C3" s="263" t="s">
        <v>217</v>
      </c>
      <c r="D3" s="263"/>
      <c r="E3" s="263"/>
      <c r="F3" s="264" t="s">
        <v>219</v>
      </c>
      <c r="G3" s="264"/>
      <c r="H3" s="264"/>
    </row>
    <row r="4" spans="1:14" x14ac:dyDescent="0.25">
      <c r="C4" s="265" t="s">
        <v>218</v>
      </c>
      <c r="D4" s="265"/>
      <c r="E4" s="265"/>
      <c r="F4" s="266" t="s">
        <v>220</v>
      </c>
      <c r="G4" s="266"/>
      <c r="H4" s="266"/>
    </row>
    <row r="5" spans="1:14" s="168" customFormat="1" ht="21" customHeight="1" x14ac:dyDescent="0.25">
      <c r="C5" s="267" t="s">
        <v>216</v>
      </c>
      <c r="D5" s="267"/>
      <c r="E5" s="267"/>
      <c r="F5" s="267"/>
      <c r="G5" s="267"/>
      <c r="H5" s="267"/>
    </row>
    <row r="6" spans="1:14" s="168" customFormat="1" ht="17.25" customHeight="1" x14ac:dyDescent="0.25">
      <c r="C6" s="177" t="s">
        <v>221</v>
      </c>
      <c r="D6" s="182" t="s">
        <v>314</v>
      </c>
      <c r="E6" s="173"/>
      <c r="F6" s="173"/>
      <c r="G6" s="261" t="str">
        <f ca="1">"Ngày "&amp;DAY(TODAY())&amp;" Tháng "&amp;MONTH(TODAY())&amp;" Năm "&amp;YEAR(TODAY())</f>
        <v>Ngày 11 Tháng 6 Năm 2022</v>
      </c>
      <c r="H6" s="261"/>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v>1</v>
      </c>
      <c r="B10" s="178">
        <v>1</v>
      </c>
      <c r="C10" s="45">
        <f t="shared" si="0"/>
        <v>3</v>
      </c>
      <c r="D10" s="175" t="s">
        <v>310</v>
      </c>
      <c r="E10" s="45" t="s">
        <v>287</v>
      </c>
      <c r="F10" s="45" t="s">
        <v>287</v>
      </c>
      <c r="G10" s="186" t="s">
        <v>287</v>
      </c>
      <c r="H10" s="176">
        <v>-1000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50000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29" priority="8">
      <formula>$C8=MAX($C$8:$C$37)</formula>
    </cfRule>
  </conditionalFormatting>
  <conditionalFormatting sqref="C9:C37">
    <cfRule type="expression" dxfId="28" priority="7">
      <formula>$C8=MAX($C$8:$C$37)</formula>
    </cfRule>
  </conditionalFormatting>
  <conditionalFormatting sqref="E9:E38">
    <cfRule type="expression" dxfId="27" priority="9">
      <formula>AND($A9="",$F9&lt;&gt;"")</formula>
    </cfRule>
  </conditionalFormatting>
  <conditionalFormatting sqref="F9:F38">
    <cfRule type="expression" dxfId="26" priority="10">
      <formula>AND($F9="",$A9&lt;&gt;"")</formula>
    </cfRule>
  </conditionalFormatting>
  <conditionalFormatting sqref="D8:G8">
    <cfRule type="expression" dxfId="25" priority="4">
      <formula>$C7=MAX($C$8:$C$37)</formula>
    </cfRule>
  </conditionalFormatting>
  <conditionalFormatting sqref="C8">
    <cfRule type="expression" dxfId="24" priority="3">
      <formula>$C7=MAX($C$8:$C$37)</formula>
    </cfRule>
  </conditionalFormatting>
  <conditionalFormatting sqref="E8">
    <cfRule type="expression" dxfId="23" priority="5">
      <formula>AND($A8="",$F8&lt;&gt;"")</formula>
    </cfRule>
  </conditionalFormatting>
  <conditionalFormatting sqref="F8">
    <cfRule type="expression" dxfId="22" priority="6">
      <formula>AND($F8="",$A8&lt;&gt;"")</formula>
    </cfRule>
  </conditionalFormatting>
  <conditionalFormatting sqref="H9:H11">
    <cfRule type="expression" dxfId="21" priority="2">
      <formula>$C8=MAX($C$8:$C$37)</formula>
    </cfRule>
  </conditionalFormatting>
  <conditionalFormatting sqref="H8">
    <cfRule type="expression" dxfId="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793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B10" sqref="B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215</v>
      </c>
      <c r="D1" s="262"/>
      <c r="E1" s="262"/>
      <c r="F1" s="262"/>
      <c r="G1" s="262"/>
      <c r="H1" s="262"/>
    </row>
    <row r="2" spans="1:14" ht="15.75" customHeight="1" x14ac:dyDescent="0.25">
      <c r="C2" s="262"/>
      <c r="D2" s="262"/>
      <c r="E2" s="262"/>
      <c r="F2" s="262"/>
      <c r="G2" s="262"/>
      <c r="H2" s="262"/>
    </row>
    <row r="3" spans="1:14" ht="15" customHeight="1" x14ac:dyDescent="0.25">
      <c r="C3" s="263" t="s">
        <v>217</v>
      </c>
      <c r="D3" s="263"/>
      <c r="E3" s="263"/>
      <c r="F3" s="264" t="s">
        <v>219</v>
      </c>
      <c r="G3" s="264"/>
      <c r="H3" s="264"/>
    </row>
    <row r="4" spans="1:14" x14ac:dyDescent="0.25">
      <c r="C4" s="265" t="s">
        <v>218</v>
      </c>
      <c r="D4" s="265"/>
      <c r="E4" s="265"/>
      <c r="F4" s="266" t="s">
        <v>220</v>
      </c>
      <c r="G4" s="266"/>
      <c r="H4" s="266"/>
    </row>
    <row r="5" spans="1:14" s="168" customFormat="1" ht="21" customHeight="1" x14ac:dyDescent="0.25">
      <c r="C5" s="267" t="s">
        <v>216</v>
      </c>
      <c r="D5" s="267"/>
      <c r="E5" s="267"/>
      <c r="F5" s="267"/>
      <c r="G5" s="267"/>
      <c r="H5" s="267"/>
    </row>
    <row r="6" spans="1:14" s="168" customFormat="1" ht="17.25" customHeight="1" x14ac:dyDescent="0.25">
      <c r="C6" s="177" t="s">
        <v>221</v>
      </c>
      <c r="D6" s="182" t="s">
        <v>313</v>
      </c>
      <c r="E6" s="173"/>
      <c r="F6" s="173"/>
      <c r="G6" s="261" t="str">
        <f ca="1">"Ngày "&amp;DAY(TODAY())&amp;" Tháng "&amp;MONTH(TODAY())&amp;" Năm "&amp;YEAR(TODAY())</f>
        <v>Ngày 11 Tháng 6 Năm 2022</v>
      </c>
      <c r="H6" s="261"/>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18</v>
      </c>
      <c r="B8" s="178">
        <v>10</v>
      </c>
      <c r="C8" s="45">
        <f t="shared" ref="C8:C37" si="0">IF(OR(SUM($C7,$A8&lt;&gt;"")=0,$A8=""),"",SUM($C7,$A8&lt;&gt;""))</f>
        <v>1</v>
      </c>
      <c r="D8" s="175" t="str">
        <f>IFERROR(VLOOKUP($A8,Sheet1!$A$1:$B$98,2,0),"")</f>
        <v>XX Đức HS ĐNA</v>
      </c>
      <c r="E8" s="45">
        <f>IFERROR(VLOOKUP($A8,'Tổng Đơn'!$A$5:$E$73,5,0),"")</f>
        <v>0.5</v>
      </c>
      <c r="F8" s="45">
        <f t="shared" ref="F8:F37" si="1">IF($B8="","",B8)</f>
        <v>10</v>
      </c>
      <c r="G8" s="186">
        <f>IFERROR(VLOOKUP($A8,Sheet1!$A1:$D$98,4,0),"")</f>
        <v>35000</v>
      </c>
      <c r="H8" s="176">
        <f>IF($C7=MAX($C$8:$C$56),SUM($H7:$H$8),IFERROR($G8*$F8,""))</f>
        <v>350000</v>
      </c>
      <c r="I8" s="78">
        <f t="shared" ref="I8:I37" si="2">IF(TYPE($A8)&lt;&gt;1,"",IFERROR(F8*E8,""))</f>
        <v>5</v>
      </c>
      <c r="L8" s="47"/>
    </row>
    <row r="9" spans="1:14" s="44" customFormat="1" ht="14.25" customHeight="1" x14ac:dyDescent="0.25">
      <c r="A9" s="178">
        <v>57</v>
      </c>
      <c r="B9" s="178">
        <v>20</v>
      </c>
      <c r="C9" s="45">
        <f t="shared" si="0"/>
        <v>2</v>
      </c>
      <c r="D9" s="175" t="str">
        <f>IFERROR(VLOOKUP($A9,Sheet1!$A$1:$B$98,2,0),"")</f>
        <v>Cá viên KK</v>
      </c>
      <c r="E9" s="45">
        <f>IFERROR(VLOOKUP($A9,'Tổng Đơn'!$A$5:$E$74,5,0),"")</f>
        <v>0.5</v>
      </c>
      <c r="F9" s="45">
        <f t="shared" si="1"/>
        <v>20</v>
      </c>
      <c r="G9" s="186">
        <f>IF(AND($C9="",$C8&lt;&gt;""),"Tổng Cộng",IFERROR(VLOOKUP($A9,Sheet1!$A$1:$D$98,4,0),""))</f>
        <v>25000</v>
      </c>
      <c r="H9" s="176">
        <f>IF($C8=MAX($C$8:$C$56),SUM($H$8:$H8),IFERROR($G9*$F9,""))</f>
        <v>500000</v>
      </c>
      <c r="I9" s="78">
        <f t="shared" si="2"/>
        <v>10</v>
      </c>
      <c r="L9" s="46"/>
    </row>
    <row r="10" spans="1:14" s="44" customFormat="1" ht="14.25" customHeight="1" x14ac:dyDescent="0.25">
      <c r="A10" s="178">
        <v>1</v>
      </c>
      <c r="B10" s="178">
        <v>1</v>
      </c>
      <c r="C10" s="45">
        <f t="shared" si="0"/>
        <v>3</v>
      </c>
      <c r="D10" s="175" t="s">
        <v>310</v>
      </c>
      <c r="E10" s="45" t="s">
        <v>287</v>
      </c>
      <c r="F10" s="45" t="s">
        <v>287</v>
      </c>
      <c r="G10" s="186" t="s">
        <v>287</v>
      </c>
      <c r="H10" s="176">
        <f>-10*9000-5*8000</f>
        <v>-130000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720000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9" priority="8">
      <formula>$C8=MAX($C$8:$C$37)</formula>
    </cfRule>
  </conditionalFormatting>
  <conditionalFormatting sqref="C9:C37">
    <cfRule type="expression" dxfId="18" priority="7">
      <formula>$C8=MAX($C$8:$C$37)</formula>
    </cfRule>
  </conditionalFormatting>
  <conditionalFormatting sqref="E9:E38">
    <cfRule type="expression" dxfId="17" priority="9">
      <formula>AND($A9="",$F9&lt;&gt;"")</formula>
    </cfRule>
  </conditionalFormatting>
  <conditionalFormatting sqref="F9:F38">
    <cfRule type="expression" dxfId="16" priority="10">
      <formula>AND($F9="",$A9&lt;&gt;"")</formula>
    </cfRule>
  </conditionalFormatting>
  <conditionalFormatting sqref="D8:G8">
    <cfRule type="expression" dxfId="15" priority="4">
      <formula>$C7=MAX($C$8:$C$37)</formula>
    </cfRule>
  </conditionalFormatting>
  <conditionalFormatting sqref="C8">
    <cfRule type="expression" dxfId="14" priority="3">
      <formula>$C7=MAX($C$8:$C$37)</formula>
    </cfRule>
  </conditionalFormatting>
  <conditionalFormatting sqref="E8">
    <cfRule type="expression" dxfId="13" priority="5">
      <formula>AND($A8="",$F8&lt;&gt;"")</formula>
    </cfRule>
  </conditionalFormatting>
  <conditionalFormatting sqref="F8">
    <cfRule type="expression" dxfId="12" priority="6">
      <formula>AND($F8="",$A8&lt;&gt;"")</formula>
    </cfRule>
  </conditionalFormatting>
  <conditionalFormatting sqref="H9:H11">
    <cfRule type="expression" dxfId="11" priority="2">
      <formula>$C8=MAX($C$8:$C$37)</formula>
    </cfRule>
  </conditionalFormatting>
  <conditionalFormatting sqref="H8">
    <cfRule type="expression" dxfId="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783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17</vt:i4>
      </vt:variant>
    </vt:vector>
  </HeadingPairs>
  <TitlesOfParts>
    <vt:vector size="44"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2022-06-11T00:09:22Z</dcterms:modified>
</cp:coreProperties>
</file>