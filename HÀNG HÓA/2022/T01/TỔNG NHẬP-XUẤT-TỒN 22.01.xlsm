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4"/>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2)" sheetId="172" r:id="rId13"/>
    <sheet name="Thanh Toán (21)" sheetId="171" r:id="rId14"/>
    <sheet name="Thanh Toán (20)" sheetId="170" r:id="rId15"/>
    <sheet name="Thanh Toán (19)" sheetId="168" r:id="rId16"/>
    <sheet name="Thanh Toán (18)" sheetId="167" r:id="rId17"/>
    <sheet name="Thanh Toán (17)" sheetId="166" r:id="rId18"/>
    <sheet name="Thanh Toán (16)" sheetId="165" r:id="rId19"/>
    <sheet name="Thanh Toán (15)" sheetId="164" r:id="rId20"/>
    <sheet name="Thanh Toán (14)" sheetId="163" r:id="rId21"/>
    <sheet name="Thanh Toán (13)" sheetId="162" r:id="rId22"/>
    <sheet name="Thanh Toán (12)" sheetId="161" r:id="rId23"/>
    <sheet name="Thanh Toán (11)" sheetId="160" r:id="rId24"/>
    <sheet name="Thanh Toán (10)" sheetId="159" r:id="rId25"/>
    <sheet name="Thanh Toán (9)" sheetId="158" r:id="rId26"/>
    <sheet name="Thanh Toán (8)" sheetId="157" r:id="rId27"/>
    <sheet name="Thanh Toán (7)" sheetId="156" r:id="rId28"/>
    <sheet name="Thanh Toán (6)" sheetId="155" r:id="rId29"/>
    <sheet name="Thanh Toán (5)" sheetId="154" r:id="rId30"/>
    <sheet name="Thanh Toán (4)" sheetId="153" r:id="rId31"/>
    <sheet name="Thanh Toán (3)" sheetId="152" r:id="rId32"/>
    <sheet name="Thanh Toán (2)" sheetId="151" r:id="rId33"/>
    <sheet name="DS KHÁCH HÀNG KM (2)" sheetId="76" state="hidden" r:id="rId34"/>
  </sheets>
  <definedNames>
    <definedName name="_xlnm._FilterDatabase" localSheetId="33"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4">'Thanh Toán (10)'!$C$1:$H$38</definedName>
    <definedName name="_xlnm.Print_Area" localSheetId="23">'Thanh Toán (11)'!$C$1:$H$38</definedName>
    <definedName name="_xlnm.Print_Area" localSheetId="22">'Thanh Toán (12)'!$C$1:$H$38</definedName>
    <definedName name="_xlnm.Print_Area" localSheetId="21">'Thanh Toán (13)'!$C$1:$H$38</definedName>
    <definedName name="_xlnm.Print_Area" localSheetId="20">'Thanh Toán (14)'!$C$1:$H$38</definedName>
    <definedName name="_xlnm.Print_Area" localSheetId="19">'Thanh Toán (15)'!$C$1:$H$38</definedName>
    <definedName name="_xlnm.Print_Area" localSheetId="18">'Thanh Toán (16)'!$C$1:$H$38</definedName>
    <definedName name="_xlnm.Print_Area" localSheetId="17">'Thanh Toán (17)'!$C$1:$H$38</definedName>
    <definedName name="_xlnm.Print_Area" localSheetId="16">'Thanh Toán (18)'!$C$1:$H$38</definedName>
    <definedName name="_xlnm.Print_Area" localSheetId="15">'Thanh Toán (19)'!$C$1:$H$38</definedName>
    <definedName name="_xlnm.Print_Area" localSheetId="32">'Thanh Toán (2)'!$C$1:$H$38</definedName>
    <definedName name="_xlnm.Print_Area" localSheetId="14">'Thanh Toán (20)'!$C$1:$H$38</definedName>
    <definedName name="_xlnm.Print_Area" localSheetId="13">'Thanh Toán (21)'!$C$1:$H$38</definedName>
    <definedName name="_xlnm.Print_Area" localSheetId="12">'Thanh Toán (22)'!$C$1:$H$38</definedName>
    <definedName name="_xlnm.Print_Area" localSheetId="31">'Thanh Toán (3)'!$C$1:$H$38</definedName>
    <definedName name="_xlnm.Print_Area" localSheetId="30">'Thanh Toán (4)'!$C$1:$H$38</definedName>
    <definedName name="_xlnm.Print_Area" localSheetId="29">'Thanh Toán (5)'!$C$1:$H$38</definedName>
    <definedName name="_xlnm.Print_Area" localSheetId="28">'Thanh Toán (6)'!$C$1:$H$38</definedName>
    <definedName name="_xlnm.Print_Area" localSheetId="27">'Thanh Toán (7)'!$C$1:$H$38</definedName>
    <definedName name="_xlnm.Print_Area" localSheetId="26">'Thanh Toán (8)'!$C$1:$H$38</definedName>
    <definedName name="_xlnm.Print_Area" localSheetId="25">'Thanh Toán (9)'!$C$1:$H$38</definedName>
    <definedName name="Slicer_Tên_hàng">#N/A</definedName>
  </definedNames>
  <calcPr calcId="145621"/>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2" l="1"/>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E14" i="172"/>
  <c r="D14" i="172"/>
  <c r="F13" i="172"/>
  <c r="E13" i="172"/>
  <c r="I13" i="172" s="1"/>
  <c r="D13" i="172"/>
  <c r="F12" i="172"/>
  <c r="I12" i="172" s="1"/>
  <c r="E12" i="172"/>
  <c r="D12" i="172"/>
  <c r="L11" i="172"/>
  <c r="F11" i="172"/>
  <c r="I11" i="172" s="1"/>
  <c r="E11" i="172"/>
  <c r="D11" i="172"/>
  <c r="L10" i="172"/>
  <c r="F10" i="172"/>
  <c r="I10" i="172" s="1"/>
  <c r="E10" i="172"/>
  <c r="D10" i="172"/>
  <c r="L9" i="172"/>
  <c r="F9" i="172"/>
  <c r="I9" i="172" s="1"/>
  <c r="E9" i="172"/>
  <c r="D9" i="172"/>
  <c r="C9" i="172"/>
  <c r="G9" i="172" s="1"/>
  <c r="L8" i="172"/>
  <c r="G8" i="172"/>
  <c r="F8" i="172"/>
  <c r="J8" i="172" s="1"/>
  <c r="E8" i="172"/>
  <c r="I8" i="172" s="1"/>
  <c r="I7" i="172" s="1"/>
  <c r="D8" i="172"/>
  <c r="C8"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L8" i="171"/>
  <c r="G8" i="171"/>
  <c r="F8" i="171"/>
  <c r="J8" i="171" s="1"/>
  <c r="E8" i="171"/>
  <c r="I8" i="171" s="1"/>
  <c r="I7" i="171" s="1"/>
  <c r="D8" i="171"/>
  <c r="C8" i="171"/>
  <c r="E7" i="171"/>
  <c r="G6" i="171"/>
  <c r="C10" i="172" l="1"/>
  <c r="C9"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F11" i="170"/>
  <c r="I11" i="170" s="1"/>
  <c r="E11" i="170"/>
  <c r="D11" i="170"/>
  <c r="L10" i="170"/>
  <c r="F10" i="170"/>
  <c r="I10" i="170" s="1"/>
  <c r="E10" i="170"/>
  <c r="D10" i="170"/>
  <c r="L9" i="170"/>
  <c r="F9" i="170"/>
  <c r="I9" i="170" s="1"/>
  <c r="E9" i="170"/>
  <c r="D9" i="170"/>
  <c r="C9" i="170"/>
  <c r="G9" i="170" s="1"/>
  <c r="L8" i="170"/>
  <c r="G8" i="170"/>
  <c r="F8" i="170"/>
  <c r="J8" i="170" s="1"/>
  <c r="E8" i="170"/>
  <c r="D8" i="170"/>
  <c r="C8" i="170"/>
  <c r="E7" i="170"/>
  <c r="G6" i="170"/>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F10" i="168"/>
  <c r="E10" i="168"/>
  <c r="D10" i="168"/>
  <c r="L9" i="168"/>
  <c r="F9" i="168"/>
  <c r="E9" i="168"/>
  <c r="D9" i="168"/>
  <c r="C9" i="168"/>
  <c r="G9" i="168" s="1"/>
  <c r="L8" i="168"/>
  <c r="G8" i="168"/>
  <c r="F8" i="168"/>
  <c r="J8" i="168" s="1"/>
  <c r="E8" i="168"/>
  <c r="I8" i="168" s="1"/>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F11" i="167"/>
  <c r="E11" i="167"/>
  <c r="D11" i="167"/>
  <c r="L10" i="167"/>
  <c r="F10" i="167"/>
  <c r="E10" i="167"/>
  <c r="D10" i="167"/>
  <c r="L9" i="167"/>
  <c r="F9" i="167"/>
  <c r="E9" i="167"/>
  <c r="D9" i="167"/>
  <c r="L8" i="167"/>
  <c r="G8" i="167"/>
  <c r="F8" i="167"/>
  <c r="J8" i="167" s="1"/>
  <c r="E8" i="167"/>
  <c r="I8" i="167" s="1"/>
  <c r="D8" i="167"/>
  <c r="C8" i="167"/>
  <c r="C9" i="167" s="1"/>
  <c r="E7" i="167"/>
  <c r="G6" i="167"/>
  <c r="C11" i="172" l="1"/>
  <c r="G10" i="172"/>
  <c r="G9" i="171"/>
  <c r="C10" i="171"/>
  <c r="I10" i="167"/>
  <c r="I9" i="167"/>
  <c r="I11" i="167"/>
  <c r="I7" i="167"/>
  <c r="I9" i="168"/>
  <c r="I10" i="168"/>
  <c r="I7" i="168"/>
  <c r="I8" i="170"/>
  <c r="I7" i="170" s="1"/>
  <c r="C10" i="170"/>
  <c r="C10" i="168"/>
  <c r="C10" i="167"/>
  <c r="G9"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F14" i="166"/>
  <c r="E14" i="166"/>
  <c r="I14" i="166" s="1"/>
  <c r="D14" i="166"/>
  <c r="F13" i="166"/>
  <c r="E13" i="166"/>
  <c r="I13" i="166" s="1"/>
  <c r="D13" i="166"/>
  <c r="F12" i="166"/>
  <c r="I12" i="166" s="1"/>
  <c r="E12" i="166"/>
  <c r="D12" i="166"/>
  <c r="L11" i="166"/>
  <c r="F11" i="166"/>
  <c r="I11" i="166" s="1"/>
  <c r="E11" i="166"/>
  <c r="D11" i="166"/>
  <c r="L10" i="166"/>
  <c r="I10" i="166"/>
  <c r="F10" i="166"/>
  <c r="E10" i="166"/>
  <c r="D10" i="166"/>
  <c r="L9" i="166"/>
  <c r="F9" i="166"/>
  <c r="E9" i="166"/>
  <c r="D9" i="166"/>
  <c r="C9" i="166"/>
  <c r="C10" i="166" s="1"/>
  <c r="L8" i="166"/>
  <c r="G8" i="166"/>
  <c r="F8" i="166"/>
  <c r="J8" i="166" s="1"/>
  <c r="E8" i="166"/>
  <c r="D8" i="166"/>
  <c r="C8" i="166"/>
  <c r="E7" i="166"/>
  <c r="G6" i="166"/>
  <c r="D20" i="95"/>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F17" i="165"/>
  <c r="E17" i="165"/>
  <c r="I17" i="165" s="1"/>
  <c r="D17" i="165"/>
  <c r="L16" i="165"/>
  <c r="F16" i="165"/>
  <c r="E16" i="165"/>
  <c r="I16" i="165" s="1"/>
  <c r="D16" i="165"/>
  <c r="L15" i="165"/>
  <c r="F15" i="165"/>
  <c r="E15" i="165"/>
  <c r="I15" i="165" s="1"/>
  <c r="D15" i="165"/>
  <c r="L14" i="165"/>
  <c r="F14" i="165"/>
  <c r="E14" i="165"/>
  <c r="I14" i="165" s="1"/>
  <c r="D14" i="165"/>
  <c r="F13" i="165"/>
  <c r="E13" i="165"/>
  <c r="I13" i="165" s="1"/>
  <c r="D13" i="165"/>
  <c r="F12" i="165"/>
  <c r="E12" i="165"/>
  <c r="D12" i="165"/>
  <c r="L11" i="165"/>
  <c r="F11" i="165"/>
  <c r="E11" i="165"/>
  <c r="D11" i="165"/>
  <c r="L10" i="165"/>
  <c r="F10" i="165"/>
  <c r="E10" i="165"/>
  <c r="D10" i="165"/>
  <c r="L9" i="165"/>
  <c r="F9" i="165"/>
  <c r="E9" i="165"/>
  <c r="D9" i="165"/>
  <c r="L8" i="165"/>
  <c r="G8" i="165"/>
  <c r="F8" i="165"/>
  <c r="J8" i="165" s="1"/>
  <c r="E8" i="165"/>
  <c r="I8"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F9" i="164"/>
  <c r="E9" i="164"/>
  <c r="D9" i="164"/>
  <c r="C9" i="164"/>
  <c r="C10" i="164" s="1"/>
  <c r="L8" i="164"/>
  <c r="G8" i="164"/>
  <c r="F8" i="164"/>
  <c r="J8" i="164" s="1"/>
  <c r="E8" i="164"/>
  <c r="I8"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F11" i="163"/>
  <c r="E11" i="163"/>
  <c r="D11" i="163"/>
  <c r="L10" i="163"/>
  <c r="F10" i="163"/>
  <c r="E10" i="163"/>
  <c r="D10" i="163"/>
  <c r="L9" i="163"/>
  <c r="F9" i="163"/>
  <c r="E9" i="163"/>
  <c r="D9" i="163"/>
  <c r="L8" i="163"/>
  <c r="G8" i="163"/>
  <c r="F8" i="163"/>
  <c r="J8" i="163" s="1"/>
  <c r="E8" i="163"/>
  <c r="D8" i="163"/>
  <c r="C8" i="163"/>
  <c r="C9" i="163" s="1"/>
  <c r="E7" i="163"/>
  <c r="G6" i="163"/>
  <c r="P2" i="4"/>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F10" i="162"/>
  <c r="E10" i="162"/>
  <c r="D10" i="162"/>
  <c r="L9" i="162"/>
  <c r="F9" i="162"/>
  <c r="E9" i="162"/>
  <c r="D9" i="162"/>
  <c r="L8" i="162"/>
  <c r="G8" i="162"/>
  <c r="F8" i="162"/>
  <c r="J8" i="162" s="1"/>
  <c r="E8" i="162"/>
  <c r="I8"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I9" i="161"/>
  <c r="F9" i="161"/>
  <c r="E9" i="161"/>
  <c r="D9" i="161"/>
  <c r="L8" i="161"/>
  <c r="I8" i="161"/>
  <c r="G8" i="161"/>
  <c r="F8" i="161"/>
  <c r="J8"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I9" i="160"/>
  <c r="F9" i="160"/>
  <c r="E9" i="160"/>
  <c r="D9" i="160"/>
  <c r="L8" i="160"/>
  <c r="G8" i="160"/>
  <c r="F8" i="160"/>
  <c r="J8" i="160" s="1"/>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I10" i="159"/>
  <c r="F10" i="159"/>
  <c r="E10" i="159"/>
  <c r="D10" i="159"/>
  <c r="L9" i="159"/>
  <c r="I9" i="159"/>
  <c r="F9" i="159"/>
  <c r="E9" i="159"/>
  <c r="D9" i="159"/>
  <c r="C9" i="159"/>
  <c r="C10" i="159" s="1"/>
  <c r="L8" i="159"/>
  <c r="G8" i="159"/>
  <c r="F8" i="159"/>
  <c r="J8" i="159" s="1"/>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F12" i="158"/>
  <c r="I12" i="158" s="1"/>
  <c r="E12" i="158"/>
  <c r="D12" i="158"/>
  <c r="L11" i="158"/>
  <c r="F11" i="158"/>
  <c r="I11" i="158" s="1"/>
  <c r="E11" i="158"/>
  <c r="D11" i="158"/>
  <c r="L10" i="158"/>
  <c r="F10" i="158"/>
  <c r="I10" i="158" s="1"/>
  <c r="E10" i="158"/>
  <c r="D10" i="158"/>
  <c r="L9" i="158"/>
  <c r="F9" i="158"/>
  <c r="I9" i="158" s="1"/>
  <c r="E9" i="158"/>
  <c r="D9" i="158"/>
  <c r="C9" i="158"/>
  <c r="C10" i="158" s="1"/>
  <c r="L8" i="158"/>
  <c r="G8" i="158"/>
  <c r="F8" i="158"/>
  <c r="J8" i="158" s="1"/>
  <c r="E8" i="158"/>
  <c r="I8" i="158" s="1"/>
  <c r="D8" i="158"/>
  <c r="C8" i="158"/>
  <c r="E7" i="158"/>
  <c r="G6" i="158"/>
  <c r="D17" i="95"/>
  <c r="B10" i="95"/>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I9" i="157"/>
  <c r="F9" i="157"/>
  <c r="E9" i="157"/>
  <c r="D9" i="157"/>
  <c r="L8" i="157"/>
  <c r="G8" i="157"/>
  <c r="F8" i="157"/>
  <c r="J8" i="157" s="1"/>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F11" i="156"/>
  <c r="E11" i="156"/>
  <c r="I11" i="156" s="1"/>
  <c r="D11" i="156"/>
  <c r="L10" i="156"/>
  <c r="F10" i="156"/>
  <c r="I10" i="156" s="1"/>
  <c r="E10" i="156"/>
  <c r="D10" i="156"/>
  <c r="L9" i="156"/>
  <c r="F9" i="156"/>
  <c r="I9" i="156" s="1"/>
  <c r="E9" i="156"/>
  <c r="D9" i="156"/>
  <c r="L8" i="156"/>
  <c r="G8" i="156"/>
  <c r="F8" i="156"/>
  <c r="J8" i="156" s="1"/>
  <c r="E8" i="156"/>
  <c r="I8" i="156" s="1"/>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F11" i="155"/>
  <c r="I11" i="155" s="1"/>
  <c r="E11" i="155"/>
  <c r="D11" i="155"/>
  <c r="L10" i="155"/>
  <c r="F10" i="155"/>
  <c r="I10" i="155" s="1"/>
  <c r="E10" i="155"/>
  <c r="D10" i="155"/>
  <c r="L9" i="155"/>
  <c r="F9" i="155"/>
  <c r="I9" i="155" s="1"/>
  <c r="E9" i="155"/>
  <c r="D9" i="155"/>
  <c r="L8" i="155"/>
  <c r="G8" i="155"/>
  <c r="F8" i="155"/>
  <c r="J8" i="155" s="1"/>
  <c r="E8" i="155"/>
  <c r="I8" i="155" s="1"/>
  <c r="D8" i="155"/>
  <c r="C8" i="155"/>
  <c r="C9" i="155" s="1"/>
  <c r="E7" i="155"/>
  <c r="G6" i="155"/>
  <c r="G11" i="172" l="1"/>
  <c r="C12" i="172"/>
  <c r="G10" i="171"/>
  <c r="C11" i="171"/>
  <c r="I7" i="155"/>
  <c r="I7" i="158"/>
  <c r="I9" i="163"/>
  <c r="I10" i="163"/>
  <c r="I11" i="163"/>
  <c r="I7" i="161"/>
  <c r="I9" i="162"/>
  <c r="I10" i="162"/>
  <c r="I7" i="162" s="1"/>
  <c r="I9" i="165"/>
  <c r="I10" i="165"/>
  <c r="I11" i="165"/>
  <c r="I12" i="165"/>
  <c r="I7" i="157"/>
  <c r="I7" i="160"/>
  <c r="I9" i="164"/>
  <c r="I9" i="166"/>
  <c r="G10" i="170"/>
  <c r="C11" i="170"/>
  <c r="C11" i="168"/>
  <c r="G10" i="168"/>
  <c r="C11" i="167"/>
  <c r="G10" i="167"/>
  <c r="I7" i="156"/>
  <c r="C11" i="166"/>
  <c r="G10" i="166"/>
  <c r="I8" i="166"/>
  <c r="G9" i="166"/>
  <c r="C10" i="165"/>
  <c r="G9" i="165"/>
  <c r="I7" i="164"/>
  <c r="C11" i="164"/>
  <c r="G10" i="164"/>
  <c r="G9" i="164"/>
  <c r="C10" i="163"/>
  <c r="G9" i="163"/>
  <c r="I8" i="163"/>
  <c r="C10" i="162"/>
  <c r="G9" i="162"/>
  <c r="C10" i="161"/>
  <c r="G9" i="161"/>
  <c r="C10" i="160"/>
  <c r="G9" i="160"/>
  <c r="C11" i="159"/>
  <c r="G10" i="159"/>
  <c r="I8" i="159"/>
  <c r="I7" i="159" s="1"/>
  <c r="G9" i="159"/>
  <c r="C11" i="158"/>
  <c r="G10" i="158"/>
  <c r="G9" i="158"/>
  <c r="C10" i="157"/>
  <c r="G9" i="157"/>
  <c r="C9" i="156"/>
  <c r="C10" i="155"/>
  <c r="G9" i="155"/>
  <c r="C13" i="172" l="1"/>
  <c r="G12" i="172"/>
  <c r="C12" i="171"/>
  <c r="G11" i="171"/>
  <c r="I7" i="165"/>
  <c r="I7" i="166"/>
  <c r="I7" i="163"/>
  <c r="C12" i="170"/>
  <c r="G11" i="170"/>
  <c r="G11" i="168"/>
  <c r="C12" i="168"/>
  <c r="C12" i="167"/>
  <c r="G11" i="167"/>
  <c r="C12" i="166"/>
  <c r="G11" i="166"/>
  <c r="C11" i="165"/>
  <c r="G10" i="165"/>
  <c r="C12" i="164"/>
  <c r="G11" i="164"/>
  <c r="C11" i="163"/>
  <c r="G10" i="163"/>
  <c r="C11" i="162"/>
  <c r="G10" i="162"/>
  <c r="C11" i="161"/>
  <c r="G10" i="161"/>
  <c r="C11" i="160"/>
  <c r="G10" i="160"/>
  <c r="C12" i="159"/>
  <c r="G11" i="159"/>
  <c r="C12" i="158"/>
  <c r="G11" i="158"/>
  <c r="C11" i="157"/>
  <c r="G10" i="157"/>
  <c r="C10" i="156"/>
  <c r="G9" i="156"/>
  <c r="C11" i="155"/>
  <c r="G10" i="155"/>
  <c r="G13" i="172" l="1"/>
  <c r="C14" i="172"/>
  <c r="G12" i="171"/>
  <c r="C13" i="171"/>
  <c r="G12" i="170"/>
  <c r="C13" i="170"/>
  <c r="C13" i="168"/>
  <c r="G12" i="168"/>
  <c r="G12" i="167"/>
  <c r="C13" i="167"/>
  <c r="G12" i="166"/>
  <c r="C13" i="166"/>
  <c r="C12" i="165"/>
  <c r="G11" i="165"/>
  <c r="G12" i="164"/>
  <c r="C13" i="164"/>
  <c r="C12" i="163"/>
  <c r="G11" i="163"/>
  <c r="C12" i="162"/>
  <c r="G11" i="162"/>
  <c r="C12" i="161"/>
  <c r="G11" i="161"/>
  <c r="C12" i="160"/>
  <c r="G11" i="160"/>
  <c r="G12" i="159"/>
  <c r="C13" i="159"/>
  <c r="G12" i="158"/>
  <c r="C13" i="158"/>
  <c r="C12" i="157"/>
  <c r="G11" i="157"/>
  <c r="G10" i="156"/>
  <c r="C11" i="156"/>
  <c r="C12" i="155"/>
  <c r="G11" i="155"/>
  <c r="C15" i="172" l="1"/>
  <c r="G14" i="172"/>
  <c r="G13" i="171"/>
  <c r="C14" i="171"/>
  <c r="G13" i="170"/>
  <c r="C14" i="170"/>
  <c r="G13" i="168"/>
  <c r="C14" i="168"/>
  <c r="G13" i="167"/>
  <c r="C14" i="167"/>
  <c r="G13" i="166"/>
  <c r="C14" i="166"/>
  <c r="G12" i="165"/>
  <c r="C13" i="165"/>
  <c r="G13" i="164"/>
  <c r="C14" i="164"/>
  <c r="G12" i="163"/>
  <c r="C13" i="163"/>
  <c r="G12" i="162"/>
  <c r="C13" i="162"/>
  <c r="G12" i="161"/>
  <c r="C13" i="161"/>
  <c r="G12" i="160"/>
  <c r="C13" i="160"/>
  <c r="G13" i="159"/>
  <c r="C14" i="159"/>
  <c r="G13" i="158"/>
  <c r="C14" i="158"/>
  <c r="G12" i="157"/>
  <c r="C13" i="157"/>
  <c r="G11" i="156"/>
  <c r="C12" i="156"/>
  <c r="G12" i="155"/>
  <c r="C13" i="155"/>
  <c r="C16" i="172" l="1"/>
  <c r="G15" i="172"/>
  <c r="C15" i="171"/>
  <c r="G14" i="171"/>
  <c r="C15" i="170"/>
  <c r="G14" i="170"/>
  <c r="C15" i="168"/>
  <c r="G14" i="168"/>
  <c r="C15" i="167"/>
  <c r="G14" i="167"/>
  <c r="C15" i="166"/>
  <c r="G14" i="166"/>
  <c r="G13" i="165"/>
  <c r="C14" i="165"/>
  <c r="C15" i="164"/>
  <c r="G14" i="164"/>
  <c r="G13" i="163"/>
  <c r="C14" i="163"/>
  <c r="G13" i="162"/>
  <c r="C14" i="162"/>
  <c r="G13" i="161"/>
  <c r="C14" i="161"/>
  <c r="G13" i="160"/>
  <c r="C14" i="160"/>
  <c r="C15" i="159"/>
  <c r="G14" i="159"/>
  <c r="C15" i="158"/>
  <c r="G14" i="158"/>
  <c r="G13" i="157"/>
  <c r="C14" i="157"/>
  <c r="C13" i="156"/>
  <c r="G12" i="156"/>
  <c r="G13" i="155"/>
  <c r="C14" i="155"/>
  <c r="C17" i="172" l="1"/>
  <c r="G16" i="172"/>
  <c r="C16" i="171"/>
  <c r="G15" i="171"/>
  <c r="C16" i="170"/>
  <c r="G15" i="170"/>
  <c r="C16" i="168"/>
  <c r="G15" i="168"/>
  <c r="C16" i="167"/>
  <c r="G15" i="167"/>
  <c r="C16" i="166"/>
  <c r="G15" i="166"/>
  <c r="C15" i="165"/>
  <c r="G14" i="165"/>
  <c r="C16" i="164"/>
  <c r="G15" i="164"/>
  <c r="C15" i="163"/>
  <c r="G14" i="163"/>
  <c r="C15" i="162"/>
  <c r="G14" i="162"/>
  <c r="C15" i="161"/>
  <c r="G14" i="161"/>
  <c r="C15" i="160"/>
  <c r="G14" i="160"/>
  <c r="C16" i="159"/>
  <c r="G15" i="159"/>
  <c r="C16" i="158"/>
  <c r="G15" i="158"/>
  <c r="C15" i="157"/>
  <c r="G14" i="157"/>
  <c r="G13" i="156"/>
  <c r="C14" i="156"/>
  <c r="C15" i="155"/>
  <c r="G14" i="155"/>
  <c r="C18" i="172" l="1"/>
  <c r="G17" i="172"/>
  <c r="C17" i="171"/>
  <c r="G16" i="171"/>
  <c r="C17" i="170"/>
  <c r="G16" i="170"/>
  <c r="C17" i="168"/>
  <c r="G16" i="168"/>
  <c r="C17" i="167"/>
  <c r="G16" i="167"/>
  <c r="C17" i="166"/>
  <c r="G16" i="166"/>
  <c r="C16" i="165"/>
  <c r="G15" i="165"/>
  <c r="C17" i="164"/>
  <c r="G16" i="164"/>
  <c r="C16" i="163"/>
  <c r="G15" i="163"/>
  <c r="C16" i="162"/>
  <c r="G15" i="162"/>
  <c r="C16" i="161"/>
  <c r="G15" i="161"/>
  <c r="C16" i="160"/>
  <c r="G15" i="160"/>
  <c r="C17" i="159"/>
  <c r="G16" i="159"/>
  <c r="C17" i="158"/>
  <c r="G16" i="158"/>
  <c r="C16" i="157"/>
  <c r="G15" i="157"/>
  <c r="C15" i="156"/>
  <c r="G14" i="156"/>
  <c r="C16" i="155"/>
  <c r="G15" i="155"/>
  <c r="C19" i="172" l="1"/>
  <c r="G18" i="172"/>
  <c r="C18" i="171"/>
  <c r="G17" i="171"/>
  <c r="C18" i="170"/>
  <c r="G17" i="170"/>
  <c r="C18" i="168"/>
  <c r="G17" i="168"/>
  <c r="C18" i="167"/>
  <c r="G17" i="167"/>
  <c r="C18" i="166"/>
  <c r="G17" i="166"/>
  <c r="C17" i="165"/>
  <c r="G16" i="165"/>
  <c r="C18" i="164"/>
  <c r="G17" i="164"/>
  <c r="C17" i="163"/>
  <c r="G16" i="163"/>
  <c r="C17" i="162"/>
  <c r="G16" i="162"/>
  <c r="C17" i="161"/>
  <c r="G16" i="161"/>
  <c r="C17" i="160"/>
  <c r="G16" i="160"/>
  <c r="C18" i="159"/>
  <c r="G17" i="159"/>
  <c r="C18" i="158"/>
  <c r="G17" i="158"/>
  <c r="C17" i="157"/>
  <c r="G16" i="157"/>
  <c r="C16" i="156"/>
  <c r="G15" i="156"/>
  <c r="C17" i="155"/>
  <c r="G16" i="155"/>
  <c r="C20" i="172" l="1"/>
  <c r="G19" i="172"/>
  <c r="C19" i="171"/>
  <c r="G18" i="171"/>
  <c r="C19" i="170"/>
  <c r="G18" i="170"/>
  <c r="C19" i="168"/>
  <c r="G18" i="168"/>
  <c r="C19" i="167"/>
  <c r="G18" i="167"/>
  <c r="C19" i="166"/>
  <c r="G18" i="166"/>
  <c r="C18" i="165"/>
  <c r="G17" i="165"/>
  <c r="C19" i="164"/>
  <c r="G18" i="164"/>
  <c r="C18" i="163"/>
  <c r="G17" i="163"/>
  <c r="C18" i="162"/>
  <c r="G17" i="162"/>
  <c r="C18" i="161"/>
  <c r="G17" i="161"/>
  <c r="C18" i="160"/>
  <c r="G17" i="160"/>
  <c r="C19" i="159"/>
  <c r="G18" i="159"/>
  <c r="C19" i="158"/>
  <c r="G18" i="158"/>
  <c r="C18" i="157"/>
  <c r="G17" i="157"/>
  <c r="C17" i="156"/>
  <c r="G16" i="156"/>
  <c r="C18" i="155"/>
  <c r="G17" i="155"/>
  <c r="C21" i="172" l="1"/>
  <c r="G20" i="172"/>
  <c r="C20" i="171"/>
  <c r="G19" i="171"/>
  <c r="C20" i="170"/>
  <c r="G19" i="170"/>
  <c r="C20" i="168"/>
  <c r="G19" i="168"/>
  <c r="C20" i="167"/>
  <c r="G19" i="167"/>
  <c r="C20" i="166"/>
  <c r="G19" i="166"/>
  <c r="C19" i="165"/>
  <c r="G18" i="165"/>
  <c r="C20" i="164"/>
  <c r="G19" i="164"/>
  <c r="C19" i="163"/>
  <c r="G18" i="163"/>
  <c r="C19" i="162"/>
  <c r="G18" i="162"/>
  <c r="C19" i="161"/>
  <c r="G18" i="161"/>
  <c r="C19" i="160"/>
  <c r="G18" i="160"/>
  <c r="C20" i="159"/>
  <c r="G19" i="159"/>
  <c r="C20" i="158"/>
  <c r="G19" i="158"/>
  <c r="C19" i="157"/>
  <c r="G18" i="157"/>
  <c r="C18" i="156"/>
  <c r="G17" i="156"/>
  <c r="C19" i="155"/>
  <c r="G18" i="155"/>
  <c r="C22" i="172" l="1"/>
  <c r="G21" i="172"/>
  <c r="C21" i="171"/>
  <c r="G20" i="171"/>
  <c r="C21" i="170"/>
  <c r="G20" i="170"/>
  <c r="C21" i="168"/>
  <c r="G20" i="168"/>
  <c r="C21" i="167"/>
  <c r="G20" i="167"/>
  <c r="C21" i="166"/>
  <c r="G20" i="166"/>
  <c r="C20" i="165"/>
  <c r="G19" i="165"/>
  <c r="C21" i="164"/>
  <c r="G20" i="164"/>
  <c r="C20" i="163"/>
  <c r="G19" i="163"/>
  <c r="C20" i="162"/>
  <c r="G19" i="162"/>
  <c r="C20" i="161"/>
  <c r="G19" i="161"/>
  <c r="C20" i="160"/>
  <c r="G19" i="160"/>
  <c r="C21" i="159"/>
  <c r="G20" i="159"/>
  <c r="C21" i="158"/>
  <c r="G20" i="158"/>
  <c r="C20" i="157"/>
  <c r="G19" i="157"/>
  <c r="C19" i="156"/>
  <c r="G18" i="156"/>
  <c r="C20" i="155"/>
  <c r="G19" i="155"/>
  <c r="C23" i="172" l="1"/>
  <c r="G22" i="172"/>
  <c r="C22" i="171"/>
  <c r="G21" i="171"/>
  <c r="C22" i="170"/>
  <c r="G21" i="170"/>
  <c r="C22" i="168"/>
  <c r="G21" i="168"/>
  <c r="C22" i="167"/>
  <c r="G21" i="167"/>
  <c r="C22" i="166"/>
  <c r="G21" i="166"/>
  <c r="C21" i="165"/>
  <c r="G20" i="165"/>
  <c r="C22" i="164"/>
  <c r="G21" i="164"/>
  <c r="C21" i="163"/>
  <c r="G20" i="163"/>
  <c r="C21" i="162"/>
  <c r="G20" i="162"/>
  <c r="C21" i="161"/>
  <c r="G20" i="161"/>
  <c r="C21" i="160"/>
  <c r="G20" i="160"/>
  <c r="C22" i="159"/>
  <c r="G21" i="159"/>
  <c r="C22" i="158"/>
  <c r="G21" i="158"/>
  <c r="C21" i="157"/>
  <c r="G20" i="157"/>
  <c r="C20" i="156"/>
  <c r="G19" i="156"/>
  <c r="C21" i="155"/>
  <c r="G20" i="155"/>
  <c r="C24" i="172" l="1"/>
  <c r="G23" i="172"/>
  <c r="C23" i="171"/>
  <c r="G22" i="171"/>
  <c r="C23" i="170"/>
  <c r="G22" i="170"/>
  <c r="C23" i="168"/>
  <c r="G22" i="168"/>
  <c r="C23" i="167"/>
  <c r="G22" i="167"/>
  <c r="C23" i="166"/>
  <c r="G22" i="166"/>
  <c r="C22" i="165"/>
  <c r="G21" i="165"/>
  <c r="C23" i="164"/>
  <c r="G22" i="164"/>
  <c r="C22" i="163"/>
  <c r="G21" i="163"/>
  <c r="C22" i="162"/>
  <c r="G21" i="162"/>
  <c r="C22" i="161"/>
  <c r="G21" i="161"/>
  <c r="C22" i="160"/>
  <c r="G21" i="160"/>
  <c r="C23" i="159"/>
  <c r="G22" i="159"/>
  <c r="C23" i="158"/>
  <c r="G22" i="158"/>
  <c r="C22" i="157"/>
  <c r="G21" i="157"/>
  <c r="C21" i="156"/>
  <c r="G20" i="156"/>
  <c r="C22" i="155"/>
  <c r="G21" i="155"/>
  <c r="C25" i="172" l="1"/>
  <c r="G24" i="172"/>
  <c r="C24" i="171"/>
  <c r="G23" i="171"/>
  <c r="C24" i="170"/>
  <c r="G23" i="170"/>
  <c r="C24" i="168"/>
  <c r="G23" i="168"/>
  <c r="C24" i="167"/>
  <c r="G23" i="167"/>
  <c r="C24" i="166"/>
  <c r="G23" i="166"/>
  <c r="C23" i="165"/>
  <c r="G22" i="165"/>
  <c r="C24" i="164"/>
  <c r="G23" i="164"/>
  <c r="C23" i="163"/>
  <c r="G22" i="163"/>
  <c r="C23" i="162"/>
  <c r="G22" i="162"/>
  <c r="C23" i="161"/>
  <c r="G22" i="161"/>
  <c r="C23" i="160"/>
  <c r="G22" i="160"/>
  <c r="C24" i="159"/>
  <c r="G23" i="159"/>
  <c r="C24" i="158"/>
  <c r="G23" i="158"/>
  <c r="C23" i="157"/>
  <c r="G22" i="157"/>
  <c r="C22" i="156"/>
  <c r="G21" i="156"/>
  <c r="C23" i="155"/>
  <c r="G22" i="155"/>
  <c r="C26" i="172" l="1"/>
  <c r="G25" i="172"/>
  <c r="C25" i="171"/>
  <c r="G24" i="171"/>
  <c r="C25" i="170"/>
  <c r="G24" i="170"/>
  <c r="C25" i="168"/>
  <c r="G24" i="168"/>
  <c r="C25" i="167"/>
  <c r="G24" i="167"/>
  <c r="C25" i="166"/>
  <c r="G24" i="166"/>
  <c r="C24" i="165"/>
  <c r="G23" i="165"/>
  <c r="C25" i="164"/>
  <c r="G24" i="164"/>
  <c r="C24" i="163"/>
  <c r="G23" i="163"/>
  <c r="C24" i="162"/>
  <c r="G23" i="162"/>
  <c r="C24" i="161"/>
  <c r="G23" i="161"/>
  <c r="C24" i="160"/>
  <c r="G23" i="160"/>
  <c r="C25" i="159"/>
  <c r="G24" i="159"/>
  <c r="C25" i="158"/>
  <c r="G24" i="158"/>
  <c r="C24" i="157"/>
  <c r="G23" i="157"/>
  <c r="C23" i="156"/>
  <c r="G22" i="156"/>
  <c r="C24" i="155"/>
  <c r="G23" i="155"/>
  <c r="C27" i="172" l="1"/>
  <c r="G26" i="172"/>
  <c r="C26" i="171"/>
  <c r="G25" i="171"/>
  <c r="C26" i="170"/>
  <c r="G25" i="170"/>
  <c r="C26" i="168"/>
  <c r="G25" i="168"/>
  <c r="C26" i="167"/>
  <c r="G25" i="167"/>
  <c r="C26" i="166"/>
  <c r="G25" i="166"/>
  <c r="C25" i="165"/>
  <c r="G24" i="165"/>
  <c r="C26" i="164"/>
  <c r="G25" i="164"/>
  <c r="C25" i="163"/>
  <c r="G24" i="163"/>
  <c r="C25" i="162"/>
  <c r="G24" i="162"/>
  <c r="C25" i="161"/>
  <c r="G24" i="161"/>
  <c r="C25" i="160"/>
  <c r="G24" i="160"/>
  <c r="C26" i="159"/>
  <c r="G25" i="159"/>
  <c r="C26" i="158"/>
  <c r="G25" i="158"/>
  <c r="C25" i="157"/>
  <c r="G24" i="157"/>
  <c r="C24" i="156"/>
  <c r="G23" i="156"/>
  <c r="C25" i="155"/>
  <c r="G24" i="155"/>
  <c r="G27" i="172" l="1"/>
  <c r="C28" i="172"/>
  <c r="C27" i="171"/>
  <c r="G26" i="171"/>
  <c r="C27" i="170"/>
  <c r="G26" i="170"/>
  <c r="C27" i="168"/>
  <c r="G26" i="168"/>
  <c r="C27" i="167"/>
  <c r="G26" i="167"/>
  <c r="C27" i="166"/>
  <c r="G26" i="166"/>
  <c r="C26" i="165"/>
  <c r="G25" i="165"/>
  <c r="C27" i="164"/>
  <c r="G26" i="164"/>
  <c r="C26" i="163"/>
  <c r="G25" i="163"/>
  <c r="C26" i="162"/>
  <c r="G25" i="162"/>
  <c r="C26" i="161"/>
  <c r="G25" i="161"/>
  <c r="C26" i="160"/>
  <c r="G25" i="160"/>
  <c r="C27" i="159"/>
  <c r="G26" i="159"/>
  <c r="C27" i="158"/>
  <c r="G26" i="158"/>
  <c r="C26" i="157"/>
  <c r="G25" i="157"/>
  <c r="C25" i="156"/>
  <c r="G24" i="156"/>
  <c r="C26" i="155"/>
  <c r="G25" i="155"/>
  <c r="C29" i="172" l="1"/>
  <c r="G28" i="172"/>
  <c r="G27" i="171"/>
  <c r="C28" i="171"/>
  <c r="G27" i="170"/>
  <c r="C28" i="170"/>
  <c r="G27" i="168"/>
  <c r="C28" i="168"/>
  <c r="G27" i="167"/>
  <c r="C28" i="167"/>
  <c r="G27" i="166"/>
  <c r="C28" i="166"/>
  <c r="C27" i="165"/>
  <c r="G26" i="165"/>
  <c r="G27" i="164"/>
  <c r="C28" i="164"/>
  <c r="C27" i="163"/>
  <c r="G26" i="163"/>
  <c r="C27" i="162"/>
  <c r="G26" i="162"/>
  <c r="C27" i="161"/>
  <c r="G26" i="161"/>
  <c r="C27" i="160"/>
  <c r="G26" i="160"/>
  <c r="G27" i="159"/>
  <c r="C28" i="159"/>
  <c r="G27" i="158"/>
  <c r="C28" i="158"/>
  <c r="C27" i="157"/>
  <c r="G26" i="157"/>
  <c r="C26" i="156"/>
  <c r="G25" i="156"/>
  <c r="C27" i="155"/>
  <c r="G26" i="155"/>
  <c r="G29" i="172" l="1"/>
  <c r="C30" i="172"/>
  <c r="C29" i="171"/>
  <c r="G28" i="171"/>
  <c r="C29" i="170"/>
  <c r="G28" i="170"/>
  <c r="C29" i="168"/>
  <c r="G28" i="168"/>
  <c r="C29" i="167"/>
  <c r="G28" i="167"/>
  <c r="C29" i="166"/>
  <c r="G28" i="166"/>
  <c r="G27" i="165"/>
  <c r="C28" i="165"/>
  <c r="C29" i="164"/>
  <c r="G28" i="164"/>
  <c r="G27" i="163"/>
  <c r="C28" i="163"/>
  <c r="C28" i="162"/>
  <c r="G27" i="162"/>
  <c r="G27" i="161"/>
  <c r="C28" i="161"/>
  <c r="G27" i="160"/>
  <c r="C28" i="160"/>
  <c r="C29" i="159"/>
  <c r="G28" i="159"/>
  <c r="C29" i="158"/>
  <c r="G28" i="158"/>
  <c r="G27" i="157"/>
  <c r="C28" i="157"/>
  <c r="C27" i="156"/>
  <c r="G26" i="156"/>
  <c r="G27" i="155"/>
  <c r="C28" i="155"/>
  <c r="G30" i="172" l="1"/>
  <c r="C31" i="172"/>
  <c r="G29" i="171"/>
  <c r="C30" i="171"/>
  <c r="G29" i="170"/>
  <c r="C30" i="170"/>
  <c r="G29" i="168"/>
  <c r="C30" i="168"/>
  <c r="G29" i="167"/>
  <c r="C30" i="167"/>
  <c r="G29" i="166"/>
  <c r="C30" i="166"/>
  <c r="C29" i="165"/>
  <c r="G28" i="165"/>
  <c r="G29" i="164"/>
  <c r="C30" i="164"/>
  <c r="C29" i="163"/>
  <c r="G28" i="163"/>
  <c r="C29" i="162"/>
  <c r="G28" i="162"/>
  <c r="C29" i="161"/>
  <c r="G28" i="161"/>
  <c r="C29" i="160"/>
  <c r="G28" i="160"/>
  <c r="G29" i="159"/>
  <c r="C30" i="159"/>
  <c r="G29" i="158"/>
  <c r="C30" i="158"/>
  <c r="C29" i="157"/>
  <c r="G28" i="157"/>
  <c r="G27" i="156"/>
  <c r="C28" i="156"/>
  <c r="C29" i="155"/>
  <c r="G28" i="155"/>
  <c r="G31" i="172" l="1"/>
  <c r="C32" i="172"/>
  <c r="G30" i="171"/>
  <c r="C31" i="171"/>
  <c r="G30" i="170"/>
  <c r="C31" i="170"/>
  <c r="G30" i="168"/>
  <c r="C31" i="168"/>
  <c r="G30" i="167"/>
  <c r="C31" i="167"/>
  <c r="G30" i="166"/>
  <c r="C31" i="166"/>
  <c r="G29" i="165"/>
  <c r="C30" i="165"/>
  <c r="G30" i="164"/>
  <c r="C31" i="164"/>
  <c r="G29" i="163"/>
  <c r="C30" i="163"/>
  <c r="G29" i="162"/>
  <c r="C30" i="162"/>
  <c r="G29" i="161"/>
  <c r="C30" i="161"/>
  <c r="G29" i="160"/>
  <c r="C30" i="160"/>
  <c r="G30" i="159"/>
  <c r="C31" i="159"/>
  <c r="G30" i="158"/>
  <c r="C31" i="158"/>
  <c r="G29" i="157"/>
  <c r="C30" i="157"/>
  <c r="C29" i="156"/>
  <c r="G28" i="156"/>
  <c r="G29" i="155"/>
  <c r="C30" i="155"/>
  <c r="C33" i="172" l="1"/>
  <c r="G32" i="172"/>
  <c r="G31" i="171"/>
  <c r="C32" i="171"/>
  <c r="G31" i="170"/>
  <c r="C32" i="170"/>
  <c r="G31" i="168"/>
  <c r="C32" i="168"/>
  <c r="G31" i="167"/>
  <c r="C32" i="167"/>
  <c r="G31" i="166"/>
  <c r="C32" i="166"/>
  <c r="G30" i="165"/>
  <c r="C31" i="165"/>
  <c r="G31" i="164"/>
  <c r="C32" i="164"/>
  <c r="G30" i="163"/>
  <c r="C31" i="163"/>
  <c r="G30" i="162"/>
  <c r="C31" i="162"/>
  <c r="G30" i="161"/>
  <c r="C31" i="161"/>
  <c r="G30" i="160"/>
  <c r="C31" i="160"/>
  <c r="G31" i="159"/>
  <c r="C32" i="159"/>
  <c r="G31" i="158"/>
  <c r="C32" i="158"/>
  <c r="G30" i="157"/>
  <c r="C31" i="157"/>
  <c r="G29" i="156"/>
  <c r="C30" i="156"/>
  <c r="G30" i="155"/>
  <c r="C31" i="155"/>
  <c r="G33" i="172" l="1"/>
  <c r="C34" i="172"/>
  <c r="C33" i="171"/>
  <c r="G32" i="171"/>
  <c r="C33" i="170"/>
  <c r="G32" i="170"/>
  <c r="C33" i="168"/>
  <c r="G32" i="168"/>
  <c r="C33" i="167"/>
  <c r="G32" i="167"/>
  <c r="C33" i="166"/>
  <c r="G32" i="166"/>
  <c r="G31" i="165"/>
  <c r="C32" i="165"/>
  <c r="C33" i="164"/>
  <c r="G32" i="164"/>
  <c r="G31" i="163"/>
  <c r="C32" i="163"/>
  <c r="G31" i="162"/>
  <c r="C32" i="162"/>
  <c r="G31" i="161"/>
  <c r="C32" i="161"/>
  <c r="G31" i="160"/>
  <c r="C32" i="160"/>
  <c r="C33" i="159"/>
  <c r="G32" i="159"/>
  <c r="C33" i="158"/>
  <c r="G32" i="158"/>
  <c r="G31" i="157"/>
  <c r="C32" i="157"/>
  <c r="G30" i="156"/>
  <c r="C31" i="156"/>
  <c r="G31" i="155"/>
  <c r="C32" i="155"/>
  <c r="G34" i="172" l="1"/>
  <c r="C35" i="172"/>
  <c r="G33" i="171"/>
  <c r="C34" i="171"/>
  <c r="G33" i="170"/>
  <c r="C34" i="170"/>
  <c r="G33" i="168"/>
  <c r="C34" i="168"/>
  <c r="G33" i="167"/>
  <c r="C34" i="167"/>
  <c r="G33" i="166"/>
  <c r="C34" i="166"/>
  <c r="C33" i="165"/>
  <c r="G32" i="165"/>
  <c r="G33" i="164"/>
  <c r="C34" i="164"/>
  <c r="C33" i="163"/>
  <c r="G32" i="163"/>
  <c r="C33" i="162"/>
  <c r="G32" i="162"/>
  <c r="C33" i="161"/>
  <c r="G32" i="161"/>
  <c r="C33" i="160"/>
  <c r="G32" i="160"/>
  <c r="G33" i="159"/>
  <c r="C34" i="159"/>
  <c r="G33" i="158"/>
  <c r="C34" i="158"/>
  <c r="C33" i="157"/>
  <c r="G32" i="157"/>
  <c r="G31" i="156"/>
  <c r="C32" i="156"/>
  <c r="C33" i="155"/>
  <c r="G32" i="155"/>
  <c r="G35" i="172" l="1"/>
  <c r="C36" i="172"/>
  <c r="G34" i="171"/>
  <c r="C35" i="171"/>
  <c r="G34" i="170"/>
  <c r="C35" i="170"/>
  <c r="G34" i="168"/>
  <c r="C35" i="168"/>
  <c r="G34" i="167"/>
  <c r="C35" i="167"/>
  <c r="G34" i="166"/>
  <c r="C35" i="166"/>
  <c r="G33" i="165"/>
  <c r="C34" i="165"/>
  <c r="G34" i="164"/>
  <c r="C35" i="164"/>
  <c r="G33" i="163"/>
  <c r="C34" i="163"/>
  <c r="G33" i="162"/>
  <c r="C34" i="162"/>
  <c r="G33" i="161"/>
  <c r="C34" i="161"/>
  <c r="G33" i="160"/>
  <c r="C34" i="160"/>
  <c r="G34" i="159"/>
  <c r="C35" i="159"/>
  <c r="G34" i="158"/>
  <c r="C35" i="158"/>
  <c r="G33" i="157"/>
  <c r="C34" i="157"/>
  <c r="C33" i="156"/>
  <c r="G32" i="156"/>
  <c r="G33" i="155"/>
  <c r="C34" i="155"/>
  <c r="C37" i="172" l="1"/>
  <c r="G36" i="172"/>
  <c r="H31" i="172"/>
  <c r="H36" i="172"/>
  <c r="G35" i="171"/>
  <c r="C36" i="171"/>
  <c r="G35" i="170"/>
  <c r="C36" i="170"/>
  <c r="G35" i="168"/>
  <c r="C36" i="168"/>
  <c r="G35" i="167"/>
  <c r="C36" i="167"/>
  <c r="G35" i="166"/>
  <c r="C36" i="166"/>
  <c r="G34" i="165"/>
  <c r="C35" i="165"/>
  <c r="G35" i="164"/>
  <c r="C36" i="164"/>
  <c r="G34" i="163"/>
  <c r="C35" i="163"/>
  <c r="G34" i="162"/>
  <c r="C35" i="162"/>
  <c r="G34" i="161"/>
  <c r="C35" i="161"/>
  <c r="G34" i="160"/>
  <c r="C35" i="160"/>
  <c r="G35" i="159"/>
  <c r="C36" i="159"/>
  <c r="G35" i="158"/>
  <c r="C36" i="158"/>
  <c r="G34" i="157"/>
  <c r="C35" i="157"/>
  <c r="G33" i="156"/>
  <c r="C34" i="156"/>
  <c r="G34" i="155"/>
  <c r="C35" i="155"/>
  <c r="G37" i="172" l="1"/>
  <c r="G38" i="172"/>
  <c r="H38" i="172" s="1"/>
  <c r="H9" i="172"/>
  <c r="H10" i="172"/>
  <c r="H8" i="172"/>
  <c r="H12" i="172"/>
  <c r="H13" i="172"/>
  <c r="H11" i="172"/>
  <c r="H16" i="172"/>
  <c r="H14" i="172"/>
  <c r="H15" i="172"/>
  <c r="H19" i="172"/>
  <c r="H17" i="172"/>
  <c r="H18" i="172"/>
  <c r="H20" i="172"/>
  <c r="H22" i="172"/>
  <c r="H24" i="172"/>
  <c r="H23" i="172"/>
  <c r="H21" i="172"/>
  <c r="H26" i="172"/>
  <c r="H25" i="172"/>
  <c r="H27" i="172"/>
  <c r="H28" i="172"/>
  <c r="H29" i="172"/>
  <c r="H30" i="172"/>
  <c r="H32" i="172"/>
  <c r="H33" i="172"/>
  <c r="H34" i="172"/>
  <c r="H35" i="172"/>
  <c r="H37" i="172"/>
  <c r="C37" i="171"/>
  <c r="G36" i="171"/>
  <c r="C37" i="170"/>
  <c r="G36" i="170"/>
  <c r="H35" i="170"/>
  <c r="H34" i="170"/>
  <c r="C37" i="168"/>
  <c r="G36" i="168"/>
  <c r="C37" i="167"/>
  <c r="G36" i="167"/>
  <c r="H34" i="166"/>
  <c r="C37" i="166"/>
  <c r="G36" i="166"/>
  <c r="H36" i="166" s="1"/>
  <c r="H33" i="166"/>
  <c r="H35" i="166"/>
  <c r="G35" i="165"/>
  <c r="C36" i="165"/>
  <c r="C37" i="164"/>
  <c r="G36" i="164"/>
  <c r="G35" i="163"/>
  <c r="C36" i="163"/>
  <c r="C36" i="162"/>
  <c r="G35" i="162"/>
  <c r="G35" i="161"/>
  <c r="C36" i="161"/>
  <c r="G35" i="160"/>
  <c r="C36" i="160"/>
  <c r="C37" i="159"/>
  <c r="G36" i="159"/>
  <c r="C37" i="158"/>
  <c r="G36" i="158"/>
  <c r="H36" i="158" s="1"/>
  <c r="H32" i="158"/>
  <c r="H35" i="158"/>
  <c r="H31" i="158"/>
  <c r="H34" i="158"/>
  <c r="G35" i="157"/>
  <c r="C36" i="157"/>
  <c r="G34" i="156"/>
  <c r="C35" i="156"/>
  <c r="G35" i="155"/>
  <c r="C36" i="155"/>
  <c r="G37" i="171" l="1"/>
  <c r="H37" i="171" s="1"/>
  <c r="G38" i="171"/>
  <c r="H38" i="171" s="1"/>
  <c r="H8" i="171"/>
  <c r="H9" i="171" s="1"/>
  <c r="H10" i="171"/>
  <c r="H12" i="171"/>
  <c r="H11" i="171"/>
  <c r="H13" i="171"/>
  <c r="H14" i="171"/>
  <c r="H15" i="171"/>
  <c r="H18" i="171"/>
  <c r="H16" i="171"/>
  <c r="H17" i="171"/>
  <c r="H19" i="171"/>
  <c r="H21" i="171"/>
  <c r="H20" i="171"/>
  <c r="H22" i="171"/>
  <c r="H24" i="171"/>
  <c r="H23" i="171"/>
  <c r="H25" i="171"/>
  <c r="H26" i="171"/>
  <c r="H29" i="171"/>
  <c r="H28" i="171"/>
  <c r="H27" i="171"/>
  <c r="H31" i="171"/>
  <c r="H30" i="171"/>
  <c r="H35" i="171"/>
  <c r="H33" i="171"/>
  <c r="H34" i="171"/>
  <c r="H36" i="171"/>
  <c r="H32" i="171"/>
  <c r="H32" i="170"/>
  <c r="H36" i="170"/>
  <c r="G37" i="170"/>
  <c r="H37" i="170" s="1"/>
  <c r="G38" i="170"/>
  <c r="H38" i="170" s="1"/>
  <c r="H8" i="170"/>
  <c r="H9" i="170"/>
  <c r="H10" i="170"/>
  <c r="H11" i="170"/>
  <c r="H12" i="170" s="1"/>
  <c r="H14" i="170"/>
  <c r="H15" i="170"/>
  <c r="H16" i="170"/>
  <c r="H13" i="170"/>
  <c r="H18" i="170"/>
  <c r="H17" i="170"/>
  <c r="H19" i="170"/>
  <c r="H21" i="170"/>
  <c r="H23" i="170"/>
  <c r="H20" i="170"/>
  <c r="H24" i="170"/>
  <c r="H22" i="170"/>
  <c r="H26" i="170"/>
  <c r="H25" i="170"/>
  <c r="H29" i="170"/>
  <c r="H27" i="170"/>
  <c r="H28" i="170"/>
  <c r="H30" i="170"/>
  <c r="H31" i="170"/>
  <c r="H33" i="170"/>
  <c r="H36" i="168"/>
  <c r="G37" i="168"/>
  <c r="H37" i="168" s="1"/>
  <c r="G38" i="168"/>
  <c r="H38" i="168" s="1"/>
  <c r="H10" i="168"/>
  <c r="H8" i="168"/>
  <c r="H9" i="168"/>
  <c r="H11" i="168"/>
  <c r="H13" i="168"/>
  <c r="H15" i="168"/>
  <c r="H12" i="168"/>
  <c r="H17" i="168"/>
  <c r="H14" i="168"/>
  <c r="H19" i="168"/>
  <c r="H16" i="168"/>
  <c r="H18" i="168"/>
  <c r="H20" i="168"/>
  <c r="H24" i="168"/>
  <c r="H21" i="168"/>
  <c r="H22" i="168"/>
  <c r="H23" i="168"/>
  <c r="H25" i="168"/>
  <c r="H28" i="168"/>
  <c r="H26" i="168"/>
  <c r="H27" i="168"/>
  <c r="H29" i="168"/>
  <c r="H30" i="168"/>
  <c r="H31" i="168"/>
  <c r="H33" i="168"/>
  <c r="H35" i="168"/>
  <c r="H32" i="168"/>
  <c r="H34" i="168"/>
  <c r="G37" i="167"/>
  <c r="H37" i="167" s="1"/>
  <c r="G38" i="167"/>
  <c r="H38" i="167" s="1"/>
  <c r="H10" i="167"/>
  <c r="H8" i="167"/>
  <c r="H9" i="167"/>
  <c r="H12" i="167" s="1"/>
  <c r="H11" i="167"/>
  <c r="H13" i="167"/>
  <c r="H14" i="167"/>
  <c r="H17" i="167"/>
  <c r="H15" i="167"/>
  <c r="H16" i="167"/>
  <c r="H18" i="167"/>
  <c r="H19" i="167"/>
  <c r="H20" i="167"/>
  <c r="H23" i="167"/>
  <c r="H22" i="167"/>
  <c r="H21" i="167"/>
  <c r="H25" i="167"/>
  <c r="H24" i="167"/>
  <c r="H26" i="167"/>
  <c r="H27" i="167"/>
  <c r="H30" i="167"/>
  <c r="H29" i="167"/>
  <c r="H28" i="167"/>
  <c r="H32" i="167"/>
  <c r="H33" i="167"/>
  <c r="H31" i="167"/>
  <c r="H35" i="167"/>
  <c r="H36" i="167"/>
  <c r="H34" i="167"/>
  <c r="G37" i="166"/>
  <c r="H37" i="166" s="1"/>
  <c r="G38" i="166"/>
  <c r="H38" i="166" s="1"/>
  <c r="H8" i="166"/>
  <c r="H11" i="166"/>
  <c r="H9" i="166"/>
  <c r="H15" i="166" s="1"/>
  <c r="H12" i="166"/>
  <c r="H10" i="166"/>
  <c r="H14" i="166"/>
  <c r="H13" i="166"/>
  <c r="H16" i="166"/>
  <c r="H18" i="166"/>
  <c r="H17" i="166"/>
  <c r="H20" i="166"/>
  <c r="H19" i="166"/>
  <c r="H23" i="166"/>
  <c r="H21" i="166"/>
  <c r="H25" i="166"/>
  <c r="H22" i="166"/>
  <c r="H24" i="166"/>
  <c r="H28" i="166"/>
  <c r="H29" i="166"/>
  <c r="H27" i="166"/>
  <c r="H26" i="166"/>
  <c r="H30" i="166"/>
  <c r="H31" i="166"/>
  <c r="H32" i="166"/>
  <c r="C37" i="165"/>
  <c r="G36" i="165"/>
  <c r="H36" i="165" s="1"/>
  <c r="H35" i="164"/>
  <c r="H34" i="164"/>
  <c r="H36" i="164"/>
  <c r="G37" i="164"/>
  <c r="H37" i="164" s="1"/>
  <c r="G38" i="164"/>
  <c r="H38" i="164" s="1"/>
  <c r="H8" i="164"/>
  <c r="H9" i="164"/>
  <c r="H12" i="164"/>
  <c r="H10" i="164"/>
  <c r="H13" i="164"/>
  <c r="H11" i="164"/>
  <c r="H14" i="164"/>
  <c r="H16" i="164"/>
  <c r="H15" i="164"/>
  <c r="H17" i="164"/>
  <c r="H18" i="164"/>
  <c r="H19" i="164"/>
  <c r="H20" i="164"/>
  <c r="H21" i="164"/>
  <c r="H23" i="164"/>
  <c r="H22" i="164"/>
  <c r="H25" i="164"/>
  <c r="H24" i="164"/>
  <c r="H27" i="164"/>
  <c r="H26" i="164"/>
  <c r="H28" i="164"/>
  <c r="H30" i="164"/>
  <c r="H29" i="164"/>
  <c r="H31" i="164"/>
  <c r="H32" i="164"/>
  <c r="H33" i="164"/>
  <c r="C37" i="163"/>
  <c r="G36" i="163"/>
  <c r="C37" i="162"/>
  <c r="G36" i="162"/>
  <c r="H34" i="162"/>
  <c r="C37" i="161"/>
  <c r="G36" i="161"/>
  <c r="H35" i="161"/>
  <c r="C37" i="160"/>
  <c r="G36" i="160"/>
  <c r="H34" i="159"/>
  <c r="G37" i="159"/>
  <c r="H37" i="159" s="1"/>
  <c r="G38" i="159"/>
  <c r="H38" i="159" s="1"/>
  <c r="H8" i="159"/>
  <c r="H9" i="159" s="1"/>
  <c r="H11" i="159"/>
  <c r="H13" i="159"/>
  <c r="H10" i="159"/>
  <c r="H12" i="159"/>
  <c r="H14" i="159"/>
  <c r="H16" i="159"/>
  <c r="H15" i="159"/>
  <c r="H18" i="159"/>
  <c r="H17" i="159"/>
  <c r="H21" i="159"/>
  <c r="H19" i="159"/>
  <c r="H20" i="159"/>
  <c r="H24" i="159"/>
  <c r="H23" i="159"/>
  <c r="H22" i="159"/>
  <c r="H25" i="159"/>
  <c r="H26" i="159"/>
  <c r="H27" i="159"/>
  <c r="H29" i="159"/>
  <c r="H28" i="159"/>
  <c r="H30" i="159"/>
  <c r="H32" i="159"/>
  <c r="H33" i="159"/>
  <c r="H35" i="159"/>
  <c r="H31" i="159"/>
  <c r="H36" i="159"/>
  <c r="G37" i="158"/>
  <c r="H37" i="158" s="1"/>
  <c r="G38" i="158"/>
  <c r="H38" i="158" s="1"/>
  <c r="H9" i="158"/>
  <c r="H10" i="158"/>
  <c r="H11" i="158"/>
  <c r="H8" i="158"/>
  <c r="H13" i="158" s="1"/>
  <c r="H12" i="158"/>
  <c r="H14" i="158"/>
  <c r="H15" i="158"/>
  <c r="H16" i="158"/>
  <c r="H17" i="158"/>
  <c r="H19" i="158"/>
  <c r="H18" i="158"/>
  <c r="H21" i="158"/>
  <c r="H20" i="158"/>
  <c r="H22" i="158"/>
  <c r="H24" i="158"/>
  <c r="H23" i="158"/>
  <c r="H25" i="158"/>
  <c r="H26" i="158"/>
  <c r="H30" i="158"/>
  <c r="H27" i="158"/>
  <c r="H28" i="158"/>
  <c r="H33" i="158"/>
  <c r="H29" i="158"/>
  <c r="C37" i="157"/>
  <c r="G36" i="157"/>
  <c r="H34" i="157"/>
  <c r="H35" i="157"/>
  <c r="G35" i="156"/>
  <c r="C36" i="156"/>
  <c r="C37" i="155"/>
  <c r="G36" i="155"/>
  <c r="H36" i="155" s="1"/>
  <c r="H35" i="155"/>
  <c r="H34" i="165" l="1"/>
  <c r="G37" i="165"/>
  <c r="H37" i="165" s="1"/>
  <c r="G38" i="165"/>
  <c r="H38" i="165" s="1"/>
  <c r="H10" i="165"/>
  <c r="H9" i="165"/>
  <c r="H8" i="165"/>
  <c r="H11" i="165"/>
  <c r="H18" i="165" s="1"/>
  <c r="H12" i="165"/>
  <c r="H14" i="165"/>
  <c r="H15" i="165"/>
  <c r="H13" i="165"/>
  <c r="H16" i="165"/>
  <c r="H17" i="165"/>
  <c r="H19" i="165"/>
  <c r="H20" i="165"/>
  <c r="H22" i="165"/>
  <c r="H21" i="165"/>
  <c r="H23" i="165"/>
  <c r="H24" i="165"/>
  <c r="H25" i="165"/>
  <c r="H29" i="165"/>
  <c r="H26" i="165"/>
  <c r="H28" i="165"/>
  <c r="H27" i="165"/>
  <c r="H30" i="165"/>
  <c r="H31" i="165"/>
  <c r="H33" i="165"/>
  <c r="H32" i="165"/>
  <c r="H35" i="165"/>
  <c r="H36" i="163"/>
  <c r="G37" i="163"/>
  <c r="H37" i="163" s="1"/>
  <c r="G38" i="163"/>
  <c r="H38" i="163" s="1"/>
  <c r="H10" i="163"/>
  <c r="H12" i="163" s="1"/>
  <c r="H9" i="163"/>
  <c r="H8" i="163"/>
  <c r="H13" i="163"/>
  <c r="H14" i="163"/>
  <c r="H11" i="163"/>
  <c r="H15" i="163"/>
  <c r="H16" i="163"/>
  <c r="H18" i="163"/>
  <c r="H17" i="163"/>
  <c r="H22" i="163"/>
  <c r="H21" i="163"/>
  <c r="H19" i="163"/>
  <c r="H20" i="163"/>
  <c r="H23" i="163"/>
  <c r="H25" i="163"/>
  <c r="H24" i="163"/>
  <c r="H27" i="163"/>
  <c r="H26" i="163"/>
  <c r="H29" i="163"/>
  <c r="H30" i="163"/>
  <c r="H28" i="163"/>
  <c r="H32" i="163"/>
  <c r="H35" i="163"/>
  <c r="H31" i="163"/>
  <c r="H34" i="163"/>
  <c r="H33" i="163"/>
  <c r="G37" i="162"/>
  <c r="H37" i="162" s="1"/>
  <c r="G38" i="162"/>
  <c r="H38" i="162" s="1"/>
  <c r="H10" i="162"/>
  <c r="H13" i="162"/>
  <c r="H9" i="162"/>
  <c r="H8" i="162"/>
  <c r="H12" i="162"/>
  <c r="H11" i="162"/>
  <c r="H14" i="162"/>
  <c r="H16" i="162"/>
  <c r="H15" i="162"/>
  <c r="H18" i="162"/>
  <c r="H17" i="162"/>
  <c r="H19" i="162"/>
  <c r="H23" i="162"/>
  <c r="H20" i="162"/>
  <c r="H22" i="162"/>
  <c r="H21" i="162"/>
  <c r="H24" i="162"/>
  <c r="H25" i="162"/>
  <c r="H26" i="162"/>
  <c r="H27" i="162"/>
  <c r="H28" i="162"/>
  <c r="H29" i="162"/>
  <c r="H30" i="162"/>
  <c r="H32" i="162"/>
  <c r="H33" i="162"/>
  <c r="H35" i="162"/>
  <c r="H31" i="162"/>
  <c r="H36" i="162"/>
  <c r="H33" i="161"/>
  <c r="H36" i="161"/>
  <c r="G37" i="161"/>
  <c r="H37" i="161" s="1"/>
  <c r="G38" i="161"/>
  <c r="H38" i="161" s="1"/>
  <c r="H10" i="161"/>
  <c r="H8" i="161"/>
  <c r="H9" i="161" s="1"/>
  <c r="H11" i="161"/>
  <c r="H12" i="161"/>
  <c r="H13" i="161"/>
  <c r="H14" i="161"/>
  <c r="H15" i="161"/>
  <c r="H18" i="161"/>
  <c r="H16" i="161"/>
  <c r="H17" i="161"/>
  <c r="H21" i="161"/>
  <c r="H20" i="161"/>
  <c r="H22" i="161"/>
  <c r="H19" i="161"/>
  <c r="H24" i="161"/>
  <c r="H23" i="161"/>
  <c r="H26" i="161"/>
  <c r="H25" i="161"/>
  <c r="H27" i="161"/>
  <c r="H28" i="161"/>
  <c r="H30" i="161"/>
  <c r="H29" i="161"/>
  <c r="H31" i="161"/>
  <c r="H32" i="161"/>
  <c r="H34" i="161"/>
  <c r="G37" i="160"/>
  <c r="H37" i="160" s="1"/>
  <c r="G38" i="160"/>
  <c r="H38" i="160" s="1"/>
  <c r="H11" i="160"/>
  <c r="H8" i="160"/>
  <c r="H10" i="160" s="1"/>
  <c r="H9" i="160"/>
  <c r="H13" i="160"/>
  <c r="H15" i="160"/>
  <c r="H12" i="160"/>
  <c r="H14" i="160"/>
  <c r="H16" i="160"/>
  <c r="H17" i="160"/>
  <c r="H20" i="160"/>
  <c r="H18" i="160"/>
  <c r="H21" i="160"/>
  <c r="H19" i="160"/>
  <c r="H22" i="160"/>
  <c r="H23" i="160"/>
  <c r="H24" i="160"/>
  <c r="H25" i="160"/>
  <c r="H26" i="160"/>
  <c r="H28" i="160"/>
  <c r="H27" i="160"/>
  <c r="H30" i="160"/>
  <c r="H29" i="160"/>
  <c r="H31" i="160"/>
  <c r="H33" i="160"/>
  <c r="H32" i="160"/>
  <c r="H34" i="160"/>
  <c r="H35" i="160"/>
  <c r="H36" i="160"/>
  <c r="G37" i="157"/>
  <c r="G38" i="157"/>
  <c r="H38" i="157" s="1"/>
  <c r="H8" i="157"/>
  <c r="H10" i="157"/>
  <c r="H9" i="157"/>
  <c r="H14" i="157"/>
  <c r="H11" i="157"/>
  <c r="H12" i="157"/>
  <c r="H13" i="157"/>
  <c r="H15" i="157"/>
  <c r="H16" i="157"/>
  <c r="H17" i="157"/>
  <c r="H18" i="157"/>
  <c r="H20" i="157"/>
  <c r="H19" i="157"/>
  <c r="H23" i="157"/>
  <c r="H21" i="157"/>
  <c r="H22" i="157"/>
  <c r="H25" i="157"/>
  <c r="H26" i="157"/>
  <c r="H24" i="157"/>
  <c r="H29" i="157"/>
  <c r="H28" i="157"/>
  <c r="H27" i="157"/>
  <c r="H32" i="157"/>
  <c r="H31" i="157"/>
  <c r="H30" i="157"/>
  <c r="H33" i="157"/>
  <c r="H36" i="157"/>
  <c r="H37" i="157"/>
  <c r="C37" i="156"/>
  <c r="H34" i="156" s="1"/>
  <c r="G36" i="156"/>
  <c r="G37" i="155"/>
  <c r="G38" i="155"/>
  <c r="H38" i="155" s="1"/>
  <c r="H8" i="155"/>
  <c r="H11" i="155"/>
  <c r="H10" i="155"/>
  <c r="H12" i="155" s="1"/>
  <c r="H9" i="155"/>
  <c r="H13" i="155"/>
  <c r="H15" i="155"/>
  <c r="H14" i="155"/>
  <c r="H16" i="155"/>
  <c r="H17" i="155"/>
  <c r="H18" i="155"/>
  <c r="H22" i="155"/>
  <c r="H19" i="155"/>
  <c r="H20" i="155"/>
  <c r="H23" i="155"/>
  <c r="H21" i="155"/>
  <c r="H24" i="155"/>
  <c r="H25" i="155"/>
  <c r="H27" i="155"/>
  <c r="H26" i="155"/>
  <c r="H29" i="155"/>
  <c r="H28" i="155"/>
  <c r="H32" i="155"/>
  <c r="H31" i="155"/>
  <c r="H30" i="155"/>
  <c r="H33" i="155"/>
  <c r="H34" i="155"/>
  <c r="H37" i="155"/>
  <c r="G37" i="156" l="1"/>
  <c r="H37" i="156" s="1"/>
  <c r="G38" i="156"/>
  <c r="H38" i="156" s="1"/>
  <c r="H9" i="156"/>
  <c r="H8" i="156"/>
  <c r="H12" i="156" s="1"/>
  <c r="H10" i="156"/>
  <c r="H11" i="156" s="1"/>
  <c r="H13" i="156"/>
  <c r="H14" i="156"/>
  <c r="H15" i="156"/>
  <c r="H16" i="156"/>
  <c r="H17" i="156"/>
  <c r="H19" i="156"/>
  <c r="H20" i="156"/>
  <c r="H18" i="156"/>
  <c r="H22" i="156"/>
  <c r="H21" i="156"/>
  <c r="H23" i="156"/>
  <c r="H24" i="156"/>
  <c r="H25" i="156"/>
  <c r="H27" i="156"/>
  <c r="H26" i="156"/>
  <c r="H29" i="156"/>
  <c r="H30" i="156"/>
  <c r="H28" i="156"/>
  <c r="H32" i="156"/>
  <c r="H33" i="156"/>
  <c r="H31" i="156"/>
  <c r="H36" i="156"/>
  <c r="H35" i="156"/>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C9" i="154"/>
  <c r="C10" i="154" s="1"/>
  <c r="L8" i="154"/>
  <c r="G8" i="154"/>
  <c r="F8" i="154"/>
  <c r="J8" i="154" s="1"/>
  <c r="E8" i="154"/>
  <c r="I8"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F16" i="153"/>
  <c r="E16" i="153"/>
  <c r="I16" i="153" s="1"/>
  <c r="D16" i="153"/>
  <c r="L15" i="153"/>
  <c r="F15" i="153"/>
  <c r="E15" i="153"/>
  <c r="I15" i="153" s="1"/>
  <c r="D15" i="153"/>
  <c r="L14" i="153"/>
  <c r="F14" i="153"/>
  <c r="E14" i="153"/>
  <c r="I14" i="153" s="1"/>
  <c r="D14" i="153"/>
  <c r="I13" i="153"/>
  <c r="F13" i="153"/>
  <c r="E13" i="153"/>
  <c r="D13" i="153"/>
  <c r="I12" i="153"/>
  <c r="F12" i="153"/>
  <c r="E12" i="153"/>
  <c r="D12" i="153"/>
  <c r="L11" i="153"/>
  <c r="F11" i="153"/>
  <c r="E11" i="153"/>
  <c r="D11" i="153"/>
  <c r="L10" i="153"/>
  <c r="F10" i="153"/>
  <c r="E10" i="153"/>
  <c r="D10" i="153"/>
  <c r="L9" i="153"/>
  <c r="F9" i="153"/>
  <c r="E9" i="153"/>
  <c r="D9" i="153"/>
  <c r="L8" i="153"/>
  <c r="G8" i="153"/>
  <c r="F8" i="153"/>
  <c r="J8" i="153" s="1"/>
  <c r="E8" i="153"/>
  <c r="I8" i="153" s="1"/>
  <c r="D8" i="153"/>
  <c r="C8" i="153"/>
  <c r="E7" i="153"/>
  <c r="G6" i="153"/>
  <c r="L12" i="95"/>
  <c r="I9" i="153" l="1"/>
  <c r="I10" i="153"/>
  <c r="I11" i="153"/>
  <c r="I7" i="154"/>
  <c r="C11" i="154"/>
  <c r="G10" i="154"/>
  <c r="G9" i="154"/>
  <c r="C9" i="153"/>
  <c r="H13" i="152"/>
  <c r="I12" i="152"/>
  <c r="D17" i="152"/>
  <c r="E17" i="152"/>
  <c r="F17" i="152"/>
  <c r="D18" i="152"/>
  <c r="E18" i="152"/>
  <c r="F18" i="152"/>
  <c r="I11" i="152"/>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L17" i="152"/>
  <c r="I17" i="152"/>
  <c r="L16" i="152"/>
  <c r="I16" i="152"/>
  <c r="L15" i="152"/>
  <c r="I15" i="152"/>
  <c r="L14" i="152"/>
  <c r="I14" i="152"/>
  <c r="I13" i="152"/>
  <c r="L11" i="152"/>
  <c r="L10" i="152"/>
  <c r="I10" i="152"/>
  <c r="L9" i="152"/>
  <c r="I9" i="152"/>
  <c r="L8" i="152"/>
  <c r="I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C9" i="151"/>
  <c r="G9" i="151" s="1"/>
  <c r="L8" i="151"/>
  <c r="G8" i="151"/>
  <c r="F8" i="151"/>
  <c r="E8" i="151"/>
  <c r="I8" i="151" s="1"/>
  <c r="D8" i="151"/>
  <c r="C8" i="151"/>
  <c r="E7" i="151"/>
  <c r="G6" i="151"/>
  <c r="I7" i="153" l="1"/>
  <c r="C12" i="154"/>
  <c r="G11" i="154"/>
  <c r="C10" i="153"/>
  <c r="G9" i="153"/>
  <c r="J8" i="151"/>
  <c r="I7" i="151"/>
  <c r="J8" i="152"/>
  <c r="I7" i="152"/>
  <c r="C10" i="151"/>
  <c r="G1" i="50"/>
  <c r="G12" i="154" l="1"/>
  <c r="C13" i="154"/>
  <c r="C11" i="153"/>
  <c r="G10" i="153"/>
  <c r="G10" i="151"/>
  <c r="C11" i="151"/>
  <c r="A2" i="137"/>
  <c r="G13" i="154" l="1"/>
  <c r="C14" i="154"/>
  <c r="G11" i="153"/>
  <c r="C12" i="153"/>
  <c r="C17" i="152"/>
  <c r="C12" i="151"/>
  <c r="G11" i="151"/>
  <c r="F7" i="137"/>
  <c r="F6" i="137"/>
  <c r="C15" i="154" l="1"/>
  <c r="G14" i="154"/>
  <c r="C13" i="153"/>
  <c r="G12" i="153"/>
  <c r="G17" i="152"/>
  <c r="C18" i="152"/>
  <c r="G18" i="152" s="1"/>
  <c r="C13" i="151"/>
  <c r="G12" i="151"/>
  <c r="K2" i="137"/>
  <c r="C16" i="154" l="1"/>
  <c r="G15" i="154"/>
  <c r="G13" i="153"/>
  <c r="C14" i="153"/>
  <c r="G13" i="151"/>
  <c r="C14" i="151"/>
  <c r="A2" i="150"/>
  <c r="G9" i="50"/>
  <c r="G10" i="50"/>
  <c r="G11" i="50"/>
  <c r="G17" i="50"/>
  <c r="G23" i="50"/>
  <c r="G24" i="50"/>
  <c r="G25" i="50"/>
  <c r="G26" i="50"/>
  <c r="G27" i="50"/>
  <c r="G28" i="50"/>
  <c r="G29" i="50"/>
  <c r="G30" i="50"/>
  <c r="G32" i="50"/>
  <c r="G34" i="50"/>
  <c r="G35" i="50"/>
  <c r="G36" i="50"/>
  <c r="G37" i="50"/>
  <c r="G38" i="50"/>
  <c r="G39" i="50"/>
  <c r="G40" i="50"/>
  <c r="G41" i="50"/>
  <c r="G42" i="50"/>
  <c r="G43" i="50"/>
  <c r="G44" i="50"/>
  <c r="G45" i="50"/>
  <c r="G46" i="50"/>
  <c r="G47" i="50"/>
  <c r="G48" i="50"/>
  <c r="G49" i="50"/>
  <c r="G50" i="50"/>
  <c r="G51" i="50"/>
  <c r="G52" i="50"/>
  <c r="G53" i="50"/>
  <c r="G54" i="50"/>
  <c r="G55" i="50"/>
  <c r="G56" i="50"/>
  <c r="G59" i="50"/>
  <c r="G60" i="50"/>
  <c r="G61" i="50"/>
  <c r="G62" i="50"/>
  <c r="G63" i="50"/>
  <c r="G64" i="50"/>
  <c r="G65" i="50"/>
  <c r="G66" i="50"/>
  <c r="G69" i="50"/>
  <c r="G70" i="50"/>
  <c r="C17" i="154" l="1"/>
  <c r="G16" i="154"/>
  <c r="C15" i="153"/>
  <c r="G14" i="153"/>
  <c r="C15" i="151"/>
  <c r="G14" i="151"/>
  <c r="AX6" i="137"/>
  <c r="C18" i="154" l="1"/>
  <c r="G17" i="154"/>
  <c r="C16" i="153"/>
  <c r="G15" i="153"/>
  <c r="C16" i="151"/>
  <c r="G15" i="151"/>
  <c r="A2" i="4"/>
  <c r="C19" i="154" l="1"/>
  <c r="G18" i="154"/>
  <c r="C17" i="153"/>
  <c r="G16" i="153"/>
  <c r="C17" i="151"/>
  <c r="G16" i="151"/>
  <c r="P69" i="8"/>
  <c r="P70" i="8"/>
  <c r="P71" i="8"/>
  <c r="P72" i="8"/>
  <c r="P73" i="8"/>
  <c r="P74" i="8"/>
  <c r="P75" i="8"/>
  <c r="P76" i="8"/>
  <c r="P77" i="8"/>
  <c r="D73" i="50"/>
  <c r="D74" i="50"/>
  <c r="D75" i="50"/>
  <c r="D76" i="50"/>
  <c r="D77" i="50"/>
  <c r="D78" i="50"/>
  <c r="D79" i="50"/>
  <c r="D80" i="50"/>
  <c r="D72" i="50"/>
  <c r="M23" i="4"/>
  <c r="H23" i="4"/>
  <c r="AE77" i="50"/>
  <c r="AA75" i="50"/>
  <c r="AN77" i="50"/>
  <c r="AB80" i="50"/>
  <c r="AE72" i="50"/>
  <c r="AN72" i="50"/>
  <c r="AA80" i="50"/>
  <c r="AH80" i="50"/>
  <c r="AJ79" i="50"/>
  <c r="AK72" i="50"/>
  <c r="AN76" i="50"/>
  <c r="AI76" i="50"/>
  <c r="AM73" i="50"/>
  <c r="AG80" i="50"/>
  <c r="AL74" i="50"/>
  <c r="AB75" i="50"/>
  <c r="AM78" i="50"/>
  <c r="AJ73" i="50"/>
  <c r="AA79" i="50"/>
  <c r="AA72" i="50"/>
  <c r="Z76" i="50"/>
  <c r="AI74" i="50"/>
  <c r="AF78" i="50"/>
  <c r="AM80" i="50"/>
  <c r="AI77" i="50"/>
  <c r="AM76" i="50"/>
  <c r="AF80" i="50"/>
  <c r="AE73" i="50"/>
  <c r="AG75" i="50"/>
  <c r="AO73" i="50"/>
  <c r="AD75" i="50"/>
  <c r="AH73" i="50"/>
  <c r="AG79" i="50"/>
  <c r="AA77" i="50"/>
  <c r="AL72" i="50"/>
  <c r="AC74" i="50"/>
  <c r="AC75" i="50"/>
  <c r="AK80" i="50"/>
  <c r="AL79" i="50"/>
  <c r="AF76" i="50"/>
  <c r="AD79" i="50"/>
  <c r="AI73" i="50"/>
  <c r="AK79" i="50"/>
  <c r="AH72" i="50"/>
  <c r="AJ75" i="50"/>
  <c r="AJ80" i="50"/>
  <c r="AD80" i="50"/>
  <c r="AO79" i="50"/>
  <c r="AN73" i="50"/>
  <c r="AI78" i="50"/>
  <c r="AN79" i="50"/>
  <c r="AK73" i="50"/>
  <c r="Z78" i="50"/>
  <c r="AI79" i="50"/>
  <c r="AI75" i="50"/>
  <c r="AG77" i="50"/>
  <c r="AL77" i="50"/>
  <c r="AN74" i="50"/>
  <c r="AB72" i="50"/>
  <c r="AC80" i="50"/>
  <c r="AL78" i="50"/>
  <c r="AM72" i="50"/>
  <c r="AF75" i="50"/>
  <c r="AJ72" i="50"/>
  <c r="AL75" i="50"/>
  <c r="AN78" i="50"/>
  <c r="AH75" i="50"/>
  <c r="Z72" i="50"/>
  <c r="Z77" i="50"/>
  <c r="AG78" i="50"/>
  <c r="AO80" i="50"/>
  <c r="AF73" i="50"/>
  <c r="AH76" i="50"/>
  <c r="AB74" i="50"/>
  <c r="AA78" i="50"/>
  <c r="Z75" i="50"/>
  <c r="AH79" i="50"/>
  <c r="AM75" i="50"/>
  <c r="AE79" i="50"/>
  <c r="AD73" i="50"/>
  <c r="AD76" i="50"/>
  <c r="AE76" i="50"/>
  <c r="AN75" i="50"/>
  <c r="AK75" i="50"/>
  <c r="AH77" i="50"/>
  <c r="AN80" i="50"/>
  <c r="AH74" i="50"/>
  <c r="AB77" i="50"/>
  <c r="AJ74" i="50"/>
  <c r="AC77" i="50"/>
  <c r="AG74" i="50"/>
  <c r="AE80" i="50"/>
  <c r="AD78" i="50"/>
  <c r="AO74" i="50"/>
  <c r="AK74" i="50"/>
  <c r="AH78" i="50"/>
  <c r="AJ77" i="50"/>
  <c r="AF77" i="50"/>
  <c r="AL80" i="50"/>
  <c r="AJ78" i="50"/>
  <c r="AA76" i="50"/>
  <c r="AO78" i="50"/>
  <c r="AA73" i="50"/>
  <c r="AG73" i="50"/>
  <c r="AF74" i="50"/>
  <c r="AG72" i="50"/>
  <c r="AI80" i="50"/>
  <c r="Z79" i="50"/>
  <c r="AC79" i="50"/>
  <c r="AD72" i="50"/>
  <c r="AC72" i="50"/>
  <c r="AM74" i="50"/>
  <c r="AK78" i="50"/>
  <c r="AB73" i="50"/>
  <c r="AI72" i="50"/>
  <c r="AE74" i="50"/>
  <c r="AC78" i="50"/>
  <c r="AK76" i="50"/>
  <c r="AE75" i="50"/>
  <c r="AA74" i="50"/>
  <c r="AL73" i="50"/>
  <c r="AO72" i="50"/>
  <c r="AC76" i="50"/>
  <c r="AC73" i="50"/>
  <c r="AF72" i="50"/>
  <c r="AB79" i="50"/>
  <c r="AF79" i="50"/>
  <c r="AO75" i="50"/>
  <c r="AO77" i="50"/>
  <c r="AK77" i="50"/>
  <c r="AB76" i="50"/>
  <c r="AB78" i="50"/>
  <c r="AO76" i="50"/>
  <c r="Z80" i="50"/>
  <c r="Z73" i="50"/>
  <c r="AD77" i="50"/>
  <c r="AL76" i="50"/>
  <c r="AD74" i="50"/>
  <c r="AJ76" i="50"/>
  <c r="AG76" i="50"/>
  <c r="Z74" i="50"/>
  <c r="AM79" i="50"/>
  <c r="AM77" i="50"/>
  <c r="AE78" i="50"/>
  <c r="C20" i="154" l="1"/>
  <c r="G19" i="154"/>
  <c r="C18" i="153"/>
  <c r="G17" i="153"/>
  <c r="C19" i="152"/>
  <c r="C18" i="151"/>
  <c r="G17"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M4" i="150"/>
  <c r="AG4" i="150"/>
  <c r="AF4" i="150"/>
  <c r="AE4" i="150"/>
  <c r="AD4" i="150"/>
  <c r="AC4" i="150"/>
  <c r="AB4" i="150"/>
  <c r="AA4" i="150"/>
  <c r="Z4" i="150"/>
  <c r="Y4" i="150"/>
  <c r="X4" i="150"/>
  <c r="W4" i="150"/>
  <c r="V4" i="150"/>
  <c r="U4" i="150"/>
  <c r="T4" i="150"/>
  <c r="S4" i="150"/>
  <c r="R4" i="150"/>
  <c r="Q4" i="150"/>
  <c r="P4" i="150"/>
  <c r="F4" i="150"/>
  <c r="E4" i="150"/>
  <c r="K2" i="150"/>
  <c r="Y73" i="50"/>
  <c r="V76" i="50"/>
  <c r="V72" i="50"/>
  <c r="T77" i="50"/>
  <c r="O75" i="50"/>
  <c r="O77" i="50"/>
  <c r="O80" i="50"/>
  <c r="X74" i="50"/>
  <c r="U72" i="50"/>
  <c r="T73" i="50"/>
  <c r="W76" i="50"/>
  <c r="Y80" i="50"/>
  <c r="X80" i="50"/>
  <c r="T75" i="50"/>
  <c r="X72" i="50"/>
  <c r="U79" i="50"/>
  <c r="W73" i="50"/>
  <c r="V78" i="50"/>
  <c r="O73" i="50"/>
  <c r="Y76" i="50"/>
  <c r="O74" i="50"/>
  <c r="V79" i="50"/>
  <c r="U76" i="50"/>
  <c r="O79" i="50"/>
  <c r="W72" i="50"/>
  <c r="T76" i="50"/>
  <c r="V73" i="50"/>
  <c r="X75" i="50"/>
  <c r="W74" i="50"/>
  <c r="V77" i="50"/>
  <c r="V74" i="50"/>
  <c r="V75" i="50"/>
  <c r="Y72" i="50"/>
  <c r="T79" i="50"/>
  <c r="W80" i="50"/>
  <c r="W78" i="50"/>
  <c r="Y75" i="50"/>
  <c r="Y78" i="50"/>
  <c r="Y79" i="50"/>
  <c r="U74" i="50"/>
  <c r="T72" i="50"/>
  <c r="W77" i="50"/>
  <c r="Y77" i="50"/>
  <c r="U73" i="50"/>
  <c r="X78" i="50"/>
  <c r="X73" i="50"/>
  <c r="X76" i="50"/>
  <c r="W79" i="50"/>
  <c r="O72" i="50"/>
  <c r="X79" i="50"/>
  <c r="V80" i="50"/>
  <c r="X77" i="50"/>
  <c r="O78" i="50"/>
  <c r="U78" i="50"/>
  <c r="U75" i="50"/>
  <c r="U80" i="50"/>
  <c r="O76" i="50"/>
  <c r="W75" i="50"/>
  <c r="Y74" i="50"/>
  <c r="T78" i="50"/>
  <c r="U77" i="50"/>
  <c r="T80" i="50"/>
  <c r="T74" i="50"/>
  <c r="C21" i="154" l="1"/>
  <c r="G20" i="154"/>
  <c r="C19" i="153"/>
  <c r="G18" i="153"/>
  <c r="C20" i="152"/>
  <c r="G19" i="152"/>
  <c r="C19" i="151"/>
  <c r="G18" i="151"/>
  <c r="M4" i="150"/>
  <c r="AW6" i="150"/>
  <c r="H8" i="150"/>
  <c r="AW10" i="150"/>
  <c r="AW9" i="150"/>
  <c r="H11" i="150"/>
  <c r="H12" i="150"/>
  <c r="B1" i="95"/>
  <c r="A2" i="1"/>
  <c r="M74" i="50"/>
  <c r="Q72" i="50"/>
  <c r="S78" i="50"/>
  <c r="P76" i="50"/>
  <c r="P78" i="50"/>
  <c r="N79" i="50"/>
  <c r="L72" i="50"/>
  <c r="M79" i="50"/>
  <c r="S77" i="50"/>
  <c r="P73" i="50"/>
  <c r="S72" i="50"/>
  <c r="P79" i="50"/>
  <c r="R74" i="50"/>
  <c r="M76" i="50"/>
  <c r="L78" i="50"/>
  <c r="R80" i="50"/>
  <c r="N74" i="50"/>
  <c r="P72" i="50"/>
  <c r="L73" i="50"/>
  <c r="N77" i="50"/>
  <c r="R75" i="50"/>
  <c r="P80" i="50"/>
  <c r="S73" i="50"/>
  <c r="R78" i="50"/>
  <c r="R76" i="50"/>
  <c r="P77" i="50"/>
  <c r="M72" i="50"/>
  <c r="Q74" i="50"/>
  <c r="L75" i="50"/>
  <c r="Q75" i="50"/>
  <c r="R73" i="50"/>
  <c r="P75" i="50"/>
  <c r="S76" i="50"/>
  <c r="N75" i="50"/>
  <c r="S80" i="50"/>
  <c r="R79" i="50"/>
  <c r="L80" i="50"/>
  <c r="R72" i="50"/>
  <c r="Q73" i="50"/>
  <c r="M75" i="50"/>
  <c r="N73" i="50"/>
  <c r="L74" i="50"/>
  <c r="M73" i="50"/>
  <c r="S79" i="50"/>
  <c r="N80" i="50"/>
  <c r="R77" i="50"/>
  <c r="Q79" i="50"/>
  <c r="L76" i="50"/>
  <c r="N78" i="50"/>
  <c r="P74" i="50"/>
  <c r="S75" i="50"/>
  <c r="Q80" i="50"/>
  <c r="L79" i="50"/>
  <c r="L77" i="50"/>
  <c r="N76" i="50"/>
  <c r="M77" i="50"/>
  <c r="Q78" i="50"/>
  <c r="S74" i="50"/>
  <c r="N72" i="50"/>
  <c r="M78" i="50"/>
  <c r="M80" i="50"/>
  <c r="Q76" i="50"/>
  <c r="Q77" i="50"/>
  <c r="C22" i="154" l="1"/>
  <c r="G21" i="154"/>
  <c r="C20" i="153"/>
  <c r="G19" i="153"/>
  <c r="C21" i="152"/>
  <c r="G20" i="152"/>
  <c r="C20" i="151"/>
  <c r="G19" i="151"/>
  <c r="F74" i="50"/>
  <c r="F78" i="50"/>
  <c r="F75" i="50"/>
  <c r="F79" i="50"/>
  <c r="F76" i="50"/>
  <c r="F80" i="50"/>
  <c r="F73" i="50"/>
  <c r="F77" i="50"/>
  <c r="F72" i="50"/>
  <c r="C23" i="154" l="1"/>
  <c r="G22" i="154"/>
  <c r="C21" i="153"/>
  <c r="G20" i="153"/>
  <c r="C22" i="152"/>
  <c r="G21" i="152"/>
  <c r="C21" i="151"/>
  <c r="G20" i="151"/>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24" i="154" l="1"/>
  <c r="G23" i="154"/>
  <c r="C22" i="153"/>
  <c r="G21" i="153"/>
  <c r="C23" i="152"/>
  <c r="G22" i="152"/>
  <c r="C22" i="151"/>
  <c r="G21" i="151"/>
  <c r="C25" i="154" l="1"/>
  <c r="G24" i="154"/>
  <c r="C23" i="153"/>
  <c r="G22" i="153"/>
  <c r="C24" i="152"/>
  <c r="G23" i="152"/>
  <c r="C23" i="151"/>
  <c r="G22" i="151"/>
  <c r="AW4" i="4"/>
  <c r="C26" i="154" l="1"/>
  <c r="G25" i="154"/>
  <c r="C24" i="153"/>
  <c r="G23" i="153"/>
  <c r="C25" i="152"/>
  <c r="G24" i="152"/>
  <c r="C24" i="151"/>
  <c r="G23"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27" i="154" l="1"/>
  <c r="G26" i="154"/>
  <c r="C25" i="153"/>
  <c r="G24" i="153"/>
  <c r="C26" i="152"/>
  <c r="G25" i="152"/>
  <c r="C25" i="151"/>
  <c r="G24"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H7" i="137"/>
  <c r="M6" i="137"/>
  <c r="H6" i="137"/>
  <c r="AX5" i="137"/>
  <c r="M5" i="137"/>
  <c r="H5" i="137"/>
  <c r="AV4" i="137"/>
  <c r="AU4" i="137"/>
  <c r="AT4" i="137"/>
  <c r="AS4" i="137"/>
  <c r="AR4" i="137"/>
  <c r="AQ4" i="137"/>
  <c r="AP4" i="137"/>
  <c r="AO4" i="137"/>
  <c r="AN4" i="137"/>
  <c r="AF4" i="137"/>
  <c r="AE4" i="137"/>
  <c r="AD4" i="137"/>
  <c r="AC4" i="137"/>
  <c r="AB4" i="137"/>
  <c r="AA4" i="137"/>
  <c r="Z4" i="137"/>
  <c r="Y4" i="137"/>
  <c r="X4" i="137"/>
  <c r="W4" i="137"/>
  <c r="V4" i="137"/>
  <c r="U4" i="137"/>
  <c r="T4" i="137"/>
  <c r="S4" i="137"/>
  <c r="R4" i="137"/>
  <c r="Q4" i="137"/>
  <c r="P4" i="137"/>
  <c r="F4" i="137"/>
  <c r="E4" i="137"/>
  <c r="G27" i="154" l="1"/>
  <c r="C28" i="154"/>
  <c r="C26" i="153"/>
  <c r="G25" i="153"/>
  <c r="C27" i="152"/>
  <c r="G26" i="152"/>
  <c r="C26" i="151"/>
  <c r="G25" i="151"/>
  <c r="M4" i="137"/>
  <c r="AX4" i="137"/>
  <c r="C29" i="154" l="1"/>
  <c r="G28" i="154"/>
  <c r="C27" i="153"/>
  <c r="G26" i="153"/>
  <c r="G27" i="152"/>
  <c r="C28" i="152"/>
  <c r="C27" i="151"/>
  <c r="G26" i="151"/>
  <c r="H4" i="137"/>
  <c r="AX3" i="5"/>
  <c r="O4" i="95"/>
  <c r="O1" i="95"/>
  <c r="P5" i="95"/>
  <c r="P3" i="95"/>
  <c r="P2" i="95"/>
  <c r="P1" i="95"/>
  <c r="G29" i="154" l="1"/>
  <c r="C30" i="154"/>
  <c r="G27" i="153"/>
  <c r="C28" i="153"/>
  <c r="C29" i="152"/>
  <c r="G28" i="152"/>
  <c r="G27" i="151"/>
  <c r="C28" i="151"/>
  <c r="I6" i="137"/>
  <c r="J6" i="137" s="1"/>
  <c r="G6" i="50" s="1"/>
  <c r="I7" i="137"/>
  <c r="J7" i="137" s="1"/>
  <c r="G7" i="50" s="1"/>
  <c r="I5" i="137"/>
  <c r="J5" i="137" s="1"/>
  <c r="G5" i="50" s="1"/>
  <c r="G30" i="154" l="1"/>
  <c r="C31" i="154"/>
  <c r="C29" i="153"/>
  <c r="G28" i="153"/>
  <c r="G29" i="152"/>
  <c r="C30" i="152"/>
  <c r="C29" i="151"/>
  <c r="G28" i="151"/>
  <c r="K7" i="137"/>
  <c r="K6" i="137"/>
  <c r="K5" i="137"/>
  <c r="K4" i="137" s="1"/>
  <c r="O2" i="95"/>
  <c r="O3" i="95"/>
  <c r="G31" i="154" l="1"/>
  <c r="C32" i="154"/>
  <c r="G29" i="153"/>
  <c r="C30" i="153"/>
  <c r="G30" i="152"/>
  <c r="C31" i="152"/>
  <c r="G29" i="151"/>
  <c r="C30" i="151"/>
  <c r="L2" i="137"/>
  <c r="M2" i="137"/>
  <c r="K1" i="120"/>
  <c r="M22" i="4"/>
  <c r="H22" i="4"/>
  <c r="O31" i="1"/>
  <c r="O32" i="1"/>
  <c r="M30" i="1"/>
  <c r="C33" i="154" l="1"/>
  <c r="G32" i="154"/>
  <c r="G30" i="153"/>
  <c r="C31" i="153"/>
  <c r="G31" i="152"/>
  <c r="C32" i="152"/>
  <c r="G30" i="151"/>
  <c r="C31" i="151"/>
  <c r="AX6" i="5"/>
  <c r="AX7" i="5"/>
  <c r="AX8" i="5"/>
  <c r="AX9" i="5"/>
  <c r="AX10" i="5"/>
  <c r="AX11" i="5"/>
  <c r="AX12" i="5"/>
  <c r="AX13" i="5"/>
  <c r="AX14" i="5"/>
  <c r="AX15" i="5"/>
  <c r="AX16" i="5"/>
  <c r="AX17" i="5"/>
  <c r="AX18" i="5"/>
  <c r="AX19" i="5"/>
  <c r="AX20" i="5"/>
  <c r="AX21" i="5"/>
  <c r="AX22" i="5"/>
  <c r="AX23" i="5"/>
  <c r="AX24" i="5"/>
  <c r="AX5" i="5"/>
  <c r="G33" i="154" l="1"/>
  <c r="C34" i="154"/>
  <c r="G31" i="153"/>
  <c r="C32" i="153"/>
  <c r="C33" i="152"/>
  <c r="G32" i="152"/>
  <c r="G31" i="151"/>
  <c r="C32" i="151"/>
  <c r="AX4" i="5"/>
  <c r="G34" i="154" l="1"/>
  <c r="C35" i="154"/>
  <c r="C33" i="153"/>
  <c r="G32" i="153"/>
  <c r="G33" i="152"/>
  <c r="C34" i="152"/>
  <c r="C33" i="151"/>
  <c r="G32" i="151"/>
  <c r="H5" i="95"/>
  <c r="G35" i="154" l="1"/>
  <c r="C36" i="154"/>
  <c r="G33" i="153"/>
  <c r="C34" i="153"/>
  <c r="G34" i="152"/>
  <c r="C35" i="152"/>
  <c r="G33" i="151"/>
  <c r="C34" i="151"/>
  <c r="G31" i="1"/>
  <c r="AX31" i="1" s="1"/>
  <c r="G32" i="1"/>
  <c r="AX32" i="1" s="1"/>
  <c r="G30" i="1"/>
  <c r="A31" i="1"/>
  <c r="A32" i="1"/>
  <c r="G23" i="4"/>
  <c r="AX23" i="4" s="1"/>
  <c r="G22" i="4"/>
  <c r="AX22" i="4"/>
  <c r="H35" i="154" l="1"/>
  <c r="C37" i="154"/>
  <c r="G36" i="154"/>
  <c r="H36" i="154" s="1"/>
  <c r="H34" i="154"/>
  <c r="G34" i="153"/>
  <c r="C35" i="153"/>
  <c r="G35" i="152"/>
  <c r="C36" i="152"/>
  <c r="G34" i="151"/>
  <c r="C35" i="151"/>
  <c r="AX30" i="1"/>
  <c r="H30" i="1"/>
  <c r="M29" i="1"/>
  <c r="G29" i="1"/>
  <c r="AX29" i="1" s="1"/>
  <c r="G37" i="154" l="1"/>
  <c r="H37" i="154" s="1"/>
  <c r="G38" i="154"/>
  <c r="H38" i="154" s="1"/>
  <c r="H11" i="154"/>
  <c r="H8" i="154"/>
  <c r="H9" i="154" s="1"/>
  <c r="H10" i="154"/>
  <c r="H12" i="154"/>
  <c r="H13" i="154"/>
  <c r="H14" i="154"/>
  <c r="H16" i="154"/>
  <c r="H15" i="154"/>
  <c r="H17" i="154"/>
  <c r="H20" i="154"/>
  <c r="H18" i="154"/>
  <c r="H19" i="154"/>
  <c r="H23" i="154"/>
  <c r="H21" i="154"/>
  <c r="H22" i="154"/>
  <c r="H26" i="154"/>
  <c r="H24" i="154"/>
  <c r="H25" i="154"/>
  <c r="H27" i="154"/>
  <c r="H30" i="154"/>
  <c r="H28" i="154"/>
  <c r="H29" i="154"/>
  <c r="H31" i="154"/>
  <c r="H32" i="154"/>
  <c r="H33" i="154"/>
  <c r="G35" i="153"/>
  <c r="C36" i="153"/>
  <c r="C37" i="152"/>
  <c r="G36" i="152"/>
  <c r="G35" i="151"/>
  <c r="C36" i="151"/>
  <c r="H29" i="1"/>
  <c r="AW4" i="1"/>
  <c r="C37" i="153" l="1"/>
  <c r="G36" i="153"/>
  <c r="H18" i="152"/>
  <c r="H17" i="152"/>
  <c r="G37" i="152"/>
  <c r="H37" i="152" s="1"/>
  <c r="G38" i="152"/>
  <c r="H38" i="152" s="1"/>
  <c r="H19" i="152"/>
  <c r="H20" i="152"/>
  <c r="H21" i="152"/>
  <c r="H24" i="152"/>
  <c r="H23" i="152"/>
  <c r="H22" i="152"/>
  <c r="H25" i="152"/>
  <c r="H27" i="152"/>
  <c r="H26" i="152"/>
  <c r="H28" i="152"/>
  <c r="H29" i="152"/>
  <c r="H32" i="152"/>
  <c r="H30" i="152"/>
  <c r="H36" i="152"/>
  <c r="H35" i="152"/>
  <c r="H31" i="152"/>
  <c r="H33" i="152"/>
  <c r="H34" i="152"/>
  <c r="C37" i="151"/>
  <c r="G36" i="151"/>
  <c r="D4" i="5"/>
  <c r="AK57" i="50"/>
  <c r="AJ9" i="50"/>
  <c r="Y16" i="50"/>
  <c r="AF20" i="50"/>
  <c r="AI22" i="50"/>
  <c r="N8" i="50"/>
  <c r="Z33" i="50"/>
  <c r="X15" i="50"/>
  <c r="AL4" i="50"/>
  <c r="AC6" i="50"/>
  <c r="T30" i="50"/>
  <c r="Z40" i="50"/>
  <c r="AD47" i="50"/>
  <c r="AC66" i="50"/>
  <c r="X17" i="50"/>
  <c r="AL40" i="50"/>
  <c r="Q15" i="50"/>
  <c r="V15" i="50"/>
  <c r="AM17" i="50"/>
  <c r="AI18" i="50"/>
  <c r="X19" i="50"/>
  <c r="R27" i="50"/>
  <c r="AD55" i="50"/>
  <c r="Q51" i="50"/>
  <c r="AI9" i="50"/>
  <c r="P19" i="50"/>
  <c r="AE24" i="50"/>
  <c r="AE9" i="50"/>
  <c r="T5" i="50"/>
  <c r="AH17" i="50"/>
  <c r="AB41" i="50"/>
  <c r="N59" i="50"/>
  <c r="AJ19" i="50"/>
  <c r="AK15" i="50"/>
  <c r="AN22" i="50"/>
  <c r="U7" i="50"/>
  <c r="X29" i="50"/>
  <c r="U49" i="50"/>
  <c r="L44" i="50"/>
  <c r="N35" i="50"/>
  <c r="AA19" i="50"/>
  <c r="N6" i="50"/>
  <c r="AJ33" i="50"/>
  <c r="O11" i="50"/>
  <c r="Y63" i="50"/>
  <c r="AK9" i="50"/>
  <c r="M26" i="50"/>
  <c r="AL38" i="50"/>
  <c r="U5" i="50"/>
  <c r="X32" i="50"/>
  <c r="AB8" i="50"/>
  <c r="Q8" i="50"/>
  <c r="AE20" i="50"/>
  <c r="AJ64" i="50"/>
  <c r="S29" i="50"/>
  <c r="AD29" i="50"/>
  <c r="L63" i="50"/>
  <c r="R20" i="50"/>
  <c r="O6" i="50"/>
  <c r="AD67" i="50"/>
  <c r="AO7" i="50"/>
  <c r="U9" i="50"/>
  <c r="AF51" i="50"/>
  <c r="AJ11" i="50"/>
  <c r="AJ56" i="50"/>
  <c r="AK7" i="50"/>
  <c r="Z7" i="50"/>
  <c r="AK10" i="50"/>
  <c r="AG53" i="50"/>
  <c r="W11" i="50"/>
  <c r="AN36" i="50"/>
  <c r="Z17" i="50"/>
  <c r="AF19" i="50"/>
  <c r="O31" i="50"/>
  <c r="AB23" i="50"/>
  <c r="AL7" i="50"/>
  <c r="O48" i="50"/>
  <c r="AD46" i="50"/>
  <c r="AO50" i="50"/>
  <c r="AN25" i="50"/>
  <c r="Y40" i="50"/>
  <c r="AC64" i="50"/>
  <c r="AE16" i="50"/>
  <c r="AG20" i="50"/>
  <c r="AM9" i="50"/>
  <c r="AE66" i="50"/>
  <c r="AE36" i="50"/>
  <c r="O66" i="50"/>
  <c r="V44" i="50"/>
  <c r="AL46" i="50"/>
  <c r="P29" i="50"/>
  <c r="AO61" i="50"/>
  <c r="AE14" i="50"/>
  <c r="U12" i="50"/>
  <c r="AI24" i="50"/>
  <c r="AL49" i="50"/>
  <c r="Q18" i="50"/>
  <c r="Y47" i="50"/>
  <c r="S63" i="50"/>
  <c r="AK64" i="50"/>
  <c r="AC29" i="50"/>
  <c r="AI19" i="50"/>
  <c r="Z32" i="50"/>
  <c r="AA21" i="50"/>
  <c r="AD54" i="50"/>
  <c r="AK63" i="50"/>
  <c r="P61" i="50"/>
  <c r="W47" i="50"/>
  <c r="Y21" i="50"/>
  <c r="AK21" i="50"/>
  <c r="L12" i="50"/>
  <c r="AA8" i="50"/>
  <c r="Z64" i="50"/>
  <c r="V38" i="50"/>
  <c r="AH46" i="50"/>
  <c r="X40" i="50"/>
  <c r="Q71" i="50"/>
  <c r="O40" i="50"/>
  <c r="Q35" i="50"/>
  <c r="AA16" i="50"/>
  <c r="L50" i="50"/>
  <c r="N48" i="50"/>
  <c r="AA52" i="50"/>
  <c r="AA15" i="50"/>
  <c r="V48" i="50"/>
  <c r="P9" i="50"/>
  <c r="AA63" i="50"/>
  <c r="AC16" i="50"/>
  <c r="AN24" i="50"/>
  <c r="AC31" i="50"/>
  <c r="AG30" i="50"/>
  <c r="M7" i="50"/>
  <c r="AF49" i="50"/>
  <c r="N55" i="50"/>
  <c r="Y23" i="50"/>
  <c r="AG61" i="50"/>
  <c r="S54" i="50"/>
  <c r="AG43" i="50"/>
  <c r="AO5" i="50"/>
  <c r="N18" i="50"/>
  <c r="AN28" i="50"/>
  <c r="AC57" i="50"/>
  <c r="AB56" i="50"/>
  <c r="AG33" i="50"/>
  <c r="AJ29" i="50"/>
  <c r="L15" i="50"/>
  <c r="AK44" i="50"/>
  <c r="Q47" i="50"/>
  <c r="AK23" i="50"/>
  <c r="AG32" i="50"/>
  <c r="AH48" i="50"/>
  <c r="U16" i="50"/>
  <c r="AO63" i="50"/>
  <c r="AG10" i="50"/>
  <c r="AL61" i="50"/>
  <c r="Z25" i="50"/>
  <c r="Q48" i="50"/>
  <c r="AG16" i="50"/>
  <c r="AC40" i="50"/>
  <c r="AJ21" i="50"/>
  <c r="Y26" i="50"/>
  <c r="AN5" i="50"/>
  <c r="AA43" i="50"/>
  <c r="T8" i="50"/>
  <c r="R19" i="50"/>
  <c r="AI28" i="50"/>
  <c r="T9" i="50"/>
  <c r="AD43" i="50"/>
  <c r="AJ5" i="50"/>
  <c r="AI66" i="50"/>
  <c r="AA7" i="50"/>
  <c r="AH53" i="50"/>
  <c r="AG62" i="50"/>
  <c r="AJ22" i="50"/>
  <c r="M68" i="50"/>
  <c r="Y33" i="50"/>
  <c r="M60" i="50"/>
  <c r="AD42" i="50"/>
  <c r="W61" i="50"/>
  <c r="Z44" i="50"/>
  <c r="X58" i="50"/>
  <c r="T19" i="50"/>
  <c r="P23" i="50"/>
  <c r="T15" i="50"/>
  <c r="AD20" i="50"/>
  <c r="AL47" i="50"/>
  <c r="O47" i="50"/>
  <c r="P10" i="50"/>
  <c r="R40" i="50"/>
  <c r="AO41" i="50"/>
  <c r="AJ59" i="50"/>
  <c r="AH9" i="50"/>
  <c r="L16" i="50"/>
  <c r="X70" i="50"/>
  <c r="AF17" i="50"/>
  <c r="U47" i="50"/>
  <c r="S19" i="50"/>
  <c r="AL35" i="50"/>
  <c r="O23" i="50"/>
  <c r="AA12" i="50"/>
  <c r="V62" i="50"/>
  <c r="V14" i="50"/>
  <c r="AG15" i="50"/>
  <c r="AC51" i="50"/>
  <c r="AN12" i="50"/>
  <c r="AD17" i="50"/>
  <c r="AJ71" i="50"/>
  <c r="Q9" i="50"/>
  <c r="AC18" i="50"/>
  <c r="T55" i="50"/>
  <c r="R14" i="50"/>
  <c r="X7" i="50"/>
  <c r="X46" i="50"/>
  <c r="S38" i="50"/>
  <c r="AI43" i="50"/>
  <c r="AE28" i="50"/>
  <c r="W68" i="50"/>
  <c r="S64" i="50"/>
  <c r="AD35" i="50"/>
  <c r="AA33" i="50"/>
  <c r="AG7" i="50"/>
  <c r="L45" i="50"/>
  <c r="AD64" i="50"/>
  <c r="AM53" i="50"/>
  <c r="AB24" i="50"/>
  <c r="P26" i="50"/>
  <c r="AN19" i="50"/>
  <c r="AB21" i="50"/>
  <c r="N14" i="50"/>
  <c r="W19" i="50"/>
  <c r="AF36" i="50"/>
  <c r="AD27" i="50"/>
  <c r="AG25" i="50"/>
  <c r="P34" i="50"/>
  <c r="AH68" i="50"/>
  <c r="X54" i="50"/>
  <c r="AM43" i="50"/>
  <c r="M44" i="50"/>
  <c r="AN71" i="50"/>
  <c r="AN58" i="50"/>
  <c r="N68" i="50"/>
  <c r="S5" i="50"/>
  <c r="U70" i="50"/>
  <c r="AG5" i="50"/>
  <c r="AE60" i="50"/>
  <c r="AN60" i="50"/>
  <c r="T49" i="50"/>
  <c r="X25" i="50"/>
  <c r="V9" i="50"/>
  <c r="P47" i="50"/>
  <c r="AF6" i="50"/>
  <c r="S20" i="50"/>
  <c r="L27" i="50"/>
  <c r="U35" i="50"/>
  <c r="R35" i="50"/>
  <c r="AD26" i="50"/>
  <c r="W50" i="50"/>
  <c r="Z29" i="50"/>
  <c r="AL52" i="50"/>
  <c r="AG39" i="50"/>
  <c r="AE27" i="50"/>
  <c r="AL21" i="50"/>
  <c r="AJ24" i="50"/>
  <c r="S57" i="50"/>
  <c r="X36" i="50"/>
  <c r="AG23" i="50"/>
  <c r="AJ54" i="50"/>
  <c r="AB14" i="50"/>
  <c r="AM59" i="50"/>
  <c r="O13" i="50"/>
  <c r="P36" i="50"/>
  <c r="X30" i="50"/>
  <c r="AN6" i="50"/>
  <c r="L69" i="50"/>
  <c r="AJ65" i="50"/>
  <c r="AL56" i="50"/>
  <c r="S41" i="50"/>
  <c r="Y49" i="50"/>
  <c r="AD31" i="50"/>
  <c r="Q29" i="50"/>
  <c r="X63" i="50"/>
  <c r="AE37" i="50"/>
  <c r="M18" i="50"/>
  <c r="AE13" i="50"/>
  <c r="S12" i="50"/>
  <c r="AK13" i="50"/>
  <c r="Y19" i="50"/>
  <c r="AK20" i="50"/>
  <c r="Y53" i="50"/>
  <c r="Y18" i="50"/>
  <c r="AG12" i="50"/>
  <c r="AE31" i="50"/>
  <c r="AM7" i="50"/>
  <c r="AB37" i="50"/>
  <c r="AC12" i="50"/>
  <c r="M58" i="50"/>
  <c r="V54" i="50"/>
  <c r="AN9" i="50"/>
  <c r="AG29" i="50"/>
  <c r="AA44" i="50"/>
  <c r="W16" i="50"/>
  <c r="L39" i="50"/>
  <c r="R13" i="50"/>
  <c r="O35" i="50"/>
  <c r="X31" i="50"/>
  <c r="T69" i="50"/>
  <c r="W20" i="50"/>
  <c r="AI46" i="50"/>
  <c r="U18" i="50"/>
  <c r="AI58" i="50"/>
  <c r="Z43" i="50"/>
  <c r="W27" i="50"/>
  <c r="AF10" i="50"/>
  <c r="AH6" i="50"/>
  <c r="P11" i="50"/>
  <c r="AE61" i="50"/>
  <c r="AF57" i="50"/>
  <c r="AG48" i="50"/>
  <c r="AA47" i="50"/>
  <c r="AB42" i="50"/>
  <c r="AD19" i="50"/>
  <c r="AA70" i="50"/>
  <c r="W29" i="50"/>
  <c r="AA35" i="50"/>
  <c r="W55" i="50"/>
  <c r="U56" i="50"/>
  <c r="Q5" i="50"/>
  <c r="M31" i="50"/>
  <c r="Y27" i="50"/>
  <c r="AA69" i="50"/>
  <c r="P44" i="50"/>
  <c r="Y69" i="50"/>
  <c r="AF68" i="50"/>
  <c r="R28" i="50"/>
  <c r="AB28" i="50"/>
  <c r="S11" i="50"/>
  <c r="AF64" i="50"/>
  <c r="Z47" i="50"/>
  <c r="R7" i="50"/>
  <c r="P16" i="50"/>
  <c r="V24" i="50"/>
  <c r="R12" i="50"/>
  <c r="T11" i="50"/>
  <c r="AJ16" i="50"/>
  <c r="AG42" i="50"/>
  <c r="P30" i="50"/>
  <c r="AM60" i="50"/>
  <c r="S56" i="50"/>
  <c r="AJ44" i="50"/>
  <c r="M69" i="50"/>
  <c r="AD5" i="50"/>
  <c r="Z65" i="50"/>
  <c r="AA61" i="50"/>
  <c r="AJ49" i="50"/>
  <c r="P48" i="50"/>
  <c r="AC65" i="50"/>
  <c r="AN61" i="50"/>
  <c r="M35" i="50"/>
  <c r="AH5" i="50"/>
  <c r="Z15" i="50"/>
  <c r="M54" i="50"/>
  <c r="AA9" i="50"/>
  <c r="R24" i="50"/>
  <c r="Z11" i="50"/>
  <c r="L30" i="50"/>
  <c r="U61" i="50"/>
  <c r="AG45" i="50"/>
  <c r="Z21" i="50"/>
  <c r="AH45" i="50"/>
  <c r="V49" i="50"/>
  <c r="T35" i="50"/>
  <c r="U40" i="50"/>
  <c r="L70" i="50"/>
  <c r="AK50" i="50"/>
  <c r="R15" i="50"/>
  <c r="AK36" i="50"/>
  <c r="AJ31" i="50"/>
  <c r="M43" i="50"/>
  <c r="AO53" i="50"/>
  <c r="R29" i="50"/>
  <c r="U46" i="50"/>
  <c r="P60" i="50"/>
  <c r="U33" i="50"/>
  <c r="AF16" i="50"/>
  <c r="V11" i="50"/>
  <c r="Z70" i="50"/>
  <c r="AL55" i="50"/>
  <c r="O58" i="50"/>
  <c r="U13" i="50"/>
  <c r="AO42" i="50"/>
  <c r="U53" i="50"/>
  <c r="X14" i="50"/>
  <c r="AM41" i="50"/>
  <c r="M15" i="50"/>
  <c r="T59" i="50"/>
  <c r="V35" i="50"/>
  <c r="Y41" i="50"/>
  <c r="AG68" i="50"/>
  <c r="AK22" i="50"/>
  <c r="S58" i="50"/>
  <c r="AN47" i="50"/>
  <c r="S66" i="50"/>
  <c r="X55" i="50"/>
  <c r="AJ36" i="50"/>
  <c r="AO70" i="50"/>
  <c r="AA37" i="50"/>
  <c r="Z24" i="50"/>
  <c r="S22" i="50"/>
  <c r="AA40" i="50"/>
  <c r="AJ28" i="50"/>
  <c r="AO25" i="50"/>
  <c r="Z51" i="50"/>
  <c r="AD13" i="50"/>
  <c r="AD71" i="50"/>
  <c r="Z58" i="50"/>
  <c r="AL22" i="50"/>
  <c r="AB19" i="50"/>
  <c r="M37" i="50"/>
  <c r="Y60" i="50"/>
  <c r="AD12" i="50"/>
  <c r="AA26" i="50"/>
  <c r="P22" i="50"/>
  <c r="AI65" i="50"/>
  <c r="N16" i="50"/>
  <c r="O44" i="50"/>
  <c r="AB29" i="50"/>
  <c r="AK71" i="50"/>
  <c r="AK31" i="50"/>
  <c r="AG52" i="50"/>
  <c r="AM11" i="50"/>
  <c r="AM31" i="50"/>
  <c r="M59" i="50"/>
  <c r="AL15" i="50"/>
  <c r="AE26" i="50"/>
  <c r="S26" i="50"/>
  <c r="L38" i="50"/>
  <c r="Q37" i="50"/>
  <c r="T16" i="50"/>
  <c r="AF8" i="50"/>
  <c r="AM71" i="50"/>
  <c r="X28" i="50"/>
  <c r="X39" i="50"/>
  <c r="N42" i="50"/>
  <c r="N31" i="50"/>
  <c r="V31" i="50"/>
  <c r="AA71" i="50"/>
  <c r="U48" i="50"/>
  <c r="X45" i="50"/>
  <c r="U11" i="50"/>
  <c r="AD25" i="50"/>
  <c r="N28" i="50"/>
  <c r="AG47" i="50"/>
  <c r="V21" i="50"/>
  <c r="R37" i="50"/>
  <c r="R30" i="50"/>
  <c r="AK8" i="50"/>
  <c r="V52" i="50"/>
  <c r="X13" i="50"/>
  <c r="AG34" i="50"/>
  <c r="AL58" i="50"/>
  <c r="AF59" i="50"/>
  <c r="R38" i="50"/>
  <c r="AJ26" i="50"/>
  <c r="AA36" i="50"/>
  <c r="R33" i="50"/>
  <c r="AJ12" i="50"/>
  <c r="AO40" i="50"/>
  <c r="W8" i="50"/>
  <c r="AM21" i="50"/>
  <c r="U14" i="50"/>
  <c r="O65" i="50"/>
  <c r="AO64" i="50"/>
  <c r="Y14" i="50"/>
  <c r="Q24" i="50"/>
  <c r="AH52" i="50"/>
  <c r="V23" i="50"/>
  <c r="AF46" i="50"/>
  <c r="Z41" i="50"/>
  <c r="L25" i="50"/>
  <c r="X68" i="50"/>
  <c r="AH8" i="50"/>
  <c r="AB32" i="50"/>
  <c r="AH22" i="50"/>
  <c r="AG17" i="50"/>
  <c r="AH10" i="50"/>
  <c r="X10" i="50"/>
  <c r="Z13" i="50"/>
  <c r="AM40" i="50"/>
  <c r="Y45" i="50"/>
  <c r="U26" i="50"/>
  <c r="AM12" i="50"/>
  <c r="O52" i="50"/>
  <c r="AJ17" i="50"/>
  <c r="AK6" i="50"/>
  <c r="L31" i="50"/>
  <c r="AL12" i="50"/>
  <c r="AE5" i="50"/>
  <c r="T7" i="50"/>
  <c r="AB38" i="50"/>
  <c r="N54" i="50"/>
  <c r="M16" i="50"/>
  <c r="L23" i="50"/>
  <c r="V42" i="50"/>
  <c r="Y51" i="50"/>
  <c r="AM61" i="50"/>
  <c r="M5" i="50"/>
  <c r="T34" i="50"/>
  <c r="P38" i="50"/>
  <c r="AE45" i="50"/>
  <c r="AM37" i="50"/>
  <c r="AI52" i="50"/>
  <c r="Y70" i="50"/>
  <c r="Z5" i="50"/>
  <c r="M34" i="50"/>
  <c r="AN68" i="50"/>
  <c r="L68" i="50"/>
  <c r="AD14" i="50"/>
  <c r="AD53" i="50"/>
  <c r="AF39" i="50"/>
  <c r="AA14" i="50"/>
  <c r="S34" i="50"/>
  <c r="AH42" i="50"/>
  <c r="M46" i="50"/>
  <c r="AC38" i="50"/>
  <c r="N7" i="50"/>
  <c r="AM13" i="50"/>
  <c r="AH26" i="50"/>
  <c r="M30" i="50"/>
  <c r="AE48" i="50"/>
  <c r="AO10" i="50"/>
  <c r="N45" i="50"/>
  <c r="V5" i="50"/>
  <c r="V36" i="50"/>
  <c r="O10" i="50"/>
  <c r="M9" i="50"/>
  <c r="AM18" i="50"/>
  <c r="AG9" i="50"/>
  <c r="N22" i="50"/>
  <c r="AK47" i="50"/>
  <c r="AO66" i="50"/>
  <c r="AE19" i="50"/>
  <c r="AL66" i="50"/>
  <c r="AJ8" i="50"/>
  <c r="Z55" i="50"/>
  <c r="L19" i="50"/>
  <c r="AA6" i="50"/>
  <c r="P12" i="50"/>
  <c r="X23" i="50"/>
  <c r="S45" i="50"/>
  <c r="AI37" i="50"/>
  <c r="N61" i="50"/>
  <c r="S18" i="50"/>
  <c r="AH28" i="50"/>
  <c r="X11" i="50"/>
  <c r="L66" i="50"/>
  <c r="AI33" i="50"/>
  <c r="AL43" i="50"/>
  <c r="AA66" i="50"/>
  <c r="P15" i="50"/>
  <c r="Q6" i="50"/>
  <c r="AC8" i="50"/>
  <c r="AH63" i="50"/>
  <c r="N64" i="50"/>
  <c r="X50" i="50"/>
  <c r="X22" i="50"/>
  <c r="AF42" i="50"/>
  <c r="AM15" i="50"/>
  <c r="AI13" i="50"/>
  <c r="AB54" i="50"/>
  <c r="N19" i="50"/>
  <c r="N52" i="50"/>
  <c r="X41" i="50"/>
  <c r="S16" i="50"/>
  <c r="Y35" i="50"/>
  <c r="AB27" i="50"/>
  <c r="AB51" i="50"/>
  <c r="AD38" i="50"/>
  <c r="O30" i="50"/>
  <c r="U8" i="50"/>
  <c r="R50" i="50"/>
  <c r="AB26" i="50"/>
  <c r="AI16" i="50"/>
  <c r="AI21" i="50"/>
  <c r="Y52" i="50"/>
  <c r="S51" i="50"/>
  <c r="P45" i="50"/>
  <c r="U71" i="50"/>
  <c r="AB17" i="50"/>
  <c r="L35" i="50"/>
  <c r="AH60" i="50"/>
  <c r="AC17" i="50"/>
  <c r="AO35" i="50"/>
  <c r="O51" i="50"/>
  <c r="S10" i="50"/>
  <c r="P18" i="50"/>
  <c r="AG8" i="50"/>
  <c r="R63" i="50"/>
  <c r="AE22" i="50"/>
  <c r="AD39" i="50"/>
  <c r="AO17" i="50"/>
  <c r="AG13" i="50"/>
  <c r="AI23" i="50"/>
  <c r="AL39" i="50"/>
  <c r="Z53" i="50"/>
  <c r="AF32" i="50"/>
  <c r="Z69" i="50"/>
  <c r="AG55" i="50"/>
  <c r="X52" i="50"/>
  <c r="S67" i="50"/>
  <c r="AH35" i="50"/>
  <c r="AO27" i="50"/>
  <c r="R70" i="50"/>
  <c r="N71" i="50"/>
  <c r="Q63" i="50"/>
  <c r="AE53" i="50"/>
  <c r="Y56" i="50"/>
  <c r="AE41" i="50"/>
  <c r="AJ52" i="50"/>
  <c r="AF30" i="50"/>
  <c r="AF47" i="50"/>
  <c r="X62" i="50"/>
  <c r="Y28" i="50"/>
  <c r="AI11" i="50"/>
  <c r="Y44" i="50"/>
  <c r="X12" i="50"/>
  <c r="AC42" i="50"/>
  <c r="V69" i="50"/>
  <c r="AG28" i="50"/>
  <c r="N12" i="50"/>
  <c r="O18" i="50"/>
  <c r="N40" i="50"/>
  <c r="AM35" i="50"/>
  <c r="AB62" i="50"/>
  <c r="Y25" i="50"/>
  <c r="AO18" i="50"/>
  <c r="AM23" i="50"/>
  <c r="M24" i="50"/>
  <c r="Y68" i="50"/>
  <c r="M70" i="50"/>
  <c r="AH11" i="50"/>
  <c r="AL54" i="50"/>
  <c r="M10" i="50"/>
  <c r="AC26" i="50"/>
  <c r="N66" i="50"/>
  <c r="R64" i="50"/>
  <c r="X6" i="50"/>
  <c r="AL27" i="50"/>
  <c r="AK65" i="50"/>
  <c r="AE56" i="50"/>
  <c r="T62" i="50"/>
  <c r="W43" i="50"/>
  <c r="AI8" i="50"/>
  <c r="L13" i="50"/>
  <c r="R42" i="50"/>
  <c r="AA65" i="50"/>
  <c r="AJ37" i="50"/>
  <c r="Q34" i="50"/>
  <c r="AL64" i="50"/>
  <c r="W58" i="50"/>
  <c r="AD70" i="50"/>
  <c r="Z71" i="50"/>
  <c r="AI51" i="50"/>
  <c r="AN69" i="50"/>
  <c r="X26" i="50"/>
  <c r="AM57" i="50"/>
  <c r="V19" i="50"/>
  <c r="AM42" i="50"/>
  <c r="N46" i="50"/>
  <c r="S28" i="50"/>
  <c r="AE44" i="50"/>
  <c r="M22" i="50"/>
  <c r="L62" i="50"/>
  <c r="AM30" i="50"/>
  <c r="M40" i="50"/>
  <c r="X42" i="50"/>
  <c r="L7" i="50"/>
  <c r="AC47" i="50"/>
  <c r="T63" i="50"/>
  <c r="W48" i="50"/>
  <c r="AM5" i="50"/>
  <c r="R31" i="50"/>
  <c r="P20" i="50"/>
  <c r="X8" i="50"/>
  <c r="Q53" i="50"/>
  <c r="S30" i="50"/>
  <c r="AE63" i="50"/>
  <c r="X53" i="50"/>
  <c r="AD60" i="50"/>
  <c r="W39" i="50"/>
  <c r="N15" i="50"/>
  <c r="T10" i="50"/>
  <c r="V40" i="50"/>
  <c r="R17" i="50"/>
  <c r="AB33" i="50"/>
  <c r="AL44" i="50"/>
  <c r="AC55" i="50"/>
  <c r="AF33" i="50"/>
  <c r="AL34" i="50"/>
  <c r="O46" i="50"/>
  <c r="L34" i="50"/>
  <c r="P59" i="50"/>
  <c r="AF70" i="50"/>
  <c r="AI57" i="50"/>
  <c r="AE47" i="50"/>
  <c r="S13" i="50"/>
  <c r="Q56" i="50"/>
  <c r="AC37" i="50"/>
  <c r="P39" i="50"/>
  <c r="W15" i="50"/>
  <c r="AA28" i="50"/>
  <c r="T51" i="50"/>
  <c r="O54" i="50"/>
  <c r="AA42" i="50"/>
  <c r="L42" i="50"/>
  <c r="AI25" i="50"/>
  <c r="R5" i="50"/>
  <c r="Y39" i="50"/>
  <c r="AL51" i="50"/>
  <c r="T6" i="50"/>
  <c r="AK68" i="50"/>
  <c r="AD8" i="50"/>
  <c r="AM32" i="50"/>
  <c r="U43" i="50"/>
  <c r="N27" i="50"/>
  <c r="L61" i="50"/>
  <c r="O24" i="50"/>
  <c r="Z60" i="50"/>
  <c r="V66" i="50"/>
  <c r="O70" i="50"/>
  <c r="V45" i="50"/>
  <c r="AC28" i="50"/>
  <c r="AF13" i="50"/>
  <c r="Z45" i="50"/>
  <c r="P65" i="50"/>
  <c r="L21" i="50"/>
  <c r="L11" i="50"/>
  <c r="AO20" i="50"/>
  <c r="AI26" i="50"/>
  <c r="AC53" i="50"/>
  <c r="AN20" i="50"/>
  <c r="AC15" i="50"/>
  <c r="AE43" i="50"/>
  <c r="X18" i="50"/>
  <c r="AE46" i="50"/>
  <c r="W33" i="50"/>
  <c r="M32" i="50"/>
  <c r="AM44" i="50"/>
  <c r="Q42" i="50"/>
  <c r="Y37" i="50"/>
  <c r="AK16" i="50"/>
  <c r="R62" i="50"/>
  <c r="AJ47" i="50"/>
  <c r="AK59" i="50"/>
  <c r="AK62" i="50"/>
  <c r="AE62" i="50"/>
  <c r="O29" i="50"/>
  <c r="AB45" i="50"/>
  <c r="AL20" i="50"/>
  <c r="AO22" i="50"/>
  <c r="AN51" i="50"/>
  <c r="W14" i="50"/>
  <c r="M52" i="50"/>
  <c r="AH39" i="50"/>
  <c r="M25" i="50"/>
  <c r="N5" i="50"/>
  <c r="Z38" i="50"/>
  <c r="AJ62" i="50"/>
  <c r="AG57" i="50"/>
  <c r="P41" i="50"/>
  <c r="O67" i="50"/>
  <c r="AD51" i="50"/>
  <c r="AK18" i="50"/>
  <c r="V33" i="50"/>
  <c r="AJ57" i="50"/>
  <c r="O42" i="50"/>
  <c r="U21" i="50"/>
  <c r="M11" i="50"/>
  <c r="AE50" i="50"/>
  <c r="Q26" i="50"/>
  <c r="Y24" i="50"/>
  <c r="AJ50" i="50"/>
  <c r="U38" i="50"/>
  <c r="AG11" i="50"/>
  <c r="M57" i="50"/>
  <c r="AD66" i="50"/>
  <c r="AC60" i="50"/>
  <c r="W26" i="50"/>
  <c r="W44" i="50"/>
  <c r="V41" i="50"/>
  <c r="AA17" i="50"/>
  <c r="AN64" i="50"/>
  <c r="AE18" i="50"/>
  <c r="W13" i="50"/>
  <c r="AM69" i="50"/>
  <c r="M51" i="50"/>
  <c r="U22" i="50"/>
  <c r="AO30" i="50"/>
  <c r="AI40" i="50"/>
  <c r="L17" i="50"/>
  <c r="O45" i="50"/>
  <c r="AF52" i="50"/>
  <c r="L57" i="50"/>
  <c r="AO19" i="50"/>
  <c r="AK34" i="50"/>
  <c r="V17" i="50"/>
  <c r="S44" i="50"/>
  <c r="R57" i="50"/>
  <c r="P46" i="50"/>
  <c r="AD63" i="50"/>
  <c r="R66" i="50"/>
  <c r="X35" i="50"/>
  <c r="AO45" i="50"/>
  <c r="V22" i="50"/>
  <c r="AJ63" i="50"/>
  <c r="AH32" i="50"/>
  <c r="AN32" i="50"/>
  <c r="U17" i="50"/>
  <c r="AM26" i="50"/>
  <c r="L29" i="50"/>
  <c r="AO38" i="50"/>
  <c r="AH41" i="50"/>
  <c r="S32" i="50"/>
  <c r="AL26" i="50"/>
  <c r="V43" i="50"/>
  <c r="AO24" i="50"/>
  <c r="AO55" i="50"/>
  <c r="AL45" i="50"/>
  <c r="AL68" i="50"/>
  <c r="AJ27" i="50"/>
  <c r="AH15" i="50"/>
  <c r="M61" i="50"/>
  <c r="Z67" i="50"/>
  <c r="AC27" i="50"/>
  <c r="T42" i="50"/>
  <c r="S25" i="50"/>
  <c r="AA11" i="50"/>
  <c r="W9" i="50"/>
  <c r="AE55" i="50"/>
  <c r="AD65" i="50"/>
  <c r="AO68" i="50"/>
  <c r="Q27" i="50"/>
  <c r="Z28" i="50"/>
  <c r="Q16" i="50"/>
  <c r="AL30" i="50"/>
  <c r="P66" i="50"/>
  <c r="N9" i="50"/>
  <c r="R53" i="50"/>
  <c r="S35" i="50"/>
  <c r="AH25" i="50"/>
  <c r="P40" i="50"/>
  <c r="AI5" i="50"/>
  <c r="R47" i="50"/>
  <c r="AB13" i="50"/>
  <c r="AH71" i="50"/>
  <c r="AE17" i="50"/>
  <c r="AA5" i="50"/>
  <c r="AF54" i="50"/>
  <c r="AA49" i="50"/>
  <c r="AC62" i="50"/>
  <c r="V63" i="50"/>
  <c r="W51" i="50"/>
  <c r="Q58" i="50"/>
  <c r="X49" i="50"/>
  <c r="AF18" i="50"/>
  <c r="O28" i="50"/>
  <c r="T71" i="50"/>
  <c r="S50" i="50"/>
  <c r="AF25" i="50"/>
  <c r="M65" i="50"/>
  <c r="AG19" i="50"/>
  <c r="W36" i="50"/>
  <c r="AB25" i="50"/>
  <c r="M45" i="50"/>
  <c r="L5" i="50"/>
  <c r="AJ60" i="50"/>
  <c r="AJ61" i="50"/>
  <c r="AH47" i="50"/>
  <c r="W38" i="50"/>
  <c r="R8" i="50"/>
  <c r="Z68" i="50"/>
  <c r="AJ32" i="50"/>
  <c r="N34" i="50"/>
  <c r="AF44" i="50"/>
  <c r="AO69" i="50"/>
  <c r="AH65" i="50"/>
  <c r="AE39" i="50"/>
  <c r="R51" i="50"/>
  <c r="P8" i="50"/>
  <c r="AE32" i="50"/>
  <c r="L6" i="50"/>
  <c r="Z20" i="50"/>
  <c r="AD21" i="50"/>
  <c r="AB53" i="50"/>
  <c r="AF21" i="50"/>
  <c r="L51" i="50"/>
  <c r="Y42" i="50"/>
  <c r="Z34" i="50"/>
  <c r="O16" i="50"/>
  <c r="U65" i="50"/>
  <c r="AE23" i="50"/>
  <c r="AL36" i="50"/>
  <c r="AE69" i="50"/>
  <c r="AL18" i="50"/>
  <c r="AK32" i="50"/>
  <c r="W7" i="50"/>
  <c r="AN52" i="50"/>
  <c r="AA51" i="50"/>
  <c r="M49" i="50"/>
  <c r="T70" i="50"/>
  <c r="V30" i="50"/>
  <c r="AJ38" i="50"/>
  <c r="AM68" i="50"/>
  <c r="Q57" i="50"/>
  <c r="O15" i="50"/>
  <c r="Y62" i="50"/>
  <c r="U66" i="50"/>
  <c r="X44" i="50"/>
  <c r="AO36" i="50"/>
  <c r="AL5" i="50"/>
  <c r="AK55" i="50"/>
  <c r="AB50" i="50"/>
  <c r="AB65" i="50"/>
  <c r="AM28" i="50"/>
  <c r="T12" i="50"/>
  <c r="Z61" i="50"/>
  <c r="O14" i="50"/>
  <c r="AJ13" i="50"/>
  <c r="Q7" i="50"/>
  <c r="AI27" i="50"/>
  <c r="X33" i="50"/>
  <c r="AJ34" i="50"/>
  <c r="AB18" i="50"/>
  <c r="M42" i="50"/>
  <c r="AI41" i="50"/>
  <c r="AI55" i="50"/>
  <c r="AA39" i="50"/>
  <c r="M50" i="50"/>
  <c r="L65" i="50"/>
  <c r="AF48" i="50"/>
  <c r="AG65" i="50"/>
  <c r="AC23" i="50"/>
  <c r="M53" i="50"/>
  <c r="X59" i="50"/>
  <c r="N26" i="50"/>
  <c r="S39" i="50"/>
  <c r="AC11" i="50"/>
  <c r="W25" i="50"/>
  <c r="AM39" i="50"/>
  <c r="AB71" i="50"/>
  <c r="W65" i="50"/>
  <c r="P63" i="50"/>
  <c r="AL17" i="50"/>
  <c r="AC39" i="50"/>
  <c r="M14" i="50"/>
  <c r="AN23" i="50"/>
  <c r="AO21" i="50"/>
  <c r="AA30" i="50"/>
  <c r="L59" i="50"/>
  <c r="T64" i="50"/>
  <c r="AK39" i="50"/>
  <c r="AC33" i="50"/>
  <c r="AI47" i="50"/>
  <c r="O62" i="50"/>
  <c r="U69" i="50"/>
  <c r="R41" i="50"/>
  <c r="W34" i="50"/>
  <c r="AL42" i="50"/>
  <c r="V55" i="50"/>
  <c r="S68" i="50"/>
  <c r="Y36" i="50"/>
  <c r="AJ23" i="50"/>
  <c r="AH50" i="50"/>
  <c r="N41" i="50"/>
  <c r="Z59" i="50"/>
  <c r="AD48" i="50"/>
  <c r="AM22" i="50"/>
  <c r="P53" i="50"/>
  <c r="AI60" i="50"/>
  <c r="AH51" i="50"/>
  <c r="AD10" i="50"/>
  <c r="W21" i="50"/>
  <c r="AH23" i="50"/>
  <c r="O43" i="50"/>
  <c r="O34" i="50"/>
  <c r="M23" i="50"/>
  <c r="AF26" i="50"/>
  <c r="AA24" i="50"/>
  <c r="T31" i="50"/>
  <c r="Q43" i="50"/>
  <c r="AM25" i="50"/>
  <c r="M39" i="50"/>
  <c r="AB63" i="50"/>
  <c r="AM50" i="50"/>
  <c r="N17" i="50"/>
  <c r="T25" i="50"/>
  <c r="AB66" i="50"/>
  <c r="R59" i="50"/>
  <c r="AF12" i="50"/>
  <c r="AH66" i="50"/>
  <c r="AF61" i="50"/>
  <c r="AL14" i="50"/>
  <c r="AL71" i="50"/>
  <c r="AL69" i="50"/>
  <c r="AN62" i="50"/>
  <c r="AO59" i="50"/>
  <c r="AA38" i="50"/>
  <c r="AO13" i="50"/>
  <c r="V32" i="50"/>
  <c r="Q46" i="50"/>
  <c r="O33" i="50"/>
  <c r="O25" i="50"/>
  <c r="T67" i="50"/>
  <c r="O56" i="50"/>
  <c r="V25" i="50"/>
  <c r="AI15" i="50"/>
  <c r="AM54" i="50"/>
  <c r="Q52" i="50"/>
  <c r="M13" i="50"/>
  <c r="AH33" i="50"/>
  <c r="S37" i="50"/>
  <c r="T23" i="50"/>
  <c r="AC71" i="50"/>
  <c r="W66" i="50"/>
  <c r="AN56" i="50"/>
  <c r="U10" i="50"/>
  <c r="AK25" i="50"/>
  <c r="Z62" i="50"/>
  <c r="W59" i="50"/>
  <c r="AD15" i="50"/>
  <c r="Y5" i="50"/>
  <c r="S43" i="50"/>
  <c r="AD7" i="50"/>
  <c r="AB46" i="50"/>
  <c r="AK66" i="50"/>
  <c r="V10" i="50"/>
  <c r="S53" i="50"/>
  <c r="AJ53" i="50"/>
  <c r="U20" i="50"/>
  <c r="X21" i="50"/>
  <c r="AN39" i="50"/>
  <c r="AF11" i="50"/>
  <c r="M56" i="50"/>
  <c r="O71" i="50"/>
  <c r="L41" i="50"/>
  <c r="X57" i="50"/>
  <c r="X69" i="50"/>
  <c r="AI61" i="50"/>
  <c r="AI31" i="50"/>
  <c r="X27" i="50"/>
  <c r="Y59" i="50"/>
  <c r="AN67" i="50"/>
  <c r="M12" i="50"/>
  <c r="N11" i="50"/>
  <c r="AI6" i="50"/>
  <c r="N60" i="50"/>
  <c r="N47" i="50"/>
  <c r="Y8" i="50"/>
  <c r="AO9" i="50"/>
  <c r="L18" i="50"/>
  <c r="W18" i="50"/>
  <c r="AI70" i="50"/>
  <c r="T44" i="50"/>
  <c r="AG38" i="50"/>
  <c r="S71" i="50"/>
  <c r="U27" i="50"/>
  <c r="AM36" i="50"/>
  <c r="AB7" i="50"/>
  <c r="AC54" i="50"/>
  <c r="S17" i="50"/>
  <c r="AE8" i="50"/>
  <c r="O17" i="50"/>
  <c r="P33" i="50"/>
  <c r="AB57" i="50"/>
  <c r="W46" i="50"/>
  <c r="AJ45" i="50"/>
  <c r="S61" i="50"/>
  <c r="AD56" i="50"/>
  <c r="Q68" i="50"/>
  <c r="P58" i="50"/>
  <c r="S52" i="50"/>
  <c r="P35" i="50"/>
  <c r="AG69" i="50"/>
  <c r="AI63" i="50"/>
  <c r="AG26" i="50"/>
  <c r="L9" i="50"/>
  <c r="U54" i="50"/>
  <c r="Y57" i="50"/>
  <c r="AN35" i="50"/>
  <c r="V58" i="50"/>
  <c r="AO46" i="50"/>
  <c r="S62" i="50"/>
  <c r="AO37" i="50"/>
  <c r="AC7" i="50"/>
  <c r="S42" i="50"/>
  <c r="N32" i="50"/>
  <c r="AI29" i="50"/>
  <c r="AO28" i="50"/>
  <c r="P21" i="50"/>
  <c r="AH20" i="50"/>
  <c r="AG51" i="50"/>
  <c r="R21" i="50"/>
  <c r="AK5" i="50"/>
  <c r="AN8" i="50"/>
  <c r="AB30" i="50"/>
  <c r="AH19" i="50"/>
  <c r="AM34" i="50"/>
  <c r="AA31" i="50"/>
  <c r="V29" i="50"/>
  <c r="T33" i="50"/>
  <c r="AI53" i="50"/>
  <c r="AM33" i="50"/>
  <c r="P71" i="50"/>
  <c r="AL28" i="50"/>
  <c r="AC59" i="50"/>
  <c r="T47" i="50"/>
  <c r="AH29" i="50"/>
  <c r="N33" i="50"/>
  <c r="AJ40" i="50"/>
  <c r="AE65" i="50"/>
  <c r="AA48" i="50"/>
  <c r="P62" i="50"/>
  <c r="O41" i="50"/>
  <c r="T29" i="50"/>
  <c r="N53" i="50"/>
  <c r="P52" i="50"/>
  <c r="AD37" i="50"/>
  <c r="AM64" i="50"/>
  <c r="N67" i="50"/>
  <c r="AM4" i="50"/>
  <c r="AD33" i="50"/>
  <c r="AH30" i="50"/>
  <c r="Q13" i="50"/>
  <c r="AN54" i="50"/>
  <c r="AE64" i="50"/>
  <c r="R43" i="50"/>
  <c r="AJ15" i="50"/>
  <c r="Z63" i="50"/>
  <c r="S55" i="50"/>
  <c r="R11" i="50"/>
  <c r="Z66" i="50"/>
  <c r="U58" i="50"/>
  <c r="AF27" i="50"/>
  <c r="AG49" i="50"/>
  <c r="Z27" i="50"/>
  <c r="S8" i="50"/>
  <c r="Q32" i="50"/>
  <c r="AM8" i="50"/>
  <c r="AJ42" i="50"/>
  <c r="Z9" i="50"/>
  <c r="U23" i="50"/>
  <c r="AF34" i="50"/>
  <c r="AF24" i="50"/>
  <c r="AL33" i="50"/>
  <c r="AD57" i="50"/>
  <c r="R18" i="50"/>
  <c r="AI67" i="50"/>
  <c r="AO31" i="50"/>
  <c r="AK48" i="50"/>
  <c r="U62" i="50"/>
  <c r="M21" i="50"/>
  <c r="AN38" i="50"/>
  <c r="AD32" i="50"/>
  <c r="AN53" i="50"/>
  <c r="AK11" i="50"/>
  <c r="AF41" i="50"/>
  <c r="AA18" i="50"/>
  <c r="AB59" i="50"/>
  <c r="AK58" i="50"/>
  <c r="Z37" i="50"/>
  <c r="T37" i="50"/>
  <c r="AM38" i="50"/>
  <c r="M71" i="50"/>
  <c r="R34" i="50"/>
  <c r="N29" i="50"/>
  <c r="AH43" i="50"/>
  <c r="O22" i="50"/>
  <c r="O9" i="50"/>
  <c r="R71" i="50"/>
  <c r="M20" i="50"/>
  <c r="P67" i="50"/>
  <c r="P64" i="50"/>
  <c r="AC25" i="50"/>
  <c r="AL9" i="50"/>
  <c r="U36" i="50"/>
  <c r="AE33" i="50"/>
  <c r="AG41" i="50"/>
  <c r="AJ68" i="50"/>
  <c r="AI45" i="50"/>
  <c r="T53" i="50"/>
  <c r="AC48" i="50"/>
  <c r="L32" i="50"/>
  <c r="AK40" i="50"/>
  <c r="AN16" i="50"/>
  <c r="R22" i="50"/>
  <c r="M33" i="50"/>
  <c r="O50" i="50"/>
  <c r="AL13" i="50"/>
  <c r="V68" i="50"/>
  <c r="AL65" i="50"/>
  <c r="AO44" i="50"/>
  <c r="U19" i="50"/>
  <c r="T38" i="50"/>
  <c r="AD41" i="50"/>
  <c r="AD40" i="50"/>
  <c r="W24" i="50"/>
  <c r="AD9" i="50"/>
  <c r="L53" i="50"/>
  <c r="S47" i="50"/>
  <c r="S49" i="50"/>
  <c r="T66" i="50"/>
  <c r="AM56" i="50"/>
  <c r="AA45" i="50"/>
  <c r="M36" i="50"/>
  <c r="Z39" i="50"/>
  <c r="U45" i="50"/>
  <c r="AA67" i="50"/>
  <c r="AJ48" i="50"/>
  <c r="AA55" i="50"/>
  <c r="AB60" i="50"/>
  <c r="AK28" i="50"/>
  <c r="AK45" i="50"/>
  <c r="AF38" i="50"/>
  <c r="Q22" i="50"/>
  <c r="P31" i="50"/>
  <c r="AC68" i="50"/>
  <c r="P14" i="50"/>
  <c r="U6" i="50"/>
  <c r="T57" i="50"/>
  <c r="AK69" i="50"/>
  <c r="M29" i="50"/>
  <c r="R49" i="50"/>
  <c r="AG22" i="50"/>
  <c r="AD59" i="50"/>
  <c r="AN41" i="50"/>
  <c r="O39" i="50"/>
  <c r="P24" i="50"/>
  <c r="AC32" i="50"/>
  <c r="AG67" i="50"/>
  <c r="Z19" i="50"/>
  <c r="Z22" i="50"/>
  <c r="M64" i="50"/>
  <c r="AM6" i="50"/>
  <c r="S59" i="50"/>
  <c r="N23" i="50"/>
  <c r="AO12" i="50"/>
  <c r="AF45" i="50"/>
  <c r="AK26" i="50"/>
  <c r="AF55" i="50"/>
  <c r="AA22" i="50"/>
  <c r="AL70" i="50"/>
  <c r="O32" i="50"/>
  <c r="O20" i="50"/>
  <c r="Y7" i="50"/>
  <c r="R23" i="50"/>
  <c r="AJ67" i="50"/>
  <c r="Z42" i="50"/>
  <c r="AJ10" i="50"/>
  <c r="AN18" i="50"/>
  <c r="AE21" i="50"/>
  <c r="AN50" i="50"/>
  <c r="N65" i="50"/>
  <c r="W5" i="50"/>
  <c r="V51" i="50"/>
  <c r="V70" i="50"/>
  <c r="W64" i="50"/>
  <c r="R61" i="50"/>
  <c r="V50" i="50"/>
  <c r="U44" i="50"/>
  <c r="R54" i="50"/>
  <c r="AE68" i="50"/>
  <c r="R69" i="50"/>
  <c r="P51" i="50"/>
  <c r="AA27" i="50"/>
  <c r="P28" i="50"/>
  <c r="AH7" i="50"/>
  <c r="AH55" i="50"/>
  <c r="AC45" i="50"/>
  <c r="L40" i="50"/>
  <c r="AH27" i="50"/>
  <c r="R45" i="50"/>
  <c r="AB11" i="50"/>
  <c r="AM24" i="50"/>
  <c r="Q14" i="50"/>
  <c r="AF15" i="50"/>
  <c r="X34" i="50"/>
  <c r="T54" i="50"/>
  <c r="Z26" i="50"/>
  <c r="AJ58" i="50"/>
  <c r="Y10" i="50"/>
  <c r="AF9" i="50"/>
  <c r="P55" i="50"/>
  <c r="AK41" i="50"/>
  <c r="AA59" i="50"/>
  <c r="T26" i="50"/>
  <c r="AC13" i="50"/>
  <c r="P6" i="50"/>
  <c r="AC5" i="50"/>
  <c r="N38" i="50"/>
  <c r="Y6" i="50"/>
  <c r="T22" i="50"/>
  <c r="AB44" i="50"/>
  <c r="AN27" i="50"/>
  <c r="AJ51" i="50"/>
  <c r="AC52" i="50"/>
  <c r="AK67" i="50"/>
  <c r="AB5" i="50"/>
  <c r="AO60" i="50"/>
  <c r="Y61" i="50"/>
  <c r="AB20" i="50"/>
  <c r="T46" i="50"/>
  <c r="AF58" i="50"/>
  <c r="Z54" i="50"/>
  <c r="AO56" i="50"/>
  <c r="X48" i="50"/>
  <c r="AJ46" i="50"/>
  <c r="L24" i="50"/>
  <c r="Y31" i="50"/>
  <c r="AM16" i="50"/>
  <c r="AC34" i="50"/>
  <c r="Q31" i="50"/>
  <c r="R9" i="50"/>
  <c r="AB67" i="50"/>
  <c r="AL32" i="50"/>
  <c r="AA50" i="50"/>
  <c r="AO49" i="50"/>
  <c r="W6" i="50"/>
  <c r="L56" i="50"/>
  <c r="AI14" i="50"/>
  <c r="O57" i="50"/>
  <c r="Y29" i="50"/>
  <c r="V12" i="50"/>
  <c r="M38" i="50"/>
  <c r="Q23" i="50"/>
  <c r="AH54" i="50"/>
  <c r="Y48" i="50"/>
  <c r="AH44" i="50"/>
  <c r="W54" i="50"/>
  <c r="S70" i="50"/>
  <c r="AH16" i="50"/>
  <c r="W49" i="50"/>
  <c r="V28" i="50"/>
  <c r="R44" i="50"/>
  <c r="AG36" i="50"/>
  <c r="T52" i="50"/>
  <c r="P43" i="50"/>
  <c r="AN7" i="50"/>
  <c r="U68" i="50"/>
  <c r="AN11" i="50"/>
  <c r="U41" i="50"/>
  <c r="AG18" i="50"/>
  <c r="W60" i="50"/>
  <c r="AI34" i="50"/>
  <c r="AB35" i="50"/>
  <c r="S69" i="50"/>
  <c r="AC19" i="50"/>
  <c r="O60" i="50"/>
  <c r="Y32" i="50"/>
  <c r="AN66" i="50"/>
  <c r="AE11" i="50"/>
  <c r="V53" i="50"/>
  <c r="W56" i="50"/>
  <c r="R52" i="50"/>
  <c r="AB49" i="50"/>
  <c r="AD34" i="50"/>
  <c r="P70" i="50"/>
  <c r="AM49" i="50"/>
  <c r="AN44" i="50"/>
  <c r="V64" i="50"/>
  <c r="AD62" i="50"/>
  <c r="AH37" i="50"/>
  <c r="M47" i="50"/>
  <c r="V8" i="50"/>
  <c r="W52" i="50"/>
  <c r="AH67" i="50"/>
  <c r="P17" i="50"/>
  <c r="AA60" i="50"/>
  <c r="T14" i="50"/>
  <c r="AN57" i="50"/>
  <c r="Q60" i="50"/>
  <c r="O37" i="50"/>
  <c r="T28" i="50"/>
  <c r="AK53" i="50"/>
  <c r="AN13" i="50"/>
  <c r="AH40" i="50"/>
  <c r="AB36" i="50"/>
  <c r="AB39" i="50"/>
  <c r="W42" i="50"/>
  <c r="AL6" i="50"/>
  <c r="AD52" i="50"/>
  <c r="AA64" i="50"/>
  <c r="AD45" i="50"/>
  <c r="AI35" i="50"/>
  <c r="AF66" i="50"/>
  <c r="O21" i="50"/>
  <c r="AH38" i="50"/>
  <c r="AL67" i="50"/>
  <c r="Q50" i="50"/>
  <c r="R6" i="50"/>
  <c r="Q19" i="50"/>
  <c r="Y54" i="50"/>
  <c r="W10" i="50"/>
  <c r="AB34" i="50"/>
  <c r="O38" i="50"/>
  <c r="V57" i="50"/>
  <c r="AL25" i="50"/>
  <c r="X61" i="50"/>
  <c r="AF50" i="50"/>
  <c r="W53" i="50"/>
  <c r="O53" i="50"/>
  <c r="Z52" i="50"/>
  <c r="AH64" i="50"/>
  <c r="AO57" i="50"/>
  <c r="AK38" i="50"/>
  <c r="AC10" i="50"/>
  <c r="AF22" i="50"/>
  <c r="N44" i="50"/>
  <c r="T58" i="50"/>
  <c r="AC36" i="50"/>
  <c r="AK29" i="50"/>
  <c r="AO8" i="50"/>
  <c r="AO16" i="50"/>
  <c r="V39" i="50"/>
  <c r="AF53" i="50"/>
  <c r="Y65" i="50"/>
  <c r="AK33" i="50"/>
  <c r="AE6" i="50"/>
  <c r="N58" i="50"/>
  <c r="AE25" i="50"/>
  <c r="T43" i="50"/>
  <c r="AM70" i="50"/>
  <c r="L43" i="50"/>
  <c r="AN14" i="50"/>
  <c r="AO32" i="50"/>
  <c r="AG71" i="50"/>
  <c r="Z6" i="50"/>
  <c r="O12" i="50"/>
  <c r="AH62" i="50"/>
  <c r="O7" i="50"/>
  <c r="AA46" i="50"/>
  <c r="W40" i="50"/>
  <c r="AC50" i="50"/>
  <c r="AN49" i="50"/>
  <c r="X9" i="50"/>
  <c r="P57" i="50"/>
  <c r="Z10" i="50"/>
  <c r="R68" i="50"/>
  <c r="AB47" i="50"/>
  <c r="AC14" i="50"/>
  <c r="S36" i="50"/>
  <c r="AN17" i="50"/>
  <c r="N62" i="50"/>
  <c r="AL11" i="50"/>
  <c r="N69" i="50"/>
  <c r="AE7" i="50"/>
  <c r="AF37" i="50"/>
  <c r="Z56" i="50"/>
  <c r="AN31" i="50"/>
  <c r="AK52" i="50"/>
  <c r="R48" i="50"/>
  <c r="AJ43" i="50"/>
  <c r="S65" i="50"/>
  <c r="AO71" i="50"/>
  <c r="AN21" i="50"/>
  <c r="AM47" i="50"/>
  <c r="AL62" i="50"/>
  <c r="W35" i="50"/>
  <c r="Y55" i="50"/>
  <c r="AO54" i="50"/>
  <c r="O68" i="50"/>
  <c r="AC9" i="50"/>
  <c r="AE38" i="50"/>
  <c r="AK35" i="50"/>
  <c r="AN70" i="50"/>
  <c r="V27" i="50"/>
  <c r="U29" i="50"/>
  <c r="AA68" i="50"/>
  <c r="AD23" i="50"/>
  <c r="AI71" i="50"/>
  <c r="Q12" i="50"/>
  <c r="AJ25" i="50"/>
  <c r="AF14" i="50"/>
  <c r="AN65" i="50"/>
  <c r="AH21" i="50"/>
  <c r="P7" i="50"/>
  <c r="AI36" i="50"/>
  <c r="R46" i="50"/>
  <c r="AE70" i="50"/>
  <c r="U28" i="50"/>
  <c r="Q39" i="50"/>
  <c r="AF60" i="50"/>
  <c r="AJ20" i="50"/>
  <c r="Q54" i="50"/>
  <c r="AF5" i="50"/>
  <c r="R39" i="50"/>
  <c r="P27" i="50"/>
  <c r="S27" i="50"/>
  <c r="L10" i="50"/>
  <c r="AD49" i="50"/>
  <c r="AE59" i="50"/>
  <c r="AO15" i="50"/>
  <c r="T45" i="50"/>
  <c r="T61" i="50"/>
  <c r="W41" i="50"/>
  <c r="L26" i="50"/>
  <c r="AB70" i="50"/>
  <c r="Z14" i="50"/>
  <c r="AE51" i="50"/>
  <c r="AD30" i="50"/>
  <c r="L47" i="50"/>
  <c r="AE40" i="50"/>
  <c r="Q36" i="50"/>
  <c r="S15" i="50"/>
  <c r="U25" i="50"/>
  <c r="AM10" i="50"/>
  <c r="Q21" i="50"/>
  <c r="AD44" i="50"/>
  <c r="AI20" i="50"/>
  <c r="Q25" i="50"/>
  <c r="AE30" i="50"/>
  <c r="AI32" i="50"/>
  <c r="AN63" i="50"/>
  <c r="W22" i="50"/>
  <c r="M63" i="50"/>
  <c r="AH57" i="50"/>
  <c r="AN43" i="50"/>
  <c r="AM19" i="50"/>
  <c r="V59" i="50"/>
  <c r="AF69" i="50"/>
  <c r="U64" i="50"/>
  <c r="AA20" i="50"/>
  <c r="AL8" i="50"/>
  <c r="AO34" i="50"/>
  <c r="AK19" i="50"/>
  <c r="P49" i="50"/>
  <c r="AO11" i="50"/>
  <c r="L46" i="50"/>
  <c r="Q67" i="50"/>
  <c r="O8" i="50"/>
  <c r="AA29" i="50"/>
  <c r="AN55" i="50"/>
  <c r="AN46" i="50"/>
  <c r="Z50" i="50"/>
  <c r="S7" i="50"/>
  <c r="Y34" i="50"/>
  <c r="AC61" i="50"/>
  <c r="N51" i="50"/>
  <c r="AJ18" i="50"/>
  <c r="AG6" i="50"/>
  <c r="AN40" i="50"/>
  <c r="AO51" i="50"/>
  <c r="AM45" i="50"/>
  <c r="AJ7" i="50"/>
  <c r="AH12" i="50"/>
  <c r="Y20" i="50"/>
  <c r="Z8" i="50"/>
  <c r="U31" i="50"/>
  <c r="W28" i="50"/>
  <c r="Z35" i="50"/>
  <c r="AM27" i="50"/>
  <c r="P50" i="50"/>
  <c r="W63" i="50"/>
  <c r="AB22" i="50"/>
  <c r="AL10" i="50"/>
  <c r="AF40" i="50"/>
  <c r="AN34" i="50"/>
  <c r="AC30" i="50"/>
  <c r="O63" i="50"/>
  <c r="AI17" i="50"/>
  <c r="AF65" i="50"/>
  <c r="W30" i="50"/>
  <c r="L67" i="50"/>
  <c r="U34" i="50"/>
  <c r="AG50" i="50"/>
  <c r="Q41" i="50"/>
  <c r="W45" i="50"/>
  <c r="AM29" i="50"/>
  <c r="U57" i="50"/>
  <c r="Y66" i="50"/>
  <c r="AK42" i="50"/>
  <c r="M6" i="50"/>
  <c r="AL29" i="50"/>
  <c r="M55" i="50"/>
  <c r="AA34" i="50"/>
  <c r="AH36" i="50"/>
  <c r="Q49" i="50"/>
  <c r="AK17" i="50"/>
  <c r="AB43" i="50"/>
  <c r="AL60" i="50"/>
  <c r="AO47" i="50"/>
  <c r="O59" i="50"/>
  <c r="AJ14" i="50"/>
  <c r="Z48" i="50"/>
  <c r="V71" i="50"/>
  <c r="Q66" i="50"/>
  <c r="AK51" i="50"/>
  <c r="AF67" i="50"/>
  <c r="AO48" i="50"/>
  <c r="AE67" i="50"/>
  <c r="AC69" i="50"/>
  <c r="AA62" i="50"/>
  <c r="AL23" i="50"/>
  <c r="AM58" i="50"/>
  <c r="O69" i="50"/>
  <c r="V20" i="50"/>
  <c r="AG31" i="50"/>
  <c r="R25" i="50"/>
  <c r="Y13" i="50"/>
  <c r="AF28" i="50"/>
  <c r="N13" i="50"/>
  <c r="O26" i="50"/>
  <c r="AC70" i="50"/>
  <c r="L37" i="50"/>
  <c r="AD11" i="50"/>
  <c r="AI50" i="50"/>
  <c r="AD24" i="50"/>
  <c r="Z16" i="50"/>
  <c r="V67" i="50"/>
  <c r="X56" i="50"/>
  <c r="M19" i="50"/>
  <c r="R10" i="50"/>
  <c r="U63" i="50"/>
  <c r="AB55" i="50"/>
  <c r="AM20" i="50"/>
  <c r="P56" i="50"/>
  <c r="AI12" i="50"/>
  <c r="AJ55" i="50"/>
  <c r="AO58" i="50"/>
  <c r="AL31" i="50"/>
  <c r="AL59" i="50"/>
  <c r="AG58" i="50"/>
  <c r="V37" i="50"/>
  <c r="AA41" i="50"/>
  <c r="AA32" i="50"/>
  <c r="T36" i="50"/>
  <c r="AN37" i="50"/>
  <c r="V16" i="50"/>
  <c r="Y46" i="50"/>
  <c r="Q44" i="50"/>
  <c r="AO14" i="50"/>
  <c r="U32" i="50"/>
  <c r="U37" i="50"/>
  <c r="R65" i="50"/>
  <c r="T21" i="50"/>
  <c r="O61" i="50"/>
  <c r="M28" i="50"/>
  <c r="AB48" i="50"/>
  <c r="AM62" i="50"/>
  <c r="P5" i="50"/>
  <c r="T32" i="50"/>
  <c r="M27" i="50"/>
  <c r="AO6" i="50"/>
  <c r="AC43" i="50"/>
  <c r="Y22" i="50"/>
  <c r="P42" i="50"/>
  <c r="AC46" i="50"/>
  <c r="AG14" i="50"/>
  <c r="T60" i="50"/>
  <c r="V34" i="50"/>
  <c r="AM51" i="50"/>
  <c r="L52" i="50"/>
  <c r="V61" i="50"/>
  <c r="AG35" i="50"/>
  <c r="W12" i="50"/>
  <c r="AO23" i="50"/>
  <c r="AM14" i="50"/>
  <c r="Q61" i="50"/>
  <c r="AD58" i="50"/>
  <c r="W23" i="50"/>
  <c r="AI42" i="50"/>
  <c r="AE54" i="50"/>
  <c r="AG59" i="50"/>
  <c r="AC63" i="50"/>
  <c r="AC67" i="50"/>
  <c r="N50" i="50"/>
  <c r="O49" i="50"/>
  <c r="Z18" i="50"/>
  <c r="AI44" i="50"/>
  <c r="AG21" i="50"/>
  <c r="S40" i="50"/>
  <c r="M66" i="50"/>
  <c r="AN33" i="50"/>
  <c r="AG60" i="50"/>
  <c r="L48" i="50"/>
  <c r="AG46" i="50"/>
  <c r="AD28" i="50"/>
  <c r="M62" i="50"/>
  <c r="AF35" i="50"/>
  <c r="L49" i="50"/>
  <c r="T39" i="50"/>
  <c r="N57" i="50"/>
  <c r="AJ39" i="50"/>
  <c r="AB9" i="50"/>
  <c r="Y11" i="50"/>
  <c r="AK56" i="50"/>
  <c r="AH69" i="50"/>
  <c r="Z57" i="50"/>
  <c r="AL48" i="50"/>
  <c r="Q59" i="50"/>
  <c r="AB61" i="50"/>
  <c r="Q55" i="50"/>
  <c r="AA53" i="50"/>
  <c r="AM52" i="50"/>
  <c r="AJ66" i="50"/>
  <c r="W57" i="50"/>
  <c r="N30" i="50"/>
  <c r="AB68" i="50"/>
  <c r="AO62" i="50"/>
  <c r="P32" i="50"/>
  <c r="W17" i="50"/>
  <c r="AE35" i="50"/>
  <c r="AG70" i="50"/>
  <c r="O19" i="50"/>
  <c r="AI7" i="50"/>
  <c r="V13" i="50"/>
  <c r="AN59" i="50"/>
  <c r="R67" i="50"/>
  <c r="AH14" i="50"/>
  <c r="U24" i="50"/>
  <c r="N21" i="50"/>
  <c r="W37" i="50"/>
  <c r="R26" i="50"/>
  <c r="AH56" i="50"/>
  <c r="P25" i="50"/>
  <c r="AN29" i="50"/>
  <c r="Q45" i="50"/>
  <c r="S31" i="50"/>
  <c r="AA54" i="50"/>
  <c r="W67" i="50"/>
  <c r="Q30" i="50"/>
  <c r="Z23" i="50"/>
  <c r="P69" i="50"/>
  <c r="T50" i="50"/>
  <c r="AO43" i="50"/>
  <c r="AB10" i="50"/>
  <c r="AC41" i="50"/>
  <c r="AD69" i="50"/>
  <c r="L8" i="50"/>
  <c r="X66" i="50"/>
  <c r="V6" i="50"/>
  <c r="V65" i="50"/>
  <c r="AK54" i="50"/>
  <c r="AG66" i="50"/>
  <c r="AK24" i="50"/>
  <c r="AM48" i="50"/>
  <c r="O55" i="50"/>
  <c r="X67" i="50"/>
  <c r="AB12" i="50"/>
  <c r="AF7" i="50"/>
  <c r="AB52" i="50"/>
  <c r="Z31" i="50"/>
  <c r="P13" i="50"/>
  <c r="AH70" i="50"/>
  <c r="AO33" i="50"/>
  <c r="AK70" i="50"/>
  <c r="X64" i="50"/>
  <c r="AK27" i="50"/>
  <c r="AL50" i="50"/>
  <c r="AG64" i="50"/>
  <c r="AE58" i="50"/>
  <c r="AK49" i="50"/>
  <c r="AI10" i="50"/>
  <c r="AE71" i="50"/>
  <c r="AM67" i="50"/>
  <c r="AO26" i="50"/>
  <c r="T65" i="50"/>
  <c r="L60" i="50"/>
  <c r="T13" i="50"/>
  <c r="Q38" i="50"/>
  <c r="O64" i="50"/>
  <c r="N49" i="50"/>
  <c r="X24" i="50"/>
  <c r="AF62" i="50"/>
  <c r="AI64" i="50"/>
  <c r="AM66" i="50"/>
  <c r="AA56" i="50"/>
  <c r="AE34" i="50"/>
  <c r="Q20" i="50"/>
  <c r="AB58" i="50"/>
  <c r="AF56" i="50"/>
  <c r="AG63" i="50"/>
  <c r="AE29" i="50"/>
  <c r="Q70" i="50"/>
  <c r="R36" i="50"/>
  <c r="Q28" i="50"/>
  <c r="N24" i="50"/>
  <c r="AI56" i="50"/>
  <c r="AE10" i="50"/>
  <c r="AF23" i="50"/>
  <c r="AO39" i="50"/>
  <c r="AK30" i="50"/>
  <c r="Q17" i="50"/>
  <c r="S21" i="50"/>
  <c r="R60" i="50"/>
  <c r="M48" i="50"/>
  <c r="AB69" i="50"/>
  <c r="AC58" i="50"/>
  <c r="T68" i="50"/>
  <c r="Z36" i="50"/>
  <c r="AL19" i="50"/>
  <c r="AG27" i="50"/>
  <c r="N70" i="50"/>
  <c r="AN26" i="50"/>
  <c r="T20" i="50"/>
  <c r="AI48" i="50"/>
  <c r="N10" i="50"/>
  <c r="T27" i="50"/>
  <c r="S6" i="50"/>
  <c r="AI68" i="50"/>
  <c r="AN42" i="50"/>
  <c r="AH24" i="50"/>
  <c r="S24" i="50"/>
  <c r="AE57" i="50"/>
  <c r="M41" i="50"/>
  <c r="AD6" i="50"/>
  <c r="N43" i="50"/>
  <c r="AJ70" i="50"/>
  <c r="U42" i="50"/>
  <c r="Y9" i="50"/>
  <c r="Y43" i="50"/>
  <c r="N37" i="50"/>
  <c r="AK12" i="50"/>
  <c r="X43" i="50"/>
  <c r="X20" i="50"/>
  <c r="P68" i="50"/>
  <c r="AI69" i="50"/>
  <c r="AB6" i="50"/>
  <c r="AI62" i="50"/>
  <c r="V7" i="50"/>
  <c r="Y38" i="50"/>
  <c r="AK61" i="50"/>
  <c r="AD18" i="50"/>
  <c r="X51" i="50"/>
  <c r="AE49" i="50"/>
  <c r="S14" i="50"/>
  <c r="AD22" i="50"/>
  <c r="Q40" i="50"/>
  <c r="R16" i="50"/>
  <c r="AC20" i="50"/>
  <c r="U15" i="50"/>
  <c r="AC22" i="50"/>
  <c r="O5" i="50"/>
  <c r="V26" i="50"/>
  <c r="AF31" i="50"/>
  <c r="AK43" i="50"/>
  <c r="L22" i="50"/>
  <c r="S46" i="50"/>
  <c r="AD61" i="50"/>
  <c r="AF63" i="50"/>
  <c r="AB31" i="50"/>
  <c r="AI38" i="50"/>
  <c r="R55" i="50"/>
  <c r="U59" i="50"/>
  <c r="S48" i="50"/>
  <c r="U55" i="50"/>
  <c r="AD16" i="50"/>
  <c r="AL57" i="50"/>
  <c r="Z12" i="50"/>
  <c r="AG54" i="50"/>
  <c r="X5" i="50"/>
  <c r="AK14" i="50"/>
  <c r="T48" i="50"/>
  <c r="Z46" i="50"/>
  <c r="X60" i="50"/>
  <c r="N56" i="50"/>
  <c r="AM46" i="50"/>
  <c r="R56" i="50"/>
  <c r="AO65" i="50"/>
  <c r="U67" i="50"/>
  <c r="N39" i="50"/>
  <c r="U39" i="50"/>
  <c r="AA57" i="50"/>
  <c r="AG56" i="50"/>
  <c r="L33" i="50"/>
  <c r="U60" i="50"/>
  <c r="AG40" i="50"/>
  <c r="AM63" i="50"/>
  <c r="AD50" i="50"/>
  <c r="Q64" i="50"/>
  <c r="M17" i="50"/>
  <c r="AL37" i="50"/>
  <c r="Q69" i="50"/>
  <c r="W71" i="50"/>
  <c r="AE12" i="50"/>
  <c r="Y30" i="50"/>
  <c r="AG37" i="50"/>
  <c r="AI59" i="50"/>
  <c r="AN30" i="50"/>
  <c r="U51" i="50"/>
  <c r="AD68" i="50"/>
  <c r="AN4" i="50"/>
  <c r="V46" i="50"/>
  <c r="AC56" i="50"/>
  <c r="W62" i="50"/>
  <c r="O36" i="50"/>
  <c r="V60" i="50"/>
  <c r="AG44" i="50"/>
  <c r="AI39" i="50"/>
  <c r="L36" i="50"/>
  <c r="AK60" i="50"/>
  <c r="T56" i="50"/>
  <c r="W32" i="50"/>
  <c r="S33" i="50"/>
  <c r="AC24" i="50"/>
  <c r="X38" i="50"/>
  <c r="AA10" i="50"/>
  <c r="X37" i="50"/>
  <c r="Y15" i="50"/>
  <c r="M67" i="50"/>
  <c r="P54" i="50"/>
  <c r="L14" i="50"/>
  <c r="AC35" i="50"/>
  <c r="AA25" i="50"/>
  <c r="AL53" i="50"/>
  <c r="AD36" i="50"/>
  <c r="S23" i="50"/>
  <c r="T40" i="50"/>
  <c r="Q65" i="50"/>
  <c r="AJ6" i="50"/>
  <c r="U52" i="50"/>
  <c r="AE15" i="50"/>
  <c r="AE42" i="50"/>
  <c r="L20" i="50"/>
  <c r="L55" i="50"/>
  <c r="AM65" i="50"/>
  <c r="AN45" i="50"/>
  <c r="V56" i="50"/>
  <c r="AN10" i="50"/>
  <c r="Z49" i="50"/>
  <c r="Y58" i="50"/>
  <c r="AM55" i="50"/>
  <c r="AH49" i="50"/>
  <c r="V18" i="50"/>
  <c r="AK46" i="50"/>
  <c r="T18" i="50"/>
  <c r="AB40" i="50"/>
  <c r="AJ41" i="50"/>
  <c r="AH34" i="50"/>
  <c r="X16" i="50"/>
  <c r="AO52" i="50"/>
  <c r="AB15" i="50"/>
  <c r="U50" i="50"/>
  <c r="AH18" i="50"/>
  <c r="Q33" i="50"/>
  <c r="AB64" i="50"/>
  <c r="Y67" i="50"/>
  <c r="W31" i="50"/>
  <c r="AC21" i="50"/>
  <c r="AI49" i="50"/>
  <c r="AE52" i="50"/>
  <c r="AL24" i="50"/>
  <c r="AI54" i="50"/>
  <c r="L54" i="50"/>
  <c r="AH61" i="50"/>
  <c r="AL41" i="50"/>
  <c r="AL16" i="50"/>
  <c r="X47" i="50"/>
  <c r="Q11" i="50"/>
  <c r="AG24" i="50"/>
  <c r="O27" i="50"/>
  <c r="Y64" i="50"/>
  <c r="AA58" i="50"/>
  <c r="W69" i="50"/>
  <c r="T17" i="50"/>
  <c r="AH59" i="50"/>
  <c r="AN48" i="50"/>
  <c r="AL63" i="50"/>
  <c r="AC44" i="50"/>
  <c r="AJ35" i="50"/>
  <c r="T24" i="50"/>
  <c r="L71" i="50"/>
  <c r="S9" i="50"/>
  <c r="AH13" i="50"/>
  <c r="AI30" i="50"/>
  <c r="R58" i="50"/>
  <c r="AA13" i="50"/>
  <c r="P37" i="50"/>
  <c r="N36" i="50"/>
  <c r="AK37" i="50"/>
  <c r="AO29" i="50"/>
  <c r="AF29" i="50"/>
  <c r="X65" i="50"/>
  <c r="AJ30" i="50"/>
  <c r="Q10" i="50"/>
  <c r="AH58" i="50"/>
  <c r="Z30" i="50"/>
  <c r="AF43" i="50"/>
  <c r="M8" i="50"/>
  <c r="Y12" i="50"/>
  <c r="AH31" i="50"/>
  <c r="U30" i="50"/>
  <c r="L28" i="50"/>
  <c r="W70" i="50"/>
  <c r="AN15" i="50"/>
  <c r="V47" i="50"/>
  <c r="AO4" i="50"/>
  <c r="L64" i="50"/>
  <c r="T41" i="50"/>
  <c r="AO67" i="50"/>
  <c r="AF71" i="50"/>
  <c r="S60" i="50"/>
  <c r="N20" i="50"/>
  <c r="Y71" i="50"/>
  <c r="X71" i="50"/>
  <c r="L58" i="50"/>
  <c r="Q62" i="50"/>
  <c r="Y17" i="50"/>
  <c r="R32" i="50"/>
  <c r="AC49" i="50"/>
  <c r="N63" i="50"/>
  <c r="N25" i="50"/>
  <c r="AA23" i="50"/>
  <c r="Y50" i="50"/>
  <c r="AJ69" i="50"/>
  <c r="AB16" i="50"/>
  <c r="F71" i="50" l="1"/>
  <c r="F6" i="50"/>
  <c r="F5" i="50"/>
  <c r="H5" i="50" s="1"/>
  <c r="F7" i="50"/>
  <c r="J7" i="50" s="1"/>
  <c r="F70" i="50"/>
  <c r="J70" i="50" s="1"/>
  <c r="F69" i="50"/>
  <c r="H69" i="50" s="1"/>
  <c r="J69" i="50"/>
  <c r="H70" i="50"/>
  <c r="J6" i="50"/>
  <c r="H6" i="50"/>
  <c r="H34" i="153"/>
  <c r="H33" i="153"/>
  <c r="H36" i="153"/>
  <c r="H35" i="153"/>
  <c r="G37" i="153"/>
  <c r="H37" i="153" s="1"/>
  <c r="G38" i="153"/>
  <c r="H38" i="153" s="1"/>
  <c r="H8" i="153"/>
  <c r="H9" i="153"/>
  <c r="H10" i="153"/>
  <c r="H17" i="153" s="1"/>
  <c r="H11" i="153"/>
  <c r="H12" i="153"/>
  <c r="H13" i="153"/>
  <c r="H16" i="153"/>
  <c r="H15" i="153"/>
  <c r="H14" i="153"/>
  <c r="H18" i="153"/>
  <c r="H20" i="153"/>
  <c r="H19" i="153"/>
  <c r="H22" i="153"/>
  <c r="H21" i="153"/>
  <c r="H23" i="153"/>
  <c r="H24" i="153"/>
  <c r="H25" i="153"/>
  <c r="H26" i="153"/>
  <c r="H27" i="153"/>
  <c r="H30" i="153"/>
  <c r="H28" i="153"/>
  <c r="H29" i="153"/>
  <c r="H31" i="153"/>
  <c r="H32" i="153"/>
  <c r="H35" i="151"/>
  <c r="H34" i="151"/>
  <c r="H33" i="151"/>
  <c r="H32" i="151"/>
  <c r="H36" i="151"/>
  <c r="G37" i="151"/>
  <c r="H37" i="151" s="1"/>
  <c r="G38" i="151"/>
  <c r="H38" i="151" s="1"/>
  <c r="H10" i="151"/>
  <c r="H11" i="151"/>
  <c r="H8" i="151"/>
  <c r="H9" i="151" s="1"/>
  <c r="H12" i="151"/>
  <c r="H14" i="151"/>
  <c r="H13" i="151"/>
  <c r="H15" i="151"/>
  <c r="H16" i="151"/>
  <c r="H17" i="151"/>
  <c r="H18" i="151"/>
  <c r="H20" i="151"/>
  <c r="H21" i="151"/>
  <c r="H19" i="151"/>
  <c r="H22" i="151"/>
  <c r="H24" i="151"/>
  <c r="H23" i="151"/>
  <c r="H25" i="151"/>
  <c r="H26" i="151"/>
  <c r="H27" i="151"/>
  <c r="H28" i="151"/>
  <c r="H29" i="151"/>
  <c r="H30" i="151"/>
  <c r="H31" i="151"/>
  <c r="H1" i="95"/>
  <c r="H7" i="50" l="1"/>
  <c r="AX21" i="4"/>
  <c r="D57" i="50"/>
  <c r="AI4" i="50"/>
  <c r="AJ4" i="50"/>
  <c r="F57" i="50" l="1"/>
  <c r="AX20" i="4"/>
  <c r="H20" i="4"/>
  <c r="H21" i="4"/>
  <c r="M20" i="4"/>
  <c r="M21" i="4"/>
  <c r="AG4" i="50"/>
  <c r="AF4" i="50"/>
  <c r="AK4" i="50"/>
  <c r="F68" i="50" l="1"/>
  <c r="AE4" i="50"/>
  <c r="W4" i="50"/>
  <c r="AH4" i="50"/>
  <c r="AC4" i="50"/>
  <c r="AB4" i="50"/>
  <c r="AA4" i="50"/>
  <c r="AD4" i="50"/>
  <c r="AN4" i="5" l="1"/>
  <c r="AO4" i="5"/>
  <c r="AP4" i="5"/>
  <c r="AQ4" i="5"/>
  <c r="Z4" i="50"/>
  <c r="X4" i="50"/>
  <c r="U4" i="50"/>
  <c r="R4" i="50"/>
  <c r="Q4" i="4" l="1"/>
  <c r="Q4" i="5"/>
  <c r="T4" i="50"/>
  <c r="S4" i="50"/>
  <c r="Q4" i="50"/>
  <c r="Y4" i="50"/>
  <c r="AV4" i="5" l="1"/>
  <c r="P4" i="50"/>
  <c r="V4" i="50"/>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O4" i="50"/>
  <c r="N4" i="50"/>
  <c r="M4" i="50"/>
  <c r="R1" i="8" l="1"/>
  <c r="L4" i="50"/>
  <c r="AX19" i="4" l="1"/>
  <c r="H19" i="4"/>
  <c r="G18" i="4"/>
  <c r="M19" i="4"/>
  <c r="F67" i="50" l="1"/>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AO4" i="4" l="1"/>
  <c r="AO4" i="1"/>
  <c r="AN4" i="4"/>
  <c r="AN4" i="1"/>
  <c r="C22" i="9"/>
  <c r="G22" i="9" s="1"/>
  <c r="AI4" i="137" l="1"/>
  <c r="AH4" i="137"/>
  <c r="AP4" i="1"/>
  <c r="AP4" i="4"/>
  <c r="C23" i="9"/>
  <c r="G23" i="9" s="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Q4" i="1"/>
  <c r="AV4" i="4"/>
  <c r="AU4" i="5"/>
  <c r="AV4" i="1"/>
  <c r="H16" i="9" l="1"/>
  <c r="H17" i="9" s="1"/>
  <c r="H20" i="9" s="1"/>
  <c r="R4" i="5"/>
  <c r="R4" i="4"/>
  <c r="R4" i="1"/>
  <c r="H19" i="9" l="1"/>
  <c r="H18" i="9"/>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H4" i="150" l="1"/>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F4" i="50"/>
  <c r="J8" i="50"/>
  <c r="H8" i="50"/>
  <c r="H51" i="50"/>
  <c r="J51" i="50"/>
  <c r="H30" i="50"/>
  <c r="J30" i="50"/>
  <c r="J14" i="50"/>
  <c r="H14" i="50"/>
  <c r="J48" i="50"/>
  <c r="H48" i="50"/>
  <c r="J21" i="50"/>
  <c r="H21" i="50"/>
  <c r="J20" i="50"/>
  <c r="H20" i="50"/>
  <c r="J56" i="50"/>
  <c r="H56" i="50"/>
  <c r="AI4" i="5" l="1"/>
  <c r="AI4" i="1"/>
  <c r="AI4" i="4"/>
  <c r="G5" i="150" l="1"/>
  <c r="AW5" i="150" s="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M7" i="137" l="1"/>
  <c r="AM5" i="137"/>
  <c r="AL12" i="150"/>
  <c r="AM6" i="137"/>
  <c r="AM29" i="1"/>
  <c r="AL6" i="150"/>
  <c r="AL11" i="150"/>
  <c r="AM23" i="4"/>
  <c r="AM30" i="1"/>
  <c r="AM20" i="4"/>
  <c r="AL7" i="150"/>
  <c r="AL10" i="150"/>
  <c r="AM19" i="4"/>
  <c r="AM22" i="4"/>
  <c r="AM21" i="4"/>
  <c r="AL9" i="150"/>
  <c r="AL8" i="150"/>
  <c r="AL5" i="150"/>
  <c r="AM28" i="1"/>
  <c r="AM26" i="1"/>
  <c r="AM24" i="1"/>
  <c r="AM25" i="1"/>
  <c r="AM27" i="1"/>
  <c r="AM23" i="1"/>
  <c r="AM24" i="5"/>
  <c r="AM23" i="5"/>
  <c r="AM18" i="4"/>
  <c r="AM17" i="1"/>
  <c r="AM21" i="1"/>
  <c r="AM20" i="5"/>
  <c r="AM5" i="4"/>
  <c r="AM5" i="1"/>
  <c r="AM7" i="4"/>
  <c r="AM19" i="1"/>
  <c r="AM11" i="1"/>
  <c r="AM22" i="1"/>
  <c r="AM7" i="1"/>
  <c r="AM6" i="1"/>
  <c r="AM9" i="1"/>
  <c r="AM20" i="1"/>
  <c r="AM13" i="4"/>
  <c r="AM12" i="5"/>
  <c r="AM10" i="1"/>
  <c r="AM22" i="5"/>
  <c r="AM11" i="5"/>
  <c r="AM16" i="1"/>
  <c r="AM8" i="4"/>
  <c r="AM15" i="4"/>
  <c r="AM17" i="4"/>
  <c r="AM6" i="4"/>
  <c r="AM12" i="1"/>
  <c r="AM8" i="5"/>
  <c r="AM9" i="5"/>
  <c r="AM19" i="5"/>
  <c r="AM14" i="1"/>
  <c r="AM5" i="5"/>
  <c r="AM21" i="5"/>
  <c r="AM17" i="5"/>
  <c r="AM14" i="5"/>
  <c r="AM16" i="5"/>
  <c r="AM8" i="1"/>
  <c r="AM15" i="5"/>
  <c r="AM7" i="5"/>
  <c r="AM14" i="4"/>
  <c r="AM13" i="1"/>
  <c r="AM9" i="4"/>
  <c r="AM10" i="4"/>
  <c r="AM10" i="5"/>
  <c r="AM18" i="1"/>
  <c r="AM15" i="1"/>
  <c r="AM18" i="5"/>
  <c r="AM11" i="4"/>
  <c r="AM13" i="5"/>
  <c r="AM6" i="5"/>
  <c r="AM12" i="4"/>
  <c r="AM16" i="4"/>
  <c r="M2" i="150"/>
  <c r="H3" i="95"/>
  <c r="I1" i="95" s="1"/>
  <c r="I3" i="95" s="1"/>
  <c r="L2" i="150"/>
  <c r="AL4" i="150" l="1"/>
  <c r="AM4" i="137"/>
  <c r="AM4" i="5"/>
  <c r="AM4" i="1"/>
  <c r="AM4" i="4"/>
  <c r="AK4" i="150"/>
  <c r="AL4" i="1"/>
  <c r="AL4" i="137"/>
  <c r="AL4" i="4"/>
  <c r="AL4" i="5"/>
  <c r="AK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J4" i="50" l="1"/>
  <c r="I4" i="50" s="1"/>
  <c r="M4" i="5"/>
  <c r="N4" i="150"/>
  <c r="O4" i="137"/>
  <c r="A5" i="137"/>
  <c r="A4" i="137" s="1"/>
  <c r="O4" i="150"/>
  <c r="A5" i="150"/>
  <c r="A4" i="150" s="1"/>
  <c r="A5" i="4"/>
  <c r="A4" i="4" s="1"/>
  <c r="O4" i="4"/>
  <c r="N4" i="137"/>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<sst xmlns="http://schemas.openxmlformats.org/spreadsheetml/2006/main" count="2475" uniqueCount="281">
  <si>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</si>
  <si>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</si>
  <si>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</si>
  <si>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</si>
  <si>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</si>
  <si>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</si>
  <si>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</si>
  <si>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</si>
  <si>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</si>
  <si>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</si>
  <si>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</si>
  <si>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</si>
  <si>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</si>
  <si>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</si>
  <si>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</si>
  <si>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</si>
  <si>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</si>
  <si>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</si>
  <si>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</si>
  <si>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</si>
  <si>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</si>
  <si>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</si>
  <si>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</si>
  <si>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</si>
  <si>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</si>
  <si>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</si>
  <si>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</si>
  <si>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</si>
  <si>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</si>
  <si>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</si>
  <si>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</si>
  <si>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</si>
  <si>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</si>
  <si>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</si>
  <si>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</si>
  <si>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</si>
  <si>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</si>
  <si>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</si>
  <si>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</si>
  <si>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</si>
  <si>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</si>
  <si>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</si>
  <si>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</si>
  <si>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</si>
  <si>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</si>
  <si>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</si>
  <si>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</si>
  <si>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</si>
  <si>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</si>
  <si>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</si>
  <si>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</si>
  <si>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</si>
  <si>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</si>
  <si>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</si>
  <si>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</si>
  <si>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</si>
  <si>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</si>
  <si>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</si>
  <si>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</si>
  <si>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</si>
  <si>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</si>
  <si>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</si>
  <si>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</si>
  <si>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</si>
  <si>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</si>
  <si>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</si>
  <si>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</si>
  <si>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</si>
  <si>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</si>
  <si>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</si>
  <si>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</si>
  <si>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</si>
  <si>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</si>
  <si>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</si>
  <si>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</si>
  <si>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</si>
  <si>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</si>
  <si>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</si>
  <si>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</si>
  <si>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</si>
  <si>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</si>
  <si>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</si>
  <si>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</si>
  <si>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</si>
  <si>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</si>
  <si>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</si>
  <si>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</si>
  <si>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</si>
  <si>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</si>
  <si>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</si>
  <si>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</si>
  <si>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</si>
  <si>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</si>
  <si>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</si>
  <si>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</si>
  <si>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</si>
  <si>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</si>
  <si>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</si>
  <si>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</si>
  <si>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</si>
  <si>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</si>
  <si>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</si>
  <si>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</si>
  <si>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</si>
  <si>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</si>
  <si>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</si>
  <si>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</si>
  <si>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</si>
  <si>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</si>
  <si>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</si>
  <si>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</si>
  <si>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</si>
  <si>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</si>
  <si>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</si>
  <si>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</si>
  <si>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</si>
  <si>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</si>
  <si>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</si>
  <si>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</si>
  <si>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</si>
  <si>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</si>
  <si>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</si>
  <si>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</si>
  <si>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</si>
  <si>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</si>
  <si>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</si>
  <si>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</si>
  <si>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</si>
  <si>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</si>
  <si>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</si>
  <si>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</si>
  <si>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</si>
  <si>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</si>
  <si>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</si>
  <si>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</si>
  <si>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</si>
  <si>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</si>
  <si>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</si>
  <si>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</si>
  <si>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</si>
  <si>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</si>
  <si>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</si>
  <si>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</si>
  <si>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</si>
  <si>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</si>
  <si>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</si>
  <si>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</si>
  <si>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</si>
  <si>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</si>
  <si>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</si>
  <si>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</si>
  <si>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</si>
  <si>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</si>
  <si>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</si>
  <si>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</si>
  <si>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</si>
  <si>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</si>
  <si>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</si>
  <si>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</si>
  <si>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</si>
  <si>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</si>
  <si>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</si>
  <si>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</si>
  <si>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</si>
  <si>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</si>
  <si>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</si>
  <si>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</si>
  <si>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</si>
  <si>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</si>
  <si>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</si>
  <si>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</si>
  <si>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</si>
  <si>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</si>
  <si>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</si>
  <si>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</si>
  <si>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</si>
  <si>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</si>
  <si>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</si>
  <si>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</si>
  <si>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</si>
  <si>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</si>
  <si>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</si>
  <si>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</si>
  <si>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</si>
  <si>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</si>
  <si>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</si>
  <si>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</si>
  <si>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</si>
  <si>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</si>
  <si>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</si>
  <si>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</si>
  <si>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</si>
  <si>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</si>
  <si>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</si>
  <si>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</si>
  <si>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</si>
  <si>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</si>
  <si>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</si>
  <si>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</si>
  <si>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</si>
  <si>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</si>
  <si>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</si>
  <si>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</si>
  <si>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</si>
  <si>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</si>
  <si>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</si>
  <si>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</si>
  <si>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</si>
  <si>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</si>
  <si>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</si>
  <si>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</si>
  <si>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</si>
  <si>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</si>
  <si>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</si>
  <si>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</si>
  <si>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</si>
  <si>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</si>
  <si>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</si>
  <si>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</si>
  <si>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</si>
  <si>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</si>
  <si>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</si>
  <si>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</si>
  <si>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</si>
  <si>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</si>
  <si>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</si>
  <si>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</si>
  <si>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</si>
  <si>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</si>
  <si>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</si>
  <si>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</si>
  <si>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</si>
  <si>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</si>
  <si>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</si>
  <si>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</si>
  <si>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</si>
  <si>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</si>
  <si>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</si>
  <si>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</si>
  <si>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</si>
  <si>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</si>
  <si>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</si>
  <si>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</si>
  <si>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</si>
  <si>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</si>
  <si>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</si>
  <si>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</si>
  <si>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</si>
  <si>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</si>
  <si>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</si>
  <si>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</si>
  <si>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</si>
  <si>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</si>
  <si>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</si>
  <si>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</si>
  <si>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</si>
  <si>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</si>
  <si>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Dì Út</t>
  </si>
  <si>
    <t>Tường Vi</t>
  </si>
  <si>
    <t>Tổng Cộng</t>
  </si>
  <si>
    <t>Hàng tặng</t>
  </si>
  <si>
    <t>Cô Bé Ken</t>
  </si>
  <si>
    <t>Chị Hoa</t>
  </si>
  <si>
    <t>Chị Út</t>
  </si>
  <si>
    <t>Chủ cho quà Tết chị Út</t>
  </si>
  <si>
    <t>Tiền Ưu đãi tháng 01 - Cô BÉ</t>
  </si>
  <si>
    <t>Quà Tết Chị Út</t>
  </si>
  <si>
    <t>KH Lẻ</t>
  </si>
  <si>
    <t>Thư Ngọng</t>
  </si>
  <si>
    <t>Chị Ngà</t>
  </si>
  <si>
    <t>Dì Bến</t>
  </si>
  <si>
    <t>KH lẻ</t>
  </si>
  <si>
    <t>Chị Tuyền</t>
  </si>
  <si>
    <t>Bảo Ngọc</t>
  </si>
  <si>
    <t>Dì Luận</t>
  </si>
  <si>
    <t>Dì Tư</t>
  </si>
  <si>
    <t>Cô Tiền</t>
  </si>
  <si>
    <t>TS 199X</t>
  </si>
  <si>
    <t>Chiếc khấu</t>
  </si>
  <si>
    <t>Dì Phượng L</t>
  </si>
  <si>
    <t>Chị Bé</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</si>
</sst>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Border="1" applyAlignment="1" applyProtection="1">
      <alignment vertical="center"/>
      <protection locked="0"/>
    </xf>
    <xf numFmtId="41" fontId="4" fillId="0" borderId="0" xfId="0" quotePrefix="1" applyNumberFormat="1" applyFont="1" applyAlignment="1">
      <alignment horizontal="center" vertical="center"/>
    </xf>
    <xf numFmtId="0" fontId="12"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0" fontId="33" fillId="6" borderId="2" xfId="0" applyFont="1" applyFill="1" applyBorder="1" applyAlignment="1" applyProtection="1">
      <alignment vertical="center"/>
      <protection locked="0"/>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0" fontId="33" fillId="0" borderId="2" xfId="0" applyFont="1" applyFill="1" applyBorder="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7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9873" name="Button 1" hidden="1">
              <a:extLst>
                <a:ext uri="{63B3BB69-23CF-44E3-9099-C40C66FF867C}">
                  <a14:compatExt spid="_x0000_s798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3.375016435188"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6">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4">
        <n v="60000"/>
        <n v="70000"/>
        <n v="45000"/>
        <n v="27000"/>
        <n v="25000"/>
        <n v="28000"/>
        <n v="30000"/>
        <n v="38000"/>
        <n v="42000"/>
        <n v="34000"/>
        <n v="35000"/>
        <n v="50000"/>
        <n v="40000"/>
        <n v="55000"/>
        <n v="26000"/>
        <n v="33000"/>
        <n v="69000"/>
        <n v="32000"/>
        <n v="14000"/>
        <n v="59000"/>
        <n v="52000"/>
        <n v="65000"/>
        <n v="44000"/>
        <n v="79000"/>
        <n v="66000"/>
        <n v="122000"/>
        <n v="54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8"/>
  </r>
  <r>
    <x v="53"/>
    <x v="53"/>
    <x v="53"/>
    <x v="10"/>
  </r>
  <r>
    <x v="54"/>
    <x v="54"/>
    <x v="54"/>
    <x v="16"/>
  </r>
  <r>
    <x v="55"/>
    <x v="55"/>
    <x v="55"/>
    <x v="27"/>
  </r>
  <r>
    <x v="56"/>
    <x v="56"/>
    <x v="56"/>
    <x v="6"/>
  </r>
  <r>
    <x v="57"/>
    <x v="57"/>
    <x v="57"/>
    <x v="2"/>
  </r>
  <r>
    <x v="58"/>
    <x v="58"/>
    <x v="58"/>
    <x v="28"/>
  </r>
  <r>
    <x v="59"/>
    <x v="59"/>
    <x v="59"/>
    <x v="8"/>
  </r>
  <r>
    <x v="60"/>
    <x v="60"/>
    <x v="60"/>
    <x v="10"/>
  </r>
  <r>
    <x v="61"/>
    <x v="61"/>
    <x v="61"/>
    <x v="7"/>
  </r>
  <r>
    <x v="62"/>
    <x v="62"/>
    <x v="62"/>
    <x v="1"/>
  </r>
  <r>
    <x v="63"/>
    <x v="63"/>
    <x v="63"/>
    <x v="26"/>
  </r>
  <r>
    <x v="64"/>
    <x v="64"/>
    <x v="64"/>
    <x v="29"/>
  </r>
  <r>
    <x v="65"/>
    <x v="65"/>
    <x v="65"/>
    <x v="11"/>
  </r>
  <r>
    <x v="66"/>
    <x v="66"/>
    <x v="66"/>
    <x v="2"/>
  </r>
  <r>
    <x v="67"/>
    <x v="67"/>
    <x v="67"/>
    <x v="30"/>
  </r>
  <r>
    <x v="68"/>
    <x v="68"/>
    <x v="68"/>
    <x v="31"/>
  </r>
  <r>
    <x v="69"/>
    <x v="69"/>
    <x v="69"/>
    <x v="14"/>
  </r>
  <r>
    <x v="70"/>
    <x v="70"/>
    <x v="70"/>
    <x v="14"/>
  </r>
  <r>
    <x v="71"/>
    <x v="71"/>
    <x v="71"/>
    <x v="14"/>
  </r>
  <r>
    <x v="72"/>
    <x v="72"/>
    <x v="72"/>
    <x v="14"/>
  </r>
  <r>
    <x v="73"/>
    <x v="73"/>
    <x v="73"/>
    <x v="10"/>
  </r>
  <r>
    <x v="74"/>
    <x v="74"/>
    <x v="74"/>
    <x v="12"/>
  </r>
  <r>
    <x v="75"/>
    <x v="75"/>
    <x v="75"/>
    <x v="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6">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4">
        <item x="18"/>
        <item x="4"/>
        <item x="14"/>
        <item x="3"/>
        <item x="5"/>
        <item x="6"/>
        <item x="17"/>
        <item x="15"/>
        <item x="9"/>
        <item x="10"/>
        <item x="7"/>
        <item x="12"/>
        <item x="8"/>
        <item x="22"/>
        <item x="2"/>
        <item m="1" x="33"/>
        <item x="11"/>
        <item x="20"/>
        <item x="26"/>
        <item x="13"/>
        <item x="19"/>
        <item x="21"/>
        <item x="24"/>
        <item x="16"/>
        <item x="1"/>
        <item x="27"/>
        <item x="23"/>
        <item x="28"/>
        <item x="25"/>
        <item x="0"/>
        <item x="29"/>
        <item x="30"/>
        <item x="31"/>
        <item x="32"/>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49">
      <pivotArea field="3" type="button" dataOnly="0" labelOnly="1" outline="0" axis="axisRow" fieldPosition="3"/>
    </format>
    <format dxfId="54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4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4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4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4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3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3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3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3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2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2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2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2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1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1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1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0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0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0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0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9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9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9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9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8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8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8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8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8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8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7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7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7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7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7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7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7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7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7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6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6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6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6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6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6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6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6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6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6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5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5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5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5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5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5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5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4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4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4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4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4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4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4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4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4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4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3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3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3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3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3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3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3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3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3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3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2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28">
      <pivotArea field="1" type="button" dataOnly="0" labelOnly="1" outline="0" axis="axisRow" fieldPosition="2"/>
    </format>
    <format dxfId="427">
      <pivotArea dataOnly="0" labelOnly="1" outline="0" fieldPosition="0">
        <references count="1">
          <reference field="1" count="0"/>
        </references>
      </pivotArea>
    </format>
    <format dxfId="426">
      <pivotArea field="0" type="button" dataOnly="0" labelOnly="1" outline="0" axis="axisRow" fieldPosition="0"/>
    </format>
    <format dxfId="42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4">
      <pivotArea dataOnly="0" labelOnly="1" outline="0" fieldPosition="0">
        <references count="1">
          <reference field="0" count="10">
            <x v="50"/>
            <x v="51"/>
            <x v="52"/>
            <x v="53"/>
            <x v="54"/>
            <x v="55"/>
            <x v="56"/>
            <x v="57"/>
            <x v="58"/>
            <x v="59"/>
          </reference>
        </references>
      </pivotArea>
    </format>
    <format dxfId="423">
      <pivotArea dataOnly="0" labelOnly="1" grandRow="1" outline="0" fieldPosition="0"/>
    </format>
    <format dxfId="42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1">
      <pivotArea dataOnly="0" labelOnly="1" outline="0" fieldPosition="0">
        <references count="1">
          <reference field="0" count="10">
            <x v="50"/>
            <x v="51"/>
            <x v="52"/>
            <x v="53"/>
            <x v="54"/>
            <x v="55"/>
            <x v="56"/>
            <x v="57"/>
            <x v="58"/>
            <x v="59"/>
          </reference>
        </references>
      </pivotArea>
    </format>
    <format dxfId="420">
      <pivotArea dataOnly="0" labelOnly="1" grandRow="1" outline="0" fieldPosition="0"/>
    </format>
    <format dxfId="419">
      <pivotArea field="2" type="button" dataOnly="0" labelOnly="1" outline="0" axis="axisRow" fieldPosition="1"/>
    </format>
    <format dxfId="418">
      <pivotArea type="all" dataOnly="0" outline="0" fieldPosition="0"/>
    </format>
    <format dxfId="417">
      <pivotArea field="0" type="button" dataOnly="0" labelOnly="1" outline="0" axis="axisRow" fieldPosition="0"/>
    </format>
    <format dxfId="416">
      <pivotArea field="2" type="button" dataOnly="0" labelOnly="1" outline="0" axis="axisRow" fieldPosition="1"/>
    </format>
    <format dxfId="415">
      <pivotArea field="1" type="button" dataOnly="0" labelOnly="1" outline="0" axis="axisRow" fieldPosition="2"/>
    </format>
    <format dxfId="414">
      <pivotArea field="3" type="button" dataOnly="0" labelOnly="1" outline="0" axis="axisRow" fieldPosition="3"/>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dataOnly="0" labelOnly="1" outline="0" fieldPosition="0">
        <references count="3">
          <reference field="0" count="1" selected="0">
            <x v="0"/>
          </reference>
          <reference field="1" count="1">
            <x v="6"/>
          </reference>
          <reference field="2" count="1" selected="0">
            <x v="0"/>
          </reference>
        </references>
      </pivotArea>
    </format>
    <format dxfId="406">
      <pivotArea dataOnly="0" labelOnly="1" outline="0" fieldPosition="0">
        <references count="3">
          <reference field="0" count="1" selected="0">
            <x v="1"/>
          </reference>
          <reference field="1" count="1">
            <x v="5"/>
          </reference>
          <reference field="2" count="1" selected="0">
            <x v="1"/>
          </reference>
        </references>
      </pivotArea>
    </format>
    <format dxfId="405">
      <pivotArea dataOnly="0" labelOnly="1" outline="0" fieldPosition="0">
        <references count="3">
          <reference field="0" count="1" selected="0">
            <x v="2"/>
          </reference>
          <reference field="1" count="1">
            <x v="7"/>
          </reference>
          <reference field="2" count="1" selected="0">
            <x v="2"/>
          </reference>
        </references>
      </pivotArea>
    </format>
    <format dxfId="404">
      <pivotArea dataOnly="0" labelOnly="1" outline="0" fieldPosition="0">
        <references count="3">
          <reference field="0" count="1" selected="0">
            <x v="3"/>
          </reference>
          <reference field="1" count="1">
            <x v="40"/>
          </reference>
          <reference field="2" count="1" selected="0">
            <x v="3"/>
          </reference>
        </references>
      </pivotArea>
    </format>
    <format dxfId="403">
      <pivotArea dataOnly="0" labelOnly="1" outline="0" fieldPosition="0">
        <references count="3">
          <reference field="0" count="1" selected="0">
            <x v="4"/>
          </reference>
          <reference field="1" count="1">
            <x v="16"/>
          </reference>
          <reference field="2" count="1" selected="0">
            <x v="4"/>
          </reference>
        </references>
      </pivotArea>
    </format>
    <format dxfId="402">
      <pivotArea dataOnly="0" labelOnly="1" outline="0" fieldPosition="0">
        <references count="3">
          <reference field="0" count="1" selected="0">
            <x v="5"/>
          </reference>
          <reference field="1" count="1">
            <x v="33"/>
          </reference>
          <reference field="2" count="1" selected="0">
            <x v="5"/>
          </reference>
        </references>
      </pivotArea>
    </format>
    <format dxfId="401">
      <pivotArea dataOnly="0" labelOnly="1" outline="0" fieldPosition="0">
        <references count="3">
          <reference field="0" count="1" selected="0">
            <x v="6"/>
          </reference>
          <reference field="1" count="1">
            <x v="39"/>
          </reference>
          <reference field="2" count="1" selected="0">
            <x v="6"/>
          </reference>
        </references>
      </pivotArea>
    </format>
    <format dxfId="400">
      <pivotArea dataOnly="0" labelOnly="1" outline="0" fieldPosition="0">
        <references count="3">
          <reference field="0" count="1" selected="0">
            <x v="7"/>
          </reference>
          <reference field="1" count="1">
            <x v="28"/>
          </reference>
          <reference field="2" count="1" selected="0">
            <x v="7"/>
          </reference>
        </references>
      </pivotArea>
    </format>
    <format dxfId="399">
      <pivotArea dataOnly="0" labelOnly="1" outline="0" fieldPosition="0">
        <references count="3">
          <reference field="0" count="1" selected="0">
            <x v="8"/>
          </reference>
          <reference field="1" count="1">
            <x v="25"/>
          </reference>
          <reference field="2" count="1" selected="0">
            <x v="8"/>
          </reference>
        </references>
      </pivotArea>
    </format>
    <format dxfId="398">
      <pivotArea dataOnly="0" labelOnly="1" outline="0" fieldPosition="0">
        <references count="3">
          <reference field="0" count="1" selected="0">
            <x v="9"/>
          </reference>
          <reference field="1" count="1">
            <x v="43"/>
          </reference>
          <reference field="2" count="1" selected="0">
            <x v="9"/>
          </reference>
        </references>
      </pivotArea>
    </format>
    <format dxfId="397">
      <pivotArea dataOnly="0" labelOnly="1" outline="0" fieldPosition="0">
        <references count="3">
          <reference field="0" count="1" selected="0">
            <x v="10"/>
          </reference>
          <reference field="1" count="1">
            <x v="44"/>
          </reference>
          <reference field="2" count="1" selected="0">
            <x v="10"/>
          </reference>
        </references>
      </pivotArea>
    </format>
    <format dxfId="396">
      <pivotArea dataOnly="0" labelOnly="1" outline="0" fieldPosition="0">
        <references count="3">
          <reference field="0" count="1" selected="0">
            <x v="11"/>
          </reference>
          <reference field="1" count="1">
            <x v="45"/>
          </reference>
          <reference field="2" count="1" selected="0">
            <x v="11"/>
          </reference>
        </references>
      </pivotArea>
    </format>
    <format dxfId="395">
      <pivotArea dataOnly="0" labelOnly="1" outline="0" fieldPosition="0">
        <references count="3">
          <reference field="0" count="1" selected="0">
            <x v="12"/>
          </reference>
          <reference field="1" count="1">
            <x v="46"/>
          </reference>
          <reference field="2" count="1" selected="0">
            <x v="12"/>
          </reference>
        </references>
      </pivotArea>
    </format>
    <format dxfId="394">
      <pivotArea dataOnly="0" labelOnly="1" outline="0" fieldPosition="0">
        <references count="3">
          <reference field="0" count="1" selected="0">
            <x v="13"/>
          </reference>
          <reference field="1" count="1">
            <x v="47"/>
          </reference>
          <reference field="2" count="1" selected="0">
            <x v="13"/>
          </reference>
        </references>
      </pivotArea>
    </format>
    <format dxfId="393">
      <pivotArea dataOnly="0" labelOnly="1" outline="0" fieldPosition="0">
        <references count="3">
          <reference field="0" count="1" selected="0">
            <x v="14"/>
          </reference>
          <reference field="1" count="1">
            <x v="48"/>
          </reference>
          <reference field="2" count="1" selected="0">
            <x v="14"/>
          </reference>
        </references>
      </pivotArea>
    </format>
    <format dxfId="392">
      <pivotArea dataOnly="0" labelOnly="1" outline="0" fieldPosition="0">
        <references count="3">
          <reference field="0" count="1" selected="0">
            <x v="15"/>
          </reference>
          <reference field="1" count="1">
            <x v="36"/>
          </reference>
          <reference field="2" count="1" selected="0">
            <x v="15"/>
          </reference>
        </references>
      </pivotArea>
    </format>
    <format dxfId="391">
      <pivotArea dataOnly="0" labelOnly="1" outline="0" fieldPosition="0">
        <references count="3">
          <reference field="0" count="1" selected="0">
            <x v="16"/>
          </reference>
          <reference field="1" count="1">
            <x v="37"/>
          </reference>
          <reference field="2" count="1" selected="0">
            <x v="16"/>
          </reference>
        </references>
      </pivotArea>
    </format>
    <format dxfId="390">
      <pivotArea dataOnly="0" labelOnly="1" outline="0" fieldPosition="0">
        <references count="3">
          <reference field="0" count="1" selected="0">
            <x v="17"/>
          </reference>
          <reference field="1" count="1">
            <x v="18"/>
          </reference>
          <reference field="2" count="1" selected="0">
            <x v="17"/>
          </reference>
        </references>
      </pivotArea>
    </format>
    <format dxfId="389">
      <pivotArea dataOnly="0" labelOnly="1" outline="0" fieldPosition="0">
        <references count="3">
          <reference field="0" count="1" selected="0">
            <x v="18"/>
          </reference>
          <reference field="1" count="1">
            <x v="51"/>
          </reference>
          <reference field="2" count="1" selected="0">
            <x v="18"/>
          </reference>
        </references>
      </pivotArea>
    </format>
    <format dxfId="388">
      <pivotArea dataOnly="0" labelOnly="1" outline="0" fieldPosition="0">
        <references count="3">
          <reference field="0" count="1" selected="0">
            <x v="19"/>
          </reference>
          <reference field="1" count="1">
            <x v="52"/>
          </reference>
          <reference field="2" count="1" selected="0">
            <x v="19"/>
          </reference>
        </references>
      </pivotArea>
    </format>
    <format dxfId="387">
      <pivotArea dataOnly="0" labelOnly="1" outline="0" fieldPosition="0">
        <references count="3">
          <reference field="0" count="1" selected="0">
            <x v="20"/>
          </reference>
          <reference field="1" count="1">
            <x v="53"/>
          </reference>
          <reference field="2" count="1" selected="0">
            <x v="20"/>
          </reference>
        </references>
      </pivotArea>
    </format>
    <format dxfId="386">
      <pivotArea dataOnly="0" labelOnly="1" outline="0" fieldPosition="0">
        <references count="3">
          <reference field="0" count="1" selected="0">
            <x v="21"/>
          </reference>
          <reference field="1" count="1">
            <x v="55"/>
          </reference>
          <reference field="2" count="1" selected="0">
            <x v="21"/>
          </reference>
        </references>
      </pivotArea>
    </format>
    <format dxfId="385">
      <pivotArea dataOnly="0" labelOnly="1" outline="0" fieldPosition="0">
        <references count="3">
          <reference field="0" count="1" selected="0">
            <x v="22"/>
          </reference>
          <reference field="1" count="1">
            <x v="58"/>
          </reference>
          <reference field="2" count="1" selected="0">
            <x v="22"/>
          </reference>
        </references>
      </pivotArea>
    </format>
    <format dxfId="384">
      <pivotArea dataOnly="0" labelOnly="1" outline="0" fieldPosition="0">
        <references count="3">
          <reference field="0" count="1" selected="0">
            <x v="23"/>
          </reference>
          <reference field="1" count="1">
            <x v="59"/>
          </reference>
          <reference field="2" count="1" selected="0">
            <x v="23"/>
          </reference>
        </references>
      </pivotArea>
    </format>
    <format dxfId="383">
      <pivotArea dataOnly="0" labelOnly="1" outline="0" fieldPosition="0">
        <references count="3">
          <reference field="0" count="1" selected="0">
            <x v="24"/>
          </reference>
          <reference field="1" count="1">
            <x v="11"/>
          </reference>
          <reference field="2" count="1" selected="0">
            <x v="24"/>
          </reference>
        </references>
      </pivotArea>
    </format>
    <format dxfId="382">
      <pivotArea dataOnly="0" labelOnly="1" outline="0" fieldPosition="0">
        <references count="3">
          <reference field="0" count="1" selected="0">
            <x v="25"/>
          </reference>
          <reference field="1" count="1">
            <x v="12"/>
          </reference>
          <reference field="2" count="1" selected="0">
            <x v="25"/>
          </reference>
        </references>
      </pivotArea>
    </format>
    <format dxfId="381">
      <pivotArea dataOnly="0" labelOnly="1" outline="0" fieldPosition="0">
        <references count="3">
          <reference field="0" count="1" selected="0">
            <x v="26"/>
          </reference>
          <reference field="1" count="1">
            <x v="13"/>
          </reference>
          <reference field="2" count="1" selected="0">
            <x v="26"/>
          </reference>
        </references>
      </pivotArea>
    </format>
    <format dxfId="380">
      <pivotArea dataOnly="0" labelOnly="1" outline="0" fieldPosition="0">
        <references count="3">
          <reference field="0" count="1" selected="0">
            <x v="27"/>
          </reference>
          <reference field="1" count="1">
            <x v="14"/>
          </reference>
          <reference field="2" count="1" selected="0">
            <x v="27"/>
          </reference>
        </references>
      </pivotArea>
    </format>
    <format dxfId="379">
      <pivotArea dataOnly="0" labelOnly="1" outline="0" fieldPosition="0">
        <references count="3">
          <reference field="0" count="1" selected="0">
            <x v="28"/>
          </reference>
          <reference field="1" count="1">
            <x v="9"/>
          </reference>
          <reference field="2" count="1" selected="0">
            <x v="28"/>
          </reference>
        </references>
      </pivotArea>
    </format>
    <format dxfId="378">
      <pivotArea dataOnly="0" labelOnly="1" outline="0" fieldPosition="0">
        <references count="3">
          <reference field="0" count="1" selected="0">
            <x v="29"/>
          </reference>
          <reference field="1" count="1">
            <x v="10"/>
          </reference>
          <reference field="2" count="1" selected="0">
            <x v="29"/>
          </reference>
        </references>
      </pivotArea>
    </format>
    <format dxfId="377">
      <pivotArea dataOnly="0" labelOnly="1" outline="0" fieldPosition="0">
        <references count="3">
          <reference field="0" count="1" selected="0">
            <x v="30"/>
          </reference>
          <reference field="1" count="1">
            <x v="8"/>
          </reference>
          <reference field="2" count="1" selected="0">
            <x v="30"/>
          </reference>
        </references>
      </pivotArea>
    </format>
    <format dxfId="376">
      <pivotArea dataOnly="0" labelOnly="1" outline="0" fieldPosition="0">
        <references count="3">
          <reference field="0" count="1" selected="0">
            <x v="31"/>
          </reference>
          <reference field="1" count="1">
            <x v="41"/>
          </reference>
          <reference field="2" count="1" selected="0">
            <x v="31"/>
          </reference>
        </references>
      </pivotArea>
    </format>
    <format dxfId="375">
      <pivotArea dataOnly="0" labelOnly="1" outline="0" fieldPosition="0">
        <references count="3">
          <reference field="0" count="1" selected="0">
            <x v="32"/>
          </reference>
          <reference field="1" count="1">
            <x v="42"/>
          </reference>
          <reference field="2" count="1" selected="0">
            <x v="32"/>
          </reference>
        </references>
      </pivotArea>
    </format>
    <format dxfId="374">
      <pivotArea dataOnly="0" labelOnly="1" outline="0" fieldPosition="0">
        <references count="3">
          <reference field="0" count="1" selected="0">
            <x v="33"/>
          </reference>
          <reference field="1" count="1">
            <x v="3"/>
          </reference>
          <reference field="2" count="1" selected="0">
            <x v="33"/>
          </reference>
        </references>
      </pivotArea>
    </format>
    <format dxfId="373">
      <pivotArea dataOnly="0" labelOnly="1" outline="0" fieldPosition="0">
        <references count="3">
          <reference field="0" count="1" selected="0">
            <x v="34"/>
          </reference>
          <reference field="1" count="1">
            <x v="4"/>
          </reference>
          <reference field="2" count="1" selected="0">
            <x v="34"/>
          </reference>
        </references>
      </pivotArea>
    </format>
    <format dxfId="372">
      <pivotArea dataOnly="0" labelOnly="1" outline="0" fieldPosition="0">
        <references count="3">
          <reference field="0" count="1" selected="0">
            <x v="35"/>
          </reference>
          <reference field="1" count="1">
            <x v="49"/>
          </reference>
          <reference field="2" count="1" selected="0">
            <x v="35"/>
          </reference>
        </references>
      </pivotArea>
    </format>
    <format dxfId="371">
      <pivotArea dataOnly="0" labelOnly="1" outline="0" fieldPosition="0">
        <references count="3">
          <reference field="0" count="1" selected="0">
            <x v="36"/>
          </reference>
          <reference field="1" count="1">
            <x v="50"/>
          </reference>
          <reference field="2" count="1" selected="0">
            <x v="36"/>
          </reference>
        </references>
      </pivotArea>
    </format>
    <format dxfId="370">
      <pivotArea dataOnly="0" labelOnly="1" outline="0" fieldPosition="0">
        <references count="3">
          <reference field="0" count="1" selected="0">
            <x v="37"/>
          </reference>
          <reference field="1" count="1">
            <x v="54"/>
          </reference>
          <reference field="2" count="1" selected="0">
            <x v="37"/>
          </reference>
        </references>
      </pivotArea>
    </format>
    <format dxfId="369">
      <pivotArea dataOnly="0" labelOnly="1" outline="0" fieldPosition="0">
        <references count="3">
          <reference field="0" count="1" selected="0">
            <x v="38"/>
          </reference>
          <reference field="1" count="1">
            <x v="56"/>
          </reference>
          <reference field="2" count="1" selected="0">
            <x v="38"/>
          </reference>
        </references>
      </pivotArea>
    </format>
    <format dxfId="368">
      <pivotArea dataOnly="0" labelOnly="1" outline="0" fieldPosition="0">
        <references count="3">
          <reference field="0" count="1" selected="0">
            <x v="39"/>
          </reference>
          <reference field="1" count="1">
            <x v="34"/>
          </reference>
          <reference field="2" count="1" selected="0">
            <x v="39"/>
          </reference>
        </references>
      </pivotArea>
    </format>
    <format dxfId="367">
      <pivotArea dataOnly="0" labelOnly="1" outline="0" fieldPosition="0">
        <references count="3">
          <reference field="0" count="1" selected="0">
            <x v="40"/>
          </reference>
          <reference field="1" count="1">
            <x v="29"/>
          </reference>
          <reference field="2" count="1" selected="0">
            <x v="40"/>
          </reference>
        </references>
      </pivotArea>
    </format>
    <format dxfId="366">
      <pivotArea dataOnly="0" labelOnly="1" outline="0" fieldPosition="0">
        <references count="3">
          <reference field="0" count="1" selected="0">
            <x v="41"/>
          </reference>
          <reference field="1" count="1">
            <x v="30"/>
          </reference>
          <reference field="2" count="1" selected="0">
            <x v="41"/>
          </reference>
        </references>
      </pivotArea>
    </format>
    <format dxfId="365">
      <pivotArea dataOnly="0" labelOnly="1" outline="0" fieldPosition="0">
        <references count="3">
          <reference field="0" count="1" selected="0">
            <x v="42"/>
          </reference>
          <reference field="1" count="1">
            <x v="31"/>
          </reference>
          <reference field="2" count="1" selected="0">
            <x v="42"/>
          </reference>
        </references>
      </pivotArea>
    </format>
    <format dxfId="364">
      <pivotArea dataOnly="0" labelOnly="1" outline="0" fieldPosition="0">
        <references count="3">
          <reference field="0" count="1" selected="0">
            <x v="43"/>
          </reference>
          <reference field="1" count="1">
            <x v="20"/>
          </reference>
          <reference field="2" count="1" selected="0">
            <x v="43"/>
          </reference>
        </references>
      </pivotArea>
    </format>
    <format dxfId="363">
      <pivotArea dataOnly="0" labelOnly="1" outline="0" fieldPosition="0">
        <references count="3">
          <reference field="0" count="1" selected="0">
            <x v="44"/>
          </reference>
          <reference field="1" count="1">
            <x v="21"/>
          </reference>
          <reference field="2" count="1" selected="0">
            <x v="44"/>
          </reference>
        </references>
      </pivotArea>
    </format>
    <format dxfId="362">
      <pivotArea dataOnly="0" labelOnly="1" outline="0" fieldPosition="0">
        <references count="3">
          <reference field="0" count="1" selected="0">
            <x v="45"/>
          </reference>
          <reference field="1" count="1">
            <x v="22"/>
          </reference>
          <reference field="2" count="1" selected="0">
            <x v="45"/>
          </reference>
        </references>
      </pivotArea>
    </format>
    <format dxfId="361">
      <pivotArea dataOnly="0" labelOnly="1" outline="0" fieldPosition="0">
        <references count="3">
          <reference field="0" count="1" selected="0">
            <x v="46"/>
          </reference>
          <reference field="1" count="1">
            <x v="57"/>
          </reference>
          <reference field="2" count="1" selected="0">
            <x v="46"/>
          </reference>
        </references>
      </pivotArea>
    </format>
    <format dxfId="360">
      <pivotArea dataOnly="0" labelOnly="1" outline="0" fieldPosition="0">
        <references count="3">
          <reference field="0" count="1" selected="0">
            <x v="47"/>
          </reference>
          <reference field="1" count="1">
            <x v="17"/>
          </reference>
          <reference field="2" count="1" selected="0">
            <x v="47"/>
          </reference>
        </references>
      </pivotArea>
    </format>
    <format dxfId="359">
      <pivotArea dataOnly="0" labelOnly="1" outline="0" fieldPosition="0">
        <references count="3">
          <reference field="0" count="1" selected="0">
            <x v="48"/>
          </reference>
          <reference field="1" count="1">
            <x v="26"/>
          </reference>
          <reference field="2" count="1" selected="0">
            <x v="48"/>
          </reference>
        </references>
      </pivotArea>
    </format>
    <format dxfId="358">
      <pivotArea dataOnly="0" labelOnly="1" outline="0" fieldPosition="0">
        <references count="3">
          <reference field="0" count="1" selected="0">
            <x v="49"/>
          </reference>
          <reference field="1" count="1">
            <x v="0"/>
          </reference>
          <reference field="2" count="1" selected="0">
            <x v="49"/>
          </reference>
        </references>
      </pivotArea>
    </format>
    <format dxfId="357">
      <pivotArea dataOnly="0" labelOnly="1" outline="0" fieldPosition="0">
        <references count="3">
          <reference field="0" count="1" selected="0">
            <x v="50"/>
          </reference>
          <reference field="1" count="1">
            <x v="35"/>
          </reference>
          <reference field="2" count="1" selected="0">
            <x v="50"/>
          </reference>
        </references>
      </pivotArea>
    </format>
    <format dxfId="356">
      <pivotArea dataOnly="0" labelOnly="1" outline="0" fieldPosition="0">
        <references count="3">
          <reference field="0" count="1" selected="0">
            <x v="51"/>
          </reference>
          <reference field="1" count="1">
            <x v="15"/>
          </reference>
          <reference field="2" count="1" selected="0">
            <x v="51"/>
          </reference>
        </references>
      </pivotArea>
    </format>
    <format dxfId="355">
      <pivotArea dataOnly="0" labelOnly="1" outline="0" fieldPosition="0">
        <references count="3">
          <reference field="0" count="1" selected="0">
            <x v="52"/>
          </reference>
          <reference field="1" count="1">
            <x v="2"/>
          </reference>
          <reference field="2" count="1" selected="0">
            <x v="52"/>
          </reference>
        </references>
      </pivotArea>
    </format>
    <format dxfId="354">
      <pivotArea dataOnly="0" labelOnly="1" outline="0" fieldPosition="0">
        <references count="3">
          <reference field="0" count="1" selected="0">
            <x v="53"/>
          </reference>
          <reference field="1" count="1">
            <x v="1"/>
          </reference>
          <reference field="2" count="1" selected="0">
            <x v="53"/>
          </reference>
        </references>
      </pivotArea>
    </format>
    <format dxfId="353">
      <pivotArea dataOnly="0" labelOnly="1" outline="0" fieldPosition="0">
        <references count="3">
          <reference field="0" count="1" selected="0">
            <x v="54"/>
          </reference>
          <reference field="1" count="1">
            <x v="32"/>
          </reference>
          <reference field="2" count="1" selected="0">
            <x v="54"/>
          </reference>
        </references>
      </pivotArea>
    </format>
    <format dxfId="352">
      <pivotArea dataOnly="0" labelOnly="1" outline="0" fieldPosition="0">
        <references count="3">
          <reference field="0" count="1" selected="0">
            <x v="55"/>
          </reference>
          <reference field="1" count="1">
            <x v="19"/>
          </reference>
          <reference field="2" count="1" selected="0">
            <x v="55"/>
          </reference>
        </references>
      </pivotArea>
    </format>
    <format dxfId="351">
      <pivotArea dataOnly="0" labelOnly="1" outline="0" fieldPosition="0">
        <references count="3">
          <reference field="0" count="1" selected="0">
            <x v="56"/>
          </reference>
          <reference field="1" count="1">
            <x v="27"/>
          </reference>
          <reference field="2" count="1" selected="0">
            <x v="56"/>
          </reference>
        </references>
      </pivotArea>
    </format>
    <format dxfId="350">
      <pivotArea dataOnly="0" labelOnly="1" outline="0" fieldPosition="0">
        <references count="3">
          <reference field="0" count="1" selected="0">
            <x v="57"/>
          </reference>
          <reference field="1" count="1">
            <x v="23"/>
          </reference>
          <reference field="2" count="1" selected="0">
            <x v="57"/>
          </reference>
        </references>
      </pivotArea>
    </format>
    <format dxfId="349">
      <pivotArea dataOnly="0" labelOnly="1" outline="0" fieldPosition="0">
        <references count="3">
          <reference field="0" count="1" selected="0">
            <x v="58"/>
          </reference>
          <reference field="1" count="1">
            <x v="24"/>
          </reference>
          <reference field="2" count="1" selected="0">
            <x v="58"/>
          </reference>
        </references>
      </pivotArea>
    </format>
    <format dxfId="348">
      <pivotArea dataOnly="0" labelOnly="1" outline="0" fieldPosition="0">
        <references count="3">
          <reference field="0" count="1" selected="0">
            <x v="59"/>
          </reference>
          <reference field="1" count="1">
            <x v="38"/>
          </reference>
          <reference field="2" count="1" selected="0">
            <x v="59"/>
          </reference>
        </references>
      </pivotArea>
    </format>
    <format dxfId="34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4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4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4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4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4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3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3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3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3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3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3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3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3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3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3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2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2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2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2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2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2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2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2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2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2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1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1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1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1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1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1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1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1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0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0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0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0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0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0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0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0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0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0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9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9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9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9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9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9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9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9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9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9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8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8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8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86">
      <pivotArea dataOnly="0" labelOnly="1" outline="0" fieldPosition="0">
        <references count="1">
          <reference field="0" count="10">
            <x v="50"/>
            <x v="51"/>
            <x v="52"/>
            <x v="53"/>
            <x v="54"/>
            <x v="55"/>
            <x v="56"/>
            <x v="57"/>
            <x v="58"/>
            <x v="59"/>
          </reference>
        </references>
      </pivotArea>
    </format>
    <format dxfId="285">
      <pivotArea dataOnly="0" labelOnly="1" outline="0" fieldPosition="0">
        <references count="2">
          <reference field="0" count="1" selected="0">
            <x v="0"/>
          </reference>
          <reference field="2" count="1">
            <x v="0"/>
          </reference>
        </references>
      </pivotArea>
    </format>
    <format dxfId="284">
      <pivotArea dataOnly="0" labelOnly="1" outline="0" fieldPosition="0">
        <references count="2">
          <reference field="0" count="1" selected="0">
            <x v="1"/>
          </reference>
          <reference field="2" count="1">
            <x v="1"/>
          </reference>
        </references>
      </pivotArea>
    </format>
    <format dxfId="283">
      <pivotArea dataOnly="0" labelOnly="1" outline="0" fieldPosition="0">
        <references count="2">
          <reference field="0" count="1" selected="0">
            <x v="2"/>
          </reference>
          <reference field="2" count="1">
            <x v="2"/>
          </reference>
        </references>
      </pivotArea>
    </format>
    <format dxfId="282">
      <pivotArea dataOnly="0" labelOnly="1" outline="0" fieldPosition="0">
        <references count="2">
          <reference field="0" count="1" selected="0">
            <x v="3"/>
          </reference>
          <reference field="2" count="1">
            <x v="3"/>
          </reference>
        </references>
      </pivotArea>
    </format>
    <format dxfId="281">
      <pivotArea dataOnly="0" labelOnly="1" outline="0" fieldPosition="0">
        <references count="2">
          <reference field="0" count="1" selected="0">
            <x v="4"/>
          </reference>
          <reference field="2" count="1">
            <x v="4"/>
          </reference>
        </references>
      </pivotArea>
    </format>
    <format dxfId="280">
      <pivotArea dataOnly="0" labelOnly="1" outline="0" fieldPosition="0">
        <references count="2">
          <reference field="0" count="1" selected="0">
            <x v="5"/>
          </reference>
          <reference field="2" count="1">
            <x v="5"/>
          </reference>
        </references>
      </pivotArea>
    </format>
    <format dxfId="279">
      <pivotArea dataOnly="0" labelOnly="1" outline="0" fieldPosition="0">
        <references count="2">
          <reference field="0" count="1" selected="0">
            <x v="6"/>
          </reference>
          <reference field="2" count="1">
            <x v="6"/>
          </reference>
        </references>
      </pivotArea>
    </format>
    <format dxfId="278">
      <pivotArea dataOnly="0" labelOnly="1" outline="0" fieldPosition="0">
        <references count="2">
          <reference field="0" count="1" selected="0">
            <x v="7"/>
          </reference>
          <reference field="2" count="1">
            <x v="7"/>
          </reference>
        </references>
      </pivotArea>
    </format>
    <format dxfId="277">
      <pivotArea dataOnly="0" labelOnly="1" outline="0" fieldPosition="0">
        <references count="2">
          <reference field="0" count="1" selected="0">
            <x v="8"/>
          </reference>
          <reference field="2" count="1">
            <x v="8"/>
          </reference>
        </references>
      </pivotArea>
    </format>
    <format dxfId="276">
      <pivotArea dataOnly="0" labelOnly="1" outline="0" fieldPosition="0">
        <references count="2">
          <reference field="0" count="1" selected="0">
            <x v="9"/>
          </reference>
          <reference field="2" count="1">
            <x v="9"/>
          </reference>
        </references>
      </pivotArea>
    </format>
    <format dxfId="275">
      <pivotArea dataOnly="0" labelOnly="1" outline="0" fieldPosition="0">
        <references count="2">
          <reference field="0" count="1" selected="0">
            <x v="10"/>
          </reference>
          <reference field="2" count="1">
            <x v="10"/>
          </reference>
        </references>
      </pivotArea>
    </format>
    <format dxfId="274">
      <pivotArea dataOnly="0" labelOnly="1" outline="0" fieldPosition="0">
        <references count="2">
          <reference field="0" count="1" selected="0">
            <x v="11"/>
          </reference>
          <reference field="2" count="1">
            <x v="11"/>
          </reference>
        </references>
      </pivotArea>
    </format>
    <format dxfId="273">
      <pivotArea dataOnly="0" labelOnly="1" outline="0" fieldPosition="0">
        <references count="2">
          <reference field="0" count="1" selected="0">
            <x v="12"/>
          </reference>
          <reference field="2" count="1">
            <x v="12"/>
          </reference>
        </references>
      </pivotArea>
    </format>
    <format dxfId="272">
      <pivotArea dataOnly="0" labelOnly="1" outline="0" fieldPosition="0">
        <references count="2">
          <reference field="0" count="1" selected="0">
            <x v="13"/>
          </reference>
          <reference field="2" count="1">
            <x v="13"/>
          </reference>
        </references>
      </pivotArea>
    </format>
    <format dxfId="271">
      <pivotArea dataOnly="0" labelOnly="1" outline="0" fieldPosition="0">
        <references count="2">
          <reference field="0" count="1" selected="0">
            <x v="14"/>
          </reference>
          <reference field="2" count="1">
            <x v="14"/>
          </reference>
        </references>
      </pivotArea>
    </format>
    <format dxfId="270">
      <pivotArea dataOnly="0" labelOnly="1" outline="0" fieldPosition="0">
        <references count="2">
          <reference field="0" count="1" selected="0">
            <x v="15"/>
          </reference>
          <reference field="2" count="1">
            <x v="15"/>
          </reference>
        </references>
      </pivotArea>
    </format>
    <format dxfId="269">
      <pivotArea dataOnly="0" labelOnly="1" outline="0" fieldPosition="0">
        <references count="2">
          <reference field="0" count="1" selected="0">
            <x v="16"/>
          </reference>
          <reference field="2" count="1">
            <x v="16"/>
          </reference>
        </references>
      </pivotArea>
    </format>
    <format dxfId="268">
      <pivotArea dataOnly="0" labelOnly="1" outline="0" fieldPosition="0">
        <references count="2">
          <reference field="0" count="1" selected="0">
            <x v="17"/>
          </reference>
          <reference field="2" count="1">
            <x v="17"/>
          </reference>
        </references>
      </pivotArea>
    </format>
    <format dxfId="267">
      <pivotArea dataOnly="0" labelOnly="1" outline="0" fieldPosition="0">
        <references count="2">
          <reference field="0" count="1" selected="0">
            <x v="18"/>
          </reference>
          <reference field="2" count="1">
            <x v="18"/>
          </reference>
        </references>
      </pivotArea>
    </format>
    <format dxfId="266">
      <pivotArea dataOnly="0" labelOnly="1" outline="0" fieldPosition="0">
        <references count="2">
          <reference field="0" count="1" selected="0">
            <x v="19"/>
          </reference>
          <reference field="2" count="1">
            <x v="19"/>
          </reference>
        </references>
      </pivotArea>
    </format>
    <format dxfId="265">
      <pivotArea dataOnly="0" labelOnly="1" outline="0" fieldPosition="0">
        <references count="2">
          <reference field="0" count="1" selected="0">
            <x v="20"/>
          </reference>
          <reference field="2" count="1">
            <x v="20"/>
          </reference>
        </references>
      </pivotArea>
    </format>
    <format dxfId="264">
      <pivotArea dataOnly="0" labelOnly="1" outline="0" fieldPosition="0">
        <references count="2">
          <reference field="0" count="1" selected="0">
            <x v="21"/>
          </reference>
          <reference field="2" count="1">
            <x v="21"/>
          </reference>
        </references>
      </pivotArea>
    </format>
    <format dxfId="263">
      <pivotArea dataOnly="0" labelOnly="1" outline="0" fieldPosition="0">
        <references count="2">
          <reference field="0" count="1" selected="0">
            <x v="22"/>
          </reference>
          <reference field="2" count="1">
            <x v="22"/>
          </reference>
        </references>
      </pivotArea>
    </format>
    <format dxfId="262">
      <pivotArea dataOnly="0" labelOnly="1" outline="0" fieldPosition="0">
        <references count="2">
          <reference field="0" count="1" selected="0">
            <x v="23"/>
          </reference>
          <reference field="2" count="1">
            <x v="23"/>
          </reference>
        </references>
      </pivotArea>
    </format>
    <format dxfId="261">
      <pivotArea dataOnly="0" labelOnly="1" outline="0" fieldPosition="0">
        <references count="2">
          <reference field="0" count="1" selected="0">
            <x v="24"/>
          </reference>
          <reference field="2" count="1">
            <x v="24"/>
          </reference>
        </references>
      </pivotArea>
    </format>
    <format dxfId="260">
      <pivotArea dataOnly="0" labelOnly="1" outline="0" fieldPosition="0">
        <references count="2">
          <reference field="0" count="1" selected="0">
            <x v="25"/>
          </reference>
          <reference field="2" count="1">
            <x v="25"/>
          </reference>
        </references>
      </pivotArea>
    </format>
    <format dxfId="259">
      <pivotArea dataOnly="0" labelOnly="1" outline="0" fieldPosition="0">
        <references count="2">
          <reference field="0" count="1" selected="0">
            <x v="26"/>
          </reference>
          <reference field="2" count="1">
            <x v="26"/>
          </reference>
        </references>
      </pivotArea>
    </format>
    <format dxfId="258">
      <pivotArea dataOnly="0" labelOnly="1" outline="0" fieldPosition="0">
        <references count="2">
          <reference field="0" count="1" selected="0">
            <x v="27"/>
          </reference>
          <reference field="2" count="1">
            <x v="27"/>
          </reference>
        </references>
      </pivotArea>
    </format>
    <format dxfId="257">
      <pivotArea dataOnly="0" labelOnly="1" outline="0" fieldPosition="0">
        <references count="2">
          <reference field="0" count="1" selected="0">
            <x v="28"/>
          </reference>
          <reference field="2" count="1">
            <x v="28"/>
          </reference>
        </references>
      </pivotArea>
    </format>
    <format dxfId="256">
      <pivotArea dataOnly="0" labelOnly="1" outline="0" fieldPosition="0">
        <references count="2">
          <reference field="0" count="1" selected="0">
            <x v="29"/>
          </reference>
          <reference field="2" count="1">
            <x v="29"/>
          </reference>
        </references>
      </pivotArea>
    </format>
    <format dxfId="255">
      <pivotArea dataOnly="0" labelOnly="1" outline="0" fieldPosition="0">
        <references count="2">
          <reference field="0" count="1" selected="0">
            <x v="30"/>
          </reference>
          <reference field="2" count="1">
            <x v="30"/>
          </reference>
        </references>
      </pivotArea>
    </format>
    <format dxfId="254">
      <pivotArea dataOnly="0" labelOnly="1" outline="0" fieldPosition="0">
        <references count="2">
          <reference field="0" count="1" selected="0">
            <x v="31"/>
          </reference>
          <reference field="2" count="1">
            <x v="31"/>
          </reference>
        </references>
      </pivotArea>
    </format>
    <format dxfId="253">
      <pivotArea dataOnly="0" labelOnly="1" outline="0" fieldPosition="0">
        <references count="2">
          <reference field="0" count="1" selected="0">
            <x v="32"/>
          </reference>
          <reference field="2" count="1">
            <x v="32"/>
          </reference>
        </references>
      </pivotArea>
    </format>
    <format dxfId="252">
      <pivotArea dataOnly="0" labelOnly="1" outline="0" fieldPosition="0">
        <references count="2">
          <reference field="0" count="1" selected="0">
            <x v="33"/>
          </reference>
          <reference field="2" count="1">
            <x v="33"/>
          </reference>
        </references>
      </pivotArea>
    </format>
    <format dxfId="251">
      <pivotArea dataOnly="0" labelOnly="1" outline="0" fieldPosition="0">
        <references count="2">
          <reference field="0" count="1" selected="0">
            <x v="34"/>
          </reference>
          <reference field="2" count="1">
            <x v="34"/>
          </reference>
        </references>
      </pivotArea>
    </format>
    <format dxfId="250">
      <pivotArea dataOnly="0" labelOnly="1" outline="0" fieldPosition="0">
        <references count="2">
          <reference field="0" count="1" selected="0">
            <x v="35"/>
          </reference>
          <reference field="2" count="1">
            <x v="35"/>
          </reference>
        </references>
      </pivotArea>
    </format>
    <format dxfId="249">
      <pivotArea dataOnly="0" labelOnly="1" outline="0" fieldPosition="0">
        <references count="2">
          <reference field="0" count="1" selected="0">
            <x v="36"/>
          </reference>
          <reference field="2" count="1">
            <x v="36"/>
          </reference>
        </references>
      </pivotArea>
    </format>
    <format dxfId="248">
      <pivotArea dataOnly="0" labelOnly="1" outline="0" fieldPosition="0">
        <references count="2">
          <reference field="0" count="1" selected="0">
            <x v="37"/>
          </reference>
          <reference field="2" count="1">
            <x v="37"/>
          </reference>
        </references>
      </pivotArea>
    </format>
    <format dxfId="247">
      <pivotArea dataOnly="0" labelOnly="1" outline="0" fieldPosition="0">
        <references count="2">
          <reference field="0" count="1" selected="0">
            <x v="38"/>
          </reference>
          <reference field="2" count="1">
            <x v="38"/>
          </reference>
        </references>
      </pivotArea>
    </format>
    <format dxfId="246">
      <pivotArea dataOnly="0" labelOnly="1" outline="0" fieldPosition="0">
        <references count="2">
          <reference field="0" count="1" selected="0">
            <x v="39"/>
          </reference>
          <reference field="2" count="1">
            <x v="39"/>
          </reference>
        </references>
      </pivotArea>
    </format>
    <format dxfId="245">
      <pivotArea dataOnly="0" labelOnly="1" outline="0" fieldPosition="0">
        <references count="2">
          <reference field="0" count="1" selected="0">
            <x v="40"/>
          </reference>
          <reference field="2" count="1">
            <x v="40"/>
          </reference>
        </references>
      </pivotArea>
    </format>
    <format dxfId="244">
      <pivotArea dataOnly="0" labelOnly="1" outline="0" fieldPosition="0">
        <references count="2">
          <reference field="0" count="1" selected="0">
            <x v="41"/>
          </reference>
          <reference field="2" count="1">
            <x v="41"/>
          </reference>
        </references>
      </pivotArea>
    </format>
    <format dxfId="243">
      <pivotArea dataOnly="0" labelOnly="1" outline="0" fieldPosition="0">
        <references count="2">
          <reference field="0" count="1" selected="0">
            <x v="42"/>
          </reference>
          <reference field="2" count="1">
            <x v="42"/>
          </reference>
        </references>
      </pivotArea>
    </format>
    <format dxfId="242">
      <pivotArea dataOnly="0" labelOnly="1" outline="0" fieldPosition="0">
        <references count="2">
          <reference field="0" count="1" selected="0">
            <x v="43"/>
          </reference>
          <reference field="2" count="1">
            <x v="43"/>
          </reference>
        </references>
      </pivotArea>
    </format>
    <format dxfId="241">
      <pivotArea dataOnly="0" labelOnly="1" outline="0" fieldPosition="0">
        <references count="2">
          <reference field="0" count="1" selected="0">
            <x v="44"/>
          </reference>
          <reference field="2" count="1">
            <x v="44"/>
          </reference>
        </references>
      </pivotArea>
    </format>
    <format dxfId="240">
      <pivotArea dataOnly="0" labelOnly="1" outline="0" fieldPosition="0">
        <references count="2">
          <reference field="0" count="1" selected="0">
            <x v="45"/>
          </reference>
          <reference field="2" count="1">
            <x v="45"/>
          </reference>
        </references>
      </pivotArea>
    </format>
    <format dxfId="239">
      <pivotArea dataOnly="0" labelOnly="1" outline="0" fieldPosition="0">
        <references count="2">
          <reference field="0" count="1" selected="0">
            <x v="46"/>
          </reference>
          <reference field="2" count="1">
            <x v="46"/>
          </reference>
        </references>
      </pivotArea>
    </format>
    <format dxfId="238">
      <pivotArea dataOnly="0" labelOnly="1" outline="0" fieldPosition="0">
        <references count="2">
          <reference field="0" count="1" selected="0">
            <x v="47"/>
          </reference>
          <reference field="2" count="1">
            <x v="47"/>
          </reference>
        </references>
      </pivotArea>
    </format>
    <format dxfId="237">
      <pivotArea dataOnly="0" labelOnly="1" outline="0" fieldPosition="0">
        <references count="2">
          <reference field="0" count="1" selected="0">
            <x v="48"/>
          </reference>
          <reference field="2" count="1">
            <x v="48"/>
          </reference>
        </references>
      </pivotArea>
    </format>
    <format dxfId="236">
      <pivotArea dataOnly="0" labelOnly="1" outline="0" fieldPosition="0">
        <references count="2">
          <reference field="0" count="1" selected="0">
            <x v="49"/>
          </reference>
          <reference field="2" count="1">
            <x v="49"/>
          </reference>
        </references>
      </pivotArea>
    </format>
    <format dxfId="235">
      <pivotArea dataOnly="0" labelOnly="1" outline="0" fieldPosition="0">
        <references count="2">
          <reference field="0" count="1" selected="0">
            <x v="50"/>
          </reference>
          <reference field="2" count="1">
            <x v="50"/>
          </reference>
        </references>
      </pivotArea>
    </format>
    <format dxfId="234">
      <pivotArea dataOnly="0" labelOnly="1" outline="0" fieldPosition="0">
        <references count="2">
          <reference field="0" count="1" selected="0">
            <x v="51"/>
          </reference>
          <reference field="2" count="1">
            <x v="51"/>
          </reference>
        </references>
      </pivotArea>
    </format>
    <format dxfId="233">
      <pivotArea dataOnly="0" labelOnly="1" outline="0" fieldPosition="0">
        <references count="2">
          <reference field="0" count="1" selected="0">
            <x v="52"/>
          </reference>
          <reference field="2" count="1">
            <x v="52"/>
          </reference>
        </references>
      </pivotArea>
    </format>
    <format dxfId="232">
      <pivotArea dataOnly="0" labelOnly="1" outline="0" fieldPosition="0">
        <references count="2">
          <reference field="0" count="1" selected="0">
            <x v="53"/>
          </reference>
          <reference field="2" count="1">
            <x v="53"/>
          </reference>
        </references>
      </pivotArea>
    </format>
    <format dxfId="231">
      <pivotArea dataOnly="0" labelOnly="1" outline="0" fieldPosition="0">
        <references count="2">
          <reference field="0" count="1" selected="0">
            <x v="54"/>
          </reference>
          <reference field="2" count="1">
            <x v="54"/>
          </reference>
        </references>
      </pivotArea>
    </format>
    <format dxfId="230">
      <pivotArea dataOnly="0" labelOnly="1" outline="0" fieldPosition="0">
        <references count="2">
          <reference field="0" count="1" selected="0">
            <x v="55"/>
          </reference>
          <reference field="2" count="1">
            <x v="55"/>
          </reference>
        </references>
      </pivotArea>
    </format>
    <format dxfId="229">
      <pivotArea dataOnly="0" labelOnly="1" outline="0" fieldPosition="0">
        <references count="2">
          <reference field="0" count="1" selected="0">
            <x v="56"/>
          </reference>
          <reference field="2" count="1">
            <x v="56"/>
          </reference>
        </references>
      </pivotArea>
    </format>
    <format dxfId="228">
      <pivotArea dataOnly="0" labelOnly="1" outline="0" fieldPosition="0">
        <references count="2">
          <reference field="0" count="1" selected="0">
            <x v="57"/>
          </reference>
          <reference field="2" count="1">
            <x v="57"/>
          </reference>
        </references>
      </pivotArea>
    </format>
    <format dxfId="227">
      <pivotArea dataOnly="0" labelOnly="1" outline="0" fieldPosition="0">
        <references count="2">
          <reference field="0" count="1" selected="0">
            <x v="58"/>
          </reference>
          <reference field="2" count="1">
            <x v="58"/>
          </reference>
        </references>
      </pivotArea>
    </format>
    <format dxfId="226">
      <pivotArea dataOnly="0" labelOnly="1" outline="0" fieldPosition="0">
        <references count="2">
          <reference field="0" count="1" selected="0">
            <x v="59"/>
          </reference>
          <reference field="2" count="1">
            <x v="59"/>
          </reference>
        </references>
      </pivotArea>
    </format>
    <format dxfId="225">
      <pivotArea dataOnly="0" labelOnly="1" outline="0" fieldPosition="0">
        <references count="3">
          <reference field="0" count="1" selected="0">
            <x v="0"/>
          </reference>
          <reference field="1" count="1">
            <x v="6"/>
          </reference>
          <reference field="2" count="1" selected="0">
            <x v="0"/>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3">
          <reference field="0" count="1" selected="0">
            <x v="2"/>
          </reference>
          <reference field="1" count="1">
            <x v="7"/>
          </reference>
          <reference field="2" count="1" selected="0">
            <x v="2"/>
          </reference>
        </references>
      </pivotArea>
    </format>
    <format dxfId="222">
      <pivotArea dataOnly="0" labelOnly="1" outline="0" fieldPosition="0">
        <references count="3">
          <reference field="0" count="1" selected="0">
            <x v="3"/>
          </reference>
          <reference field="1" count="1">
            <x v="40"/>
          </reference>
          <reference field="2" count="1" selected="0">
            <x v="3"/>
          </reference>
        </references>
      </pivotArea>
    </format>
    <format dxfId="221">
      <pivotArea dataOnly="0" labelOnly="1" outline="0" fieldPosition="0">
        <references count="3">
          <reference field="0" count="1" selected="0">
            <x v="4"/>
          </reference>
          <reference field="1" count="1">
            <x v="16"/>
          </reference>
          <reference field="2" count="1" selected="0">
            <x v="4"/>
          </reference>
        </references>
      </pivotArea>
    </format>
    <format dxfId="220">
      <pivotArea dataOnly="0" labelOnly="1" outline="0" fieldPosition="0">
        <references count="3">
          <reference field="0" count="1" selected="0">
            <x v="5"/>
          </reference>
          <reference field="1" count="1">
            <x v="33"/>
          </reference>
          <reference field="2" count="1" selected="0">
            <x v="5"/>
          </reference>
        </references>
      </pivotArea>
    </format>
    <format dxfId="219">
      <pivotArea dataOnly="0" labelOnly="1" outline="0" fieldPosition="0">
        <references count="3">
          <reference field="0" count="1" selected="0">
            <x v="6"/>
          </reference>
          <reference field="1" count="1">
            <x v="39"/>
          </reference>
          <reference field="2" count="1" selected="0">
            <x v="6"/>
          </reference>
        </references>
      </pivotArea>
    </format>
    <format dxfId="218">
      <pivotArea dataOnly="0" labelOnly="1" outline="0" fieldPosition="0">
        <references count="3">
          <reference field="0" count="1" selected="0">
            <x v="7"/>
          </reference>
          <reference field="1" count="1">
            <x v="28"/>
          </reference>
          <reference field="2" count="1" selected="0">
            <x v="7"/>
          </reference>
        </references>
      </pivotArea>
    </format>
    <format dxfId="217">
      <pivotArea dataOnly="0" labelOnly="1" outline="0" fieldPosition="0">
        <references count="3">
          <reference field="0" count="1" selected="0">
            <x v="8"/>
          </reference>
          <reference field="1" count="1">
            <x v="25"/>
          </reference>
          <reference field="2" count="1" selected="0">
            <x v="8"/>
          </reference>
        </references>
      </pivotArea>
    </format>
    <format dxfId="216">
      <pivotArea dataOnly="0" labelOnly="1" outline="0" fieldPosition="0">
        <references count="3">
          <reference field="0" count="1" selected="0">
            <x v="9"/>
          </reference>
          <reference field="1" count="1">
            <x v="43"/>
          </reference>
          <reference field="2" count="1" selected="0">
            <x v="9"/>
          </reference>
        </references>
      </pivotArea>
    </format>
    <format dxfId="215">
      <pivotArea dataOnly="0" labelOnly="1" outline="0" fieldPosition="0">
        <references count="3">
          <reference field="0" count="1" selected="0">
            <x v="10"/>
          </reference>
          <reference field="1" count="1">
            <x v="44"/>
          </reference>
          <reference field="2" count="1" selected="0">
            <x v="10"/>
          </reference>
        </references>
      </pivotArea>
    </format>
    <format dxfId="214">
      <pivotArea dataOnly="0" labelOnly="1" outline="0" fieldPosition="0">
        <references count="3">
          <reference field="0" count="1" selected="0">
            <x v="11"/>
          </reference>
          <reference field="1" count="1">
            <x v="45"/>
          </reference>
          <reference field="2" count="1" selected="0">
            <x v="11"/>
          </reference>
        </references>
      </pivotArea>
    </format>
    <format dxfId="213">
      <pivotArea dataOnly="0" labelOnly="1" outline="0" fieldPosition="0">
        <references count="3">
          <reference field="0" count="1" selected="0">
            <x v="12"/>
          </reference>
          <reference field="1" count="1">
            <x v="46"/>
          </reference>
          <reference field="2" count="1" selected="0">
            <x v="12"/>
          </reference>
        </references>
      </pivotArea>
    </format>
    <format dxfId="212">
      <pivotArea dataOnly="0" labelOnly="1" outline="0" fieldPosition="0">
        <references count="3">
          <reference field="0" count="1" selected="0">
            <x v="13"/>
          </reference>
          <reference field="1" count="1">
            <x v="47"/>
          </reference>
          <reference field="2" count="1" selected="0">
            <x v="13"/>
          </reference>
        </references>
      </pivotArea>
    </format>
    <format dxfId="211">
      <pivotArea dataOnly="0" labelOnly="1" outline="0" fieldPosition="0">
        <references count="3">
          <reference field="0" count="1" selected="0">
            <x v="14"/>
          </reference>
          <reference field="1" count="1">
            <x v="48"/>
          </reference>
          <reference field="2" count="1" selected="0">
            <x v="14"/>
          </reference>
        </references>
      </pivotArea>
    </format>
    <format dxfId="210">
      <pivotArea dataOnly="0" labelOnly="1" outline="0" fieldPosition="0">
        <references count="3">
          <reference field="0" count="1" selected="0">
            <x v="15"/>
          </reference>
          <reference field="1" count="1">
            <x v="36"/>
          </reference>
          <reference field="2" count="1" selected="0">
            <x v="15"/>
          </reference>
        </references>
      </pivotArea>
    </format>
    <format dxfId="209">
      <pivotArea dataOnly="0" labelOnly="1" outline="0" fieldPosition="0">
        <references count="3">
          <reference field="0" count="1" selected="0">
            <x v="16"/>
          </reference>
          <reference field="1" count="1">
            <x v="37"/>
          </reference>
          <reference field="2" count="1" selected="0">
            <x v="16"/>
          </reference>
        </references>
      </pivotArea>
    </format>
    <format dxfId="208">
      <pivotArea dataOnly="0" labelOnly="1" outline="0" fieldPosition="0">
        <references count="3">
          <reference field="0" count="1" selected="0">
            <x v="17"/>
          </reference>
          <reference field="1" count="1">
            <x v="18"/>
          </reference>
          <reference field="2" count="1" selected="0">
            <x v="17"/>
          </reference>
        </references>
      </pivotArea>
    </format>
    <format dxfId="207">
      <pivotArea dataOnly="0" labelOnly="1" outline="0" fieldPosition="0">
        <references count="3">
          <reference field="0" count="1" selected="0">
            <x v="18"/>
          </reference>
          <reference field="1" count="1">
            <x v="51"/>
          </reference>
          <reference field="2" count="1" selected="0">
            <x v="18"/>
          </reference>
        </references>
      </pivotArea>
    </format>
    <format dxfId="206">
      <pivotArea dataOnly="0" labelOnly="1" outline="0" fieldPosition="0">
        <references count="3">
          <reference field="0" count="1" selected="0">
            <x v="19"/>
          </reference>
          <reference field="1" count="1">
            <x v="52"/>
          </reference>
          <reference field="2" count="1" selected="0">
            <x v="19"/>
          </reference>
        </references>
      </pivotArea>
    </format>
    <format dxfId="205">
      <pivotArea dataOnly="0" labelOnly="1" outline="0" fieldPosition="0">
        <references count="3">
          <reference field="0" count="1" selected="0">
            <x v="20"/>
          </reference>
          <reference field="1" count="1">
            <x v="53"/>
          </reference>
          <reference field="2" count="1" selected="0">
            <x v="20"/>
          </reference>
        </references>
      </pivotArea>
    </format>
    <format dxfId="204">
      <pivotArea dataOnly="0" labelOnly="1" outline="0" fieldPosition="0">
        <references count="3">
          <reference field="0" count="1" selected="0">
            <x v="21"/>
          </reference>
          <reference field="1" count="1">
            <x v="55"/>
          </reference>
          <reference field="2" count="1" selected="0">
            <x v="21"/>
          </reference>
        </references>
      </pivotArea>
    </format>
    <format dxfId="203">
      <pivotArea dataOnly="0" labelOnly="1" outline="0" fieldPosition="0">
        <references count="3">
          <reference field="0" count="1" selected="0">
            <x v="22"/>
          </reference>
          <reference field="1" count="1">
            <x v="58"/>
          </reference>
          <reference field="2" count="1" selected="0">
            <x v="22"/>
          </reference>
        </references>
      </pivotArea>
    </format>
    <format dxfId="202">
      <pivotArea dataOnly="0" labelOnly="1" outline="0" fieldPosition="0">
        <references count="3">
          <reference field="0" count="1" selected="0">
            <x v="23"/>
          </reference>
          <reference field="1" count="1">
            <x v="59"/>
          </reference>
          <reference field="2" count="1" selected="0">
            <x v="23"/>
          </reference>
        </references>
      </pivotArea>
    </format>
    <format dxfId="201">
      <pivotArea dataOnly="0" labelOnly="1" outline="0" fieldPosition="0">
        <references count="3">
          <reference field="0" count="1" selected="0">
            <x v="24"/>
          </reference>
          <reference field="1" count="1">
            <x v="11"/>
          </reference>
          <reference field="2" count="1" selected="0">
            <x v="24"/>
          </reference>
        </references>
      </pivotArea>
    </format>
    <format dxfId="200">
      <pivotArea dataOnly="0" labelOnly="1" outline="0" fieldPosition="0">
        <references count="3">
          <reference field="0" count="1" selected="0">
            <x v="25"/>
          </reference>
          <reference field="1" count="1">
            <x v="12"/>
          </reference>
          <reference field="2" count="1" selected="0">
            <x v="25"/>
          </reference>
        </references>
      </pivotArea>
    </format>
    <format dxfId="199">
      <pivotArea dataOnly="0" labelOnly="1" outline="0" fieldPosition="0">
        <references count="3">
          <reference field="0" count="1" selected="0">
            <x v="26"/>
          </reference>
          <reference field="1" count="1">
            <x v="13"/>
          </reference>
          <reference field="2" count="1" selected="0">
            <x v="26"/>
          </reference>
        </references>
      </pivotArea>
    </format>
    <format dxfId="198">
      <pivotArea dataOnly="0" labelOnly="1" outline="0" fieldPosition="0">
        <references count="3">
          <reference field="0" count="1" selected="0">
            <x v="27"/>
          </reference>
          <reference field="1" count="1">
            <x v="14"/>
          </reference>
          <reference field="2" count="1" selected="0">
            <x v="27"/>
          </reference>
        </references>
      </pivotArea>
    </format>
    <format dxfId="197">
      <pivotArea dataOnly="0" labelOnly="1" outline="0" fieldPosition="0">
        <references count="3">
          <reference field="0" count="1" selected="0">
            <x v="28"/>
          </reference>
          <reference field="1" count="1">
            <x v="9"/>
          </reference>
          <reference field="2" count="1" selected="0">
            <x v="28"/>
          </reference>
        </references>
      </pivotArea>
    </format>
    <format dxfId="196">
      <pivotArea dataOnly="0" labelOnly="1" outline="0" fieldPosition="0">
        <references count="3">
          <reference field="0" count="1" selected="0">
            <x v="29"/>
          </reference>
          <reference field="1" count="1">
            <x v="10"/>
          </reference>
          <reference field="2" count="1" selected="0">
            <x v="29"/>
          </reference>
        </references>
      </pivotArea>
    </format>
    <format dxfId="195">
      <pivotArea dataOnly="0" labelOnly="1" outline="0" fieldPosition="0">
        <references count="3">
          <reference field="0" count="1" selected="0">
            <x v="30"/>
          </reference>
          <reference field="1" count="1">
            <x v="8"/>
          </reference>
          <reference field="2" count="1" selected="0">
            <x v="30"/>
          </reference>
        </references>
      </pivotArea>
    </format>
    <format dxfId="194">
      <pivotArea dataOnly="0" labelOnly="1" outline="0" fieldPosition="0">
        <references count="3">
          <reference field="0" count="1" selected="0">
            <x v="31"/>
          </reference>
          <reference field="1" count="1">
            <x v="41"/>
          </reference>
          <reference field="2" count="1" selected="0">
            <x v="31"/>
          </reference>
        </references>
      </pivotArea>
    </format>
    <format dxfId="193">
      <pivotArea dataOnly="0" labelOnly="1" outline="0" fieldPosition="0">
        <references count="3">
          <reference field="0" count="1" selected="0">
            <x v="32"/>
          </reference>
          <reference field="1" count="1">
            <x v="42"/>
          </reference>
          <reference field="2" count="1" selected="0">
            <x v="32"/>
          </reference>
        </references>
      </pivotArea>
    </format>
    <format dxfId="192">
      <pivotArea dataOnly="0" labelOnly="1" outline="0" fieldPosition="0">
        <references count="3">
          <reference field="0" count="1" selected="0">
            <x v="33"/>
          </reference>
          <reference field="1" count="1">
            <x v="3"/>
          </reference>
          <reference field="2" count="1" selected="0">
            <x v="33"/>
          </reference>
        </references>
      </pivotArea>
    </format>
    <format dxfId="191">
      <pivotArea dataOnly="0" labelOnly="1" outline="0" fieldPosition="0">
        <references count="3">
          <reference field="0" count="1" selected="0">
            <x v="34"/>
          </reference>
          <reference field="1" count="1">
            <x v="4"/>
          </reference>
          <reference field="2" count="1" selected="0">
            <x v="34"/>
          </reference>
        </references>
      </pivotArea>
    </format>
    <format dxfId="190">
      <pivotArea dataOnly="0" labelOnly="1" outline="0" fieldPosition="0">
        <references count="3">
          <reference field="0" count="1" selected="0">
            <x v="35"/>
          </reference>
          <reference field="1" count="1">
            <x v="49"/>
          </reference>
          <reference field="2" count="1" selected="0">
            <x v="35"/>
          </reference>
        </references>
      </pivotArea>
    </format>
    <format dxfId="189">
      <pivotArea dataOnly="0" labelOnly="1" outline="0" fieldPosition="0">
        <references count="3">
          <reference field="0" count="1" selected="0">
            <x v="36"/>
          </reference>
          <reference field="1" count="1">
            <x v="50"/>
          </reference>
          <reference field="2" count="1" selected="0">
            <x v="36"/>
          </reference>
        </references>
      </pivotArea>
    </format>
    <format dxfId="188">
      <pivotArea dataOnly="0" labelOnly="1" outline="0" fieldPosition="0">
        <references count="3">
          <reference field="0" count="1" selected="0">
            <x v="37"/>
          </reference>
          <reference field="1" count="1">
            <x v="54"/>
          </reference>
          <reference field="2" count="1" selected="0">
            <x v="37"/>
          </reference>
        </references>
      </pivotArea>
    </format>
    <format dxfId="187">
      <pivotArea dataOnly="0" labelOnly="1" outline="0" fieldPosition="0">
        <references count="3">
          <reference field="0" count="1" selected="0">
            <x v="38"/>
          </reference>
          <reference field="1" count="1">
            <x v="56"/>
          </reference>
          <reference field="2" count="1" selected="0">
            <x v="38"/>
          </reference>
        </references>
      </pivotArea>
    </format>
    <format dxfId="186">
      <pivotArea dataOnly="0" labelOnly="1" outline="0" fieldPosition="0">
        <references count="3">
          <reference field="0" count="1" selected="0">
            <x v="39"/>
          </reference>
          <reference field="1" count="1">
            <x v="34"/>
          </reference>
          <reference field="2" count="1" selected="0">
            <x v="39"/>
          </reference>
        </references>
      </pivotArea>
    </format>
    <format dxfId="185">
      <pivotArea dataOnly="0" labelOnly="1" outline="0" fieldPosition="0">
        <references count="3">
          <reference field="0" count="1" selected="0">
            <x v="40"/>
          </reference>
          <reference field="1" count="1">
            <x v="29"/>
          </reference>
          <reference field="2" count="1" selected="0">
            <x v="40"/>
          </reference>
        </references>
      </pivotArea>
    </format>
    <format dxfId="184">
      <pivotArea dataOnly="0" labelOnly="1" outline="0" fieldPosition="0">
        <references count="3">
          <reference field="0" count="1" selected="0">
            <x v="41"/>
          </reference>
          <reference field="1" count="1">
            <x v="30"/>
          </reference>
          <reference field="2" count="1" selected="0">
            <x v="41"/>
          </reference>
        </references>
      </pivotArea>
    </format>
    <format dxfId="183">
      <pivotArea dataOnly="0" labelOnly="1" outline="0" fieldPosition="0">
        <references count="3">
          <reference field="0" count="1" selected="0">
            <x v="42"/>
          </reference>
          <reference field="1" count="1">
            <x v="31"/>
          </reference>
          <reference field="2" count="1" selected="0">
            <x v="42"/>
          </reference>
        </references>
      </pivotArea>
    </format>
    <format dxfId="182">
      <pivotArea dataOnly="0" labelOnly="1" outline="0" fieldPosition="0">
        <references count="3">
          <reference field="0" count="1" selected="0">
            <x v="43"/>
          </reference>
          <reference field="1" count="1">
            <x v="20"/>
          </reference>
          <reference field="2" count="1" selected="0">
            <x v="43"/>
          </reference>
        </references>
      </pivotArea>
    </format>
    <format dxfId="181">
      <pivotArea dataOnly="0" labelOnly="1" outline="0" fieldPosition="0">
        <references count="3">
          <reference field="0" count="1" selected="0">
            <x v="44"/>
          </reference>
          <reference field="1" count="1">
            <x v="21"/>
          </reference>
          <reference field="2" count="1" selected="0">
            <x v="44"/>
          </reference>
        </references>
      </pivotArea>
    </format>
    <format dxfId="180">
      <pivotArea dataOnly="0" labelOnly="1" outline="0" fieldPosition="0">
        <references count="3">
          <reference field="0" count="1" selected="0">
            <x v="45"/>
          </reference>
          <reference field="1" count="1">
            <x v="22"/>
          </reference>
          <reference field="2" count="1" selected="0">
            <x v="45"/>
          </reference>
        </references>
      </pivotArea>
    </format>
    <format dxfId="179">
      <pivotArea dataOnly="0" labelOnly="1" outline="0" fieldPosition="0">
        <references count="3">
          <reference field="0" count="1" selected="0">
            <x v="46"/>
          </reference>
          <reference field="1" count="1">
            <x v="57"/>
          </reference>
          <reference field="2" count="1" selected="0">
            <x v="46"/>
          </reference>
        </references>
      </pivotArea>
    </format>
    <format dxfId="178">
      <pivotArea dataOnly="0" labelOnly="1" outline="0" fieldPosition="0">
        <references count="3">
          <reference field="0" count="1" selected="0">
            <x v="47"/>
          </reference>
          <reference field="1" count="1">
            <x v="17"/>
          </reference>
          <reference field="2" count="1" selected="0">
            <x v="47"/>
          </reference>
        </references>
      </pivotArea>
    </format>
    <format dxfId="177">
      <pivotArea dataOnly="0" labelOnly="1" outline="0" fieldPosition="0">
        <references count="3">
          <reference field="0" count="1" selected="0">
            <x v="48"/>
          </reference>
          <reference field="1" count="1">
            <x v="26"/>
          </reference>
          <reference field="2" count="1" selected="0">
            <x v="48"/>
          </reference>
        </references>
      </pivotArea>
    </format>
    <format dxfId="176">
      <pivotArea dataOnly="0" labelOnly="1" outline="0" fieldPosition="0">
        <references count="3">
          <reference field="0" count="1" selected="0">
            <x v="49"/>
          </reference>
          <reference field="1" count="1">
            <x v="0"/>
          </reference>
          <reference field="2" count="1" selected="0">
            <x v="49"/>
          </reference>
        </references>
      </pivotArea>
    </format>
    <format dxfId="175">
      <pivotArea dataOnly="0" labelOnly="1" outline="0" fieldPosition="0">
        <references count="3">
          <reference field="0" count="1" selected="0">
            <x v="50"/>
          </reference>
          <reference field="1" count="1">
            <x v="35"/>
          </reference>
          <reference field="2" count="1" selected="0">
            <x v="50"/>
          </reference>
        </references>
      </pivotArea>
    </format>
    <format dxfId="174">
      <pivotArea dataOnly="0" labelOnly="1" outline="0" fieldPosition="0">
        <references count="3">
          <reference field="0" count="1" selected="0">
            <x v="51"/>
          </reference>
          <reference field="1" count="1">
            <x v="15"/>
          </reference>
          <reference field="2" count="1" selected="0">
            <x v="51"/>
          </reference>
        </references>
      </pivotArea>
    </format>
    <format dxfId="173">
      <pivotArea dataOnly="0" labelOnly="1" outline="0" fieldPosition="0">
        <references count="3">
          <reference field="0" count="1" selected="0">
            <x v="52"/>
          </reference>
          <reference field="1" count="1">
            <x v="2"/>
          </reference>
          <reference field="2" count="1" selected="0">
            <x v="52"/>
          </reference>
        </references>
      </pivotArea>
    </format>
    <format dxfId="172">
      <pivotArea dataOnly="0" labelOnly="1" outline="0" fieldPosition="0">
        <references count="3">
          <reference field="0" count="1" selected="0">
            <x v="53"/>
          </reference>
          <reference field="1" count="1">
            <x v="1"/>
          </reference>
          <reference field="2" count="1" selected="0">
            <x v="53"/>
          </reference>
        </references>
      </pivotArea>
    </format>
    <format dxfId="171">
      <pivotArea dataOnly="0" labelOnly="1" outline="0" fieldPosition="0">
        <references count="3">
          <reference field="0" count="1" selected="0">
            <x v="54"/>
          </reference>
          <reference field="1" count="1">
            <x v="32"/>
          </reference>
          <reference field="2" count="1" selected="0">
            <x v="54"/>
          </reference>
        </references>
      </pivotArea>
    </format>
    <format dxfId="170">
      <pivotArea dataOnly="0" labelOnly="1" outline="0" fieldPosition="0">
        <references count="3">
          <reference field="0" count="1" selected="0">
            <x v="55"/>
          </reference>
          <reference field="1" count="1">
            <x v="19"/>
          </reference>
          <reference field="2" count="1" selected="0">
            <x v="55"/>
          </reference>
        </references>
      </pivotArea>
    </format>
    <format dxfId="169">
      <pivotArea dataOnly="0" labelOnly="1" outline="0" fieldPosition="0">
        <references count="3">
          <reference field="0" count="1" selected="0">
            <x v="56"/>
          </reference>
          <reference field="1" count="1">
            <x v="27"/>
          </reference>
          <reference field="2" count="1" selected="0">
            <x v="56"/>
          </reference>
        </references>
      </pivotArea>
    </format>
    <format dxfId="168">
      <pivotArea dataOnly="0" labelOnly="1" outline="0" fieldPosition="0">
        <references count="3">
          <reference field="0" count="1" selected="0">
            <x v="57"/>
          </reference>
          <reference field="1" count="1">
            <x v="23"/>
          </reference>
          <reference field="2" count="1" selected="0">
            <x v="57"/>
          </reference>
        </references>
      </pivotArea>
    </format>
    <format dxfId="167">
      <pivotArea dataOnly="0" labelOnly="1" outline="0" fieldPosition="0">
        <references count="3">
          <reference field="0" count="1" selected="0">
            <x v="58"/>
          </reference>
          <reference field="1" count="1">
            <x v="24"/>
          </reference>
          <reference field="2" count="1" selected="0">
            <x v="58"/>
          </reference>
        </references>
      </pivotArea>
    </format>
    <format dxfId="166">
      <pivotArea dataOnly="0" labelOnly="1" outline="0" fieldPosition="0">
        <references count="3">
          <reference field="0" count="1" selected="0">
            <x v="59"/>
          </reference>
          <reference field="1" count="1">
            <x v="38"/>
          </reference>
          <reference field="2" count="1" selected="0">
            <x v="59"/>
          </reference>
        </references>
      </pivotArea>
    </format>
    <format dxfId="16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6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6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6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5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5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5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5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5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5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5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5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5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5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4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4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4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4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4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4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4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4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4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4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3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3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3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3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3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3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3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3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2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2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2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2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2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2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2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2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2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2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1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1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1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1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1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1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1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1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1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1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0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0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05">
      <pivotArea dataOnly="0" outline="0" fieldPosition="0">
        <references count="1">
          <reference field="0" count="1">
            <x v="60"/>
          </reference>
        </references>
      </pivotArea>
    </format>
    <format dxfId="104">
      <pivotArea dataOnly="0" outline="0" fieldPosition="0">
        <references count="1">
          <reference field="0" count="1">
            <x v="60"/>
          </reference>
        </references>
      </pivotArea>
    </format>
    <format dxfId="103">
      <pivotArea type="all" dataOnly="0" outline="0" fieldPosition="0"/>
    </format>
    <format dxfId="102">
      <pivotArea type="all" dataOnly="0" outline="0" fieldPosition="0"/>
    </format>
    <format dxfId="101">
      <pivotArea type="all" dataOnly="0" outline="0" fieldPosition="0"/>
    </format>
    <format dxfId="100">
      <pivotArea dataOnly="0" labelOnly="1" outline="0" fieldPosition="0">
        <references count="1">
          <reference field="0" count="3">
            <x v="61"/>
            <x v="62"/>
            <x v="63"/>
          </reference>
        </references>
      </pivotArea>
    </format>
    <format dxfId="99">
      <pivotArea dataOnly="0" labelOnly="1" outline="0" fieldPosition="0">
        <references count="1">
          <reference field="0" count="3">
            <x v="0"/>
            <x v="1"/>
            <x v="2"/>
          </reference>
        </references>
      </pivotArea>
    </format>
    <format dxfId="98">
      <pivotArea dataOnly="0" labelOnly="1" outline="0" fieldPosition="0">
        <references count="2">
          <reference field="0" count="1" selected="0">
            <x v="0"/>
          </reference>
          <reference field="2" count="1">
            <x v="0"/>
          </reference>
        </references>
      </pivotArea>
    </format>
    <format dxfId="97">
      <pivotArea dataOnly="0" labelOnly="1" outline="0" fieldPosition="0">
        <references count="2">
          <reference field="0" count="1" selected="0">
            <x v="1"/>
          </reference>
          <reference field="2" count="1">
            <x v="1"/>
          </reference>
        </references>
      </pivotArea>
    </format>
    <format dxfId="96">
      <pivotArea dataOnly="0" labelOnly="1" outline="0" fieldPosition="0">
        <references count="2">
          <reference field="0" count="1" selected="0">
            <x v="2"/>
          </reference>
          <reference field="2" count="1">
            <x v="2"/>
          </reference>
        </references>
      </pivotArea>
    </format>
    <format dxfId="95">
      <pivotArea dataOnly="0" labelOnly="1" outline="0" fieldPosition="0">
        <references count="3">
          <reference field="0" count="1" selected="0">
            <x v="0"/>
          </reference>
          <reference field="1" count="1">
            <x v="6"/>
          </reference>
          <reference field="2" count="1" selected="0">
            <x v="0"/>
          </reference>
        </references>
      </pivotArea>
    </format>
    <format dxfId="94">
      <pivotArea dataOnly="0" labelOnly="1" outline="0" fieldPosition="0">
        <references count="3">
          <reference field="0" count="1" selected="0">
            <x v="1"/>
          </reference>
          <reference field="1" count="1">
            <x v="5"/>
          </reference>
          <reference field="2" count="1" selected="0">
            <x v="1"/>
          </reference>
        </references>
      </pivotArea>
    </format>
    <format dxfId="93">
      <pivotArea dataOnly="0" labelOnly="1" outline="0" fieldPosition="0">
        <references count="3">
          <reference field="0" count="1" selected="0">
            <x v="2"/>
          </reference>
          <reference field="1" count="1">
            <x v="7"/>
          </reference>
          <reference field="2" count="1" selected="0">
            <x v="2"/>
          </reference>
        </references>
      </pivotArea>
    </format>
    <format dxfId="9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9">
      <pivotArea dataOnly="0" labelOnly="1" outline="0" fieldPosition="0">
        <references count="1">
          <reference field="1" count="0"/>
        </references>
      </pivotArea>
    </format>
    <format dxfId="88">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6">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L5" sqref="AL5:AL7"/>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7" t="s">
        <v>59</v>
      </c>
      <c r="C1" s="217"/>
      <c r="D1" s="217"/>
      <c r="E1" s="217"/>
      <c r="F1" s="217"/>
      <c r="G1" s="217"/>
      <c r="H1" s="217"/>
      <c r="I1" s="217"/>
      <c r="J1" s="217"/>
      <c r="K1" s="217"/>
      <c r="L1" s="217"/>
      <c r="M1" s="217"/>
      <c r="N1" s="178"/>
    </row>
    <row r="2" spans="1:50" ht="34.5" customHeight="1" x14ac:dyDescent="0.25">
      <c r="A2" s="1">
        <f>221+120+60+130-(165+219)</f>
        <v>147</v>
      </c>
      <c r="K2" s="13">
        <f>SUMPRODUCT((E5:E7)*(F5:F7))</f>
        <v>148.75</v>
      </c>
      <c r="L2" s="13">
        <f>M4-K4</f>
        <v>1408</v>
      </c>
      <c r="M2" s="8">
        <f>M4/K4-1</f>
        <v>0.19458936530421855</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3725.2820596014817</v>
      </c>
      <c r="B4" s="19"/>
      <c r="C4" s="19"/>
      <c r="D4" s="67"/>
      <c r="E4" s="19">
        <f>SUMPRODUCT((E5:E162)*(F5:F162))</f>
        <v>148.75</v>
      </c>
      <c r="F4" s="19">
        <f>SUBTOTAL(9,F5:F152)</f>
        <v>148.75</v>
      </c>
      <c r="G4" s="7"/>
      <c r="H4" s="7">
        <f>SUBTOTAL(9,H5:H152)</f>
        <v>7088.75</v>
      </c>
      <c r="I4" s="12"/>
      <c r="J4" s="12"/>
      <c r="K4" s="12">
        <f>SUBTOTAL(9,K5:K152)</f>
        <v>7235.75</v>
      </c>
      <c r="L4" s="68"/>
      <c r="M4" s="7">
        <f>SUBTOTAL(9,M5:M152)</f>
        <v>8643.75</v>
      </c>
      <c r="N4" s="7">
        <f ca="1">SUBTOTAL(9,N5:N152)</f>
        <v>4127.75</v>
      </c>
      <c r="O4" s="69">
        <f ca="1">SUBTOTAL(9,O5:O152)</f>
        <v>74.800000000000011</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si="0"/>
        <v>9.15</v>
      </c>
      <c r="AJ4" s="40">
        <f t="shared" si="0"/>
        <v>11.85</v>
      </c>
      <c r="AK4" s="40">
        <f t="shared" si="0"/>
        <v>7.0500000000000007</v>
      </c>
      <c r="AL4" s="40">
        <f t="shared" si="0"/>
        <v>8.8000000000000007</v>
      </c>
      <c r="AM4" s="40">
        <f t="shared" ca="1" si="0"/>
        <v>10.199999999999999</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2715</v>
      </c>
    </row>
    <row r="5" spans="1:50" ht="35.25" customHeight="1" x14ac:dyDescent="0.25">
      <c r="A5" s="89">
        <f t="shared" ref="A5:A7" ca="1" si="1">J5*O5</f>
        <v>845.17030506083586</v>
      </c>
      <c r="B5" s="6">
        <v>1</v>
      </c>
      <c r="C5" s="91" t="s">
        <v>225</v>
      </c>
      <c r="D5" s="99">
        <v>46</v>
      </c>
      <c r="E5" s="92">
        <v>1</v>
      </c>
      <c r="F5" s="92">
        <v>30</v>
      </c>
      <c r="G5" s="184">
        <v>46</v>
      </c>
      <c r="H5" s="185">
        <f t="shared" ref="H5:H7" si="2">G5*F5</f>
        <v>1380</v>
      </c>
      <c r="I5" s="186">
        <f t="shared" ref="I5:I7" si="3">((H5/$H$4)*$A$2)/F5</f>
        <v>0.9539058367131017</v>
      </c>
      <c r="J5" s="186">
        <f t="shared" ref="J5:J7" si="4">G5+I5</f>
        <v>46.953905836713105</v>
      </c>
      <c r="K5" s="96">
        <f>J5*F5</f>
        <v>1408.6171751013931</v>
      </c>
      <c r="L5" s="100">
        <v>60</v>
      </c>
      <c r="M5" s="94">
        <f t="shared" ref="M5:M7" si="5">L5*F5</f>
        <v>1800</v>
      </c>
      <c r="N5" s="94">
        <f ca="1">SUMPRODUCT(($Q5:$AV5)*$L5)</f>
        <v>720</v>
      </c>
      <c r="O5" s="181">
        <f ca="1">F5-SUM(Q5:AV5)-P5</f>
        <v>18</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v>2</v>
      </c>
      <c r="AK5" s="6">
        <v>1</v>
      </c>
      <c r="AL5" s="6">
        <v>2</v>
      </c>
      <c r="AM5" s="6">
        <f ca="1">SUMIFS('Tổng Đơn'!$F:$F,'Tổng Đơn'!$B:$B,$C5)</f>
        <v>0</v>
      </c>
      <c r="AN5" s="179">
        <v>0</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1976.1469934755778</v>
      </c>
      <c r="B6" s="6">
        <v>2</v>
      </c>
      <c r="C6" s="91" t="s">
        <v>226</v>
      </c>
      <c r="D6" s="99">
        <v>55</v>
      </c>
      <c r="E6" s="92">
        <v>1</v>
      </c>
      <c r="F6" s="92">
        <f>30+30</f>
        <v>60</v>
      </c>
      <c r="G6" s="184">
        <v>55</v>
      </c>
      <c r="H6" s="185">
        <f t="shared" si="2"/>
        <v>3300</v>
      </c>
      <c r="I6" s="186">
        <f t="shared" si="3"/>
        <v>1.1405395873743607</v>
      </c>
      <c r="J6" s="186">
        <f t="shared" si="4"/>
        <v>56.140539587374363</v>
      </c>
      <c r="K6" s="96">
        <f t="shared" ref="K6:K7" si="7">J6*F6</f>
        <v>3368.4323752424616</v>
      </c>
      <c r="L6" s="100">
        <v>70</v>
      </c>
      <c r="M6" s="94">
        <f t="shared" si="5"/>
        <v>4200</v>
      </c>
      <c r="N6" s="94">
        <f t="shared" ref="N6:N7" ca="1" si="8">SUMPRODUCT(($Q6:$AV6)*$L6)</f>
        <v>1736</v>
      </c>
      <c r="O6" s="181">
        <f t="shared" ref="O6:O7" ca="1" si="9">F6-SUM(Q6:AV6)-P6</f>
        <v>35.200000000000003</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v>2.35</v>
      </c>
      <c r="AK6" s="6">
        <v>3.65</v>
      </c>
      <c r="AL6" s="6">
        <v>3.5</v>
      </c>
      <c r="AM6" s="6">
        <f ca="1">SUMIFS('Tổng Đơn'!$F:$F,'Tổng Đơn'!$B:$B,$C6)</f>
        <v>5.0999999999999996</v>
      </c>
      <c r="AN6" s="179">
        <v>0</v>
      </c>
      <c r="AO6" s="179">
        <v>0</v>
      </c>
      <c r="AP6" s="179">
        <v>0</v>
      </c>
      <c r="AQ6" s="179">
        <v>0</v>
      </c>
      <c r="AR6" s="179">
        <v>0</v>
      </c>
      <c r="AS6" s="179">
        <v>0</v>
      </c>
      <c r="AT6" s="179">
        <v>0</v>
      </c>
      <c r="AU6" s="179">
        <v>0</v>
      </c>
      <c r="AV6" s="179">
        <v>0</v>
      </c>
      <c r="AW6" s="89">
        <v>30</v>
      </c>
      <c r="AX6" s="89">
        <f>AW6*G6*0.9</f>
        <v>1485</v>
      </c>
    </row>
    <row r="7" spans="1:50" ht="35.25" customHeight="1" x14ac:dyDescent="0.25">
      <c r="A7" s="89">
        <f t="shared" ca="1" si="1"/>
        <v>903.96476106506793</v>
      </c>
      <c r="B7" s="6">
        <v>3</v>
      </c>
      <c r="C7" s="91" t="s">
        <v>227</v>
      </c>
      <c r="D7" s="99">
        <v>41</v>
      </c>
      <c r="E7" s="92">
        <v>1</v>
      </c>
      <c r="F7" s="92">
        <f>28.75+30</f>
        <v>58.75</v>
      </c>
      <c r="G7" s="184">
        <v>41</v>
      </c>
      <c r="H7" s="185">
        <f t="shared" si="2"/>
        <v>2408.75</v>
      </c>
      <c r="I7" s="186">
        <f t="shared" si="3"/>
        <v>0.85022041967906881</v>
      </c>
      <c r="J7" s="186">
        <f t="shared" si="4"/>
        <v>41.850220419679069</v>
      </c>
      <c r="K7" s="96">
        <f t="shared" si="7"/>
        <v>2458.7004496561453</v>
      </c>
      <c r="L7" s="100">
        <v>45</v>
      </c>
      <c r="M7" s="94">
        <f t="shared" si="5"/>
        <v>2643.75</v>
      </c>
      <c r="N7" s="94">
        <f t="shared" ca="1" si="8"/>
        <v>1671.75</v>
      </c>
      <c r="O7" s="181">
        <f t="shared" ca="1" si="9"/>
        <v>21.6</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v>7.5</v>
      </c>
      <c r="AK7" s="6">
        <v>2.4</v>
      </c>
      <c r="AL7" s="6">
        <v>3.3</v>
      </c>
      <c r="AM7" s="6">
        <f ca="1">SUMIFS('Tổng Đơn'!$F:$F,'Tổng Đơn'!$B:$B,$C7)</f>
        <v>5.0999999999999996</v>
      </c>
      <c r="AN7" s="179">
        <v>0</v>
      </c>
      <c r="AO7" s="179">
        <v>0</v>
      </c>
      <c r="AP7" s="179">
        <v>0</v>
      </c>
      <c r="AQ7" s="179">
        <v>0</v>
      </c>
      <c r="AR7" s="179">
        <v>0</v>
      </c>
      <c r="AS7" s="179">
        <v>0</v>
      </c>
      <c r="AT7" s="179">
        <v>0</v>
      </c>
      <c r="AU7" s="179">
        <v>0</v>
      </c>
      <c r="AV7" s="179">
        <v>0</v>
      </c>
      <c r="AW7" s="89">
        <v>30</v>
      </c>
      <c r="AX7" s="89">
        <f t="shared" si="6"/>
        <v>1230</v>
      </c>
    </row>
  </sheetData>
  <autoFilter ref="B4:M4"/>
  <mergeCells count="1">
    <mergeCell ref="B1:M1"/>
  </mergeCells>
  <conditionalFormatting sqref="C6:C7">
    <cfRule type="expression" dxfId="576" priority="8">
      <formula>($O6/$O6)&lt;=1/4</formula>
    </cfRule>
  </conditionalFormatting>
  <conditionalFormatting sqref="C5:C7">
    <cfRule type="expression" dxfId="575"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17" sqref="U17"/>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7" t="s">
        <v>59</v>
      </c>
      <c r="C1" s="217"/>
      <c r="D1" s="217"/>
      <c r="E1" s="217"/>
      <c r="F1" s="217"/>
      <c r="G1" s="217"/>
      <c r="H1" s="217"/>
      <c r="I1" s="217"/>
      <c r="J1" s="217"/>
      <c r="K1" s="217"/>
      <c r="L1" s="217"/>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11778.991042929603</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19817</v>
      </c>
      <c r="N4" s="39">
        <f ca="1">SUBTOTAL(9,N5:N220)</f>
        <v>395</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ca="1" si="0"/>
        <v>31</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181.33613757268341</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648</v>
      </c>
      <c r="N5" s="98">
        <f ca="1">E5-SUM(Q5:AV5)-P5-O5</f>
        <v>4</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f ca="1">SUMIFS('Tổng Đơn'!$F:$F,'Tổng Đơn'!$B:$B,$C5)</f>
        <v>0</v>
      </c>
      <c r="AN5" s="165">
        <v>0</v>
      </c>
      <c r="AO5" s="165">
        <v>0</v>
      </c>
      <c r="AP5" s="165">
        <v>0</v>
      </c>
      <c r="AQ5" s="165">
        <v>0</v>
      </c>
      <c r="AR5" s="165">
        <v>0</v>
      </c>
      <c r="AS5" s="165">
        <v>0</v>
      </c>
      <c r="AT5" s="165">
        <v>0</v>
      </c>
      <c r="AU5" s="165">
        <v>0</v>
      </c>
      <c r="AV5" s="165">
        <v>0</v>
      </c>
      <c r="AX5" s="89">
        <f>AW5*F5</f>
        <v>0</v>
      </c>
    </row>
    <row r="6" spans="1:50" ht="18.75" x14ac:dyDescent="0.25">
      <c r="A6" s="89">
        <f t="shared" ca="1" si="2"/>
        <v>761.61177780527032</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780</v>
      </c>
      <c r="N6" s="98">
        <f t="shared" ref="N6:N24" ca="1" si="9">E6-SUM(Q6:AV6)-P6-O6</f>
        <v>14</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f ca="1">SUMIFS('Tổng Đơn'!$F:$F,'Tổng Đơn'!$B:$B,$C6)</f>
        <v>1</v>
      </c>
      <c r="AN6" s="165">
        <v>0</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f ca="1">SUMIFS('Tổng Đơn'!$F:$F,'Tổng Đơn'!$B:$B,$C7)</f>
        <v>0</v>
      </c>
      <c r="AN7" s="165">
        <v>0</v>
      </c>
      <c r="AO7" s="165">
        <v>0</v>
      </c>
      <c r="AP7" s="165">
        <v>0</v>
      </c>
      <c r="AQ7" s="165">
        <v>0</v>
      </c>
      <c r="AR7" s="165">
        <v>0</v>
      </c>
      <c r="AS7" s="165">
        <v>0</v>
      </c>
      <c r="AT7" s="165">
        <v>0</v>
      </c>
      <c r="AU7" s="165">
        <v>0</v>
      </c>
      <c r="AV7" s="165">
        <v>0</v>
      </c>
      <c r="AX7" s="89">
        <f t="shared" si="10"/>
        <v>0</v>
      </c>
    </row>
    <row r="8" spans="1:50" ht="18.75" x14ac:dyDescent="0.25">
      <c r="A8" s="89">
        <f t="shared" ca="1" si="2"/>
        <v>223.64790300630955</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1650</v>
      </c>
      <c r="N8" s="98">
        <f t="shared" ca="1" si="9"/>
        <v>4</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f ca="1">SUMIFS('Tổng Đơn'!$F:$F,'Tổng Đơn'!$B:$B,$C8)</f>
        <v>5</v>
      </c>
      <c r="AN8" s="165">
        <v>0</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f ca="1">SUMIFS('Tổng Đơn'!$F:$F,'Tổng Đơn'!$B:$B,$C9)</f>
        <v>0</v>
      </c>
      <c r="AN9" s="165">
        <v>0</v>
      </c>
      <c r="AO9" s="165">
        <v>0</v>
      </c>
      <c r="AP9" s="165">
        <v>0</v>
      </c>
      <c r="AQ9" s="165">
        <v>0</v>
      </c>
      <c r="AR9" s="165">
        <v>0</v>
      </c>
      <c r="AS9" s="165">
        <v>0</v>
      </c>
      <c r="AT9" s="165">
        <v>0</v>
      </c>
      <c r="AU9" s="165">
        <v>0</v>
      </c>
      <c r="AV9" s="165">
        <v>0</v>
      </c>
      <c r="AX9" s="89">
        <f t="shared" si="10"/>
        <v>0</v>
      </c>
    </row>
    <row r="10" spans="1:50" ht="18.75" x14ac:dyDescent="0.25">
      <c r="A10" s="89">
        <f t="shared" ca="1" si="2"/>
        <v>1041.1716565631573</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1312</v>
      </c>
      <c r="N10" s="98">
        <f t="shared" ca="1" si="9"/>
        <v>39</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f ca="1">SUMIFS('Tổng Đơn'!$F:$F,'Tổng Đơn'!$B:$B,$C10)</f>
        <v>0</v>
      </c>
      <c r="AN10" s="165">
        <v>0</v>
      </c>
      <c r="AO10" s="165">
        <v>0</v>
      </c>
      <c r="AP10" s="165">
        <v>0</v>
      </c>
      <c r="AQ10" s="165">
        <v>0</v>
      </c>
      <c r="AR10" s="165">
        <v>0</v>
      </c>
      <c r="AS10" s="165">
        <v>0</v>
      </c>
      <c r="AT10" s="165">
        <v>0</v>
      </c>
      <c r="AU10" s="165">
        <v>0</v>
      </c>
      <c r="AV10" s="165">
        <v>0</v>
      </c>
      <c r="AX10" s="89">
        <f t="shared" si="10"/>
        <v>0</v>
      </c>
    </row>
    <row r="11" spans="1:50" ht="18.75" x14ac:dyDescent="0.25">
      <c r="A11" s="89">
        <f t="shared" ca="1" si="2"/>
        <v>744.68707163181978</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308</v>
      </c>
      <c r="N11" s="98">
        <f t="shared" ca="1" si="9"/>
        <v>66</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f ca="1">SUMIFS('Tổng Đơn'!$F:$F,'Tổng Đơn'!$B:$B,$C11)</f>
        <v>1</v>
      </c>
      <c r="AN11" s="165">
        <v>0</v>
      </c>
      <c r="AO11" s="165">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f ca="1">SUMIFS('Tổng Đơn'!$F:$F,'Tổng Đơn'!$B:$B,$C12)</f>
        <v>0</v>
      </c>
      <c r="AN12" s="165">
        <v>0</v>
      </c>
      <c r="AO12" s="165">
        <v>0</v>
      </c>
      <c r="AP12" s="165">
        <v>0</v>
      </c>
      <c r="AQ12" s="165">
        <v>0</v>
      </c>
      <c r="AR12" s="165">
        <v>0</v>
      </c>
      <c r="AS12" s="165">
        <v>0</v>
      </c>
      <c r="AT12" s="165">
        <v>0</v>
      </c>
      <c r="AU12" s="165">
        <v>0</v>
      </c>
      <c r="AV12" s="165">
        <v>0</v>
      </c>
      <c r="AX12" s="89">
        <f t="shared" si="10"/>
        <v>0</v>
      </c>
    </row>
    <row r="13" spans="1:50" ht="18.75" x14ac:dyDescent="0.25">
      <c r="A13" s="89">
        <f t="shared" ca="1" si="2"/>
        <v>967.12606705431153</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140</v>
      </c>
      <c r="N13" s="98">
        <f t="shared" ca="1" si="9"/>
        <v>80</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f ca="1">SUMIFS('Tổng Đơn'!$F:$F,'Tổng Đơn'!$B:$B,$C13)</f>
        <v>0</v>
      </c>
      <c r="AN13" s="165">
        <v>0</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f ca="1">SUMIFS('Tổng Đơn'!$F:$F,'Tổng Đơn'!$B:$B,$C14)</f>
        <v>0</v>
      </c>
      <c r="AN14" s="165">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f ca="1">SUMIFS('Tổng Đơn'!$F:$F,'Tổng Đơn'!$B:$B,$C15)</f>
        <v>0</v>
      </c>
      <c r="AN15" s="165">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f ca="1">SUMIFS('Tổng Đơn'!$F:$F,'Tổng Đơn'!$B:$B,$C16)</f>
        <v>0</v>
      </c>
      <c r="AN16" s="165">
        <v>0</v>
      </c>
      <c r="AO16" s="165">
        <v>0</v>
      </c>
      <c r="AP16" s="165">
        <v>0</v>
      </c>
      <c r="AQ16" s="165">
        <v>0</v>
      </c>
      <c r="AR16" s="165">
        <v>0</v>
      </c>
      <c r="AS16" s="165">
        <v>0</v>
      </c>
      <c r="AT16" s="165">
        <v>0</v>
      </c>
      <c r="AU16" s="165">
        <v>0</v>
      </c>
      <c r="AV16" s="165">
        <v>0</v>
      </c>
      <c r="AX16" s="89">
        <f t="shared" si="10"/>
        <v>0</v>
      </c>
    </row>
    <row r="17" spans="1:50" ht="18.75" x14ac:dyDescent="0.25">
      <c r="A17" s="89">
        <f t="shared" ca="1" si="2"/>
        <v>441.25126809352957</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572</v>
      </c>
      <c r="N17" s="98">
        <f t="shared" ca="1" si="9"/>
        <v>12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f ca="1">SUMIFS('Tổng Đơn'!$F:$F,'Tổng Đơn'!$B:$B,$C17)</f>
        <v>2</v>
      </c>
      <c r="AN17" s="165">
        <v>0</v>
      </c>
      <c r="AO17" s="165">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f ca="1">SUMIFS('Tổng Đơn'!$F:$F,'Tổng Đơn'!$B:$B,$C18)</f>
        <v>0</v>
      </c>
      <c r="AN18" s="165">
        <v>0</v>
      </c>
      <c r="AO18" s="165">
        <v>0</v>
      </c>
      <c r="AP18" s="165">
        <v>0</v>
      </c>
      <c r="AQ18" s="165">
        <v>0</v>
      </c>
      <c r="AR18" s="165">
        <v>0</v>
      </c>
      <c r="AS18" s="165">
        <v>0</v>
      </c>
      <c r="AT18" s="165">
        <v>0</v>
      </c>
      <c r="AU18" s="165">
        <v>0</v>
      </c>
      <c r="AV18" s="165">
        <v>0</v>
      </c>
      <c r="AX18" s="89">
        <f t="shared" si="10"/>
        <v>0</v>
      </c>
    </row>
    <row r="19" spans="1:50" ht="18.75" x14ac:dyDescent="0.25">
      <c r="A19" s="89">
        <f t="shared" ca="1" si="2"/>
        <v>173.27675368056416</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1092</v>
      </c>
      <c r="N19" s="98">
        <f t="shared" ca="1" si="9"/>
        <v>4</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f ca="1">SUMIFS('Tổng Đơn'!$F:$F,'Tổng Đơn'!$B:$B,$C19)</f>
        <v>0</v>
      </c>
      <c r="AN19" s="165">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f ca="1">SUMIFS('Tổng Đơn'!$F:$F,'Tổng Đơn'!$B:$B,$C20)</f>
        <v>0</v>
      </c>
      <c r="AN20" s="165">
        <v>0</v>
      </c>
      <c r="AO20" s="165">
        <v>0</v>
      </c>
      <c r="AP20" s="165">
        <v>0</v>
      </c>
      <c r="AQ20" s="165">
        <v>0</v>
      </c>
      <c r="AR20" s="165">
        <v>0</v>
      </c>
      <c r="AS20" s="165">
        <v>0</v>
      </c>
      <c r="AT20" s="165">
        <v>0</v>
      </c>
      <c r="AU20" s="165">
        <v>0</v>
      </c>
      <c r="AV20" s="165">
        <v>0</v>
      </c>
      <c r="AX20" s="89">
        <f t="shared" si="10"/>
        <v>0</v>
      </c>
    </row>
    <row r="21" spans="1:50" ht="18.75" x14ac:dyDescent="0.25">
      <c r="A21" s="89">
        <f t="shared" ca="1" si="2"/>
        <v>-98.727452678460963</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1888</v>
      </c>
      <c r="N21" s="98">
        <f t="shared" ca="1" si="9"/>
        <v>-2</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f ca="1">SUMIFS('Tổng Đơn'!$F:$F,'Tổng Đơn'!$B:$B,$C21)</f>
        <v>8</v>
      </c>
      <c r="AN21" s="165">
        <v>0</v>
      </c>
      <c r="AO21" s="165">
        <v>0</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f ca="1">SUMIFS('Tổng Đơn'!$F:$F,'Tổng Đơn'!$B:$B,$C22)</f>
        <v>0</v>
      </c>
      <c r="AN22" s="165">
        <v>0</v>
      </c>
      <c r="AO22" s="165">
        <v>0</v>
      </c>
      <c r="AP22" s="165">
        <v>0</v>
      </c>
      <c r="AQ22" s="165">
        <v>0</v>
      </c>
      <c r="AR22" s="165">
        <v>0</v>
      </c>
      <c r="AS22" s="165">
        <v>0</v>
      </c>
      <c r="AT22" s="165">
        <v>0</v>
      </c>
      <c r="AU22" s="165">
        <v>0</v>
      </c>
      <c r="AV22" s="165">
        <v>0</v>
      </c>
      <c r="AX22" s="89">
        <f t="shared" si="10"/>
        <v>0</v>
      </c>
    </row>
    <row r="23" spans="1:50" ht="18.75" x14ac:dyDescent="0.25">
      <c r="A23" s="89">
        <f t="shared" ca="1" si="2"/>
        <v>1110.1801311394286</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5520</v>
      </c>
      <c r="N23" s="98">
        <f t="shared" ca="1" si="9"/>
        <v>19</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f ca="1">SUMIFS('Tổng Đơn'!$F:$F,'Tổng Đơn'!$B:$B,$C23)</f>
        <v>12</v>
      </c>
      <c r="AN23" s="165">
        <v>0</v>
      </c>
      <c r="AO23" s="165">
        <v>0</v>
      </c>
      <c r="AP23" s="165">
        <v>0</v>
      </c>
      <c r="AQ23" s="165">
        <v>0</v>
      </c>
      <c r="AR23" s="165">
        <v>0</v>
      </c>
      <c r="AS23" s="165">
        <v>0</v>
      </c>
      <c r="AT23" s="165">
        <v>0</v>
      </c>
      <c r="AU23" s="165">
        <v>0</v>
      </c>
      <c r="AV23" s="165">
        <v>0</v>
      </c>
      <c r="AX23" s="89">
        <f t="shared" si="10"/>
        <v>0</v>
      </c>
    </row>
    <row r="24" spans="1:50" ht="18.75" x14ac:dyDescent="0.25">
      <c r="A24" s="89">
        <f t="shared" ca="1" si="2"/>
        <v>571.20883335395274</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1368</v>
      </c>
      <c r="N24" s="98">
        <f t="shared" ca="1" si="9"/>
        <v>9</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f ca="1">SUMIFS('Tổng Đơn'!$F:$F,'Tổng Đơn'!$B:$B,$C24)</f>
        <v>2</v>
      </c>
      <c r="AN24" s="165">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H17"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7" t="s">
        <v>59</v>
      </c>
      <c r="C1" s="217"/>
      <c r="D1" s="217"/>
      <c r="E1" s="217"/>
      <c r="F1" s="217"/>
      <c r="G1" s="217"/>
      <c r="H1" s="217"/>
      <c r="I1" s="217"/>
      <c r="J1" s="217"/>
      <c r="K1" s="217"/>
      <c r="L1" s="217"/>
      <c r="M1" s="217"/>
      <c r="N1" s="90"/>
    </row>
    <row r="2" spans="1:50" ht="34.5" customHeight="1" x14ac:dyDescent="0.25">
      <c r="A2" s="1">
        <f>370+100+80+150+170+60</f>
        <v>930</v>
      </c>
      <c r="K2" s="13">
        <f>SUMPRODUCT((E5:E18)*(F5:F18))</f>
        <v>412</v>
      </c>
      <c r="L2" s="13">
        <f>M4-K4</f>
        <v>7472.710526315801</v>
      </c>
      <c r="M2" s="8">
        <f>M4/K4-1</f>
        <v>0.18776933366924653</v>
      </c>
      <c r="N2" s="8"/>
      <c r="P2" s="89">
        <f>42+42+42+38+33+42+26+120+40+46</f>
        <v>471</v>
      </c>
      <c r="AX2" s="174">
        <f>AX4-275</f>
        <v>9057</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18626.810822689742</v>
      </c>
      <c r="B4" s="19"/>
      <c r="C4" s="19"/>
      <c r="D4" s="67"/>
      <c r="E4" s="19">
        <f>SUMPRODUCT((E5:E178)*(F5:F178))</f>
        <v>546.5</v>
      </c>
      <c r="F4" s="19">
        <f>SUBTOTAL(9,F5:F168)</f>
        <v>1143</v>
      </c>
      <c r="G4" s="7"/>
      <c r="H4" s="7">
        <f>SUBTOTAL(9,H5:H168)</f>
        <v>38867.289473684214</v>
      </c>
      <c r="I4" s="12"/>
      <c r="J4" s="12"/>
      <c r="K4" s="12">
        <f>SUBTOTAL(9,K5:K168)</f>
        <v>39797.289473684199</v>
      </c>
      <c r="L4" s="68"/>
      <c r="M4" s="7">
        <f>SUBTOTAL(9,M5:M168)</f>
        <v>47270</v>
      </c>
      <c r="N4" s="7">
        <f ca="1">SUBTOTAL(9,N5:N168)</f>
        <v>25208</v>
      </c>
      <c r="O4" s="69">
        <f ca="1">SUBTOTAL(9,O5:O168)</f>
        <v>496</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ca="1" si="0"/>
        <v>31</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148 Kg</v>
      </c>
      <c r="AX4" s="109">
        <f>SUBTOTAL(9,AX5:AX178)</f>
        <v>9332</v>
      </c>
    </row>
    <row r="5" spans="1:50" ht="18.75" x14ac:dyDescent="0.25">
      <c r="A5" s="89">
        <f t="shared" ref="A5:A23" ca="1" si="1">J5*O5</f>
        <v>2064.2379920336207</v>
      </c>
      <c r="B5" s="6">
        <v>1</v>
      </c>
      <c r="C5" s="91" t="s">
        <v>161</v>
      </c>
      <c r="D5" s="99">
        <f>G5*2</f>
        <v>63</v>
      </c>
      <c r="E5" s="92">
        <v>0.5</v>
      </c>
      <c r="F5" s="150">
        <v>160</v>
      </c>
      <c r="G5" s="93">
        <v>31.5</v>
      </c>
      <c r="H5" s="94">
        <f t="shared" ref="H5:H19" si="2">G5*F5</f>
        <v>5040</v>
      </c>
      <c r="I5" s="95">
        <f t="shared" ref="I5:I19" si="3">((H5/$H$4)*$A$2)/F5</f>
        <v>0.75371862552531999</v>
      </c>
      <c r="J5" s="182">
        <f t="shared" ref="J5:J17" si="4">G5+I5</f>
        <v>32.253718625525323</v>
      </c>
      <c r="K5" s="96">
        <f>J5*F5</f>
        <v>5160.5949800840517</v>
      </c>
      <c r="L5" s="100">
        <v>45</v>
      </c>
      <c r="M5" s="94">
        <f t="shared" ref="M5:M18" si="5">L5*F5</f>
        <v>7200</v>
      </c>
      <c r="N5" s="94">
        <f ca="1">SUMPRODUCT(($Q5:$AV5)*$L5)</f>
        <v>4275</v>
      </c>
      <c r="O5" s="101">
        <f ca="1">F5-SUM(Q5:AV5)-P5</f>
        <v>64</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f ca="1">SUMIFS('Tổng Đơn'!$F:$F,'Tổng Đơn'!$B:$B,$C5)</f>
        <v>2</v>
      </c>
      <c r="AN5" s="41">
        <v>0</v>
      </c>
      <c r="AO5" s="41">
        <v>0</v>
      </c>
      <c r="AP5" s="41">
        <v>0</v>
      </c>
      <c r="AQ5" s="41">
        <v>0</v>
      </c>
      <c r="AR5" s="41">
        <v>0</v>
      </c>
      <c r="AS5" s="41">
        <v>0</v>
      </c>
      <c r="AT5" s="41">
        <v>0</v>
      </c>
      <c r="AU5" s="41">
        <v>0</v>
      </c>
      <c r="AV5" s="41">
        <v>0</v>
      </c>
      <c r="AX5" s="89">
        <f t="shared" ref="AX5:AX21" si="6">AW5*G5</f>
        <v>0</v>
      </c>
    </row>
    <row r="6" spans="1:50" ht="18.75" x14ac:dyDescent="0.25">
      <c r="A6" s="89">
        <f t="shared" ca="1" si="1"/>
        <v>135.15843995458229</v>
      </c>
      <c r="B6" s="6">
        <v>2</v>
      </c>
      <c r="C6" s="91" t="s">
        <v>25</v>
      </c>
      <c r="D6" s="99">
        <f t="shared" ref="D6:D17" si="7">G6*2</f>
        <v>44</v>
      </c>
      <c r="E6" s="92">
        <v>0.5</v>
      </c>
      <c r="F6" s="150">
        <v>40</v>
      </c>
      <c r="G6" s="93">
        <v>22</v>
      </c>
      <c r="H6" s="94">
        <f t="shared" si="2"/>
        <v>880</v>
      </c>
      <c r="I6" s="95">
        <f t="shared" si="3"/>
        <v>0.52640665909704887</v>
      </c>
      <c r="J6" s="182">
        <f t="shared" si="4"/>
        <v>22.526406659097049</v>
      </c>
      <c r="K6" s="96">
        <f t="shared" ref="K6:K17" si="8">J6*F6</f>
        <v>901.05626636388195</v>
      </c>
      <c r="L6" s="100">
        <v>27</v>
      </c>
      <c r="M6" s="94">
        <f t="shared" si="5"/>
        <v>1080</v>
      </c>
      <c r="N6" s="94">
        <f t="shared" ref="N6:N23" ca="1" si="9">SUMPRODUCT(($Q6:$AV6)*$L6)</f>
        <v>918</v>
      </c>
      <c r="O6" s="101">
        <f t="shared" ref="O6:O23" ca="1" si="10">F6-SUM(Q6:AV6)-P6</f>
        <v>6</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f ca="1">SUMIFS('Tổng Đơn'!$F:$F,'Tổng Đơn'!$B:$B,$C6)</f>
        <v>3</v>
      </c>
      <c r="AN6" s="41">
        <v>0</v>
      </c>
      <c r="AO6" s="41">
        <v>0</v>
      </c>
      <c r="AP6" s="41">
        <v>0</v>
      </c>
      <c r="AQ6" s="41">
        <v>0</v>
      </c>
      <c r="AR6" s="41">
        <v>0</v>
      </c>
      <c r="AS6" s="41">
        <v>0</v>
      </c>
      <c r="AT6" s="41">
        <v>0</v>
      </c>
      <c r="AU6" s="41">
        <v>0</v>
      </c>
      <c r="AV6" s="41">
        <v>0</v>
      </c>
      <c r="AX6" s="89">
        <f t="shared" si="6"/>
        <v>0</v>
      </c>
    </row>
    <row r="7" spans="1:50" ht="18.75" x14ac:dyDescent="0.25">
      <c r="A7" s="89">
        <f t="shared" ca="1" si="1"/>
        <v>266.2211696075106</v>
      </c>
      <c r="B7" s="6">
        <v>3</v>
      </c>
      <c r="C7" s="91" t="s">
        <v>30</v>
      </c>
      <c r="D7" s="99">
        <f t="shared" si="7"/>
        <v>65</v>
      </c>
      <c r="E7" s="92">
        <v>0.5</v>
      </c>
      <c r="F7" s="150">
        <v>80</v>
      </c>
      <c r="G7" s="93">
        <v>32.5</v>
      </c>
      <c r="H7" s="94">
        <f t="shared" si="2"/>
        <v>2600</v>
      </c>
      <c r="I7" s="95">
        <f t="shared" si="3"/>
        <v>0.77764620093882209</v>
      </c>
      <c r="J7" s="182">
        <f t="shared" si="4"/>
        <v>33.277646200938825</v>
      </c>
      <c r="K7" s="96">
        <f t="shared" si="8"/>
        <v>2662.2116960751059</v>
      </c>
      <c r="L7" s="100">
        <v>38</v>
      </c>
      <c r="M7" s="94">
        <f t="shared" si="5"/>
        <v>3040</v>
      </c>
      <c r="N7" s="94">
        <f t="shared" ca="1" si="9"/>
        <v>2698</v>
      </c>
      <c r="O7" s="101">
        <f t="shared" ca="1" si="10"/>
        <v>8</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f ca="1">SUMIFS('Tổng Đơn'!$F:$F,'Tổng Đơn'!$B:$B,$C7)</f>
        <v>2</v>
      </c>
      <c r="AN7" s="41">
        <v>0</v>
      </c>
      <c r="AO7" s="41">
        <v>0</v>
      </c>
      <c r="AP7" s="41">
        <v>0</v>
      </c>
      <c r="AQ7" s="41">
        <v>0</v>
      </c>
      <c r="AR7" s="41">
        <v>0</v>
      </c>
      <c r="AS7" s="41">
        <v>0</v>
      </c>
      <c r="AT7" s="41">
        <v>0</v>
      </c>
      <c r="AU7" s="41">
        <v>0</v>
      </c>
      <c r="AV7" s="41">
        <v>0</v>
      </c>
      <c r="AW7" s="89">
        <v>40</v>
      </c>
      <c r="AX7" s="89">
        <f t="shared" si="6"/>
        <v>1300</v>
      </c>
    </row>
    <row r="8" spans="1:50" ht="18.75" x14ac:dyDescent="0.25">
      <c r="A8" s="89">
        <f t="shared" ca="1" si="1"/>
        <v>614.35654524810138</v>
      </c>
      <c r="B8" s="6">
        <v>4</v>
      </c>
      <c r="C8" s="91" t="s">
        <v>29</v>
      </c>
      <c r="D8" s="99">
        <f t="shared" si="7"/>
        <v>80</v>
      </c>
      <c r="E8" s="92">
        <v>0.5</v>
      </c>
      <c r="F8" s="150">
        <v>50</v>
      </c>
      <c r="G8" s="93">
        <v>40</v>
      </c>
      <c r="H8" s="94">
        <f t="shared" si="2"/>
        <v>2000</v>
      </c>
      <c r="I8" s="95">
        <f t="shared" si="3"/>
        <v>0.95710301654008878</v>
      </c>
      <c r="J8" s="182">
        <f t="shared" si="4"/>
        <v>40.957103016540088</v>
      </c>
      <c r="K8" s="96">
        <f t="shared" si="8"/>
        <v>2047.8551508270043</v>
      </c>
      <c r="L8" s="100">
        <v>45</v>
      </c>
      <c r="M8" s="94">
        <f t="shared" si="5"/>
        <v>2250</v>
      </c>
      <c r="N8" s="94">
        <f t="shared" ca="1" si="9"/>
        <v>1620</v>
      </c>
      <c r="O8" s="101">
        <f t="shared" ca="1" si="10"/>
        <v>15</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f ca="1">SUMIFS('Tổng Đơn'!$F:$F,'Tổng Đơn'!$B:$B,$C8)</f>
        <v>2</v>
      </c>
      <c r="AN8" s="41">
        <v>0</v>
      </c>
      <c r="AO8" s="41">
        <v>0</v>
      </c>
      <c r="AP8" s="41">
        <v>0</v>
      </c>
      <c r="AQ8" s="41">
        <v>0</v>
      </c>
      <c r="AR8" s="41">
        <v>0</v>
      </c>
      <c r="AS8" s="41">
        <v>0</v>
      </c>
      <c r="AT8" s="41">
        <v>0</v>
      </c>
      <c r="AU8" s="41">
        <v>0</v>
      </c>
      <c r="AV8" s="41">
        <v>0</v>
      </c>
      <c r="AX8" s="89">
        <f t="shared" si="6"/>
        <v>0</v>
      </c>
    </row>
    <row r="9" spans="1:50" ht="18.75" x14ac:dyDescent="0.25">
      <c r="A9" s="89">
        <f t="shared" ca="1" si="1"/>
        <v>186.86678251296416</v>
      </c>
      <c r="B9" s="6">
        <v>5</v>
      </c>
      <c r="C9" s="91" t="s">
        <v>28</v>
      </c>
      <c r="D9" s="99">
        <f t="shared" si="7"/>
        <v>73</v>
      </c>
      <c r="E9" s="92">
        <v>0.5</v>
      </c>
      <c r="F9" s="150">
        <v>96</v>
      </c>
      <c r="G9" s="93">
        <v>36.5</v>
      </c>
      <c r="H9" s="94">
        <f t="shared" si="2"/>
        <v>3504</v>
      </c>
      <c r="I9" s="95">
        <f t="shared" si="3"/>
        <v>0.87335650259283104</v>
      </c>
      <c r="J9" s="182">
        <f t="shared" si="4"/>
        <v>37.373356502592834</v>
      </c>
      <c r="K9" s="96">
        <f t="shared" si="8"/>
        <v>3587.8422242489123</v>
      </c>
      <c r="L9" s="100">
        <v>42</v>
      </c>
      <c r="M9" s="94">
        <f t="shared" si="5"/>
        <v>4032</v>
      </c>
      <c r="N9" s="94">
        <f t="shared" ca="1" si="9"/>
        <v>3780</v>
      </c>
      <c r="O9" s="101">
        <f t="shared" ca="1" si="10"/>
        <v>5</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f ca="1">SUMIFS('Tổng Đơn'!$F:$F,'Tổng Đơn'!$B:$B,$C9)</f>
        <v>2</v>
      </c>
      <c r="AN9" s="41">
        <v>0</v>
      </c>
      <c r="AO9" s="41">
        <v>0</v>
      </c>
      <c r="AP9" s="41">
        <v>0</v>
      </c>
      <c r="AQ9" s="41">
        <v>0</v>
      </c>
      <c r="AR9" s="41">
        <v>0</v>
      </c>
      <c r="AS9" s="41">
        <v>0</v>
      </c>
      <c r="AT9" s="41">
        <v>0</v>
      </c>
      <c r="AU9" s="41">
        <v>0</v>
      </c>
      <c r="AV9" s="41">
        <v>0</v>
      </c>
      <c r="AW9" s="89">
        <v>48</v>
      </c>
      <c r="AX9" s="89">
        <f t="shared" si="6"/>
        <v>1752</v>
      </c>
    </row>
    <row r="10" spans="1:50" ht="18.75" x14ac:dyDescent="0.25">
      <c r="A10" s="89">
        <f t="shared" ca="1" si="1"/>
        <v>755.14658686745793</v>
      </c>
      <c r="B10" s="6">
        <v>6</v>
      </c>
      <c r="C10" s="91" t="s">
        <v>61</v>
      </c>
      <c r="D10" s="99">
        <f t="shared" si="7"/>
        <v>59</v>
      </c>
      <c r="E10" s="92">
        <v>0.5</v>
      </c>
      <c r="F10" s="150">
        <v>60</v>
      </c>
      <c r="G10" s="93">
        <v>29.5</v>
      </c>
      <c r="H10" s="94">
        <f t="shared" si="2"/>
        <v>1770</v>
      </c>
      <c r="I10" s="95">
        <f t="shared" si="3"/>
        <v>0.70586347469831545</v>
      </c>
      <c r="J10" s="182">
        <f t="shared" si="4"/>
        <v>30.205863474698315</v>
      </c>
      <c r="K10" s="96">
        <f t="shared" si="8"/>
        <v>1812.3518084818988</v>
      </c>
      <c r="L10" s="100">
        <v>35</v>
      </c>
      <c r="M10" s="94">
        <f t="shared" si="5"/>
        <v>2100</v>
      </c>
      <c r="N10" s="94">
        <f t="shared" ca="1" si="9"/>
        <v>1225</v>
      </c>
      <c r="O10" s="101">
        <f t="shared" ca="1" si="10"/>
        <v>25</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f ca="1">SUMIFS('Tổng Đơn'!$F:$F,'Tổng Đơn'!$B:$B,$C10)</f>
        <v>0</v>
      </c>
      <c r="AN10" s="41">
        <v>0</v>
      </c>
      <c r="AO10" s="41">
        <v>0</v>
      </c>
      <c r="AP10" s="41">
        <v>0</v>
      </c>
      <c r="AQ10" s="41">
        <v>0</v>
      </c>
      <c r="AR10" s="41">
        <v>0</v>
      </c>
      <c r="AS10" s="41">
        <v>0</v>
      </c>
      <c r="AT10" s="41">
        <v>0</v>
      </c>
      <c r="AU10" s="41">
        <v>0</v>
      </c>
      <c r="AV10" s="41">
        <v>0</v>
      </c>
      <c r="AX10" s="89">
        <f t="shared" si="6"/>
        <v>0</v>
      </c>
    </row>
    <row r="11" spans="1:50" ht="18.75" x14ac:dyDescent="0.25">
      <c r="A11" s="89">
        <f t="shared" ca="1" si="1"/>
        <v>201.35535770506522</v>
      </c>
      <c r="B11" s="6">
        <v>7</v>
      </c>
      <c r="C11" s="91" t="s">
        <v>27</v>
      </c>
      <c r="D11" s="99">
        <f t="shared" si="7"/>
        <v>65.55</v>
      </c>
      <c r="E11" s="92">
        <v>0.5</v>
      </c>
      <c r="F11" s="150">
        <v>40</v>
      </c>
      <c r="G11" s="93">
        <f>1311/40</f>
        <v>32.774999999999999</v>
      </c>
      <c r="H11" s="94">
        <f t="shared" si="2"/>
        <v>1311</v>
      </c>
      <c r="I11" s="95">
        <f t="shared" si="3"/>
        <v>0.78422628417753526</v>
      </c>
      <c r="J11" s="182">
        <f t="shared" si="4"/>
        <v>33.559226284177534</v>
      </c>
      <c r="K11" s="96">
        <f t="shared" si="8"/>
        <v>1342.3690513671013</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f ca="1">SUMIFS('Tổng Đơn'!$F:$F,'Tổng Đơn'!$B:$B,$C11)</f>
        <v>0</v>
      </c>
      <c r="AN11" s="41">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0.67794797004922946</v>
      </c>
      <c r="J12" s="182">
        <f t="shared" si="4"/>
        <v>29.01128130338256</v>
      </c>
      <c r="K12" s="96">
        <f t="shared" si="8"/>
        <v>1044.4061269217723</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 ca="1">SUMIFS('Tổng Đơn'!$F:$F,'Tổng Đơn'!$B:$B,$C12)</f>
        <v>0</v>
      </c>
      <c r="AN12" s="41">
        <v>0</v>
      </c>
      <c r="AO12" s="41">
        <v>0</v>
      </c>
      <c r="AP12" s="41">
        <v>0</v>
      </c>
      <c r="AQ12" s="41">
        <v>0</v>
      </c>
      <c r="AR12" s="41">
        <v>0</v>
      </c>
      <c r="AS12" s="41">
        <v>0</v>
      </c>
      <c r="AT12" s="41">
        <v>0</v>
      </c>
      <c r="AU12" s="41">
        <v>0</v>
      </c>
      <c r="AV12" s="41">
        <v>0</v>
      </c>
      <c r="AX12" s="89">
        <f t="shared" si="6"/>
        <v>0</v>
      </c>
    </row>
    <row r="13" spans="1:50" ht="18.75" x14ac:dyDescent="0.25">
      <c r="A13" s="89">
        <f t="shared" ca="1" si="1"/>
        <v>1515.4128116119832</v>
      </c>
      <c r="B13" s="6">
        <v>9</v>
      </c>
      <c r="C13" s="91" t="s">
        <v>35</v>
      </c>
      <c r="D13" s="99">
        <f t="shared" si="7"/>
        <v>80</v>
      </c>
      <c r="E13" s="92">
        <v>0.5</v>
      </c>
      <c r="F13" s="150">
        <v>40</v>
      </c>
      <c r="G13" s="93">
        <v>40</v>
      </c>
      <c r="H13" s="94">
        <f t="shared" si="2"/>
        <v>1600</v>
      </c>
      <c r="I13" s="95">
        <f t="shared" si="3"/>
        <v>0.95710301654008878</v>
      </c>
      <c r="J13" s="182">
        <f t="shared" si="4"/>
        <v>40.957103016540088</v>
      </c>
      <c r="K13" s="96">
        <f t="shared" si="8"/>
        <v>1638.2841206616035</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f ca="1">SUMIFS('Tổng Đơn'!$F:$F,'Tổng Đơn'!$B:$B,$C13)</f>
        <v>0</v>
      </c>
      <c r="AN13" s="41">
        <v>0</v>
      </c>
      <c r="AO13" s="41">
        <v>0</v>
      </c>
      <c r="AP13" s="41">
        <v>0</v>
      </c>
      <c r="AQ13" s="41">
        <v>0</v>
      </c>
      <c r="AR13" s="41">
        <v>0</v>
      </c>
      <c r="AS13" s="41">
        <v>0</v>
      </c>
      <c r="AT13" s="41">
        <v>0</v>
      </c>
      <c r="AU13" s="41">
        <v>0</v>
      </c>
      <c r="AV13" s="41">
        <v>0</v>
      </c>
      <c r="AX13" s="89">
        <f t="shared" si="6"/>
        <v>0</v>
      </c>
    </row>
    <row r="14" spans="1:50" ht="18.75" x14ac:dyDescent="0.25">
      <c r="A14" s="89">
        <f t="shared" ca="1" si="1"/>
        <v>1556.3699146285235</v>
      </c>
      <c r="B14" s="6">
        <v>10</v>
      </c>
      <c r="C14" s="91" t="s">
        <v>34</v>
      </c>
      <c r="D14" s="99">
        <f t="shared" si="7"/>
        <v>80</v>
      </c>
      <c r="E14" s="92">
        <v>0.5</v>
      </c>
      <c r="F14" s="150">
        <v>40</v>
      </c>
      <c r="G14" s="93">
        <v>40</v>
      </c>
      <c r="H14" s="94">
        <f t="shared" si="2"/>
        <v>1600</v>
      </c>
      <c r="I14" s="95">
        <f t="shared" si="3"/>
        <v>0.95710301654008878</v>
      </c>
      <c r="J14" s="182">
        <f t="shared" si="4"/>
        <v>40.957103016540088</v>
      </c>
      <c r="K14" s="96">
        <f t="shared" si="8"/>
        <v>1638.2841206616035</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f ca="1">SUMIFS('Tổng Đơn'!$F:$F,'Tổng Đơn'!$B:$B,$C14)</f>
        <v>0</v>
      </c>
      <c r="AN14" s="41">
        <v>0</v>
      </c>
      <c r="AO14" s="41">
        <v>0</v>
      </c>
      <c r="AP14" s="41">
        <v>0</v>
      </c>
      <c r="AQ14" s="41">
        <v>0</v>
      </c>
      <c r="AR14" s="41">
        <v>0</v>
      </c>
      <c r="AS14" s="41">
        <v>0</v>
      </c>
      <c r="AT14" s="41">
        <v>0</v>
      </c>
      <c r="AU14" s="41">
        <v>0</v>
      </c>
      <c r="AV14" s="41">
        <v>0</v>
      </c>
      <c r="AX14" s="89">
        <f t="shared" si="6"/>
        <v>0</v>
      </c>
    </row>
    <row r="15" spans="1:50" ht="18.75" x14ac:dyDescent="0.25">
      <c r="A15" s="89">
        <f t="shared" ca="1" si="1"/>
        <v>1433.4986055789032</v>
      </c>
      <c r="B15" s="6">
        <v>11</v>
      </c>
      <c r="C15" s="91" t="s">
        <v>33</v>
      </c>
      <c r="D15" s="99">
        <f t="shared" si="7"/>
        <v>80</v>
      </c>
      <c r="E15" s="92">
        <v>0.5</v>
      </c>
      <c r="F15" s="150">
        <v>40</v>
      </c>
      <c r="G15" s="93">
        <v>40</v>
      </c>
      <c r="H15" s="94">
        <f t="shared" si="2"/>
        <v>1600</v>
      </c>
      <c r="I15" s="95">
        <f t="shared" si="3"/>
        <v>0.95710301654008878</v>
      </c>
      <c r="J15" s="182">
        <f t="shared" si="4"/>
        <v>40.957103016540088</v>
      </c>
      <c r="K15" s="96">
        <f t="shared" si="8"/>
        <v>1638.2841206616035</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f ca="1">SUMIFS('Tổng Đơn'!$F:$F,'Tổng Đơn'!$B:$B,$C15)</f>
        <v>0</v>
      </c>
      <c r="AN15" s="41">
        <v>0</v>
      </c>
      <c r="AO15" s="41">
        <v>0</v>
      </c>
      <c r="AP15" s="41">
        <v>0</v>
      </c>
      <c r="AQ15" s="41">
        <v>0</v>
      </c>
      <c r="AR15" s="41">
        <v>0</v>
      </c>
      <c r="AS15" s="41">
        <v>0</v>
      </c>
      <c r="AT15" s="41">
        <v>0</v>
      </c>
      <c r="AU15" s="41">
        <v>0</v>
      </c>
      <c r="AV15" s="41">
        <v>0</v>
      </c>
      <c r="AX15" s="89">
        <f t="shared" si="6"/>
        <v>0</v>
      </c>
    </row>
    <row r="16" spans="1:50" ht="18.75" x14ac:dyDescent="0.25">
      <c r="A16" s="89">
        <f t="shared" ca="1" si="1"/>
        <v>1433.4986055789032</v>
      </c>
      <c r="B16" s="6">
        <v>12</v>
      </c>
      <c r="C16" s="91" t="s">
        <v>32</v>
      </c>
      <c r="D16" s="99">
        <f t="shared" si="7"/>
        <v>80</v>
      </c>
      <c r="E16" s="92">
        <v>0.5</v>
      </c>
      <c r="F16" s="150">
        <v>40</v>
      </c>
      <c r="G16" s="93">
        <v>40</v>
      </c>
      <c r="H16" s="94">
        <f t="shared" si="2"/>
        <v>1600</v>
      </c>
      <c r="I16" s="95">
        <f t="shared" si="3"/>
        <v>0.95710301654008878</v>
      </c>
      <c r="J16" s="182">
        <f t="shared" si="4"/>
        <v>40.957103016540088</v>
      </c>
      <c r="K16" s="96">
        <f t="shared" si="8"/>
        <v>1638.2841206616035</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f ca="1">SUMIFS('Tổng Đơn'!$F:$F,'Tổng Đơn'!$B:$B,$C16)</f>
        <v>0</v>
      </c>
      <c r="AN16" s="41">
        <v>0</v>
      </c>
      <c r="AO16" s="41">
        <v>0</v>
      </c>
      <c r="AP16" s="41">
        <v>0</v>
      </c>
      <c r="AQ16" s="41">
        <v>0</v>
      </c>
      <c r="AR16" s="41">
        <v>0</v>
      </c>
      <c r="AS16" s="41">
        <v>0</v>
      </c>
      <c r="AT16" s="41">
        <v>0</v>
      </c>
      <c r="AU16" s="41">
        <v>0</v>
      </c>
      <c r="AV16" s="41">
        <v>0</v>
      </c>
      <c r="AX16" s="89">
        <f t="shared" si="6"/>
        <v>0</v>
      </c>
    </row>
    <row r="17" spans="1:50" ht="18.75" x14ac:dyDescent="0.25">
      <c r="A17" s="89">
        <f t="shared" ca="1" si="1"/>
        <v>982.97047239696212</v>
      </c>
      <c r="B17" s="6">
        <v>13</v>
      </c>
      <c r="C17" s="91" t="s">
        <v>58</v>
      </c>
      <c r="D17" s="99">
        <f t="shared" si="7"/>
        <v>80</v>
      </c>
      <c r="E17" s="92">
        <v>0.5</v>
      </c>
      <c r="F17" s="150">
        <v>40</v>
      </c>
      <c r="G17" s="93">
        <v>40</v>
      </c>
      <c r="H17" s="94">
        <f t="shared" si="2"/>
        <v>1600</v>
      </c>
      <c r="I17" s="95">
        <f t="shared" si="3"/>
        <v>0.95710301654008878</v>
      </c>
      <c r="J17" s="182">
        <f t="shared" si="4"/>
        <v>40.957103016540088</v>
      </c>
      <c r="K17" s="96">
        <f t="shared" si="8"/>
        <v>1638.2841206616035</v>
      </c>
      <c r="L17" s="100">
        <v>45</v>
      </c>
      <c r="M17" s="94">
        <f t="shared" si="5"/>
        <v>1800</v>
      </c>
      <c r="N17" s="94">
        <f t="shared" ca="1" si="9"/>
        <v>720</v>
      </c>
      <c r="O17" s="101">
        <f t="shared" ca="1" si="10"/>
        <v>24</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f ca="1">SUMIFS('Tổng Đơn'!$F:$F,'Tổng Đơn'!$B:$B,$C17)</f>
        <v>0</v>
      </c>
      <c r="AN17" s="41">
        <v>0</v>
      </c>
      <c r="AO17" s="41">
        <v>0</v>
      </c>
      <c r="AP17" s="41">
        <v>0</v>
      </c>
      <c r="AQ17" s="41">
        <v>0</v>
      </c>
      <c r="AR17" s="41">
        <v>0</v>
      </c>
      <c r="AS17" s="41">
        <v>0</v>
      </c>
      <c r="AT17" s="41">
        <v>0</v>
      </c>
      <c r="AU17" s="41">
        <v>0</v>
      </c>
      <c r="AV17" s="41">
        <v>0</v>
      </c>
      <c r="AX17" s="89">
        <f t="shared" si="6"/>
        <v>0</v>
      </c>
    </row>
    <row r="18" spans="1:50" ht="18.75" x14ac:dyDescent="0.25">
      <c r="A18" s="89">
        <f t="shared" ca="1" si="1"/>
        <v>1253.1660977248278</v>
      </c>
      <c r="B18" s="6">
        <v>14</v>
      </c>
      <c r="C18" s="91" t="s">
        <v>147</v>
      </c>
      <c r="D18" s="99">
        <v>53</v>
      </c>
      <c r="E18" s="92">
        <v>0.5</v>
      </c>
      <c r="F18" s="150">
        <v>80</v>
      </c>
      <c r="G18" s="93">
        <f>1033.5/38</f>
        <v>27.19736842105263</v>
      </c>
      <c r="H18" s="94">
        <f t="shared" si="2"/>
        <v>2175.7894736842104</v>
      </c>
      <c r="I18" s="95">
        <f t="shared" si="3"/>
        <v>0.65076708394354055</v>
      </c>
      <c r="J18" s="182">
        <f t="shared" ref="J18" si="11">G18+I18</f>
        <v>27.848135504996172</v>
      </c>
      <c r="K18" s="96">
        <f t="shared" ref="K18" si="12">J18*F18</f>
        <v>2227.8508403996939</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f ca="1">SUMIFS('Tổng Đơn'!$F:$F,'Tổng Đơn'!$B:$B,$C18)</f>
        <v>0</v>
      </c>
      <c r="AN18" s="41">
        <v>0</v>
      </c>
      <c r="AO18" s="41">
        <v>0</v>
      </c>
      <c r="AP18" s="41">
        <v>0</v>
      </c>
      <c r="AQ18" s="41">
        <v>0</v>
      </c>
      <c r="AR18" s="41">
        <v>0</v>
      </c>
      <c r="AS18" s="41">
        <v>0</v>
      </c>
      <c r="AT18" s="41">
        <v>0</v>
      </c>
      <c r="AU18" s="41">
        <v>0</v>
      </c>
      <c r="AV18" s="41">
        <v>0</v>
      </c>
      <c r="AX18" s="89">
        <f t="shared" si="6"/>
        <v>0</v>
      </c>
    </row>
    <row r="19" spans="1:50" ht="18.75" x14ac:dyDescent="0.25">
      <c r="A19" s="89">
        <f ca="1">J19*O19</f>
        <v>1167.2774359713926</v>
      </c>
      <c r="B19" s="6">
        <v>15</v>
      </c>
      <c r="C19" s="91" t="s">
        <v>186</v>
      </c>
      <c r="D19" s="99">
        <v>120</v>
      </c>
      <c r="E19" s="92">
        <v>0.5</v>
      </c>
      <c r="F19" s="150">
        <v>40</v>
      </c>
      <c r="G19" s="93">
        <v>60</v>
      </c>
      <c r="H19" s="94">
        <f t="shared" si="2"/>
        <v>2400</v>
      </c>
      <c r="I19" s="95">
        <f t="shared" si="3"/>
        <v>1.4356545248101331</v>
      </c>
      <c r="J19" s="182">
        <f t="shared" ref="J19" si="13">G19+I19</f>
        <v>61.435654524810133</v>
      </c>
      <c r="K19" s="96">
        <f t="shared" ref="K19" si="14">J19*F19</f>
        <v>2457.4261809924055</v>
      </c>
      <c r="L19" s="100">
        <v>70</v>
      </c>
      <c r="M19" s="94">
        <f t="shared" ref="M19" si="15">L19*F19</f>
        <v>2800</v>
      </c>
      <c r="N19" s="94">
        <f t="shared" ca="1" si="9"/>
        <v>1470</v>
      </c>
      <c r="O19" s="101">
        <f t="shared" ca="1" si="10"/>
        <v>19</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f ca="1">SUMIFS('Tổng Đơn'!$F:$F,'Tổng Đơn'!$B:$B,$C19)</f>
        <v>0</v>
      </c>
      <c r="AN19" s="41">
        <v>0</v>
      </c>
      <c r="AO19" s="41">
        <v>0</v>
      </c>
      <c r="AP19" s="41">
        <v>0</v>
      </c>
      <c r="AQ19" s="41">
        <v>0</v>
      </c>
      <c r="AR19" s="41">
        <v>0</v>
      </c>
      <c r="AS19" s="41">
        <v>0</v>
      </c>
      <c r="AT19" s="41">
        <v>0</v>
      </c>
      <c r="AU19" s="41">
        <v>0</v>
      </c>
      <c r="AV19" s="41">
        <v>0</v>
      </c>
      <c r="AW19" s="89">
        <v>20</v>
      </c>
      <c r="AX19" s="89">
        <f t="shared" si="6"/>
        <v>1200</v>
      </c>
    </row>
    <row r="20" spans="1:50" ht="18.75" x14ac:dyDescent="0.25">
      <c r="A20" s="89">
        <f t="shared" ca="1" si="1"/>
        <v>1270.6941210881564</v>
      </c>
      <c r="B20" s="6">
        <v>16</v>
      </c>
      <c r="C20" s="91" t="s">
        <v>144</v>
      </c>
      <c r="D20" s="99">
        <v>73</v>
      </c>
      <c r="E20" s="92">
        <v>0.5</v>
      </c>
      <c r="F20" s="150">
        <v>81</v>
      </c>
      <c r="G20" s="93">
        <v>36.5</v>
      </c>
      <c r="H20" s="94">
        <f t="shared" ref="H20:H23" si="16">G20*F20</f>
        <v>2956.5</v>
      </c>
      <c r="I20" s="95">
        <f t="shared" ref="I20:I21" si="17">((H20/$H$4)*$A$2)/F20</f>
        <v>0.87335650259283104</v>
      </c>
      <c r="J20" s="182">
        <f t="shared" ref="J20:J21" si="18">G20+I20</f>
        <v>37.373356502592834</v>
      </c>
      <c r="K20" s="96">
        <f t="shared" ref="K20:K21" si="19">J20*F20</f>
        <v>3027.2418767100194</v>
      </c>
      <c r="L20" s="100">
        <v>44</v>
      </c>
      <c r="M20" s="94">
        <f t="shared" ref="M20:M21" si="20">L20*F20</f>
        <v>3564</v>
      </c>
      <c r="N20" s="94">
        <f t="shared" ca="1" si="9"/>
        <v>2068</v>
      </c>
      <c r="O20" s="101">
        <f t="shared" ca="1" si="10"/>
        <v>34</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f ca="1">SUMIFS('Tổng Đơn'!$F:$F,'Tổng Đơn'!$B:$B,$C20)</f>
        <v>3</v>
      </c>
      <c r="AN20" s="41">
        <v>0</v>
      </c>
      <c r="AO20" s="41">
        <v>0</v>
      </c>
      <c r="AP20" s="41">
        <v>0</v>
      </c>
      <c r="AQ20" s="41">
        <v>0</v>
      </c>
      <c r="AR20" s="41">
        <v>0</v>
      </c>
      <c r="AS20" s="41">
        <v>0</v>
      </c>
      <c r="AT20" s="41">
        <v>0</v>
      </c>
      <c r="AU20" s="41">
        <v>0</v>
      </c>
      <c r="AV20" s="41">
        <v>0</v>
      </c>
      <c r="AW20" s="89">
        <v>80</v>
      </c>
      <c r="AX20" s="89">
        <f t="shared" si="6"/>
        <v>2920</v>
      </c>
    </row>
    <row r="21" spans="1:50" ht="18.75" x14ac:dyDescent="0.25">
      <c r="A21" s="89">
        <f t="shared" ca="1" si="1"/>
        <v>3108.6441189553925</v>
      </c>
      <c r="B21" s="6">
        <v>17</v>
      </c>
      <c r="C21" s="91" t="s">
        <v>202</v>
      </c>
      <c r="D21" s="99">
        <v>88</v>
      </c>
      <c r="E21" s="92">
        <v>0.5</v>
      </c>
      <c r="F21" s="150">
        <v>80</v>
      </c>
      <c r="G21" s="93">
        <v>44</v>
      </c>
      <c r="H21" s="94">
        <f t="shared" si="16"/>
        <v>3520</v>
      </c>
      <c r="I21" s="95">
        <f t="shared" si="17"/>
        <v>1.0528133181940977</v>
      </c>
      <c r="J21" s="182">
        <f t="shared" si="18"/>
        <v>45.052813318194097</v>
      </c>
      <c r="K21" s="96">
        <f t="shared" si="19"/>
        <v>3604.2250654555278</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f ca="1">SUMIFS('Tổng Đơn'!$F:$F,'Tổng Đơn'!$B:$B,$C21)</f>
        <v>0</v>
      </c>
      <c r="AN21" s="41">
        <v>0</v>
      </c>
      <c r="AO21" s="41">
        <v>0</v>
      </c>
      <c r="AP21" s="41">
        <v>0</v>
      </c>
      <c r="AQ21" s="41">
        <v>0</v>
      </c>
      <c r="AR21" s="41">
        <v>0</v>
      </c>
      <c r="AS21" s="41">
        <v>0</v>
      </c>
      <c r="AT21" s="41">
        <v>0</v>
      </c>
      <c r="AU21" s="41">
        <v>0</v>
      </c>
      <c r="AV21" s="41">
        <v>0</v>
      </c>
      <c r="AX21" s="89">
        <f t="shared" si="6"/>
        <v>0</v>
      </c>
    </row>
    <row r="22" spans="1:50" ht="18.75" x14ac:dyDescent="0.25">
      <c r="A22" s="89">
        <f t="shared" ca="1" si="1"/>
        <v>448.48027803111404</v>
      </c>
      <c r="B22" s="6">
        <v>18</v>
      </c>
      <c r="C22" s="91" t="s">
        <v>207</v>
      </c>
      <c r="D22" s="99">
        <v>73</v>
      </c>
      <c r="E22" s="92">
        <v>0.5</v>
      </c>
      <c r="F22" s="150">
        <v>20</v>
      </c>
      <c r="G22" s="93">
        <f>D22/2</f>
        <v>36.5</v>
      </c>
      <c r="H22" s="94">
        <f t="shared" si="16"/>
        <v>730</v>
      </c>
      <c r="I22" s="95">
        <f t="shared" ref="I22:I23" si="21">((H22/$H$4)*$A$2)/F22</f>
        <v>0.87335650259283104</v>
      </c>
      <c r="J22" s="182">
        <f t="shared" ref="J22:J23" si="22">G22+I22</f>
        <v>37.373356502592834</v>
      </c>
      <c r="K22" s="96">
        <f t="shared" ref="K22:K23" si="23">J22*F22</f>
        <v>747.46713005185666</v>
      </c>
      <c r="L22" s="100">
        <v>45</v>
      </c>
      <c r="M22" s="94">
        <f t="shared" ref="M22:M23" si="24">L22*F22</f>
        <v>900</v>
      </c>
      <c r="N22" s="94">
        <f t="shared" ca="1" si="9"/>
        <v>360</v>
      </c>
      <c r="O22" s="101">
        <f t="shared" ca="1" si="10"/>
        <v>12</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f ca="1">SUMIFS('Tổng Đơn'!$F:$F,'Tổng Đơn'!$B:$B,$C22)</f>
        <v>1</v>
      </c>
      <c r="AN22" s="41">
        <v>0</v>
      </c>
      <c r="AO22" s="41">
        <v>0</v>
      </c>
      <c r="AP22" s="41">
        <v>0</v>
      </c>
      <c r="AQ22" s="41">
        <v>0</v>
      </c>
      <c r="AR22" s="41">
        <v>0</v>
      </c>
      <c r="AS22" s="41">
        <v>0</v>
      </c>
      <c r="AT22" s="41">
        <v>0</v>
      </c>
      <c r="AU22" s="41">
        <v>0</v>
      </c>
      <c r="AV22" s="41">
        <v>0</v>
      </c>
      <c r="AX22" s="89">
        <f t="shared" ref="AX22:AX23" si="25">AW22*G22</f>
        <v>0</v>
      </c>
    </row>
    <row r="23" spans="1:50" ht="18.75" x14ac:dyDescent="0.25">
      <c r="A23" s="89">
        <f t="shared" ca="1" si="1"/>
        <v>233.4554871942785</v>
      </c>
      <c r="B23" s="6">
        <v>19</v>
      </c>
      <c r="C23" s="91" t="s">
        <v>247</v>
      </c>
      <c r="D23" s="99">
        <v>24</v>
      </c>
      <c r="E23" s="92">
        <v>0.3</v>
      </c>
      <c r="F23" s="150">
        <v>80</v>
      </c>
      <c r="G23" s="93">
        <f>D23/2</f>
        <v>12</v>
      </c>
      <c r="H23" s="94">
        <f t="shared" si="16"/>
        <v>960</v>
      </c>
      <c r="I23" s="95">
        <f t="shared" si="21"/>
        <v>0.28713090496202665</v>
      </c>
      <c r="J23" s="182">
        <f t="shared" si="22"/>
        <v>12.287130904962027</v>
      </c>
      <c r="K23" s="96">
        <f t="shared" si="23"/>
        <v>982.97047239696212</v>
      </c>
      <c r="L23" s="100">
        <v>18</v>
      </c>
      <c r="M23" s="94">
        <f t="shared" si="24"/>
        <v>1440</v>
      </c>
      <c r="N23" s="94">
        <f t="shared" ca="1" si="9"/>
        <v>1098</v>
      </c>
      <c r="O23" s="101">
        <f t="shared" ca="1" si="10"/>
        <v>19</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f ca="1">SUMIFS('Tổng Đơn'!$F:$F,'Tổng Đơn'!$B:$B,$C23)</f>
        <v>16</v>
      </c>
      <c r="AN23" s="41">
        <v>0</v>
      </c>
      <c r="AO23" s="41">
        <v>0</v>
      </c>
      <c r="AP23" s="41">
        <v>0</v>
      </c>
      <c r="AQ23" s="41">
        <v>0</v>
      </c>
      <c r="AR23" s="41">
        <v>0</v>
      </c>
      <c r="AS23" s="41">
        <v>0</v>
      </c>
      <c r="AT23" s="41">
        <v>0</v>
      </c>
      <c r="AU23" s="41">
        <v>0</v>
      </c>
      <c r="AV23" s="41">
        <v>0</v>
      </c>
      <c r="AW23" s="89">
        <v>180</v>
      </c>
      <c r="AX23" s="89">
        <f t="shared" si="25"/>
        <v>2160</v>
      </c>
    </row>
  </sheetData>
  <autoFilter ref="B4:M4"/>
  <mergeCells count="1">
    <mergeCell ref="B1:M1"/>
  </mergeCells>
  <conditionalFormatting sqref="C6:C17">
    <cfRule type="expression" dxfId="573" priority="17">
      <formula>($O6/$O6)&lt;=1/4</formula>
    </cfRule>
  </conditionalFormatting>
  <conditionalFormatting sqref="C18">
    <cfRule type="expression" dxfId="572" priority="14">
      <formula>($O18/$O18)&lt;=1/4</formula>
    </cfRule>
  </conditionalFormatting>
  <conditionalFormatting sqref="C5:C18">
    <cfRule type="expression" dxfId="571" priority="25">
      <formula>($O5/$F5)&lt;=1/4</formula>
    </cfRule>
  </conditionalFormatting>
  <conditionalFormatting sqref="C19">
    <cfRule type="expression" dxfId="570" priority="5">
      <formula>($O19/$O19)&lt;=1/4</formula>
    </cfRule>
  </conditionalFormatting>
  <conditionalFormatting sqref="C19">
    <cfRule type="expression" dxfId="569" priority="6">
      <formula>($O19/$F19)&lt;=1/4</formula>
    </cfRule>
  </conditionalFormatting>
  <conditionalFormatting sqref="C20:C21">
    <cfRule type="expression" dxfId="568" priority="3">
      <formula>($O20/$O20)&lt;=1/4</formula>
    </cfRule>
  </conditionalFormatting>
  <conditionalFormatting sqref="C20:C21">
    <cfRule type="expression" dxfId="567" priority="4">
      <formula>($O20/$F20)&lt;=1/4</formula>
    </cfRule>
  </conditionalFormatting>
  <conditionalFormatting sqref="C22:C23">
    <cfRule type="expression" dxfId="566" priority="1">
      <formula>($O22/$O22)&lt;=1/4</formula>
    </cfRule>
  </conditionalFormatting>
  <conditionalFormatting sqref="C22:C23">
    <cfRule type="expression" dxfId="565"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W12"/>
  <sheetViews>
    <sheetView tabSelected="1" topLeftCell="A2" zoomScale="90" zoomScaleNormal="90" workbookViewId="0">
      <pane xSplit="16" ySplit="3" topLeftCell="AG5" activePane="bottomRight" state="frozen"/>
      <selection activeCell="A2" sqref="A2"/>
      <selection pane="topRight" activeCell="Q2" sqref="Q2"/>
      <selection pane="bottomLeft" activeCell="A5" sqref="A5"/>
      <selection pane="bottomRight" activeCell="A2" sqref="A2"/>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17" t="s">
        <v>59</v>
      </c>
      <c r="C1" s="217"/>
      <c r="D1" s="217"/>
      <c r="E1" s="217"/>
      <c r="F1" s="217"/>
      <c r="G1" s="217"/>
      <c r="H1" s="217"/>
      <c r="I1" s="217"/>
      <c r="J1" s="217"/>
      <c r="K1" s="217"/>
      <c r="L1" s="217"/>
      <c r="M1" s="217"/>
      <c r="N1" s="202"/>
    </row>
    <row r="2" spans="1:49" ht="34.5" customHeight="1" x14ac:dyDescent="0.25">
      <c r="A2" s="1">
        <f>300</f>
        <v>300</v>
      </c>
      <c r="K2" s="13">
        <f>SUMPRODUCT((E5:E12)*(F5:F12))</f>
        <v>272.00000000005002</v>
      </c>
      <c r="L2" s="13">
        <f>M4-K4</f>
        <v>2628.0000000004966</v>
      </c>
      <c r="M2" s="8">
        <f>M4/K4-1</f>
        <v>0.18351955307263346</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SUBTOTAL(9,A5:A207)</f>
        <v>10624.210608224133</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4383</v>
      </c>
      <c r="O4" s="69">
        <f ca="1">SUBTOTAL(9,O5:O157)</f>
        <v>390.00000000009999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18</v>
      </c>
      <c r="AK4" s="40">
        <f t="shared" si="0"/>
        <v>42</v>
      </c>
      <c r="AL4" s="40">
        <f t="shared" ca="1" si="0"/>
        <v>57</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61" t="str">
        <f>SUMPRODUCT(($AV$5:$AV$12)*($E$5:$E$12))&amp;" Kg"</f>
        <v>0 Kg</v>
      </c>
      <c r="AW4" s="109">
        <f>SUBTOTAL(9,AW5:AW167)</f>
        <v>0</v>
      </c>
    </row>
    <row r="5" spans="1:49" ht="18.75" x14ac:dyDescent="0.25">
      <c r="A5" s="89">
        <f t="shared" ref="A5:A12" ca="1" si="1">J5*O5</f>
        <v>1280.8330955777419</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1219</v>
      </c>
      <c r="O5" s="101">
        <f t="shared" ref="O5:O12" ca="1" si="7">F5-SUM(Q5:AU5)-P5</f>
        <v>66</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f ca="1">SUMIFS('Tổng Đơn'!$F:$F,'Tổng Đơn'!$B:$B,$C5)</f>
        <v>17</v>
      </c>
      <c r="AM5" s="41">
        <v>0</v>
      </c>
      <c r="AN5" s="41">
        <v>0</v>
      </c>
      <c r="AO5" s="41">
        <v>0</v>
      </c>
      <c r="AP5" s="41">
        <v>0</v>
      </c>
      <c r="AQ5" s="41">
        <v>0</v>
      </c>
      <c r="AR5" s="41">
        <v>0</v>
      </c>
      <c r="AS5" s="41">
        <v>0</v>
      </c>
      <c r="AT5" s="41">
        <v>0</v>
      </c>
      <c r="AU5" s="41">
        <v>0</v>
      </c>
      <c r="AW5" s="89">
        <f t="shared" ref="AW5:AW12" si="8">AV5*G5</f>
        <v>0</v>
      </c>
    </row>
    <row r="6" spans="1:49" ht="18.75" x14ac:dyDescent="0.25">
      <c r="A6" s="89">
        <f t="shared" ca="1" si="1"/>
        <v>2.1449358059914343E-9</v>
      </c>
      <c r="B6" s="6">
        <v>2</v>
      </c>
      <c r="C6" s="91" t="s">
        <v>240</v>
      </c>
      <c r="D6" s="99">
        <v>42</v>
      </c>
      <c r="E6" s="6">
        <v>0.5</v>
      </c>
      <c r="F6" s="150">
        <v>1E-10</v>
      </c>
      <c r="G6" s="93">
        <f t="shared" ref="G6:G12" si="9">D6/(1/E6)</f>
        <v>21</v>
      </c>
      <c r="H6" s="94">
        <f t="shared" si="2"/>
        <v>2.1000000000000002E-9</v>
      </c>
      <c r="I6" s="95">
        <f t="shared" si="3"/>
        <v>0.44935805991434075</v>
      </c>
      <c r="J6" s="182">
        <f t="shared" si="4"/>
        <v>21.449358059914342</v>
      </c>
      <c r="K6" s="96">
        <f t="shared" ref="K6:K12" si="10">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f ca="1">SUMIFS('Tổng Đơn'!$F:$F,'Tổng Đơn'!$B:$B,$C6)</f>
        <v>0</v>
      </c>
      <c r="AM6" s="41">
        <v>0</v>
      </c>
      <c r="AN6" s="41">
        <v>0</v>
      </c>
      <c r="AO6" s="41">
        <v>0</v>
      </c>
      <c r="AP6" s="41">
        <v>0</v>
      </c>
      <c r="AQ6" s="41">
        <v>0</v>
      </c>
      <c r="AR6" s="41">
        <v>0</v>
      </c>
      <c r="AS6" s="41">
        <v>0</v>
      </c>
      <c r="AT6" s="41">
        <v>0</v>
      </c>
      <c r="AU6" s="41">
        <v>0</v>
      </c>
      <c r="AW6" s="89">
        <f t="shared" si="8"/>
        <v>0</v>
      </c>
    </row>
    <row r="7" spans="1:49" ht="18.75" x14ac:dyDescent="0.25">
      <c r="A7" s="89">
        <f t="shared" ca="1" si="1"/>
        <v>686.37945791725895</v>
      </c>
      <c r="B7" s="6">
        <v>3</v>
      </c>
      <c r="C7" s="91" t="s">
        <v>241</v>
      </c>
      <c r="D7" s="99">
        <v>42</v>
      </c>
      <c r="E7" s="6">
        <v>0.5</v>
      </c>
      <c r="F7" s="150">
        <v>40</v>
      </c>
      <c r="G7" s="93">
        <f t="shared" si="9"/>
        <v>21</v>
      </c>
      <c r="H7" s="94">
        <f t="shared" si="2"/>
        <v>840</v>
      </c>
      <c r="I7" s="95">
        <f t="shared" si="3"/>
        <v>0.44935805991434075</v>
      </c>
      <c r="J7" s="182">
        <f t="shared" si="4"/>
        <v>21.449358059914342</v>
      </c>
      <c r="K7" s="96">
        <f t="shared" si="10"/>
        <v>857.97432239657371</v>
      </c>
      <c r="L7" s="100">
        <v>26</v>
      </c>
      <c r="M7" s="94">
        <f t="shared" si="5"/>
        <v>1040</v>
      </c>
      <c r="N7" s="94">
        <f t="shared" ca="1" si="6"/>
        <v>208</v>
      </c>
      <c r="O7" s="101">
        <f t="shared" ca="1" si="7"/>
        <v>32</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f ca="1">SUMIFS('Tổng Đơn'!$F:$F,'Tổng Đơn'!$B:$B,$C7)</f>
        <v>2</v>
      </c>
      <c r="AM7" s="41">
        <v>0</v>
      </c>
      <c r="AN7" s="41">
        <v>0</v>
      </c>
      <c r="AO7" s="41">
        <v>0</v>
      </c>
      <c r="AP7" s="41">
        <v>0</v>
      </c>
      <c r="AQ7" s="41">
        <v>0</v>
      </c>
      <c r="AR7" s="41">
        <v>0</v>
      </c>
      <c r="AS7" s="41">
        <v>0</v>
      </c>
      <c r="AT7" s="41">
        <v>0</v>
      </c>
      <c r="AU7" s="41">
        <v>0</v>
      </c>
      <c r="AW7" s="89">
        <f t="shared" si="8"/>
        <v>0</v>
      </c>
    </row>
    <row r="8" spans="1:49" ht="18.75" x14ac:dyDescent="0.25">
      <c r="A8" s="89">
        <f t="shared" ca="1" si="1"/>
        <v>735.40656205420601</v>
      </c>
      <c r="B8" s="6">
        <v>4</v>
      </c>
      <c r="C8" s="91" t="s">
        <v>242</v>
      </c>
      <c r="D8" s="99">
        <v>40</v>
      </c>
      <c r="E8" s="6">
        <v>0.5</v>
      </c>
      <c r="F8" s="150">
        <v>40</v>
      </c>
      <c r="G8" s="93">
        <f t="shared" si="9"/>
        <v>20</v>
      </c>
      <c r="H8" s="94">
        <f t="shared" si="2"/>
        <v>800</v>
      </c>
      <c r="I8" s="95">
        <f t="shared" si="3"/>
        <v>0.42796005706127688</v>
      </c>
      <c r="J8" s="182">
        <f t="shared" si="4"/>
        <v>20.427960057061277</v>
      </c>
      <c r="K8" s="96">
        <f t="shared" si="10"/>
        <v>817.11840228245114</v>
      </c>
      <c r="L8" s="100">
        <v>26</v>
      </c>
      <c r="M8" s="94">
        <f t="shared" si="5"/>
        <v>1040</v>
      </c>
      <c r="N8" s="94">
        <f t="shared" ca="1" si="6"/>
        <v>104</v>
      </c>
      <c r="O8" s="101">
        <f t="shared" ca="1" si="7"/>
        <v>36</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f ca="1">SUMIFS('Tổng Đơn'!$F:$F,'Tổng Đơn'!$B:$B,$C8)</f>
        <v>2</v>
      </c>
      <c r="AM8" s="41">
        <v>0</v>
      </c>
      <c r="AN8" s="41">
        <v>0</v>
      </c>
      <c r="AO8" s="41">
        <v>0</v>
      </c>
      <c r="AP8" s="41">
        <v>0</v>
      </c>
      <c r="AQ8" s="41">
        <v>0</v>
      </c>
      <c r="AR8" s="41">
        <v>0</v>
      </c>
      <c r="AS8" s="41">
        <v>0</v>
      </c>
      <c r="AT8" s="41">
        <v>0</v>
      </c>
      <c r="AU8" s="41">
        <v>0</v>
      </c>
      <c r="AW8" s="89">
        <f t="shared" si="8"/>
        <v>0</v>
      </c>
    </row>
    <row r="9" spans="1:49" ht="18.75" x14ac:dyDescent="0.25">
      <c r="A9" s="89">
        <f t="shared" ca="1" si="1"/>
        <v>1107.2882894566169</v>
      </c>
      <c r="B9" s="6">
        <v>5</v>
      </c>
      <c r="C9" s="91" t="s">
        <v>243</v>
      </c>
      <c r="D9" s="99">
        <f>(45*20)/22</f>
        <v>40.909090909090907</v>
      </c>
      <c r="E9" s="6">
        <v>0.5</v>
      </c>
      <c r="F9" s="150">
        <v>88</v>
      </c>
      <c r="G9" s="93">
        <f t="shared" si="9"/>
        <v>20.454545454545453</v>
      </c>
      <c r="H9" s="94">
        <f t="shared" si="2"/>
        <v>1800</v>
      </c>
      <c r="I9" s="95">
        <f t="shared" si="3"/>
        <v>0.43768642199448765</v>
      </c>
      <c r="J9" s="182">
        <f t="shared" si="4"/>
        <v>20.892231876539942</v>
      </c>
      <c r="K9" s="96">
        <f t="shared" si="10"/>
        <v>1838.5164051355148</v>
      </c>
      <c r="L9" s="100">
        <v>26</v>
      </c>
      <c r="M9" s="94">
        <f t="shared" si="5"/>
        <v>2288</v>
      </c>
      <c r="N9" s="94">
        <f t="shared" ca="1" si="6"/>
        <v>910</v>
      </c>
      <c r="O9" s="101">
        <f t="shared" ca="1" si="7"/>
        <v>53</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f ca="1">SUMIFS('Tổng Đơn'!$F:$F,'Tổng Đơn'!$B:$B,$C9)</f>
        <v>15</v>
      </c>
      <c r="AM9" s="41">
        <v>0</v>
      </c>
      <c r="AN9" s="41">
        <v>0</v>
      </c>
      <c r="AO9" s="41">
        <v>0</v>
      </c>
      <c r="AP9" s="41">
        <v>0</v>
      </c>
      <c r="AQ9" s="41">
        <v>0</v>
      </c>
      <c r="AR9" s="41">
        <v>0</v>
      </c>
      <c r="AS9" s="41">
        <v>0</v>
      </c>
      <c r="AT9" s="41">
        <v>0</v>
      </c>
      <c r="AU9" s="41">
        <v>0</v>
      </c>
      <c r="AW9" s="89">
        <f t="shared" si="8"/>
        <v>0</v>
      </c>
    </row>
    <row r="10" spans="1:49" ht="18.75" x14ac:dyDescent="0.25">
      <c r="A10" s="89">
        <f t="shared" ca="1" si="1"/>
        <v>2793.0592659836507</v>
      </c>
      <c r="B10" s="6">
        <v>6</v>
      </c>
      <c r="C10" s="91" t="s">
        <v>244</v>
      </c>
      <c r="D10" s="99">
        <f>(64*20)/22</f>
        <v>58.18181818181818</v>
      </c>
      <c r="E10" s="6">
        <v>0.5</v>
      </c>
      <c r="F10" s="150">
        <v>132</v>
      </c>
      <c r="G10" s="93">
        <f t="shared" si="9"/>
        <v>29.09090909090909</v>
      </c>
      <c r="H10" s="94">
        <f t="shared" si="2"/>
        <v>3840</v>
      </c>
      <c r="I10" s="95">
        <f t="shared" si="3"/>
        <v>0.62248735572549363</v>
      </c>
      <c r="J10" s="182">
        <f t="shared" si="4"/>
        <v>29.713396446634583</v>
      </c>
      <c r="K10" s="96">
        <f t="shared" si="10"/>
        <v>3922.1683309557648</v>
      </c>
      <c r="L10" s="100">
        <v>35</v>
      </c>
      <c r="M10" s="94">
        <f t="shared" si="5"/>
        <v>4620</v>
      </c>
      <c r="N10" s="94">
        <f t="shared" ca="1" si="6"/>
        <v>1330</v>
      </c>
      <c r="O10" s="101">
        <f t="shared" ca="1" si="7"/>
        <v>94</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3</v>
      </c>
      <c r="AK10" s="37">
        <v>13</v>
      </c>
      <c r="AL10" s="37">
        <f ca="1">SUMIFS('Tổng Đơn'!$F:$F,'Tổng Đơn'!$B:$B,$C10)</f>
        <v>16</v>
      </c>
      <c r="AM10" s="41">
        <v>0</v>
      </c>
      <c r="AN10" s="41">
        <v>0</v>
      </c>
      <c r="AO10" s="41">
        <v>0</v>
      </c>
      <c r="AP10" s="41">
        <v>0</v>
      </c>
      <c r="AQ10" s="41">
        <v>0</v>
      </c>
      <c r="AR10" s="41">
        <v>0</v>
      </c>
      <c r="AS10" s="41">
        <v>0</v>
      </c>
      <c r="AT10" s="41">
        <v>0</v>
      </c>
      <c r="AU10" s="41">
        <v>0</v>
      </c>
      <c r="AW10" s="89">
        <f t="shared" si="8"/>
        <v>0</v>
      </c>
    </row>
    <row r="11" spans="1:49" ht="18.75" x14ac:dyDescent="0.25">
      <c r="A11" s="89">
        <f t="shared" ca="1" si="1"/>
        <v>1149.0727532096969</v>
      </c>
      <c r="B11" s="6">
        <v>7</v>
      </c>
      <c r="C11" s="91" t="s">
        <v>245</v>
      </c>
      <c r="D11" s="99">
        <f>(75*20)/22</f>
        <v>68.181818181818187</v>
      </c>
      <c r="E11" s="6">
        <v>0.5</v>
      </c>
      <c r="F11" s="150">
        <v>44</v>
      </c>
      <c r="G11" s="93">
        <f t="shared" si="9"/>
        <v>34.090909090909093</v>
      </c>
      <c r="H11" s="94">
        <f t="shared" si="2"/>
        <v>1500</v>
      </c>
      <c r="I11" s="95">
        <f t="shared" si="3"/>
        <v>0.72947736999081281</v>
      </c>
      <c r="J11" s="182">
        <f t="shared" si="4"/>
        <v>34.820386460899904</v>
      </c>
      <c r="K11" s="96">
        <f t="shared" si="10"/>
        <v>1532.0970042795957</v>
      </c>
      <c r="L11" s="100">
        <v>40</v>
      </c>
      <c r="M11" s="94">
        <f t="shared" si="5"/>
        <v>1760</v>
      </c>
      <c r="N11" s="94">
        <f t="shared" ca="1" si="6"/>
        <v>440</v>
      </c>
      <c r="O11" s="101">
        <f t="shared" ca="1" si="7"/>
        <v>33</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f ca="1">SUMIFS('Tổng Đơn'!$F:$F,'Tổng Đơn'!$B:$B,$C11)</f>
        <v>3</v>
      </c>
      <c r="AM11" s="41">
        <v>0</v>
      </c>
      <c r="AN11" s="41">
        <v>0</v>
      </c>
      <c r="AO11" s="41">
        <v>0</v>
      </c>
      <c r="AP11" s="41">
        <v>0</v>
      </c>
      <c r="AQ11" s="41">
        <v>0</v>
      </c>
      <c r="AR11" s="41">
        <v>0</v>
      </c>
      <c r="AS11" s="41">
        <v>0</v>
      </c>
      <c r="AT11" s="41">
        <v>0</v>
      </c>
      <c r="AU11" s="41">
        <v>0</v>
      </c>
      <c r="AW11" s="89">
        <f t="shared" si="8"/>
        <v>0</v>
      </c>
    </row>
    <row r="12" spans="1:49" ht="18.75" x14ac:dyDescent="0.25">
      <c r="A12" s="89">
        <f t="shared" ca="1" si="1"/>
        <v>2872.1711840228154</v>
      </c>
      <c r="B12" s="6">
        <v>8</v>
      </c>
      <c r="C12" s="91" t="s">
        <v>246</v>
      </c>
      <c r="D12" s="99">
        <v>74</v>
      </c>
      <c r="E12" s="6">
        <v>0.5</v>
      </c>
      <c r="F12" s="150">
        <v>80</v>
      </c>
      <c r="G12" s="93">
        <f t="shared" si="9"/>
        <v>37</v>
      </c>
      <c r="H12" s="94">
        <f t="shared" si="2"/>
        <v>2960</v>
      </c>
      <c r="I12" s="95">
        <f t="shared" si="3"/>
        <v>0.7917261055633622</v>
      </c>
      <c r="J12" s="182">
        <f t="shared" si="4"/>
        <v>37.791726105563363</v>
      </c>
      <c r="K12" s="96">
        <f t="shared" si="10"/>
        <v>3023.3380884450689</v>
      </c>
      <c r="L12" s="100">
        <v>43</v>
      </c>
      <c r="M12" s="94">
        <f t="shared" si="5"/>
        <v>3440</v>
      </c>
      <c r="N12" s="94">
        <f t="shared" ca="1" si="6"/>
        <v>172</v>
      </c>
      <c r="O12" s="101">
        <f t="shared" ca="1" si="7"/>
        <v>76</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f ca="1">SUMIFS('Tổng Đơn'!$F:$F,'Tổng Đơn'!$B:$B,$C12)</f>
        <v>2</v>
      </c>
      <c r="AM12" s="41">
        <v>0</v>
      </c>
      <c r="AN12" s="41">
        <v>0</v>
      </c>
      <c r="AO12" s="41">
        <v>0</v>
      </c>
      <c r="AP12" s="41">
        <v>0</v>
      </c>
      <c r="AQ12" s="41">
        <v>0</v>
      </c>
      <c r="AR12" s="41">
        <v>0</v>
      </c>
      <c r="AS12" s="41">
        <v>0</v>
      </c>
      <c r="AT12" s="41">
        <v>0</v>
      </c>
      <c r="AU12" s="41">
        <v>0</v>
      </c>
      <c r="AW12" s="89">
        <f t="shared" si="8"/>
        <v>0</v>
      </c>
    </row>
  </sheetData>
  <autoFilter ref="B4:M4"/>
  <mergeCells count="1">
    <mergeCell ref="B1:M1"/>
  </mergeCells>
  <conditionalFormatting sqref="C6:C12">
    <cfRule type="expression" dxfId="564" priority="8">
      <formula>($O6/$O6)&lt;=1/4</formula>
    </cfRule>
  </conditionalFormatting>
  <conditionalFormatting sqref="C5:C12">
    <cfRule type="expression" dxfId="56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13" sqref="A13:XFD13"/>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17" t="s">
        <v>59</v>
      </c>
      <c r="C1" s="217"/>
      <c r="D1" s="217"/>
      <c r="E1" s="217"/>
      <c r="F1" s="217"/>
      <c r="G1" s="217"/>
      <c r="H1" s="217"/>
      <c r="I1" s="217"/>
      <c r="J1" s="217"/>
      <c r="K1" s="217"/>
      <c r="L1" s="217"/>
      <c r="M1" s="217"/>
      <c r="N1" s="90"/>
    </row>
    <row r="2" spans="1:50" ht="24" customHeight="1" x14ac:dyDescent="0.25">
      <c r="A2" s="1">
        <f>150+160+120+70+30+100+30+150+120+30+140+30+70+120+30+30+120+60+120</f>
        <v>1680</v>
      </c>
      <c r="K2" s="13">
        <f>SUMPRODUCT((E5:E19)*(F5:F19))</f>
        <v>834.5</v>
      </c>
      <c r="L2" s="13">
        <f>M4-K4</f>
        <v>13104.000000000015</v>
      </c>
      <c r="M2" s="8">
        <f>M4/K4-1</f>
        <v>0.19373724829238026</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SUBTOTAL(9,A5:A220)</f>
        <v>15612.023128354409</v>
      </c>
      <c r="B4" s="19"/>
      <c r="C4" s="19"/>
      <c r="D4" s="67"/>
      <c r="E4" s="19">
        <f>SUMPRODUCT((E5:E25)*(F5:F25))</f>
        <v>1047.5</v>
      </c>
      <c r="F4" s="19">
        <f>SUBTOTAL(9,F5:F190)</f>
        <v>2200</v>
      </c>
      <c r="G4" s="7"/>
      <c r="H4" s="7">
        <f>SUBTOTAL(9,H5:H100)</f>
        <v>65958</v>
      </c>
      <c r="I4" s="12"/>
      <c r="J4" s="12"/>
      <c r="K4" s="12">
        <f>SUBTOTAL(9,K5:K190)</f>
        <v>67637.999999999985</v>
      </c>
      <c r="L4" s="68"/>
      <c r="M4" s="7">
        <f>SUBTOTAL(9,M5:M190)</f>
        <v>80742</v>
      </c>
      <c r="N4" s="7">
        <f ca="1">SUBTOTAL(9,N5:N190)</f>
        <v>61478</v>
      </c>
      <c r="O4" s="39">
        <f ca="1">SUBTOTAL(9,O5:O190)</f>
        <v>466</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20</v>
      </c>
      <c r="AL4" s="40">
        <f t="shared" si="1"/>
        <v>43</v>
      </c>
      <c r="AM4" s="40">
        <f t="shared" ca="1" si="1"/>
        <v>20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155 Kg</v>
      </c>
      <c r="AX4" s="109">
        <f t="shared" si="1"/>
        <v>9785</v>
      </c>
    </row>
    <row r="5" spans="1:50" ht="18.75" x14ac:dyDescent="0.25">
      <c r="A5" s="89">
        <f t="shared" ref="A5:A32" ca="1" si="2">IFERROR(J5*O5,"")</f>
        <v>0</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9200</v>
      </c>
      <c r="O5" s="98">
        <f ca="1">F5-SUM(Q5:AV5)-P5</f>
        <v>0</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f ca="1">SUMIFS('Tổng Đơn'!$F:$F,'Tổng Đơn'!$B:$B,$C5)</f>
        <v>2</v>
      </c>
      <c r="AN5" s="104">
        <v>0</v>
      </c>
      <c r="AO5" s="104">
        <v>0</v>
      </c>
      <c r="AP5" s="104">
        <v>0</v>
      </c>
      <c r="AQ5" s="104">
        <v>0</v>
      </c>
      <c r="AR5" s="104">
        <v>0</v>
      </c>
      <c r="AS5" s="104">
        <v>0</v>
      </c>
      <c r="AT5" s="104">
        <v>0</v>
      </c>
      <c r="AU5" s="104">
        <v>0</v>
      </c>
      <c r="AV5" s="104">
        <v>0</v>
      </c>
      <c r="AW5" s="89">
        <v>40</v>
      </c>
      <c r="AX5" s="89">
        <f t="shared" ref="AX5:AX32" si="6">AW5*G5</f>
        <v>850</v>
      </c>
    </row>
    <row r="6" spans="1:50" ht="18.75" x14ac:dyDescent="0.25">
      <c r="A6" s="89">
        <f t="shared" ca="1" si="2"/>
        <v>541.44855817338305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f ca="1">SUMIFS('Tổng Đơn'!$F:$F,'Tổng Đơn'!$B:$B,$C6)</f>
        <v>0</v>
      </c>
      <c r="AN6" s="104">
        <v>0</v>
      </c>
      <c r="AO6" s="104">
        <v>0</v>
      </c>
      <c r="AP6" s="104">
        <v>0</v>
      </c>
      <c r="AQ6" s="104">
        <v>0</v>
      </c>
      <c r="AR6" s="104">
        <v>0</v>
      </c>
      <c r="AS6" s="104">
        <v>0</v>
      </c>
      <c r="AT6" s="104">
        <v>0</v>
      </c>
      <c r="AU6" s="104">
        <v>0</v>
      </c>
      <c r="AV6" s="104">
        <v>0</v>
      </c>
      <c r="AX6" s="89">
        <f t="shared" si="6"/>
        <v>0</v>
      </c>
    </row>
    <row r="7" spans="1:50" ht="18.75" x14ac:dyDescent="0.25">
      <c r="A7" s="89">
        <f t="shared" ca="1" si="2"/>
        <v>535.29573364868554</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f ca="1">SUMIFS('Tổng Đơn'!$F:$F,'Tổng Đơn'!$B:$B,$C7)</f>
        <v>1</v>
      </c>
      <c r="AN7" s="104">
        <v>0</v>
      </c>
      <c r="AO7" s="104">
        <v>0</v>
      </c>
      <c r="AP7" s="104">
        <v>0</v>
      </c>
      <c r="AQ7" s="104">
        <v>0</v>
      </c>
      <c r="AR7" s="104">
        <v>0</v>
      </c>
      <c r="AS7" s="104">
        <v>0</v>
      </c>
      <c r="AT7" s="104">
        <v>0</v>
      </c>
      <c r="AU7" s="104">
        <v>0</v>
      </c>
      <c r="AV7" s="104">
        <v>0</v>
      </c>
      <c r="AX7" s="89">
        <f t="shared" si="6"/>
        <v>0</v>
      </c>
    </row>
    <row r="8" spans="1:50" ht="18.75" x14ac:dyDescent="0.25">
      <c r="A8" s="89">
        <f t="shared" ca="1" si="2"/>
        <v>1015.2160465750932</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3440</v>
      </c>
      <c r="O8" s="98">
        <f t="shared" ca="1" si="11"/>
        <v>33</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f ca="1">SUMIFS('Tổng Đơn'!$F:$F,'Tổng Đơn'!$B:$B,$C8)</f>
        <v>2</v>
      </c>
      <c r="AN8" s="104">
        <v>0</v>
      </c>
      <c r="AO8" s="104">
        <v>0</v>
      </c>
      <c r="AP8" s="104">
        <v>0</v>
      </c>
      <c r="AQ8" s="104">
        <v>0</v>
      </c>
      <c r="AR8" s="104">
        <v>0</v>
      </c>
      <c r="AS8" s="104">
        <v>0</v>
      </c>
      <c r="AT8" s="104">
        <v>0</v>
      </c>
      <c r="AU8" s="104">
        <v>0</v>
      </c>
      <c r="AV8" s="104">
        <v>0</v>
      </c>
      <c r="AW8" s="89">
        <v>40</v>
      </c>
      <c r="AX8" s="89">
        <f t="shared" si="6"/>
        <v>1200</v>
      </c>
    </row>
    <row r="9" spans="1:50" ht="18.75" x14ac:dyDescent="0.25">
      <c r="A9" s="89">
        <f t="shared" ca="1" si="2"/>
        <v>906.51614663877012</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6800</v>
      </c>
      <c r="O9" s="98">
        <f t="shared" ca="1" si="11"/>
        <v>26</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f ca="1">SUMIFS('Tổng Đơn'!$F:$F,'Tổng Đơn'!$B:$B,$C9)</f>
        <v>3</v>
      </c>
      <c r="AN9" s="104">
        <v>0</v>
      </c>
      <c r="AO9" s="104">
        <v>0</v>
      </c>
      <c r="AP9" s="104">
        <v>0</v>
      </c>
      <c r="AQ9" s="104">
        <v>0</v>
      </c>
      <c r="AR9" s="104">
        <v>0</v>
      </c>
      <c r="AS9" s="104">
        <v>0</v>
      </c>
      <c r="AT9" s="104">
        <v>0</v>
      </c>
      <c r="AU9" s="104">
        <v>0</v>
      </c>
      <c r="AV9" s="104">
        <v>0</v>
      </c>
      <c r="AW9" s="89">
        <v>60</v>
      </c>
      <c r="AX9" s="89">
        <f t="shared" si="6"/>
        <v>2040</v>
      </c>
    </row>
    <row r="10" spans="1:50" ht="18.75" x14ac:dyDescent="0.25">
      <c r="A10" s="89">
        <f t="shared" ca="1" si="2"/>
        <v>881.90484853997998</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2750</v>
      </c>
      <c r="O10" s="98">
        <f t="shared" ca="1" si="11"/>
        <v>20</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f ca="1">SUMIFS('Tổng Đơn'!$F:$F,'Tổng Đơn'!$B:$B,$C10)</f>
        <v>0</v>
      </c>
      <c r="AN10" s="104">
        <v>0</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f ca="1">SUMIFS('Tổng Đơn'!$F:$F,'Tổng Đơn'!$B:$B,$C11)</f>
        <v>0</v>
      </c>
      <c r="AN11" s="104">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f ca="1">SUMIFS('Tổng Đơn'!$F:$F,'Tổng Đơn'!$B:$B,$C12)</f>
        <v>0</v>
      </c>
      <c r="AN12" s="104">
        <v>0</v>
      </c>
      <c r="AO12" s="104">
        <v>0</v>
      </c>
      <c r="AP12" s="104">
        <v>0</v>
      </c>
      <c r="AQ12" s="104">
        <v>0</v>
      </c>
      <c r="AR12" s="104">
        <v>0</v>
      </c>
      <c r="AS12" s="104">
        <v>0</v>
      </c>
      <c r="AT12" s="104">
        <v>0</v>
      </c>
      <c r="AU12" s="104">
        <v>0</v>
      </c>
      <c r="AV12" s="104">
        <v>0</v>
      </c>
      <c r="AX12" s="89">
        <f t="shared" si="6"/>
        <v>0</v>
      </c>
    </row>
    <row r="13" spans="1:50" ht="18.75" x14ac:dyDescent="0.25">
      <c r="A13" s="89">
        <f t="shared" ca="1" si="2"/>
        <v>958.81515509869917</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4730</v>
      </c>
      <c r="O13" s="98">
        <f t="shared" ca="1" si="11"/>
        <v>22</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f ca="1">SUMIFS('Tổng Đơn'!$F:$F,'Tổng Đơn'!$B:$B,$C13)</f>
        <v>1</v>
      </c>
      <c r="AN13" s="104">
        <v>0</v>
      </c>
      <c r="AO13" s="104">
        <v>0</v>
      </c>
      <c r="AP13" s="104">
        <v>0</v>
      </c>
      <c r="AQ13" s="104">
        <v>0</v>
      </c>
      <c r="AR13" s="104">
        <v>0</v>
      </c>
      <c r="AS13" s="104">
        <v>0</v>
      </c>
      <c r="AT13" s="104">
        <v>0</v>
      </c>
      <c r="AU13" s="104">
        <v>0</v>
      </c>
      <c r="AV13" s="104">
        <v>0</v>
      </c>
      <c r="AW13" s="89">
        <v>40</v>
      </c>
      <c r="AX13" s="89">
        <f t="shared" si="6"/>
        <v>1700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f ca="1">SUMIFS('Tổng Đơn'!$F:$F,'Tổng Đơn'!$B:$B,$C14)</f>
        <v>0</v>
      </c>
      <c r="AN14" s="104">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f ca="1">SUMIFS('Tổng Đơn'!$F:$F,'Tổng Đơn'!$B:$B,$C15)</f>
        <v>0</v>
      </c>
      <c r="AN15" s="104">
        <v>0</v>
      </c>
      <c r="AO15" s="104">
        <v>0</v>
      </c>
      <c r="AP15" s="104">
        <v>0</v>
      </c>
      <c r="AQ15" s="104">
        <v>0</v>
      </c>
      <c r="AR15" s="104">
        <v>0</v>
      </c>
      <c r="AS15" s="104">
        <v>0</v>
      </c>
      <c r="AT15" s="104">
        <v>0</v>
      </c>
      <c r="AU15" s="104">
        <v>0</v>
      </c>
      <c r="AV15" s="104">
        <v>0</v>
      </c>
      <c r="AX15" s="89">
        <f t="shared" si="6"/>
        <v>0</v>
      </c>
    </row>
    <row r="16" spans="1:50" ht="18.75" x14ac:dyDescent="0.25">
      <c r="A16" s="89">
        <f t="shared" ca="1" si="2"/>
        <v>588.6202128627308</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f ca="1">SUMIFS('Tổng Đơn'!$F:$F,'Tổng Đơn'!$B:$B,$C16)</f>
        <v>1</v>
      </c>
      <c r="AN16" s="104">
        <v>0</v>
      </c>
      <c r="AO16" s="104">
        <v>0</v>
      </c>
      <c r="AP16" s="104">
        <v>0</v>
      </c>
      <c r="AQ16" s="104">
        <v>0</v>
      </c>
      <c r="AR16" s="104">
        <v>0</v>
      </c>
      <c r="AS16" s="104">
        <v>0</v>
      </c>
      <c r="AT16" s="104">
        <v>0</v>
      </c>
      <c r="AU16" s="104">
        <v>0</v>
      </c>
      <c r="AV16" s="104">
        <v>0</v>
      </c>
      <c r="AX16" s="89">
        <f t="shared" si="6"/>
        <v>0</v>
      </c>
    </row>
    <row r="17" spans="1:50" ht="18.75" x14ac:dyDescent="0.25">
      <c r="A17" s="89">
        <f t="shared" ca="1" si="2"/>
        <v>840.88601837532974</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1960</v>
      </c>
      <c r="O17" s="98">
        <f t="shared" ca="1" si="11"/>
        <v>40</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f ca="1">SUMIFS('Tổng Đơn'!$F:$F,'Tổng Đơn'!$B:$B,$C17)</f>
        <v>0</v>
      </c>
      <c r="AN17" s="104">
        <v>0</v>
      </c>
      <c r="AO17" s="104">
        <v>0</v>
      </c>
      <c r="AP17" s="104">
        <v>0</v>
      </c>
      <c r="AQ17" s="104">
        <v>0</v>
      </c>
      <c r="AR17" s="104">
        <v>0</v>
      </c>
      <c r="AS17" s="104">
        <v>0</v>
      </c>
      <c r="AT17" s="104">
        <v>0</v>
      </c>
      <c r="AU17" s="104">
        <v>0</v>
      </c>
      <c r="AV17" s="104">
        <v>0</v>
      </c>
      <c r="AX17" s="89">
        <f t="shared" si="6"/>
        <v>0</v>
      </c>
    </row>
    <row r="18" spans="1:50" ht="18.75" x14ac:dyDescent="0.25">
      <c r="A18" s="89">
        <f t="shared" ca="1" si="2"/>
        <v>197.40312016737923</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8679</v>
      </c>
      <c r="O18" s="98">
        <f t="shared" ca="1" si="11"/>
        <v>7</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2</v>
      </c>
      <c r="AL18" s="91">
        <v>1</v>
      </c>
      <c r="AM18" s="91">
        <f ca="1">SUMIFS('Tổng Đơn'!$F:$F,'Tổng Đơn'!$B:$B,$C18)</f>
        <v>1</v>
      </c>
      <c r="AN18" s="104">
        <v>0</v>
      </c>
      <c r="AO18" s="104">
        <v>0</v>
      </c>
      <c r="AP18" s="104">
        <v>0</v>
      </c>
      <c r="AQ18" s="104">
        <v>0</v>
      </c>
      <c r="AR18" s="104">
        <v>0</v>
      </c>
      <c r="AS18" s="104">
        <v>0</v>
      </c>
      <c r="AT18" s="104">
        <v>0</v>
      </c>
      <c r="AU18" s="104">
        <v>0</v>
      </c>
      <c r="AV18" s="104">
        <v>0</v>
      </c>
      <c r="AW18" s="89">
        <v>50</v>
      </c>
      <c r="AX18" s="89">
        <f t="shared" si="6"/>
        <v>1375</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f ca="1">SUMIFS('Tổng Đơn'!$F:$F,'Tổng Đơn'!$B:$B,$C19)</f>
        <v>0</v>
      </c>
      <c r="AN19" s="104">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f ca="1">SUMIFS('Tổng Đơn'!$F:$F,'Tổng Đơn'!$B:$B,$C20)</f>
        <v>0</v>
      </c>
      <c r="AN20" s="104">
        <v>0</v>
      </c>
      <c r="AO20" s="104">
        <v>0</v>
      </c>
      <c r="AP20" s="104">
        <v>0</v>
      </c>
      <c r="AQ20" s="104">
        <v>0</v>
      </c>
      <c r="AR20" s="104">
        <v>0</v>
      </c>
      <c r="AS20" s="104">
        <v>0</v>
      </c>
      <c r="AT20" s="104">
        <v>0</v>
      </c>
      <c r="AU20" s="104">
        <v>0</v>
      </c>
      <c r="AV20" s="104">
        <v>0</v>
      </c>
      <c r="AX20" s="89">
        <f t="shared" si="6"/>
        <v>0</v>
      </c>
    </row>
    <row r="21" spans="1:50" ht="18.75" x14ac:dyDescent="0.25">
      <c r="A21" s="89">
        <f t="shared" ca="1" si="2"/>
        <v>1653.0588556354044</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3320</v>
      </c>
      <c r="O21" s="98">
        <f t="shared" ca="1" si="11"/>
        <v>52</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f ca="1">SUMIFS('Tổng Đơn'!$F:$F,'Tổng Đơn'!$B:$B,$C21)</f>
        <v>1</v>
      </c>
      <c r="AN21" s="104">
        <v>0</v>
      </c>
      <c r="AO21" s="104">
        <v>0</v>
      </c>
      <c r="AP21" s="104">
        <v>0</v>
      </c>
      <c r="AQ21" s="104">
        <v>0</v>
      </c>
      <c r="AR21" s="104">
        <v>0</v>
      </c>
      <c r="AS21" s="104">
        <v>0</v>
      </c>
      <c r="AT21" s="104">
        <v>0</v>
      </c>
      <c r="AU21" s="104">
        <v>0</v>
      </c>
      <c r="AV21" s="104">
        <v>0</v>
      </c>
      <c r="AX21" s="89">
        <f t="shared" si="6"/>
        <v>0</v>
      </c>
    </row>
    <row r="22" spans="1:50" ht="18.75" x14ac:dyDescent="0.25">
      <c r="A22" s="89">
        <f t="shared" ca="1" si="2"/>
        <v>242.52383334849449</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490</v>
      </c>
      <c r="O22" s="98">
        <f t="shared" ca="1" si="11"/>
        <v>11</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f ca="1">SUMIFS('Tổng Đơn'!$F:$F,'Tổng Đơn'!$B:$B,$C22)</f>
        <v>0</v>
      </c>
      <c r="AN22" s="104">
        <v>0</v>
      </c>
      <c r="AO22" s="104">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f ca="1">SUMIFS('Tổng Đơn'!$F:$F,'Tổng Đơn'!$B:$B,$C23)</f>
        <v>0</v>
      </c>
      <c r="AN23" s="104">
        <v>0</v>
      </c>
      <c r="AO23" s="104">
        <v>0</v>
      </c>
      <c r="AP23" s="104">
        <v>0</v>
      </c>
      <c r="AQ23" s="104">
        <v>0</v>
      </c>
      <c r="AR23" s="104">
        <v>0</v>
      </c>
      <c r="AS23" s="104">
        <v>0</v>
      </c>
      <c r="AT23" s="104">
        <v>0</v>
      </c>
      <c r="AU23" s="104">
        <v>0</v>
      </c>
      <c r="AV23" s="104">
        <v>0</v>
      </c>
      <c r="AX23" s="89">
        <f t="shared" si="6"/>
        <v>0</v>
      </c>
    </row>
    <row r="24" spans="1:50" ht="18.75" x14ac:dyDescent="0.25">
      <c r="A24" s="89">
        <f t="shared" ca="1" si="2"/>
        <v>399.93359410533975</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45</v>
      </c>
      <c r="M24" s="94">
        <f t="shared" si="15"/>
        <v>2925</v>
      </c>
      <c r="N24" s="94">
        <f t="shared" ca="1" si="10"/>
        <v>2475</v>
      </c>
      <c r="O24" s="98">
        <f t="shared" ca="1" si="11"/>
        <v>10</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f ca="1">SUMIFS('Tổng Đơn'!$F:$F,'Tổng Đơn'!$B:$B,$C24)</f>
        <v>2</v>
      </c>
      <c r="AN24" s="104">
        <v>0</v>
      </c>
      <c r="AO24" s="104">
        <v>0</v>
      </c>
      <c r="AP24" s="104">
        <v>0</v>
      </c>
      <c r="AQ24" s="104">
        <v>0</v>
      </c>
      <c r="AR24" s="104">
        <v>0</v>
      </c>
      <c r="AS24" s="104">
        <v>0</v>
      </c>
      <c r="AT24" s="104">
        <v>0</v>
      </c>
      <c r="AU24" s="104">
        <v>0</v>
      </c>
      <c r="AV24" s="104">
        <v>0</v>
      </c>
      <c r="AW24" s="89">
        <v>30</v>
      </c>
      <c r="AX24" s="89">
        <f t="shared" si="6"/>
        <v>1170</v>
      </c>
    </row>
    <row r="25" spans="1:50" ht="18.75" x14ac:dyDescent="0.25">
      <c r="A25" s="89">
        <f t="shared" ca="1" si="2"/>
        <v>1263.8927044482855</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3120</v>
      </c>
      <c r="O25" s="98">
        <f t="shared" ca="1" si="11"/>
        <v>17</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f ca="1">SUMIFS('Tổng Đơn'!$F:$F,'Tổng Đơn'!$B:$B,$C25)</f>
        <v>4</v>
      </c>
      <c r="AN25" s="104">
        <v>0</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531.19385063222046</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1890</v>
      </c>
      <c r="O26" s="98">
        <f t="shared" ca="1" si="11"/>
        <v>14</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f ca="1">SUMIFS('Tổng Đơn'!$F:$F,'Tổng Đơn'!$B:$B,$C26)</f>
        <v>1</v>
      </c>
      <c r="AN26" s="104">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f ca="1">SUMIFS('Tổng Đơn'!$F:$F,'Tổng Đơn'!$B:$B,$C27)</f>
        <v>0</v>
      </c>
      <c r="AN27" s="104">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f ca="1">SUMIFS('Tổng Đơn'!$F:$F,'Tổng Đơn'!$B:$B,$C28)</f>
        <v>0</v>
      </c>
      <c r="AN28" s="104">
        <v>0</v>
      </c>
      <c r="AO28" s="104">
        <v>0</v>
      </c>
      <c r="AP28" s="104">
        <v>0</v>
      </c>
      <c r="AQ28" s="104">
        <v>0</v>
      </c>
      <c r="AR28" s="104">
        <v>0</v>
      </c>
      <c r="AS28" s="104">
        <v>0</v>
      </c>
      <c r="AT28" s="104">
        <v>0</v>
      </c>
      <c r="AU28" s="104">
        <v>0</v>
      </c>
      <c r="AV28" s="104">
        <v>0</v>
      </c>
      <c r="AX28" s="89">
        <f t="shared" si="6"/>
        <v>0</v>
      </c>
    </row>
    <row r="29" spans="1:50" ht="18.75" x14ac:dyDescent="0.25">
      <c r="A29" s="89">
        <f t="shared" ca="1" si="2"/>
        <v>1351.057718548167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893</v>
      </c>
      <c r="O29" s="98">
        <f t="shared" ref="O29:O32" ca="1" si="28">F29-SUM(Q29:AV29)-P29</f>
        <v>31</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f ca="1">SUMIFS('Tổng Đơn'!$F:$F,'Tổng Đơn'!$B:$B,$C29)</f>
        <v>1</v>
      </c>
      <c r="AN29" s="104">
        <v>0</v>
      </c>
      <c r="AO29" s="104">
        <v>0</v>
      </c>
      <c r="AP29" s="104">
        <v>0</v>
      </c>
      <c r="AQ29" s="104">
        <v>0</v>
      </c>
      <c r="AR29" s="104">
        <v>0</v>
      </c>
      <c r="AS29" s="104">
        <v>0</v>
      </c>
      <c r="AT29" s="104">
        <v>0</v>
      </c>
      <c r="AU29" s="104">
        <v>0</v>
      </c>
      <c r="AV29" s="104">
        <v>0</v>
      </c>
      <c r="AX29" s="89">
        <f t="shared" si="6"/>
        <v>0</v>
      </c>
    </row>
    <row r="30" spans="1:50" ht="18.75" x14ac:dyDescent="0.25">
      <c r="A30" s="89">
        <f t="shared" ca="1" si="2"/>
        <v>758.33562266897115</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f ca="1">SUMIFS('Tổng Đơn'!$F:$F,'Tổng Đơn'!$B:$B,$C30)</f>
        <v>0</v>
      </c>
      <c r="AN30" s="104">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104"/>
      <c r="AO31" s="104"/>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104"/>
      <c r="AO32" s="104"/>
      <c r="AP32" s="104"/>
      <c r="AQ32" s="104"/>
      <c r="AR32" s="104"/>
      <c r="AS32" s="104"/>
      <c r="AT32" s="104"/>
      <c r="AU32" s="104"/>
      <c r="AV32" s="104"/>
      <c r="AX32" s="89">
        <f t="shared" si="6"/>
        <v>0</v>
      </c>
    </row>
  </sheetData>
  <autoFilter ref="B4:AW32"/>
  <mergeCells count="1">
    <mergeCell ref="B1:M1"/>
  </mergeCells>
  <conditionalFormatting sqref="C6:C19">
    <cfRule type="expression" dxfId="562" priority="19">
      <formula>($O6/$O6)&lt;=1/4</formula>
    </cfRule>
  </conditionalFormatting>
  <conditionalFormatting sqref="C20">
    <cfRule type="expression" dxfId="561" priority="18">
      <formula>($O20/$O20)&lt;=1/4</formula>
    </cfRule>
  </conditionalFormatting>
  <conditionalFormatting sqref="C21">
    <cfRule type="expression" dxfId="560" priority="16">
      <formula>($O21/$O21)&lt;=1/4</formula>
    </cfRule>
  </conditionalFormatting>
  <conditionalFormatting sqref="C22">
    <cfRule type="expression" dxfId="559" priority="14">
      <formula>($O22/$O22)&lt;=1/4</formula>
    </cfRule>
  </conditionalFormatting>
  <conditionalFormatting sqref="C23">
    <cfRule type="expression" dxfId="558" priority="12">
      <formula>($O23/$O23)&lt;=1/4</formula>
    </cfRule>
  </conditionalFormatting>
  <conditionalFormatting sqref="C24:C25">
    <cfRule type="expression" dxfId="557" priority="10">
      <formula>($O24/$O24)&lt;=1/4</formula>
    </cfRule>
  </conditionalFormatting>
  <conditionalFormatting sqref="C26">
    <cfRule type="expression" dxfId="556" priority="8">
      <formula>($O26/$O26)&lt;=1/4</formula>
    </cfRule>
  </conditionalFormatting>
  <conditionalFormatting sqref="C27:C28">
    <cfRule type="expression" dxfId="555" priority="6">
      <formula>($O27/$O27)&lt;=1/4</formula>
    </cfRule>
  </conditionalFormatting>
  <conditionalFormatting sqref="C5:C28">
    <cfRule type="expression" dxfId="554" priority="20">
      <formula>($O5/$F5)&lt;=1/4</formula>
    </cfRule>
  </conditionalFormatting>
  <conditionalFormatting sqref="C29">
    <cfRule type="expression" dxfId="553" priority="3">
      <formula>($O29/$O29)&lt;=1/4</formula>
    </cfRule>
  </conditionalFormatting>
  <conditionalFormatting sqref="C29">
    <cfRule type="expression" dxfId="552" priority="4">
      <formula>($O29/$F29)&lt;=1/4</formula>
    </cfRule>
  </conditionalFormatting>
  <conditionalFormatting sqref="C30:C32">
    <cfRule type="expression" dxfId="551" priority="1">
      <formula>($O30/$O30)&lt;=1/4</formula>
    </cfRule>
  </conditionalFormatting>
  <conditionalFormatting sqref="C30:C32">
    <cfRule type="expression" dxfId="550"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8" t="s">
        <v>66</v>
      </c>
      <c r="B1" s="218"/>
      <c r="C1" s="218"/>
      <c r="E1" s="218" t="s">
        <v>66</v>
      </c>
      <c r="F1" s="218"/>
      <c r="G1" s="21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workbookViewId="0">
      <selection activeCell="I16" sqref="I16"/>
    </sheetView>
  </sheetViews>
  <sheetFormatPr defaultRowHeight="15" x14ac:dyDescent="0.25"/>
  <cols>
    <col min="1" max="1" width="19"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601</v>
      </c>
      <c r="C1" s="53"/>
      <c r="D1" s="203">
        <f>SUBTOTAL(9,D2:D182)</f>
        <v>28729</v>
      </c>
      <c r="G1" s="113" t="s">
        <v>153</v>
      </c>
      <c r="H1" s="169">
        <f>60000+6217+H4+H5</f>
        <v>111017</v>
      </c>
      <c r="I1" s="114">
        <f>H1-H2-H3</f>
        <v>-75203</v>
      </c>
      <c r="J1" s="121" t="s">
        <v>151</v>
      </c>
      <c r="L1" s="15" t="s">
        <v>214</v>
      </c>
      <c r="M1" s="15">
        <v>55</v>
      </c>
      <c r="N1" s="15">
        <v>30</v>
      </c>
      <c r="O1" s="15">
        <f>M1*N1*0.9</f>
        <v>1485</v>
      </c>
      <c r="P1" s="15">
        <f>N1*70</f>
        <v>2100</v>
      </c>
      <c r="Q1" s="14"/>
    </row>
    <row r="2" spans="1:17" ht="27.75" customHeight="1" x14ac:dyDescent="0.25">
      <c r="G2" s="124" t="s">
        <v>150</v>
      </c>
      <c r="H2" s="115">
        <f>D1</f>
        <v>28729</v>
      </c>
      <c r="I2" s="116">
        <v>-9160</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157491</v>
      </c>
      <c r="I3" s="118">
        <f>I1+I2</f>
        <v>-84363</v>
      </c>
      <c r="J3" s="122" t="s">
        <v>149</v>
      </c>
      <c r="L3" s="15" t="s">
        <v>216</v>
      </c>
      <c r="M3" s="15">
        <v>46</v>
      </c>
      <c r="N3" s="15">
        <v>30</v>
      </c>
      <c r="O3" s="15">
        <f t="shared" si="0"/>
        <v>1380</v>
      </c>
      <c r="P3" s="15">
        <f>N3*60</f>
        <v>1800</v>
      </c>
      <c r="Q3" s="14"/>
    </row>
    <row r="4" spans="1:17" ht="27.75" customHeight="1" x14ac:dyDescent="0.25">
      <c r="G4" s="119" t="s">
        <v>204</v>
      </c>
      <c r="H4" s="163">
        <v>35000</v>
      </c>
      <c r="I4" s="120">
        <f ca="1">INT('Quốc Nhân'!K4+'La Cusina'!K4+TVP!J4+Gà!K4+Kitkool!K4-('Quốc Nhân'!A4+'La Cusina'!A4+TVP!A4+Gà!A4+Kitkool!A4))</f>
        <v>97124</v>
      </c>
      <c r="J4" s="123" t="s">
        <v>159</v>
      </c>
      <c r="L4" s="15" t="s">
        <v>217</v>
      </c>
      <c r="M4" s="15"/>
      <c r="N4" s="15"/>
      <c r="O4" s="15">
        <f>221+140</f>
        <v>361</v>
      </c>
      <c r="P4" s="15"/>
      <c r="Q4" s="14"/>
    </row>
    <row r="5" spans="1:17" ht="27.75" customHeight="1" x14ac:dyDescent="0.25">
      <c r="G5" s="119" t="s">
        <v>201</v>
      </c>
      <c r="H5" s="163">
        <f>7400+2400</f>
        <v>9800</v>
      </c>
      <c r="I5" s="125">
        <f ca="1">I4+I3</f>
        <v>12761</v>
      </c>
      <c r="J5" s="126" t="s">
        <v>160</v>
      </c>
      <c r="L5" s="15"/>
      <c r="M5" s="15"/>
      <c r="N5" s="15"/>
      <c r="O5" s="15">
        <f>SUM(O1:O4)</f>
        <v>3841</v>
      </c>
      <c r="P5" s="15">
        <f>SUM(P1:P3)</f>
        <v>4575</v>
      </c>
      <c r="Q5" s="177">
        <f>P5-O5</f>
        <v>734</v>
      </c>
    </row>
    <row r="6" spans="1:17" x14ac:dyDescent="0.25">
      <c r="A6" t="s">
        <v>236</v>
      </c>
      <c r="B6">
        <v>200</v>
      </c>
      <c r="C6" t="s">
        <v>128</v>
      </c>
      <c r="D6">
        <v>400</v>
      </c>
      <c r="E6" t="s">
        <v>129</v>
      </c>
      <c r="H6" s="168"/>
      <c r="L6" s="14"/>
      <c r="M6" s="14"/>
      <c r="N6" s="14"/>
      <c r="O6" s="14"/>
      <c r="P6" s="14"/>
      <c r="Q6" s="14"/>
    </row>
    <row r="7" spans="1:17" x14ac:dyDescent="0.25">
      <c r="A7" t="s">
        <v>237</v>
      </c>
      <c r="C7" t="s">
        <v>130</v>
      </c>
      <c r="D7">
        <v>1000</v>
      </c>
      <c r="E7" t="s">
        <v>129</v>
      </c>
      <c r="I7" s="127"/>
      <c r="J7" s="127"/>
      <c r="L7" s="14"/>
      <c r="M7" s="14"/>
      <c r="N7" s="14"/>
      <c r="O7" s="14"/>
      <c r="P7" s="14"/>
      <c r="Q7" s="14"/>
    </row>
    <row r="8" spans="1:17" x14ac:dyDescent="0.25">
      <c r="A8" t="s">
        <v>238</v>
      </c>
      <c r="C8" t="s">
        <v>131</v>
      </c>
      <c r="D8">
        <v>80</v>
      </c>
      <c r="E8" t="s">
        <v>129</v>
      </c>
      <c r="H8" s="127"/>
      <c r="I8" s="127"/>
      <c r="J8" s="127"/>
      <c r="L8" s="14"/>
      <c r="M8" s="14"/>
      <c r="N8" s="14"/>
      <c r="O8" s="14"/>
      <c r="P8" s="14"/>
      <c r="Q8" s="14"/>
    </row>
    <row r="9" spans="1:17" x14ac:dyDescent="0.25">
      <c r="A9" t="s">
        <v>265</v>
      </c>
      <c r="B9">
        <v>300</v>
      </c>
      <c r="C9" t="s">
        <v>132</v>
      </c>
      <c r="D9">
        <v>145</v>
      </c>
      <c r="E9" t="s">
        <v>133</v>
      </c>
      <c r="G9" s="127"/>
      <c r="H9" s="127"/>
      <c r="I9" s="127"/>
      <c r="J9" s="127"/>
    </row>
    <row r="10" spans="1:17" x14ac:dyDescent="0.25">
      <c r="A10" t="s">
        <v>266</v>
      </c>
      <c r="B10">
        <f>45+56</f>
        <v>101</v>
      </c>
      <c r="C10" t="s">
        <v>134</v>
      </c>
      <c r="D10">
        <v>800</v>
      </c>
      <c r="E10" t="s">
        <v>133</v>
      </c>
      <c r="I10" s="127"/>
      <c r="J10" s="127"/>
    </row>
    <row r="11" spans="1:17" x14ac:dyDescent="0.25">
      <c r="C11" t="s">
        <v>135</v>
      </c>
      <c r="D11">
        <v>1500</v>
      </c>
      <c r="E11" t="s">
        <v>133</v>
      </c>
      <c r="I11" s="127"/>
      <c r="J11" s="127"/>
    </row>
    <row r="12" spans="1:17" x14ac:dyDescent="0.25">
      <c r="C12" t="s">
        <v>155</v>
      </c>
      <c r="D12">
        <v>160</v>
      </c>
      <c r="E12" t="s">
        <v>133</v>
      </c>
      <c r="I12" s="127"/>
      <c r="J12" s="127"/>
      <c r="L12">
        <f>46+40+160+42+42+45</f>
        <v>375</v>
      </c>
    </row>
    <row r="13" spans="1:17" x14ac:dyDescent="0.25">
      <c r="C13" t="s">
        <v>170</v>
      </c>
      <c r="D13">
        <v>42</v>
      </c>
      <c r="E13" t="s">
        <v>133</v>
      </c>
      <c r="J13" s="127"/>
    </row>
    <row r="14" spans="1:17" x14ac:dyDescent="0.25">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45+65+130+25</f>
        <v>265</v>
      </c>
      <c r="E17" t="s">
        <v>133</v>
      </c>
    </row>
    <row r="18" spans="3:5" x14ac:dyDescent="0.25">
      <c r="C18" s="148" t="s">
        <v>218</v>
      </c>
      <c r="D18" s="148">
        <v>15300</v>
      </c>
      <c r="E18" t="s">
        <v>204</v>
      </c>
    </row>
    <row r="19" spans="3:5" x14ac:dyDescent="0.25">
      <c r="C19" t="s">
        <v>228</v>
      </c>
      <c r="D19">
        <v>50</v>
      </c>
      <c r="E19" t="s">
        <v>133</v>
      </c>
    </row>
    <row r="20" spans="3:5" x14ac:dyDescent="0.25">
      <c r="C20" t="s">
        <v>211</v>
      </c>
      <c r="D20">
        <f>774+503</f>
        <v>1277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13" t="s">
        <v>106</v>
      </c>
      <c r="M1" s="213" t="s">
        <v>107</v>
      </c>
      <c r="N1" s="213" t="s">
        <v>17</v>
      </c>
      <c r="O1" s="213"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10">
        <v>1</v>
      </c>
      <c r="M2" s="210" t="s">
        <v>108</v>
      </c>
      <c r="N2" s="214" t="s">
        <v>25</v>
      </c>
      <c r="O2" s="212">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10">
        <v>2</v>
      </c>
      <c r="M3" s="210" t="s">
        <v>109</v>
      </c>
      <c r="N3" s="214" t="s">
        <v>1</v>
      </c>
      <c r="O3" s="212">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10">
        <v>3</v>
      </c>
      <c r="M4" s="210" t="s">
        <v>110</v>
      </c>
      <c r="N4" s="214" t="s">
        <v>2</v>
      </c>
      <c r="O4" s="212">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10">
        <v>4</v>
      </c>
      <c r="M5" s="211" t="s">
        <v>111</v>
      </c>
      <c r="N5" s="214" t="s">
        <v>3</v>
      </c>
      <c r="O5" s="212">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10">
        <v>5</v>
      </c>
      <c r="M6" s="211" t="s">
        <v>112</v>
      </c>
      <c r="N6" s="214" t="s">
        <v>30</v>
      </c>
      <c r="O6" s="212">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10">
        <v>6</v>
      </c>
      <c r="M7" s="211" t="s">
        <v>113</v>
      </c>
      <c r="N7" s="214" t="s">
        <v>28</v>
      </c>
      <c r="O7" s="212">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10">
        <v>7</v>
      </c>
      <c r="M8" s="211" t="s">
        <v>114</v>
      </c>
      <c r="N8" s="214" t="s">
        <v>26</v>
      </c>
      <c r="O8" s="212">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10">
        <v>8</v>
      </c>
      <c r="M9" s="211" t="s">
        <v>115</v>
      </c>
      <c r="N9" s="214" t="s">
        <v>61</v>
      </c>
      <c r="O9" s="212">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10">
        <v>9</v>
      </c>
      <c r="M10" s="211" t="s">
        <v>116</v>
      </c>
      <c r="N10" s="214" t="s">
        <v>161</v>
      </c>
      <c r="O10" s="212">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10">
        <v>10</v>
      </c>
      <c r="M11" s="211" t="s">
        <v>69</v>
      </c>
      <c r="N11" s="214" t="s">
        <v>6</v>
      </c>
      <c r="O11" s="212">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10">
        <v>11</v>
      </c>
      <c r="M12" s="211" t="s">
        <v>70</v>
      </c>
      <c r="N12" s="214" t="s">
        <v>58</v>
      </c>
      <c r="O12" s="212">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10">
        <v>12</v>
      </c>
      <c r="M13" s="211" t="s">
        <v>71</v>
      </c>
      <c r="N13" s="214" t="s">
        <v>35</v>
      </c>
      <c r="O13" s="212">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10">
        <v>13</v>
      </c>
      <c r="M14" s="211" t="s">
        <v>72</v>
      </c>
      <c r="N14" s="214" t="s">
        <v>32</v>
      </c>
      <c r="O14" s="212">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10">
        <v>14</v>
      </c>
      <c r="M15" s="211" t="s">
        <v>73</v>
      </c>
      <c r="N15" s="214" t="s">
        <v>34</v>
      </c>
      <c r="O15" s="212">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10">
        <v>15</v>
      </c>
      <c r="M16" s="211" t="s">
        <v>74</v>
      </c>
      <c r="N16" s="214" t="s">
        <v>33</v>
      </c>
      <c r="O16" s="212">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10">
        <v>16</v>
      </c>
      <c r="M17" s="211" t="s">
        <v>75</v>
      </c>
      <c r="N17" s="214" t="s">
        <v>5</v>
      </c>
      <c r="O17" s="212">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10">
        <v>17</v>
      </c>
      <c r="M18" s="211" t="s">
        <v>76</v>
      </c>
      <c r="N18" s="214" t="s">
        <v>4</v>
      </c>
      <c r="O18" s="212">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10">
        <v>18</v>
      </c>
      <c r="M19" s="211" t="s">
        <v>77</v>
      </c>
      <c r="N19" s="214" t="s">
        <v>9</v>
      </c>
      <c r="O19" s="212">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10">
        <v>19</v>
      </c>
      <c r="M20" s="211" t="s">
        <v>78</v>
      </c>
      <c r="N20" s="214" t="s">
        <v>13</v>
      </c>
      <c r="O20" s="212">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10">
        <v>20</v>
      </c>
      <c r="M21" s="211" t="s">
        <v>79</v>
      </c>
      <c r="N21" s="214" t="s">
        <v>12</v>
      </c>
      <c r="O21" s="212">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10">
        <v>21</v>
      </c>
      <c r="M22" s="211" t="s">
        <v>80</v>
      </c>
      <c r="N22" s="214" t="s">
        <v>14</v>
      </c>
      <c r="O22" s="212">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10">
        <v>22</v>
      </c>
      <c r="M23" s="211" t="s">
        <v>81</v>
      </c>
      <c r="N23" s="214" t="s">
        <v>7</v>
      </c>
      <c r="O23" s="212">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10">
        <v>23</v>
      </c>
      <c r="M24" s="211" t="s">
        <v>82</v>
      </c>
      <c r="N24" s="214" t="s">
        <v>8</v>
      </c>
      <c r="O24" s="212">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10">
        <v>24</v>
      </c>
      <c r="M25" s="211" t="s">
        <v>83</v>
      </c>
      <c r="N25" s="214" t="s">
        <v>27</v>
      </c>
      <c r="O25" s="212">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10">
        <v>25</v>
      </c>
      <c r="M26" s="211" t="s">
        <v>84</v>
      </c>
      <c r="N26" s="214" t="s">
        <v>68</v>
      </c>
      <c r="O26" s="212">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10">
        <v>26</v>
      </c>
      <c r="M27" s="211" t="s">
        <v>85</v>
      </c>
      <c r="N27" s="214" t="s">
        <v>29</v>
      </c>
      <c r="O27" s="212">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10">
        <v>27</v>
      </c>
      <c r="M28" s="211" t="s">
        <v>86</v>
      </c>
      <c r="N28" s="214" t="s">
        <v>15</v>
      </c>
      <c r="O28" s="212">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10">
        <v>28</v>
      </c>
      <c r="M29" s="211" t="s">
        <v>87</v>
      </c>
      <c r="N29" s="214" t="s">
        <v>10</v>
      </c>
      <c r="O29" s="212">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10">
        <v>29</v>
      </c>
      <c r="M30" s="211" t="s">
        <v>88</v>
      </c>
      <c r="N30" s="214" t="s">
        <v>38</v>
      </c>
      <c r="O30" s="212">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10">
        <v>30</v>
      </c>
      <c r="M31" s="211" t="s">
        <v>89</v>
      </c>
      <c r="N31" s="214" t="s">
        <v>39</v>
      </c>
      <c r="O31" s="212">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10">
        <v>31</v>
      </c>
      <c r="M32" s="211" t="s">
        <v>90</v>
      </c>
      <c r="N32" s="214" t="s">
        <v>67</v>
      </c>
      <c r="O32" s="212">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10">
        <v>32</v>
      </c>
      <c r="M33" s="211" t="s">
        <v>91</v>
      </c>
      <c r="N33" s="214" t="s">
        <v>40</v>
      </c>
      <c r="O33" s="212">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10">
        <v>33</v>
      </c>
      <c r="M34" s="211" t="s">
        <v>92</v>
      </c>
      <c r="N34" s="214" t="s">
        <v>41</v>
      </c>
      <c r="O34" s="212">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10">
        <v>34</v>
      </c>
      <c r="M35" s="211" t="s">
        <v>93</v>
      </c>
      <c r="N35" s="214" t="s">
        <v>42</v>
      </c>
      <c r="O35" s="212">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10">
        <v>35</v>
      </c>
      <c r="M36" s="211" t="s">
        <v>94</v>
      </c>
      <c r="N36" s="214" t="s">
        <v>43</v>
      </c>
      <c r="O36" s="212">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10">
        <v>36</v>
      </c>
      <c r="M37" s="211" t="s">
        <v>95</v>
      </c>
      <c r="N37" s="214" t="s">
        <v>48</v>
      </c>
      <c r="O37" s="212">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10">
        <v>37</v>
      </c>
      <c r="M38" s="211" t="s">
        <v>96</v>
      </c>
      <c r="N38" s="214" t="s">
        <v>49</v>
      </c>
      <c r="O38" s="212">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10">
        <v>38</v>
      </c>
      <c r="M39" s="211" t="s">
        <v>97</v>
      </c>
      <c r="N39" s="214" t="s">
        <v>45</v>
      </c>
      <c r="O39" s="212">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10">
        <v>39</v>
      </c>
      <c r="M40" s="211" t="s">
        <v>98</v>
      </c>
      <c r="N40" s="214" t="s">
        <v>44</v>
      </c>
      <c r="O40" s="212">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10">
        <v>40</v>
      </c>
      <c r="M41" s="211" t="s">
        <v>99</v>
      </c>
      <c r="N41" s="214" t="s">
        <v>47</v>
      </c>
      <c r="O41" s="212">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10">
        <v>41</v>
      </c>
      <c r="M42" s="211" t="s">
        <v>100</v>
      </c>
      <c r="N42" s="214" t="s">
        <v>37</v>
      </c>
      <c r="O42" s="212">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10">
        <v>42</v>
      </c>
      <c r="M43" s="211" t="s">
        <v>101</v>
      </c>
      <c r="N43" s="214" t="s">
        <v>50</v>
      </c>
      <c r="O43" s="212">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10">
        <v>43</v>
      </c>
      <c r="M44" s="211" t="s">
        <v>102</v>
      </c>
      <c r="N44" s="214" t="s">
        <v>36</v>
      </c>
      <c r="O44" s="212">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10">
        <v>44</v>
      </c>
      <c r="M45" s="211" t="s">
        <v>103</v>
      </c>
      <c r="N45" s="214" t="s">
        <v>51</v>
      </c>
      <c r="O45" s="212">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10">
        <v>45</v>
      </c>
      <c r="M46" s="211" t="s">
        <v>104</v>
      </c>
      <c r="N46" s="214" t="s">
        <v>52</v>
      </c>
      <c r="O46" s="212">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10">
        <v>46</v>
      </c>
      <c r="M47" s="211" t="s">
        <v>105</v>
      </c>
      <c r="N47" s="214" t="s">
        <v>46</v>
      </c>
      <c r="O47" s="212">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10">
        <v>47</v>
      </c>
      <c r="M48" s="211" t="s">
        <v>126</v>
      </c>
      <c r="N48" s="214" t="s">
        <v>139</v>
      </c>
      <c r="O48" s="212">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10">
        <v>48</v>
      </c>
      <c r="M49" s="211" t="s">
        <v>141</v>
      </c>
      <c r="N49" s="214" t="s">
        <v>140</v>
      </c>
      <c r="O49" s="212">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10">
        <v>49</v>
      </c>
      <c r="M50" s="211" t="s">
        <v>143</v>
      </c>
      <c r="N50" s="214" t="s">
        <v>162</v>
      </c>
      <c r="O50" s="212">
        <v>45000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10">
        <v>50</v>
      </c>
      <c r="M51" s="211" t="s">
        <v>145</v>
      </c>
      <c r="N51" s="214" t="s">
        <v>144</v>
      </c>
      <c r="O51" s="215">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10">
        <v>51</v>
      </c>
      <c r="M52" s="211" t="s">
        <v>158</v>
      </c>
      <c r="N52" s="214" t="s">
        <v>147</v>
      </c>
      <c r="O52" s="215">
        <v>35000</v>
      </c>
      <c r="P52" s="172">
        <f t="shared" si="0"/>
        <v>51</v>
      </c>
      <c r="Q52" s="160"/>
      <c r="R52" s="160"/>
    </row>
    <row r="53" spans="1:18" s="159" customFormat="1" ht="18.75" x14ac:dyDescent="0.3">
      <c r="A53" s="155">
        <v>49</v>
      </c>
      <c r="B53" s="156" t="s">
        <v>162</v>
      </c>
      <c r="C53" s="155" t="s">
        <v>143</v>
      </c>
      <c r="D53" s="157">
        <v>45000</v>
      </c>
      <c r="E53" s="158"/>
      <c r="F53" s="158"/>
      <c r="G53" s="158"/>
      <c r="H53" s="158"/>
      <c r="I53" s="158"/>
      <c r="J53" s="158"/>
      <c r="K53" s="158"/>
      <c r="L53" s="210">
        <v>52</v>
      </c>
      <c r="M53" s="211" t="s">
        <v>164</v>
      </c>
      <c r="N53" s="214" t="s">
        <v>163</v>
      </c>
      <c r="O53" s="212">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10">
        <v>53</v>
      </c>
      <c r="M54" s="211" t="s">
        <v>166</v>
      </c>
      <c r="N54" s="214" t="s">
        <v>165</v>
      </c>
      <c r="O54" s="212">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10">
        <v>54</v>
      </c>
      <c r="M55" s="211" t="s">
        <v>172</v>
      </c>
      <c r="N55" s="214" t="s">
        <v>175</v>
      </c>
      <c r="O55" s="212">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10">
        <v>55</v>
      </c>
      <c r="M56" s="211" t="s">
        <v>174</v>
      </c>
      <c r="N56" s="214" t="s">
        <v>173</v>
      </c>
      <c r="O56" s="215">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10">
        <v>56</v>
      </c>
      <c r="M57" s="211" t="s">
        <v>176</v>
      </c>
      <c r="N57" s="214" t="s">
        <v>171</v>
      </c>
      <c r="O57" s="212">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10">
        <v>57</v>
      </c>
      <c r="M58" s="211" t="s">
        <v>178</v>
      </c>
      <c r="N58" s="214" t="s">
        <v>177</v>
      </c>
      <c r="O58" s="212">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10">
        <v>58</v>
      </c>
      <c r="M59" s="211" t="s">
        <v>181</v>
      </c>
      <c r="N59" s="214" t="s">
        <v>179</v>
      </c>
      <c r="O59" s="212">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10">
        <v>59</v>
      </c>
      <c r="M60" s="211" t="s">
        <v>182</v>
      </c>
      <c r="N60" s="214" t="s">
        <v>180</v>
      </c>
      <c r="O60" s="212">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10">
        <v>60</v>
      </c>
      <c r="M61" s="211" t="s">
        <v>187</v>
      </c>
      <c r="N61" s="214" t="s">
        <v>186</v>
      </c>
      <c r="O61" s="212">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10">
        <v>61</v>
      </c>
      <c r="M62" s="211" t="s">
        <v>203</v>
      </c>
      <c r="N62" s="214" t="s">
        <v>202</v>
      </c>
      <c r="O62" s="215">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10">
        <v>62</v>
      </c>
      <c r="M63" s="211" t="s">
        <v>206</v>
      </c>
      <c r="N63" s="214" t="s">
        <v>205</v>
      </c>
      <c r="O63" s="215">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10">
        <v>63</v>
      </c>
      <c r="M64" s="211" t="s">
        <v>212</v>
      </c>
      <c r="N64" s="214" t="s">
        <v>208</v>
      </c>
      <c r="O64" s="215">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10">
        <v>64</v>
      </c>
      <c r="M65" s="211" t="s">
        <v>213</v>
      </c>
      <c r="N65" s="214" t="s">
        <v>207</v>
      </c>
      <c r="O65" s="215">
        <v>45000</v>
      </c>
      <c r="P65" s="172">
        <f t="shared" si="0"/>
        <v>64</v>
      </c>
      <c r="Q65" s="160"/>
      <c r="R65" s="160"/>
    </row>
    <row r="66" spans="1:18" ht="18.75" x14ac:dyDescent="0.3">
      <c r="A66" s="155">
        <v>62</v>
      </c>
      <c r="B66" s="156" t="s">
        <v>205</v>
      </c>
      <c r="C66" s="155" t="s">
        <v>206</v>
      </c>
      <c r="D66" s="157">
        <v>47000</v>
      </c>
      <c r="L66" s="210" t="s">
        <v>219</v>
      </c>
      <c r="M66" s="211" t="s">
        <v>222</v>
      </c>
      <c r="N66" s="214" t="s">
        <v>225</v>
      </c>
      <c r="O66" s="215">
        <v>60000</v>
      </c>
      <c r="P66" s="172" t="str">
        <f t="shared" si="0"/>
        <v>G1</v>
      </c>
      <c r="Q66" s="160"/>
    </row>
    <row r="67" spans="1:18" ht="18.75" x14ac:dyDescent="0.3">
      <c r="A67" s="155">
        <v>63</v>
      </c>
      <c r="B67" s="156" t="s">
        <v>208</v>
      </c>
      <c r="C67" s="155" t="s">
        <v>212</v>
      </c>
      <c r="D67" s="157">
        <v>50000</v>
      </c>
      <c r="L67" s="210" t="s">
        <v>220</v>
      </c>
      <c r="M67" s="211" t="s">
        <v>223</v>
      </c>
      <c r="N67" s="214" t="s">
        <v>226</v>
      </c>
      <c r="O67" s="215">
        <v>70000</v>
      </c>
      <c r="P67" s="172" t="str">
        <f t="shared" ref="P67:P77" si="2">IF($N67="","",LOOKUP(2,1/($N67=$B$2:$B$100),$A$2:$A$100))</f>
        <v>G2</v>
      </c>
      <c r="Q67" s="160"/>
    </row>
    <row r="68" spans="1:18" ht="18.75" x14ac:dyDescent="0.3">
      <c r="A68" s="155">
        <v>64</v>
      </c>
      <c r="B68" s="156" t="s">
        <v>207</v>
      </c>
      <c r="C68" s="155" t="s">
        <v>213</v>
      </c>
      <c r="D68" s="157">
        <v>45000</v>
      </c>
      <c r="L68" s="210" t="s">
        <v>221</v>
      </c>
      <c r="M68" s="211" t="s">
        <v>224</v>
      </c>
      <c r="N68" s="214" t="s">
        <v>227</v>
      </c>
      <c r="O68" s="215">
        <v>45000</v>
      </c>
      <c r="P68" s="172" t="str">
        <f t="shared" si="2"/>
        <v>G3</v>
      </c>
      <c r="Q68" s="160"/>
    </row>
    <row r="69" spans="1:18" ht="18.75" x14ac:dyDescent="0.3">
      <c r="A69" s="155">
        <v>65</v>
      </c>
      <c r="B69" s="156" t="s">
        <v>247</v>
      </c>
      <c r="C69" s="155" t="s">
        <v>248</v>
      </c>
      <c r="D69" s="157">
        <v>18000</v>
      </c>
      <c r="L69" s="211">
        <v>65</v>
      </c>
      <c r="M69" s="211" t="s">
        <v>248</v>
      </c>
      <c r="N69" s="214" t="s">
        <v>247</v>
      </c>
      <c r="O69" s="215">
        <v>18000</v>
      </c>
      <c r="P69" s="172">
        <f t="shared" si="2"/>
        <v>65</v>
      </c>
      <c r="Q69" s="160"/>
    </row>
    <row r="70" spans="1:18" ht="18.75" x14ac:dyDescent="0.3">
      <c r="A70" s="155">
        <v>66</v>
      </c>
      <c r="B70" s="156" t="s">
        <v>239</v>
      </c>
      <c r="C70" s="155" t="s">
        <v>249</v>
      </c>
      <c r="D70" s="157">
        <v>23000</v>
      </c>
      <c r="L70" s="211">
        <v>66</v>
      </c>
      <c r="M70" s="211" t="s">
        <v>249</v>
      </c>
      <c r="N70" s="214" t="s">
        <v>239</v>
      </c>
      <c r="O70" s="215">
        <v>23000</v>
      </c>
      <c r="P70" s="172">
        <f t="shared" si="2"/>
        <v>66</v>
      </c>
      <c r="Q70" s="160"/>
    </row>
    <row r="71" spans="1:18" ht="18.75" x14ac:dyDescent="0.3">
      <c r="A71" s="155">
        <v>67</v>
      </c>
      <c r="B71" s="156" t="s">
        <v>240</v>
      </c>
      <c r="C71" s="155" t="s">
        <v>250</v>
      </c>
      <c r="D71" s="157">
        <v>26000</v>
      </c>
      <c r="L71" s="211">
        <v>67</v>
      </c>
      <c r="M71" s="211" t="s">
        <v>250</v>
      </c>
      <c r="N71" s="214" t="s">
        <v>240</v>
      </c>
      <c r="O71" s="215">
        <v>26000</v>
      </c>
      <c r="P71" s="172">
        <f t="shared" si="2"/>
        <v>67</v>
      </c>
      <c r="Q71" s="160"/>
    </row>
    <row r="72" spans="1:18" ht="18.75" x14ac:dyDescent="0.3">
      <c r="A72" s="155">
        <v>68</v>
      </c>
      <c r="B72" s="156" t="s">
        <v>241</v>
      </c>
      <c r="C72" s="155" t="s">
        <v>251</v>
      </c>
      <c r="D72" s="157">
        <v>26000</v>
      </c>
      <c r="L72" s="211">
        <v>68</v>
      </c>
      <c r="M72" s="211" t="s">
        <v>251</v>
      </c>
      <c r="N72" s="214" t="s">
        <v>241</v>
      </c>
      <c r="O72" s="215">
        <v>26000</v>
      </c>
      <c r="P72" s="172">
        <f t="shared" si="2"/>
        <v>68</v>
      </c>
      <c r="Q72" s="160"/>
    </row>
    <row r="73" spans="1:18" ht="18.75" x14ac:dyDescent="0.3">
      <c r="A73" s="155">
        <v>69</v>
      </c>
      <c r="B73" s="156" t="s">
        <v>242</v>
      </c>
      <c r="C73" s="155" t="s">
        <v>252</v>
      </c>
      <c r="D73" s="157">
        <v>26000</v>
      </c>
      <c r="L73" s="211">
        <v>69</v>
      </c>
      <c r="M73" s="211" t="s">
        <v>252</v>
      </c>
      <c r="N73" s="214" t="s">
        <v>242</v>
      </c>
      <c r="O73" s="215">
        <v>26000</v>
      </c>
      <c r="P73" s="172">
        <f t="shared" si="2"/>
        <v>69</v>
      </c>
      <c r="Q73" s="160"/>
    </row>
    <row r="74" spans="1:18" ht="18.75" x14ac:dyDescent="0.3">
      <c r="A74" s="155">
        <v>70</v>
      </c>
      <c r="B74" s="156" t="s">
        <v>243</v>
      </c>
      <c r="C74" s="155" t="s">
        <v>253</v>
      </c>
      <c r="D74" s="157">
        <v>26000</v>
      </c>
      <c r="L74" s="211">
        <v>70</v>
      </c>
      <c r="M74" s="211" t="s">
        <v>253</v>
      </c>
      <c r="N74" s="214" t="s">
        <v>243</v>
      </c>
      <c r="O74" s="215">
        <v>26000</v>
      </c>
      <c r="P74" s="172">
        <f t="shared" si="2"/>
        <v>70</v>
      </c>
      <c r="Q74" s="160"/>
    </row>
    <row r="75" spans="1:18" ht="18.75" x14ac:dyDescent="0.3">
      <c r="A75" s="155">
        <v>71</v>
      </c>
      <c r="B75" s="156" t="s">
        <v>244</v>
      </c>
      <c r="C75" s="155" t="s">
        <v>254</v>
      </c>
      <c r="D75" s="157">
        <v>35000</v>
      </c>
      <c r="L75" s="211">
        <v>71</v>
      </c>
      <c r="M75" s="211" t="s">
        <v>254</v>
      </c>
      <c r="N75" s="214" t="s">
        <v>244</v>
      </c>
      <c r="O75" s="215">
        <v>35000</v>
      </c>
      <c r="P75" s="172">
        <f t="shared" si="2"/>
        <v>71</v>
      </c>
      <c r="Q75" s="160"/>
    </row>
    <row r="76" spans="1:18" ht="18.75" x14ac:dyDescent="0.3">
      <c r="A76" s="155">
        <v>72</v>
      </c>
      <c r="B76" s="156" t="s">
        <v>245</v>
      </c>
      <c r="C76" s="155" t="s">
        <v>255</v>
      </c>
      <c r="D76" s="157">
        <v>40000</v>
      </c>
      <c r="L76" s="211">
        <v>72</v>
      </c>
      <c r="M76" s="211" t="s">
        <v>255</v>
      </c>
      <c r="N76" s="214" t="s">
        <v>245</v>
      </c>
      <c r="O76" s="215">
        <v>40000</v>
      </c>
      <c r="P76" s="172">
        <f t="shared" si="2"/>
        <v>72</v>
      </c>
      <c r="Q76" s="160"/>
    </row>
    <row r="77" spans="1:18" ht="18.75" x14ac:dyDescent="0.3">
      <c r="A77" s="155">
        <v>73</v>
      </c>
      <c r="B77" s="156" t="s">
        <v>246</v>
      </c>
      <c r="C77" s="155" t="s">
        <v>256</v>
      </c>
      <c r="D77" s="157">
        <v>43000</v>
      </c>
      <c r="L77" s="211">
        <v>73</v>
      </c>
      <c r="M77" s="211" t="s">
        <v>256</v>
      </c>
      <c r="N77" s="214" t="s">
        <v>246</v>
      </c>
      <c r="O77" s="215">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zoomScale="85" zoomScaleNormal="85" workbookViewId="0">
      <pane ySplit="4" topLeftCell="A5" activePane="bottomLeft" state="frozen"/>
      <selection pane="bottomLeft" activeCell="I1" sqref="I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9">
        <f ca="1">'Quốc Nhân'!N4+'La Cusina'!N4+TVP!M4+Gà!N4+Kitkool!N4-('Quốc Nhân'!K4+'La Cusina'!K4+TVP!J4+Gà!K4+Kitkool!K4-('Quốc Nhân'!A4+'La Cusina'!A4+TVP!A4+Gà!A4+Kitkool!A4))</f>
        <v>17889.528188113094</v>
      </c>
      <c r="B1" s="225" t="str">
        <f>"Tiền Hàng: "&amp;INT('Quốc Nhân'!K4+'La Cusina'!K4+TVP!J4+Gà!K4+Kitkool!K4)</f>
        <v>Tiền Hàng: 157491</v>
      </c>
      <c r="C1" s="224" t="str">
        <f ca="1">"Giá trị hàng Tồn: "&amp;INT('Quốc Nhân'!A4+'La Cusina'!A4+TVP!A4+Gà!A4+Kitkool!A4)</f>
        <v>Giá trị hàng Tồn: 60367</v>
      </c>
      <c r="D1" s="223" t="str">
        <f ca="1">"Giá trị Hàng xuất: "&amp;CHAR(10)&amp;INT('Quốc Nhân'!K4+'La Cusina'!K4+TVP!J4+Gà!K4+Kitkool!K4-('Quốc Nhân'!A4+'La Cusina'!A4+TVP!A4+Gà!A4+Kitkool!A4))</f>
        <v>Giá trị Hàng xuất: 
97124</v>
      </c>
      <c r="E1" s="223" t="str">
        <f ca="1">"Doanh Thu Tích Lũy: "&amp;INT('Quốc Nhân'!N4+'La Cusina'!N4+TVP!M4+Gà!N4+Kitkool!N4)</f>
        <v>Doanh Thu Tích Lũy: 115013</v>
      </c>
      <c r="F1" s="221">
        <v>2800</v>
      </c>
      <c r="G1" s="110">
        <f>-774-503</f>
        <v>-1277</v>
      </c>
      <c r="H1" s="206"/>
      <c r="I1" s="78"/>
      <c r="J1" s="170"/>
      <c r="K1" s="170"/>
      <c r="L1" s="111"/>
      <c r="N1" s="111"/>
    </row>
    <row r="2" spans="1:41" ht="28.5" customHeight="1" x14ac:dyDescent="0.25">
      <c r="A2" s="220"/>
      <c r="B2" s="225"/>
      <c r="C2" s="224"/>
      <c r="D2" s="223"/>
      <c r="E2" s="223"/>
      <c r="F2" s="222"/>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SUMPRODUCT(($E$8:$E$69)*($F$8:$F$69))</f>
        <v>33.200000000000003</v>
      </c>
      <c r="G4" s="58"/>
      <c r="H4" s="81">
        <f ca="1">SUBTOTAL(9,H5:H502)</f>
        <v>958545.25242791092</v>
      </c>
      <c r="I4" s="81">
        <f ca="1">K4-J4</f>
        <v>839545.25242791045</v>
      </c>
      <c r="J4" s="40">
        <f ca="1">SUBTOTAL(9,J5:J502)</f>
        <v>5040954.7475720895</v>
      </c>
      <c r="K4" s="64">
        <f ca="1">SUM(L4:AO4)</f>
        <v>5880500</v>
      </c>
      <c r="L4" s="86">
        <f t="shared" ref="L4:AN4" ca="1" si="0">IFERROR(INDIRECT("'Thanh Toán ("&amp;L$3&amp;")'!$H"&amp;SUBTOTAL(3,INDIRECT("'Thanh Toán ("&amp;L$3&amp;")'!$H$8:$H$50"))+7-COUNTIF(INDIRECT("'Thanh Toán ("&amp;L$3&amp;")'!$H$8:$H$50"),""&amp;"*")),"")</f>
        <v>90000</v>
      </c>
      <c r="M4" s="86">
        <f t="shared" ca="1" si="0"/>
        <v>1200000</v>
      </c>
      <c r="N4" s="86">
        <f t="shared" ca="1" si="0"/>
        <v>729000</v>
      </c>
      <c r="O4" s="86">
        <f t="shared" ca="1" si="0"/>
        <v>175000</v>
      </c>
      <c r="P4" s="86">
        <f t="shared" ca="1" si="0"/>
        <v>185000</v>
      </c>
      <c r="Q4" s="86">
        <f t="shared" ca="1" si="0"/>
        <v>146000</v>
      </c>
      <c r="R4" s="86">
        <f t="shared" ca="1" si="0"/>
        <v>66000</v>
      </c>
      <c r="S4" s="86">
        <f t="shared" ca="1" si="0"/>
        <v>190000</v>
      </c>
      <c r="T4" s="86">
        <f t="shared" ca="1" si="0"/>
        <v>14000</v>
      </c>
      <c r="U4" s="86">
        <f t="shared" ca="1" si="0"/>
        <v>160000</v>
      </c>
      <c r="V4" s="86">
        <f t="shared" ca="1" si="0"/>
        <v>58500</v>
      </c>
      <c r="W4" s="86">
        <f t="shared" ca="1" si="0"/>
        <v>134000</v>
      </c>
      <c r="X4" s="86">
        <f t="shared" ca="1" si="0"/>
        <v>407000</v>
      </c>
      <c r="Y4" s="86">
        <f t="shared" ca="1" si="0"/>
        <v>60000</v>
      </c>
      <c r="Z4" s="86">
        <f t="shared" ca="1" si="0"/>
        <v>476000</v>
      </c>
      <c r="AA4" s="86">
        <f t="shared" ca="1" si="0"/>
        <v>691000</v>
      </c>
      <c r="AB4" s="86">
        <f t="shared" ca="1" si="0"/>
        <v>168000</v>
      </c>
      <c r="AC4" s="86">
        <f t="shared" ca="1" si="0"/>
        <v>175000</v>
      </c>
      <c r="AD4" s="86">
        <f t="shared" ca="1" si="0"/>
        <v>188000</v>
      </c>
      <c r="AE4" s="86">
        <f t="shared" ca="1" si="0"/>
        <v>69000</v>
      </c>
      <c r="AF4" s="86">
        <f t="shared" ca="1" si="0"/>
        <v>499000</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0</v>
      </c>
      <c r="G5" s="204">
        <f>IFERROR(VLOOKUP($B5,Gà!C:J,8,0),IFERROR(VLOOKUP($B5,TVP!C:J,7,0),IFERROR(VLOOKUP($B5,Kitkool!C:J,8,0),IFERROR(VLOOKUP($B5,'La Cusina'!C:J,8,0),VLOOKUP($B5,'Quốc Nhân'!C:J,8,0)))))</f>
        <v>46.953905836713105</v>
      </c>
      <c r="H5" s="55">
        <f ca="1">(D5-G5*1000)*$F5</f>
        <v>0</v>
      </c>
      <c r="I5" s="55"/>
      <c r="J5" s="55">
        <f ca="1">F5*G5*1000</f>
        <v>0</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0</v>
      </c>
      <c r="O5" s="201">
        <f ca="1">IFERROR(SUMIFS(INDIRECT("'Thanh Toán ("&amp;O$3&amp;")'!$F:$F"),INDIRECT("'Thanh Toán ("&amp;O$3&amp;")'!$D:$D"),'Tổng Đơn'!$B5),0)</f>
        <v>0</v>
      </c>
      <c r="P5" s="201">
        <f ca="1">IFERROR(SUMIFS(INDIRECT("'Thanh Toán ("&amp;P$3&amp;")'!$F:$F"),INDIRECT("'Thanh Toán ("&amp;P$3&amp;")'!$D:$D"),'Tổng Đơn'!$B5),0)</f>
        <v>0</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5.0999999999999996</v>
      </c>
      <c r="G6" s="204">
        <f>IFERROR(VLOOKUP($B6,Gà!C:J,8,0),IFERROR(VLOOKUP($B6,TVP!C:J,7,0),IFERROR(VLOOKUP($B6,Kitkool!C:J,8,0),IFERROR(VLOOKUP($B6,'La Cusina'!C:J,8,0),VLOOKUP($B6,'Quốc Nhân'!C:J,8,0)))))</f>
        <v>56.140539587374363</v>
      </c>
      <c r="H6" s="55">
        <f t="shared" ref="H6:H7" ca="1" si="3">(D6-G6*1000)*$F6</f>
        <v>70683.248104390746</v>
      </c>
      <c r="I6" s="55"/>
      <c r="J6" s="55">
        <f t="shared" ref="J6:J7" ca="1" si="4">F6*G6*1000</f>
        <v>286316.75189560925</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2.1</v>
      </c>
      <c r="O6" s="201">
        <f ca="1">IFERROR(SUMIFS(INDIRECT("'Thanh Toán ("&amp;O$3&amp;")'!$F:$F"),INDIRECT("'Thanh Toán ("&amp;O$3&amp;")'!$D:$D"),'Tổng Đơn'!$B6),0)</f>
        <v>0</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1</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2</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5.0999999999999996</v>
      </c>
      <c r="G7" s="204">
        <f>IFERROR(VLOOKUP($B7,Gà!C:J,8,0),IFERROR(VLOOKUP($B7,TVP!C:J,7,0),IFERROR(VLOOKUP($B7,Kitkool!C:J,8,0),IFERROR(VLOOKUP($B7,'La Cusina'!C:J,8,0),VLOOKUP($B7,'Quốc Nhân'!C:J,8,0)))))</f>
        <v>41.850220419679069</v>
      </c>
      <c r="H7" s="55">
        <f t="shared" ca="1" si="3"/>
        <v>16063.875859636742</v>
      </c>
      <c r="I7" s="55"/>
      <c r="J7" s="55">
        <f t="shared" ca="1" si="4"/>
        <v>213436.12414036324</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3.8</v>
      </c>
      <c r="O7" s="201">
        <f ca="1">IFERROR(SUMIFS(INDIRECT("'Thanh Toán ("&amp;O$3&amp;")'!$F:$F"),INDIRECT("'Thanh Toán ("&amp;O$3&amp;")'!$D:$D"),'Tổng Đơn'!$B7),0)</f>
        <v>0</v>
      </c>
      <c r="P7" s="201">
        <f ca="1">IFERROR(SUMIFS(INDIRECT("'Thanh Toán ("&amp;P$3&amp;")'!$F:$F"),INDIRECT("'Thanh Toán ("&amp;P$3&amp;")'!$D:$D"),'Tổng Đơn'!$B7),0)</f>
        <v>0</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1.3</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3</v>
      </c>
      <c r="G8" s="204">
        <f>IFERROR(VLOOKUP($B8,Gà!C:J,8,0),IFERROR(VLOOKUP($B8,TVP!C:J,7,0),IFERROR(VLOOKUP($B8,Kitkool!C:J,8,0),IFERROR(VLOOKUP($B8,'La Cusina'!C:J,8,0),VLOOKUP($B8,'Quốc Nhân'!C:J,8,0)))))</f>
        <v>22.526406659097049</v>
      </c>
      <c r="H8" s="55">
        <f t="shared" ref="H8:H39" ca="1" si="5">(D8-G8*1000)*$F8</f>
        <v>13420.780022708859</v>
      </c>
      <c r="I8" s="55"/>
      <c r="J8" s="55">
        <f ca="1">F8*G8*1000</f>
        <v>67579.219977291141</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1</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1</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2</v>
      </c>
      <c r="G9" s="204">
        <f>IFERROR(VLOOKUP($B9,Gà!C:J,8,0),IFERROR(VLOOKUP($B9,TVP!C:J,7,0),IFERROR(VLOOKUP($B9,Kitkool!C:J,8,0),IFERROR(VLOOKUP($B9,'La Cusina'!C:J,8,0),VLOOKUP($B9,'Quốc Nhân'!C:J,8,0)))))</f>
        <v>21.791253524970436</v>
      </c>
      <c r="H9" s="55">
        <f t="shared" ca="1" si="5"/>
        <v>6417.4929500591243</v>
      </c>
      <c r="I9" s="55"/>
      <c r="J9" s="55">
        <f t="shared" ref="J9:J66" ca="1" si="7">F9*G9*1000</f>
        <v>43582.507049940876</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2</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22.560356590557628</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1</v>
      </c>
      <c r="G11" s="204">
        <f>IFERROR(VLOOKUP($B11,Gà!C:J,8,0),IFERROR(VLOOKUP($B11,TVP!C:J,7,0),IFERROR(VLOOKUP($B11,Kitkool!C:J,8,0),IFERROR(VLOOKUP($B11,'La Cusina'!C:J,8,0),VLOOKUP($B11,'Quốc Nhân'!C:J,8,0)))))</f>
        <v>22.303988902028564</v>
      </c>
      <c r="H11" s="55">
        <f t="shared" ca="1" si="5"/>
        <v>7696.0110979714373</v>
      </c>
      <c r="I11" s="55"/>
      <c r="J11" s="55">
        <f t="shared" ca="1" si="7"/>
        <v>22303.988902028563</v>
      </c>
      <c r="K11" s="151">
        <f ca="1">H4/J4</f>
        <v>0.19015152891217318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1</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2</v>
      </c>
      <c r="G12" s="204">
        <f>IFERROR(VLOOKUP($B12,Gà!C:J,8,0),IFERROR(VLOOKUP($B12,TVP!C:J,7,0),IFERROR(VLOOKUP($B12,Kitkool!C:J,8,0),IFERROR(VLOOKUP($B12,'La Cusina'!C:J,8,0),VLOOKUP($B12,'Quốc Nhân'!C:J,8,0)))))</f>
        <v>33.277646200938825</v>
      </c>
      <c r="H12" s="55">
        <f t="shared" ca="1" si="5"/>
        <v>9444.7075981223461</v>
      </c>
      <c r="I12" s="55"/>
      <c r="J12" s="55">
        <f t="shared" ca="1" si="7"/>
        <v>66555.292401877654</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1</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2</v>
      </c>
      <c r="G13" s="204">
        <f>IFERROR(VLOOKUP($B13,Gà!C:J,8,0),IFERROR(VLOOKUP($B13,TVP!C:J,7,0),IFERROR(VLOOKUP($B13,Kitkool!C:J,8,0),IFERROR(VLOOKUP($B13,'La Cusina'!C:J,8,0),VLOOKUP($B13,'Quốc Nhân'!C:J,8,0)))))</f>
        <v>37.373356502592834</v>
      </c>
      <c r="H13" s="55">
        <f t="shared" ca="1" si="5"/>
        <v>9253.2869948143343</v>
      </c>
      <c r="I13" s="55"/>
      <c r="J13" s="55">
        <f t="shared" ca="1" si="7"/>
        <v>74746.713005185666</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1</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29.01128130338256</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04">
        <f>IFERROR(VLOOKUP($B15,Gà!C:J,8,0),IFERROR(VLOOKUP($B15,TVP!C:J,7,0),IFERROR(VLOOKUP($B15,Kitkool!C:J,8,0),IFERROR(VLOOKUP($B15,'La Cusina'!C:J,8,0),VLOOKUP($B15,'Quốc Nhân'!C:J,8,0)))))</f>
        <v>30.205863474698315</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2</v>
      </c>
      <c r="G16" s="204">
        <f>IFERROR(VLOOKUP($B16,Gà!C:J,8,0),IFERROR(VLOOKUP($B16,TVP!C:J,7,0),IFERROR(VLOOKUP($B16,Kitkool!C:J,8,0),IFERROR(VLOOKUP($B16,'La Cusina'!C:J,8,0),VLOOKUP($B16,'Quốc Nhân'!C:J,8,0)))))</f>
        <v>32.253718625525323</v>
      </c>
      <c r="H16" s="55">
        <f t="shared" ca="1" si="5"/>
        <v>25492.562748949356</v>
      </c>
      <c r="I16" s="55"/>
      <c r="J16" s="55">
        <f t="shared" ca="1" si="7"/>
        <v>64507.437251050644</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04">
        <f>IFERROR(VLOOKUP($B17,Gà!C:J,8,0),IFERROR(VLOOKUP($B17,TVP!C:J,7,0),IFERROR(VLOOKUP($B17,Kitkool!C:J,8,0),IFERROR(VLOOKUP($B17,'La Cusina'!C:J,8,0),VLOOKUP($B17,'Quốc Nhân'!C:J,8,0)))))</f>
        <v>44.095242426999</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04">
        <f>IFERROR(VLOOKUP($B18,Gà!C:J,8,0),IFERROR(VLOOKUP($B18,TVP!C:J,7,0),IFERROR(VLOOKUP($B18,Kitkool!C:J,8,0),IFERROR(VLOOKUP($B18,'La Cusina'!C:J,8,0),VLOOKUP($B18,'Quốc Nhân'!C:J,8,0)))))</f>
        <v>40.957103016540088</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40.957103016540088</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40.957103016540088</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04">
        <f>IFERROR(VLOOKUP($B21,Gà!C:J,8,0),IFERROR(VLOOKUP($B21,TVP!C:J,7,0),IFERROR(VLOOKUP($B21,Kitkool!C:J,8,0),IFERROR(VLOOKUP($B21,'La Cusina'!C:J,8,0),VLOOKUP($B21,'Quốc Nhân'!C:J,8,0)))))</f>
        <v>40.957103016540088</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40.957103016540088</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3</v>
      </c>
      <c r="G23" s="204">
        <f>IFERROR(VLOOKUP($B23,Gà!C:J,8,0),IFERROR(VLOOKUP($B23,TVP!C:J,7,0),IFERROR(VLOOKUP($B23,Kitkool!C:J,8,0),IFERROR(VLOOKUP($B23,'La Cusina'!C:J,8,0),VLOOKUP($B23,'Quốc Nhân'!C:J,8,0)))))</f>
        <v>34.866005639952697</v>
      </c>
      <c r="H23" s="55">
        <f t="shared" ca="1" si="5"/>
        <v>15401.983080141916</v>
      </c>
      <c r="I23" s="55"/>
      <c r="J23" s="55">
        <f t="shared" ca="1" si="7"/>
        <v>104598.01691985808</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3</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2</v>
      </c>
      <c r="G24" s="204">
        <f>IFERROR(VLOOKUP($B24,Gà!C:J,8,0),IFERROR(VLOOKUP($B24,TVP!C:J,7,0),IFERROR(VLOOKUP($B24,Kitkool!C:J,8,0),IFERROR(VLOOKUP($B24,'La Cusina'!C:J,8,0),VLOOKUP($B24,'Quốc Nhân'!C:J,8,0)))))</f>
        <v>30.764122623487673</v>
      </c>
      <c r="H24" s="55">
        <f t="shared" ca="1" si="5"/>
        <v>18471.754753024652</v>
      </c>
      <c r="I24" s="55"/>
      <c r="J24" s="55">
        <f t="shared" ca="1" si="7"/>
        <v>61528.245246975348</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1</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1</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v>
      </c>
      <c r="G25" s="204">
        <f>IFERROR(VLOOKUP($B25,Gà!C:J,8,0),IFERROR(VLOOKUP($B25,TVP!C:J,7,0),IFERROR(VLOOKUP($B25,Kitkool!C:J,8,0),IFERROR(VLOOKUP($B25,'La Cusina'!C:J,8,0),VLOOKUP($B25,'Quốc Nhân'!C:J,8,0)))))</f>
        <v>43.582507049940872</v>
      </c>
      <c r="H25" s="55">
        <f t="shared" ca="1" si="5"/>
        <v>11417.492950059124</v>
      </c>
      <c r="I25" s="55"/>
      <c r="J25" s="55">
        <f t="shared" ca="1" si="7"/>
        <v>43582.507049940876</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1</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21.022150459383244</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1</v>
      </c>
      <c r="G27" s="204">
        <f>IFERROR(VLOOKUP($B27,Gà!C:J,8,0),IFERROR(VLOOKUP($B27,TVP!C:J,7,0),IFERROR(VLOOKUP($B27,Kitkool!C:J,8,0),IFERROR(VLOOKUP($B27,'La Cusina'!C:J,8,0),VLOOKUP($B27,'Quốc Nhân'!C:J,8,0)))))</f>
        <v>21.022150459383244</v>
      </c>
      <c r="H27" s="55">
        <f t="shared" ca="1" si="5"/>
        <v>4977.8495406167567</v>
      </c>
      <c r="I27" s="55"/>
      <c r="J27" s="55">
        <f t="shared" ca="1" si="7"/>
        <v>21022.150459383243</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1</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1</v>
      </c>
      <c r="G28" s="204">
        <f>IFERROR(VLOOKUP($B28,Gà!C:J,8,0),IFERROR(VLOOKUP($B28,TVP!C:J,7,0),IFERROR(VLOOKUP($B28,Kitkool!C:J,8,0),IFERROR(VLOOKUP($B28,'La Cusina'!C:J,8,0),VLOOKUP($B28,'Quốc Nhân'!C:J,8,0)))))</f>
        <v>28.200445738197033</v>
      </c>
      <c r="H28" s="55">
        <f t="shared" ca="1" si="5"/>
        <v>4799.5542618029685</v>
      </c>
      <c r="I28" s="55"/>
      <c r="J28" s="55">
        <f t="shared" ca="1" si="7"/>
        <v>28200.445738197031</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1</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33.559226284177534</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2</v>
      </c>
      <c r="G33" s="204">
        <f>IFERROR(VLOOKUP($B33,Gà!C:J,8,0),IFERROR(VLOOKUP($B33,TVP!C:J,7,0),IFERROR(VLOOKUP($B33,Kitkool!C:J,8,0),IFERROR(VLOOKUP($B33,'La Cusina'!C:J,8,0),VLOOKUP($B33,'Quốc Nhân'!C:J,8,0)))))</f>
        <v>40.957103016540088</v>
      </c>
      <c r="H33" s="55">
        <f t="shared" ca="1" si="5"/>
        <v>8085.793966919824</v>
      </c>
      <c r="I33" s="55"/>
      <c r="J33" s="55">
        <f t="shared" ca="1" si="7"/>
        <v>81914.206033080176</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2</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0</v>
      </c>
      <c r="G36" s="204">
        <f>IFERROR(VLOOKUP($B36,Gà!C:J,8,0),IFERROR(VLOOKUP($B36,TVP!C:J,7,0),IFERROR(VLOOKUP($B36,Kitkool!C:J,8,0),IFERROR(VLOOKUP($B36,'La Cusina'!C:J,8,0),VLOOKUP($B36,'Quốc Nhân'!C:J,8,0)))))</f>
        <v>26.696709142645059</v>
      </c>
      <c r="H36" s="55">
        <f t="shared" ca="1" si="5"/>
        <v>0</v>
      </c>
      <c r="I36" s="55"/>
      <c r="J36" s="55">
        <f t="shared" ca="1" si="7"/>
        <v>0</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1</v>
      </c>
      <c r="G37" s="204">
        <f>IFERROR(VLOOKUP($B37,Gà!C:J,8,0),IFERROR(VLOOKUP($B37,TVP!C:J,7,0),IFERROR(VLOOKUP($B37,Kitkool!C:J,8,0),IFERROR(VLOOKUP($B37,'La Cusina'!C:J,8,0),VLOOKUP($B37,'Quốc Nhân'!C:J,8,0)))))</f>
        <v>11.283137448966967</v>
      </c>
      <c r="H37" s="55">
        <f t="shared" ca="1" si="5"/>
        <v>2716.862551033033</v>
      </c>
      <c r="I37" s="55"/>
      <c r="J37" s="55">
        <f t="shared" ca="1" si="7"/>
        <v>11283.137448966967</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1</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04">
        <f>IFERROR(VLOOKUP($B39,Gà!C:J,8,0),IFERROR(VLOOKUP($B39,TVP!C:J,7,0),IFERROR(VLOOKUP($B39,Kitkool!C:J,8,0),IFERROR(VLOOKUP($B39,'La Cusina'!C:J,8,0),VLOOKUP($B39,'Quốc Nhân'!C:J,8,0)))))</f>
        <v>28.711555115674873</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12.089075838178895</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49.363726339230482</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04">
        <f>IFERROR(VLOOKUP($B44,Gà!C:J,8,0),IFERROR(VLOOKUP($B44,TVP!C:J,7,0),IFERROR(VLOOKUP($B44,Kitkool!C:J,8,0),IFERROR(VLOOKUP($B44,'La Cusina'!C:J,8,0),VLOOKUP($B44,'Quốc Nhân'!C:J,8,0)))))</f>
        <v>43.319188420141039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2</v>
      </c>
      <c r="G46" s="204">
        <f>IFERROR(VLOOKUP($B46,Gà!C:J,8,0),IFERROR(VLOOKUP($B46,TVP!C:J,7,0),IFERROR(VLOOKUP($B46,Kitkool!C:J,8,0),IFERROR(VLOOKUP($B46,'La Cusina'!C:J,8,0),VLOOKUP($B46,'Quốc Nhân'!C:J,8,0)))))</f>
        <v>36.770939007794134</v>
      </c>
      <c r="H46" s="55">
        <f t="shared" ca="1" si="8"/>
        <v>14458.121984411729</v>
      </c>
      <c r="I46" s="55"/>
      <c r="J46" s="55">
        <f t="shared" ca="1" si="7"/>
        <v>73541.878015588271</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2</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66.489917109983921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5</v>
      </c>
      <c r="G48" s="204">
        <f>IFERROR(VLOOKUP($B48,Gà!C:J,8,0),IFERROR(VLOOKUP($B48,TVP!C:J,7,0),IFERROR(VLOOKUP($B48,Kitkool!C:J,8,0),IFERROR(VLOOKUP($B48,'La Cusina'!C:J,8,0),VLOOKUP($B48,'Quốc Nhân'!C:J,8,0)))))</f>
        <v>55.911975751577387</v>
      </c>
      <c r="H48" s="55">
        <f t="shared" ca="1" si="8"/>
        <v>50440.121242113055</v>
      </c>
      <c r="I48" s="55"/>
      <c r="J48" s="55">
        <f t="shared" ca="1" si="7"/>
        <v>279559.87875788694</v>
      </c>
      <c r="K48" s="55"/>
      <c r="L48" s="2">
        <f ca="1">IFERROR(SUMIFS(INDIRECT("'Thanh Toán ("&amp;L$3&amp;")'!$F:$F"),INDIRECT("'Thanh Toán ("&amp;L$3&amp;")'!$D:$D"),'Tổng Đơn'!$B48),0)</f>
        <v>0</v>
      </c>
      <c r="M48" s="2">
        <f ca="1">IFERROR(SUMIFS(INDIRECT("'Thanh Toán ("&amp;M$3&amp;")'!$F:$F"),INDIRECT("'Thanh Toán ("&amp;M$3&amp;")'!$D:$D"),'Tổng Đơn'!$B48),0)</f>
        <v>3</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1</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04">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04">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1</v>
      </c>
      <c r="G51" s="204">
        <f>IFERROR(VLOOKUP($B51,Gà!C:J,8,0),IFERROR(VLOOKUP($B51,TVP!C:J,7,0),IFERROR(VLOOKUP($B51,Kitkool!C:J,8,0),IFERROR(VLOOKUP($B51,'La Cusina'!C:J,8,0),VLOOKUP($B51,'Quốc Nhân'!C:J,8,0)))))</f>
        <v>54.400841271805021</v>
      </c>
      <c r="H51" s="55">
        <f t="shared" ca="1" si="8"/>
        <v>10599.158728194976</v>
      </c>
      <c r="I51" s="55"/>
      <c r="J51" s="55">
        <f t="shared" ca="1" si="7"/>
        <v>54400.841271805024</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1</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04">
        <f>IFERROR(VLOOKUP($B52,Gà!C:J,8,0),IFERROR(VLOOKUP($B52,TVP!C:J,7,0),IFERROR(VLOOKUP($B52,Kitkool!C:J,8,0),IFERROR(VLOOKUP($B52,'La Cusina'!C:J,8,0),VLOOKUP($B52,'Quốc Nhân'!C:J,8,0)))))</f>
        <v>45.334034393170853</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8</v>
      </c>
      <c r="G53" s="204">
        <f>IFERROR(VLOOKUP($B53,Gà!C:J,8,0),IFERROR(VLOOKUP($B53,TVP!C:J,7,0),IFERROR(VLOOKUP($B53,Kitkool!C:J,8,0),IFERROR(VLOOKUP($B53,'La Cusina'!C:J,8,0),VLOOKUP($B53,'Quốc Nhân'!C:J,8,0)))))</f>
        <v>49.363726339230482</v>
      </c>
      <c r="H53" s="55">
        <f t="shared" ca="1" si="8"/>
        <v>77090.18928615615</v>
      </c>
      <c r="I53" s="55"/>
      <c r="J53" s="55">
        <f t="shared" ca="1" si="7"/>
        <v>394909.81071384385</v>
      </c>
      <c r="K53" s="55"/>
      <c r="L53" s="2">
        <f ca="1">IFERROR(SUMIFS(INDIRECT("'Thanh Toán ("&amp;L$3&amp;")'!$F:$F"),INDIRECT("'Thanh Toán ("&amp;L$3&amp;")'!$D:$D"),'Tổng Đơn'!$B53),0)</f>
        <v>0</v>
      </c>
      <c r="M53" s="2">
        <f ca="1">IFERROR(SUMIFS(INDIRECT("'Thanh Toán ("&amp;M$3&amp;")'!$F:$F"),INDIRECT("'Thanh Toán ("&amp;M$3&amp;")'!$D:$D"),'Tổng Đơn'!$B53),0)</f>
        <v>7</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1</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1</v>
      </c>
      <c r="G54" s="204">
        <f>IFERROR(VLOOKUP($B54,Gà!C:J,8,0),IFERROR(VLOOKUP($B54,TVP!C:J,7,0),IFERROR(VLOOKUP($B54,Kitkool!C:J,8,0),IFERROR(VLOOKUP($B54,'La Cusina'!C:J,8,0),VLOOKUP($B54,'Quốc Nhân'!C:J,8,0)))))</f>
        <v>31.789593377603929</v>
      </c>
      <c r="H54" s="55">
        <f t="shared" ca="1" si="8"/>
        <v>8210.4066223960726</v>
      </c>
      <c r="I54" s="55"/>
      <c r="J54" s="55">
        <f t="shared" ca="1" si="7"/>
        <v>31789.593377603927</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1</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04">
        <f>IFERROR(VLOOKUP($B55,Gà!C:J,8,0),IFERROR(VLOOKUP($B55,TVP!C:J,7,0),IFERROR(VLOOKUP($B55,Kitkool!C:J,8,0),IFERROR(VLOOKUP($B55,'La Cusina'!C:J,8,0),VLOOKUP($B55,'Quốc Nhân'!C:J,8,0)))))</f>
        <v>22.0476212134995</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204">
        <f>IFERROR(VLOOKUP($B56,Gà!C:J,8,0),IFERROR(VLOOKUP($B56,TVP!C:J,7,0),IFERROR(VLOOKUP($B56,Kitkool!C:J,8,0),IFERROR(VLOOKUP($B56,'La Cusina'!C:J,8,0),VLOOKUP($B56,'Quốc Nhân'!C:J,8,0)))))</f>
        <v>27.687710361138908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3</v>
      </c>
      <c r="G57" s="204">
        <f>IFERROR(VLOOKUP($B57,Gà!C:J,8,0),IFERROR(VLOOKUP($B57,TVP!C:J,7,0),IFERROR(VLOOKUP($B57,Kitkool!C:J,8,0),IFERROR(VLOOKUP($B57,'La Cusina'!C:J,8,0),VLOOKUP($B57,'Quốc Nhân'!C:J,8,0)))))</f>
        <v>37.373356502592834</v>
      </c>
      <c r="H57" s="55">
        <f t="shared" ca="1" si="8"/>
        <v>13879.930492221501</v>
      </c>
      <c r="I57" s="55"/>
      <c r="J57" s="55">
        <f t="shared" ca="1" si="7"/>
        <v>112120.06950777851</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1</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04">
        <f>IFERROR(VLOOKUP($B58,Gà!C:J,8,0),IFERROR(VLOOKUP($B58,TVP!C:J,7,0),IFERROR(VLOOKUP($B58,Kitkool!C:J,8,0),IFERROR(VLOOKUP($B58,'La Cusina'!C:J,8,0),VLOOKUP($B58,'Quốc Nhân'!C:J,8,0)))))</f>
        <v>27.848135504996172</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12</v>
      </c>
      <c r="G59" s="204">
        <f>IFERROR(VLOOKUP($B59,Gà!C:J,8,0),IFERROR(VLOOKUP($B59,TVP!C:J,7,0),IFERROR(VLOOKUP($B59,Kitkool!C:J,8,0),IFERROR(VLOOKUP($B59,'La Cusina'!C:J,8,0),VLOOKUP($B59,'Quốc Nhân'!C:J,8,0)))))</f>
        <v>58.430533217864657</v>
      </c>
      <c r="H59" s="55">
        <f ca="1">(D59-G59*1000)*$F59</f>
        <v>126833.60138562412</v>
      </c>
      <c r="I59" s="55"/>
      <c r="J59" s="55">
        <f t="shared" ca="1" si="7"/>
        <v>701166.39861437585</v>
      </c>
      <c r="K59" s="55"/>
      <c r="L59" s="2">
        <f ca="1">IFERROR(SUMIFS(INDIRECT("'Thanh Toán ("&amp;L$3&amp;")'!$F:$F"),INDIRECT("'Thanh Toán ("&amp;L$3&amp;")'!$D:$D"),'Tổng Đơn'!$B59),0)</f>
        <v>0</v>
      </c>
      <c r="M59" s="2">
        <f ca="1">IFERROR(SUMIFS(INDIRECT("'Thanh Toán ("&amp;M$3&amp;")'!$F:$F"),INDIRECT("'Thanh Toán ("&amp;M$3&amp;")'!$D:$D"),'Tổng Đơn'!$B59),0)</f>
        <v>10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1</v>
      </c>
      <c r="AF59" s="2">
        <f ca="1">IFERROR(SUMIFS(INDIRECT("'Thanh Toán ("&amp;AF$3&amp;")'!$F:$F"),INDIRECT("'Thanh Toán ("&amp;AF$3&amp;")'!$D:$D"),'Tổng Đơn'!$B59),0)</f>
        <v>1</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2</v>
      </c>
      <c r="G60" s="204">
        <f>IFERROR(VLOOKUP($B60,Gà!C:J,8,0),IFERROR(VLOOKUP($B60,TVP!C:J,7,0),IFERROR(VLOOKUP($B60,Kitkool!C:J,8,0),IFERROR(VLOOKUP($B60,'La Cusina'!C:J,8,0),VLOOKUP($B60,'Quốc Nhân'!C:J,8,0)))))</f>
        <v>63.467648150439196</v>
      </c>
      <c r="H60" s="55">
        <f t="shared" ca="1" si="8"/>
        <v>25064.703699121616</v>
      </c>
      <c r="I60" s="55"/>
      <c r="J60" s="55">
        <f t="shared" ca="1" si="7"/>
        <v>126935.29630087838</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2</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22.303988902028564</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2</v>
      </c>
      <c r="G62" s="204">
        <f>IFERROR(VLOOKUP($B62,Gà!C:J,8,0),IFERROR(VLOOKUP($B62,TVP!C:J,7,0),IFERROR(VLOOKUP($B62,Kitkool!C:J,8,0),IFERROR(VLOOKUP($B62,'La Cusina'!C:J,8,0),VLOOKUP($B62,'Quốc Nhân'!C:J,8,0)))))</f>
        <v>39.993359410533976</v>
      </c>
      <c r="H62" s="55">
        <f t="shared" ca="1" si="8"/>
        <v>10013.28117893204</v>
      </c>
      <c r="I62" s="55"/>
      <c r="J62" s="55">
        <f t="shared" ca="1" si="7"/>
        <v>79986.71882106796</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2</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4</v>
      </c>
      <c r="G63" s="204">
        <f>IFERROR(VLOOKUP($B63,Gà!C:J,8,0),IFERROR(VLOOKUP($B63,TVP!C:J,7,0),IFERROR(VLOOKUP($B63,Kitkool!C:J,8,0),IFERROR(VLOOKUP($B63,'La Cusina'!C:J,8,0),VLOOKUP($B63,'Quốc Nhân'!C:J,8,0)))))</f>
        <v>74.346629673428552</v>
      </c>
      <c r="H63" s="55">
        <f t="shared" ca="1" si="8"/>
        <v>22613.481306285772</v>
      </c>
      <c r="I63" s="55"/>
      <c r="J63" s="55">
        <f t="shared" ca="1" si="7"/>
        <v>297386.51869371423</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1</v>
      </c>
      <c r="AD63" s="2">
        <f ca="1">IFERROR(SUMIFS(INDIRECT("'Thanh Toán ("&amp;AD$3&amp;")'!$F:$F"),INDIRECT("'Thanh Toán ("&amp;AD$3&amp;")'!$D:$D"),'Tổng Đơn'!$B63),0)</f>
        <v>1</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1</v>
      </c>
      <c r="G64" s="204">
        <f>IFERROR(VLOOKUP($B64,Gà!C:J,8,0),IFERROR(VLOOKUP($B64,TVP!C:J,7,0),IFERROR(VLOOKUP($B64,Kitkool!C:J,8,0),IFERROR(VLOOKUP($B64,'La Cusina'!C:J,8,0),VLOOKUP($B64,'Quốc Nhân'!C:J,8,0)))))</f>
        <v>37.942417902301464</v>
      </c>
      <c r="H64" s="55">
        <f t="shared" ca="1" si="8"/>
        <v>4057.5820976985342</v>
      </c>
      <c r="I64" s="55"/>
      <c r="J64" s="55">
        <f t="shared" ca="1" si="7"/>
        <v>37942.417902301466</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1</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32.302328754662057</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04">
        <f>IFERROR(VLOOKUP($B67,Gà!C:J,8,0),IFERROR(VLOOKUP($B67,TVP!C:J,7,0),IFERROR(VLOOKUP($B67,Kitkool!C:J,8,0),IFERROR(VLOOKUP($B67,'La Cusina'!C:J,8,0),VLOOKUP($B67,'Quốc Nhân'!C:J,8,0)))))</f>
        <v>61.435654524810133</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45.052813318194097</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1</v>
      </c>
      <c r="G69" s="204">
        <f>IFERROR(VLOOKUP($B69,Gà!C:J,8,0),IFERROR(VLOOKUP($B69,TVP!C:J,7,0),IFERROR(VLOOKUP($B69,Kitkool!C:J,8,0),IFERROR(VLOOKUP($B69,'La Cusina'!C:J,8,0),VLOOKUP($B69,'Quốc Nhân'!C:J,8,0)))))</f>
        <v>43.582507049940872</v>
      </c>
      <c r="H69" s="55">
        <f t="shared" ca="1" si="14"/>
        <v>3417.4929500591243</v>
      </c>
      <c r="I69" s="55"/>
      <c r="J69" s="55">
        <f t="shared" ca="1" si="15"/>
        <v>43582.507049940876</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44.607977804057128</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1</v>
      </c>
      <c r="G71" s="204">
        <f>IFERROR(VLOOKUP($B71,Gà!C:J,8,0),IFERROR(VLOOKUP($B71,TVP!C:J,7,0),IFERROR(VLOOKUP($B71,Kitkool!C:J,8,0),IFERROR(VLOOKUP($B71,'La Cusina'!C:J,8,0),VLOOKUP($B71,'Quốc Nhân'!C:J,8,0)))))</f>
        <v>37.373356502592834</v>
      </c>
      <c r="H71" s="55">
        <f t="shared" ca="1" si="16"/>
        <v>7626.6434974071672</v>
      </c>
      <c r="I71" s="55"/>
      <c r="J71" s="55">
        <f t="shared" ca="1" si="17"/>
        <v>37373.356502592833</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1</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16</v>
      </c>
      <c r="G72" s="204">
        <f>IFERROR(VLOOKUP($B72,Gà!C:J,8,0),IFERROR(VLOOKUP($B72,TVP!C:J,7,0),IFERROR(VLOOKUP($B72,Kitkool!C:J,8,0),IFERROR(VLOOKUP($B72,'La Cusina'!C:J,8,0),VLOOKUP($B72,'Quốc Nhân'!C:J,8,0)))))</f>
        <v>12.287130904962027</v>
      </c>
      <c r="H72" s="55">
        <f t="shared" ref="H72" ca="1" si="19">(D72-G72*1000)*$F72</f>
        <v>91405.905520607572</v>
      </c>
      <c r="I72" s="55"/>
      <c r="J72" s="55">
        <f t="shared" ref="J72" ca="1" si="20">F72*G72*1000</f>
        <v>196594.09447939243</v>
      </c>
      <c r="K72" s="55"/>
      <c r="L72" s="2">
        <f ca="1">IFERROR(SUMIFS(INDIRECT("'Thanh Toán ("&amp;L$3&amp;")'!$F:$F"),INDIRECT("'Thanh Toán ("&amp;L$3&amp;")'!$D:$D"),'Tổng Đơn'!$B72),0)</f>
        <v>5</v>
      </c>
      <c r="M72" s="2">
        <f ca="1">IFERROR(SUMIFS(INDIRECT("'Thanh Toán ("&amp;M$3&amp;")'!$F:$F"),INDIRECT("'Thanh Toán ("&amp;M$3&amp;")'!$D:$D"),'Tổng Đơn'!$B72),0)</f>
        <v>1</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3</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3</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2</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17</v>
      </c>
      <c r="G73" s="204">
        <f>IFERROR(VLOOKUP($B73,Gà!C:J,8,0),IFERROR(VLOOKUP($B73,TVP!C:J,7,0),IFERROR(VLOOKUP($B73,Kitkool!C:J,8,0),IFERROR(VLOOKUP($B73,'La Cusina'!C:J,8,0),VLOOKUP($B73,'Quốc Nhân'!C:J,8,0)))))</f>
        <v>19.406562054208212</v>
      </c>
      <c r="H73" s="55">
        <f t="shared" ref="H73:H80" ca="1" si="22">(D73-G73*1000)*$F73</f>
        <v>61088.44507846042</v>
      </c>
      <c r="I73" s="55"/>
      <c r="J73" s="55">
        <f t="shared" ref="J73:J80" ca="1" si="23">F73*G73*1000</f>
        <v>329911.55492153962</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1</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2</v>
      </c>
      <c r="AA73" s="2">
        <f ca="1">IFERROR(SUMIFS(INDIRECT("'Thanh Toán ("&amp;AA$3&amp;")'!$F:$F"),INDIRECT("'Thanh Toán ("&amp;AA$3&amp;")'!$D:$D"),'Tổng Đơn'!$B73),0)</f>
        <v>8</v>
      </c>
      <c r="AB73" s="2">
        <f ca="1">IFERROR(SUMIFS(INDIRECT("'Thanh Toán ("&amp;AB$3&amp;")'!$F:$F"),INDIRECT("'Thanh Toán ("&amp;AB$3&amp;")'!$D:$D"),'Tổng Đơn'!$B73),0)</f>
        <v>2</v>
      </c>
      <c r="AC73" s="2">
        <f ca="1">IFERROR(SUMIFS(INDIRECT("'Thanh Toán ("&amp;AC$3&amp;")'!$F:$F"),INDIRECT("'Thanh Toán ("&amp;AC$3&amp;")'!$D:$D"),'Tổng Đơn'!$B73),0)</f>
        <v>0</v>
      </c>
      <c r="AD73" s="2">
        <f ca="1">IFERROR(SUMIFS(INDIRECT("'Thanh Toán ("&amp;AD$3&amp;")'!$F:$F"),INDIRECT("'Thanh Toán ("&amp;AD$3&amp;")'!$D:$D"),'Tổng Đơn'!$B73),0)</f>
        <v>2</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04">
        <f>IFERROR(VLOOKUP($B75,Gà!C:J,8,0),IFERROR(VLOOKUP($B75,TVP!C:J,7,0),IFERROR(VLOOKUP($B75,Kitkool!C:J,8,0),IFERROR(VLOOKUP($B75,'La Cusina'!C:J,8,0),VLOOKUP($B75,'Quốc Nhân'!C:J,8,0)))))</f>
        <v>21.449358059914342</v>
      </c>
      <c r="H75" s="55">
        <f t="shared" ca="1" si="22"/>
        <v>9101.2838801713151</v>
      </c>
      <c r="I75" s="55"/>
      <c r="J75" s="55">
        <f t="shared" ca="1" si="23"/>
        <v>42898.716119828685</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2</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2</v>
      </c>
      <c r="G76" s="204">
        <f>IFERROR(VLOOKUP($B76,Gà!C:J,8,0),IFERROR(VLOOKUP($B76,TVP!C:J,7,0),IFERROR(VLOOKUP($B76,Kitkool!C:J,8,0),IFERROR(VLOOKUP($B76,'La Cusina'!C:J,8,0),VLOOKUP($B76,'Quốc Nhân'!C:J,8,0)))))</f>
        <v>20.427960057061277</v>
      </c>
      <c r="H76" s="55">
        <f t="shared" ca="1" si="22"/>
        <v>11144.079885877443</v>
      </c>
      <c r="I76" s="55"/>
      <c r="J76" s="55">
        <f t="shared" ca="1" si="23"/>
        <v>40855.920114122557</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2</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15</v>
      </c>
      <c r="G77" s="204">
        <f>IFERROR(VLOOKUP($B77,Gà!C:J,8,0),IFERROR(VLOOKUP($B77,TVP!C:J,7,0),IFERROR(VLOOKUP($B77,Kitkool!C:J,8,0),IFERROR(VLOOKUP($B77,'La Cusina'!C:J,8,0),VLOOKUP($B77,'Quốc Nhân'!C:J,8,0)))))</f>
        <v>20.892231876539942</v>
      </c>
      <c r="H77" s="55">
        <f t="shared" ca="1" si="22"/>
        <v>76616.521851900849</v>
      </c>
      <c r="I77" s="55"/>
      <c r="J77" s="55">
        <f t="shared" ca="1" si="23"/>
        <v>313383.47814809915</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10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3</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1</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16</v>
      </c>
      <c r="G78" s="204">
        <f>IFERROR(VLOOKUP($B78,Gà!C:J,8,0),IFERROR(VLOOKUP($B78,TVP!C:J,7,0),IFERROR(VLOOKUP($B78,Kitkool!C:J,8,0),IFERROR(VLOOKUP($B78,'La Cusina'!C:J,8,0),VLOOKUP($B78,'Quốc Nhân'!C:J,8,0)))))</f>
        <v>29.713396446634583</v>
      </c>
      <c r="H78" s="55">
        <f t="shared" ca="1" si="22"/>
        <v>84585.656853846682</v>
      </c>
      <c r="I78" s="55"/>
      <c r="J78" s="55">
        <f t="shared" ca="1" si="23"/>
        <v>475414.34314615332</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5</v>
      </c>
      <c r="P78" s="2">
        <f ca="1">IFERROR(SUMIFS(INDIRECT("'Thanh Toán ("&amp;P$3&amp;")'!$F:$F"),INDIRECT("'Thanh Toán ("&amp;P$3&amp;")'!$D:$D"),'Tổng Đơn'!$B78),0)</f>
        <v>2</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1</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1</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1</v>
      </c>
      <c r="AA78" s="2">
        <f ca="1">IFERROR(SUMIFS(INDIRECT("'Thanh Toán ("&amp;AA$3&amp;")'!$F:$F"),INDIRECT("'Thanh Toán ("&amp;AA$3&amp;")'!$D:$D"),'Tổng Đơn'!$B78),0)</f>
        <v>3</v>
      </c>
      <c r="AB78" s="2">
        <f ca="1">IFERROR(SUMIFS(INDIRECT("'Thanh Toán ("&amp;AB$3&amp;")'!$F:$F"),INDIRECT("'Thanh Toán ("&amp;AB$3&amp;")'!$D:$D"),'Tổng Đơn'!$B78),0)</f>
        <v>1</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3</v>
      </c>
      <c r="G79" s="204">
        <f>IFERROR(VLOOKUP($B79,Gà!C:J,8,0),IFERROR(VLOOKUP($B79,TVP!C:J,7,0),IFERROR(VLOOKUP($B79,Kitkool!C:J,8,0),IFERROR(VLOOKUP($B79,'La Cusina'!C:J,8,0),VLOOKUP($B79,'Quốc Nhân'!C:J,8,0)))))</f>
        <v>34.820386460899904</v>
      </c>
      <c r="H79" s="55">
        <f t="shared" ca="1" si="22"/>
        <v>15538.84061730028</v>
      </c>
      <c r="I79" s="55"/>
      <c r="J79" s="55">
        <f t="shared" ca="1" si="23"/>
        <v>104461.15938269971</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1</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1</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1</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2</v>
      </c>
      <c r="G80" s="204">
        <f>IFERROR(VLOOKUP($B80,Gà!C:J,8,0),IFERROR(VLOOKUP($B80,TVP!C:J,7,0),IFERROR(VLOOKUP($B80,Kitkool!C:J,8,0),IFERROR(VLOOKUP($B80,'La Cusina'!C:J,8,0),VLOOKUP($B80,'Quốc Nhân'!C:J,8,0)))))</f>
        <v>37.791726105563363</v>
      </c>
      <c r="H80" s="55">
        <f t="shared" ca="1" si="22"/>
        <v>10416.547788873271</v>
      </c>
      <c r="I80" s="55"/>
      <c r="J80" s="55">
        <f t="shared" ca="1" si="23"/>
        <v>75583.452211126729</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1</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1</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16"/>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87" priority="29">
      <formula>$C7=MAX($C$8:$C$37)</formula>
    </cfRule>
  </conditionalFormatting>
  <conditionalFormatting sqref="C10:C37">
    <cfRule type="expression" dxfId="86" priority="16">
      <formula>$C9=MAX($C$8:$C$37)</formula>
    </cfRule>
  </conditionalFormatting>
  <conditionalFormatting sqref="E8:E38">
    <cfRule type="expression" dxfId="85" priority="36">
      <formula>AND($A8="",$F8&lt;&gt;"")</formula>
    </cfRule>
  </conditionalFormatting>
  <conditionalFormatting sqref="F8:F38">
    <cfRule type="expression" dxfId="8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H16" sqref="H16"/>
      <selection pane="bottomLeft" activeCell="D19" sqref="D19"/>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16" t="s">
        <v>280</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39</v>
      </c>
      <c r="B8" s="200">
        <v>2</v>
      </c>
      <c r="C8" s="46">
        <f t="shared" ref="C8:C37" si="0">IF(OR(SUM($C7,$A8&lt;&gt;"")=0,$A8=""),"",SUM($C7,$A8&lt;&gt;""))</f>
        <v>1</v>
      </c>
      <c r="D8" s="196" t="str">
        <f>IFERROR(VLOOKUP($A8,Sheet1!$A$1:$B$98,2,0),"")</f>
        <v>XX MUNICH (10 Cây)</v>
      </c>
      <c r="E8" s="197">
        <f>IFERROR(VLOOKUP($A8,'Tổng Đơn'!$A$5:$E$103,5,0),"")</f>
        <v>0.5</v>
      </c>
      <c r="F8" s="46">
        <f>IF($B8="","",B8)</f>
        <v>2</v>
      </c>
      <c r="G8" s="48">
        <f>IFERROR(VLOOKUP($A8,Sheet1!$A1:$D$98,4,0),"")</f>
        <v>44000</v>
      </c>
      <c r="H8" s="198">
        <f>IF($C7=MAX($C$8:$C$56),SUM($H7:$H$8),IFERROR($G8*$F8,""))</f>
        <v>88000</v>
      </c>
      <c r="I8" s="85">
        <f t="shared" ref="I8:I37" si="1">IF(TYPE($A8)&lt;&gt;1,"",IFERROR(F8*E8,""))</f>
        <v>1</v>
      </c>
      <c r="J8" s="45" t="str">
        <f>IF(SUMPRODUCT(($F$8:$F$18),($L$8:$L$18))&gt;=200000,"KM 15%",IF(SUMPRODUCT(($F$8:$F$18),($L$8:$L$18))&gt;=100000,"KM 10%",""))</f>
        <v>KM 15%</v>
      </c>
      <c r="L8" s="48">
        <f>IFERROR(VLOOKUP($A8,Sheet1!$A$5:$D$98,4,0),"")</f>
        <v>44000</v>
      </c>
    </row>
    <row r="9" spans="1:14" s="45" customFormat="1" ht="14.25" customHeight="1" x14ac:dyDescent="0.25">
      <c r="A9" s="200">
        <v>41</v>
      </c>
      <c r="B9" s="200">
        <v>1</v>
      </c>
      <c r="C9" s="46">
        <f t="shared" si="0"/>
        <v>2</v>
      </c>
      <c r="D9" s="196" t="str">
        <f>IFERROR(VLOOKUP($A9,Sheet1!$A$1:$B$98,2,0),"")</f>
        <v>Jambon Đỏ</v>
      </c>
      <c r="E9" s="46">
        <f>IFERROR(VLOOKUP($A9,'Tổng Đơn'!$A$5:$E$103,5,0),"")</f>
        <v>0.5</v>
      </c>
      <c r="F9" s="46">
        <f>IF($B9="","",B9)</f>
        <v>1</v>
      </c>
      <c r="G9" s="48">
        <f>IF(AND($C9="",$C8&lt;&gt;""),"Tổng Cộng",IFERROR(VLOOKUP($A9,Sheet1!$A$1:$D$98,4,0),""))</f>
        <v>66000</v>
      </c>
      <c r="H9" s="198">
        <f>IF($C8=MAX($C$8:$C$56),SUM($H$8:$H8),IFERROR($G9*$F9,""))</f>
        <v>66000</v>
      </c>
      <c r="I9" s="85">
        <f t="shared" si="1"/>
        <v>0.5</v>
      </c>
      <c r="L9" s="47">
        <f>IFERROR(VLOOKUP($A9,Sheet1!$A$5:$D$98,4,0),"")</f>
        <v>66000</v>
      </c>
    </row>
    <row r="10" spans="1:14" s="45" customFormat="1" ht="14.25" customHeight="1" x14ac:dyDescent="0.25">
      <c r="A10" s="200">
        <v>44</v>
      </c>
      <c r="B10" s="200">
        <v>1</v>
      </c>
      <c r="C10" s="46">
        <f t="shared" si="0"/>
        <v>3</v>
      </c>
      <c r="D10" s="196" t="str">
        <f>IFERROR(VLOOKUP($A10,Sheet1!$A$1:$B$98,2,0),"")</f>
        <v>Giò lụa Bò</v>
      </c>
      <c r="E10" s="46">
        <f>IFERROR(VLOOKUP($A10,'Tổng Đơn'!$A$5:$E$103,5,0),"")</f>
        <v>0.5</v>
      </c>
      <c r="F10" s="46">
        <f t="shared" ref="F10:F37" si="2">IF($B10="","",B10)</f>
        <v>1</v>
      </c>
      <c r="G10" s="48">
        <f>IF(AND($C10="",$C9&lt;&gt;""),"Tổng Cộng",IFERROR(VLOOKUP($A10,Sheet1!$A$1:$D$98,4,0),""))</f>
        <v>65000</v>
      </c>
      <c r="H10" s="198">
        <f>IF($C9=MAX($C$8:$C$56),SUM($H$8:$H9),IFERROR($G10*$F10,""))</f>
        <v>65000</v>
      </c>
      <c r="I10" s="85">
        <f t="shared" si="1"/>
        <v>0.5</v>
      </c>
      <c r="L10" s="47">
        <f>IFERROR(VLOOKUP($A10,Sheet1!$A$5:$D$98,4,0),"")</f>
        <v>65000</v>
      </c>
    </row>
    <row r="11" spans="1:14" s="45" customFormat="1" ht="14.25" customHeight="1" x14ac:dyDescent="0.25">
      <c r="A11" s="200">
        <v>46</v>
      </c>
      <c r="B11" s="200">
        <v>1</v>
      </c>
      <c r="C11" s="46">
        <f t="shared" si="0"/>
        <v>4</v>
      </c>
      <c r="D11" s="196" t="str">
        <f>IFERROR(VLOOKUP($A11,Sheet1!$A$1:$B$98,2,0),"")</f>
        <v>Giò Thủ bì</v>
      </c>
      <c r="E11" s="46">
        <f>IFERROR(VLOOKUP($A11,'Tổng Đơn'!$A$5:$E$103,5,0),"")</f>
        <v>0.5</v>
      </c>
      <c r="F11" s="46">
        <f t="shared" si="2"/>
        <v>1</v>
      </c>
      <c r="G11" s="48">
        <f>IF(AND($C11="",$C10&lt;&gt;""),"Tổng Cộng",IFERROR(VLOOKUP($A11,Sheet1!$A$1:$D$98,4,0),""))</f>
        <v>59000</v>
      </c>
      <c r="H11" s="198">
        <f>IF($C10=MAX($C$8:$C$56),SUM($H$8:$H10),IFERROR($G11*$F11,""))</f>
        <v>59000</v>
      </c>
      <c r="I11" s="85">
        <f t="shared" si="1"/>
        <v>0.5</v>
      </c>
      <c r="L11" s="47">
        <f>IFERROR(VLOOKUP($A11,Sheet1!$A$5:$D$98,4,0),"")</f>
        <v>59000</v>
      </c>
    </row>
    <row r="12" spans="1:14" s="45" customFormat="1" ht="14.25" customHeight="1" x14ac:dyDescent="0.25">
      <c r="A12" s="200">
        <v>52</v>
      </c>
      <c r="B12" s="200">
        <v>1</v>
      </c>
      <c r="C12" s="46">
        <f t="shared" si="0"/>
        <v>5</v>
      </c>
      <c r="D12" s="196" t="str">
        <f>IFERROR(VLOOKUP($A12,Sheet1!$A$1:$B$98,2,0),"")</f>
        <v>Chả lụa bì Ớt xiêm xanh</v>
      </c>
      <c r="E12" s="46">
        <f>IFERROR(VLOOKUP($A12,'Tổng Đơn'!$A$5:$E$103,5,0),"")</f>
        <v>0.5</v>
      </c>
      <c r="F12" s="46">
        <f t="shared" si="2"/>
        <v>1</v>
      </c>
      <c r="G12" s="48">
        <f>IF(AND($C12="",$C11&lt;&gt;""),"Tổng Cộng",IFERROR(VLOOKUP($A12,Sheet1!$A$1:$D$98,4,0),""))</f>
        <v>69000</v>
      </c>
      <c r="H12" s="198">
        <f>IF($C11=MAX($C$8:$C$56),SUM($H$8:$H11),IFERROR($G12*$F12,""))</f>
        <v>69000</v>
      </c>
      <c r="I12" s="85">
        <f t="shared" si="1"/>
        <v>0.5</v>
      </c>
      <c r="J12" s="166"/>
      <c r="L12" s="47"/>
      <c r="M12" s="175"/>
      <c r="N12" s="167"/>
    </row>
    <row r="13" spans="1:14" s="45" customFormat="1" ht="14.25" customHeight="1" x14ac:dyDescent="0.25">
      <c r="A13" s="200">
        <v>53</v>
      </c>
      <c r="B13" s="200">
        <v>2</v>
      </c>
      <c r="C13" s="46">
        <f t="shared" si="0"/>
        <v>6</v>
      </c>
      <c r="D13" s="196" t="str">
        <f>IFERROR(VLOOKUP($A13,Sheet1!$A$1:$B$98,2,0),"")</f>
        <v>Bò viên phở TVP</v>
      </c>
      <c r="E13" s="46">
        <f>IFERROR(VLOOKUP($A13,'Tổng Đơn'!$A$5:$E$103,5,0),"")</f>
        <v>0.5</v>
      </c>
      <c r="F13" s="46">
        <f t="shared" si="2"/>
        <v>2</v>
      </c>
      <c r="G13" s="48">
        <f>IF(AND($C13="",$C12&lt;&gt;""),"Tổng Cộng",IFERROR(VLOOKUP($A13,Sheet1!$A$1:$D$98,4,0),""))</f>
        <v>76000</v>
      </c>
      <c r="H13" s="198">
        <f>IF($C12=MAX($C$8:$C$56),SUM($H$8:$H12),IFERROR($G13*$F13,""))</f>
        <v>152000</v>
      </c>
      <c r="I13" s="85">
        <f t="shared" si="1"/>
        <v>1</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Tổng Cộng</v>
      </c>
      <c r="H14" s="198">
        <f>IF($C13=MAX($C$8:$C$56),SUM($H$8:$H13),IFERROR($G14*$F14,""))</f>
        <v>499000</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267</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I17" sqref="I1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279</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2.6</v>
      </c>
      <c r="L7" s="193" t="s">
        <v>18</v>
      </c>
    </row>
    <row r="8" spans="1:14" s="45" customFormat="1" ht="14.25" customHeight="1" x14ac:dyDescent="0.25">
      <c r="A8" s="200">
        <v>56</v>
      </c>
      <c r="B8" s="200">
        <v>1</v>
      </c>
      <c r="C8" s="46">
        <f t="shared" ref="C8:C37" si="0">IF(OR(SUM($C7,$A8&lt;&gt;"")=0,$A8=""),"",SUM($C7,$A8&lt;&gt;""))</f>
        <v>1</v>
      </c>
      <c r="D8" s="196" t="str">
        <f>IFERROR(VLOOKUP($A8,Sheet1!$A$1:$B$98,2,0),"")</f>
        <v>Đậu hủ phô mai EB</v>
      </c>
      <c r="E8" s="197">
        <f>IFERROR(VLOOKUP($A8,'Tổng Đơn'!$A$5:$E$103,5,0),"")</f>
        <v>0.5</v>
      </c>
      <c r="F8" s="46">
        <f>IF($B8="","",B8)</f>
        <v>1</v>
      </c>
      <c r="G8" s="48">
        <f>IFERROR(VLOOKUP($A8,Sheet1!$A1:$D$98,4,0),"")</f>
        <v>80000</v>
      </c>
      <c r="H8" s="198">
        <f>IF($C7=MAX($C$8:$C$56),SUM($H7:$H$8),IFERROR($G8*$F8,""))</f>
        <v>80000</v>
      </c>
      <c r="I8" s="85">
        <f t="shared" ref="I8:I37" si="1">IF(TYPE($A8)&lt;&gt;1,"",IFERROR(F8*E8,""))</f>
        <v>0.5</v>
      </c>
      <c r="J8" s="45" t="str">
        <f>IF(SUMPRODUCT(($F$8:$F$18),($L$8:$L$18))&gt;=200000,"KM 15%",IF(SUMPRODUCT(($F$8:$F$18),($L$8:$L$18))&gt;=100000,"KM 10%",""))</f>
        <v>KM 10%</v>
      </c>
      <c r="L8" s="48">
        <f>IFERROR(VLOOKUP($A8,Sheet1!$A$5:$D$98,4,0),"")</f>
        <v>80000</v>
      </c>
    </row>
    <row r="9" spans="1:14" s="45" customFormat="1" ht="14.25" customHeight="1" x14ac:dyDescent="0.25">
      <c r="A9" s="200">
        <v>65</v>
      </c>
      <c r="B9" s="200">
        <v>2</v>
      </c>
      <c r="C9" s="46">
        <f t="shared" si="0"/>
        <v>2</v>
      </c>
      <c r="D9" s="196" t="str">
        <f>IFERROR(VLOOKUP($A9,Sheet1!$A$1:$B$98,2,0),"")</f>
        <v>Bánh bao ngọt không nhân</v>
      </c>
      <c r="E9" s="46">
        <f>IFERROR(VLOOKUP($A9,'Tổng Đơn'!$A$5:$E$103,5,0),"")</f>
        <v>0.3</v>
      </c>
      <c r="F9" s="46">
        <f>IF($B9="","",B9)</f>
        <v>2</v>
      </c>
      <c r="G9" s="48">
        <f>IF(AND($C9="",$C8&lt;&gt;""),"Tổng Cộng",IFERROR(VLOOKUP($A9,Sheet1!$A$1:$D$98,4,0),""))</f>
        <v>18000</v>
      </c>
      <c r="H9" s="198">
        <f>IF($C8=MAX($C$8:$C$56),SUM($H$8:$H8),IFERROR($G9*$F9,""))</f>
        <v>36000</v>
      </c>
      <c r="I9" s="85">
        <f t="shared" si="1"/>
        <v>0.6</v>
      </c>
      <c r="L9" s="47">
        <f>IFERROR(VLOOKUP($A9,Sheet1!$A$5:$D$98,4,0),"")</f>
        <v>18000</v>
      </c>
    </row>
    <row r="10" spans="1:14" s="45" customFormat="1" ht="14.25" customHeight="1" x14ac:dyDescent="0.25">
      <c r="A10" s="200">
        <v>66</v>
      </c>
      <c r="B10" s="200">
        <v>2</v>
      </c>
      <c r="C10" s="46">
        <f t="shared" si="0"/>
        <v>3</v>
      </c>
      <c r="D10" s="196" t="str">
        <f>IFERROR(VLOOKUP($A10,Sheet1!$A$1:$B$98,2,0),"")</f>
        <v>Cá viên KK</v>
      </c>
      <c r="E10" s="46">
        <f>IFERROR(VLOOKUP($A10,'Tổng Đơn'!$A$5:$E$103,5,0),"")</f>
        <v>0.5</v>
      </c>
      <c r="F10" s="46">
        <f t="shared" ref="F10:F37" si="2">IF($B10="","",B10)</f>
        <v>2</v>
      </c>
      <c r="G10" s="48">
        <f>IF(AND($C10="",$C9&lt;&gt;""),"Tổng Cộng",IFERROR(VLOOKUP($A10,Sheet1!$A$1:$D$98,4,0),""))</f>
        <v>23000</v>
      </c>
      <c r="H10" s="198">
        <f>IF($C9=MAX($C$8:$C$56),SUM($H$8:$H9),IFERROR($G10*$F10,""))</f>
        <v>46000</v>
      </c>
      <c r="I10" s="85">
        <f t="shared" si="1"/>
        <v>1</v>
      </c>
      <c r="L10" s="47">
        <f>IFERROR(VLOOKUP($A10,Sheet1!$A$5:$D$98,4,0),"")</f>
        <v>23000</v>
      </c>
    </row>
    <row r="11" spans="1:14" s="45" customFormat="1" ht="14.25" customHeight="1" x14ac:dyDescent="0.25">
      <c r="A11" s="200">
        <v>70</v>
      </c>
      <c r="B11" s="200">
        <v>1</v>
      </c>
      <c r="C11" s="46">
        <f t="shared" si="0"/>
        <v>4</v>
      </c>
      <c r="D11" s="196" t="str">
        <f>IFERROR(VLOOKUP($A11,Sheet1!$A$1:$B$98,2,0),"")</f>
        <v>XX Đỏ KK</v>
      </c>
      <c r="E11" s="46">
        <f>IFERROR(VLOOKUP($A11,'Tổng Đơn'!$A$5:$E$103,5,0),"")</f>
        <v>0.5</v>
      </c>
      <c r="F11" s="46">
        <f t="shared" si="2"/>
        <v>1</v>
      </c>
      <c r="G11" s="48">
        <f>IF(AND($C11="",$C10&lt;&gt;""),"Tổng Cộng",IFERROR(VLOOKUP($A11,Sheet1!$A$1:$D$98,4,0),""))</f>
        <v>26000</v>
      </c>
      <c r="H11" s="198">
        <f>IF($C10=MAX($C$8:$C$56),SUM($H$8:$H10),IFERROR($G11*$F11,""))</f>
        <v>26000</v>
      </c>
      <c r="I11" s="85">
        <f t="shared" si="1"/>
        <v>0.5</v>
      </c>
      <c r="L11" s="47">
        <f>IFERROR(VLOOKUP($A11,Sheet1!$A$5:$D$98,4,0),"")</f>
        <v>26000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188000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267</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17</v>
      </c>
      <c r="B8" s="200">
        <v>1</v>
      </c>
      <c r="C8" s="46">
        <f t="shared" ref="C8:C37" si="0">IF(OR(SUM($C7,$A8&lt;&gt;"")=0,$A8=""),"",SUM($C7,$A8&lt;&gt;""))</f>
        <v>1</v>
      </c>
      <c r="D8" s="196" t="str">
        <f>IFERROR(VLOOKUP($A8,Sheet1!$A$1:$B$98,2,0),"")</f>
        <v>Phô mai viên (35v)</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0">
        <v>18</v>
      </c>
      <c r="B9" s="200">
        <v>1</v>
      </c>
      <c r="C9" s="46">
        <f t="shared" si="0"/>
        <v>2</v>
      </c>
      <c r="D9" s="196" t="str">
        <f>IFERROR(VLOOKUP($A9,Sheet1!$A$1:$B$98,2,0),"")</f>
        <v>Đậu hủ phô mai</v>
      </c>
      <c r="E9" s="46">
        <f>IFERROR(VLOOKUP($A9,'Tổng Đơn'!$A$5:$E$103,5,0),"")</f>
        <v>0.5</v>
      </c>
      <c r="F9" s="46">
        <f>IF($B9="","",B9)</f>
        <v>1</v>
      </c>
      <c r="G9" s="48">
        <f>IF(AND($C9="",$C8&lt;&gt;""),"Tổng Cộng",IFERROR(VLOOKUP($A9,Sheet1!$A$1:$D$98,4,0),""))</f>
        <v>55000</v>
      </c>
      <c r="H9" s="198">
        <f>IF($C8=MAX($C$8:$C$56),SUM($H$8:$H8),IFERROR($G9*$F9,""))</f>
        <v>55000</v>
      </c>
      <c r="I9" s="85">
        <f t="shared" si="1"/>
        <v>0.5</v>
      </c>
      <c r="L9" s="47">
        <f>IFERROR(VLOOKUP($A9,Sheet1!$A$5:$D$98,4,0),"")</f>
        <v>55000</v>
      </c>
    </row>
    <row r="10" spans="1:14" s="45" customFormat="1" ht="14.25" customHeight="1" x14ac:dyDescent="0.25">
      <c r="A10" s="200">
        <v>56</v>
      </c>
      <c r="B10" s="200">
        <v>1</v>
      </c>
      <c r="C10" s="46">
        <f t="shared" si="0"/>
        <v>3</v>
      </c>
      <c r="D10" s="196" t="str">
        <f>IFERROR(VLOOKUP($A10,Sheet1!$A$1:$B$98,2,0),"")</f>
        <v>Đậu hủ phô mai EB</v>
      </c>
      <c r="E10" s="46">
        <f>IFERROR(VLOOKUP($A10,'Tổng Đơn'!$A$5:$E$103,5,0),"")</f>
        <v>0.5</v>
      </c>
      <c r="F10" s="46">
        <f t="shared" ref="F10:F37" si="2">IF($B10="","",B10)</f>
        <v>1</v>
      </c>
      <c r="G10" s="48">
        <f>IF(AND($C10="",$C9&lt;&gt;""),"Tổng Cộng",IFERROR(VLOOKUP($A10,Sheet1!$A$1:$D$98,4,0),""))</f>
        <v>80000</v>
      </c>
      <c r="H10" s="198">
        <f>IF($C9=MAX($C$8:$C$56),SUM($H$8:$H9),IFERROR($G10*$F10,""))</f>
        <v>80000</v>
      </c>
      <c r="I10" s="85">
        <f t="shared" si="1"/>
        <v>0.5</v>
      </c>
      <c r="L10" s="47">
        <f>IFERROR(VLOOKUP($A10,Sheet1!$A$5:$D$98,4,0),"")</f>
        <v>80000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175000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277</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62</v>
      </c>
      <c r="B8" s="200">
        <v>1</v>
      </c>
      <c r="C8" s="46">
        <f t="shared" ref="C8:C37" si="0">IF(OR(SUM($C7,$A8&lt;&gt;"")=0,$A8=""),"",SUM($C7,$A8&lt;&gt;""))</f>
        <v>1</v>
      </c>
      <c r="D8" s="196" t="str">
        <f>IFERROR(VLOOKUP($A8,Sheet1!$A$1:$B$98,2,0),"")</f>
        <v xml:space="preserve">Viên thả lẩu Cam-Trứng cá </v>
      </c>
      <c r="E8" s="197">
        <f>IFERROR(VLOOKUP($A8,'Tổng Đơn'!$A$5:$E$103,5,0),"")</f>
        <v>0.5</v>
      </c>
      <c r="F8" s="46">
        <f>IF($B8="","",B8)</f>
        <v>1</v>
      </c>
      <c r="G8" s="48">
        <f>IFERROR(VLOOKUP($A8,Sheet1!$A1:$D$98,4,0),"")</f>
        <v>47000</v>
      </c>
      <c r="H8" s="198">
        <f>IF($C7=MAX($C$8:$C$56),SUM($H7:$H$8),IFERROR($G8*$F8,""))</f>
        <v>47000</v>
      </c>
      <c r="I8" s="85">
        <f t="shared" ref="I8:I37" si="1">IF(TYPE($A8)&lt;&gt;1,"",IFERROR(F8*E8,""))</f>
        <v>0.5</v>
      </c>
      <c r="J8" s="45" t="str">
        <f>IF(SUMPRODUCT(($F$8:$F$18),($L$8:$L$18))&gt;=200000,"KM 15%",IF(SUMPRODUCT(($F$8:$F$18),($L$8:$L$18))&gt;=100000,"KM 10%",""))</f>
        <v>KM 10%</v>
      </c>
      <c r="L8" s="48">
        <f>IFERROR(VLOOKUP($A8,Sheet1!$A$5:$D$98,4,0),"")</f>
        <v>47000</v>
      </c>
    </row>
    <row r="9" spans="1:14" s="45" customFormat="1" ht="14.25" customHeight="1" x14ac:dyDescent="0.25">
      <c r="A9" s="200">
        <v>66</v>
      </c>
      <c r="B9" s="200">
        <v>2</v>
      </c>
      <c r="C9" s="46">
        <f t="shared" si="0"/>
        <v>2</v>
      </c>
      <c r="D9" s="196" t="str">
        <f>IFERROR(VLOOKUP($A9,Sheet1!$A$1:$B$98,2,0),"")</f>
        <v>Cá viên KK</v>
      </c>
      <c r="E9" s="46">
        <f>IFERROR(VLOOKUP($A9,'Tổng Đơn'!$A$5:$E$103,5,0),"")</f>
        <v>0.5</v>
      </c>
      <c r="F9" s="46">
        <f>IF($B9="","",B9)</f>
        <v>2</v>
      </c>
      <c r="G9" s="48">
        <f>IF(AND($C9="",$C8&lt;&gt;""),"Tổng Cộng",IFERROR(VLOOKUP($A9,Sheet1!$A$1:$D$98,4,0),""))</f>
        <v>23000</v>
      </c>
      <c r="H9" s="198">
        <f>IF($C8=MAX($C$8:$C$56),SUM($H$8:$H8),IFERROR($G9*$F9,""))</f>
        <v>46000</v>
      </c>
      <c r="I9" s="85">
        <f t="shared" si="1"/>
        <v>1</v>
      </c>
      <c r="L9" s="47">
        <f>IFERROR(VLOOKUP($A9,Sheet1!$A$5:$D$98,4,0),"")</f>
        <v>23000</v>
      </c>
    </row>
    <row r="10" spans="1:14" s="45" customFormat="1" ht="14.25" customHeight="1" x14ac:dyDescent="0.25">
      <c r="A10" s="200">
        <v>71</v>
      </c>
      <c r="B10" s="200">
        <v>1</v>
      </c>
      <c r="C10" s="46">
        <f t="shared" si="0"/>
        <v>3</v>
      </c>
      <c r="D10" s="196" t="str">
        <f>IFERROR(VLOOKUP($A10,Sheet1!$A$1:$B$98,2,0),"")</f>
        <v>XX Đức KK</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v>72</v>
      </c>
      <c r="B11" s="200">
        <v>1</v>
      </c>
      <c r="C11" s="46">
        <f t="shared" si="0"/>
        <v>4</v>
      </c>
      <c r="D11" s="196" t="str">
        <f>IFERROR(VLOOKUP($A11,Sheet1!$A$1:$B$98,2,0),"")</f>
        <v>Hồ lô KK</v>
      </c>
      <c r="E11" s="46">
        <f>IFERROR(VLOOKUP($A11,'Tổng Đơn'!$A$5:$E$103,5,0),"")</f>
        <v>0.5</v>
      </c>
      <c r="F11" s="46">
        <f t="shared" si="2"/>
        <v>1</v>
      </c>
      <c r="G11" s="48">
        <f>IF(AND($C11="",$C10&lt;&gt;""),"Tổng Cộng",IFERROR(VLOOKUP($A11,Sheet1!$A$1:$D$98,4,0),""))</f>
        <v>40000</v>
      </c>
      <c r="H11" s="198">
        <f>IF($C10=MAX($C$8:$C$56),SUM($H$8:$H10),IFERROR($G11*$F11,""))</f>
        <v>40000</v>
      </c>
      <c r="I11" s="85">
        <f t="shared" si="1"/>
        <v>0.5</v>
      </c>
      <c r="L11" s="47">
        <f>IFERROR(VLOOKUP($A11,Sheet1!$A$5:$D$98,4,0),"")</f>
        <v>40000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168000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276</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10.4</v>
      </c>
      <c r="L7" s="193" t="s">
        <v>18</v>
      </c>
    </row>
    <row r="8" spans="1:14" s="45" customFormat="1" ht="14.25" customHeight="1" x14ac:dyDescent="0.25">
      <c r="A8" s="200">
        <v>47</v>
      </c>
      <c r="B8" s="200">
        <v>1</v>
      </c>
      <c r="C8" s="46">
        <f t="shared" ref="C8:C37" si="0">IF(OR(SUM($C7,$A8&lt;&gt;"")=0,$A8=""),"",SUM($C7,$A8&lt;&gt;""))</f>
        <v>1</v>
      </c>
      <c r="D8" s="196" t="str">
        <f>IFERROR(VLOOKUP($A8,Sheet1!$A$1:$B$98,2,0),"")</f>
        <v>XX nhân Phô Mai</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200">
        <v>55</v>
      </c>
      <c r="B9" s="200">
        <v>2</v>
      </c>
      <c r="C9" s="46">
        <f t="shared" si="0"/>
        <v>2</v>
      </c>
      <c r="D9" s="196" t="str">
        <f>IFERROR(VLOOKUP($A9,Sheet1!$A$1:$B$98,2,0),"")</f>
        <v>Khoai tây Simplot</v>
      </c>
      <c r="E9" s="46">
        <f>IFERROR(VLOOKUP($A9,'Tổng Đơn'!$A$5:$E$103,5,0),"")</f>
        <v>1</v>
      </c>
      <c r="F9" s="46">
        <f>IF($B9="","",B9)</f>
        <v>2</v>
      </c>
      <c r="G9" s="48">
        <f>IF(AND($C9="",$C8&lt;&gt;""),"Tổng Cộng",IFERROR(VLOOKUP($A9,Sheet1!$A$1:$D$98,4,0),""))</f>
        <v>45000</v>
      </c>
      <c r="H9" s="198">
        <f>IF($C8=MAX($C$8:$C$56),SUM($H$8:$H8),IFERROR($G9*$F9,""))</f>
        <v>90000</v>
      </c>
      <c r="I9" s="85">
        <f t="shared" si="1"/>
        <v>2</v>
      </c>
      <c r="L9" s="47">
        <f>IFERROR(VLOOKUP($A9,Sheet1!$A$5:$D$98,4,0),"")</f>
        <v>45000</v>
      </c>
    </row>
    <row r="10" spans="1:14" s="45" customFormat="1" ht="14.25" customHeight="1" x14ac:dyDescent="0.25">
      <c r="A10" s="200" t="s">
        <v>220</v>
      </c>
      <c r="B10" s="200">
        <v>2</v>
      </c>
      <c r="C10" s="46">
        <f t="shared" si="0"/>
        <v>3</v>
      </c>
      <c r="D10" s="196" t="str">
        <f>IFERROR(VLOOKUP($A10,Sheet1!$A$1:$B$98,2,0),"")</f>
        <v>0-Cánh Gà</v>
      </c>
      <c r="E10" s="46">
        <f>IFERROR(VLOOKUP($A10,'Tổng Đơn'!$A$5:$E$103,5,0),"")</f>
        <v>1</v>
      </c>
      <c r="F10" s="46">
        <f t="shared" ref="F10:F37" si="2">IF($B10="","",B10)</f>
        <v>2</v>
      </c>
      <c r="G10" s="48">
        <f>IF(AND($C10="",$C9&lt;&gt;""),"Tổng Cộng",IFERROR(VLOOKUP($A10,Sheet1!$A$1:$D$98,4,0),""))</f>
        <v>70000</v>
      </c>
      <c r="H10" s="198">
        <f>IF($C9=MAX($C$8:$C$56),SUM($H$8:$H9),IFERROR($G10*$F10,""))</f>
        <v>140000</v>
      </c>
      <c r="I10" s="85" t="str">
        <f t="shared" si="1"/>
        <v/>
      </c>
      <c r="L10" s="47" t="str">
        <f>IFERROR(VLOOKUP($A10,Sheet1!$A$5:$D$98,4,0),"")</f>
        <v/>
      </c>
    </row>
    <row r="11" spans="1:14" s="45" customFormat="1" ht="14.25" customHeight="1" x14ac:dyDescent="0.25">
      <c r="A11" s="200">
        <v>65</v>
      </c>
      <c r="B11" s="200">
        <v>3</v>
      </c>
      <c r="C11" s="46">
        <f t="shared" si="0"/>
        <v>4</v>
      </c>
      <c r="D11" s="196" t="str">
        <f>IFERROR(VLOOKUP($A11,Sheet1!$A$1:$B$98,2,0),"")</f>
        <v>Bánh bao ngọt không nhân</v>
      </c>
      <c r="E11" s="46">
        <f>IFERROR(VLOOKUP($A11,'Tổng Đơn'!$A$5:$E$103,5,0),"")</f>
        <v>0.3</v>
      </c>
      <c r="F11" s="46">
        <f t="shared" si="2"/>
        <v>3</v>
      </c>
      <c r="G11" s="48">
        <f>IF(AND($C11="",$C10&lt;&gt;""),"Tổng Cộng",IFERROR(VLOOKUP($A11,Sheet1!$A$1:$D$98,4,0),""))</f>
        <v>18000</v>
      </c>
      <c r="H11" s="198">
        <f>IF($C10=MAX($C$8:$C$56),SUM($H$8:$H10),IFERROR($G11*$F11,""))</f>
        <v>54000</v>
      </c>
      <c r="I11" s="85">
        <f t="shared" si="1"/>
        <v>0.89999999999999991</v>
      </c>
      <c r="L11" s="47">
        <f>IFERROR(VLOOKUP($A11,Sheet1!$A$5:$D$98,4,0),"")</f>
        <v>18000</v>
      </c>
    </row>
    <row r="12" spans="1:14" s="45" customFormat="1" ht="14.25" customHeight="1" x14ac:dyDescent="0.25">
      <c r="A12" s="200">
        <v>66</v>
      </c>
      <c r="B12" s="200">
        <v>8</v>
      </c>
      <c r="C12" s="46">
        <f t="shared" si="0"/>
        <v>5</v>
      </c>
      <c r="D12" s="196" t="str">
        <f>IFERROR(VLOOKUP($A12,Sheet1!$A$1:$B$98,2,0),"")</f>
        <v>Cá viên KK</v>
      </c>
      <c r="E12" s="46">
        <f>IFERROR(VLOOKUP($A12,'Tổng Đơn'!$A$5:$E$103,5,0),"")</f>
        <v>0.5</v>
      </c>
      <c r="F12" s="46">
        <f t="shared" si="2"/>
        <v>8</v>
      </c>
      <c r="G12" s="48">
        <f>IF(AND($C12="",$C11&lt;&gt;""),"Tổng Cộng",IFERROR(VLOOKUP($A12,Sheet1!$A$1:$D$98,4,0),""))</f>
        <v>23000</v>
      </c>
      <c r="H12" s="198">
        <f>IF($C11=MAX($C$8:$C$56),SUM($H$8:$H11),IFERROR($G12*$F12,""))</f>
        <v>184000</v>
      </c>
      <c r="I12" s="85">
        <f t="shared" si="1"/>
        <v>4</v>
      </c>
      <c r="J12" s="166"/>
      <c r="L12" s="47"/>
      <c r="M12" s="175"/>
      <c r="N12" s="167"/>
    </row>
    <row r="13" spans="1:14" s="45" customFormat="1" ht="14.25" customHeight="1" x14ac:dyDescent="0.25">
      <c r="A13" s="200">
        <v>70</v>
      </c>
      <c r="B13" s="200">
        <v>3</v>
      </c>
      <c r="C13" s="46">
        <f t="shared" si="0"/>
        <v>6</v>
      </c>
      <c r="D13" s="196" t="str">
        <f>IFERROR(VLOOKUP($A13,Sheet1!$A$1:$B$98,2,0),"")</f>
        <v>XX Đỏ KK</v>
      </c>
      <c r="E13" s="46">
        <f>IFERROR(VLOOKUP($A13,'Tổng Đơn'!$A$5:$E$103,5,0),"")</f>
        <v>0.5</v>
      </c>
      <c r="F13" s="46">
        <f t="shared" si="2"/>
        <v>3</v>
      </c>
      <c r="G13" s="48">
        <f>IF(AND($C13="",$C12&lt;&gt;""),"Tổng Cộng",IFERROR(VLOOKUP($A13,Sheet1!$A$1:$D$98,4,0),""))</f>
        <v>26000</v>
      </c>
      <c r="H13" s="198">
        <f>IF($C12=MAX($C$8:$C$56),SUM($H$8:$H12),IFERROR($G13*$F13,""))</f>
        <v>78000</v>
      </c>
      <c r="I13" s="85">
        <f t="shared" si="1"/>
        <v>1.5</v>
      </c>
      <c r="L13" s="47"/>
    </row>
    <row r="14" spans="1:14" s="45" customFormat="1" ht="14.25" customHeight="1" x14ac:dyDescent="0.25">
      <c r="A14" s="200">
        <v>71</v>
      </c>
      <c r="B14" s="200">
        <v>3</v>
      </c>
      <c r="C14" s="46">
        <f t="shared" si="0"/>
        <v>7</v>
      </c>
      <c r="D14" s="196" t="str">
        <f>IFERROR(VLOOKUP($A14,Sheet1!$A$1:$B$98,2,0),"")</f>
        <v>XX Đức KK</v>
      </c>
      <c r="E14" s="46">
        <f>IFERROR(VLOOKUP($A14,'Tổng Đơn'!$A$5:$E$103,5,0),"")</f>
        <v>0.5</v>
      </c>
      <c r="F14" s="46">
        <f t="shared" si="2"/>
        <v>3</v>
      </c>
      <c r="G14" s="48">
        <f>IF(AND($C14="",$C13&lt;&gt;""),"Tổng Cộng",IFERROR(VLOOKUP($A14,Sheet1!$A$1:$D$98,4,0),""))</f>
        <v>35000</v>
      </c>
      <c r="H14" s="198">
        <f>IF($C13=MAX($C$8:$C$56),SUM($H$8:$H13),IFERROR($G14*$F14,""))</f>
        <v>105000</v>
      </c>
      <c r="I14" s="85">
        <f t="shared" si="1"/>
        <v>1.5</v>
      </c>
      <c r="L14" s="47">
        <f>IFERROR(VLOOKUP($A14,Sheet1!$A$5:$D$98,4,0),"")</f>
        <v>35000</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691000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275</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6.5</v>
      </c>
      <c r="L7" s="193" t="s">
        <v>18</v>
      </c>
    </row>
    <row r="8" spans="1:14" s="45" customFormat="1" ht="14.25" customHeight="1" x14ac:dyDescent="0.25">
      <c r="A8" s="200">
        <v>5</v>
      </c>
      <c r="B8" s="200">
        <v>1</v>
      </c>
      <c r="C8" s="46">
        <f t="shared" ref="C8:C37" si="0">IF(OR(SUM($C7,$A8&lt;&gt;"")=0,$A8=""),"",SUM($C7,$A8&lt;&gt;""))</f>
        <v>1</v>
      </c>
      <c r="D8" s="196" t="str">
        <f>IFERROR(VLOOKUP($A8,Sheet1!$A$1:$B$98,2,0),"")</f>
        <v>Chả tôm hình Surimi LC</v>
      </c>
      <c r="E8" s="197">
        <f>IFERROR(VLOOKUP($A8,'Tổng Đơn'!$A$5:$E$103,5,0),"")</f>
        <v>0.5</v>
      </c>
      <c r="F8" s="46">
        <f>IF($B8="","",B8)</f>
        <v>1</v>
      </c>
      <c r="G8" s="48">
        <f>IFERROR(VLOOKUP($A8,Sheet1!$A1:$D$98,4,0),"")</f>
        <v>38000</v>
      </c>
      <c r="H8" s="198">
        <f>IF($C7=MAX($C$8:$C$56),SUM($H7:$H$8),IFERROR($G8*$F8,""))</f>
        <v>38000</v>
      </c>
      <c r="I8" s="85">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200">
        <v>6</v>
      </c>
      <c r="B9" s="200">
        <v>1</v>
      </c>
      <c r="C9" s="46">
        <f t="shared" si="0"/>
        <v>2</v>
      </c>
      <c r="D9" s="196" t="str">
        <f>IFERROR(VLOOKUP($A9,Sheet1!$A$1:$B$98,2,0),"")</f>
        <v>Mực tẩm bột LC</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16</v>
      </c>
      <c r="B10" s="200">
        <v>3</v>
      </c>
      <c r="C10" s="46">
        <f t="shared" si="0"/>
        <v>3</v>
      </c>
      <c r="D10" s="196" t="str">
        <f>IFERROR(VLOOKUP($A10,Sheet1!$A$1:$B$98,2,0),"")</f>
        <v>Phô mai que (13 que)</v>
      </c>
      <c r="E10" s="46">
        <f>IFERROR(VLOOKUP($A10,'Tổng Đơn'!$A$5:$E$103,5,0),"")</f>
        <v>0.5</v>
      </c>
      <c r="F10" s="46">
        <f t="shared" ref="F10:F37" si="2">IF($B10="","",B10)</f>
        <v>3</v>
      </c>
      <c r="G10" s="48">
        <f>IF(AND($C10="",$C9&lt;&gt;""),"Tổng Cộng",IFERROR(VLOOKUP($A10,Sheet1!$A$1:$D$98,4,0),""))</f>
        <v>40000</v>
      </c>
      <c r="H10" s="198">
        <f>IF($C9=MAX($C$8:$C$56),SUM($H$8:$H9),IFERROR($G10*$F10,""))</f>
        <v>120000</v>
      </c>
      <c r="I10" s="85">
        <f t="shared" si="1"/>
        <v>1.5</v>
      </c>
      <c r="L10" s="47">
        <f>IFERROR(VLOOKUP($A10,Sheet1!$A$5:$D$98,4,0),"")</f>
        <v>40000</v>
      </c>
    </row>
    <row r="11" spans="1:14" s="45" customFormat="1" ht="14.25" customHeight="1" x14ac:dyDescent="0.25">
      <c r="A11" s="200">
        <v>17</v>
      </c>
      <c r="B11" s="200">
        <v>1</v>
      </c>
      <c r="C11" s="46">
        <f t="shared" si="0"/>
        <v>4</v>
      </c>
      <c r="D11" s="196" t="str">
        <f>IFERROR(VLOOKUP($A11,Sheet1!$A$1:$B$98,2,0),"")</f>
        <v>Phô mai viên (35v)</v>
      </c>
      <c r="E11" s="46">
        <f>IFERROR(VLOOKUP($A11,'Tổng Đơn'!$A$5:$E$103,5,0),"")</f>
        <v>0.5</v>
      </c>
      <c r="F11" s="46">
        <f t="shared" si="2"/>
        <v>1</v>
      </c>
      <c r="G11" s="48">
        <f>IF(AND($C11="",$C10&lt;&gt;""),"Tổng Cộng",IFERROR(VLOOKUP($A11,Sheet1!$A$1:$D$98,4,0),""))</f>
        <v>40000</v>
      </c>
      <c r="H11" s="198">
        <f>IF($C10=MAX($C$8:$C$56),SUM($H$8:$H10),IFERROR($G11*$F11,""))</f>
        <v>40000</v>
      </c>
      <c r="I11" s="85">
        <f t="shared" si="1"/>
        <v>0.5</v>
      </c>
      <c r="L11" s="47">
        <f>IFERROR(VLOOKUP($A11,Sheet1!$A$5:$D$98,4,0),"")</f>
        <v>40000</v>
      </c>
    </row>
    <row r="12" spans="1:14" s="45" customFormat="1" ht="14.25" customHeight="1" x14ac:dyDescent="0.25">
      <c r="A12" s="200">
        <v>20</v>
      </c>
      <c r="B12" s="200">
        <v>1</v>
      </c>
      <c r="C12" s="46">
        <f t="shared" si="0"/>
        <v>5</v>
      </c>
      <c r="D12" s="196" t="str">
        <f>IFERROR(VLOOKUP($A12,Sheet1!$A$1:$B$98,2,0),"")</f>
        <v>XX Đỏ ĐNA (bao xanh)</v>
      </c>
      <c r="E12" s="46">
        <f>IFERROR(VLOOKUP($A12,'Tổng Đơn'!$A$5:$E$103,5,0),"")</f>
        <v>0.5</v>
      </c>
      <c r="F12" s="46">
        <f t="shared" si="2"/>
        <v>1</v>
      </c>
      <c r="G12" s="48">
        <f>IF(AND($C12="",$C11&lt;&gt;""),"Tổng Cộng",IFERROR(VLOOKUP($A12,Sheet1!$A$1:$D$98,4,0),""))</f>
        <v>26000</v>
      </c>
      <c r="H12" s="198">
        <f>IF($C11=MAX($C$8:$C$56),SUM($H$8:$H11),IFERROR($G12*$F12,""))</f>
        <v>26000</v>
      </c>
      <c r="I12" s="85">
        <f t="shared" si="1"/>
        <v>0.5</v>
      </c>
      <c r="J12" s="166"/>
      <c r="L12" s="47"/>
      <c r="M12" s="175"/>
      <c r="N12" s="167"/>
    </row>
    <row r="13" spans="1:14" s="45" customFormat="1" ht="14.25" customHeight="1" x14ac:dyDescent="0.25">
      <c r="A13" s="200">
        <v>50</v>
      </c>
      <c r="B13" s="200">
        <v>1</v>
      </c>
      <c r="C13" s="46">
        <f t="shared" si="0"/>
        <v>6</v>
      </c>
      <c r="D13" s="196" t="str">
        <f>IFERROR(VLOOKUP($A13,Sheet1!$A$1:$B$98,2,0),"")</f>
        <v>Bò lá lốt</v>
      </c>
      <c r="E13" s="46">
        <f>IFERROR(VLOOKUP($A13,'Tổng Đơn'!$A$5:$E$103,5,0),"")</f>
        <v>0.5</v>
      </c>
      <c r="F13" s="46">
        <f t="shared" si="2"/>
        <v>1</v>
      </c>
      <c r="G13" s="48">
        <f>IF(AND($C13="",$C12&lt;&gt;""),"Tổng Cộng",IFERROR(VLOOKUP($A13,Sheet1!$A$1:$D$98,4,0),""))</f>
        <v>42000</v>
      </c>
      <c r="H13" s="198">
        <f>IF($C12=MAX($C$8:$C$56),SUM($H$8:$H12),IFERROR($G13*$F13,""))</f>
        <v>42000</v>
      </c>
      <c r="I13" s="85">
        <f t="shared" si="1"/>
        <v>0.5</v>
      </c>
      <c r="L13" s="47"/>
    </row>
    <row r="14" spans="1:14" s="45" customFormat="1" ht="14.25" customHeight="1" x14ac:dyDescent="0.25">
      <c r="A14" s="200">
        <v>57</v>
      </c>
      <c r="B14" s="200">
        <v>1</v>
      </c>
      <c r="C14" s="46">
        <f t="shared" si="0"/>
        <v>7</v>
      </c>
      <c r="D14" s="196" t="str">
        <f>IFERROR(VLOOKUP($A14,Sheet1!$A$1:$B$98,2,0),"")</f>
        <v>Hồ lô HM</v>
      </c>
      <c r="E14" s="46">
        <f>IFERROR(VLOOKUP($A14,'Tổng Đơn'!$A$5:$E$103,5,0),"")</f>
        <v>0.5</v>
      </c>
      <c r="F14" s="46">
        <f t="shared" si="2"/>
        <v>1</v>
      </c>
      <c r="G14" s="48">
        <f>IF(AND($C14="",$C13&lt;&gt;""),"Tổng Cộng",IFERROR(VLOOKUP($A14,Sheet1!$A$1:$D$98,4,0),""))</f>
        <v>42000</v>
      </c>
      <c r="H14" s="198">
        <f>IF($C13=MAX($C$8:$C$56),SUM($H$8:$H13),IFERROR($G14*$F14,""))</f>
        <v>42000</v>
      </c>
      <c r="I14" s="85">
        <f t="shared" si="1"/>
        <v>0.5</v>
      </c>
      <c r="L14" s="47">
        <f>IFERROR(VLOOKUP($A14,Sheet1!$A$5:$D$98,4,0),"")</f>
        <v>42000</v>
      </c>
      <c r="M14" s="176"/>
    </row>
    <row r="15" spans="1:14" s="45" customFormat="1" ht="14.25" customHeight="1" x14ac:dyDescent="0.25">
      <c r="A15" s="200">
        <v>64</v>
      </c>
      <c r="B15" s="200">
        <v>1</v>
      </c>
      <c r="C15" s="46">
        <f t="shared" si="0"/>
        <v>8</v>
      </c>
      <c r="D15" s="196" t="str">
        <f>IFERROR(VLOOKUP($A15,Sheet1!$A$1:$B$98,2,0),"")</f>
        <v>Mực xoắn ống</v>
      </c>
      <c r="E15" s="46">
        <f>IFERROR(VLOOKUP($A15,'Tổng Đơn'!$A$5:$E$103,5,0),"")</f>
        <v>0.5</v>
      </c>
      <c r="F15" s="46">
        <f t="shared" si="2"/>
        <v>1</v>
      </c>
      <c r="G15" s="48">
        <f>IF(AND($C15="",$C14&lt;&gt;""),"Tổng Cộng",IFERROR(VLOOKUP($A15,Sheet1!$A$1:$D$98,4,0),""))</f>
        <v>45000</v>
      </c>
      <c r="H15" s="198">
        <f>IF($C14=MAX($C$8:$C$56),SUM($H$8:$H14),IFERROR($G15*$F15,""))</f>
        <v>45000</v>
      </c>
      <c r="I15" s="85">
        <f t="shared" si="1"/>
        <v>0.5</v>
      </c>
      <c r="L15" s="47">
        <f>IFERROR(VLOOKUP($A15,Sheet1!$A$5:$D$98,4,0),"")</f>
        <v>45000</v>
      </c>
    </row>
    <row r="16" spans="1:14" s="45" customFormat="1" ht="14.25" customHeight="1" x14ac:dyDescent="0.25">
      <c r="A16" s="200">
        <v>66</v>
      </c>
      <c r="B16" s="200">
        <v>2</v>
      </c>
      <c r="C16" s="46">
        <f t="shared" si="0"/>
        <v>9</v>
      </c>
      <c r="D16" s="196" t="str">
        <f>IFERROR(VLOOKUP($A16,Sheet1!$A$1:$B$98,2,0),"")</f>
        <v>Cá viên KK</v>
      </c>
      <c r="E16" s="46">
        <f>IFERROR(VLOOKUP($A16,'Tổng Đơn'!$A$5:$E$103,5,0),"")</f>
        <v>0.5</v>
      </c>
      <c r="F16" s="46">
        <f t="shared" si="2"/>
        <v>2</v>
      </c>
      <c r="G16" s="48">
        <f>IF(AND($C16="",$C15&lt;&gt;""),"Tổng Cộng",IFERROR(VLOOKUP($A16,Sheet1!$A$1:$D$98,4,0),""))</f>
        <v>23000</v>
      </c>
      <c r="H16" s="198">
        <f>IF($C15=MAX($C$8:$C$56),SUM($H$8:$H15),IFERROR($G16*$F16,""))</f>
        <v>46000</v>
      </c>
      <c r="I16" s="85">
        <f t="shared" si="1"/>
        <v>1</v>
      </c>
      <c r="L16" s="47">
        <f>IFERROR(VLOOKUP($A16,Sheet1!$A$5:$D$98,4,0),"")</f>
        <v>23000</v>
      </c>
    </row>
    <row r="17" spans="1:12" s="45" customFormat="1" ht="14.25" customHeight="1" x14ac:dyDescent="0.25">
      <c r="A17" s="200">
        <v>71</v>
      </c>
      <c r="B17" s="200">
        <v>1</v>
      </c>
      <c r="C17" s="46">
        <f t="shared" si="0"/>
        <v>10</v>
      </c>
      <c r="D17" s="196" t="str">
        <f>IFERROR(VLOOKUP($A17,Sheet1!$A$1:$B$98,2,0),"")</f>
        <v>XX Đức KK</v>
      </c>
      <c r="E17" s="46">
        <f>IFERROR(VLOOKUP($A17,'Tổng Đơn'!$A$5:$E$103,5,0),"")</f>
        <v>0.5</v>
      </c>
      <c r="F17" s="46">
        <f t="shared" si="2"/>
        <v>1</v>
      </c>
      <c r="G17" s="48">
        <f>IF(AND($C17="",$C16&lt;&gt;""),"Tổng Cộng",IFERROR(VLOOKUP($A17,Sheet1!$A$1:$D$98,4,0),""))</f>
        <v>35000</v>
      </c>
      <c r="H17" s="198">
        <f>IF($C16=MAX($C$8:$C$56),SUM($H$8:$H16),IFERROR($G17*$F17,""))</f>
        <v>35000</v>
      </c>
      <c r="I17" s="85">
        <f t="shared" si="1"/>
        <v>0.5</v>
      </c>
      <c r="L17" s="47">
        <f>IFERROR(VLOOKUP($A17,Sheet1!$A$5:$D$98,4,0),"")</f>
        <v>35000</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Tổng Cộng</v>
      </c>
      <c r="H18" s="198">
        <f>IF($C17=MAX($C$8:$C$56),SUM($H$8:$H17),IFERROR($G18*$F18,""))</f>
        <v>476000</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274</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1</v>
      </c>
      <c r="B8" s="200">
        <v>1</v>
      </c>
      <c r="C8" s="46">
        <f t="shared" ref="C8:C37" si="0">IF(OR(SUM($C7,$A8&lt;&gt;"")=0,$A8=""),"",SUM($C7,$A8&lt;&gt;""))</f>
        <v>1</v>
      </c>
      <c r="D8" s="196" t="str">
        <f>IFERROR(VLOOKUP($A8,Sheet1!$A$1:$B$98,2,0),"")</f>
        <v>Cá viên LC</v>
      </c>
      <c r="E8" s="197">
        <f>IFERROR(VLOOKUP($A8,'Tổng Đơn'!$A$5:$E$103,5,0),"")</f>
        <v>0.5</v>
      </c>
      <c r="F8" s="46">
        <f>IF($B8="","",B8)</f>
        <v>1</v>
      </c>
      <c r="G8" s="48">
        <f>IFERROR(VLOOKUP($A8,Sheet1!$A1:$D$98,4,0),"")</f>
        <v>27000</v>
      </c>
      <c r="H8" s="198">
        <f>IF($C7=MAX($C$8:$C$56),SUM($H7:$H$8),IFERROR($G8*$F8,""))</f>
        <v>27000</v>
      </c>
      <c r="I8" s="85">
        <f t="shared" ref="I8:I37" si="1">IF(TYPE($A8)&lt;&gt;1,"",IFERROR(F8*E8,""))</f>
        <v>0.5</v>
      </c>
      <c r="J8" s="45" t="str">
        <f>IF(SUMPRODUCT(($F$8:$F$18),($L$8:$L$18))&gt;=200000,"KM 15%",IF(SUMPRODUCT(($F$8:$F$18),($L$8:$L$18))&gt;=100000,"KM 10%",""))</f>
        <v/>
      </c>
      <c r="L8" s="48">
        <f>IFERROR(VLOOKUP($A8,Sheet1!$A$5:$D$98,4,0),"")</f>
        <v>27000</v>
      </c>
    </row>
    <row r="9" spans="1:14" s="45" customFormat="1" ht="14.25" customHeight="1" x14ac:dyDescent="0.25">
      <c r="A9" s="200">
        <v>21</v>
      </c>
      <c r="B9" s="200">
        <v>1</v>
      </c>
      <c r="C9" s="46">
        <f t="shared" si="0"/>
        <v>2</v>
      </c>
      <c r="D9" s="196" t="str">
        <f>IFERROR(VLOOKUP($A9,Sheet1!$A$1:$B$98,2,0),"")</f>
        <v>XX Đức HS ĐNA</v>
      </c>
      <c r="E9" s="46">
        <f>IFERROR(VLOOKUP($A9,'Tổng Đơn'!$A$5:$E$103,5,0),"")</f>
        <v>0.5</v>
      </c>
      <c r="F9" s="46">
        <f>IF($B9="","",B9)</f>
        <v>1</v>
      </c>
      <c r="G9" s="48">
        <f>IF(AND($C9="",$C8&lt;&gt;""),"Tổng Cộng",IFERROR(VLOOKUP($A9,Sheet1!$A$1:$D$98,4,0),""))</f>
        <v>33000</v>
      </c>
      <c r="H9" s="198">
        <f>IF($C8=MAX($C$8:$C$56),SUM($H$8:$H8),IFERROR($G9*$F9,""))</f>
        <v>33000</v>
      </c>
      <c r="I9" s="85">
        <f t="shared" si="1"/>
        <v>0.5</v>
      </c>
      <c r="L9" s="47">
        <f>IFERROR(VLOOKUP($A9,Sheet1!$A$5:$D$98,4,0),"")</f>
        <v>33000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60000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10" activePane="bottomLeft" state="frozen"/>
      <selection activeCell="H16" sqref="H16"/>
      <selection pane="bottomLeft" activeCell="F25" sqref="F25:F2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273</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7.5</v>
      </c>
      <c r="L7" s="193" t="s">
        <v>18</v>
      </c>
    </row>
    <row r="8" spans="1:14" s="45" customFormat="1" ht="14.25" customHeight="1" x14ac:dyDescent="0.25">
      <c r="A8" s="200">
        <v>68</v>
      </c>
      <c r="B8" s="200">
        <v>2</v>
      </c>
      <c r="C8" s="46">
        <f t="shared" ref="C8:C37" si="0">IF(OR(SUM($C7,$A8&lt;&gt;"")=0,$A8=""),"",SUM($C7,$A8&lt;&gt;""))</f>
        <v>1</v>
      </c>
      <c r="D8" s="196" t="str">
        <f>IFERROR(VLOOKUP($A8,Sheet1!$A$1:$B$98,2,0),"")</f>
        <v>Bò viên KK</v>
      </c>
      <c r="E8" s="197">
        <f>IFERROR(VLOOKUP($A8,'Tổng Đơn'!$A$5:$E$103,5,0),"")</f>
        <v>0.5</v>
      </c>
      <c r="F8" s="46">
        <f>IF($B8="","",B8)</f>
        <v>2</v>
      </c>
      <c r="G8" s="48">
        <f>IFERROR(VLOOKUP($A8,Sheet1!$A1:$D$98,4,0),"")</f>
        <v>26000</v>
      </c>
      <c r="H8" s="198">
        <f>IF($C7=MAX($C$8:$C$56),SUM($H7:$H$8),IFERROR($G8*$F8,""))</f>
        <v>52000</v>
      </c>
      <c r="I8" s="85">
        <f t="shared" ref="I8:I37" si="1">IF(TYPE($A8)&lt;&gt;1,"",IFERROR(F8*E8,""))</f>
        <v>1</v>
      </c>
      <c r="J8" s="45" t="str">
        <f>IF(SUMPRODUCT(($F$8:$F$18),($L$8:$L$18))&gt;=200000,"KM 15%",IF(SUMPRODUCT(($F$8:$F$18),($L$8:$L$18))&gt;=100000,"KM 10%",""))</f>
        <v>KM 15%</v>
      </c>
      <c r="L8" s="48">
        <f>IFERROR(VLOOKUP($A8,Sheet1!$A$5:$D$98,4,0),"")</f>
        <v>26000</v>
      </c>
    </row>
    <row r="9" spans="1:14" s="45" customFormat="1" ht="14.25" customHeight="1" x14ac:dyDescent="0.25">
      <c r="A9" s="200">
        <v>69</v>
      </c>
      <c r="B9" s="200">
        <v>2</v>
      </c>
      <c r="C9" s="46">
        <f t="shared" si="0"/>
        <v>2</v>
      </c>
      <c r="D9" s="196" t="str">
        <f>IFERROR(VLOOKUP($A9,Sheet1!$A$1:$B$98,2,0),"")</f>
        <v>Tôm viên KK</v>
      </c>
      <c r="E9" s="46">
        <f>IFERROR(VLOOKUP($A9,'Tổng Đơn'!$A$5:$E$103,5,0),"")</f>
        <v>0.5</v>
      </c>
      <c r="F9" s="46">
        <f>IF($B9="","",B9)</f>
        <v>2</v>
      </c>
      <c r="G9" s="48">
        <f>IF(AND($C9="",$C8&lt;&gt;""),"Tổng Cộng",IFERROR(VLOOKUP($A9,Sheet1!$A$1:$D$98,4,0),""))</f>
        <v>26000</v>
      </c>
      <c r="H9" s="198">
        <f>IF($C8=MAX($C$8:$C$56),SUM($H$8:$H8),IFERROR($G9*$F9,""))</f>
        <v>52000</v>
      </c>
      <c r="I9" s="85">
        <f t="shared" si="1"/>
        <v>1</v>
      </c>
      <c r="L9" s="47">
        <f>IFERROR(VLOOKUP($A9,Sheet1!$A$5:$D$98,4,0),"")</f>
        <v>26000</v>
      </c>
    </row>
    <row r="10" spans="1:14" s="45" customFormat="1" ht="14.25" customHeight="1" x14ac:dyDescent="0.25">
      <c r="A10" s="200">
        <v>70</v>
      </c>
      <c r="B10" s="200">
        <v>10</v>
      </c>
      <c r="C10" s="46">
        <f t="shared" si="0"/>
        <v>3</v>
      </c>
      <c r="D10" s="196" t="str">
        <f>IFERROR(VLOOKUP($A10,Sheet1!$A$1:$B$98,2,0),"")</f>
        <v>XX Đỏ KK</v>
      </c>
      <c r="E10" s="46">
        <f>IFERROR(VLOOKUP($A10,'Tổng Đơn'!$A$5:$E$103,5,0),"")</f>
        <v>0.5</v>
      </c>
      <c r="F10" s="46">
        <f t="shared" ref="F10:F37" si="2">IF($B10="","",B10)</f>
        <v>10</v>
      </c>
      <c r="G10" s="48">
        <f>IF(AND($C10="",$C9&lt;&gt;""),"Tổng Cộng",IFERROR(VLOOKUP($A10,Sheet1!$A$1:$D$98,4,0),""))</f>
        <v>26000</v>
      </c>
      <c r="H10" s="198">
        <f>IF($C9=MAX($C$8:$C$56),SUM($H$8:$H9),IFERROR($G10*$F10,""))</f>
        <v>260000</v>
      </c>
      <c r="I10" s="85">
        <f t="shared" si="1"/>
        <v>5</v>
      </c>
      <c r="L10" s="47">
        <f>IFERROR(VLOOKUP($A10,Sheet1!$A$5:$D$98,4,0),"")</f>
        <v>26000</v>
      </c>
    </row>
    <row r="11" spans="1:14" s="45" customFormat="1" ht="14.25" customHeight="1" x14ac:dyDescent="0.25">
      <c r="A11" s="200">
        <v>73</v>
      </c>
      <c r="B11" s="200">
        <v>1</v>
      </c>
      <c r="C11" s="46">
        <f t="shared" si="0"/>
        <v>4</v>
      </c>
      <c r="D11" s="196" t="str">
        <f>IFERROR(VLOOKUP($A11,Sheet1!$A$1:$B$98,2,0),"")</f>
        <v>Bánh bao thả lẩu Trứng cá KK</v>
      </c>
      <c r="E11" s="46">
        <f>IFERROR(VLOOKUP($A11,'Tổng Đơn'!$A$5:$E$103,5,0),"")</f>
        <v>0.5</v>
      </c>
      <c r="F11" s="46">
        <f t="shared" si="2"/>
        <v>1</v>
      </c>
      <c r="G11" s="48">
        <f>IF(AND($C11="",$C10&lt;&gt;""),"Tổng Cộng",IFERROR(VLOOKUP($A11,Sheet1!$A$1:$D$98,4,0),""))</f>
        <v>43000</v>
      </c>
      <c r="H11" s="198">
        <f>IF($C10=MAX($C$8:$C$56),SUM($H$8:$H10),IFERROR($G11*$F11,""))</f>
        <v>43000</v>
      </c>
      <c r="I11" s="85">
        <f t="shared" si="1"/>
        <v>0.5</v>
      </c>
      <c r="L11" s="47">
        <f>IFERROR(VLOOKUP($A11,Sheet1!$A$5:$D$98,4,0),"")</f>
        <v>43000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407000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272</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1.9</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65</v>
      </c>
      <c r="B9" s="200">
        <v>3</v>
      </c>
      <c r="C9" s="46">
        <f t="shared" si="0"/>
        <v>2</v>
      </c>
      <c r="D9" s="196" t="str">
        <f>IFERROR(VLOOKUP($A9,Sheet1!$A$1:$B$98,2,0),"")</f>
        <v>Bánh bao ngọt không nhân</v>
      </c>
      <c r="E9" s="46">
        <f>IFERROR(VLOOKUP($A9,'Tổng Đơn'!$A$5:$E$103,5,0),"")</f>
        <v>0.3</v>
      </c>
      <c r="F9" s="46">
        <f>IF($B9="","",B9)</f>
        <v>3</v>
      </c>
      <c r="G9" s="48">
        <f>IF(AND($C9="",$C8&lt;&gt;""),"Tổng Cộng",IFERROR(VLOOKUP($A9,Sheet1!$A$1:$D$98,4,0),""))</f>
        <v>18000</v>
      </c>
      <c r="H9" s="198">
        <f>IF($C8=MAX($C$8:$C$56),SUM($H$8:$H8),IFERROR($G9*$F9,""))</f>
        <v>54000</v>
      </c>
      <c r="I9" s="85">
        <f t="shared" si="1"/>
        <v>0.89999999999999991</v>
      </c>
      <c r="L9" s="47">
        <f>IFERROR(VLOOKUP($A9,Sheet1!$A$5:$D$98,4,0),"")</f>
        <v>18000</v>
      </c>
    </row>
    <row r="10" spans="1:14" s="45" customFormat="1" ht="14.25" customHeight="1" x14ac:dyDescent="0.25">
      <c r="A10" s="200">
        <v>71</v>
      </c>
      <c r="B10" s="200">
        <v>1</v>
      </c>
      <c r="C10" s="46">
        <f t="shared" si="0"/>
        <v>3</v>
      </c>
      <c r="D10" s="196" t="str">
        <f>IFERROR(VLOOKUP($A10,Sheet1!$A$1:$B$98,2,0),"")</f>
        <v>XX Đức KK</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134000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A4" sqref="A4:XFD4"/>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271</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t="s">
        <v>221</v>
      </c>
      <c r="B8" s="200">
        <v>1.3</v>
      </c>
      <c r="C8" s="46">
        <f t="shared" ref="C8:C37" si="0">IF(OR(SUM($C7,$A8&lt;&gt;"")=0,$A8=""),"",SUM($C7,$A8&lt;&gt;""))</f>
        <v>1</v>
      </c>
      <c r="D8" s="196" t="str">
        <f>IFERROR(VLOOKUP($A8,Sheet1!$A$1:$B$98,2,0),"")</f>
        <v>0-Đùi tỏi Gà</v>
      </c>
      <c r="E8" s="197">
        <f>IFERROR(VLOOKUP($A8,'Tổng Đơn'!$A$5:$E$103,5,0),"")</f>
        <v>1</v>
      </c>
      <c r="F8" s="46">
        <f>IF($B8="","",B8)</f>
        <v>1.3</v>
      </c>
      <c r="G8" s="48">
        <f>IFERROR(VLOOKUP($A8,Sheet1!$A1:$D$98,4,0),"")</f>
        <v>45000</v>
      </c>
      <c r="H8" s="198">
        <f>IF($C7=MAX($C$8:$C$56),SUM($H7:$H$8),IFERROR($G8*$F8,""))</f>
        <v>58500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58500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270</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26</v>
      </c>
      <c r="B8" s="200">
        <v>2</v>
      </c>
      <c r="C8" s="46">
        <f t="shared" ref="C8:C37" si="0">IF(OR(SUM($C7,$A8&lt;&gt;"")=0,$A8=""),"",SUM($C7,$A8&lt;&gt;""))</f>
        <v>1</v>
      </c>
      <c r="D8" s="196" t="str">
        <f>IFERROR(VLOOKUP($A8,Sheet1!$A$1:$B$98,2,0),"")</f>
        <v>Chả giò Rế tôm mực LC</v>
      </c>
      <c r="E8" s="197">
        <f>IFERROR(VLOOKUP($A8,'Tổng Đơn'!$A$5:$E$103,5,0),"")</f>
        <v>0.5</v>
      </c>
      <c r="F8" s="46">
        <f>IF($B8="","",B8)</f>
        <v>2</v>
      </c>
      <c r="G8" s="48">
        <f>IFERROR(VLOOKUP($A8,Sheet1!$A1:$D$98,4,0),"")</f>
        <v>45000</v>
      </c>
      <c r="H8" s="198">
        <f>IF($C7=MAX($C$8:$C$56),SUM($H7:$H$8),IFERROR($G8*$F8,""))</f>
        <v>90000</v>
      </c>
      <c r="I8" s="85">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200" t="s">
        <v>220</v>
      </c>
      <c r="B9" s="200">
        <v>1</v>
      </c>
      <c r="C9" s="46">
        <f t="shared" si="0"/>
        <v>2</v>
      </c>
      <c r="D9" s="196" t="str">
        <f>IFERROR(VLOOKUP($A9,Sheet1!$A$1:$B$98,2,0),"")</f>
        <v>0-Cánh Gà</v>
      </c>
      <c r="E9" s="46">
        <f>IFERROR(VLOOKUP($A9,'Tổng Đơn'!$A$5:$E$103,5,0),"")</f>
        <v>1</v>
      </c>
      <c r="F9" s="46">
        <f>IF($B9="","",B9)</f>
        <v>1</v>
      </c>
      <c r="G9" s="48">
        <f>IF(AND($C9="",$C8&lt;&gt;""),"Tổng Cộng",IFERROR(VLOOKUP($A9,Sheet1!$A$1:$D$98,4,0),""))</f>
        <v>70000</v>
      </c>
      <c r="H9" s="198">
        <f>IF($C8=MAX($C$8:$C$56),SUM($H$8:$H8),IFERROR($G9*$F9,""))</f>
        <v>70000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160000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268</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0.2</v>
      </c>
      <c r="L7" s="193" t="s">
        <v>18</v>
      </c>
    </row>
    <row r="8" spans="1:14" s="45" customFormat="1" ht="14.25" customHeight="1" x14ac:dyDescent="0.25">
      <c r="A8" s="200">
        <v>30</v>
      </c>
      <c r="B8" s="200">
        <v>1</v>
      </c>
      <c r="C8" s="46">
        <f t="shared" ref="C8:C37" si="0">IF(OR(SUM($C7,$A8&lt;&gt;"")=0,$A8=""),"",SUM($C7,$A8&lt;&gt;""))</f>
        <v>1</v>
      </c>
      <c r="D8" s="196" t="str">
        <f>IFERROR(VLOOKUP($A8,Sheet1!$A$1:$B$98,2,0),"")</f>
        <v>Cá Viên TVP nhỏ</v>
      </c>
      <c r="E8" s="197">
        <f>IFERROR(VLOOKUP($A8,'Tổng Đơn'!$A$5:$E$103,5,0),"")</f>
        <v>0.2</v>
      </c>
      <c r="F8" s="46">
        <f>IF($B8="","",B8)</f>
        <v>1</v>
      </c>
      <c r="G8" s="48">
        <f>IFERROR(VLOOKUP($A8,Sheet1!$A1:$D$98,4,0),"")</f>
        <v>14000</v>
      </c>
      <c r="H8" s="198">
        <f>IF($C7=MAX($C$8:$C$56),SUM($H7:$H$8),IFERROR($G8*$F8,""))</f>
        <v>14000</v>
      </c>
      <c r="I8" s="85">
        <f t="shared" ref="I8:I37" si="1">IF(TYPE($A8)&lt;&gt;1,"",IFERROR(F8*E8,""))</f>
        <v>0.2</v>
      </c>
      <c r="J8" s="45" t="str">
        <f>IF(SUMPRODUCT(($F$8:$F$18),($L$8:$L$18))&gt;=200000,"KM 15%",IF(SUMPRODUCT(($F$8:$F$18),($L$8:$L$18))&gt;=100000,"KM 10%",""))</f>
        <v/>
      </c>
      <c r="L8" s="48">
        <f>IFERROR(VLOOKUP($A8,Sheet1!$A$5:$D$98,4,0),"")</f>
        <v>14000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14000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9" t="s">
        <v>267</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4</v>
      </c>
      <c r="B8" s="200">
        <v>1</v>
      </c>
      <c r="C8" s="46">
        <f t="shared" ref="C8:C37" si="0">IF(OR(SUM($C7,$A8&lt;&gt;"")=0,$A8=""),"",SUM($C7,$A8&lt;&gt;""))</f>
        <v>1</v>
      </c>
      <c r="D8" s="196" t="str">
        <f>IFERROR(VLOOKUP($A8,Sheet1!$A$1:$B$98,2,0),"")</f>
        <v>Tôm viên HM</v>
      </c>
      <c r="E8" s="197">
        <f>IFERROR(VLOOKUP($A8,'Tổng Đơn'!$A$5:$E$103,5,0),"")</f>
        <v>0.5</v>
      </c>
      <c r="F8" s="46">
        <f>IF($B8="","",B8)</f>
        <v>1</v>
      </c>
      <c r="G8" s="48">
        <f>IFERROR(VLOOKUP($A8,Sheet1!$A1:$D$98,4,0),"")</f>
        <v>30000</v>
      </c>
      <c r="H8" s="198">
        <f>IF($C7=MAX($C$8:$C$56),SUM($H7:$H$8),IFERROR($G8*$F8,""))</f>
        <v>30000</v>
      </c>
      <c r="I8" s="85">
        <f t="shared" ref="I8:I37" si="1">IF(TYPE($A8)&lt;&gt;1,"",IFERROR(F8*E8,""))</f>
        <v>0.5</v>
      </c>
      <c r="J8" s="45" t="str">
        <f>IF(SUMPRODUCT(($F$8:$F$18),($L$8:$L$18))&gt;=200000,"KM 15%",IF(SUMPRODUCT(($F$8:$F$18),($L$8:$L$18))&gt;=100000,"KM 10%",""))</f>
        <v>KM 10%</v>
      </c>
      <c r="L8" s="48">
        <f>IFERROR(VLOOKUP($A8,Sheet1!$A$5:$D$98,4,0),"")</f>
        <v>30000</v>
      </c>
    </row>
    <row r="9" spans="1:14" s="45" customFormat="1" ht="14.25" customHeight="1" x14ac:dyDescent="0.25">
      <c r="A9" s="200">
        <v>50</v>
      </c>
      <c r="B9" s="200">
        <v>1</v>
      </c>
      <c r="C9" s="46">
        <f t="shared" si="0"/>
        <v>2</v>
      </c>
      <c r="D9" s="196" t="str">
        <f>IFERROR(VLOOKUP($A9,Sheet1!$A$1:$B$98,2,0),"")</f>
        <v>Bò lá lốt</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71</v>
      </c>
      <c r="B10" s="200">
        <v>1</v>
      </c>
      <c r="C10" s="46">
        <f t="shared" si="0"/>
        <v>3</v>
      </c>
      <c r="D10" s="196" t="str">
        <f>IFERROR(VLOOKUP($A10,Sheet1!$A$1:$B$98,2,0),"")</f>
        <v>XX Đức KK</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v>72</v>
      </c>
      <c r="B11" s="200">
        <v>1</v>
      </c>
      <c r="C11" s="46">
        <f t="shared" si="0"/>
        <v>4</v>
      </c>
      <c r="D11" s="196" t="str">
        <f>IFERROR(VLOOKUP($A11,Sheet1!$A$1:$B$98,2,0),"")</f>
        <v>Hồ lô KK</v>
      </c>
      <c r="E11" s="46">
        <f>IFERROR(VLOOKUP($A11,'Tổng Đơn'!$A$5:$E$103,5,0),"")</f>
        <v>0.5</v>
      </c>
      <c r="F11" s="46">
        <f t="shared" si="2"/>
        <v>1</v>
      </c>
      <c r="G11" s="48">
        <f>IF(AND($C11="",$C10&lt;&gt;""),"Tổng Cộng",IFERROR(VLOOKUP($A11,Sheet1!$A$1:$D$98,4,0),""))</f>
        <v>40000</v>
      </c>
      <c r="H11" s="198">
        <f>IF($C10=MAX($C$8:$C$56),SUM($H$8:$H10),IFERROR($G11*$F11,""))</f>
        <v>40000</v>
      </c>
      <c r="I11" s="85">
        <f t="shared" si="1"/>
        <v>0.5</v>
      </c>
      <c r="L11" s="47">
        <f>IFERROR(VLOOKUP($A11,Sheet1!$A$5:$D$98,4,0),"")</f>
        <v>40000</v>
      </c>
    </row>
    <row r="12" spans="1:14" s="45" customFormat="1" ht="14.25" customHeight="1" x14ac:dyDescent="0.25">
      <c r="A12" s="200">
        <v>73</v>
      </c>
      <c r="B12" s="200">
        <v>1</v>
      </c>
      <c r="C12" s="46">
        <f t="shared" si="0"/>
        <v>5</v>
      </c>
      <c r="D12" s="196" t="str">
        <f>IFERROR(VLOOKUP($A12,Sheet1!$A$1:$B$98,2,0),"")</f>
        <v>Bánh bao thả lẩu Trứng cá KK</v>
      </c>
      <c r="E12" s="46">
        <f>IFERROR(VLOOKUP($A12,'Tổng Đơn'!$A$5:$E$103,5,0),"")</f>
        <v>0.5</v>
      </c>
      <c r="F12" s="46">
        <f t="shared" si="2"/>
        <v>1</v>
      </c>
      <c r="G12" s="48">
        <f>IF(AND($C12="",$C11&lt;&gt;""),"Tổng Cộng",IFERROR(VLOOKUP($A12,Sheet1!$A$1:$D$98,4,0),""))</f>
        <v>43000</v>
      </c>
      <c r="H12" s="198">
        <f>IF($C11=MAX($C$8:$C$56),SUM($H$8:$H11),IFERROR($G12*$F12,""))</f>
        <v>43000</v>
      </c>
      <c r="I12" s="85">
        <f t="shared" si="1"/>
        <v>0.5</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190000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8" t="s">
        <v>264</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A12" sqref="A12"/>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263</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1</v>
      </c>
      <c r="B8" s="200">
        <v>1</v>
      </c>
      <c r="C8" s="46">
        <f t="shared" ref="C8:C37" si="0">IF(OR(SUM($C7,$A8&lt;&gt;"")=0,$A8=""),"",SUM($C7,$A8&lt;&gt;""))</f>
        <v>1</v>
      </c>
      <c r="D8" s="196" t="str">
        <f>IFERROR(VLOOKUP($A8,Sheet1!$A$1:$B$98,2,0),"")</f>
        <v>Cá viên LC</v>
      </c>
      <c r="E8" s="197">
        <f>IFERROR(VLOOKUP($A8,'Tổng Đơn'!$A$5:$E$103,5,0),"")</f>
        <v>0.5</v>
      </c>
      <c r="F8" s="46">
        <f>IF($B8="","",B8)</f>
        <v>1</v>
      </c>
      <c r="G8" s="48">
        <f>IFERROR(VLOOKUP($A8,Sheet1!$A1:$D$98,4,0),"")</f>
        <v>27000</v>
      </c>
      <c r="H8" s="198">
        <f>IF($C7=MAX($C$8:$C$56),SUM($H7:$H$8),IFERROR($G8*$F8,""))</f>
        <v>27000</v>
      </c>
      <c r="I8" s="85">
        <f t="shared" ref="I8:I37" si="1">IF(TYPE($A8)&lt;&gt;1,"",IFERROR(F8*E8,""))</f>
        <v>0.5</v>
      </c>
      <c r="J8" s="45" t="str">
        <f>IF(SUMPRODUCT(($F$8:$F$18),($L$8:$L$18))&gt;=200000,"KM 15%",IF(SUMPRODUCT(($F$8:$F$18),($L$8:$L$18))&gt;=100000,"KM 10%",""))</f>
        <v>KM 10%</v>
      </c>
      <c r="L8" s="48">
        <f>IFERROR(VLOOKUP($A8,Sheet1!$A$5:$D$98,4,0),"")</f>
        <v>27000</v>
      </c>
    </row>
    <row r="9" spans="1:14" s="45" customFormat="1" ht="14.25" customHeight="1" x14ac:dyDescent="0.25">
      <c r="A9" s="200">
        <v>70</v>
      </c>
      <c r="B9" s="200">
        <v>1</v>
      </c>
      <c r="C9" s="46">
        <f t="shared" si="0"/>
        <v>2</v>
      </c>
      <c r="D9" s="196" t="str">
        <f>IFERROR(VLOOKUP($A9,Sheet1!$A$1:$B$98,2,0),"")</f>
        <v>XX Đỏ KK</v>
      </c>
      <c r="E9" s="46">
        <f>IFERROR(VLOOKUP($A9,'Tổng Đơn'!$A$5:$E$103,5,0),"")</f>
        <v>0.5</v>
      </c>
      <c r="F9" s="46">
        <f>IF($B9="","",B9)</f>
        <v>1</v>
      </c>
      <c r="G9" s="48">
        <f>IF(AND($C9="",$C8&lt;&gt;""),"Tổng Cộng",IFERROR(VLOOKUP($A9,Sheet1!$A$1:$D$98,4,0),""))</f>
        <v>26000</v>
      </c>
      <c r="H9" s="198">
        <f>IF($C8=MAX($C$8:$C$56),SUM($H$8:$H8),IFERROR($G9*$F9,""))</f>
        <v>26000</v>
      </c>
      <c r="I9" s="85">
        <f t="shared" si="1"/>
        <v>0.5</v>
      </c>
      <c r="L9" s="47">
        <f>IFERROR(VLOOKUP($A9,Sheet1!$A$5:$D$98,4,0),"")</f>
        <v>26000</v>
      </c>
    </row>
    <row r="10" spans="1:14" s="45" customFormat="1" ht="14.25" customHeight="1" x14ac:dyDescent="0.25">
      <c r="A10" s="200">
        <v>71</v>
      </c>
      <c r="B10" s="200">
        <v>2</v>
      </c>
      <c r="C10" s="46">
        <f t="shared" si="0"/>
        <v>3</v>
      </c>
      <c r="D10" s="196" t="str">
        <f>IFERROR(VLOOKUP($A10,Sheet1!$A$1:$B$98,2,0),"")</f>
        <v>XX Đức KK</v>
      </c>
      <c r="E10" s="46">
        <f>IFERROR(VLOOKUP($A10,'Tổng Đơn'!$A$5:$E$103,5,0),"")</f>
        <v>0.5</v>
      </c>
      <c r="F10" s="46">
        <f t="shared" ref="F10:F37" si="2">IF($B10="","",B10)</f>
        <v>2</v>
      </c>
      <c r="G10" s="48">
        <f>IF(AND($C10="",$C9&lt;&gt;""),"Tổng Cộng",IFERROR(VLOOKUP($A10,Sheet1!$A$1:$D$98,4,0),""))</f>
        <v>35000</v>
      </c>
      <c r="H10" s="198">
        <f>IF($C9=MAX($C$8:$C$56),SUM($H$8:$H9),IFERROR($G10*$F10,""))</f>
        <v>70000</v>
      </c>
      <c r="I10" s="85">
        <f t="shared" si="1"/>
        <v>1</v>
      </c>
      <c r="L10" s="47">
        <f>IFERROR(VLOOKUP($A10,Sheet1!$A$5:$D$98,4,0),"")</f>
        <v>35000</v>
      </c>
    </row>
    <row r="11" spans="1:14" s="45" customFormat="1" ht="14.25" customHeight="1" x14ac:dyDescent="0.25">
      <c r="A11" s="200">
        <v>66</v>
      </c>
      <c r="B11" s="200">
        <v>1</v>
      </c>
      <c r="C11" s="46">
        <f t="shared" si="0"/>
        <v>4</v>
      </c>
      <c r="D11" s="196" t="str">
        <f>IFERROR(VLOOKUP($A11,Sheet1!$A$1:$B$98,2,0),"")</f>
        <v>Cá viên KK</v>
      </c>
      <c r="E11" s="46">
        <f>IFERROR(VLOOKUP($A11,'Tổng Đơn'!$A$5:$E$103,5,0),"")</f>
        <v>0.5</v>
      </c>
      <c r="F11" s="46">
        <f t="shared" si="2"/>
        <v>1</v>
      </c>
      <c r="G11" s="48">
        <f>IF(AND($C11="",$C10&lt;&gt;""),"Tổng Cộng",IFERROR(VLOOKUP($A11,Sheet1!$A$1:$D$98,4,0),""))</f>
        <v>23000</v>
      </c>
      <c r="H11" s="198">
        <f>IF($C10=MAX($C$8:$C$56),SUM($H$8:$H10),IFERROR($G11*$F11,""))</f>
        <v>23000</v>
      </c>
      <c r="I11" s="85">
        <f t="shared" si="1"/>
        <v>0.5</v>
      </c>
      <c r="L11" s="47">
        <f>IFERROR(VLOOKUP($A11,Sheet1!$A$5:$D$98,4,0),"")</f>
        <v>23000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146000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G25" sqref="G2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262</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1</v>
      </c>
      <c r="B8" s="200">
        <v>1</v>
      </c>
      <c r="C8" s="46">
        <f t="shared" ref="C8:C37" si="0">IF(OR(SUM($C7,$A8&lt;&gt;"")=0,$A8=""),"",SUM($C7,$A8&lt;&gt;""))</f>
        <v>1</v>
      </c>
      <c r="D8" s="196" t="str">
        <f>IFERROR(VLOOKUP($A8,Sheet1!$A$1:$B$98,2,0),"")</f>
        <v>Cá viên LC</v>
      </c>
      <c r="E8" s="197">
        <f>IFERROR(VLOOKUP($A8,'Tổng Đơn'!$A$5:$E$103,5,0),"")</f>
        <v>0.5</v>
      </c>
      <c r="F8" s="46">
        <f>IF($B8="","",B8)</f>
        <v>1</v>
      </c>
      <c r="G8" s="48">
        <f>IFERROR(VLOOKUP($A8,Sheet1!$A1:$D$98,4,0),"")</f>
        <v>27000</v>
      </c>
      <c r="H8" s="198">
        <f>IF($C7=MAX($C$8:$C$56),SUM($H7:$H$8),IFERROR($G8*$F8,""))</f>
        <v>27000</v>
      </c>
      <c r="I8" s="85">
        <f t="shared" ref="I8:I37" si="1">IF(TYPE($A8)&lt;&gt;1,"",IFERROR(F8*E8,""))</f>
        <v>0.5</v>
      </c>
      <c r="J8" s="45" t="str">
        <f>IF(SUMPRODUCT(($F$8:$F$18),($L$8:$L$18))&gt;=200000,"KM 15%",IF(SUMPRODUCT(($F$8:$F$18),($L$8:$L$18))&gt;=100000,"KM 10%",""))</f>
        <v>KM 10%</v>
      </c>
      <c r="L8" s="48">
        <f>IFERROR(VLOOKUP($A8,Sheet1!$A$5:$D$98,4,0),"")</f>
        <v>27000</v>
      </c>
    </row>
    <row r="9" spans="1:14" s="45" customFormat="1" ht="14.25" customHeight="1" x14ac:dyDescent="0.25">
      <c r="A9" s="200">
        <v>2</v>
      </c>
      <c r="B9" s="200">
        <v>2</v>
      </c>
      <c r="C9" s="46">
        <f t="shared" si="0"/>
        <v>2</v>
      </c>
      <c r="D9" s="196" t="str">
        <f>IFERROR(VLOOKUP($A9,Sheet1!$A$1:$B$98,2,0),"")</f>
        <v>Cá viên HM</v>
      </c>
      <c r="E9" s="46">
        <f>IFERROR(VLOOKUP($A9,'Tổng Đơn'!$A$5:$E$103,5,0),"")</f>
        <v>0.5</v>
      </c>
      <c r="F9" s="46">
        <f>IF($B9="","",B9)</f>
        <v>2</v>
      </c>
      <c r="G9" s="48">
        <f>IF(AND($C9="",$C8&lt;&gt;""),"Tổng Cộng",IFERROR(VLOOKUP($A9,Sheet1!$A$1:$D$98,4,0),""))</f>
        <v>25000</v>
      </c>
      <c r="H9" s="198">
        <f>IF($C8=MAX($C$8:$C$56),SUM($H$8:$H8),IFERROR($G9*$F9,""))</f>
        <v>50000</v>
      </c>
      <c r="I9" s="85">
        <f t="shared" si="1"/>
        <v>1</v>
      </c>
      <c r="L9" s="47">
        <f>IFERROR(VLOOKUP($A9,Sheet1!$A$5:$D$98,4,0),"")</f>
        <v>25000</v>
      </c>
    </row>
    <row r="10" spans="1:14" s="45" customFormat="1" ht="14.25" customHeight="1" x14ac:dyDescent="0.25">
      <c r="A10" s="200">
        <v>5</v>
      </c>
      <c r="B10" s="200">
        <v>1</v>
      </c>
      <c r="C10" s="46">
        <f t="shared" si="0"/>
        <v>3</v>
      </c>
      <c r="D10" s="196" t="str">
        <f>IFERROR(VLOOKUP($A10,Sheet1!$A$1:$B$98,2,0),"")</f>
        <v>Chả tôm hình Surimi LC</v>
      </c>
      <c r="E10" s="46">
        <f>IFERROR(VLOOKUP($A10,'Tổng Đơn'!$A$5:$E$103,5,0),"")</f>
        <v>0.5</v>
      </c>
      <c r="F10" s="46">
        <f t="shared" ref="F10:F37" si="2">IF($B10="","",B10)</f>
        <v>1</v>
      </c>
      <c r="G10" s="48">
        <f>IF(AND($C10="",$C9&lt;&gt;""),"Tổng Cộng",IFERROR(VLOOKUP($A10,Sheet1!$A$1:$D$98,4,0),""))</f>
        <v>38000</v>
      </c>
      <c r="H10" s="198">
        <f>IF($C9=MAX($C$8:$C$56),SUM($H$8:$H9),IFERROR($G10*$F10,""))</f>
        <v>38000</v>
      </c>
      <c r="I10" s="85">
        <f t="shared" si="1"/>
        <v>0.5</v>
      </c>
      <c r="L10" s="47">
        <f>IFERROR(VLOOKUP($A10,Sheet1!$A$5:$D$98,4,0),"")</f>
        <v>38000</v>
      </c>
    </row>
    <row r="11" spans="1:14" s="45" customFormat="1" ht="14.25" customHeight="1" x14ac:dyDescent="0.25">
      <c r="A11" s="200">
        <v>71</v>
      </c>
      <c r="B11" s="200">
        <v>2</v>
      </c>
      <c r="C11" s="46">
        <f t="shared" si="0"/>
        <v>4</v>
      </c>
      <c r="D11" s="196" t="str">
        <f>IFERROR(VLOOKUP($A11,Sheet1!$A$1:$B$98,2,0),"")</f>
        <v>XX Đức KK</v>
      </c>
      <c r="E11" s="46">
        <f>IFERROR(VLOOKUP($A11,'Tổng Đơn'!$A$5:$E$103,5,0),"")</f>
        <v>0.5</v>
      </c>
      <c r="F11" s="46">
        <f t="shared" si="2"/>
        <v>2</v>
      </c>
      <c r="G11" s="48">
        <f>IF(AND($C11="",$C10&lt;&gt;""),"Tổng Cộng",IFERROR(VLOOKUP($A11,Sheet1!$A$1:$D$98,4,0),""))</f>
        <v>35000</v>
      </c>
      <c r="H11" s="198">
        <f>IF($C10=MAX($C$8:$C$56),SUM($H$8:$H10),IFERROR($G11*$F11,""))</f>
        <v>70000</v>
      </c>
      <c r="I11" s="85">
        <f t="shared" si="1"/>
        <v>1</v>
      </c>
      <c r="L11" s="47">
        <f>IFERROR(VLOOKUP($A11,Sheet1!$A$5:$D$98,4,0),"")</f>
        <v>35000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185000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269</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71</v>
      </c>
      <c r="B8" s="200">
        <v>5</v>
      </c>
      <c r="C8" s="46">
        <f t="shared" ref="C8:C37" si="0">IF(OR(SUM($C7,$A8&lt;&gt;"")=0,$A8=""),"",SUM($C7,$A8&lt;&gt;""))</f>
        <v>1</v>
      </c>
      <c r="D8" s="196" t="str">
        <f>IFERROR(VLOOKUP($A8,Sheet1!$A$1:$B$98,2,0),"")</f>
        <v>XX Đức KK</v>
      </c>
      <c r="E8" s="197">
        <f>IFERROR(VLOOKUP($A8,'Tổng Đơn'!$A$5:$E$103,5,0),"")</f>
        <v>0.5</v>
      </c>
      <c r="F8" s="46">
        <f>IF($B8="","",B8)</f>
        <v>5</v>
      </c>
      <c r="G8" s="48">
        <f>IFERROR(VLOOKUP($A8,Sheet1!$A1:$D$98,4,0),"")</f>
        <v>35000</v>
      </c>
      <c r="H8" s="198">
        <f>IF($C7=MAX($C$8:$C$56),SUM($H7:$H$8),IFERROR($G8*$F8,""))</f>
        <v>175000</v>
      </c>
      <c r="I8" s="85">
        <f t="shared" ref="I8:I37" si="1">IF(TYPE($A8)&lt;&gt;1,"",IFERROR(F8*E8,""))</f>
        <v>2.5</v>
      </c>
      <c r="J8" s="45" t="str">
        <f>IF(SUMPRODUCT(($F$8:$F$18),($L$8:$L$18))&gt;=200000,"KM 15%",IF(SUMPRODUCT(($F$8:$F$18),($L$8:$L$18))&gt;=100000,"KM 10%",""))</f>
        <v>KM 10%</v>
      </c>
      <c r="L8" s="48">
        <f>IFERROR(VLOOKUP($A8,Sheet1!$A$5:$D$98,4,0),"")</f>
        <v>35000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175000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O20" sqref="O2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261</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4.5999999999999996</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0">
        <v>9</v>
      </c>
      <c r="B9" s="200">
        <v>1</v>
      </c>
      <c r="C9" s="46">
        <f t="shared" si="0"/>
        <v>2</v>
      </c>
      <c r="D9" s="196" t="str">
        <f>IFERROR(VLOOKUP($A9,Sheet1!$A$1:$B$98,2,0),"")</f>
        <v>Hải sản sốt cam LC</v>
      </c>
      <c r="E9" s="46">
        <f>IFERROR(VLOOKUP($A9,'Tổng Đơn'!$A$5:$E$103,5,0),"")</f>
        <v>0.5</v>
      </c>
      <c r="F9" s="46">
        <f>IF($B9="","",B9)</f>
        <v>1</v>
      </c>
      <c r="G9" s="48">
        <f>IF(AND($C9="",$C8&lt;&gt;""),"Tổng Cộng",IFERROR(VLOOKUP($A9,Sheet1!$A$1:$D$98,4,0),""))</f>
        <v>45000</v>
      </c>
      <c r="H9" s="198">
        <f>IF($C8=MAX($C$8:$C$56),SUM($H$8:$H8),IFERROR($G9*$F9,""))</f>
        <v>45000</v>
      </c>
      <c r="I9" s="85">
        <f t="shared" si="1"/>
        <v>0.5</v>
      </c>
      <c r="L9" s="47">
        <f>IFERROR(VLOOKUP($A9,Sheet1!$A$5:$D$98,4,0),"")</f>
        <v>45000</v>
      </c>
    </row>
    <row r="10" spans="1:14" s="45" customFormat="1" ht="14.25" customHeight="1" x14ac:dyDescent="0.25">
      <c r="A10" s="200">
        <v>50</v>
      </c>
      <c r="B10" s="200">
        <v>1</v>
      </c>
      <c r="C10" s="46">
        <f t="shared" si="0"/>
        <v>3</v>
      </c>
      <c r="D10" s="196" t="str">
        <f>IFERROR(VLOOKUP($A10,Sheet1!$A$1:$B$98,2,0),"")</f>
        <v>Bò lá lốt</v>
      </c>
      <c r="E10" s="46">
        <f>IFERROR(VLOOKUP($A10,'Tổng Đơn'!$A$5:$E$103,5,0),"")</f>
        <v>0.5</v>
      </c>
      <c r="F10" s="46">
        <f t="shared" ref="F10:F37" si="2">IF($B10="","",B10)</f>
        <v>1</v>
      </c>
      <c r="G10" s="48">
        <f>IF(AND($C10="",$C9&lt;&gt;""),"Tổng Cộng",IFERROR(VLOOKUP($A10,Sheet1!$A$1:$D$98,4,0),""))</f>
        <v>42000</v>
      </c>
      <c r="H10" s="198">
        <f>IF($C9=MAX($C$8:$C$56),SUM($H$8:$H9),IFERROR($G10*$F10,""))</f>
        <v>42000</v>
      </c>
      <c r="I10" s="85">
        <f t="shared" si="1"/>
        <v>0.5</v>
      </c>
      <c r="L10" s="47">
        <f>IFERROR(VLOOKUP($A10,Sheet1!$A$5:$D$98,4,0),"")</f>
        <v>42000</v>
      </c>
    </row>
    <row r="11" spans="1:14" s="45" customFormat="1" ht="14.25" customHeight="1" x14ac:dyDescent="0.25">
      <c r="A11" s="200">
        <v>56</v>
      </c>
      <c r="B11" s="200">
        <v>2</v>
      </c>
      <c r="C11" s="46">
        <f t="shared" si="0"/>
        <v>4</v>
      </c>
      <c r="D11" s="196" t="str">
        <f>IFERROR(VLOOKUP($A11,Sheet1!$A$1:$B$98,2,0),"")</f>
        <v>Đậu hủ phô mai EB</v>
      </c>
      <c r="E11" s="46">
        <f>IFERROR(VLOOKUP($A11,'Tổng Đơn'!$A$5:$E$103,5,0),"")</f>
        <v>0.5</v>
      </c>
      <c r="F11" s="46">
        <f t="shared" si="2"/>
        <v>2</v>
      </c>
      <c r="G11" s="48">
        <f>IF(AND($C11="",$C10&lt;&gt;""),"Tổng Cộng",IFERROR(VLOOKUP($A11,Sheet1!$A$1:$D$98,4,0),""))</f>
        <v>80000</v>
      </c>
      <c r="H11" s="198">
        <f>IF($C10=MAX($C$8:$C$56),SUM($H$8:$H10),IFERROR($G11*$F11,""))</f>
        <v>160000</v>
      </c>
      <c r="I11" s="85">
        <f t="shared" si="1"/>
        <v>1</v>
      </c>
      <c r="L11" s="47">
        <f>IFERROR(VLOOKUP($A11,Sheet1!$A$5:$D$98,4,0),"")</f>
        <v>80000</v>
      </c>
    </row>
    <row r="12" spans="1:14" s="45" customFormat="1" ht="14.25" customHeight="1" x14ac:dyDescent="0.25">
      <c r="A12" s="200" t="s">
        <v>220</v>
      </c>
      <c r="B12" s="200">
        <v>2.1</v>
      </c>
      <c r="C12" s="46">
        <f t="shared" si="0"/>
        <v>5</v>
      </c>
      <c r="D12" s="196" t="str">
        <f>IFERROR(VLOOKUP($A12,Sheet1!$A$1:$B$98,2,0),"")</f>
        <v>0-Cánh Gà</v>
      </c>
      <c r="E12" s="46">
        <f>IFERROR(VLOOKUP($A12,'Tổng Đơn'!$A$5:$E$103,5,0),"")</f>
        <v>1</v>
      </c>
      <c r="F12" s="46">
        <f t="shared" si="2"/>
        <v>2.1</v>
      </c>
      <c r="G12" s="48">
        <f>IF(AND($C12="",$C11&lt;&gt;""),"Tổng Cộng",IFERROR(VLOOKUP($A12,Sheet1!$A$1:$D$98,4,0),""))</f>
        <v>70000</v>
      </c>
      <c r="H12" s="198">
        <f>IF($C11=MAX($C$8:$C$56),SUM($H$8:$H11),IFERROR($G12*$F12,""))</f>
        <v>147000</v>
      </c>
      <c r="I12" s="85" t="str">
        <f t="shared" si="1"/>
        <v/>
      </c>
      <c r="J12" s="166"/>
      <c r="L12" s="47"/>
      <c r="M12" s="175"/>
      <c r="N12" s="167"/>
    </row>
    <row r="13" spans="1:14" s="45" customFormat="1" ht="14.25" customHeight="1" x14ac:dyDescent="0.25">
      <c r="A13" s="200" t="s">
        <v>221</v>
      </c>
      <c r="B13" s="200">
        <v>3.8</v>
      </c>
      <c r="C13" s="46">
        <f t="shared" si="0"/>
        <v>6</v>
      </c>
      <c r="D13" s="196" t="str">
        <f>IFERROR(VLOOKUP($A13,Sheet1!$A$1:$B$98,2,0),"")</f>
        <v>0-Đùi tỏi Gà</v>
      </c>
      <c r="E13" s="46">
        <f>IFERROR(VLOOKUP($A13,'Tổng Đơn'!$A$5:$E$103,5,0),"")</f>
        <v>1</v>
      </c>
      <c r="F13" s="46">
        <f t="shared" si="2"/>
        <v>3.8</v>
      </c>
      <c r="G13" s="48">
        <f>IF(AND($C13="",$C12&lt;&gt;""),"Tổng Cộng",IFERROR(VLOOKUP($A13,Sheet1!$A$1:$D$98,4,0),""))</f>
        <v>45000</v>
      </c>
      <c r="H13" s="198">
        <f>IF($C12=MAX($C$8:$C$56),SUM($H$8:$H12),IFERROR($G13*$F13,""))</f>
        <v>171000</v>
      </c>
      <c r="I13" s="85" t="str">
        <f t="shared" si="1"/>
        <v/>
      </c>
      <c r="L13" s="47"/>
    </row>
    <row r="14" spans="1:14" s="45" customFormat="1" ht="14.25" customHeight="1" x14ac:dyDescent="0.25">
      <c r="A14" s="200">
        <v>65</v>
      </c>
      <c r="B14" s="200">
        <v>2</v>
      </c>
      <c r="C14" s="46">
        <f t="shared" si="0"/>
        <v>7</v>
      </c>
      <c r="D14" s="196" t="str">
        <f>IFERROR(VLOOKUP($A14,Sheet1!$A$1:$B$98,2,0),"")</f>
        <v>Bánh bao ngọt không nhân</v>
      </c>
      <c r="E14" s="46">
        <f>IFERROR(VLOOKUP($A14,'Tổng Đơn'!$A$5:$E$103,5,0),"")</f>
        <v>0.3</v>
      </c>
      <c r="F14" s="46">
        <f t="shared" si="2"/>
        <v>2</v>
      </c>
      <c r="G14" s="48">
        <f>IF(AND($C14="",$C13&lt;&gt;""),"Tổng Cộng",IFERROR(VLOOKUP($A14,Sheet1!$A$1:$D$98,4,0),""))</f>
        <v>18000</v>
      </c>
      <c r="H14" s="198">
        <f>IF($C13=MAX($C$8:$C$56),SUM($H$8:$H13),IFERROR($G14*$F14,""))</f>
        <v>36000</v>
      </c>
      <c r="I14" s="85">
        <f t="shared" si="1"/>
        <v>0.6</v>
      </c>
      <c r="L14" s="47">
        <f>IFERROR(VLOOKUP($A14,Sheet1!$A$5:$D$98,4,0),"")</f>
        <v>18000</v>
      </c>
      <c r="M14" s="176"/>
    </row>
    <row r="15" spans="1:14" s="45" customFormat="1" ht="14.25" customHeight="1" x14ac:dyDescent="0.25">
      <c r="A15" s="200">
        <v>66</v>
      </c>
      <c r="B15" s="200">
        <v>2</v>
      </c>
      <c r="C15" s="46">
        <f t="shared" si="0"/>
        <v>8</v>
      </c>
      <c r="D15" s="196" t="str">
        <f>IFERROR(VLOOKUP($A15,Sheet1!$A$1:$B$98,2,0),"")</f>
        <v>Cá viên KK</v>
      </c>
      <c r="E15" s="46">
        <f>IFERROR(VLOOKUP($A15,'Tổng Đơn'!$A$5:$E$103,5,0),"")</f>
        <v>0.5</v>
      </c>
      <c r="F15" s="46">
        <f t="shared" si="2"/>
        <v>2</v>
      </c>
      <c r="G15" s="48">
        <f>IF(AND($C15="",$C14&lt;&gt;""),"Tổng Cộng",IFERROR(VLOOKUP($A15,Sheet1!$A$1:$D$98,4,0),""))</f>
        <v>23000</v>
      </c>
      <c r="H15" s="198">
        <f>IF($C14=MAX($C$8:$C$56),SUM($H$8:$H14),IFERROR($G15*$F15,""))</f>
        <v>46000</v>
      </c>
      <c r="I15" s="85">
        <f t="shared" si="1"/>
        <v>1</v>
      </c>
      <c r="L15" s="47">
        <f>IFERROR(VLOOKUP($A15,Sheet1!$A$5:$D$98,4,0),"")</f>
        <v>23000</v>
      </c>
    </row>
    <row r="16" spans="1:14" s="45" customFormat="1" ht="14.25" customHeight="1" x14ac:dyDescent="0.25">
      <c r="A16" s="200">
        <v>72</v>
      </c>
      <c r="B16" s="200">
        <v>1</v>
      </c>
      <c r="C16" s="46">
        <f t="shared" si="0"/>
        <v>9</v>
      </c>
      <c r="D16" s="196" t="str">
        <f>IFERROR(VLOOKUP($A16,Sheet1!$A$1:$B$98,2,0),"")</f>
        <v>Hồ lô KK</v>
      </c>
      <c r="E16" s="46">
        <f>IFERROR(VLOOKUP($A16,'Tổng Đơn'!$A$5:$E$103,5,0),"")</f>
        <v>0.5</v>
      </c>
      <c r="F16" s="46">
        <f t="shared" si="2"/>
        <v>1</v>
      </c>
      <c r="G16" s="48">
        <f>IF(AND($C16="",$C15&lt;&gt;""),"Tổng Cộng",IFERROR(VLOOKUP($A16,Sheet1!$A$1:$D$98,4,0),""))</f>
        <v>40000</v>
      </c>
      <c r="H16" s="198">
        <f>IF($C15=MAX($C$8:$C$56),SUM($H$8:$H15),IFERROR($G16*$F16,""))</f>
        <v>40000</v>
      </c>
      <c r="I16" s="85">
        <f t="shared" si="1"/>
        <v>0.5</v>
      </c>
      <c r="L16" s="47">
        <f>IFERROR(VLOOKUP($A16,Sheet1!$A$5:$D$98,4,0),"")</f>
        <v>40000</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Tổng Cộng</v>
      </c>
      <c r="H17" s="198">
        <f>IF($C16=MAX($C$8:$C$56),SUM($H$8:$H16),IFERROR($G17*$F17,""))</f>
        <v>729000</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N13" sqref="N13"/>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258</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10.3</v>
      </c>
      <c r="L7" s="193" t="s">
        <v>18</v>
      </c>
    </row>
    <row r="8" spans="1:14" s="45" customFormat="1" ht="14.25" customHeight="1" x14ac:dyDescent="0.25">
      <c r="A8" s="200">
        <v>41</v>
      </c>
      <c r="B8" s="200">
        <v>3</v>
      </c>
      <c r="C8" s="46">
        <v>1</v>
      </c>
      <c r="D8" s="196" t="s">
        <v>37</v>
      </c>
      <c r="E8" s="197">
        <v>0.5</v>
      </c>
      <c r="F8" s="46">
        <v>3</v>
      </c>
      <c r="G8" s="48">
        <v>66000</v>
      </c>
      <c r="H8" s="198">
        <v>198000</v>
      </c>
      <c r="I8" s="85">
        <f t="shared" ref="I8:I37" si="0">IF(TYPE($A8)&lt;&gt;1,"",IFERROR(F8*E8,""))</f>
        <v>1.5</v>
      </c>
      <c r="J8" s="45" t="str">
        <f>IF(SUMPRODUCT(($F$8:$F$18),($L$8:$L$18))&gt;=200000,"KM 15%",IF(SUMPRODUCT(($F$8:$F$18),($L$8:$L$18))&gt;=100000,"KM 10%",""))</f>
        <v>KM 15%</v>
      </c>
      <c r="L8" s="48">
        <f>IFERROR(VLOOKUP($A8,Sheet1!$A$5:$D$98,4,0),"")</f>
        <v>66000</v>
      </c>
    </row>
    <row r="9" spans="1:14" s="45" customFormat="1" ht="14.25" customHeight="1" x14ac:dyDescent="0.25">
      <c r="A9" s="200">
        <v>46</v>
      </c>
      <c r="B9" s="200">
        <v>7</v>
      </c>
      <c r="C9" s="46">
        <v>2</v>
      </c>
      <c r="D9" s="196" t="s">
        <v>46</v>
      </c>
      <c r="E9" s="46">
        <v>0.5</v>
      </c>
      <c r="F9" s="46">
        <v>7</v>
      </c>
      <c r="G9" s="48">
        <v>59000</v>
      </c>
      <c r="H9" s="198">
        <v>413000</v>
      </c>
      <c r="I9" s="85">
        <f t="shared" si="0"/>
        <v>3.5</v>
      </c>
      <c r="L9" s="47">
        <f>IFERROR(VLOOKUP($A9,Sheet1!$A$5:$D$98,4,0),"")</f>
        <v>59000</v>
      </c>
    </row>
    <row r="10" spans="1:14" s="45" customFormat="1" ht="14.25" customHeight="1" x14ac:dyDescent="0.25">
      <c r="A10" s="200">
        <v>52</v>
      </c>
      <c r="B10" s="200">
        <v>10</v>
      </c>
      <c r="C10" s="46">
        <v>3</v>
      </c>
      <c r="D10" s="196" t="s">
        <v>163</v>
      </c>
      <c r="E10" s="46">
        <v>0.5</v>
      </c>
      <c r="F10" s="46">
        <v>10</v>
      </c>
      <c r="G10" s="48">
        <v>69000</v>
      </c>
      <c r="H10" s="198">
        <v>690000</v>
      </c>
      <c r="I10" s="85">
        <f t="shared" si="0"/>
        <v>5</v>
      </c>
      <c r="L10" s="47">
        <f>IFERROR(VLOOKUP($A10,Sheet1!$A$5:$D$98,4,0),"")</f>
        <v>69000</v>
      </c>
    </row>
    <row r="11" spans="1:14" s="45" customFormat="1" ht="14.25" customHeight="1" x14ac:dyDescent="0.25">
      <c r="A11" s="200">
        <v>65</v>
      </c>
      <c r="B11" s="200">
        <v>1</v>
      </c>
      <c r="C11" s="46">
        <v>4</v>
      </c>
      <c r="D11" s="196" t="s">
        <v>247</v>
      </c>
      <c r="E11" s="46">
        <v>0.3</v>
      </c>
      <c r="F11" s="46">
        <v>1</v>
      </c>
      <c r="G11" s="47" t="s">
        <v>260</v>
      </c>
      <c r="H11" s="198">
        <v>0</v>
      </c>
      <c r="I11" s="85">
        <f t="shared" si="0"/>
        <v>0.3</v>
      </c>
      <c r="L11" s="47">
        <f>IFERROR(VLOOKUP($A11,Sheet1!$A$5:$D$98,4,0),"")</f>
        <v>18000</v>
      </c>
    </row>
    <row r="12" spans="1:14" s="45" customFormat="1" ht="14.25" customHeight="1" x14ac:dyDescent="0.25">
      <c r="A12" s="200">
        <v>1</v>
      </c>
      <c r="B12" s="200">
        <v>1</v>
      </c>
      <c r="C12" s="46">
        <v>5</v>
      </c>
      <c r="D12" s="207" t="s">
        <v>278</v>
      </c>
      <c r="E12" s="47">
        <v>0</v>
      </c>
      <c r="F12" s="47">
        <v>0</v>
      </c>
      <c r="G12" s="48">
        <v>0</v>
      </c>
      <c r="H12" s="198">
        <v>-101000</v>
      </c>
      <c r="I12" s="85">
        <f t="shared" si="0"/>
        <v>0</v>
      </c>
      <c r="J12" s="166"/>
      <c r="L12" s="47"/>
      <c r="M12" s="175"/>
      <c r="N12" s="167"/>
    </row>
    <row r="13" spans="1:14" s="45" customFormat="1" ht="14.25" customHeight="1" x14ac:dyDescent="0.25">
      <c r="A13" s="200" t="s">
        <v>189</v>
      </c>
      <c r="B13" s="200"/>
      <c r="C13" s="46" t="s">
        <v>189</v>
      </c>
      <c r="D13" s="196" t="s">
        <v>189</v>
      </c>
      <c r="E13" s="46" t="s">
        <v>189</v>
      </c>
      <c r="F13" s="46" t="s">
        <v>189</v>
      </c>
      <c r="G13" s="48" t="s">
        <v>259</v>
      </c>
      <c r="H13" s="198">
        <f>SUM(H8:H12)</f>
        <v>1200000</v>
      </c>
      <c r="I13" s="85" t="str">
        <f t="shared" si="0"/>
        <v/>
      </c>
      <c r="L13" s="47"/>
    </row>
    <row r="14" spans="1:14" s="45" customFormat="1" ht="14.25" customHeight="1" x14ac:dyDescent="0.25">
      <c r="A14" s="200" t="s">
        <v>189</v>
      </c>
      <c r="B14" s="200"/>
      <c r="C14" s="46" t="s">
        <v>189</v>
      </c>
      <c r="D14" s="196" t="s">
        <v>189</v>
      </c>
      <c r="E14" s="46" t="s">
        <v>189</v>
      </c>
      <c r="F14" s="46" t="s">
        <v>189</v>
      </c>
      <c r="G14" s="48" t="s">
        <v>189</v>
      </c>
      <c r="H14" s="198" t="s">
        <v>189</v>
      </c>
      <c r="I14" s="85" t="str">
        <f t="shared" si="0"/>
        <v/>
      </c>
      <c r="L14" s="47" t="str">
        <f>IFERROR(VLOOKUP($A14,Sheet1!$A$5:$D$98,4,0),"")</f>
        <v/>
      </c>
      <c r="M14" s="176"/>
    </row>
    <row r="15" spans="1:14" s="45" customFormat="1" ht="14.25" customHeight="1" x14ac:dyDescent="0.25">
      <c r="A15" s="200" t="s">
        <v>189</v>
      </c>
      <c r="B15" s="200"/>
      <c r="C15" s="46" t="s">
        <v>189</v>
      </c>
      <c r="D15" s="196" t="s">
        <v>189</v>
      </c>
      <c r="E15" s="46" t="s">
        <v>189</v>
      </c>
      <c r="F15" s="46" t="s">
        <v>189</v>
      </c>
      <c r="G15" s="48" t="s">
        <v>189</v>
      </c>
      <c r="H15" s="198" t="s">
        <v>189</v>
      </c>
      <c r="I15" s="85" t="str">
        <f t="shared" si="0"/>
        <v/>
      </c>
      <c r="L15" s="47" t="str">
        <f>IFERROR(VLOOKUP($A15,Sheet1!$A$5:$D$98,4,0),"")</f>
        <v/>
      </c>
    </row>
    <row r="16" spans="1:14" s="45" customFormat="1" ht="14.25" customHeight="1" x14ac:dyDescent="0.25">
      <c r="A16" s="200" t="s">
        <v>189</v>
      </c>
      <c r="B16" s="200"/>
      <c r="C16" s="46" t="s">
        <v>189</v>
      </c>
      <c r="D16" s="196" t="s">
        <v>189</v>
      </c>
      <c r="E16" s="46" t="s">
        <v>189</v>
      </c>
      <c r="F16" s="46" t="s">
        <v>189</v>
      </c>
      <c r="G16" s="48" t="s">
        <v>189</v>
      </c>
      <c r="H16" s="198" t="s">
        <v>189</v>
      </c>
      <c r="I16" s="85" t="str">
        <f t="shared" si="0"/>
        <v/>
      </c>
      <c r="L16" s="47" t="str">
        <f>IFERROR(VLOOKUP($A16,Sheet1!$A$5:$D$98,4,0),"")</f>
        <v/>
      </c>
    </row>
    <row r="17" spans="1:12" s="45" customFormat="1" ht="14.25" customHeight="1" x14ac:dyDescent="0.25">
      <c r="A17" s="200" t="s">
        <v>189</v>
      </c>
      <c r="B17" s="200"/>
      <c r="C17" s="46" t="str">
        <f t="shared" ref="C17:C37" si="1">IF(OR(SUM($C16,$A17&lt;&gt;"")=0,$A17=""),"",SUM($C16,$A17&lt;&gt;""))</f>
        <v/>
      </c>
      <c r="D17" s="196" t="str">
        <f>IFERROR(VLOOKUP($A17,Sheet1!$A$1:$B$98,2,0),"")</f>
        <v/>
      </c>
      <c r="E17" s="46" t="str">
        <f>IFERROR(VLOOKUP($A17,'Tổng Đơn'!$A$5:$E$103,5,0),"")</f>
        <v/>
      </c>
      <c r="F17" s="46" t="str">
        <f t="shared" ref="F17:F37" si="2">IF($B17="","",B17)</f>
        <v/>
      </c>
      <c r="G17" s="48" t="str">
        <f>IF(AND($C17="",$C16&lt;&gt;""),"Tổng Cộng",IFERROR(VLOOKUP($A17,Sheet1!$A$1:$D$98,4,0),""))</f>
        <v/>
      </c>
      <c r="H17" s="198" t="str">
        <f>IF($C16=MAX($C$8:$C$56),SUM($H$8:$H16),IFERROR($G17*$F17,""))</f>
        <v/>
      </c>
      <c r="I17" s="85" t="str">
        <f t="shared" si="0"/>
        <v/>
      </c>
      <c r="L17" s="47" t="str">
        <f>IFERROR(VLOOKUP($A17,Sheet1!$A$5:$D$98,4,0),"")</f>
        <v/>
      </c>
    </row>
    <row r="18" spans="1:12" s="45" customFormat="1" ht="14.25" customHeight="1" x14ac:dyDescent="0.25">
      <c r="A18" s="200" t="s">
        <v>189</v>
      </c>
      <c r="B18" s="200"/>
      <c r="C18" s="46" t="str">
        <f t="shared" si="1"/>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0"/>
        <v/>
      </c>
      <c r="L18" s="47" t="str">
        <f>IFERROR(VLOOKUP($A18,Sheet1!$A$5:$D$98,4,0),"")</f>
        <v/>
      </c>
    </row>
    <row r="19" spans="1:12" s="45" customFormat="1" ht="14.25" customHeight="1" x14ac:dyDescent="0.25">
      <c r="A19" s="200" t="s">
        <v>189</v>
      </c>
      <c r="B19" s="200"/>
      <c r="C19" s="46" t="str">
        <f t="shared" si="1"/>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0"/>
        <v/>
      </c>
      <c r="L19" s="47" t="str">
        <f>IFERROR(VLOOKUP($A19,Sheet1!$A$5:$D$98,4,0),"")</f>
        <v/>
      </c>
    </row>
    <row r="20" spans="1:12" s="45" customFormat="1" ht="14.25" customHeight="1" x14ac:dyDescent="0.25">
      <c r="A20" s="200" t="s">
        <v>189</v>
      </c>
      <c r="B20" s="200"/>
      <c r="C20" s="46" t="str">
        <f t="shared" si="1"/>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0"/>
        <v/>
      </c>
      <c r="L20" s="47" t="str">
        <f>IFERROR(VLOOKUP($A20,Sheet1!$A$5:$D$98,4,0),"")</f>
        <v/>
      </c>
    </row>
    <row r="21" spans="1:12" s="45" customFormat="1" ht="14.25" customHeight="1" x14ac:dyDescent="0.25">
      <c r="A21" s="200" t="s">
        <v>189</v>
      </c>
      <c r="B21" s="200"/>
      <c r="C21" s="46" t="str">
        <f t="shared" si="1"/>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0"/>
        <v/>
      </c>
      <c r="L21" s="47" t="str">
        <f>IFERROR(VLOOKUP($A21,Sheet1!$A$5:$D$98,4,0),"")</f>
        <v/>
      </c>
    </row>
    <row r="22" spans="1:12" s="45" customFormat="1" ht="14.25" customHeight="1" x14ac:dyDescent="0.25">
      <c r="A22" s="200" t="s">
        <v>189</v>
      </c>
      <c r="B22" s="200"/>
      <c r="C22" s="46" t="str">
        <f t="shared" si="1"/>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0"/>
        <v/>
      </c>
      <c r="L22" s="47" t="str">
        <f>IFERROR(VLOOKUP($A22,Sheet1!$A$5:$D$98,4,0),"")</f>
        <v/>
      </c>
    </row>
    <row r="23" spans="1:12" s="45" customFormat="1" ht="14.25" customHeight="1" x14ac:dyDescent="0.25">
      <c r="A23" s="200" t="s">
        <v>189</v>
      </c>
      <c r="B23" s="200"/>
      <c r="C23" s="46" t="str">
        <f t="shared" si="1"/>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0"/>
        <v/>
      </c>
      <c r="L23" s="47" t="str">
        <f>IFERROR(VLOOKUP($A23,Sheet1!$A$5:$D$98,4,0),"")</f>
        <v/>
      </c>
    </row>
    <row r="24" spans="1:12" s="45" customFormat="1" ht="14.25" customHeight="1" x14ac:dyDescent="0.25">
      <c r="A24" s="200" t="s">
        <v>189</v>
      </c>
      <c r="B24" s="200"/>
      <c r="C24" s="46" t="str">
        <f t="shared" si="1"/>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0"/>
        <v/>
      </c>
      <c r="L24" s="47" t="str">
        <f>IFERROR(VLOOKUP($A24,Sheet1!$A$5:$D$98,4,0),"")</f>
        <v/>
      </c>
    </row>
    <row r="25" spans="1:12" s="45" customFormat="1" ht="14.25" customHeight="1" x14ac:dyDescent="0.25">
      <c r="A25" s="200" t="s">
        <v>189</v>
      </c>
      <c r="B25" s="200"/>
      <c r="C25" s="46" t="str">
        <f t="shared" si="1"/>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0"/>
        <v/>
      </c>
      <c r="L25" s="47" t="str">
        <f>IFERROR(VLOOKUP($A25,Sheet1!$A$5:$D$98,4,0),"")</f>
        <v/>
      </c>
    </row>
    <row r="26" spans="1:12" s="45" customFormat="1" ht="14.25" customHeight="1" x14ac:dyDescent="0.25">
      <c r="A26" s="200" t="s">
        <v>189</v>
      </c>
      <c r="B26" s="200"/>
      <c r="C26" s="46" t="str">
        <f t="shared" si="1"/>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0"/>
        <v/>
      </c>
      <c r="L26" s="47" t="str">
        <f>IFERROR(VLOOKUP($A26,Sheet1!$A$5:$D$98,4,0),"")</f>
        <v/>
      </c>
    </row>
    <row r="27" spans="1:12" s="45" customFormat="1" ht="14.25" customHeight="1" x14ac:dyDescent="0.25">
      <c r="A27" s="200" t="s">
        <v>189</v>
      </c>
      <c r="B27" s="200"/>
      <c r="C27" s="46" t="str">
        <f t="shared" si="1"/>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0"/>
        <v/>
      </c>
      <c r="L27" s="47"/>
    </row>
    <row r="28" spans="1:12" s="45" customFormat="1" ht="14.25" customHeight="1" x14ac:dyDescent="0.25">
      <c r="A28" s="200" t="s">
        <v>189</v>
      </c>
      <c r="B28" s="200"/>
      <c r="C28" s="46" t="str">
        <f t="shared" si="1"/>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0"/>
        <v/>
      </c>
      <c r="L28" s="47"/>
    </row>
    <row r="29" spans="1:12" s="45" customFormat="1" ht="14.25" customHeight="1" x14ac:dyDescent="0.25">
      <c r="A29" s="200" t="s">
        <v>189</v>
      </c>
      <c r="B29" s="200"/>
      <c r="C29" s="46" t="str">
        <f t="shared" si="1"/>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0"/>
        <v/>
      </c>
      <c r="L29" s="47">
        <v>1</v>
      </c>
    </row>
    <row r="30" spans="1:12" s="45" customFormat="1" ht="14.25" customHeight="1" x14ac:dyDescent="0.25">
      <c r="A30" s="200" t="s">
        <v>189</v>
      </c>
      <c r="B30" s="200"/>
      <c r="C30" s="46" t="str">
        <f t="shared" si="1"/>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0"/>
        <v/>
      </c>
      <c r="L30" s="47">
        <v>1</v>
      </c>
    </row>
    <row r="31" spans="1:12" s="45" customFormat="1" ht="14.25" customHeight="1" x14ac:dyDescent="0.25">
      <c r="A31" s="200" t="s">
        <v>189</v>
      </c>
      <c r="B31" s="200"/>
      <c r="C31" s="46" t="str">
        <f t="shared" si="1"/>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0"/>
        <v/>
      </c>
      <c r="L31" s="47">
        <v>1</v>
      </c>
    </row>
    <row r="32" spans="1:12" s="45" customFormat="1" ht="14.25" customHeight="1" x14ac:dyDescent="0.25">
      <c r="A32" s="200" t="s">
        <v>189</v>
      </c>
      <c r="B32" s="200"/>
      <c r="C32" s="46" t="str">
        <f t="shared" si="1"/>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0"/>
        <v/>
      </c>
      <c r="K32" s="45" t="s">
        <v>189</v>
      </c>
      <c r="L32" s="47"/>
    </row>
    <row r="33" spans="1:12" s="45" customFormat="1" ht="14.25" customHeight="1" x14ac:dyDescent="0.25">
      <c r="A33" s="200" t="s">
        <v>189</v>
      </c>
      <c r="B33" s="200"/>
      <c r="C33" s="46" t="str">
        <f t="shared" si="1"/>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0"/>
        <v/>
      </c>
      <c r="K33" s="45" t="s">
        <v>189</v>
      </c>
      <c r="L33" s="47"/>
    </row>
    <row r="34" spans="1:12" s="45" customFormat="1" ht="14.25" customHeight="1" x14ac:dyDescent="0.25">
      <c r="A34" s="200" t="s">
        <v>189</v>
      </c>
      <c r="B34" s="200"/>
      <c r="C34" s="46" t="str">
        <f t="shared" si="1"/>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0"/>
        <v/>
      </c>
      <c r="K34" s="45" t="s">
        <v>189</v>
      </c>
      <c r="L34" s="47"/>
    </row>
    <row r="35" spans="1:12" s="45" customFormat="1" ht="14.25" customHeight="1" x14ac:dyDescent="0.25">
      <c r="A35" s="200" t="s">
        <v>189</v>
      </c>
      <c r="B35" s="200"/>
      <c r="C35" s="46" t="str">
        <f t="shared" si="1"/>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0"/>
        <v/>
      </c>
      <c r="K35" s="45" t="s">
        <v>189</v>
      </c>
      <c r="L35" s="47"/>
    </row>
    <row r="36" spans="1:12" s="45" customFormat="1" ht="14.25" customHeight="1" x14ac:dyDescent="0.25">
      <c r="A36" s="200" t="s">
        <v>189</v>
      </c>
      <c r="B36" s="200"/>
      <c r="C36" s="46" t="str">
        <f t="shared" si="1"/>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0"/>
        <v/>
      </c>
      <c r="K36" s="45" t="s">
        <v>189</v>
      </c>
      <c r="L36" s="47"/>
    </row>
    <row r="37" spans="1:12" s="45" customFormat="1" ht="14.25" customHeight="1" x14ac:dyDescent="0.25">
      <c r="A37" s="200" t="s">
        <v>189</v>
      </c>
      <c r="B37" s="200"/>
      <c r="C37" s="46" t="str">
        <f t="shared" si="1"/>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0"/>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5" t="s">
        <v>257</v>
      </c>
      <c r="E6" s="194"/>
      <c r="F6" s="194"/>
      <c r="G6" s="227" t="str">
        <f ca="1">"Ngày "&amp;DAY(TODAY())&amp;" Tháng "&amp;MONTH(TODAY())&amp;" Năm "&amp;YEAR(TODAY())</f>
        <v>Ngày 23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65</v>
      </c>
      <c r="B8" s="200">
        <v>5</v>
      </c>
      <c r="C8" s="46">
        <f t="shared" ref="C8:C37" si="0">IF(OR(SUM($C7,$A8&lt;&gt;"")=0,$A8=""),"",SUM($C7,$A8&lt;&gt;""))</f>
        <v>1</v>
      </c>
      <c r="D8" s="196" t="str">
        <f>IFERROR(VLOOKUP($A8,Sheet1!$A$1:$B$98,2,0),"")</f>
        <v>Bánh bao ngọt không nhân</v>
      </c>
      <c r="E8" s="197">
        <f>IFERROR(VLOOKUP($A8,'Tổng Đơn'!$A$5:$E$103,5,0),"")</f>
        <v>0.3</v>
      </c>
      <c r="F8" s="46">
        <f>IF($B8="","",B8)</f>
        <v>5</v>
      </c>
      <c r="G8" s="48">
        <f>IFERROR(VLOOKUP($A8,Sheet1!$A1:$D$98,4,0),"")</f>
        <v>18000</v>
      </c>
      <c r="H8" s="198">
        <f>IF($C7=MAX($C$8:$C$56),SUM($H7:$H$8),IFERROR($G8*$F8,""))</f>
        <v>90000</v>
      </c>
      <c r="I8" s="85">
        <f t="shared" ref="I8:I37" si="1">IF(TYPE($A8)&lt;&gt;1,"",IFERROR(F8*E8,""))</f>
        <v>1.5</v>
      </c>
      <c r="J8" s="45" t="str">
        <f>IF(SUMPRODUCT(($F$8:$F$18),($L$8:$L$18))&gt;=200000,"KM 15%",IF(SUMPRODUCT(($F$8:$F$18),($L$8:$L$18))&gt;=100000,"KM 10%",""))</f>
        <v/>
      </c>
      <c r="L8" s="48">
        <f>IFERROR(VLOOKUP($A8,Sheet1!$A$5:$D$98,4,0),"")</f>
        <v>18000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90000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2022-01-23T14:07:02Z</dcterms:modified>
</cp:coreProperties>
</file>