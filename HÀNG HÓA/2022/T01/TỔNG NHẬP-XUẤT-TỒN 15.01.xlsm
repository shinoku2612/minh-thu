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drawings/drawing16.xml" ContentType="application/vnd.openxmlformats-officedocument.drawing+xml"/>
  <Override PartName="/xl/ctrlProps/ctrlProp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hidePivotFieldList="1" defaultThemeVersion="124226"/>
  <bookViews>
    <workbookView xWindow="240" yWindow="60" windowWidth="20115" windowHeight="8010" tabRatio="840" firstSheet="7" activeTab="7"/>
  </bookViews>
  <sheets>
    <sheet name="Hàng tặng TVP" sheetId="120" r:id="rId1"/>
    <sheet name="TVP" sheetId="5" r:id="rId2"/>
    <sheet name="La Cusina" sheetId="4" r:id="rId3"/>
    <sheet name="Quốc Nhân" sheetId="1" r:id="rId4"/>
    <sheet name="Sheet3" sheetId="3" state="hidden" r:id="rId5"/>
    <sheet name="Giá TVP" sheetId="7" state="hidden" r:id="rId6"/>
    <sheet name="Chi phí" sheetId="95" r:id="rId7"/>
    <sheet name="Tổng Đơn" sheetId="50" r:id="rId8"/>
    <sheet name="Sheet1" sheetId="8" r:id="rId9"/>
    <sheet name="Thanh Toán" sheetId="9" r:id="rId10"/>
    <sheet name="Thanh Toán (15)" sheetId="134" r:id="rId11"/>
    <sheet name="Thanh Toán (14)" sheetId="133" r:id="rId12"/>
    <sheet name="Thanh Toán (13)" sheetId="132" r:id="rId13"/>
    <sheet name="Thanh Toán (12)" sheetId="131" r:id="rId14"/>
    <sheet name="Thanh Toán (11)" sheetId="130" r:id="rId15"/>
    <sheet name="Thanh Toán (10)" sheetId="129" r:id="rId16"/>
    <sheet name="Thanh Toán (9)" sheetId="128" r:id="rId17"/>
    <sheet name="Thanh Toán (8)" sheetId="127" r:id="rId18"/>
    <sheet name="Thanh Toán (7)" sheetId="126" r:id="rId19"/>
    <sheet name="Thanh Toán (6)" sheetId="125" r:id="rId20"/>
    <sheet name="Thanh Toán (5)" sheetId="124" r:id="rId21"/>
    <sheet name="Thanh Toán (4)" sheetId="123" r:id="rId22"/>
    <sheet name="Thanh Toán (3)" sheetId="122" r:id="rId23"/>
    <sheet name="Thanh Toán (2)" sheetId="121" r:id="rId24"/>
    <sheet name="DS KHÁCH HÀNG KM (2)" sheetId="76" state="hidden" r:id="rId25"/>
  </sheets>
  <definedNames>
    <definedName name="_xlnm._FilterDatabase" localSheetId="24" hidden="1">'DS KHÁCH HÀNG KM (2)'!$A$2:$G$35</definedName>
    <definedName name="_xlnm._FilterDatabase" localSheetId="5" hidden="1">'Giá TVP'!$A$2:$C$2</definedName>
    <definedName name="_xlnm._FilterDatabase" localSheetId="2" hidden="1">'La Cusina'!$B$4:$M$4</definedName>
    <definedName name="_xlnm._FilterDatabase" localSheetId="3" hidden="1">'Quốc Nhân'!$B$4:$AW$32</definedName>
    <definedName name="_xlnm._FilterDatabase" localSheetId="8" hidden="1">Sheet1!$A$1:$D$1</definedName>
    <definedName name="_xlnm._FilterDatabase" localSheetId="4" hidden="1">Sheet3!$A$2:$C$2</definedName>
    <definedName name="_xlnm._FilterDatabase" localSheetId="7" hidden="1">'Tổng Đơn'!$A$4:$AO$66</definedName>
    <definedName name="_xlnm._FilterDatabase" localSheetId="1" hidden="1">TVP!$B$4:$L$24</definedName>
    <definedName name="_xlnm.Print_Area" localSheetId="5">'Giá TVP'!$A$1:$G$27</definedName>
    <definedName name="_xlnm.Print_Area" localSheetId="4">Sheet3!$A$2:$G$23</definedName>
    <definedName name="Slicer_Tên_hàng">#N/A</definedName>
  </definedNames>
  <calcPr calcId="145621"/>
  <pivotCaches>
    <pivotCache cacheId="0" r:id="rId26"/>
  </pivotCaches>
  <extLst>
    <ext xmlns:x14="http://schemas.microsoft.com/office/spreadsheetml/2009/9/main" uri="{BBE1A952-AA13-448e-AADC-164F8A28A991}">
      <x14:slicerCaches>
        <x14:slicerCache r:id="rId27"/>
      </x14:slicerCaches>
    </ext>
    <ext xmlns:x14="http://schemas.microsoft.com/office/spreadsheetml/2009/9/main" uri="{79F54976-1DA5-4618-B147-4CDE4B953A38}">
      <x14:workbookPr/>
    </ext>
  </extLst>
</workbook>
</file>

<file path=xl/calcChain.xml><?xml version="1.0" encoding="utf-8"?>
<calcChain xmlns="http://schemas.openxmlformats.org/spreadsheetml/2006/main">
  <c r="C31" i="134" l="1"/>
  <c r="H31" i="134" s="1"/>
  <c r="B31" i="134"/>
  <c r="C30" i="134"/>
  <c r="H30" i="134" s="1"/>
  <c r="B30" i="134"/>
  <c r="C29" i="134"/>
  <c r="H29" i="134" s="1"/>
  <c r="B29" i="134"/>
  <c r="C28" i="134"/>
  <c r="H28" i="134" s="1"/>
  <c r="B28" i="134"/>
  <c r="C27" i="134"/>
  <c r="H27" i="134" s="1"/>
  <c r="B27" i="134"/>
  <c r="C26" i="134"/>
  <c r="H26" i="134" s="1"/>
  <c r="B26" i="134"/>
  <c r="C25" i="134"/>
  <c r="H25" i="134" s="1"/>
  <c r="B25" i="134"/>
  <c r="C24" i="134"/>
  <c r="H24" i="134" s="1"/>
  <c r="B24" i="134"/>
  <c r="C23" i="134"/>
  <c r="H23" i="134" s="1"/>
  <c r="B23" i="134"/>
  <c r="C22" i="134"/>
  <c r="H22" i="134" s="1"/>
  <c r="B22" i="134"/>
  <c r="C21" i="134"/>
  <c r="H21" i="134" s="1"/>
  <c r="B21" i="134"/>
  <c r="K20" i="134"/>
  <c r="H20" i="134"/>
  <c r="C20" i="134"/>
  <c r="B20" i="134"/>
  <c r="K19" i="134"/>
  <c r="C19" i="134"/>
  <c r="H19" i="134" s="1"/>
  <c r="B19" i="134"/>
  <c r="K18" i="134"/>
  <c r="C18" i="134"/>
  <c r="H18" i="134" s="1"/>
  <c r="B18" i="134"/>
  <c r="K17" i="134"/>
  <c r="C17" i="134"/>
  <c r="H17" i="134" s="1"/>
  <c r="B17" i="134"/>
  <c r="K16" i="134"/>
  <c r="H16" i="134"/>
  <c r="C16" i="134"/>
  <c r="B16" i="134"/>
  <c r="K15" i="134"/>
  <c r="C15" i="134"/>
  <c r="H15" i="134" s="1"/>
  <c r="B15" i="134"/>
  <c r="K14" i="134"/>
  <c r="C14" i="134"/>
  <c r="H14" i="134" s="1"/>
  <c r="B14" i="134"/>
  <c r="K13" i="134"/>
  <c r="C13" i="134"/>
  <c r="H13" i="134" s="1"/>
  <c r="B13" i="134"/>
  <c r="K12" i="134"/>
  <c r="H12" i="134"/>
  <c r="C12" i="134"/>
  <c r="B12" i="134"/>
  <c r="K11" i="134"/>
  <c r="C11" i="134"/>
  <c r="H11" i="134" s="1"/>
  <c r="B11" i="134"/>
  <c r="K10" i="134"/>
  <c r="C10" i="134"/>
  <c r="H10" i="134" s="1"/>
  <c r="B10" i="134"/>
  <c r="K9" i="134"/>
  <c r="C9" i="134"/>
  <c r="H9" i="134" s="1"/>
  <c r="B9" i="134"/>
  <c r="K8" i="134"/>
  <c r="H8" i="134"/>
  <c r="C8" i="134"/>
  <c r="B8" i="134"/>
  <c r="C7" i="134"/>
  <c r="H7" i="134" s="1"/>
  <c r="B7" i="134"/>
  <c r="H6" i="134"/>
  <c r="C6" i="134"/>
  <c r="B6" i="134"/>
  <c r="K5" i="134"/>
  <c r="C5" i="134"/>
  <c r="H5" i="134" s="1"/>
  <c r="B5" i="134"/>
  <c r="K4" i="134"/>
  <c r="C4" i="134"/>
  <c r="H4" i="134" s="1"/>
  <c r="B4" i="134"/>
  <c r="K3" i="134"/>
  <c r="C3" i="134"/>
  <c r="H3" i="134" s="1"/>
  <c r="B3" i="134"/>
  <c r="K2" i="134"/>
  <c r="I2" i="134"/>
  <c r="F2" i="134"/>
  <c r="C2" i="134"/>
  <c r="H2" i="134" s="1"/>
  <c r="I1" i="134" s="1"/>
  <c r="B2" i="134"/>
  <c r="A2" i="134"/>
  <c r="C31" i="133"/>
  <c r="H31" i="133" s="1"/>
  <c r="B31" i="133"/>
  <c r="C30" i="133"/>
  <c r="H30" i="133" s="1"/>
  <c r="B30" i="133"/>
  <c r="C29" i="133"/>
  <c r="H29" i="133" s="1"/>
  <c r="B29" i="133"/>
  <c r="C28" i="133"/>
  <c r="H28" i="133" s="1"/>
  <c r="B28" i="133"/>
  <c r="C27" i="133"/>
  <c r="H27" i="133" s="1"/>
  <c r="B27" i="133"/>
  <c r="C26" i="133"/>
  <c r="H26" i="133" s="1"/>
  <c r="B26" i="133"/>
  <c r="C25" i="133"/>
  <c r="H25" i="133" s="1"/>
  <c r="B25" i="133"/>
  <c r="C24" i="133"/>
  <c r="H24" i="133" s="1"/>
  <c r="B24" i="133"/>
  <c r="C23" i="133"/>
  <c r="H23" i="133" s="1"/>
  <c r="B23" i="133"/>
  <c r="C22" i="133"/>
  <c r="H22" i="133" s="1"/>
  <c r="B22" i="133"/>
  <c r="C21" i="133"/>
  <c r="H21" i="133" s="1"/>
  <c r="B21" i="133"/>
  <c r="K20" i="133"/>
  <c r="H20" i="133"/>
  <c r="C20" i="133"/>
  <c r="B20" i="133"/>
  <c r="K19" i="133"/>
  <c r="C19" i="133"/>
  <c r="H19" i="133" s="1"/>
  <c r="B19" i="133"/>
  <c r="K18" i="133"/>
  <c r="C18" i="133"/>
  <c r="H18" i="133" s="1"/>
  <c r="B18" i="133"/>
  <c r="K17" i="133"/>
  <c r="C17" i="133"/>
  <c r="H17" i="133" s="1"/>
  <c r="B17" i="133"/>
  <c r="K16" i="133"/>
  <c r="H16" i="133"/>
  <c r="C16" i="133"/>
  <c r="B16" i="133"/>
  <c r="K15" i="133"/>
  <c r="H15" i="133"/>
  <c r="C15" i="133"/>
  <c r="B15" i="133"/>
  <c r="K14" i="133"/>
  <c r="C14" i="133"/>
  <c r="H14" i="133" s="1"/>
  <c r="B14" i="133"/>
  <c r="K13" i="133"/>
  <c r="C13" i="133"/>
  <c r="H13" i="133" s="1"/>
  <c r="B13" i="133"/>
  <c r="K12" i="133"/>
  <c r="H12" i="133"/>
  <c r="C12" i="133"/>
  <c r="B12" i="133"/>
  <c r="K11" i="133"/>
  <c r="H11" i="133"/>
  <c r="C11" i="133"/>
  <c r="B11" i="133"/>
  <c r="K10" i="133"/>
  <c r="C10" i="133"/>
  <c r="H10" i="133" s="1"/>
  <c r="B10" i="133"/>
  <c r="K9" i="133"/>
  <c r="C9" i="133"/>
  <c r="H9" i="133" s="1"/>
  <c r="B9" i="133"/>
  <c r="K8" i="133"/>
  <c r="H8" i="133"/>
  <c r="C8" i="133"/>
  <c r="B8" i="133"/>
  <c r="C7" i="133"/>
  <c r="H7" i="133" s="1"/>
  <c r="B7" i="133"/>
  <c r="H6" i="133"/>
  <c r="C6" i="133"/>
  <c r="B6" i="133"/>
  <c r="K5" i="133"/>
  <c r="H5" i="133"/>
  <c r="C5" i="133"/>
  <c r="B5" i="133"/>
  <c r="K4" i="133"/>
  <c r="C4" i="133"/>
  <c r="H4" i="133" s="1"/>
  <c r="B4" i="133"/>
  <c r="K3" i="133"/>
  <c r="C3" i="133"/>
  <c r="H3" i="133" s="1"/>
  <c r="B3" i="133"/>
  <c r="K2" i="133"/>
  <c r="I2" i="133"/>
  <c r="F2" i="133"/>
  <c r="C2" i="133"/>
  <c r="H2" i="133" s="1"/>
  <c r="B2" i="133"/>
  <c r="A2" i="133"/>
  <c r="C31" i="132"/>
  <c r="H31" i="132" s="1"/>
  <c r="B31" i="132"/>
  <c r="C30" i="132"/>
  <c r="H30" i="132" s="1"/>
  <c r="B30" i="132"/>
  <c r="C29" i="132"/>
  <c r="H29" i="132" s="1"/>
  <c r="B29" i="132"/>
  <c r="C28" i="132"/>
  <c r="H28" i="132" s="1"/>
  <c r="B28" i="132"/>
  <c r="C27" i="132"/>
  <c r="H27" i="132" s="1"/>
  <c r="B27" i="132"/>
  <c r="C26" i="132"/>
  <c r="H26" i="132" s="1"/>
  <c r="B26" i="132"/>
  <c r="C25" i="132"/>
  <c r="H25" i="132" s="1"/>
  <c r="B25" i="132"/>
  <c r="C24" i="132"/>
  <c r="H24" i="132" s="1"/>
  <c r="B24" i="132"/>
  <c r="C23" i="132"/>
  <c r="H23" i="132" s="1"/>
  <c r="B23" i="132"/>
  <c r="C22" i="132"/>
  <c r="H22" i="132" s="1"/>
  <c r="B22" i="132"/>
  <c r="C21" i="132"/>
  <c r="H21" i="132" s="1"/>
  <c r="B21" i="132"/>
  <c r="K20" i="132"/>
  <c r="H20" i="132"/>
  <c r="C20" i="132"/>
  <c r="B20" i="132"/>
  <c r="K19" i="132"/>
  <c r="C19" i="132"/>
  <c r="H19" i="132" s="1"/>
  <c r="B19" i="132"/>
  <c r="K18" i="132"/>
  <c r="H18" i="132"/>
  <c r="C18" i="132"/>
  <c r="B18" i="132"/>
  <c r="K17" i="132"/>
  <c r="C17" i="132"/>
  <c r="H17" i="132" s="1"/>
  <c r="B17" i="132"/>
  <c r="K16" i="132"/>
  <c r="H16" i="132"/>
  <c r="C16" i="132"/>
  <c r="B16" i="132"/>
  <c r="K15" i="132"/>
  <c r="C15" i="132"/>
  <c r="H15" i="132" s="1"/>
  <c r="B15" i="132"/>
  <c r="K14" i="132"/>
  <c r="H14" i="132"/>
  <c r="C14" i="132"/>
  <c r="B14" i="132"/>
  <c r="K13" i="132"/>
  <c r="C13" i="132"/>
  <c r="H13" i="132" s="1"/>
  <c r="B13" i="132"/>
  <c r="K12" i="132"/>
  <c r="H12" i="132"/>
  <c r="C12" i="132"/>
  <c r="B12" i="132"/>
  <c r="K11" i="132"/>
  <c r="C11" i="132"/>
  <c r="H11" i="132" s="1"/>
  <c r="B11" i="132"/>
  <c r="K10" i="132"/>
  <c r="H10" i="132"/>
  <c r="C10" i="132"/>
  <c r="B10" i="132"/>
  <c r="K9" i="132"/>
  <c r="C9" i="132"/>
  <c r="H9" i="132" s="1"/>
  <c r="B9" i="132"/>
  <c r="K8" i="132"/>
  <c r="H8" i="132"/>
  <c r="C8" i="132"/>
  <c r="B8" i="132"/>
  <c r="H7" i="132"/>
  <c r="C7" i="132"/>
  <c r="B7" i="132"/>
  <c r="H6" i="132"/>
  <c r="C6" i="132"/>
  <c r="B6" i="132"/>
  <c r="K5" i="132"/>
  <c r="C5" i="132"/>
  <c r="H5" i="132" s="1"/>
  <c r="B5" i="132"/>
  <c r="K4" i="132"/>
  <c r="H4" i="132"/>
  <c r="C4" i="132"/>
  <c r="B4" i="132"/>
  <c r="K3" i="132"/>
  <c r="C3" i="132"/>
  <c r="H3" i="132" s="1"/>
  <c r="B3" i="132"/>
  <c r="K2" i="132"/>
  <c r="I2" i="132"/>
  <c r="F2" i="132"/>
  <c r="C2" i="132"/>
  <c r="H2" i="132" s="1"/>
  <c r="B2" i="132"/>
  <c r="A2" i="132"/>
  <c r="C31" i="131"/>
  <c r="H31" i="131" s="1"/>
  <c r="B31" i="131"/>
  <c r="C30" i="131"/>
  <c r="H30" i="131" s="1"/>
  <c r="B30" i="131"/>
  <c r="C29" i="131"/>
  <c r="H29" i="131" s="1"/>
  <c r="B29" i="131"/>
  <c r="C28" i="131"/>
  <c r="H28" i="131" s="1"/>
  <c r="B28" i="131"/>
  <c r="C27" i="131"/>
  <c r="H27" i="131" s="1"/>
  <c r="B27" i="131"/>
  <c r="C26" i="131"/>
  <c r="H26" i="131" s="1"/>
  <c r="B26" i="131"/>
  <c r="C25" i="131"/>
  <c r="H25" i="131" s="1"/>
  <c r="B25" i="131"/>
  <c r="C24" i="131"/>
  <c r="H24" i="131" s="1"/>
  <c r="B24" i="131"/>
  <c r="C23" i="131"/>
  <c r="H23" i="131" s="1"/>
  <c r="B23" i="131"/>
  <c r="C22" i="131"/>
  <c r="H22" i="131" s="1"/>
  <c r="B22" i="131"/>
  <c r="C21" i="131"/>
  <c r="H21" i="131" s="1"/>
  <c r="B21" i="131"/>
  <c r="K20" i="131"/>
  <c r="C20" i="131"/>
  <c r="H20" i="131" s="1"/>
  <c r="B20" i="131"/>
  <c r="K19" i="131"/>
  <c r="C19" i="131"/>
  <c r="H19" i="131" s="1"/>
  <c r="B19" i="131"/>
  <c r="K18" i="131"/>
  <c r="C18" i="131"/>
  <c r="H18" i="131" s="1"/>
  <c r="B18" i="131"/>
  <c r="K17" i="131"/>
  <c r="C17" i="131"/>
  <c r="H17" i="131" s="1"/>
  <c r="B17" i="131"/>
  <c r="K16" i="131"/>
  <c r="C16" i="131"/>
  <c r="H16" i="131" s="1"/>
  <c r="B16" i="131"/>
  <c r="K15" i="131"/>
  <c r="C15" i="131"/>
  <c r="H15" i="131" s="1"/>
  <c r="B15" i="131"/>
  <c r="K14" i="131"/>
  <c r="C14" i="131"/>
  <c r="H14" i="131" s="1"/>
  <c r="B14" i="131"/>
  <c r="K13" i="131"/>
  <c r="C13" i="131"/>
  <c r="H13" i="131" s="1"/>
  <c r="B13" i="131"/>
  <c r="K12" i="131"/>
  <c r="C12" i="131"/>
  <c r="H12" i="131" s="1"/>
  <c r="B12" i="131"/>
  <c r="K11" i="131"/>
  <c r="C11" i="131"/>
  <c r="H11" i="131" s="1"/>
  <c r="B11" i="131"/>
  <c r="K10" i="131"/>
  <c r="C10" i="131"/>
  <c r="H10" i="131" s="1"/>
  <c r="B10" i="131"/>
  <c r="K9" i="131"/>
  <c r="C9" i="131"/>
  <c r="H9" i="131" s="1"/>
  <c r="B9" i="131"/>
  <c r="K8" i="131"/>
  <c r="C8" i="131"/>
  <c r="H8" i="131" s="1"/>
  <c r="B8" i="131"/>
  <c r="C7" i="131"/>
  <c r="H7" i="131" s="1"/>
  <c r="B7" i="131"/>
  <c r="C6" i="131"/>
  <c r="H6" i="131" s="1"/>
  <c r="B6" i="131"/>
  <c r="K5" i="131"/>
  <c r="C5" i="131"/>
  <c r="H5" i="131" s="1"/>
  <c r="B5" i="131"/>
  <c r="K4" i="131"/>
  <c r="C4" i="131"/>
  <c r="H4" i="131" s="1"/>
  <c r="B4" i="131"/>
  <c r="K3" i="131"/>
  <c r="H3" i="131"/>
  <c r="C3" i="131"/>
  <c r="B3" i="131"/>
  <c r="K2" i="131"/>
  <c r="I2" i="131"/>
  <c r="F2" i="131"/>
  <c r="C2" i="131"/>
  <c r="H2" i="131" s="1"/>
  <c r="I1" i="131" s="1"/>
  <c r="B2" i="131"/>
  <c r="A2" i="131"/>
  <c r="C31" i="130"/>
  <c r="H31" i="130" s="1"/>
  <c r="B31" i="130"/>
  <c r="H30" i="130"/>
  <c r="C30" i="130"/>
  <c r="B30" i="130"/>
  <c r="H29" i="130"/>
  <c r="C29" i="130"/>
  <c r="B29" i="130"/>
  <c r="H28" i="130"/>
  <c r="C28" i="130"/>
  <c r="B28" i="130"/>
  <c r="H27" i="130"/>
  <c r="C27" i="130"/>
  <c r="B27" i="130"/>
  <c r="H26" i="130"/>
  <c r="C26" i="130"/>
  <c r="B26" i="130"/>
  <c r="H25" i="130"/>
  <c r="C25" i="130"/>
  <c r="B25" i="130"/>
  <c r="H24" i="130"/>
  <c r="C24" i="130"/>
  <c r="B24" i="130"/>
  <c r="H23" i="130"/>
  <c r="C23" i="130"/>
  <c r="B23" i="130"/>
  <c r="H22" i="130"/>
  <c r="C22" i="130"/>
  <c r="B22" i="130"/>
  <c r="H21" i="130"/>
  <c r="C21" i="130"/>
  <c r="B21" i="130"/>
  <c r="K20" i="130"/>
  <c r="C20" i="130"/>
  <c r="H20" i="130" s="1"/>
  <c r="B20" i="130"/>
  <c r="K19" i="130"/>
  <c r="H19" i="130"/>
  <c r="C19" i="130"/>
  <c r="B19" i="130"/>
  <c r="K18" i="130"/>
  <c r="C18" i="130"/>
  <c r="H18" i="130" s="1"/>
  <c r="B18" i="130"/>
  <c r="K17" i="130"/>
  <c r="H17" i="130"/>
  <c r="C17" i="130"/>
  <c r="B17" i="130"/>
  <c r="K16" i="130"/>
  <c r="C16" i="130"/>
  <c r="H16" i="130" s="1"/>
  <c r="B16" i="130"/>
  <c r="K15" i="130"/>
  <c r="H15" i="130"/>
  <c r="C15" i="130"/>
  <c r="B15" i="130"/>
  <c r="K14" i="130"/>
  <c r="C14" i="130"/>
  <c r="H14" i="130" s="1"/>
  <c r="B14" i="130"/>
  <c r="K13" i="130"/>
  <c r="H13" i="130"/>
  <c r="C13" i="130"/>
  <c r="B13" i="130"/>
  <c r="K12" i="130"/>
  <c r="C12" i="130"/>
  <c r="H12" i="130" s="1"/>
  <c r="B12" i="130"/>
  <c r="K11" i="130"/>
  <c r="H11" i="130"/>
  <c r="C11" i="130"/>
  <c r="B11" i="130"/>
  <c r="K10" i="130"/>
  <c r="C10" i="130"/>
  <c r="H10" i="130" s="1"/>
  <c r="B10" i="130"/>
  <c r="K9" i="130"/>
  <c r="H9" i="130"/>
  <c r="C9" i="130"/>
  <c r="B9" i="130"/>
  <c r="K8" i="130"/>
  <c r="C8" i="130"/>
  <c r="H8" i="130" s="1"/>
  <c r="B8" i="130"/>
  <c r="C7" i="130"/>
  <c r="H7" i="130" s="1"/>
  <c r="B7" i="130"/>
  <c r="C6" i="130"/>
  <c r="H6" i="130" s="1"/>
  <c r="B6" i="130"/>
  <c r="K5" i="130"/>
  <c r="H5" i="130"/>
  <c r="C5" i="130"/>
  <c r="B5" i="130"/>
  <c r="K4" i="130"/>
  <c r="C4" i="130"/>
  <c r="H4" i="130" s="1"/>
  <c r="B4" i="130"/>
  <c r="K3" i="130"/>
  <c r="H3" i="130"/>
  <c r="C3" i="130"/>
  <c r="B3" i="130"/>
  <c r="K2" i="130"/>
  <c r="I2" i="130" s="1"/>
  <c r="H2" i="130"/>
  <c r="F2" i="130"/>
  <c r="C2" i="130"/>
  <c r="B2" i="130"/>
  <c r="A2" i="130"/>
  <c r="C31" i="129"/>
  <c r="H31" i="129" s="1"/>
  <c r="B31" i="129"/>
  <c r="H30" i="129"/>
  <c r="C30" i="129"/>
  <c r="B30" i="129"/>
  <c r="H29" i="129"/>
  <c r="C29" i="129"/>
  <c r="B29" i="129"/>
  <c r="H28" i="129"/>
  <c r="C28" i="129"/>
  <c r="B28" i="129"/>
  <c r="H27" i="129"/>
  <c r="C27" i="129"/>
  <c r="B27" i="129"/>
  <c r="H26" i="129"/>
  <c r="C26" i="129"/>
  <c r="B26" i="129"/>
  <c r="H25" i="129"/>
  <c r="C25" i="129"/>
  <c r="B25" i="129"/>
  <c r="H24" i="129"/>
  <c r="C24" i="129"/>
  <c r="B24" i="129"/>
  <c r="H23" i="129"/>
  <c r="C23" i="129"/>
  <c r="B23" i="129"/>
  <c r="H22" i="129"/>
  <c r="C22" i="129"/>
  <c r="B22" i="129"/>
  <c r="H21" i="129"/>
  <c r="C21" i="129"/>
  <c r="B21" i="129"/>
  <c r="K20" i="129"/>
  <c r="C20" i="129"/>
  <c r="H20" i="129" s="1"/>
  <c r="B20" i="129"/>
  <c r="K19" i="129"/>
  <c r="H19" i="129"/>
  <c r="C19" i="129"/>
  <c r="B19" i="129"/>
  <c r="K18" i="129"/>
  <c r="C18" i="129"/>
  <c r="H18" i="129" s="1"/>
  <c r="B18" i="129"/>
  <c r="K17" i="129"/>
  <c r="H17" i="129"/>
  <c r="C17" i="129"/>
  <c r="B17" i="129"/>
  <c r="K16" i="129"/>
  <c r="C16" i="129"/>
  <c r="H16" i="129" s="1"/>
  <c r="B16" i="129"/>
  <c r="K15" i="129"/>
  <c r="H15" i="129"/>
  <c r="C15" i="129"/>
  <c r="B15" i="129"/>
  <c r="K14" i="129"/>
  <c r="C14" i="129"/>
  <c r="H14" i="129" s="1"/>
  <c r="B14" i="129"/>
  <c r="K13" i="129"/>
  <c r="H13" i="129"/>
  <c r="C13" i="129"/>
  <c r="B13" i="129"/>
  <c r="K12" i="129"/>
  <c r="C12" i="129"/>
  <c r="H12" i="129" s="1"/>
  <c r="B12" i="129"/>
  <c r="K11" i="129"/>
  <c r="H11" i="129"/>
  <c r="C11" i="129"/>
  <c r="B11" i="129"/>
  <c r="K10" i="129"/>
  <c r="C10" i="129"/>
  <c r="H10" i="129" s="1"/>
  <c r="B10" i="129"/>
  <c r="K9" i="129"/>
  <c r="H9" i="129"/>
  <c r="C9" i="129"/>
  <c r="B9" i="129"/>
  <c r="K8" i="129"/>
  <c r="C8" i="129"/>
  <c r="H8" i="129" s="1"/>
  <c r="B8" i="129"/>
  <c r="C7" i="129"/>
  <c r="H7" i="129" s="1"/>
  <c r="B7" i="129"/>
  <c r="C6" i="129"/>
  <c r="H6" i="129" s="1"/>
  <c r="B6" i="129"/>
  <c r="K5" i="129"/>
  <c r="H5" i="129"/>
  <c r="C5" i="129"/>
  <c r="B5" i="129"/>
  <c r="K4" i="129"/>
  <c r="C4" i="129"/>
  <c r="H4" i="129" s="1"/>
  <c r="I1" i="129" s="1"/>
  <c r="B4" i="129"/>
  <c r="K3" i="129"/>
  <c r="H3" i="129"/>
  <c r="C3" i="129"/>
  <c r="B3" i="129"/>
  <c r="K2" i="129"/>
  <c r="I2" i="129" s="1"/>
  <c r="H2" i="129"/>
  <c r="F2" i="129"/>
  <c r="C2" i="129"/>
  <c r="B2" i="129"/>
  <c r="A2" i="129"/>
  <c r="C31" i="128"/>
  <c r="H31" i="128" s="1"/>
  <c r="B31" i="128"/>
  <c r="H30" i="128"/>
  <c r="C30" i="128"/>
  <c r="B30" i="128"/>
  <c r="H29" i="128"/>
  <c r="C29" i="128"/>
  <c r="B29" i="128"/>
  <c r="H28" i="128"/>
  <c r="C28" i="128"/>
  <c r="B28" i="128"/>
  <c r="H27" i="128"/>
  <c r="C27" i="128"/>
  <c r="B27" i="128"/>
  <c r="H26" i="128"/>
  <c r="C26" i="128"/>
  <c r="B26" i="128"/>
  <c r="H25" i="128"/>
  <c r="C25" i="128"/>
  <c r="B25" i="128"/>
  <c r="H24" i="128"/>
  <c r="C24" i="128"/>
  <c r="B24" i="128"/>
  <c r="H23" i="128"/>
  <c r="C23" i="128"/>
  <c r="B23" i="128"/>
  <c r="H22" i="128"/>
  <c r="C22" i="128"/>
  <c r="B22" i="128"/>
  <c r="H21" i="128"/>
  <c r="C21" i="128"/>
  <c r="B21" i="128"/>
  <c r="K20" i="128"/>
  <c r="C20" i="128"/>
  <c r="H20" i="128" s="1"/>
  <c r="B20" i="128"/>
  <c r="K19" i="128"/>
  <c r="H19" i="128"/>
  <c r="C19" i="128"/>
  <c r="B19" i="128"/>
  <c r="K18" i="128"/>
  <c r="C18" i="128"/>
  <c r="H18" i="128" s="1"/>
  <c r="B18" i="128"/>
  <c r="K17" i="128"/>
  <c r="H17" i="128"/>
  <c r="C17" i="128"/>
  <c r="B17" i="128"/>
  <c r="K16" i="128"/>
  <c r="C16" i="128"/>
  <c r="H16" i="128" s="1"/>
  <c r="B16" i="128"/>
  <c r="K15" i="128"/>
  <c r="H15" i="128"/>
  <c r="C15" i="128"/>
  <c r="B15" i="128"/>
  <c r="K14" i="128"/>
  <c r="C14" i="128"/>
  <c r="H14" i="128" s="1"/>
  <c r="B14" i="128"/>
  <c r="K13" i="128"/>
  <c r="H13" i="128"/>
  <c r="C13" i="128"/>
  <c r="B13" i="128"/>
  <c r="K12" i="128"/>
  <c r="C12" i="128"/>
  <c r="H12" i="128" s="1"/>
  <c r="B12" i="128"/>
  <c r="K11" i="128"/>
  <c r="H11" i="128"/>
  <c r="C11" i="128"/>
  <c r="B11" i="128"/>
  <c r="K10" i="128"/>
  <c r="C10" i="128"/>
  <c r="H10" i="128" s="1"/>
  <c r="B10" i="128"/>
  <c r="K9" i="128"/>
  <c r="H9" i="128"/>
  <c r="C9" i="128"/>
  <c r="B9" i="128"/>
  <c r="K8" i="128"/>
  <c r="C8" i="128"/>
  <c r="H8" i="128" s="1"/>
  <c r="B8" i="128"/>
  <c r="C7" i="128"/>
  <c r="H7" i="128" s="1"/>
  <c r="B7" i="128"/>
  <c r="C6" i="128"/>
  <c r="H6" i="128" s="1"/>
  <c r="B6" i="128"/>
  <c r="K5" i="128"/>
  <c r="H5" i="128"/>
  <c r="C5" i="128"/>
  <c r="B5" i="128"/>
  <c r="K4" i="128"/>
  <c r="C4" i="128"/>
  <c r="H4" i="128" s="1"/>
  <c r="B4" i="128"/>
  <c r="K3" i="128"/>
  <c r="H3" i="128"/>
  <c r="C3" i="128"/>
  <c r="B3" i="128"/>
  <c r="K2" i="128"/>
  <c r="I2" i="128" s="1"/>
  <c r="H2" i="128"/>
  <c r="F2" i="128"/>
  <c r="C2" i="128"/>
  <c r="B2" i="128"/>
  <c r="A2" i="128"/>
  <c r="A3" i="134" l="1"/>
  <c r="I1" i="133"/>
  <c r="A3" i="133"/>
  <c r="I1" i="132"/>
  <c r="A3" i="132"/>
  <c r="A3" i="131"/>
  <c r="I1" i="130"/>
  <c r="A3" i="130"/>
  <c r="A3" i="129"/>
  <c r="I1" i="128"/>
  <c r="A3" i="128"/>
  <c r="A4" i="134" l="1"/>
  <c r="F3" i="134"/>
  <c r="A4" i="133"/>
  <c r="F3" i="133"/>
  <c r="A4" i="132"/>
  <c r="F3" i="132"/>
  <c r="A4" i="131"/>
  <c r="F3" i="131"/>
  <c r="A4" i="130"/>
  <c r="F3" i="130"/>
  <c r="A4" i="129"/>
  <c r="F3" i="129"/>
  <c r="A4" i="128"/>
  <c r="F3" i="128"/>
  <c r="A5" i="134" l="1"/>
  <c r="F4" i="134"/>
  <c r="A5" i="133"/>
  <c r="F4" i="133"/>
  <c r="A5" i="132"/>
  <c r="F4" i="132"/>
  <c r="A5" i="131"/>
  <c r="F4" i="131"/>
  <c r="A5" i="130"/>
  <c r="F4" i="130"/>
  <c r="A5" i="129"/>
  <c r="F4" i="129"/>
  <c r="A5" i="128"/>
  <c r="F4" i="128"/>
  <c r="A6" i="134" l="1"/>
  <c r="F5" i="134"/>
  <c r="A6" i="133"/>
  <c r="F5" i="133"/>
  <c r="A6" i="132"/>
  <c r="F5" i="132"/>
  <c r="A6" i="131"/>
  <c r="F5" i="131"/>
  <c r="A6" i="130"/>
  <c r="F5" i="130"/>
  <c r="A6" i="129"/>
  <c r="F5" i="129"/>
  <c r="A6" i="128"/>
  <c r="F5" i="128"/>
  <c r="A7" i="134" l="1"/>
  <c r="F6" i="134"/>
  <c r="A7" i="133"/>
  <c r="F6" i="133"/>
  <c r="A7" i="132"/>
  <c r="F6" i="132"/>
  <c r="A7" i="131"/>
  <c r="F6" i="131"/>
  <c r="A7" i="130"/>
  <c r="F6" i="130"/>
  <c r="A7" i="129"/>
  <c r="F6" i="129"/>
  <c r="F6" i="128"/>
  <c r="A7" i="128"/>
  <c r="F7" i="134" l="1"/>
  <c r="A8" i="134"/>
  <c r="F7" i="133"/>
  <c r="A8" i="133"/>
  <c r="F7" i="132"/>
  <c r="A8" i="132"/>
  <c r="F7" i="131"/>
  <c r="A8" i="131"/>
  <c r="F7" i="130"/>
  <c r="A8" i="130"/>
  <c r="F7" i="129"/>
  <c r="A8" i="129"/>
  <c r="F7" i="128"/>
  <c r="A8" i="128"/>
  <c r="A9" i="134" l="1"/>
  <c r="F8" i="134"/>
  <c r="A9" i="133"/>
  <c r="F8" i="133"/>
  <c r="A9" i="132"/>
  <c r="F8" i="132"/>
  <c r="A9" i="131"/>
  <c r="F8" i="131"/>
  <c r="A9" i="130"/>
  <c r="F8" i="130"/>
  <c r="A9" i="129"/>
  <c r="F8" i="129"/>
  <c r="A9" i="128"/>
  <c r="F8" i="128"/>
  <c r="A10" i="134" l="1"/>
  <c r="F9" i="134"/>
  <c r="A10" i="133"/>
  <c r="F9" i="133"/>
  <c r="A10" i="132"/>
  <c r="F9" i="132"/>
  <c r="A10" i="131"/>
  <c r="F9" i="131"/>
  <c r="A10" i="130"/>
  <c r="F9" i="130"/>
  <c r="A10" i="129"/>
  <c r="F9" i="129"/>
  <c r="A10" i="128"/>
  <c r="F9" i="128"/>
  <c r="A11" i="134" l="1"/>
  <c r="F10" i="134"/>
  <c r="A11" i="133"/>
  <c r="F10" i="133"/>
  <c r="A11" i="132"/>
  <c r="F10" i="132"/>
  <c r="A11" i="131"/>
  <c r="F10" i="131"/>
  <c r="A11" i="130"/>
  <c r="F10" i="130"/>
  <c r="A11" i="129"/>
  <c r="F10" i="129"/>
  <c r="A11" i="128"/>
  <c r="F10" i="128"/>
  <c r="A12" i="134" l="1"/>
  <c r="F11" i="134"/>
  <c r="A12" i="133"/>
  <c r="F11" i="133"/>
  <c r="A12" i="132"/>
  <c r="F11" i="132"/>
  <c r="A12" i="131"/>
  <c r="F11" i="131"/>
  <c r="A12" i="130"/>
  <c r="F11" i="130"/>
  <c r="A12" i="129"/>
  <c r="F11" i="129"/>
  <c r="A12" i="128"/>
  <c r="F11" i="128"/>
  <c r="A13" i="134" l="1"/>
  <c r="F12" i="134"/>
  <c r="A13" i="133"/>
  <c r="F12" i="133"/>
  <c r="A13" i="132"/>
  <c r="F12" i="132"/>
  <c r="A13" i="131"/>
  <c r="F12" i="131"/>
  <c r="A13" i="130"/>
  <c r="F12" i="130"/>
  <c r="A13" i="129"/>
  <c r="F12" i="129"/>
  <c r="A13" i="128"/>
  <c r="F12" i="128"/>
  <c r="A14" i="134" l="1"/>
  <c r="F13" i="134"/>
  <c r="A14" i="133"/>
  <c r="F13" i="133"/>
  <c r="A14" i="132"/>
  <c r="F13" i="132"/>
  <c r="A14" i="131"/>
  <c r="F13" i="131"/>
  <c r="A14" i="130"/>
  <c r="F13" i="130"/>
  <c r="A14" i="129"/>
  <c r="F13" i="129"/>
  <c r="A14" i="128"/>
  <c r="F13" i="128"/>
  <c r="A15" i="134" l="1"/>
  <c r="F14" i="134"/>
  <c r="A15" i="133"/>
  <c r="F14" i="133"/>
  <c r="A15" i="132"/>
  <c r="F14" i="132"/>
  <c r="A15" i="131"/>
  <c r="F14" i="131"/>
  <c r="A15" i="130"/>
  <c r="F14" i="130"/>
  <c r="A15" i="129"/>
  <c r="F14" i="129"/>
  <c r="A15" i="128"/>
  <c r="F14" i="128"/>
  <c r="A16" i="134" l="1"/>
  <c r="F15" i="134"/>
  <c r="A16" i="133"/>
  <c r="F15" i="133"/>
  <c r="A16" i="132"/>
  <c r="F15" i="132"/>
  <c r="A16" i="131"/>
  <c r="F15" i="131"/>
  <c r="A16" i="130"/>
  <c r="F15" i="130"/>
  <c r="A16" i="129"/>
  <c r="F15" i="129"/>
  <c r="A16" i="128"/>
  <c r="F15" i="128"/>
  <c r="A17" i="134" l="1"/>
  <c r="F16" i="134"/>
  <c r="A17" i="133"/>
  <c r="F16" i="133"/>
  <c r="A17" i="132"/>
  <c r="F16" i="132"/>
  <c r="A17" i="131"/>
  <c r="F16" i="131"/>
  <c r="A17" i="130"/>
  <c r="F16" i="130"/>
  <c r="A17" i="129"/>
  <c r="F16" i="129"/>
  <c r="A17" i="128"/>
  <c r="F16" i="128"/>
  <c r="A18" i="134" l="1"/>
  <c r="F17" i="134"/>
  <c r="A18" i="133"/>
  <c r="F17" i="133"/>
  <c r="A18" i="132"/>
  <c r="F17" i="132"/>
  <c r="A18" i="131"/>
  <c r="F17" i="131"/>
  <c r="A18" i="130"/>
  <c r="F17" i="130"/>
  <c r="A18" i="129"/>
  <c r="F17" i="129"/>
  <c r="A18" i="128"/>
  <c r="F17" i="128"/>
  <c r="A19" i="134" l="1"/>
  <c r="F18" i="134"/>
  <c r="A19" i="133"/>
  <c r="F18" i="133"/>
  <c r="A19" i="132"/>
  <c r="F18" i="132"/>
  <c r="A19" i="131"/>
  <c r="F18" i="131"/>
  <c r="A19" i="130"/>
  <c r="F18" i="130"/>
  <c r="A19" i="129"/>
  <c r="F18" i="129"/>
  <c r="A19" i="128"/>
  <c r="F18" i="128"/>
  <c r="A20" i="134" l="1"/>
  <c r="F19" i="134"/>
  <c r="A20" i="133"/>
  <c r="F19" i="133"/>
  <c r="A20" i="132"/>
  <c r="F19" i="132"/>
  <c r="A20" i="131"/>
  <c r="F19" i="131"/>
  <c r="A20" i="130"/>
  <c r="F19" i="130"/>
  <c r="A20" i="129"/>
  <c r="F19" i="129"/>
  <c r="A20" i="128"/>
  <c r="F19" i="128"/>
  <c r="A21" i="134" l="1"/>
  <c r="F20" i="134"/>
  <c r="A21" i="133"/>
  <c r="F20" i="133"/>
  <c r="A21" i="132"/>
  <c r="F20" i="132"/>
  <c r="A21" i="131"/>
  <c r="F20" i="131"/>
  <c r="A21" i="130"/>
  <c r="F20" i="130"/>
  <c r="A21" i="129"/>
  <c r="F20" i="129"/>
  <c r="A21" i="128"/>
  <c r="F20" i="128"/>
  <c r="F21" i="134" l="1"/>
  <c r="A22" i="134"/>
  <c r="F21" i="133"/>
  <c r="A22" i="133"/>
  <c r="F21" i="132"/>
  <c r="A22" i="132"/>
  <c r="F21" i="131"/>
  <c r="A22" i="131"/>
  <c r="F21" i="130"/>
  <c r="A22" i="130"/>
  <c r="F21" i="129"/>
  <c r="A22" i="129"/>
  <c r="F21" i="128"/>
  <c r="A22" i="128"/>
  <c r="F22" i="134" l="1"/>
  <c r="A23" i="134"/>
  <c r="F22" i="133"/>
  <c r="A23" i="133"/>
  <c r="F22" i="132"/>
  <c r="A23" i="132"/>
  <c r="F22" i="131"/>
  <c r="A23" i="131"/>
  <c r="F22" i="130"/>
  <c r="A23" i="130"/>
  <c r="F22" i="129"/>
  <c r="A23" i="129"/>
  <c r="F22" i="128"/>
  <c r="A23" i="128"/>
  <c r="F23" i="134" l="1"/>
  <c r="A24" i="134"/>
  <c r="F23" i="133"/>
  <c r="A24" i="133"/>
  <c r="F23" i="132"/>
  <c r="A24" i="132"/>
  <c r="F23" i="131"/>
  <c r="A24" i="131"/>
  <c r="F23" i="130"/>
  <c r="A24" i="130"/>
  <c r="F23" i="129"/>
  <c r="A24" i="129"/>
  <c r="F23" i="128"/>
  <c r="A24" i="128"/>
  <c r="F24" i="134" l="1"/>
  <c r="A25" i="134"/>
  <c r="F24" i="133"/>
  <c r="A25" i="133"/>
  <c r="F24" i="132"/>
  <c r="A25" i="132"/>
  <c r="F24" i="131"/>
  <c r="A25" i="131"/>
  <c r="F24" i="130"/>
  <c r="A25" i="130"/>
  <c r="F24" i="129"/>
  <c r="A25" i="129"/>
  <c r="F24" i="128"/>
  <c r="A25" i="128"/>
  <c r="F25" i="134" l="1"/>
  <c r="A26" i="134"/>
  <c r="F25" i="133"/>
  <c r="A26" i="133"/>
  <c r="F25" i="132"/>
  <c r="A26" i="132"/>
  <c r="F25" i="131"/>
  <c r="A26" i="131"/>
  <c r="F25" i="130"/>
  <c r="A26" i="130"/>
  <c r="F25" i="129"/>
  <c r="A26" i="129"/>
  <c r="F25" i="128"/>
  <c r="A26" i="128"/>
  <c r="F26" i="134" l="1"/>
  <c r="A27" i="134"/>
  <c r="F26" i="133"/>
  <c r="A27" i="133"/>
  <c r="F26" i="132"/>
  <c r="A27" i="132"/>
  <c r="F26" i="131"/>
  <c r="A27" i="131"/>
  <c r="F26" i="130"/>
  <c r="A27" i="130"/>
  <c r="F26" i="129"/>
  <c r="A27" i="129"/>
  <c r="F26" i="128"/>
  <c r="A27" i="128"/>
  <c r="F27" i="134" l="1"/>
  <c r="A28" i="134"/>
  <c r="F27" i="133"/>
  <c r="A28" i="133"/>
  <c r="F27" i="132"/>
  <c r="A28" i="132"/>
  <c r="F27" i="131"/>
  <c r="A28" i="131"/>
  <c r="F27" i="130"/>
  <c r="A28" i="130"/>
  <c r="F27" i="129"/>
  <c r="A28" i="129"/>
  <c r="F27" i="128"/>
  <c r="A28" i="128"/>
  <c r="F28" i="134" l="1"/>
  <c r="A29" i="134"/>
  <c r="F28" i="133"/>
  <c r="A29" i="133"/>
  <c r="F28" i="132"/>
  <c r="A29" i="132"/>
  <c r="F28" i="131"/>
  <c r="A29" i="131"/>
  <c r="F28" i="130"/>
  <c r="A29" i="130"/>
  <c r="F28" i="129"/>
  <c r="A29" i="129"/>
  <c r="F28" i="128"/>
  <c r="A29" i="128"/>
  <c r="F29" i="134" l="1"/>
  <c r="A30" i="134"/>
  <c r="F29" i="133"/>
  <c r="A30" i="133"/>
  <c r="F29" i="132"/>
  <c r="A30" i="132"/>
  <c r="F29" i="131"/>
  <c r="A30" i="131"/>
  <c r="F29" i="130"/>
  <c r="A30" i="130"/>
  <c r="F29" i="129"/>
  <c r="A30" i="129"/>
  <c r="F29" i="128"/>
  <c r="A30" i="128"/>
  <c r="F30" i="134" l="1"/>
  <c r="A31" i="134"/>
  <c r="G30" i="134" s="1"/>
  <c r="G29" i="134"/>
  <c r="G28" i="134"/>
  <c r="F30" i="133"/>
  <c r="A31" i="133"/>
  <c r="G28" i="133" s="1"/>
  <c r="F30" i="132"/>
  <c r="A31" i="132"/>
  <c r="G30" i="132" s="1"/>
  <c r="F30" i="131"/>
  <c r="A31" i="131"/>
  <c r="G27" i="131"/>
  <c r="G30" i="131"/>
  <c r="F30" i="130"/>
  <c r="A31" i="130"/>
  <c r="F30" i="129"/>
  <c r="A31" i="129"/>
  <c r="G29" i="129" s="1"/>
  <c r="F30" i="128"/>
  <c r="A31" i="128"/>
  <c r="F31" i="134" l="1"/>
  <c r="F32" i="134"/>
  <c r="G32" i="134" s="1"/>
  <c r="G3" i="134"/>
  <c r="G2" i="134"/>
  <c r="G5" i="134"/>
  <c r="G4" i="134"/>
  <c r="G6" i="134"/>
  <c r="G9" i="134"/>
  <c r="G7" i="134"/>
  <c r="G8" i="134"/>
  <c r="G10" i="134"/>
  <c r="G12" i="134"/>
  <c r="G11" i="134"/>
  <c r="G14" i="134"/>
  <c r="G13" i="134"/>
  <c r="G15" i="134"/>
  <c r="G18" i="134"/>
  <c r="G16" i="134"/>
  <c r="G17" i="134"/>
  <c r="G19" i="134"/>
  <c r="G22" i="134"/>
  <c r="G20" i="134"/>
  <c r="G24" i="134"/>
  <c r="G21" i="134"/>
  <c r="G23" i="134"/>
  <c r="G25" i="134"/>
  <c r="G26" i="134"/>
  <c r="G27" i="134"/>
  <c r="G31" i="134"/>
  <c r="F31" i="133"/>
  <c r="F32" i="133"/>
  <c r="G32" i="133" s="1"/>
  <c r="G3" i="133"/>
  <c r="G2" i="133"/>
  <c r="G4" i="133"/>
  <c r="G5" i="133"/>
  <c r="G6" i="133"/>
  <c r="G8" i="133"/>
  <c r="G7" i="133"/>
  <c r="G10" i="133"/>
  <c r="G9" i="133"/>
  <c r="G12" i="133"/>
  <c r="G11" i="133"/>
  <c r="G13" i="133"/>
  <c r="G15" i="133"/>
  <c r="G14" i="133"/>
  <c r="G16" i="133"/>
  <c r="G18" i="133"/>
  <c r="G17" i="133"/>
  <c r="G19" i="133"/>
  <c r="G22" i="133"/>
  <c r="G20" i="133"/>
  <c r="G21" i="133"/>
  <c r="G24" i="133"/>
  <c r="G23" i="133"/>
  <c r="G25" i="133"/>
  <c r="G26" i="133"/>
  <c r="G27" i="133"/>
  <c r="G30" i="133"/>
  <c r="G29" i="133"/>
  <c r="G31" i="133"/>
  <c r="G27" i="132"/>
  <c r="F31" i="132"/>
  <c r="F32" i="132"/>
  <c r="G32" i="132" s="1"/>
  <c r="G3" i="132"/>
  <c r="G2" i="132"/>
  <c r="G4" i="132"/>
  <c r="G5" i="132"/>
  <c r="G6" i="132"/>
  <c r="G7" i="132"/>
  <c r="G9" i="132"/>
  <c r="G8" i="132"/>
  <c r="G10" i="132"/>
  <c r="G12" i="132"/>
  <c r="G11" i="132"/>
  <c r="G14" i="132"/>
  <c r="G13" i="132"/>
  <c r="G15" i="132"/>
  <c r="G16" i="132"/>
  <c r="G18" i="132"/>
  <c r="G17" i="132"/>
  <c r="G19" i="132"/>
  <c r="G21" i="132"/>
  <c r="G20" i="132"/>
  <c r="G23" i="132"/>
  <c r="G22" i="132"/>
  <c r="G24" i="132"/>
  <c r="G25" i="132"/>
  <c r="G26" i="132"/>
  <c r="G29" i="132"/>
  <c r="G28" i="132"/>
  <c r="G31" i="132"/>
  <c r="F31" i="131"/>
  <c r="F32" i="131"/>
  <c r="G32" i="131" s="1"/>
  <c r="G3" i="131"/>
  <c r="G5" i="131" s="1"/>
  <c r="G4" i="131"/>
  <c r="G2" i="131"/>
  <c r="G7" i="131"/>
  <c r="G6" i="131"/>
  <c r="G9" i="131"/>
  <c r="G8" i="131"/>
  <c r="G10" i="131"/>
  <c r="G12" i="131"/>
  <c r="G11" i="131"/>
  <c r="G13" i="131"/>
  <c r="G14" i="131"/>
  <c r="G16" i="131"/>
  <c r="G17" i="131"/>
  <c r="G18" i="131"/>
  <c r="G15" i="131"/>
  <c r="G19" i="131"/>
  <c r="G21" i="131"/>
  <c r="G22" i="131"/>
  <c r="G20" i="131"/>
  <c r="G23" i="131"/>
  <c r="G24" i="131"/>
  <c r="G25" i="131"/>
  <c r="G29" i="131"/>
  <c r="G28" i="131"/>
  <c r="G26" i="131"/>
  <c r="G31" i="131"/>
  <c r="F31" i="130"/>
  <c r="F32" i="130"/>
  <c r="G32" i="130" s="1"/>
  <c r="G2" i="130"/>
  <c r="G3" i="130" s="1"/>
  <c r="G5" i="130"/>
  <c r="G6" i="130"/>
  <c r="G4" i="130"/>
  <c r="G8" i="130"/>
  <c r="G7" i="130"/>
  <c r="G10" i="130"/>
  <c r="G9" i="130"/>
  <c r="G11" i="130"/>
  <c r="G12" i="130"/>
  <c r="G13" i="130"/>
  <c r="G14" i="130"/>
  <c r="G16" i="130"/>
  <c r="G17" i="130"/>
  <c r="G15" i="130"/>
  <c r="G19" i="130"/>
  <c r="G20" i="130"/>
  <c r="G18" i="130"/>
  <c r="G21" i="130"/>
  <c r="G22" i="130"/>
  <c r="G23" i="130"/>
  <c r="G25" i="130"/>
  <c r="G24" i="130"/>
  <c r="G26" i="130"/>
  <c r="G27" i="130"/>
  <c r="G31" i="130"/>
  <c r="G30" i="130"/>
  <c r="G28" i="130"/>
  <c r="G29" i="130"/>
  <c r="G28" i="129"/>
  <c r="F31" i="129"/>
  <c r="F32" i="129"/>
  <c r="G32" i="129" s="1"/>
  <c r="G3" i="129"/>
  <c r="G4" i="129"/>
  <c r="G5" i="129"/>
  <c r="G2" i="129"/>
  <c r="G8" i="129"/>
  <c r="G6" i="129"/>
  <c r="G7" i="129"/>
  <c r="G11" i="129"/>
  <c r="G9" i="129"/>
  <c r="G12" i="129"/>
  <c r="G10" i="129"/>
  <c r="G14" i="129"/>
  <c r="G13" i="129"/>
  <c r="G15" i="129"/>
  <c r="G16" i="129"/>
  <c r="G17" i="129"/>
  <c r="G20" i="129"/>
  <c r="G18" i="129"/>
  <c r="G22" i="129"/>
  <c r="G21" i="129"/>
  <c r="G19" i="129"/>
  <c r="G24" i="129"/>
  <c r="G23" i="129"/>
  <c r="G25" i="129"/>
  <c r="G26" i="129"/>
  <c r="G30" i="129"/>
  <c r="G31" i="129"/>
  <c r="G27" i="129"/>
  <c r="F31" i="128"/>
  <c r="F32" i="128"/>
  <c r="G32" i="128" s="1"/>
  <c r="G2" i="128"/>
  <c r="G3" i="128"/>
  <c r="G6" i="128" s="1"/>
  <c r="G4" i="128"/>
  <c r="G8" i="128"/>
  <c r="G7" i="128"/>
  <c r="G5" i="128"/>
  <c r="G9" i="128"/>
  <c r="G10" i="128"/>
  <c r="G12" i="128"/>
  <c r="G14" i="128"/>
  <c r="G11" i="128"/>
  <c r="G13" i="128"/>
  <c r="G15" i="128"/>
  <c r="G16" i="128"/>
  <c r="G17" i="128"/>
  <c r="G18" i="128"/>
  <c r="G20" i="128"/>
  <c r="G19" i="128"/>
  <c r="G21" i="128"/>
  <c r="G25" i="128"/>
  <c r="G22" i="128"/>
  <c r="G23" i="128"/>
  <c r="G24" i="128"/>
  <c r="G26" i="128"/>
  <c r="G31" i="128"/>
  <c r="G30" i="128"/>
  <c r="G27" i="128"/>
  <c r="G29" i="128"/>
  <c r="G28" i="128"/>
  <c r="AX3" i="5"/>
  <c r="C31" i="127"/>
  <c r="H31" i="127" s="1"/>
  <c r="B31" i="127"/>
  <c r="C30" i="127"/>
  <c r="H30" i="127" s="1"/>
  <c r="B30" i="127"/>
  <c r="H29" i="127"/>
  <c r="C29" i="127"/>
  <c r="B29" i="127"/>
  <c r="H28" i="127"/>
  <c r="C28" i="127"/>
  <c r="B28" i="127"/>
  <c r="H27" i="127"/>
  <c r="C27" i="127"/>
  <c r="B27" i="127"/>
  <c r="H26" i="127"/>
  <c r="C26" i="127"/>
  <c r="B26" i="127"/>
  <c r="H25" i="127"/>
  <c r="C25" i="127"/>
  <c r="B25" i="127"/>
  <c r="H24" i="127"/>
  <c r="C24" i="127"/>
  <c r="B24" i="127"/>
  <c r="H23" i="127"/>
  <c r="C23" i="127"/>
  <c r="B23" i="127"/>
  <c r="H22" i="127"/>
  <c r="C22" i="127"/>
  <c r="B22" i="127"/>
  <c r="H21" i="127"/>
  <c r="C21" i="127"/>
  <c r="B21" i="127"/>
  <c r="K20" i="127"/>
  <c r="C20" i="127"/>
  <c r="H20" i="127" s="1"/>
  <c r="B20" i="127"/>
  <c r="K19" i="127"/>
  <c r="H19" i="127"/>
  <c r="C19" i="127"/>
  <c r="B19" i="127"/>
  <c r="K18" i="127"/>
  <c r="C18" i="127"/>
  <c r="H18" i="127" s="1"/>
  <c r="B18" i="127"/>
  <c r="K17" i="127"/>
  <c r="H17" i="127"/>
  <c r="C17" i="127"/>
  <c r="B17" i="127"/>
  <c r="K16" i="127"/>
  <c r="C16" i="127"/>
  <c r="H16" i="127" s="1"/>
  <c r="B16" i="127"/>
  <c r="K15" i="127"/>
  <c r="H15" i="127"/>
  <c r="C15" i="127"/>
  <c r="B15" i="127"/>
  <c r="K14" i="127"/>
  <c r="C14" i="127"/>
  <c r="H14" i="127" s="1"/>
  <c r="B14" i="127"/>
  <c r="K13" i="127"/>
  <c r="H13" i="127"/>
  <c r="C13" i="127"/>
  <c r="B13" i="127"/>
  <c r="K12" i="127"/>
  <c r="C12" i="127"/>
  <c r="H12" i="127" s="1"/>
  <c r="B12" i="127"/>
  <c r="K11" i="127"/>
  <c r="H11" i="127"/>
  <c r="C11" i="127"/>
  <c r="B11" i="127"/>
  <c r="K10" i="127"/>
  <c r="C10" i="127"/>
  <c r="H10" i="127" s="1"/>
  <c r="B10" i="127"/>
  <c r="K9" i="127"/>
  <c r="H9" i="127"/>
  <c r="C9" i="127"/>
  <c r="B9" i="127"/>
  <c r="K8" i="127"/>
  <c r="C8" i="127"/>
  <c r="H8" i="127" s="1"/>
  <c r="B8" i="127"/>
  <c r="C7" i="127"/>
  <c r="H7" i="127" s="1"/>
  <c r="B7" i="127"/>
  <c r="C6" i="127"/>
  <c r="H6" i="127" s="1"/>
  <c r="B6" i="127"/>
  <c r="K5" i="127"/>
  <c r="H5" i="127"/>
  <c r="C5" i="127"/>
  <c r="B5" i="127"/>
  <c r="K4" i="127"/>
  <c r="C4" i="127"/>
  <c r="H4" i="127" s="1"/>
  <c r="B4" i="127"/>
  <c r="K3" i="127"/>
  <c r="H3" i="127"/>
  <c r="C3" i="127"/>
  <c r="B3" i="127"/>
  <c r="K2" i="127"/>
  <c r="I2" i="127" s="1"/>
  <c r="H2" i="127"/>
  <c r="F2" i="127"/>
  <c r="C2" i="127"/>
  <c r="B2" i="127"/>
  <c r="A2" i="127"/>
  <c r="C31" i="126"/>
  <c r="H31" i="126" s="1"/>
  <c r="B31" i="126"/>
  <c r="C30" i="126"/>
  <c r="H30" i="126" s="1"/>
  <c r="B30" i="126"/>
  <c r="H29" i="126"/>
  <c r="C29" i="126"/>
  <c r="B29" i="126"/>
  <c r="H28" i="126"/>
  <c r="C28" i="126"/>
  <c r="B28" i="126"/>
  <c r="H27" i="126"/>
  <c r="C27" i="126"/>
  <c r="B27" i="126"/>
  <c r="H26" i="126"/>
  <c r="C26" i="126"/>
  <c r="B26" i="126"/>
  <c r="H25" i="126"/>
  <c r="C25" i="126"/>
  <c r="B25" i="126"/>
  <c r="H24" i="126"/>
  <c r="C24" i="126"/>
  <c r="B24" i="126"/>
  <c r="H23" i="126"/>
  <c r="C23" i="126"/>
  <c r="B23" i="126"/>
  <c r="H22" i="126"/>
  <c r="C22" i="126"/>
  <c r="B22" i="126"/>
  <c r="H21" i="126"/>
  <c r="C21" i="126"/>
  <c r="B21" i="126"/>
  <c r="K20" i="126"/>
  <c r="C20" i="126"/>
  <c r="H20" i="126" s="1"/>
  <c r="B20" i="126"/>
  <c r="K19" i="126"/>
  <c r="H19" i="126"/>
  <c r="C19" i="126"/>
  <c r="B19" i="126"/>
  <c r="K18" i="126"/>
  <c r="C18" i="126"/>
  <c r="H18" i="126" s="1"/>
  <c r="B18" i="126"/>
  <c r="K17" i="126"/>
  <c r="H17" i="126"/>
  <c r="C17" i="126"/>
  <c r="B17" i="126"/>
  <c r="K16" i="126"/>
  <c r="C16" i="126"/>
  <c r="H16" i="126" s="1"/>
  <c r="B16" i="126"/>
  <c r="K15" i="126"/>
  <c r="H15" i="126"/>
  <c r="C15" i="126"/>
  <c r="B15" i="126"/>
  <c r="K14" i="126"/>
  <c r="C14" i="126"/>
  <c r="H14" i="126" s="1"/>
  <c r="B14" i="126"/>
  <c r="K13" i="126"/>
  <c r="H13" i="126"/>
  <c r="C13" i="126"/>
  <c r="B13" i="126"/>
  <c r="K12" i="126"/>
  <c r="C12" i="126"/>
  <c r="H12" i="126" s="1"/>
  <c r="B12" i="126"/>
  <c r="K11" i="126"/>
  <c r="H11" i="126"/>
  <c r="C11" i="126"/>
  <c r="B11" i="126"/>
  <c r="K10" i="126"/>
  <c r="C10" i="126"/>
  <c r="H10" i="126" s="1"/>
  <c r="B10" i="126"/>
  <c r="K9" i="126"/>
  <c r="H9" i="126"/>
  <c r="C9" i="126"/>
  <c r="B9" i="126"/>
  <c r="K8" i="126"/>
  <c r="C8" i="126"/>
  <c r="H8" i="126" s="1"/>
  <c r="B8" i="126"/>
  <c r="C7" i="126"/>
  <c r="H7" i="126" s="1"/>
  <c r="B7" i="126"/>
  <c r="C6" i="126"/>
  <c r="H6" i="126" s="1"/>
  <c r="B6" i="126"/>
  <c r="K5" i="126"/>
  <c r="H5" i="126"/>
  <c r="C5" i="126"/>
  <c r="B5" i="126"/>
  <c r="K4" i="126"/>
  <c r="C4" i="126"/>
  <c r="H4" i="126" s="1"/>
  <c r="I1" i="126" s="1"/>
  <c r="B4" i="126"/>
  <c r="K3" i="126"/>
  <c r="H3" i="126"/>
  <c r="C3" i="126"/>
  <c r="B3" i="126"/>
  <c r="K2" i="126"/>
  <c r="I2" i="126" s="1"/>
  <c r="H2" i="126"/>
  <c r="F2" i="126"/>
  <c r="C2" i="126"/>
  <c r="B2" i="126"/>
  <c r="A2" i="126"/>
  <c r="C31" i="125"/>
  <c r="H31" i="125" s="1"/>
  <c r="B31" i="125"/>
  <c r="C30" i="125"/>
  <c r="H30" i="125" s="1"/>
  <c r="B30" i="125"/>
  <c r="H29" i="125"/>
  <c r="C29" i="125"/>
  <c r="B29" i="125"/>
  <c r="H28" i="125"/>
  <c r="C28" i="125"/>
  <c r="B28" i="125"/>
  <c r="H27" i="125"/>
  <c r="C27" i="125"/>
  <c r="B27" i="125"/>
  <c r="H26" i="125"/>
  <c r="C26" i="125"/>
  <c r="B26" i="125"/>
  <c r="H25" i="125"/>
  <c r="C25" i="125"/>
  <c r="B25" i="125"/>
  <c r="H24" i="125"/>
  <c r="C24" i="125"/>
  <c r="B24" i="125"/>
  <c r="H23" i="125"/>
  <c r="C23" i="125"/>
  <c r="B23" i="125"/>
  <c r="H22" i="125"/>
  <c r="C22" i="125"/>
  <c r="B22" i="125"/>
  <c r="H21" i="125"/>
  <c r="C21" i="125"/>
  <c r="B21" i="125"/>
  <c r="K20" i="125"/>
  <c r="C20" i="125"/>
  <c r="H20" i="125" s="1"/>
  <c r="B20" i="125"/>
  <c r="K19" i="125"/>
  <c r="H19" i="125"/>
  <c r="C19" i="125"/>
  <c r="B19" i="125"/>
  <c r="K18" i="125"/>
  <c r="C18" i="125"/>
  <c r="H18" i="125" s="1"/>
  <c r="B18" i="125"/>
  <c r="K17" i="125"/>
  <c r="H17" i="125"/>
  <c r="C17" i="125"/>
  <c r="B17" i="125"/>
  <c r="K16" i="125"/>
  <c r="C16" i="125"/>
  <c r="H16" i="125" s="1"/>
  <c r="B16" i="125"/>
  <c r="K15" i="125"/>
  <c r="H15" i="125"/>
  <c r="C15" i="125"/>
  <c r="B15" i="125"/>
  <c r="K14" i="125"/>
  <c r="C14" i="125"/>
  <c r="H14" i="125" s="1"/>
  <c r="B14" i="125"/>
  <c r="K13" i="125"/>
  <c r="H13" i="125"/>
  <c r="C13" i="125"/>
  <c r="B13" i="125"/>
  <c r="K12" i="125"/>
  <c r="C12" i="125"/>
  <c r="H12" i="125" s="1"/>
  <c r="B12" i="125"/>
  <c r="K11" i="125"/>
  <c r="H11" i="125"/>
  <c r="C11" i="125"/>
  <c r="B11" i="125"/>
  <c r="K10" i="125"/>
  <c r="C10" i="125"/>
  <c r="H10" i="125" s="1"/>
  <c r="B10" i="125"/>
  <c r="K9" i="125"/>
  <c r="H9" i="125"/>
  <c r="C9" i="125"/>
  <c r="B9" i="125"/>
  <c r="K8" i="125"/>
  <c r="C8" i="125"/>
  <c r="H8" i="125" s="1"/>
  <c r="B8" i="125"/>
  <c r="C7" i="125"/>
  <c r="H7" i="125" s="1"/>
  <c r="B7" i="125"/>
  <c r="C6" i="125"/>
  <c r="H6" i="125" s="1"/>
  <c r="B6" i="125"/>
  <c r="K5" i="125"/>
  <c r="H5" i="125"/>
  <c r="C5" i="125"/>
  <c r="B5" i="125"/>
  <c r="K4" i="125"/>
  <c r="C4" i="125"/>
  <c r="H4" i="125" s="1"/>
  <c r="I1" i="125" s="1"/>
  <c r="B4" i="125"/>
  <c r="K3" i="125"/>
  <c r="H3" i="125"/>
  <c r="C3" i="125"/>
  <c r="B3" i="125"/>
  <c r="K2" i="125"/>
  <c r="I2" i="125" s="1"/>
  <c r="H2" i="125"/>
  <c r="F2" i="125"/>
  <c r="C2" i="125"/>
  <c r="B2" i="125"/>
  <c r="A2" i="125"/>
  <c r="H31" i="124"/>
  <c r="C31" i="124"/>
  <c r="B31" i="124"/>
  <c r="H30" i="124"/>
  <c r="C30" i="124"/>
  <c r="B30" i="124"/>
  <c r="H29" i="124"/>
  <c r="C29" i="124"/>
  <c r="B29" i="124"/>
  <c r="H28" i="124"/>
  <c r="C28" i="124"/>
  <c r="B28" i="124"/>
  <c r="H27" i="124"/>
  <c r="C27" i="124"/>
  <c r="B27" i="124"/>
  <c r="H26" i="124"/>
  <c r="C26" i="124"/>
  <c r="B26" i="124"/>
  <c r="H25" i="124"/>
  <c r="C25" i="124"/>
  <c r="B25" i="124"/>
  <c r="H24" i="124"/>
  <c r="C24" i="124"/>
  <c r="B24" i="124"/>
  <c r="H23" i="124"/>
  <c r="C23" i="124"/>
  <c r="B23" i="124"/>
  <c r="H22" i="124"/>
  <c r="C22" i="124"/>
  <c r="B22" i="124"/>
  <c r="H21" i="124"/>
  <c r="C21" i="124"/>
  <c r="B21" i="124"/>
  <c r="K20" i="124"/>
  <c r="C20" i="124"/>
  <c r="H20" i="124" s="1"/>
  <c r="B20" i="124"/>
  <c r="K19" i="124"/>
  <c r="H19" i="124"/>
  <c r="C19" i="124"/>
  <c r="B19" i="124"/>
  <c r="K18" i="124"/>
  <c r="C18" i="124"/>
  <c r="H18" i="124" s="1"/>
  <c r="B18" i="124"/>
  <c r="K17" i="124"/>
  <c r="H17" i="124"/>
  <c r="C17" i="124"/>
  <c r="B17" i="124"/>
  <c r="K16" i="124"/>
  <c r="C16" i="124"/>
  <c r="H16" i="124" s="1"/>
  <c r="B16" i="124"/>
  <c r="K15" i="124"/>
  <c r="H15" i="124"/>
  <c r="C15" i="124"/>
  <c r="B15" i="124"/>
  <c r="K14" i="124"/>
  <c r="C14" i="124"/>
  <c r="H14" i="124" s="1"/>
  <c r="B14" i="124"/>
  <c r="K13" i="124"/>
  <c r="H13" i="124"/>
  <c r="C13" i="124"/>
  <c r="B13" i="124"/>
  <c r="K12" i="124"/>
  <c r="C12" i="124"/>
  <c r="H12" i="124" s="1"/>
  <c r="B12" i="124"/>
  <c r="K11" i="124"/>
  <c r="H11" i="124"/>
  <c r="C11" i="124"/>
  <c r="B11" i="124"/>
  <c r="K10" i="124"/>
  <c r="C10" i="124"/>
  <c r="H10" i="124" s="1"/>
  <c r="B10" i="124"/>
  <c r="K9" i="124"/>
  <c r="H9" i="124"/>
  <c r="C9" i="124"/>
  <c r="B9" i="124"/>
  <c r="K8" i="124"/>
  <c r="C8" i="124"/>
  <c r="H8" i="124" s="1"/>
  <c r="B8" i="124"/>
  <c r="C7" i="124"/>
  <c r="H7" i="124" s="1"/>
  <c r="B7" i="124"/>
  <c r="C6" i="124"/>
  <c r="H6" i="124" s="1"/>
  <c r="B6" i="124"/>
  <c r="K5" i="124"/>
  <c r="H5" i="124"/>
  <c r="C5" i="124"/>
  <c r="B5" i="124"/>
  <c r="K4" i="124"/>
  <c r="C4" i="124"/>
  <c r="H4" i="124" s="1"/>
  <c r="B4" i="124"/>
  <c r="K3" i="124"/>
  <c r="H3" i="124"/>
  <c r="C3" i="124"/>
  <c r="B3" i="124"/>
  <c r="K2" i="124"/>
  <c r="I2" i="124" s="1"/>
  <c r="H2" i="124"/>
  <c r="F2" i="124"/>
  <c r="C2" i="124"/>
  <c r="B2" i="124"/>
  <c r="A2" i="124"/>
  <c r="O4" i="95"/>
  <c r="O1" i="95"/>
  <c r="P5" i="95"/>
  <c r="P3" i="95"/>
  <c r="P2" i="95"/>
  <c r="P1" i="95"/>
  <c r="H31" i="123"/>
  <c r="C31" i="123"/>
  <c r="B31" i="123"/>
  <c r="H30" i="123"/>
  <c r="C30" i="123"/>
  <c r="B30" i="123"/>
  <c r="H29" i="123"/>
  <c r="C29" i="123"/>
  <c r="B29" i="123"/>
  <c r="H28" i="123"/>
  <c r="C28" i="123"/>
  <c r="B28" i="123"/>
  <c r="H27" i="123"/>
  <c r="C27" i="123"/>
  <c r="B27" i="123"/>
  <c r="H26" i="123"/>
  <c r="C26" i="123"/>
  <c r="B26" i="123"/>
  <c r="H25" i="123"/>
  <c r="C25" i="123"/>
  <c r="B25" i="123"/>
  <c r="H24" i="123"/>
  <c r="C24" i="123"/>
  <c r="B24" i="123"/>
  <c r="H23" i="123"/>
  <c r="C23" i="123"/>
  <c r="B23" i="123"/>
  <c r="H22" i="123"/>
  <c r="C22" i="123"/>
  <c r="B22" i="123"/>
  <c r="H21" i="123"/>
  <c r="C21" i="123"/>
  <c r="B21" i="123"/>
  <c r="K20" i="123"/>
  <c r="C20" i="123"/>
  <c r="H20" i="123" s="1"/>
  <c r="B20" i="123"/>
  <c r="K19" i="123"/>
  <c r="H19" i="123"/>
  <c r="C19" i="123"/>
  <c r="B19" i="123"/>
  <c r="K18" i="123"/>
  <c r="C18" i="123"/>
  <c r="H18" i="123" s="1"/>
  <c r="B18" i="123"/>
  <c r="K17" i="123"/>
  <c r="H17" i="123"/>
  <c r="C17" i="123"/>
  <c r="B17" i="123"/>
  <c r="K16" i="123"/>
  <c r="C16" i="123"/>
  <c r="H16" i="123" s="1"/>
  <c r="B16" i="123"/>
  <c r="K15" i="123"/>
  <c r="H15" i="123"/>
  <c r="C15" i="123"/>
  <c r="B15" i="123"/>
  <c r="K14" i="123"/>
  <c r="C14" i="123"/>
  <c r="H14" i="123" s="1"/>
  <c r="B14" i="123"/>
  <c r="K13" i="123"/>
  <c r="H13" i="123"/>
  <c r="C13" i="123"/>
  <c r="B13" i="123"/>
  <c r="K12" i="123"/>
  <c r="C12" i="123"/>
  <c r="H12" i="123" s="1"/>
  <c r="B12" i="123"/>
  <c r="K11" i="123"/>
  <c r="H11" i="123"/>
  <c r="C11" i="123"/>
  <c r="B11" i="123"/>
  <c r="K10" i="123"/>
  <c r="C10" i="123"/>
  <c r="H10" i="123" s="1"/>
  <c r="B10" i="123"/>
  <c r="K9" i="123"/>
  <c r="H9" i="123"/>
  <c r="C9" i="123"/>
  <c r="B9" i="123"/>
  <c r="K8" i="123"/>
  <c r="C8" i="123"/>
  <c r="H8" i="123" s="1"/>
  <c r="B8" i="123"/>
  <c r="C7" i="123"/>
  <c r="H7" i="123" s="1"/>
  <c r="B7" i="123"/>
  <c r="C6" i="123"/>
  <c r="H6" i="123" s="1"/>
  <c r="B6" i="123"/>
  <c r="K5" i="123"/>
  <c r="H5" i="123"/>
  <c r="C5" i="123"/>
  <c r="B5" i="123"/>
  <c r="K4" i="123"/>
  <c r="C4" i="123"/>
  <c r="H4" i="123" s="1"/>
  <c r="B4" i="123"/>
  <c r="K3" i="123"/>
  <c r="H3" i="123"/>
  <c r="C3" i="123"/>
  <c r="B3" i="123"/>
  <c r="K2" i="123"/>
  <c r="I2" i="123" s="1"/>
  <c r="H2" i="123"/>
  <c r="I1" i="123" s="1"/>
  <c r="F2" i="123"/>
  <c r="C2" i="123"/>
  <c r="B2" i="123"/>
  <c r="A2" i="123"/>
  <c r="H31" i="122"/>
  <c r="C31" i="122"/>
  <c r="B31" i="122"/>
  <c r="H30" i="122"/>
  <c r="C30" i="122"/>
  <c r="B30" i="122"/>
  <c r="H29" i="122"/>
  <c r="C29" i="122"/>
  <c r="B29" i="122"/>
  <c r="H28" i="122"/>
  <c r="C28" i="122"/>
  <c r="B28" i="122"/>
  <c r="H27" i="122"/>
  <c r="C27" i="122"/>
  <c r="B27" i="122"/>
  <c r="H26" i="122"/>
  <c r="C26" i="122"/>
  <c r="B26" i="122"/>
  <c r="H25" i="122"/>
  <c r="C25" i="122"/>
  <c r="B25" i="122"/>
  <c r="H24" i="122"/>
  <c r="C24" i="122"/>
  <c r="B24" i="122"/>
  <c r="H23" i="122"/>
  <c r="C23" i="122"/>
  <c r="B23" i="122"/>
  <c r="H22" i="122"/>
  <c r="C22" i="122"/>
  <c r="B22" i="122"/>
  <c r="H21" i="122"/>
  <c r="C21" i="122"/>
  <c r="B21" i="122"/>
  <c r="K20" i="122"/>
  <c r="C20" i="122"/>
  <c r="H20" i="122" s="1"/>
  <c r="B20" i="122"/>
  <c r="K19" i="122"/>
  <c r="H19" i="122"/>
  <c r="C19" i="122"/>
  <c r="B19" i="122"/>
  <c r="K18" i="122"/>
  <c r="C18" i="122"/>
  <c r="H18" i="122" s="1"/>
  <c r="B18" i="122"/>
  <c r="K17" i="122"/>
  <c r="H17" i="122"/>
  <c r="C17" i="122"/>
  <c r="B17" i="122"/>
  <c r="K16" i="122"/>
  <c r="C16" i="122"/>
  <c r="H16" i="122" s="1"/>
  <c r="B16" i="122"/>
  <c r="K15" i="122"/>
  <c r="H15" i="122"/>
  <c r="C15" i="122"/>
  <c r="B15" i="122"/>
  <c r="K14" i="122"/>
  <c r="C14" i="122"/>
  <c r="H14" i="122" s="1"/>
  <c r="B14" i="122"/>
  <c r="K13" i="122"/>
  <c r="H13" i="122"/>
  <c r="C13" i="122"/>
  <c r="B13" i="122"/>
  <c r="K12" i="122"/>
  <c r="C12" i="122"/>
  <c r="H12" i="122" s="1"/>
  <c r="B12" i="122"/>
  <c r="K11" i="122"/>
  <c r="H11" i="122"/>
  <c r="C11" i="122"/>
  <c r="B11" i="122"/>
  <c r="K10" i="122"/>
  <c r="C10" i="122"/>
  <c r="H10" i="122" s="1"/>
  <c r="B10" i="122"/>
  <c r="K9" i="122"/>
  <c r="H9" i="122"/>
  <c r="C9" i="122"/>
  <c r="B9" i="122"/>
  <c r="K8" i="122"/>
  <c r="C8" i="122"/>
  <c r="H8" i="122" s="1"/>
  <c r="B8" i="122"/>
  <c r="C7" i="122"/>
  <c r="H7" i="122" s="1"/>
  <c r="B7" i="122"/>
  <c r="C6" i="122"/>
  <c r="H6" i="122" s="1"/>
  <c r="B6" i="122"/>
  <c r="K5" i="122"/>
  <c r="H5" i="122"/>
  <c r="C5" i="122"/>
  <c r="B5" i="122"/>
  <c r="K4" i="122"/>
  <c r="C4" i="122"/>
  <c r="H4" i="122" s="1"/>
  <c r="B4" i="122"/>
  <c r="K3" i="122"/>
  <c r="H3" i="122"/>
  <c r="C3" i="122"/>
  <c r="B3" i="122"/>
  <c r="K2" i="122"/>
  <c r="I2" i="122" s="1"/>
  <c r="H2" i="122"/>
  <c r="F2" i="122"/>
  <c r="C2" i="122"/>
  <c r="B2" i="122"/>
  <c r="A2" i="122"/>
  <c r="H31" i="121"/>
  <c r="C31" i="121"/>
  <c r="B31" i="121"/>
  <c r="H30" i="121"/>
  <c r="C30" i="121"/>
  <c r="B30" i="121"/>
  <c r="H29" i="121"/>
  <c r="C29" i="121"/>
  <c r="B29" i="121"/>
  <c r="H28" i="121"/>
  <c r="C28" i="121"/>
  <c r="B28" i="121"/>
  <c r="H27" i="121"/>
  <c r="C27" i="121"/>
  <c r="B27" i="121"/>
  <c r="H26" i="121"/>
  <c r="C26" i="121"/>
  <c r="B26" i="121"/>
  <c r="H25" i="121"/>
  <c r="C25" i="121"/>
  <c r="B25" i="121"/>
  <c r="H24" i="121"/>
  <c r="C24" i="121"/>
  <c r="B24" i="121"/>
  <c r="H23" i="121"/>
  <c r="C23" i="121"/>
  <c r="B23" i="121"/>
  <c r="H22" i="121"/>
  <c r="C22" i="121"/>
  <c r="B22" i="121"/>
  <c r="H21" i="121"/>
  <c r="C21" i="121"/>
  <c r="B21" i="121"/>
  <c r="K20" i="121"/>
  <c r="C20" i="121"/>
  <c r="H20" i="121" s="1"/>
  <c r="B20" i="121"/>
  <c r="K19" i="121"/>
  <c r="H19" i="121"/>
  <c r="C19" i="121"/>
  <c r="B19" i="121"/>
  <c r="K18" i="121"/>
  <c r="C18" i="121"/>
  <c r="H18" i="121" s="1"/>
  <c r="B18" i="121"/>
  <c r="K17" i="121"/>
  <c r="H17" i="121"/>
  <c r="C17" i="121"/>
  <c r="B17" i="121"/>
  <c r="K16" i="121"/>
  <c r="C16" i="121"/>
  <c r="H16" i="121" s="1"/>
  <c r="B16" i="121"/>
  <c r="K15" i="121"/>
  <c r="H15" i="121"/>
  <c r="C15" i="121"/>
  <c r="B15" i="121"/>
  <c r="K14" i="121"/>
  <c r="C14" i="121"/>
  <c r="H14" i="121" s="1"/>
  <c r="B14" i="121"/>
  <c r="K13" i="121"/>
  <c r="H13" i="121"/>
  <c r="C13" i="121"/>
  <c r="B13" i="121"/>
  <c r="K12" i="121"/>
  <c r="C12" i="121"/>
  <c r="H12" i="121" s="1"/>
  <c r="B12" i="121"/>
  <c r="K11" i="121"/>
  <c r="H11" i="121"/>
  <c r="C11" i="121"/>
  <c r="B11" i="121"/>
  <c r="K10" i="121"/>
  <c r="C10" i="121"/>
  <c r="H10" i="121" s="1"/>
  <c r="B10" i="121"/>
  <c r="K9" i="121"/>
  <c r="H9" i="121"/>
  <c r="C9" i="121"/>
  <c r="B9" i="121"/>
  <c r="K8" i="121"/>
  <c r="C8" i="121"/>
  <c r="H8" i="121" s="1"/>
  <c r="B8" i="121"/>
  <c r="C7" i="121"/>
  <c r="H7" i="121" s="1"/>
  <c r="B7" i="121"/>
  <c r="C6" i="121"/>
  <c r="H6" i="121" s="1"/>
  <c r="B6" i="121"/>
  <c r="K5" i="121"/>
  <c r="H5" i="121"/>
  <c r="C5" i="121"/>
  <c r="B5" i="121"/>
  <c r="K4" i="121"/>
  <c r="C4" i="121"/>
  <c r="H4" i="121" s="1"/>
  <c r="B4" i="121"/>
  <c r="K3" i="121"/>
  <c r="H3" i="121"/>
  <c r="C3" i="121"/>
  <c r="B3" i="121"/>
  <c r="K2" i="121"/>
  <c r="I2" i="121" s="1"/>
  <c r="H2" i="121"/>
  <c r="F2" i="121"/>
  <c r="C2" i="121"/>
  <c r="B2" i="121"/>
  <c r="A2" i="121"/>
  <c r="I1" i="127" l="1"/>
  <c r="A3" i="127"/>
  <c r="A3" i="126"/>
  <c r="A3" i="125"/>
  <c r="I1" i="124"/>
  <c r="A3" i="124"/>
  <c r="A3" i="123"/>
  <c r="I1" i="122"/>
  <c r="A3" i="122"/>
  <c r="I1" i="121"/>
  <c r="A3" i="121"/>
  <c r="A2" i="1"/>
  <c r="A4" i="127" l="1"/>
  <c r="F3" i="127"/>
  <c r="A4" i="126"/>
  <c r="F3" i="126"/>
  <c r="A4" i="125"/>
  <c r="F3" i="125"/>
  <c r="A4" i="124"/>
  <c r="F3" i="124"/>
  <c r="A4" i="123"/>
  <c r="F3" i="123"/>
  <c r="A4" i="122"/>
  <c r="F3" i="122"/>
  <c r="A4" i="121"/>
  <c r="F3" i="121"/>
  <c r="O2" i="95"/>
  <c r="O3" i="95"/>
  <c r="A5" i="127" l="1"/>
  <c r="F4" i="127"/>
  <c r="A5" i="126"/>
  <c r="F4" i="126"/>
  <c r="A5" i="125"/>
  <c r="F4" i="125"/>
  <c r="A5" i="124"/>
  <c r="F4" i="124"/>
  <c r="A5" i="123"/>
  <c r="F4" i="123"/>
  <c r="A5" i="122"/>
  <c r="F4" i="122"/>
  <c r="A5" i="121"/>
  <c r="F4" i="121"/>
  <c r="K1" i="120"/>
  <c r="P64" i="8"/>
  <c r="P65" i="8"/>
  <c r="I22" i="4"/>
  <c r="J22" i="4"/>
  <c r="K22" i="4" s="1"/>
  <c r="M22" i="4"/>
  <c r="H22" i="4"/>
  <c r="O31" i="1"/>
  <c r="O32" i="1"/>
  <c r="M30" i="1"/>
  <c r="AC68" i="50"/>
  <c r="W67" i="50"/>
  <c r="O68" i="50"/>
  <c r="AH67" i="50"/>
  <c r="L68" i="50"/>
  <c r="Q68" i="50"/>
  <c r="AN67" i="50"/>
  <c r="X68" i="50"/>
  <c r="R67" i="50"/>
  <c r="V68" i="50"/>
  <c r="U68" i="50"/>
  <c r="AN68" i="50"/>
  <c r="S68" i="50"/>
  <c r="AJ68" i="50"/>
  <c r="U67" i="50"/>
  <c r="AE67" i="50"/>
  <c r="AG68" i="50"/>
  <c r="AO67" i="50"/>
  <c r="T68" i="50"/>
  <c r="AD67" i="50"/>
  <c r="AD68" i="50"/>
  <c r="AB68" i="50"/>
  <c r="AA68" i="50"/>
  <c r="N68" i="50"/>
  <c r="AF67" i="50"/>
  <c r="O67" i="50"/>
  <c r="AI68" i="50"/>
  <c r="AF68" i="50"/>
  <c r="AK67" i="50"/>
  <c r="AL68" i="50"/>
  <c r="P68" i="50"/>
  <c r="AL67" i="50"/>
  <c r="X67" i="50"/>
  <c r="AG67" i="50"/>
  <c r="T67" i="50"/>
  <c r="AM68" i="50"/>
  <c r="AM67" i="50"/>
  <c r="Z68" i="50"/>
  <c r="Z67" i="50"/>
  <c r="AK68" i="50"/>
  <c r="Q67" i="50"/>
  <c r="P67" i="50"/>
  <c r="M67" i="50"/>
  <c r="AO68" i="50"/>
  <c r="M68" i="50"/>
  <c r="Y67" i="50"/>
  <c r="V67" i="50"/>
  <c r="AI67" i="50"/>
  <c r="AE68" i="50"/>
  <c r="Y68" i="50"/>
  <c r="R68" i="50"/>
  <c r="L67" i="50"/>
  <c r="N67" i="50"/>
  <c r="S67" i="50"/>
  <c r="AJ67" i="50"/>
  <c r="AH68" i="50"/>
  <c r="AA67" i="50"/>
  <c r="AC67" i="50"/>
  <c r="AB67" i="50"/>
  <c r="W68" i="50"/>
  <c r="A6" i="127" l="1"/>
  <c r="F5" i="127"/>
  <c r="A6" i="126"/>
  <c r="F5" i="126"/>
  <c r="A6" i="125"/>
  <c r="F5" i="125"/>
  <c r="A6" i="124"/>
  <c r="F5" i="124"/>
  <c r="A6" i="123"/>
  <c r="F5" i="123"/>
  <c r="A6" i="122"/>
  <c r="F5" i="122"/>
  <c r="A6" i="121"/>
  <c r="F5" i="121"/>
  <c r="F68" i="50"/>
  <c r="F67" i="50"/>
  <c r="A7" i="127" l="1"/>
  <c r="F6" i="127"/>
  <c r="A7" i="126"/>
  <c r="F6" i="126"/>
  <c r="A7" i="125"/>
  <c r="F6" i="125"/>
  <c r="A7" i="124"/>
  <c r="F6" i="124"/>
  <c r="F6" i="123"/>
  <c r="A7" i="123"/>
  <c r="A7" i="122"/>
  <c r="F6" i="122"/>
  <c r="A7" i="121"/>
  <c r="F6" i="121"/>
  <c r="H68" i="50"/>
  <c r="J68" i="50"/>
  <c r="H67" i="50"/>
  <c r="J67" i="50"/>
  <c r="AX6" i="5"/>
  <c r="AX7" i="5"/>
  <c r="AX8" i="5"/>
  <c r="AX9" i="5"/>
  <c r="AX10" i="5"/>
  <c r="AX11" i="5"/>
  <c r="AX12" i="5"/>
  <c r="AX13" i="5"/>
  <c r="AX14" i="5"/>
  <c r="AX15" i="5"/>
  <c r="AX16" i="5"/>
  <c r="AX17" i="5"/>
  <c r="AX18" i="5"/>
  <c r="AX19" i="5"/>
  <c r="AX20" i="5"/>
  <c r="AX21" i="5"/>
  <c r="AX22" i="5"/>
  <c r="AX23" i="5"/>
  <c r="AX24" i="5"/>
  <c r="AX5" i="5"/>
  <c r="F7" i="127" l="1"/>
  <c r="A8" i="127"/>
  <c r="F7" i="126"/>
  <c r="A8" i="126"/>
  <c r="F7" i="125"/>
  <c r="A8" i="125"/>
  <c r="F7" i="124"/>
  <c r="A8" i="124"/>
  <c r="F7" i="123"/>
  <c r="A8" i="123"/>
  <c r="F7" i="122"/>
  <c r="A8" i="122"/>
  <c r="F7" i="121"/>
  <c r="A8" i="121"/>
  <c r="AX4" i="5"/>
  <c r="A9" i="127" l="1"/>
  <c r="F8" i="127"/>
  <c r="A9" i="126"/>
  <c r="F8" i="126"/>
  <c r="A9" i="125"/>
  <c r="F8" i="125"/>
  <c r="A9" i="124"/>
  <c r="F8" i="124"/>
  <c r="A9" i="123"/>
  <c r="F8" i="123"/>
  <c r="A9" i="122"/>
  <c r="F8" i="122"/>
  <c r="A9" i="121"/>
  <c r="F8" i="121"/>
  <c r="H5" i="95"/>
  <c r="A10" i="127" l="1"/>
  <c r="F9" i="127"/>
  <c r="A10" i="126"/>
  <c r="F9" i="126"/>
  <c r="A10" i="125"/>
  <c r="F9" i="125"/>
  <c r="A10" i="124"/>
  <c r="F9" i="124"/>
  <c r="A10" i="123"/>
  <c r="F9" i="123"/>
  <c r="A10" i="122"/>
  <c r="F9" i="122"/>
  <c r="A10" i="121"/>
  <c r="F9" i="121"/>
  <c r="G31" i="1"/>
  <c r="AX31" i="1" s="1"/>
  <c r="G32" i="1"/>
  <c r="AX32" i="1" s="1"/>
  <c r="G30" i="1"/>
  <c r="A31" i="1"/>
  <c r="A32" i="1"/>
  <c r="G23" i="4"/>
  <c r="AX23" i="4" s="1"/>
  <c r="G22" i="4"/>
  <c r="AX22" i="4"/>
  <c r="A11" i="127" l="1"/>
  <c r="F10" i="127"/>
  <c r="A11" i="126"/>
  <c r="F10" i="126"/>
  <c r="A11" i="125"/>
  <c r="F10" i="125"/>
  <c r="A11" i="124"/>
  <c r="F10" i="124"/>
  <c r="A11" i="123"/>
  <c r="F10" i="123"/>
  <c r="A11" i="122"/>
  <c r="F10" i="122"/>
  <c r="AX30" i="1"/>
  <c r="H30" i="1"/>
  <c r="A11" i="121"/>
  <c r="F10" i="121"/>
  <c r="P63" i="8"/>
  <c r="M29" i="1"/>
  <c r="G29" i="1"/>
  <c r="AX29" i="1" s="1"/>
  <c r="O66" i="50"/>
  <c r="V66" i="50"/>
  <c r="AJ66" i="50"/>
  <c r="N66" i="50"/>
  <c r="S66" i="50"/>
  <c r="AM66" i="50"/>
  <c r="AG66" i="50"/>
  <c r="AK66" i="50"/>
  <c r="T66" i="50"/>
  <c r="Y66" i="50"/>
  <c r="AC66" i="50"/>
  <c r="U66" i="50"/>
  <c r="R66" i="50"/>
  <c r="AO66" i="50"/>
  <c r="AD66" i="50"/>
  <c r="AB66" i="50"/>
  <c r="X66" i="50"/>
  <c r="L66" i="50"/>
  <c r="AA66" i="50"/>
  <c r="Z66" i="50"/>
  <c r="AL66" i="50"/>
  <c r="AF66" i="50"/>
  <c r="AH66" i="50"/>
  <c r="AI66" i="50"/>
  <c r="W66" i="50"/>
  <c r="P66" i="50"/>
  <c r="Q66" i="50"/>
  <c r="M66" i="50"/>
  <c r="AN66" i="50"/>
  <c r="AE66" i="50"/>
  <c r="A12" i="127" l="1"/>
  <c r="F11" i="127"/>
  <c r="A12" i="126"/>
  <c r="F11" i="126"/>
  <c r="A12" i="125"/>
  <c r="F11" i="125"/>
  <c r="A12" i="124"/>
  <c r="F11" i="124"/>
  <c r="F11" i="123"/>
  <c r="A12" i="123"/>
  <c r="A12" i="122"/>
  <c r="F11" i="122"/>
  <c r="A12" i="121"/>
  <c r="F11" i="121"/>
  <c r="H29" i="1"/>
  <c r="F66" i="50"/>
  <c r="AW4" i="1"/>
  <c r="A13" i="127" l="1"/>
  <c r="F12" i="127"/>
  <c r="A13" i="126"/>
  <c r="F12" i="126"/>
  <c r="A13" i="125"/>
  <c r="F12" i="125"/>
  <c r="A13" i="124"/>
  <c r="F12" i="124"/>
  <c r="A13" i="123"/>
  <c r="F12" i="123"/>
  <c r="A13" i="122"/>
  <c r="F12" i="122"/>
  <c r="A13" i="121"/>
  <c r="F12" i="121"/>
  <c r="H66" i="50"/>
  <c r="J66" i="50"/>
  <c r="D4" i="5"/>
  <c r="A14" i="127" l="1"/>
  <c r="F13" i="127"/>
  <c r="A14" i="126"/>
  <c r="F13" i="126"/>
  <c r="A14" i="125"/>
  <c r="F13" i="125"/>
  <c r="A14" i="124"/>
  <c r="F13" i="124"/>
  <c r="A14" i="123"/>
  <c r="F13" i="123"/>
  <c r="A14" i="122"/>
  <c r="F13" i="122"/>
  <c r="A14" i="121"/>
  <c r="F13" i="121"/>
  <c r="A2" i="4"/>
  <c r="A15" i="127" l="1"/>
  <c r="F14" i="127"/>
  <c r="A15" i="126"/>
  <c r="F14" i="126"/>
  <c r="A15" i="125"/>
  <c r="F14" i="125"/>
  <c r="A15" i="124"/>
  <c r="F14" i="124"/>
  <c r="A15" i="123"/>
  <c r="F14" i="123"/>
  <c r="A15" i="122"/>
  <c r="F14" i="122"/>
  <c r="A15" i="121"/>
  <c r="F14" i="121"/>
  <c r="H1" i="95"/>
  <c r="A16" i="127" l="1"/>
  <c r="F15" i="127"/>
  <c r="A16" i="126"/>
  <c r="F15" i="126"/>
  <c r="A16" i="125"/>
  <c r="F15" i="125"/>
  <c r="A16" i="124"/>
  <c r="F15" i="124"/>
  <c r="F15" i="123"/>
  <c r="A16" i="123"/>
  <c r="F15" i="122"/>
  <c r="A16" i="122"/>
  <c r="A16" i="121"/>
  <c r="F15" i="121"/>
  <c r="AX21" i="4"/>
  <c r="D54" i="50"/>
  <c r="AC54" i="50"/>
  <c r="AO54" i="50"/>
  <c r="V54" i="50"/>
  <c r="AE54" i="50"/>
  <c r="U54" i="50"/>
  <c r="X54" i="50"/>
  <c r="AJ54" i="50"/>
  <c r="AH54" i="50"/>
  <c r="AG54" i="50"/>
  <c r="Y54" i="50"/>
  <c r="W54" i="50"/>
  <c r="AA54" i="50"/>
  <c r="AK54" i="50"/>
  <c r="AB54" i="50"/>
  <c r="AF54" i="50"/>
  <c r="AI54" i="50"/>
  <c r="S54" i="50"/>
  <c r="T54" i="50"/>
  <c r="AD54" i="50"/>
  <c r="AL54" i="50"/>
  <c r="AM54" i="50"/>
  <c r="AN54" i="50"/>
  <c r="Z54" i="50"/>
  <c r="A17" i="127" l="1"/>
  <c r="F16" i="127"/>
  <c r="A17" i="126"/>
  <c r="F16" i="126"/>
  <c r="A17" i="125"/>
  <c r="F16" i="125"/>
  <c r="A17" i="124"/>
  <c r="F16" i="124"/>
  <c r="A17" i="123"/>
  <c r="F16" i="123"/>
  <c r="A17" i="122"/>
  <c r="F16" i="122"/>
  <c r="A17" i="121"/>
  <c r="F16" i="121"/>
  <c r="P51" i="8"/>
  <c r="N54" i="50"/>
  <c r="L54" i="50"/>
  <c r="M54" i="50"/>
  <c r="Q54" i="50"/>
  <c r="P54" i="50"/>
  <c r="R54" i="50"/>
  <c r="O54" i="50"/>
  <c r="A18" i="127" l="1"/>
  <c r="F17" i="127"/>
  <c r="A18" i="126"/>
  <c r="F17" i="126"/>
  <c r="A18" i="125"/>
  <c r="F17" i="125"/>
  <c r="A18" i="124"/>
  <c r="F17" i="124"/>
  <c r="A18" i="123"/>
  <c r="F17" i="123"/>
  <c r="A18" i="122"/>
  <c r="F17" i="122"/>
  <c r="A18" i="121"/>
  <c r="F17" i="121"/>
  <c r="F54" i="50"/>
  <c r="AX20" i="4"/>
  <c r="P62" i="8"/>
  <c r="H20" i="4"/>
  <c r="H21" i="4"/>
  <c r="M20" i="4"/>
  <c r="M21" i="4"/>
  <c r="AM65" i="50"/>
  <c r="AH65" i="50"/>
  <c r="AA65" i="50"/>
  <c r="M65" i="50"/>
  <c r="AE65" i="50"/>
  <c r="N65" i="50"/>
  <c r="AB65" i="50"/>
  <c r="P65" i="50"/>
  <c r="W65" i="50"/>
  <c r="V65" i="50"/>
  <c r="AN65" i="50"/>
  <c r="Z65" i="50"/>
  <c r="AI65" i="50"/>
  <c r="Y65" i="50"/>
  <c r="AK65" i="50"/>
  <c r="AD65" i="50"/>
  <c r="AC65" i="50"/>
  <c r="Q65" i="50"/>
  <c r="S65" i="50"/>
  <c r="AO65" i="50"/>
  <c r="AG65" i="50"/>
  <c r="AF65" i="50"/>
  <c r="AJ65" i="50"/>
  <c r="X65" i="50"/>
  <c r="R65" i="50"/>
  <c r="L65" i="50"/>
  <c r="U65" i="50"/>
  <c r="O65" i="50"/>
  <c r="AL65" i="50"/>
  <c r="T65" i="50"/>
  <c r="A19" i="127" l="1"/>
  <c r="F18" i="127"/>
  <c r="A19" i="126"/>
  <c r="F18" i="126"/>
  <c r="A19" i="125"/>
  <c r="F18" i="125"/>
  <c r="A19" i="124"/>
  <c r="F18" i="124"/>
  <c r="A19" i="123"/>
  <c r="F18" i="123"/>
  <c r="A19" i="122"/>
  <c r="F18" i="122"/>
  <c r="A19" i="121"/>
  <c r="F18" i="121"/>
  <c r="J54" i="50"/>
  <c r="H54" i="50"/>
  <c r="F65" i="50"/>
  <c r="A20" i="127" l="1"/>
  <c r="F19" i="127"/>
  <c r="A20" i="126"/>
  <c r="F19" i="126"/>
  <c r="A20" i="125"/>
  <c r="F19" i="125"/>
  <c r="A20" i="124"/>
  <c r="F19" i="124"/>
  <c r="A20" i="123"/>
  <c r="F19" i="123"/>
  <c r="A20" i="122"/>
  <c r="F19" i="122"/>
  <c r="A20" i="121"/>
  <c r="F19" i="121"/>
  <c r="H65" i="50"/>
  <c r="J65" i="50"/>
  <c r="A21" i="127" l="1"/>
  <c r="F20" i="127"/>
  <c r="A21" i="126"/>
  <c r="F20" i="126"/>
  <c r="A21" i="125"/>
  <c r="F20" i="125"/>
  <c r="A21" i="124"/>
  <c r="F20" i="124"/>
  <c r="A21" i="123"/>
  <c r="F20" i="123"/>
  <c r="A21" i="122"/>
  <c r="F20" i="122"/>
  <c r="A21" i="121"/>
  <c r="F20" i="121"/>
  <c r="AG4" i="5"/>
  <c r="AH4" i="5"/>
  <c r="AI4" i="5"/>
  <c r="AJ4" i="5"/>
  <c r="AK4" i="5"/>
  <c r="AL4" i="5"/>
  <c r="AM4" i="5"/>
  <c r="AN4" i="5"/>
  <c r="AO4" i="5"/>
  <c r="AP4" i="5"/>
  <c r="AQ4" i="5"/>
  <c r="AG4" i="4"/>
  <c r="AH4" i="4"/>
  <c r="AI4" i="4"/>
  <c r="AJ4" i="4"/>
  <c r="AK4" i="4"/>
  <c r="AG4" i="1"/>
  <c r="AH4" i="1"/>
  <c r="AI4" i="1"/>
  <c r="F21" i="127" l="1"/>
  <c r="A22" i="127"/>
  <c r="F21" i="126"/>
  <c r="A22" i="126"/>
  <c r="F21" i="125"/>
  <c r="A22" i="125"/>
  <c r="F21" i="124"/>
  <c r="A22" i="124"/>
  <c r="F21" i="123"/>
  <c r="A22" i="123"/>
  <c r="F21" i="122"/>
  <c r="A22" i="122"/>
  <c r="F21" i="121"/>
  <c r="A22" i="121"/>
  <c r="Q4" i="4"/>
  <c r="Q4" i="5"/>
  <c r="F22" i="127" l="1"/>
  <c r="A23" i="127"/>
  <c r="F22" i="126"/>
  <c r="A23" i="126"/>
  <c r="F22" i="125"/>
  <c r="A23" i="125"/>
  <c r="F22" i="124"/>
  <c r="A23" i="124"/>
  <c r="F22" i="123"/>
  <c r="A23" i="123"/>
  <c r="F22" i="122"/>
  <c r="A23" i="122"/>
  <c r="F22" i="121"/>
  <c r="A23" i="121"/>
  <c r="AV4" i="5"/>
  <c r="AM4" i="50"/>
  <c r="AI4" i="50"/>
  <c r="AK4" i="50"/>
  <c r="AJ4" i="50"/>
  <c r="AG4" i="50"/>
  <c r="AH4" i="50"/>
  <c r="AL4" i="50"/>
  <c r="AN4" i="50"/>
  <c r="AF4" i="50"/>
  <c r="AO4" i="50"/>
  <c r="F23" i="127" l="1"/>
  <c r="A24" i="127"/>
  <c r="F23" i="126"/>
  <c r="A24" i="126"/>
  <c r="F23" i="125"/>
  <c r="A24" i="125"/>
  <c r="F23" i="124"/>
  <c r="A24" i="124"/>
  <c r="F23" i="123"/>
  <c r="A24" i="123"/>
  <c r="F23" i="122"/>
  <c r="A24" i="122"/>
  <c r="F23" i="121"/>
  <c r="A24" i="121"/>
  <c r="P2" i="8"/>
  <c r="P3" i="8"/>
  <c r="P4" i="8"/>
  <c r="P5" i="8"/>
  <c r="P6" i="8"/>
  <c r="P7" i="8"/>
  <c r="P8" i="8"/>
  <c r="P9" i="8"/>
  <c r="P10" i="8"/>
  <c r="P11" i="8"/>
  <c r="P12" i="8"/>
  <c r="P13" i="8"/>
  <c r="P14" i="8"/>
  <c r="P15" i="8"/>
  <c r="P16" i="8"/>
  <c r="P17" i="8"/>
  <c r="P18" i="8"/>
  <c r="P19" i="8"/>
  <c r="P20" i="8"/>
  <c r="P21" i="8"/>
  <c r="P22" i="8"/>
  <c r="P23" i="8"/>
  <c r="P24" i="8"/>
  <c r="P25" i="8"/>
  <c r="P26" i="8"/>
  <c r="P27" i="8"/>
  <c r="P28" i="8"/>
  <c r="P29" i="8"/>
  <c r="P30" i="8"/>
  <c r="P31" i="8"/>
  <c r="F24" i="127" l="1"/>
  <c r="A25" i="127"/>
  <c r="F24" i="126"/>
  <c r="A25" i="126"/>
  <c r="F24" i="125"/>
  <c r="A25" i="125"/>
  <c r="F24" i="124"/>
  <c r="A25" i="124"/>
  <c r="F24" i="123"/>
  <c r="A25" i="123"/>
  <c r="F24" i="122"/>
  <c r="A25" i="122"/>
  <c r="F24" i="121"/>
  <c r="A25" i="121"/>
  <c r="R3" i="8"/>
  <c r="R4" i="8"/>
  <c r="R5" i="8"/>
  <c r="R6" i="8"/>
  <c r="R7" i="8"/>
  <c r="R8" i="8"/>
  <c r="R9" i="8"/>
  <c r="R10" i="8"/>
  <c r="R11" i="8"/>
  <c r="R12" i="8"/>
  <c r="R13" i="8"/>
  <c r="R14" i="8"/>
  <c r="R15" i="8"/>
  <c r="R16" i="8"/>
  <c r="R17" i="8"/>
  <c r="R18" i="8"/>
  <c r="R19" i="8"/>
  <c r="R20" i="8"/>
  <c r="R21" i="8"/>
  <c r="R22" i="8"/>
  <c r="R23" i="8"/>
  <c r="R24" i="8"/>
  <c r="R25" i="8"/>
  <c r="R26" i="8"/>
  <c r="R27" i="8"/>
  <c r="R28" i="8"/>
  <c r="R29" i="8"/>
  <c r="R30" i="8"/>
  <c r="R31" i="8"/>
  <c r="R2" i="8"/>
  <c r="D40" i="50"/>
  <c r="F25" i="127" l="1"/>
  <c r="A26" i="127"/>
  <c r="F25" i="126"/>
  <c r="A26" i="126"/>
  <c r="F25" i="125"/>
  <c r="A26" i="125"/>
  <c r="F25" i="124"/>
  <c r="A26" i="124"/>
  <c r="F25" i="123"/>
  <c r="A26" i="123"/>
  <c r="F25" i="122"/>
  <c r="A26" i="122"/>
  <c r="F25" i="121"/>
  <c r="A26" i="121"/>
  <c r="F2" i="9"/>
  <c r="B22" i="9"/>
  <c r="C22" i="9"/>
  <c r="B23" i="9"/>
  <c r="C23" i="9"/>
  <c r="B24" i="9"/>
  <c r="C24" i="9"/>
  <c r="B25" i="9"/>
  <c r="C25" i="9"/>
  <c r="H25" i="9" s="1"/>
  <c r="B26" i="9"/>
  <c r="C26" i="9"/>
  <c r="H26" i="9" s="1"/>
  <c r="B27" i="9"/>
  <c r="C27" i="9"/>
  <c r="H27" i="9" s="1"/>
  <c r="B28" i="9"/>
  <c r="C28" i="9"/>
  <c r="H28" i="9" s="1"/>
  <c r="B29" i="9"/>
  <c r="C29" i="9"/>
  <c r="H29" i="9" s="1"/>
  <c r="B30" i="9"/>
  <c r="C30" i="9"/>
  <c r="H30" i="9" s="1"/>
  <c r="B31" i="9"/>
  <c r="C31" i="9"/>
  <c r="H31" i="9" s="1"/>
  <c r="P32" i="8"/>
  <c r="P33" i="8"/>
  <c r="P34" i="8"/>
  <c r="P35" i="8"/>
  <c r="P36" i="8"/>
  <c r="P37" i="8"/>
  <c r="P38" i="8"/>
  <c r="P39" i="8"/>
  <c r="P40" i="8"/>
  <c r="P41" i="8"/>
  <c r="P42" i="8"/>
  <c r="P43" i="8"/>
  <c r="P44" i="8"/>
  <c r="P45" i="8"/>
  <c r="P46" i="8"/>
  <c r="P47" i="8"/>
  <c r="P48" i="8"/>
  <c r="P49" i="8"/>
  <c r="P50" i="8"/>
  <c r="P52" i="8"/>
  <c r="P53" i="8"/>
  <c r="P54" i="8"/>
  <c r="P55" i="8"/>
  <c r="P56" i="8"/>
  <c r="P57" i="8"/>
  <c r="P58" i="8"/>
  <c r="P59" i="8"/>
  <c r="P60" i="8"/>
  <c r="P61" i="8"/>
  <c r="F26" i="127" l="1"/>
  <c r="A27" i="127"/>
  <c r="F26" i="126"/>
  <c r="A27" i="126"/>
  <c r="F26" i="125"/>
  <c r="A27" i="125"/>
  <c r="F26" i="124"/>
  <c r="A27" i="124"/>
  <c r="F26" i="123"/>
  <c r="A27" i="123"/>
  <c r="F26" i="122"/>
  <c r="A27" i="122"/>
  <c r="F26" i="121"/>
  <c r="A27" i="121"/>
  <c r="R1" i="8"/>
  <c r="F27" i="127" l="1"/>
  <c r="A28" i="127"/>
  <c r="F27" i="126"/>
  <c r="A28" i="126"/>
  <c r="F27" i="125"/>
  <c r="A28" i="125"/>
  <c r="F27" i="124"/>
  <c r="A28" i="124"/>
  <c r="F27" i="123"/>
  <c r="A28" i="123"/>
  <c r="F27" i="122"/>
  <c r="A28" i="122"/>
  <c r="F27" i="121"/>
  <c r="A28" i="121"/>
  <c r="AX19" i="4"/>
  <c r="H19" i="4"/>
  <c r="G18" i="4"/>
  <c r="M19" i="4"/>
  <c r="AD64" i="50"/>
  <c r="AL64" i="50"/>
  <c r="N64" i="50"/>
  <c r="V64" i="50"/>
  <c r="AK64" i="50"/>
  <c r="Q64" i="50"/>
  <c r="AB64" i="50"/>
  <c r="L64" i="50"/>
  <c r="W64" i="50"/>
  <c r="P64" i="50"/>
  <c r="AO64" i="50"/>
  <c r="AI64" i="50"/>
  <c r="T64" i="50"/>
  <c r="AE64" i="50"/>
  <c r="AG64" i="50"/>
  <c r="AN64" i="50"/>
  <c r="S64" i="50"/>
  <c r="M64" i="50"/>
  <c r="R64" i="50"/>
  <c r="Y64" i="50"/>
  <c r="O64" i="50"/>
  <c r="AF64" i="50"/>
  <c r="AA64" i="50"/>
  <c r="AC64" i="50"/>
  <c r="AH64" i="50"/>
  <c r="AJ64" i="50"/>
  <c r="AM64" i="50"/>
  <c r="X64" i="50"/>
  <c r="U64" i="50"/>
  <c r="Z64" i="50"/>
  <c r="F28" i="127" l="1"/>
  <c r="A29" i="127"/>
  <c r="F28" i="126"/>
  <c r="A29" i="126"/>
  <c r="F28" i="125"/>
  <c r="A29" i="125"/>
  <c r="F28" i="124"/>
  <c r="A29" i="124"/>
  <c r="F28" i="123"/>
  <c r="A29" i="123"/>
  <c r="F28" i="122"/>
  <c r="A29" i="122"/>
  <c r="F28" i="121"/>
  <c r="A29" i="121"/>
  <c r="F64" i="50"/>
  <c r="F29" i="127" l="1"/>
  <c r="A30" i="127"/>
  <c r="F29" i="126"/>
  <c r="A30" i="126"/>
  <c r="F29" i="125"/>
  <c r="A30" i="125"/>
  <c r="F29" i="124"/>
  <c r="A30" i="124"/>
  <c r="F29" i="123"/>
  <c r="A30" i="123"/>
  <c r="F29" i="122"/>
  <c r="A30" i="122"/>
  <c r="F29" i="121"/>
  <c r="A30" i="121"/>
  <c r="H64" i="50"/>
  <c r="J64" i="50"/>
  <c r="F30" i="127" l="1"/>
  <c r="A31" i="127"/>
  <c r="G28" i="127" s="1"/>
  <c r="G29" i="127"/>
  <c r="F30" i="126"/>
  <c r="A31" i="126"/>
  <c r="G28" i="126" s="1"/>
  <c r="F30" i="125"/>
  <c r="A31" i="125"/>
  <c r="G30" i="125"/>
  <c r="F30" i="124"/>
  <c r="A31" i="124"/>
  <c r="G27" i="124" s="1"/>
  <c r="G29" i="124"/>
  <c r="G28" i="124"/>
  <c r="F30" i="123"/>
  <c r="G30" i="123" s="1"/>
  <c r="A31" i="123"/>
  <c r="G28" i="123" s="1"/>
  <c r="G24" i="123"/>
  <c r="G29" i="123"/>
  <c r="G27" i="122"/>
  <c r="F30" i="122"/>
  <c r="A31" i="122"/>
  <c r="G26" i="122"/>
  <c r="G29" i="122"/>
  <c r="G28" i="122"/>
  <c r="F30" i="121"/>
  <c r="A31" i="121"/>
  <c r="D1" i="95"/>
  <c r="AX6" i="4"/>
  <c r="AX7" i="4"/>
  <c r="AX8" i="4"/>
  <c r="AX9" i="4"/>
  <c r="AX10" i="4"/>
  <c r="AX13" i="4"/>
  <c r="AX14" i="4"/>
  <c r="AX15" i="4"/>
  <c r="AX16" i="4"/>
  <c r="AX17" i="4"/>
  <c r="AX5" i="4"/>
  <c r="F31" i="127" l="1"/>
  <c r="F32" i="127"/>
  <c r="G32" i="127" s="1"/>
  <c r="G2" i="127"/>
  <c r="G5" i="127"/>
  <c r="G3" i="127"/>
  <c r="G4" i="127" s="1"/>
  <c r="G7" i="127"/>
  <c r="G6" i="127"/>
  <c r="G8" i="127"/>
  <c r="G10" i="127"/>
  <c r="G11" i="127"/>
  <c r="G9" i="127"/>
  <c r="G12" i="127"/>
  <c r="G14" i="127"/>
  <c r="G13" i="127"/>
  <c r="G15" i="127"/>
  <c r="G19" i="127"/>
  <c r="G18" i="127"/>
  <c r="G16" i="127"/>
  <c r="G17" i="127"/>
  <c r="G22" i="127"/>
  <c r="G24" i="127"/>
  <c r="G20" i="127"/>
  <c r="G21" i="127"/>
  <c r="G23" i="127"/>
  <c r="G25" i="127"/>
  <c r="G26" i="127"/>
  <c r="G27" i="127"/>
  <c r="G30" i="127"/>
  <c r="G31" i="127"/>
  <c r="F31" i="126"/>
  <c r="F32" i="126"/>
  <c r="G32" i="126" s="1"/>
  <c r="G4" i="126"/>
  <c r="G6" i="126"/>
  <c r="G5" i="126"/>
  <c r="G2" i="126"/>
  <c r="G3" i="126" s="1"/>
  <c r="G7" i="126"/>
  <c r="G10" i="126"/>
  <c r="G8" i="126"/>
  <c r="G12" i="126"/>
  <c r="G11" i="126"/>
  <c r="G9" i="126"/>
  <c r="G13" i="126"/>
  <c r="G16" i="126"/>
  <c r="G14" i="126"/>
  <c r="G15" i="126"/>
  <c r="G18" i="126"/>
  <c r="G17" i="126"/>
  <c r="G19" i="126"/>
  <c r="G20" i="126"/>
  <c r="G22" i="126"/>
  <c r="G21" i="126"/>
  <c r="G24" i="126"/>
  <c r="G23" i="126"/>
  <c r="G25" i="126"/>
  <c r="G30" i="126"/>
  <c r="G26" i="126"/>
  <c r="G27" i="126"/>
  <c r="G29" i="126"/>
  <c r="G31" i="126"/>
  <c r="F31" i="125"/>
  <c r="F32" i="125"/>
  <c r="G32" i="125" s="1"/>
  <c r="G3" i="125"/>
  <c r="G4" i="125"/>
  <c r="G2" i="125"/>
  <c r="G6" i="125"/>
  <c r="G8" i="125"/>
  <c r="G5" i="125"/>
  <c r="G9" i="125"/>
  <c r="G7" i="125"/>
  <c r="G10" i="125"/>
  <c r="G11" i="125"/>
  <c r="G12" i="125"/>
  <c r="G13" i="125"/>
  <c r="G15" i="125"/>
  <c r="G14" i="125"/>
  <c r="G16" i="125"/>
  <c r="G18" i="125"/>
  <c r="G17" i="125"/>
  <c r="G19" i="125"/>
  <c r="G21" i="125"/>
  <c r="G20" i="125"/>
  <c r="G22" i="125"/>
  <c r="G24" i="125"/>
  <c r="G23" i="125"/>
  <c r="G28" i="125"/>
  <c r="G29" i="125"/>
  <c r="G26" i="125"/>
  <c r="G31" i="125"/>
  <c r="G25" i="125"/>
  <c r="G27" i="125"/>
  <c r="G26" i="124"/>
  <c r="G32" i="124"/>
  <c r="F31" i="124"/>
  <c r="F32" i="124"/>
  <c r="G2" i="124"/>
  <c r="G5" i="124" s="1"/>
  <c r="G3" i="124"/>
  <c r="G4" i="124"/>
  <c r="G7" i="124"/>
  <c r="G6" i="124"/>
  <c r="G9" i="124"/>
  <c r="G8" i="124"/>
  <c r="G10" i="124"/>
  <c r="G12" i="124"/>
  <c r="G11" i="124"/>
  <c r="G13" i="124"/>
  <c r="G14" i="124"/>
  <c r="G17" i="124"/>
  <c r="G15" i="124"/>
  <c r="G18" i="124"/>
  <c r="G16" i="124"/>
  <c r="G20" i="124"/>
  <c r="G19" i="124"/>
  <c r="G21" i="124"/>
  <c r="G22" i="124"/>
  <c r="G23" i="124"/>
  <c r="G25" i="124"/>
  <c r="G30" i="124"/>
  <c r="G24" i="124"/>
  <c r="G31" i="124"/>
  <c r="G32" i="123"/>
  <c r="F31" i="123"/>
  <c r="G31" i="123" s="1"/>
  <c r="F32" i="123"/>
  <c r="G3" i="123"/>
  <c r="G4" i="123"/>
  <c r="G2" i="123"/>
  <c r="G9" i="123" s="1"/>
  <c r="G5" i="123"/>
  <c r="G6" i="123"/>
  <c r="G7" i="123"/>
  <c r="G8" i="123"/>
  <c r="G10" i="123"/>
  <c r="G12" i="123"/>
  <c r="G11" i="123"/>
  <c r="G13" i="123"/>
  <c r="G15" i="123"/>
  <c r="G14" i="123"/>
  <c r="G17" i="123"/>
  <c r="G16" i="123"/>
  <c r="G18" i="123"/>
  <c r="G19" i="123"/>
  <c r="G21" i="123"/>
  <c r="G20" i="123"/>
  <c r="G22" i="123"/>
  <c r="G23" i="123"/>
  <c r="G26" i="123"/>
  <c r="G27" i="123"/>
  <c r="G25" i="123"/>
  <c r="F31" i="122"/>
  <c r="F32" i="122"/>
  <c r="G32" i="122" s="1"/>
  <c r="G2" i="122"/>
  <c r="G3" i="122"/>
  <c r="G5" i="122"/>
  <c r="G6" i="122"/>
  <c r="G4" i="122"/>
  <c r="G8" i="122"/>
  <c r="G7" i="122"/>
  <c r="G9" i="122"/>
  <c r="G10" i="122"/>
  <c r="G11" i="122"/>
  <c r="G12" i="122"/>
  <c r="G13" i="122"/>
  <c r="G14" i="122"/>
  <c r="G15" i="122"/>
  <c r="G17" i="122"/>
  <c r="G16" i="122"/>
  <c r="G18" i="122"/>
  <c r="G20" i="122"/>
  <c r="G19" i="122"/>
  <c r="G21" i="122"/>
  <c r="G22" i="122"/>
  <c r="G24" i="122"/>
  <c r="G23" i="122"/>
  <c r="G30" i="122"/>
  <c r="G25" i="122"/>
  <c r="G31" i="122"/>
  <c r="F31" i="121"/>
  <c r="F32" i="121"/>
  <c r="G32" i="121" s="1"/>
  <c r="G3" i="121"/>
  <c r="G2" i="121"/>
  <c r="G4" i="121"/>
  <c r="G5" i="121"/>
  <c r="G7" i="121"/>
  <c r="G6" i="121"/>
  <c r="G10" i="121"/>
  <c r="G8" i="121"/>
  <c r="G9" i="121"/>
  <c r="G13" i="121"/>
  <c r="G12" i="121"/>
  <c r="G11" i="121"/>
  <c r="G15" i="121"/>
  <c r="G14" i="121"/>
  <c r="G16" i="121"/>
  <c r="G17" i="121"/>
  <c r="G18" i="121"/>
  <c r="G21" i="121"/>
  <c r="G19" i="121"/>
  <c r="G20" i="121"/>
  <c r="G23" i="121"/>
  <c r="G22" i="121"/>
  <c r="G24" i="121"/>
  <c r="G25" i="121"/>
  <c r="G26" i="121"/>
  <c r="G31" i="121"/>
  <c r="G30" i="121"/>
  <c r="G27" i="121"/>
  <c r="G29" i="121"/>
  <c r="G28" i="121"/>
  <c r="B4" i="50"/>
  <c r="AX18" i="4" l="1"/>
  <c r="G12" i="4"/>
  <c r="AX12" i="4" s="1"/>
  <c r="G11" i="4"/>
  <c r="AX11" i="4" s="1"/>
  <c r="AX4" i="4" s="1"/>
  <c r="M27" i="1" l="1"/>
  <c r="M28" i="1"/>
  <c r="G27" i="1"/>
  <c r="G28" i="1"/>
  <c r="B2" i="9"/>
  <c r="M26" i="1"/>
  <c r="G26" i="1"/>
  <c r="E4" i="4"/>
  <c r="E4" i="1"/>
  <c r="M25" i="1"/>
  <c r="M24" i="1"/>
  <c r="G6" i="1"/>
  <c r="G7" i="1"/>
  <c r="G8" i="1"/>
  <c r="G9" i="1"/>
  <c r="G10" i="1"/>
  <c r="G11" i="1"/>
  <c r="G12" i="1"/>
  <c r="G13" i="1"/>
  <c r="G14" i="1"/>
  <c r="G15" i="1"/>
  <c r="G16" i="1"/>
  <c r="G17" i="1"/>
  <c r="G18" i="1"/>
  <c r="G19" i="1"/>
  <c r="G20" i="1"/>
  <c r="G21" i="1"/>
  <c r="G22" i="1"/>
  <c r="G23" i="1"/>
  <c r="AX23" i="1" s="1"/>
  <c r="G24" i="1"/>
  <c r="H24" i="1" s="1"/>
  <c r="G25" i="1"/>
  <c r="G5" i="1"/>
  <c r="M23" i="1"/>
  <c r="H2" i="95"/>
  <c r="H23" i="1" l="1"/>
  <c r="H28" i="1"/>
  <c r="AX28" i="1"/>
  <c r="H25" i="1"/>
  <c r="AX25" i="1"/>
  <c r="H26" i="1"/>
  <c r="AX26" i="1"/>
  <c r="H27" i="1"/>
  <c r="AX27" i="1"/>
  <c r="AX24" i="1"/>
  <c r="X58" i="50"/>
  <c r="L61" i="50"/>
  <c r="AD63" i="50"/>
  <c r="U61" i="50"/>
  <c r="AH59" i="50"/>
  <c r="AB62" i="50"/>
  <c r="AO58" i="50"/>
  <c r="AO60" i="50"/>
  <c r="P62" i="50"/>
  <c r="U60" i="50"/>
  <c r="AM63" i="50"/>
  <c r="T58" i="50"/>
  <c r="Q63" i="50"/>
  <c r="AB60" i="50"/>
  <c r="W61" i="50"/>
  <c r="AI63" i="50"/>
  <c r="L60" i="50"/>
  <c r="AG63" i="50"/>
  <c r="AH61" i="50"/>
  <c r="AM61" i="50"/>
  <c r="Q62" i="50"/>
  <c r="Q58" i="50"/>
  <c r="V61" i="50"/>
  <c r="AE58" i="50"/>
  <c r="X61" i="50"/>
  <c r="R60" i="50"/>
  <c r="L62" i="50"/>
  <c r="P61" i="50"/>
  <c r="Q59" i="50"/>
  <c r="AI62" i="50"/>
  <c r="R58" i="50"/>
  <c r="Q61" i="50"/>
  <c r="Z58" i="50"/>
  <c r="T60" i="50"/>
  <c r="AC59" i="50"/>
  <c r="AF62" i="50"/>
  <c r="N59" i="50"/>
  <c r="AN62" i="50"/>
  <c r="M60" i="50"/>
  <c r="AA62" i="50"/>
  <c r="M63" i="50"/>
  <c r="AN60" i="50"/>
  <c r="AD61" i="50"/>
  <c r="R61" i="50"/>
  <c r="AH63" i="50"/>
  <c r="V58" i="50"/>
  <c r="W60" i="50"/>
  <c r="N58" i="50"/>
  <c r="M61" i="50"/>
  <c r="AL63" i="50"/>
  <c r="Y59" i="50"/>
  <c r="M58" i="50"/>
  <c r="R62" i="50"/>
  <c r="O58" i="50"/>
  <c r="AH62" i="50"/>
  <c r="AJ62" i="50"/>
  <c r="W58" i="50"/>
  <c r="W59" i="50"/>
  <c r="U58" i="50"/>
  <c r="AB58" i="50"/>
  <c r="AM59" i="50"/>
  <c r="U59" i="50"/>
  <c r="P58" i="50"/>
  <c r="M59" i="50"/>
  <c r="O60" i="50"/>
  <c r="AI59" i="50"/>
  <c r="Z62" i="50"/>
  <c r="AE60" i="50"/>
  <c r="AF61" i="50"/>
  <c r="AI58" i="50"/>
  <c r="W62" i="50"/>
  <c r="R63" i="50"/>
  <c r="AF58" i="50"/>
  <c r="AC61" i="50"/>
  <c r="O61" i="50"/>
  <c r="AJ58" i="50"/>
  <c r="AF60" i="50"/>
  <c r="Q60" i="50"/>
  <c r="AD58" i="50"/>
  <c r="AE61" i="50"/>
  <c r="AD59" i="50"/>
  <c r="AH60" i="50"/>
  <c r="N60" i="50"/>
  <c r="AM60" i="50"/>
  <c r="AB61" i="50"/>
  <c r="AK59" i="50"/>
  <c r="N61" i="50"/>
  <c r="AB63" i="50"/>
  <c r="AF63" i="50"/>
  <c r="X59" i="50"/>
  <c r="Y62" i="50"/>
  <c r="O59" i="50"/>
  <c r="Y63" i="50"/>
  <c r="Z63" i="50"/>
  <c r="AD62" i="50"/>
  <c r="P59" i="50"/>
  <c r="AG62" i="50"/>
  <c r="R59" i="50"/>
  <c r="AL59" i="50"/>
  <c r="S59" i="50"/>
  <c r="U62" i="50"/>
  <c r="AG58" i="50"/>
  <c r="AA61" i="50"/>
  <c r="AM58" i="50"/>
  <c r="T61" i="50"/>
  <c r="AA60" i="50"/>
  <c r="X60" i="50"/>
  <c r="AK60" i="50"/>
  <c r="AB59" i="50"/>
  <c r="AD60" i="50"/>
  <c r="S63" i="50"/>
  <c r="AL61" i="50"/>
  <c r="V63" i="50"/>
  <c r="AG59" i="50"/>
  <c r="L63" i="50"/>
  <c r="O62" i="50"/>
  <c r="S58" i="50"/>
  <c r="N62" i="50"/>
  <c r="S62" i="50"/>
  <c r="AL60" i="50"/>
  <c r="Z60" i="50"/>
  <c r="AK62" i="50"/>
  <c r="AI60" i="50"/>
  <c r="AO62" i="50"/>
  <c r="M62" i="50"/>
  <c r="AC60" i="50"/>
  <c r="AK61" i="50"/>
  <c r="S61" i="50"/>
  <c r="X62" i="50"/>
  <c r="AA59" i="50"/>
  <c r="AA58" i="50"/>
  <c r="AJ60" i="50"/>
  <c r="AO63" i="50"/>
  <c r="S60" i="50"/>
  <c r="AG61" i="50"/>
  <c r="AC58" i="50"/>
  <c r="AJ59" i="50"/>
  <c r="V60" i="50"/>
  <c r="Y58" i="50"/>
  <c r="AN61" i="50"/>
  <c r="AJ63" i="50"/>
  <c r="AL62" i="50"/>
  <c r="V62" i="50"/>
  <c r="V59" i="50"/>
  <c r="L58" i="50"/>
  <c r="T59" i="50"/>
  <c r="P63" i="50"/>
  <c r="Y61" i="50"/>
  <c r="U63" i="50"/>
  <c r="AN63" i="50"/>
  <c r="AJ61" i="50"/>
  <c r="T62" i="50"/>
  <c r="AE63" i="50"/>
  <c r="AO61" i="50"/>
  <c r="AM62" i="50"/>
  <c r="AH58" i="50"/>
  <c r="AF59" i="50"/>
  <c r="AO59" i="50"/>
  <c r="N63" i="50"/>
  <c r="Z61" i="50"/>
  <c r="AE59" i="50"/>
  <c r="AL58" i="50"/>
  <c r="X63" i="50"/>
  <c r="AN59" i="50"/>
  <c r="AK63" i="50"/>
  <c r="O63" i="50"/>
  <c r="AE62" i="50"/>
  <c r="T63" i="50"/>
  <c r="Y60" i="50"/>
  <c r="AG60" i="50"/>
  <c r="AC62" i="50"/>
  <c r="Z59" i="50"/>
  <c r="AN58" i="50"/>
  <c r="L59" i="50"/>
  <c r="AC63" i="50"/>
  <c r="AI61" i="50"/>
  <c r="P60" i="50"/>
  <c r="W63" i="50"/>
  <c r="AA63" i="50"/>
  <c r="AK58" i="50"/>
  <c r="F63" i="50" l="1"/>
  <c r="F62" i="50"/>
  <c r="F61" i="50"/>
  <c r="F59" i="50"/>
  <c r="F60" i="50"/>
  <c r="F58" i="50"/>
  <c r="H62" i="50" l="1"/>
  <c r="J62" i="50"/>
  <c r="J63" i="50"/>
  <c r="H63" i="50"/>
  <c r="J60" i="50"/>
  <c r="J59" i="50"/>
  <c r="J61" i="50"/>
  <c r="J58" i="50"/>
  <c r="H58" i="50"/>
  <c r="H60" i="50"/>
  <c r="H59" i="50"/>
  <c r="H61" i="50"/>
  <c r="G2" i="120"/>
  <c r="D2" i="120"/>
  <c r="E4" i="120"/>
  <c r="F4" i="120" s="1"/>
  <c r="H4" i="120" s="1"/>
  <c r="E5" i="120"/>
  <c r="F5" i="120" s="1"/>
  <c r="H5" i="120" s="1"/>
  <c r="E6" i="120"/>
  <c r="F6" i="120" s="1"/>
  <c r="H6" i="120" s="1"/>
  <c r="E7" i="120"/>
  <c r="F7" i="120" s="1"/>
  <c r="H7" i="120" s="1"/>
  <c r="E8" i="120"/>
  <c r="F8" i="120" s="1"/>
  <c r="H8" i="120" s="1"/>
  <c r="E9" i="120"/>
  <c r="F9" i="120" s="1"/>
  <c r="H9" i="120" s="1"/>
  <c r="E10" i="120"/>
  <c r="F10" i="120" s="1"/>
  <c r="H10" i="120" s="1"/>
  <c r="E11" i="120"/>
  <c r="F11" i="120" s="1"/>
  <c r="H11" i="120" s="1"/>
  <c r="E12" i="120"/>
  <c r="F12" i="120" s="1"/>
  <c r="H12" i="120" s="1"/>
  <c r="E13" i="120"/>
  <c r="F13" i="120" s="1"/>
  <c r="H13" i="120" s="1"/>
  <c r="E14" i="120"/>
  <c r="F14" i="120" s="1"/>
  <c r="H14" i="120" s="1"/>
  <c r="E15" i="120"/>
  <c r="F15" i="120" s="1"/>
  <c r="H15" i="120" s="1"/>
  <c r="E16" i="120"/>
  <c r="F16" i="120" s="1"/>
  <c r="H16" i="120" s="1"/>
  <c r="E17" i="120"/>
  <c r="F17" i="120" s="1"/>
  <c r="H17" i="120" s="1"/>
  <c r="E18" i="120"/>
  <c r="F18" i="120" s="1"/>
  <c r="H18" i="120" s="1"/>
  <c r="E19" i="120"/>
  <c r="F19" i="120" s="1"/>
  <c r="H19" i="120" s="1"/>
  <c r="E20" i="120"/>
  <c r="F20" i="120" s="1"/>
  <c r="H20" i="120" s="1"/>
  <c r="E3" i="120"/>
  <c r="F3" i="120" s="1"/>
  <c r="C4" i="120"/>
  <c r="C5" i="120"/>
  <c r="C6" i="120"/>
  <c r="C7" i="120"/>
  <c r="C8" i="120"/>
  <c r="C9" i="120"/>
  <c r="C10" i="120"/>
  <c r="C11" i="120"/>
  <c r="C12" i="120"/>
  <c r="C13" i="120"/>
  <c r="C14" i="120"/>
  <c r="C15" i="120"/>
  <c r="C16" i="120"/>
  <c r="C17" i="120"/>
  <c r="C18" i="120"/>
  <c r="C19" i="120"/>
  <c r="C20" i="120"/>
  <c r="C3" i="120"/>
  <c r="C2" i="120" l="1"/>
  <c r="H3" i="120"/>
  <c r="H2" i="120" s="1"/>
  <c r="F2" i="120"/>
  <c r="L24" i="5"/>
  <c r="D56" i="50"/>
  <c r="L23" i="5"/>
  <c r="G23" i="5"/>
  <c r="C4" i="9"/>
  <c r="C5" i="9"/>
  <c r="AJ57" i="50"/>
  <c r="Z57" i="50"/>
  <c r="AF56" i="50"/>
  <c r="N57" i="50"/>
  <c r="AN57" i="50"/>
  <c r="Q57" i="50"/>
  <c r="Z56" i="50"/>
  <c r="AK57" i="50"/>
  <c r="AB56" i="50"/>
  <c r="AO57" i="50"/>
  <c r="AL56" i="50"/>
  <c r="T56" i="50"/>
  <c r="O57" i="50"/>
  <c r="AC56" i="50"/>
  <c r="AI56" i="50"/>
  <c r="S56" i="50"/>
  <c r="AG57" i="50"/>
  <c r="O56" i="50"/>
  <c r="V56" i="50"/>
  <c r="AB57" i="50"/>
  <c r="AF57" i="50"/>
  <c r="AM56" i="50"/>
  <c r="X56" i="50"/>
  <c r="T57" i="50"/>
  <c r="AD57" i="50"/>
  <c r="X57" i="50"/>
  <c r="S57" i="50"/>
  <c r="AL57" i="50"/>
  <c r="AA56" i="50"/>
  <c r="U56" i="50"/>
  <c r="AA57" i="50"/>
  <c r="W57" i="50"/>
  <c r="AM57" i="50"/>
  <c r="N56" i="50"/>
  <c r="Y57" i="50"/>
  <c r="AG56" i="50"/>
  <c r="W56" i="50"/>
  <c r="AN56" i="50"/>
  <c r="P57" i="50"/>
  <c r="AI57" i="50"/>
  <c r="AH57" i="50"/>
  <c r="Q56" i="50"/>
  <c r="AE56" i="50"/>
  <c r="M57" i="50"/>
  <c r="R56" i="50"/>
  <c r="V57" i="50"/>
  <c r="U57" i="50"/>
  <c r="P56" i="50"/>
  <c r="AO56" i="50"/>
  <c r="AH56" i="50"/>
  <c r="AJ56" i="50"/>
  <c r="AC57" i="50"/>
  <c r="Y56" i="50"/>
  <c r="R57" i="50"/>
  <c r="AK56" i="50"/>
  <c r="L57" i="50"/>
  <c r="M56" i="50"/>
  <c r="AE57" i="50"/>
  <c r="AD56" i="50"/>
  <c r="G24" i="5" l="1"/>
  <c r="F57" i="50"/>
  <c r="L56" i="50"/>
  <c r="J57" i="50" l="1"/>
  <c r="H57" i="50"/>
  <c r="F56" i="50"/>
  <c r="D6" i="50"/>
  <c r="D7" i="50"/>
  <c r="D8" i="50"/>
  <c r="D9" i="50"/>
  <c r="D10" i="50"/>
  <c r="D11" i="50"/>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1" i="50"/>
  <c r="D42" i="50"/>
  <c r="D43" i="50"/>
  <c r="D44" i="50"/>
  <c r="D45" i="50"/>
  <c r="D46" i="50"/>
  <c r="D47" i="50"/>
  <c r="D48" i="50"/>
  <c r="D49" i="50"/>
  <c r="D50" i="50"/>
  <c r="D51" i="50"/>
  <c r="D52" i="50"/>
  <c r="D53" i="50"/>
  <c r="D55" i="50"/>
  <c r="D5" i="50"/>
  <c r="L19" i="5"/>
  <c r="L18" i="5"/>
  <c r="L17" i="5"/>
  <c r="L16" i="5"/>
  <c r="L15" i="5"/>
  <c r="L14" i="5"/>
  <c r="L13" i="5"/>
  <c r="L12" i="5"/>
  <c r="L11" i="5"/>
  <c r="L10" i="5"/>
  <c r="L9" i="5"/>
  <c r="L8" i="5"/>
  <c r="L7" i="5"/>
  <c r="L6" i="5"/>
  <c r="K2" i="4"/>
  <c r="M18" i="4"/>
  <c r="H18" i="4"/>
  <c r="M21" i="1"/>
  <c r="M22" i="1"/>
  <c r="U55" i="50"/>
  <c r="V55" i="50"/>
  <c r="AL55" i="50"/>
  <c r="AE55" i="50"/>
  <c r="T55" i="50"/>
  <c r="AM55" i="50"/>
  <c r="Y55" i="50"/>
  <c r="AI55" i="50"/>
  <c r="R55" i="50"/>
  <c r="M55" i="50"/>
  <c r="Q55" i="50"/>
  <c r="X55" i="50"/>
  <c r="AK55" i="50"/>
  <c r="AH55" i="50"/>
  <c r="W55" i="50"/>
  <c r="Z55" i="50"/>
  <c r="AO55" i="50"/>
  <c r="O55" i="50"/>
  <c r="L55" i="50"/>
  <c r="N55" i="50"/>
  <c r="S55" i="50"/>
  <c r="P55" i="50"/>
  <c r="AD55" i="50"/>
  <c r="AG55" i="50"/>
  <c r="AB55" i="50"/>
  <c r="AN55" i="50"/>
  <c r="AA55" i="50"/>
  <c r="AJ55" i="50"/>
  <c r="AF55" i="50"/>
  <c r="AC55" i="50"/>
  <c r="J56" i="50" l="1"/>
  <c r="H56" i="50"/>
  <c r="F55" i="50"/>
  <c r="J55" i="50" l="1"/>
  <c r="H55" i="50"/>
  <c r="AX6" i="1" l="1"/>
  <c r="AX7" i="1"/>
  <c r="AX8" i="1"/>
  <c r="AX9" i="1"/>
  <c r="AX10" i="1"/>
  <c r="AX11" i="1"/>
  <c r="AX12" i="1"/>
  <c r="AX13" i="1"/>
  <c r="AX14" i="1"/>
  <c r="AX15" i="1"/>
  <c r="AX16" i="1"/>
  <c r="AX17" i="1"/>
  <c r="AX18" i="1"/>
  <c r="AX19" i="1"/>
  <c r="AX20" i="1"/>
  <c r="AX21" i="1"/>
  <c r="AX22" i="1"/>
  <c r="AX5" i="1"/>
  <c r="AX4" i="1" l="1"/>
  <c r="AX3" i="1" s="1"/>
  <c r="P4" i="1"/>
  <c r="F4" i="4"/>
  <c r="P4" i="4"/>
  <c r="P4" i="5"/>
  <c r="E4" i="5"/>
  <c r="AK4" i="1" l="1"/>
  <c r="AJ4" i="1"/>
  <c r="F4" i="1"/>
  <c r="H5" i="1"/>
  <c r="H22" i="1"/>
  <c r="H21" i="1"/>
  <c r="AN51" i="50"/>
  <c r="AJ52" i="50"/>
  <c r="O52" i="50"/>
  <c r="AH51" i="50"/>
  <c r="P51" i="50"/>
  <c r="AC52" i="50"/>
  <c r="AO53" i="50"/>
  <c r="O53" i="50"/>
  <c r="W51" i="50"/>
  <c r="AF53" i="50"/>
  <c r="AN52" i="50"/>
  <c r="AH53" i="50"/>
  <c r="M53" i="50"/>
  <c r="T51" i="50"/>
  <c r="U52" i="50"/>
  <c r="AE53" i="50"/>
  <c r="AE52" i="50"/>
  <c r="S51" i="50"/>
  <c r="AG53" i="50"/>
  <c r="AI53" i="50"/>
  <c r="AA52" i="50"/>
  <c r="AA53" i="50"/>
  <c r="AH52" i="50"/>
  <c r="X52" i="50"/>
  <c r="T53" i="50"/>
  <c r="Z53" i="50"/>
  <c r="T52" i="50"/>
  <c r="AK51" i="50"/>
  <c r="V52" i="50"/>
  <c r="AD51" i="50"/>
  <c r="Y52" i="50"/>
  <c r="R51" i="50"/>
  <c r="AG52" i="50"/>
  <c r="AL53" i="50"/>
  <c r="AM52" i="50"/>
  <c r="U53" i="50"/>
  <c r="AB51" i="50"/>
  <c r="AF52" i="50"/>
  <c r="AJ51" i="50"/>
  <c r="AO51" i="50"/>
  <c r="AB52" i="50"/>
  <c r="AO52" i="50"/>
  <c r="X53" i="50"/>
  <c r="P53" i="50"/>
  <c r="AK53" i="50"/>
  <c r="AC51" i="50"/>
  <c r="V53" i="50"/>
  <c r="N51" i="50"/>
  <c r="AN53" i="50"/>
  <c r="O51" i="50"/>
  <c r="M51" i="50"/>
  <c r="Q51" i="50"/>
  <c r="AJ53" i="50"/>
  <c r="AA51" i="50"/>
  <c r="P52" i="50"/>
  <c r="AB53" i="50"/>
  <c r="AD52" i="50"/>
  <c r="W52" i="50"/>
  <c r="AE51" i="50"/>
  <c r="W53" i="50"/>
  <c r="AL52" i="50"/>
  <c r="M52" i="50"/>
  <c r="AI52" i="50"/>
  <c r="Z52" i="50"/>
  <c r="R53" i="50"/>
  <c r="AM53" i="50"/>
  <c r="Y53" i="50"/>
  <c r="S53" i="50"/>
  <c r="AD53" i="50"/>
  <c r="AI51" i="50"/>
  <c r="AC53" i="50"/>
  <c r="Q52" i="50"/>
  <c r="AM51" i="50"/>
  <c r="R52" i="50"/>
  <c r="Y51" i="50"/>
  <c r="AK52" i="50"/>
  <c r="AG51" i="50"/>
  <c r="Z51" i="50"/>
  <c r="X51" i="50"/>
  <c r="AL51" i="50"/>
  <c r="Q53" i="50"/>
  <c r="S52" i="50"/>
  <c r="U51" i="50"/>
  <c r="V51" i="50"/>
  <c r="N53" i="50"/>
  <c r="AF51" i="50"/>
  <c r="N52" i="50"/>
  <c r="C2" i="9" l="1"/>
  <c r="H2" i="9" s="1"/>
  <c r="C3" i="9"/>
  <c r="H3" i="9" s="1"/>
  <c r="H4" i="9"/>
  <c r="H5" i="9"/>
  <c r="C6" i="9"/>
  <c r="H6" i="9" s="1"/>
  <c r="C7" i="9"/>
  <c r="H7" i="9" s="1"/>
  <c r="C8" i="9"/>
  <c r="H8" i="9" s="1"/>
  <c r="C9" i="9"/>
  <c r="H9" i="9" s="1"/>
  <c r="C10" i="9"/>
  <c r="H10" i="9" s="1"/>
  <c r="C11" i="9"/>
  <c r="H11" i="9" s="1"/>
  <c r="C12" i="9"/>
  <c r="H12" i="9" s="1"/>
  <c r="C13" i="9"/>
  <c r="H13" i="9" s="1"/>
  <c r="C14" i="9"/>
  <c r="H14" i="9" s="1"/>
  <c r="C15" i="9"/>
  <c r="H15" i="9" s="1"/>
  <c r="C16" i="9"/>
  <c r="H16" i="9" s="1"/>
  <c r="C17" i="9"/>
  <c r="H17" i="9" s="1"/>
  <c r="C18" i="9"/>
  <c r="H18" i="9" s="1"/>
  <c r="C19" i="9"/>
  <c r="H19" i="9" s="1"/>
  <c r="C20" i="9"/>
  <c r="H20" i="9" s="1"/>
  <c r="C21" i="9"/>
  <c r="H21" i="9" s="1"/>
  <c r="H22" i="9"/>
  <c r="H23" i="9"/>
  <c r="H24" i="9"/>
  <c r="I1" i="9" l="1"/>
  <c r="H20" i="1" l="1"/>
  <c r="M20" i="1"/>
  <c r="F2" i="76" l="1"/>
  <c r="K2" i="76" s="1"/>
  <c r="D2" i="76"/>
  <c r="G2" i="76" l="1"/>
  <c r="I2" i="76" s="1"/>
  <c r="E2" i="76"/>
  <c r="B21" i="9" l="1"/>
  <c r="B4" i="9"/>
  <c r="B5" i="9"/>
  <c r="B6" i="9"/>
  <c r="B7" i="9"/>
  <c r="B8" i="9"/>
  <c r="B9" i="9"/>
  <c r="B10" i="9"/>
  <c r="B11" i="9"/>
  <c r="B12" i="9"/>
  <c r="B13" i="9"/>
  <c r="B14" i="9"/>
  <c r="B15" i="9"/>
  <c r="B16" i="9"/>
  <c r="B17" i="9"/>
  <c r="B18" i="9"/>
  <c r="B19" i="9"/>
  <c r="B20" i="9"/>
  <c r="AB4" i="50"/>
  <c r="P4" i="50"/>
  <c r="Z4" i="50"/>
  <c r="W4" i="50"/>
  <c r="R4" i="50"/>
  <c r="AA4" i="50"/>
  <c r="AC4" i="50"/>
  <c r="T4" i="50"/>
  <c r="AE4" i="50"/>
  <c r="AD4" i="50"/>
  <c r="U4" i="50"/>
  <c r="V4" i="50"/>
  <c r="O4" i="50"/>
  <c r="Y4" i="50"/>
  <c r="B3" i="9" l="1"/>
  <c r="K12" i="9"/>
  <c r="K13" i="9"/>
  <c r="K14" i="9"/>
  <c r="K15" i="9"/>
  <c r="K16" i="9"/>
  <c r="K17" i="9"/>
  <c r="K18" i="9"/>
  <c r="K19" i="9"/>
  <c r="K20" i="9"/>
  <c r="S4" i="50"/>
  <c r="X4" i="50"/>
  <c r="N4" i="50"/>
  <c r="M4" i="50"/>
  <c r="L4" i="50"/>
  <c r="K3" i="9" l="1"/>
  <c r="K5" i="9"/>
  <c r="K8" i="9"/>
  <c r="K9" i="9"/>
  <c r="K10" i="9"/>
  <c r="K11" i="9"/>
  <c r="K4" i="9"/>
  <c r="K2" i="9"/>
  <c r="A2" i="9"/>
  <c r="Q4" i="50"/>
  <c r="A3" i="9" l="1"/>
  <c r="I2" i="9"/>
  <c r="D12" i="4"/>
  <c r="F3" i="9" l="1"/>
  <c r="A4" i="9"/>
  <c r="F4" i="9" l="1"/>
  <c r="A5" i="9"/>
  <c r="D6" i="4"/>
  <c r="D7" i="4"/>
  <c r="D8" i="4"/>
  <c r="D9" i="4"/>
  <c r="D10" i="4"/>
  <c r="D11" i="4"/>
  <c r="D13" i="4"/>
  <c r="D14" i="4"/>
  <c r="D15" i="4"/>
  <c r="D16" i="4"/>
  <c r="D17" i="4"/>
  <c r="D5" i="4"/>
  <c r="M6" i="1"/>
  <c r="M7" i="1"/>
  <c r="M8" i="1"/>
  <c r="M9" i="1"/>
  <c r="M10" i="1"/>
  <c r="M11" i="1"/>
  <c r="M12" i="1"/>
  <c r="M13" i="1"/>
  <c r="M14" i="1"/>
  <c r="M15" i="1"/>
  <c r="M16" i="1"/>
  <c r="M17" i="1"/>
  <c r="M18" i="1"/>
  <c r="M19" i="1"/>
  <c r="M5" i="1"/>
  <c r="H6" i="1"/>
  <c r="H7" i="1"/>
  <c r="H8" i="1"/>
  <c r="H9" i="1"/>
  <c r="H10" i="1"/>
  <c r="H11" i="1"/>
  <c r="H12" i="1"/>
  <c r="H13" i="1"/>
  <c r="H14" i="1"/>
  <c r="H15" i="1"/>
  <c r="H16" i="1"/>
  <c r="H17" i="1"/>
  <c r="H18" i="1"/>
  <c r="H19" i="1"/>
  <c r="H4" i="1" l="1"/>
  <c r="F5" i="9"/>
  <c r="M4" i="1"/>
  <c r="A6" i="9"/>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H9" i="4"/>
  <c r="M8" i="4"/>
  <c r="H8" i="4"/>
  <c r="M7" i="4"/>
  <c r="H7" i="4"/>
  <c r="M6" i="4"/>
  <c r="H6" i="4"/>
  <c r="M5" i="4"/>
  <c r="H5" i="4"/>
  <c r="K2" i="1"/>
  <c r="I29" i="1" l="1"/>
  <c r="J29" i="1" s="1"/>
  <c r="K29" i="1" s="1"/>
  <c r="I30" i="1"/>
  <c r="J30" i="1" s="1"/>
  <c r="I25" i="1"/>
  <c r="J25" i="1" s="1"/>
  <c r="K25" i="1" s="1"/>
  <c r="I24" i="1"/>
  <c r="J24" i="1" s="1"/>
  <c r="K24" i="1" s="1"/>
  <c r="I27" i="1"/>
  <c r="J27" i="1" s="1"/>
  <c r="K27" i="1" s="1"/>
  <c r="I23" i="1"/>
  <c r="J23" i="1" s="1"/>
  <c r="K23" i="1" s="1"/>
  <c r="I28" i="1"/>
  <c r="J28" i="1" s="1"/>
  <c r="K28" i="1" s="1"/>
  <c r="I26" i="1"/>
  <c r="J26" i="1" s="1"/>
  <c r="K26" i="1" s="1"/>
  <c r="F6" i="9"/>
  <c r="M4" i="4"/>
  <c r="A7" i="9"/>
  <c r="L4" i="5"/>
  <c r="G4" i="5"/>
  <c r="H24" i="5" s="1"/>
  <c r="I24" i="5" s="1"/>
  <c r="J24" i="5" s="1"/>
  <c r="I5" i="1"/>
  <c r="K30" i="1" l="1"/>
  <c r="F7" i="9"/>
  <c r="H16" i="5"/>
  <c r="I16" i="5" s="1"/>
  <c r="J16" i="5" s="1"/>
  <c r="H23" i="5"/>
  <c r="I23" i="5" s="1"/>
  <c r="J23" i="5" s="1"/>
  <c r="A8" i="9"/>
  <c r="J5" i="1"/>
  <c r="I22" i="1"/>
  <c r="J22" i="1" s="1"/>
  <c r="K22" i="1" s="1"/>
  <c r="I21" i="1"/>
  <c r="J21" i="1" s="1"/>
  <c r="K21" i="1" s="1"/>
  <c r="I20" i="1"/>
  <c r="J20" i="1" s="1"/>
  <c r="K20" i="1" s="1"/>
  <c r="H9" i="5"/>
  <c r="I9" i="5" s="1"/>
  <c r="J9" i="5" s="1"/>
  <c r="H6" i="5"/>
  <c r="I6" i="5" s="1"/>
  <c r="J6" i="5" s="1"/>
  <c r="H20" i="5"/>
  <c r="I20" i="5" s="1"/>
  <c r="J20" i="5" s="1"/>
  <c r="H22" i="5"/>
  <c r="I22" i="5" s="1"/>
  <c r="J22" i="5" s="1"/>
  <c r="H21" i="5"/>
  <c r="I21" i="5" s="1"/>
  <c r="J21" i="5" s="1"/>
  <c r="H17" i="5"/>
  <c r="I17" i="5" s="1"/>
  <c r="J17" i="5" s="1"/>
  <c r="H13" i="5"/>
  <c r="I13" i="5" s="1"/>
  <c r="J13" i="5" s="1"/>
  <c r="H8" i="5"/>
  <c r="I8" i="5" s="1"/>
  <c r="J8" i="5" s="1"/>
  <c r="H14" i="5"/>
  <c r="I14" i="5" s="1"/>
  <c r="J14" i="5" s="1"/>
  <c r="H10" i="5"/>
  <c r="I10" i="5" s="1"/>
  <c r="J10" i="5" s="1"/>
  <c r="H18" i="5"/>
  <c r="I18" i="5" s="1"/>
  <c r="J18" i="5" s="1"/>
  <c r="H7" i="5"/>
  <c r="I7" i="5" s="1"/>
  <c r="J7" i="5" s="1"/>
  <c r="H5" i="5"/>
  <c r="I5" i="5" s="1"/>
  <c r="J5" i="5" s="1"/>
  <c r="H19" i="5"/>
  <c r="I19" i="5" s="1"/>
  <c r="J19" i="5" s="1"/>
  <c r="H15" i="5"/>
  <c r="I15" i="5" s="1"/>
  <c r="J15" i="5" s="1"/>
  <c r="H11" i="5"/>
  <c r="I11" i="5" s="1"/>
  <c r="J11" i="5" s="1"/>
  <c r="H12" i="5"/>
  <c r="I12" i="5" s="1"/>
  <c r="J12" i="5" s="1"/>
  <c r="I16" i="1"/>
  <c r="J16" i="1" s="1"/>
  <c r="K16" i="1" s="1"/>
  <c r="I8" i="1"/>
  <c r="J8" i="1" s="1"/>
  <c r="K8" i="1" s="1"/>
  <c r="I14" i="1"/>
  <c r="J14" i="1" s="1"/>
  <c r="K14" i="1" s="1"/>
  <c r="I13" i="1"/>
  <c r="J13" i="1" s="1"/>
  <c r="K13" i="1" s="1"/>
  <c r="I17" i="1"/>
  <c r="J17" i="1" s="1"/>
  <c r="K17" i="1" s="1"/>
  <c r="I10" i="1"/>
  <c r="J10" i="1" s="1"/>
  <c r="K10" i="1" s="1"/>
  <c r="I18" i="1"/>
  <c r="J18" i="1" s="1"/>
  <c r="K18" i="1" s="1"/>
  <c r="I12" i="1"/>
  <c r="J12" i="1" s="1"/>
  <c r="K12" i="1" s="1"/>
  <c r="I15" i="1"/>
  <c r="J15" i="1" s="1"/>
  <c r="K15" i="1" s="1"/>
  <c r="I11" i="1"/>
  <c r="J11" i="1" s="1"/>
  <c r="K11" i="1" s="1"/>
  <c r="I6" i="1"/>
  <c r="J6" i="1" s="1"/>
  <c r="K6" i="1" s="1"/>
  <c r="I9" i="1"/>
  <c r="J9" i="1" s="1"/>
  <c r="K9" i="1" s="1"/>
  <c r="I7" i="1"/>
  <c r="J7" i="1" s="1"/>
  <c r="K7" i="1" s="1"/>
  <c r="I19" i="1"/>
  <c r="J19" i="1" s="1"/>
  <c r="K19" i="1" s="1"/>
  <c r="F8" i="9" l="1"/>
  <c r="K5" i="1"/>
  <c r="K4" i="1" s="1"/>
  <c r="A9" i="9"/>
  <c r="F9" i="9" s="1"/>
  <c r="J4" i="5"/>
  <c r="K2" i="5" s="1"/>
  <c r="A10" i="9" l="1"/>
  <c r="F10" i="9" s="1"/>
  <c r="L2" i="1"/>
  <c r="L2" i="5"/>
  <c r="M2" i="1"/>
  <c r="A11" i="9" l="1"/>
  <c r="F11" i="9" s="1"/>
  <c r="H12" i="4"/>
  <c r="H4" i="4" l="1"/>
  <c r="A12" i="9"/>
  <c r="F12" i="9" s="1"/>
  <c r="I20" i="4" l="1"/>
  <c r="J20" i="4" s="1"/>
  <c r="K20" i="4" s="1"/>
  <c r="I21" i="4"/>
  <c r="J21" i="4" s="1"/>
  <c r="K21" i="4" s="1"/>
  <c r="I19" i="4"/>
  <c r="J19" i="4" s="1"/>
  <c r="K19" i="4" s="1"/>
  <c r="I10" i="4"/>
  <c r="J10" i="4" s="1"/>
  <c r="K10" i="4" s="1"/>
  <c r="I17" i="4"/>
  <c r="J17" i="4" s="1"/>
  <c r="K17" i="4" s="1"/>
  <c r="I11" i="4"/>
  <c r="J11" i="4" s="1"/>
  <c r="K11" i="4" s="1"/>
  <c r="I6" i="4"/>
  <c r="J6" i="4" s="1"/>
  <c r="K6" i="4" s="1"/>
  <c r="I16" i="4"/>
  <c r="J16" i="4" s="1"/>
  <c r="K16" i="4" s="1"/>
  <c r="I5" i="4"/>
  <c r="J5" i="4" s="1"/>
  <c r="K5" i="4" s="1"/>
  <c r="I12" i="4"/>
  <c r="J12" i="4" s="1"/>
  <c r="K12" i="4" s="1"/>
  <c r="I9" i="4"/>
  <c r="J9" i="4" s="1"/>
  <c r="K9" i="4" s="1"/>
  <c r="I7" i="4"/>
  <c r="J7" i="4" s="1"/>
  <c r="K7" i="4" s="1"/>
  <c r="I13" i="4"/>
  <c r="J13" i="4" s="1"/>
  <c r="K13" i="4" s="1"/>
  <c r="I8" i="4"/>
  <c r="J8" i="4" s="1"/>
  <c r="K8" i="4" s="1"/>
  <c r="I15" i="4"/>
  <c r="J15" i="4" s="1"/>
  <c r="K15" i="4" s="1"/>
  <c r="I18" i="4"/>
  <c r="J18" i="4" s="1"/>
  <c r="I14" i="4"/>
  <c r="J14" i="4" s="1"/>
  <c r="K14" i="4" s="1"/>
  <c r="A13" i="9"/>
  <c r="F13" i="9" s="1"/>
  <c r="K18" i="4" l="1"/>
  <c r="K4" i="4" s="1"/>
  <c r="H3" i="95" s="1"/>
  <c r="A14" i="9"/>
  <c r="F14" i="9" s="1"/>
  <c r="B1" i="50" l="1"/>
  <c r="L2" i="4"/>
  <c r="I1" i="95"/>
  <c r="I3" i="95" s="1"/>
  <c r="M2" i="4"/>
  <c r="AM4" i="1"/>
  <c r="AM4" i="4"/>
  <c r="A15" i="9"/>
  <c r="F15" i="9" s="1"/>
  <c r="AF23" i="4" l="1"/>
  <c r="AF22" i="4"/>
  <c r="N22" i="4" s="1"/>
  <c r="AF30" i="1"/>
  <c r="N30" i="1" s="1"/>
  <c r="AF29" i="1"/>
  <c r="N29" i="1" s="1"/>
  <c r="AF20" i="4"/>
  <c r="AF21" i="4"/>
  <c r="AF19" i="4"/>
  <c r="O19" i="4" s="1"/>
  <c r="A19" i="4" s="1"/>
  <c r="AF24" i="1"/>
  <c r="N24" i="1" s="1"/>
  <c r="AF25" i="1"/>
  <c r="AF26" i="1"/>
  <c r="N26" i="1" s="1"/>
  <c r="AF28" i="1"/>
  <c r="AF23" i="1"/>
  <c r="AF27" i="1"/>
  <c r="AF24" i="5"/>
  <c r="AF23" i="5"/>
  <c r="AF18" i="4"/>
  <c r="O23" i="4"/>
  <c r="A23" i="4" s="1"/>
  <c r="AO4" i="4"/>
  <c r="AO4" i="1"/>
  <c r="AN4" i="4"/>
  <c r="AN4" i="1"/>
  <c r="A16" i="9"/>
  <c r="F16" i="9" s="1"/>
  <c r="O30" i="1" l="1"/>
  <c r="A30" i="1" s="1"/>
  <c r="O22" i="4"/>
  <c r="A22" i="4" s="1"/>
  <c r="O29" i="1"/>
  <c r="A29" i="1" s="1"/>
  <c r="N19" i="4"/>
  <c r="O26" i="1"/>
  <c r="A26" i="1" s="1"/>
  <c r="O21" i="4"/>
  <c r="A21" i="4" s="1"/>
  <c r="N21" i="4"/>
  <c r="O20" i="4"/>
  <c r="A20" i="4" s="1"/>
  <c r="N20" i="4"/>
  <c r="O24" i="1"/>
  <c r="A24" i="1" s="1"/>
  <c r="O28" i="1"/>
  <c r="A28" i="1" s="1"/>
  <c r="N28" i="1"/>
  <c r="O23" i="1"/>
  <c r="A23" i="1" s="1"/>
  <c r="N23" i="1"/>
  <c r="O25" i="1"/>
  <c r="A25" i="1" s="1"/>
  <c r="N25" i="1"/>
  <c r="O27" i="1"/>
  <c r="A27" i="1" s="1"/>
  <c r="N27" i="1"/>
  <c r="O18" i="4"/>
  <c r="A18" i="4" s="1"/>
  <c r="N18" i="4"/>
  <c r="N24" i="5"/>
  <c r="A24" i="5" s="1"/>
  <c r="M24" i="5"/>
  <c r="N23" i="5"/>
  <c r="A23" i="5" s="1"/>
  <c r="M23" i="5"/>
  <c r="AP4" i="1"/>
  <c r="AP4" i="4"/>
  <c r="A17" i="9"/>
  <c r="F17" i="9" s="1"/>
  <c r="AL4" i="4"/>
  <c r="AL4" i="1"/>
  <c r="A18" i="9" l="1"/>
  <c r="F18" i="9" s="1"/>
  <c r="A19" i="9" l="1"/>
  <c r="F19" i="9" s="1"/>
  <c r="A20" i="9" l="1"/>
  <c r="F20" i="9" s="1"/>
  <c r="A21" i="9" l="1"/>
  <c r="F21" i="9" l="1"/>
  <c r="A22" i="9"/>
  <c r="AQ4" i="4"/>
  <c r="AQ4" i="1"/>
  <c r="A23" i="9" l="1"/>
  <c r="F22" i="9"/>
  <c r="AR4" i="4"/>
  <c r="AR4" i="1"/>
  <c r="F23" i="9" l="1"/>
  <c r="A24" i="9"/>
  <c r="F24" i="9" l="1"/>
  <c r="A25" i="9"/>
  <c r="A26" i="9" l="1"/>
  <c r="F25" i="9"/>
  <c r="F26" i="9" l="1"/>
  <c r="A27" i="9"/>
  <c r="F27" i="9" l="1"/>
  <c r="A28" i="9"/>
  <c r="AR4" i="5" l="1"/>
  <c r="AS4" i="4"/>
  <c r="AS4" i="1"/>
  <c r="A29" i="9"/>
  <c r="F28" i="9"/>
  <c r="A30" i="9" l="1"/>
  <c r="F29" i="9"/>
  <c r="A31" i="9" l="1"/>
  <c r="F30" i="9"/>
  <c r="G2" i="9" l="1"/>
  <c r="G27" i="9"/>
  <c r="F32" i="9"/>
  <c r="G28" i="9"/>
  <c r="F31" i="9"/>
  <c r="G31" i="9" s="1"/>
  <c r="G22" i="9"/>
  <c r="G21" i="9"/>
  <c r="G23" i="9"/>
  <c r="G29" i="9"/>
  <c r="G25" i="9"/>
  <c r="G3" i="9" l="1"/>
  <c r="K4" i="50"/>
  <c r="AT4" i="4"/>
  <c r="AT4" i="1"/>
  <c r="AS4" i="5"/>
  <c r="G24" i="9"/>
  <c r="G30" i="9" s="1"/>
  <c r="G4" i="9" l="1"/>
  <c r="G5" i="9" s="1"/>
  <c r="G32" i="9"/>
  <c r="AU4" i="1"/>
  <c r="AT4" i="5"/>
  <c r="G10" i="9"/>
  <c r="G11" i="9" s="1"/>
  <c r="G6" i="9" l="1"/>
  <c r="G7" i="9"/>
  <c r="G16" i="9"/>
  <c r="G17" i="9" s="1"/>
  <c r="G18" i="9" s="1"/>
  <c r="G19" i="9" s="1"/>
  <c r="G20" i="9" s="1"/>
  <c r="G12" i="9"/>
  <c r="G15" i="9" s="1"/>
  <c r="AU4" i="4"/>
  <c r="G26" i="9"/>
  <c r="G8" i="9" l="1"/>
  <c r="G9" i="9" s="1"/>
  <c r="G13" i="9"/>
  <c r="G14" i="9" s="1"/>
  <c r="Q4" i="1"/>
  <c r="AV4" i="4"/>
  <c r="AU4" i="5"/>
  <c r="AV4" i="1"/>
  <c r="R4" i="5" l="1"/>
  <c r="R4" i="4"/>
  <c r="R4" i="1"/>
  <c r="S4" i="4" l="1"/>
  <c r="S4" i="5"/>
  <c r="S4" i="1"/>
  <c r="T4" i="4" l="1"/>
  <c r="T4" i="5"/>
  <c r="T4" i="1"/>
  <c r="U4" i="5" l="1"/>
  <c r="U4" i="4"/>
  <c r="U4" i="1"/>
  <c r="V4" i="4" l="1"/>
  <c r="V4" i="5"/>
  <c r="V4" i="1"/>
  <c r="W4" i="5" l="1"/>
  <c r="W4" i="1"/>
  <c r="W4" i="4"/>
  <c r="X4" i="5" l="1"/>
  <c r="X4" i="1"/>
  <c r="X4" i="4"/>
  <c r="Y4" i="1" l="1"/>
  <c r="Y4" i="5"/>
  <c r="Y4" i="4"/>
  <c r="Z4" i="1" l="1"/>
  <c r="Z4" i="4"/>
  <c r="Z4" i="5"/>
  <c r="AA4" i="1" l="1"/>
  <c r="AA4" i="5"/>
  <c r="AA4" i="4"/>
  <c r="AB4" i="1" l="1"/>
  <c r="AB4" i="4"/>
  <c r="AB4" i="5"/>
  <c r="AC4" i="1" l="1"/>
  <c r="AC4" i="5"/>
  <c r="AC4" i="4"/>
  <c r="AD4" i="1" l="1"/>
  <c r="AD4" i="4"/>
  <c r="AD4" i="5"/>
  <c r="AE4" i="5" l="1"/>
  <c r="AE4" i="1"/>
  <c r="AE4" i="4"/>
  <c r="O5" i="95" l="1"/>
  <c r="Y45" i="50"/>
  <c r="AN27" i="50"/>
  <c r="Z23" i="50"/>
  <c r="M27" i="50"/>
  <c r="AO11" i="50"/>
  <c r="AN33" i="50"/>
  <c r="M26" i="50"/>
  <c r="R10" i="50"/>
  <c r="V29" i="50"/>
  <c r="L50" i="50"/>
  <c r="AE48" i="50"/>
  <c r="V15" i="50"/>
  <c r="R17" i="50"/>
  <c r="AC45" i="50"/>
  <c r="U12" i="50"/>
  <c r="AK17" i="50"/>
  <c r="AL18" i="50"/>
  <c r="AA37" i="50"/>
  <c r="T28" i="50"/>
  <c r="R44" i="50"/>
  <c r="Q6" i="50"/>
  <c r="AD28" i="50"/>
  <c r="AF20" i="50"/>
  <c r="AI47" i="50"/>
  <c r="AL20" i="50"/>
  <c r="AO25" i="50"/>
  <c r="AA5" i="50"/>
  <c r="AF11" i="50"/>
  <c r="P25" i="50"/>
  <c r="AJ17" i="50"/>
  <c r="AH20" i="50"/>
  <c r="AH35" i="50"/>
  <c r="R37" i="50"/>
  <c r="AK23" i="50"/>
  <c r="AA6" i="50"/>
  <c r="W18" i="50"/>
  <c r="AE11" i="50"/>
  <c r="Q35" i="50"/>
  <c r="AN22" i="50"/>
  <c r="X23" i="50"/>
  <c r="AF26" i="50"/>
  <c r="AI28" i="50"/>
  <c r="AF49" i="50"/>
  <c r="AG17" i="50"/>
  <c r="AG15" i="50"/>
  <c r="N25" i="50"/>
  <c r="L27" i="50"/>
  <c r="AO16" i="50"/>
  <c r="L19" i="50"/>
  <c r="AC38" i="50"/>
  <c r="Z39" i="50"/>
  <c r="U5" i="50"/>
  <c r="Z33" i="50"/>
  <c r="AH18" i="50"/>
  <c r="Y47" i="50"/>
  <c r="S5" i="50"/>
  <c r="AD33" i="50"/>
  <c r="O26" i="50"/>
  <c r="AD47" i="50"/>
  <c r="AE46" i="50"/>
  <c r="AD42" i="50"/>
  <c r="L14" i="50"/>
  <c r="U16" i="50"/>
  <c r="AL45" i="50"/>
  <c r="R12" i="50"/>
  <c r="AK24" i="50"/>
  <c r="AN23" i="50"/>
  <c r="W50" i="50"/>
  <c r="W23" i="50"/>
  <c r="AO5" i="50"/>
  <c r="AO7" i="50"/>
  <c r="Y9" i="50"/>
  <c r="S15" i="50"/>
  <c r="Y33" i="50"/>
  <c r="AE42" i="50"/>
  <c r="Y36" i="50"/>
  <c r="AI19" i="50"/>
  <c r="N47" i="50"/>
  <c r="AG31" i="50"/>
  <c r="AC6" i="50"/>
  <c r="V32" i="50"/>
  <c r="AK10" i="50"/>
  <c r="L40" i="50"/>
  <c r="W26" i="50"/>
  <c r="S37" i="50"/>
  <c r="AJ40" i="50"/>
  <c r="AG10" i="50"/>
  <c r="U10" i="50"/>
  <c r="Z31" i="50"/>
  <c r="W11" i="50"/>
  <c r="AB32" i="50"/>
  <c r="M37" i="50"/>
  <c r="Q9" i="50"/>
  <c r="Z28" i="50"/>
  <c r="X37" i="50"/>
  <c r="AC48" i="50"/>
  <c r="Q36" i="50"/>
  <c r="AL10" i="50"/>
  <c r="L10" i="50"/>
  <c r="W27" i="50"/>
  <c r="AD16" i="50"/>
  <c r="L44" i="50"/>
  <c r="W16" i="50"/>
  <c r="AM25" i="50"/>
  <c r="AL27" i="50"/>
  <c r="AI5" i="50"/>
  <c r="X50" i="50"/>
  <c r="T41" i="50"/>
  <c r="O19" i="50"/>
  <c r="T33" i="50"/>
  <c r="Q39" i="50"/>
  <c r="M48" i="50"/>
  <c r="AM45" i="50"/>
  <c r="U36" i="50"/>
  <c r="O50" i="50"/>
  <c r="P26" i="50"/>
  <c r="AC35" i="50"/>
  <c r="O35" i="50"/>
  <c r="AC50" i="50"/>
  <c r="T43" i="50"/>
  <c r="AI23" i="50"/>
  <c r="Y25" i="50"/>
  <c r="AI15" i="50"/>
  <c r="AC36" i="50"/>
  <c r="V19" i="50"/>
  <c r="T34" i="50"/>
  <c r="AA7" i="50"/>
  <c r="AB30" i="50"/>
  <c r="P40" i="50"/>
  <c r="AB25" i="50"/>
  <c r="P22" i="50"/>
  <c r="Y16" i="50"/>
  <c r="P23" i="50"/>
  <c r="R11" i="50"/>
  <c r="AF40" i="50"/>
  <c r="AA8" i="50"/>
  <c r="V33" i="50"/>
  <c r="AM12" i="50"/>
  <c r="O48" i="50"/>
  <c r="AF33" i="50"/>
  <c r="X7" i="50"/>
  <c r="AF37" i="50"/>
  <c r="P44" i="50"/>
  <c r="S35" i="50"/>
  <c r="AK19" i="50"/>
  <c r="Q30" i="50"/>
  <c r="U45" i="50"/>
  <c r="M47" i="50"/>
  <c r="AF50" i="50"/>
  <c r="AN8" i="50"/>
  <c r="AN41" i="50"/>
  <c r="X5" i="50"/>
  <c r="AD31" i="50"/>
  <c r="AA30" i="50"/>
  <c r="X15" i="50"/>
  <c r="AH43" i="50"/>
  <c r="AK27" i="50"/>
  <c r="T24" i="50"/>
  <c r="X33" i="50"/>
  <c r="AM27" i="50"/>
  <c r="W29" i="50"/>
  <c r="L20" i="50"/>
  <c r="Z16" i="50"/>
  <c r="AN31" i="50"/>
  <c r="AM10" i="50"/>
  <c r="R31" i="50"/>
  <c r="AB12" i="50"/>
  <c r="N11" i="50"/>
  <c r="AN38" i="50"/>
  <c r="AE32" i="50"/>
  <c r="AF48" i="50"/>
  <c r="Y42" i="50"/>
  <c r="AJ14" i="50"/>
  <c r="Y6" i="50"/>
  <c r="AH21" i="50"/>
  <c r="AG35" i="50"/>
  <c r="W30" i="50"/>
  <c r="R22" i="50"/>
  <c r="L9" i="50"/>
  <c r="Z45" i="50"/>
  <c r="AL17" i="50"/>
  <c r="AA29" i="50"/>
  <c r="T18" i="50"/>
  <c r="S47" i="50"/>
  <c r="AD46" i="50"/>
  <c r="AD11" i="50"/>
  <c r="AL28" i="50"/>
  <c r="Y37" i="50"/>
  <c r="Y18" i="50"/>
  <c r="AI11" i="50"/>
  <c r="M29" i="50"/>
  <c r="AI45" i="50"/>
  <c r="AG14" i="50"/>
  <c r="M10" i="50"/>
  <c r="V12" i="50"/>
  <c r="AI17" i="50"/>
  <c r="AO41" i="50"/>
  <c r="AF45" i="50"/>
  <c r="AB38" i="50"/>
  <c r="AN39" i="50"/>
  <c r="N33" i="50"/>
  <c r="R41" i="50"/>
  <c r="W17" i="50"/>
  <c r="AO18" i="50"/>
  <c r="AC12" i="50"/>
  <c r="AM33" i="50"/>
  <c r="AM26" i="50"/>
  <c r="AL41" i="50"/>
  <c r="AJ19" i="50"/>
  <c r="V43" i="50"/>
  <c r="AB24" i="50"/>
  <c r="AD24" i="50"/>
  <c r="AF42" i="50"/>
  <c r="AI8" i="50"/>
  <c r="AB18" i="50"/>
  <c r="AK44" i="50"/>
  <c r="O33" i="50"/>
  <c r="M41" i="50"/>
  <c r="AA26" i="50"/>
  <c r="AB22" i="50"/>
  <c r="AG29" i="50"/>
  <c r="R32" i="50"/>
  <c r="O6" i="50"/>
  <c r="S16" i="50"/>
  <c r="AC39" i="50"/>
  <c r="AI42" i="50"/>
  <c r="AB45" i="50"/>
  <c r="AH9" i="50"/>
  <c r="X14" i="50"/>
  <c r="P21" i="50"/>
  <c r="R9" i="50"/>
  <c r="Q10" i="50"/>
  <c r="AC40" i="50"/>
  <c r="AL32" i="50"/>
  <c r="AK14" i="50"/>
  <c r="AG45" i="50"/>
  <c r="Z46" i="50"/>
  <c r="AN46" i="50"/>
  <c r="Y39" i="50"/>
  <c r="P29" i="50"/>
  <c r="AA43" i="50"/>
  <c r="AH22" i="50"/>
  <c r="AH34" i="50"/>
  <c r="R14" i="50"/>
  <c r="AB46" i="50"/>
  <c r="V7" i="50"/>
  <c r="X22" i="50"/>
  <c r="U9" i="50"/>
  <c r="V39" i="50"/>
  <c r="U27" i="50"/>
  <c r="AC26" i="50"/>
  <c r="O14" i="50"/>
  <c r="AI25" i="50"/>
  <c r="R6" i="50"/>
  <c r="Q28" i="50"/>
  <c r="Y40" i="50"/>
  <c r="AG12" i="50"/>
  <c r="V48" i="50"/>
  <c r="AI32" i="50"/>
  <c r="AE24" i="50"/>
  <c r="U31" i="50"/>
  <c r="X40" i="50"/>
  <c r="T37" i="50"/>
  <c r="AC29" i="50"/>
  <c r="X43" i="50"/>
  <c r="AE26" i="50"/>
  <c r="Z35" i="50"/>
  <c r="AO28" i="50"/>
  <c r="Y17" i="50"/>
  <c r="L46" i="50"/>
  <c r="W36" i="50"/>
  <c r="O45" i="50"/>
  <c r="AM38" i="50"/>
  <c r="N21" i="50"/>
  <c r="AE36" i="50"/>
  <c r="S49" i="50"/>
  <c r="L25" i="50"/>
  <c r="AN29" i="50"/>
  <c r="AD7" i="50"/>
  <c r="AC32" i="50"/>
  <c r="AM17" i="50"/>
  <c r="S21" i="50"/>
  <c r="AG46" i="50"/>
  <c r="Y34" i="50"/>
  <c r="AJ36" i="50"/>
  <c r="V46" i="50"/>
  <c r="AO31" i="50"/>
  <c r="AG43" i="50"/>
  <c r="R29" i="50"/>
  <c r="T35" i="50"/>
  <c r="AD43" i="50"/>
  <c r="AH23" i="50"/>
  <c r="AM30" i="50"/>
  <c r="T10" i="50"/>
  <c r="AG49" i="50"/>
  <c r="AM8" i="50"/>
  <c r="Q18" i="50"/>
  <c r="AJ5" i="50"/>
  <c r="AA32" i="50"/>
  <c r="N15" i="50"/>
  <c r="T40" i="50"/>
  <c r="S10" i="50"/>
  <c r="AE14" i="50"/>
  <c r="AH37" i="50"/>
  <c r="AG7" i="50"/>
  <c r="Y8" i="50"/>
  <c r="X9" i="50"/>
  <c r="O39" i="50"/>
  <c r="AJ27" i="50"/>
  <c r="AH44" i="50"/>
  <c r="Z9" i="50"/>
  <c r="AL40" i="50"/>
  <c r="N49" i="50"/>
  <c r="P19" i="50"/>
  <c r="S17" i="50"/>
  <c r="AK5" i="50"/>
  <c r="AF14" i="50"/>
  <c r="Z41" i="50"/>
  <c r="U25" i="50"/>
  <c r="AM13" i="50"/>
  <c r="AB7" i="50"/>
  <c r="M33" i="50"/>
  <c r="AD35" i="50"/>
  <c r="AO37" i="50"/>
  <c r="AI6" i="50"/>
  <c r="AC8" i="50"/>
  <c r="U22" i="50"/>
  <c r="AK20" i="50"/>
  <c r="AM19" i="50"/>
  <c r="Y19" i="50"/>
  <c r="AA10" i="50"/>
  <c r="AG32" i="50"/>
  <c r="AD37" i="50"/>
  <c r="Q32" i="50"/>
  <c r="AN34" i="50"/>
  <c r="M16" i="50"/>
  <c r="AG27" i="50"/>
  <c r="AF43" i="50"/>
  <c r="AJ6" i="50"/>
  <c r="AN16" i="50"/>
  <c r="AJ34" i="50"/>
  <c r="AF21" i="50"/>
  <c r="AB10" i="50"/>
  <c r="AM29" i="50"/>
  <c r="U41" i="50"/>
  <c r="AM28" i="50"/>
  <c r="AA13" i="50"/>
  <c r="AO15" i="50"/>
  <c r="AN13" i="50"/>
  <c r="R20" i="50"/>
  <c r="AB11" i="50"/>
  <c r="AD26" i="50"/>
  <c r="U46" i="50"/>
  <c r="AH7" i="50"/>
  <c r="V26" i="50"/>
  <c r="Z18" i="50"/>
  <c r="AJ13" i="50"/>
  <c r="AG5" i="50"/>
  <c r="AM36" i="50"/>
  <c r="N22" i="50"/>
  <c r="X25" i="50"/>
  <c r="P35" i="50"/>
  <c r="AA41" i="50"/>
  <c r="AA21" i="50"/>
  <c r="P12" i="50"/>
  <c r="Q43" i="50"/>
  <c r="Q48" i="50"/>
  <c r="AO48" i="50"/>
  <c r="U40" i="50"/>
  <c r="AG38" i="50"/>
  <c r="P14" i="50"/>
  <c r="R23" i="50"/>
  <c r="O25" i="50"/>
  <c r="N7" i="50"/>
  <c r="M13" i="50"/>
  <c r="Q37" i="50"/>
  <c r="L38" i="50"/>
  <c r="Y23" i="50"/>
  <c r="AE47" i="50"/>
  <c r="AN11" i="50"/>
  <c r="L28" i="50"/>
  <c r="AG33" i="50"/>
  <c r="W38" i="50"/>
  <c r="L11" i="50"/>
  <c r="L36" i="50"/>
  <c r="W20" i="50"/>
  <c r="R34" i="50"/>
  <c r="W41" i="50"/>
  <c r="W15" i="50"/>
  <c r="Y22" i="50"/>
  <c r="Q5" i="50"/>
  <c r="X27" i="50"/>
  <c r="AL37" i="50"/>
  <c r="V5" i="50"/>
  <c r="AN5" i="50"/>
  <c r="Q22" i="50"/>
  <c r="V17" i="50"/>
  <c r="X42" i="50"/>
  <c r="AC25" i="50"/>
  <c r="AJ28" i="50"/>
  <c r="X26" i="50"/>
  <c r="W47" i="50"/>
  <c r="AO42" i="50"/>
  <c r="M42" i="50"/>
  <c r="AB13" i="50"/>
  <c r="AO50" i="50"/>
  <c r="V25" i="50"/>
  <c r="L8" i="50"/>
  <c r="AK37" i="50"/>
  <c r="AN35" i="50"/>
  <c r="S22" i="50"/>
  <c r="U49" i="50"/>
  <c r="T44" i="50"/>
  <c r="AN6" i="50"/>
  <c r="N16" i="50"/>
  <c r="Z40" i="50"/>
  <c r="AO13" i="50"/>
  <c r="N18" i="50"/>
  <c r="T31" i="50"/>
  <c r="U13" i="50"/>
  <c r="AJ15" i="50"/>
  <c r="AI20" i="50"/>
  <c r="O24" i="50"/>
  <c r="V13" i="50"/>
  <c r="AC17" i="50"/>
  <c r="T39" i="50"/>
  <c r="Q21" i="50"/>
  <c r="T36" i="50"/>
  <c r="Q19" i="50"/>
  <c r="Y11" i="50"/>
  <c r="AM15" i="50"/>
  <c r="Z34" i="50"/>
  <c r="X36" i="50"/>
  <c r="S31" i="50"/>
  <c r="AG37" i="50"/>
  <c r="U15" i="50"/>
  <c r="V36" i="50"/>
  <c r="AC16" i="50"/>
  <c r="W43" i="50"/>
  <c r="S27" i="50"/>
  <c r="R47" i="50"/>
  <c r="X17" i="50"/>
  <c r="Y12" i="50"/>
  <c r="P37" i="50"/>
  <c r="AB49" i="50"/>
  <c r="AH8" i="50"/>
  <c r="U35" i="50"/>
  <c r="AN19" i="50"/>
  <c r="AG50" i="50"/>
  <c r="AN15" i="50"/>
  <c r="U30" i="50"/>
  <c r="AJ33" i="50"/>
  <c r="T9" i="50"/>
  <c r="AJ48" i="50"/>
  <c r="AC42" i="50"/>
  <c r="AD9" i="50"/>
  <c r="O23" i="50"/>
  <c r="Q16" i="50"/>
  <c r="AG48" i="50"/>
  <c r="Q44" i="50"/>
  <c r="AK9" i="50"/>
  <c r="P46" i="50"/>
  <c r="AD19" i="50"/>
  <c r="W10" i="50"/>
  <c r="AI40" i="50"/>
  <c r="AH25" i="50"/>
  <c r="AB29" i="50"/>
  <c r="AG6" i="50"/>
  <c r="AO44" i="50"/>
  <c r="W35" i="50"/>
  <c r="AB20" i="50"/>
  <c r="W13" i="50"/>
  <c r="AJ39" i="50"/>
  <c r="AF44" i="50"/>
  <c r="AH16" i="50"/>
  <c r="AG34" i="50"/>
  <c r="AH45" i="50"/>
  <c r="AF38" i="50"/>
  <c r="AD15" i="50"/>
  <c r="W46" i="50"/>
  <c r="AG36" i="50"/>
  <c r="AJ41" i="50"/>
  <c r="AK30" i="50"/>
  <c r="Q31" i="50"/>
  <c r="AJ47" i="50"/>
  <c r="AE44" i="50"/>
  <c r="AL33" i="50"/>
  <c r="AM46" i="50"/>
  <c r="Z42" i="50"/>
  <c r="T22" i="50"/>
  <c r="AI31" i="50"/>
  <c r="X12" i="50"/>
  <c r="AE34" i="50"/>
  <c r="AJ31" i="50"/>
  <c r="R40" i="50"/>
  <c r="AE9" i="50"/>
  <c r="N48" i="50"/>
  <c r="V44" i="50"/>
  <c r="Z32" i="50"/>
  <c r="W5" i="50"/>
  <c r="P18" i="50"/>
  <c r="AN44" i="50"/>
  <c r="AJ50" i="50"/>
  <c r="AD38" i="50"/>
  <c r="AB31" i="50"/>
  <c r="P8" i="50"/>
  <c r="O38" i="50"/>
  <c r="Y31" i="50"/>
  <c r="AA9" i="50"/>
  <c r="X21" i="50"/>
  <c r="Z44" i="50"/>
  <c r="R5" i="50"/>
  <c r="Q24" i="50"/>
  <c r="Z49" i="50"/>
  <c r="U6" i="50"/>
  <c r="AL42" i="50"/>
  <c r="AD29" i="50"/>
  <c r="N36" i="50"/>
  <c r="AE41" i="50"/>
  <c r="N43" i="50"/>
  <c r="Z37" i="50"/>
  <c r="AH28" i="50"/>
  <c r="Z22" i="50"/>
  <c r="AA40" i="50"/>
  <c r="S43" i="50"/>
  <c r="AD10" i="50"/>
  <c r="T19" i="50"/>
  <c r="AK25" i="50"/>
  <c r="AB44" i="50"/>
  <c r="L41" i="50"/>
  <c r="AK41" i="50"/>
  <c r="AM7" i="50"/>
  <c r="Z29" i="50"/>
  <c r="AJ45" i="50"/>
  <c r="AO33" i="50"/>
  <c r="AB17" i="50"/>
  <c r="AH41" i="50"/>
  <c r="AO22" i="50"/>
  <c r="M50" i="50"/>
  <c r="AO23" i="50"/>
  <c r="Z36" i="50"/>
  <c r="Y44" i="50"/>
  <c r="R45" i="50"/>
  <c r="AC9" i="50"/>
  <c r="O22" i="50"/>
  <c r="AG22" i="50"/>
  <c r="AF30" i="50"/>
  <c r="Q29" i="50"/>
  <c r="AE16" i="50"/>
  <c r="X34" i="50"/>
  <c r="AL11" i="50"/>
  <c r="O43" i="50"/>
  <c r="AM11" i="50"/>
  <c r="N40" i="50"/>
  <c r="AD25" i="50"/>
  <c r="AB41" i="50"/>
  <c r="AL21" i="50"/>
  <c r="T25" i="50"/>
  <c r="X46" i="50"/>
  <c r="U33" i="50"/>
  <c r="X45" i="50"/>
  <c r="AD39" i="50"/>
  <c r="AG40" i="50"/>
  <c r="W33" i="50"/>
  <c r="V8" i="50"/>
  <c r="AM9" i="50"/>
  <c r="AF31" i="50"/>
  <c r="S48" i="50"/>
  <c r="O36" i="50"/>
  <c r="AG30" i="50"/>
  <c r="AO35" i="50"/>
  <c r="AC30" i="50"/>
  <c r="AA25" i="50"/>
  <c r="Q33" i="50"/>
  <c r="M17" i="50"/>
  <c r="P45" i="50"/>
  <c r="S20" i="50"/>
  <c r="AA20" i="50"/>
  <c r="AE50" i="50"/>
  <c r="T26" i="50"/>
  <c r="L5" i="50"/>
  <c r="AM48" i="50"/>
  <c r="X16" i="50"/>
  <c r="X24" i="50"/>
  <c r="AC13" i="50"/>
  <c r="AO38" i="50"/>
  <c r="R13" i="50"/>
  <c r="AL13" i="50"/>
  <c r="AM43" i="50"/>
  <c r="Q47" i="50"/>
  <c r="AB35" i="50"/>
  <c r="AG18" i="50"/>
  <c r="AE18" i="50"/>
  <c r="AA23" i="50"/>
  <c r="T14" i="50"/>
  <c r="AD34" i="50"/>
  <c r="AF25" i="50"/>
  <c r="AF27" i="50"/>
  <c r="AM24" i="50"/>
  <c r="L47" i="50"/>
  <c r="S6" i="50"/>
  <c r="Q8" i="50"/>
  <c r="S13" i="50"/>
  <c r="N42" i="50"/>
  <c r="AC23" i="50"/>
  <c r="AG47" i="50"/>
  <c r="AB36" i="50"/>
  <c r="AK36" i="50"/>
  <c r="Z10" i="50"/>
  <c r="N28" i="50"/>
  <c r="Y21" i="50"/>
  <c r="R24" i="50"/>
  <c r="X41" i="50"/>
  <c r="N12" i="50"/>
  <c r="AA39" i="50"/>
  <c r="W9" i="50"/>
  <c r="T15" i="50"/>
  <c r="AE20" i="50"/>
  <c r="AL16" i="50"/>
  <c r="AB50" i="50"/>
  <c r="AA34" i="50"/>
  <c r="AD27" i="50"/>
  <c r="S46" i="50"/>
  <c r="AC18" i="50"/>
  <c r="V6" i="50"/>
  <c r="Z26" i="50"/>
  <c r="AA11" i="50"/>
  <c r="AI34" i="50"/>
  <c r="AH14" i="50"/>
  <c r="AD14" i="50"/>
  <c r="O7" i="50"/>
  <c r="AJ49" i="50"/>
  <c r="AG25" i="50"/>
  <c r="Y49" i="50"/>
  <c r="U18" i="50"/>
  <c r="S40" i="50"/>
  <c r="U14" i="50"/>
  <c r="AA44" i="50"/>
  <c r="AJ46" i="50"/>
  <c r="AK15" i="50"/>
  <c r="N41" i="50"/>
  <c r="AH40" i="50"/>
  <c r="X31" i="50"/>
  <c r="Z24" i="50"/>
  <c r="AF23" i="50"/>
  <c r="X47" i="50"/>
  <c r="Y27" i="50"/>
  <c r="P42" i="50"/>
  <c r="P38" i="50"/>
  <c r="M15" i="50"/>
  <c r="Q34" i="50"/>
  <c r="M38" i="50"/>
  <c r="O46" i="50"/>
  <c r="U20" i="50"/>
  <c r="AE19" i="50"/>
  <c r="AN17" i="50"/>
  <c r="T50" i="50"/>
  <c r="AO32" i="50"/>
  <c r="AL23" i="50"/>
  <c r="U34" i="50"/>
  <c r="Z5" i="50"/>
  <c r="AJ20" i="50"/>
  <c r="U38" i="50"/>
  <c r="Q7" i="50"/>
  <c r="L34" i="50"/>
  <c r="AI35" i="50"/>
  <c r="AJ44" i="50"/>
  <c r="Z25" i="50"/>
  <c r="L52" i="50"/>
  <c r="P11" i="50"/>
  <c r="T45" i="50"/>
  <c r="T47" i="50"/>
  <c r="AK29" i="50"/>
  <c r="X6" i="50"/>
  <c r="S26" i="50"/>
  <c r="AL39" i="50"/>
  <c r="L45" i="50"/>
  <c r="AE23" i="50"/>
  <c r="R19" i="50"/>
  <c r="Z8" i="50"/>
  <c r="AH50" i="50"/>
  <c r="Z11" i="50"/>
  <c r="AN24" i="50"/>
  <c r="M9" i="50"/>
  <c r="AE37" i="50"/>
  <c r="AD44" i="50"/>
  <c r="O32" i="50"/>
  <c r="R16" i="50"/>
  <c r="AB9" i="50"/>
  <c r="AL29" i="50"/>
  <c r="Y26" i="50"/>
  <c r="AA24" i="50"/>
  <c r="AH47" i="50"/>
  <c r="AH46" i="50"/>
  <c r="AF32" i="50"/>
  <c r="V37" i="50"/>
  <c r="AE35" i="50"/>
  <c r="AO10" i="50"/>
  <c r="AL19" i="50"/>
  <c r="L33" i="50"/>
  <c r="AC28" i="50"/>
  <c r="Y41" i="50"/>
  <c r="AK8" i="50"/>
  <c r="AO29" i="50"/>
  <c r="V45" i="50"/>
  <c r="M35" i="50"/>
  <c r="S11" i="50"/>
  <c r="AN40" i="50"/>
  <c r="AM44" i="50"/>
  <c r="AC37" i="50"/>
  <c r="M20" i="50"/>
  <c r="L21" i="50"/>
  <c r="AB5" i="50"/>
  <c r="AE39" i="50"/>
  <c r="AI41" i="50"/>
  <c r="T16" i="50"/>
  <c r="AK26" i="50"/>
  <c r="AJ30" i="50"/>
  <c r="AK49" i="50"/>
  <c r="Y38" i="50"/>
  <c r="P15" i="50"/>
  <c r="AC41" i="50"/>
  <c r="AG42" i="50"/>
  <c r="AA42" i="50"/>
  <c r="AF24" i="50"/>
  <c r="AO45" i="50"/>
  <c r="AK12" i="50"/>
  <c r="L26" i="50"/>
  <c r="V30" i="50"/>
  <c r="AO36" i="50"/>
  <c r="AF28" i="50"/>
  <c r="X38" i="50"/>
  <c r="M34" i="50"/>
  <c r="L29" i="50"/>
  <c r="AH24" i="50"/>
  <c r="W34" i="50"/>
  <c r="AI43" i="50"/>
  <c r="AK33" i="50"/>
  <c r="AG13" i="50"/>
  <c r="Z12" i="50"/>
  <c r="AL7" i="50"/>
  <c r="AB26" i="50"/>
  <c r="M36" i="50"/>
  <c r="L51" i="50"/>
  <c r="Y28" i="50"/>
  <c r="AO12" i="50"/>
  <c r="AI46" i="50"/>
  <c r="AA27" i="50"/>
  <c r="AE15" i="50"/>
  <c r="Y14" i="50"/>
  <c r="Q27" i="50"/>
  <c r="AB43" i="50"/>
  <c r="Y7" i="50"/>
  <c r="AK40" i="50"/>
  <c r="P41" i="50"/>
  <c r="Z47" i="50"/>
  <c r="M11" i="50"/>
  <c r="AL9" i="50"/>
  <c r="AM35" i="50"/>
  <c r="N23" i="50"/>
  <c r="L48" i="50"/>
  <c r="AO39" i="50"/>
  <c r="Z6" i="50"/>
  <c r="AN12" i="50"/>
  <c r="W31" i="50"/>
  <c r="P16" i="50"/>
  <c r="X49" i="50"/>
  <c r="AM31" i="50"/>
  <c r="AE21" i="50"/>
  <c r="U32" i="50"/>
  <c r="N29" i="50"/>
  <c r="T27" i="50"/>
  <c r="AB27" i="50"/>
  <c r="U50" i="50"/>
  <c r="L12" i="50"/>
  <c r="AJ22" i="50"/>
  <c r="AM49" i="50"/>
  <c r="T13" i="50"/>
  <c r="AC44" i="50"/>
  <c r="AN26" i="50"/>
  <c r="U7" i="50"/>
  <c r="AG21" i="50"/>
  <c r="AO46" i="50"/>
  <c r="AN20" i="50"/>
  <c r="AG16" i="50"/>
  <c r="AK39" i="50"/>
  <c r="S19" i="50"/>
  <c r="AK28" i="50"/>
  <c r="S44" i="50"/>
  <c r="V24" i="50"/>
  <c r="AH5" i="50"/>
  <c r="R43" i="50"/>
  <c r="AJ32" i="50"/>
  <c r="L49" i="50"/>
  <c r="Y43" i="50"/>
  <c r="AA14" i="50"/>
  <c r="P32" i="50"/>
  <c r="Z7" i="50"/>
  <c r="P36" i="50"/>
  <c r="AJ18" i="50"/>
  <c r="AC49" i="50"/>
  <c r="AL36" i="50"/>
  <c r="O49" i="50"/>
  <c r="AE45" i="50"/>
  <c r="X19" i="50"/>
  <c r="Y50" i="50"/>
  <c r="S32" i="50"/>
  <c r="AM41" i="50"/>
  <c r="AG9" i="50"/>
  <c r="AO8" i="50"/>
  <c r="AI24" i="50"/>
  <c r="AE28" i="50"/>
  <c r="AN37" i="50"/>
  <c r="AC15" i="50"/>
  <c r="P24" i="50"/>
  <c r="S41" i="50"/>
  <c r="X29" i="50"/>
  <c r="U44" i="50"/>
  <c r="Q38" i="50"/>
  <c r="AF15" i="50"/>
  <c r="T38" i="50"/>
  <c r="Q13" i="50"/>
  <c r="AA22" i="50"/>
  <c r="X35" i="50"/>
  <c r="R49" i="50"/>
  <c r="AB37" i="50"/>
  <c r="AJ42" i="50"/>
  <c r="AF39" i="50"/>
  <c r="AF10" i="50"/>
  <c r="W44" i="50"/>
  <c r="AF29" i="50"/>
  <c r="R50" i="50"/>
  <c r="AB19" i="50"/>
  <c r="AH15" i="50"/>
  <c r="S36" i="50"/>
  <c r="AF47" i="50"/>
  <c r="AC24" i="50"/>
  <c r="S7" i="50"/>
  <c r="R28" i="50"/>
  <c r="AE33" i="50"/>
  <c r="AN36" i="50"/>
  <c r="S18" i="50"/>
  <c r="AF35" i="50"/>
  <c r="AJ9" i="50"/>
  <c r="AN10" i="50"/>
  <c r="AA47" i="50"/>
  <c r="AM32" i="50"/>
  <c r="N30" i="50"/>
  <c r="S45" i="50"/>
  <c r="AC19" i="50"/>
  <c r="AE43" i="50"/>
  <c r="O40" i="50"/>
  <c r="AJ23" i="50"/>
  <c r="U17" i="50"/>
  <c r="AH6" i="50"/>
  <c r="N45" i="50"/>
  <c r="M18" i="50"/>
  <c r="AJ37" i="50"/>
  <c r="AD32" i="50"/>
  <c r="AE12" i="50"/>
  <c r="N39" i="50"/>
  <c r="P9" i="50"/>
  <c r="O13" i="50"/>
  <c r="AC33" i="50"/>
  <c r="AF36" i="50"/>
  <c r="AF16" i="50"/>
  <c r="Y24" i="50"/>
  <c r="T42" i="50"/>
  <c r="AK31" i="50"/>
  <c r="AH33" i="50"/>
  <c r="AO40" i="50"/>
  <c r="AL8" i="50"/>
  <c r="Q49" i="50"/>
  <c r="AB8" i="50"/>
  <c r="V49" i="50"/>
  <c r="AE6" i="50"/>
  <c r="Z50" i="50"/>
  <c r="V22" i="50"/>
  <c r="AM47" i="50"/>
  <c r="AJ10" i="50"/>
  <c r="AA18" i="50"/>
  <c r="O17" i="50"/>
  <c r="AH38" i="50"/>
  <c r="W25" i="50"/>
  <c r="T21" i="50"/>
  <c r="AA49" i="50"/>
  <c r="AD30" i="50"/>
  <c r="AH39" i="50"/>
  <c r="M19" i="50"/>
  <c r="O20" i="50"/>
  <c r="N44" i="50"/>
  <c r="AB28" i="50"/>
  <c r="Z20" i="50"/>
  <c r="AD41" i="50"/>
  <c r="W7" i="50"/>
  <c r="S39" i="50"/>
  <c r="AL24" i="50"/>
  <c r="AE22" i="50"/>
  <c r="AA31" i="50"/>
  <c r="V10" i="50"/>
  <c r="P48" i="50"/>
  <c r="O5" i="50"/>
  <c r="AI38" i="50"/>
  <c r="L18" i="50"/>
  <c r="R42" i="50"/>
  <c r="V18" i="50"/>
  <c r="Y15" i="50"/>
  <c r="Q45" i="50"/>
  <c r="AH10" i="50"/>
  <c r="R30" i="50"/>
  <c r="AL50" i="50"/>
  <c r="T8" i="50"/>
  <c r="AA33" i="50"/>
  <c r="AI22" i="50"/>
  <c r="Q17" i="50"/>
  <c r="AK22" i="50"/>
  <c r="AD22" i="50"/>
  <c r="L35" i="50"/>
  <c r="U24" i="50"/>
  <c r="X20" i="50"/>
  <c r="S24" i="50"/>
  <c r="V21" i="50"/>
  <c r="Y29" i="50"/>
  <c r="AN18" i="50"/>
  <c r="M21" i="50"/>
  <c r="P27" i="50"/>
  <c r="N8" i="50"/>
  <c r="AK47" i="50"/>
  <c r="O8" i="50"/>
  <c r="S8" i="50"/>
  <c r="AK43" i="50"/>
  <c r="AI50" i="50"/>
  <c r="AH26" i="50"/>
  <c r="AC47" i="50"/>
  <c r="O42" i="50"/>
  <c r="O47" i="50"/>
  <c r="AF41" i="50"/>
  <c r="AD20" i="50"/>
  <c r="AJ38" i="50"/>
  <c r="AM20" i="50"/>
  <c r="V41" i="50"/>
  <c r="AE8" i="50"/>
  <c r="L32" i="50"/>
  <c r="AD40" i="50"/>
  <c r="AD18" i="50"/>
  <c r="AK7" i="50"/>
  <c r="AH32" i="50"/>
  <c r="AO27" i="50"/>
  <c r="M46" i="50"/>
  <c r="S28" i="50"/>
  <c r="X48" i="50"/>
  <c r="AB42" i="50"/>
  <c r="AM22" i="50"/>
  <c r="AL15" i="50"/>
  <c r="W24" i="50"/>
  <c r="AA12" i="50"/>
  <c r="V35" i="50"/>
  <c r="AK50" i="50"/>
  <c r="AC46" i="50"/>
  <c r="AC22" i="50"/>
  <c r="AK32" i="50"/>
  <c r="AI39" i="50"/>
  <c r="AG8" i="50"/>
  <c r="AA19" i="50"/>
  <c r="Y5" i="50"/>
  <c r="AO47" i="50"/>
  <c r="AE38" i="50"/>
  <c r="AF46" i="50"/>
  <c r="AH13" i="50"/>
  <c r="X44" i="50"/>
  <c r="AE49" i="50"/>
  <c r="Z30" i="50"/>
  <c r="Z38" i="50"/>
  <c r="O10" i="50"/>
  <c r="Q41" i="50"/>
  <c r="AL31" i="50"/>
  <c r="AI44" i="50"/>
  <c r="AB23" i="50"/>
  <c r="S30" i="50"/>
  <c r="N35" i="50"/>
  <c r="AI13" i="50"/>
  <c r="AH12" i="50"/>
  <c r="P17" i="50"/>
  <c r="U37" i="50"/>
  <c r="Z43" i="50"/>
  <c r="Y48" i="50"/>
  <c r="T7" i="50"/>
  <c r="AI12" i="50"/>
  <c r="M45" i="50"/>
  <c r="AM23" i="50"/>
  <c r="AN9" i="50"/>
  <c r="AE30" i="50"/>
  <c r="AL35" i="50"/>
  <c r="AD45" i="50"/>
  <c r="AG41" i="50"/>
  <c r="Q26" i="50"/>
  <c r="AN14" i="50"/>
  <c r="R35" i="50"/>
  <c r="W39" i="50"/>
  <c r="AH49" i="50"/>
  <c r="Q46" i="50"/>
  <c r="O27" i="50"/>
  <c r="AO30" i="50"/>
  <c r="AM42" i="50"/>
  <c r="AE5" i="50"/>
  <c r="T5" i="50"/>
  <c r="Z17" i="50"/>
  <c r="X32" i="50"/>
  <c r="S25" i="50"/>
  <c r="S38" i="50"/>
  <c r="M23" i="50"/>
  <c r="AE10" i="50"/>
  <c r="V20" i="50"/>
  <c r="AI37" i="50"/>
  <c r="AH48" i="50"/>
  <c r="AF17" i="50"/>
  <c r="AB16" i="50"/>
  <c r="AM14" i="50"/>
  <c r="X39" i="50"/>
  <c r="AM21" i="50"/>
  <c r="AN21" i="50"/>
  <c r="N34" i="50"/>
  <c r="AN48" i="50"/>
  <c r="AC20" i="50"/>
  <c r="AE25" i="50"/>
  <c r="AK35" i="50"/>
  <c r="AJ24" i="50"/>
  <c r="AG19" i="50"/>
  <c r="AG44" i="50"/>
  <c r="AH29" i="50"/>
  <c r="AI18" i="50"/>
  <c r="AK48" i="50"/>
  <c r="N46" i="50"/>
  <c r="AN50" i="50"/>
  <c r="AJ25" i="50"/>
  <c r="AC21" i="50"/>
  <c r="W40" i="50"/>
  <c r="AN32" i="50"/>
  <c r="N20" i="50"/>
  <c r="O9" i="50"/>
  <c r="AN43" i="50"/>
  <c r="M25" i="50"/>
  <c r="AD50" i="50"/>
  <c r="AN30" i="50"/>
  <c r="T20" i="50"/>
  <c r="T49" i="50"/>
  <c r="V28" i="50"/>
  <c r="AF22" i="50"/>
  <c r="P47" i="50"/>
  <c r="L23" i="50"/>
  <c r="AJ43" i="50"/>
  <c r="U39" i="50"/>
  <c r="U8" i="50"/>
  <c r="N5" i="50"/>
  <c r="U19" i="50"/>
  <c r="AK21" i="50"/>
  <c r="V11" i="50"/>
  <c r="O21" i="50"/>
  <c r="AL34" i="50"/>
  <c r="O12" i="50"/>
  <c r="L7" i="50"/>
  <c r="AB48" i="50"/>
  <c r="U23" i="50"/>
  <c r="AF7" i="50"/>
  <c r="AC10" i="50"/>
  <c r="AN45" i="50"/>
  <c r="AC7" i="50"/>
  <c r="M31" i="50"/>
  <c r="W14" i="50"/>
  <c r="AL22" i="50"/>
  <c r="R33" i="50"/>
  <c r="AM18" i="50"/>
  <c r="W42" i="50"/>
  <c r="Z21" i="50"/>
  <c r="W48" i="50"/>
  <c r="N9" i="50"/>
  <c r="L39" i="50"/>
  <c r="AJ29" i="50"/>
  <c r="AE13" i="50"/>
  <c r="P7" i="50"/>
  <c r="U26" i="50"/>
  <c r="AD36" i="50"/>
  <c r="AH30" i="50"/>
  <c r="AH17" i="50"/>
  <c r="M39" i="50"/>
  <c r="L24" i="50"/>
  <c r="AC11" i="50"/>
  <c r="AH11" i="50"/>
  <c r="AM50" i="50"/>
  <c r="P28" i="50"/>
  <c r="AJ35" i="50"/>
  <c r="W8" i="50"/>
  <c r="X28" i="50"/>
  <c r="P31" i="50"/>
  <c r="AM39" i="50"/>
  <c r="AJ12" i="50"/>
  <c r="X30" i="50"/>
  <c r="AG23" i="50"/>
  <c r="M22" i="50"/>
  <c r="Z14" i="50"/>
  <c r="AO24" i="50"/>
  <c r="AL38" i="50"/>
  <c r="AI9" i="50"/>
  <c r="P13" i="50"/>
  <c r="AN47" i="50"/>
  <c r="R7" i="50"/>
  <c r="AG11" i="50"/>
  <c r="S12" i="50"/>
  <c r="AO26" i="50"/>
  <c r="P50" i="50"/>
  <c r="AD23" i="50"/>
  <c r="V42" i="50"/>
  <c r="AM16" i="50"/>
  <c r="V14" i="50"/>
  <c r="AC14" i="50"/>
  <c r="N13" i="50"/>
  <c r="N24" i="50"/>
  <c r="M8" i="50"/>
  <c r="P33" i="50"/>
  <c r="V31" i="50"/>
  <c r="P20" i="50"/>
  <c r="Q23" i="50"/>
  <c r="V23" i="50"/>
  <c r="R38" i="50"/>
  <c r="AG26" i="50"/>
  <c r="AN42" i="50"/>
  <c r="R18" i="50"/>
  <c r="AA46" i="50"/>
  <c r="N19" i="50"/>
  <c r="AL14" i="50"/>
  <c r="AF6" i="50"/>
  <c r="AD13" i="50"/>
  <c r="N17" i="50"/>
  <c r="M49" i="50"/>
  <c r="V16" i="50"/>
  <c r="O44" i="50"/>
  <c r="AA35" i="50"/>
  <c r="T23" i="50"/>
  <c r="AN28" i="50"/>
  <c r="M5" i="50"/>
  <c r="AN25" i="50"/>
  <c r="X13" i="50"/>
  <c r="R27" i="50"/>
  <c r="U21" i="50"/>
  <c r="AL25" i="50"/>
  <c r="U43" i="50"/>
  <c r="AM34" i="50"/>
  <c r="T11" i="50"/>
  <c r="AO19" i="50"/>
  <c r="L37" i="50"/>
  <c r="Y10" i="50"/>
  <c r="AG28" i="50"/>
  <c r="Y35" i="50"/>
  <c r="AH27" i="50"/>
  <c r="AN7" i="50"/>
  <c r="AC27" i="50"/>
  <c r="S50" i="50"/>
  <c r="AB47" i="50"/>
  <c r="R36" i="50"/>
  <c r="S34" i="50"/>
  <c r="AG39" i="50"/>
  <c r="N31" i="50"/>
  <c r="S33" i="50"/>
  <c r="Z48" i="50"/>
  <c r="M6" i="50"/>
  <c r="O34" i="50"/>
  <c r="V38" i="50"/>
  <c r="Q20" i="50"/>
  <c r="AB34" i="50"/>
  <c r="Y13" i="50"/>
  <c r="AF5" i="50"/>
  <c r="AE27" i="50"/>
  <c r="AI33" i="50"/>
  <c r="AN49" i="50"/>
  <c r="AG20" i="50"/>
  <c r="O31" i="50"/>
  <c r="P34" i="50"/>
  <c r="AI26" i="50"/>
  <c r="Q25" i="50"/>
  <c r="AI14" i="50"/>
  <c r="AA50" i="50"/>
  <c r="AA36" i="50"/>
  <c r="O30" i="50"/>
  <c r="X11" i="50"/>
  <c r="N50" i="50"/>
  <c r="AH36" i="50"/>
  <c r="V50" i="50"/>
  <c r="Q40" i="50"/>
  <c r="AE29" i="50"/>
  <c r="AM6" i="50"/>
  <c r="AJ21" i="50"/>
  <c r="W45" i="50"/>
  <c r="AF8" i="50"/>
  <c r="W49" i="50"/>
  <c r="AB39" i="50"/>
  <c r="AL6" i="50"/>
  <c r="N6" i="50"/>
  <c r="AL44" i="50"/>
  <c r="AI21" i="50"/>
  <c r="W32" i="50"/>
  <c r="AD21" i="50"/>
  <c r="AO17" i="50"/>
  <c r="T17" i="50"/>
  <c r="R21" i="50"/>
  <c r="Z19" i="50"/>
  <c r="Z13" i="50"/>
  <c r="AO49" i="50"/>
  <c r="AI30" i="50"/>
  <c r="M44" i="50"/>
  <c r="Z15" i="50"/>
  <c r="R26" i="50"/>
  <c r="AO6" i="50"/>
  <c r="W22" i="50"/>
  <c r="AJ7" i="50"/>
  <c r="AA16" i="50"/>
  <c r="AJ16" i="50"/>
  <c r="AB6" i="50"/>
  <c r="AA38" i="50"/>
  <c r="O11" i="50"/>
  <c r="N26" i="50"/>
  <c r="U28" i="50"/>
  <c r="AI48" i="50"/>
  <c r="S42" i="50"/>
  <c r="AL12" i="50"/>
  <c r="Q14" i="50"/>
  <c r="N10" i="50"/>
  <c r="AI36" i="50"/>
  <c r="AL46" i="50"/>
  <c r="M32" i="50"/>
  <c r="AC43" i="50"/>
  <c r="N37" i="50"/>
  <c r="M14" i="50"/>
  <c r="L6" i="50"/>
  <c r="AO21" i="50"/>
  <c r="AA17" i="50"/>
  <c r="T32" i="50"/>
  <c r="P30" i="50"/>
  <c r="AA45" i="50"/>
  <c r="O37" i="50"/>
  <c r="U29" i="50"/>
  <c r="AK34" i="50"/>
  <c r="X18" i="50"/>
  <c r="AK6" i="50"/>
  <c r="AH31" i="50"/>
  <c r="AI29" i="50"/>
  <c r="R25" i="50"/>
  <c r="AF34" i="50"/>
  <c r="V40" i="50"/>
  <c r="AO43" i="50"/>
  <c r="R48" i="50"/>
  <c r="L15" i="50"/>
  <c r="L17" i="50"/>
  <c r="S23" i="50"/>
  <c r="V34" i="50"/>
  <c r="AO14" i="50"/>
  <c r="AL48" i="50"/>
  <c r="W12" i="50"/>
  <c r="AH42" i="50"/>
  <c r="S29" i="50"/>
  <c r="U48" i="50"/>
  <c r="AD48" i="50"/>
  <c r="Y46" i="50"/>
  <c r="AE40" i="50"/>
  <c r="P5" i="50"/>
  <c r="U11" i="50"/>
  <c r="R15" i="50"/>
  <c r="Q42" i="50"/>
  <c r="W28" i="50"/>
  <c r="Y32" i="50"/>
  <c r="Z27" i="50"/>
  <c r="W19" i="50"/>
  <c r="M30" i="50"/>
  <c r="AK13" i="50"/>
  <c r="AM37" i="50"/>
  <c r="L42" i="50"/>
  <c r="AB33" i="50"/>
  <c r="AE17" i="50"/>
  <c r="M28" i="50"/>
  <c r="AM5" i="50"/>
  <c r="AA28" i="50"/>
  <c r="AF13" i="50"/>
  <c r="AO34" i="50"/>
  <c r="O18" i="50"/>
  <c r="AF18" i="50"/>
  <c r="U42" i="50"/>
  <c r="Y20" i="50"/>
  <c r="V47" i="50"/>
  <c r="Q12" i="50"/>
  <c r="W37" i="50"/>
  <c r="O16" i="50"/>
  <c r="AK46" i="50"/>
  <c r="AD17" i="50"/>
  <c r="L16" i="50"/>
  <c r="P49" i="50"/>
  <c r="AO20" i="50"/>
  <c r="N14" i="50"/>
  <c r="AL43" i="50"/>
  <c r="T46" i="50"/>
  <c r="P10" i="50"/>
  <c r="AE7" i="50"/>
  <c r="M7" i="50"/>
  <c r="W21" i="50"/>
  <c r="AI7" i="50"/>
  <c r="AM40" i="50"/>
  <c r="R39" i="50"/>
  <c r="AD6" i="50"/>
  <c r="T29" i="50"/>
  <c r="L43" i="50"/>
  <c r="U47" i="50"/>
  <c r="AK16" i="50"/>
  <c r="AB21" i="50"/>
  <c r="M40" i="50"/>
  <c r="AJ8" i="50"/>
  <c r="P6" i="50"/>
  <c r="AO9" i="50"/>
  <c r="P39" i="50"/>
  <c r="L53" i="50"/>
  <c r="AK18" i="50"/>
  <c r="AK45" i="50"/>
  <c r="AF9" i="50"/>
  <c r="L31" i="50"/>
  <c r="AD12" i="50"/>
  <c r="T6" i="50"/>
  <c r="L22" i="50"/>
  <c r="S9" i="50"/>
  <c r="AE31" i="50"/>
  <c r="O15" i="50"/>
  <c r="AB15" i="50"/>
  <c r="V9" i="50"/>
  <c r="M43" i="50"/>
  <c r="L30" i="50"/>
  <c r="AF19" i="50"/>
  <c r="AA15" i="50"/>
  <c r="AD8" i="50"/>
  <c r="M24" i="50"/>
  <c r="AI27" i="50"/>
  <c r="AD5" i="50"/>
  <c r="N32" i="50"/>
  <c r="AI49" i="50"/>
  <c r="AC31" i="50"/>
  <c r="N38" i="50"/>
  <c r="X8" i="50"/>
  <c r="AK42" i="50"/>
  <c r="AL26" i="50"/>
  <c r="AK38" i="50"/>
  <c r="O41" i="50"/>
  <c r="S14" i="50"/>
  <c r="AD49" i="50"/>
  <c r="AL47" i="50"/>
  <c r="N27" i="50"/>
  <c r="O28" i="50"/>
  <c r="W6" i="50"/>
  <c r="AJ11" i="50"/>
  <c r="Y30" i="50"/>
  <c r="AL49" i="50"/>
  <c r="Q11" i="50"/>
  <c r="AG24" i="50"/>
  <c r="AB40" i="50"/>
  <c r="AL30" i="50"/>
  <c r="AA48" i="50"/>
  <c r="AI10" i="50"/>
  <c r="R46" i="50"/>
  <c r="T30" i="50"/>
  <c r="P43" i="50"/>
  <c r="AK11" i="50"/>
  <c r="L13" i="50"/>
  <c r="X10" i="50"/>
  <c r="AB14" i="50"/>
  <c r="AL5" i="50"/>
  <c r="T12" i="50"/>
  <c r="AH19" i="50"/>
  <c r="AJ26" i="50"/>
  <c r="AF12" i="50"/>
  <c r="AC5" i="50"/>
  <c r="R8" i="50"/>
  <c r="Q15" i="50"/>
  <c r="AI16" i="50"/>
  <c r="T48" i="50"/>
  <c r="M12" i="50"/>
  <c r="V27" i="50"/>
  <c r="AC34" i="50"/>
  <c r="Q50" i="50"/>
  <c r="O29" i="50"/>
  <c r="F13" i="50" l="1"/>
  <c r="F30" i="50"/>
  <c r="F22" i="50"/>
  <c r="F31" i="50"/>
  <c r="F53" i="50"/>
  <c r="F43" i="50"/>
  <c r="F16" i="50"/>
  <c r="F42" i="50"/>
  <c r="F17" i="50"/>
  <c r="F15" i="50"/>
  <c r="F6" i="50"/>
  <c r="F37" i="50"/>
  <c r="F24" i="50"/>
  <c r="F39" i="50"/>
  <c r="F7" i="50"/>
  <c r="F23" i="50"/>
  <c r="F32" i="50"/>
  <c r="F35" i="50"/>
  <c r="F18" i="50"/>
  <c r="F49" i="50"/>
  <c r="F12" i="50"/>
  <c r="F48" i="50"/>
  <c r="F51" i="50"/>
  <c r="F29" i="50"/>
  <c r="F26" i="50"/>
  <c r="F21" i="50"/>
  <c r="F33" i="50"/>
  <c r="F45" i="50"/>
  <c r="F52" i="50"/>
  <c r="F34" i="50"/>
  <c r="F47" i="50"/>
  <c r="F5" i="50"/>
  <c r="F41" i="50"/>
  <c r="F8" i="50"/>
  <c r="F36" i="50"/>
  <c r="F11" i="50"/>
  <c r="F28" i="50"/>
  <c r="F38" i="50"/>
  <c r="F25" i="50"/>
  <c r="F46" i="50"/>
  <c r="F9" i="50"/>
  <c r="F20" i="50"/>
  <c r="F44" i="50"/>
  <c r="F10" i="50"/>
  <c r="F40" i="50"/>
  <c r="F14" i="50"/>
  <c r="F19" i="50"/>
  <c r="F27" i="50"/>
  <c r="F50" i="50"/>
  <c r="Q5" i="95"/>
  <c r="H27" i="50" l="1"/>
  <c r="AF12" i="1"/>
  <c r="J27" i="50"/>
  <c r="J46" i="50"/>
  <c r="AF9" i="5"/>
  <c r="H46" i="50"/>
  <c r="H5" i="50"/>
  <c r="J5" i="50"/>
  <c r="F4" i="50"/>
  <c r="AF6" i="4"/>
  <c r="AF15" i="1"/>
  <c r="H29" i="50"/>
  <c r="J29" i="50"/>
  <c r="J23" i="50"/>
  <c r="AF17" i="1"/>
  <c r="H23" i="50"/>
  <c r="AF20" i="5"/>
  <c r="J42" i="50"/>
  <c r="H42" i="50"/>
  <c r="AF15" i="4"/>
  <c r="H19" i="50"/>
  <c r="J19" i="50"/>
  <c r="AF18" i="1"/>
  <c r="J25" i="50"/>
  <c r="H25" i="50"/>
  <c r="AF10" i="5"/>
  <c r="J33" i="50"/>
  <c r="H33" i="50"/>
  <c r="H10" i="50"/>
  <c r="J10" i="50"/>
  <c r="AF9" i="4"/>
  <c r="H11" i="50"/>
  <c r="AF12" i="4"/>
  <c r="J11" i="50"/>
  <c r="J45" i="50"/>
  <c r="AF8" i="5"/>
  <c r="H45" i="50"/>
  <c r="H49" i="50"/>
  <c r="AF5" i="5"/>
  <c r="J49" i="50"/>
  <c r="J37" i="50"/>
  <c r="AF13" i="5"/>
  <c r="H37" i="50"/>
  <c r="J31" i="50"/>
  <c r="AF19" i="1"/>
  <c r="H31" i="50"/>
  <c r="H44" i="50"/>
  <c r="J44" i="50"/>
  <c r="AF22" i="5"/>
  <c r="H36" i="50"/>
  <c r="AF12" i="5"/>
  <c r="J36" i="50"/>
  <c r="J47" i="50"/>
  <c r="AF7" i="5"/>
  <c r="H47" i="50"/>
  <c r="J51" i="50"/>
  <c r="H51" i="50"/>
  <c r="AF21" i="1"/>
  <c r="H18" i="50"/>
  <c r="AF14" i="4"/>
  <c r="J18" i="50"/>
  <c r="J7" i="50"/>
  <c r="AF6" i="1"/>
  <c r="H7" i="50"/>
  <c r="H6" i="50"/>
  <c r="AF5" i="1"/>
  <c r="J6" i="50"/>
  <c r="AF13" i="4"/>
  <c r="J16" i="50"/>
  <c r="H16" i="50"/>
  <c r="H22" i="50"/>
  <c r="AF13" i="1"/>
  <c r="J22" i="50"/>
  <c r="J14" i="50"/>
  <c r="H14" i="50"/>
  <c r="AF10" i="1"/>
  <c r="J20" i="50"/>
  <c r="AF9" i="1"/>
  <c r="H20" i="50"/>
  <c r="AF14" i="5"/>
  <c r="J38" i="50"/>
  <c r="H38" i="50"/>
  <c r="J8" i="50"/>
  <c r="H8" i="50"/>
  <c r="AF7" i="1"/>
  <c r="J34" i="50"/>
  <c r="AF11" i="5"/>
  <c r="H34" i="50"/>
  <c r="J21" i="50"/>
  <c r="AF8" i="1"/>
  <c r="H21" i="50"/>
  <c r="AF6" i="5"/>
  <c r="H48" i="50"/>
  <c r="J48" i="50"/>
  <c r="J35" i="50"/>
  <c r="H35" i="50"/>
  <c r="AF16" i="5"/>
  <c r="AF15" i="5"/>
  <c r="H39" i="50"/>
  <c r="J39" i="50"/>
  <c r="J15" i="50"/>
  <c r="AF17" i="4"/>
  <c r="H15" i="50"/>
  <c r="H43" i="50"/>
  <c r="AF17" i="5"/>
  <c r="J43" i="50"/>
  <c r="AF8" i="4"/>
  <c r="H30" i="50"/>
  <c r="J30" i="50"/>
  <c r="AF21" i="5"/>
  <c r="J50" i="50"/>
  <c r="H50" i="50"/>
  <c r="H40" i="50"/>
  <c r="AF18" i="5"/>
  <c r="J40" i="50"/>
  <c r="H9" i="50"/>
  <c r="J9" i="50"/>
  <c r="AF7" i="4"/>
  <c r="AF11" i="4"/>
  <c r="J28" i="50"/>
  <c r="H28" i="50"/>
  <c r="H41" i="50"/>
  <c r="AF19" i="5"/>
  <c r="J41" i="50"/>
  <c r="J52" i="50"/>
  <c r="AF22" i="1"/>
  <c r="H52" i="50"/>
  <c r="AF11" i="1"/>
  <c r="J26" i="50"/>
  <c r="H26" i="50"/>
  <c r="J12" i="50"/>
  <c r="AF10" i="4"/>
  <c r="H12" i="50"/>
  <c r="H32" i="50"/>
  <c r="AF14" i="1"/>
  <c r="J32" i="50"/>
  <c r="AF16" i="1"/>
  <c r="J24" i="50"/>
  <c r="H24" i="50"/>
  <c r="J17" i="50"/>
  <c r="AF16" i="4"/>
  <c r="H17" i="50"/>
  <c r="AF20" i="1"/>
  <c r="H53" i="50"/>
  <c r="J53" i="50"/>
  <c r="J13" i="50"/>
  <c r="H13" i="50"/>
  <c r="AF5" i="4"/>
  <c r="N10" i="4" l="1"/>
  <c r="O10" i="4"/>
  <c r="A10" i="4" s="1"/>
  <c r="M6" i="5"/>
  <c r="N6" i="5"/>
  <c r="A6" i="5" s="1"/>
  <c r="N13" i="1"/>
  <c r="O13" i="1"/>
  <c r="A13" i="1" s="1"/>
  <c r="N13" i="4"/>
  <c r="O13" i="4"/>
  <c r="A13" i="4" s="1"/>
  <c r="O15" i="4"/>
  <c r="A15" i="4" s="1"/>
  <c r="N15" i="4"/>
  <c r="N20" i="1"/>
  <c r="O20" i="1"/>
  <c r="A20" i="1" s="1"/>
  <c r="M19" i="5"/>
  <c r="N19" i="5"/>
  <c r="A19" i="5" s="1"/>
  <c r="O8" i="4"/>
  <c r="A8" i="4" s="1"/>
  <c r="N8" i="4"/>
  <c r="N6" i="1"/>
  <c r="O6" i="1"/>
  <c r="A6" i="1" s="1"/>
  <c r="AF4" i="5"/>
  <c r="N5" i="5"/>
  <c r="M5" i="5"/>
  <c r="O9" i="4"/>
  <c r="A9" i="4" s="1"/>
  <c r="N9" i="4"/>
  <c r="O17" i="1"/>
  <c r="A17" i="1" s="1"/>
  <c r="N17" i="1"/>
  <c r="H4" i="50"/>
  <c r="N7" i="4"/>
  <c r="O7" i="4"/>
  <c r="A7" i="4" s="1"/>
  <c r="N18" i="5"/>
  <c r="A18" i="5" s="1"/>
  <c r="M18" i="5"/>
  <c r="N21" i="5"/>
  <c r="A21" i="5" s="1"/>
  <c r="M21" i="5"/>
  <c r="O17" i="4"/>
  <c r="A17" i="4" s="1"/>
  <c r="N17" i="4"/>
  <c r="N15" i="5"/>
  <c r="A15" i="5" s="1"/>
  <c r="M15" i="5"/>
  <c r="N8" i="1"/>
  <c r="O8" i="1"/>
  <c r="A8" i="1" s="1"/>
  <c r="N9" i="1"/>
  <c r="O9" i="1"/>
  <c r="A9" i="1" s="1"/>
  <c r="O5" i="1"/>
  <c r="N5" i="1"/>
  <c r="AF4" i="1"/>
  <c r="O21" i="1"/>
  <c r="A21" i="1" s="1"/>
  <c r="N21" i="1"/>
  <c r="M7" i="5"/>
  <c r="N7" i="5"/>
  <c r="A7" i="5" s="1"/>
  <c r="M13" i="5"/>
  <c r="N13" i="5"/>
  <c r="A13" i="5" s="1"/>
  <c r="N10" i="5"/>
  <c r="A10" i="5" s="1"/>
  <c r="M10" i="5"/>
  <c r="N6" i="4"/>
  <c r="O6" i="4"/>
  <c r="A6" i="4" s="1"/>
  <c r="O12" i="1"/>
  <c r="A12" i="1" s="1"/>
  <c r="N12" i="1"/>
  <c r="O5" i="4"/>
  <c r="N5" i="4"/>
  <c r="AF4" i="4"/>
  <c r="N11" i="1"/>
  <c r="O11" i="1"/>
  <c r="A11" i="1" s="1"/>
  <c r="N14" i="5"/>
  <c r="A14" i="5" s="1"/>
  <c r="M14" i="5"/>
  <c r="O10" i="1"/>
  <c r="A10" i="1" s="1"/>
  <c r="N10" i="1"/>
  <c r="O14" i="4"/>
  <c r="A14" i="4" s="1"/>
  <c r="N14" i="4"/>
  <c r="N8" i="5"/>
  <c r="A8" i="5" s="1"/>
  <c r="M8" i="5"/>
  <c r="J4" i="50"/>
  <c r="O14" i="1"/>
  <c r="A14" i="1" s="1"/>
  <c r="N14" i="1"/>
  <c r="O11" i="4"/>
  <c r="A11" i="4" s="1"/>
  <c r="N11" i="4"/>
  <c r="N11" i="5"/>
  <c r="A11" i="5" s="1"/>
  <c r="M11" i="5"/>
  <c r="N12" i="5"/>
  <c r="A12" i="5" s="1"/>
  <c r="M12" i="5"/>
  <c r="O18" i="1"/>
  <c r="A18" i="1" s="1"/>
  <c r="N18" i="1"/>
  <c r="O15" i="1"/>
  <c r="A15" i="1" s="1"/>
  <c r="N15" i="1"/>
  <c r="N22" i="1"/>
  <c r="O22" i="1"/>
  <c r="A22" i="1" s="1"/>
  <c r="O16" i="4"/>
  <c r="A16" i="4" s="1"/>
  <c r="N16" i="4"/>
  <c r="O16" i="1"/>
  <c r="A16" i="1" s="1"/>
  <c r="N16" i="1"/>
  <c r="M17" i="5"/>
  <c r="N17" i="5"/>
  <c r="A17" i="5" s="1"/>
  <c r="N16" i="5"/>
  <c r="A16" i="5" s="1"/>
  <c r="M16" i="5"/>
  <c r="N7" i="1"/>
  <c r="O7" i="1"/>
  <c r="A7" i="1" s="1"/>
  <c r="M22" i="5"/>
  <c r="N22" i="5"/>
  <c r="A22" i="5" s="1"/>
  <c r="O19" i="1"/>
  <c r="A19" i="1" s="1"/>
  <c r="N19" i="1"/>
  <c r="O12" i="4"/>
  <c r="A12" i="4" s="1"/>
  <c r="N12" i="4"/>
  <c r="N20" i="5"/>
  <c r="A20" i="5" s="1"/>
  <c r="M20" i="5"/>
  <c r="M9" i="5"/>
  <c r="N9" i="5"/>
  <c r="A9" i="5" s="1"/>
  <c r="O4" i="4" l="1"/>
  <c r="A5" i="4"/>
  <c r="A4" i="4" s="1"/>
  <c r="A5" i="5"/>
  <c r="A4" i="5" s="1"/>
  <c r="N4" i="5"/>
  <c r="N4" i="1"/>
  <c r="I4" i="50"/>
  <c r="K8" i="50"/>
  <c r="N4" i="4"/>
  <c r="A5" i="1"/>
  <c r="A4" i="1" s="1"/>
  <c r="O4" i="1"/>
  <c r="M4" i="5"/>
  <c r="I4" i="95" l="1"/>
  <c r="I5" i="95" s="1"/>
  <c r="C1" i="50"/>
  <c r="D1" i="50"/>
  <c r="E1" i="50"/>
  <c r="A1" i="50"/>
</calcChain>
</file>

<file path=xl/comments1.xml><?xml version="1.0" encoding="utf-8"?>
<comments xmlns="http://schemas.openxmlformats.org/spreadsheetml/2006/main">
  <authors>
    <author>Windows User</author>
  </authors>
  <commentList>
    <comment ref="P15" authorId="0">
      <text>
        <r>
          <rPr>
            <b/>
            <sz val="9"/>
            <color indexed="81"/>
            <rFont val="Tahoma"/>
            <family val="2"/>
          </rPr>
          <t>Windows User:</t>
        </r>
        <r>
          <rPr>
            <sz val="9"/>
            <color indexed="81"/>
            <rFont val="Tahoma"/>
            <family val="2"/>
          </rPr>
          <t xml:space="preserve">
XM Phú</t>
        </r>
      </text>
    </comment>
    <comment ref="O20" authorId="0">
      <text>
        <r>
          <rPr>
            <b/>
            <sz val="9"/>
            <color indexed="81"/>
            <rFont val="Tahoma"/>
            <family val="2"/>
          </rPr>
          <t>Windows User:</t>
        </r>
        <r>
          <rPr>
            <sz val="9"/>
            <color indexed="81"/>
            <rFont val="Tahoma"/>
            <family val="2"/>
          </rPr>
          <t xml:space="preserve">
Xì</t>
        </r>
      </text>
    </comment>
    <comment ref="P23" author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7" authorId="0">
      <text>
        <r>
          <rPr>
            <b/>
            <sz val="9"/>
            <color indexed="81"/>
            <rFont val="Tahoma"/>
            <family val="2"/>
          </rPr>
          <t>Windows User:</t>
        </r>
        <r>
          <rPr>
            <sz val="9"/>
            <color indexed="81"/>
            <rFont val="Tahoma"/>
            <family val="2"/>
          </rPr>
          <t xml:space="preserve">
chưa rõ</t>
        </r>
      </text>
    </comment>
    <comment ref="P8" authorId="0">
      <text>
        <r>
          <rPr>
            <b/>
            <sz val="9"/>
            <color indexed="81"/>
            <rFont val="Tahoma"/>
            <family val="2"/>
          </rPr>
          <t>Windows User:</t>
        </r>
        <r>
          <rPr>
            <sz val="9"/>
            <color indexed="81"/>
            <rFont val="Tahoma"/>
            <family val="2"/>
          </rPr>
          <t xml:space="preserve">
chưa rõ
</t>
        </r>
      </text>
    </comment>
    <comment ref="P9" authorId="0">
      <text>
        <r>
          <rPr>
            <b/>
            <sz val="9"/>
            <color indexed="81"/>
            <rFont val="Tahoma"/>
            <family val="2"/>
          </rPr>
          <t>Windows User:</t>
        </r>
        <r>
          <rPr>
            <sz val="9"/>
            <color indexed="81"/>
            <rFont val="Tahoma"/>
            <family val="2"/>
          </rPr>
          <t xml:space="preserve">
chưa rõ</t>
        </r>
      </text>
    </comment>
  </commentList>
</comments>
</file>

<file path=xl/comments3.xml><?xml version="1.0" encoding="utf-8"?>
<comments xmlns="http://schemas.openxmlformats.org/spreadsheetml/2006/main">
  <authors>
    <author>Windows User</author>
  </authors>
  <commentList>
    <comment ref="P5" authorId="0">
      <text>
        <r>
          <rPr>
            <b/>
            <sz val="9"/>
            <color indexed="81"/>
            <rFont val="Tahoma"/>
            <family val="2"/>
          </rPr>
          <t>Windows User:</t>
        </r>
        <r>
          <rPr>
            <sz val="9"/>
            <color indexed="81"/>
            <rFont val="Tahoma"/>
            <family val="2"/>
          </rPr>
          <t xml:space="preserve">
chưa rõ + XM 1</t>
        </r>
      </text>
    </comment>
    <comment ref="P10" authorId="0">
      <text>
        <r>
          <rPr>
            <b/>
            <sz val="9"/>
            <color indexed="81"/>
            <rFont val="Tahoma"/>
            <family val="2"/>
          </rPr>
          <t>Windows User:</t>
        </r>
        <r>
          <rPr>
            <sz val="9"/>
            <color indexed="81"/>
            <rFont val="Tahoma"/>
            <family val="2"/>
          </rPr>
          <t xml:space="preserve">
chưa rõ</t>
        </r>
      </text>
    </comment>
    <comment ref="P12" authorId="0">
      <text>
        <r>
          <rPr>
            <b/>
            <sz val="9"/>
            <color indexed="81"/>
            <rFont val="Tahoma"/>
            <family val="2"/>
          </rPr>
          <t>Thư Ngọng</t>
        </r>
      </text>
    </comment>
    <comment ref="P26" authorId="0">
      <text>
        <r>
          <rPr>
            <b/>
            <sz val="9"/>
            <color indexed="81"/>
            <rFont val="Tahoma"/>
            <family val="2"/>
          </rPr>
          <t>Windows User:</t>
        </r>
        <r>
          <rPr>
            <sz val="9"/>
            <color indexed="81"/>
            <rFont val="Tahoma"/>
            <family val="2"/>
          </rPr>
          <t xml:space="preserve">
Xì</t>
        </r>
      </text>
    </comment>
    <comment ref="P27" authorId="0">
      <text>
        <r>
          <rPr>
            <b/>
            <sz val="9"/>
            <color indexed="81"/>
            <rFont val="Tahoma"/>
            <family val="2"/>
          </rPr>
          <t>Windows User:</t>
        </r>
        <r>
          <rPr>
            <sz val="9"/>
            <color indexed="81"/>
            <rFont val="Tahoma"/>
            <family val="2"/>
          </rPr>
          <t xml:space="preserve">
Lấy ăn</t>
        </r>
      </text>
    </comment>
  </commentList>
</comments>
</file>

<file path=xl/sharedStrings.xml><?xml version="1.0" encoding="utf-8"?>
<sst xmlns="http://schemas.openxmlformats.org/spreadsheetml/2006/main" count="1678" uniqueCount="232">
  <si>
    <t>STT</t>
  </si>
  <si>
    <t>Cá viên HM</t>
  </si>
  <si>
    <t>Cá viên rau củ HM</t>
  </si>
  <si>
    <t>Tôm viên HM</t>
  </si>
  <si>
    <t>Phô mai viên (35v)</t>
  </si>
  <si>
    <t>Phô mai que (13 que)</t>
  </si>
  <si>
    <t>Viên thả lẩu 3 màu</t>
  </si>
  <si>
    <t xml:space="preserve">XX Hotdog DNA </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</si>
  <si>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</si>
  <si>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</si>
  <si>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</si>
  <si>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</si>
  <si>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</si>
  <si>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</si>
  <si>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</si>
  <si>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</si>
  <si>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</si>
  <si>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</si>
  <si>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</si>
  <si>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</si>
  <si>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</si>
  <si>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</si>
  <si>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</si>
  <si>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</si>
  <si>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</si>
  <si>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Cá viên LC</t>
  </si>
  <si>
    <t>Thanh cua LC</t>
  </si>
  <si>
    <t>XX Yummy LC</t>
  </si>
  <si>
    <t>Mực tẩm bột LC</t>
  </si>
  <si>
    <t>Chả giò Rế tôm mực LC</t>
  </si>
  <si>
    <t>Chả tôm hình Surimi LC</t>
  </si>
  <si>
    <t>Hải sản sốt MAYONNAISE LC (35 viên)</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</si>
  <si>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</si>
  <si>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</si>
  <si>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</si>
  <si>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</si>
  <si>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</si>
  <si>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</si>
  <si>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</si>
  <si>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</si>
  <si>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</si>
  <si>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</si>
  <si>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</si>
  <si>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</si>
  <si>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</si>
  <si>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</si>
  <si>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</si>
  <si>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</si>
  <si>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</si>
  <si>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</si>
  <si>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</si>
  <si>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</si>
  <si>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</si>
  <si>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Hộp</t>
  </si>
  <si>
    <t>Vỉ</t>
  </si>
  <si>
    <t>Quy cách</t>
  </si>
  <si>
    <t>500gr</t>
  </si>
  <si>
    <t>Giá</t>
  </si>
  <si>
    <t>Viên thả lẩu Gà nướng mật ong (Đỏ)</t>
  </si>
  <si>
    <t>HÀNG NHẬP 16/12</t>
  </si>
  <si>
    <t>Tồn</t>
  </si>
  <si>
    <t>Hoành thánh chiên 500gr (60 viên)</t>
  </si>
  <si>
    <t>Giá nhập/Kg</t>
  </si>
  <si>
    <t>250gr</t>
  </si>
  <si>
    <t>1kg</t>
  </si>
  <si>
    <t>200gr</t>
  </si>
  <si>
    <t>THỰC PHẨM CAO CẤP CỦA TVP FOODS</t>
  </si>
  <si>
    <t>Cá viên rau củ TVP</t>
  </si>
  <si>
    <t>Chả giò Rế thịt heo</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</si>
  <si>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</si>
  <si>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</si>
  <si>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</si>
  <si>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</si>
  <si>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</si>
  <si>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</si>
  <si>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</si>
  <si>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</si>
  <si>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</si>
  <si>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</si>
  <si>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</si>
  <si>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</si>
  <si>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</si>
  <si>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</si>
  <si>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</si>
  <si>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</si>
  <si>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</si>
  <si>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</si>
  <si>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</si>
  <si>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</si>
  <si>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</si>
  <si>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</si>
  <si>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</si>
  <si>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</si>
  <si>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</si>
  <si>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</si>
  <si>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</si>
  <si>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</si>
  <si>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</si>
  <si>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</si>
  <si>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</si>
  <si>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</si>
  <si>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</si>
  <si>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</si>
  <si>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</si>
  <si>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</si>
  <si>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</si>
  <si>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</si>
  <si>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</si>
  <si>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</si>
  <si>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</si>
  <si>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</si>
  <si>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</si>
  <si>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</si>
  <si>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</si>
  <si>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</si>
  <si>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</si>
  <si>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</si>
  <si>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</si>
  <si>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</si>
  <si>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</si>
  <si>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</si>
  <si>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</si>
  <si>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</si>
  <si>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Giá sau vận chuyển</t>
  </si>
  <si>
    <t>Tiền lời</t>
  </si>
  <si>
    <t>Hải sản sốt Cam</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</si>
  <si>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</si>
  <si>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</si>
  <si>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</si>
  <si>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</si>
  <si>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</si>
  <si>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</si>
  <si>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</si>
  <si>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</si>
  <si>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</si>
  <si>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</si>
  <si>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Tiền bị</t>
  </si>
  <si>
    <t>Cây lau nhà</t>
  </si>
  <si>
    <t>Trái cây</t>
  </si>
  <si>
    <t>chi phí</t>
  </si>
  <si>
    <t>Lời đã KM</t>
  </si>
  <si>
    <t>bán Lời chưa KM</t>
  </si>
  <si>
    <t>XX nhân Phô Mai</t>
  </si>
  <si>
    <t>Cốm xanh</t>
  </si>
  <si>
    <t>MT48</t>
  </si>
  <si>
    <t>Cá sốt cam</t>
  </si>
  <si>
    <t>MT49</t>
  </si>
  <si>
    <t>Bò lá lốt</t>
  </si>
  <si>
    <t>MT50</t>
  </si>
  <si>
    <t>Hư hao
&amp; Xuất mẫu</t>
  </si>
  <si>
    <t>Ốc nhồi Hải sản</t>
  </si>
  <si>
    <t>Hoành thánh chiên (60 viên)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</si>
  <si>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</si>
  <si>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</si>
  <si>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</si>
  <si>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</si>
  <si>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</si>
  <si>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</si>
  <si>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</si>
  <si>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</si>
  <si>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</si>
  <si>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</si>
  <si>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</si>
  <si>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</si>
  <si>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</si>
  <si>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</si>
  <si>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</si>
  <si>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</si>
  <si>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</si>
  <si>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</si>
  <si>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</si>
  <si>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</si>
  <si>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</si>
  <si>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</si>
  <si>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</si>
  <si>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</si>
  <si>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Khoai tây Simplot</t>
  </si>
  <si>
    <t>MT55</t>
  </si>
  <si>
    <t>Bò viên HM</t>
  </si>
  <si>
    <t>MT56</t>
  </si>
  <si>
    <t>Hồ lô HM</t>
  </si>
  <si>
    <t>MT57</t>
  </si>
  <si>
    <t>Há cảo Lớn</t>
  </si>
  <si>
    <t>Há cảo Mini</t>
  </si>
  <si>
    <t>MT58</t>
  </si>
  <si>
    <t>MT59</t>
  </si>
  <si>
    <t>Tủ Lạnh mới</t>
  </si>
  <si>
    <t>In Poster</t>
  </si>
  <si>
    <t>Hàng C.Ty tặng</t>
  </si>
  <si>
    <t>Thanh cua dài Liên Anh</t>
  </si>
  <si>
    <t>MT60</t>
  </si>
  <si>
    <t>Số Lượng</t>
  </si>
  <si>
    <t/>
  </si>
  <si>
    <t>mua đồ cúng</t>
  </si>
  <si>
    <t>01</t>
  </si>
  <si>
    <t>T12
(17-31)</t>
  </si>
  <si>
    <t>02</t>
  </si>
  <si>
    <t>03</t>
  </si>
  <si>
    <t>04</t>
  </si>
  <si>
    <t>05</t>
  </si>
  <si>
    <t>06</t>
  </si>
  <si>
    <t>07</t>
  </si>
  <si>
    <t>08</t>
  </si>
  <si>
    <t>09</t>
  </si>
  <si>
    <t>mượn</t>
  </si>
  <si>
    <t>Gà viên phô mai</t>
  </si>
  <si>
    <t>MT61</t>
  </si>
  <si>
    <t>Mượn mẹ</t>
  </si>
  <si>
    <t xml:space="preserve">Viên thả lẩu Cam-Trứng cá </t>
  </si>
  <si>
    <t>MT62</t>
  </si>
  <si>
    <t>Mực xoắn ống</t>
  </si>
  <si>
    <t>Tôm xoắn ống</t>
  </si>
  <si>
    <t>Tôm hùm viên PM</t>
  </si>
  <si>
    <t>Mực cuộn Malaysia</t>
  </si>
  <si>
    <t>Cua hoàng đế Malaysia</t>
  </si>
  <si>
    <t>Cô Tiền nợ</t>
  </si>
  <si>
    <t>MT63</t>
  </si>
  <si>
    <t>MT64</t>
  </si>
  <si>
    <t>cánh</t>
  </si>
  <si>
    <t>đùi</t>
  </si>
  <si>
    <t>chân</t>
  </si>
  <si>
    <t>Ba</t>
  </si>
  <si>
    <t>Tuấn Phương</t>
  </si>
  <si>
    <t>Cô Bé Ken</t>
  </si>
  <si>
    <t>tiền xe + chi phí</t>
  </si>
  <si>
    <t>Cô Lào</t>
  </si>
  <si>
    <t>Dì Luận</t>
  </si>
  <si>
    <t>KH Lẻ</t>
  </si>
  <si>
    <t>KH lẻ</t>
  </si>
  <si>
    <t>Dì Bến</t>
  </si>
  <si>
    <t>Dì Bến nợ</t>
  </si>
  <si>
    <t>Dì Phượng L</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</si>
</sst>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41" formatCode="_(* #,##0_);_(* \(#,##0\);_(* &quot;-&quot;_);_(@_)"/>
    <numFmt numFmtId="43" formatCode="_(* #,##0.00_);_(* \(#,##0.00\);_(* &quot;-&quot;??_);_(@_)"/>
  </numFmts>
  <fonts count="30"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20"/>
      <color rgb="FFFF0000"/>
      <name val="Calibri"/>
      <family val="2"/>
    </font>
    <font>
      <b/>
      <sz val="18"/>
      <color theme="1"/>
      <name val="Times New Roman"/>
      <family val="1"/>
    </font>
    <font>
      <sz val="20"/>
      <color rgb="FFFF0000"/>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u/>
      <sz val="20"/>
      <color rgb="FFFF0000"/>
      <name val="Arial"/>
      <family val="2"/>
    </font>
    <font>
      <b/>
      <sz val="22"/>
      <color theme="1"/>
      <name val="Times New Roman"/>
      <family val="1"/>
    </font>
    <font>
      <b/>
      <sz val="16"/>
      <color rgb="FFFF0000"/>
      <name val="Times New Roman"/>
      <family val="1"/>
    </font>
    <font>
      <b/>
      <sz val="11"/>
      <color rgb="FFFF0000"/>
      <name val="Times New Roman"/>
      <family val="1"/>
    </font>
  </fonts>
  <fills count="21">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9"/>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s>
  <borders count="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s>
  <cellStyleXfs count="3">
    <xf numFmtId="0" fontId="0" fillId="0" borderId="0"/>
    <xf numFmtId="41" fontId="1" fillId="0" borderId="0" applyFont="0" applyFill="0" applyBorder="0" applyAlignment="0" applyProtection="0"/>
    <xf numFmtId="9" fontId="1" fillId="0" borderId="0" applyFont="0" applyFill="0" applyBorder="0" applyAlignment="0" applyProtection="0"/>
  </cellStyleXfs>
  <cellXfs count="202">
    <xf numFmtId="0" fontId="0" fillId="0" borderId="0" xfId="0"/>
    <xf numFmtId="0" fontId="2" fillId="0" borderId="0" xfId="1" applyNumberFormat="1" applyFont="1" applyAlignment="1">
      <alignment horizontal="center" vertical="center"/>
    </xf>
    <xf numFmtId="41" fontId="4" fillId="0" borderId="0" xfId="1" applyFont="1"/>
    <xf numFmtId="41" fontId="5" fillId="0" borderId="1" xfId="1" applyFont="1" applyBorder="1" applyAlignment="1">
      <alignment horizontal="center" vertical="center"/>
    </xf>
    <xf numFmtId="41" fontId="5" fillId="2" borderId="1" xfId="1" applyFont="1" applyFill="1" applyBorder="1" applyAlignment="1">
      <alignment horizontal="center" vertical="center"/>
    </xf>
    <xf numFmtId="41"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41" fontId="5" fillId="2" borderId="1" xfId="1" applyFont="1" applyFill="1" applyBorder="1" applyAlignment="1">
      <alignment horizontal="center" vertical="top"/>
    </xf>
    <xf numFmtId="9" fontId="7" fillId="0" borderId="0" xfId="2" applyFont="1" applyAlignment="1">
      <alignment horizontal="center" vertical="center"/>
    </xf>
    <xf numFmtId="41" fontId="5" fillId="3" borderId="1" xfId="1" applyFont="1" applyFill="1" applyBorder="1" applyAlignment="1">
      <alignment horizontal="center" vertical="center" wrapText="1"/>
    </xf>
    <xf numFmtId="41" fontId="6" fillId="2" borderId="1" xfId="1" applyFont="1" applyFill="1" applyBorder="1" applyAlignment="1">
      <alignment horizontal="center" vertical="center"/>
    </xf>
    <xf numFmtId="41" fontId="6" fillId="2" borderId="1" xfId="1" applyFont="1" applyFill="1" applyBorder="1" applyAlignment="1">
      <alignment horizontal="center" vertical="center" wrapText="1"/>
    </xf>
    <xf numFmtId="41" fontId="5" fillId="3" borderId="1" xfId="1" applyFont="1" applyFill="1" applyBorder="1" applyAlignment="1">
      <alignment horizontal="center" vertical="top" wrapText="1"/>
    </xf>
    <xf numFmtId="41"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41" fontId="2" fillId="0" borderId="1" xfId="1" applyFont="1" applyBorder="1" applyAlignment="1">
      <alignment vertical="center"/>
    </xf>
    <xf numFmtId="41" fontId="2" fillId="4" borderId="1" xfId="1" applyFont="1" applyFill="1" applyBorder="1" applyAlignment="1">
      <alignment vertical="center"/>
    </xf>
    <xf numFmtId="41" fontId="2" fillId="6" borderId="1" xfId="1" applyFont="1" applyFill="1" applyBorder="1" applyAlignment="1">
      <alignment vertical="center"/>
    </xf>
    <xf numFmtId="41" fontId="5" fillId="0" borderId="1" xfId="1" applyFont="1" applyBorder="1" applyAlignment="1">
      <alignment horizontal="center" vertical="top"/>
    </xf>
    <xf numFmtId="41" fontId="6" fillId="9" borderId="1" xfId="1" applyFont="1" applyFill="1" applyBorder="1" applyAlignment="1">
      <alignment horizontal="center" vertical="center" wrapText="1"/>
    </xf>
    <xf numFmtId="0" fontId="5" fillId="5" borderId="1" xfId="0" applyFont="1" applyFill="1" applyBorder="1" applyAlignment="1">
      <alignment horizontal="center" vertical="center"/>
    </xf>
    <xf numFmtId="0" fontId="5" fillId="0" borderId="1" xfId="0" applyFont="1" applyBorder="1" applyAlignment="1">
      <alignment vertical="center"/>
    </xf>
    <xf numFmtId="0" fontId="4" fillId="0" borderId="1" xfId="0" applyFont="1" applyBorder="1" applyAlignment="1">
      <alignment horizontal="center" vertical="center"/>
    </xf>
    <xf numFmtId="41" fontId="5" fillId="0" borderId="1" xfId="1" applyFont="1" applyBorder="1" applyAlignment="1">
      <alignment vertical="center"/>
    </xf>
    <xf numFmtId="0" fontId="5" fillId="4" borderId="1" xfId="0" applyFont="1" applyFill="1" applyBorder="1" applyAlignment="1">
      <alignment vertical="center"/>
    </xf>
    <xf numFmtId="0" fontId="5" fillId="6" borderId="1" xfId="0" applyFont="1" applyFill="1" applyBorder="1" applyAlignment="1">
      <alignment vertical="center"/>
    </xf>
    <xf numFmtId="0" fontId="4" fillId="6" borderId="1" xfId="0" applyFont="1" applyFill="1" applyBorder="1" applyAlignment="1">
      <alignment horizontal="center" vertical="center"/>
    </xf>
    <xf numFmtId="41" fontId="5" fillId="6" borderId="1" xfId="1" applyFont="1" applyFill="1" applyBorder="1" applyAlignment="1">
      <alignment vertical="center"/>
    </xf>
    <xf numFmtId="0" fontId="4" fillId="4" borderId="1" xfId="0" applyFont="1" applyFill="1" applyBorder="1" applyAlignment="1">
      <alignment horizontal="center" vertical="center"/>
    </xf>
    <xf numFmtId="41" fontId="5" fillId="4" borderId="1" xfId="1" applyFont="1" applyFill="1" applyBorder="1" applyAlignment="1">
      <alignment vertical="center"/>
    </xf>
    <xf numFmtId="0" fontId="5" fillId="0" borderId="1" xfId="0" applyFont="1" applyBorder="1" applyAlignment="1">
      <alignment horizontal="center" vertical="center"/>
    </xf>
    <xf numFmtId="0" fontId="5" fillId="4" borderId="1" xfId="0" applyFont="1" applyFill="1" applyBorder="1" applyAlignment="1">
      <alignment horizontal="center" vertical="center"/>
    </xf>
    <xf numFmtId="41" fontId="5" fillId="6" borderId="0" xfId="1" applyFont="1" applyFill="1" applyBorder="1" applyAlignment="1">
      <alignment vertical="center"/>
    </xf>
    <xf numFmtId="0" fontId="5" fillId="6" borderId="1" xfId="0" applyFont="1" applyFill="1" applyBorder="1" applyAlignment="1">
      <alignment horizontal="center" vertical="center"/>
    </xf>
    <xf numFmtId="41" fontId="9" fillId="8" borderId="1" xfId="1" applyFont="1" applyFill="1" applyBorder="1" applyAlignment="1">
      <alignment horizontal="center" vertical="center"/>
    </xf>
    <xf numFmtId="41" fontId="5" fillId="0" borderId="1" xfId="1" quotePrefix="1" applyFont="1" applyBorder="1" applyAlignment="1">
      <alignment horizontal="center" vertical="center"/>
    </xf>
    <xf numFmtId="41" fontId="4" fillId="0" borderId="1" xfId="1" applyFont="1" applyBorder="1" applyAlignment="1">
      <alignment horizontal="center" vertical="center"/>
    </xf>
    <xf numFmtId="41" fontId="5" fillId="4" borderId="1" xfId="1" quotePrefix="1" applyFont="1" applyFill="1" applyBorder="1" applyAlignment="1">
      <alignment horizontal="center" vertical="center"/>
    </xf>
    <xf numFmtId="41" fontId="5" fillId="10" borderId="1" xfId="1" applyFont="1" applyFill="1" applyBorder="1" applyAlignment="1">
      <alignment horizontal="center" vertical="top"/>
    </xf>
    <xf numFmtId="41" fontId="5" fillId="4" borderId="1" xfId="1" applyFont="1" applyFill="1" applyBorder="1" applyAlignment="1">
      <alignment horizontal="center" vertical="top"/>
    </xf>
    <xf numFmtId="41"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41" fontId="8" fillId="0" borderId="1" xfId="1" applyFont="1" applyBorder="1" applyAlignment="1">
      <alignment horizontal="center" vertical="center"/>
    </xf>
    <xf numFmtId="0" fontId="3" fillId="0" borderId="0" xfId="0" applyFont="1" applyProtection="1">
      <protection locked="0"/>
    </xf>
    <xf numFmtId="0" fontId="3" fillId="0" borderId="0" xfId="0" applyFont="1" applyAlignment="1" applyProtection="1">
      <alignment vertical="center"/>
      <protection locked="0"/>
    </xf>
    <xf numFmtId="0" fontId="9" fillId="4" borderId="1" xfId="0" applyFont="1" applyFill="1" applyBorder="1" applyAlignment="1" applyProtection="1">
      <alignment horizontal="center" vertical="center"/>
      <protection locked="0"/>
    </xf>
    <xf numFmtId="0" fontId="12" fillId="0" borderId="0" xfId="0" applyFont="1" applyAlignment="1" applyProtection="1">
      <alignment horizontal="center" vertical="center"/>
      <protection locked="0"/>
    </xf>
    <xf numFmtId="41" fontId="12" fillId="0" borderId="0" xfId="1" applyFont="1" applyAlignment="1" applyProtection="1">
      <alignment horizontal="center" vertical="center"/>
      <protection locked="0"/>
    </xf>
    <xf numFmtId="41"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41" fontId="12" fillId="0" borderId="0" xfId="1" applyFont="1" applyAlignment="1" applyProtection="1">
      <alignment vertical="center"/>
    </xf>
    <xf numFmtId="41" fontId="13" fillId="0" borderId="0" xfId="0" applyNumberFormat="1" applyFont="1" applyAlignment="1" applyProtection="1">
      <alignment horizontal="center" vertical="center"/>
    </xf>
    <xf numFmtId="0" fontId="15" fillId="0" borderId="0" xfId="0" applyFont="1" applyAlignment="1" applyProtection="1">
      <alignment horizontal="center" vertical="center"/>
      <protection locked="0"/>
    </xf>
    <xf numFmtId="0" fontId="2" fillId="0" borderId="0" xfId="0" applyFont="1" applyAlignment="1">
      <alignment horizontal="center" vertical="center"/>
    </xf>
    <xf numFmtId="0" fontId="3" fillId="0" borderId="0" xfId="0" applyFont="1" applyAlignment="1">
      <alignment horizontal="left" vertical="center"/>
    </xf>
    <xf numFmtId="41"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8" fillId="0" borderId="0" xfId="1" applyNumberFormat="1" applyFont="1" applyBorder="1" applyAlignment="1">
      <alignment horizontal="center" vertical="center"/>
    </xf>
    <xf numFmtId="0" fontId="5" fillId="4" borderId="1" xfId="0" applyFont="1" applyFill="1" applyBorder="1" applyAlignment="1">
      <alignment horizontal="center" vertical="top"/>
    </xf>
    <xf numFmtId="0" fontId="5" fillId="4" borderId="1" xfId="0" applyFont="1" applyFill="1" applyBorder="1" applyAlignment="1">
      <alignment vertical="center" wrapText="1"/>
    </xf>
    <xf numFmtId="41" fontId="3" fillId="0" borderId="0" xfId="1" applyFont="1" applyAlignment="1">
      <alignment horizontal="center" vertical="center"/>
    </xf>
    <xf numFmtId="41" fontId="5" fillId="0" borderId="0" xfId="1" applyFont="1" applyAlignment="1">
      <alignment horizontal="center" vertical="center"/>
    </xf>
    <xf numFmtId="41" fontId="2" fillId="0" borderId="0" xfId="1" quotePrefix="1" applyFont="1" applyAlignment="1">
      <alignment horizontal="center" vertical="center"/>
    </xf>
    <xf numFmtId="41" fontId="6" fillId="4" borderId="1" xfId="1" applyFont="1" applyFill="1" applyBorder="1" applyAlignment="1">
      <alignment horizontal="center" vertical="center"/>
    </xf>
    <xf numFmtId="41" fontId="5" fillId="4" borderId="1" xfId="1" applyNumberFormat="1" applyFont="1" applyFill="1" applyBorder="1" applyAlignment="1">
      <alignment horizontal="center" vertical="top"/>
    </xf>
    <xf numFmtId="0" fontId="4" fillId="0" borderId="0" xfId="0" applyFont="1" applyAlignment="1">
      <alignment horizontal="center" vertical="top"/>
    </xf>
    <xf numFmtId="41" fontId="3" fillId="0" borderId="0" xfId="1" applyFont="1" applyAlignment="1">
      <alignment vertical="top"/>
    </xf>
    <xf numFmtId="41" fontId="5" fillId="9" borderId="1" xfId="1" applyFont="1" applyFill="1" applyBorder="1" applyAlignment="1">
      <alignment horizontal="center" vertical="top"/>
    </xf>
    <xf numFmtId="41" fontId="6" fillId="2" borderId="1" xfId="1" applyFont="1" applyFill="1" applyBorder="1" applyAlignment="1">
      <alignment horizontal="center" vertical="top"/>
    </xf>
    <xf numFmtId="41" fontId="9" fillId="10" borderId="1" xfId="1" applyFont="1" applyFill="1" applyBorder="1" applyAlignment="1">
      <alignment horizontal="center" vertical="top"/>
    </xf>
    <xf numFmtId="41" fontId="3" fillId="0" borderId="0" xfId="1" applyFont="1" applyAlignment="1">
      <alignment horizontal="left" vertical="center"/>
    </xf>
    <xf numFmtId="0" fontId="2" fillId="0" borderId="0" xfId="0" applyFont="1" applyAlignment="1">
      <alignment horizontal="left" vertical="center"/>
    </xf>
    <xf numFmtId="41" fontId="3" fillId="0" borderId="0" xfId="0" applyNumberFormat="1" applyFont="1" applyAlignment="1">
      <alignment horizontal="center" vertical="center"/>
    </xf>
    <xf numFmtId="0" fontId="3" fillId="0" borderId="0" xfId="0" applyFont="1" applyAlignment="1">
      <alignment horizontal="left" vertical="top"/>
    </xf>
    <xf numFmtId="0" fontId="3" fillId="0" borderId="0" xfId="0" applyFont="1" applyAlignment="1">
      <alignment horizontal="center" vertical="top"/>
    </xf>
    <xf numFmtId="41" fontId="2" fillId="0" borderId="0" xfId="1" applyFont="1" applyAlignment="1">
      <alignment horizontal="center" vertical="top"/>
    </xf>
    <xf numFmtId="0" fontId="3" fillId="0" borderId="0" xfId="2" applyNumberFormat="1" applyFont="1" applyAlignment="1">
      <alignment horizontal="left" vertical="top"/>
    </xf>
    <xf numFmtId="41" fontId="3" fillId="0" borderId="0" xfId="0" applyNumberFormat="1" applyFont="1" applyAlignment="1">
      <alignment horizontal="left" vertical="top"/>
    </xf>
    <xf numFmtId="41" fontId="0" fillId="0" borderId="0" xfId="1" applyFont="1"/>
    <xf numFmtId="41" fontId="4" fillId="0" borderId="0" xfId="0" applyNumberFormat="1" applyFont="1" applyAlignment="1">
      <alignment horizontal="center" vertical="center"/>
    </xf>
    <xf numFmtId="41" fontId="2" fillId="0" borderId="0" xfId="1" applyFont="1" applyAlignment="1">
      <alignment horizontal="center" vertical="center" wrapText="1"/>
    </xf>
    <xf numFmtId="41" fontId="16" fillId="0" borderId="0" xfId="0" applyNumberFormat="1" applyFont="1" applyAlignment="1">
      <alignment horizontal="center" vertical="center"/>
    </xf>
    <xf numFmtId="41" fontId="6" fillId="7" borderId="1" xfId="1" applyFont="1" applyFill="1" applyBorder="1" applyAlignment="1">
      <alignment horizontal="center" vertical="top"/>
    </xf>
    <xf numFmtId="41" fontId="5" fillId="4" borderId="1" xfId="0" applyNumberFormat="1" applyFont="1" applyFill="1" applyBorder="1" applyAlignment="1">
      <alignment horizontal="center" vertical="center"/>
    </xf>
    <xf numFmtId="0" fontId="9" fillId="4" borderId="1" xfId="0" applyFont="1" applyFill="1" applyBorder="1" applyAlignment="1" applyProtection="1">
      <alignment horizontal="center" vertical="center"/>
      <protection hidden="1"/>
    </xf>
    <xf numFmtId="0" fontId="12" fillId="0" borderId="0" xfId="0" applyNumberFormat="1" applyFont="1" applyAlignment="1" applyProtection="1">
      <alignment horizontal="center" vertical="center"/>
      <protection hidden="1"/>
    </xf>
    <xf numFmtId="0" fontId="12" fillId="0" borderId="0" xfId="0" applyFont="1" applyAlignment="1" applyProtection="1">
      <alignment horizontal="center" vertical="center"/>
      <protection hidden="1"/>
    </xf>
    <xf numFmtId="0" fontId="3" fillId="0" borderId="0" xfId="0" applyFont="1" applyProtection="1">
      <protection hidden="1"/>
    </xf>
    <xf numFmtId="0" fontId="9" fillId="11" borderId="1" xfId="0" applyFont="1" applyFill="1" applyBorder="1" applyAlignment="1" applyProtection="1">
      <alignment horizontal="center" vertical="center"/>
      <protection locked="0"/>
    </xf>
    <xf numFmtId="0" fontId="2" fillId="0" borderId="0" xfId="0" applyFont="1" applyAlignment="1" applyProtection="1">
      <alignment horizontal="center" vertical="center"/>
      <protection locked="0"/>
    </xf>
    <xf numFmtId="41" fontId="17" fillId="0" borderId="0" xfId="0" applyNumberFormat="1" applyFont="1" applyAlignment="1">
      <alignment horizontal="center" vertical="top"/>
    </xf>
    <xf numFmtId="41" fontId="5" fillId="4" borderId="1" xfId="1" quotePrefix="1" applyFont="1" applyFill="1" applyBorder="1" applyAlignment="1">
      <alignment horizontal="center" vertical="center" wrapText="1"/>
    </xf>
    <xf numFmtId="41" fontId="19" fillId="0" borderId="1" xfId="1" applyFont="1" applyBorder="1" applyAlignment="1">
      <alignment horizontal="center" vertical="center"/>
    </xf>
    <xf numFmtId="41" fontId="3" fillId="0" borderId="0" xfId="1" applyFont="1" applyAlignment="1">
      <alignment vertical="center"/>
    </xf>
    <xf numFmtId="41" fontId="2" fillId="7" borderId="0" xfId="1" applyFont="1" applyFill="1" applyAlignment="1">
      <alignment horizontal="center" vertical="center"/>
    </xf>
    <xf numFmtId="41"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41" fontId="5" fillId="2" borderId="1" xfId="1" applyFont="1" applyFill="1" applyBorder="1" applyAlignment="1">
      <alignment vertical="center"/>
    </xf>
    <xf numFmtId="43" fontId="4" fillId="3" borderId="1" xfId="1" applyNumberFormat="1" applyFont="1" applyFill="1" applyBorder="1" applyAlignment="1">
      <alignment vertical="center"/>
    </xf>
    <xf numFmtId="41" fontId="4" fillId="3" borderId="1" xfId="1" applyFont="1" applyFill="1" applyBorder="1" applyAlignment="1">
      <alignment vertical="center"/>
    </xf>
    <xf numFmtId="0" fontId="6" fillId="4" borderId="1" xfId="1" applyNumberFormat="1" applyFont="1" applyFill="1" applyBorder="1" applyAlignment="1">
      <alignment vertical="center"/>
    </xf>
    <xf numFmtId="41"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41" fontId="6" fillId="2" borderId="1" xfId="1" applyFont="1" applyFill="1" applyBorder="1" applyAlignment="1">
      <alignment vertical="center"/>
    </xf>
    <xf numFmtId="41" fontId="9" fillId="10" borderId="1" xfId="1" applyFont="1" applyFill="1" applyBorder="1" applyAlignment="1">
      <alignment vertical="center"/>
    </xf>
    <xf numFmtId="41" fontId="4" fillId="2" borderId="1" xfId="1" applyFont="1" applyFill="1" applyBorder="1" applyAlignment="1">
      <alignment vertical="center"/>
    </xf>
    <xf numFmtId="41" fontId="8" fillId="2" borderId="1" xfId="1" applyFont="1" applyFill="1" applyBorder="1" applyAlignment="1">
      <alignment vertical="center"/>
    </xf>
    <xf numFmtId="41" fontId="3" fillId="0" borderId="1" xfId="1" applyFont="1" applyBorder="1" applyAlignment="1">
      <alignment vertical="center"/>
    </xf>
    <xf numFmtId="0" fontId="5" fillId="2" borderId="1" xfId="1" applyNumberFormat="1" applyFont="1" applyFill="1" applyBorder="1" applyAlignment="1">
      <alignment vertical="center"/>
    </xf>
    <xf numFmtId="41" fontId="9" fillId="4" borderId="1" xfId="1" applyFont="1" applyFill="1" applyBorder="1" applyAlignment="1">
      <alignment horizontal="center" vertical="top"/>
    </xf>
    <xf numFmtId="41" fontId="6" fillId="4" borderId="1" xfId="1" applyFont="1" applyFill="1" applyBorder="1" applyAlignment="1">
      <alignment horizontal="center" vertical="top"/>
    </xf>
    <xf numFmtId="41" fontId="4" fillId="6" borderId="0" xfId="1" applyFont="1" applyFill="1"/>
    <xf numFmtId="0" fontId="4" fillId="6" borderId="0" xfId="0" applyFont="1" applyFill="1"/>
    <xf numFmtId="41" fontId="7" fillId="0" borderId="0" xfId="1" applyFont="1" applyAlignment="1">
      <alignment vertical="top"/>
    </xf>
    <xf numFmtId="0" fontId="21" fillId="0" borderId="0" xfId="0" applyFont="1" applyAlignment="1">
      <alignment horizontal="center" vertical="center"/>
    </xf>
    <xf numFmtId="41" fontId="4" fillId="0" borderId="0" xfId="0" applyNumberFormat="1" applyFont="1"/>
    <xf numFmtId="41" fontId="17" fillId="0" borderId="1" xfId="1" applyFont="1" applyBorder="1" applyAlignment="1">
      <alignment horizontal="center" vertical="center" wrapText="1"/>
    </xf>
    <xf numFmtId="0" fontId="21" fillId="7" borderId="1" xfId="0" applyFont="1" applyFill="1" applyBorder="1" applyAlignment="1">
      <alignment vertical="center"/>
    </xf>
    <xf numFmtId="41" fontId="21" fillId="16" borderId="1" xfId="0" applyNumberFormat="1" applyFont="1" applyFill="1" applyBorder="1" applyAlignment="1">
      <alignment vertical="center"/>
    </xf>
    <xf numFmtId="41" fontId="21" fillId="14" borderId="1" xfId="0" applyNumberFormat="1" applyFont="1" applyFill="1" applyBorder="1" applyAlignment="1">
      <alignment vertical="center"/>
    </xf>
    <xf numFmtId="0" fontId="21" fillId="17" borderId="1" xfId="0" applyFont="1" applyFill="1" applyBorder="1" applyAlignment="1">
      <alignment vertical="center"/>
    </xf>
    <xf numFmtId="0" fontId="21" fillId="15" borderId="1" xfId="0" applyFont="1" applyFill="1" applyBorder="1" applyAlignment="1">
      <alignment vertical="center"/>
    </xf>
    <xf numFmtId="41" fontId="21" fillId="18" borderId="1" xfId="0" applyNumberFormat="1" applyFont="1" applyFill="1" applyBorder="1" applyAlignment="1">
      <alignment vertical="center"/>
    </xf>
    <xf numFmtId="0" fontId="20" fillId="0" borderId="1" xfId="0" applyFont="1" applyBorder="1" applyAlignment="1">
      <alignment vertical="center"/>
    </xf>
    <xf numFmtId="41" fontId="21" fillId="19" borderId="1" xfId="0" applyNumberFormat="1" applyFont="1" applyFill="1" applyBorder="1" applyAlignment="1">
      <alignment vertical="center"/>
    </xf>
    <xf numFmtId="0" fontId="21" fillId="16" borderId="1" xfId="0" applyFont="1" applyFill="1" applyBorder="1" applyAlignment="1">
      <alignment vertical="center"/>
    </xf>
    <xf numFmtId="0" fontId="21" fillId="18" borderId="1" xfId="0" applyFont="1" applyFill="1" applyBorder="1" applyAlignment="1">
      <alignment vertical="center"/>
    </xf>
    <xf numFmtId="0" fontId="21" fillId="19" borderId="1" xfId="0" applyFont="1" applyFill="1" applyBorder="1" applyAlignment="1">
      <alignment vertical="center"/>
    </xf>
    <xf numFmtId="0" fontId="21" fillId="14" borderId="1" xfId="0" applyFont="1" applyFill="1" applyBorder="1" applyAlignment="1">
      <alignment vertical="center"/>
    </xf>
    <xf numFmtId="41" fontId="22" fillId="8" borderId="1" xfId="0" applyNumberFormat="1" applyFont="1" applyFill="1" applyBorder="1" applyAlignment="1">
      <alignment vertical="center"/>
    </xf>
    <xf numFmtId="0" fontId="23" fillId="8" borderId="1" xfId="0" applyFont="1" applyFill="1" applyBorder="1" applyAlignment="1">
      <alignment vertical="center"/>
    </xf>
    <xf numFmtId="41" fontId="0" fillId="0" borderId="0" xfId="0" applyNumberFormat="1"/>
    <xf numFmtId="0" fontId="3" fillId="0" borderId="0" xfId="1" applyNumberFormat="1" applyFont="1" applyAlignment="1">
      <alignment vertical="center"/>
    </xf>
    <xf numFmtId="41" fontId="21" fillId="15"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41"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0" fontId="4" fillId="5" borderId="1" xfId="0" applyFont="1" applyFill="1" applyBorder="1" applyAlignment="1">
      <alignment horizontal="center" vertical="center"/>
    </xf>
    <xf numFmtId="0" fontId="5" fillId="0" borderId="1" xfId="0" applyFont="1" applyBorder="1"/>
    <xf numFmtId="0" fontId="5" fillId="6" borderId="1" xfId="0" applyFont="1" applyFill="1" applyBorder="1"/>
    <xf numFmtId="0" fontId="5" fillId="5" borderId="1" xfId="0" applyFont="1" applyFill="1" applyBorder="1"/>
    <xf numFmtId="41" fontId="17" fillId="10" borderId="1" xfId="1" applyFont="1" applyFill="1" applyBorder="1" applyAlignment="1">
      <alignment horizontal="center" vertical="center" wrapText="1"/>
    </xf>
    <xf numFmtId="41" fontId="5" fillId="10" borderId="1" xfId="1" applyFont="1" applyFill="1" applyBorder="1" applyAlignment="1">
      <alignment horizontal="center" vertical="center" wrapText="1"/>
    </xf>
    <xf numFmtId="0" fontId="0" fillId="7" borderId="0" xfId="0" applyFill="1"/>
    <xf numFmtId="0" fontId="7" fillId="0" borderId="0" xfId="0" applyFont="1" applyAlignment="1" applyProtection="1">
      <alignment horizontal="center" vertical="center" wrapText="1"/>
      <protection locked="0"/>
    </xf>
    <xf numFmtId="12" fontId="3" fillId="0" borderId="0" xfId="1" applyNumberFormat="1" applyFont="1" applyAlignment="1">
      <alignment vertical="center"/>
    </xf>
    <xf numFmtId="41"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20" borderId="1" xfId="0" applyFont="1" applyFill="1" applyBorder="1" applyAlignment="1">
      <alignment horizontal="center" vertical="top"/>
    </xf>
    <xf numFmtId="41" fontId="24" fillId="0" borderId="0" xfId="1" applyFont="1" applyAlignment="1">
      <alignment horizontal="right" vertical="center"/>
    </xf>
    <xf numFmtId="0" fontId="19" fillId="0" borderId="1" xfId="0" applyFont="1" applyBorder="1" applyAlignment="1">
      <alignment horizontal="center" vertical="center"/>
    </xf>
    <xf numFmtId="0" fontId="19" fillId="0" borderId="1" xfId="0" applyFont="1" applyBorder="1"/>
    <xf numFmtId="41" fontId="25" fillId="0" borderId="1" xfId="1" applyFont="1" applyBorder="1" applyAlignment="1">
      <alignment horizontal="center" vertical="center"/>
    </xf>
    <xf numFmtId="41" fontId="25" fillId="0" borderId="0" xfId="1" applyFont="1" applyBorder="1" applyAlignment="1">
      <alignment horizontal="center" vertical="center"/>
    </xf>
    <xf numFmtId="0" fontId="19" fillId="0" borderId="0" xfId="0" applyFont="1"/>
    <xf numFmtId="0" fontId="9" fillId="0" borderId="0" xfId="0" applyFont="1"/>
    <xf numFmtId="41" fontId="9" fillId="0" borderId="0" xfId="0" applyNumberFormat="1" applyFont="1"/>
    <xf numFmtId="41" fontId="19" fillId="7" borderId="1" xfId="1" applyFont="1" applyFill="1" applyBorder="1" applyAlignment="1">
      <alignment horizontal="center" vertical="center"/>
    </xf>
    <xf numFmtId="41" fontId="20" fillId="0" borderId="1" xfId="1" applyFont="1" applyBorder="1" applyAlignment="1">
      <alignment vertical="center"/>
    </xf>
    <xf numFmtId="41" fontId="19" fillId="4" borderId="1" xfId="1" applyFont="1" applyFill="1" applyBorder="1" applyAlignment="1">
      <alignment horizontal="center" vertical="center"/>
    </xf>
    <xf numFmtId="41" fontId="3" fillId="6" borderId="1" xfId="1" applyFont="1" applyFill="1" applyBorder="1" applyAlignment="1">
      <alignment horizontal="center"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41" fontId="0" fillId="0" borderId="0" xfId="1" applyFont="1" applyAlignment="1">
      <alignment horizontal="center" vertical="center"/>
    </xf>
    <xf numFmtId="41" fontId="21" fillId="7" borderId="1" xfId="0" applyNumberFormat="1" applyFont="1" applyFill="1" applyBorder="1" applyAlignment="1">
      <alignment vertical="center"/>
    </xf>
    <xf numFmtId="41" fontId="5" fillId="0" borderId="0" xfId="0" applyNumberFormat="1" applyFont="1" applyAlignment="1">
      <alignment vertical="center"/>
    </xf>
    <xf numFmtId="0" fontId="9" fillId="20" borderId="1" xfId="0" applyFont="1" applyFill="1" applyBorder="1" applyAlignment="1">
      <alignment horizontal="center" vertical="center"/>
    </xf>
    <xf numFmtId="0" fontId="9" fillId="0" borderId="0" xfId="0" applyNumberFormat="1" applyFont="1" applyAlignment="1">
      <alignment horizontal="center" vertical="center"/>
    </xf>
    <xf numFmtId="41" fontId="7" fillId="0" borderId="0" xfId="1" applyFont="1" applyAlignment="1">
      <alignment horizontal="center" vertical="top"/>
    </xf>
    <xf numFmtId="41" fontId="28"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0" fontId="9" fillId="0" borderId="0" xfId="0" applyFont="1" applyAlignment="1">
      <alignment vertical="center"/>
    </xf>
    <xf numFmtId="41" fontId="9" fillId="0" borderId="0" xfId="0" applyNumberFormat="1" applyFont="1" applyAlignment="1">
      <alignment horizontal="center" vertical="center"/>
    </xf>
    <xf numFmtId="0" fontId="9" fillId="0" borderId="0" xfId="0" applyFont="1" applyAlignment="1">
      <alignment horizontal="center" vertical="center"/>
    </xf>
    <xf numFmtId="0" fontId="9" fillId="0" borderId="1" xfId="0" pivotButton="1" applyFont="1" applyBorder="1" applyAlignment="1">
      <alignment horizontal="center" vertical="center"/>
    </xf>
    <xf numFmtId="0" fontId="9" fillId="0" borderId="0" xfId="0" applyFont="1" applyAlignment="1">
      <alignment horizontal="left" vertical="center"/>
    </xf>
    <xf numFmtId="41" fontId="9" fillId="0" borderId="0" xfId="0" applyNumberFormat="1" applyFont="1" applyAlignment="1">
      <alignment vertical="center"/>
    </xf>
    <xf numFmtId="0" fontId="29" fillId="7" borderId="0" xfId="0" applyFont="1" applyFill="1" applyAlignment="1">
      <alignment horizontal="center" vertical="center"/>
    </xf>
    <xf numFmtId="41" fontId="2" fillId="7" borderId="0" xfId="1" applyFont="1" applyFill="1" applyAlignment="1">
      <alignment horizontal="center" vertical="center"/>
    </xf>
    <xf numFmtId="0" fontId="7" fillId="0" borderId="1" xfId="0" applyFont="1" applyBorder="1" applyAlignment="1">
      <alignment horizontal="center" vertical="center"/>
    </xf>
    <xf numFmtId="41" fontId="18" fillId="13" borderId="0" xfId="0" applyNumberFormat="1" applyFont="1" applyFill="1" applyAlignment="1">
      <alignment horizontal="center" vertical="center"/>
    </xf>
    <xf numFmtId="0" fontId="18" fillId="13" borderId="2" xfId="0" applyFont="1" applyFill="1" applyBorder="1" applyAlignment="1">
      <alignment horizontal="center" vertical="center"/>
    </xf>
    <xf numFmtId="0" fontId="27" fillId="0" borderId="0" xfId="0" applyNumberFormat="1" applyFont="1" applyAlignment="1">
      <alignment horizontal="center" vertical="center" wrapText="1"/>
    </xf>
    <xf numFmtId="0" fontId="27" fillId="0" borderId="2" xfId="0" applyNumberFormat="1" applyFont="1" applyBorder="1" applyAlignment="1">
      <alignment horizontal="center" vertical="center" wrapText="1"/>
    </xf>
    <xf numFmtId="41" fontId="7" fillId="12" borderId="1" xfId="0" applyNumberFormat="1" applyFont="1" applyFill="1" applyBorder="1" applyAlignment="1">
      <alignment horizontal="center" vertical="center" wrapText="1"/>
    </xf>
    <xf numFmtId="41" fontId="7" fillId="7" borderId="1" xfId="0" applyNumberFormat="1" applyFont="1" applyFill="1" applyBorder="1" applyAlignment="1">
      <alignment horizontal="center" vertical="center" wrapText="1"/>
    </xf>
    <xf numFmtId="41" fontId="18" fillId="7" borderId="1" xfId="0" applyNumberFormat="1" applyFont="1" applyFill="1" applyBorder="1" applyAlignment="1">
      <alignment horizontal="center" vertical="center"/>
    </xf>
  </cellXfs>
  <cellStyles count="3">
    <cellStyle name="Comma [0]" xfId="1" builtinId="6"/>
    <cellStyle name="Normal" xfId="0" builtinId="0"/>
    <cellStyle name="Percent" xfId="2" builtinId="5"/>
  </cellStyles>
  <dxfs count="656">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alignment horizontal="center" readingOrder="0"/>
    </dxf>
    <dxf>
      <alignment vertical="center" readingOrder="0"/>
    </dxf>
    <dxf>
      <font>
        <b/>
      </font>
    </dxf>
    <dxf>
      <font>
        <sz val="14"/>
      </font>
    </dxf>
    <dxf>
      <alignment vertical="center" readingOrder="0"/>
    </dxf>
    <dxf>
      <alignment horizontal="center" readingOrder="0"/>
    </dxf>
    <dxf>
      <font>
        <b/>
        <sz val="14"/>
      </font>
      <alignment horizontal="center" vertical="center" readingOrder="0"/>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655"/>
      <tableStyleElement type="headerRow" dxfId="654"/>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pivotCacheDefinition" Target="pivotCache/pivotCacheDefinition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7/relationships/slicerCache" Target="slicerCaches/slicerCache1.xml"/><Relationship Id="rId30"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11205</xdr:colOff>
      <xdr:row>0</xdr:row>
      <xdr:rowOff>0</xdr:rowOff>
    </xdr:from>
    <xdr:to>
      <xdr:col>13</xdr:col>
      <xdr:colOff>123265</xdr:colOff>
      <xdr:row>24</xdr:row>
      <xdr:rowOff>112059</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11205" y="0"/>
              <a:ext cx="9054354" cy="5815853"/>
            </a:xfrm>
            <a:prstGeom prst="rect">
              <a:avLst/>
            </a:prstGeom>
            <a:solidFill>
              <a:prstClr val="white"/>
            </a:solidFill>
            <a:ln w="1">
              <a:solidFill>
                <a:prstClr val="green"/>
              </a:solidFill>
            </a:ln>
          </xdr:spPr>
          <xdr:txBody>
            <a:bodyPr vertOverflow="clip" horzOverflow="clip"/>
            <a:lstStyle/>
            <a:p>
              <a:r>
                <a:rPr lang="en-US"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38100</xdr:colOff>
          <xdr:row>0</xdr:row>
          <xdr:rowOff>9525</xdr:rowOff>
        </xdr:from>
        <xdr:to>
          <xdr:col>1</xdr:col>
          <xdr:colOff>704850</xdr:colOff>
          <xdr:row>1</xdr:row>
          <xdr:rowOff>38100</xdr:rowOff>
        </xdr:to>
        <xdr:sp macro="" textlink="">
          <xdr:nvSpPr>
            <xdr:cNvPr id="5121" name="Button 1" hidden="1">
              <a:extLst>
                <a:ext uri="{63B3BB69-23CF-44E3-9099-C40C66FF867C}">
                  <a14:compatExt spid="_x0000_s5121"/>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8194" name="Button 2" hidden="1">
              <a:extLst>
                <a:ext uri="{63B3BB69-23CF-44E3-9099-C40C66FF867C}">
                  <a14:compatExt spid="_x0000_s8194"/>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28673" name="Button 1" hidden="1">
              <a:extLst>
                <a:ext uri="{63B3BB69-23CF-44E3-9099-C40C66FF867C}">
                  <a14:compatExt spid="_x0000_s28673"/>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27649" name="Button 1" hidden="1">
              <a:extLst>
                <a:ext uri="{63B3BB69-23CF-44E3-9099-C40C66FF867C}">
                  <a14:compatExt spid="_x0000_s27649"/>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26625" name="Button 1" hidden="1">
              <a:extLst>
                <a:ext uri="{63B3BB69-23CF-44E3-9099-C40C66FF867C}">
                  <a14:compatExt spid="_x0000_s26625"/>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25601" name="Button 1" hidden="1">
              <a:extLst>
                <a:ext uri="{63B3BB69-23CF-44E3-9099-C40C66FF867C}">
                  <a14:compatExt spid="_x0000_s25601"/>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24577" name="Button 1" hidden="1">
              <a:extLst>
                <a:ext uri="{63B3BB69-23CF-44E3-9099-C40C66FF867C}">
                  <a14:compatExt spid="_x0000_s24577"/>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23553" name="Button 1" hidden="1">
              <a:extLst>
                <a:ext uri="{63B3BB69-23CF-44E3-9099-C40C66FF867C}">
                  <a14:compatExt spid="_x0000_s23553"/>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22529" name="Button 1" hidden="1">
              <a:extLst>
                <a:ext uri="{63B3BB69-23CF-44E3-9099-C40C66FF867C}">
                  <a14:compatExt spid="_x0000_s22529"/>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21505" name="Button 1" hidden="1">
              <a:extLst>
                <a:ext uri="{63B3BB69-23CF-44E3-9099-C40C66FF867C}">
                  <a14:compatExt spid="_x0000_s21505"/>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20481" name="Button 1" hidden="1">
              <a:extLst>
                <a:ext uri="{63B3BB69-23CF-44E3-9099-C40C66FF867C}">
                  <a14:compatExt spid="_x0000_s20481"/>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18433" name="Button 1" hidden="1">
              <a:extLst>
                <a:ext uri="{63B3BB69-23CF-44E3-9099-C40C66FF867C}">
                  <a14:compatExt spid="_x0000_s18433"/>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17409" name="Button 1" hidden="1">
              <a:extLst>
                <a:ext uri="{63B3BB69-23CF-44E3-9099-C40C66FF867C}">
                  <a14:compatExt spid="_x0000_s17409"/>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16385" name="Button 1" hidden="1">
              <a:extLst>
                <a:ext uri="{63B3BB69-23CF-44E3-9099-C40C66FF867C}">
                  <a14:compatExt spid="_x0000_s16385"/>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9217" name="Button 1" hidden="1">
              <a:extLst>
                <a:ext uri="{63B3BB69-23CF-44E3-9099-C40C66FF867C}">
                  <a14:compatExt spid="_x0000_s9217"/>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575.370520023149" createdVersion="4" refreshedVersion="4" minRefreshableVersion="3" recordCount="64">
  <cacheSource type="worksheet">
    <worksheetSource ref="A1:D65" sheet="Sheet1"/>
  </cacheSource>
  <cacheFields count="4">
    <cacheField name="Trật tự" numFmtId="0">
      <sharedItems containsSemiMixedTypes="0" containsString="0" containsNumber="1" containsInteger="1" minValue="1" maxValue="64" count="64">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sharedItems>
    </cacheField>
    <cacheField name="Tên hàng" numFmtId="0">
      <sharedItems count="64">
        <s v="Cá viên LC"/>
        <s v="Cá viên HM"/>
        <s v="Cá viên rau củ HM"/>
        <s v="Tôm viên HM"/>
        <s v="Chả tôm hình Surimi LC"/>
        <s v="Mực tẩm bột LC"/>
        <s v="Thanh cua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ỏ ĐNA (bao đỏ)"/>
        <s v="XX Đỏ ĐNA (bao xanh)"/>
        <s v="XX Đức HS ĐNA"/>
        <s v="XX Hotdog DNA "/>
        <s v="XX Phô mai"/>
        <s v="XX Yummy LC"/>
        <s v="Chả giò Rế thịt heo"/>
        <s v="Chả giò Rế tôm mực LC"/>
        <s v="Chả giò xốp hải sản"/>
        <s v="Chả giò xốp thịt heo"/>
        <s v="Cá Viên TVP"/>
        <s v="Cá Viên TVP nhỏ"/>
        <s v="Cá viên rau củ TVP"/>
        <s v="Tôm viên TVP"/>
        <s v="Tôm viên TVP nhỏ"/>
        <s v="Bò viên TVP"/>
        <s v="Bò viên TVP nhỏ"/>
        <s v="XX BERLING (10 Cây)"/>
        <s v="XX COCKTAIL (26 Cây)"/>
        <s v="XX Hồ lô"/>
        <s v="XX MUNICH (10 Cây)"/>
        <s v="Nem nướng"/>
        <s v="Jambon Đỏ"/>
        <s v="Jambon Đỏ TX"/>
        <s v="Jambon Trắng"/>
        <s v="Giò lụa Bò"/>
        <s v="Giò lụa lá"/>
        <s v="Giò Thủ bì"/>
        <s v="XX nhân Phô Mai"/>
        <s v="Cốm xanh"/>
        <s v="Hải sản sốt MAYONNAISE (35 viên)"/>
        <s v="Bò lá lốt"/>
        <s v="Ốc nhồi Hải sản"/>
        <s v="Chả lụa bì Ớt xiêm xanh"/>
        <s v="Bò viên phở TVP"/>
        <s v="Bò viên HM"/>
        <s v="Khoai tây Simplot"/>
        <s v="Đậu hủ phô mai EB"/>
        <s v="Hồ lô HM"/>
        <s v="Há cảo Lớn"/>
        <s v="Há cảo Mini"/>
        <s v="Thanh cua dài Liên Anh"/>
        <s v="Gà viên phô mai"/>
        <s v="Viên thả lẩu Cam-Trứng cá "/>
        <s v="Tôm hùm viên PM"/>
        <s v="Mực xoắn ống"/>
      </sharedItems>
    </cacheField>
    <cacheField name="Mã Hàng" numFmtId="0">
      <sharedItems count="64">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haredItems>
    </cacheField>
    <cacheField name="Giá  bán" numFmtId="41">
      <sharedItems containsSemiMixedTypes="0" containsString="0" containsNumber="1" containsInteger="1" minValue="14000" maxValue="122000" count="30">
        <n v="27000"/>
        <n v="25000"/>
        <n v="28000"/>
        <n v="30000"/>
        <n v="38000"/>
        <n v="42000"/>
        <n v="34000"/>
        <n v="35000"/>
        <n v="45000"/>
        <n v="50000"/>
        <n v="40000"/>
        <n v="55000"/>
        <n v="26000"/>
        <n v="33000"/>
        <n v="69000"/>
        <n v="32000"/>
        <n v="14000"/>
        <n v="59000"/>
        <n v="52000"/>
        <n v="65000"/>
        <n v="44000"/>
        <n v="79000"/>
        <n v="66000"/>
        <n v="122000"/>
        <n v="54000"/>
        <n v="76000"/>
        <n v="49000"/>
        <n v="80000"/>
        <n v="70000"/>
        <n v="48000"/>
      </sharedItems>
    </cacheField>
  </cacheFields>
  <extLst>
    <ext xmlns:x14="http://schemas.microsoft.com/office/spreadsheetml/2009/9/main" uri="{725AE2AE-9491-48be-B2B4-4EB974FC3084}">
      <x14:pivotCacheDefinition pivotCacheId="4"/>
    </ext>
  </extLst>
</pivotCacheDefinition>
</file>

<file path=xl/pivotCache/pivotCacheRecords1.xml><?xml version="1.0" encoding="utf-8"?>
<pivotCacheRecords xmlns="http://schemas.openxmlformats.org/spreadsheetml/2006/main" xmlns:r="http://schemas.openxmlformats.org/officeDocument/2006/relationships" count="64">
  <r>
    <x v="0"/>
    <x v="0"/>
    <x v="0"/>
    <x v="0"/>
  </r>
  <r>
    <x v="1"/>
    <x v="1"/>
    <x v="1"/>
    <x v="1"/>
  </r>
  <r>
    <x v="2"/>
    <x v="2"/>
    <x v="2"/>
    <x v="2"/>
  </r>
  <r>
    <x v="3"/>
    <x v="3"/>
    <x v="3"/>
    <x v="3"/>
  </r>
  <r>
    <x v="4"/>
    <x v="4"/>
    <x v="4"/>
    <x v="4"/>
  </r>
  <r>
    <x v="5"/>
    <x v="5"/>
    <x v="5"/>
    <x v="5"/>
  </r>
  <r>
    <x v="6"/>
    <x v="6"/>
    <x v="6"/>
    <x v="6"/>
  </r>
  <r>
    <x v="7"/>
    <x v="7"/>
    <x v="7"/>
    <x v="7"/>
  </r>
  <r>
    <x v="8"/>
    <x v="8"/>
    <x v="8"/>
    <x v="8"/>
  </r>
  <r>
    <x v="9"/>
    <x v="9"/>
    <x v="9"/>
    <x v="9"/>
  </r>
  <r>
    <x v="10"/>
    <x v="10"/>
    <x v="10"/>
    <x v="8"/>
  </r>
  <r>
    <x v="11"/>
    <x v="11"/>
    <x v="11"/>
    <x v="8"/>
  </r>
  <r>
    <x v="12"/>
    <x v="12"/>
    <x v="12"/>
    <x v="8"/>
  </r>
  <r>
    <x v="13"/>
    <x v="13"/>
    <x v="13"/>
    <x v="8"/>
  </r>
  <r>
    <x v="14"/>
    <x v="14"/>
    <x v="14"/>
    <x v="8"/>
  </r>
  <r>
    <x v="15"/>
    <x v="15"/>
    <x v="15"/>
    <x v="10"/>
  </r>
  <r>
    <x v="16"/>
    <x v="16"/>
    <x v="16"/>
    <x v="10"/>
  </r>
  <r>
    <x v="17"/>
    <x v="17"/>
    <x v="17"/>
    <x v="11"/>
  </r>
  <r>
    <x v="18"/>
    <x v="18"/>
    <x v="18"/>
    <x v="2"/>
  </r>
  <r>
    <x v="19"/>
    <x v="19"/>
    <x v="19"/>
    <x v="12"/>
  </r>
  <r>
    <x v="20"/>
    <x v="20"/>
    <x v="20"/>
    <x v="13"/>
  </r>
  <r>
    <x v="21"/>
    <x v="21"/>
    <x v="21"/>
    <x v="6"/>
  </r>
  <r>
    <x v="22"/>
    <x v="22"/>
    <x v="22"/>
    <x v="14"/>
  </r>
  <r>
    <x v="23"/>
    <x v="23"/>
    <x v="23"/>
    <x v="4"/>
  </r>
  <r>
    <x v="24"/>
    <x v="24"/>
    <x v="24"/>
    <x v="7"/>
  </r>
  <r>
    <x v="25"/>
    <x v="25"/>
    <x v="25"/>
    <x v="8"/>
  </r>
  <r>
    <x v="26"/>
    <x v="26"/>
    <x v="26"/>
    <x v="7"/>
  </r>
  <r>
    <x v="27"/>
    <x v="27"/>
    <x v="27"/>
    <x v="15"/>
  </r>
  <r>
    <x v="28"/>
    <x v="28"/>
    <x v="28"/>
    <x v="15"/>
  </r>
  <r>
    <x v="29"/>
    <x v="29"/>
    <x v="29"/>
    <x v="16"/>
  </r>
  <r>
    <x v="30"/>
    <x v="30"/>
    <x v="30"/>
    <x v="15"/>
  </r>
  <r>
    <x v="31"/>
    <x v="31"/>
    <x v="31"/>
    <x v="7"/>
  </r>
  <r>
    <x v="32"/>
    <x v="32"/>
    <x v="32"/>
    <x v="16"/>
  </r>
  <r>
    <x v="33"/>
    <x v="33"/>
    <x v="33"/>
    <x v="7"/>
  </r>
  <r>
    <x v="34"/>
    <x v="34"/>
    <x v="34"/>
    <x v="16"/>
  </r>
  <r>
    <x v="35"/>
    <x v="35"/>
    <x v="35"/>
    <x v="17"/>
  </r>
  <r>
    <x v="36"/>
    <x v="36"/>
    <x v="36"/>
    <x v="18"/>
  </r>
  <r>
    <x v="37"/>
    <x v="37"/>
    <x v="37"/>
    <x v="19"/>
  </r>
  <r>
    <x v="38"/>
    <x v="38"/>
    <x v="38"/>
    <x v="20"/>
  </r>
  <r>
    <x v="39"/>
    <x v="39"/>
    <x v="39"/>
    <x v="21"/>
  </r>
  <r>
    <x v="40"/>
    <x v="40"/>
    <x v="40"/>
    <x v="22"/>
  </r>
  <r>
    <x v="41"/>
    <x v="41"/>
    <x v="41"/>
    <x v="23"/>
  </r>
  <r>
    <x v="42"/>
    <x v="42"/>
    <x v="42"/>
    <x v="22"/>
  </r>
  <r>
    <x v="43"/>
    <x v="43"/>
    <x v="43"/>
    <x v="19"/>
  </r>
  <r>
    <x v="44"/>
    <x v="44"/>
    <x v="44"/>
    <x v="24"/>
  </r>
  <r>
    <x v="45"/>
    <x v="45"/>
    <x v="45"/>
    <x v="17"/>
  </r>
  <r>
    <x v="46"/>
    <x v="46"/>
    <x v="46"/>
    <x v="10"/>
  </r>
  <r>
    <x v="47"/>
    <x v="47"/>
    <x v="47"/>
    <x v="7"/>
  </r>
  <r>
    <x v="48"/>
    <x v="48"/>
    <x v="48"/>
    <x v="8"/>
  </r>
  <r>
    <x v="49"/>
    <x v="49"/>
    <x v="49"/>
    <x v="20"/>
  </r>
  <r>
    <x v="50"/>
    <x v="50"/>
    <x v="50"/>
    <x v="4"/>
  </r>
  <r>
    <x v="51"/>
    <x v="51"/>
    <x v="51"/>
    <x v="14"/>
  </r>
  <r>
    <x v="52"/>
    <x v="52"/>
    <x v="52"/>
    <x v="25"/>
  </r>
  <r>
    <x v="53"/>
    <x v="53"/>
    <x v="53"/>
    <x v="3"/>
  </r>
  <r>
    <x v="54"/>
    <x v="54"/>
    <x v="54"/>
    <x v="26"/>
  </r>
  <r>
    <x v="55"/>
    <x v="55"/>
    <x v="55"/>
    <x v="27"/>
  </r>
  <r>
    <x v="56"/>
    <x v="56"/>
    <x v="56"/>
    <x v="5"/>
  </r>
  <r>
    <x v="57"/>
    <x v="57"/>
    <x v="57"/>
    <x v="7"/>
  </r>
  <r>
    <x v="58"/>
    <x v="58"/>
    <x v="58"/>
    <x v="4"/>
  </r>
  <r>
    <x v="59"/>
    <x v="59"/>
    <x v="59"/>
    <x v="28"/>
  </r>
  <r>
    <x v="60"/>
    <x v="60"/>
    <x v="60"/>
    <x v="24"/>
  </r>
  <r>
    <x v="61"/>
    <x v="61"/>
    <x v="61"/>
    <x v="29"/>
  </r>
  <r>
    <x v="62"/>
    <x v="62"/>
    <x v="62"/>
    <x v="9"/>
  </r>
  <r>
    <x v="63"/>
    <x v="63"/>
    <x v="63"/>
    <x v="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4" minRefreshableVersion="3" useAutoFormatting="1" rowGrandTotals="0" colGrandTotals="0" itemPrintTitles="1" createdVersion="4" indent="0" compact="0" compactData="0" multipleFieldFilters="0">
  <location ref="L1:O65" firstHeaderRow="1" firstDataRow="1" firstDataCol="4"/>
  <pivotFields count="4">
    <pivotField axis="axisRow" compact="0" outline="0" showAll="0" defaultSubtotal="0">
      <items count="6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s>
    </pivotField>
    <pivotField axis="axisRow" compact="0" outline="0" showAll="0" defaultSubtotal="0">
      <items count="64">
        <item x="49"/>
        <item x="53"/>
        <item x="52"/>
        <item x="33"/>
        <item x="34"/>
        <item x="1"/>
        <item x="0"/>
        <item x="2"/>
        <item x="30"/>
        <item x="28"/>
        <item x="29"/>
        <item x="24"/>
        <item x="25"/>
        <item x="26"/>
        <item x="27"/>
        <item x="51"/>
        <item x="4"/>
        <item x="47"/>
        <item x="17"/>
        <item x="55"/>
        <item x="43"/>
        <item x="44"/>
        <item x="45"/>
        <item x="57"/>
        <item x="58"/>
        <item x="8"/>
        <item x="48"/>
        <item x="56"/>
        <item x="7"/>
        <item x="40"/>
        <item x="41"/>
        <item x="42"/>
        <item x="54"/>
        <item x="5"/>
        <item x="39"/>
        <item x="50"/>
        <item x="15"/>
        <item x="16"/>
        <item x="59"/>
        <item x="6"/>
        <item x="3"/>
        <item x="31"/>
        <item x="32"/>
        <item x="9"/>
        <item x="10"/>
        <item x="11"/>
        <item x="12"/>
        <item x="13"/>
        <item x="14"/>
        <item x="35"/>
        <item x="36"/>
        <item x="18"/>
        <item x="19"/>
        <item x="20"/>
        <item x="37"/>
        <item x="21"/>
        <item x="38"/>
        <item x="46"/>
        <item x="22"/>
        <item x="23"/>
        <item x="60"/>
        <item x="61"/>
        <item x="62"/>
        <item x="63"/>
      </items>
    </pivotField>
    <pivotField axis="axisRow" compact="0" outline="0" showAll="0" defaultSubtotal="0">
      <items count="6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s>
    </pivotField>
    <pivotField axis="axisRow" compact="0" numFmtId="41" outline="0" showAll="0" defaultSubtotal="0">
      <items count="30">
        <item x="16"/>
        <item x="1"/>
        <item x="12"/>
        <item x="0"/>
        <item x="2"/>
        <item x="3"/>
        <item x="15"/>
        <item x="13"/>
        <item x="6"/>
        <item x="7"/>
        <item x="4"/>
        <item x="10"/>
        <item x="5"/>
        <item x="20"/>
        <item x="8"/>
        <item x="26"/>
        <item x="9"/>
        <item x="18"/>
        <item x="24"/>
        <item x="11"/>
        <item x="17"/>
        <item x="19"/>
        <item x="22"/>
        <item x="14"/>
        <item x="28"/>
        <item x="25"/>
        <item x="21"/>
        <item x="27"/>
        <item x="23"/>
        <item x="29"/>
      </items>
    </pivotField>
  </pivotFields>
  <rowFields count="4">
    <field x="0"/>
    <field x="2"/>
    <field x="1"/>
    <field x="3"/>
  </rowFields>
  <rowItems count="64">
    <i>
      <x/>
      <x/>
      <x v="6"/>
      <x v="3"/>
    </i>
    <i>
      <x v="1"/>
      <x v="1"/>
      <x v="5"/>
      <x v="1"/>
    </i>
    <i>
      <x v="2"/>
      <x v="2"/>
      <x v="7"/>
      <x v="4"/>
    </i>
    <i>
      <x v="3"/>
      <x v="3"/>
      <x v="40"/>
      <x v="5"/>
    </i>
    <i>
      <x v="4"/>
      <x v="4"/>
      <x v="16"/>
      <x v="10"/>
    </i>
    <i>
      <x v="5"/>
      <x v="5"/>
      <x v="33"/>
      <x v="12"/>
    </i>
    <i>
      <x v="6"/>
      <x v="6"/>
      <x v="39"/>
      <x v="8"/>
    </i>
    <i>
      <x v="7"/>
      <x v="7"/>
      <x v="28"/>
      <x v="9"/>
    </i>
    <i>
      <x v="8"/>
      <x v="8"/>
      <x v="25"/>
      <x v="14"/>
    </i>
    <i>
      <x v="9"/>
      <x v="9"/>
      <x v="43"/>
      <x v="16"/>
    </i>
    <i>
      <x v="10"/>
      <x v="10"/>
      <x v="44"/>
      <x v="14"/>
    </i>
    <i>
      <x v="11"/>
      <x v="11"/>
      <x v="45"/>
      <x v="14"/>
    </i>
    <i>
      <x v="12"/>
      <x v="12"/>
      <x v="46"/>
      <x v="14"/>
    </i>
    <i>
      <x v="13"/>
      <x v="13"/>
      <x v="47"/>
      <x v="14"/>
    </i>
    <i>
      <x v="14"/>
      <x v="14"/>
      <x v="48"/>
      <x v="14"/>
    </i>
    <i>
      <x v="15"/>
      <x v="15"/>
      <x v="36"/>
      <x v="11"/>
    </i>
    <i>
      <x v="16"/>
      <x v="16"/>
      <x v="37"/>
      <x v="11"/>
    </i>
    <i>
      <x v="17"/>
      <x v="17"/>
      <x v="18"/>
      <x v="19"/>
    </i>
    <i>
      <x v="18"/>
      <x v="18"/>
      <x v="51"/>
      <x v="4"/>
    </i>
    <i>
      <x v="19"/>
      <x v="19"/>
      <x v="52"/>
      <x v="2"/>
    </i>
    <i>
      <x v="20"/>
      <x v="20"/>
      <x v="53"/>
      <x v="7"/>
    </i>
    <i>
      <x v="21"/>
      <x v="21"/>
      <x v="55"/>
      <x v="8"/>
    </i>
    <i>
      <x v="22"/>
      <x v="22"/>
      <x v="58"/>
      <x v="23"/>
    </i>
    <i>
      <x v="23"/>
      <x v="23"/>
      <x v="59"/>
      <x v="10"/>
    </i>
    <i>
      <x v="24"/>
      <x v="24"/>
      <x v="11"/>
      <x v="9"/>
    </i>
    <i>
      <x v="25"/>
      <x v="25"/>
      <x v="12"/>
      <x v="14"/>
    </i>
    <i>
      <x v="26"/>
      <x v="26"/>
      <x v="13"/>
      <x v="9"/>
    </i>
    <i>
      <x v="27"/>
      <x v="27"/>
      <x v="14"/>
      <x v="6"/>
    </i>
    <i>
      <x v="28"/>
      <x v="28"/>
      <x v="9"/>
      <x v="6"/>
    </i>
    <i>
      <x v="29"/>
      <x v="29"/>
      <x v="10"/>
      <x/>
    </i>
    <i>
      <x v="30"/>
      <x v="30"/>
      <x v="8"/>
      <x v="6"/>
    </i>
    <i>
      <x v="31"/>
      <x v="31"/>
      <x v="41"/>
      <x v="9"/>
    </i>
    <i>
      <x v="32"/>
      <x v="32"/>
      <x v="42"/>
      <x/>
    </i>
    <i>
      <x v="33"/>
      <x v="33"/>
      <x v="3"/>
      <x v="9"/>
    </i>
    <i>
      <x v="34"/>
      <x v="34"/>
      <x v="4"/>
      <x/>
    </i>
    <i>
      <x v="35"/>
      <x v="35"/>
      <x v="49"/>
      <x v="20"/>
    </i>
    <i>
      <x v="36"/>
      <x v="36"/>
      <x v="50"/>
      <x v="17"/>
    </i>
    <i>
      <x v="37"/>
      <x v="37"/>
      <x v="54"/>
      <x v="21"/>
    </i>
    <i>
      <x v="38"/>
      <x v="38"/>
      <x v="56"/>
      <x v="13"/>
    </i>
    <i>
      <x v="39"/>
      <x v="39"/>
      <x v="34"/>
      <x v="26"/>
    </i>
    <i>
      <x v="40"/>
      <x v="40"/>
      <x v="29"/>
      <x v="22"/>
    </i>
    <i>
      <x v="41"/>
      <x v="41"/>
      <x v="30"/>
      <x v="28"/>
    </i>
    <i>
      <x v="42"/>
      <x v="42"/>
      <x v="31"/>
      <x v="22"/>
    </i>
    <i>
      <x v="43"/>
      <x v="43"/>
      <x v="20"/>
      <x v="21"/>
    </i>
    <i>
      <x v="44"/>
      <x v="44"/>
      <x v="21"/>
      <x v="18"/>
    </i>
    <i>
      <x v="45"/>
      <x v="45"/>
      <x v="22"/>
      <x v="20"/>
    </i>
    <i>
      <x v="46"/>
      <x v="46"/>
      <x v="57"/>
      <x v="11"/>
    </i>
    <i>
      <x v="47"/>
      <x v="47"/>
      <x v="17"/>
      <x v="9"/>
    </i>
    <i>
      <x v="48"/>
      <x v="48"/>
      <x v="26"/>
      <x v="14"/>
    </i>
    <i>
      <x v="49"/>
      <x v="49"/>
      <x/>
      <x v="13"/>
    </i>
    <i>
      <x v="50"/>
      <x v="50"/>
      <x v="35"/>
      <x v="10"/>
    </i>
    <i>
      <x v="51"/>
      <x v="51"/>
      <x v="15"/>
      <x v="23"/>
    </i>
    <i>
      <x v="52"/>
      <x v="52"/>
      <x v="2"/>
      <x v="25"/>
    </i>
    <i>
      <x v="53"/>
      <x v="53"/>
      <x v="1"/>
      <x v="5"/>
    </i>
    <i>
      <x v="54"/>
      <x v="54"/>
      <x v="32"/>
      <x v="15"/>
    </i>
    <i>
      <x v="55"/>
      <x v="55"/>
      <x v="19"/>
      <x v="27"/>
    </i>
    <i>
      <x v="56"/>
      <x v="56"/>
      <x v="27"/>
      <x v="12"/>
    </i>
    <i>
      <x v="57"/>
      <x v="57"/>
      <x v="23"/>
      <x v="9"/>
    </i>
    <i>
      <x v="58"/>
      <x v="58"/>
      <x v="24"/>
      <x v="10"/>
    </i>
    <i>
      <x v="59"/>
      <x v="59"/>
      <x v="38"/>
      <x v="24"/>
    </i>
    <i>
      <x v="60"/>
      <x v="60"/>
      <x v="60"/>
      <x v="18"/>
    </i>
    <i>
      <x v="61"/>
      <x v="61"/>
      <x v="61"/>
      <x v="29"/>
    </i>
    <i>
      <x v="62"/>
      <x v="62"/>
      <x v="62"/>
      <x v="16"/>
    </i>
    <i>
      <x v="63"/>
      <x v="63"/>
      <x v="63"/>
      <x v="14"/>
    </i>
  </rowItems>
  <colItems count="1">
    <i/>
  </colItems>
  <formats count="451">
    <format dxfId="630">
      <pivotArea field="3" type="button" dataOnly="0" labelOnly="1" outline="0" axis="axisRow" fieldPosition="3"/>
    </format>
    <format dxfId="629">
      <pivotArea dataOnly="0" labelOnly="1" outline="0" fieldPosition="0">
        <references count="4">
          <reference field="0" count="1" selected="0">
            <x v="0"/>
          </reference>
          <reference field="1" count="1" selected="0">
            <x v="6"/>
          </reference>
          <reference field="2" count="1" selected="0">
            <x v="0"/>
          </reference>
          <reference field="3" count="1">
            <x v="3"/>
          </reference>
        </references>
      </pivotArea>
    </format>
    <format dxfId="628">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627">
      <pivotArea dataOnly="0" labelOnly="1" outline="0" fieldPosition="0">
        <references count="4">
          <reference field="0" count="1" selected="0">
            <x v="2"/>
          </reference>
          <reference field="1" count="1" selected="0">
            <x v="7"/>
          </reference>
          <reference field="2" count="1" selected="0">
            <x v="2"/>
          </reference>
          <reference field="3" count="1">
            <x v="4"/>
          </reference>
        </references>
      </pivotArea>
    </format>
    <format dxfId="626">
      <pivotArea dataOnly="0" labelOnly="1" outline="0" fieldPosition="0">
        <references count="4">
          <reference field="0" count="1" selected="0">
            <x v="3"/>
          </reference>
          <reference field="1" count="1" selected="0">
            <x v="40"/>
          </reference>
          <reference field="2" count="1" selected="0">
            <x v="3"/>
          </reference>
          <reference field="3" count="1">
            <x v="5"/>
          </reference>
        </references>
      </pivotArea>
    </format>
    <format dxfId="625">
      <pivotArea dataOnly="0" labelOnly="1" outline="0" fieldPosition="0">
        <references count="4">
          <reference field="0" count="1" selected="0">
            <x v="4"/>
          </reference>
          <reference field="1" count="1" selected="0">
            <x v="16"/>
          </reference>
          <reference field="2" count="1" selected="0">
            <x v="4"/>
          </reference>
          <reference field="3" count="1">
            <x v="10"/>
          </reference>
        </references>
      </pivotArea>
    </format>
    <format dxfId="624">
      <pivotArea dataOnly="0" labelOnly="1" outline="0" fieldPosition="0">
        <references count="4">
          <reference field="0" count="1" selected="0">
            <x v="5"/>
          </reference>
          <reference field="1" count="1" selected="0">
            <x v="33"/>
          </reference>
          <reference field="2" count="1" selected="0">
            <x v="5"/>
          </reference>
          <reference field="3" count="1">
            <x v="12"/>
          </reference>
        </references>
      </pivotArea>
    </format>
    <format dxfId="623">
      <pivotArea dataOnly="0" labelOnly="1" outline="0" fieldPosition="0">
        <references count="4">
          <reference field="0" count="1" selected="0">
            <x v="6"/>
          </reference>
          <reference field="1" count="1" selected="0">
            <x v="39"/>
          </reference>
          <reference field="2" count="1" selected="0">
            <x v="6"/>
          </reference>
          <reference field="3" count="1">
            <x v="8"/>
          </reference>
        </references>
      </pivotArea>
    </format>
    <format dxfId="622">
      <pivotArea dataOnly="0" labelOnly="1" outline="0" fieldPosition="0">
        <references count="4">
          <reference field="0" count="1" selected="0">
            <x v="7"/>
          </reference>
          <reference field="1" count="1" selected="0">
            <x v="28"/>
          </reference>
          <reference field="2" count="1" selected="0">
            <x v="7"/>
          </reference>
          <reference field="3" count="1">
            <x v="9"/>
          </reference>
        </references>
      </pivotArea>
    </format>
    <format dxfId="621">
      <pivotArea dataOnly="0" labelOnly="1" outline="0" fieldPosition="0">
        <references count="4">
          <reference field="0" count="1" selected="0">
            <x v="8"/>
          </reference>
          <reference field="1" count="1" selected="0">
            <x v="25"/>
          </reference>
          <reference field="2" count="1" selected="0">
            <x v="8"/>
          </reference>
          <reference field="3" count="1">
            <x v="14"/>
          </reference>
        </references>
      </pivotArea>
    </format>
    <format dxfId="620">
      <pivotArea dataOnly="0" labelOnly="1" outline="0" fieldPosition="0">
        <references count="4">
          <reference field="0" count="1" selected="0">
            <x v="9"/>
          </reference>
          <reference field="1" count="1" selected="0">
            <x v="43"/>
          </reference>
          <reference field="2" count="1" selected="0">
            <x v="9"/>
          </reference>
          <reference field="3" count="1">
            <x v="16"/>
          </reference>
        </references>
      </pivotArea>
    </format>
    <format dxfId="619">
      <pivotArea dataOnly="0" labelOnly="1" outline="0" fieldPosition="0">
        <references count="4">
          <reference field="0" count="1" selected="0">
            <x v="10"/>
          </reference>
          <reference field="1" count="1" selected="0">
            <x v="44"/>
          </reference>
          <reference field="2" count="1" selected="0">
            <x v="10"/>
          </reference>
          <reference field="3" count="1">
            <x v="14"/>
          </reference>
        </references>
      </pivotArea>
    </format>
    <format dxfId="618">
      <pivotArea dataOnly="0" labelOnly="1" outline="0" fieldPosition="0">
        <references count="4">
          <reference field="0" count="1" selected="0">
            <x v="11"/>
          </reference>
          <reference field="1" count="1" selected="0">
            <x v="45"/>
          </reference>
          <reference field="2" count="1" selected="0">
            <x v="11"/>
          </reference>
          <reference field="3" count="1">
            <x v="14"/>
          </reference>
        </references>
      </pivotArea>
    </format>
    <format dxfId="617">
      <pivotArea dataOnly="0" labelOnly="1" outline="0" fieldPosition="0">
        <references count="4">
          <reference field="0" count="1" selected="0">
            <x v="12"/>
          </reference>
          <reference field="1" count="1" selected="0">
            <x v="46"/>
          </reference>
          <reference field="2" count="1" selected="0">
            <x v="12"/>
          </reference>
          <reference field="3" count="1">
            <x v="14"/>
          </reference>
        </references>
      </pivotArea>
    </format>
    <format dxfId="616">
      <pivotArea dataOnly="0" labelOnly="1" outline="0" fieldPosition="0">
        <references count="4">
          <reference field="0" count="1" selected="0">
            <x v="13"/>
          </reference>
          <reference field="1" count="1" selected="0">
            <x v="47"/>
          </reference>
          <reference field="2" count="1" selected="0">
            <x v="13"/>
          </reference>
          <reference field="3" count="1">
            <x v="14"/>
          </reference>
        </references>
      </pivotArea>
    </format>
    <format dxfId="615">
      <pivotArea dataOnly="0" labelOnly="1" outline="0" fieldPosition="0">
        <references count="4">
          <reference field="0" count="1" selected="0">
            <x v="14"/>
          </reference>
          <reference field="1" count="1" selected="0">
            <x v="48"/>
          </reference>
          <reference field="2" count="1" selected="0">
            <x v="14"/>
          </reference>
          <reference field="3" count="1">
            <x v="14"/>
          </reference>
        </references>
      </pivotArea>
    </format>
    <format dxfId="614">
      <pivotArea dataOnly="0" labelOnly="1" outline="0" fieldPosition="0">
        <references count="4">
          <reference field="0" count="1" selected="0">
            <x v="15"/>
          </reference>
          <reference field="1" count="1" selected="0">
            <x v="36"/>
          </reference>
          <reference field="2" count="1" selected="0">
            <x v="15"/>
          </reference>
          <reference field="3" count="1">
            <x v="11"/>
          </reference>
        </references>
      </pivotArea>
    </format>
    <format dxfId="613">
      <pivotArea dataOnly="0" labelOnly="1" outline="0" fieldPosition="0">
        <references count="4">
          <reference field="0" count="1" selected="0">
            <x v="16"/>
          </reference>
          <reference field="1" count="1" selected="0">
            <x v="37"/>
          </reference>
          <reference field="2" count="1" selected="0">
            <x v="16"/>
          </reference>
          <reference field="3" count="1">
            <x v="11"/>
          </reference>
        </references>
      </pivotArea>
    </format>
    <format dxfId="612">
      <pivotArea dataOnly="0" labelOnly="1" outline="0" fieldPosition="0">
        <references count="4">
          <reference field="0" count="1" selected="0">
            <x v="17"/>
          </reference>
          <reference field="1" count="1" selected="0">
            <x v="18"/>
          </reference>
          <reference field="2" count="1" selected="0">
            <x v="17"/>
          </reference>
          <reference field="3" count="1">
            <x v="19"/>
          </reference>
        </references>
      </pivotArea>
    </format>
    <format dxfId="611">
      <pivotArea dataOnly="0" labelOnly="1" outline="0" fieldPosition="0">
        <references count="4">
          <reference field="0" count="1" selected="0">
            <x v="18"/>
          </reference>
          <reference field="1" count="1" selected="0">
            <x v="51"/>
          </reference>
          <reference field="2" count="1" selected="0">
            <x v="18"/>
          </reference>
          <reference field="3" count="1">
            <x v="4"/>
          </reference>
        </references>
      </pivotArea>
    </format>
    <format dxfId="610">
      <pivotArea dataOnly="0" labelOnly="1" outline="0" fieldPosition="0">
        <references count="4">
          <reference field="0" count="1" selected="0">
            <x v="19"/>
          </reference>
          <reference field="1" count="1" selected="0">
            <x v="52"/>
          </reference>
          <reference field="2" count="1" selected="0">
            <x v="19"/>
          </reference>
          <reference field="3" count="1">
            <x v="2"/>
          </reference>
        </references>
      </pivotArea>
    </format>
    <format dxfId="609">
      <pivotArea dataOnly="0" labelOnly="1" outline="0" fieldPosition="0">
        <references count="4">
          <reference field="0" count="1" selected="0">
            <x v="20"/>
          </reference>
          <reference field="1" count="1" selected="0">
            <x v="53"/>
          </reference>
          <reference field="2" count="1" selected="0">
            <x v="20"/>
          </reference>
          <reference field="3" count="1">
            <x v="7"/>
          </reference>
        </references>
      </pivotArea>
    </format>
    <format dxfId="608">
      <pivotArea dataOnly="0" labelOnly="1" outline="0" fieldPosition="0">
        <references count="4">
          <reference field="0" count="1" selected="0">
            <x v="21"/>
          </reference>
          <reference field="1" count="1" selected="0">
            <x v="55"/>
          </reference>
          <reference field="2" count="1" selected="0">
            <x v="21"/>
          </reference>
          <reference field="3" count="1">
            <x v="8"/>
          </reference>
        </references>
      </pivotArea>
    </format>
    <format dxfId="607">
      <pivotArea dataOnly="0" labelOnly="1" outline="0" fieldPosition="0">
        <references count="4">
          <reference field="0" count="1" selected="0">
            <x v="22"/>
          </reference>
          <reference field="1" count="1" selected="0">
            <x v="58"/>
          </reference>
          <reference field="2" count="1" selected="0">
            <x v="22"/>
          </reference>
          <reference field="3" count="1">
            <x v="23"/>
          </reference>
        </references>
      </pivotArea>
    </format>
    <format dxfId="606">
      <pivotArea dataOnly="0" labelOnly="1" outline="0" fieldPosition="0">
        <references count="4">
          <reference field="0" count="1" selected="0">
            <x v="23"/>
          </reference>
          <reference field="1" count="1" selected="0">
            <x v="59"/>
          </reference>
          <reference field="2" count="1" selected="0">
            <x v="23"/>
          </reference>
          <reference field="3" count="1">
            <x v="10"/>
          </reference>
        </references>
      </pivotArea>
    </format>
    <format dxfId="605">
      <pivotArea dataOnly="0" labelOnly="1" outline="0" fieldPosition="0">
        <references count="4">
          <reference field="0" count="1" selected="0">
            <x v="24"/>
          </reference>
          <reference field="1" count="1" selected="0">
            <x v="11"/>
          </reference>
          <reference field="2" count="1" selected="0">
            <x v="24"/>
          </reference>
          <reference field="3" count="1">
            <x v="9"/>
          </reference>
        </references>
      </pivotArea>
    </format>
    <format dxfId="604">
      <pivotArea dataOnly="0" labelOnly="1" outline="0" fieldPosition="0">
        <references count="4">
          <reference field="0" count="1" selected="0">
            <x v="25"/>
          </reference>
          <reference field="1" count="1" selected="0">
            <x v="12"/>
          </reference>
          <reference field="2" count="1" selected="0">
            <x v="25"/>
          </reference>
          <reference field="3" count="1">
            <x v="14"/>
          </reference>
        </references>
      </pivotArea>
    </format>
    <format dxfId="603">
      <pivotArea dataOnly="0" labelOnly="1" outline="0" fieldPosition="0">
        <references count="4">
          <reference field="0" count="1" selected="0">
            <x v="26"/>
          </reference>
          <reference field="1" count="1" selected="0">
            <x v="13"/>
          </reference>
          <reference field="2" count="1" selected="0">
            <x v="26"/>
          </reference>
          <reference field="3" count="1">
            <x v="9"/>
          </reference>
        </references>
      </pivotArea>
    </format>
    <format dxfId="602">
      <pivotArea dataOnly="0" labelOnly="1" outline="0" fieldPosition="0">
        <references count="4">
          <reference field="0" count="1" selected="0">
            <x v="27"/>
          </reference>
          <reference field="1" count="1" selected="0">
            <x v="14"/>
          </reference>
          <reference field="2" count="1" selected="0">
            <x v="27"/>
          </reference>
          <reference field="3" count="1">
            <x v="6"/>
          </reference>
        </references>
      </pivotArea>
    </format>
    <format dxfId="601">
      <pivotArea dataOnly="0" labelOnly="1" outline="0" fieldPosition="0">
        <references count="4">
          <reference field="0" count="1" selected="0">
            <x v="28"/>
          </reference>
          <reference field="1" count="1" selected="0">
            <x v="9"/>
          </reference>
          <reference field="2" count="1" selected="0">
            <x v="28"/>
          </reference>
          <reference field="3" count="1">
            <x v="6"/>
          </reference>
        </references>
      </pivotArea>
    </format>
    <format dxfId="600">
      <pivotArea dataOnly="0" labelOnly="1" outline="0" fieldPosition="0">
        <references count="4">
          <reference field="0" count="1" selected="0">
            <x v="29"/>
          </reference>
          <reference field="1" count="1" selected="0">
            <x v="10"/>
          </reference>
          <reference field="2" count="1" selected="0">
            <x v="29"/>
          </reference>
          <reference field="3" count="1">
            <x v="0"/>
          </reference>
        </references>
      </pivotArea>
    </format>
    <format dxfId="599">
      <pivotArea dataOnly="0" labelOnly="1" outline="0" fieldPosition="0">
        <references count="4">
          <reference field="0" count="1" selected="0">
            <x v="30"/>
          </reference>
          <reference field="1" count="1" selected="0">
            <x v="8"/>
          </reference>
          <reference field="2" count="1" selected="0">
            <x v="30"/>
          </reference>
          <reference field="3" count="1">
            <x v="6"/>
          </reference>
        </references>
      </pivotArea>
    </format>
    <format dxfId="598">
      <pivotArea dataOnly="0" labelOnly="1" outline="0" fieldPosition="0">
        <references count="4">
          <reference field="0" count="1" selected="0">
            <x v="31"/>
          </reference>
          <reference field="1" count="1" selected="0">
            <x v="41"/>
          </reference>
          <reference field="2" count="1" selected="0">
            <x v="31"/>
          </reference>
          <reference field="3" count="1">
            <x v="9"/>
          </reference>
        </references>
      </pivotArea>
    </format>
    <format dxfId="597">
      <pivotArea dataOnly="0" labelOnly="1" outline="0" fieldPosition="0">
        <references count="4">
          <reference field="0" count="1" selected="0">
            <x v="32"/>
          </reference>
          <reference field="1" count="1" selected="0">
            <x v="42"/>
          </reference>
          <reference field="2" count="1" selected="0">
            <x v="32"/>
          </reference>
          <reference field="3" count="1">
            <x v="0"/>
          </reference>
        </references>
      </pivotArea>
    </format>
    <format dxfId="596">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595">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594">
      <pivotArea dataOnly="0" labelOnly="1" outline="0" fieldPosition="0">
        <references count="4">
          <reference field="0" count="1" selected="0">
            <x v="35"/>
          </reference>
          <reference field="1" count="1" selected="0">
            <x v="49"/>
          </reference>
          <reference field="2" count="1" selected="0">
            <x v="35"/>
          </reference>
          <reference field="3" count="1">
            <x v="20"/>
          </reference>
        </references>
      </pivotArea>
    </format>
    <format dxfId="593">
      <pivotArea dataOnly="0" labelOnly="1" outline="0" fieldPosition="0">
        <references count="4">
          <reference field="0" count="1" selected="0">
            <x v="36"/>
          </reference>
          <reference field="1" count="1" selected="0">
            <x v="50"/>
          </reference>
          <reference field="2" count="1" selected="0">
            <x v="36"/>
          </reference>
          <reference field="3" count="1">
            <x v="17"/>
          </reference>
        </references>
      </pivotArea>
    </format>
    <format dxfId="592">
      <pivotArea dataOnly="0" labelOnly="1" outline="0" fieldPosition="0">
        <references count="4">
          <reference field="0" count="1" selected="0">
            <x v="37"/>
          </reference>
          <reference field="1" count="1" selected="0">
            <x v="54"/>
          </reference>
          <reference field="2" count="1" selected="0">
            <x v="37"/>
          </reference>
          <reference field="3" count="1">
            <x v="21"/>
          </reference>
        </references>
      </pivotArea>
    </format>
    <format dxfId="591">
      <pivotArea dataOnly="0" labelOnly="1" outline="0" fieldPosition="0">
        <references count="4">
          <reference field="0" count="1" selected="0">
            <x v="38"/>
          </reference>
          <reference field="1" count="1" selected="0">
            <x v="56"/>
          </reference>
          <reference field="2" count="1" selected="0">
            <x v="38"/>
          </reference>
          <reference field="3" count="1">
            <x v="13"/>
          </reference>
        </references>
      </pivotArea>
    </format>
    <format dxfId="590">
      <pivotArea dataOnly="0" labelOnly="1" outline="0" fieldPosition="0">
        <references count="4">
          <reference field="0" count="1" selected="0">
            <x v="39"/>
          </reference>
          <reference field="1" count="1" selected="0">
            <x v="34"/>
          </reference>
          <reference field="2" count="1" selected="0">
            <x v="39"/>
          </reference>
          <reference field="3" count="1">
            <x v="26"/>
          </reference>
        </references>
      </pivotArea>
    </format>
    <format dxfId="589">
      <pivotArea dataOnly="0" labelOnly="1" outline="0" fieldPosition="0">
        <references count="4">
          <reference field="0" count="1" selected="0">
            <x v="40"/>
          </reference>
          <reference field="1" count="1" selected="0">
            <x v="29"/>
          </reference>
          <reference field="2" count="1" selected="0">
            <x v="40"/>
          </reference>
          <reference field="3" count="1">
            <x v="22"/>
          </reference>
        </references>
      </pivotArea>
    </format>
    <format dxfId="588">
      <pivotArea dataOnly="0" labelOnly="1" outline="0" fieldPosition="0">
        <references count="4">
          <reference field="0" count="1" selected="0">
            <x v="41"/>
          </reference>
          <reference field="1" count="1" selected="0">
            <x v="30"/>
          </reference>
          <reference field="2" count="1" selected="0">
            <x v="41"/>
          </reference>
          <reference field="3" count="1">
            <x v="28"/>
          </reference>
        </references>
      </pivotArea>
    </format>
    <format dxfId="587">
      <pivotArea dataOnly="0" labelOnly="1" outline="0" fieldPosition="0">
        <references count="4">
          <reference field="0" count="1" selected="0">
            <x v="42"/>
          </reference>
          <reference field="1" count="1" selected="0">
            <x v="31"/>
          </reference>
          <reference field="2" count="1" selected="0">
            <x v="42"/>
          </reference>
          <reference field="3" count="1">
            <x v="22"/>
          </reference>
        </references>
      </pivotArea>
    </format>
    <format dxfId="586">
      <pivotArea dataOnly="0" labelOnly="1" outline="0" fieldPosition="0">
        <references count="4">
          <reference field="0" count="1" selected="0">
            <x v="43"/>
          </reference>
          <reference field="1" count="1" selected="0">
            <x v="20"/>
          </reference>
          <reference field="2" count="1" selected="0">
            <x v="43"/>
          </reference>
          <reference field="3" count="1">
            <x v="21"/>
          </reference>
        </references>
      </pivotArea>
    </format>
    <format dxfId="585">
      <pivotArea dataOnly="0" labelOnly="1" outline="0" fieldPosition="0">
        <references count="4">
          <reference field="0" count="1" selected="0">
            <x v="44"/>
          </reference>
          <reference field="1" count="1" selected="0">
            <x v="21"/>
          </reference>
          <reference field="2" count="1" selected="0">
            <x v="44"/>
          </reference>
          <reference field="3" count="1">
            <x v="18"/>
          </reference>
        </references>
      </pivotArea>
    </format>
    <format dxfId="584">
      <pivotArea dataOnly="0" labelOnly="1" outline="0" fieldPosition="0">
        <references count="4">
          <reference field="0" count="1" selected="0">
            <x v="45"/>
          </reference>
          <reference field="1" count="1" selected="0">
            <x v="22"/>
          </reference>
          <reference field="2" count="1" selected="0">
            <x v="45"/>
          </reference>
          <reference field="3" count="1">
            <x v="20"/>
          </reference>
        </references>
      </pivotArea>
    </format>
    <format dxfId="583">
      <pivotArea dataOnly="0" labelOnly="1" outline="0" fieldPosition="0">
        <references count="4">
          <reference field="0" count="1" selected="0">
            <x v="46"/>
          </reference>
          <reference field="1" count="1" selected="0">
            <x v="57"/>
          </reference>
          <reference field="2" count="1" selected="0">
            <x v="46"/>
          </reference>
          <reference field="3" count="1">
            <x v="11"/>
          </reference>
        </references>
      </pivotArea>
    </format>
    <format dxfId="582">
      <pivotArea dataOnly="0" labelOnly="1" outline="0" fieldPosition="0">
        <references count="4">
          <reference field="0" count="1" selected="0">
            <x v="47"/>
          </reference>
          <reference field="1" count="1" selected="0">
            <x v="17"/>
          </reference>
          <reference field="2" count="1" selected="0">
            <x v="47"/>
          </reference>
          <reference field="3" count="1">
            <x v="9"/>
          </reference>
        </references>
      </pivotArea>
    </format>
    <format dxfId="581">
      <pivotArea dataOnly="0" labelOnly="1" outline="0" fieldPosition="0">
        <references count="4">
          <reference field="0" count="1" selected="0">
            <x v="48"/>
          </reference>
          <reference field="1" count="1" selected="0">
            <x v="26"/>
          </reference>
          <reference field="2" count="1" selected="0">
            <x v="48"/>
          </reference>
          <reference field="3" count="1">
            <x v="14"/>
          </reference>
        </references>
      </pivotArea>
    </format>
    <format dxfId="580">
      <pivotArea dataOnly="0" labelOnly="1" outline="0" fieldPosition="0">
        <references count="4">
          <reference field="0" count="1" selected="0">
            <x v="49"/>
          </reference>
          <reference field="1" count="1" selected="0">
            <x v="0"/>
          </reference>
          <reference field="2" count="1" selected="0">
            <x v="49"/>
          </reference>
          <reference field="3" count="1">
            <x v="11"/>
          </reference>
        </references>
      </pivotArea>
    </format>
    <format dxfId="579">
      <pivotArea dataOnly="0" labelOnly="1" outline="0" fieldPosition="0">
        <references count="4">
          <reference field="0" count="1" selected="0">
            <x v="50"/>
          </reference>
          <reference field="1" count="1" selected="0">
            <x v="35"/>
          </reference>
          <reference field="2" count="1" selected="0">
            <x v="50"/>
          </reference>
          <reference field="3" count="1">
            <x v="10"/>
          </reference>
        </references>
      </pivotArea>
    </format>
    <format dxfId="578">
      <pivotArea dataOnly="0" labelOnly="1" outline="0" fieldPosition="0">
        <references count="4">
          <reference field="0" count="1" selected="0">
            <x v="51"/>
          </reference>
          <reference field="1" count="1" selected="0">
            <x v="15"/>
          </reference>
          <reference field="2" count="1" selected="0">
            <x v="51"/>
          </reference>
          <reference field="3" count="1">
            <x v="23"/>
          </reference>
        </references>
      </pivotArea>
    </format>
    <format dxfId="577">
      <pivotArea dataOnly="0" labelOnly="1" outline="0" fieldPosition="0">
        <references count="4">
          <reference field="0" count="1" selected="0">
            <x v="52"/>
          </reference>
          <reference field="1" count="1" selected="0">
            <x v="2"/>
          </reference>
          <reference field="2" count="1" selected="0">
            <x v="52"/>
          </reference>
          <reference field="3" count="1">
            <x v="25"/>
          </reference>
        </references>
      </pivotArea>
    </format>
    <format dxfId="576">
      <pivotArea dataOnly="0" labelOnly="1" outline="0" fieldPosition="0">
        <references count="4">
          <reference field="0" count="1" selected="0">
            <x v="53"/>
          </reference>
          <reference field="1" count="1" selected="0">
            <x v="1"/>
          </reference>
          <reference field="2" count="1" selected="0">
            <x v="53"/>
          </reference>
          <reference field="3" count="1">
            <x v="5"/>
          </reference>
        </references>
      </pivotArea>
    </format>
    <format dxfId="575">
      <pivotArea dataOnly="0" labelOnly="1" outline="0" fieldPosition="0">
        <references count="4">
          <reference field="0" count="1" selected="0">
            <x v="54"/>
          </reference>
          <reference field="1" count="1" selected="0">
            <x v="32"/>
          </reference>
          <reference field="2" count="1" selected="0">
            <x v="54"/>
          </reference>
          <reference field="3" count="1">
            <x v="15"/>
          </reference>
        </references>
      </pivotArea>
    </format>
    <format dxfId="574">
      <pivotArea dataOnly="0" labelOnly="1" outline="0" fieldPosition="0">
        <references count="4">
          <reference field="0" count="1" selected="0">
            <x v="55"/>
          </reference>
          <reference field="1" count="1" selected="0">
            <x v="19"/>
          </reference>
          <reference field="2" count="1" selected="0">
            <x v="55"/>
          </reference>
          <reference field="3" count="1">
            <x v="27"/>
          </reference>
        </references>
      </pivotArea>
    </format>
    <format dxfId="573">
      <pivotArea dataOnly="0" labelOnly="1" outline="0" fieldPosition="0">
        <references count="4">
          <reference field="0" count="1" selected="0">
            <x v="56"/>
          </reference>
          <reference field="1" count="1" selected="0">
            <x v="27"/>
          </reference>
          <reference field="2" count="1" selected="0">
            <x v="56"/>
          </reference>
          <reference field="3" count="1">
            <x v="12"/>
          </reference>
        </references>
      </pivotArea>
    </format>
    <format dxfId="572">
      <pivotArea dataOnly="0" labelOnly="1" outline="0" fieldPosition="0">
        <references count="4">
          <reference field="0" count="1" selected="0">
            <x v="57"/>
          </reference>
          <reference field="1" count="1" selected="0">
            <x v="23"/>
          </reference>
          <reference field="2" count="1" selected="0">
            <x v="57"/>
          </reference>
          <reference field="3" count="1">
            <x v="9"/>
          </reference>
        </references>
      </pivotArea>
    </format>
    <format dxfId="571">
      <pivotArea dataOnly="0" labelOnly="1" outline="0" fieldPosition="0">
        <references count="4">
          <reference field="0" count="1" selected="0">
            <x v="58"/>
          </reference>
          <reference field="1" count="1" selected="0">
            <x v="24"/>
          </reference>
          <reference field="2" count="1" selected="0">
            <x v="58"/>
          </reference>
          <reference field="3" count="1">
            <x v="10"/>
          </reference>
        </references>
      </pivotArea>
    </format>
    <format dxfId="570">
      <pivotArea dataOnly="0" labelOnly="1" outline="0" fieldPosition="0">
        <references count="4">
          <reference field="0" count="1" selected="0">
            <x v="59"/>
          </reference>
          <reference field="1" count="1" selected="0">
            <x v="38"/>
          </reference>
          <reference field="2" count="1" selected="0">
            <x v="59"/>
          </reference>
          <reference field="3" count="1">
            <x v="24"/>
          </reference>
        </references>
      </pivotArea>
    </format>
    <format dxfId="569">
      <pivotArea dataOnly="0" labelOnly="1" outline="0" fieldPosition="0">
        <references count="4">
          <reference field="0" count="1" selected="0">
            <x v="0"/>
          </reference>
          <reference field="1" count="1" selected="0">
            <x v="6"/>
          </reference>
          <reference field="2" count="1" selected="0">
            <x v="0"/>
          </reference>
          <reference field="3" count="1">
            <x v="3"/>
          </reference>
        </references>
      </pivotArea>
    </format>
    <format dxfId="568">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567">
      <pivotArea dataOnly="0" labelOnly="1" outline="0" fieldPosition="0">
        <references count="4">
          <reference field="0" count="1" selected="0">
            <x v="2"/>
          </reference>
          <reference field="1" count="1" selected="0">
            <x v="7"/>
          </reference>
          <reference field="2" count="1" selected="0">
            <x v="2"/>
          </reference>
          <reference field="3" count="1">
            <x v="4"/>
          </reference>
        </references>
      </pivotArea>
    </format>
    <format dxfId="566">
      <pivotArea dataOnly="0" labelOnly="1" outline="0" fieldPosition="0">
        <references count="4">
          <reference field="0" count="1" selected="0">
            <x v="3"/>
          </reference>
          <reference field="1" count="1" selected="0">
            <x v="40"/>
          </reference>
          <reference field="2" count="1" selected="0">
            <x v="3"/>
          </reference>
          <reference field="3" count="1">
            <x v="5"/>
          </reference>
        </references>
      </pivotArea>
    </format>
    <format dxfId="565">
      <pivotArea dataOnly="0" labelOnly="1" outline="0" fieldPosition="0">
        <references count="4">
          <reference field="0" count="1" selected="0">
            <x v="4"/>
          </reference>
          <reference field="1" count="1" selected="0">
            <x v="16"/>
          </reference>
          <reference field="2" count="1" selected="0">
            <x v="4"/>
          </reference>
          <reference field="3" count="1">
            <x v="10"/>
          </reference>
        </references>
      </pivotArea>
    </format>
    <format dxfId="564">
      <pivotArea dataOnly="0" labelOnly="1" outline="0" fieldPosition="0">
        <references count="4">
          <reference field="0" count="1" selected="0">
            <x v="5"/>
          </reference>
          <reference field="1" count="1" selected="0">
            <x v="33"/>
          </reference>
          <reference field="2" count="1" selected="0">
            <x v="5"/>
          </reference>
          <reference field="3" count="1">
            <x v="12"/>
          </reference>
        </references>
      </pivotArea>
    </format>
    <format dxfId="563">
      <pivotArea dataOnly="0" labelOnly="1" outline="0" fieldPosition="0">
        <references count="4">
          <reference field="0" count="1" selected="0">
            <x v="6"/>
          </reference>
          <reference field="1" count="1" selected="0">
            <x v="39"/>
          </reference>
          <reference field="2" count="1" selected="0">
            <x v="6"/>
          </reference>
          <reference field="3" count="1">
            <x v="8"/>
          </reference>
        </references>
      </pivotArea>
    </format>
    <format dxfId="562">
      <pivotArea dataOnly="0" labelOnly="1" outline="0" fieldPosition="0">
        <references count="4">
          <reference field="0" count="1" selected="0">
            <x v="7"/>
          </reference>
          <reference field="1" count="1" selected="0">
            <x v="28"/>
          </reference>
          <reference field="2" count="1" selected="0">
            <x v="7"/>
          </reference>
          <reference field="3" count="1">
            <x v="9"/>
          </reference>
        </references>
      </pivotArea>
    </format>
    <format dxfId="561">
      <pivotArea dataOnly="0" labelOnly="1" outline="0" fieldPosition="0">
        <references count="4">
          <reference field="0" count="1" selected="0">
            <x v="8"/>
          </reference>
          <reference field="1" count="1" selected="0">
            <x v="25"/>
          </reference>
          <reference field="2" count="1" selected="0">
            <x v="8"/>
          </reference>
          <reference field="3" count="1">
            <x v="14"/>
          </reference>
        </references>
      </pivotArea>
    </format>
    <format dxfId="560">
      <pivotArea dataOnly="0" labelOnly="1" outline="0" fieldPosition="0">
        <references count="4">
          <reference field="0" count="1" selected="0">
            <x v="9"/>
          </reference>
          <reference field="1" count="1" selected="0">
            <x v="43"/>
          </reference>
          <reference field="2" count="1" selected="0">
            <x v="9"/>
          </reference>
          <reference field="3" count="1">
            <x v="16"/>
          </reference>
        </references>
      </pivotArea>
    </format>
    <format dxfId="559">
      <pivotArea dataOnly="0" labelOnly="1" outline="0" fieldPosition="0">
        <references count="4">
          <reference field="0" count="1" selected="0">
            <x v="10"/>
          </reference>
          <reference field="1" count="1" selected="0">
            <x v="44"/>
          </reference>
          <reference field="2" count="1" selected="0">
            <x v="10"/>
          </reference>
          <reference field="3" count="1">
            <x v="14"/>
          </reference>
        </references>
      </pivotArea>
    </format>
    <format dxfId="558">
      <pivotArea dataOnly="0" labelOnly="1" outline="0" fieldPosition="0">
        <references count="4">
          <reference field="0" count="1" selected="0">
            <x v="11"/>
          </reference>
          <reference field="1" count="1" selected="0">
            <x v="45"/>
          </reference>
          <reference field="2" count="1" selected="0">
            <x v="11"/>
          </reference>
          <reference field="3" count="1">
            <x v="14"/>
          </reference>
        </references>
      </pivotArea>
    </format>
    <format dxfId="557">
      <pivotArea dataOnly="0" labelOnly="1" outline="0" fieldPosition="0">
        <references count="4">
          <reference field="0" count="1" selected="0">
            <x v="12"/>
          </reference>
          <reference field="1" count="1" selected="0">
            <x v="46"/>
          </reference>
          <reference field="2" count="1" selected="0">
            <x v="12"/>
          </reference>
          <reference field="3" count="1">
            <x v="14"/>
          </reference>
        </references>
      </pivotArea>
    </format>
    <format dxfId="556">
      <pivotArea dataOnly="0" labelOnly="1" outline="0" fieldPosition="0">
        <references count="4">
          <reference field="0" count="1" selected="0">
            <x v="13"/>
          </reference>
          <reference field="1" count="1" selected="0">
            <x v="47"/>
          </reference>
          <reference field="2" count="1" selected="0">
            <x v="13"/>
          </reference>
          <reference field="3" count="1">
            <x v="14"/>
          </reference>
        </references>
      </pivotArea>
    </format>
    <format dxfId="555">
      <pivotArea dataOnly="0" labelOnly="1" outline="0" fieldPosition="0">
        <references count="4">
          <reference field="0" count="1" selected="0">
            <x v="14"/>
          </reference>
          <reference field="1" count="1" selected="0">
            <x v="48"/>
          </reference>
          <reference field="2" count="1" selected="0">
            <x v="14"/>
          </reference>
          <reference field="3" count="1">
            <x v="14"/>
          </reference>
        </references>
      </pivotArea>
    </format>
    <format dxfId="554">
      <pivotArea dataOnly="0" labelOnly="1" outline="0" fieldPosition="0">
        <references count="4">
          <reference field="0" count="1" selected="0">
            <x v="15"/>
          </reference>
          <reference field="1" count="1" selected="0">
            <x v="36"/>
          </reference>
          <reference field="2" count="1" selected="0">
            <x v="15"/>
          </reference>
          <reference field="3" count="1">
            <x v="11"/>
          </reference>
        </references>
      </pivotArea>
    </format>
    <format dxfId="553">
      <pivotArea dataOnly="0" labelOnly="1" outline="0" fieldPosition="0">
        <references count="4">
          <reference field="0" count="1" selected="0">
            <x v="16"/>
          </reference>
          <reference field="1" count="1" selected="0">
            <x v="37"/>
          </reference>
          <reference field="2" count="1" selected="0">
            <x v="16"/>
          </reference>
          <reference field="3" count="1">
            <x v="11"/>
          </reference>
        </references>
      </pivotArea>
    </format>
    <format dxfId="552">
      <pivotArea dataOnly="0" labelOnly="1" outline="0" fieldPosition="0">
        <references count="4">
          <reference field="0" count="1" selected="0">
            <x v="17"/>
          </reference>
          <reference field="1" count="1" selected="0">
            <x v="18"/>
          </reference>
          <reference field="2" count="1" selected="0">
            <x v="17"/>
          </reference>
          <reference field="3" count="1">
            <x v="19"/>
          </reference>
        </references>
      </pivotArea>
    </format>
    <format dxfId="551">
      <pivotArea dataOnly="0" labelOnly="1" outline="0" fieldPosition="0">
        <references count="4">
          <reference field="0" count="1" selected="0">
            <x v="18"/>
          </reference>
          <reference field="1" count="1" selected="0">
            <x v="51"/>
          </reference>
          <reference field="2" count="1" selected="0">
            <x v="18"/>
          </reference>
          <reference field="3" count="1">
            <x v="4"/>
          </reference>
        </references>
      </pivotArea>
    </format>
    <format dxfId="550">
      <pivotArea dataOnly="0" labelOnly="1" outline="0" fieldPosition="0">
        <references count="4">
          <reference field="0" count="1" selected="0">
            <x v="19"/>
          </reference>
          <reference field="1" count="1" selected="0">
            <x v="52"/>
          </reference>
          <reference field="2" count="1" selected="0">
            <x v="19"/>
          </reference>
          <reference field="3" count="1">
            <x v="2"/>
          </reference>
        </references>
      </pivotArea>
    </format>
    <format dxfId="549">
      <pivotArea dataOnly="0" labelOnly="1" outline="0" fieldPosition="0">
        <references count="4">
          <reference field="0" count="1" selected="0">
            <x v="20"/>
          </reference>
          <reference field="1" count="1" selected="0">
            <x v="53"/>
          </reference>
          <reference field="2" count="1" selected="0">
            <x v="20"/>
          </reference>
          <reference field="3" count="1">
            <x v="7"/>
          </reference>
        </references>
      </pivotArea>
    </format>
    <format dxfId="548">
      <pivotArea dataOnly="0" labelOnly="1" outline="0" fieldPosition="0">
        <references count="4">
          <reference field="0" count="1" selected="0">
            <x v="21"/>
          </reference>
          <reference field="1" count="1" selected="0">
            <x v="55"/>
          </reference>
          <reference field="2" count="1" selected="0">
            <x v="21"/>
          </reference>
          <reference field="3" count="1">
            <x v="8"/>
          </reference>
        </references>
      </pivotArea>
    </format>
    <format dxfId="547">
      <pivotArea dataOnly="0" labelOnly="1" outline="0" fieldPosition="0">
        <references count="4">
          <reference field="0" count="1" selected="0">
            <x v="22"/>
          </reference>
          <reference field="1" count="1" selected="0">
            <x v="58"/>
          </reference>
          <reference field="2" count="1" selected="0">
            <x v="22"/>
          </reference>
          <reference field="3" count="1">
            <x v="23"/>
          </reference>
        </references>
      </pivotArea>
    </format>
    <format dxfId="546">
      <pivotArea dataOnly="0" labelOnly="1" outline="0" fieldPosition="0">
        <references count="4">
          <reference field="0" count="1" selected="0">
            <x v="23"/>
          </reference>
          <reference field="1" count="1" selected="0">
            <x v="59"/>
          </reference>
          <reference field="2" count="1" selected="0">
            <x v="23"/>
          </reference>
          <reference field="3" count="1">
            <x v="10"/>
          </reference>
        </references>
      </pivotArea>
    </format>
    <format dxfId="545">
      <pivotArea dataOnly="0" labelOnly="1" outline="0" fieldPosition="0">
        <references count="4">
          <reference field="0" count="1" selected="0">
            <x v="24"/>
          </reference>
          <reference field="1" count="1" selected="0">
            <x v="11"/>
          </reference>
          <reference field="2" count="1" selected="0">
            <x v="24"/>
          </reference>
          <reference field="3" count="1">
            <x v="9"/>
          </reference>
        </references>
      </pivotArea>
    </format>
    <format dxfId="544">
      <pivotArea dataOnly="0" labelOnly="1" outline="0" fieldPosition="0">
        <references count="4">
          <reference field="0" count="1" selected="0">
            <x v="25"/>
          </reference>
          <reference field="1" count="1" selected="0">
            <x v="12"/>
          </reference>
          <reference field="2" count="1" selected="0">
            <x v="25"/>
          </reference>
          <reference field="3" count="1">
            <x v="14"/>
          </reference>
        </references>
      </pivotArea>
    </format>
    <format dxfId="543">
      <pivotArea dataOnly="0" labelOnly="1" outline="0" fieldPosition="0">
        <references count="4">
          <reference field="0" count="1" selected="0">
            <x v="26"/>
          </reference>
          <reference field="1" count="1" selected="0">
            <x v="13"/>
          </reference>
          <reference field="2" count="1" selected="0">
            <x v="26"/>
          </reference>
          <reference field="3" count="1">
            <x v="9"/>
          </reference>
        </references>
      </pivotArea>
    </format>
    <format dxfId="542">
      <pivotArea dataOnly="0" labelOnly="1" outline="0" fieldPosition="0">
        <references count="4">
          <reference field="0" count="1" selected="0">
            <x v="27"/>
          </reference>
          <reference field="1" count="1" selected="0">
            <x v="14"/>
          </reference>
          <reference field="2" count="1" selected="0">
            <x v="27"/>
          </reference>
          <reference field="3" count="1">
            <x v="6"/>
          </reference>
        </references>
      </pivotArea>
    </format>
    <format dxfId="541">
      <pivotArea dataOnly="0" labelOnly="1" outline="0" fieldPosition="0">
        <references count="4">
          <reference field="0" count="1" selected="0">
            <x v="28"/>
          </reference>
          <reference field="1" count="1" selected="0">
            <x v="9"/>
          </reference>
          <reference field="2" count="1" selected="0">
            <x v="28"/>
          </reference>
          <reference field="3" count="1">
            <x v="6"/>
          </reference>
        </references>
      </pivotArea>
    </format>
    <format dxfId="540">
      <pivotArea dataOnly="0" labelOnly="1" outline="0" fieldPosition="0">
        <references count="4">
          <reference field="0" count="1" selected="0">
            <x v="29"/>
          </reference>
          <reference field="1" count="1" selected="0">
            <x v="10"/>
          </reference>
          <reference field="2" count="1" selected="0">
            <x v="29"/>
          </reference>
          <reference field="3" count="1">
            <x v="0"/>
          </reference>
        </references>
      </pivotArea>
    </format>
    <format dxfId="539">
      <pivotArea dataOnly="0" labelOnly="1" outline="0" fieldPosition="0">
        <references count="4">
          <reference field="0" count="1" selected="0">
            <x v="30"/>
          </reference>
          <reference field="1" count="1" selected="0">
            <x v="8"/>
          </reference>
          <reference field="2" count="1" selected="0">
            <x v="30"/>
          </reference>
          <reference field="3" count="1">
            <x v="6"/>
          </reference>
        </references>
      </pivotArea>
    </format>
    <format dxfId="538">
      <pivotArea dataOnly="0" labelOnly="1" outline="0" fieldPosition="0">
        <references count="4">
          <reference field="0" count="1" selected="0">
            <x v="31"/>
          </reference>
          <reference field="1" count="1" selected="0">
            <x v="41"/>
          </reference>
          <reference field="2" count="1" selected="0">
            <x v="31"/>
          </reference>
          <reference field="3" count="1">
            <x v="9"/>
          </reference>
        </references>
      </pivotArea>
    </format>
    <format dxfId="537">
      <pivotArea dataOnly="0" labelOnly="1" outline="0" fieldPosition="0">
        <references count="4">
          <reference field="0" count="1" selected="0">
            <x v="32"/>
          </reference>
          <reference field="1" count="1" selected="0">
            <x v="42"/>
          </reference>
          <reference field="2" count="1" selected="0">
            <x v="32"/>
          </reference>
          <reference field="3" count="1">
            <x v="0"/>
          </reference>
        </references>
      </pivotArea>
    </format>
    <format dxfId="536">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535">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534">
      <pivotArea dataOnly="0" labelOnly="1" outline="0" fieldPosition="0">
        <references count="4">
          <reference field="0" count="1" selected="0">
            <x v="35"/>
          </reference>
          <reference field="1" count="1" selected="0">
            <x v="49"/>
          </reference>
          <reference field="2" count="1" selected="0">
            <x v="35"/>
          </reference>
          <reference field="3" count="1">
            <x v="20"/>
          </reference>
        </references>
      </pivotArea>
    </format>
    <format dxfId="533">
      <pivotArea dataOnly="0" labelOnly="1" outline="0" fieldPosition="0">
        <references count="4">
          <reference field="0" count="1" selected="0">
            <x v="36"/>
          </reference>
          <reference field="1" count="1" selected="0">
            <x v="50"/>
          </reference>
          <reference field="2" count="1" selected="0">
            <x v="36"/>
          </reference>
          <reference field="3" count="1">
            <x v="17"/>
          </reference>
        </references>
      </pivotArea>
    </format>
    <format dxfId="532">
      <pivotArea dataOnly="0" labelOnly="1" outline="0" fieldPosition="0">
        <references count="4">
          <reference field="0" count="1" selected="0">
            <x v="37"/>
          </reference>
          <reference field="1" count="1" selected="0">
            <x v="54"/>
          </reference>
          <reference field="2" count="1" selected="0">
            <x v="37"/>
          </reference>
          <reference field="3" count="1">
            <x v="21"/>
          </reference>
        </references>
      </pivotArea>
    </format>
    <format dxfId="531">
      <pivotArea dataOnly="0" labelOnly="1" outline="0" fieldPosition="0">
        <references count="4">
          <reference field="0" count="1" selected="0">
            <x v="38"/>
          </reference>
          <reference field="1" count="1" selected="0">
            <x v="56"/>
          </reference>
          <reference field="2" count="1" selected="0">
            <x v="38"/>
          </reference>
          <reference field="3" count="1">
            <x v="13"/>
          </reference>
        </references>
      </pivotArea>
    </format>
    <format dxfId="530">
      <pivotArea dataOnly="0" labelOnly="1" outline="0" fieldPosition="0">
        <references count="4">
          <reference field="0" count="1" selected="0">
            <x v="39"/>
          </reference>
          <reference field="1" count="1" selected="0">
            <x v="34"/>
          </reference>
          <reference field="2" count="1" selected="0">
            <x v="39"/>
          </reference>
          <reference field="3" count="1">
            <x v="26"/>
          </reference>
        </references>
      </pivotArea>
    </format>
    <format dxfId="529">
      <pivotArea dataOnly="0" labelOnly="1" outline="0" fieldPosition="0">
        <references count="4">
          <reference field="0" count="1" selected="0">
            <x v="40"/>
          </reference>
          <reference field="1" count="1" selected="0">
            <x v="29"/>
          </reference>
          <reference field="2" count="1" selected="0">
            <x v="40"/>
          </reference>
          <reference field="3" count="1">
            <x v="22"/>
          </reference>
        </references>
      </pivotArea>
    </format>
    <format dxfId="528">
      <pivotArea dataOnly="0" labelOnly="1" outline="0" fieldPosition="0">
        <references count="4">
          <reference field="0" count="1" selected="0">
            <x v="41"/>
          </reference>
          <reference field="1" count="1" selected="0">
            <x v="30"/>
          </reference>
          <reference field="2" count="1" selected="0">
            <x v="41"/>
          </reference>
          <reference field="3" count="1">
            <x v="28"/>
          </reference>
        </references>
      </pivotArea>
    </format>
    <format dxfId="527">
      <pivotArea dataOnly="0" labelOnly="1" outline="0" fieldPosition="0">
        <references count="4">
          <reference field="0" count="1" selected="0">
            <x v="42"/>
          </reference>
          <reference field="1" count="1" selected="0">
            <x v="31"/>
          </reference>
          <reference field="2" count="1" selected="0">
            <x v="42"/>
          </reference>
          <reference field="3" count="1">
            <x v="22"/>
          </reference>
        </references>
      </pivotArea>
    </format>
    <format dxfId="526">
      <pivotArea dataOnly="0" labelOnly="1" outline="0" fieldPosition="0">
        <references count="4">
          <reference field="0" count="1" selected="0">
            <x v="43"/>
          </reference>
          <reference field="1" count="1" selected="0">
            <x v="20"/>
          </reference>
          <reference field="2" count="1" selected="0">
            <x v="43"/>
          </reference>
          <reference field="3" count="1">
            <x v="21"/>
          </reference>
        </references>
      </pivotArea>
    </format>
    <format dxfId="525">
      <pivotArea dataOnly="0" labelOnly="1" outline="0" fieldPosition="0">
        <references count="4">
          <reference field="0" count="1" selected="0">
            <x v="44"/>
          </reference>
          <reference field="1" count="1" selected="0">
            <x v="21"/>
          </reference>
          <reference field="2" count="1" selected="0">
            <x v="44"/>
          </reference>
          <reference field="3" count="1">
            <x v="18"/>
          </reference>
        </references>
      </pivotArea>
    </format>
    <format dxfId="524">
      <pivotArea dataOnly="0" labelOnly="1" outline="0" fieldPosition="0">
        <references count="4">
          <reference field="0" count="1" selected="0">
            <x v="45"/>
          </reference>
          <reference field="1" count="1" selected="0">
            <x v="22"/>
          </reference>
          <reference field="2" count="1" selected="0">
            <x v="45"/>
          </reference>
          <reference field="3" count="1">
            <x v="20"/>
          </reference>
        </references>
      </pivotArea>
    </format>
    <format dxfId="523">
      <pivotArea dataOnly="0" labelOnly="1" outline="0" fieldPosition="0">
        <references count="4">
          <reference field="0" count="1" selected="0">
            <x v="46"/>
          </reference>
          <reference field="1" count="1" selected="0">
            <x v="57"/>
          </reference>
          <reference field="2" count="1" selected="0">
            <x v="46"/>
          </reference>
          <reference field="3" count="1">
            <x v="11"/>
          </reference>
        </references>
      </pivotArea>
    </format>
    <format dxfId="522">
      <pivotArea dataOnly="0" labelOnly="1" outline="0" fieldPosition="0">
        <references count="4">
          <reference field="0" count="1" selected="0">
            <x v="47"/>
          </reference>
          <reference field="1" count="1" selected="0">
            <x v="17"/>
          </reference>
          <reference field="2" count="1" selected="0">
            <x v="47"/>
          </reference>
          <reference field="3" count="1">
            <x v="9"/>
          </reference>
        </references>
      </pivotArea>
    </format>
    <format dxfId="521">
      <pivotArea dataOnly="0" labelOnly="1" outline="0" fieldPosition="0">
        <references count="4">
          <reference field="0" count="1" selected="0">
            <x v="48"/>
          </reference>
          <reference field="1" count="1" selected="0">
            <x v="26"/>
          </reference>
          <reference field="2" count="1" selected="0">
            <x v="48"/>
          </reference>
          <reference field="3" count="1">
            <x v="14"/>
          </reference>
        </references>
      </pivotArea>
    </format>
    <format dxfId="520">
      <pivotArea dataOnly="0" labelOnly="1" outline="0" fieldPosition="0">
        <references count="4">
          <reference field="0" count="1" selected="0">
            <x v="49"/>
          </reference>
          <reference field="1" count="1" selected="0">
            <x v="0"/>
          </reference>
          <reference field="2" count="1" selected="0">
            <x v="49"/>
          </reference>
          <reference field="3" count="1">
            <x v="11"/>
          </reference>
        </references>
      </pivotArea>
    </format>
    <format dxfId="519">
      <pivotArea dataOnly="0" labelOnly="1" outline="0" fieldPosition="0">
        <references count="4">
          <reference field="0" count="1" selected="0">
            <x v="50"/>
          </reference>
          <reference field="1" count="1" selected="0">
            <x v="35"/>
          </reference>
          <reference field="2" count="1" selected="0">
            <x v="50"/>
          </reference>
          <reference field="3" count="1">
            <x v="10"/>
          </reference>
        </references>
      </pivotArea>
    </format>
    <format dxfId="518">
      <pivotArea dataOnly="0" labelOnly="1" outline="0" fieldPosition="0">
        <references count="4">
          <reference field="0" count="1" selected="0">
            <x v="51"/>
          </reference>
          <reference field="1" count="1" selected="0">
            <x v="15"/>
          </reference>
          <reference field="2" count="1" selected="0">
            <x v="51"/>
          </reference>
          <reference field="3" count="1">
            <x v="23"/>
          </reference>
        </references>
      </pivotArea>
    </format>
    <format dxfId="517">
      <pivotArea dataOnly="0" labelOnly="1" outline="0" fieldPosition="0">
        <references count="4">
          <reference field="0" count="1" selected="0">
            <x v="52"/>
          </reference>
          <reference field="1" count="1" selected="0">
            <x v="2"/>
          </reference>
          <reference field="2" count="1" selected="0">
            <x v="52"/>
          </reference>
          <reference field="3" count="1">
            <x v="25"/>
          </reference>
        </references>
      </pivotArea>
    </format>
    <format dxfId="516">
      <pivotArea dataOnly="0" labelOnly="1" outline="0" fieldPosition="0">
        <references count="4">
          <reference field="0" count="1" selected="0">
            <x v="53"/>
          </reference>
          <reference field="1" count="1" selected="0">
            <x v="1"/>
          </reference>
          <reference field="2" count="1" selected="0">
            <x v="53"/>
          </reference>
          <reference field="3" count="1">
            <x v="5"/>
          </reference>
        </references>
      </pivotArea>
    </format>
    <format dxfId="515">
      <pivotArea dataOnly="0" labelOnly="1" outline="0" fieldPosition="0">
        <references count="4">
          <reference field="0" count="1" selected="0">
            <x v="54"/>
          </reference>
          <reference field="1" count="1" selected="0">
            <x v="32"/>
          </reference>
          <reference field="2" count="1" selected="0">
            <x v="54"/>
          </reference>
          <reference field="3" count="1">
            <x v="15"/>
          </reference>
        </references>
      </pivotArea>
    </format>
    <format dxfId="514">
      <pivotArea dataOnly="0" labelOnly="1" outline="0" fieldPosition="0">
        <references count="4">
          <reference field="0" count="1" selected="0">
            <x v="55"/>
          </reference>
          <reference field="1" count="1" selected="0">
            <x v="19"/>
          </reference>
          <reference field="2" count="1" selected="0">
            <x v="55"/>
          </reference>
          <reference field="3" count="1">
            <x v="27"/>
          </reference>
        </references>
      </pivotArea>
    </format>
    <format dxfId="513">
      <pivotArea dataOnly="0" labelOnly="1" outline="0" fieldPosition="0">
        <references count="4">
          <reference field="0" count="1" selected="0">
            <x v="56"/>
          </reference>
          <reference field="1" count="1" selected="0">
            <x v="27"/>
          </reference>
          <reference field="2" count="1" selected="0">
            <x v="56"/>
          </reference>
          <reference field="3" count="1">
            <x v="12"/>
          </reference>
        </references>
      </pivotArea>
    </format>
    <format dxfId="512">
      <pivotArea dataOnly="0" labelOnly="1" outline="0" fieldPosition="0">
        <references count="4">
          <reference field="0" count="1" selected="0">
            <x v="57"/>
          </reference>
          <reference field="1" count="1" selected="0">
            <x v="23"/>
          </reference>
          <reference field="2" count="1" selected="0">
            <x v="57"/>
          </reference>
          <reference field="3" count="1">
            <x v="9"/>
          </reference>
        </references>
      </pivotArea>
    </format>
    <format dxfId="511">
      <pivotArea dataOnly="0" labelOnly="1" outline="0" fieldPosition="0">
        <references count="4">
          <reference field="0" count="1" selected="0">
            <x v="58"/>
          </reference>
          <reference field="1" count="1" selected="0">
            <x v="24"/>
          </reference>
          <reference field="2" count="1" selected="0">
            <x v="58"/>
          </reference>
          <reference field="3" count="1">
            <x v="10"/>
          </reference>
        </references>
      </pivotArea>
    </format>
    <format dxfId="510">
      <pivotArea dataOnly="0" labelOnly="1" outline="0" fieldPosition="0">
        <references count="4">
          <reference field="0" count="1" selected="0">
            <x v="59"/>
          </reference>
          <reference field="1" count="1" selected="0">
            <x v="38"/>
          </reference>
          <reference field="2" count="1" selected="0">
            <x v="59"/>
          </reference>
          <reference field="3" count="1">
            <x v="24"/>
          </reference>
        </references>
      </pivotArea>
    </format>
    <format dxfId="509">
      <pivotArea field="1" type="button" dataOnly="0" labelOnly="1" outline="0" axis="axisRow" fieldPosition="2"/>
    </format>
    <format dxfId="508">
      <pivotArea dataOnly="0" labelOnly="1" outline="0" fieldPosition="0">
        <references count="1">
          <reference field="1" count="0"/>
        </references>
      </pivotArea>
    </format>
    <format dxfId="507">
      <pivotArea field="0" type="button" dataOnly="0" labelOnly="1" outline="0" axis="axisRow" fieldPosition="0"/>
    </format>
    <format dxfId="506">
      <pivotArea dataOnly="0" labelOnly="1" outline="0" fieldPosition="0">
        <references count="1">
          <reference field="0"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505">
      <pivotArea dataOnly="0" labelOnly="1" outline="0" fieldPosition="0">
        <references count="1">
          <reference field="0" count="10">
            <x v="50"/>
            <x v="51"/>
            <x v="52"/>
            <x v="53"/>
            <x v="54"/>
            <x v="55"/>
            <x v="56"/>
            <x v="57"/>
            <x v="58"/>
            <x v="59"/>
          </reference>
        </references>
      </pivotArea>
    </format>
    <format dxfId="504">
      <pivotArea dataOnly="0" labelOnly="1" grandRow="1" outline="0" fieldPosition="0"/>
    </format>
    <format dxfId="503">
      <pivotArea dataOnly="0" labelOnly="1" outline="0" fieldPosition="0">
        <references count="1">
          <reference field="0"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502">
      <pivotArea dataOnly="0" labelOnly="1" outline="0" fieldPosition="0">
        <references count="1">
          <reference field="0" count="10">
            <x v="50"/>
            <x v="51"/>
            <x v="52"/>
            <x v="53"/>
            <x v="54"/>
            <x v="55"/>
            <x v="56"/>
            <x v="57"/>
            <x v="58"/>
            <x v="59"/>
          </reference>
        </references>
      </pivotArea>
    </format>
    <format dxfId="501">
      <pivotArea dataOnly="0" labelOnly="1" grandRow="1" outline="0" fieldPosition="0"/>
    </format>
    <format dxfId="500">
      <pivotArea field="2" type="button" dataOnly="0" labelOnly="1" outline="0" axis="axisRow" fieldPosition="1"/>
    </format>
    <format dxfId="499">
      <pivotArea type="all" dataOnly="0" outline="0" fieldPosition="0"/>
    </format>
    <format dxfId="498">
      <pivotArea field="0" type="button" dataOnly="0" labelOnly="1" outline="0" axis="axisRow" fieldPosition="0"/>
    </format>
    <format dxfId="497">
      <pivotArea field="2" type="button" dataOnly="0" labelOnly="1" outline="0" axis="axisRow" fieldPosition="1"/>
    </format>
    <format dxfId="496">
      <pivotArea field="1" type="button" dataOnly="0" labelOnly="1" outline="0" axis="axisRow" fieldPosition="2"/>
    </format>
    <format dxfId="495">
      <pivotArea field="3" type="button" dataOnly="0" labelOnly="1" outline="0" axis="axisRow" fieldPosition="3"/>
    </format>
    <format dxfId="494">
      <pivotArea field="0" type="button" dataOnly="0" labelOnly="1" outline="0" axis="axisRow" fieldPosition="0"/>
    </format>
    <format dxfId="493">
      <pivotArea field="2" type="button" dataOnly="0" labelOnly="1" outline="0" axis="axisRow" fieldPosition="1"/>
    </format>
    <format dxfId="492">
      <pivotArea field="1" type="button" dataOnly="0" labelOnly="1" outline="0" axis="axisRow" fieldPosition="2"/>
    </format>
    <format dxfId="491">
      <pivotArea field="3" type="button" dataOnly="0" labelOnly="1" outline="0" axis="axisRow" fieldPosition="3"/>
    </format>
    <format dxfId="490">
      <pivotArea field="0" type="button" dataOnly="0" labelOnly="1" outline="0" axis="axisRow" fieldPosition="0"/>
    </format>
    <format dxfId="489">
      <pivotArea field="2" type="button" dataOnly="0" labelOnly="1" outline="0" axis="axisRow" fieldPosition="1"/>
    </format>
    <format dxfId="488">
      <pivotArea dataOnly="0" labelOnly="1" outline="0" fieldPosition="0">
        <references count="3">
          <reference field="0" count="1" selected="0">
            <x v="0"/>
          </reference>
          <reference field="1" count="1">
            <x v="6"/>
          </reference>
          <reference field="2" count="1" selected="0">
            <x v="0"/>
          </reference>
        </references>
      </pivotArea>
    </format>
    <format dxfId="487">
      <pivotArea dataOnly="0" labelOnly="1" outline="0" fieldPosition="0">
        <references count="3">
          <reference field="0" count="1" selected="0">
            <x v="1"/>
          </reference>
          <reference field="1" count="1">
            <x v="5"/>
          </reference>
          <reference field="2" count="1" selected="0">
            <x v="1"/>
          </reference>
        </references>
      </pivotArea>
    </format>
    <format dxfId="486">
      <pivotArea dataOnly="0" labelOnly="1" outline="0" fieldPosition="0">
        <references count="3">
          <reference field="0" count="1" selected="0">
            <x v="2"/>
          </reference>
          <reference field="1" count="1">
            <x v="7"/>
          </reference>
          <reference field="2" count="1" selected="0">
            <x v="2"/>
          </reference>
        </references>
      </pivotArea>
    </format>
    <format dxfId="485">
      <pivotArea dataOnly="0" labelOnly="1" outline="0" fieldPosition="0">
        <references count="3">
          <reference field="0" count="1" selected="0">
            <x v="3"/>
          </reference>
          <reference field="1" count="1">
            <x v="40"/>
          </reference>
          <reference field="2" count="1" selected="0">
            <x v="3"/>
          </reference>
        </references>
      </pivotArea>
    </format>
    <format dxfId="484">
      <pivotArea dataOnly="0" labelOnly="1" outline="0" fieldPosition="0">
        <references count="3">
          <reference field="0" count="1" selected="0">
            <x v="4"/>
          </reference>
          <reference field="1" count="1">
            <x v="16"/>
          </reference>
          <reference field="2" count="1" selected="0">
            <x v="4"/>
          </reference>
        </references>
      </pivotArea>
    </format>
    <format dxfId="483">
      <pivotArea dataOnly="0" labelOnly="1" outline="0" fieldPosition="0">
        <references count="3">
          <reference field="0" count="1" selected="0">
            <x v="5"/>
          </reference>
          <reference field="1" count="1">
            <x v="33"/>
          </reference>
          <reference field="2" count="1" selected="0">
            <x v="5"/>
          </reference>
        </references>
      </pivotArea>
    </format>
    <format dxfId="482">
      <pivotArea dataOnly="0" labelOnly="1" outline="0" fieldPosition="0">
        <references count="3">
          <reference field="0" count="1" selected="0">
            <x v="6"/>
          </reference>
          <reference field="1" count="1">
            <x v="39"/>
          </reference>
          <reference field="2" count="1" selected="0">
            <x v="6"/>
          </reference>
        </references>
      </pivotArea>
    </format>
    <format dxfId="481">
      <pivotArea dataOnly="0" labelOnly="1" outline="0" fieldPosition="0">
        <references count="3">
          <reference field="0" count="1" selected="0">
            <x v="7"/>
          </reference>
          <reference field="1" count="1">
            <x v="28"/>
          </reference>
          <reference field="2" count="1" selected="0">
            <x v="7"/>
          </reference>
        </references>
      </pivotArea>
    </format>
    <format dxfId="480">
      <pivotArea dataOnly="0" labelOnly="1" outline="0" fieldPosition="0">
        <references count="3">
          <reference field="0" count="1" selected="0">
            <x v="8"/>
          </reference>
          <reference field="1" count="1">
            <x v="25"/>
          </reference>
          <reference field="2" count="1" selected="0">
            <x v="8"/>
          </reference>
        </references>
      </pivotArea>
    </format>
    <format dxfId="479">
      <pivotArea dataOnly="0" labelOnly="1" outline="0" fieldPosition="0">
        <references count="3">
          <reference field="0" count="1" selected="0">
            <x v="9"/>
          </reference>
          <reference field="1" count="1">
            <x v="43"/>
          </reference>
          <reference field="2" count="1" selected="0">
            <x v="9"/>
          </reference>
        </references>
      </pivotArea>
    </format>
    <format dxfId="478">
      <pivotArea dataOnly="0" labelOnly="1" outline="0" fieldPosition="0">
        <references count="3">
          <reference field="0" count="1" selected="0">
            <x v="10"/>
          </reference>
          <reference field="1" count="1">
            <x v="44"/>
          </reference>
          <reference field="2" count="1" selected="0">
            <x v="10"/>
          </reference>
        </references>
      </pivotArea>
    </format>
    <format dxfId="477">
      <pivotArea dataOnly="0" labelOnly="1" outline="0" fieldPosition="0">
        <references count="3">
          <reference field="0" count="1" selected="0">
            <x v="11"/>
          </reference>
          <reference field="1" count="1">
            <x v="45"/>
          </reference>
          <reference field="2" count="1" selected="0">
            <x v="11"/>
          </reference>
        </references>
      </pivotArea>
    </format>
    <format dxfId="476">
      <pivotArea dataOnly="0" labelOnly="1" outline="0" fieldPosition="0">
        <references count="3">
          <reference field="0" count="1" selected="0">
            <x v="12"/>
          </reference>
          <reference field="1" count="1">
            <x v="46"/>
          </reference>
          <reference field="2" count="1" selected="0">
            <x v="12"/>
          </reference>
        </references>
      </pivotArea>
    </format>
    <format dxfId="475">
      <pivotArea dataOnly="0" labelOnly="1" outline="0" fieldPosition="0">
        <references count="3">
          <reference field="0" count="1" selected="0">
            <x v="13"/>
          </reference>
          <reference field="1" count="1">
            <x v="47"/>
          </reference>
          <reference field="2" count="1" selected="0">
            <x v="13"/>
          </reference>
        </references>
      </pivotArea>
    </format>
    <format dxfId="474">
      <pivotArea dataOnly="0" labelOnly="1" outline="0" fieldPosition="0">
        <references count="3">
          <reference field="0" count="1" selected="0">
            <x v="14"/>
          </reference>
          <reference field="1" count="1">
            <x v="48"/>
          </reference>
          <reference field="2" count="1" selected="0">
            <x v="14"/>
          </reference>
        </references>
      </pivotArea>
    </format>
    <format dxfId="473">
      <pivotArea dataOnly="0" labelOnly="1" outline="0" fieldPosition="0">
        <references count="3">
          <reference field="0" count="1" selected="0">
            <x v="15"/>
          </reference>
          <reference field="1" count="1">
            <x v="36"/>
          </reference>
          <reference field="2" count="1" selected="0">
            <x v="15"/>
          </reference>
        </references>
      </pivotArea>
    </format>
    <format dxfId="472">
      <pivotArea dataOnly="0" labelOnly="1" outline="0" fieldPosition="0">
        <references count="3">
          <reference field="0" count="1" selected="0">
            <x v="16"/>
          </reference>
          <reference field="1" count="1">
            <x v="37"/>
          </reference>
          <reference field="2" count="1" selected="0">
            <x v="16"/>
          </reference>
        </references>
      </pivotArea>
    </format>
    <format dxfId="471">
      <pivotArea dataOnly="0" labelOnly="1" outline="0" fieldPosition="0">
        <references count="3">
          <reference field="0" count="1" selected="0">
            <x v="17"/>
          </reference>
          <reference field="1" count="1">
            <x v="18"/>
          </reference>
          <reference field="2" count="1" selected="0">
            <x v="17"/>
          </reference>
        </references>
      </pivotArea>
    </format>
    <format dxfId="470">
      <pivotArea dataOnly="0" labelOnly="1" outline="0" fieldPosition="0">
        <references count="3">
          <reference field="0" count="1" selected="0">
            <x v="18"/>
          </reference>
          <reference field="1" count="1">
            <x v="51"/>
          </reference>
          <reference field="2" count="1" selected="0">
            <x v="18"/>
          </reference>
        </references>
      </pivotArea>
    </format>
    <format dxfId="469">
      <pivotArea dataOnly="0" labelOnly="1" outline="0" fieldPosition="0">
        <references count="3">
          <reference field="0" count="1" selected="0">
            <x v="19"/>
          </reference>
          <reference field="1" count="1">
            <x v="52"/>
          </reference>
          <reference field="2" count="1" selected="0">
            <x v="19"/>
          </reference>
        </references>
      </pivotArea>
    </format>
    <format dxfId="468">
      <pivotArea dataOnly="0" labelOnly="1" outline="0" fieldPosition="0">
        <references count="3">
          <reference field="0" count="1" selected="0">
            <x v="20"/>
          </reference>
          <reference field="1" count="1">
            <x v="53"/>
          </reference>
          <reference field="2" count="1" selected="0">
            <x v="20"/>
          </reference>
        </references>
      </pivotArea>
    </format>
    <format dxfId="467">
      <pivotArea dataOnly="0" labelOnly="1" outline="0" fieldPosition="0">
        <references count="3">
          <reference field="0" count="1" selected="0">
            <x v="21"/>
          </reference>
          <reference field="1" count="1">
            <x v="55"/>
          </reference>
          <reference field="2" count="1" selected="0">
            <x v="21"/>
          </reference>
        </references>
      </pivotArea>
    </format>
    <format dxfId="466">
      <pivotArea dataOnly="0" labelOnly="1" outline="0" fieldPosition="0">
        <references count="3">
          <reference field="0" count="1" selected="0">
            <x v="22"/>
          </reference>
          <reference field="1" count="1">
            <x v="58"/>
          </reference>
          <reference field="2" count="1" selected="0">
            <x v="22"/>
          </reference>
        </references>
      </pivotArea>
    </format>
    <format dxfId="465">
      <pivotArea dataOnly="0" labelOnly="1" outline="0" fieldPosition="0">
        <references count="3">
          <reference field="0" count="1" selected="0">
            <x v="23"/>
          </reference>
          <reference field="1" count="1">
            <x v="59"/>
          </reference>
          <reference field="2" count="1" selected="0">
            <x v="23"/>
          </reference>
        </references>
      </pivotArea>
    </format>
    <format dxfId="464">
      <pivotArea dataOnly="0" labelOnly="1" outline="0" fieldPosition="0">
        <references count="3">
          <reference field="0" count="1" selected="0">
            <x v="24"/>
          </reference>
          <reference field="1" count="1">
            <x v="11"/>
          </reference>
          <reference field="2" count="1" selected="0">
            <x v="24"/>
          </reference>
        </references>
      </pivotArea>
    </format>
    <format dxfId="463">
      <pivotArea dataOnly="0" labelOnly="1" outline="0" fieldPosition="0">
        <references count="3">
          <reference field="0" count="1" selected="0">
            <x v="25"/>
          </reference>
          <reference field="1" count="1">
            <x v="12"/>
          </reference>
          <reference field="2" count="1" selected="0">
            <x v="25"/>
          </reference>
        </references>
      </pivotArea>
    </format>
    <format dxfId="462">
      <pivotArea dataOnly="0" labelOnly="1" outline="0" fieldPosition="0">
        <references count="3">
          <reference field="0" count="1" selected="0">
            <x v="26"/>
          </reference>
          <reference field="1" count="1">
            <x v="13"/>
          </reference>
          <reference field="2" count="1" selected="0">
            <x v="26"/>
          </reference>
        </references>
      </pivotArea>
    </format>
    <format dxfId="461">
      <pivotArea dataOnly="0" labelOnly="1" outline="0" fieldPosition="0">
        <references count="3">
          <reference field="0" count="1" selected="0">
            <x v="27"/>
          </reference>
          <reference field="1" count="1">
            <x v="14"/>
          </reference>
          <reference field="2" count="1" selected="0">
            <x v="27"/>
          </reference>
        </references>
      </pivotArea>
    </format>
    <format dxfId="460">
      <pivotArea dataOnly="0" labelOnly="1" outline="0" fieldPosition="0">
        <references count="3">
          <reference field="0" count="1" selected="0">
            <x v="28"/>
          </reference>
          <reference field="1" count="1">
            <x v="9"/>
          </reference>
          <reference field="2" count="1" selected="0">
            <x v="28"/>
          </reference>
        </references>
      </pivotArea>
    </format>
    <format dxfId="459">
      <pivotArea dataOnly="0" labelOnly="1" outline="0" fieldPosition="0">
        <references count="3">
          <reference field="0" count="1" selected="0">
            <x v="29"/>
          </reference>
          <reference field="1" count="1">
            <x v="10"/>
          </reference>
          <reference field="2" count="1" selected="0">
            <x v="29"/>
          </reference>
        </references>
      </pivotArea>
    </format>
    <format dxfId="458">
      <pivotArea dataOnly="0" labelOnly="1" outline="0" fieldPosition="0">
        <references count="3">
          <reference field="0" count="1" selected="0">
            <x v="30"/>
          </reference>
          <reference field="1" count="1">
            <x v="8"/>
          </reference>
          <reference field="2" count="1" selected="0">
            <x v="30"/>
          </reference>
        </references>
      </pivotArea>
    </format>
    <format dxfId="457">
      <pivotArea dataOnly="0" labelOnly="1" outline="0" fieldPosition="0">
        <references count="3">
          <reference field="0" count="1" selected="0">
            <x v="31"/>
          </reference>
          <reference field="1" count="1">
            <x v="41"/>
          </reference>
          <reference field="2" count="1" selected="0">
            <x v="31"/>
          </reference>
        </references>
      </pivotArea>
    </format>
    <format dxfId="456">
      <pivotArea dataOnly="0" labelOnly="1" outline="0" fieldPosition="0">
        <references count="3">
          <reference field="0" count="1" selected="0">
            <x v="32"/>
          </reference>
          <reference field="1" count="1">
            <x v="42"/>
          </reference>
          <reference field="2" count="1" selected="0">
            <x v="32"/>
          </reference>
        </references>
      </pivotArea>
    </format>
    <format dxfId="455">
      <pivotArea dataOnly="0" labelOnly="1" outline="0" fieldPosition="0">
        <references count="3">
          <reference field="0" count="1" selected="0">
            <x v="33"/>
          </reference>
          <reference field="1" count="1">
            <x v="3"/>
          </reference>
          <reference field="2" count="1" selected="0">
            <x v="33"/>
          </reference>
        </references>
      </pivotArea>
    </format>
    <format dxfId="454">
      <pivotArea dataOnly="0" labelOnly="1" outline="0" fieldPosition="0">
        <references count="3">
          <reference field="0" count="1" selected="0">
            <x v="34"/>
          </reference>
          <reference field="1" count="1">
            <x v="4"/>
          </reference>
          <reference field="2" count="1" selected="0">
            <x v="34"/>
          </reference>
        </references>
      </pivotArea>
    </format>
    <format dxfId="453">
      <pivotArea dataOnly="0" labelOnly="1" outline="0" fieldPosition="0">
        <references count="3">
          <reference field="0" count="1" selected="0">
            <x v="35"/>
          </reference>
          <reference field="1" count="1">
            <x v="49"/>
          </reference>
          <reference field="2" count="1" selected="0">
            <x v="35"/>
          </reference>
        </references>
      </pivotArea>
    </format>
    <format dxfId="452">
      <pivotArea dataOnly="0" labelOnly="1" outline="0" fieldPosition="0">
        <references count="3">
          <reference field="0" count="1" selected="0">
            <x v="36"/>
          </reference>
          <reference field="1" count="1">
            <x v="50"/>
          </reference>
          <reference field="2" count="1" selected="0">
            <x v="36"/>
          </reference>
        </references>
      </pivotArea>
    </format>
    <format dxfId="451">
      <pivotArea dataOnly="0" labelOnly="1" outline="0" fieldPosition="0">
        <references count="3">
          <reference field="0" count="1" selected="0">
            <x v="37"/>
          </reference>
          <reference field="1" count="1">
            <x v="54"/>
          </reference>
          <reference field="2" count="1" selected="0">
            <x v="37"/>
          </reference>
        </references>
      </pivotArea>
    </format>
    <format dxfId="450">
      <pivotArea dataOnly="0" labelOnly="1" outline="0" fieldPosition="0">
        <references count="3">
          <reference field="0" count="1" selected="0">
            <x v="38"/>
          </reference>
          <reference field="1" count="1">
            <x v="56"/>
          </reference>
          <reference field="2" count="1" selected="0">
            <x v="38"/>
          </reference>
        </references>
      </pivotArea>
    </format>
    <format dxfId="449">
      <pivotArea dataOnly="0" labelOnly="1" outline="0" fieldPosition="0">
        <references count="3">
          <reference field="0" count="1" selected="0">
            <x v="39"/>
          </reference>
          <reference field="1" count="1">
            <x v="34"/>
          </reference>
          <reference field="2" count="1" selected="0">
            <x v="39"/>
          </reference>
        </references>
      </pivotArea>
    </format>
    <format dxfId="448">
      <pivotArea dataOnly="0" labelOnly="1" outline="0" fieldPosition="0">
        <references count="3">
          <reference field="0" count="1" selected="0">
            <x v="40"/>
          </reference>
          <reference field="1" count="1">
            <x v="29"/>
          </reference>
          <reference field="2" count="1" selected="0">
            <x v="40"/>
          </reference>
        </references>
      </pivotArea>
    </format>
    <format dxfId="447">
      <pivotArea dataOnly="0" labelOnly="1" outline="0" fieldPosition="0">
        <references count="3">
          <reference field="0" count="1" selected="0">
            <x v="41"/>
          </reference>
          <reference field="1" count="1">
            <x v="30"/>
          </reference>
          <reference field="2" count="1" selected="0">
            <x v="41"/>
          </reference>
        </references>
      </pivotArea>
    </format>
    <format dxfId="446">
      <pivotArea dataOnly="0" labelOnly="1" outline="0" fieldPosition="0">
        <references count="3">
          <reference field="0" count="1" selected="0">
            <x v="42"/>
          </reference>
          <reference field="1" count="1">
            <x v="31"/>
          </reference>
          <reference field="2" count="1" selected="0">
            <x v="42"/>
          </reference>
        </references>
      </pivotArea>
    </format>
    <format dxfId="445">
      <pivotArea dataOnly="0" labelOnly="1" outline="0" fieldPosition="0">
        <references count="3">
          <reference field="0" count="1" selected="0">
            <x v="43"/>
          </reference>
          <reference field="1" count="1">
            <x v="20"/>
          </reference>
          <reference field="2" count="1" selected="0">
            <x v="43"/>
          </reference>
        </references>
      </pivotArea>
    </format>
    <format dxfId="444">
      <pivotArea dataOnly="0" labelOnly="1" outline="0" fieldPosition="0">
        <references count="3">
          <reference field="0" count="1" selected="0">
            <x v="44"/>
          </reference>
          <reference field="1" count="1">
            <x v="21"/>
          </reference>
          <reference field="2" count="1" selected="0">
            <x v="44"/>
          </reference>
        </references>
      </pivotArea>
    </format>
    <format dxfId="443">
      <pivotArea dataOnly="0" labelOnly="1" outline="0" fieldPosition="0">
        <references count="3">
          <reference field="0" count="1" selected="0">
            <x v="45"/>
          </reference>
          <reference field="1" count="1">
            <x v="22"/>
          </reference>
          <reference field="2" count="1" selected="0">
            <x v="45"/>
          </reference>
        </references>
      </pivotArea>
    </format>
    <format dxfId="442">
      <pivotArea dataOnly="0" labelOnly="1" outline="0" fieldPosition="0">
        <references count="3">
          <reference field="0" count="1" selected="0">
            <x v="46"/>
          </reference>
          <reference field="1" count="1">
            <x v="57"/>
          </reference>
          <reference field="2" count="1" selected="0">
            <x v="46"/>
          </reference>
        </references>
      </pivotArea>
    </format>
    <format dxfId="441">
      <pivotArea dataOnly="0" labelOnly="1" outline="0" fieldPosition="0">
        <references count="3">
          <reference field="0" count="1" selected="0">
            <x v="47"/>
          </reference>
          <reference field="1" count="1">
            <x v="17"/>
          </reference>
          <reference field="2" count="1" selected="0">
            <x v="47"/>
          </reference>
        </references>
      </pivotArea>
    </format>
    <format dxfId="440">
      <pivotArea dataOnly="0" labelOnly="1" outline="0" fieldPosition="0">
        <references count="3">
          <reference field="0" count="1" selected="0">
            <x v="48"/>
          </reference>
          <reference field="1" count="1">
            <x v="26"/>
          </reference>
          <reference field="2" count="1" selected="0">
            <x v="48"/>
          </reference>
        </references>
      </pivotArea>
    </format>
    <format dxfId="439">
      <pivotArea dataOnly="0" labelOnly="1" outline="0" fieldPosition="0">
        <references count="3">
          <reference field="0" count="1" selected="0">
            <x v="49"/>
          </reference>
          <reference field="1" count="1">
            <x v="0"/>
          </reference>
          <reference field="2" count="1" selected="0">
            <x v="49"/>
          </reference>
        </references>
      </pivotArea>
    </format>
    <format dxfId="438">
      <pivotArea dataOnly="0" labelOnly="1" outline="0" fieldPosition="0">
        <references count="3">
          <reference field="0" count="1" selected="0">
            <x v="50"/>
          </reference>
          <reference field="1" count="1">
            <x v="35"/>
          </reference>
          <reference field="2" count="1" selected="0">
            <x v="50"/>
          </reference>
        </references>
      </pivotArea>
    </format>
    <format dxfId="437">
      <pivotArea dataOnly="0" labelOnly="1" outline="0" fieldPosition="0">
        <references count="3">
          <reference field="0" count="1" selected="0">
            <x v="51"/>
          </reference>
          <reference field="1" count="1">
            <x v="15"/>
          </reference>
          <reference field="2" count="1" selected="0">
            <x v="51"/>
          </reference>
        </references>
      </pivotArea>
    </format>
    <format dxfId="436">
      <pivotArea dataOnly="0" labelOnly="1" outline="0" fieldPosition="0">
        <references count="3">
          <reference field="0" count="1" selected="0">
            <x v="52"/>
          </reference>
          <reference field="1" count="1">
            <x v="2"/>
          </reference>
          <reference field="2" count="1" selected="0">
            <x v="52"/>
          </reference>
        </references>
      </pivotArea>
    </format>
    <format dxfId="435">
      <pivotArea dataOnly="0" labelOnly="1" outline="0" fieldPosition="0">
        <references count="3">
          <reference field="0" count="1" selected="0">
            <x v="53"/>
          </reference>
          <reference field="1" count="1">
            <x v="1"/>
          </reference>
          <reference field="2" count="1" selected="0">
            <x v="53"/>
          </reference>
        </references>
      </pivotArea>
    </format>
    <format dxfId="434">
      <pivotArea dataOnly="0" labelOnly="1" outline="0" fieldPosition="0">
        <references count="3">
          <reference field="0" count="1" selected="0">
            <x v="54"/>
          </reference>
          <reference field="1" count="1">
            <x v="32"/>
          </reference>
          <reference field="2" count="1" selected="0">
            <x v="54"/>
          </reference>
        </references>
      </pivotArea>
    </format>
    <format dxfId="433">
      <pivotArea dataOnly="0" labelOnly="1" outline="0" fieldPosition="0">
        <references count="3">
          <reference field="0" count="1" selected="0">
            <x v="55"/>
          </reference>
          <reference field="1" count="1">
            <x v="19"/>
          </reference>
          <reference field="2" count="1" selected="0">
            <x v="55"/>
          </reference>
        </references>
      </pivotArea>
    </format>
    <format dxfId="432">
      <pivotArea dataOnly="0" labelOnly="1" outline="0" fieldPosition="0">
        <references count="3">
          <reference field="0" count="1" selected="0">
            <x v="56"/>
          </reference>
          <reference field="1" count="1">
            <x v="27"/>
          </reference>
          <reference field="2" count="1" selected="0">
            <x v="56"/>
          </reference>
        </references>
      </pivotArea>
    </format>
    <format dxfId="431">
      <pivotArea dataOnly="0" labelOnly="1" outline="0" fieldPosition="0">
        <references count="3">
          <reference field="0" count="1" selected="0">
            <x v="57"/>
          </reference>
          <reference field="1" count="1">
            <x v="23"/>
          </reference>
          <reference field="2" count="1" selected="0">
            <x v="57"/>
          </reference>
        </references>
      </pivotArea>
    </format>
    <format dxfId="430">
      <pivotArea dataOnly="0" labelOnly="1" outline="0" fieldPosition="0">
        <references count="3">
          <reference field="0" count="1" selected="0">
            <x v="58"/>
          </reference>
          <reference field="1" count="1">
            <x v="24"/>
          </reference>
          <reference field="2" count="1" selected="0">
            <x v="58"/>
          </reference>
        </references>
      </pivotArea>
    </format>
    <format dxfId="429">
      <pivotArea dataOnly="0" labelOnly="1" outline="0" fieldPosition="0">
        <references count="3">
          <reference field="0" count="1" selected="0">
            <x v="59"/>
          </reference>
          <reference field="1" count="1">
            <x v="38"/>
          </reference>
          <reference field="2" count="1" selected="0">
            <x v="59"/>
          </reference>
        </references>
      </pivotArea>
    </format>
    <format dxfId="428">
      <pivotArea dataOnly="0" labelOnly="1" outline="0" fieldPosition="0">
        <references count="4">
          <reference field="0" count="1" selected="0">
            <x v="0"/>
          </reference>
          <reference field="1" count="1" selected="0">
            <x v="6"/>
          </reference>
          <reference field="2" count="1" selected="0">
            <x v="0"/>
          </reference>
          <reference field="3" count="1">
            <x v="3"/>
          </reference>
        </references>
      </pivotArea>
    </format>
    <format dxfId="427">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26">
      <pivotArea dataOnly="0" labelOnly="1" outline="0" fieldPosition="0">
        <references count="4">
          <reference field="0" count="1" selected="0">
            <x v="2"/>
          </reference>
          <reference field="1" count="1" selected="0">
            <x v="7"/>
          </reference>
          <reference field="2" count="1" selected="0">
            <x v="2"/>
          </reference>
          <reference field="3" count="1">
            <x v="4"/>
          </reference>
        </references>
      </pivotArea>
    </format>
    <format dxfId="425">
      <pivotArea dataOnly="0" labelOnly="1" outline="0" fieldPosition="0">
        <references count="4">
          <reference field="0" count="1" selected="0">
            <x v="3"/>
          </reference>
          <reference field="1" count="1" selected="0">
            <x v="40"/>
          </reference>
          <reference field="2" count="1" selected="0">
            <x v="3"/>
          </reference>
          <reference field="3" count="1">
            <x v="5"/>
          </reference>
        </references>
      </pivotArea>
    </format>
    <format dxfId="424">
      <pivotArea dataOnly="0" labelOnly="1" outline="0" fieldPosition="0">
        <references count="4">
          <reference field="0" count="1" selected="0">
            <x v="4"/>
          </reference>
          <reference field="1" count="1" selected="0">
            <x v="16"/>
          </reference>
          <reference field="2" count="1" selected="0">
            <x v="4"/>
          </reference>
          <reference field="3" count="1">
            <x v="10"/>
          </reference>
        </references>
      </pivotArea>
    </format>
    <format dxfId="423">
      <pivotArea dataOnly="0" labelOnly="1" outline="0" fieldPosition="0">
        <references count="4">
          <reference field="0" count="1" selected="0">
            <x v="5"/>
          </reference>
          <reference field="1" count="1" selected="0">
            <x v="33"/>
          </reference>
          <reference field="2" count="1" selected="0">
            <x v="5"/>
          </reference>
          <reference field="3" count="1">
            <x v="12"/>
          </reference>
        </references>
      </pivotArea>
    </format>
    <format dxfId="422">
      <pivotArea dataOnly="0" labelOnly="1" outline="0" fieldPosition="0">
        <references count="4">
          <reference field="0" count="1" selected="0">
            <x v="6"/>
          </reference>
          <reference field="1" count="1" selected="0">
            <x v="39"/>
          </reference>
          <reference field="2" count="1" selected="0">
            <x v="6"/>
          </reference>
          <reference field="3" count="1">
            <x v="8"/>
          </reference>
        </references>
      </pivotArea>
    </format>
    <format dxfId="421">
      <pivotArea dataOnly="0" labelOnly="1" outline="0" fieldPosition="0">
        <references count="4">
          <reference field="0" count="1" selected="0">
            <x v="7"/>
          </reference>
          <reference field="1" count="1" selected="0">
            <x v="28"/>
          </reference>
          <reference field="2" count="1" selected="0">
            <x v="7"/>
          </reference>
          <reference field="3" count="1">
            <x v="9"/>
          </reference>
        </references>
      </pivotArea>
    </format>
    <format dxfId="420">
      <pivotArea dataOnly="0" labelOnly="1" outline="0" fieldPosition="0">
        <references count="4">
          <reference field="0" count="1" selected="0">
            <x v="8"/>
          </reference>
          <reference field="1" count="1" selected="0">
            <x v="25"/>
          </reference>
          <reference field="2" count="1" selected="0">
            <x v="8"/>
          </reference>
          <reference field="3" count="1">
            <x v="14"/>
          </reference>
        </references>
      </pivotArea>
    </format>
    <format dxfId="419">
      <pivotArea dataOnly="0" labelOnly="1" outline="0" fieldPosition="0">
        <references count="4">
          <reference field="0" count="1" selected="0">
            <x v="9"/>
          </reference>
          <reference field="1" count="1" selected="0">
            <x v="43"/>
          </reference>
          <reference field="2" count="1" selected="0">
            <x v="9"/>
          </reference>
          <reference field="3" count="1">
            <x v="16"/>
          </reference>
        </references>
      </pivotArea>
    </format>
    <format dxfId="418">
      <pivotArea dataOnly="0" labelOnly="1" outline="0" fieldPosition="0">
        <references count="4">
          <reference field="0" count="1" selected="0">
            <x v="10"/>
          </reference>
          <reference field="1" count="1" selected="0">
            <x v="44"/>
          </reference>
          <reference field="2" count="1" selected="0">
            <x v="10"/>
          </reference>
          <reference field="3" count="1">
            <x v="14"/>
          </reference>
        </references>
      </pivotArea>
    </format>
    <format dxfId="417">
      <pivotArea dataOnly="0" labelOnly="1" outline="0" fieldPosition="0">
        <references count="4">
          <reference field="0" count="1" selected="0">
            <x v="11"/>
          </reference>
          <reference field="1" count="1" selected="0">
            <x v="45"/>
          </reference>
          <reference field="2" count="1" selected="0">
            <x v="11"/>
          </reference>
          <reference field="3" count="1">
            <x v="14"/>
          </reference>
        </references>
      </pivotArea>
    </format>
    <format dxfId="416">
      <pivotArea dataOnly="0" labelOnly="1" outline="0" fieldPosition="0">
        <references count="4">
          <reference field="0" count="1" selected="0">
            <x v="12"/>
          </reference>
          <reference field="1" count="1" selected="0">
            <x v="46"/>
          </reference>
          <reference field="2" count="1" selected="0">
            <x v="12"/>
          </reference>
          <reference field="3" count="1">
            <x v="14"/>
          </reference>
        </references>
      </pivotArea>
    </format>
    <format dxfId="415">
      <pivotArea dataOnly="0" labelOnly="1" outline="0" fieldPosition="0">
        <references count="4">
          <reference field="0" count="1" selected="0">
            <x v="13"/>
          </reference>
          <reference field="1" count="1" selected="0">
            <x v="47"/>
          </reference>
          <reference field="2" count="1" selected="0">
            <x v="13"/>
          </reference>
          <reference field="3" count="1">
            <x v="14"/>
          </reference>
        </references>
      </pivotArea>
    </format>
    <format dxfId="414">
      <pivotArea dataOnly="0" labelOnly="1" outline="0" fieldPosition="0">
        <references count="4">
          <reference field="0" count="1" selected="0">
            <x v="14"/>
          </reference>
          <reference field="1" count="1" selected="0">
            <x v="48"/>
          </reference>
          <reference field="2" count="1" selected="0">
            <x v="14"/>
          </reference>
          <reference field="3" count="1">
            <x v="14"/>
          </reference>
        </references>
      </pivotArea>
    </format>
    <format dxfId="413">
      <pivotArea dataOnly="0" labelOnly="1" outline="0" fieldPosition="0">
        <references count="4">
          <reference field="0" count="1" selected="0">
            <x v="15"/>
          </reference>
          <reference field="1" count="1" selected="0">
            <x v="36"/>
          </reference>
          <reference field="2" count="1" selected="0">
            <x v="15"/>
          </reference>
          <reference field="3" count="1">
            <x v="11"/>
          </reference>
        </references>
      </pivotArea>
    </format>
    <format dxfId="412">
      <pivotArea dataOnly="0" labelOnly="1" outline="0" fieldPosition="0">
        <references count="4">
          <reference field="0" count="1" selected="0">
            <x v="16"/>
          </reference>
          <reference field="1" count="1" selected="0">
            <x v="37"/>
          </reference>
          <reference field="2" count="1" selected="0">
            <x v="16"/>
          </reference>
          <reference field="3" count="1">
            <x v="11"/>
          </reference>
        </references>
      </pivotArea>
    </format>
    <format dxfId="411">
      <pivotArea dataOnly="0" labelOnly="1" outline="0" fieldPosition="0">
        <references count="4">
          <reference field="0" count="1" selected="0">
            <x v="17"/>
          </reference>
          <reference field="1" count="1" selected="0">
            <x v="18"/>
          </reference>
          <reference field="2" count="1" selected="0">
            <x v="17"/>
          </reference>
          <reference field="3" count="1">
            <x v="19"/>
          </reference>
        </references>
      </pivotArea>
    </format>
    <format dxfId="410">
      <pivotArea dataOnly="0" labelOnly="1" outline="0" fieldPosition="0">
        <references count="4">
          <reference field="0" count="1" selected="0">
            <x v="18"/>
          </reference>
          <reference field="1" count="1" selected="0">
            <x v="51"/>
          </reference>
          <reference field="2" count="1" selected="0">
            <x v="18"/>
          </reference>
          <reference field="3" count="1">
            <x v="4"/>
          </reference>
        </references>
      </pivotArea>
    </format>
    <format dxfId="409">
      <pivotArea dataOnly="0" labelOnly="1" outline="0" fieldPosition="0">
        <references count="4">
          <reference field="0" count="1" selected="0">
            <x v="19"/>
          </reference>
          <reference field="1" count="1" selected="0">
            <x v="52"/>
          </reference>
          <reference field="2" count="1" selected="0">
            <x v="19"/>
          </reference>
          <reference field="3" count="1">
            <x v="2"/>
          </reference>
        </references>
      </pivotArea>
    </format>
    <format dxfId="408">
      <pivotArea dataOnly="0" labelOnly="1" outline="0" fieldPosition="0">
        <references count="4">
          <reference field="0" count="1" selected="0">
            <x v="20"/>
          </reference>
          <reference field="1" count="1" selected="0">
            <x v="53"/>
          </reference>
          <reference field="2" count="1" selected="0">
            <x v="20"/>
          </reference>
          <reference field="3" count="1">
            <x v="7"/>
          </reference>
        </references>
      </pivotArea>
    </format>
    <format dxfId="407">
      <pivotArea dataOnly="0" labelOnly="1" outline="0" fieldPosition="0">
        <references count="4">
          <reference field="0" count="1" selected="0">
            <x v="21"/>
          </reference>
          <reference field="1" count="1" selected="0">
            <x v="55"/>
          </reference>
          <reference field="2" count="1" selected="0">
            <x v="21"/>
          </reference>
          <reference field="3" count="1">
            <x v="8"/>
          </reference>
        </references>
      </pivotArea>
    </format>
    <format dxfId="406">
      <pivotArea dataOnly="0" labelOnly="1" outline="0" fieldPosition="0">
        <references count="4">
          <reference field="0" count="1" selected="0">
            <x v="22"/>
          </reference>
          <reference field="1" count="1" selected="0">
            <x v="58"/>
          </reference>
          <reference field="2" count="1" selected="0">
            <x v="22"/>
          </reference>
          <reference field="3" count="1">
            <x v="23"/>
          </reference>
        </references>
      </pivotArea>
    </format>
    <format dxfId="405">
      <pivotArea dataOnly="0" labelOnly="1" outline="0" fieldPosition="0">
        <references count="4">
          <reference field="0" count="1" selected="0">
            <x v="23"/>
          </reference>
          <reference field="1" count="1" selected="0">
            <x v="59"/>
          </reference>
          <reference field="2" count="1" selected="0">
            <x v="23"/>
          </reference>
          <reference field="3" count="1">
            <x v="10"/>
          </reference>
        </references>
      </pivotArea>
    </format>
    <format dxfId="404">
      <pivotArea dataOnly="0" labelOnly="1" outline="0" fieldPosition="0">
        <references count="4">
          <reference field="0" count="1" selected="0">
            <x v="24"/>
          </reference>
          <reference field="1" count="1" selected="0">
            <x v="11"/>
          </reference>
          <reference field="2" count="1" selected="0">
            <x v="24"/>
          </reference>
          <reference field="3" count="1">
            <x v="9"/>
          </reference>
        </references>
      </pivotArea>
    </format>
    <format dxfId="403">
      <pivotArea dataOnly="0" labelOnly="1" outline="0" fieldPosition="0">
        <references count="4">
          <reference field="0" count="1" selected="0">
            <x v="25"/>
          </reference>
          <reference field="1" count="1" selected="0">
            <x v="12"/>
          </reference>
          <reference field="2" count="1" selected="0">
            <x v="25"/>
          </reference>
          <reference field="3" count="1">
            <x v="14"/>
          </reference>
        </references>
      </pivotArea>
    </format>
    <format dxfId="402">
      <pivotArea dataOnly="0" labelOnly="1" outline="0" fieldPosition="0">
        <references count="4">
          <reference field="0" count="1" selected="0">
            <x v="26"/>
          </reference>
          <reference field="1" count="1" selected="0">
            <x v="13"/>
          </reference>
          <reference field="2" count="1" selected="0">
            <x v="26"/>
          </reference>
          <reference field="3" count="1">
            <x v="9"/>
          </reference>
        </references>
      </pivotArea>
    </format>
    <format dxfId="401">
      <pivotArea dataOnly="0" labelOnly="1" outline="0" fieldPosition="0">
        <references count="4">
          <reference field="0" count="1" selected="0">
            <x v="27"/>
          </reference>
          <reference field="1" count="1" selected="0">
            <x v="14"/>
          </reference>
          <reference field="2" count="1" selected="0">
            <x v="27"/>
          </reference>
          <reference field="3" count="1">
            <x v="6"/>
          </reference>
        </references>
      </pivotArea>
    </format>
    <format dxfId="400">
      <pivotArea dataOnly="0" labelOnly="1" outline="0" fieldPosition="0">
        <references count="4">
          <reference field="0" count="1" selected="0">
            <x v="28"/>
          </reference>
          <reference field="1" count="1" selected="0">
            <x v="9"/>
          </reference>
          <reference field="2" count="1" selected="0">
            <x v="28"/>
          </reference>
          <reference field="3" count="1">
            <x v="6"/>
          </reference>
        </references>
      </pivotArea>
    </format>
    <format dxfId="399">
      <pivotArea dataOnly="0" labelOnly="1" outline="0" fieldPosition="0">
        <references count="4">
          <reference field="0" count="1" selected="0">
            <x v="29"/>
          </reference>
          <reference field="1" count="1" selected="0">
            <x v="10"/>
          </reference>
          <reference field="2" count="1" selected="0">
            <x v="29"/>
          </reference>
          <reference field="3" count="1">
            <x v="0"/>
          </reference>
        </references>
      </pivotArea>
    </format>
    <format dxfId="398">
      <pivotArea dataOnly="0" labelOnly="1" outline="0" fieldPosition="0">
        <references count="4">
          <reference field="0" count="1" selected="0">
            <x v="30"/>
          </reference>
          <reference field="1" count="1" selected="0">
            <x v="8"/>
          </reference>
          <reference field="2" count="1" selected="0">
            <x v="30"/>
          </reference>
          <reference field="3" count="1">
            <x v="6"/>
          </reference>
        </references>
      </pivotArea>
    </format>
    <format dxfId="397">
      <pivotArea dataOnly="0" labelOnly="1" outline="0" fieldPosition="0">
        <references count="4">
          <reference field="0" count="1" selected="0">
            <x v="31"/>
          </reference>
          <reference field="1" count="1" selected="0">
            <x v="41"/>
          </reference>
          <reference field="2" count="1" selected="0">
            <x v="31"/>
          </reference>
          <reference field="3" count="1">
            <x v="9"/>
          </reference>
        </references>
      </pivotArea>
    </format>
    <format dxfId="396">
      <pivotArea dataOnly="0" labelOnly="1" outline="0" fieldPosition="0">
        <references count="4">
          <reference field="0" count="1" selected="0">
            <x v="32"/>
          </reference>
          <reference field="1" count="1" selected="0">
            <x v="42"/>
          </reference>
          <reference field="2" count="1" selected="0">
            <x v="32"/>
          </reference>
          <reference field="3" count="1">
            <x v="0"/>
          </reference>
        </references>
      </pivotArea>
    </format>
    <format dxfId="395">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394">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93">
      <pivotArea dataOnly="0" labelOnly="1" outline="0" fieldPosition="0">
        <references count="4">
          <reference field="0" count="1" selected="0">
            <x v="35"/>
          </reference>
          <reference field="1" count="1" selected="0">
            <x v="49"/>
          </reference>
          <reference field="2" count="1" selected="0">
            <x v="35"/>
          </reference>
          <reference field="3" count="1">
            <x v="20"/>
          </reference>
        </references>
      </pivotArea>
    </format>
    <format dxfId="392">
      <pivotArea dataOnly="0" labelOnly="1" outline="0" fieldPosition="0">
        <references count="4">
          <reference field="0" count="1" selected="0">
            <x v="36"/>
          </reference>
          <reference field="1" count="1" selected="0">
            <x v="50"/>
          </reference>
          <reference field="2" count="1" selected="0">
            <x v="36"/>
          </reference>
          <reference field="3" count="1">
            <x v="17"/>
          </reference>
        </references>
      </pivotArea>
    </format>
    <format dxfId="391">
      <pivotArea dataOnly="0" labelOnly="1" outline="0" fieldPosition="0">
        <references count="4">
          <reference field="0" count="1" selected="0">
            <x v="37"/>
          </reference>
          <reference field="1" count="1" selected="0">
            <x v="54"/>
          </reference>
          <reference field="2" count="1" selected="0">
            <x v="37"/>
          </reference>
          <reference field="3" count="1">
            <x v="21"/>
          </reference>
        </references>
      </pivotArea>
    </format>
    <format dxfId="390">
      <pivotArea dataOnly="0" labelOnly="1" outline="0" fieldPosition="0">
        <references count="4">
          <reference field="0" count="1" selected="0">
            <x v="38"/>
          </reference>
          <reference field="1" count="1" selected="0">
            <x v="56"/>
          </reference>
          <reference field="2" count="1" selected="0">
            <x v="38"/>
          </reference>
          <reference field="3" count="1">
            <x v="13"/>
          </reference>
        </references>
      </pivotArea>
    </format>
    <format dxfId="389">
      <pivotArea dataOnly="0" labelOnly="1" outline="0" fieldPosition="0">
        <references count="4">
          <reference field="0" count="1" selected="0">
            <x v="39"/>
          </reference>
          <reference field="1" count="1" selected="0">
            <x v="34"/>
          </reference>
          <reference field="2" count="1" selected="0">
            <x v="39"/>
          </reference>
          <reference field="3" count="1">
            <x v="26"/>
          </reference>
        </references>
      </pivotArea>
    </format>
    <format dxfId="388">
      <pivotArea dataOnly="0" labelOnly="1" outline="0" fieldPosition="0">
        <references count="4">
          <reference field="0" count="1" selected="0">
            <x v="40"/>
          </reference>
          <reference field="1" count="1" selected="0">
            <x v="29"/>
          </reference>
          <reference field="2" count="1" selected="0">
            <x v="40"/>
          </reference>
          <reference field="3" count="1">
            <x v="22"/>
          </reference>
        </references>
      </pivotArea>
    </format>
    <format dxfId="387">
      <pivotArea dataOnly="0" labelOnly="1" outline="0" fieldPosition="0">
        <references count="4">
          <reference field="0" count="1" selected="0">
            <x v="41"/>
          </reference>
          <reference field="1" count="1" selected="0">
            <x v="30"/>
          </reference>
          <reference field="2" count="1" selected="0">
            <x v="41"/>
          </reference>
          <reference field="3" count="1">
            <x v="28"/>
          </reference>
        </references>
      </pivotArea>
    </format>
    <format dxfId="386">
      <pivotArea dataOnly="0" labelOnly="1" outline="0" fieldPosition="0">
        <references count="4">
          <reference field="0" count="1" selected="0">
            <x v="42"/>
          </reference>
          <reference field="1" count="1" selected="0">
            <x v="31"/>
          </reference>
          <reference field="2" count="1" selected="0">
            <x v="42"/>
          </reference>
          <reference field="3" count="1">
            <x v="22"/>
          </reference>
        </references>
      </pivotArea>
    </format>
    <format dxfId="385">
      <pivotArea dataOnly="0" labelOnly="1" outline="0" fieldPosition="0">
        <references count="4">
          <reference field="0" count="1" selected="0">
            <x v="43"/>
          </reference>
          <reference field="1" count="1" selected="0">
            <x v="20"/>
          </reference>
          <reference field="2" count="1" selected="0">
            <x v="43"/>
          </reference>
          <reference field="3" count="1">
            <x v="21"/>
          </reference>
        </references>
      </pivotArea>
    </format>
    <format dxfId="384">
      <pivotArea dataOnly="0" labelOnly="1" outline="0" fieldPosition="0">
        <references count="4">
          <reference field="0" count="1" selected="0">
            <x v="44"/>
          </reference>
          <reference field="1" count="1" selected="0">
            <x v="21"/>
          </reference>
          <reference field="2" count="1" selected="0">
            <x v="44"/>
          </reference>
          <reference field="3" count="1">
            <x v="18"/>
          </reference>
        </references>
      </pivotArea>
    </format>
    <format dxfId="383">
      <pivotArea dataOnly="0" labelOnly="1" outline="0" fieldPosition="0">
        <references count="4">
          <reference field="0" count="1" selected="0">
            <x v="45"/>
          </reference>
          <reference field="1" count="1" selected="0">
            <x v="22"/>
          </reference>
          <reference field="2" count="1" selected="0">
            <x v="45"/>
          </reference>
          <reference field="3" count="1">
            <x v="20"/>
          </reference>
        </references>
      </pivotArea>
    </format>
    <format dxfId="382">
      <pivotArea dataOnly="0" labelOnly="1" outline="0" fieldPosition="0">
        <references count="4">
          <reference field="0" count="1" selected="0">
            <x v="46"/>
          </reference>
          <reference field="1" count="1" selected="0">
            <x v="57"/>
          </reference>
          <reference field="2" count="1" selected="0">
            <x v="46"/>
          </reference>
          <reference field="3" count="1">
            <x v="11"/>
          </reference>
        </references>
      </pivotArea>
    </format>
    <format dxfId="381">
      <pivotArea dataOnly="0" labelOnly="1" outline="0" fieldPosition="0">
        <references count="4">
          <reference field="0" count="1" selected="0">
            <x v="47"/>
          </reference>
          <reference field="1" count="1" selected="0">
            <x v="17"/>
          </reference>
          <reference field="2" count="1" selected="0">
            <x v="47"/>
          </reference>
          <reference field="3" count="1">
            <x v="9"/>
          </reference>
        </references>
      </pivotArea>
    </format>
    <format dxfId="380">
      <pivotArea dataOnly="0" labelOnly="1" outline="0" fieldPosition="0">
        <references count="4">
          <reference field="0" count="1" selected="0">
            <x v="48"/>
          </reference>
          <reference field="1" count="1" selected="0">
            <x v="26"/>
          </reference>
          <reference field="2" count="1" selected="0">
            <x v="48"/>
          </reference>
          <reference field="3" count="1">
            <x v="14"/>
          </reference>
        </references>
      </pivotArea>
    </format>
    <format dxfId="379">
      <pivotArea dataOnly="0" labelOnly="1" outline="0" fieldPosition="0">
        <references count="4">
          <reference field="0" count="1" selected="0">
            <x v="49"/>
          </reference>
          <reference field="1" count="1" selected="0">
            <x v="0"/>
          </reference>
          <reference field="2" count="1" selected="0">
            <x v="49"/>
          </reference>
          <reference field="3" count="1">
            <x v="11"/>
          </reference>
        </references>
      </pivotArea>
    </format>
    <format dxfId="378">
      <pivotArea dataOnly="0" labelOnly="1" outline="0" fieldPosition="0">
        <references count="4">
          <reference field="0" count="1" selected="0">
            <x v="50"/>
          </reference>
          <reference field="1" count="1" selected="0">
            <x v="35"/>
          </reference>
          <reference field="2" count="1" selected="0">
            <x v="50"/>
          </reference>
          <reference field="3" count="1">
            <x v="10"/>
          </reference>
        </references>
      </pivotArea>
    </format>
    <format dxfId="377">
      <pivotArea dataOnly="0" labelOnly="1" outline="0" fieldPosition="0">
        <references count="4">
          <reference field="0" count="1" selected="0">
            <x v="51"/>
          </reference>
          <reference field="1" count="1" selected="0">
            <x v="15"/>
          </reference>
          <reference field="2" count="1" selected="0">
            <x v="51"/>
          </reference>
          <reference field="3" count="1">
            <x v="23"/>
          </reference>
        </references>
      </pivotArea>
    </format>
    <format dxfId="376">
      <pivotArea dataOnly="0" labelOnly="1" outline="0" fieldPosition="0">
        <references count="4">
          <reference field="0" count="1" selected="0">
            <x v="52"/>
          </reference>
          <reference field="1" count="1" selected="0">
            <x v="2"/>
          </reference>
          <reference field="2" count="1" selected="0">
            <x v="52"/>
          </reference>
          <reference field="3" count="1">
            <x v="25"/>
          </reference>
        </references>
      </pivotArea>
    </format>
    <format dxfId="375">
      <pivotArea dataOnly="0" labelOnly="1" outline="0" fieldPosition="0">
        <references count="4">
          <reference field="0" count="1" selected="0">
            <x v="53"/>
          </reference>
          <reference field="1" count="1" selected="0">
            <x v="1"/>
          </reference>
          <reference field="2" count="1" selected="0">
            <x v="53"/>
          </reference>
          <reference field="3" count="1">
            <x v="5"/>
          </reference>
        </references>
      </pivotArea>
    </format>
    <format dxfId="374">
      <pivotArea dataOnly="0" labelOnly="1" outline="0" fieldPosition="0">
        <references count="4">
          <reference field="0" count="1" selected="0">
            <x v="54"/>
          </reference>
          <reference field="1" count="1" selected="0">
            <x v="32"/>
          </reference>
          <reference field="2" count="1" selected="0">
            <x v="54"/>
          </reference>
          <reference field="3" count="1">
            <x v="15"/>
          </reference>
        </references>
      </pivotArea>
    </format>
    <format dxfId="373">
      <pivotArea dataOnly="0" labelOnly="1" outline="0" fieldPosition="0">
        <references count="4">
          <reference field="0" count="1" selected="0">
            <x v="55"/>
          </reference>
          <reference field="1" count="1" selected="0">
            <x v="19"/>
          </reference>
          <reference field="2" count="1" selected="0">
            <x v="55"/>
          </reference>
          <reference field="3" count="1">
            <x v="27"/>
          </reference>
        </references>
      </pivotArea>
    </format>
    <format dxfId="372">
      <pivotArea dataOnly="0" labelOnly="1" outline="0" fieldPosition="0">
        <references count="4">
          <reference field="0" count="1" selected="0">
            <x v="56"/>
          </reference>
          <reference field="1" count="1" selected="0">
            <x v="27"/>
          </reference>
          <reference field="2" count="1" selected="0">
            <x v="56"/>
          </reference>
          <reference field="3" count="1">
            <x v="12"/>
          </reference>
        </references>
      </pivotArea>
    </format>
    <format dxfId="371">
      <pivotArea dataOnly="0" labelOnly="1" outline="0" fieldPosition="0">
        <references count="4">
          <reference field="0" count="1" selected="0">
            <x v="57"/>
          </reference>
          <reference field="1" count="1" selected="0">
            <x v="23"/>
          </reference>
          <reference field="2" count="1" selected="0">
            <x v="57"/>
          </reference>
          <reference field="3" count="1">
            <x v="9"/>
          </reference>
        </references>
      </pivotArea>
    </format>
    <format dxfId="370">
      <pivotArea dataOnly="0" labelOnly="1" outline="0" fieldPosition="0">
        <references count="4">
          <reference field="0" count="1" selected="0">
            <x v="58"/>
          </reference>
          <reference field="1" count="1" selected="0">
            <x v="24"/>
          </reference>
          <reference field="2" count="1" selected="0">
            <x v="58"/>
          </reference>
          <reference field="3" count="1">
            <x v="10"/>
          </reference>
        </references>
      </pivotArea>
    </format>
    <format dxfId="369">
      <pivotArea dataOnly="0" labelOnly="1" outline="0" fieldPosition="0">
        <references count="4">
          <reference field="0" count="1" selected="0">
            <x v="59"/>
          </reference>
          <reference field="1" count="1" selected="0">
            <x v="38"/>
          </reference>
          <reference field="2" count="1" selected="0">
            <x v="59"/>
          </reference>
          <reference field="3" count="1">
            <x v="24"/>
          </reference>
        </references>
      </pivotArea>
    </format>
    <format dxfId="368">
      <pivotArea dataOnly="0" labelOnly="1" outline="0" fieldPosition="0">
        <references count="1">
          <reference field="0"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367">
      <pivotArea dataOnly="0" labelOnly="1" outline="0" fieldPosition="0">
        <references count="1">
          <reference field="0" count="10">
            <x v="50"/>
            <x v="51"/>
            <x v="52"/>
            <x v="53"/>
            <x v="54"/>
            <x v="55"/>
            <x v="56"/>
            <x v="57"/>
            <x v="58"/>
            <x v="59"/>
          </reference>
        </references>
      </pivotArea>
    </format>
    <format dxfId="366">
      <pivotArea dataOnly="0" labelOnly="1" outline="0" fieldPosition="0">
        <references count="2">
          <reference field="0" count="1" selected="0">
            <x v="0"/>
          </reference>
          <reference field="2" count="1">
            <x v="0"/>
          </reference>
        </references>
      </pivotArea>
    </format>
    <format dxfId="365">
      <pivotArea dataOnly="0" labelOnly="1" outline="0" fieldPosition="0">
        <references count="2">
          <reference field="0" count="1" selected="0">
            <x v="1"/>
          </reference>
          <reference field="2" count="1">
            <x v="1"/>
          </reference>
        </references>
      </pivotArea>
    </format>
    <format dxfId="364">
      <pivotArea dataOnly="0" labelOnly="1" outline="0" fieldPosition="0">
        <references count="2">
          <reference field="0" count="1" selected="0">
            <x v="2"/>
          </reference>
          <reference field="2" count="1">
            <x v="2"/>
          </reference>
        </references>
      </pivotArea>
    </format>
    <format dxfId="363">
      <pivotArea dataOnly="0" labelOnly="1" outline="0" fieldPosition="0">
        <references count="2">
          <reference field="0" count="1" selected="0">
            <x v="3"/>
          </reference>
          <reference field="2" count="1">
            <x v="3"/>
          </reference>
        </references>
      </pivotArea>
    </format>
    <format dxfId="362">
      <pivotArea dataOnly="0" labelOnly="1" outline="0" fieldPosition="0">
        <references count="2">
          <reference field="0" count="1" selected="0">
            <x v="4"/>
          </reference>
          <reference field="2" count="1">
            <x v="4"/>
          </reference>
        </references>
      </pivotArea>
    </format>
    <format dxfId="361">
      <pivotArea dataOnly="0" labelOnly="1" outline="0" fieldPosition="0">
        <references count="2">
          <reference field="0" count="1" selected="0">
            <x v="5"/>
          </reference>
          <reference field="2" count="1">
            <x v="5"/>
          </reference>
        </references>
      </pivotArea>
    </format>
    <format dxfId="360">
      <pivotArea dataOnly="0" labelOnly="1" outline="0" fieldPosition="0">
        <references count="2">
          <reference field="0" count="1" selected="0">
            <x v="6"/>
          </reference>
          <reference field="2" count="1">
            <x v="6"/>
          </reference>
        </references>
      </pivotArea>
    </format>
    <format dxfId="359">
      <pivotArea dataOnly="0" labelOnly="1" outline="0" fieldPosition="0">
        <references count="2">
          <reference field="0" count="1" selected="0">
            <x v="7"/>
          </reference>
          <reference field="2" count="1">
            <x v="7"/>
          </reference>
        </references>
      </pivotArea>
    </format>
    <format dxfId="358">
      <pivotArea dataOnly="0" labelOnly="1" outline="0" fieldPosition="0">
        <references count="2">
          <reference field="0" count="1" selected="0">
            <x v="8"/>
          </reference>
          <reference field="2" count="1">
            <x v="8"/>
          </reference>
        </references>
      </pivotArea>
    </format>
    <format dxfId="357">
      <pivotArea dataOnly="0" labelOnly="1" outline="0" fieldPosition="0">
        <references count="2">
          <reference field="0" count="1" selected="0">
            <x v="9"/>
          </reference>
          <reference field="2" count="1">
            <x v="9"/>
          </reference>
        </references>
      </pivotArea>
    </format>
    <format dxfId="356">
      <pivotArea dataOnly="0" labelOnly="1" outline="0" fieldPosition="0">
        <references count="2">
          <reference field="0" count="1" selected="0">
            <x v="10"/>
          </reference>
          <reference field="2" count="1">
            <x v="10"/>
          </reference>
        </references>
      </pivotArea>
    </format>
    <format dxfId="355">
      <pivotArea dataOnly="0" labelOnly="1" outline="0" fieldPosition="0">
        <references count="2">
          <reference field="0" count="1" selected="0">
            <x v="11"/>
          </reference>
          <reference field="2" count="1">
            <x v="11"/>
          </reference>
        </references>
      </pivotArea>
    </format>
    <format dxfId="354">
      <pivotArea dataOnly="0" labelOnly="1" outline="0" fieldPosition="0">
        <references count="2">
          <reference field="0" count="1" selected="0">
            <x v="12"/>
          </reference>
          <reference field="2" count="1">
            <x v="12"/>
          </reference>
        </references>
      </pivotArea>
    </format>
    <format dxfId="353">
      <pivotArea dataOnly="0" labelOnly="1" outline="0" fieldPosition="0">
        <references count="2">
          <reference field="0" count="1" selected="0">
            <x v="13"/>
          </reference>
          <reference field="2" count="1">
            <x v="13"/>
          </reference>
        </references>
      </pivotArea>
    </format>
    <format dxfId="352">
      <pivotArea dataOnly="0" labelOnly="1" outline="0" fieldPosition="0">
        <references count="2">
          <reference field="0" count="1" selected="0">
            <x v="14"/>
          </reference>
          <reference field="2" count="1">
            <x v="14"/>
          </reference>
        </references>
      </pivotArea>
    </format>
    <format dxfId="351">
      <pivotArea dataOnly="0" labelOnly="1" outline="0" fieldPosition="0">
        <references count="2">
          <reference field="0" count="1" selected="0">
            <x v="15"/>
          </reference>
          <reference field="2" count="1">
            <x v="15"/>
          </reference>
        </references>
      </pivotArea>
    </format>
    <format dxfId="350">
      <pivotArea dataOnly="0" labelOnly="1" outline="0" fieldPosition="0">
        <references count="2">
          <reference field="0" count="1" selected="0">
            <x v="16"/>
          </reference>
          <reference field="2" count="1">
            <x v="16"/>
          </reference>
        </references>
      </pivotArea>
    </format>
    <format dxfId="349">
      <pivotArea dataOnly="0" labelOnly="1" outline="0" fieldPosition="0">
        <references count="2">
          <reference field="0" count="1" selected="0">
            <x v="17"/>
          </reference>
          <reference field="2" count="1">
            <x v="17"/>
          </reference>
        </references>
      </pivotArea>
    </format>
    <format dxfId="348">
      <pivotArea dataOnly="0" labelOnly="1" outline="0" fieldPosition="0">
        <references count="2">
          <reference field="0" count="1" selected="0">
            <x v="18"/>
          </reference>
          <reference field="2" count="1">
            <x v="18"/>
          </reference>
        </references>
      </pivotArea>
    </format>
    <format dxfId="347">
      <pivotArea dataOnly="0" labelOnly="1" outline="0" fieldPosition="0">
        <references count="2">
          <reference field="0" count="1" selected="0">
            <x v="19"/>
          </reference>
          <reference field="2" count="1">
            <x v="19"/>
          </reference>
        </references>
      </pivotArea>
    </format>
    <format dxfId="346">
      <pivotArea dataOnly="0" labelOnly="1" outline="0" fieldPosition="0">
        <references count="2">
          <reference field="0" count="1" selected="0">
            <x v="20"/>
          </reference>
          <reference field="2" count="1">
            <x v="20"/>
          </reference>
        </references>
      </pivotArea>
    </format>
    <format dxfId="345">
      <pivotArea dataOnly="0" labelOnly="1" outline="0" fieldPosition="0">
        <references count="2">
          <reference field="0" count="1" selected="0">
            <x v="21"/>
          </reference>
          <reference field="2" count="1">
            <x v="21"/>
          </reference>
        </references>
      </pivotArea>
    </format>
    <format dxfId="344">
      <pivotArea dataOnly="0" labelOnly="1" outline="0" fieldPosition="0">
        <references count="2">
          <reference field="0" count="1" selected="0">
            <x v="22"/>
          </reference>
          <reference field="2" count="1">
            <x v="22"/>
          </reference>
        </references>
      </pivotArea>
    </format>
    <format dxfId="343">
      <pivotArea dataOnly="0" labelOnly="1" outline="0" fieldPosition="0">
        <references count="2">
          <reference field="0" count="1" selected="0">
            <x v="23"/>
          </reference>
          <reference field="2" count="1">
            <x v="23"/>
          </reference>
        </references>
      </pivotArea>
    </format>
    <format dxfId="342">
      <pivotArea dataOnly="0" labelOnly="1" outline="0" fieldPosition="0">
        <references count="2">
          <reference field="0" count="1" selected="0">
            <x v="24"/>
          </reference>
          <reference field="2" count="1">
            <x v="24"/>
          </reference>
        </references>
      </pivotArea>
    </format>
    <format dxfId="341">
      <pivotArea dataOnly="0" labelOnly="1" outline="0" fieldPosition="0">
        <references count="2">
          <reference field="0" count="1" selected="0">
            <x v="25"/>
          </reference>
          <reference field="2" count="1">
            <x v="25"/>
          </reference>
        </references>
      </pivotArea>
    </format>
    <format dxfId="340">
      <pivotArea dataOnly="0" labelOnly="1" outline="0" fieldPosition="0">
        <references count="2">
          <reference field="0" count="1" selected="0">
            <x v="26"/>
          </reference>
          <reference field="2" count="1">
            <x v="26"/>
          </reference>
        </references>
      </pivotArea>
    </format>
    <format dxfId="339">
      <pivotArea dataOnly="0" labelOnly="1" outline="0" fieldPosition="0">
        <references count="2">
          <reference field="0" count="1" selected="0">
            <x v="27"/>
          </reference>
          <reference field="2" count="1">
            <x v="27"/>
          </reference>
        </references>
      </pivotArea>
    </format>
    <format dxfId="338">
      <pivotArea dataOnly="0" labelOnly="1" outline="0" fieldPosition="0">
        <references count="2">
          <reference field="0" count="1" selected="0">
            <x v="28"/>
          </reference>
          <reference field="2" count="1">
            <x v="28"/>
          </reference>
        </references>
      </pivotArea>
    </format>
    <format dxfId="337">
      <pivotArea dataOnly="0" labelOnly="1" outline="0" fieldPosition="0">
        <references count="2">
          <reference field="0" count="1" selected="0">
            <x v="29"/>
          </reference>
          <reference field="2" count="1">
            <x v="29"/>
          </reference>
        </references>
      </pivotArea>
    </format>
    <format dxfId="336">
      <pivotArea dataOnly="0" labelOnly="1" outline="0" fieldPosition="0">
        <references count="2">
          <reference field="0" count="1" selected="0">
            <x v="30"/>
          </reference>
          <reference field="2" count="1">
            <x v="30"/>
          </reference>
        </references>
      </pivotArea>
    </format>
    <format dxfId="335">
      <pivotArea dataOnly="0" labelOnly="1" outline="0" fieldPosition="0">
        <references count="2">
          <reference field="0" count="1" selected="0">
            <x v="31"/>
          </reference>
          <reference field="2" count="1">
            <x v="31"/>
          </reference>
        </references>
      </pivotArea>
    </format>
    <format dxfId="334">
      <pivotArea dataOnly="0" labelOnly="1" outline="0" fieldPosition="0">
        <references count="2">
          <reference field="0" count="1" selected="0">
            <x v="32"/>
          </reference>
          <reference field="2" count="1">
            <x v="32"/>
          </reference>
        </references>
      </pivotArea>
    </format>
    <format dxfId="333">
      <pivotArea dataOnly="0" labelOnly="1" outline="0" fieldPosition="0">
        <references count="2">
          <reference field="0" count="1" selected="0">
            <x v="33"/>
          </reference>
          <reference field="2" count="1">
            <x v="33"/>
          </reference>
        </references>
      </pivotArea>
    </format>
    <format dxfId="332">
      <pivotArea dataOnly="0" labelOnly="1" outline="0" fieldPosition="0">
        <references count="2">
          <reference field="0" count="1" selected="0">
            <x v="34"/>
          </reference>
          <reference field="2" count="1">
            <x v="34"/>
          </reference>
        </references>
      </pivotArea>
    </format>
    <format dxfId="331">
      <pivotArea dataOnly="0" labelOnly="1" outline="0" fieldPosition="0">
        <references count="2">
          <reference field="0" count="1" selected="0">
            <x v="35"/>
          </reference>
          <reference field="2" count="1">
            <x v="35"/>
          </reference>
        </references>
      </pivotArea>
    </format>
    <format dxfId="330">
      <pivotArea dataOnly="0" labelOnly="1" outline="0" fieldPosition="0">
        <references count="2">
          <reference field="0" count="1" selected="0">
            <x v="36"/>
          </reference>
          <reference field="2" count="1">
            <x v="36"/>
          </reference>
        </references>
      </pivotArea>
    </format>
    <format dxfId="329">
      <pivotArea dataOnly="0" labelOnly="1" outline="0" fieldPosition="0">
        <references count="2">
          <reference field="0" count="1" selected="0">
            <x v="37"/>
          </reference>
          <reference field="2" count="1">
            <x v="37"/>
          </reference>
        </references>
      </pivotArea>
    </format>
    <format dxfId="328">
      <pivotArea dataOnly="0" labelOnly="1" outline="0" fieldPosition="0">
        <references count="2">
          <reference field="0" count="1" selected="0">
            <x v="38"/>
          </reference>
          <reference field="2" count="1">
            <x v="38"/>
          </reference>
        </references>
      </pivotArea>
    </format>
    <format dxfId="327">
      <pivotArea dataOnly="0" labelOnly="1" outline="0" fieldPosition="0">
        <references count="2">
          <reference field="0" count="1" selected="0">
            <x v="39"/>
          </reference>
          <reference field="2" count="1">
            <x v="39"/>
          </reference>
        </references>
      </pivotArea>
    </format>
    <format dxfId="326">
      <pivotArea dataOnly="0" labelOnly="1" outline="0" fieldPosition="0">
        <references count="2">
          <reference field="0" count="1" selected="0">
            <x v="40"/>
          </reference>
          <reference field="2" count="1">
            <x v="40"/>
          </reference>
        </references>
      </pivotArea>
    </format>
    <format dxfId="325">
      <pivotArea dataOnly="0" labelOnly="1" outline="0" fieldPosition="0">
        <references count="2">
          <reference field="0" count="1" selected="0">
            <x v="41"/>
          </reference>
          <reference field="2" count="1">
            <x v="41"/>
          </reference>
        </references>
      </pivotArea>
    </format>
    <format dxfId="324">
      <pivotArea dataOnly="0" labelOnly="1" outline="0" fieldPosition="0">
        <references count="2">
          <reference field="0" count="1" selected="0">
            <x v="42"/>
          </reference>
          <reference field="2" count="1">
            <x v="42"/>
          </reference>
        </references>
      </pivotArea>
    </format>
    <format dxfId="323">
      <pivotArea dataOnly="0" labelOnly="1" outline="0" fieldPosition="0">
        <references count="2">
          <reference field="0" count="1" selected="0">
            <x v="43"/>
          </reference>
          <reference field="2" count="1">
            <x v="43"/>
          </reference>
        </references>
      </pivotArea>
    </format>
    <format dxfId="322">
      <pivotArea dataOnly="0" labelOnly="1" outline="0" fieldPosition="0">
        <references count="2">
          <reference field="0" count="1" selected="0">
            <x v="44"/>
          </reference>
          <reference field="2" count="1">
            <x v="44"/>
          </reference>
        </references>
      </pivotArea>
    </format>
    <format dxfId="321">
      <pivotArea dataOnly="0" labelOnly="1" outline="0" fieldPosition="0">
        <references count="2">
          <reference field="0" count="1" selected="0">
            <x v="45"/>
          </reference>
          <reference field="2" count="1">
            <x v="45"/>
          </reference>
        </references>
      </pivotArea>
    </format>
    <format dxfId="320">
      <pivotArea dataOnly="0" labelOnly="1" outline="0" fieldPosition="0">
        <references count="2">
          <reference field="0" count="1" selected="0">
            <x v="46"/>
          </reference>
          <reference field="2" count="1">
            <x v="46"/>
          </reference>
        </references>
      </pivotArea>
    </format>
    <format dxfId="319">
      <pivotArea dataOnly="0" labelOnly="1" outline="0" fieldPosition="0">
        <references count="2">
          <reference field="0" count="1" selected="0">
            <x v="47"/>
          </reference>
          <reference field="2" count="1">
            <x v="47"/>
          </reference>
        </references>
      </pivotArea>
    </format>
    <format dxfId="318">
      <pivotArea dataOnly="0" labelOnly="1" outline="0" fieldPosition="0">
        <references count="2">
          <reference field="0" count="1" selected="0">
            <x v="48"/>
          </reference>
          <reference field="2" count="1">
            <x v="48"/>
          </reference>
        </references>
      </pivotArea>
    </format>
    <format dxfId="317">
      <pivotArea dataOnly="0" labelOnly="1" outline="0" fieldPosition="0">
        <references count="2">
          <reference field="0" count="1" selected="0">
            <x v="49"/>
          </reference>
          <reference field="2" count="1">
            <x v="49"/>
          </reference>
        </references>
      </pivotArea>
    </format>
    <format dxfId="316">
      <pivotArea dataOnly="0" labelOnly="1" outline="0" fieldPosition="0">
        <references count="2">
          <reference field="0" count="1" selected="0">
            <x v="50"/>
          </reference>
          <reference field="2" count="1">
            <x v="50"/>
          </reference>
        </references>
      </pivotArea>
    </format>
    <format dxfId="315">
      <pivotArea dataOnly="0" labelOnly="1" outline="0" fieldPosition="0">
        <references count="2">
          <reference field="0" count="1" selected="0">
            <x v="51"/>
          </reference>
          <reference field="2" count="1">
            <x v="51"/>
          </reference>
        </references>
      </pivotArea>
    </format>
    <format dxfId="314">
      <pivotArea dataOnly="0" labelOnly="1" outline="0" fieldPosition="0">
        <references count="2">
          <reference field="0" count="1" selected="0">
            <x v="52"/>
          </reference>
          <reference field="2" count="1">
            <x v="52"/>
          </reference>
        </references>
      </pivotArea>
    </format>
    <format dxfId="313">
      <pivotArea dataOnly="0" labelOnly="1" outline="0" fieldPosition="0">
        <references count="2">
          <reference field="0" count="1" selected="0">
            <x v="53"/>
          </reference>
          <reference field="2" count="1">
            <x v="53"/>
          </reference>
        </references>
      </pivotArea>
    </format>
    <format dxfId="312">
      <pivotArea dataOnly="0" labelOnly="1" outline="0" fieldPosition="0">
        <references count="2">
          <reference field="0" count="1" selected="0">
            <x v="54"/>
          </reference>
          <reference field="2" count="1">
            <x v="54"/>
          </reference>
        </references>
      </pivotArea>
    </format>
    <format dxfId="311">
      <pivotArea dataOnly="0" labelOnly="1" outline="0" fieldPosition="0">
        <references count="2">
          <reference field="0" count="1" selected="0">
            <x v="55"/>
          </reference>
          <reference field="2" count="1">
            <x v="55"/>
          </reference>
        </references>
      </pivotArea>
    </format>
    <format dxfId="310">
      <pivotArea dataOnly="0" labelOnly="1" outline="0" fieldPosition="0">
        <references count="2">
          <reference field="0" count="1" selected="0">
            <x v="56"/>
          </reference>
          <reference field="2" count="1">
            <x v="56"/>
          </reference>
        </references>
      </pivotArea>
    </format>
    <format dxfId="309">
      <pivotArea dataOnly="0" labelOnly="1" outline="0" fieldPosition="0">
        <references count="2">
          <reference field="0" count="1" selected="0">
            <x v="57"/>
          </reference>
          <reference field="2" count="1">
            <x v="57"/>
          </reference>
        </references>
      </pivotArea>
    </format>
    <format dxfId="308">
      <pivotArea dataOnly="0" labelOnly="1" outline="0" fieldPosition="0">
        <references count="2">
          <reference field="0" count="1" selected="0">
            <x v="58"/>
          </reference>
          <reference field="2" count="1">
            <x v="58"/>
          </reference>
        </references>
      </pivotArea>
    </format>
    <format dxfId="307">
      <pivotArea dataOnly="0" labelOnly="1" outline="0" fieldPosition="0">
        <references count="2">
          <reference field="0" count="1" selected="0">
            <x v="59"/>
          </reference>
          <reference field="2" count="1">
            <x v="59"/>
          </reference>
        </references>
      </pivotArea>
    </format>
    <format dxfId="306">
      <pivotArea dataOnly="0" labelOnly="1" outline="0" fieldPosition="0">
        <references count="3">
          <reference field="0" count="1" selected="0">
            <x v="0"/>
          </reference>
          <reference field="1" count="1">
            <x v="6"/>
          </reference>
          <reference field="2" count="1" selected="0">
            <x v="0"/>
          </reference>
        </references>
      </pivotArea>
    </format>
    <format dxfId="305">
      <pivotArea dataOnly="0" labelOnly="1" outline="0" fieldPosition="0">
        <references count="3">
          <reference field="0" count="1" selected="0">
            <x v="1"/>
          </reference>
          <reference field="1" count="1">
            <x v="5"/>
          </reference>
          <reference field="2" count="1" selected="0">
            <x v="1"/>
          </reference>
        </references>
      </pivotArea>
    </format>
    <format dxfId="304">
      <pivotArea dataOnly="0" labelOnly="1" outline="0" fieldPosition="0">
        <references count="3">
          <reference field="0" count="1" selected="0">
            <x v="2"/>
          </reference>
          <reference field="1" count="1">
            <x v="7"/>
          </reference>
          <reference field="2" count="1" selected="0">
            <x v="2"/>
          </reference>
        </references>
      </pivotArea>
    </format>
    <format dxfId="303">
      <pivotArea dataOnly="0" labelOnly="1" outline="0" fieldPosition="0">
        <references count="3">
          <reference field="0" count="1" selected="0">
            <x v="3"/>
          </reference>
          <reference field="1" count="1">
            <x v="40"/>
          </reference>
          <reference field="2" count="1" selected="0">
            <x v="3"/>
          </reference>
        </references>
      </pivotArea>
    </format>
    <format dxfId="302">
      <pivotArea dataOnly="0" labelOnly="1" outline="0" fieldPosition="0">
        <references count="3">
          <reference field="0" count="1" selected="0">
            <x v="4"/>
          </reference>
          <reference field="1" count="1">
            <x v="16"/>
          </reference>
          <reference field="2" count="1" selected="0">
            <x v="4"/>
          </reference>
        </references>
      </pivotArea>
    </format>
    <format dxfId="301">
      <pivotArea dataOnly="0" labelOnly="1" outline="0" fieldPosition="0">
        <references count="3">
          <reference field="0" count="1" selected="0">
            <x v="5"/>
          </reference>
          <reference field="1" count="1">
            <x v="33"/>
          </reference>
          <reference field="2" count="1" selected="0">
            <x v="5"/>
          </reference>
        </references>
      </pivotArea>
    </format>
    <format dxfId="300">
      <pivotArea dataOnly="0" labelOnly="1" outline="0" fieldPosition="0">
        <references count="3">
          <reference field="0" count="1" selected="0">
            <x v="6"/>
          </reference>
          <reference field="1" count="1">
            <x v="39"/>
          </reference>
          <reference field="2" count="1" selected="0">
            <x v="6"/>
          </reference>
        </references>
      </pivotArea>
    </format>
    <format dxfId="299">
      <pivotArea dataOnly="0" labelOnly="1" outline="0" fieldPosition="0">
        <references count="3">
          <reference field="0" count="1" selected="0">
            <x v="7"/>
          </reference>
          <reference field="1" count="1">
            <x v="28"/>
          </reference>
          <reference field="2" count="1" selected="0">
            <x v="7"/>
          </reference>
        </references>
      </pivotArea>
    </format>
    <format dxfId="298">
      <pivotArea dataOnly="0" labelOnly="1" outline="0" fieldPosition="0">
        <references count="3">
          <reference field="0" count="1" selected="0">
            <x v="8"/>
          </reference>
          <reference field="1" count="1">
            <x v="25"/>
          </reference>
          <reference field="2" count="1" selected="0">
            <x v="8"/>
          </reference>
        </references>
      </pivotArea>
    </format>
    <format dxfId="297">
      <pivotArea dataOnly="0" labelOnly="1" outline="0" fieldPosition="0">
        <references count="3">
          <reference field="0" count="1" selected="0">
            <x v="9"/>
          </reference>
          <reference field="1" count="1">
            <x v="43"/>
          </reference>
          <reference field="2" count="1" selected="0">
            <x v="9"/>
          </reference>
        </references>
      </pivotArea>
    </format>
    <format dxfId="296">
      <pivotArea dataOnly="0" labelOnly="1" outline="0" fieldPosition="0">
        <references count="3">
          <reference field="0" count="1" selected="0">
            <x v="10"/>
          </reference>
          <reference field="1" count="1">
            <x v="44"/>
          </reference>
          <reference field="2" count="1" selected="0">
            <x v="10"/>
          </reference>
        </references>
      </pivotArea>
    </format>
    <format dxfId="295">
      <pivotArea dataOnly="0" labelOnly="1" outline="0" fieldPosition="0">
        <references count="3">
          <reference field="0" count="1" selected="0">
            <x v="11"/>
          </reference>
          <reference field="1" count="1">
            <x v="45"/>
          </reference>
          <reference field="2" count="1" selected="0">
            <x v="11"/>
          </reference>
        </references>
      </pivotArea>
    </format>
    <format dxfId="294">
      <pivotArea dataOnly="0" labelOnly="1" outline="0" fieldPosition="0">
        <references count="3">
          <reference field="0" count="1" selected="0">
            <x v="12"/>
          </reference>
          <reference field="1" count="1">
            <x v="46"/>
          </reference>
          <reference field="2" count="1" selected="0">
            <x v="12"/>
          </reference>
        </references>
      </pivotArea>
    </format>
    <format dxfId="293">
      <pivotArea dataOnly="0" labelOnly="1" outline="0" fieldPosition="0">
        <references count="3">
          <reference field="0" count="1" selected="0">
            <x v="13"/>
          </reference>
          <reference field="1" count="1">
            <x v="47"/>
          </reference>
          <reference field="2" count="1" selected="0">
            <x v="13"/>
          </reference>
        </references>
      </pivotArea>
    </format>
    <format dxfId="292">
      <pivotArea dataOnly="0" labelOnly="1" outline="0" fieldPosition="0">
        <references count="3">
          <reference field="0" count="1" selected="0">
            <x v="14"/>
          </reference>
          <reference field="1" count="1">
            <x v="48"/>
          </reference>
          <reference field="2" count="1" selected="0">
            <x v="14"/>
          </reference>
        </references>
      </pivotArea>
    </format>
    <format dxfId="291">
      <pivotArea dataOnly="0" labelOnly="1" outline="0" fieldPosition="0">
        <references count="3">
          <reference field="0" count="1" selected="0">
            <x v="15"/>
          </reference>
          <reference field="1" count="1">
            <x v="36"/>
          </reference>
          <reference field="2" count="1" selected="0">
            <x v="15"/>
          </reference>
        </references>
      </pivotArea>
    </format>
    <format dxfId="290">
      <pivotArea dataOnly="0" labelOnly="1" outline="0" fieldPosition="0">
        <references count="3">
          <reference field="0" count="1" selected="0">
            <x v="16"/>
          </reference>
          <reference field="1" count="1">
            <x v="37"/>
          </reference>
          <reference field="2" count="1" selected="0">
            <x v="16"/>
          </reference>
        </references>
      </pivotArea>
    </format>
    <format dxfId="289">
      <pivotArea dataOnly="0" labelOnly="1" outline="0" fieldPosition="0">
        <references count="3">
          <reference field="0" count="1" selected="0">
            <x v="17"/>
          </reference>
          <reference field="1" count="1">
            <x v="18"/>
          </reference>
          <reference field="2" count="1" selected="0">
            <x v="17"/>
          </reference>
        </references>
      </pivotArea>
    </format>
    <format dxfId="288">
      <pivotArea dataOnly="0" labelOnly="1" outline="0" fieldPosition="0">
        <references count="3">
          <reference field="0" count="1" selected="0">
            <x v="18"/>
          </reference>
          <reference field="1" count="1">
            <x v="51"/>
          </reference>
          <reference field="2" count="1" selected="0">
            <x v="18"/>
          </reference>
        </references>
      </pivotArea>
    </format>
    <format dxfId="287">
      <pivotArea dataOnly="0" labelOnly="1" outline="0" fieldPosition="0">
        <references count="3">
          <reference field="0" count="1" selected="0">
            <x v="19"/>
          </reference>
          <reference field="1" count="1">
            <x v="52"/>
          </reference>
          <reference field="2" count="1" selected="0">
            <x v="19"/>
          </reference>
        </references>
      </pivotArea>
    </format>
    <format dxfId="286">
      <pivotArea dataOnly="0" labelOnly="1" outline="0" fieldPosition="0">
        <references count="3">
          <reference field="0" count="1" selected="0">
            <x v="20"/>
          </reference>
          <reference field="1" count="1">
            <x v="53"/>
          </reference>
          <reference field="2" count="1" selected="0">
            <x v="20"/>
          </reference>
        </references>
      </pivotArea>
    </format>
    <format dxfId="285">
      <pivotArea dataOnly="0" labelOnly="1" outline="0" fieldPosition="0">
        <references count="3">
          <reference field="0" count="1" selected="0">
            <x v="21"/>
          </reference>
          <reference field="1" count="1">
            <x v="55"/>
          </reference>
          <reference field="2" count="1" selected="0">
            <x v="21"/>
          </reference>
        </references>
      </pivotArea>
    </format>
    <format dxfId="284">
      <pivotArea dataOnly="0" labelOnly="1" outline="0" fieldPosition="0">
        <references count="3">
          <reference field="0" count="1" selected="0">
            <x v="22"/>
          </reference>
          <reference field="1" count="1">
            <x v="58"/>
          </reference>
          <reference field="2" count="1" selected="0">
            <x v="22"/>
          </reference>
        </references>
      </pivotArea>
    </format>
    <format dxfId="283">
      <pivotArea dataOnly="0" labelOnly="1" outline="0" fieldPosition="0">
        <references count="3">
          <reference field="0" count="1" selected="0">
            <x v="23"/>
          </reference>
          <reference field="1" count="1">
            <x v="59"/>
          </reference>
          <reference field="2" count="1" selected="0">
            <x v="23"/>
          </reference>
        </references>
      </pivotArea>
    </format>
    <format dxfId="282">
      <pivotArea dataOnly="0" labelOnly="1" outline="0" fieldPosition="0">
        <references count="3">
          <reference field="0" count="1" selected="0">
            <x v="24"/>
          </reference>
          <reference field="1" count="1">
            <x v="11"/>
          </reference>
          <reference field="2" count="1" selected="0">
            <x v="24"/>
          </reference>
        </references>
      </pivotArea>
    </format>
    <format dxfId="281">
      <pivotArea dataOnly="0" labelOnly="1" outline="0" fieldPosition="0">
        <references count="3">
          <reference field="0" count="1" selected="0">
            <x v="25"/>
          </reference>
          <reference field="1" count="1">
            <x v="12"/>
          </reference>
          <reference field="2" count="1" selected="0">
            <x v="25"/>
          </reference>
        </references>
      </pivotArea>
    </format>
    <format dxfId="280">
      <pivotArea dataOnly="0" labelOnly="1" outline="0" fieldPosition="0">
        <references count="3">
          <reference field="0" count="1" selected="0">
            <x v="26"/>
          </reference>
          <reference field="1" count="1">
            <x v="13"/>
          </reference>
          <reference field="2" count="1" selected="0">
            <x v="26"/>
          </reference>
        </references>
      </pivotArea>
    </format>
    <format dxfId="279">
      <pivotArea dataOnly="0" labelOnly="1" outline="0" fieldPosition="0">
        <references count="3">
          <reference field="0" count="1" selected="0">
            <x v="27"/>
          </reference>
          <reference field="1" count="1">
            <x v="14"/>
          </reference>
          <reference field="2" count="1" selected="0">
            <x v="27"/>
          </reference>
        </references>
      </pivotArea>
    </format>
    <format dxfId="278">
      <pivotArea dataOnly="0" labelOnly="1" outline="0" fieldPosition="0">
        <references count="3">
          <reference field="0" count="1" selected="0">
            <x v="28"/>
          </reference>
          <reference field="1" count="1">
            <x v="9"/>
          </reference>
          <reference field="2" count="1" selected="0">
            <x v="28"/>
          </reference>
        </references>
      </pivotArea>
    </format>
    <format dxfId="277">
      <pivotArea dataOnly="0" labelOnly="1" outline="0" fieldPosition="0">
        <references count="3">
          <reference field="0" count="1" selected="0">
            <x v="29"/>
          </reference>
          <reference field="1" count="1">
            <x v="10"/>
          </reference>
          <reference field="2" count="1" selected="0">
            <x v="29"/>
          </reference>
        </references>
      </pivotArea>
    </format>
    <format dxfId="276">
      <pivotArea dataOnly="0" labelOnly="1" outline="0" fieldPosition="0">
        <references count="3">
          <reference field="0" count="1" selected="0">
            <x v="30"/>
          </reference>
          <reference field="1" count="1">
            <x v="8"/>
          </reference>
          <reference field="2" count="1" selected="0">
            <x v="30"/>
          </reference>
        </references>
      </pivotArea>
    </format>
    <format dxfId="275">
      <pivotArea dataOnly="0" labelOnly="1" outline="0" fieldPosition="0">
        <references count="3">
          <reference field="0" count="1" selected="0">
            <x v="31"/>
          </reference>
          <reference field="1" count="1">
            <x v="41"/>
          </reference>
          <reference field="2" count="1" selected="0">
            <x v="31"/>
          </reference>
        </references>
      </pivotArea>
    </format>
    <format dxfId="274">
      <pivotArea dataOnly="0" labelOnly="1" outline="0" fieldPosition="0">
        <references count="3">
          <reference field="0" count="1" selected="0">
            <x v="32"/>
          </reference>
          <reference field="1" count="1">
            <x v="42"/>
          </reference>
          <reference field="2" count="1" selected="0">
            <x v="32"/>
          </reference>
        </references>
      </pivotArea>
    </format>
    <format dxfId="273">
      <pivotArea dataOnly="0" labelOnly="1" outline="0" fieldPosition="0">
        <references count="3">
          <reference field="0" count="1" selected="0">
            <x v="33"/>
          </reference>
          <reference field="1" count="1">
            <x v="3"/>
          </reference>
          <reference field="2" count="1" selected="0">
            <x v="33"/>
          </reference>
        </references>
      </pivotArea>
    </format>
    <format dxfId="272">
      <pivotArea dataOnly="0" labelOnly="1" outline="0" fieldPosition="0">
        <references count="3">
          <reference field="0" count="1" selected="0">
            <x v="34"/>
          </reference>
          <reference field="1" count="1">
            <x v="4"/>
          </reference>
          <reference field="2" count="1" selected="0">
            <x v="34"/>
          </reference>
        </references>
      </pivotArea>
    </format>
    <format dxfId="271">
      <pivotArea dataOnly="0" labelOnly="1" outline="0" fieldPosition="0">
        <references count="3">
          <reference field="0" count="1" selected="0">
            <x v="35"/>
          </reference>
          <reference field="1" count="1">
            <x v="49"/>
          </reference>
          <reference field="2" count="1" selected="0">
            <x v="35"/>
          </reference>
        </references>
      </pivotArea>
    </format>
    <format dxfId="270">
      <pivotArea dataOnly="0" labelOnly="1" outline="0" fieldPosition="0">
        <references count="3">
          <reference field="0" count="1" selected="0">
            <x v="36"/>
          </reference>
          <reference field="1" count="1">
            <x v="50"/>
          </reference>
          <reference field="2" count="1" selected="0">
            <x v="36"/>
          </reference>
        </references>
      </pivotArea>
    </format>
    <format dxfId="269">
      <pivotArea dataOnly="0" labelOnly="1" outline="0" fieldPosition="0">
        <references count="3">
          <reference field="0" count="1" selected="0">
            <x v="37"/>
          </reference>
          <reference field="1" count="1">
            <x v="54"/>
          </reference>
          <reference field="2" count="1" selected="0">
            <x v="37"/>
          </reference>
        </references>
      </pivotArea>
    </format>
    <format dxfId="268">
      <pivotArea dataOnly="0" labelOnly="1" outline="0" fieldPosition="0">
        <references count="3">
          <reference field="0" count="1" selected="0">
            <x v="38"/>
          </reference>
          <reference field="1" count="1">
            <x v="56"/>
          </reference>
          <reference field="2" count="1" selected="0">
            <x v="38"/>
          </reference>
        </references>
      </pivotArea>
    </format>
    <format dxfId="267">
      <pivotArea dataOnly="0" labelOnly="1" outline="0" fieldPosition="0">
        <references count="3">
          <reference field="0" count="1" selected="0">
            <x v="39"/>
          </reference>
          <reference field="1" count="1">
            <x v="34"/>
          </reference>
          <reference field="2" count="1" selected="0">
            <x v="39"/>
          </reference>
        </references>
      </pivotArea>
    </format>
    <format dxfId="266">
      <pivotArea dataOnly="0" labelOnly="1" outline="0" fieldPosition="0">
        <references count="3">
          <reference field="0" count="1" selected="0">
            <x v="40"/>
          </reference>
          <reference field="1" count="1">
            <x v="29"/>
          </reference>
          <reference field="2" count="1" selected="0">
            <x v="40"/>
          </reference>
        </references>
      </pivotArea>
    </format>
    <format dxfId="265">
      <pivotArea dataOnly="0" labelOnly="1" outline="0" fieldPosition="0">
        <references count="3">
          <reference field="0" count="1" selected="0">
            <x v="41"/>
          </reference>
          <reference field="1" count="1">
            <x v="30"/>
          </reference>
          <reference field="2" count="1" selected="0">
            <x v="41"/>
          </reference>
        </references>
      </pivotArea>
    </format>
    <format dxfId="264">
      <pivotArea dataOnly="0" labelOnly="1" outline="0" fieldPosition="0">
        <references count="3">
          <reference field="0" count="1" selected="0">
            <x v="42"/>
          </reference>
          <reference field="1" count="1">
            <x v="31"/>
          </reference>
          <reference field="2" count="1" selected="0">
            <x v="42"/>
          </reference>
        </references>
      </pivotArea>
    </format>
    <format dxfId="263">
      <pivotArea dataOnly="0" labelOnly="1" outline="0" fieldPosition="0">
        <references count="3">
          <reference field="0" count="1" selected="0">
            <x v="43"/>
          </reference>
          <reference field="1" count="1">
            <x v="20"/>
          </reference>
          <reference field="2" count="1" selected="0">
            <x v="43"/>
          </reference>
        </references>
      </pivotArea>
    </format>
    <format dxfId="262">
      <pivotArea dataOnly="0" labelOnly="1" outline="0" fieldPosition="0">
        <references count="3">
          <reference field="0" count="1" selected="0">
            <x v="44"/>
          </reference>
          <reference field="1" count="1">
            <x v="21"/>
          </reference>
          <reference field="2" count="1" selected="0">
            <x v="44"/>
          </reference>
        </references>
      </pivotArea>
    </format>
    <format dxfId="261">
      <pivotArea dataOnly="0" labelOnly="1" outline="0" fieldPosition="0">
        <references count="3">
          <reference field="0" count="1" selected="0">
            <x v="45"/>
          </reference>
          <reference field="1" count="1">
            <x v="22"/>
          </reference>
          <reference field="2" count="1" selected="0">
            <x v="45"/>
          </reference>
        </references>
      </pivotArea>
    </format>
    <format dxfId="260">
      <pivotArea dataOnly="0" labelOnly="1" outline="0" fieldPosition="0">
        <references count="3">
          <reference field="0" count="1" selected="0">
            <x v="46"/>
          </reference>
          <reference field="1" count="1">
            <x v="57"/>
          </reference>
          <reference field="2" count="1" selected="0">
            <x v="46"/>
          </reference>
        </references>
      </pivotArea>
    </format>
    <format dxfId="259">
      <pivotArea dataOnly="0" labelOnly="1" outline="0" fieldPosition="0">
        <references count="3">
          <reference field="0" count="1" selected="0">
            <x v="47"/>
          </reference>
          <reference field="1" count="1">
            <x v="17"/>
          </reference>
          <reference field="2" count="1" selected="0">
            <x v="47"/>
          </reference>
        </references>
      </pivotArea>
    </format>
    <format dxfId="258">
      <pivotArea dataOnly="0" labelOnly="1" outline="0" fieldPosition="0">
        <references count="3">
          <reference field="0" count="1" selected="0">
            <x v="48"/>
          </reference>
          <reference field="1" count="1">
            <x v="26"/>
          </reference>
          <reference field="2" count="1" selected="0">
            <x v="48"/>
          </reference>
        </references>
      </pivotArea>
    </format>
    <format dxfId="257">
      <pivotArea dataOnly="0" labelOnly="1" outline="0" fieldPosition="0">
        <references count="3">
          <reference field="0" count="1" selected="0">
            <x v="49"/>
          </reference>
          <reference field="1" count="1">
            <x v="0"/>
          </reference>
          <reference field="2" count="1" selected="0">
            <x v="49"/>
          </reference>
        </references>
      </pivotArea>
    </format>
    <format dxfId="256">
      <pivotArea dataOnly="0" labelOnly="1" outline="0" fieldPosition="0">
        <references count="3">
          <reference field="0" count="1" selected="0">
            <x v="50"/>
          </reference>
          <reference field="1" count="1">
            <x v="35"/>
          </reference>
          <reference field="2" count="1" selected="0">
            <x v="50"/>
          </reference>
        </references>
      </pivotArea>
    </format>
    <format dxfId="255">
      <pivotArea dataOnly="0" labelOnly="1" outline="0" fieldPosition="0">
        <references count="3">
          <reference field="0" count="1" selected="0">
            <x v="51"/>
          </reference>
          <reference field="1" count="1">
            <x v="15"/>
          </reference>
          <reference field="2" count="1" selected="0">
            <x v="51"/>
          </reference>
        </references>
      </pivotArea>
    </format>
    <format dxfId="254">
      <pivotArea dataOnly="0" labelOnly="1" outline="0" fieldPosition="0">
        <references count="3">
          <reference field="0" count="1" selected="0">
            <x v="52"/>
          </reference>
          <reference field="1" count="1">
            <x v="2"/>
          </reference>
          <reference field="2" count="1" selected="0">
            <x v="52"/>
          </reference>
        </references>
      </pivotArea>
    </format>
    <format dxfId="253">
      <pivotArea dataOnly="0" labelOnly="1" outline="0" fieldPosition="0">
        <references count="3">
          <reference field="0" count="1" selected="0">
            <x v="53"/>
          </reference>
          <reference field="1" count="1">
            <x v="1"/>
          </reference>
          <reference field="2" count="1" selected="0">
            <x v="53"/>
          </reference>
        </references>
      </pivotArea>
    </format>
    <format dxfId="252">
      <pivotArea dataOnly="0" labelOnly="1" outline="0" fieldPosition="0">
        <references count="3">
          <reference field="0" count="1" selected="0">
            <x v="54"/>
          </reference>
          <reference field="1" count="1">
            <x v="32"/>
          </reference>
          <reference field="2" count="1" selected="0">
            <x v="54"/>
          </reference>
        </references>
      </pivotArea>
    </format>
    <format dxfId="251">
      <pivotArea dataOnly="0" labelOnly="1" outline="0" fieldPosition="0">
        <references count="3">
          <reference field="0" count="1" selected="0">
            <x v="55"/>
          </reference>
          <reference field="1" count="1">
            <x v="19"/>
          </reference>
          <reference field="2" count="1" selected="0">
            <x v="55"/>
          </reference>
        </references>
      </pivotArea>
    </format>
    <format dxfId="250">
      <pivotArea dataOnly="0" labelOnly="1" outline="0" fieldPosition="0">
        <references count="3">
          <reference field="0" count="1" selected="0">
            <x v="56"/>
          </reference>
          <reference field="1" count="1">
            <x v="27"/>
          </reference>
          <reference field="2" count="1" selected="0">
            <x v="56"/>
          </reference>
        </references>
      </pivotArea>
    </format>
    <format dxfId="249">
      <pivotArea dataOnly="0" labelOnly="1" outline="0" fieldPosition="0">
        <references count="3">
          <reference field="0" count="1" selected="0">
            <x v="57"/>
          </reference>
          <reference field="1" count="1">
            <x v="23"/>
          </reference>
          <reference field="2" count="1" selected="0">
            <x v="57"/>
          </reference>
        </references>
      </pivotArea>
    </format>
    <format dxfId="248">
      <pivotArea dataOnly="0" labelOnly="1" outline="0" fieldPosition="0">
        <references count="3">
          <reference field="0" count="1" selected="0">
            <x v="58"/>
          </reference>
          <reference field="1" count="1">
            <x v="24"/>
          </reference>
          <reference field="2" count="1" selected="0">
            <x v="58"/>
          </reference>
        </references>
      </pivotArea>
    </format>
    <format dxfId="247">
      <pivotArea dataOnly="0" labelOnly="1" outline="0" fieldPosition="0">
        <references count="3">
          <reference field="0" count="1" selected="0">
            <x v="59"/>
          </reference>
          <reference field="1" count="1">
            <x v="38"/>
          </reference>
          <reference field="2" count="1" selected="0">
            <x v="59"/>
          </reference>
        </references>
      </pivotArea>
    </format>
    <format dxfId="246">
      <pivotArea dataOnly="0" labelOnly="1" outline="0" fieldPosition="0">
        <references count="4">
          <reference field="0" count="1" selected="0">
            <x v="0"/>
          </reference>
          <reference field="1" count="1" selected="0">
            <x v="6"/>
          </reference>
          <reference field="2" count="1" selected="0">
            <x v="0"/>
          </reference>
          <reference field="3" count="1">
            <x v="3"/>
          </reference>
        </references>
      </pivotArea>
    </format>
    <format dxfId="245">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44">
      <pivotArea dataOnly="0" labelOnly="1" outline="0" fieldPosition="0">
        <references count="4">
          <reference field="0" count="1" selected="0">
            <x v="2"/>
          </reference>
          <reference field="1" count="1" selected="0">
            <x v="7"/>
          </reference>
          <reference field="2" count="1" selected="0">
            <x v="2"/>
          </reference>
          <reference field="3" count="1">
            <x v="4"/>
          </reference>
        </references>
      </pivotArea>
    </format>
    <format dxfId="243">
      <pivotArea dataOnly="0" labelOnly="1" outline="0" fieldPosition="0">
        <references count="4">
          <reference field="0" count="1" selected="0">
            <x v="3"/>
          </reference>
          <reference field="1" count="1" selected="0">
            <x v="40"/>
          </reference>
          <reference field="2" count="1" selected="0">
            <x v="3"/>
          </reference>
          <reference field="3" count="1">
            <x v="5"/>
          </reference>
        </references>
      </pivotArea>
    </format>
    <format dxfId="242">
      <pivotArea dataOnly="0" labelOnly="1" outline="0" fieldPosition="0">
        <references count="4">
          <reference field="0" count="1" selected="0">
            <x v="4"/>
          </reference>
          <reference field="1" count="1" selected="0">
            <x v="16"/>
          </reference>
          <reference field="2" count="1" selected="0">
            <x v="4"/>
          </reference>
          <reference field="3" count="1">
            <x v="10"/>
          </reference>
        </references>
      </pivotArea>
    </format>
    <format dxfId="241">
      <pivotArea dataOnly="0" labelOnly="1" outline="0" fieldPosition="0">
        <references count="4">
          <reference field="0" count="1" selected="0">
            <x v="5"/>
          </reference>
          <reference field="1" count="1" selected="0">
            <x v="33"/>
          </reference>
          <reference field="2" count="1" selected="0">
            <x v="5"/>
          </reference>
          <reference field="3" count="1">
            <x v="12"/>
          </reference>
        </references>
      </pivotArea>
    </format>
    <format dxfId="240">
      <pivotArea dataOnly="0" labelOnly="1" outline="0" fieldPosition="0">
        <references count="4">
          <reference field="0" count="1" selected="0">
            <x v="6"/>
          </reference>
          <reference field="1" count="1" selected="0">
            <x v="39"/>
          </reference>
          <reference field="2" count="1" selected="0">
            <x v="6"/>
          </reference>
          <reference field="3" count="1">
            <x v="8"/>
          </reference>
        </references>
      </pivotArea>
    </format>
    <format dxfId="239">
      <pivotArea dataOnly="0" labelOnly="1" outline="0" fieldPosition="0">
        <references count="4">
          <reference field="0" count="1" selected="0">
            <x v="7"/>
          </reference>
          <reference field="1" count="1" selected="0">
            <x v="28"/>
          </reference>
          <reference field="2" count="1" selected="0">
            <x v="7"/>
          </reference>
          <reference field="3" count="1">
            <x v="9"/>
          </reference>
        </references>
      </pivotArea>
    </format>
    <format dxfId="238">
      <pivotArea dataOnly="0" labelOnly="1" outline="0" fieldPosition="0">
        <references count="4">
          <reference field="0" count="1" selected="0">
            <x v="8"/>
          </reference>
          <reference field="1" count="1" selected="0">
            <x v="25"/>
          </reference>
          <reference field="2" count="1" selected="0">
            <x v="8"/>
          </reference>
          <reference field="3" count="1">
            <x v="14"/>
          </reference>
        </references>
      </pivotArea>
    </format>
    <format dxfId="237">
      <pivotArea dataOnly="0" labelOnly="1" outline="0" fieldPosition="0">
        <references count="4">
          <reference field="0" count="1" selected="0">
            <x v="9"/>
          </reference>
          <reference field="1" count="1" selected="0">
            <x v="43"/>
          </reference>
          <reference field="2" count="1" selected="0">
            <x v="9"/>
          </reference>
          <reference field="3" count="1">
            <x v="16"/>
          </reference>
        </references>
      </pivotArea>
    </format>
    <format dxfId="236">
      <pivotArea dataOnly="0" labelOnly="1" outline="0" fieldPosition="0">
        <references count="4">
          <reference field="0" count="1" selected="0">
            <x v="10"/>
          </reference>
          <reference field="1" count="1" selected="0">
            <x v="44"/>
          </reference>
          <reference field="2" count="1" selected="0">
            <x v="10"/>
          </reference>
          <reference field="3" count="1">
            <x v="14"/>
          </reference>
        </references>
      </pivotArea>
    </format>
    <format dxfId="235">
      <pivotArea dataOnly="0" labelOnly="1" outline="0" fieldPosition="0">
        <references count="4">
          <reference field="0" count="1" selected="0">
            <x v="11"/>
          </reference>
          <reference field="1" count="1" selected="0">
            <x v="45"/>
          </reference>
          <reference field="2" count="1" selected="0">
            <x v="11"/>
          </reference>
          <reference field="3" count="1">
            <x v="14"/>
          </reference>
        </references>
      </pivotArea>
    </format>
    <format dxfId="234">
      <pivotArea dataOnly="0" labelOnly="1" outline="0" fieldPosition="0">
        <references count="4">
          <reference field="0" count="1" selected="0">
            <x v="12"/>
          </reference>
          <reference field="1" count="1" selected="0">
            <x v="46"/>
          </reference>
          <reference field="2" count="1" selected="0">
            <x v="12"/>
          </reference>
          <reference field="3" count="1">
            <x v="14"/>
          </reference>
        </references>
      </pivotArea>
    </format>
    <format dxfId="233">
      <pivotArea dataOnly="0" labelOnly="1" outline="0" fieldPosition="0">
        <references count="4">
          <reference field="0" count="1" selected="0">
            <x v="13"/>
          </reference>
          <reference field="1" count="1" selected="0">
            <x v="47"/>
          </reference>
          <reference field="2" count="1" selected="0">
            <x v="13"/>
          </reference>
          <reference field="3" count="1">
            <x v="14"/>
          </reference>
        </references>
      </pivotArea>
    </format>
    <format dxfId="232">
      <pivotArea dataOnly="0" labelOnly="1" outline="0" fieldPosition="0">
        <references count="4">
          <reference field="0" count="1" selected="0">
            <x v="14"/>
          </reference>
          <reference field="1" count="1" selected="0">
            <x v="48"/>
          </reference>
          <reference field="2" count="1" selected="0">
            <x v="14"/>
          </reference>
          <reference field="3" count="1">
            <x v="14"/>
          </reference>
        </references>
      </pivotArea>
    </format>
    <format dxfId="231">
      <pivotArea dataOnly="0" labelOnly="1" outline="0" fieldPosition="0">
        <references count="4">
          <reference field="0" count="1" selected="0">
            <x v="15"/>
          </reference>
          <reference field="1" count="1" selected="0">
            <x v="36"/>
          </reference>
          <reference field="2" count="1" selected="0">
            <x v="15"/>
          </reference>
          <reference field="3" count="1">
            <x v="11"/>
          </reference>
        </references>
      </pivotArea>
    </format>
    <format dxfId="230">
      <pivotArea dataOnly="0" labelOnly="1" outline="0" fieldPosition="0">
        <references count="4">
          <reference field="0" count="1" selected="0">
            <x v="16"/>
          </reference>
          <reference field="1" count="1" selected="0">
            <x v="37"/>
          </reference>
          <reference field="2" count="1" selected="0">
            <x v="16"/>
          </reference>
          <reference field="3" count="1">
            <x v="11"/>
          </reference>
        </references>
      </pivotArea>
    </format>
    <format dxfId="229">
      <pivotArea dataOnly="0" labelOnly="1" outline="0" fieldPosition="0">
        <references count="4">
          <reference field="0" count="1" selected="0">
            <x v="17"/>
          </reference>
          <reference field="1" count="1" selected="0">
            <x v="18"/>
          </reference>
          <reference field="2" count="1" selected="0">
            <x v="17"/>
          </reference>
          <reference field="3" count="1">
            <x v="19"/>
          </reference>
        </references>
      </pivotArea>
    </format>
    <format dxfId="228">
      <pivotArea dataOnly="0" labelOnly="1" outline="0" fieldPosition="0">
        <references count="4">
          <reference field="0" count="1" selected="0">
            <x v="18"/>
          </reference>
          <reference field="1" count="1" selected="0">
            <x v="51"/>
          </reference>
          <reference field="2" count="1" selected="0">
            <x v="18"/>
          </reference>
          <reference field="3" count="1">
            <x v="4"/>
          </reference>
        </references>
      </pivotArea>
    </format>
    <format dxfId="227">
      <pivotArea dataOnly="0" labelOnly="1" outline="0" fieldPosition="0">
        <references count="4">
          <reference field="0" count="1" selected="0">
            <x v="19"/>
          </reference>
          <reference field="1" count="1" selected="0">
            <x v="52"/>
          </reference>
          <reference field="2" count="1" selected="0">
            <x v="19"/>
          </reference>
          <reference field="3" count="1">
            <x v="2"/>
          </reference>
        </references>
      </pivotArea>
    </format>
    <format dxfId="226">
      <pivotArea dataOnly="0" labelOnly="1" outline="0" fieldPosition="0">
        <references count="4">
          <reference field="0" count="1" selected="0">
            <x v="20"/>
          </reference>
          <reference field="1" count="1" selected="0">
            <x v="53"/>
          </reference>
          <reference field="2" count="1" selected="0">
            <x v="20"/>
          </reference>
          <reference field="3" count="1">
            <x v="7"/>
          </reference>
        </references>
      </pivotArea>
    </format>
    <format dxfId="225">
      <pivotArea dataOnly="0" labelOnly="1" outline="0" fieldPosition="0">
        <references count="4">
          <reference field="0" count="1" selected="0">
            <x v="21"/>
          </reference>
          <reference field="1" count="1" selected="0">
            <x v="55"/>
          </reference>
          <reference field="2" count="1" selected="0">
            <x v="21"/>
          </reference>
          <reference field="3" count="1">
            <x v="8"/>
          </reference>
        </references>
      </pivotArea>
    </format>
    <format dxfId="224">
      <pivotArea dataOnly="0" labelOnly="1" outline="0" fieldPosition="0">
        <references count="4">
          <reference field="0" count="1" selected="0">
            <x v="22"/>
          </reference>
          <reference field="1" count="1" selected="0">
            <x v="58"/>
          </reference>
          <reference field="2" count="1" selected="0">
            <x v="22"/>
          </reference>
          <reference field="3" count="1">
            <x v="23"/>
          </reference>
        </references>
      </pivotArea>
    </format>
    <format dxfId="223">
      <pivotArea dataOnly="0" labelOnly="1" outline="0" fieldPosition="0">
        <references count="4">
          <reference field="0" count="1" selected="0">
            <x v="23"/>
          </reference>
          <reference field="1" count="1" selected="0">
            <x v="59"/>
          </reference>
          <reference field="2" count="1" selected="0">
            <x v="23"/>
          </reference>
          <reference field="3" count="1">
            <x v="10"/>
          </reference>
        </references>
      </pivotArea>
    </format>
    <format dxfId="222">
      <pivotArea dataOnly="0" labelOnly="1" outline="0" fieldPosition="0">
        <references count="4">
          <reference field="0" count="1" selected="0">
            <x v="24"/>
          </reference>
          <reference field="1" count="1" selected="0">
            <x v="11"/>
          </reference>
          <reference field="2" count="1" selected="0">
            <x v="24"/>
          </reference>
          <reference field="3" count="1">
            <x v="9"/>
          </reference>
        </references>
      </pivotArea>
    </format>
    <format dxfId="221">
      <pivotArea dataOnly="0" labelOnly="1" outline="0" fieldPosition="0">
        <references count="4">
          <reference field="0" count="1" selected="0">
            <x v="25"/>
          </reference>
          <reference field="1" count="1" selected="0">
            <x v="12"/>
          </reference>
          <reference field="2" count="1" selected="0">
            <x v="25"/>
          </reference>
          <reference field="3" count="1">
            <x v="14"/>
          </reference>
        </references>
      </pivotArea>
    </format>
    <format dxfId="220">
      <pivotArea dataOnly="0" labelOnly="1" outline="0" fieldPosition="0">
        <references count="4">
          <reference field="0" count="1" selected="0">
            <x v="26"/>
          </reference>
          <reference field="1" count="1" selected="0">
            <x v="13"/>
          </reference>
          <reference field="2" count="1" selected="0">
            <x v="26"/>
          </reference>
          <reference field="3" count="1">
            <x v="9"/>
          </reference>
        </references>
      </pivotArea>
    </format>
    <format dxfId="219">
      <pivotArea dataOnly="0" labelOnly="1" outline="0" fieldPosition="0">
        <references count="4">
          <reference field="0" count="1" selected="0">
            <x v="27"/>
          </reference>
          <reference field="1" count="1" selected="0">
            <x v="14"/>
          </reference>
          <reference field="2" count="1" selected="0">
            <x v="27"/>
          </reference>
          <reference field="3" count="1">
            <x v="6"/>
          </reference>
        </references>
      </pivotArea>
    </format>
    <format dxfId="218">
      <pivotArea dataOnly="0" labelOnly="1" outline="0" fieldPosition="0">
        <references count="4">
          <reference field="0" count="1" selected="0">
            <x v="28"/>
          </reference>
          <reference field="1" count="1" selected="0">
            <x v="9"/>
          </reference>
          <reference field="2" count="1" selected="0">
            <x v="28"/>
          </reference>
          <reference field="3" count="1">
            <x v="6"/>
          </reference>
        </references>
      </pivotArea>
    </format>
    <format dxfId="217">
      <pivotArea dataOnly="0" labelOnly="1" outline="0" fieldPosition="0">
        <references count="4">
          <reference field="0" count="1" selected="0">
            <x v="29"/>
          </reference>
          <reference field="1" count="1" selected="0">
            <x v="10"/>
          </reference>
          <reference field="2" count="1" selected="0">
            <x v="29"/>
          </reference>
          <reference field="3" count="1">
            <x v="0"/>
          </reference>
        </references>
      </pivotArea>
    </format>
    <format dxfId="216">
      <pivotArea dataOnly="0" labelOnly="1" outline="0" fieldPosition="0">
        <references count="4">
          <reference field="0" count="1" selected="0">
            <x v="30"/>
          </reference>
          <reference field="1" count="1" selected="0">
            <x v="8"/>
          </reference>
          <reference field="2" count="1" selected="0">
            <x v="30"/>
          </reference>
          <reference field="3" count="1">
            <x v="6"/>
          </reference>
        </references>
      </pivotArea>
    </format>
    <format dxfId="215">
      <pivotArea dataOnly="0" labelOnly="1" outline="0" fieldPosition="0">
        <references count="4">
          <reference field="0" count="1" selected="0">
            <x v="31"/>
          </reference>
          <reference field="1" count="1" selected="0">
            <x v="41"/>
          </reference>
          <reference field="2" count="1" selected="0">
            <x v="31"/>
          </reference>
          <reference field="3" count="1">
            <x v="9"/>
          </reference>
        </references>
      </pivotArea>
    </format>
    <format dxfId="214">
      <pivotArea dataOnly="0" labelOnly="1" outline="0" fieldPosition="0">
        <references count="4">
          <reference field="0" count="1" selected="0">
            <x v="32"/>
          </reference>
          <reference field="1" count="1" selected="0">
            <x v="42"/>
          </reference>
          <reference field="2" count="1" selected="0">
            <x v="32"/>
          </reference>
          <reference field="3" count="1">
            <x v="0"/>
          </reference>
        </references>
      </pivotArea>
    </format>
    <format dxfId="213">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212">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211">
      <pivotArea dataOnly="0" labelOnly="1" outline="0" fieldPosition="0">
        <references count="4">
          <reference field="0" count="1" selected="0">
            <x v="35"/>
          </reference>
          <reference field="1" count="1" selected="0">
            <x v="49"/>
          </reference>
          <reference field="2" count="1" selected="0">
            <x v="35"/>
          </reference>
          <reference field="3" count="1">
            <x v="20"/>
          </reference>
        </references>
      </pivotArea>
    </format>
    <format dxfId="210">
      <pivotArea dataOnly="0" labelOnly="1" outline="0" fieldPosition="0">
        <references count="4">
          <reference field="0" count="1" selected="0">
            <x v="36"/>
          </reference>
          <reference field="1" count="1" selected="0">
            <x v="50"/>
          </reference>
          <reference field="2" count="1" selected="0">
            <x v="36"/>
          </reference>
          <reference field="3" count="1">
            <x v="17"/>
          </reference>
        </references>
      </pivotArea>
    </format>
    <format dxfId="209">
      <pivotArea dataOnly="0" labelOnly="1" outline="0" fieldPosition="0">
        <references count="4">
          <reference field="0" count="1" selected="0">
            <x v="37"/>
          </reference>
          <reference field="1" count="1" selected="0">
            <x v="54"/>
          </reference>
          <reference field="2" count="1" selected="0">
            <x v="37"/>
          </reference>
          <reference field="3" count="1">
            <x v="21"/>
          </reference>
        </references>
      </pivotArea>
    </format>
    <format dxfId="208">
      <pivotArea dataOnly="0" labelOnly="1" outline="0" fieldPosition="0">
        <references count="4">
          <reference field="0" count="1" selected="0">
            <x v="38"/>
          </reference>
          <reference field="1" count="1" selected="0">
            <x v="56"/>
          </reference>
          <reference field="2" count="1" selected="0">
            <x v="38"/>
          </reference>
          <reference field="3" count="1">
            <x v="13"/>
          </reference>
        </references>
      </pivotArea>
    </format>
    <format dxfId="207">
      <pivotArea dataOnly="0" labelOnly="1" outline="0" fieldPosition="0">
        <references count="4">
          <reference field="0" count="1" selected="0">
            <x v="39"/>
          </reference>
          <reference field="1" count="1" selected="0">
            <x v="34"/>
          </reference>
          <reference field="2" count="1" selected="0">
            <x v="39"/>
          </reference>
          <reference field="3" count="1">
            <x v="26"/>
          </reference>
        </references>
      </pivotArea>
    </format>
    <format dxfId="206">
      <pivotArea dataOnly="0" labelOnly="1" outline="0" fieldPosition="0">
        <references count="4">
          <reference field="0" count="1" selected="0">
            <x v="40"/>
          </reference>
          <reference field="1" count="1" selected="0">
            <x v="29"/>
          </reference>
          <reference field="2" count="1" selected="0">
            <x v="40"/>
          </reference>
          <reference field="3" count="1">
            <x v="22"/>
          </reference>
        </references>
      </pivotArea>
    </format>
    <format dxfId="205">
      <pivotArea dataOnly="0" labelOnly="1" outline="0" fieldPosition="0">
        <references count="4">
          <reference field="0" count="1" selected="0">
            <x v="41"/>
          </reference>
          <reference field="1" count="1" selected="0">
            <x v="30"/>
          </reference>
          <reference field="2" count="1" selected="0">
            <x v="41"/>
          </reference>
          <reference field="3" count="1">
            <x v="28"/>
          </reference>
        </references>
      </pivotArea>
    </format>
    <format dxfId="204">
      <pivotArea dataOnly="0" labelOnly="1" outline="0" fieldPosition="0">
        <references count="4">
          <reference field="0" count="1" selected="0">
            <x v="42"/>
          </reference>
          <reference field="1" count="1" selected="0">
            <x v="31"/>
          </reference>
          <reference field="2" count="1" selected="0">
            <x v="42"/>
          </reference>
          <reference field="3" count="1">
            <x v="22"/>
          </reference>
        </references>
      </pivotArea>
    </format>
    <format dxfId="203">
      <pivotArea dataOnly="0" labelOnly="1" outline="0" fieldPosition="0">
        <references count="4">
          <reference field="0" count="1" selected="0">
            <x v="43"/>
          </reference>
          <reference field="1" count="1" selected="0">
            <x v="20"/>
          </reference>
          <reference field="2" count="1" selected="0">
            <x v="43"/>
          </reference>
          <reference field="3" count="1">
            <x v="21"/>
          </reference>
        </references>
      </pivotArea>
    </format>
    <format dxfId="202">
      <pivotArea dataOnly="0" labelOnly="1" outline="0" fieldPosition="0">
        <references count="4">
          <reference field="0" count="1" selected="0">
            <x v="44"/>
          </reference>
          <reference field="1" count="1" selected="0">
            <x v="21"/>
          </reference>
          <reference field="2" count="1" selected="0">
            <x v="44"/>
          </reference>
          <reference field="3" count="1">
            <x v="18"/>
          </reference>
        </references>
      </pivotArea>
    </format>
    <format dxfId="201">
      <pivotArea dataOnly="0" labelOnly="1" outline="0" fieldPosition="0">
        <references count="4">
          <reference field="0" count="1" selected="0">
            <x v="45"/>
          </reference>
          <reference field="1" count="1" selected="0">
            <x v="22"/>
          </reference>
          <reference field="2" count="1" selected="0">
            <x v="45"/>
          </reference>
          <reference field="3" count="1">
            <x v="20"/>
          </reference>
        </references>
      </pivotArea>
    </format>
    <format dxfId="200">
      <pivotArea dataOnly="0" labelOnly="1" outline="0" fieldPosition="0">
        <references count="4">
          <reference field="0" count="1" selected="0">
            <x v="46"/>
          </reference>
          <reference field="1" count="1" selected="0">
            <x v="57"/>
          </reference>
          <reference field="2" count="1" selected="0">
            <x v="46"/>
          </reference>
          <reference field="3" count="1">
            <x v="11"/>
          </reference>
        </references>
      </pivotArea>
    </format>
    <format dxfId="199">
      <pivotArea dataOnly="0" labelOnly="1" outline="0" fieldPosition="0">
        <references count="4">
          <reference field="0" count="1" selected="0">
            <x v="47"/>
          </reference>
          <reference field="1" count="1" selected="0">
            <x v="17"/>
          </reference>
          <reference field="2" count="1" selected="0">
            <x v="47"/>
          </reference>
          <reference field="3" count="1">
            <x v="9"/>
          </reference>
        </references>
      </pivotArea>
    </format>
    <format dxfId="198">
      <pivotArea dataOnly="0" labelOnly="1" outline="0" fieldPosition="0">
        <references count="4">
          <reference field="0" count="1" selected="0">
            <x v="48"/>
          </reference>
          <reference field="1" count="1" selected="0">
            <x v="26"/>
          </reference>
          <reference field="2" count="1" selected="0">
            <x v="48"/>
          </reference>
          <reference field="3" count="1">
            <x v="14"/>
          </reference>
        </references>
      </pivotArea>
    </format>
    <format dxfId="197">
      <pivotArea dataOnly="0" labelOnly="1" outline="0" fieldPosition="0">
        <references count="4">
          <reference field="0" count="1" selected="0">
            <x v="49"/>
          </reference>
          <reference field="1" count="1" selected="0">
            <x v="0"/>
          </reference>
          <reference field="2" count="1" selected="0">
            <x v="49"/>
          </reference>
          <reference field="3" count="1">
            <x v="11"/>
          </reference>
        </references>
      </pivotArea>
    </format>
    <format dxfId="196">
      <pivotArea dataOnly="0" labelOnly="1" outline="0" fieldPosition="0">
        <references count="4">
          <reference field="0" count="1" selected="0">
            <x v="50"/>
          </reference>
          <reference field="1" count="1" selected="0">
            <x v="35"/>
          </reference>
          <reference field="2" count="1" selected="0">
            <x v="50"/>
          </reference>
          <reference field="3" count="1">
            <x v="10"/>
          </reference>
        </references>
      </pivotArea>
    </format>
    <format dxfId="195">
      <pivotArea dataOnly="0" labelOnly="1" outline="0" fieldPosition="0">
        <references count="4">
          <reference field="0" count="1" selected="0">
            <x v="51"/>
          </reference>
          <reference field="1" count="1" selected="0">
            <x v="15"/>
          </reference>
          <reference field="2" count="1" selected="0">
            <x v="51"/>
          </reference>
          <reference field="3" count="1">
            <x v="23"/>
          </reference>
        </references>
      </pivotArea>
    </format>
    <format dxfId="194">
      <pivotArea dataOnly="0" labelOnly="1" outline="0" fieldPosition="0">
        <references count="4">
          <reference field="0" count="1" selected="0">
            <x v="52"/>
          </reference>
          <reference field="1" count="1" selected="0">
            <x v="2"/>
          </reference>
          <reference field="2" count="1" selected="0">
            <x v="52"/>
          </reference>
          <reference field="3" count="1">
            <x v="25"/>
          </reference>
        </references>
      </pivotArea>
    </format>
    <format dxfId="193">
      <pivotArea dataOnly="0" labelOnly="1" outline="0" fieldPosition="0">
        <references count="4">
          <reference field="0" count="1" selected="0">
            <x v="53"/>
          </reference>
          <reference field="1" count="1" selected="0">
            <x v="1"/>
          </reference>
          <reference field="2" count="1" selected="0">
            <x v="53"/>
          </reference>
          <reference field="3" count="1">
            <x v="5"/>
          </reference>
        </references>
      </pivotArea>
    </format>
    <format dxfId="192">
      <pivotArea dataOnly="0" labelOnly="1" outline="0" fieldPosition="0">
        <references count="4">
          <reference field="0" count="1" selected="0">
            <x v="54"/>
          </reference>
          <reference field="1" count="1" selected="0">
            <x v="32"/>
          </reference>
          <reference field="2" count="1" selected="0">
            <x v="54"/>
          </reference>
          <reference field="3" count="1">
            <x v="15"/>
          </reference>
        </references>
      </pivotArea>
    </format>
    <format dxfId="191">
      <pivotArea dataOnly="0" labelOnly="1" outline="0" fieldPosition="0">
        <references count="4">
          <reference field="0" count="1" selected="0">
            <x v="55"/>
          </reference>
          <reference field="1" count="1" selected="0">
            <x v="19"/>
          </reference>
          <reference field="2" count="1" selected="0">
            <x v="55"/>
          </reference>
          <reference field="3" count="1">
            <x v="27"/>
          </reference>
        </references>
      </pivotArea>
    </format>
    <format dxfId="190">
      <pivotArea dataOnly="0" labelOnly="1" outline="0" fieldPosition="0">
        <references count="4">
          <reference field="0" count="1" selected="0">
            <x v="56"/>
          </reference>
          <reference field="1" count="1" selected="0">
            <x v="27"/>
          </reference>
          <reference field="2" count="1" selected="0">
            <x v="56"/>
          </reference>
          <reference field="3" count="1">
            <x v="12"/>
          </reference>
        </references>
      </pivotArea>
    </format>
    <format dxfId="189">
      <pivotArea dataOnly="0" labelOnly="1" outline="0" fieldPosition="0">
        <references count="4">
          <reference field="0" count="1" selected="0">
            <x v="57"/>
          </reference>
          <reference field="1" count="1" selected="0">
            <x v="23"/>
          </reference>
          <reference field="2" count="1" selected="0">
            <x v="57"/>
          </reference>
          <reference field="3" count="1">
            <x v="9"/>
          </reference>
        </references>
      </pivotArea>
    </format>
    <format dxfId="188">
      <pivotArea dataOnly="0" labelOnly="1" outline="0" fieldPosition="0">
        <references count="4">
          <reference field="0" count="1" selected="0">
            <x v="58"/>
          </reference>
          <reference field="1" count="1" selected="0">
            <x v="24"/>
          </reference>
          <reference field="2" count="1" selected="0">
            <x v="58"/>
          </reference>
          <reference field="3" count="1">
            <x v="10"/>
          </reference>
        </references>
      </pivotArea>
    </format>
    <format dxfId="187">
      <pivotArea dataOnly="0" labelOnly="1" outline="0" fieldPosition="0">
        <references count="4">
          <reference field="0" count="1" selected="0">
            <x v="59"/>
          </reference>
          <reference field="1" count="1" selected="0">
            <x v="38"/>
          </reference>
          <reference field="2" count="1" selected="0">
            <x v="59"/>
          </reference>
          <reference field="3" count="1">
            <x v="24"/>
          </reference>
        </references>
      </pivotArea>
    </format>
    <format dxfId="186">
      <pivotArea dataOnly="0" labelOnly="1" outline="0" fieldPosition="0">
        <references count="4">
          <reference field="0" count="1" selected="0">
            <x v="49"/>
          </reference>
          <reference field="1" count="1" selected="0">
            <x v="0"/>
          </reference>
          <reference field="2" count="1" selected="0">
            <x v="49"/>
          </reference>
          <reference field="3" count="1">
            <x v="29"/>
          </reference>
        </references>
      </pivotArea>
    </format>
    <format dxfId="185">
      <pivotArea dataOnly="0" outline="0" fieldPosition="0">
        <references count="1">
          <reference field="0" count="1">
            <x v="60"/>
          </reference>
        </references>
      </pivotArea>
    </format>
    <format dxfId="184">
      <pivotArea dataOnly="0" outline="0" fieldPosition="0">
        <references count="1">
          <reference field="0" count="1">
            <x v="60"/>
          </reference>
        </references>
      </pivotArea>
    </format>
    <format dxfId="183">
      <pivotArea type="all" dataOnly="0" outline="0" fieldPosition="0"/>
    </format>
    <format dxfId="182">
      <pivotArea type="all" dataOnly="0" outline="0" fieldPosition="0"/>
    </format>
    <format dxfId="181">
      <pivotArea type="all" dataOnly="0" outline="0" fieldPosition="0"/>
    </format>
    <format dxfId="180">
      <pivotArea dataOnly="0" labelOnly="1" outline="0" fieldPosition="0">
        <references count="1">
          <reference field="0" count="3">
            <x v="61"/>
            <x v="62"/>
            <x v="63"/>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4" customListSort="0" showMissing="0" crossFilter="showItemsWithNoData">
      <items count="64">
        <i x="49" s="1"/>
        <i x="53" s="1"/>
        <i x="52" s="1"/>
        <i x="33" s="1"/>
        <i x="34" s="1"/>
        <i x="1" s="1"/>
        <i x="0" s="1"/>
        <i x="2" s="1"/>
        <i x="30" s="1"/>
        <i x="28" s="1"/>
        <i x="29" s="1"/>
        <i x="24" s="1"/>
        <i x="25" s="1"/>
        <i x="26" s="1"/>
        <i x="27" s="1"/>
        <i x="51" s="1"/>
        <i x="4" s="1"/>
        <i x="47" s="1"/>
        <i x="17" s="1"/>
        <i x="55" s="1"/>
        <i x="60" s="1"/>
        <i x="43" s="1"/>
        <i x="44" s="1"/>
        <i x="45" s="1"/>
        <i x="57" s="1"/>
        <i x="58" s="1"/>
        <i x="8" s="1"/>
        <i x="48" s="1"/>
        <i x="56" s="1"/>
        <i x="7" s="1"/>
        <i x="40" s="1"/>
        <i x="41" s="1"/>
        <i x="42" s="1"/>
        <i x="54" s="1"/>
        <i x="5" s="1"/>
        <i x="63" s="1"/>
        <i x="39" s="1"/>
        <i x="50" s="1"/>
        <i x="15" s="1"/>
        <i x="16" s="1"/>
        <i x="59" s="1"/>
        <i x="6" s="1"/>
        <i x="62" s="1"/>
        <i x="3" s="1"/>
        <i x="31" s="1"/>
        <i x="32" s="1"/>
        <i x="9" s="1"/>
        <i x="61" s="1"/>
        <i x="10" s="1"/>
        <i x="11" s="1"/>
        <i x="12" s="1"/>
        <i x="13" s="1"/>
        <i x="14" s="1"/>
        <i x="35" s="1"/>
        <i x="36" s="1"/>
        <i x="18" s="1"/>
        <i x="19" s="1"/>
        <i x="20" s="1"/>
        <i x="37" s="1"/>
        <i x="21" s="1"/>
        <i x="38" s="1"/>
        <i x="46" s="1"/>
        <i x="22" s="1"/>
        <i x="23"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301752"/>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9.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0.bin"/><Relationship Id="rId4" Type="http://schemas.openxmlformats.org/officeDocument/2006/relationships/ctrlProp" Target="../ctrlProps/ctrlProp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1.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2.bin"/><Relationship Id="rId4" Type="http://schemas.openxmlformats.org/officeDocument/2006/relationships/ctrlProp" Target="../ctrlProps/ctrlProp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3.bin"/><Relationship Id="rId4" Type="http://schemas.openxmlformats.org/officeDocument/2006/relationships/ctrlProp" Target="../ctrlProps/ctrlProp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4.bin"/><Relationship Id="rId4" Type="http://schemas.openxmlformats.org/officeDocument/2006/relationships/ctrlProp" Target="../ctrlProps/ctrlProp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5.bin"/><Relationship Id="rId4" Type="http://schemas.openxmlformats.org/officeDocument/2006/relationships/ctrlProp" Target="../ctrlProps/ctrlProp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6.bin"/><Relationship Id="rId4" Type="http://schemas.openxmlformats.org/officeDocument/2006/relationships/ctrlProp" Target="../ctrlProps/ctrlProp8.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7.bin"/><Relationship Id="rId4" Type="http://schemas.openxmlformats.org/officeDocument/2006/relationships/ctrlProp" Target="../ctrlProps/ctrlProp9.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18.bin"/><Relationship Id="rId4" Type="http://schemas.openxmlformats.org/officeDocument/2006/relationships/ctrlProp" Target="../ctrlProps/ctrlProp10.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19.bin"/><Relationship Id="rId4" Type="http://schemas.openxmlformats.org/officeDocument/2006/relationships/ctrlProp" Target="../ctrlProps/ctrlProp11.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0.bin"/><Relationship Id="rId4" Type="http://schemas.openxmlformats.org/officeDocument/2006/relationships/ctrlProp" Target="../ctrlProps/ctrlProp12.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3.xml"/><Relationship Id="rId1" Type="http://schemas.openxmlformats.org/officeDocument/2006/relationships/printerSettings" Target="../printerSettings/printerSettings21.bin"/><Relationship Id="rId4" Type="http://schemas.openxmlformats.org/officeDocument/2006/relationships/ctrlProp" Target="../ctrlProps/ctrlProp13.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4.xml"/><Relationship Id="rId1" Type="http://schemas.openxmlformats.org/officeDocument/2006/relationships/printerSettings" Target="../printerSettings/printerSettings22.bin"/><Relationship Id="rId4" Type="http://schemas.openxmlformats.org/officeDocument/2006/relationships/ctrlProp" Target="../ctrlProps/ctrlProp14.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5.xml"/><Relationship Id="rId1" Type="http://schemas.openxmlformats.org/officeDocument/2006/relationships/printerSettings" Target="../printerSettings/printerSettings23.bin"/><Relationship Id="rId4" Type="http://schemas.openxmlformats.org/officeDocument/2006/relationships/ctrlProp" Target="../ctrlProps/ctrlProp15.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6.xml"/><Relationship Id="rId1" Type="http://schemas.openxmlformats.org/officeDocument/2006/relationships/printerSettings" Target="../printerSettings/printerSettings24.bin"/><Relationship Id="rId4" Type="http://schemas.openxmlformats.org/officeDocument/2006/relationships/ctrlProp" Target="../ctrlProps/ctrlProp16.xm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K20"/>
  <sheetViews>
    <sheetView workbookViewId="0">
      <selection activeCell="K2" sqref="K2"/>
    </sheetView>
  </sheetViews>
  <sheetFormatPr defaultRowHeight="15" x14ac:dyDescent="0.25"/>
  <cols>
    <col min="1" max="1" width="9.140625" style="146"/>
    <col min="2" max="2" width="25.42578125" style="14" customWidth="1"/>
    <col min="3" max="4" width="12.5703125" style="14" customWidth="1"/>
    <col min="5" max="6" width="11.7109375" style="14" customWidth="1"/>
    <col min="7" max="7" width="10.7109375" style="14" customWidth="1"/>
    <col min="8" max="8" width="16.5703125" style="14" customWidth="1"/>
    <col min="9" max="16384" width="9.140625" style="14"/>
  </cols>
  <sheetData>
    <row r="1" spans="1:11" s="56" customFormat="1" ht="30" customHeight="1" x14ac:dyDescent="0.25">
      <c r="A1" s="139" t="s">
        <v>0</v>
      </c>
      <c r="B1" s="139" t="s">
        <v>17</v>
      </c>
      <c r="C1" s="139" t="s">
        <v>170</v>
      </c>
      <c r="D1" s="139" t="s">
        <v>16</v>
      </c>
      <c r="E1" s="139" t="s">
        <v>18</v>
      </c>
      <c r="F1" s="139" t="s">
        <v>19</v>
      </c>
      <c r="G1" s="139" t="s">
        <v>171</v>
      </c>
      <c r="H1" s="149" t="s">
        <v>172</v>
      </c>
      <c r="K1" s="56">
        <f>50+30+33+35+45+42</f>
        <v>235</v>
      </c>
    </row>
    <row r="2" spans="1:11" s="138" customFormat="1" ht="24" customHeight="1" x14ac:dyDescent="0.2">
      <c r="A2" s="144"/>
      <c r="B2" s="140"/>
      <c r="C2" s="147">
        <f>SUBTOTAL(9,C3:C20)</f>
        <v>8.6000000000000014</v>
      </c>
      <c r="D2" s="147">
        <f>SUBTOTAL(9,$D$3:$D$20)</f>
        <v>36</v>
      </c>
      <c r="E2" s="147"/>
      <c r="F2" s="141">
        <f>SUBTOTAL(9,$F$3:$F$20)</f>
        <v>1509.4</v>
      </c>
      <c r="G2" s="141">
        <f t="shared" ref="G2:H2" si="0">SUBTOTAL(9,G3:G20)</f>
        <v>0</v>
      </c>
      <c r="H2" s="141">
        <f t="shared" si="0"/>
        <v>1509.4</v>
      </c>
    </row>
    <row r="3" spans="1:11" x14ac:dyDescent="0.25">
      <c r="A3" s="145">
        <v>1</v>
      </c>
      <c r="B3" s="142" t="s">
        <v>52</v>
      </c>
      <c r="C3" s="143">
        <f>VLOOKUP($B3,TVP!$C$5:$F$24,2,0)</f>
        <v>0.5</v>
      </c>
      <c r="D3" s="143">
        <v>2</v>
      </c>
      <c r="E3" s="143">
        <f>VLOOKUP($B3,TVP!$C$5:$F$24,4,0)</f>
        <v>45</v>
      </c>
      <c r="F3" s="148">
        <f>D3*E3</f>
        <v>90</v>
      </c>
      <c r="G3" s="41">
        <v>0</v>
      </c>
      <c r="H3" s="148">
        <f>F3-(G3*E3)</f>
        <v>90</v>
      </c>
    </row>
    <row r="4" spans="1:11" x14ac:dyDescent="0.25">
      <c r="A4" s="145">
        <v>2</v>
      </c>
      <c r="B4" s="142" t="s">
        <v>51</v>
      </c>
      <c r="C4" s="143">
        <f>VLOOKUP($B4,TVP!$C$5:$F$24,2,0)</f>
        <v>0.5</v>
      </c>
      <c r="D4" s="143">
        <v>2</v>
      </c>
      <c r="E4" s="143">
        <f>VLOOKUP($B4,TVP!$C$5:$F$24,4,0)</f>
        <v>54</v>
      </c>
      <c r="F4" s="148">
        <f t="shared" ref="F4:F20" si="1">D4*E4</f>
        <v>108</v>
      </c>
      <c r="G4" s="41">
        <v>0</v>
      </c>
      <c r="H4" s="148">
        <f t="shared" ref="H4:H20" si="2">F4-(G4*E4)</f>
        <v>108</v>
      </c>
    </row>
    <row r="5" spans="1:11" x14ac:dyDescent="0.25">
      <c r="A5" s="145">
        <v>3</v>
      </c>
      <c r="B5" s="142" t="s">
        <v>36</v>
      </c>
      <c r="C5" s="143">
        <f>VLOOKUP($B5,TVP!$C$5:$F$24,2,0)</f>
        <v>0.5</v>
      </c>
      <c r="D5" s="143">
        <v>2</v>
      </c>
      <c r="E5" s="143">
        <f>VLOOKUP($B5,TVP!$C$5:$F$24,4,0)</f>
        <v>55.5</v>
      </c>
      <c r="F5" s="148">
        <f t="shared" si="1"/>
        <v>111</v>
      </c>
      <c r="G5" s="41">
        <v>0</v>
      </c>
      <c r="H5" s="148">
        <f t="shared" si="2"/>
        <v>111</v>
      </c>
    </row>
    <row r="6" spans="1:11" x14ac:dyDescent="0.25">
      <c r="A6" s="145">
        <v>4</v>
      </c>
      <c r="B6" s="142" t="s">
        <v>37</v>
      </c>
      <c r="C6" s="143">
        <f>VLOOKUP($B6,TVP!$C$5:$F$24,2,0)</f>
        <v>0.5</v>
      </c>
      <c r="D6" s="143">
        <v>2</v>
      </c>
      <c r="E6" s="143">
        <f>VLOOKUP($B6,TVP!$C$5:$F$24,4,0)</f>
        <v>55.5</v>
      </c>
      <c r="F6" s="148">
        <f t="shared" si="1"/>
        <v>111</v>
      </c>
      <c r="G6" s="41">
        <v>0</v>
      </c>
      <c r="H6" s="148">
        <f t="shared" si="2"/>
        <v>111</v>
      </c>
    </row>
    <row r="7" spans="1:11" x14ac:dyDescent="0.25">
      <c r="A7" s="145">
        <v>5</v>
      </c>
      <c r="B7" s="142" t="s">
        <v>50</v>
      </c>
      <c r="C7" s="143">
        <f>VLOOKUP($B7,TVP!$C$5:$F$24,2,0)</f>
        <v>1</v>
      </c>
      <c r="D7" s="143">
        <v>2</v>
      </c>
      <c r="E7" s="143">
        <f>VLOOKUP($B7,TVP!$C$5:$F$24,4,0)</f>
        <v>102</v>
      </c>
      <c r="F7" s="148">
        <f t="shared" si="1"/>
        <v>204</v>
      </c>
      <c r="G7" s="41">
        <v>0</v>
      </c>
      <c r="H7" s="148">
        <f t="shared" si="2"/>
        <v>204</v>
      </c>
    </row>
    <row r="8" spans="1:11" x14ac:dyDescent="0.25">
      <c r="A8" s="145">
        <v>6</v>
      </c>
      <c r="B8" s="142" t="s">
        <v>38</v>
      </c>
      <c r="C8" s="143">
        <f>VLOOKUP($B8,TVP!$C$5:$F$24,2,0)</f>
        <v>0.5</v>
      </c>
      <c r="D8" s="143">
        <v>2</v>
      </c>
      <c r="E8" s="143">
        <f>VLOOKUP($B8,TVP!$C$5:$F$24,4,0)</f>
        <v>26.5</v>
      </c>
      <c r="F8" s="148">
        <f t="shared" si="1"/>
        <v>53</v>
      </c>
      <c r="G8" s="41">
        <v>0</v>
      </c>
      <c r="H8" s="148">
        <f t="shared" si="2"/>
        <v>53</v>
      </c>
    </row>
    <row r="9" spans="1:11" x14ac:dyDescent="0.25">
      <c r="A9" s="145">
        <v>7</v>
      </c>
      <c r="B9" s="142" t="s">
        <v>39</v>
      </c>
      <c r="C9" s="143">
        <f>VLOOKUP($B9,TVP!$C$5:$F$24,2,0)</f>
        <v>0.2</v>
      </c>
      <c r="D9" s="143">
        <v>2</v>
      </c>
      <c r="E9" s="143">
        <f>VLOOKUP($B9,TVP!$C$5:$F$24,4,0)</f>
        <v>11.2</v>
      </c>
      <c r="F9" s="148">
        <f t="shared" si="1"/>
        <v>22.4</v>
      </c>
      <c r="G9" s="41">
        <v>0</v>
      </c>
      <c r="H9" s="148">
        <f t="shared" si="2"/>
        <v>22.4</v>
      </c>
    </row>
    <row r="10" spans="1:11" x14ac:dyDescent="0.25">
      <c r="A10" s="145">
        <v>8</v>
      </c>
      <c r="B10" s="142" t="s">
        <v>40</v>
      </c>
      <c r="C10" s="143">
        <f>VLOOKUP($B10,TVP!$C$5:$F$24,2,0)</f>
        <v>0.5</v>
      </c>
      <c r="D10" s="143">
        <v>2</v>
      </c>
      <c r="E10" s="143">
        <f>VLOOKUP($B10,TVP!$C$5:$F$24,4,0)</f>
        <v>28.5</v>
      </c>
      <c r="F10" s="148">
        <f t="shared" si="1"/>
        <v>57</v>
      </c>
      <c r="G10" s="41">
        <v>0</v>
      </c>
      <c r="H10" s="148">
        <f t="shared" si="2"/>
        <v>57</v>
      </c>
    </row>
    <row r="11" spans="1:11" x14ac:dyDescent="0.25">
      <c r="A11" s="145">
        <v>9</v>
      </c>
      <c r="B11" s="142" t="s">
        <v>41</v>
      </c>
      <c r="C11" s="143">
        <f>VLOOKUP($B11,TVP!$C$5:$F$24,2,0)</f>
        <v>0.2</v>
      </c>
      <c r="D11" s="143">
        <v>2</v>
      </c>
      <c r="E11" s="143">
        <f>VLOOKUP($B11,TVP!$C$5:$F$24,4,0)</f>
        <v>12</v>
      </c>
      <c r="F11" s="148">
        <f t="shared" si="1"/>
        <v>24</v>
      </c>
      <c r="G11" s="41">
        <v>0</v>
      </c>
      <c r="H11" s="148">
        <f t="shared" si="2"/>
        <v>24</v>
      </c>
    </row>
    <row r="12" spans="1:11" x14ac:dyDescent="0.25">
      <c r="A12" s="145">
        <v>10</v>
      </c>
      <c r="B12" s="142" t="s">
        <v>42</v>
      </c>
      <c r="C12" s="143">
        <f>VLOOKUP($B12,TVP!$C$5:$F$24,2,0)</f>
        <v>0.5</v>
      </c>
      <c r="D12" s="143">
        <v>2</v>
      </c>
      <c r="E12" s="143">
        <f>VLOOKUP($B12,TVP!$C$5:$F$24,4,0)</f>
        <v>28.5</v>
      </c>
      <c r="F12" s="148">
        <f t="shared" si="1"/>
        <v>57</v>
      </c>
      <c r="G12" s="41">
        <v>0</v>
      </c>
      <c r="H12" s="148">
        <f t="shared" si="2"/>
        <v>57</v>
      </c>
    </row>
    <row r="13" spans="1:11" x14ac:dyDescent="0.25">
      <c r="A13" s="145">
        <v>11</v>
      </c>
      <c r="B13" s="142" t="s">
        <v>43</v>
      </c>
      <c r="C13" s="143">
        <f>VLOOKUP($B13,TVP!$C$5:$F$24,2,0)</f>
        <v>0.2</v>
      </c>
      <c r="D13" s="143">
        <v>2</v>
      </c>
      <c r="E13" s="143">
        <f>VLOOKUP($B13,TVP!$C$5:$F$24,4,0)</f>
        <v>12</v>
      </c>
      <c r="F13" s="148">
        <f t="shared" si="1"/>
        <v>24</v>
      </c>
      <c r="G13" s="41">
        <v>0</v>
      </c>
      <c r="H13" s="148">
        <f t="shared" si="2"/>
        <v>24</v>
      </c>
    </row>
    <row r="14" spans="1:11" x14ac:dyDescent="0.25">
      <c r="A14" s="145">
        <v>12</v>
      </c>
      <c r="B14" s="142" t="s">
        <v>67</v>
      </c>
      <c r="C14" s="143">
        <f>VLOOKUP($B14,TVP!$C$5:$F$24,2,0)</f>
        <v>0.5</v>
      </c>
      <c r="D14" s="143">
        <v>2</v>
      </c>
      <c r="E14" s="143">
        <f>VLOOKUP($B14,TVP!$C$5:$F$24,4,0)</f>
        <v>26.5</v>
      </c>
      <c r="F14" s="148">
        <f t="shared" si="1"/>
        <v>53</v>
      </c>
      <c r="G14" s="41">
        <v>0</v>
      </c>
      <c r="H14" s="148">
        <f t="shared" si="2"/>
        <v>53</v>
      </c>
    </row>
    <row r="15" spans="1:11" x14ac:dyDescent="0.25">
      <c r="A15" s="145">
        <v>13</v>
      </c>
      <c r="B15" s="142" t="s">
        <v>44</v>
      </c>
      <c r="C15" s="143">
        <f>VLOOKUP($B15,TVP!$C$5:$F$24,2,0)</f>
        <v>0.5</v>
      </c>
      <c r="D15" s="143">
        <v>2</v>
      </c>
      <c r="E15" s="143">
        <f>VLOOKUP($B15,TVP!$C$5:$F$24,4,0)</f>
        <v>36.5</v>
      </c>
      <c r="F15" s="148">
        <f t="shared" si="1"/>
        <v>73</v>
      </c>
      <c r="G15" s="41">
        <v>0</v>
      </c>
      <c r="H15" s="148">
        <f t="shared" si="2"/>
        <v>73</v>
      </c>
    </row>
    <row r="16" spans="1:11" x14ac:dyDescent="0.25">
      <c r="A16" s="145">
        <v>14</v>
      </c>
      <c r="B16" s="142" t="s">
        <v>48</v>
      </c>
      <c r="C16" s="143">
        <f>VLOOKUP($B16,TVP!$C$5:$F$24,2,0)</f>
        <v>0.5</v>
      </c>
      <c r="D16" s="143">
        <v>2</v>
      </c>
      <c r="E16" s="143">
        <f>VLOOKUP($B16,TVP!$C$5:$F$24,4,0)</f>
        <v>49</v>
      </c>
      <c r="F16" s="148">
        <f t="shared" si="1"/>
        <v>98</v>
      </c>
      <c r="G16" s="41">
        <v>0</v>
      </c>
      <c r="H16" s="148">
        <f t="shared" si="2"/>
        <v>98</v>
      </c>
    </row>
    <row r="17" spans="1:8" x14ac:dyDescent="0.25">
      <c r="A17" s="145">
        <v>15</v>
      </c>
      <c r="B17" s="142" t="s">
        <v>49</v>
      </c>
      <c r="C17" s="143">
        <f>VLOOKUP($B17,TVP!$C$5:$F$24,2,0)</f>
        <v>0.5</v>
      </c>
      <c r="D17" s="143">
        <v>2</v>
      </c>
      <c r="E17" s="143">
        <f>VLOOKUP($B17,TVP!$C$5:$F$24,4,0)</f>
        <v>43</v>
      </c>
      <c r="F17" s="148">
        <f t="shared" si="1"/>
        <v>86</v>
      </c>
      <c r="G17" s="41">
        <v>0</v>
      </c>
      <c r="H17" s="148">
        <f t="shared" si="2"/>
        <v>86</v>
      </c>
    </row>
    <row r="18" spans="1:8" x14ac:dyDescent="0.25">
      <c r="A18" s="145">
        <v>16</v>
      </c>
      <c r="B18" s="142" t="s">
        <v>45</v>
      </c>
      <c r="C18" s="143">
        <f>VLOOKUP($B18,TVP!$C$5:$F$24,2,0)</f>
        <v>0.5</v>
      </c>
      <c r="D18" s="143">
        <v>2</v>
      </c>
      <c r="E18" s="143">
        <f>VLOOKUP($B18,TVP!$C$5:$F$24,4,0)</f>
        <v>54</v>
      </c>
      <c r="F18" s="148">
        <f t="shared" si="1"/>
        <v>108</v>
      </c>
      <c r="G18" s="41">
        <v>0</v>
      </c>
      <c r="H18" s="148">
        <f t="shared" si="2"/>
        <v>108</v>
      </c>
    </row>
    <row r="19" spans="1:8" x14ac:dyDescent="0.25">
      <c r="A19" s="145">
        <v>17</v>
      </c>
      <c r="B19" s="142" t="s">
        <v>46</v>
      </c>
      <c r="C19" s="143">
        <f>VLOOKUP($B19,TVP!$C$5:$F$24,2,0)</f>
        <v>0.5</v>
      </c>
      <c r="D19" s="143">
        <v>2</v>
      </c>
      <c r="E19" s="143">
        <f>VLOOKUP($B19,TVP!$C$5:$F$24,4,0)</f>
        <v>49</v>
      </c>
      <c r="F19" s="148">
        <f t="shared" si="1"/>
        <v>98</v>
      </c>
      <c r="G19" s="41">
        <v>0</v>
      </c>
      <c r="H19" s="148">
        <f t="shared" si="2"/>
        <v>98</v>
      </c>
    </row>
    <row r="20" spans="1:8" x14ac:dyDescent="0.25">
      <c r="A20" s="145">
        <v>18</v>
      </c>
      <c r="B20" s="142" t="s">
        <v>47</v>
      </c>
      <c r="C20" s="143">
        <f>VLOOKUP($B20,TVP!$C$5:$F$24,2,0)</f>
        <v>0.5</v>
      </c>
      <c r="D20" s="143">
        <v>2</v>
      </c>
      <c r="E20" s="143">
        <f>VLOOKUP($B20,TVP!$C$5:$F$24,4,0)</f>
        <v>66</v>
      </c>
      <c r="F20" s="148">
        <f t="shared" si="1"/>
        <v>132</v>
      </c>
      <c r="G20" s="41">
        <v>0</v>
      </c>
      <c r="H20" s="148">
        <f t="shared" si="2"/>
        <v>132</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9" tint="-0.249977111117893"/>
  </sheetPr>
  <dimension ref="A1:AX31"/>
  <sheetViews>
    <sheetView zoomScale="85" zoomScaleNormal="85" workbookViewId="0">
      <pane xSplit="3" ySplit="4" topLeftCell="T5" activePane="bottomRight" state="frozen"/>
      <selection pane="topRight" activeCell="D1" sqref="D1"/>
      <selection pane="bottomLeft" activeCell="A5" sqref="A5"/>
      <selection pane="bottomRight" activeCell="AX4" sqref="AX4"/>
    </sheetView>
  </sheetViews>
  <sheetFormatPr defaultRowHeight="15" x14ac:dyDescent="0.25"/>
  <cols>
    <col min="1" max="1" width="16.28515625" style="96" customWidth="1"/>
    <col min="2" max="2" width="7" style="96" customWidth="1"/>
    <col min="3" max="3" width="26.5703125" style="96" bestFit="1" customWidth="1"/>
    <col min="4" max="5" width="10" style="96" customWidth="1"/>
    <col min="6" max="6" width="11.85546875" style="96" customWidth="1"/>
    <col min="7" max="7" width="16.28515625" style="96" hidden="1" customWidth="1"/>
    <col min="8" max="8" width="14.85546875" style="96" hidden="1" customWidth="1"/>
    <col min="9" max="9" width="13.42578125" style="96" customWidth="1"/>
    <col min="10" max="10" width="16.85546875" style="96" hidden="1" customWidth="1"/>
    <col min="11" max="11" width="11.42578125" style="96" customWidth="1"/>
    <col min="12" max="13" width="16.28515625" style="96" hidden="1" customWidth="1"/>
    <col min="14" max="14" width="10.140625" style="96" bestFit="1" customWidth="1"/>
    <col min="15" max="15" width="10.85546875" style="96" customWidth="1"/>
    <col min="16" max="17" width="12.5703125" style="96" customWidth="1"/>
    <col min="18" max="19" width="5.140625" style="96" customWidth="1"/>
    <col min="20" max="20" width="4.7109375" style="96" bestFit="1" customWidth="1"/>
    <col min="21" max="48" width="5.140625" style="96" customWidth="1"/>
    <col min="49" max="16384" width="9.140625" style="96"/>
  </cols>
  <sheetData>
    <row r="1" spans="1:50" hidden="1" x14ac:dyDescent="0.25">
      <c r="B1" s="193" t="s">
        <v>59</v>
      </c>
      <c r="C1" s="193"/>
      <c r="D1" s="193"/>
      <c r="E1" s="193"/>
      <c r="F1" s="193"/>
      <c r="G1" s="193"/>
      <c r="H1" s="193"/>
      <c r="I1" s="193"/>
      <c r="J1" s="193"/>
      <c r="K1" s="193"/>
      <c r="L1" s="193"/>
      <c r="M1" s="97"/>
    </row>
    <row r="2" spans="1:50" ht="18.75" customHeight="1" x14ac:dyDescent="0.25">
      <c r="A2" s="1">
        <v>210</v>
      </c>
      <c r="J2" s="13">
        <f>SUMPRODUCT((D5:D19)*(E5:E19))</f>
        <v>201.5</v>
      </c>
      <c r="K2" s="13">
        <f>L4-J4</f>
        <v>4700.5000000000036</v>
      </c>
      <c r="L2" s="8">
        <f>L4/J4-1</f>
        <v>0.19061619254242812</v>
      </c>
      <c r="M2" s="8"/>
      <c r="R2" s="65"/>
    </row>
    <row r="3" spans="1:50" ht="31.5" customHeight="1" x14ac:dyDescent="0.25">
      <c r="A3" s="83" t="s">
        <v>127</v>
      </c>
      <c r="B3" s="3" t="s">
        <v>0</v>
      </c>
      <c r="C3" s="3" t="s">
        <v>17</v>
      </c>
      <c r="D3" s="120" t="s">
        <v>160</v>
      </c>
      <c r="E3" s="154" t="s">
        <v>159</v>
      </c>
      <c r="F3" s="4" t="s">
        <v>18</v>
      </c>
      <c r="G3" s="4" t="s">
        <v>19</v>
      </c>
      <c r="H3" s="9" t="s">
        <v>20</v>
      </c>
      <c r="I3" s="9" t="s">
        <v>21</v>
      </c>
      <c r="J3" s="9" t="s">
        <v>24</v>
      </c>
      <c r="K3" s="66" t="s">
        <v>22</v>
      </c>
      <c r="L3" s="11" t="s">
        <v>23</v>
      </c>
      <c r="M3" s="11" t="s">
        <v>122</v>
      </c>
      <c r="N3" s="35" t="s">
        <v>60</v>
      </c>
      <c r="O3" s="94" t="s">
        <v>188</v>
      </c>
      <c r="P3" s="94" t="s">
        <v>149</v>
      </c>
      <c r="Q3" s="94" t="s">
        <v>195</v>
      </c>
      <c r="R3" s="36" t="s">
        <v>194</v>
      </c>
      <c r="S3" s="38" t="s">
        <v>196</v>
      </c>
      <c r="T3" s="36" t="s">
        <v>197</v>
      </c>
      <c r="U3" s="38" t="s">
        <v>198</v>
      </c>
      <c r="V3" s="36" t="s">
        <v>199</v>
      </c>
      <c r="W3" s="38" t="s">
        <v>200</v>
      </c>
      <c r="X3" s="36" t="s">
        <v>201</v>
      </c>
      <c r="Y3" s="38" t="s">
        <v>202</v>
      </c>
      <c r="Z3" s="36" t="s">
        <v>203</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W3" s="158"/>
      <c r="AX3" s="96">
        <f>3841-580</f>
        <v>3261</v>
      </c>
    </row>
    <row r="4" spans="1:50" s="69" customFormat="1" ht="27" customHeight="1" x14ac:dyDescent="0.25">
      <c r="A4" s="78">
        <f ca="1">SUBTOTAL(9,A5:A220)</f>
        <v>12654.465271273439</v>
      </c>
      <c r="B4" s="19"/>
      <c r="C4" s="19"/>
      <c r="D4" s="19">
        <f>SUMPRODUCT((D5:D178)*(E5:E178))</f>
        <v>284</v>
      </c>
      <c r="E4" s="19">
        <f>SUBTOTAL(9,E5:E220)</f>
        <v>670</v>
      </c>
      <c r="F4" s="7"/>
      <c r="G4" s="7">
        <f>SUBTOTAL(9,G5:G181)</f>
        <v>24449.5</v>
      </c>
      <c r="H4" s="12"/>
      <c r="I4" s="12"/>
      <c r="J4" s="12">
        <f>SUBTOTAL(9,J5:J181)</f>
        <v>24659.499999999996</v>
      </c>
      <c r="K4" s="114"/>
      <c r="L4" s="7">
        <f>SUBTOTAL(9,L5:L181)</f>
        <v>29360</v>
      </c>
      <c r="M4" s="7">
        <f ca="1">SUBTOTAL(9,M5:M181)</f>
        <v>14186</v>
      </c>
      <c r="N4" s="39">
        <f ca="1">SUBTOTAL(9,N5:N220)</f>
        <v>378</v>
      </c>
      <c r="O4" s="113"/>
      <c r="P4" s="113">
        <f>SUBTOTAL(9,P5:P220)</f>
        <v>5</v>
      </c>
      <c r="Q4" s="113">
        <f>SUBTOTAL(9,Q5:Q220)</f>
        <v>202</v>
      </c>
      <c r="R4" s="40">
        <f>SUBTOTAL(9,R5:R220)</f>
        <v>17</v>
      </c>
      <c r="S4" s="40">
        <f t="shared" ref="S4:AQ4" si="0">SUBTOTAL(9,S5:S220)</f>
        <v>6</v>
      </c>
      <c r="T4" s="40">
        <f t="shared" si="0"/>
        <v>6</v>
      </c>
      <c r="U4" s="40">
        <f t="shared" si="0"/>
        <v>4</v>
      </c>
      <c r="V4" s="40">
        <f t="shared" si="0"/>
        <v>2</v>
      </c>
      <c r="W4" s="40">
        <f t="shared" si="0"/>
        <v>8</v>
      </c>
      <c r="X4" s="40">
        <f t="shared" si="0"/>
        <v>5</v>
      </c>
      <c r="Y4" s="40">
        <f t="shared" si="0"/>
        <v>5</v>
      </c>
      <c r="Z4" s="40">
        <f t="shared" si="0"/>
        <v>6</v>
      </c>
      <c r="AA4" s="40">
        <f t="shared" si="0"/>
        <v>2</v>
      </c>
      <c r="AB4" s="40">
        <f t="shared" si="0"/>
        <v>5</v>
      </c>
      <c r="AC4" s="40">
        <f t="shared" si="0"/>
        <v>1</v>
      </c>
      <c r="AD4" s="40">
        <f t="shared" si="0"/>
        <v>5</v>
      </c>
      <c r="AE4" s="40">
        <f t="shared" si="0"/>
        <v>2</v>
      </c>
      <c r="AF4" s="40">
        <f t="shared" ca="1" si="0"/>
        <v>12</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ref="AR4:AX4" si="1">SUBTOTAL(9,AR5:AR220)</f>
        <v>0</v>
      </c>
      <c r="AS4" s="40">
        <f t="shared" si="1"/>
        <v>0</v>
      </c>
      <c r="AT4" s="40">
        <f t="shared" si="1"/>
        <v>0</v>
      </c>
      <c r="AU4" s="40">
        <f t="shared" si="1"/>
        <v>0</v>
      </c>
      <c r="AV4" s="40">
        <f t="shared" si="1"/>
        <v>0</v>
      </c>
      <c r="AX4" s="69">
        <f t="shared" si="1"/>
        <v>3841</v>
      </c>
    </row>
    <row r="5" spans="1:50" ht="18.75" x14ac:dyDescent="0.25">
      <c r="A5" s="96">
        <f t="shared" ref="A5:A24" ca="1" si="2">I5*N5</f>
        <v>272.31906582956708</v>
      </c>
      <c r="B5" s="6">
        <v>1</v>
      </c>
      <c r="C5" s="98" t="s">
        <v>52</v>
      </c>
      <c r="D5" s="99">
        <v>0.5</v>
      </c>
      <c r="E5" s="24">
        <v>16</v>
      </c>
      <c r="F5" s="100">
        <v>45</v>
      </c>
      <c r="G5" s="101">
        <f t="shared" ref="G5:G19" si="3">F5*E5</f>
        <v>720</v>
      </c>
      <c r="H5" s="102">
        <f t="shared" ref="H5:H24" si="4">((G5/$G$4)*$A$2)/E5</f>
        <v>0.38651097159451114</v>
      </c>
      <c r="I5" s="103">
        <f t="shared" ref="I5:I19" si="5">F5+H5</f>
        <v>45.386510971594511</v>
      </c>
      <c r="J5" s="103">
        <f>I5*E5</f>
        <v>726.18417554551218</v>
      </c>
      <c r="K5" s="104">
        <v>54</v>
      </c>
      <c r="L5" s="101">
        <f t="shared" ref="L5" si="6">K5*E5</f>
        <v>864</v>
      </c>
      <c r="M5" s="101">
        <f ca="1">SUMPRODUCT($K5*($Q5:$AV5))</f>
        <v>540</v>
      </c>
      <c r="N5" s="105">
        <f ca="1">E5-SUM(Q5:AV5)-P5-O5</f>
        <v>6</v>
      </c>
      <c r="O5" s="95">
        <v>0</v>
      </c>
      <c r="P5" s="95"/>
      <c r="Q5" s="173">
        <v>9</v>
      </c>
      <c r="R5" s="41">
        <v>0</v>
      </c>
      <c r="S5" s="41">
        <v>0</v>
      </c>
      <c r="T5" s="41">
        <v>0</v>
      </c>
      <c r="U5" s="41">
        <v>0</v>
      </c>
      <c r="V5" s="41">
        <v>0</v>
      </c>
      <c r="W5" s="41">
        <v>1</v>
      </c>
      <c r="X5" s="41">
        <v>0</v>
      </c>
      <c r="Y5" s="41">
        <v>0</v>
      </c>
      <c r="Z5" s="41">
        <v>0</v>
      </c>
      <c r="AA5" s="41">
        <v>0</v>
      </c>
      <c r="AB5" s="41">
        <v>0</v>
      </c>
      <c r="AC5" s="41">
        <v>0</v>
      </c>
      <c r="AD5" s="41">
        <v>0</v>
      </c>
      <c r="AE5" s="41">
        <v>0</v>
      </c>
      <c r="AF5" s="41">
        <f ca="1">SUMIFS('Tổng Đơn'!$F:$F,'Tổng Đơn'!$B:$B,$C5)</f>
        <v>0</v>
      </c>
      <c r="AG5" s="174">
        <v>0</v>
      </c>
      <c r="AH5" s="174">
        <v>0</v>
      </c>
      <c r="AI5" s="174">
        <v>0</v>
      </c>
      <c r="AJ5" s="174">
        <v>0</v>
      </c>
      <c r="AK5" s="174">
        <v>0</v>
      </c>
      <c r="AL5" s="174">
        <v>0</v>
      </c>
      <c r="AM5" s="174">
        <v>0</v>
      </c>
      <c r="AN5" s="174">
        <v>0</v>
      </c>
      <c r="AO5" s="174">
        <v>0</v>
      </c>
      <c r="AP5" s="174">
        <v>0</v>
      </c>
      <c r="AQ5" s="174">
        <v>0</v>
      </c>
      <c r="AR5" s="174">
        <v>0</v>
      </c>
      <c r="AS5" s="174">
        <v>0</v>
      </c>
      <c r="AT5" s="174">
        <v>0</v>
      </c>
      <c r="AU5" s="174">
        <v>0</v>
      </c>
      <c r="AV5" s="174">
        <v>0</v>
      </c>
      <c r="AX5" s="96">
        <f>AW5*F5</f>
        <v>0</v>
      </c>
    </row>
    <row r="6" spans="1:50" ht="18.75" x14ac:dyDescent="0.25">
      <c r="A6" s="96">
        <f t="shared" ca="1" si="2"/>
        <v>980.34863698644142</v>
      </c>
      <c r="B6" s="6">
        <v>2</v>
      </c>
      <c r="C6" s="98" t="s">
        <v>51</v>
      </c>
      <c r="D6" s="99">
        <v>0.5</v>
      </c>
      <c r="E6" s="24">
        <v>26</v>
      </c>
      <c r="F6" s="100">
        <v>54</v>
      </c>
      <c r="G6" s="101">
        <f t="shared" si="3"/>
        <v>1404</v>
      </c>
      <c r="H6" s="102">
        <f t="shared" si="4"/>
        <v>0.46381316591341337</v>
      </c>
      <c r="I6" s="103">
        <f t="shared" si="5"/>
        <v>54.463813165913415</v>
      </c>
      <c r="J6" s="103">
        <f>I6*E6</f>
        <v>1416.0591423137487</v>
      </c>
      <c r="K6" s="104">
        <v>65</v>
      </c>
      <c r="L6" s="101">
        <f t="shared" ref="L6:L24" si="7">K6*E6</f>
        <v>1690</v>
      </c>
      <c r="M6" s="101">
        <f t="shared" ref="M6:M24" ca="1" si="8">SUMPRODUCT($K6*($Q6:$AV6))</f>
        <v>520</v>
      </c>
      <c r="N6" s="105">
        <f t="shared" ref="N6:N24" ca="1" si="9">E6-SUM(Q6:AV6)-P6-O6</f>
        <v>18</v>
      </c>
      <c r="O6" s="95">
        <v>0</v>
      </c>
      <c r="P6" s="95"/>
      <c r="Q6" s="173">
        <v>6</v>
      </c>
      <c r="R6" s="41">
        <v>1</v>
      </c>
      <c r="S6" s="41">
        <v>0</v>
      </c>
      <c r="T6" s="41">
        <v>0</v>
      </c>
      <c r="U6" s="41">
        <v>0</v>
      </c>
      <c r="V6" s="41">
        <v>0</v>
      </c>
      <c r="W6" s="41">
        <v>0</v>
      </c>
      <c r="X6" s="41">
        <v>0</v>
      </c>
      <c r="Y6" s="41">
        <v>0</v>
      </c>
      <c r="Z6" s="41">
        <v>1</v>
      </c>
      <c r="AA6" s="41">
        <v>0</v>
      </c>
      <c r="AB6" s="41">
        <v>0</v>
      </c>
      <c r="AC6" s="41">
        <v>0</v>
      </c>
      <c r="AD6" s="41">
        <v>0</v>
      </c>
      <c r="AE6" s="41">
        <v>0</v>
      </c>
      <c r="AF6" s="41">
        <f ca="1">SUMIFS('Tổng Đơn'!$F:$F,'Tổng Đơn'!$B:$B,$C6)</f>
        <v>0</v>
      </c>
      <c r="AG6" s="174">
        <v>0</v>
      </c>
      <c r="AH6" s="174">
        <v>0</v>
      </c>
      <c r="AI6" s="174">
        <v>0</v>
      </c>
      <c r="AJ6" s="174">
        <v>0</v>
      </c>
      <c r="AK6" s="174">
        <v>0</v>
      </c>
      <c r="AL6" s="174">
        <v>0</v>
      </c>
      <c r="AM6" s="174">
        <v>0</v>
      </c>
      <c r="AN6" s="174">
        <v>0</v>
      </c>
      <c r="AO6" s="174">
        <v>0</v>
      </c>
      <c r="AP6" s="174">
        <v>0</v>
      </c>
      <c r="AQ6" s="174">
        <v>0</v>
      </c>
      <c r="AR6" s="174">
        <v>0</v>
      </c>
      <c r="AS6" s="174">
        <v>0</v>
      </c>
      <c r="AT6" s="174">
        <v>0</v>
      </c>
      <c r="AU6" s="174">
        <v>0</v>
      </c>
      <c r="AV6" s="174">
        <v>0</v>
      </c>
      <c r="AX6" s="96">
        <f t="shared" ref="AX6:AX24" si="10">AW6*F6</f>
        <v>0</v>
      </c>
    </row>
    <row r="7" spans="1:50" ht="18.75" x14ac:dyDescent="0.25">
      <c r="A7" s="96">
        <f t="shared" ca="1" si="2"/>
        <v>223.90678745986625</v>
      </c>
      <c r="B7" s="6">
        <v>3</v>
      </c>
      <c r="C7" s="98" t="s">
        <v>36</v>
      </c>
      <c r="D7" s="99">
        <v>0.5</v>
      </c>
      <c r="E7" s="24">
        <v>6</v>
      </c>
      <c r="F7" s="100">
        <v>55.5</v>
      </c>
      <c r="G7" s="101">
        <f t="shared" si="3"/>
        <v>333</v>
      </c>
      <c r="H7" s="102">
        <f t="shared" si="4"/>
        <v>0.47669686496656372</v>
      </c>
      <c r="I7" s="103">
        <f t="shared" si="5"/>
        <v>55.976696864966563</v>
      </c>
      <c r="J7" s="103">
        <f t="shared" ref="J7:J19" si="11">I7*E7</f>
        <v>335.86018118979939</v>
      </c>
      <c r="K7" s="104">
        <v>66</v>
      </c>
      <c r="L7" s="101">
        <f t="shared" si="7"/>
        <v>396</v>
      </c>
      <c r="M7" s="101">
        <f t="shared" ca="1" si="8"/>
        <v>132</v>
      </c>
      <c r="N7" s="105">
        <f t="shared" ca="1" si="9"/>
        <v>4</v>
      </c>
      <c r="O7" s="95">
        <v>0</v>
      </c>
      <c r="P7" s="95"/>
      <c r="Q7" s="173">
        <v>2</v>
      </c>
      <c r="R7" s="41">
        <v>0</v>
      </c>
      <c r="S7" s="41">
        <v>0</v>
      </c>
      <c r="T7" s="41">
        <v>0</v>
      </c>
      <c r="U7" s="41">
        <v>0</v>
      </c>
      <c r="V7" s="41">
        <v>0</v>
      </c>
      <c r="W7" s="41">
        <v>0</v>
      </c>
      <c r="X7" s="41">
        <v>0</v>
      </c>
      <c r="Y7" s="41">
        <v>0</v>
      </c>
      <c r="Z7" s="41">
        <v>0</v>
      </c>
      <c r="AA7" s="41">
        <v>0</v>
      </c>
      <c r="AB7" s="41">
        <v>0</v>
      </c>
      <c r="AC7" s="41">
        <v>0</v>
      </c>
      <c r="AD7" s="41">
        <v>0</v>
      </c>
      <c r="AE7" s="41">
        <v>0</v>
      </c>
      <c r="AF7" s="41">
        <f ca="1">SUMIFS('Tổng Đơn'!$F:$F,'Tổng Đơn'!$B:$B,$C7)</f>
        <v>0</v>
      </c>
      <c r="AG7" s="174">
        <v>0</v>
      </c>
      <c r="AH7" s="174">
        <v>0</v>
      </c>
      <c r="AI7" s="174">
        <v>0</v>
      </c>
      <c r="AJ7" s="174">
        <v>0</v>
      </c>
      <c r="AK7" s="174">
        <v>0</v>
      </c>
      <c r="AL7" s="174">
        <v>0</v>
      </c>
      <c r="AM7" s="174">
        <v>0</v>
      </c>
      <c r="AN7" s="174">
        <v>0</v>
      </c>
      <c r="AO7" s="174">
        <v>0</v>
      </c>
      <c r="AP7" s="174">
        <v>0</v>
      </c>
      <c r="AQ7" s="174">
        <v>0</v>
      </c>
      <c r="AR7" s="174">
        <v>0</v>
      </c>
      <c r="AS7" s="174">
        <v>0</v>
      </c>
      <c r="AT7" s="174">
        <v>0</v>
      </c>
      <c r="AU7" s="174">
        <v>0</v>
      </c>
      <c r="AV7" s="174">
        <v>0</v>
      </c>
      <c r="AX7" s="96">
        <f t="shared" si="10"/>
        <v>0</v>
      </c>
    </row>
    <row r="8" spans="1:50" ht="18.75" x14ac:dyDescent="0.25">
      <c r="A8" s="96">
        <f t="shared" ca="1" si="2"/>
        <v>727.69705924456537</v>
      </c>
      <c r="B8" s="6">
        <v>4</v>
      </c>
      <c r="C8" s="98" t="s">
        <v>37</v>
      </c>
      <c r="D8" s="99">
        <v>0.5</v>
      </c>
      <c r="E8" s="24">
        <v>30</v>
      </c>
      <c r="F8" s="100">
        <v>55.5</v>
      </c>
      <c r="G8" s="101">
        <f t="shared" si="3"/>
        <v>1665</v>
      </c>
      <c r="H8" s="102">
        <f t="shared" si="4"/>
        <v>0.47669686496656372</v>
      </c>
      <c r="I8" s="103">
        <f t="shared" si="5"/>
        <v>55.976696864966563</v>
      </c>
      <c r="J8" s="103">
        <f t="shared" si="11"/>
        <v>1679.3009059489968</v>
      </c>
      <c r="K8" s="104">
        <v>66</v>
      </c>
      <c r="L8" s="101">
        <f t="shared" si="7"/>
        <v>1980</v>
      </c>
      <c r="M8" s="101">
        <f t="shared" ca="1" si="8"/>
        <v>1056</v>
      </c>
      <c r="N8" s="105">
        <f t="shared" ca="1" si="9"/>
        <v>13</v>
      </c>
      <c r="O8" s="95">
        <v>0</v>
      </c>
      <c r="P8" s="95">
        <v>1</v>
      </c>
      <c r="Q8" s="173">
        <v>14</v>
      </c>
      <c r="R8" s="41">
        <v>0</v>
      </c>
      <c r="S8" s="41">
        <v>0</v>
      </c>
      <c r="T8" s="41">
        <v>1</v>
      </c>
      <c r="U8" s="41">
        <v>0</v>
      </c>
      <c r="V8" s="41">
        <v>0</v>
      </c>
      <c r="W8" s="41">
        <v>0</v>
      </c>
      <c r="X8" s="41">
        <v>0</v>
      </c>
      <c r="Y8" s="41">
        <v>0</v>
      </c>
      <c r="Z8" s="41">
        <v>0</v>
      </c>
      <c r="AA8" s="41">
        <v>0</v>
      </c>
      <c r="AB8" s="41">
        <v>0</v>
      </c>
      <c r="AC8" s="41">
        <v>0</v>
      </c>
      <c r="AD8" s="41">
        <v>0</v>
      </c>
      <c r="AE8" s="41">
        <v>0</v>
      </c>
      <c r="AF8" s="41">
        <f ca="1">SUMIFS('Tổng Đơn'!$F:$F,'Tổng Đơn'!$B:$B,$C8)</f>
        <v>1</v>
      </c>
      <c r="AG8" s="174">
        <v>0</v>
      </c>
      <c r="AH8" s="174">
        <v>0</v>
      </c>
      <c r="AI8" s="174">
        <v>0</v>
      </c>
      <c r="AJ8" s="174">
        <v>0</v>
      </c>
      <c r="AK8" s="174">
        <v>0</v>
      </c>
      <c r="AL8" s="174">
        <v>0</v>
      </c>
      <c r="AM8" s="174">
        <v>0</v>
      </c>
      <c r="AN8" s="174">
        <v>0</v>
      </c>
      <c r="AO8" s="174">
        <v>0</v>
      </c>
      <c r="AP8" s="174">
        <v>0</v>
      </c>
      <c r="AQ8" s="174">
        <v>0</v>
      </c>
      <c r="AR8" s="174">
        <v>0</v>
      </c>
      <c r="AS8" s="174">
        <v>0</v>
      </c>
      <c r="AT8" s="174">
        <v>0</v>
      </c>
      <c r="AU8" s="174">
        <v>0</v>
      </c>
      <c r="AV8" s="174">
        <v>0</v>
      </c>
      <c r="AX8" s="96">
        <f t="shared" si="10"/>
        <v>0</v>
      </c>
    </row>
    <row r="9" spans="1:50" ht="18.75" x14ac:dyDescent="0.25">
      <c r="A9" s="96">
        <f t="shared" ca="1" si="2"/>
        <v>1440.2652814985991</v>
      </c>
      <c r="B9" s="6">
        <v>5</v>
      </c>
      <c r="C9" s="98" t="s">
        <v>50</v>
      </c>
      <c r="D9" s="99">
        <v>1</v>
      </c>
      <c r="E9" s="24">
        <v>15</v>
      </c>
      <c r="F9" s="100">
        <v>102</v>
      </c>
      <c r="G9" s="101">
        <f t="shared" si="3"/>
        <v>1530</v>
      </c>
      <c r="H9" s="102">
        <f t="shared" si="4"/>
        <v>0.87609153561422537</v>
      </c>
      <c r="I9" s="103">
        <f t="shared" si="5"/>
        <v>102.87609153561422</v>
      </c>
      <c r="J9" s="103">
        <f>I9*E9</f>
        <v>1543.1413730342133</v>
      </c>
      <c r="K9" s="104">
        <v>122</v>
      </c>
      <c r="L9" s="101">
        <f t="shared" si="7"/>
        <v>1830</v>
      </c>
      <c r="M9" s="101">
        <f t="shared" ca="1" si="8"/>
        <v>122</v>
      </c>
      <c r="N9" s="105">
        <f t="shared" ca="1" si="9"/>
        <v>14</v>
      </c>
      <c r="O9" s="95">
        <v>0</v>
      </c>
      <c r="P9" s="95"/>
      <c r="Q9" s="173">
        <v>1</v>
      </c>
      <c r="R9" s="41">
        <v>0</v>
      </c>
      <c r="S9" s="41">
        <v>0</v>
      </c>
      <c r="T9" s="41">
        <v>0</v>
      </c>
      <c r="U9" s="41">
        <v>0</v>
      </c>
      <c r="V9" s="41">
        <v>0</v>
      </c>
      <c r="W9" s="41">
        <v>0</v>
      </c>
      <c r="X9" s="41">
        <v>0</v>
      </c>
      <c r="Y9" s="41">
        <v>0</v>
      </c>
      <c r="Z9" s="41">
        <v>0</v>
      </c>
      <c r="AA9" s="41">
        <v>0</v>
      </c>
      <c r="AB9" s="41">
        <v>0</v>
      </c>
      <c r="AC9" s="41">
        <v>0</v>
      </c>
      <c r="AD9" s="41">
        <v>0</v>
      </c>
      <c r="AE9" s="41">
        <v>0</v>
      </c>
      <c r="AF9" s="41">
        <f ca="1">SUMIFS('Tổng Đơn'!$F:$F,'Tổng Đơn'!$B:$B,$C9)</f>
        <v>0</v>
      </c>
      <c r="AG9" s="174">
        <v>0</v>
      </c>
      <c r="AH9" s="174">
        <v>0</v>
      </c>
      <c r="AI9" s="174">
        <v>0</v>
      </c>
      <c r="AJ9" s="174">
        <v>0</v>
      </c>
      <c r="AK9" s="174">
        <v>0</v>
      </c>
      <c r="AL9" s="174">
        <v>0</v>
      </c>
      <c r="AM9" s="174">
        <v>0</v>
      </c>
      <c r="AN9" s="174">
        <v>0</v>
      </c>
      <c r="AO9" s="174">
        <v>0</v>
      </c>
      <c r="AP9" s="174">
        <v>0</v>
      </c>
      <c r="AQ9" s="174">
        <v>0</v>
      </c>
      <c r="AR9" s="174">
        <v>0</v>
      </c>
      <c r="AS9" s="174">
        <v>0</v>
      </c>
      <c r="AT9" s="174">
        <v>0</v>
      </c>
      <c r="AU9" s="174">
        <v>0</v>
      </c>
      <c r="AV9" s="174">
        <v>0</v>
      </c>
      <c r="AX9" s="96">
        <f t="shared" si="10"/>
        <v>0</v>
      </c>
    </row>
    <row r="10" spans="1:50" ht="18.75" x14ac:dyDescent="0.25">
      <c r="A10" s="96">
        <f t="shared" ca="1" si="2"/>
        <v>106.91044806642263</v>
      </c>
      <c r="B10" s="6">
        <v>6</v>
      </c>
      <c r="C10" s="98" t="s">
        <v>38</v>
      </c>
      <c r="D10" s="99">
        <v>0.5</v>
      </c>
      <c r="E10" s="24">
        <v>40</v>
      </c>
      <c r="F10" s="100">
        <v>26.5</v>
      </c>
      <c r="G10" s="101">
        <f t="shared" si="3"/>
        <v>1060</v>
      </c>
      <c r="H10" s="102">
        <f t="shared" si="4"/>
        <v>0.22761201660565655</v>
      </c>
      <c r="I10" s="103">
        <f t="shared" si="5"/>
        <v>26.727612016605658</v>
      </c>
      <c r="J10" s="103">
        <f t="shared" si="11"/>
        <v>1069.1044806642262</v>
      </c>
      <c r="K10" s="104">
        <v>32</v>
      </c>
      <c r="L10" s="101">
        <f t="shared" si="7"/>
        <v>1280</v>
      </c>
      <c r="M10" s="101">
        <f t="shared" ca="1" si="8"/>
        <v>1152</v>
      </c>
      <c r="N10" s="105">
        <f t="shared" ca="1" si="9"/>
        <v>4</v>
      </c>
      <c r="O10" s="95">
        <v>0</v>
      </c>
      <c r="P10" s="95"/>
      <c r="Q10" s="173">
        <v>27</v>
      </c>
      <c r="R10" s="41">
        <v>2</v>
      </c>
      <c r="S10" s="41">
        <v>1</v>
      </c>
      <c r="T10" s="41">
        <v>0</v>
      </c>
      <c r="U10" s="41">
        <v>1</v>
      </c>
      <c r="V10" s="41">
        <v>0</v>
      </c>
      <c r="W10" s="41">
        <v>1</v>
      </c>
      <c r="X10" s="41">
        <v>1</v>
      </c>
      <c r="Y10" s="41">
        <v>1</v>
      </c>
      <c r="Z10" s="41">
        <v>0</v>
      </c>
      <c r="AA10" s="41">
        <v>0</v>
      </c>
      <c r="AB10" s="41">
        <v>0</v>
      </c>
      <c r="AC10" s="41">
        <v>0</v>
      </c>
      <c r="AD10" s="41">
        <v>1</v>
      </c>
      <c r="AE10" s="41">
        <v>0</v>
      </c>
      <c r="AF10" s="41">
        <f ca="1">SUMIFS('Tổng Đơn'!$F:$F,'Tổng Đơn'!$B:$B,$C10)</f>
        <v>1</v>
      </c>
      <c r="AG10" s="174">
        <v>0</v>
      </c>
      <c r="AH10" s="174">
        <v>0</v>
      </c>
      <c r="AI10" s="174">
        <v>0</v>
      </c>
      <c r="AJ10" s="174">
        <v>0</v>
      </c>
      <c r="AK10" s="174">
        <v>0</v>
      </c>
      <c r="AL10" s="174">
        <v>0</v>
      </c>
      <c r="AM10" s="174">
        <v>0</v>
      </c>
      <c r="AN10" s="174">
        <v>0</v>
      </c>
      <c r="AO10" s="174">
        <v>0</v>
      </c>
      <c r="AP10" s="174">
        <v>0</v>
      </c>
      <c r="AQ10" s="174">
        <v>0</v>
      </c>
      <c r="AR10" s="174">
        <v>0</v>
      </c>
      <c r="AS10" s="174">
        <v>0</v>
      </c>
      <c r="AT10" s="174">
        <v>0</v>
      </c>
      <c r="AU10" s="174">
        <v>0</v>
      </c>
      <c r="AV10" s="174">
        <v>0</v>
      </c>
      <c r="AW10" s="96">
        <v>40</v>
      </c>
      <c r="AX10" s="96">
        <f t="shared" si="10"/>
        <v>1060</v>
      </c>
    </row>
    <row r="11" spans="1:50" ht="18.75" x14ac:dyDescent="0.25">
      <c r="A11" s="96">
        <f t="shared" ca="1" si="2"/>
        <v>802.03007832471008</v>
      </c>
      <c r="B11" s="6">
        <v>7</v>
      </c>
      <c r="C11" s="98" t="s">
        <v>39</v>
      </c>
      <c r="D11" s="99">
        <v>0.2</v>
      </c>
      <c r="E11" s="24">
        <v>90</v>
      </c>
      <c r="F11" s="100">
        <v>11.2</v>
      </c>
      <c r="G11" s="101">
        <f t="shared" si="3"/>
        <v>1007.9999999999999</v>
      </c>
      <c r="H11" s="102">
        <f t="shared" si="4"/>
        <v>9.6198286263522767E-2</v>
      </c>
      <c r="I11" s="103">
        <f t="shared" si="5"/>
        <v>11.296198286263522</v>
      </c>
      <c r="J11" s="103">
        <f t="shared" si="11"/>
        <v>1016.657845763717</v>
      </c>
      <c r="K11" s="104">
        <v>14</v>
      </c>
      <c r="L11" s="101">
        <f t="shared" si="7"/>
        <v>1260</v>
      </c>
      <c r="M11" s="101">
        <f t="shared" ca="1" si="8"/>
        <v>238</v>
      </c>
      <c r="N11" s="105">
        <f t="shared" ca="1" si="9"/>
        <v>71</v>
      </c>
      <c r="O11" s="95">
        <v>0</v>
      </c>
      <c r="P11" s="95">
        <v>2</v>
      </c>
      <c r="Q11" s="173">
        <v>9</v>
      </c>
      <c r="R11" s="41">
        <v>1</v>
      </c>
      <c r="S11" s="41">
        <v>0</v>
      </c>
      <c r="T11" s="41">
        <v>0</v>
      </c>
      <c r="U11" s="41">
        <v>0</v>
      </c>
      <c r="V11" s="41">
        <v>0</v>
      </c>
      <c r="W11" s="41">
        <v>0</v>
      </c>
      <c r="X11" s="41">
        <v>2</v>
      </c>
      <c r="Y11" s="41">
        <v>0</v>
      </c>
      <c r="Z11" s="41">
        <v>0</v>
      </c>
      <c r="AA11" s="41">
        <v>0</v>
      </c>
      <c r="AB11" s="41">
        <v>1</v>
      </c>
      <c r="AC11" s="41">
        <v>0</v>
      </c>
      <c r="AD11" s="41">
        <v>1</v>
      </c>
      <c r="AE11" s="41">
        <v>1</v>
      </c>
      <c r="AF11" s="41">
        <f ca="1">SUMIFS('Tổng Đơn'!$F:$F,'Tổng Đơn'!$B:$B,$C11)</f>
        <v>2</v>
      </c>
      <c r="AG11" s="174">
        <v>0</v>
      </c>
      <c r="AH11" s="174">
        <v>0</v>
      </c>
      <c r="AI11" s="174">
        <v>0</v>
      </c>
      <c r="AJ11" s="174">
        <v>0</v>
      </c>
      <c r="AK11" s="174">
        <v>0</v>
      </c>
      <c r="AL11" s="174">
        <v>0</v>
      </c>
      <c r="AM11" s="174">
        <v>0</v>
      </c>
      <c r="AN11" s="174">
        <v>0</v>
      </c>
      <c r="AO11" s="174">
        <v>0</v>
      </c>
      <c r="AP11" s="174">
        <v>0</v>
      </c>
      <c r="AQ11" s="174">
        <v>0</v>
      </c>
      <c r="AR11" s="174">
        <v>0</v>
      </c>
      <c r="AS11" s="174">
        <v>0</v>
      </c>
      <c r="AT11" s="174">
        <v>0</v>
      </c>
      <c r="AU11" s="174">
        <v>0</v>
      </c>
      <c r="AV11" s="174">
        <v>0</v>
      </c>
      <c r="AX11" s="96">
        <f t="shared" si="10"/>
        <v>0</v>
      </c>
    </row>
    <row r="12" spans="1:50" ht="18.75" x14ac:dyDescent="0.25">
      <c r="A12" s="96">
        <f t="shared" ca="1" si="2"/>
        <v>689.8749667682365</v>
      </c>
      <c r="B12" s="6">
        <v>8</v>
      </c>
      <c r="C12" s="98" t="s">
        <v>40</v>
      </c>
      <c r="D12" s="99">
        <v>0.5</v>
      </c>
      <c r="E12" s="24">
        <v>36</v>
      </c>
      <c r="F12" s="100">
        <v>28.5</v>
      </c>
      <c r="G12" s="101">
        <f t="shared" si="3"/>
        <v>1026</v>
      </c>
      <c r="H12" s="102">
        <f t="shared" si="4"/>
        <v>0.24479028200985706</v>
      </c>
      <c r="I12" s="103">
        <f t="shared" si="5"/>
        <v>28.744790282009856</v>
      </c>
      <c r="J12" s="103">
        <f t="shared" si="11"/>
        <v>1034.8124501523548</v>
      </c>
      <c r="K12" s="104">
        <v>35</v>
      </c>
      <c r="L12" s="101">
        <f t="shared" si="7"/>
        <v>1260</v>
      </c>
      <c r="M12" s="101">
        <f t="shared" ca="1" si="8"/>
        <v>420</v>
      </c>
      <c r="N12" s="105">
        <f t="shared" ca="1" si="9"/>
        <v>24</v>
      </c>
      <c r="O12" s="95">
        <v>0</v>
      </c>
      <c r="P12" s="95"/>
      <c r="Q12" s="173">
        <v>11</v>
      </c>
      <c r="R12" s="41">
        <v>0</v>
      </c>
      <c r="S12" s="41">
        <v>0</v>
      </c>
      <c r="T12" s="41">
        <v>0</v>
      </c>
      <c r="U12" s="41">
        <v>1</v>
      </c>
      <c r="V12" s="41">
        <v>0</v>
      </c>
      <c r="W12" s="41">
        <v>0</v>
      </c>
      <c r="X12" s="41">
        <v>0</v>
      </c>
      <c r="Y12" s="41">
        <v>0</v>
      </c>
      <c r="Z12" s="41">
        <v>0</v>
      </c>
      <c r="AA12" s="41">
        <v>0</v>
      </c>
      <c r="AB12" s="41">
        <v>0</v>
      </c>
      <c r="AC12" s="41">
        <v>0</v>
      </c>
      <c r="AD12" s="41">
        <v>0</v>
      </c>
      <c r="AE12" s="41">
        <v>0</v>
      </c>
      <c r="AF12" s="41">
        <f ca="1">SUMIFS('Tổng Đơn'!$F:$F,'Tổng Đơn'!$B:$B,$C12)</f>
        <v>0</v>
      </c>
      <c r="AG12" s="174">
        <v>0</v>
      </c>
      <c r="AH12" s="174">
        <v>0</v>
      </c>
      <c r="AI12" s="174">
        <v>0</v>
      </c>
      <c r="AJ12" s="174">
        <v>0</v>
      </c>
      <c r="AK12" s="174">
        <v>0</v>
      </c>
      <c r="AL12" s="174">
        <v>0</v>
      </c>
      <c r="AM12" s="174">
        <v>0</v>
      </c>
      <c r="AN12" s="174">
        <v>0</v>
      </c>
      <c r="AO12" s="174">
        <v>0</v>
      </c>
      <c r="AP12" s="174">
        <v>0</v>
      </c>
      <c r="AQ12" s="174">
        <v>0</v>
      </c>
      <c r="AR12" s="174">
        <v>0</v>
      </c>
      <c r="AS12" s="174">
        <v>0</v>
      </c>
      <c r="AT12" s="174">
        <v>0</v>
      </c>
      <c r="AU12" s="174">
        <v>0</v>
      </c>
      <c r="AV12" s="174">
        <v>0</v>
      </c>
      <c r="AW12" s="96">
        <v>20</v>
      </c>
      <c r="AX12" s="96">
        <f t="shared" si="10"/>
        <v>570</v>
      </c>
    </row>
    <row r="13" spans="1:50" ht="18.75" x14ac:dyDescent="0.25">
      <c r="A13" s="96">
        <f t="shared" ca="1" si="2"/>
        <v>1004.5547761712919</v>
      </c>
      <c r="B13" s="6">
        <v>9</v>
      </c>
      <c r="C13" s="98" t="s">
        <v>41</v>
      </c>
      <c r="D13" s="99">
        <v>0.2</v>
      </c>
      <c r="E13" s="24">
        <v>90</v>
      </c>
      <c r="F13" s="100">
        <v>12</v>
      </c>
      <c r="G13" s="101">
        <f t="shared" si="3"/>
        <v>1080</v>
      </c>
      <c r="H13" s="102">
        <f t="shared" si="4"/>
        <v>0.10306959242520297</v>
      </c>
      <c r="I13" s="103">
        <f t="shared" si="5"/>
        <v>12.103069592425204</v>
      </c>
      <c r="J13" s="103">
        <f t="shared" si="11"/>
        <v>1089.2762633182683</v>
      </c>
      <c r="K13" s="104">
        <v>14</v>
      </c>
      <c r="L13" s="101">
        <f t="shared" si="7"/>
        <v>1260</v>
      </c>
      <c r="M13" s="101">
        <f t="shared" ca="1" si="8"/>
        <v>98</v>
      </c>
      <c r="N13" s="105">
        <f t="shared" ca="1" si="9"/>
        <v>83</v>
      </c>
      <c r="O13" s="95">
        <v>0</v>
      </c>
      <c r="P13" s="95"/>
      <c r="Q13" s="173">
        <v>3</v>
      </c>
      <c r="R13" s="41">
        <v>1</v>
      </c>
      <c r="S13" s="41">
        <v>0</v>
      </c>
      <c r="T13" s="41">
        <v>0</v>
      </c>
      <c r="U13" s="41">
        <v>0</v>
      </c>
      <c r="V13" s="41">
        <v>0</v>
      </c>
      <c r="W13" s="41">
        <v>0</v>
      </c>
      <c r="X13" s="41">
        <v>0</v>
      </c>
      <c r="Y13" s="41">
        <v>0</v>
      </c>
      <c r="Z13" s="41">
        <v>0</v>
      </c>
      <c r="AA13" s="41">
        <v>0</v>
      </c>
      <c r="AB13" s="41">
        <v>1</v>
      </c>
      <c r="AC13" s="41">
        <v>0</v>
      </c>
      <c r="AD13" s="41">
        <v>1</v>
      </c>
      <c r="AE13" s="41">
        <v>0</v>
      </c>
      <c r="AF13" s="41">
        <f ca="1">SUMIFS('Tổng Đơn'!$F:$F,'Tổng Đơn'!$B:$B,$C13)</f>
        <v>1</v>
      </c>
      <c r="AG13" s="174">
        <v>0</v>
      </c>
      <c r="AH13" s="174">
        <v>0</v>
      </c>
      <c r="AI13" s="174">
        <v>0</v>
      </c>
      <c r="AJ13" s="174">
        <v>0</v>
      </c>
      <c r="AK13" s="174">
        <v>0</v>
      </c>
      <c r="AL13" s="174">
        <v>0</v>
      </c>
      <c r="AM13" s="174">
        <v>0</v>
      </c>
      <c r="AN13" s="174">
        <v>0</v>
      </c>
      <c r="AO13" s="174">
        <v>0</v>
      </c>
      <c r="AP13" s="174">
        <v>0</v>
      </c>
      <c r="AQ13" s="174">
        <v>0</v>
      </c>
      <c r="AR13" s="174">
        <v>0</v>
      </c>
      <c r="AS13" s="174">
        <v>0</v>
      </c>
      <c r="AT13" s="174">
        <v>0</v>
      </c>
      <c r="AU13" s="174">
        <v>0</v>
      </c>
      <c r="AV13" s="174">
        <v>0</v>
      </c>
      <c r="AX13" s="96">
        <f t="shared" si="10"/>
        <v>0</v>
      </c>
    </row>
    <row r="14" spans="1:50" ht="18.75" x14ac:dyDescent="0.25">
      <c r="A14" s="96">
        <f t="shared" ca="1" si="2"/>
        <v>114.97916112803942</v>
      </c>
      <c r="B14" s="6">
        <v>10</v>
      </c>
      <c r="C14" s="98" t="s">
        <v>42</v>
      </c>
      <c r="D14" s="99">
        <v>0.5</v>
      </c>
      <c r="E14" s="24">
        <v>26</v>
      </c>
      <c r="F14" s="100">
        <v>28.5</v>
      </c>
      <c r="G14" s="101">
        <f t="shared" si="3"/>
        <v>741</v>
      </c>
      <c r="H14" s="102">
        <f t="shared" si="4"/>
        <v>0.24479028200985703</v>
      </c>
      <c r="I14" s="103">
        <f t="shared" si="5"/>
        <v>28.744790282009856</v>
      </c>
      <c r="J14" s="103">
        <f t="shared" si="11"/>
        <v>747.36454733225628</v>
      </c>
      <c r="K14" s="104">
        <v>35</v>
      </c>
      <c r="L14" s="101">
        <f t="shared" si="7"/>
        <v>910</v>
      </c>
      <c r="M14" s="101">
        <f t="shared" ca="1" si="8"/>
        <v>770</v>
      </c>
      <c r="N14" s="105">
        <f t="shared" ca="1" si="9"/>
        <v>4</v>
      </c>
      <c r="O14" s="95">
        <v>0</v>
      </c>
      <c r="P14" s="95"/>
      <c r="Q14" s="173">
        <v>17</v>
      </c>
      <c r="R14" s="41">
        <v>1</v>
      </c>
      <c r="S14" s="41">
        <v>0</v>
      </c>
      <c r="T14" s="41">
        <v>0</v>
      </c>
      <c r="U14" s="41">
        <v>1</v>
      </c>
      <c r="V14" s="41">
        <v>0</v>
      </c>
      <c r="W14" s="41">
        <v>1</v>
      </c>
      <c r="X14" s="41">
        <v>0</v>
      </c>
      <c r="Y14" s="41">
        <v>0</v>
      </c>
      <c r="Z14" s="41">
        <v>2</v>
      </c>
      <c r="AA14" s="41">
        <v>0</v>
      </c>
      <c r="AB14" s="41">
        <v>0</v>
      </c>
      <c r="AC14" s="41">
        <v>0</v>
      </c>
      <c r="AD14" s="41">
        <v>0</v>
      </c>
      <c r="AE14" s="41">
        <v>0</v>
      </c>
      <c r="AF14" s="41">
        <f ca="1">SUMIFS('Tổng Đơn'!$F:$F,'Tổng Đơn'!$B:$B,$C14)</f>
        <v>0</v>
      </c>
      <c r="AG14" s="174">
        <v>0</v>
      </c>
      <c r="AH14" s="174">
        <v>0</v>
      </c>
      <c r="AI14" s="174">
        <v>0</v>
      </c>
      <c r="AJ14" s="174">
        <v>0</v>
      </c>
      <c r="AK14" s="174">
        <v>0</v>
      </c>
      <c r="AL14" s="174">
        <v>0</v>
      </c>
      <c r="AM14" s="174">
        <v>0</v>
      </c>
      <c r="AN14" s="174">
        <v>0</v>
      </c>
      <c r="AO14" s="174">
        <v>0</v>
      </c>
      <c r="AP14" s="174">
        <v>0</v>
      </c>
      <c r="AQ14" s="174">
        <v>0</v>
      </c>
      <c r="AR14" s="174">
        <v>0</v>
      </c>
      <c r="AS14" s="174">
        <v>0</v>
      </c>
      <c r="AT14" s="174">
        <v>0</v>
      </c>
      <c r="AU14" s="174">
        <v>0</v>
      </c>
      <c r="AV14" s="174">
        <v>0</v>
      </c>
      <c r="AW14" s="96">
        <v>40</v>
      </c>
      <c r="AX14" s="96">
        <f t="shared" si="10"/>
        <v>1140</v>
      </c>
    </row>
    <row r="15" spans="1:50" ht="18.75" x14ac:dyDescent="0.25">
      <c r="A15" s="96">
        <f t="shared" ca="1" si="2"/>
        <v>72.618417554551229</v>
      </c>
      <c r="B15" s="6">
        <v>11</v>
      </c>
      <c r="C15" s="98" t="s">
        <v>43</v>
      </c>
      <c r="D15" s="99">
        <v>0.2</v>
      </c>
      <c r="E15" s="24">
        <v>15</v>
      </c>
      <c r="F15" s="100">
        <v>12</v>
      </c>
      <c r="G15" s="101">
        <f t="shared" si="3"/>
        <v>180</v>
      </c>
      <c r="H15" s="102">
        <f t="shared" si="4"/>
        <v>0.10306959242520297</v>
      </c>
      <c r="I15" s="103">
        <f t="shared" si="5"/>
        <v>12.103069592425204</v>
      </c>
      <c r="J15" s="103">
        <f t="shared" si="11"/>
        <v>181.54604388637804</v>
      </c>
      <c r="K15" s="104">
        <v>14</v>
      </c>
      <c r="L15" s="101">
        <f t="shared" si="7"/>
        <v>210</v>
      </c>
      <c r="M15" s="101">
        <f t="shared" ca="1" si="8"/>
        <v>112</v>
      </c>
      <c r="N15" s="105">
        <f t="shared" ca="1" si="9"/>
        <v>6</v>
      </c>
      <c r="O15" s="95">
        <v>0</v>
      </c>
      <c r="P15" s="95">
        <v>1</v>
      </c>
      <c r="Q15" s="173">
        <v>4</v>
      </c>
      <c r="R15" s="41">
        <v>1</v>
      </c>
      <c r="S15" s="41">
        <v>0</v>
      </c>
      <c r="T15" s="41">
        <v>0</v>
      </c>
      <c r="U15" s="41">
        <v>0</v>
      </c>
      <c r="V15" s="41">
        <v>0</v>
      </c>
      <c r="W15" s="41">
        <v>0</v>
      </c>
      <c r="X15" s="41">
        <v>0</v>
      </c>
      <c r="Y15" s="41">
        <v>1</v>
      </c>
      <c r="Z15" s="41">
        <v>0</v>
      </c>
      <c r="AA15" s="41">
        <v>0</v>
      </c>
      <c r="AB15" s="41">
        <v>1</v>
      </c>
      <c r="AC15" s="41">
        <v>0</v>
      </c>
      <c r="AD15" s="41">
        <v>0</v>
      </c>
      <c r="AE15" s="41">
        <v>0</v>
      </c>
      <c r="AF15" s="41">
        <f ca="1">SUMIFS('Tổng Đơn'!$F:$F,'Tổng Đơn'!$B:$B,$C15)</f>
        <v>1</v>
      </c>
      <c r="AG15" s="174">
        <v>0</v>
      </c>
      <c r="AH15" s="174">
        <v>0</v>
      </c>
      <c r="AI15" s="174">
        <v>0</v>
      </c>
      <c r="AJ15" s="174">
        <v>0</v>
      </c>
      <c r="AK15" s="174">
        <v>0</v>
      </c>
      <c r="AL15" s="174">
        <v>0</v>
      </c>
      <c r="AM15" s="174">
        <v>0</v>
      </c>
      <c r="AN15" s="174">
        <v>0</v>
      </c>
      <c r="AO15" s="174">
        <v>0</v>
      </c>
      <c r="AP15" s="174">
        <v>0</v>
      </c>
      <c r="AQ15" s="174">
        <v>0</v>
      </c>
      <c r="AR15" s="174">
        <v>0</v>
      </c>
      <c r="AS15" s="174">
        <v>0</v>
      </c>
      <c r="AT15" s="174">
        <v>0</v>
      </c>
      <c r="AU15" s="174">
        <v>0</v>
      </c>
      <c r="AV15" s="174">
        <v>0</v>
      </c>
      <c r="AX15" s="96">
        <f t="shared" si="10"/>
        <v>0</v>
      </c>
    </row>
    <row r="16" spans="1:50" ht="18.75" x14ac:dyDescent="0.25">
      <c r="A16" s="96">
        <f t="shared" ca="1" si="2"/>
        <v>588.00746436532449</v>
      </c>
      <c r="B16" s="6">
        <v>12</v>
      </c>
      <c r="C16" s="98" t="s">
        <v>67</v>
      </c>
      <c r="D16" s="99">
        <v>0.5</v>
      </c>
      <c r="E16" s="24">
        <v>40</v>
      </c>
      <c r="F16" s="100">
        <v>26.5</v>
      </c>
      <c r="G16" s="101">
        <f t="shared" si="3"/>
        <v>1060</v>
      </c>
      <c r="H16" s="102">
        <f t="shared" si="4"/>
        <v>0.22761201660565655</v>
      </c>
      <c r="I16" s="103">
        <f t="shared" si="5"/>
        <v>26.727612016605658</v>
      </c>
      <c r="J16" s="103">
        <f t="shared" si="11"/>
        <v>1069.1044806642262</v>
      </c>
      <c r="K16" s="104">
        <v>32</v>
      </c>
      <c r="L16" s="101">
        <f t="shared" si="7"/>
        <v>1280</v>
      </c>
      <c r="M16" s="101">
        <f t="shared" ca="1" si="8"/>
        <v>576</v>
      </c>
      <c r="N16" s="105">
        <f t="shared" ca="1" si="9"/>
        <v>22</v>
      </c>
      <c r="O16" s="95">
        <v>0</v>
      </c>
      <c r="P16" s="95"/>
      <c r="Q16" s="173">
        <v>13</v>
      </c>
      <c r="R16" s="41">
        <v>0</v>
      </c>
      <c r="S16" s="41">
        <v>1</v>
      </c>
      <c r="T16" s="41">
        <v>0</v>
      </c>
      <c r="U16" s="41">
        <v>0</v>
      </c>
      <c r="V16" s="41">
        <v>0</v>
      </c>
      <c r="W16" s="41">
        <v>1</v>
      </c>
      <c r="X16" s="41">
        <v>1</v>
      </c>
      <c r="Y16" s="41">
        <v>0</v>
      </c>
      <c r="Z16" s="41">
        <v>0</v>
      </c>
      <c r="AA16" s="41">
        <v>0</v>
      </c>
      <c r="AB16" s="41">
        <v>1</v>
      </c>
      <c r="AC16" s="41">
        <v>0</v>
      </c>
      <c r="AD16" s="41">
        <v>1</v>
      </c>
      <c r="AE16" s="41">
        <v>0</v>
      </c>
      <c r="AF16" s="41">
        <f ca="1">SUMIFS('Tổng Đơn'!$F:$F,'Tổng Đơn'!$B:$B,$C16)</f>
        <v>0</v>
      </c>
      <c r="AG16" s="174">
        <v>0</v>
      </c>
      <c r="AH16" s="174">
        <v>0</v>
      </c>
      <c r="AI16" s="174">
        <v>0</v>
      </c>
      <c r="AJ16" s="174">
        <v>0</v>
      </c>
      <c r="AK16" s="174">
        <v>0</v>
      </c>
      <c r="AL16" s="174">
        <v>0</v>
      </c>
      <c r="AM16" s="174">
        <v>0</v>
      </c>
      <c r="AN16" s="174">
        <v>0</v>
      </c>
      <c r="AO16" s="174">
        <v>0</v>
      </c>
      <c r="AP16" s="174">
        <v>0</v>
      </c>
      <c r="AQ16" s="174">
        <v>0</v>
      </c>
      <c r="AR16" s="174">
        <v>0</v>
      </c>
      <c r="AS16" s="174">
        <v>0</v>
      </c>
      <c r="AT16" s="174">
        <v>0</v>
      </c>
      <c r="AU16" s="174">
        <v>0</v>
      </c>
      <c r="AV16" s="174">
        <v>0</v>
      </c>
      <c r="AX16" s="96">
        <f t="shared" si="10"/>
        <v>0</v>
      </c>
    </row>
    <row r="17" spans="1:50" ht="18.75" x14ac:dyDescent="0.25">
      <c r="A17" s="96">
        <f t="shared" ca="1" si="2"/>
        <v>662.64306018527986</v>
      </c>
      <c r="B17" s="6">
        <v>13</v>
      </c>
      <c r="C17" s="98" t="s">
        <v>44</v>
      </c>
      <c r="D17" s="99">
        <v>0.5</v>
      </c>
      <c r="E17" s="24">
        <v>25</v>
      </c>
      <c r="F17" s="100">
        <v>36.5</v>
      </c>
      <c r="G17" s="101">
        <f t="shared" si="3"/>
        <v>912.5</v>
      </c>
      <c r="H17" s="102">
        <f t="shared" si="4"/>
        <v>0.31350334362665899</v>
      </c>
      <c r="I17" s="103">
        <f t="shared" si="5"/>
        <v>36.813503343626657</v>
      </c>
      <c r="J17" s="103">
        <f t="shared" si="11"/>
        <v>920.33758359066644</v>
      </c>
      <c r="K17" s="104">
        <v>44</v>
      </c>
      <c r="L17" s="101">
        <f t="shared" si="7"/>
        <v>1100</v>
      </c>
      <c r="M17" s="101">
        <f t="shared" ca="1" si="8"/>
        <v>308</v>
      </c>
      <c r="N17" s="105">
        <f t="shared" ca="1" si="9"/>
        <v>18</v>
      </c>
      <c r="O17" s="95">
        <v>0</v>
      </c>
      <c r="P17" s="95"/>
      <c r="Q17" s="173">
        <v>3</v>
      </c>
      <c r="R17" s="41">
        <v>1</v>
      </c>
      <c r="S17" s="41">
        <v>0</v>
      </c>
      <c r="T17" s="41">
        <v>0</v>
      </c>
      <c r="U17" s="41">
        <v>0</v>
      </c>
      <c r="V17" s="41">
        <v>0</v>
      </c>
      <c r="W17" s="41">
        <v>1</v>
      </c>
      <c r="X17" s="41">
        <v>0</v>
      </c>
      <c r="Y17" s="41">
        <v>0</v>
      </c>
      <c r="Z17" s="41">
        <v>0</v>
      </c>
      <c r="AA17" s="41">
        <v>1</v>
      </c>
      <c r="AB17" s="41">
        <v>0</v>
      </c>
      <c r="AC17" s="41">
        <v>0</v>
      </c>
      <c r="AD17" s="41">
        <v>0</v>
      </c>
      <c r="AE17" s="41">
        <v>0</v>
      </c>
      <c r="AF17" s="41">
        <f ca="1">SUMIFS('Tổng Đơn'!$F:$F,'Tổng Đơn'!$B:$B,$C17)</f>
        <v>1</v>
      </c>
      <c r="AG17" s="174">
        <v>0</v>
      </c>
      <c r="AH17" s="174">
        <v>0</v>
      </c>
      <c r="AI17" s="174">
        <v>0</v>
      </c>
      <c r="AJ17" s="174">
        <v>0</v>
      </c>
      <c r="AK17" s="174">
        <v>0</v>
      </c>
      <c r="AL17" s="174">
        <v>0</v>
      </c>
      <c r="AM17" s="174">
        <v>0</v>
      </c>
      <c r="AN17" s="174">
        <v>0</v>
      </c>
      <c r="AO17" s="174">
        <v>0</v>
      </c>
      <c r="AP17" s="174">
        <v>0</v>
      </c>
      <c r="AQ17" s="174">
        <v>0</v>
      </c>
      <c r="AR17" s="174">
        <v>0</v>
      </c>
      <c r="AS17" s="174">
        <v>0</v>
      </c>
      <c r="AT17" s="174">
        <v>0</v>
      </c>
      <c r="AU17" s="174">
        <v>0</v>
      </c>
      <c r="AV17" s="174">
        <v>0</v>
      </c>
      <c r="AX17" s="96">
        <f t="shared" si="10"/>
        <v>0</v>
      </c>
    </row>
    <row r="18" spans="1:50" ht="18.75" x14ac:dyDescent="0.25">
      <c r="A18" s="96">
        <f t="shared" ca="1" si="2"/>
        <v>741.31301253604374</v>
      </c>
      <c r="B18" s="6">
        <v>14</v>
      </c>
      <c r="C18" s="98" t="s">
        <v>48</v>
      </c>
      <c r="D18" s="99">
        <v>0.5</v>
      </c>
      <c r="E18" s="24">
        <v>25</v>
      </c>
      <c r="F18" s="100">
        <v>49</v>
      </c>
      <c r="G18" s="101">
        <f t="shared" si="3"/>
        <v>1225</v>
      </c>
      <c r="H18" s="102">
        <f t="shared" si="4"/>
        <v>0.42086750240291215</v>
      </c>
      <c r="I18" s="103">
        <f t="shared" si="5"/>
        <v>49.420867502402913</v>
      </c>
      <c r="J18" s="103">
        <f t="shared" si="11"/>
        <v>1235.5216875600729</v>
      </c>
      <c r="K18" s="104">
        <v>59</v>
      </c>
      <c r="L18" s="101">
        <f t="shared" si="7"/>
        <v>1475</v>
      </c>
      <c r="M18" s="101">
        <f t="shared" ca="1" si="8"/>
        <v>590</v>
      </c>
      <c r="N18" s="105">
        <f t="shared" ca="1" si="9"/>
        <v>15</v>
      </c>
      <c r="O18" s="95">
        <v>0</v>
      </c>
      <c r="P18" s="95"/>
      <c r="Q18" s="173">
        <v>6</v>
      </c>
      <c r="R18" s="41">
        <v>0</v>
      </c>
      <c r="S18" s="41">
        <v>0</v>
      </c>
      <c r="T18" s="41">
        <v>1</v>
      </c>
      <c r="U18" s="41">
        <v>0</v>
      </c>
      <c r="V18" s="41">
        <v>0</v>
      </c>
      <c r="W18" s="41">
        <v>1</v>
      </c>
      <c r="X18" s="41">
        <v>0</v>
      </c>
      <c r="Y18" s="41">
        <v>1</v>
      </c>
      <c r="Z18" s="41">
        <v>0</v>
      </c>
      <c r="AA18" s="41">
        <v>0</v>
      </c>
      <c r="AB18" s="41">
        <v>0</v>
      </c>
      <c r="AC18" s="41">
        <v>1</v>
      </c>
      <c r="AD18" s="41">
        <v>0</v>
      </c>
      <c r="AE18" s="41">
        <v>0</v>
      </c>
      <c r="AF18" s="41">
        <f ca="1">SUMIFS('Tổng Đơn'!$F:$F,'Tổng Đơn'!$B:$B,$C18)</f>
        <v>0</v>
      </c>
      <c r="AG18" s="174">
        <v>0</v>
      </c>
      <c r="AH18" s="174">
        <v>0</v>
      </c>
      <c r="AI18" s="174">
        <v>0</v>
      </c>
      <c r="AJ18" s="174">
        <v>0</v>
      </c>
      <c r="AK18" s="174">
        <v>0</v>
      </c>
      <c r="AL18" s="174">
        <v>0</v>
      </c>
      <c r="AM18" s="174">
        <v>0</v>
      </c>
      <c r="AN18" s="174">
        <v>0</v>
      </c>
      <c r="AO18" s="174">
        <v>0</v>
      </c>
      <c r="AP18" s="174">
        <v>0</v>
      </c>
      <c r="AQ18" s="174">
        <v>0</v>
      </c>
      <c r="AR18" s="174">
        <v>0</v>
      </c>
      <c r="AS18" s="174">
        <v>0</v>
      </c>
      <c r="AT18" s="174">
        <v>0</v>
      </c>
      <c r="AU18" s="174">
        <v>0</v>
      </c>
      <c r="AV18" s="174">
        <v>0</v>
      </c>
      <c r="AX18" s="96">
        <f t="shared" si="10"/>
        <v>0</v>
      </c>
    </row>
    <row r="19" spans="1:50" ht="18.75" x14ac:dyDescent="0.25">
      <c r="A19" s="96">
        <f t="shared" ca="1" si="2"/>
        <v>477.06265976809345</v>
      </c>
      <c r="B19" s="6">
        <v>15</v>
      </c>
      <c r="C19" s="98" t="s">
        <v>49</v>
      </c>
      <c r="D19" s="99">
        <v>0.5</v>
      </c>
      <c r="E19" s="24">
        <v>25</v>
      </c>
      <c r="F19" s="100">
        <v>43</v>
      </c>
      <c r="G19" s="101">
        <f t="shared" si="3"/>
        <v>1075</v>
      </c>
      <c r="H19" s="102">
        <f t="shared" si="4"/>
        <v>0.36933270619031061</v>
      </c>
      <c r="I19" s="103">
        <f t="shared" si="5"/>
        <v>43.369332706190313</v>
      </c>
      <c r="J19" s="103">
        <f t="shared" si="11"/>
        <v>1084.2333176547579</v>
      </c>
      <c r="K19" s="104">
        <v>52</v>
      </c>
      <c r="L19" s="101">
        <f t="shared" si="7"/>
        <v>1300</v>
      </c>
      <c r="M19" s="101">
        <f t="shared" ca="1" si="8"/>
        <v>728</v>
      </c>
      <c r="N19" s="105">
        <f t="shared" ca="1" si="9"/>
        <v>11</v>
      </c>
      <c r="O19" s="95">
        <v>0</v>
      </c>
      <c r="P19" s="95"/>
      <c r="Q19" s="173">
        <v>11</v>
      </c>
      <c r="R19" s="41">
        <v>1</v>
      </c>
      <c r="S19" s="41">
        <v>0</v>
      </c>
      <c r="T19" s="41">
        <v>0</v>
      </c>
      <c r="U19" s="41">
        <v>0</v>
      </c>
      <c r="V19" s="41">
        <v>0</v>
      </c>
      <c r="W19" s="41">
        <v>0</v>
      </c>
      <c r="X19" s="41">
        <v>0</v>
      </c>
      <c r="Y19" s="41">
        <v>0</v>
      </c>
      <c r="Z19" s="41">
        <v>1</v>
      </c>
      <c r="AA19" s="41">
        <v>0</v>
      </c>
      <c r="AB19" s="41">
        <v>0</v>
      </c>
      <c r="AC19" s="41">
        <v>0</v>
      </c>
      <c r="AD19" s="41">
        <v>0</v>
      </c>
      <c r="AE19" s="41">
        <v>1</v>
      </c>
      <c r="AF19" s="41">
        <f ca="1">SUMIFS('Tổng Đơn'!$F:$F,'Tổng Đơn'!$B:$B,$C19)</f>
        <v>0</v>
      </c>
      <c r="AG19" s="174">
        <v>0</v>
      </c>
      <c r="AH19" s="174">
        <v>0</v>
      </c>
      <c r="AI19" s="174">
        <v>0</v>
      </c>
      <c r="AJ19" s="174">
        <v>0</v>
      </c>
      <c r="AK19" s="174">
        <v>0</v>
      </c>
      <c r="AL19" s="174">
        <v>0</v>
      </c>
      <c r="AM19" s="174">
        <v>0</v>
      </c>
      <c r="AN19" s="174">
        <v>0</v>
      </c>
      <c r="AO19" s="174">
        <v>0</v>
      </c>
      <c r="AP19" s="174">
        <v>0</v>
      </c>
      <c r="AQ19" s="174">
        <v>0</v>
      </c>
      <c r="AR19" s="174">
        <v>0</v>
      </c>
      <c r="AS19" s="174">
        <v>0</v>
      </c>
      <c r="AT19" s="174">
        <v>0</v>
      </c>
      <c r="AU19" s="174">
        <v>0</v>
      </c>
      <c r="AV19" s="174">
        <v>0</v>
      </c>
      <c r="AX19" s="96">
        <f t="shared" si="10"/>
        <v>0</v>
      </c>
    </row>
    <row r="20" spans="1:50" ht="18.75" x14ac:dyDescent="0.25">
      <c r="A20" s="96">
        <f t="shared" ca="1" si="2"/>
        <v>108.92762633182683</v>
      </c>
      <c r="B20" s="6">
        <v>16</v>
      </c>
      <c r="C20" s="98" t="s">
        <v>45</v>
      </c>
      <c r="D20" s="99">
        <v>0.5</v>
      </c>
      <c r="E20" s="24">
        <v>10</v>
      </c>
      <c r="F20" s="100">
        <v>54</v>
      </c>
      <c r="G20" s="101">
        <f>F20*E20</f>
        <v>540</v>
      </c>
      <c r="H20" s="102">
        <f t="shared" si="4"/>
        <v>0.46381316591341337</v>
      </c>
      <c r="I20" s="103">
        <f>F20+H20</f>
        <v>54.463813165913415</v>
      </c>
      <c r="J20" s="103">
        <f>I20*E20</f>
        <v>544.63813165913416</v>
      </c>
      <c r="K20" s="104">
        <v>65</v>
      </c>
      <c r="L20" s="101">
        <f t="shared" si="7"/>
        <v>650</v>
      </c>
      <c r="M20" s="101">
        <f t="shared" ca="1" si="8"/>
        <v>585</v>
      </c>
      <c r="N20" s="105">
        <f t="shared" ca="1" si="9"/>
        <v>2</v>
      </c>
      <c r="O20" s="171">
        <v>-1</v>
      </c>
      <c r="P20" s="95"/>
      <c r="Q20" s="173">
        <v>7</v>
      </c>
      <c r="R20" s="41">
        <v>0</v>
      </c>
      <c r="S20" s="41">
        <v>0</v>
      </c>
      <c r="T20" s="41">
        <v>1</v>
      </c>
      <c r="U20" s="41">
        <v>0</v>
      </c>
      <c r="V20" s="41">
        <v>0</v>
      </c>
      <c r="W20" s="41">
        <v>1</v>
      </c>
      <c r="X20" s="41">
        <v>0</v>
      </c>
      <c r="Y20" s="41">
        <v>0</v>
      </c>
      <c r="Z20" s="41">
        <v>0</v>
      </c>
      <c r="AA20" s="41">
        <v>0</v>
      </c>
      <c r="AB20" s="41">
        <v>0</v>
      </c>
      <c r="AC20" s="41">
        <v>0</v>
      </c>
      <c r="AD20" s="41">
        <v>0</v>
      </c>
      <c r="AE20" s="41">
        <v>0</v>
      </c>
      <c r="AF20" s="41">
        <f ca="1">SUMIFS('Tổng Đơn'!$F:$F,'Tổng Đơn'!$B:$B,$C20)</f>
        <v>0</v>
      </c>
      <c r="AG20" s="174">
        <v>0</v>
      </c>
      <c r="AH20" s="174">
        <v>0</v>
      </c>
      <c r="AI20" s="174">
        <v>0</v>
      </c>
      <c r="AJ20" s="174">
        <v>0</v>
      </c>
      <c r="AK20" s="174">
        <v>0</v>
      </c>
      <c r="AL20" s="174">
        <v>0</v>
      </c>
      <c r="AM20" s="174">
        <v>0</v>
      </c>
      <c r="AN20" s="174">
        <v>0</v>
      </c>
      <c r="AO20" s="174">
        <v>0</v>
      </c>
      <c r="AP20" s="174">
        <v>0</v>
      </c>
      <c r="AQ20" s="174">
        <v>0</v>
      </c>
      <c r="AR20" s="174">
        <v>0</v>
      </c>
      <c r="AS20" s="174">
        <v>0</v>
      </c>
      <c r="AT20" s="174">
        <v>0</v>
      </c>
      <c r="AU20" s="174">
        <v>0</v>
      </c>
      <c r="AV20" s="174">
        <v>0</v>
      </c>
      <c r="AX20" s="96">
        <f t="shared" si="10"/>
        <v>0</v>
      </c>
    </row>
    <row r="21" spans="1:50" ht="18.75" x14ac:dyDescent="0.25">
      <c r="A21" s="96">
        <f t="shared" ca="1" si="2"/>
        <v>593.0504100288349</v>
      </c>
      <c r="B21" s="6">
        <v>17</v>
      </c>
      <c r="C21" s="98" t="s">
        <v>46</v>
      </c>
      <c r="D21" s="99">
        <v>0.5</v>
      </c>
      <c r="E21" s="24">
        <v>30</v>
      </c>
      <c r="F21" s="100">
        <v>49</v>
      </c>
      <c r="G21" s="101">
        <f>F21*E21</f>
        <v>1470</v>
      </c>
      <c r="H21" s="102">
        <f t="shared" si="4"/>
        <v>0.42086750240291215</v>
      </c>
      <c r="I21" s="103">
        <f>F21+H21</f>
        <v>49.420867502402913</v>
      </c>
      <c r="J21" s="103">
        <f>I21*E21</f>
        <v>1482.6260250720875</v>
      </c>
      <c r="K21" s="104">
        <v>59</v>
      </c>
      <c r="L21" s="101">
        <f t="shared" si="7"/>
        <v>1770</v>
      </c>
      <c r="M21" s="101">
        <f t="shared" ca="1" si="8"/>
        <v>1062</v>
      </c>
      <c r="N21" s="105">
        <f t="shared" ca="1" si="9"/>
        <v>12</v>
      </c>
      <c r="O21" s="95">
        <v>0</v>
      </c>
      <c r="P21" s="95"/>
      <c r="Q21" s="173">
        <v>15</v>
      </c>
      <c r="R21" s="41">
        <v>0</v>
      </c>
      <c r="S21" s="41">
        <v>0</v>
      </c>
      <c r="T21" s="41">
        <v>1</v>
      </c>
      <c r="U21" s="41">
        <v>0</v>
      </c>
      <c r="V21" s="41">
        <v>0</v>
      </c>
      <c r="W21" s="41">
        <v>0</v>
      </c>
      <c r="X21" s="41">
        <v>1</v>
      </c>
      <c r="Y21" s="41">
        <v>0</v>
      </c>
      <c r="Z21" s="41">
        <v>1</v>
      </c>
      <c r="AA21" s="41">
        <v>0</v>
      </c>
      <c r="AB21" s="41">
        <v>0</v>
      </c>
      <c r="AC21" s="41">
        <v>0</v>
      </c>
      <c r="AD21" s="41">
        <v>0</v>
      </c>
      <c r="AE21" s="41">
        <v>0</v>
      </c>
      <c r="AF21" s="41">
        <f ca="1">SUMIFS('Tổng Đơn'!$F:$F,'Tổng Đơn'!$B:$B,$C21)</f>
        <v>0</v>
      </c>
      <c r="AG21" s="174">
        <v>0</v>
      </c>
      <c r="AH21" s="174">
        <v>0</v>
      </c>
      <c r="AI21" s="174">
        <v>0</v>
      </c>
      <c r="AJ21" s="174">
        <v>0</v>
      </c>
      <c r="AK21" s="174">
        <v>0</v>
      </c>
      <c r="AL21" s="174">
        <v>0</v>
      </c>
      <c r="AM21" s="174">
        <v>0</v>
      </c>
      <c r="AN21" s="174">
        <v>0</v>
      </c>
      <c r="AO21" s="174">
        <v>0</v>
      </c>
      <c r="AP21" s="174">
        <v>0</v>
      </c>
      <c r="AQ21" s="174">
        <v>0</v>
      </c>
      <c r="AR21" s="174">
        <v>0</v>
      </c>
      <c r="AS21" s="174">
        <v>0</v>
      </c>
      <c r="AT21" s="174">
        <v>0</v>
      </c>
      <c r="AU21" s="174">
        <v>0</v>
      </c>
      <c r="AV21" s="174">
        <v>0</v>
      </c>
      <c r="AX21" s="96">
        <f t="shared" si="10"/>
        <v>0</v>
      </c>
    </row>
    <row r="22" spans="1:50" ht="18.75" x14ac:dyDescent="0.25">
      <c r="A22" s="96">
        <f t="shared" ca="1" si="2"/>
        <v>532.53506206670897</v>
      </c>
      <c r="B22" s="6">
        <v>18</v>
      </c>
      <c r="C22" s="98" t="s">
        <v>47</v>
      </c>
      <c r="D22" s="99">
        <v>0.5</v>
      </c>
      <c r="E22" s="24">
        <v>15</v>
      </c>
      <c r="F22" s="100">
        <v>66</v>
      </c>
      <c r="G22" s="101">
        <f>F22*E22</f>
        <v>990</v>
      </c>
      <c r="H22" s="102">
        <f t="shared" si="4"/>
        <v>0.56688275833861634</v>
      </c>
      <c r="I22" s="103">
        <f>F22+H22</f>
        <v>66.566882758338622</v>
      </c>
      <c r="J22" s="103">
        <f>I22*E22</f>
        <v>998.50324137507937</v>
      </c>
      <c r="K22" s="104">
        <v>79</v>
      </c>
      <c r="L22" s="101">
        <f t="shared" si="7"/>
        <v>1185</v>
      </c>
      <c r="M22" s="101">
        <f t="shared" ca="1" si="8"/>
        <v>553</v>
      </c>
      <c r="N22" s="105">
        <f t="shared" ca="1" si="9"/>
        <v>8</v>
      </c>
      <c r="O22" s="95">
        <v>0</v>
      </c>
      <c r="P22" s="95"/>
      <c r="Q22" s="173">
        <v>5</v>
      </c>
      <c r="R22" s="41">
        <v>0</v>
      </c>
      <c r="S22" s="41">
        <v>2</v>
      </c>
      <c r="T22" s="41">
        <v>0</v>
      </c>
      <c r="U22" s="41">
        <v>0</v>
      </c>
      <c r="V22" s="41">
        <v>0</v>
      </c>
      <c r="W22" s="41">
        <v>0</v>
      </c>
      <c r="X22" s="41">
        <v>0</v>
      </c>
      <c r="Y22" s="41">
        <v>0</v>
      </c>
      <c r="Z22" s="41">
        <v>0</v>
      </c>
      <c r="AA22" s="41">
        <v>0</v>
      </c>
      <c r="AB22" s="41">
        <v>0</v>
      </c>
      <c r="AC22" s="41">
        <v>0</v>
      </c>
      <c r="AD22" s="41">
        <v>0</v>
      </c>
      <c r="AE22" s="41">
        <v>0</v>
      </c>
      <c r="AF22" s="41">
        <f ca="1">SUMIFS('Tổng Đơn'!$F:$F,'Tổng Đơn'!$B:$B,$C22)</f>
        <v>0</v>
      </c>
      <c r="AG22" s="174">
        <v>0</v>
      </c>
      <c r="AH22" s="174">
        <v>0</v>
      </c>
      <c r="AI22" s="174">
        <v>0</v>
      </c>
      <c r="AJ22" s="174">
        <v>0</v>
      </c>
      <c r="AK22" s="174">
        <v>0</v>
      </c>
      <c r="AL22" s="174">
        <v>0</v>
      </c>
      <c r="AM22" s="174">
        <v>0</v>
      </c>
      <c r="AN22" s="174">
        <v>0</v>
      </c>
      <c r="AO22" s="174">
        <v>0</v>
      </c>
      <c r="AP22" s="174">
        <v>0</v>
      </c>
      <c r="AQ22" s="174">
        <v>0</v>
      </c>
      <c r="AR22" s="174">
        <v>0</v>
      </c>
      <c r="AS22" s="174">
        <v>0</v>
      </c>
      <c r="AT22" s="174">
        <v>0</v>
      </c>
      <c r="AU22" s="174">
        <v>0</v>
      </c>
      <c r="AV22" s="174">
        <v>0</v>
      </c>
      <c r="AX22" s="96">
        <f t="shared" si="10"/>
        <v>0</v>
      </c>
    </row>
    <row r="23" spans="1:50" ht="18.75" x14ac:dyDescent="0.25">
      <c r="A23" s="96">
        <f t="shared" ca="1" si="2"/>
        <v>2515.421296959038</v>
      </c>
      <c r="B23" s="6">
        <v>19</v>
      </c>
      <c r="C23" s="98" t="s">
        <v>166</v>
      </c>
      <c r="D23" s="99">
        <v>0.5</v>
      </c>
      <c r="E23" s="24">
        <v>100</v>
      </c>
      <c r="F23" s="100">
        <v>58</v>
      </c>
      <c r="G23" s="101">
        <f>F23*E23</f>
        <v>5800</v>
      </c>
      <c r="H23" s="102">
        <f t="shared" si="4"/>
        <v>0.49816969672181427</v>
      </c>
      <c r="I23" s="103">
        <f>F23+H23</f>
        <v>58.498169696721817</v>
      </c>
      <c r="J23" s="103">
        <f>I23*E23</f>
        <v>5849.8169696721816</v>
      </c>
      <c r="K23" s="104">
        <v>69</v>
      </c>
      <c r="L23" s="101">
        <f t="shared" si="7"/>
        <v>6900</v>
      </c>
      <c r="M23" s="101">
        <f t="shared" ca="1" si="8"/>
        <v>3864</v>
      </c>
      <c r="N23" s="105">
        <f t="shared" ca="1" si="9"/>
        <v>43</v>
      </c>
      <c r="O23" s="95">
        <v>0</v>
      </c>
      <c r="P23" s="95">
        <v>1</v>
      </c>
      <c r="Q23" s="173">
        <v>33</v>
      </c>
      <c r="R23" s="41">
        <v>8</v>
      </c>
      <c r="S23" s="41">
        <v>2</v>
      </c>
      <c r="T23" s="41">
        <v>2</v>
      </c>
      <c r="U23" s="41">
        <v>1</v>
      </c>
      <c r="V23" s="41">
        <v>2</v>
      </c>
      <c r="W23" s="41">
        <v>1</v>
      </c>
      <c r="X23" s="41">
        <v>0</v>
      </c>
      <c r="Y23" s="41">
        <v>2</v>
      </c>
      <c r="Z23" s="41">
        <v>1</v>
      </c>
      <c r="AA23" s="41">
        <v>0</v>
      </c>
      <c r="AB23" s="41">
        <v>0</v>
      </c>
      <c r="AC23" s="41">
        <v>0</v>
      </c>
      <c r="AD23" s="41">
        <v>0</v>
      </c>
      <c r="AE23" s="41">
        <v>0</v>
      </c>
      <c r="AF23" s="41">
        <f ca="1">SUMIFS('Tổng Đơn'!$F:$F,'Tổng Đơn'!$B:$B,$C23)</f>
        <v>4</v>
      </c>
      <c r="AG23" s="174">
        <v>0</v>
      </c>
      <c r="AH23" s="174">
        <v>0</v>
      </c>
      <c r="AI23" s="174">
        <v>0</v>
      </c>
      <c r="AJ23" s="174">
        <v>0</v>
      </c>
      <c r="AK23" s="174">
        <v>0</v>
      </c>
      <c r="AL23" s="174">
        <v>0</v>
      </c>
      <c r="AM23" s="174">
        <v>0</v>
      </c>
      <c r="AN23" s="174">
        <v>0</v>
      </c>
      <c r="AO23" s="174">
        <v>0</v>
      </c>
      <c r="AP23" s="174">
        <v>0</v>
      </c>
      <c r="AQ23" s="174">
        <v>0</v>
      </c>
      <c r="AR23" s="174">
        <v>0</v>
      </c>
      <c r="AS23" s="174">
        <v>0</v>
      </c>
      <c r="AT23" s="174">
        <v>0</v>
      </c>
      <c r="AU23" s="174">
        <v>0</v>
      </c>
      <c r="AV23" s="174">
        <v>0</v>
      </c>
      <c r="AX23" s="96">
        <f t="shared" si="10"/>
        <v>0</v>
      </c>
    </row>
    <row r="24" spans="1:50" ht="18.75" x14ac:dyDescent="0.25">
      <c r="A24" s="96">
        <f t="shared" ca="1" si="2"/>
        <v>0</v>
      </c>
      <c r="B24" s="6">
        <v>20</v>
      </c>
      <c r="C24" s="98" t="s">
        <v>168</v>
      </c>
      <c r="D24" s="99">
        <v>0.5</v>
      </c>
      <c r="E24" s="24">
        <v>10</v>
      </c>
      <c r="F24" s="100">
        <v>63</v>
      </c>
      <c r="G24" s="101">
        <f>F24*E24</f>
        <v>630</v>
      </c>
      <c r="H24" s="102">
        <f t="shared" si="4"/>
        <v>0.54111536023231566</v>
      </c>
      <c r="I24" s="103">
        <f>F24+H24</f>
        <v>63.541115360232318</v>
      </c>
      <c r="J24" s="103">
        <f>I24*E24</f>
        <v>635.41115360232322</v>
      </c>
      <c r="K24" s="104">
        <v>76</v>
      </c>
      <c r="L24" s="101">
        <f t="shared" si="7"/>
        <v>760</v>
      </c>
      <c r="M24" s="101">
        <f t="shared" ca="1" si="8"/>
        <v>760</v>
      </c>
      <c r="N24" s="105">
        <f t="shared" ca="1" si="9"/>
        <v>0</v>
      </c>
      <c r="O24" s="95">
        <v>0</v>
      </c>
      <c r="P24" s="95"/>
      <c r="Q24" s="173">
        <v>6</v>
      </c>
      <c r="R24" s="41">
        <v>0</v>
      </c>
      <c r="S24" s="41">
        <v>0</v>
      </c>
      <c r="T24" s="41">
        <v>0</v>
      </c>
      <c r="U24" s="41">
        <v>0</v>
      </c>
      <c r="V24" s="41">
        <v>0</v>
      </c>
      <c r="W24" s="41">
        <v>0</v>
      </c>
      <c r="X24" s="41">
        <v>0</v>
      </c>
      <c r="Y24" s="41">
        <v>0</v>
      </c>
      <c r="Z24" s="41">
        <v>0</v>
      </c>
      <c r="AA24" s="41">
        <v>1</v>
      </c>
      <c r="AB24" s="41">
        <v>1</v>
      </c>
      <c r="AC24" s="41">
        <v>0</v>
      </c>
      <c r="AD24" s="41">
        <v>1</v>
      </c>
      <c r="AE24" s="41">
        <v>0</v>
      </c>
      <c r="AF24" s="41">
        <f ca="1">SUMIFS('Tổng Đơn'!$F:$F,'Tổng Đơn'!$B:$B,$C24)</f>
        <v>1</v>
      </c>
      <c r="AG24" s="174">
        <v>0</v>
      </c>
      <c r="AH24" s="174">
        <v>0</v>
      </c>
      <c r="AI24" s="174">
        <v>0</v>
      </c>
      <c r="AJ24" s="174">
        <v>0</v>
      </c>
      <c r="AK24" s="174">
        <v>0</v>
      </c>
      <c r="AL24" s="174">
        <v>0</v>
      </c>
      <c r="AM24" s="174">
        <v>0</v>
      </c>
      <c r="AN24" s="174">
        <v>0</v>
      </c>
      <c r="AO24" s="174">
        <v>0</v>
      </c>
      <c r="AP24" s="174">
        <v>0</v>
      </c>
      <c r="AQ24" s="174">
        <v>0</v>
      </c>
      <c r="AR24" s="174">
        <v>0</v>
      </c>
      <c r="AS24" s="174">
        <v>0</v>
      </c>
      <c r="AT24" s="174">
        <v>0</v>
      </c>
      <c r="AU24" s="174">
        <v>0</v>
      </c>
      <c r="AV24" s="174">
        <v>0</v>
      </c>
      <c r="AW24" s="96">
        <v>17</v>
      </c>
      <c r="AX24" s="96">
        <f t="shared" si="10"/>
        <v>1071</v>
      </c>
    </row>
    <row r="31" spans="1:50" x14ac:dyDescent="0.25">
      <c r="O31" s="136"/>
      <c r="P31" s="136"/>
      <c r="Q31" s="136"/>
    </row>
  </sheetData>
  <autoFilter ref="B4:L24"/>
  <mergeCells count="1">
    <mergeCell ref="B1:L1"/>
  </mergeCells>
  <conditionalFormatting sqref="C5:C24">
    <cfRule type="expression" dxfId="653" priority="18">
      <formula>($N5/$E5)&lt;=1/4</formula>
    </cfRule>
  </conditionalFormatting>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theme="9" tint="0.39997558519241921"/>
  </sheetPr>
  <dimension ref="A1:AX23"/>
  <sheetViews>
    <sheetView topLeftCell="A2" zoomScale="90" zoomScaleNormal="90" workbookViewId="0">
      <pane xSplit="17" ySplit="3" topLeftCell="AD5" activePane="bottomRight" state="frozen"/>
      <selection activeCell="A2" sqref="A2"/>
      <selection pane="topRight" activeCell="R2" sqref="R2"/>
      <selection pane="bottomLeft" activeCell="A5" sqref="A5"/>
      <selection pane="bottomRight" activeCell="O22" sqref="O22"/>
    </sheetView>
  </sheetViews>
  <sheetFormatPr defaultRowHeight="15" x14ac:dyDescent="0.25"/>
  <cols>
    <col min="1" max="1" width="16.28515625" style="96" customWidth="1"/>
    <col min="2" max="2" width="9.140625" style="96"/>
    <col min="3" max="3" width="38.7109375" style="96" customWidth="1"/>
    <col min="4" max="4" width="9" style="96" customWidth="1"/>
    <col min="5" max="5" width="7.140625" style="96" customWidth="1"/>
    <col min="6" max="6" width="9.85546875" style="96" customWidth="1"/>
    <col min="7" max="7" width="12.85546875" style="96" customWidth="1"/>
    <col min="8" max="8" width="12.85546875" style="96" hidden="1" customWidth="1"/>
    <col min="9" max="9" width="14.85546875" style="96" hidden="1" customWidth="1"/>
    <col min="10" max="10" width="12.7109375" style="96" customWidth="1"/>
    <col min="11" max="11" width="14.85546875" style="96" hidden="1" customWidth="1"/>
    <col min="12" max="12" width="12" style="96" customWidth="1"/>
    <col min="13" max="14" width="16.28515625" style="96" hidden="1" customWidth="1"/>
    <col min="15" max="15" width="9.140625" style="96"/>
    <col min="16" max="16" width="13.140625" style="96" customWidth="1"/>
    <col min="17" max="17" width="9.140625" style="96" customWidth="1"/>
    <col min="18" max="35" width="4.5703125" style="96" customWidth="1"/>
    <col min="36" max="36" width="4.7109375" style="96" bestFit="1" customWidth="1"/>
    <col min="37" max="48" width="4.5703125" style="96" customWidth="1"/>
    <col min="49" max="49" width="9.140625" style="96"/>
    <col min="50" max="50" width="12" style="96" bestFit="1" customWidth="1"/>
    <col min="51" max="16384" width="9.140625" style="96"/>
  </cols>
  <sheetData>
    <row r="1" spans="1:50" hidden="1" x14ac:dyDescent="0.25">
      <c r="B1" s="193" t="s">
        <v>59</v>
      </c>
      <c r="C1" s="193"/>
      <c r="D1" s="193"/>
      <c r="E1" s="193"/>
      <c r="F1" s="193"/>
      <c r="G1" s="193"/>
      <c r="H1" s="193"/>
      <c r="I1" s="193"/>
      <c r="J1" s="193"/>
      <c r="K1" s="193"/>
      <c r="L1" s="193"/>
      <c r="M1" s="193"/>
      <c r="N1" s="97"/>
    </row>
    <row r="2" spans="1:50" ht="34.5" customHeight="1" x14ac:dyDescent="0.25">
      <c r="A2" s="1">
        <f>370+100+80+150+170</f>
        <v>870</v>
      </c>
      <c r="K2" s="13">
        <f>SUMPRODUCT((E5:E18)*(F5:F18))</f>
        <v>412</v>
      </c>
      <c r="L2" s="13">
        <f>M4-K4</f>
        <v>7332.710526315801</v>
      </c>
      <c r="M2" s="8">
        <f>M4/K4-1</f>
        <v>0.18929333017213823</v>
      </c>
      <c r="N2" s="8"/>
      <c r="AX2" s="183"/>
    </row>
    <row r="3" spans="1:50" ht="31.5" customHeight="1" x14ac:dyDescent="0.25">
      <c r="A3" s="83" t="s">
        <v>127</v>
      </c>
      <c r="B3" s="3" t="s">
        <v>0</v>
      </c>
      <c r="C3" s="3" t="s">
        <v>17</v>
      </c>
      <c r="D3" s="20" t="s">
        <v>62</v>
      </c>
      <c r="E3" s="5" t="s">
        <v>160</v>
      </c>
      <c r="F3" s="155" t="s">
        <v>159</v>
      </c>
      <c r="G3" s="4" t="s">
        <v>18</v>
      </c>
      <c r="H3" s="4" t="s">
        <v>19</v>
      </c>
      <c r="I3" s="9" t="s">
        <v>20</v>
      </c>
      <c r="J3" s="9" t="s">
        <v>21</v>
      </c>
      <c r="K3" s="9" t="s">
        <v>24</v>
      </c>
      <c r="L3" s="10" t="s">
        <v>22</v>
      </c>
      <c r="M3" s="11" t="s">
        <v>23</v>
      </c>
      <c r="N3" s="11" t="s">
        <v>122</v>
      </c>
      <c r="O3" s="35" t="s">
        <v>60</v>
      </c>
      <c r="P3" s="94" t="s">
        <v>149</v>
      </c>
      <c r="Q3" s="94" t="s">
        <v>195</v>
      </c>
      <c r="R3" s="36" t="s">
        <v>194</v>
      </c>
      <c r="S3" s="38" t="s">
        <v>196</v>
      </c>
      <c r="T3" s="36" t="s">
        <v>197</v>
      </c>
      <c r="U3" s="38" t="s">
        <v>198</v>
      </c>
      <c r="V3" s="36" t="s">
        <v>199</v>
      </c>
      <c r="W3" s="38" t="s">
        <v>200</v>
      </c>
      <c r="X3" s="36" t="s">
        <v>201</v>
      </c>
      <c r="Y3" s="38" t="s">
        <v>202</v>
      </c>
      <c r="Z3" s="36" t="s">
        <v>203</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9" customFormat="1" ht="27" customHeight="1" x14ac:dyDescent="0.25">
      <c r="A4" s="78">
        <f ca="1">SUBTOTAL(9,A5:A218)</f>
        <v>21670.470338801322</v>
      </c>
      <c r="B4" s="19"/>
      <c r="C4" s="19"/>
      <c r="D4" s="70"/>
      <c r="E4" s="19">
        <f>SUMPRODUCT((E5:E178)*(F5:F178))</f>
        <v>522.5</v>
      </c>
      <c r="F4" s="19">
        <f>SUBTOTAL(9,F5:F168)</f>
        <v>1063</v>
      </c>
      <c r="G4" s="7"/>
      <c r="H4" s="7">
        <f>SUBTOTAL(9,H5:H168)</f>
        <v>37867.289473684214</v>
      </c>
      <c r="I4" s="12"/>
      <c r="J4" s="12"/>
      <c r="K4" s="12">
        <f>SUBTOTAL(9,K5:K168)</f>
        <v>38737.289473684199</v>
      </c>
      <c r="L4" s="71"/>
      <c r="M4" s="7">
        <f>SUBTOTAL(9,M5:M168)</f>
        <v>46070</v>
      </c>
      <c r="N4" s="7">
        <f ca="1">SUBTOTAL(9,N5:N168)</f>
        <v>20348</v>
      </c>
      <c r="O4" s="72">
        <f ca="1">SUBTOTAL(9,O5:O168)</f>
        <v>569</v>
      </c>
      <c r="P4" s="113">
        <f>SUBTOTAL(9,P5:P218)</f>
        <v>3</v>
      </c>
      <c r="Q4" s="113">
        <f>SUBTOTAL(9,Q5:Q218)</f>
        <v>308</v>
      </c>
      <c r="R4" s="40">
        <f t="shared" ref="R4:AV4" si="0">SUBTOTAL(9,R5:R168)</f>
        <v>17</v>
      </c>
      <c r="S4" s="40">
        <f t="shared" si="0"/>
        <v>16</v>
      </c>
      <c r="T4" s="40">
        <f t="shared" si="0"/>
        <v>9</v>
      </c>
      <c r="U4" s="40">
        <f t="shared" si="0"/>
        <v>14</v>
      </c>
      <c r="V4" s="40">
        <f t="shared" si="0"/>
        <v>9</v>
      </c>
      <c r="W4" s="40">
        <f t="shared" si="0"/>
        <v>13</v>
      </c>
      <c r="X4" s="40">
        <f t="shared" si="0"/>
        <v>12</v>
      </c>
      <c r="Y4" s="40">
        <f t="shared" si="0"/>
        <v>4</v>
      </c>
      <c r="Z4" s="40">
        <f t="shared" si="0"/>
        <v>13</v>
      </c>
      <c r="AA4" s="40">
        <f t="shared" si="0"/>
        <v>6</v>
      </c>
      <c r="AB4" s="40">
        <f t="shared" si="0"/>
        <v>27</v>
      </c>
      <c r="AC4" s="40">
        <f t="shared" si="0"/>
        <v>24</v>
      </c>
      <c r="AD4" s="40">
        <f t="shared" si="0"/>
        <v>6</v>
      </c>
      <c r="AE4" s="40">
        <f t="shared" si="0"/>
        <v>7</v>
      </c>
      <c r="AF4" s="40">
        <f t="shared" ca="1" si="0"/>
        <v>6</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117">
        <f>SUBTOTAL(9,AX5:AX178)</f>
        <v>9686</v>
      </c>
    </row>
    <row r="5" spans="1:50" ht="18.75" x14ac:dyDescent="0.25">
      <c r="A5" s="96">
        <f t="shared" ref="A5:A23" ca="1" si="1">J5*O5</f>
        <v>2287.8835298761533</v>
      </c>
      <c r="B5" s="6">
        <v>1</v>
      </c>
      <c r="C5" s="98" t="s">
        <v>164</v>
      </c>
      <c r="D5" s="106">
        <f>G5*2</f>
        <v>63</v>
      </c>
      <c r="E5" s="99">
        <v>0.5</v>
      </c>
      <c r="F5" s="159">
        <v>160</v>
      </c>
      <c r="G5" s="100">
        <v>31.5</v>
      </c>
      <c r="H5" s="101">
        <f t="shared" ref="H5:H19" si="2">G5*F5</f>
        <v>5040</v>
      </c>
      <c r="I5" s="102">
        <f t="shared" ref="I5:I19" si="3">((H5/$H$4)*$A$2)/F5</f>
        <v>0.723711688396526</v>
      </c>
      <c r="J5" s="103">
        <f t="shared" ref="J5:J17" si="4">G5+I5</f>
        <v>32.223711688396527</v>
      </c>
      <c r="K5" s="103">
        <f>J5*F5</f>
        <v>5155.7938701434441</v>
      </c>
      <c r="L5" s="107">
        <v>45</v>
      </c>
      <c r="M5" s="101">
        <f t="shared" ref="M5:M18" si="5">L5*F5</f>
        <v>7200</v>
      </c>
      <c r="N5" s="101">
        <f ca="1">SUMPRODUCT(($Q5:$AV5)*$L5)</f>
        <v>3960</v>
      </c>
      <c r="O5" s="108">
        <f ca="1">F5-SUM(Q5:AV5)-P5</f>
        <v>71</v>
      </c>
      <c r="P5" s="95">
        <v>1</v>
      </c>
      <c r="Q5" s="173">
        <v>51</v>
      </c>
      <c r="R5" s="37">
        <v>2</v>
      </c>
      <c r="S5" s="37">
        <v>2</v>
      </c>
      <c r="T5" s="37">
        <v>3</v>
      </c>
      <c r="U5" s="37">
        <v>1</v>
      </c>
      <c r="V5" s="37">
        <v>0</v>
      </c>
      <c r="W5" s="37">
        <v>3</v>
      </c>
      <c r="X5" s="37">
        <v>0</v>
      </c>
      <c r="Y5" s="37">
        <v>0</v>
      </c>
      <c r="Z5" s="37">
        <v>3</v>
      </c>
      <c r="AA5" s="37">
        <v>1</v>
      </c>
      <c r="AB5" s="37">
        <v>13</v>
      </c>
      <c r="AC5" s="37">
        <v>4</v>
      </c>
      <c r="AD5" s="37">
        <v>3</v>
      </c>
      <c r="AE5" s="37">
        <v>2</v>
      </c>
      <c r="AF5" s="37">
        <f ca="1">SUMIFS('Tổng Đơn'!$F:$F,'Tổng Đơn'!$B:$B,$C5)</f>
        <v>0</v>
      </c>
      <c r="AG5" s="37">
        <v>0</v>
      </c>
      <c r="AH5" s="37">
        <v>0</v>
      </c>
      <c r="AI5" s="41">
        <v>0</v>
      </c>
      <c r="AJ5" s="41">
        <v>0</v>
      </c>
      <c r="AK5" s="41">
        <v>0</v>
      </c>
      <c r="AL5" s="41">
        <v>0</v>
      </c>
      <c r="AM5" s="41">
        <v>0</v>
      </c>
      <c r="AN5" s="41">
        <v>0</v>
      </c>
      <c r="AO5" s="41">
        <v>0</v>
      </c>
      <c r="AP5" s="41">
        <v>0</v>
      </c>
      <c r="AQ5" s="41">
        <v>0</v>
      </c>
      <c r="AR5" s="41">
        <v>0</v>
      </c>
      <c r="AS5" s="41">
        <v>0</v>
      </c>
      <c r="AT5" s="41">
        <v>0</v>
      </c>
      <c r="AU5" s="41">
        <v>0</v>
      </c>
      <c r="AV5" s="41">
        <v>0</v>
      </c>
      <c r="AX5" s="96">
        <f t="shared" ref="AX5:AX21" si="6">AW5*G5</f>
        <v>0</v>
      </c>
    </row>
    <row r="6" spans="1:50" ht="18.75" x14ac:dyDescent="0.25">
      <c r="A6" s="96">
        <f t="shared" ca="1" si="1"/>
        <v>315.07629206432159</v>
      </c>
      <c r="B6" s="6">
        <v>2</v>
      </c>
      <c r="C6" s="98" t="s">
        <v>25</v>
      </c>
      <c r="D6" s="106">
        <f t="shared" ref="D6:D17" si="7">G6*2</f>
        <v>44</v>
      </c>
      <c r="E6" s="99">
        <v>0.5</v>
      </c>
      <c r="F6" s="159">
        <v>40</v>
      </c>
      <c r="G6" s="100">
        <v>22</v>
      </c>
      <c r="H6" s="101">
        <f t="shared" si="2"/>
        <v>880</v>
      </c>
      <c r="I6" s="102">
        <f t="shared" si="3"/>
        <v>0.5054494331658278</v>
      </c>
      <c r="J6" s="103">
        <f t="shared" si="4"/>
        <v>22.505449433165829</v>
      </c>
      <c r="K6" s="103">
        <f t="shared" ref="K6:K17" si="8">J6*F6</f>
        <v>900.21797732663322</v>
      </c>
      <c r="L6" s="107">
        <v>27</v>
      </c>
      <c r="M6" s="101">
        <f t="shared" si="5"/>
        <v>1080</v>
      </c>
      <c r="N6" s="101">
        <f t="shared" ref="N6:N22" ca="1" si="9">SUMPRODUCT(($Q6:$AV6)*$L6)</f>
        <v>702</v>
      </c>
      <c r="O6" s="108">
        <f t="shared" ref="O6:O23" ca="1" si="10">F6-SUM(Q6:AV6)-P6</f>
        <v>14</v>
      </c>
      <c r="P6" s="95"/>
      <c r="Q6" s="173">
        <v>24</v>
      </c>
      <c r="R6" s="37">
        <v>0</v>
      </c>
      <c r="S6" s="37">
        <v>0</v>
      </c>
      <c r="T6" s="37">
        <v>0</v>
      </c>
      <c r="U6" s="37">
        <v>0</v>
      </c>
      <c r="V6" s="37">
        <v>0</v>
      </c>
      <c r="W6" s="37">
        <v>0</v>
      </c>
      <c r="X6" s="37">
        <v>0</v>
      </c>
      <c r="Y6" s="37">
        <v>0</v>
      </c>
      <c r="Z6" s="37">
        <v>0</v>
      </c>
      <c r="AA6" s="37">
        <v>0</v>
      </c>
      <c r="AB6" s="37">
        <v>0</v>
      </c>
      <c r="AC6" s="37">
        <v>0</v>
      </c>
      <c r="AD6" s="37">
        <v>1</v>
      </c>
      <c r="AE6" s="37">
        <v>0</v>
      </c>
      <c r="AF6" s="37">
        <f ca="1">SUMIFS('Tổng Đơn'!$F:$F,'Tổng Đơn'!$B:$B,$C6)</f>
        <v>1</v>
      </c>
      <c r="AG6" s="37">
        <v>0</v>
      </c>
      <c r="AH6" s="37">
        <v>0</v>
      </c>
      <c r="AI6" s="41">
        <v>0</v>
      </c>
      <c r="AJ6" s="41">
        <v>0</v>
      </c>
      <c r="AK6" s="41">
        <v>0</v>
      </c>
      <c r="AL6" s="41">
        <v>0</v>
      </c>
      <c r="AM6" s="41">
        <v>0</v>
      </c>
      <c r="AN6" s="41">
        <v>0</v>
      </c>
      <c r="AO6" s="41">
        <v>0</v>
      </c>
      <c r="AP6" s="41">
        <v>0</v>
      </c>
      <c r="AQ6" s="41">
        <v>0</v>
      </c>
      <c r="AR6" s="41">
        <v>0</v>
      </c>
      <c r="AS6" s="41">
        <v>0</v>
      </c>
      <c r="AT6" s="41">
        <v>0</v>
      </c>
      <c r="AU6" s="41">
        <v>0</v>
      </c>
      <c r="AV6" s="41">
        <v>0</v>
      </c>
      <c r="AX6" s="96">
        <f t="shared" si="6"/>
        <v>0</v>
      </c>
    </row>
    <row r="7" spans="1:50" ht="18.75" x14ac:dyDescent="0.25">
      <c r="A7" s="96">
        <f t="shared" ca="1" si="1"/>
        <v>491.02798763270903</v>
      </c>
      <c r="B7" s="6">
        <v>3</v>
      </c>
      <c r="C7" s="98" t="s">
        <v>30</v>
      </c>
      <c r="D7" s="106">
        <f t="shared" si="7"/>
        <v>64</v>
      </c>
      <c r="E7" s="99">
        <v>0.5</v>
      </c>
      <c r="F7" s="159">
        <v>80</v>
      </c>
      <c r="G7" s="100">
        <v>32</v>
      </c>
      <c r="H7" s="101">
        <f t="shared" si="2"/>
        <v>2560</v>
      </c>
      <c r="I7" s="102">
        <f t="shared" si="3"/>
        <v>0.73519917551393121</v>
      </c>
      <c r="J7" s="103">
        <f t="shared" si="4"/>
        <v>32.735199175513934</v>
      </c>
      <c r="K7" s="103">
        <f t="shared" si="8"/>
        <v>2618.8159340411148</v>
      </c>
      <c r="L7" s="107">
        <v>38</v>
      </c>
      <c r="M7" s="101">
        <f t="shared" si="5"/>
        <v>3040</v>
      </c>
      <c r="N7" s="101">
        <f t="shared" ca="1" si="9"/>
        <v>2432</v>
      </c>
      <c r="O7" s="108">
        <f t="shared" ca="1" si="10"/>
        <v>15</v>
      </c>
      <c r="P7" s="95">
        <v>1</v>
      </c>
      <c r="Q7" s="173">
        <v>47</v>
      </c>
      <c r="R7" s="37">
        <v>1</v>
      </c>
      <c r="S7" s="37">
        <v>3</v>
      </c>
      <c r="T7" s="37">
        <v>2</v>
      </c>
      <c r="U7" s="37">
        <v>1</v>
      </c>
      <c r="V7" s="37">
        <v>1</v>
      </c>
      <c r="W7" s="37">
        <v>0</v>
      </c>
      <c r="X7" s="37">
        <v>0</v>
      </c>
      <c r="Y7" s="37">
        <v>0</v>
      </c>
      <c r="Z7" s="37">
        <v>1</v>
      </c>
      <c r="AA7" s="37">
        <v>1</v>
      </c>
      <c r="AB7" s="37">
        <v>4</v>
      </c>
      <c r="AC7" s="37">
        <v>3</v>
      </c>
      <c r="AD7" s="37">
        <v>0</v>
      </c>
      <c r="AE7" s="37">
        <v>0</v>
      </c>
      <c r="AF7" s="37">
        <f ca="1">SUMIFS('Tổng Đơn'!$F:$F,'Tổng Đơn'!$B:$B,$C7)</f>
        <v>0</v>
      </c>
      <c r="AG7" s="37">
        <v>0</v>
      </c>
      <c r="AH7" s="37">
        <v>0</v>
      </c>
      <c r="AI7" s="41">
        <v>0</v>
      </c>
      <c r="AJ7" s="41">
        <v>0</v>
      </c>
      <c r="AK7" s="41">
        <v>0</v>
      </c>
      <c r="AL7" s="41">
        <v>0</v>
      </c>
      <c r="AM7" s="41">
        <v>0</v>
      </c>
      <c r="AN7" s="41">
        <v>0</v>
      </c>
      <c r="AO7" s="41">
        <v>0</v>
      </c>
      <c r="AP7" s="41">
        <v>0</v>
      </c>
      <c r="AQ7" s="41">
        <v>0</v>
      </c>
      <c r="AR7" s="41">
        <v>0</v>
      </c>
      <c r="AS7" s="41">
        <v>0</v>
      </c>
      <c r="AT7" s="41">
        <v>0</v>
      </c>
      <c r="AU7" s="41">
        <v>0</v>
      </c>
      <c r="AV7" s="41">
        <v>0</v>
      </c>
      <c r="AW7" s="96">
        <v>40</v>
      </c>
      <c r="AX7" s="96">
        <f t="shared" si="6"/>
        <v>1280</v>
      </c>
    </row>
    <row r="8" spans="1:50" ht="18.75" x14ac:dyDescent="0.25">
      <c r="A8" s="96">
        <f t="shared" ca="1" si="1"/>
        <v>859.29897835724068</v>
      </c>
      <c r="B8" s="6">
        <v>4</v>
      </c>
      <c r="C8" s="98" t="s">
        <v>29</v>
      </c>
      <c r="D8" s="106">
        <f t="shared" si="7"/>
        <v>80</v>
      </c>
      <c r="E8" s="99">
        <v>0.5</v>
      </c>
      <c r="F8" s="159">
        <v>50</v>
      </c>
      <c r="G8" s="100">
        <v>40</v>
      </c>
      <c r="H8" s="101">
        <f t="shared" si="2"/>
        <v>2000</v>
      </c>
      <c r="I8" s="102">
        <f t="shared" si="3"/>
        <v>0.91899896939241399</v>
      </c>
      <c r="J8" s="103">
        <f t="shared" si="4"/>
        <v>40.918998969392412</v>
      </c>
      <c r="K8" s="103">
        <f t="shared" si="8"/>
        <v>2045.9499484696205</v>
      </c>
      <c r="L8" s="107">
        <v>45</v>
      </c>
      <c r="M8" s="101">
        <f t="shared" si="5"/>
        <v>2250</v>
      </c>
      <c r="N8" s="101">
        <f t="shared" ca="1" si="9"/>
        <v>1350</v>
      </c>
      <c r="O8" s="108">
        <f t="shared" ca="1" si="10"/>
        <v>21</v>
      </c>
      <c r="P8" s="95">
        <v>-1</v>
      </c>
      <c r="Q8" s="173">
        <v>20</v>
      </c>
      <c r="R8" s="37">
        <v>1</v>
      </c>
      <c r="S8" s="37">
        <v>2</v>
      </c>
      <c r="T8" s="37">
        <v>2</v>
      </c>
      <c r="U8" s="37">
        <v>0</v>
      </c>
      <c r="V8" s="37">
        <v>0</v>
      </c>
      <c r="W8" s="37">
        <v>0</v>
      </c>
      <c r="X8" s="37">
        <v>1</v>
      </c>
      <c r="Y8" s="37">
        <v>2</v>
      </c>
      <c r="Z8" s="37">
        <v>0</v>
      </c>
      <c r="AA8" s="37">
        <v>0</v>
      </c>
      <c r="AB8" s="37">
        <v>1</v>
      </c>
      <c r="AC8" s="37">
        <v>0</v>
      </c>
      <c r="AD8" s="37">
        <v>0</v>
      </c>
      <c r="AE8" s="37">
        <v>0</v>
      </c>
      <c r="AF8" s="37">
        <f ca="1">SUMIFS('Tổng Đơn'!$F:$F,'Tổng Đơn'!$B:$B,$C8)</f>
        <v>1</v>
      </c>
      <c r="AG8" s="37">
        <v>0</v>
      </c>
      <c r="AH8" s="37">
        <v>0</v>
      </c>
      <c r="AI8" s="41">
        <v>0</v>
      </c>
      <c r="AJ8" s="41">
        <v>0</v>
      </c>
      <c r="AK8" s="41">
        <v>0</v>
      </c>
      <c r="AL8" s="41">
        <v>0</v>
      </c>
      <c r="AM8" s="41">
        <v>0</v>
      </c>
      <c r="AN8" s="41">
        <v>0</v>
      </c>
      <c r="AO8" s="41">
        <v>0</v>
      </c>
      <c r="AP8" s="41">
        <v>0</v>
      </c>
      <c r="AQ8" s="41">
        <v>0</v>
      </c>
      <c r="AR8" s="41">
        <v>0</v>
      </c>
      <c r="AS8" s="41">
        <v>0</v>
      </c>
      <c r="AT8" s="41">
        <v>0</v>
      </c>
      <c r="AU8" s="41">
        <v>0</v>
      </c>
      <c r="AV8" s="41">
        <v>0</v>
      </c>
      <c r="AX8" s="96">
        <f t="shared" si="6"/>
        <v>0</v>
      </c>
    </row>
    <row r="9" spans="1:50" ht="18.75" x14ac:dyDescent="0.25">
      <c r="A9" s="96">
        <f t="shared" ca="1" si="1"/>
        <v>1120.1575967871174</v>
      </c>
      <c r="B9" s="6">
        <v>5</v>
      </c>
      <c r="C9" s="98" t="s">
        <v>28</v>
      </c>
      <c r="D9" s="106">
        <f t="shared" si="7"/>
        <v>73</v>
      </c>
      <c r="E9" s="99">
        <v>0.5</v>
      </c>
      <c r="F9" s="159">
        <v>96</v>
      </c>
      <c r="G9" s="100">
        <v>36.5</v>
      </c>
      <c r="H9" s="101">
        <f t="shared" si="2"/>
        <v>3504</v>
      </c>
      <c r="I9" s="102">
        <f t="shared" si="3"/>
        <v>0.83858655957057771</v>
      </c>
      <c r="J9" s="103">
        <f t="shared" si="4"/>
        <v>37.338586559570579</v>
      </c>
      <c r="K9" s="103">
        <f t="shared" si="8"/>
        <v>3584.5043097187754</v>
      </c>
      <c r="L9" s="107">
        <v>42</v>
      </c>
      <c r="M9" s="101">
        <f t="shared" si="5"/>
        <v>4032</v>
      </c>
      <c r="N9" s="101">
        <f t="shared" ca="1" si="9"/>
        <v>2730</v>
      </c>
      <c r="O9" s="108">
        <f t="shared" ca="1" si="10"/>
        <v>30</v>
      </c>
      <c r="P9" s="95">
        <v>1</v>
      </c>
      <c r="Q9" s="173">
        <v>42</v>
      </c>
      <c r="R9" s="37">
        <v>2</v>
      </c>
      <c r="S9" s="37">
        <v>3</v>
      </c>
      <c r="T9" s="37">
        <v>1</v>
      </c>
      <c r="U9" s="37">
        <v>3</v>
      </c>
      <c r="V9" s="37">
        <v>2</v>
      </c>
      <c r="W9" s="37">
        <v>1</v>
      </c>
      <c r="X9" s="37">
        <v>0</v>
      </c>
      <c r="Y9" s="37">
        <v>1</v>
      </c>
      <c r="Z9" s="37">
        <v>3</v>
      </c>
      <c r="AA9" s="37">
        <v>0</v>
      </c>
      <c r="AB9" s="37">
        <v>1</v>
      </c>
      <c r="AC9" s="37">
        <v>4</v>
      </c>
      <c r="AD9" s="37">
        <v>1</v>
      </c>
      <c r="AE9" s="37">
        <v>1</v>
      </c>
      <c r="AF9" s="37">
        <f ca="1">SUMIFS('Tổng Đơn'!$F:$F,'Tổng Đơn'!$B:$B,$C9)</f>
        <v>0</v>
      </c>
      <c r="AG9" s="37">
        <v>0</v>
      </c>
      <c r="AH9" s="37">
        <v>0</v>
      </c>
      <c r="AI9" s="41">
        <v>0</v>
      </c>
      <c r="AJ9" s="41">
        <v>0</v>
      </c>
      <c r="AK9" s="41">
        <v>0</v>
      </c>
      <c r="AL9" s="41">
        <v>0</v>
      </c>
      <c r="AM9" s="41">
        <v>0</v>
      </c>
      <c r="AN9" s="41">
        <v>0</v>
      </c>
      <c r="AO9" s="41">
        <v>0</v>
      </c>
      <c r="AP9" s="41">
        <v>0</v>
      </c>
      <c r="AQ9" s="41">
        <v>0</v>
      </c>
      <c r="AR9" s="41">
        <v>0</v>
      </c>
      <c r="AS9" s="41">
        <v>0</v>
      </c>
      <c r="AT9" s="41">
        <v>0</v>
      </c>
      <c r="AU9" s="41">
        <v>0</v>
      </c>
      <c r="AV9" s="41">
        <v>0</v>
      </c>
      <c r="AW9" s="96">
        <v>24</v>
      </c>
      <c r="AX9" s="96">
        <f t="shared" si="6"/>
        <v>876</v>
      </c>
    </row>
    <row r="10" spans="1:50" ht="18.75" x14ac:dyDescent="0.25">
      <c r="A10" s="96">
        <f t="shared" ca="1" si="1"/>
        <v>784.62180523809945</v>
      </c>
      <c r="B10" s="6">
        <v>6</v>
      </c>
      <c r="C10" s="98" t="s">
        <v>61</v>
      </c>
      <c r="D10" s="106">
        <f t="shared" si="7"/>
        <v>59</v>
      </c>
      <c r="E10" s="99">
        <v>0.5</v>
      </c>
      <c r="F10" s="159">
        <v>60</v>
      </c>
      <c r="G10" s="100">
        <v>29.5</v>
      </c>
      <c r="H10" s="101">
        <f t="shared" si="2"/>
        <v>1770</v>
      </c>
      <c r="I10" s="102">
        <f t="shared" si="3"/>
        <v>0.67776173992690536</v>
      </c>
      <c r="J10" s="103">
        <f t="shared" si="4"/>
        <v>30.177761739926904</v>
      </c>
      <c r="K10" s="103">
        <f t="shared" si="8"/>
        <v>1810.6657043956143</v>
      </c>
      <c r="L10" s="107">
        <v>35</v>
      </c>
      <c r="M10" s="101">
        <f t="shared" si="5"/>
        <v>2100</v>
      </c>
      <c r="N10" s="101">
        <f t="shared" ca="1" si="9"/>
        <v>1190</v>
      </c>
      <c r="O10" s="108">
        <f t="shared" ca="1" si="10"/>
        <v>26</v>
      </c>
      <c r="P10" s="95"/>
      <c r="Q10" s="173">
        <v>22</v>
      </c>
      <c r="R10" s="37">
        <v>2</v>
      </c>
      <c r="S10" s="37">
        <v>0</v>
      </c>
      <c r="T10" s="37">
        <v>0</v>
      </c>
      <c r="U10" s="37">
        <v>1</v>
      </c>
      <c r="V10" s="37">
        <v>0</v>
      </c>
      <c r="W10" s="37">
        <v>0</v>
      </c>
      <c r="X10" s="37">
        <v>1</v>
      </c>
      <c r="Y10" s="37">
        <v>0</v>
      </c>
      <c r="Z10" s="37">
        <v>1</v>
      </c>
      <c r="AA10" s="37">
        <v>0</v>
      </c>
      <c r="AB10" s="37">
        <v>3</v>
      </c>
      <c r="AC10" s="37">
        <v>1</v>
      </c>
      <c r="AD10" s="37">
        <v>0</v>
      </c>
      <c r="AE10" s="37">
        <v>2</v>
      </c>
      <c r="AF10" s="37">
        <f ca="1">SUMIFS('Tổng Đơn'!$F:$F,'Tổng Đơn'!$B:$B,$C10)</f>
        <v>1</v>
      </c>
      <c r="AG10" s="37">
        <v>0</v>
      </c>
      <c r="AH10" s="37">
        <v>0</v>
      </c>
      <c r="AI10" s="41">
        <v>0</v>
      </c>
      <c r="AJ10" s="41">
        <v>0</v>
      </c>
      <c r="AK10" s="41">
        <v>0</v>
      </c>
      <c r="AL10" s="41">
        <v>0</v>
      </c>
      <c r="AM10" s="41">
        <v>0</v>
      </c>
      <c r="AN10" s="41">
        <v>0</v>
      </c>
      <c r="AO10" s="41">
        <v>0</v>
      </c>
      <c r="AP10" s="41">
        <v>0</v>
      </c>
      <c r="AQ10" s="41">
        <v>0</v>
      </c>
      <c r="AR10" s="41">
        <v>0</v>
      </c>
      <c r="AS10" s="41">
        <v>0</v>
      </c>
      <c r="AT10" s="41">
        <v>0</v>
      </c>
      <c r="AU10" s="41">
        <v>0</v>
      </c>
      <c r="AV10" s="41">
        <v>0</v>
      </c>
      <c r="AW10" s="96">
        <v>20</v>
      </c>
      <c r="AX10" s="96">
        <f t="shared" si="6"/>
        <v>590</v>
      </c>
    </row>
    <row r="11" spans="1:50" ht="18.75" x14ac:dyDescent="0.25">
      <c r="A11" s="96">
        <f t="shared" ca="1" si="1"/>
        <v>402.3360573665509</v>
      </c>
      <c r="B11" s="6">
        <v>7</v>
      </c>
      <c r="C11" s="98" t="s">
        <v>27</v>
      </c>
      <c r="D11" s="106">
        <f t="shared" si="7"/>
        <v>65.55</v>
      </c>
      <c r="E11" s="99">
        <v>0.5</v>
      </c>
      <c r="F11" s="159">
        <v>40</v>
      </c>
      <c r="G11" s="100">
        <f>1311/40</f>
        <v>32.774999999999999</v>
      </c>
      <c r="H11" s="101">
        <f t="shared" si="2"/>
        <v>1311</v>
      </c>
      <c r="I11" s="102">
        <f t="shared" si="3"/>
        <v>0.75300478054590925</v>
      </c>
      <c r="J11" s="103">
        <f t="shared" si="4"/>
        <v>33.528004780545906</v>
      </c>
      <c r="K11" s="103">
        <f t="shared" si="8"/>
        <v>1341.1201912218362</v>
      </c>
      <c r="L11" s="107">
        <v>38</v>
      </c>
      <c r="M11" s="101">
        <f t="shared" si="5"/>
        <v>1520</v>
      </c>
      <c r="N11" s="101">
        <f t="shared" ca="1" si="9"/>
        <v>1064</v>
      </c>
      <c r="O11" s="108">
        <f t="shared" ca="1" si="10"/>
        <v>12</v>
      </c>
      <c r="P11" s="95"/>
      <c r="Q11" s="173">
        <v>19</v>
      </c>
      <c r="R11" s="37">
        <v>3</v>
      </c>
      <c r="S11" s="37">
        <v>0</v>
      </c>
      <c r="T11" s="37">
        <v>1</v>
      </c>
      <c r="U11" s="37">
        <v>0</v>
      </c>
      <c r="V11" s="37">
        <v>0</v>
      </c>
      <c r="W11" s="37">
        <v>0</v>
      </c>
      <c r="X11" s="37">
        <v>1</v>
      </c>
      <c r="Y11" s="37">
        <v>0</v>
      </c>
      <c r="Z11" s="37">
        <v>0</v>
      </c>
      <c r="AA11" s="37">
        <v>3</v>
      </c>
      <c r="AB11" s="37">
        <v>0</v>
      </c>
      <c r="AC11" s="37">
        <v>1</v>
      </c>
      <c r="AD11" s="37">
        <v>0</v>
      </c>
      <c r="AE11" s="37">
        <v>0</v>
      </c>
      <c r="AF11" s="37">
        <f ca="1">SUMIFS('Tổng Đơn'!$F:$F,'Tổng Đơn'!$B:$B,$C11)</f>
        <v>0</v>
      </c>
      <c r="AG11" s="37">
        <v>0</v>
      </c>
      <c r="AH11" s="37">
        <v>0</v>
      </c>
      <c r="AI11" s="41">
        <v>0</v>
      </c>
      <c r="AJ11" s="41">
        <v>0</v>
      </c>
      <c r="AK11" s="41">
        <v>0</v>
      </c>
      <c r="AL11" s="41">
        <v>0</v>
      </c>
      <c r="AM11" s="41">
        <v>0</v>
      </c>
      <c r="AN11" s="41">
        <v>0</v>
      </c>
      <c r="AO11" s="41">
        <v>0</v>
      </c>
      <c r="AP11" s="41">
        <v>0</v>
      </c>
      <c r="AQ11" s="41">
        <v>0</v>
      </c>
      <c r="AR11" s="41">
        <v>0</v>
      </c>
      <c r="AS11" s="41">
        <v>0</v>
      </c>
      <c r="AT11" s="41">
        <v>0</v>
      </c>
      <c r="AU11" s="41">
        <v>0</v>
      </c>
      <c r="AV11" s="41">
        <v>0</v>
      </c>
      <c r="AX11" s="96">
        <f t="shared" si="6"/>
        <v>0</v>
      </c>
    </row>
    <row r="12" spans="1:50" ht="18.75" x14ac:dyDescent="0.25">
      <c r="A12" s="96">
        <f t="shared" ca="1" si="1"/>
        <v>0</v>
      </c>
      <c r="B12" s="6">
        <v>8</v>
      </c>
      <c r="C12" s="98" t="s">
        <v>26</v>
      </c>
      <c r="D12" s="106">
        <f>G12*4</f>
        <v>113.33333333333333</v>
      </c>
      <c r="E12" s="99">
        <v>0.25</v>
      </c>
      <c r="F12" s="159">
        <v>36</v>
      </c>
      <c r="G12" s="100">
        <f>1020/36</f>
        <v>28.333333333333332</v>
      </c>
      <c r="H12" s="101">
        <f t="shared" si="2"/>
        <v>1020</v>
      </c>
      <c r="I12" s="102">
        <f t="shared" si="3"/>
        <v>0.6509576033196266</v>
      </c>
      <c r="J12" s="103">
        <f t="shared" si="4"/>
        <v>28.984290936652958</v>
      </c>
      <c r="K12" s="103">
        <f t="shared" si="8"/>
        <v>1043.4344737195065</v>
      </c>
      <c r="L12" s="107">
        <v>34</v>
      </c>
      <c r="M12" s="101">
        <f t="shared" si="5"/>
        <v>1224</v>
      </c>
      <c r="N12" s="101">
        <f t="shared" ca="1" si="9"/>
        <v>1190</v>
      </c>
      <c r="O12" s="108">
        <f t="shared" ca="1" si="10"/>
        <v>0</v>
      </c>
      <c r="P12" s="95">
        <v>1</v>
      </c>
      <c r="Q12" s="173">
        <v>35</v>
      </c>
      <c r="R12" s="37">
        <v>0</v>
      </c>
      <c r="S12" s="37">
        <v>0</v>
      </c>
      <c r="T12" s="37">
        <v>0</v>
      </c>
      <c r="U12" s="37">
        <v>0</v>
      </c>
      <c r="V12" s="37">
        <v>0</v>
      </c>
      <c r="W12" s="37">
        <v>0</v>
      </c>
      <c r="X12" s="37">
        <v>0</v>
      </c>
      <c r="Y12" s="37">
        <v>0</v>
      </c>
      <c r="Z12" s="37">
        <v>0</v>
      </c>
      <c r="AA12" s="37">
        <v>0</v>
      </c>
      <c r="AB12" s="37">
        <v>0</v>
      </c>
      <c r="AC12" s="37">
        <v>0</v>
      </c>
      <c r="AD12" s="37">
        <v>0</v>
      </c>
      <c r="AE12" s="37">
        <v>0</v>
      </c>
      <c r="AF12" s="37">
        <f ca="1">SUMIFS('Tổng Đơn'!$F:$F,'Tổng Đơn'!$B:$B,$C12)</f>
        <v>0</v>
      </c>
      <c r="AG12" s="37">
        <v>0</v>
      </c>
      <c r="AH12" s="37">
        <v>0</v>
      </c>
      <c r="AI12" s="41">
        <v>0</v>
      </c>
      <c r="AJ12" s="41">
        <v>0</v>
      </c>
      <c r="AK12" s="41">
        <v>0</v>
      </c>
      <c r="AL12" s="41">
        <v>0</v>
      </c>
      <c r="AM12" s="41">
        <v>0</v>
      </c>
      <c r="AN12" s="41">
        <v>0</v>
      </c>
      <c r="AO12" s="41">
        <v>0</v>
      </c>
      <c r="AP12" s="41">
        <v>0</v>
      </c>
      <c r="AQ12" s="41">
        <v>0</v>
      </c>
      <c r="AR12" s="41">
        <v>0</v>
      </c>
      <c r="AS12" s="41">
        <v>0</v>
      </c>
      <c r="AT12" s="41">
        <v>0</v>
      </c>
      <c r="AU12" s="41">
        <v>0</v>
      </c>
      <c r="AV12" s="41">
        <v>0</v>
      </c>
      <c r="AX12" s="96">
        <f t="shared" si="6"/>
        <v>0</v>
      </c>
    </row>
    <row r="13" spans="1:50" ht="18.75" x14ac:dyDescent="0.25">
      <c r="A13" s="96">
        <f t="shared" ca="1" si="1"/>
        <v>1514.0029618675192</v>
      </c>
      <c r="B13" s="6">
        <v>9</v>
      </c>
      <c r="C13" s="98" t="s">
        <v>35</v>
      </c>
      <c r="D13" s="106">
        <f t="shared" si="7"/>
        <v>80</v>
      </c>
      <c r="E13" s="99">
        <v>0.5</v>
      </c>
      <c r="F13" s="159">
        <v>40</v>
      </c>
      <c r="G13" s="100">
        <v>40</v>
      </c>
      <c r="H13" s="101">
        <f t="shared" si="2"/>
        <v>1600</v>
      </c>
      <c r="I13" s="102">
        <f t="shared" si="3"/>
        <v>0.91899896939241399</v>
      </c>
      <c r="J13" s="103">
        <f t="shared" si="4"/>
        <v>40.918998969392412</v>
      </c>
      <c r="K13" s="103">
        <f t="shared" si="8"/>
        <v>1636.7599587756965</v>
      </c>
      <c r="L13" s="107">
        <v>45</v>
      </c>
      <c r="M13" s="101">
        <f t="shared" si="5"/>
        <v>1800</v>
      </c>
      <c r="N13" s="101">
        <f t="shared" ca="1" si="9"/>
        <v>135</v>
      </c>
      <c r="O13" s="108">
        <f t="shared" ca="1" si="10"/>
        <v>37</v>
      </c>
      <c r="P13" s="95"/>
      <c r="Q13" s="173">
        <v>3</v>
      </c>
      <c r="R13" s="37">
        <v>0</v>
      </c>
      <c r="S13" s="37">
        <v>0</v>
      </c>
      <c r="T13" s="37">
        <v>0</v>
      </c>
      <c r="U13" s="37">
        <v>0</v>
      </c>
      <c r="V13" s="37">
        <v>0</v>
      </c>
      <c r="W13" s="37">
        <v>0</v>
      </c>
      <c r="X13" s="37">
        <v>0</v>
      </c>
      <c r="Y13" s="37">
        <v>0</v>
      </c>
      <c r="Z13" s="37">
        <v>0</v>
      </c>
      <c r="AA13" s="37">
        <v>0</v>
      </c>
      <c r="AB13" s="37">
        <v>0</v>
      </c>
      <c r="AC13" s="37">
        <v>0</v>
      </c>
      <c r="AD13" s="37">
        <v>0</v>
      </c>
      <c r="AE13" s="37">
        <v>0</v>
      </c>
      <c r="AF13" s="37">
        <f ca="1">SUMIFS('Tổng Đơn'!$F:$F,'Tổng Đơn'!$B:$B,$C13)</f>
        <v>0</v>
      </c>
      <c r="AG13" s="37">
        <v>0</v>
      </c>
      <c r="AH13" s="37">
        <v>0</v>
      </c>
      <c r="AI13" s="41">
        <v>0</v>
      </c>
      <c r="AJ13" s="41">
        <v>0</v>
      </c>
      <c r="AK13" s="41">
        <v>0</v>
      </c>
      <c r="AL13" s="41">
        <v>0</v>
      </c>
      <c r="AM13" s="41">
        <v>0</v>
      </c>
      <c r="AN13" s="41">
        <v>0</v>
      </c>
      <c r="AO13" s="41">
        <v>0</v>
      </c>
      <c r="AP13" s="41">
        <v>0</v>
      </c>
      <c r="AQ13" s="41">
        <v>0</v>
      </c>
      <c r="AR13" s="41">
        <v>0</v>
      </c>
      <c r="AS13" s="41">
        <v>0</v>
      </c>
      <c r="AT13" s="41">
        <v>0</v>
      </c>
      <c r="AU13" s="41">
        <v>0</v>
      </c>
      <c r="AV13" s="41">
        <v>0</v>
      </c>
      <c r="AX13" s="96">
        <f t="shared" si="6"/>
        <v>0</v>
      </c>
    </row>
    <row r="14" spans="1:50" ht="18.75" x14ac:dyDescent="0.25">
      <c r="A14" s="96">
        <f t="shared" ca="1" si="1"/>
        <v>1554.9219608369117</v>
      </c>
      <c r="B14" s="6">
        <v>10</v>
      </c>
      <c r="C14" s="98" t="s">
        <v>34</v>
      </c>
      <c r="D14" s="106">
        <f t="shared" si="7"/>
        <v>80</v>
      </c>
      <c r="E14" s="99">
        <v>0.5</v>
      </c>
      <c r="F14" s="159">
        <v>40</v>
      </c>
      <c r="G14" s="100">
        <v>40</v>
      </c>
      <c r="H14" s="101">
        <f t="shared" si="2"/>
        <v>1600</v>
      </c>
      <c r="I14" s="102">
        <f t="shared" si="3"/>
        <v>0.91899896939241399</v>
      </c>
      <c r="J14" s="103">
        <f t="shared" si="4"/>
        <v>40.918998969392412</v>
      </c>
      <c r="K14" s="103">
        <f t="shared" si="8"/>
        <v>1636.7599587756965</v>
      </c>
      <c r="L14" s="107">
        <v>45</v>
      </c>
      <c r="M14" s="101">
        <f t="shared" si="5"/>
        <v>1800</v>
      </c>
      <c r="N14" s="101">
        <f t="shared" ca="1" si="9"/>
        <v>90</v>
      </c>
      <c r="O14" s="108">
        <f t="shared" ca="1" si="10"/>
        <v>38</v>
      </c>
      <c r="P14" s="95"/>
      <c r="Q14" s="173">
        <v>2</v>
      </c>
      <c r="R14" s="37">
        <v>0</v>
      </c>
      <c r="S14" s="37">
        <v>0</v>
      </c>
      <c r="T14" s="37">
        <v>0</v>
      </c>
      <c r="U14" s="37">
        <v>0</v>
      </c>
      <c r="V14" s="37">
        <v>0</v>
      </c>
      <c r="W14" s="37">
        <v>0</v>
      </c>
      <c r="X14" s="37">
        <v>0</v>
      </c>
      <c r="Y14" s="37">
        <v>0</v>
      </c>
      <c r="Z14" s="37">
        <v>0</v>
      </c>
      <c r="AA14" s="37">
        <v>0</v>
      </c>
      <c r="AB14" s="37">
        <v>0</v>
      </c>
      <c r="AC14" s="37">
        <v>0</v>
      </c>
      <c r="AD14" s="37">
        <v>0</v>
      </c>
      <c r="AE14" s="37">
        <v>0</v>
      </c>
      <c r="AF14" s="37">
        <f ca="1">SUMIFS('Tổng Đơn'!$F:$F,'Tổng Đơn'!$B:$B,$C14)</f>
        <v>0</v>
      </c>
      <c r="AG14" s="37">
        <v>0</v>
      </c>
      <c r="AH14" s="37">
        <v>0</v>
      </c>
      <c r="AI14" s="41">
        <v>0</v>
      </c>
      <c r="AJ14" s="41">
        <v>0</v>
      </c>
      <c r="AK14" s="41">
        <v>0</v>
      </c>
      <c r="AL14" s="41">
        <v>0</v>
      </c>
      <c r="AM14" s="41">
        <v>0</v>
      </c>
      <c r="AN14" s="41">
        <v>0</v>
      </c>
      <c r="AO14" s="41">
        <v>0</v>
      </c>
      <c r="AP14" s="41">
        <v>0</v>
      </c>
      <c r="AQ14" s="41">
        <v>0</v>
      </c>
      <c r="AR14" s="41">
        <v>0</v>
      </c>
      <c r="AS14" s="41">
        <v>0</v>
      </c>
      <c r="AT14" s="41">
        <v>0</v>
      </c>
      <c r="AU14" s="41">
        <v>0</v>
      </c>
      <c r="AV14" s="41">
        <v>0</v>
      </c>
      <c r="AX14" s="96">
        <f t="shared" si="6"/>
        <v>0</v>
      </c>
    </row>
    <row r="15" spans="1:50" ht="18.75" x14ac:dyDescent="0.25">
      <c r="A15" s="96">
        <f t="shared" ca="1" si="1"/>
        <v>1432.1649639287343</v>
      </c>
      <c r="B15" s="6">
        <v>11</v>
      </c>
      <c r="C15" s="98" t="s">
        <v>33</v>
      </c>
      <c r="D15" s="106">
        <f t="shared" si="7"/>
        <v>80</v>
      </c>
      <c r="E15" s="99">
        <v>0.5</v>
      </c>
      <c r="F15" s="159">
        <v>40</v>
      </c>
      <c r="G15" s="100">
        <v>40</v>
      </c>
      <c r="H15" s="101">
        <f t="shared" si="2"/>
        <v>1600</v>
      </c>
      <c r="I15" s="102">
        <f t="shared" si="3"/>
        <v>0.91899896939241399</v>
      </c>
      <c r="J15" s="103">
        <f t="shared" si="4"/>
        <v>40.918998969392412</v>
      </c>
      <c r="K15" s="103">
        <f t="shared" si="8"/>
        <v>1636.7599587756965</v>
      </c>
      <c r="L15" s="107">
        <v>45</v>
      </c>
      <c r="M15" s="101">
        <f t="shared" si="5"/>
        <v>1800</v>
      </c>
      <c r="N15" s="101">
        <f t="shared" ca="1" si="9"/>
        <v>225</v>
      </c>
      <c r="O15" s="108">
        <f t="shared" ca="1" si="10"/>
        <v>35</v>
      </c>
      <c r="P15" s="95"/>
      <c r="Q15" s="173">
        <v>4</v>
      </c>
      <c r="R15" s="37">
        <v>1</v>
      </c>
      <c r="S15" s="37">
        <v>0</v>
      </c>
      <c r="T15" s="37">
        <v>0</v>
      </c>
      <c r="U15" s="37">
        <v>0</v>
      </c>
      <c r="V15" s="37">
        <v>0</v>
      </c>
      <c r="W15" s="37">
        <v>0</v>
      </c>
      <c r="X15" s="37">
        <v>0</v>
      </c>
      <c r="Y15" s="37">
        <v>0</v>
      </c>
      <c r="Z15" s="37">
        <v>0</v>
      </c>
      <c r="AA15" s="37">
        <v>0</v>
      </c>
      <c r="AB15" s="37">
        <v>0</v>
      </c>
      <c r="AC15" s="37">
        <v>0</v>
      </c>
      <c r="AD15" s="37">
        <v>0</v>
      </c>
      <c r="AE15" s="37">
        <v>0</v>
      </c>
      <c r="AF15" s="37">
        <f ca="1">SUMIFS('Tổng Đơn'!$F:$F,'Tổng Đơn'!$B:$B,$C15)</f>
        <v>0</v>
      </c>
      <c r="AG15" s="37">
        <v>0</v>
      </c>
      <c r="AH15" s="37">
        <v>0</v>
      </c>
      <c r="AI15" s="37">
        <v>0</v>
      </c>
      <c r="AJ15" s="41">
        <v>0</v>
      </c>
      <c r="AK15" s="41">
        <v>0</v>
      </c>
      <c r="AL15" s="41">
        <v>0</v>
      </c>
      <c r="AM15" s="41">
        <v>0</v>
      </c>
      <c r="AN15" s="41">
        <v>0</v>
      </c>
      <c r="AO15" s="41">
        <v>0</v>
      </c>
      <c r="AP15" s="41">
        <v>0</v>
      </c>
      <c r="AQ15" s="41">
        <v>0</v>
      </c>
      <c r="AR15" s="41">
        <v>0</v>
      </c>
      <c r="AS15" s="41">
        <v>0</v>
      </c>
      <c r="AT15" s="41">
        <v>0</v>
      </c>
      <c r="AU15" s="41">
        <v>0</v>
      </c>
      <c r="AV15" s="41">
        <v>0</v>
      </c>
      <c r="AX15" s="96">
        <f t="shared" si="6"/>
        <v>0</v>
      </c>
    </row>
    <row r="16" spans="1:50" ht="18.75" x14ac:dyDescent="0.25">
      <c r="A16" s="96">
        <f t="shared" ca="1" si="1"/>
        <v>1473.0839628981269</v>
      </c>
      <c r="B16" s="6">
        <v>12</v>
      </c>
      <c r="C16" s="98" t="s">
        <v>32</v>
      </c>
      <c r="D16" s="106">
        <f t="shared" si="7"/>
        <v>80</v>
      </c>
      <c r="E16" s="99">
        <v>0.5</v>
      </c>
      <c r="F16" s="159">
        <v>40</v>
      </c>
      <c r="G16" s="100">
        <v>40</v>
      </c>
      <c r="H16" s="101">
        <f t="shared" si="2"/>
        <v>1600</v>
      </c>
      <c r="I16" s="102">
        <f t="shared" si="3"/>
        <v>0.91899896939241399</v>
      </c>
      <c r="J16" s="103">
        <f t="shared" si="4"/>
        <v>40.918998969392412</v>
      </c>
      <c r="K16" s="103">
        <f t="shared" si="8"/>
        <v>1636.7599587756965</v>
      </c>
      <c r="L16" s="107">
        <v>45</v>
      </c>
      <c r="M16" s="101">
        <f t="shared" si="5"/>
        <v>1800</v>
      </c>
      <c r="N16" s="101">
        <f t="shared" ca="1" si="9"/>
        <v>180</v>
      </c>
      <c r="O16" s="108">
        <f t="shared" ca="1" si="10"/>
        <v>36</v>
      </c>
      <c r="P16" s="95"/>
      <c r="Q16" s="173">
        <v>3</v>
      </c>
      <c r="R16" s="37">
        <v>0</v>
      </c>
      <c r="S16" s="37">
        <v>0</v>
      </c>
      <c r="T16" s="37">
        <v>0</v>
      </c>
      <c r="U16" s="37">
        <v>0</v>
      </c>
      <c r="V16" s="37">
        <v>0</v>
      </c>
      <c r="W16" s="37">
        <v>0</v>
      </c>
      <c r="X16" s="37">
        <v>1</v>
      </c>
      <c r="Y16" s="37">
        <v>0</v>
      </c>
      <c r="Z16" s="37">
        <v>0</v>
      </c>
      <c r="AA16" s="37">
        <v>0</v>
      </c>
      <c r="AB16" s="37">
        <v>0</v>
      </c>
      <c r="AC16" s="37">
        <v>0</v>
      </c>
      <c r="AD16" s="37">
        <v>0</v>
      </c>
      <c r="AE16" s="37">
        <v>0</v>
      </c>
      <c r="AF16" s="37">
        <f ca="1">SUMIFS('Tổng Đơn'!$F:$F,'Tổng Đơn'!$B:$B,$C16)</f>
        <v>0</v>
      </c>
      <c r="AG16" s="37">
        <v>0</v>
      </c>
      <c r="AH16" s="37">
        <v>0</v>
      </c>
      <c r="AI16" s="37">
        <v>0</v>
      </c>
      <c r="AJ16" s="41">
        <v>0</v>
      </c>
      <c r="AK16" s="41">
        <v>0</v>
      </c>
      <c r="AL16" s="41">
        <v>0</v>
      </c>
      <c r="AM16" s="41">
        <v>0</v>
      </c>
      <c r="AN16" s="41">
        <v>0</v>
      </c>
      <c r="AO16" s="41">
        <v>0</v>
      </c>
      <c r="AP16" s="41">
        <v>0</v>
      </c>
      <c r="AQ16" s="41">
        <v>0</v>
      </c>
      <c r="AR16" s="41">
        <v>0</v>
      </c>
      <c r="AS16" s="41">
        <v>0</v>
      </c>
      <c r="AT16" s="41">
        <v>0</v>
      </c>
      <c r="AU16" s="41">
        <v>0</v>
      </c>
      <c r="AV16" s="41">
        <v>0</v>
      </c>
      <c r="AX16" s="96">
        <f t="shared" si="6"/>
        <v>0</v>
      </c>
    </row>
    <row r="17" spans="1:50" ht="18.75" x14ac:dyDescent="0.25">
      <c r="A17" s="96">
        <f t="shared" ca="1" si="1"/>
        <v>1022.9749742348102</v>
      </c>
      <c r="B17" s="6">
        <v>13</v>
      </c>
      <c r="C17" s="98" t="s">
        <v>58</v>
      </c>
      <c r="D17" s="106">
        <f t="shared" si="7"/>
        <v>80</v>
      </c>
      <c r="E17" s="99">
        <v>0.5</v>
      </c>
      <c r="F17" s="159">
        <v>40</v>
      </c>
      <c r="G17" s="100">
        <v>40</v>
      </c>
      <c r="H17" s="101">
        <f t="shared" si="2"/>
        <v>1600</v>
      </c>
      <c r="I17" s="102">
        <f t="shared" si="3"/>
        <v>0.91899896939241399</v>
      </c>
      <c r="J17" s="103">
        <f t="shared" si="4"/>
        <v>40.918998969392412</v>
      </c>
      <c r="K17" s="103">
        <f t="shared" si="8"/>
        <v>1636.7599587756965</v>
      </c>
      <c r="L17" s="107">
        <v>45</v>
      </c>
      <c r="M17" s="101">
        <f t="shared" si="5"/>
        <v>1800</v>
      </c>
      <c r="N17" s="101">
        <f t="shared" ca="1" si="9"/>
        <v>675</v>
      </c>
      <c r="O17" s="108">
        <f t="shared" ca="1" si="10"/>
        <v>25</v>
      </c>
      <c r="P17" s="95"/>
      <c r="Q17" s="173">
        <v>12</v>
      </c>
      <c r="R17" s="37">
        <v>0</v>
      </c>
      <c r="S17" s="37">
        <v>1</v>
      </c>
      <c r="T17" s="37">
        <v>0</v>
      </c>
      <c r="U17" s="37">
        <v>0</v>
      </c>
      <c r="V17" s="37">
        <v>0</v>
      </c>
      <c r="W17" s="37">
        <v>0</v>
      </c>
      <c r="X17" s="37">
        <v>0</v>
      </c>
      <c r="Y17" s="37">
        <v>0</v>
      </c>
      <c r="Z17" s="37">
        <v>1</v>
      </c>
      <c r="AA17" s="37">
        <v>0</v>
      </c>
      <c r="AB17" s="37">
        <v>0</v>
      </c>
      <c r="AC17" s="37">
        <v>1</v>
      </c>
      <c r="AD17" s="37">
        <v>0</v>
      </c>
      <c r="AE17" s="37">
        <v>0</v>
      </c>
      <c r="AF17" s="37">
        <f ca="1">SUMIFS('Tổng Đơn'!$F:$F,'Tổng Đơn'!$B:$B,$C17)</f>
        <v>0</v>
      </c>
      <c r="AG17" s="37">
        <v>0</v>
      </c>
      <c r="AH17" s="37">
        <v>0</v>
      </c>
      <c r="AI17" s="37">
        <v>0</v>
      </c>
      <c r="AJ17" s="41">
        <v>0</v>
      </c>
      <c r="AK17" s="41">
        <v>0</v>
      </c>
      <c r="AL17" s="41">
        <v>0</v>
      </c>
      <c r="AM17" s="41">
        <v>0</v>
      </c>
      <c r="AN17" s="41">
        <v>0</v>
      </c>
      <c r="AO17" s="41">
        <v>0</v>
      </c>
      <c r="AP17" s="41">
        <v>0</v>
      </c>
      <c r="AQ17" s="41">
        <v>0</v>
      </c>
      <c r="AR17" s="41">
        <v>0</v>
      </c>
      <c r="AS17" s="41">
        <v>0</v>
      </c>
      <c r="AT17" s="41">
        <v>0</v>
      </c>
      <c r="AU17" s="41">
        <v>0</v>
      </c>
      <c r="AV17" s="41">
        <v>0</v>
      </c>
      <c r="AX17" s="96">
        <f t="shared" si="6"/>
        <v>0</v>
      </c>
    </row>
    <row r="18" spans="1:50" ht="18.75" x14ac:dyDescent="0.25">
      <c r="A18" s="96">
        <f t="shared" ca="1" si="1"/>
        <v>1335.466908469486</v>
      </c>
      <c r="B18" s="6">
        <v>14</v>
      </c>
      <c r="C18" s="98" t="s">
        <v>150</v>
      </c>
      <c r="D18" s="106">
        <v>53</v>
      </c>
      <c r="E18" s="99">
        <v>0.5</v>
      </c>
      <c r="F18" s="159">
        <v>80</v>
      </c>
      <c r="G18" s="100">
        <f>1033.5/38</f>
        <v>27.19736842105263</v>
      </c>
      <c r="H18" s="101">
        <f t="shared" si="2"/>
        <v>2175.7894736842104</v>
      </c>
      <c r="I18" s="102">
        <f t="shared" si="3"/>
        <v>0.62485883872832881</v>
      </c>
      <c r="J18" s="103">
        <f t="shared" ref="J18" si="11">G18+I18</f>
        <v>27.822227259780959</v>
      </c>
      <c r="K18" s="103">
        <f t="shared" ref="K18" si="12">J18*F18</f>
        <v>2225.7781807824767</v>
      </c>
      <c r="L18" s="107">
        <v>38</v>
      </c>
      <c r="M18" s="101">
        <f t="shared" si="5"/>
        <v>3040</v>
      </c>
      <c r="N18" s="101">
        <f t="shared" ca="1" si="9"/>
        <v>1216</v>
      </c>
      <c r="O18" s="108">
        <f t="shared" ca="1" si="10"/>
        <v>48</v>
      </c>
      <c r="P18" s="95"/>
      <c r="Q18" s="173">
        <v>22</v>
      </c>
      <c r="R18" s="37">
        <v>1</v>
      </c>
      <c r="S18" s="37">
        <v>3</v>
      </c>
      <c r="T18" s="37">
        <v>0</v>
      </c>
      <c r="U18" s="37">
        <v>0</v>
      </c>
      <c r="V18" s="37">
        <v>0</v>
      </c>
      <c r="W18" s="37">
        <v>2</v>
      </c>
      <c r="X18" s="37">
        <v>2</v>
      </c>
      <c r="Y18" s="37">
        <v>0</v>
      </c>
      <c r="Z18" s="37">
        <v>0</v>
      </c>
      <c r="AA18" s="37">
        <v>0</v>
      </c>
      <c r="AB18" s="37">
        <v>1</v>
      </c>
      <c r="AC18" s="37">
        <v>1</v>
      </c>
      <c r="AD18" s="37">
        <v>0</v>
      </c>
      <c r="AE18" s="37">
        <v>0</v>
      </c>
      <c r="AF18" s="37">
        <f ca="1">SUMIFS('Tổng Đơn'!$F:$F,'Tổng Đơn'!$B:$B,$C18)</f>
        <v>0</v>
      </c>
      <c r="AG18" s="37">
        <v>0</v>
      </c>
      <c r="AH18" s="37">
        <v>0</v>
      </c>
      <c r="AI18" s="37">
        <v>0</v>
      </c>
      <c r="AJ18" s="41">
        <v>0</v>
      </c>
      <c r="AK18" s="41">
        <v>0</v>
      </c>
      <c r="AL18" s="41">
        <v>0</v>
      </c>
      <c r="AM18" s="41">
        <v>0</v>
      </c>
      <c r="AN18" s="41">
        <v>0</v>
      </c>
      <c r="AO18" s="41">
        <v>0</v>
      </c>
      <c r="AP18" s="41">
        <v>0</v>
      </c>
      <c r="AQ18" s="41">
        <v>0</v>
      </c>
      <c r="AR18" s="41">
        <v>0</v>
      </c>
      <c r="AS18" s="41">
        <v>0</v>
      </c>
      <c r="AT18" s="41">
        <v>0</v>
      </c>
      <c r="AU18" s="41">
        <v>0</v>
      </c>
      <c r="AV18" s="41">
        <v>0</v>
      </c>
      <c r="AX18" s="96">
        <f t="shared" si="6"/>
        <v>0</v>
      </c>
    </row>
    <row r="19" spans="1:50" ht="18.75" x14ac:dyDescent="0.25">
      <c r="A19" s="96">
        <f ca="1">J19*O19</f>
        <v>1350.3269659899497</v>
      </c>
      <c r="B19" s="6">
        <v>15</v>
      </c>
      <c r="C19" s="98" t="s">
        <v>189</v>
      </c>
      <c r="D19" s="106">
        <v>120</v>
      </c>
      <c r="E19" s="99">
        <v>0.5</v>
      </c>
      <c r="F19" s="159">
        <v>40</v>
      </c>
      <c r="G19" s="100">
        <v>60</v>
      </c>
      <c r="H19" s="101">
        <f t="shared" si="2"/>
        <v>2400</v>
      </c>
      <c r="I19" s="102">
        <f t="shared" si="3"/>
        <v>1.3784984540886209</v>
      </c>
      <c r="J19" s="103">
        <f t="shared" ref="J19" si="13">G19+I19</f>
        <v>61.378498454088621</v>
      </c>
      <c r="K19" s="103">
        <f t="shared" ref="K19" si="14">J19*F19</f>
        <v>2455.1399381635447</v>
      </c>
      <c r="L19" s="107">
        <v>70</v>
      </c>
      <c r="M19" s="101">
        <f t="shared" ref="M19" si="15">L19*F19</f>
        <v>2800</v>
      </c>
      <c r="N19" s="101">
        <f t="shared" ca="1" si="9"/>
        <v>1260</v>
      </c>
      <c r="O19" s="108">
        <f t="shared" ca="1" si="10"/>
        <v>22</v>
      </c>
      <c r="P19" s="95"/>
      <c r="Q19" s="173">
        <v>2</v>
      </c>
      <c r="R19" s="37">
        <v>4</v>
      </c>
      <c r="S19" s="37">
        <v>2</v>
      </c>
      <c r="T19" s="37">
        <v>0</v>
      </c>
      <c r="U19" s="37">
        <v>0</v>
      </c>
      <c r="V19" s="37">
        <v>0</v>
      </c>
      <c r="W19" s="37">
        <v>1</v>
      </c>
      <c r="X19" s="37">
        <v>2</v>
      </c>
      <c r="Y19" s="37">
        <v>0</v>
      </c>
      <c r="Z19" s="37">
        <v>1</v>
      </c>
      <c r="AA19" s="37">
        <v>1</v>
      </c>
      <c r="AB19" s="37">
        <v>2</v>
      </c>
      <c r="AC19" s="37">
        <v>2</v>
      </c>
      <c r="AD19" s="37">
        <v>0</v>
      </c>
      <c r="AE19" s="37">
        <v>0</v>
      </c>
      <c r="AF19" s="37">
        <f ca="1">SUMIFS('Tổng Đơn'!$F:$F,'Tổng Đơn'!$B:$B,$C19)</f>
        <v>1</v>
      </c>
      <c r="AG19" s="37">
        <v>0</v>
      </c>
      <c r="AH19" s="37">
        <v>0</v>
      </c>
      <c r="AI19" s="37">
        <v>0</v>
      </c>
      <c r="AJ19" s="41">
        <v>0</v>
      </c>
      <c r="AK19" s="41">
        <v>0</v>
      </c>
      <c r="AL19" s="41">
        <v>0</v>
      </c>
      <c r="AM19" s="41">
        <v>0</v>
      </c>
      <c r="AN19" s="41">
        <v>0</v>
      </c>
      <c r="AO19" s="41">
        <v>0</v>
      </c>
      <c r="AP19" s="41">
        <v>0</v>
      </c>
      <c r="AQ19" s="41">
        <v>0</v>
      </c>
      <c r="AR19" s="41">
        <v>0</v>
      </c>
      <c r="AS19" s="41">
        <v>0</v>
      </c>
      <c r="AT19" s="41">
        <v>0</v>
      </c>
      <c r="AU19" s="41">
        <v>0</v>
      </c>
      <c r="AV19" s="41">
        <v>0</v>
      </c>
      <c r="AW19" s="96">
        <v>20</v>
      </c>
      <c r="AX19" s="96">
        <f t="shared" si="6"/>
        <v>1200</v>
      </c>
    </row>
    <row r="20" spans="1:50" ht="18.75" x14ac:dyDescent="0.25">
      <c r="A20" s="96">
        <f t="shared" ca="1" si="1"/>
        <v>1866.929327978529</v>
      </c>
      <c r="B20" s="6">
        <v>16</v>
      </c>
      <c r="C20" s="98" t="s">
        <v>147</v>
      </c>
      <c r="D20" s="106">
        <v>73</v>
      </c>
      <c r="E20" s="99">
        <v>0.5</v>
      </c>
      <c r="F20" s="159">
        <v>81</v>
      </c>
      <c r="G20" s="100">
        <v>36.5</v>
      </c>
      <c r="H20" s="101">
        <f t="shared" ref="H20:H22" si="16">G20*F20</f>
        <v>2956.5</v>
      </c>
      <c r="I20" s="102">
        <f t="shared" ref="I20:I21" si="17">((H20/$H$4)*$A$2)/F20</f>
        <v>0.83858655957057782</v>
      </c>
      <c r="J20" s="103">
        <f t="shared" ref="J20:J21" si="18">G20+I20</f>
        <v>37.338586559570579</v>
      </c>
      <c r="K20" s="103">
        <f t="shared" ref="K20:K21" si="19">J20*F20</f>
        <v>3024.425511325217</v>
      </c>
      <c r="L20" s="107">
        <v>44</v>
      </c>
      <c r="M20" s="101">
        <f t="shared" ref="M20:M21" si="20">L20*F20</f>
        <v>3564</v>
      </c>
      <c r="N20" s="101">
        <f t="shared" ca="1" si="9"/>
        <v>1364</v>
      </c>
      <c r="O20" s="108">
        <f t="shared" ca="1" si="10"/>
        <v>50</v>
      </c>
      <c r="P20" s="95"/>
      <c r="Q20" s="173">
        <v>0</v>
      </c>
      <c r="R20" s="37">
        <v>0</v>
      </c>
      <c r="S20" s="37">
        <v>0</v>
      </c>
      <c r="T20" s="37">
        <v>0</v>
      </c>
      <c r="U20" s="37">
        <v>5</v>
      </c>
      <c r="V20" s="37">
        <v>4</v>
      </c>
      <c r="W20" s="37">
        <v>4</v>
      </c>
      <c r="X20" s="37">
        <v>4</v>
      </c>
      <c r="Y20" s="37">
        <v>1</v>
      </c>
      <c r="Z20" s="37">
        <v>3</v>
      </c>
      <c r="AA20" s="37">
        <v>0</v>
      </c>
      <c r="AB20" s="37">
        <v>2</v>
      </c>
      <c r="AC20" s="37">
        <v>4</v>
      </c>
      <c r="AD20" s="37">
        <v>1</v>
      </c>
      <c r="AE20" s="37">
        <v>1</v>
      </c>
      <c r="AF20" s="37">
        <f ca="1">SUMIFS('Tổng Đơn'!$F:$F,'Tổng Đơn'!$B:$B,$C20)</f>
        <v>2</v>
      </c>
      <c r="AG20" s="37">
        <v>0</v>
      </c>
      <c r="AH20" s="37">
        <v>0</v>
      </c>
      <c r="AI20" s="37">
        <v>0</v>
      </c>
      <c r="AJ20" s="41">
        <v>0</v>
      </c>
      <c r="AK20" s="41">
        <v>0</v>
      </c>
      <c r="AL20" s="41">
        <v>0</v>
      </c>
      <c r="AM20" s="41">
        <v>0</v>
      </c>
      <c r="AN20" s="41">
        <v>0</v>
      </c>
      <c r="AO20" s="41">
        <v>0</v>
      </c>
      <c r="AP20" s="41">
        <v>0</v>
      </c>
      <c r="AQ20" s="41">
        <v>0</v>
      </c>
      <c r="AR20" s="41">
        <v>0</v>
      </c>
      <c r="AS20" s="41">
        <v>0</v>
      </c>
      <c r="AT20" s="41">
        <v>0</v>
      </c>
      <c r="AU20" s="41">
        <v>0</v>
      </c>
      <c r="AV20" s="41">
        <v>0</v>
      </c>
      <c r="AW20" s="96">
        <v>80</v>
      </c>
      <c r="AX20" s="96">
        <f t="shared" si="6"/>
        <v>2920</v>
      </c>
    </row>
    <row r="21" spans="1:50" ht="18.75" x14ac:dyDescent="0.25">
      <c r="A21" s="96">
        <f t="shared" ca="1" si="1"/>
        <v>3150.7629206432161</v>
      </c>
      <c r="B21" s="6">
        <v>17</v>
      </c>
      <c r="C21" s="98" t="s">
        <v>205</v>
      </c>
      <c r="D21" s="106">
        <v>88</v>
      </c>
      <c r="E21" s="99">
        <v>0.5</v>
      </c>
      <c r="F21" s="159">
        <v>80</v>
      </c>
      <c r="G21" s="100">
        <v>44</v>
      </c>
      <c r="H21" s="101">
        <f t="shared" si="16"/>
        <v>3520</v>
      </c>
      <c r="I21" s="102">
        <f t="shared" si="17"/>
        <v>1.0108988663316556</v>
      </c>
      <c r="J21" s="103">
        <f t="shared" si="18"/>
        <v>45.010898866331658</v>
      </c>
      <c r="K21" s="103">
        <f t="shared" si="19"/>
        <v>3600.8719093065329</v>
      </c>
      <c r="L21" s="107">
        <v>54</v>
      </c>
      <c r="M21" s="101">
        <f t="shared" si="20"/>
        <v>4320</v>
      </c>
      <c r="N21" s="101">
        <f t="shared" ca="1" si="9"/>
        <v>540</v>
      </c>
      <c r="O21" s="108">
        <f t="shared" ca="1" si="10"/>
        <v>70</v>
      </c>
      <c r="P21" s="95"/>
      <c r="Q21" s="173">
        <v>0</v>
      </c>
      <c r="R21" s="37">
        <v>0</v>
      </c>
      <c r="S21" s="37">
        <v>0</v>
      </c>
      <c r="T21" s="37">
        <v>0</v>
      </c>
      <c r="U21" s="37">
        <v>3</v>
      </c>
      <c r="V21" s="37">
        <v>2</v>
      </c>
      <c r="W21" s="37">
        <v>2</v>
      </c>
      <c r="X21" s="37">
        <v>0</v>
      </c>
      <c r="Y21" s="37">
        <v>0</v>
      </c>
      <c r="Z21" s="37">
        <v>0</v>
      </c>
      <c r="AA21" s="37">
        <v>0</v>
      </c>
      <c r="AB21" s="37">
        <v>0</v>
      </c>
      <c r="AC21" s="37">
        <v>3</v>
      </c>
      <c r="AD21" s="37">
        <v>0</v>
      </c>
      <c r="AE21" s="37">
        <v>0</v>
      </c>
      <c r="AF21" s="37">
        <f ca="1">SUMIFS('Tổng Đơn'!$F:$F,'Tổng Đơn'!$B:$B,$C21)</f>
        <v>0</v>
      </c>
      <c r="AG21" s="37">
        <v>0</v>
      </c>
      <c r="AH21" s="37">
        <v>0</v>
      </c>
      <c r="AI21" s="37">
        <v>0</v>
      </c>
      <c r="AJ21" s="41">
        <v>0</v>
      </c>
      <c r="AK21" s="41">
        <v>0</v>
      </c>
      <c r="AL21" s="41">
        <v>0</v>
      </c>
      <c r="AM21" s="41">
        <v>0</v>
      </c>
      <c r="AN21" s="41">
        <v>0</v>
      </c>
      <c r="AO21" s="41">
        <v>0</v>
      </c>
      <c r="AP21" s="41">
        <v>0</v>
      </c>
      <c r="AQ21" s="41">
        <v>0</v>
      </c>
      <c r="AR21" s="41">
        <v>0</v>
      </c>
      <c r="AS21" s="41">
        <v>0</v>
      </c>
      <c r="AT21" s="41">
        <v>0</v>
      </c>
      <c r="AU21" s="41">
        <v>0</v>
      </c>
      <c r="AV21" s="41">
        <v>0</v>
      </c>
      <c r="AX21" s="96">
        <f t="shared" si="6"/>
        <v>0</v>
      </c>
    </row>
    <row r="22" spans="1:50" ht="18.75" x14ac:dyDescent="0.25">
      <c r="A22" s="96">
        <f t="shared" ca="1" si="1"/>
        <v>709.43314463184106</v>
      </c>
      <c r="B22" s="6">
        <v>18</v>
      </c>
      <c r="C22" s="98" t="s">
        <v>210</v>
      </c>
      <c r="D22" s="106">
        <v>73</v>
      </c>
      <c r="E22" s="99">
        <v>0.5</v>
      </c>
      <c r="F22" s="159">
        <v>20</v>
      </c>
      <c r="G22" s="100">
        <f>D22/2</f>
        <v>36.5</v>
      </c>
      <c r="H22" s="101">
        <f t="shared" si="16"/>
        <v>730</v>
      </c>
      <c r="I22" s="102">
        <f t="shared" ref="I22" si="21">((H22/$H$4)*$A$2)/F22</f>
        <v>0.83858655957057793</v>
      </c>
      <c r="J22" s="103">
        <f t="shared" ref="J22" si="22">G22+I22</f>
        <v>37.338586559570579</v>
      </c>
      <c r="K22" s="103">
        <f t="shared" ref="K22" si="23">J22*F22</f>
        <v>746.77173119141162</v>
      </c>
      <c r="L22" s="107">
        <v>45</v>
      </c>
      <c r="M22" s="101">
        <f t="shared" ref="M22" si="24">L22*F22</f>
        <v>900</v>
      </c>
      <c r="N22" s="101">
        <f t="shared" ca="1" si="9"/>
        <v>45</v>
      </c>
      <c r="O22" s="108">
        <f t="shared" ca="1" si="10"/>
        <v>19</v>
      </c>
      <c r="P22" s="95"/>
      <c r="Q22" s="173">
        <v>0</v>
      </c>
      <c r="R22" s="37">
        <v>0</v>
      </c>
      <c r="S22" s="37">
        <v>0</v>
      </c>
      <c r="T22" s="37">
        <v>0</v>
      </c>
      <c r="U22" s="37">
        <v>0</v>
      </c>
      <c r="V22" s="37">
        <v>0</v>
      </c>
      <c r="W22" s="37">
        <v>0</v>
      </c>
      <c r="X22" s="37">
        <v>0</v>
      </c>
      <c r="Y22" s="37">
        <v>0</v>
      </c>
      <c r="Z22" s="37">
        <v>0</v>
      </c>
      <c r="AA22" s="37">
        <v>0</v>
      </c>
      <c r="AB22" s="37">
        <v>0</v>
      </c>
      <c r="AC22" s="37">
        <v>0</v>
      </c>
      <c r="AD22" s="37">
        <v>0</v>
      </c>
      <c r="AE22" s="37">
        <v>1</v>
      </c>
      <c r="AF22" s="37">
        <f ca="1">SUMIFS('Tổng Đơn'!$F:$F,'Tổng Đơn'!$B:$B,$C22)</f>
        <v>0</v>
      </c>
      <c r="AG22" s="37">
        <v>0</v>
      </c>
      <c r="AH22" s="37">
        <v>0</v>
      </c>
      <c r="AI22" s="37">
        <v>0</v>
      </c>
      <c r="AJ22" s="41">
        <v>0</v>
      </c>
      <c r="AK22" s="41">
        <v>0</v>
      </c>
      <c r="AL22" s="41">
        <v>0</v>
      </c>
      <c r="AM22" s="41">
        <v>0</v>
      </c>
      <c r="AN22" s="41">
        <v>0</v>
      </c>
      <c r="AO22" s="41">
        <v>0</v>
      </c>
      <c r="AP22" s="41">
        <v>0</v>
      </c>
      <c r="AQ22" s="41">
        <v>0</v>
      </c>
      <c r="AR22" s="41">
        <v>0</v>
      </c>
      <c r="AS22" s="41">
        <v>0</v>
      </c>
      <c r="AT22" s="41">
        <v>0</v>
      </c>
      <c r="AU22" s="41">
        <v>0</v>
      </c>
      <c r="AV22" s="41">
        <v>0</v>
      </c>
      <c r="AW22" s="96">
        <v>40</v>
      </c>
      <c r="AX22" s="96">
        <f t="shared" ref="AX22:AX23" si="25">AW22*G22</f>
        <v>1460</v>
      </c>
    </row>
    <row r="23" spans="1:50" ht="18.75" x14ac:dyDescent="0.25">
      <c r="A23" s="96">
        <f t="shared" si="1"/>
        <v>0</v>
      </c>
      <c r="B23" s="6">
        <v>19</v>
      </c>
      <c r="C23" s="98" t="s">
        <v>211</v>
      </c>
      <c r="D23" s="106">
        <v>68</v>
      </c>
      <c r="E23" s="99">
        <v>0.5</v>
      </c>
      <c r="F23" s="159"/>
      <c r="G23" s="100">
        <f>D23/2</f>
        <v>34</v>
      </c>
      <c r="H23" s="101"/>
      <c r="I23" s="102"/>
      <c r="J23" s="103"/>
      <c r="K23" s="103"/>
      <c r="L23" s="107"/>
      <c r="M23" s="101"/>
      <c r="N23" s="101"/>
      <c r="O23" s="108">
        <f t="shared" si="10"/>
        <v>0</v>
      </c>
      <c r="P23" s="95"/>
      <c r="Q23" s="173">
        <v>0</v>
      </c>
      <c r="R23" s="37">
        <v>0</v>
      </c>
      <c r="S23" s="37">
        <v>0</v>
      </c>
      <c r="T23" s="37">
        <v>0</v>
      </c>
      <c r="U23" s="37">
        <v>0</v>
      </c>
      <c r="V23" s="37">
        <v>0</v>
      </c>
      <c r="W23" s="37">
        <v>0</v>
      </c>
      <c r="X23" s="37">
        <v>0</v>
      </c>
      <c r="Y23" s="37">
        <v>0</v>
      </c>
      <c r="Z23" s="37">
        <v>0</v>
      </c>
      <c r="AA23" s="37">
        <v>0</v>
      </c>
      <c r="AB23" s="37">
        <v>0</v>
      </c>
      <c r="AC23" s="37">
        <v>0</v>
      </c>
      <c r="AD23" s="37">
        <v>0</v>
      </c>
      <c r="AE23" s="37">
        <v>0</v>
      </c>
      <c r="AF23" s="37">
        <f>SUMIFS('Tổng Đơn'!$F:$F,'Tổng Đơn'!$B:$B,$C23)</f>
        <v>0</v>
      </c>
      <c r="AG23" s="37">
        <v>0</v>
      </c>
      <c r="AH23" s="37">
        <v>0</v>
      </c>
      <c r="AI23" s="37">
        <v>0</v>
      </c>
      <c r="AJ23" s="41">
        <v>0</v>
      </c>
      <c r="AK23" s="41">
        <v>0</v>
      </c>
      <c r="AL23" s="41">
        <v>0</v>
      </c>
      <c r="AM23" s="41">
        <v>0</v>
      </c>
      <c r="AN23" s="41">
        <v>0</v>
      </c>
      <c r="AO23" s="41">
        <v>0</v>
      </c>
      <c r="AP23" s="41">
        <v>0</v>
      </c>
      <c r="AQ23" s="41">
        <v>0</v>
      </c>
      <c r="AR23" s="41">
        <v>0</v>
      </c>
      <c r="AS23" s="41">
        <v>0</v>
      </c>
      <c r="AT23" s="41">
        <v>0</v>
      </c>
      <c r="AU23" s="41">
        <v>0</v>
      </c>
      <c r="AV23" s="41">
        <v>0</v>
      </c>
      <c r="AW23" s="96">
        <v>40</v>
      </c>
      <c r="AX23" s="96">
        <f t="shared" si="25"/>
        <v>1360</v>
      </c>
    </row>
  </sheetData>
  <autoFilter ref="B4:M4"/>
  <mergeCells count="1">
    <mergeCell ref="B1:M1"/>
  </mergeCells>
  <conditionalFormatting sqref="C6:C17">
    <cfRule type="expression" dxfId="652" priority="17">
      <formula>($O6/$O6)&lt;=1/4</formula>
    </cfRule>
  </conditionalFormatting>
  <conditionalFormatting sqref="C18">
    <cfRule type="expression" dxfId="651" priority="14">
      <formula>($O18/$O18)&lt;=1/4</formula>
    </cfRule>
  </conditionalFormatting>
  <conditionalFormatting sqref="C5:C18">
    <cfRule type="expression" dxfId="650" priority="25">
      <formula>($O5/$F5)&lt;=1/4</formula>
    </cfRule>
  </conditionalFormatting>
  <conditionalFormatting sqref="C19">
    <cfRule type="expression" dxfId="649" priority="5">
      <formula>($O19/$O19)&lt;=1/4</formula>
    </cfRule>
  </conditionalFormatting>
  <conditionalFormatting sqref="C19">
    <cfRule type="expression" dxfId="648" priority="6">
      <formula>($O19/$F19)&lt;=1/4</formula>
    </cfRule>
  </conditionalFormatting>
  <conditionalFormatting sqref="C20:C21">
    <cfRule type="expression" dxfId="647" priority="3">
      <formula>($O20/$O20)&lt;=1/4</formula>
    </cfRule>
  </conditionalFormatting>
  <conditionalFormatting sqref="C20:C21">
    <cfRule type="expression" dxfId="646" priority="4">
      <formula>($O20/$F20)&lt;=1/4</formula>
    </cfRule>
  </conditionalFormatting>
  <conditionalFormatting sqref="C22:C23">
    <cfRule type="expression" dxfId="645" priority="1">
      <formula>($O22/$O22)&lt;=1/4</formula>
    </cfRule>
  </conditionalFormatting>
  <conditionalFormatting sqref="C22:C23">
    <cfRule type="expression" dxfId="644" priority="2">
      <formula>($O22/$F22)&lt;=1/4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70C0"/>
  </sheetPr>
  <dimension ref="A1:AX32"/>
  <sheetViews>
    <sheetView topLeftCell="A2" zoomScale="90" zoomScaleNormal="90" workbookViewId="0">
      <pane xSplit="17" ySplit="3" topLeftCell="Z17" activePane="bottomRight" state="frozen"/>
      <selection activeCell="A2" sqref="A2"/>
      <selection pane="topRight" activeCell="R2" sqref="R2"/>
      <selection pane="bottomLeft" activeCell="A5" sqref="A5"/>
      <selection pane="bottomRight" activeCell="O27" sqref="O27"/>
    </sheetView>
  </sheetViews>
  <sheetFormatPr defaultRowHeight="15" x14ac:dyDescent="0.25"/>
  <cols>
    <col min="1" max="1" width="16.28515625" style="96" customWidth="1"/>
    <col min="2" max="2" width="6.85546875" style="96" customWidth="1"/>
    <col min="3" max="3" width="35.85546875" style="96" customWidth="1"/>
    <col min="4" max="4" width="9.7109375" style="96" customWidth="1"/>
    <col min="5" max="6" width="8.7109375" style="96" customWidth="1"/>
    <col min="7" max="7" width="11.140625" style="96" customWidth="1"/>
    <col min="8" max="8" width="11.140625" style="96" hidden="1" customWidth="1"/>
    <col min="9" max="9" width="13.28515625" style="96" hidden="1" customWidth="1"/>
    <col min="10" max="10" width="12.140625" style="96" customWidth="1"/>
    <col min="11" max="11" width="13.28515625" style="96" hidden="1" customWidth="1"/>
    <col min="12" max="12" width="12.7109375" style="96" customWidth="1"/>
    <col min="13" max="14" width="11.42578125" style="96" hidden="1" customWidth="1"/>
    <col min="15" max="15" width="9.140625" style="96" customWidth="1"/>
    <col min="16" max="17" width="12.42578125" style="96" customWidth="1"/>
    <col min="18" max="18" width="4.85546875" style="96" customWidth="1"/>
    <col min="19" max="48" width="5.28515625" style="96" customWidth="1"/>
    <col min="49" max="49" width="9.140625" style="96"/>
    <col min="50" max="50" width="10.28515625" style="96" bestFit="1" customWidth="1"/>
    <col min="51" max="16384" width="9.140625" style="96"/>
  </cols>
  <sheetData>
    <row r="1" spans="1:50" hidden="1" x14ac:dyDescent="0.25">
      <c r="B1" s="193" t="s">
        <v>59</v>
      </c>
      <c r="C1" s="193"/>
      <c r="D1" s="193"/>
      <c r="E1" s="193"/>
      <c r="F1" s="193"/>
      <c r="G1" s="193"/>
      <c r="H1" s="193"/>
      <c r="I1" s="193"/>
      <c r="J1" s="193"/>
      <c r="K1" s="193"/>
      <c r="L1" s="193"/>
      <c r="M1" s="193"/>
      <c r="N1" s="97"/>
    </row>
    <row r="2" spans="1:50" ht="24" customHeight="1" x14ac:dyDescent="0.25">
      <c r="A2" s="1">
        <f>150+160+120+70+30+100+30+150+120+30+140+30+70+120+30+30+120</f>
        <v>1500</v>
      </c>
      <c r="K2" s="13">
        <f>SUMPRODUCT((E5:E19)*(F5:F19))</f>
        <v>804.5</v>
      </c>
      <c r="L2" s="13">
        <f>M4-K4</f>
        <v>12594.000000000015</v>
      </c>
      <c r="M2" s="8">
        <f>M4/K4-1</f>
        <v>0.20114033826841093</v>
      </c>
      <c r="N2" s="8"/>
      <c r="AI2" s="64"/>
    </row>
    <row r="3" spans="1:50" ht="55.5" customHeight="1" x14ac:dyDescent="0.25">
      <c r="A3" s="83" t="s">
        <v>127</v>
      </c>
      <c r="B3" s="3" t="s">
        <v>0</v>
      </c>
      <c r="C3" s="3" t="s">
        <v>17</v>
      </c>
      <c r="D3" s="20" t="s">
        <v>62</v>
      </c>
      <c r="E3" s="120" t="s">
        <v>160</v>
      </c>
      <c r="F3" s="154" t="s">
        <v>159</v>
      </c>
      <c r="G3" s="4" t="s">
        <v>18</v>
      </c>
      <c r="H3" s="4" t="s">
        <v>19</v>
      </c>
      <c r="I3" s="9" t="s">
        <v>20</v>
      </c>
      <c r="J3" s="9" t="s">
        <v>21</v>
      </c>
      <c r="K3" s="9" t="s">
        <v>24</v>
      </c>
      <c r="L3" s="10" t="s">
        <v>22</v>
      </c>
      <c r="M3" s="11" t="s">
        <v>23</v>
      </c>
      <c r="N3" s="11" t="s">
        <v>122</v>
      </c>
      <c r="O3" s="35" t="s">
        <v>60</v>
      </c>
      <c r="P3" s="94" t="s">
        <v>149</v>
      </c>
      <c r="Q3" s="94" t="s">
        <v>195</v>
      </c>
      <c r="R3" s="36" t="s">
        <v>194</v>
      </c>
      <c r="S3" s="38" t="s">
        <v>196</v>
      </c>
      <c r="T3" s="36" t="s">
        <v>197</v>
      </c>
      <c r="U3" s="38" t="s">
        <v>198</v>
      </c>
      <c r="V3" s="36" t="s">
        <v>199</v>
      </c>
      <c r="W3" s="38" t="s">
        <v>200</v>
      </c>
      <c r="X3" s="36" t="s">
        <v>201</v>
      </c>
      <c r="Y3" s="38" t="s">
        <v>202</v>
      </c>
      <c r="Z3" s="36" t="s">
        <v>203</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X3" s="96">
        <f>AX4+73*10+30</f>
        <v>7435</v>
      </c>
    </row>
    <row r="4" spans="1:50" s="69" customFormat="1" ht="27" customHeight="1" x14ac:dyDescent="0.25">
      <c r="A4" s="78">
        <f ca="1">SUBTOTAL(9,A5:A220)</f>
        <v>20373.327413970841</v>
      </c>
      <c r="B4" s="19"/>
      <c r="C4" s="19"/>
      <c r="D4" s="70"/>
      <c r="E4" s="19">
        <f>SUMPRODUCT((E5:E25)*(F5:F25))</f>
        <v>982.5</v>
      </c>
      <c r="F4" s="19">
        <f>SUBTOTAL(9,F5:F190)</f>
        <v>2075</v>
      </c>
      <c r="G4" s="7"/>
      <c r="H4" s="7">
        <f>SUBTOTAL(9,H5:H100)</f>
        <v>61113</v>
      </c>
      <c r="I4" s="12"/>
      <c r="J4" s="12"/>
      <c r="K4" s="12">
        <f>SUBTOTAL(9,K5:K190)</f>
        <v>62612.999999999985</v>
      </c>
      <c r="L4" s="71"/>
      <c r="M4" s="7">
        <f>SUBTOTAL(9,M5:M190)</f>
        <v>75207</v>
      </c>
      <c r="N4" s="7">
        <f ca="1">SUBTOTAL(9,N5:N190)</f>
        <v>50163</v>
      </c>
      <c r="O4" s="39">
        <f ca="1">SUBTOTAL(9,O5:O190)</f>
        <v>636</v>
      </c>
      <c r="P4" s="113">
        <f>SUBTOTAL(9,P5:P220)</f>
        <v>12</v>
      </c>
      <c r="Q4" s="113">
        <f>SUBTOTAL(9,Q5:Q220)</f>
        <v>705</v>
      </c>
      <c r="R4" s="40">
        <f>SUBTOTAL(9,R5:R190)</f>
        <v>75</v>
      </c>
      <c r="S4" s="40">
        <f t="shared" ref="S4:AI4" si="0">SUBTOTAL(9,S5:S190)</f>
        <v>51</v>
      </c>
      <c r="T4" s="40">
        <f t="shared" si="0"/>
        <v>31</v>
      </c>
      <c r="U4" s="40">
        <f t="shared" si="0"/>
        <v>60</v>
      </c>
      <c r="V4" s="40">
        <f t="shared" si="0"/>
        <v>36</v>
      </c>
      <c r="W4" s="40">
        <f t="shared" si="0"/>
        <v>32</v>
      </c>
      <c r="X4" s="40">
        <f t="shared" si="0"/>
        <v>29</v>
      </c>
      <c r="Y4" s="40">
        <f t="shared" si="0"/>
        <v>48</v>
      </c>
      <c r="Z4" s="40">
        <f t="shared" si="0"/>
        <v>34</v>
      </c>
      <c r="AA4" s="40">
        <f t="shared" si="0"/>
        <v>28</v>
      </c>
      <c r="AB4" s="40">
        <f t="shared" si="0"/>
        <v>110</v>
      </c>
      <c r="AC4" s="40">
        <f t="shared" si="0"/>
        <v>76</v>
      </c>
      <c r="AD4" s="40">
        <f t="shared" si="0"/>
        <v>44</v>
      </c>
      <c r="AE4" s="40">
        <f t="shared" si="0"/>
        <v>40</v>
      </c>
      <c r="AF4" s="40">
        <f t="shared" ca="1" si="0"/>
        <v>28</v>
      </c>
      <c r="AG4" s="40">
        <f t="shared" si="0"/>
        <v>0</v>
      </c>
      <c r="AH4" s="40">
        <f t="shared" si="0"/>
        <v>0</v>
      </c>
      <c r="AI4" s="40">
        <f t="shared" si="0"/>
        <v>0</v>
      </c>
      <c r="AJ4" s="40">
        <f t="shared" ref="AJ4:AX4" si="1">SUBTOTAL(9,AJ5:AJ190)</f>
        <v>0</v>
      </c>
      <c r="AK4" s="40">
        <f t="shared" si="1"/>
        <v>0</v>
      </c>
      <c r="AL4" s="40">
        <f t="shared" si="1"/>
        <v>0</v>
      </c>
      <c r="AM4" s="40">
        <f t="shared" si="1"/>
        <v>0</v>
      </c>
      <c r="AN4" s="40">
        <f t="shared" si="1"/>
        <v>0</v>
      </c>
      <c r="AO4" s="40">
        <f t="shared" si="1"/>
        <v>0</v>
      </c>
      <c r="AP4" s="40">
        <f t="shared" si="1"/>
        <v>0</v>
      </c>
      <c r="AQ4" s="40">
        <f t="shared" si="1"/>
        <v>0</v>
      </c>
      <c r="AR4" s="40">
        <f t="shared" si="1"/>
        <v>0</v>
      </c>
      <c r="AS4" s="40">
        <f t="shared" si="1"/>
        <v>0</v>
      </c>
      <c r="AT4" s="40">
        <f t="shared" si="1"/>
        <v>0</v>
      </c>
      <c r="AU4" s="40">
        <f t="shared" si="1"/>
        <v>0</v>
      </c>
      <c r="AV4" s="40">
        <f t="shared" si="1"/>
        <v>0</v>
      </c>
      <c r="AW4" s="182" t="str">
        <f>SUMPRODUCT(($AW$5:$AW$28)*($E$5:$E$28))&amp;" Kg"</f>
        <v>105 Kg</v>
      </c>
      <c r="AX4" s="117">
        <f t="shared" si="1"/>
        <v>6675</v>
      </c>
    </row>
    <row r="5" spans="1:50" ht="18.75" x14ac:dyDescent="0.25">
      <c r="A5" s="96">
        <f t="shared" ref="A5:A32" ca="1" si="2">IFERROR(J5*O5,"")</f>
        <v>1262.751337685926</v>
      </c>
      <c r="B5" s="6">
        <v>1</v>
      </c>
      <c r="C5" s="98" t="s">
        <v>1</v>
      </c>
      <c r="D5" s="106">
        <v>42.5</v>
      </c>
      <c r="E5" s="6">
        <v>0.5</v>
      </c>
      <c r="F5" s="6">
        <v>370</v>
      </c>
      <c r="G5" s="109">
        <f t="shared" ref="G5:G29" si="3">D5/(1/E5)</f>
        <v>21.25</v>
      </c>
      <c r="H5" s="101">
        <f>G5*F5</f>
        <v>7862.5</v>
      </c>
      <c r="I5" s="102">
        <f t="shared" ref="I5:I28" si="4">((H5/$H$4)*$A$2)/F5</f>
        <v>0.5215747876883805</v>
      </c>
      <c r="J5" s="103">
        <f t="shared" ref="J5:J19" si="5">G5+I5</f>
        <v>21.77157478768838</v>
      </c>
      <c r="K5" s="103">
        <f>J5*F5</f>
        <v>8055.4826714447008</v>
      </c>
      <c r="L5" s="110">
        <v>25</v>
      </c>
      <c r="M5" s="101">
        <f>L5*F5</f>
        <v>9250</v>
      </c>
      <c r="N5" s="101">
        <f ca="1">SUMPRODUCT($L5*($Q5:$AV5))</f>
        <v>7750</v>
      </c>
      <c r="O5" s="105">
        <f ca="1">F5-SUM(Q5:AV5)-P5</f>
        <v>58</v>
      </c>
      <c r="P5" s="95">
        <v>2</v>
      </c>
      <c r="Q5" s="173">
        <v>158</v>
      </c>
      <c r="R5" s="98">
        <v>9</v>
      </c>
      <c r="S5" s="98">
        <v>9</v>
      </c>
      <c r="T5" s="98">
        <v>4</v>
      </c>
      <c r="U5" s="98">
        <v>9</v>
      </c>
      <c r="V5" s="98">
        <v>9</v>
      </c>
      <c r="W5" s="98">
        <v>8</v>
      </c>
      <c r="X5" s="98">
        <v>7</v>
      </c>
      <c r="Y5" s="98">
        <v>7</v>
      </c>
      <c r="Z5" s="98">
        <v>6</v>
      </c>
      <c r="AA5" s="98">
        <v>5</v>
      </c>
      <c r="AB5" s="98">
        <v>35</v>
      </c>
      <c r="AC5" s="98">
        <v>16</v>
      </c>
      <c r="AD5" s="98">
        <v>10</v>
      </c>
      <c r="AE5" s="98">
        <v>12</v>
      </c>
      <c r="AF5" s="98">
        <f ca="1">SUMIFS('Tổng Đơn'!$F:$F,'Tổng Đơn'!$B:$B,$C5)</f>
        <v>6</v>
      </c>
      <c r="AG5" s="98">
        <v>0</v>
      </c>
      <c r="AH5" s="98">
        <v>0</v>
      </c>
      <c r="AI5" s="111">
        <v>0</v>
      </c>
      <c r="AJ5" s="111">
        <v>0</v>
      </c>
      <c r="AK5" s="111">
        <v>0</v>
      </c>
      <c r="AL5" s="111">
        <v>0</v>
      </c>
      <c r="AM5" s="111">
        <v>0</v>
      </c>
      <c r="AN5" s="111">
        <v>0</v>
      </c>
      <c r="AO5" s="111">
        <v>0</v>
      </c>
      <c r="AP5" s="111">
        <v>0</v>
      </c>
      <c r="AQ5" s="111">
        <v>0</v>
      </c>
      <c r="AR5" s="111">
        <v>0</v>
      </c>
      <c r="AS5" s="111">
        <v>0</v>
      </c>
      <c r="AT5" s="111">
        <v>0</v>
      </c>
      <c r="AU5" s="111">
        <v>0</v>
      </c>
      <c r="AV5" s="111">
        <v>0</v>
      </c>
      <c r="AW5" s="96">
        <v>50</v>
      </c>
      <c r="AX5" s="96">
        <f t="shared" ref="AX5:AX32" si="6">AW5*G5</f>
        <v>1062.5</v>
      </c>
    </row>
    <row r="6" spans="1:50" ht="18.75" x14ac:dyDescent="0.25">
      <c r="A6" s="96">
        <f t="shared" ca="1" si="2"/>
        <v>631.11953266899025</v>
      </c>
      <c r="B6" s="6">
        <v>2</v>
      </c>
      <c r="C6" s="98" t="s">
        <v>2</v>
      </c>
      <c r="D6" s="106">
        <v>44</v>
      </c>
      <c r="E6" s="6">
        <v>0.5</v>
      </c>
      <c r="F6" s="6">
        <v>80</v>
      </c>
      <c r="G6" s="109">
        <f t="shared" si="3"/>
        <v>22</v>
      </c>
      <c r="H6" s="101">
        <f t="shared" ref="H6:H19" si="7">G6*F6</f>
        <v>1760</v>
      </c>
      <c r="I6" s="102">
        <f t="shared" si="4"/>
        <v>0.53998330960679408</v>
      </c>
      <c r="J6" s="103">
        <f t="shared" si="5"/>
        <v>22.539983309606793</v>
      </c>
      <c r="K6" s="103">
        <f t="shared" ref="K6:K19" si="8">J6*F6</f>
        <v>1803.1986647685435</v>
      </c>
      <c r="L6" s="110">
        <v>28</v>
      </c>
      <c r="M6" s="101">
        <f t="shared" ref="M6:M19" si="9">L6*F6</f>
        <v>2240</v>
      </c>
      <c r="N6" s="101">
        <f t="shared" ref="N6:N30" ca="1" si="10">SUMPRODUCT($L6*($Q6:$AV6))</f>
        <v>1456</v>
      </c>
      <c r="O6" s="105">
        <f t="shared" ref="O6:O28" ca="1" si="11">F6-SUM(Q6:AV6)-P6</f>
        <v>28</v>
      </c>
      <c r="P6" s="95"/>
      <c r="Q6" s="173">
        <v>40</v>
      </c>
      <c r="R6" s="98">
        <v>0</v>
      </c>
      <c r="S6" s="98">
        <v>1</v>
      </c>
      <c r="T6" s="98">
        <v>0</v>
      </c>
      <c r="U6" s="98">
        <v>3</v>
      </c>
      <c r="V6" s="98">
        <v>0</v>
      </c>
      <c r="W6" s="98">
        <v>1</v>
      </c>
      <c r="X6" s="98">
        <v>0</v>
      </c>
      <c r="Y6" s="98">
        <v>7</v>
      </c>
      <c r="Z6" s="98">
        <v>0</v>
      </c>
      <c r="AA6" s="98">
        <v>0</v>
      </c>
      <c r="AB6" s="98">
        <v>0</v>
      </c>
      <c r="AC6" s="98">
        <v>0</v>
      </c>
      <c r="AD6" s="98">
        <v>0</v>
      </c>
      <c r="AE6" s="98">
        <v>0</v>
      </c>
      <c r="AF6" s="98">
        <f ca="1">SUMIFS('Tổng Đơn'!$F:$F,'Tổng Đơn'!$B:$B,$C6)</f>
        <v>0</v>
      </c>
      <c r="AG6" s="98">
        <v>0</v>
      </c>
      <c r="AH6" s="98">
        <v>0</v>
      </c>
      <c r="AI6" s="111">
        <v>0</v>
      </c>
      <c r="AJ6" s="111">
        <v>0</v>
      </c>
      <c r="AK6" s="111">
        <v>0</v>
      </c>
      <c r="AL6" s="111">
        <v>0</v>
      </c>
      <c r="AM6" s="111">
        <v>0</v>
      </c>
      <c r="AN6" s="111">
        <v>0</v>
      </c>
      <c r="AO6" s="111">
        <v>0</v>
      </c>
      <c r="AP6" s="111">
        <v>0</v>
      </c>
      <c r="AQ6" s="111">
        <v>0</v>
      </c>
      <c r="AR6" s="111">
        <v>0</v>
      </c>
      <c r="AS6" s="111">
        <v>0</v>
      </c>
      <c r="AT6" s="111">
        <v>0</v>
      </c>
      <c r="AU6" s="111">
        <v>0</v>
      </c>
      <c r="AV6" s="111">
        <v>0</v>
      </c>
      <c r="AX6" s="96">
        <f t="shared" si="6"/>
        <v>0</v>
      </c>
    </row>
    <row r="7" spans="1:50" ht="18.75" x14ac:dyDescent="0.25">
      <c r="A7" s="96">
        <f t="shared" ca="1" si="2"/>
        <v>668.5154140690197</v>
      </c>
      <c r="B7" s="6">
        <v>3</v>
      </c>
      <c r="C7" s="98" t="s">
        <v>3</v>
      </c>
      <c r="D7" s="106">
        <v>43.5</v>
      </c>
      <c r="E7" s="6">
        <v>0.5</v>
      </c>
      <c r="F7" s="6">
        <v>70</v>
      </c>
      <c r="G7" s="109">
        <f t="shared" si="3"/>
        <v>21.75</v>
      </c>
      <c r="H7" s="101">
        <f t="shared" si="7"/>
        <v>1522.5</v>
      </c>
      <c r="I7" s="102">
        <f t="shared" si="4"/>
        <v>0.53384713563398944</v>
      </c>
      <c r="J7" s="103">
        <f t="shared" si="5"/>
        <v>22.283847135633991</v>
      </c>
      <c r="K7" s="103">
        <f t="shared" si="8"/>
        <v>1559.8692994943794</v>
      </c>
      <c r="L7" s="110">
        <v>30</v>
      </c>
      <c r="M7" s="101">
        <f t="shared" si="9"/>
        <v>2100</v>
      </c>
      <c r="N7" s="101">
        <f t="shared" ca="1" si="10"/>
        <v>1200</v>
      </c>
      <c r="O7" s="105">
        <f t="shared" ca="1" si="11"/>
        <v>30</v>
      </c>
      <c r="P7" s="95"/>
      <c r="Q7" s="173">
        <v>21</v>
      </c>
      <c r="R7" s="98">
        <v>2</v>
      </c>
      <c r="S7" s="98">
        <v>1</v>
      </c>
      <c r="T7" s="98">
        <v>3</v>
      </c>
      <c r="U7" s="98">
        <v>0</v>
      </c>
      <c r="V7" s="98">
        <v>1</v>
      </c>
      <c r="W7" s="98">
        <v>0</v>
      </c>
      <c r="X7" s="98">
        <v>1</v>
      </c>
      <c r="Y7" s="98">
        <v>2</v>
      </c>
      <c r="Z7" s="98">
        <v>0</v>
      </c>
      <c r="AA7" s="98">
        <v>0</v>
      </c>
      <c r="AB7" s="98">
        <v>1</v>
      </c>
      <c r="AC7" s="98">
        <v>6</v>
      </c>
      <c r="AD7" s="98">
        <v>0</v>
      </c>
      <c r="AE7" s="98">
        <v>1</v>
      </c>
      <c r="AF7" s="98">
        <f ca="1">SUMIFS('Tổng Đơn'!$F:$F,'Tổng Đơn'!$B:$B,$C7)</f>
        <v>1</v>
      </c>
      <c r="AG7" s="98">
        <v>0</v>
      </c>
      <c r="AH7" s="98">
        <v>0</v>
      </c>
      <c r="AI7" s="111">
        <v>0</v>
      </c>
      <c r="AJ7" s="111">
        <v>0</v>
      </c>
      <c r="AK7" s="111">
        <v>0</v>
      </c>
      <c r="AL7" s="111">
        <v>0</v>
      </c>
      <c r="AM7" s="111">
        <v>0</v>
      </c>
      <c r="AN7" s="111">
        <v>0</v>
      </c>
      <c r="AO7" s="111">
        <v>0</v>
      </c>
      <c r="AP7" s="111">
        <v>0</v>
      </c>
      <c r="AQ7" s="111">
        <v>0</v>
      </c>
      <c r="AR7" s="111">
        <v>0</v>
      </c>
      <c r="AS7" s="111">
        <v>0</v>
      </c>
      <c r="AT7" s="111">
        <v>0</v>
      </c>
      <c r="AU7" s="111">
        <v>0</v>
      </c>
      <c r="AV7" s="111">
        <v>0</v>
      </c>
      <c r="AW7" s="96">
        <v>20</v>
      </c>
      <c r="AX7" s="96">
        <f t="shared" si="6"/>
        <v>435</v>
      </c>
    </row>
    <row r="8" spans="1:50" ht="18.75" x14ac:dyDescent="0.25">
      <c r="A8" s="96">
        <f t="shared" ca="1" si="2"/>
        <v>922.09022630209608</v>
      </c>
      <c r="B8" s="6">
        <v>4</v>
      </c>
      <c r="C8" s="98" t="s">
        <v>4</v>
      </c>
      <c r="D8" s="106">
        <v>60</v>
      </c>
      <c r="E8" s="6">
        <v>0.5</v>
      </c>
      <c r="F8" s="6">
        <v>100</v>
      </c>
      <c r="G8" s="109">
        <f t="shared" si="3"/>
        <v>30</v>
      </c>
      <c r="H8" s="112">
        <f t="shared" si="7"/>
        <v>3000</v>
      </c>
      <c r="I8" s="102">
        <f t="shared" si="4"/>
        <v>0.73634087673653725</v>
      </c>
      <c r="J8" s="103">
        <f t="shared" si="5"/>
        <v>30.736340876736538</v>
      </c>
      <c r="K8" s="103">
        <f t="shared" si="8"/>
        <v>3073.634087673654</v>
      </c>
      <c r="L8" s="110">
        <v>40</v>
      </c>
      <c r="M8" s="101">
        <f t="shared" si="9"/>
        <v>4000</v>
      </c>
      <c r="N8" s="101">
        <f t="shared" ca="1" si="10"/>
        <v>2760</v>
      </c>
      <c r="O8" s="105">
        <f t="shared" ca="1" si="11"/>
        <v>30</v>
      </c>
      <c r="P8" s="95">
        <v>1</v>
      </c>
      <c r="Q8" s="173">
        <v>48</v>
      </c>
      <c r="R8" s="98">
        <v>2</v>
      </c>
      <c r="S8" s="98">
        <v>2</v>
      </c>
      <c r="T8" s="98">
        <v>1</v>
      </c>
      <c r="U8" s="98">
        <v>1</v>
      </c>
      <c r="V8" s="98">
        <v>1</v>
      </c>
      <c r="W8" s="98">
        <v>2</v>
      </c>
      <c r="X8" s="98">
        <v>0</v>
      </c>
      <c r="Y8" s="98">
        <v>3</v>
      </c>
      <c r="Z8" s="98">
        <v>1</v>
      </c>
      <c r="AA8" s="98">
        <v>0</v>
      </c>
      <c r="AB8" s="98">
        <v>3</v>
      </c>
      <c r="AC8" s="98">
        <v>1</v>
      </c>
      <c r="AD8" s="98">
        <v>3</v>
      </c>
      <c r="AE8" s="98">
        <v>1</v>
      </c>
      <c r="AF8" s="98">
        <f ca="1">SUMIFS('Tổng Đơn'!$F:$F,'Tổng Đơn'!$B:$B,$C8)</f>
        <v>0</v>
      </c>
      <c r="AG8" s="98">
        <v>0</v>
      </c>
      <c r="AH8" s="98">
        <v>0</v>
      </c>
      <c r="AI8" s="111">
        <v>0</v>
      </c>
      <c r="AJ8" s="111">
        <v>0</v>
      </c>
      <c r="AK8" s="111">
        <v>0</v>
      </c>
      <c r="AL8" s="111">
        <v>0</v>
      </c>
      <c r="AM8" s="111">
        <v>0</v>
      </c>
      <c r="AN8" s="111">
        <v>0</v>
      </c>
      <c r="AO8" s="111">
        <v>0</v>
      </c>
      <c r="AP8" s="111">
        <v>0</v>
      </c>
      <c r="AQ8" s="111">
        <v>0</v>
      </c>
      <c r="AR8" s="111">
        <v>0</v>
      </c>
      <c r="AS8" s="111">
        <v>0</v>
      </c>
      <c r="AT8" s="111">
        <v>0</v>
      </c>
      <c r="AU8" s="111">
        <v>0</v>
      </c>
      <c r="AV8" s="111">
        <v>0</v>
      </c>
      <c r="AX8" s="96">
        <f t="shared" si="6"/>
        <v>0</v>
      </c>
    </row>
    <row r="9" spans="1:50" ht="18.75" x14ac:dyDescent="0.25">
      <c r="A9" s="96">
        <f t="shared" ca="1" si="2"/>
        <v>661.85587354572681</v>
      </c>
      <c r="B9" s="6">
        <v>5</v>
      </c>
      <c r="C9" s="98" t="s">
        <v>5</v>
      </c>
      <c r="D9" s="106">
        <v>68</v>
      </c>
      <c r="E9" s="6">
        <v>0.5</v>
      </c>
      <c r="F9" s="6">
        <v>155</v>
      </c>
      <c r="G9" s="109">
        <f t="shared" si="3"/>
        <v>34</v>
      </c>
      <c r="H9" s="112">
        <f t="shared" si="7"/>
        <v>5270</v>
      </c>
      <c r="I9" s="102">
        <f t="shared" si="4"/>
        <v>0.83451966030140889</v>
      </c>
      <c r="J9" s="103">
        <f t="shared" si="5"/>
        <v>34.83451966030141</v>
      </c>
      <c r="K9" s="103">
        <f t="shared" si="8"/>
        <v>5399.3505473467185</v>
      </c>
      <c r="L9" s="110">
        <v>40</v>
      </c>
      <c r="M9" s="101">
        <f t="shared" si="9"/>
        <v>6200</v>
      </c>
      <c r="N9" s="101">
        <f t="shared" ca="1" si="10"/>
        <v>5480</v>
      </c>
      <c r="O9" s="105">
        <f t="shared" ca="1" si="11"/>
        <v>19</v>
      </c>
      <c r="P9" s="95">
        <v>-1</v>
      </c>
      <c r="Q9" s="173">
        <v>69</v>
      </c>
      <c r="R9" s="98">
        <v>7</v>
      </c>
      <c r="S9" s="98">
        <v>4</v>
      </c>
      <c r="T9" s="98">
        <v>4</v>
      </c>
      <c r="U9" s="98">
        <v>10</v>
      </c>
      <c r="V9" s="98">
        <v>1</v>
      </c>
      <c r="W9" s="98">
        <v>1</v>
      </c>
      <c r="X9" s="98">
        <v>3</v>
      </c>
      <c r="Y9" s="98">
        <v>5</v>
      </c>
      <c r="Z9" s="98">
        <v>1</v>
      </c>
      <c r="AA9" s="98">
        <v>7</v>
      </c>
      <c r="AB9" s="98">
        <v>5</v>
      </c>
      <c r="AC9" s="98">
        <v>11</v>
      </c>
      <c r="AD9" s="98">
        <v>2</v>
      </c>
      <c r="AE9" s="98">
        <v>5</v>
      </c>
      <c r="AF9" s="98">
        <f ca="1">SUMIFS('Tổng Đơn'!$F:$F,'Tổng Đơn'!$B:$B,$C9)</f>
        <v>2</v>
      </c>
      <c r="AG9" s="98">
        <v>0</v>
      </c>
      <c r="AH9" s="98">
        <v>0</v>
      </c>
      <c r="AI9" s="111">
        <v>0</v>
      </c>
      <c r="AJ9" s="111">
        <v>0</v>
      </c>
      <c r="AK9" s="111">
        <v>0</v>
      </c>
      <c r="AL9" s="111">
        <v>0</v>
      </c>
      <c r="AM9" s="111">
        <v>0</v>
      </c>
      <c r="AN9" s="111">
        <v>0</v>
      </c>
      <c r="AO9" s="111">
        <v>0</v>
      </c>
      <c r="AP9" s="111">
        <v>0</v>
      </c>
      <c r="AQ9" s="111">
        <v>0</v>
      </c>
      <c r="AR9" s="111">
        <v>0</v>
      </c>
      <c r="AS9" s="111">
        <v>0</v>
      </c>
      <c r="AT9" s="111">
        <v>0</v>
      </c>
      <c r="AU9" s="111">
        <v>0</v>
      </c>
      <c r="AV9" s="111">
        <v>0</v>
      </c>
      <c r="AX9" s="96">
        <f t="shared" si="6"/>
        <v>0</v>
      </c>
    </row>
    <row r="10" spans="1:50" ht="18.75" x14ac:dyDescent="0.25">
      <c r="A10" s="96">
        <f t="shared" ca="1" si="2"/>
        <v>1189.496391929704</v>
      </c>
      <c r="B10" s="6">
        <v>6</v>
      </c>
      <c r="C10" s="98" t="s">
        <v>6</v>
      </c>
      <c r="D10" s="106">
        <v>86</v>
      </c>
      <c r="E10" s="6">
        <v>0.5</v>
      </c>
      <c r="F10" s="6">
        <v>76</v>
      </c>
      <c r="G10" s="109">
        <f t="shared" si="3"/>
        <v>43</v>
      </c>
      <c r="H10" s="112">
        <f t="shared" si="7"/>
        <v>3268</v>
      </c>
      <c r="I10" s="102">
        <f t="shared" si="4"/>
        <v>1.0554219233223698</v>
      </c>
      <c r="J10" s="103">
        <f t="shared" si="5"/>
        <v>44.055421923322371</v>
      </c>
      <c r="K10" s="103">
        <f t="shared" si="8"/>
        <v>3348.2120661725003</v>
      </c>
      <c r="L10" s="110">
        <v>50</v>
      </c>
      <c r="M10" s="101">
        <f t="shared" si="9"/>
        <v>3800</v>
      </c>
      <c r="N10" s="101">
        <f t="shared" ca="1" si="10"/>
        <v>2400</v>
      </c>
      <c r="O10" s="105">
        <f t="shared" ca="1" si="11"/>
        <v>27</v>
      </c>
      <c r="P10" s="95">
        <v>1</v>
      </c>
      <c r="Q10" s="173">
        <v>29</v>
      </c>
      <c r="R10" s="98">
        <v>0</v>
      </c>
      <c r="S10" s="98">
        <v>3</v>
      </c>
      <c r="T10" s="98">
        <v>3</v>
      </c>
      <c r="U10" s="98">
        <v>1</v>
      </c>
      <c r="V10" s="98">
        <v>1</v>
      </c>
      <c r="W10" s="98">
        <v>0</v>
      </c>
      <c r="X10" s="98">
        <v>0</v>
      </c>
      <c r="Y10" s="98">
        <v>2</v>
      </c>
      <c r="Z10" s="98">
        <v>1</v>
      </c>
      <c r="AA10" s="98">
        <v>1</v>
      </c>
      <c r="AB10" s="98">
        <v>4</v>
      </c>
      <c r="AC10" s="98">
        <v>0</v>
      </c>
      <c r="AD10" s="98">
        <v>1</v>
      </c>
      <c r="AE10" s="98">
        <v>0</v>
      </c>
      <c r="AF10" s="98">
        <f ca="1">SUMIFS('Tổng Đơn'!$F:$F,'Tổng Đơn'!$B:$B,$C10)</f>
        <v>2</v>
      </c>
      <c r="AG10" s="98">
        <v>0</v>
      </c>
      <c r="AH10" s="98">
        <v>0</v>
      </c>
      <c r="AI10" s="111">
        <v>0</v>
      </c>
      <c r="AJ10" s="111">
        <v>0</v>
      </c>
      <c r="AK10" s="111">
        <v>0</v>
      </c>
      <c r="AL10" s="111">
        <v>0</v>
      </c>
      <c r="AM10" s="111">
        <v>0</v>
      </c>
      <c r="AN10" s="111">
        <v>0</v>
      </c>
      <c r="AO10" s="111">
        <v>0</v>
      </c>
      <c r="AP10" s="111">
        <v>0</v>
      </c>
      <c r="AQ10" s="111">
        <v>0</v>
      </c>
      <c r="AR10" s="111">
        <v>0</v>
      </c>
      <c r="AS10" s="111">
        <v>0</v>
      </c>
      <c r="AT10" s="111">
        <v>0</v>
      </c>
      <c r="AU10" s="111">
        <v>0</v>
      </c>
      <c r="AV10" s="111">
        <v>0</v>
      </c>
      <c r="AX10" s="96">
        <f t="shared" si="6"/>
        <v>0</v>
      </c>
    </row>
    <row r="11" spans="1:50" ht="18.75" x14ac:dyDescent="0.25">
      <c r="A11" s="96">
        <f t="shared" ca="1" si="2"/>
        <v>0</v>
      </c>
      <c r="B11" s="6">
        <v>7</v>
      </c>
      <c r="C11" s="98" t="s">
        <v>7</v>
      </c>
      <c r="D11" s="106">
        <v>55</v>
      </c>
      <c r="E11" s="6">
        <v>0.5</v>
      </c>
      <c r="F11" s="6">
        <v>20</v>
      </c>
      <c r="G11" s="109">
        <f t="shared" si="3"/>
        <v>27.5</v>
      </c>
      <c r="H11" s="112">
        <f t="shared" si="7"/>
        <v>550</v>
      </c>
      <c r="I11" s="102">
        <f t="shared" si="4"/>
        <v>0.67497913700849255</v>
      </c>
      <c r="J11" s="103">
        <f t="shared" si="5"/>
        <v>28.174979137008492</v>
      </c>
      <c r="K11" s="103">
        <f t="shared" si="8"/>
        <v>563.4995827401699</v>
      </c>
      <c r="L11" s="110">
        <v>34</v>
      </c>
      <c r="M11" s="101">
        <f t="shared" si="9"/>
        <v>680</v>
      </c>
      <c r="N11" s="101">
        <f t="shared" ca="1" si="10"/>
        <v>680</v>
      </c>
      <c r="O11" s="105">
        <f t="shared" ca="1" si="11"/>
        <v>0</v>
      </c>
      <c r="P11" s="95"/>
      <c r="Q11" s="173">
        <v>18</v>
      </c>
      <c r="R11" s="98">
        <v>1</v>
      </c>
      <c r="S11" s="98">
        <v>0</v>
      </c>
      <c r="T11" s="98">
        <v>0</v>
      </c>
      <c r="U11" s="98">
        <v>0</v>
      </c>
      <c r="V11" s="98">
        <v>0</v>
      </c>
      <c r="W11" s="98">
        <v>0</v>
      </c>
      <c r="X11" s="98">
        <v>0</v>
      </c>
      <c r="Y11" s="98">
        <v>1</v>
      </c>
      <c r="Z11" s="98">
        <v>0</v>
      </c>
      <c r="AA11" s="98">
        <v>0</v>
      </c>
      <c r="AB11" s="98">
        <v>0</v>
      </c>
      <c r="AC11" s="98">
        <v>0</v>
      </c>
      <c r="AD11" s="98">
        <v>0</v>
      </c>
      <c r="AE11" s="98">
        <v>0</v>
      </c>
      <c r="AF11" s="98">
        <f ca="1">SUMIFS('Tổng Đơn'!$F:$F,'Tổng Đơn'!$B:$B,$C11)</f>
        <v>0</v>
      </c>
      <c r="AG11" s="98">
        <v>0</v>
      </c>
      <c r="AH11" s="98">
        <v>0</v>
      </c>
      <c r="AI11" s="111">
        <v>0</v>
      </c>
      <c r="AJ11" s="111">
        <v>0</v>
      </c>
      <c r="AK11" s="111">
        <v>0</v>
      </c>
      <c r="AL11" s="111">
        <v>0</v>
      </c>
      <c r="AM11" s="111">
        <v>0</v>
      </c>
      <c r="AN11" s="111">
        <v>0</v>
      </c>
      <c r="AO11" s="111">
        <v>0</v>
      </c>
      <c r="AP11" s="111">
        <v>0</v>
      </c>
      <c r="AQ11" s="111">
        <v>0</v>
      </c>
      <c r="AR11" s="111">
        <v>0</v>
      </c>
      <c r="AS11" s="111">
        <v>0</v>
      </c>
      <c r="AT11" s="111">
        <v>0</v>
      </c>
      <c r="AU11" s="111">
        <v>0</v>
      </c>
      <c r="AV11" s="111">
        <v>0</v>
      </c>
      <c r="AX11" s="96">
        <f t="shared" si="6"/>
        <v>0</v>
      </c>
    </row>
    <row r="12" spans="1:50" ht="18.75" x14ac:dyDescent="0.25">
      <c r="A12" s="96">
        <f t="shared" ca="1" si="2"/>
        <v>1237.1377202886456</v>
      </c>
      <c r="B12" s="6">
        <v>8</v>
      </c>
      <c r="C12" s="98" t="s">
        <v>8</v>
      </c>
      <c r="D12" s="106">
        <v>115</v>
      </c>
      <c r="E12" s="6">
        <v>0.5</v>
      </c>
      <c r="F12" s="6">
        <v>38</v>
      </c>
      <c r="G12" s="109">
        <f t="shared" si="3"/>
        <v>57.5</v>
      </c>
      <c r="H12" s="112">
        <f t="shared" si="7"/>
        <v>2185</v>
      </c>
      <c r="I12" s="102">
        <f t="shared" si="4"/>
        <v>1.4113200137450297</v>
      </c>
      <c r="J12" s="103">
        <f t="shared" si="5"/>
        <v>58.911320013745026</v>
      </c>
      <c r="K12" s="103">
        <f t="shared" si="8"/>
        <v>2238.6301605223111</v>
      </c>
      <c r="L12" s="110">
        <v>69</v>
      </c>
      <c r="M12" s="101">
        <f t="shared" si="9"/>
        <v>2622</v>
      </c>
      <c r="N12" s="101">
        <f t="shared" ca="1" si="10"/>
        <v>1104</v>
      </c>
      <c r="O12" s="105">
        <f t="shared" ca="1" si="11"/>
        <v>21</v>
      </c>
      <c r="P12" s="95">
        <v>1</v>
      </c>
      <c r="Q12" s="173">
        <v>11</v>
      </c>
      <c r="R12" s="98">
        <v>0</v>
      </c>
      <c r="S12" s="98">
        <v>0</v>
      </c>
      <c r="T12" s="98">
        <v>0</v>
      </c>
      <c r="U12" s="98">
        <v>1</v>
      </c>
      <c r="V12" s="98">
        <v>0</v>
      </c>
      <c r="W12" s="98">
        <v>0</v>
      </c>
      <c r="X12" s="98">
        <v>0</v>
      </c>
      <c r="Y12" s="98">
        <v>2</v>
      </c>
      <c r="Z12" s="98">
        <v>0</v>
      </c>
      <c r="AA12" s="98">
        <v>0</v>
      </c>
      <c r="AB12" s="98">
        <v>1</v>
      </c>
      <c r="AC12" s="98">
        <v>1</v>
      </c>
      <c r="AD12" s="98">
        <v>0</v>
      </c>
      <c r="AE12" s="98">
        <v>0</v>
      </c>
      <c r="AF12" s="98">
        <f ca="1">SUMIFS('Tổng Đơn'!$F:$F,'Tổng Đơn'!$B:$B,$C12)</f>
        <v>0</v>
      </c>
      <c r="AG12" s="98">
        <v>0</v>
      </c>
      <c r="AH12" s="98">
        <v>0</v>
      </c>
      <c r="AI12" s="111">
        <v>0</v>
      </c>
      <c r="AJ12" s="111">
        <v>0</v>
      </c>
      <c r="AK12" s="111">
        <v>0</v>
      </c>
      <c r="AL12" s="111">
        <v>0</v>
      </c>
      <c r="AM12" s="111">
        <v>0</v>
      </c>
      <c r="AN12" s="111">
        <v>0</v>
      </c>
      <c r="AO12" s="111">
        <v>0</v>
      </c>
      <c r="AP12" s="111">
        <v>0</v>
      </c>
      <c r="AQ12" s="111">
        <v>0</v>
      </c>
      <c r="AR12" s="111">
        <v>0</v>
      </c>
      <c r="AS12" s="111">
        <v>0</v>
      </c>
      <c r="AT12" s="111">
        <v>0</v>
      </c>
      <c r="AU12" s="111">
        <v>0</v>
      </c>
      <c r="AV12" s="111">
        <v>0</v>
      </c>
      <c r="AW12" s="96">
        <v>20</v>
      </c>
      <c r="AX12" s="96">
        <f t="shared" si="6"/>
        <v>1150</v>
      </c>
    </row>
    <row r="13" spans="1:50" ht="18.75" x14ac:dyDescent="0.25">
      <c r="A13" s="96">
        <f t="shared" ca="1" si="2"/>
        <v>2090.0711796180844</v>
      </c>
      <c r="B13" s="6">
        <v>9</v>
      </c>
      <c r="C13" s="98" t="s">
        <v>9</v>
      </c>
      <c r="D13" s="106">
        <v>85</v>
      </c>
      <c r="E13" s="6">
        <v>0.5</v>
      </c>
      <c r="F13" s="6">
        <v>110</v>
      </c>
      <c r="G13" s="109">
        <f t="shared" si="3"/>
        <v>42.5</v>
      </c>
      <c r="H13" s="112">
        <f t="shared" si="7"/>
        <v>4675</v>
      </c>
      <c r="I13" s="102">
        <f t="shared" si="4"/>
        <v>1.043149575376761</v>
      </c>
      <c r="J13" s="103">
        <f t="shared" si="5"/>
        <v>43.543149575376759</v>
      </c>
      <c r="K13" s="103">
        <f t="shared" si="8"/>
        <v>4789.7464532914437</v>
      </c>
      <c r="L13" s="110">
        <v>55</v>
      </c>
      <c r="M13" s="101">
        <f t="shared" si="9"/>
        <v>6050</v>
      </c>
      <c r="N13" s="101">
        <f t="shared" ca="1" si="10"/>
        <v>3300</v>
      </c>
      <c r="O13" s="105">
        <f t="shared" ca="1" si="11"/>
        <v>48</v>
      </c>
      <c r="P13" s="95">
        <v>2</v>
      </c>
      <c r="Q13" s="173">
        <v>29</v>
      </c>
      <c r="R13" s="98">
        <v>8</v>
      </c>
      <c r="S13" s="98">
        <v>0</v>
      </c>
      <c r="T13" s="98">
        <v>0</v>
      </c>
      <c r="U13" s="98">
        <v>0</v>
      </c>
      <c r="V13" s="98">
        <v>2</v>
      </c>
      <c r="W13" s="98">
        <v>5</v>
      </c>
      <c r="X13" s="98">
        <v>1</v>
      </c>
      <c r="Y13" s="98">
        <v>0</v>
      </c>
      <c r="Z13" s="98">
        <v>10</v>
      </c>
      <c r="AA13" s="98">
        <v>1</v>
      </c>
      <c r="AB13" s="98">
        <v>3</v>
      </c>
      <c r="AC13" s="98">
        <v>0</v>
      </c>
      <c r="AD13" s="98">
        <v>0</v>
      </c>
      <c r="AE13" s="98">
        <v>0</v>
      </c>
      <c r="AF13" s="98">
        <f ca="1">SUMIFS('Tổng Đơn'!$F:$F,'Tổng Đơn'!$B:$B,$C13)</f>
        <v>1</v>
      </c>
      <c r="AG13" s="98">
        <v>0</v>
      </c>
      <c r="AH13" s="98">
        <v>0</v>
      </c>
      <c r="AI13" s="111">
        <v>0</v>
      </c>
      <c r="AJ13" s="111">
        <v>0</v>
      </c>
      <c r="AK13" s="111">
        <v>0</v>
      </c>
      <c r="AL13" s="111">
        <v>0</v>
      </c>
      <c r="AM13" s="111">
        <v>0</v>
      </c>
      <c r="AN13" s="111">
        <v>0</v>
      </c>
      <c r="AO13" s="111">
        <v>0</v>
      </c>
      <c r="AP13" s="111">
        <v>0</v>
      </c>
      <c r="AQ13" s="111">
        <v>0</v>
      </c>
      <c r="AR13" s="111">
        <v>0</v>
      </c>
      <c r="AS13" s="111">
        <v>0</v>
      </c>
      <c r="AT13" s="111">
        <v>0</v>
      </c>
      <c r="AU13" s="111">
        <v>0</v>
      </c>
      <c r="AV13" s="111">
        <v>0</v>
      </c>
      <c r="AX13" s="96">
        <f t="shared" si="6"/>
        <v>0</v>
      </c>
    </row>
    <row r="14" spans="1:50" ht="18.75" x14ac:dyDescent="0.25">
      <c r="A14" s="96">
        <f t="shared" ca="1" si="2"/>
        <v>608.57954935938346</v>
      </c>
      <c r="B14" s="6">
        <v>10</v>
      </c>
      <c r="C14" s="98" t="s">
        <v>10</v>
      </c>
      <c r="D14" s="106">
        <v>54</v>
      </c>
      <c r="E14" s="6">
        <v>0.5</v>
      </c>
      <c r="F14" s="6">
        <v>30</v>
      </c>
      <c r="G14" s="109">
        <f t="shared" si="3"/>
        <v>27</v>
      </c>
      <c r="H14" s="112">
        <f t="shared" si="7"/>
        <v>810</v>
      </c>
      <c r="I14" s="102">
        <f t="shared" si="4"/>
        <v>0.66270678906288338</v>
      </c>
      <c r="J14" s="103">
        <f t="shared" si="5"/>
        <v>27.662706789062884</v>
      </c>
      <c r="K14" s="103">
        <f t="shared" si="8"/>
        <v>829.88120367188651</v>
      </c>
      <c r="L14" s="110">
        <v>32</v>
      </c>
      <c r="M14" s="101">
        <f t="shared" si="9"/>
        <v>960</v>
      </c>
      <c r="N14" s="101">
        <f t="shared" ca="1" si="10"/>
        <v>256</v>
      </c>
      <c r="O14" s="105">
        <f t="shared" ca="1" si="11"/>
        <v>22</v>
      </c>
      <c r="P14" s="95"/>
      <c r="Q14" s="173">
        <v>6</v>
      </c>
      <c r="R14" s="98">
        <v>0</v>
      </c>
      <c r="S14" s="98">
        <v>0</v>
      </c>
      <c r="T14" s="98">
        <v>1</v>
      </c>
      <c r="U14" s="98">
        <v>0</v>
      </c>
      <c r="V14" s="98">
        <v>0</v>
      </c>
      <c r="W14" s="98">
        <v>0</v>
      </c>
      <c r="X14" s="98">
        <v>0</v>
      </c>
      <c r="Y14" s="98">
        <v>1</v>
      </c>
      <c r="Z14" s="98">
        <v>0</v>
      </c>
      <c r="AA14" s="98">
        <v>0</v>
      </c>
      <c r="AB14" s="98">
        <v>0</v>
      </c>
      <c r="AC14" s="98">
        <v>0</v>
      </c>
      <c r="AD14" s="98">
        <v>0</v>
      </c>
      <c r="AE14" s="98">
        <v>0</v>
      </c>
      <c r="AF14" s="98">
        <f ca="1">SUMIFS('Tổng Đơn'!$F:$F,'Tổng Đơn'!$B:$B,$C14)</f>
        <v>0</v>
      </c>
      <c r="AG14" s="98">
        <v>0</v>
      </c>
      <c r="AH14" s="98">
        <v>0</v>
      </c>
      <c r="AI14" s="111">
        <v>0</v>
      </c>
      <c r="AJ14" s="111">
        <v>0</v>
      </c>
      <c r="AK14" s="111">
        <v>0</v>
      </c>
      <c r="AL14" s="111">
        <v>0</v>
      </c>
      <c r="AM14" s="111">
        <v>0</v>
      </c>
      <c r="AN14" s="111">
        <v>0</v>
      </c>
      <c r="AO14" s="111">
        <v>0</v>
      </c>
      <c r="AP14" s="111">
        <v>0</v>
      </c>
      <c r="AQ14" s="111">
        <v>0</v>
      </c>
      <c r="AR14" s="111">
        <v>0</v>
      </c>
      <c r="AS14" s="111">
        <v>0</v>
      </c>
      <c r="AT14" s="111">
        <v>0</v>
      </c>
      <c r="AU14" s="111">
        <v>0</v>
      </c>
      <c r="AV14" s="111">
        <v>0</v>
      </c>
      <c r="AX14" s="96">
        <f t="shared" si="6"/>
        <v>0</v>
      </c>
    </row>
    <row r="15" spans="1:50" ht="18.75" x14ac:dyDescent="0.25">
      <c r="A15" s="96">
        <f t="shared" ca="1" si="2"/>
        <v>0</v>
      </c>
      <c r="B15" s="6">
        <v>11</v>
      </c>
      <c r="C15" s="98" t="s">
        <v>11</v>
      </c>
      <c r="D15" s="106">
        <v>54</v>
      </c>
      <c r="E15" s="6">
        <v>0.5</v>
      </c>
      <c r="F15" s="6">
        <v>10</v>
      </c>
      <c r="G15" s="109">
        <f t="shared" si="3"/>
        <v>27</v>
      </c>
      <c r="H15" s="112">
        <f t="shared" si="7"/>
        <v>270</v>
      </c>
      <c r="I15" s="102">
        <f t="shared" si="4"/>
        <v>0.66270678906288349</v>
      </c>
      <c r="J15" s="103">
        <f t="shared" si="5"/>
        <v>27.662706789062884</v>
      </c>
      <c r="K15" s="103">
        <f t="shared" si="8"/>
        <v>276.62706789062884</v>
      </c>
      <c r="L15" s="110">
        <v>35</v>
      </c>
      <c r="M15" s="101">
        <f t="shared" si="9"/>
        <v>350</v>
      </c>
      <c r="N15" s="101">
        <f t="shared" ca="1" si="10"/>
        <v>350</v>
      </c>
      <c r="O15" s="105">
        <f t="shared" ca="1" si="11"/>
        <v>0</v>
      </c>
      <c r="P15" s="95"/>
      <c r="Q15" s="173">
        <v>7</v>
      </c>
      <c r="R15" s="98">
        <v>0</v>
      </c>
      <c r="S15" s="98">
        <v>1</v>
      </c>
      <c r="T15" s="98">
        <v>0</v>
      </c>
      <c r="U15" s="98">
        <v>0</v>
      </c>
      <c r="V15" s="98">
        <v>0</v>
      </c>
      <c r="W15" s="98">
        <v>0</v>
      </c>
      <c r="X15" s="98">
        <v>0</v>
      </c>
      <c r="Y15" s="98">
        <v>1</v>
      </c>
      <c r="Z15" s="98">
        <v>0</v>
      </c>
      <c r="AA15" s="98">
        <v>0</v>
      </c>
      <c r="AB15" s="98">
        <v>1</v>
      </c>
      <c r="AC15" s="98">
        <v>0</v>
      </c>
      <c r="AD15" s="98">
        <v>0</v>
      </c>
      <c r="AE15" s="98">
        <v>0</v>
      </c>
      <c r="AF15" s="98">
        <f ca="1">SUMIFS('Tổng Đơn'!$F:$F,'Tổng Đơn'!$B:$B,$C15)</f>
        <v>0</v>
      </c>
      <c r="AG15" s="98">
        <v>0</v>
      </c>
      <c r="AH15" s="98">
        <v>0</v>
      </c>
      <c r="AI15" s="111">
        <v>0</v>
      </c>
      <c r="AJ15" s="111">
        <v>0</v>
      </c>
      <c r="AK15" s="111">
        <v>0</v>
      </c>
      <c r="AL15" s="111">
        <v>0</v>
      </c>
      <c r="AM15" s="111">
        <v>0</v>
      </c>
      <c r="AN15" s="111">
        <v>0</v>
      </c>
      <c r="AO15" s="111">
        <v>0</v>
      </c>
      <c r="AP15" s="111">
        <v>0</v>
      </c>
      <c r="AQ15" s="111">
        <v>0</v>
      </c>
      <c r="AR15" s="111">
        <v>0</v>
      </c>
      <c r="AS15" s="111">
        <v>0</v>
      </c>
      <c r="AT15" s="111">
        <v>0</v>
      </c>
      <c r="AU15" s="111">
        <v>0</v>
      </c>
      <c r="AV15" s="111">
        <v>0</v>
      </c>
      <c r="AX15" s="96">
        <f t="shared" si="6"/>
        <v>0</v>
      </c>
    </row>
    <row r="16" spans="1:50" ht="18.75" x14ac:dyDescent="0.25">
      <c r="A16" s="96">
        <f t="shared" ca="1" si="2"/>
        <v>840.12665063079862</v>
      </c>
      <c r="B16" s="6">
        <v>12</v>
      </c>
      <c r="C16" s="98" t="s">
        <v>12</v>
      </c>
      <c r="D16" s="106">
        <v>41</v>
      </c>
      <c r="E16" s="6">
        <v>0.5</v>
      </c>
      <c r="F16" s="6">
        <v>160</v>
      </c>
      <c r="G16" s="109">
        <f t="shared" si="3"/>
        <v>20.5</v>
      </c>
      <c r="H16" s="112">
        <f t="shared" si="7"/>
        <v>3280</v>
      </c>
      <c r="I16" s="102">
        <f t="shared" si="4"/>
        <v>0.50316626576996715</v>
      </c>
      <c r="J16" s="103">
        <f t="shared" si="5"/>
        <v>21.003166265769966</v>
      </c>
      <c r="K16" s="103">
        <f t="shared" si="8"/>
        <v>3360.5066025231945</v>
      </c>
      <c r="L16" s="110">
        <v>26</v>
      </c>
      <c r="M16" s="101">
        <f t="shared" si="9"/>
        <v>4160</v>
      </c>
      <c r="N16" s="101">
        <f t="shared" ca="1" si="10"/>
        <v>3120</v>
      </c>
      <c r="O16" s="105">
        <f t="shared" ca="1" si="11"/>
        <v>40</v>
      </c>
      <c r="P16" s="95"/>
      <c r="Q16" s="173">
        <v>73</v>
      </c>
      <c r="R16" s="98">
        <v>7</v>
      </c>
      <c r="S16" s="98">
        <v>3</v>
      </c>
      <c r="T16" s="98">
        <v>0</v>
      </c>
      <c r="U16" s="98">
        <v>5</v>
      </c>
      <c r="V16" s="98">
        <v>0</v>
      </c>
      <c r="W16" s="98">
        <v>1</v>
      </c>
      <c r="X16" s="98">
        <v>2</v>
      </c>
      <c r="Y16" s="98">
        <v>1</v>
      </c>
      <c r="Z16" s="98">
        <v>2</v>
      </c>
      <c r="AA16" s="98">
        <v>0</v>
      </c>
      <c r="AB16" s="98">
        <v>21</v>
      </c>
      <c r="AC16" s="98">
        <v>3</v>
      </c>
      <c r="AD16" s="98">
        <v>0</v>
      </c>
      <c r="AE16" s="98">
        <v>2</v>
      </c>
      <c r="AF16" s="98">
        <f ca="1">SUMIFS('Tổng Đơn'!$F:$F,'Tổng Đơn'!$B:$B,$C16)</f>
        <v>0</v>
      </c>
      <c r="AG16" s="98">
        <v>0</v>
      </c>
      <c r="AH16" s="98">
        <v>0</v>
      </c>
      <c r="AI16" s="111">
        <v>0</v>
      </c>
      <c r="AJ16" s="111">
        <v>0</v>
      </c>
      <c r="AK16" s="111">
        <v>0</v>
      </c>
      <c r="AL16" s="111">
        <v>0</v>
      </c>
      <c r="AM16" s="111">
        <v>0</v>
      </c>
      <c r="AN16" s="111">
        <v>0</v>
      </c>
      <c r="AO16" s="111">
        <v>0</v>
      </c>
      <c r="AP16" s="111">
        <v>0</v>
      </c>
      <c r="AQ16" s="111">
        <v>0</v>
      </c>
      <c r="AR16" s="111">
        <v>0</v>
      </c>
      <c r="AS16" s="111">
        <v>0</v>
      </c>
      <c r="AT16" s="111">
        <v>0</v>
      </c>
      <c r="AU16" s="111">
        <v>0</v>
      </c>
      <c r="AV16" s="111">
        <v>0</v>
      </c>
      <c r="AX16" s="96">
        <f t="shared" si="6"/>
        <v>0</v>
      </c>
    </row>
    <row r="17" spans="1:50" ht="18.75" x14ac:dyDescent="0.25">
      <c r="A17" s="96">
        <f t="shared" ca="1" si="2"/>
        <v>1071.1614795542682</v>
      </c>
      <c r="B17" s="6">
        <v>13</v>
      </c>
      <c r="C17" s="98" t="s">
        <v>13</v>
      </c>
      <c r="D17" s="106">
        <v>41</v>
      </c>
      <c r="E17" s="6">
        <v>0.5</v>
      </c>
      <c r="F17" s="6">
        <v>110</v>
      </c>
      <c r="G17" s="109">
        <f t="shared" si="3"/>
        <v>20.5</v>
      </c>
      <c r="H17" s="112">
        <f t="shared" si="7"/>
        <v>2255</v>
      </c>
      <c r="I17" s="102">
        <f t="shared" si="4"/>
        <v>0.50316626576996715</v>
      </c>
      <c r="J17" s="103">
        <f t="shared" si="5"/>
        <v>21.003166265769966</v>
      </c>
      <c r="K17" s="103">
        <f t="shared" si="8"/>
        <v>2310.3482892346965</v>
      </c>
      <c r="L17" s="110">
        <v>28</v>
      </c>
      <c r="M17" s="101">
        <f t="shared" si="9"/>
        <v>3080</v>
      </c>
      <c r="N17" s="101">
        <f t="shared" ca="1" si="10"/>
        <v>1652</v>
      </c>
      <c r="O17" s="105">
        <f t="shared" ca="1" si="11"/>
        <v>51</v>
      </c>
      <c r="P17" s="95"/>
      <c r="Q17" s="173">
        <v>17</v>
      </c>
      <c r="R17" s="98">
        <v>3</v>
      </c>
      <c r="S17" s="98">
        <v>3</v>
      </c>
      <c r="T17" s="98">
        <v>0</v>
      </c>
      <c r="U17" s="98">
        <v>0</v>
      </c>
      <c r="V17" s="98">
        <v>2</v>
      </c>
      <c r="W17" s="98">
        <v>2</v>
      </c>
      <c r="X17" s="98">
        <v>5</v>
      </c>
      <c r="Y17" s="98">
        <v>4</v>
      </c>
      <c r="Z17" s="98">
        <v>1</v>
      </c>
      <c r="AA17" s="98">
        <v>2</v>
      </c>
      <c r="AB17" s="98">
        <v>11</v>
      </c>
      <c r="AC17" s="98">
        <v>1</v>
      </c>
      <c r="AD17" s="98">
        <v>2</v>
      </c>
      <c r="AE17" s="98">
        <v>4</v>
      </c>
      <c r="AF17" s="98">
        <f ca="1">SUMIFS('Tổng Đơn'!$F:$F,'Tổng Đơn'!$B:$B,$C17)</f>
        <v>2</v>
      </c>
      <c r="AG17" s="98">
        <v>0</v>
      </c>
      <c r="AH17" s="98">
        <v>0</v>
      </c>
      <c r="AI17" s="111">
        <v>0</v>
      </c>
      <c r="AJ17" s="111">
        <v>0</v>
      </c>
      <c r="AK17" s="111">
        <v>0</v>
      </c>
      <c r="AL17" s="111">
        <v>0</v>
      </c>
      <c r="AM17" s="111">
        <v>0</v>
      </c>
      <c r="AN17" s="111">
        <v>0</v>
      </c>
      <c r="AO17" s="111">
        <v>0</v>
      </c>
      <c r="AP17" s="111">
        <v>0</v>
      </c>
      <c r="AQ17" s="111">
        <v>0</v>
      </c>
      <c r="AR17" s="111">
        <v>0</v>
      </c>
      <c r="AS17" s="111">
        <v>0</v>
      </c>
      <c r="AT17" s="111">
        <v>0</v>
      </c>
      <c r="AU17" s="111">
        <v>0</v>
      </c>
      <c r="AV17" s="111">
        <v>0</v>
      </c>
      <c r="AX17" s="96">
        <f t="shared" si="6"/>
        <v>0</v>
      </c>
    </row>
    <row r="18" spans="1:50" ht="18.75" x14ac:dyDescent="0.25">
      <c r="A18" s="96">
        <f t="shared" ca="1" si="2"/>
        <v>1296.0490403023907</v>
      </c>
      <c r="B18" s="6">
        <v>14</v>
      </c>
      <c r="C18" s="98" t="s">
        <v>14</v>
      </c>
      <c r="D18" s="106">
        <v>55</v>
      </c>
      <c r="E18" s="6">
        <v>0.5</v>
      </c>
      <c r="F18" s="6">
        <v>270</v>
      </c>
      <c r="G18" s="109">
        <f t="shared" si="3"/>
        <v>27.5</v>
      </c>
      <c r="H18" s="112">
        <f t="shared" si="7"/>
        <v>7425</v>
      </c>
      <c r="I18" s="102">
        <f t="shared" si="4"/>
        <v>0.67497913700849244</v>
      </c>
      <c r="J18" s="103">
        <f t="shared" si="5"/>
        <v>28.174979137008492</v>
      </c>
      <c r="K18" s="103">
        <f t="shared" si="8"/>
        <v>7607.2443669922932</v>
      </c>
      <c r="L18" s="110">
        <v>33</v>
      </c>
      <c r="M18" s="101">
        <f t="shared" si="9"/>
        <v>8910</v>
      </c>
      <c r="N18" s="101">
        <f t="shared" ca="1" si="10"/>
        <v>7392</v>
      </c>
      <c r="O18" s="105">
        <f t="shared" ca="1" si="11"/>
        <v>46</v>
      </c>
      <c r="P18" s="95"/>
      <c r="Q18" s="173">
        <v>89</v>
      </c>
      <c r="R18" s="98">
        <v>16</v>
      </c>
      <c r="S18" s="98">
        <v>9</v>
      </c>
      <c r="T18" s="98">
        <v>8</v>
      </c>
      <c r="U18" s="98">
        <v>15</v>
      </c>
      <c r="V18" s="98">
        <v>5</v>
      </c>
      <c r="W18" s="98">
        <v>5</v>
      </c>
      <c r="X18" s="98">
        <v>6</v>
      </c>
      <c r="Y18" s="98">
        <v>3</v>
      </c>
      <c r="Z18" s="98">
        <v>6</v>
      </c>
      <c r="AA18" s="98">
        <v>6</v>
      </c>
      <c r="AB18" s="98">
        <v>14</v>
      </c>
      <c r="AC18" s="98">
        <v>15</v>
      </c>
      <c r="AD18" s="98">
        <v>16</v>
      </c>
      <c r="AE18" s="98">
        <v>7</v>
      </c>
      <c r="AF18" s="98">
        <f ca="1">SUMIFS('Tổng Đơn'!$F:$F,'Tổng Đơn'!$B:$B,$C18)</f>
        <v>4</v>
      </c>
      <c r="AG18" s="98">
        <v>0</v>
      </c>
      <c r="AH18" s="98">
        <v>0</v>
      </c>
      <c r="AI18" s="111">
        <v>0</v>
      </c>
      <c r="AJ18" s="111">
        <v>0</v>
      </c>
      <c r="AK18" s="111">
        <v>0</v>
      </c>
      <c r="AL18" s="111">
        <v>0</v>
      </c>
      <c r="AM18" s="111">
        <v>0</v>
      </c>
      <c r="AN18" s="111">
        <v>0</v>
      </c>
      <c r="AO18" s="111">
        <v>0</v>
      </c>
      <c r="AP18" s="111">
        <v>0</v>
      </c>
      <c r="AQ18" s="111">
        <v>0</v>
      </c>
      <c r="AR18" s="111">
        <v>0</v>
      </c>
      <c r="AS18" s="111">
        <v>0</v>
      </c>
      <c r="AT18" s="111">
        <v>0</v>
      </c>
      <c r="AU18" s="111">
        <v>0</v>
      </c>
      <c r="AV18" s="111">
        <v>0</v>
      </c>
      <c r="AW18" s="96">
        <v>50</v>
      </c>
      <c r="AX18" s="96">
        <f t="shared" si="6"/>
        <v>1375</v>
      </c>
    </row>
    <row r="19" spans="1:50" ht="18.75" x14ac:dyDescent="0.25">
      <c r="A19" s="96">
        <f t="shared" ca="1" si="2"/>
        <v>153.6817043836827</v>
      </c>
      <c r="B19" s="6">
        <v>15</v>
      </c>
      <c r="C19" s="98" t="s">
        <v>15</v>
      </c>
      <c r="D19" s="106">
        <v>60</v>
      </c>
      <c r="E19" s="6">
        <v>0.5</v>
      </c>
      <c r="F19" s="6">
        <v>10</v>
      </c>
      <c r="G19" s="109">
        <f t="shared" si="3"/>
        <v>30</v>
      </c>
      <c r="H19" s="112">
        <f t="shared" si="7"/>
        <v>300</v>
      </c>
      <c r="I19" s="102">
        <f t="shared" si="4"/>
        <v>0.73634087673653714</v>
      </c>
      <c r="J19" s="103">
        <f t="shared" si="5"/>
        <v>30.736340876736538</v>
      </c>
      <c r="K19" s="103">
        <f t="shared" si="8"/>
        <v>307.3634087673654</v>
      </c>
      <c r="L19" s="110">
        <v>35</v>
      </c>
      <c r="M19" s="101">
        <f t="shared" si="9"/>
        <v>350</v>
      </c>
      <c r="N19" s="101">
        <f t="shared" ca="1" si="10"/>
        <v>175</v>
      </c>
      <c r="O19" s="105">
        <f t="shared" ca="1" si="11"/>
        <v>5</v>
      </c>
      <c r="P19" s="95"/>
      <c r="Q19" s="173">
        <v>5</v>
      </c>
      <c r="R19" s="98">
        <v>0</v>
      </c>
      <c r="S19" s="98">
        <v>0</v>
      </c>
      <c r="T19" s="98">
        <v>0</v>
      </c>
      <c r="U19" s="98">
        <v>0</v>
      </c>
      <c r="V19" s="98">
        <v>0</v>
      </c>
      <c r="W19" s="98">
        <v>0</v>
      </c>
      <c r="X19" s="98">
        <v>0</v>
      </c>
      <c r="Y19" s="98">
        <v>0</v>
      </c>
      <c r="Z19" s="98">
        <v>0</v>
      </c>
      <c r="AA19" s="98">
        <v>0</v>
      </c>
      <c r="AB19" s="98">
        <v>0</v>
      </c>
      <c r="AC19" s="98">
        <v>0</v>
      </c>
      <c r="AD19" s="98">
        <v>0</v>
      </c>
      <c r="AE19" s="98">
        <v>0</v>
      </c>
      <c r="AF19" s="98">
        <f ca="1">SUMIFS('Tổng Đơn'!$F:$F,'Tổng Đơn'!$B:$B,$C19)</f>
        <v>0</v>
      </c>
      <c r="AG19" s="98">
        <v>0</v>
      </c>
      <c r="AH19" s="98">
        <v>0</v>
      </c>
      <c r="AI19" s="111">
        <v>0</v>
      </c>
      <c r="AJ19" s="111">
        <v>0</v>
      </c>
      <c r="AK19" s="111">
        <v>0</v>
      </c>
      <c r="AL19" s="111">
        <v>0</v>
      </c>
      <c r="AM19" s="111">
        <v>0</v>
      </c>
      <c r="AN19" s="111">
        <v>0</v>
      </c>
      <c r="AO19" s="111">
        <v>0</v>
      </c>
      <c r="AP19" s="111">
        <v>0</v>
      </c>
      <c r="AQ19" s="111">
        <v>0</v>
      </c>
      <c r="AR19" s="111">
        <v>0</v>
      </c>
      <c r="AS19" s="111">
        <v>0</v>
      </c>
      <c r="AT19" s="111">
        <v>0</v>
      </c>
      <c r="AU19" s="111">
        <v>0</v>
      </c>
      <c r="AV19" s="111">
        <v>0</v>
      </c>
      <c r="AX19" s="96">
        <f t="shared" si="6"/>
        <v>0</v>
      </c>
    </row>
    <row r="20" spans="1:50" ht="18.75" x14ac:dyDescent="0.25">
      <c r="A20" s="96">
        <f t="shared" ca="1" si="2"/>
        <v>55.325413578125769</v>
      </c>
      <c r="B20" s="6">
        <v>16</v>
      </c>
      <c r="C20" s="98" t="s">
        <v>165</v>
      </c>
      <c r="D20" s="106">
        <v>54</v>
      </c>
      <c r="E20" s="6">
        <v>0.5</v>
      </c>
      <c r="F20" s="6">
        <v>10</v>
      </c>
      <c r="G20" s="109">
        <f t="shared" si="3"/>
        <v>27</v>
      </c>
      <c r="H20" s="112">
        <f t="shared" ref="H20:H25" si="12">G20*F20</f>
        <v>270</v>
      </c>
      <c r="I20" s="102">
        <f t="shared" si="4"/>
        <v>0.66270678906288349</v>
      </c>
      <c r="J20" s="103">
        <f t="shared" ref="J20:J25" si="13">G20+I20</f>
        <v>27.662706789062884</v>
      </c>
      <c r="K20" s="103">
        <f t="shared" ref="K20:K25" si="14">J20*F20</f>
        <v>276.62706789062884</v>
      </c>
      <c r="L20" s="110">
        <v>45</v>
      </c>
      <c r="M20" s="101">
        <f t="shared" ref="M20:M25" si="15">L20*F20</f>
        <v>450</v>
      </c>
      <c r="N20" s="101">
        <f t="shared" ca="1" si="10"/>
        <v>405</v>
      </c>
      <c r="O20" s="105">
        <f t="shared" ca="1" si="11"/>
        <v>2</v>
      </c>
      <c r="P20" s="95">
        <v>-1</v>
      </c>
      <c r="Q20" s="173">
        <v>9</v>
      </c>
      <c r="R20" s="98">
        <v>0</v>
      </c>
      <c r="S20" s="98">
        <v>0</v>
      </c>
      <c r="T20" s="98">
        <v>0</v>
      </c>
      <c r="U20" s="98">
        <v>0</v>
      </c>
      <c r="V20" s="98">
        <v>0</v>
      </c>
      <c r="W20" s="98">
        <v>0</v>
      </c>
      <c r="X20" s="98">
        <v>0</v>
      </c>
      <c r="Y20" s="98">
        <v>0</v>
      </c>
      <c r="Z20" s="98">
        <v>0</v>
      </c>
      <c r="AA20" s="98">
        <v>0</v>
      </c>
      <c r="AB20" s="98">
        <v>0</v>
      </c>
      <c r="AC20" s="98">
        <v>0</v>
      </c>
      <c r="AD20" s="98">
        <v>0</v>
      </c>
      <c r="AE20" s="98">
        <v>0</v>
      </c>
      <c r="AF20" s="98">
        <f ca="1">SUMIFS('Tổng Đơn'!$F:$F,'Tổng Đơn'!$B:$B,$C20)</f>
        <v>0</v>
      </c>
      <c r="AG20" s="98">
        <v>0</v>
      </c>
      <c r="AH20" s="98">
        <v>0</v>
      </c>
      <c r="AI20" s="111">
        <v>0</v>
      </c>
      <c r="AJ20" s="111">
        <v>0</v>
      </c>
      <c r="AK20" s="111">
        <v>0</v>
      </c>
      <c r="AL20" s="111">
        <v>0</v>
      </c>
      <c r="AM20" s="111">
        <v>0</v>
      </c>
      <c r="AN20" s="111">
        <v>0</v>
      </c>
      <c r="AO20" s="111">
        <v>0</v>
      </c>
      <c r="AP20" s="111">
        <v>0</v>
      </c>
      <c r="AQ20" s="111">
        <v>0</v>
      </c>
      <c r="AR20" s="111">
        <v>0</v>
      </c>
      <c r="AS20" s="111">
        <v>0</v>
      </c>
      <c r="AT20" s="111">
        <v>0</v>
      </c>
      <c r="AU20" s="111">
        <v>0</v>
      </c>
      <c r="AV20" s="111">
        <v>0</v>
      </c>
      <c r="AX20" s="96">
        <f t="shared" si="6"/>
        <v>0</v>
      </c>
    </row>
    <row r="21" spans="1:50" ht="18.75" x14ac:dyDescent="0.25">
      <c r="A21" s="96">
        <f t="shared" ca="1" si="2"/>
        <v>794.02213931569395</v>
      </c>
      <c r="B21" s="6">
        <v>17</v>
      </c>
      <c r="C21" s="98" t="s">
        <v>142</v>
      </c>
      <c r="D21" s="106">
        <v>62</v>
      </c>
      <c r="E21" s="6">
        <v>0.5</v>
      </c>
      <c r="F21" s="6">
        <v>95</v>
      </c>
      <c r="G21" s="109">
        <f t="shared" si="3"/>
        <v>31</v>
      </c>
      <c r="H21" s="112">
        <f t="shared" si="12"/>
        <v>2945</v>
      </c>
      <c r="I21" s="102">
        <f t="shared" si="4"/>
        <v>0.76088557262775514</v>
      </c>
      <c r="J21" s="103">
        <f t="shared" si="13"/>
        <v>31.760885572627757</v>
      </c>
      <c r="K21" s="103">
        <f t="shared" si="14"/>
        <v>3017.2841293996371</v>
      </c>
      <c r="L21" s="110">
        <v>40</v>
      </c>
      <c r="M21" s="101">
        <f t="shared" si="15"/>
        <v>3800</v>
      </c>
      <c r="N21" s="101">
        <f t="shared" ca="1" si="10"/>
        <v>2800</v>
      </c>
      <c r="O21" s="105">
        <f t="shared" ca="1" si="11"/>
        <v>25</v>
      </c>
      <c r="P21" s="95"/>
      <c r="Q21" s="173">
        <v>27</v>
      </c>
      <c r="R21" s="98">
        <v>7</v>
      </c>
      <c r="S21" s="98">
        <v>6</v>
      </c>
      <c r="T21" s="98">
        <v>0</v>
      </c>
      <c r="U21" s="98">
        <v>3</v>
      </c>
      <c r="V21" s="98">
        <v>10</v>
      </c>
      <c r="W21" s="98">
        <v>1</v>
      </c>
      <c r="X21" s="98">
        <v>0</v>
      </c>
      <c r="Y21" s="98">
        <v>1</v>
      </c>
      <c r="Z21" s="98">
        <v>0</v>
      </c>
      <c r="AA21" s="98">
        <v>1</v>
      </c>
      <c r="AB21" s="98">
        <v>1</v>
      </c>
      <c r="AC21" s="98">
        <v>5</v>
      </c>
      <c r="AD21" s="98">
        <v>4</v>
      </c>
      <c r="AE21" s="98">
        <v>4</v>
      </c>
      <c r="AF21" s="98">
        <f ca="1">SUMIFS('Tổng Đơn'!$F:$F,'Tổng Đơn'!$B:$B,$C21)</f>
        <v>0</v>
      </c>
      <c r="AG21" s="98">
        <v>0</v>
      </c>
      <c r="AH21" s="98">
        <v>0</v>
      </c>
      <c r="AI21" s="111">
        <v>0</v>
      </c>
      <c r="AJ21" s="111">
        <v>0</v>
      </c>
      <c r="AK21" s="111">
        <v>0</v>
      </c>
      <c r="AL21" s="111">
        <v>0</v>
      </c>
      <c r="AM21" s="111">
        <v>0</v>
      </c>
      <c r="AN21" s="111">
        <v>0</v>
      </c>
      <c r="AO21" s="111">
        <v>0</v>
      </c>
      <c r="AP21" s="111">
        <v>0</v>
      </c>
      <c r="AQ21" s="111">
        <v>0</v>
      </c>
      <c r="AR21" s="111">
        <v>0</v>
      </c>
      <c r="AS21" s="111">
        <v>0</v>
      </c>
      <c r="AT21" s="111">
        <v>0</v>
      </c>
      <c r="AU21" s="111">
        <v>0</v>
      </c>
      <c r="AV21" s="111">
        <v>0</v>
      </c>
      <c r="AX21" s="96">
        <f t="shared" si="6"/>
        <v>0</v>
      </c>
    </row>
    <row r="22" spans="1:50" ht="18.75" x14ac:dyDescent="0.25">
      <c r="A22" s="96">
        <f t="shared" ca="1" si="2"/>
        <v>242.30482057827305</v>
      </c>
      <c r="B22" s="6">
        <v>18</v>
      </c>
      <c r="C22" s="98" t="s">
        <v>143</v>
      </c>
      <c r="D22" s="106">
        <v>43</v>
      </c>
      <c r="E22" s="6">
        <v>0.5</v>
      </c>
      <c r="F22" s="6">
        <v>25</v>
      </c>
      <c r="G22" s="109">
        <f t="shared" si="3"/>
        <v>21.5</v>
      </c>
      <c r="H22" s="112">
        <f t="shared" si="12"/>
        <v>537.5</v>
      </c>
      <c r="I22" s="102">
        <f t="shared" si="4"/>
        <v>0.52771096166118503</v>
      </c>
      <c r="J22" s="103">
        <f t="shared" si="13"/>
        <v>22.027710961661185</v>
      </c>
      <c r="K22" s="103">
        <f t="shared" si="14"/>
        <v>550.69277404152967</v>
      </c>
      <c r="L22" s="110">
        <v>35</v>
      </c>
      <c r="M22" s="101">
        <f t="shared" si="15"/>
        <v>875</v>
      </c>
      <c r="N22" s="101">
        <f t="shared" ca="1" si="10"/>
        <v>490</v>
      </c>
      <c r="O22" s="105">
        <f t="shared" ca="1" si="11"/>
        <v>11</v>
      </c>
      <c r="P22" s="95"/>
      <c r="Q22" s="173">
        <v>9</v>
      </c>
      <c r="R22" s="98">
        <v>1</v>
      </c>
      <c r="S22" s="98">
        <v>1</v>
      </c>
      <c r="T22" s="98">
        <v>0</v>
      </c>
      <c r="U22" s="98">
        <v>1</v>
      </c>
      <c r="V22" s="98">
        <v>0</v>
      </c>
      <c r="W22" s="98">
        <v>0</v>
      </c>
      <c r="X22" s="98">
        <v>0</v>
      </c>
      <c r="Y22" s="98">
        <v>0</v>
      </c>
      <c r="Z22" s="98">
        <v>1</v>
      </c>
      <c r="AA22" s="98">
        <v>1</v>
      </c>
      <c r="AB22" s="98">
        <v>0</v>
      </c>
      <c r="AC22" s="98">
        <v>0</v>
      </c>
      <c r="AD22" s="98">
        <v>0</v>
      </c>
      <c r="AE22" s="98">
        <v>0</v>
      </c>
      <c r="AF22" s="98">
        <f ca="1">SUMIFS('Tổng Đơn'!$F:$F,'Tổng Đơn'!$B:$B,$C22)</f>
        <v>0</v>
      </c>
      <c r="AG22" s="98">
        <v>0</v>
      </c>
      <c r="AH22" s="98">
        <v>0</v>
      </c>
      <c r="AI22" s="111">
        <v>0</v>
      </c>
      <c r="AJ22" s="111">
        <v>0</v>
      </c>
      <c r="AK22" s="111">
        <v>0</v>
      </c>
      <c r="AL22" s="111">
        <v>0</v>
      </c>
      <c r="AM22" s="111">
        <v>0</v>
      </c>
      <c r="AN22" s="111">
        <v>0</v>
      </c>
      <c r="AO22" s="111">
        <v>0</v>
      </c>
      <c r="AP22" s="111">
        <v>0</v>
      </c>
      <c r="AQ22" s="111">
        <v>0</v>
      </c>
      <c r="AR22" s="111">
        <v>0</v>
      </c>
      <c r="AS22" s="111">
        <v>0</v>
      </c>
      <c r="AT22" s="111">
        <v>0</v>
      </c>
      <c r="AU22" s="111">
        <v>0</v>
      </c>
      <c r="AV22" s="111">
        <v>0</v>
      </c>
      <c r="AX22" s="96">
        <f t="shared" si="6"/>
        <v>0</v>
      </c>
    </row>
    <row r="23" spans="1:50" ht="18.75" x14ac:dyDescent="0.25">
      <c r="A23" s="96">
        <f t="shared" ca="1" si="2"/>
        <v>735.36695547592171</v>
      </c>
      <c r="B23" s="6">
        <v>19</v>
      </c>
      <c r="C23" s="98" t="s">
        <v>178</v>
      </c>
      <c r="D23" s="106">
        <v>43.5</v>
      </c>
      <c r="E23" s="6">
        <v>0.5</v>
      </c>
      <c r="F23" s="6">
        <v>70</v>
      </c>
      <c r="G23" s="109">
        <f t="shared" si="3"/>
        <v>21.75</v>
      </c>
      <c r="H23" s="112">
        <f t="shared" si="12"/>
        <v>1522.5</v>
      </c>
      <c r="I23" s="102">
        <f t="shared" si="4"/>
        <v>0.53384713563398944</v>
      </c>
      <c r="J23" s="103">
        <f t="shared" si="13"/>
        <v>22.283847135633991</v>
      </c>
      <c r="K23" s="103">
        <f t="shared" si="14"/>
        <v>1559.8692994943794</v>
      </c>
      <c r="L23" s="110">
        <v>30</v>
      </c>
      <c r="M23" s="101">
        <f t="shared" si="15"/>
        <v>2100</v>
      </c>
      <c r="N23" s="101">
        <f t="shared" ca="1" si="10"/>
        <v>1110</v>
      </c>
      <c r="O23" s="105">
        <f t="shared" ca="1" si="11"/>
        <v>33</v>
      </c>
      <c r="P23" s="95"/>
      <c r="Q23" s="173">
        <v>12</v>
      </c>
      <c r="R23" s="98">
        <v>1</v>
      </c>
      <c r="S23" s="98">
        <v>1</v>
      </c>
      <c r="T23" s="98">
        <v>3</v>
      </c>
      <c r="U23" s="98">
        <v>1</v>
      </c>
      <c r="V23" s="98">
        <v>1</v>
      </c>
      <c r="W23" s="98">
        <v>2</v>
      </c>
      <c r="X23" s="98">
        <v>0</v>
      </c>
      <c r="Y23" s="98">
        <v>1</v>
      </c>
      <c r="Z23" s="98">
        <v>1</v>
      </c>
      <c r="AA23" s="98">
        <v>1</v>
      </c>
      <c r="AB23" s="98">
        <v>0</v>
      </c>
      <c r="AC23" s="98">
        <v>8</v>
      </c>
      <c r="AD23" s="98">
        <v>2</v>
      </c>
      <c r="AE23" s="98">
        <v>2</v>
      </c>
      <c r="AF23" s="98">
        <f ca="1">SUMIFS('Tổng Đơn'!$F:$F,'Tổng Đơn'!$B:$B,$C23)</f>
        <v>1</v>
      </c>
      <c r="AG23" s="98">
        <v>0</v>
      </c>
      <c r="AH23" s="98">
        <v>0</v>
      </c>
      <c r="AI23" s="111">
        <v>0</v>
      </c>
      <c r="AJ23" s="111">
        <v>0</v>
      </c>
      <c r="AK23" s="111">
        <v>0</v>
      </c>
      <c r="AL23" s="111">
        <v>0</v>
      </c>
      <c r="AM23" s="111">
        <v>0</v>
      </c>
      <c r="AN23" s="111">
        <v>0</v>
      </c>
      <c r="AO23" s="111">
        <v>0</v>
      </c>
      <c r="AP23" s="111">
        <v>0</v>
      </c>
      <c r="AQ23" s="111">
        <v>0</v>
      </c>
      <c r="AR23" s="111">
        <v>0</v>
      </c>
      <c r="AS23" s="111">
        <v>0</v>
      </c>
      <c r="AT23" s="111">
        <v>0</v>
      </c>
      <c r="AU23" s="111">
        <v>0</v>
      </c>
      <c r="AV23" s="111">
        <v>0</v>
      </c>
      <c r="AW23" s="96">
        <v>30</v>
      </c>
      <c r="AX23" s="96">
        <f t="shared" si="6"/>
        <v>652.5</v>
      </c>
    </row>
    <row r="24" spans="1:50" ht="18.75" x14ac:dyDescent="0.25">
      <c r="A24" s="96">
        <f t="shared" ca="1" si="2"/>
        <v>998.93107849393755</v>
      </c>
      <c r="B24" s="6">
        <v>20</v>
      </c>
      <c r="C24" s="98" t="s">
        <v>176</v>
      </c>
      <c r="D24" s="106">
        <v>39</v>
      </c>
      <c r="E24" s="6">
        <v>1</v>
      </c>
      <c r="F24" s="6">
        <v>60</v>
      </c>
      <c r="G24" s="109">
        <f t="shared" si="3"/>
        <v>39</v>
      </c>
      <c r="H24" s="112">
        <f t="shared" si="12"/>
        <v>2340</v>
      </c>
      <c r="I24" s="102">
        <f t="shared" si="4"/>
        <v>0.95724313975749842</v>
      </c>
      <c r="J24" s="103">
        <f t="shared" si="13"/>
        <v>39.957243139757502</v>
      </c>
      <c r="K24" s="103">
        <f t="shared" si="14"/>
        <v>2397.4345883854503</v>
      </c>
      <c r="L24" s="110">
        <v>49</v>
      </c>
      <c r="M24" s="101">
        <f t="shared" si="15"/>
        <v>2940</v>
      </c>
      <c r="N24" s="101">
        <f t="shared" ca="1" si="10"/>
        <v>1715</v>
      </c>
      <c r="O24" s="105">
        <f t="shared" ca="1" si="11"/>
        <v>25</v>
      </c>
      <c r="P24" s="95"/>
      <c r="Q24" s="173">
        <v>6</v>
      </c>
      <c r="R24" s="98">
        <v>6</v>
      </c>
      <c r="S24" s="98">
        <v>2</v>
      </c>
      <c r="T24" s="98">
        <v>3</v>
      </c>
      <c r="U24" s="98">
        <v>2</v>
      </c>
      <c r="V24" s="98">
        <v>2</v>
      </c>
      <c r="W24" s="98">
        <v>1</v>
      </c>
      <c r="X24" s="98">
        <v>1</v>
      </c>
      <c r="Y24" s="98">
        <v>2</v>
      </c>
      <c r="Z24" s="98">
        <v>1</v>
      </c>
      <c r="AA24" s="98">
        <v>1</v>
      </c>
      <c r="AB24" s="98">
        <v>4</v>
      </c>
      <c r="AC24" s="98">
        <v>3</v>
      </c>
      <c r="AD24" s="98">
        <v>0</v>
      </c>
      <c r="AE24" s="98">
        <v>0</v>
      </c>
      <c r="AF24" s="98">
        <f ca="1">SUMIFS('Tổng Đơn'!$F:$F,'Tổng Đơn'!$B:$B,$C24)</f>
        <v>1</v>
      </c>
      <c r="AG24" s="98">
        <v>0</v>
      </c>
      <c r="AH24" s="98">
        <v>0</v>
      </c>
      <c r="AI24" s="111">
        <v>0</v>
      </c>
      <c r="AJ24" s="111">
        <v>0</v>
      </c>
      <c r="AK24" s="111">
        <v>0</v>
      </c>
      <c r="AL24" s="111">
        <v>0</v>
      </c>
      <c r="AM24" s="111">
        <v>0</v>
      </c>
      <c r="AN24" s="111">
        <v>0</v>
      </c>
      <c r="AO24" s="111">
        <v>0</v>
      </c>
      <c r="AP24" s="111">
        <v>0</v>
      </c>
      <c r="AQ24" s="111">
        <v>0</v>
      </c>
      <c r="AR24" s="111">
        <v>0</v>
      </c>
      <c r="AS24" s="111">
        <v>0</v>
      </c>
      <c r="AT24" s="111">
        <v>0</v>
      </c>
      <c r="AU24" s="111">
        <v>0</v>
      </c>
      <c r="AV24" s="111">
        <v>0</v>
      </c>
      <c r="AW24" s="96">
        <v>10</v>
      </c>
      <c r="AX24" s="96">
        <f t="shared" si="6"/>
        <v>390</v>
      </c>
    </row>
    <row r="25" spans="1:50" ht="18.75" x14ac:dyDescent="0.25">
      <c r="A25" s="96">
        <f t="shared" ca="1" si="2"/>
        <v>594.23592361690635</v>
      </c>
      <c r="B25" s="6">
        <v>21</v>
      </c>
      <c r="C25" s="98" t="s">
        <v>174</v>
      </c>
      <c r="D25" s="106">
        <v>145</v>
      </c>
      <c r="E25" s="6">
        <v>0.5</v>
      </c>
      <c r="F25" s="6">
        <v>36</v>
      </c>
      <c r="G25" s="109">
        <f t="shared" si="3"/>
        <v>72.5</v>
      </c>
      <c r="H25" s="112">
        <f t="shared" si="12"/>
        <v>2610</v>
      </c>
      <c r="I25" s="102">
        <f t="shared" si="4"/>
        <v>1.7794904521132981</v>
      </c>
      <c r="J25" s="103">
        <f t="shared" si="13"/>
        <v>74.279490452113293</v>
      </c>
      <c r="K25" s="103">
        <f t="shared" si="14"/>
        <v>2674.0616562760788</v>
      </c>
      <c r="L25" s="110">
        <v>80</v>
      </c>
      <c r="M25" s="101">
        <f t="shared" si="15"/>
        <v>2880</v>
      </c>
      <c r="N25" s="101">
        <f t="shared" ca="1" si="10"/>
        <v>2240</v>
      </c>
      <c r="O25" s="105">
        <f t="shared" ca="1" si="11"/>
        <v>8</v>
      </c>
      <c r="P25" s="95"/>
      <c r="Q25" s="173">
        <v>11</v>
      </c>
      <c r="R25" s="98">
        <v>1</v>
      </c>
      <c r="S25" s="98">
        <v>2</v>
      </c>
      <c r="T25" s="98">
        <v>0</v>
      </c>
      <c r="U25" s="98">
        <v>2</v>
      </c>
      <c r="V25" s="98">
        <v>0</v>
      </c>
      <c r="W25" s="98">
        <v>2</v>
      </c>
      <c r="X25" s="98">
        <v>1</v>
      </c>
      <c r="Y25" s="98">
        <v>1</v>
      </c>
      <c r="Z25" s="98">
        <v>2</v>
      </c>
      <c r="AA25" s="98">
        <v>0</v>
      </c>
      <c r="AB25" s="98">
        <v>1</v>
      </c>
      <c r="AC25" s="98">
        <v>2</v>
      </c>
      <c r="AD25" s="98">
        <v>1</v>
      </c>
      <c r="AE25" s="98">
        <v>0</v>
      </c>
      <c r="AF25" s="98">
        <f ca="1">SUMIFS('Tổng Đơn'!$F:$F,'Tổng Đơn'!$B:$B,$C25)</f>
        <v>2</v>
      </c>
      <c r="AG25" s="98">
        <v>0</v>
      </c>
      <c r="AH25" s="98">
        <v>0</v>
      </c>
      <c r="AI25" s="111">
        <v>0</v>
      </c>
      <c r="AJ25" s="111">
        <v>0</v>
      </c>
      <c r="AK25" s="111">
        <v>0</v>
      </c>
      <c r="AL25" s="111">
        <v>0</v>
      </c>
      <c r="AM25" s="111">
        <v>0</v>
      </c>
      <c r="AN25" s="111">
        <v>0</v>
      </c>
      <c r="AO25" s="111">
        <v>0</v>
      </c>
      <c r="AP25" s="111">
        <v>0</v>
      </c>
      <c r="AQ25" s="111">
        <v>0</v>
      </c>
      <c r="AR25" s="111">
        <v>0</v>
      </c>
      <c r="AS25" s="111">
        <v>0</v>
      </c>
      <c r="AT25" s="111">
        <v>0</v>
      </c>
      <c r="AU25" s="111">
        <v>0</v>
      </c>
      <c r="AV25" s="111">
        <v>0</v>
      </c>
      <c r="AX25" s="96">
        <f t="shared" si="6"/>
        <v>0</v>
      </c>
    </row>
    <row r="26" spans="1:50" ht="18.75" x14ac:dyDescent="0.25">
      <c r="A26" s="96">
        <f t="shared" ca="1" si="2"/>
        <v>947.70384369937665</v>
      </c>
      <c r="B26" s="6">
        <v>22</v>
      </c>
      <c r="C26" s="98" t="s">
        <v>180</v>
      </c>
      <c r="D26" s="106">
        <v>74</v>
      </c>
      <c r="E26" s="6">
        <v>0.5</v>
      </c>
      <c r="F26" s="6">
        <v>60</v>
      </c>
      <c r="G26" s="109">
        <f t="shared" si="3"/>
        <v>37</v>
      </c>
      <c r="H26" s="112">
        <f t="shared" ref="H26" si="16">G26*F26</f>
        <v>2220</v>
      </c>
      <c r="I26" s="102">
        <f t="shared" si="4"/>
        <v>0.90815374797506254</v>
      </c>
      <c r="J26" s="103">
        <f t="shared" ref="J26" si="17">G26+I26</f>
        <v>37.908153747975064</v>
      </c>
      <c r="K26" s="103">
        <f t="shared" ref="K26" si="18">J26*F26</f>
        <v>2274.4892248785036</v>
      </c>
      <c r="L26" s="110">
        <v>42</v>
      </c>
      <c r="M26" s="101">
        <f t="shared" ref="M26" si="19">L26*F26</f>
        <v>2520</v>
      </c>
      <c r="N26" s="101">
        <f t="shared" ca="1" si="10"/>
        <v>1428</v>
      </c>
      <c r="O26" s="105">
        <f t="shared" ca="1" si="11"/>
        <v>25</v>
      </c>
      <c r="P26" s="95">
        <v>1</v>
      </c>
      <c r="Q26" s="173">
        <v>7</v>
      </c>
      <c r="R26" s="98">
        <v>4</v>
      </c>
      <c r="S26" s="98">
        <v>2</v>
      </c>
      <c r="T26" s="98">
        <v>1</v>
      </c>
      <c r="U26" s="98">
        <v>4</v>
      </c>
      <c r="V26" s="98">
        <v>0</v>
      </c>
      <c r="W26" s="98">
        <v>0</v>
      </c>
      <c r="X26" s="98">
        <v>2</v>
      </c>
      <c r="Y26" s="98">
        <v>2</v>
      </c>
      <c r="Z26" s="98">
        <v>1</v>
      </c>
      <c r="AA26" s="98">
        <v>1</v>
      </c>
      <c r="AB26" s="98">
        <v>4</v>
      </c>
      <c r="AC26" s="98">
        <v>2</v>
      </c>
      <c r="AD26" s="98">
        <v>1</v>
      </c>
      <c r="AE26" s="98">
        <v>1</v>
      </c>
      <c r="AF26" s="98">
        <f ca="1">SUMIFS('Tổng Đơn'!$F:$F,'Tổng Đơn'!$B:$B,$C26)</f>
        <v>2</v>
      </c>
      <c r="AG26" s="98">
        <v>0</v>
      </c>
      <c r="AH26" s="98">
        <v>0</v>
      </c>
      <c r="AI26" s="111">
        <v>0</v>
      </c>
      <c r="AJ26" s="111">
        <v>0</v>
      </c>
      <c r="AK26" s="111">
        <v>0</v>
      </c>
      <c r="AL26" s="111">
        <v>0</v>
      </c>
      <c r="AM26" s="111">
        <v>0</v>
      </c>
      <c r="AN26" s="111">
        <v>0</v>
      </c>
      <c r="AO26" s="111">
        <v>0</v>
      </c>
      <c r="AP26" s="111">
        <v>0</v>
      </c>
      <c r="AQ26" s="111">
        <v>0</v>
      </c>
      <c r="AR26" s="111">
        <v>0</v>
      </c>
      <c r="AS26" s="111">
        <v>0</v>
      </c>
      <c r="AT26" s="111">
        <v>0</v>
      </c>
      <c r="AU26" s="111">
        <v>0</v>
      </c>
      <c r="AV26" s="111">
        <v>0</v>
      </c>
      <c r="AW26" s="96">
        <v>20</v>
      </c>
      <c r="AX26" s="96">
        <f t="shared" si="6"/>
        <v>740</v>
      </c>
    </row>
    <row r="27" spans="1:50" ht="18.75" x14ac:dyDescent="0.25">
      <c r="A27" s="96">
        <f t="shared" ca="1" si="2"/>
        <v>60.44813705758186</v>
      </c>
      <c r="B27" s="6">
        <v>23</v>
      </c>
      <c r="C27" s="98" t="s">
        <v>182</v>
      </c>
      <c r="D27" s="106">
        <v>59</v>
      </c>
      <c r="E27" s="6">
        <v>0.5</v>
      </c>
      <c r="F27" s="6">
        <v>10</v>
      </c>
      <c r="G27" s="109">
        <f t="shared" si="3"/>
        <v>29.5</v>
      </c>
      <c r="H27" s="112">
        <f t="shared" ref="H27:H30" si="20">G27*F27</f>
        <v>295</v>
      </c>
      <c r="I27" s="102">
        <f t="shared" si="4"/>
        <v>0.72406852879092831</v>
      </c>
      <c r="J27" s="103">
        <f t="shared" ref="J27:J28" si="21">G27+I27</f>
        <v>30.22406852879093</v>
      </c>
      <c r="K27" s="103">
        <f t="shared" ref="K27:K28" si="22">J27*F27</f>
        <v>302.24068528790929</v>
      </c>
      <c r="L27" s="110">
        <v>35</v>
      </c>
      <c r="M27" s="101">
        <f t="shared" ref="M27:M28" si="23">L27*F27</f>
        <v>350</v>
      </c>
      <c r="N27" s="101">
        <f t="shared" ca="1" si="10"/>
        <v>70</v>
      </c>
      <c r="O27" s="105">
        <f t="shared" ca="1" si="11"/>
        <v>2</v>
      </c>
      <c r="P27" s="95">
        <v>6</v>
      </c>
      <c r="Q27" s="173">
        <v>0</v>
      </c>
      <c r="R27" s="98">
        <v>0</v>
      </c>
      <c r="S27" s="98">
        <v>0</v>
      </c>
      <c r="T27" s="98">
        <v>0</v>
      </c>
      <c r="U27" s="98">
        <v>0</v>
      </c>
      <c r="V27" s="98">
        <v>0</v>
      </c>
      <c r="W27" s="98">
        <v>0</v>
      </c>
      <c r="X27" s="98">
        <v>0</v>
      </c>
      <c r="Y27" s="98">
        <v>1</v>
      </c>
      <c r="Z27" s="98">
        <v>0</v>
      </c>
      <c r="AA27" s="98">
        <v>0</v>
      </c>
      <c r="AB27" s="98">
        <v>0</v>
      </c>
      <c r="AC27" s="98">
        <v>0</v>
      </c>
      <c r="AD27" s="98">
        <v>0</v>
      </c>
      <c r="AE27" s="98">
        <v>0</v>
      </c>
      <c r="AF27" s="98">
        <f ca="1">SUMIFS('Tổng Đơn'!$F:$F,'Tổng Đơn'!$B:$B,$C27)</f>
        <v>1</v>
      </c>
      <c r="AG27" s="98">
        <v>0</v>
      </c>
      <c r="AH27" s="98">
        <v>0</v>
      </c>
      <c r="AI27" s="111">
        <v>0</v>
      </c>
      <c r="AJ27" s="111">
        <v>0</v>
      </c>
      <c r="AK27" s="111">
        <v>0</v>
      </c>
      <c r="AL27" s="111">
        <v>0</v>
      </c>
      <c r="AM27" s="111">
        <v>0</v>
      </c>
      <c r="AN27" s="111">
        <v>0</v>
      </c>
      <c r="AO27" s="111">
        <v>0</v>
      </c>
      <c r="AP27" s="111">
        <v>0</v>
      </c>
      <c r="AQ27" s="111">
        <v>0</v>
      </c>
      <c r="AR27" s="111">
        <v>0</v>
      </c>
      <c r="AS27" s="111">
        <v>0</v>
      </c>
      <c r="AT27" s="111">
        <v>0</v>
      </c>
      <c r="AU27" s="111">
        <v>0</v>
      </c>
      <c r="AV27" s="111">
        <v>0</v>
      </c>
      <c r="AX27" s="96">
        <f t="shared" si="6"/>
        <v>0</v>
      </c>
    </row>
    <row r="28" spans="1:50" ht="18.75" x14ac:dyDescent="0.25">
      <c r="A28" s="96">
        <f t="shared" ca="1" si="2"/>
        <v>548.64368464974712</v>
      </c>
      <c r="B28" s="6">
        <v>24</v>
      </c>
      <c r="C28" s="98" t="s">
        <v>183</v>
      </c>
      <c r="D28" s="106">
        <v>63</v>
      </c>
      <c r="E28" s="6">
        <v>0.5</v>
      </c>
      <c r="F28" s="6">
        <v>30</v>
      </c>
      <c r="G28" s="109">
        <f t="shared" si="3"/>
        <v>31.5</v>
      </c>
      <c r="H28" s="112">
        <f t="shared" si="20"/>
        <v>945</v>
      </c>
      <c r="I28" s="102">
        <f t="shared" si="4"/>
        <v>0.77315792057336408</v>
      </c>
      <c r="J28" s="103">
        <f t="shared" si="21"/>
        <v>32.273157920573361</v>
      </c>
      <c r="K28" s="103">
        <f t="shared" si="22"/>
        <v>968.19473761720087</v>
      </c>
      <c r="L28" s="110">
        <v>38</v>
      </c>
      <c r="M28" s="101">
        <f t="shared" si="23"/>
        <v>1140</v>
      </c>
      <c r="N28" s="101">
        <f t="shared" ca="1" si="10"/>
        <v>494</v>
      </c>
      <c r="O28" s="105">
        <f t="shared" ca="1" si="11"/>
        <v>17</v>
      </c>
      <c r="P28" s="95"/>
      <c r="Q28" s="173">
        <v>4</v>
      </c>
      <c r="R28" s="98">
        <v>0</v>
      </c>
      <c r="S28" s="98">
        <v>1</v>
      </c>
      <c r="T28" s="98">
        <v>0</v>
      </c>
      <c r="U28" s="98">
        <v>2</v>
      </c>
      <c r="V28" s="98">
        <v>1</v>
      </c>
      <c r="W28" s="98">
        <v>1</v>
      </c>
      <c r="X28" s="98">
        <v>0</v>
      </c>
      <c r="Y28" s="98">
        <v>1</v>
      </c>
      <c r="Z28" s="98">
        <v>0</v>
      </c>
      <c r="AA28" s="98">
        <v>1</v>
      </c>
      <c r="AB28" s="98">
        <v>1</v>
      </c>
      <c r="AC28" s="98">
        <v>0</v>
      </c>
      <c r="AD28" s="98">
        <v>1</v>
      </c>
      <c r="AE28" s="98">
        <v>0</v>
      </c>
      <c r="AF28" s="98">
        <f ca="1">SUMIFS('Tổng Đơn'!$F:$F,'Tổng Đơn'!$B:$B,$C28)</f>
        <v>0</v>
      </c>
      <c r="AG28" s="98">
        <v>0</v>
      </c>
      <c r="AH28" s="98">
        <v>0</v>
      </c>
      <c r="AI28" s="111">
        <v>0</v>
      </c>
      <c r="AJ28" s="111">
        <v>0</v>
      </c>
      <c r="AK28" s="111">
        <v>0</v>
      </c>
      <c r="AL28" s="111">
        <v>0</v>
      </c>
      <c r="AM28" s="111">
        <v>0</v>
      </c>
      <c r="AN28" s="111">
        <v>0</v>
      </c>
      <c r="AO28" s="111">
        <v>0</v>
      </c>
      <c r="AP28" s="111">
        <v>0</v>
      </c>
      <c r="AQ28" s="111">
        <v>0</v>
      </c>
      <c r="AR28" s="111">
        <v>0</v>
      </c>
      <c r="AS28" s="111">
        <v>0</v>
      </c>
      <c r="AT28" s="111">
        <v>0</v>
      </c>
      <c r="AU28" s="111">
        <v>0</v>
      </c>
      <c r="AV28" s="111">
        <v>0</v>
      </c>
      <c r="AX28" s="96">
        <f t="shared" si="6"/>
        <v>0</v>
      </c>
    </row>
    <row r="29" spans="1:50" ht="18.75" x14ac:dyDescent="0.25">
      <c r="A29" s="96">
        <f t="shared" ca="1" si="2"/>
        <v>1872.3554317412006</v>
      </c>
      <c r="B29" s="6">
        <v>25</v>
      </c>
      <c r="C29" s="98" t="s">
        <v>208</v>
      </c>
      <c r="D29" s="106">
        <v>85</v>
      </c>
      <c r="E29" s="6">
        <v>0.5</v>
      </c>
      <c r="F29" s="6">
        <v>50</v>
      </c>
      <c r="G29" s="109">
        <f t="shared" si="3"/>
        <v>42.5</v>
      </c>
      <c r="H29" s="112">
        <f t="shared" si="20"/>
        <v>2125</v>
      </c>
      <c r="I29" s="102">
        <f t="shared" ref="I29:I30" si="24">((H29/$H$4)*$A$2)/F29</f>
        <v>1.043149575376761</v>
      </c>
      <c r="J29" s="103">
        <f t="shared" ref="J29:J30" si="25">G29+I29</f>
        <v>43.543149575376759</v>
      </c>
      <c r="K29" s="103">
        <f t="shared" ref="K29:K30" si="26">J29*F29</f>
        <v>2177.1574787688378</v>
      </c>
      <c r="L29" s="110">
        <v>48</v>
      </c>
      <c r="M29" s="101">
        <f t="shared" ref="M29:M30" si="27">L29*F29</f>
        <v>2400</v>
      </c>
      <c r="N29" s="101">
        <f t="shared" ca="1" si="10"/>
        <v>336</v>
      </c>
      <c r="O29" s="105">
        <f t="shared" ref="O29:O32" ca="1" si="28">F29-SUM(Q29:AV29)-P29</f>
        <v>43</v>
      </c>
      <c r="P29" s="95"/>
      <c r="Q29" s="173">
        <v>0</v>
      </c>
      <c r="R29" s="98">
        <v>0</v>
      </c>
      <c r="S29" s="98">
        <v>0</v>
      </c>
      <c r="T29" s="98">
        <v>0</v>
      </c>
      <c r="U29" s="98">
        <v>0</v>
      </c>
      <c r="V29" s="98">
        <v>0</v>
      </c>
      <c r="W29" s="98">
        <v>0</v>
      </c>
      <c r="X29" s="98">
        <v>0</v>
      </c>
      <c r="Y29" s="98">
        <v>0</v>
      </c>
      <c r="Z29" s="98">
        <v>0</v>
      </c>
      <c r="AA29" s="98">
        <v>0</v>
      </c>
      <c r="AB29" s="98">
        <v>0</v>
      </c>
      <c r="AC29" s="98">
        <v>2</v>
      </c>
      <c r="AD29" s="98">
        <v>1</v>
      </c>
      <c r="AE29" s="98">
        <v>1</v>
      </c>
      <c r="AF29" s="98">
        <f ca="1">SUMIFS('Tổng Đơn'!$F:$F,'Tổng Đơn'!$B:$B,$C29)</f>
        <v>3</v>
      </c>
      <c r="AG29" s="98">
        <v>0</v>
      </c>
      <c r="AH29" s="98">
        <v>0</v>
      </c>
      <c r="AI29" s="111">
        <v>0</v>
      </c>
      <c r="AJ29" s="111">
        <v>0</v>
      </c>
      <c r="AK29" s="111">
        <v>0</v>
      </c>
      <c r="AL29" s="111">
        <v>0</v>
      </c>
      <c r="AM29" s="111">
        <v>0</v>
      </c>
      <c r="AN29" s="111">
        <v>0</v>
      </c>
      <c r="AO29" s="111">
        <v>0</v>
      </c>
      <c r="AP29" s="111">
        <v>0</v>
      </c>
      <c r="AQ29" s="111">
        <v>0</v>
      </c>
      <c r="AR29" s="111">
        <v>0</v>
      </c>
      <c r="AS29" s="111">
        <v>0</v>
      </c>
      <c r="AT29" s="111">
        <v>0</v>
      </c>
      <c r="AU29" s="111">
        <v>0</v>
      </c>
      <c r="AV29" s="111">
        <v>0</v>
      </c>
      <c r="AX29" s="96">
        <f t="shared" si="6"/>
        <v>0</v>
      </c>
    </row>
    <row r="30" spans="1:50" ht="18.75" x14ac:dyDescent="0.25">
      <c r="A30" s="96">
        <f t="shared" ca="1" si="2"/>
        <v>891.35388542535964</v>
      </c>
      <c r="B30" s="6">
        <v>26</v>
      </c>
      <c r="C30" s="98" t="s">
        <v>212</v>
      </c>
      <c r="D30" s="106">
        <v>87</v>
      </c>
      <c r="E30" s="6">
        <v>0.5</v>
      </c>
      <c r="F30" s="6">
        <v>20</v>
      </c>
      <c r="G30" s="109">
        <f>D30/2</f>
        <v>43.5</v>
      </c>
      <c r="H30" s="112">
        <f t="shared" si="20"/>
        <v>870</v>
      </c>
      <c r="I30" s="102">
        <f t="shared" si="24"/>
        <v>1.0676942712679789</v>
      </c>
      <c r="J30" s="103">
        <f t="shared" si="25"/>
        <v>44.567694271267982</v>
      </c>
      <c r="K30" s="103">
        <f t="shared" si="26"/>
        <v>891.35388542535964</v>
      </c>
      <c r="L30" s="110">
        <v>50</v>
      </c>
      <c r="M30" s="101">
        <f t="shared" si="27"/>
        <v>1000</v>
      </c>
      <c r="N30" s="101">
        <f t="shared" ca="1" si="10"/>
        <v>0</v>
      </c>
      <c r="O30" s="105">
        <f t="shared" ca="1" si="28"/>
        <v>20</v>
      </c>
      <c r="P30" s="95"/>
      <c r="Q30" s="173">
        <v>0</v>
      </c>
      <c r="R30" s="98">
        <v>0</v>
      </c>
      <c r="S30" s="98">
        <v>0</v>
      </c>
      <c r="T30" s="98">
        <v>0</v>
      </c>
      <c r="U30" s="98">
        <v>0</v>
      </c>
      <c r="V30" s="98">
        <v>0</v>
      </c>
      <c r="W30" s="98">
        <v>0</v>
      </c>
      <c r="X30" s="98">
        <v>0</v>
      </c>
      <c r="Y30" s="98">
        <v>0</v>
      </c>
      <c r="Z30" s="98">
        <v>0</v>
      </c>
      <c r="AA30" s="98">
        <v>0</v>
      </c>
      <c r="AB30" s="98">
        <v>0</v>
      </c>
      <c r="AC30" s="98">
        <v>0</v>
      </c>
      <c r="AD30" s="98">
        <v>0</v>
      </c>
      <c r="AE30" s="98">
        <v>0</v>
      </c>
      <c r="AF30" s="98">
        <f ca="1">SUMIFS('Tổng Đơn'!$F:$F,'Tổng Đơn'!$B:$B,$C30)</f>
        <v>0</v>
      </c>
      <c r="AG30" s="98">
        <v>0</v>
      </c>
      <c r="AH30" s="98">
        <v>0</v>
      </c>
      <c r="AI30" s="111">
        <v>0</v>
      </c>
      <c r="AJ30" s="111">
        <v>0</v>
      </c>
      <c r="AK30" s="111">
        <v>0</v>
      </c>
      <c r="AL30" s="111">
        <v>0</v>
      </c>
      <c r="AM30" s="111">
        <v>0</v>
      </c>
      <c r="AN30" s="111">
        <v>0</v>
      </c>
      <c r="AO30" s="111">
        <v>0</v>
      </c>
      <c r="AP30" s="111">
        <v>0</v>
      </c>
      <c r="AQ30" s="111">
        <v>0</v>
      </c>
      <c r="AR30" s="111">
        <v>0</v>
      </c>
      <c r="AS30" s="111">
        <v>0</v>
      </c>
      <c r="AT30" s="111">
        <v>0</v>
      </c>
      <c r="AU30" s="111">
        <v>0</v>
      </c>
      <c r="AV30" s="111">
        <v>0</v>
      </c>
      <c r="AW30" s="96">
        <v>20</v>
      </c>
      <c r="AX30" s="96">
        <f t="shared" si="6"/>
        <v>870</v>
      </c>
    </row>
    <row r="31" spans="1:50" ht="18.75" x14ac:dyDescent="0.25">
      <c r="A31" s="96">
        <f t="shared" si="2"/>
        <v>0</v>
      </c>
      <c r="B31" s="6">
        <v>27</v>
      </c>
      <c r="C31" s="98" t="s">
        <v>213</v>
      </c>
      <c r="D31" s="106">
        <v>143</v>
      </c>
      <c r="E31" s="6">
        <v>0.5</v>
      </c>
      <c r="F31" s="6"/>
      <c r="G31" s="109">
        <f t="shared" ref="G31:G32" si="29">D31/2</f>
        <v>71.5</v>
      </c>
      <c r="H31" s="112"/>
      <c r="I31" s="102"/>
      <c r="J31" s="103"/>
      <c r="K31" s="103"/>
      <c r="L31" s="110">
        <v>80</v>
      </c>
      <c r="M31" s="101"/>
      <c r="N31" s="101"/>
      <c r="O31" s="105">
        <f t="shared" si="28"/>
        <v>0</v>
      </c>
      <c r="P31" s="95"/>
      <c r="Q31" s="173"/>
      <c r="R31" s="98"/>
      <c r="S31" s="98"/>
      <c r="T31" s="98"/>
      <c r="U31" s="98"/>
      <c r="V31" s="98"/>
      <c r="W31" s="98"/>
      <c r="X31" s="98"/>
      <c r="Y31" s="98"/>
      <c r="Z31" s="98"/>
      <c r="AA31" s="98"/>
      <c r="AB31" s="98"/>
      <c r="AC31" s="98"/>
      <c r="AD31" s="98"/>
      <c r="AE31" s="98"/>
      <c r="AF31" s="98"/>
      <c r="AG31" s="98"/>
      <c r="AH31" s="98"/>
      <c r="AI31" s="111"/>
      <c r="AJ31" s="111"/>
      <c r="AK31" s="111"/>
      <c r="AL31" s="111"/>
      <c r="AM31" s="111"/>
      <c r="AN31" s="111"/>
      <c r="AO31" s="111"/>
      <c r="AP31" s="111"/>
      <c r="AQ31" s="111"/>
      <c r="AR31" s="111"/>
      <c r="AS31" s="111"/>
      <c r="AT31" s="111"/>
      <c r="AU31" s="111"/>
      <c r="AV31" s="111"/>
      <c r="AX31" s="96">
        <f t="shared" si="6"/>
        <v>0</v>
      </c>
    </row>
    <row r="32" spans="1:50" ht="18.75" x14ac:dyDescent="0.25">
      <c r="A32" s="96">
        <f t="shared" si="2"/>
        <v>0</v>
      </c>
      <c r="B32" s="6">
        <v>28</v>
      </c>
      <c r="C32" s="98" t="s">
        <v>214</v>
      </c>
      <c r="D32" s="106">
        <v>143</v>
      </c>
      <c r="E32" s="6">
        <v>0.5</v>
      </c>
      <c r="F32" s="6"/>
      <c r="G32" s="109">
        <f t="shared" si="29"/>
        <v>71.5</v>
      </c>
      <c r="H32" s="112"/>
      <c r="I32" s="102"/>
      <c r="J32" s="103"/>
      <c r="K32" s="103"/>
      <c r="L32" s="110">
        <v>80</v>
      </c>
      <c r="M32" s="101"/>
      <c r="N32" s="101"/>
      <c r="O32" s="105">
        <f t="shared" si="28"/>
        <v>0</v>
      </c>
      <c r="P32" s="95"/>
      <c r="Q32" s="173"/>
      <c r="R32" s="98"/>
      <c r="S32" s="98"/>
      <c r="T32" s="98"/>
      <c r="U32" s="98"/>
      <c r="V32" s="98"/>
      <c r="W32" s="98"/>
      <c r="X32" s="98"/>
      <c r="Y32" s="98"/>
      <c r="Z32" s="98"/>
      <c r="AA32" s="98"/>
      <c r="AB32" s="98"/>
      <c r="AC32" s="98"/>
      <c r="AD32" s="98"/>
      <c r="AE32" s="98"/>
      <c r="AF32" s="98"/>
      <c r="AG32" s="98"/>
      <c r="AH32" s="98"/>
      <c r="AI32" s="111"/>
      <c r="AJ32" s="111"/>
      <c r="AK32" s="111"/>
      <c r="AL32" s="111"/>
      <c r="AM32" s="111"/>
      <c r="AN32" s="111"/>
      <c r="AO32" s="111"/>
      <c r="AP32" s="111"/>
      <c r="AQ32" s="111"/>
      <c r="AR32" s="111"/>
      <c r="AS32" s="111"/>
      <c r="AT32" s="111"/>
      <c r="AU32" s="111"/>
      <c r="AV32" s="111"/>
      <c r="AW32" s="96">
        <v>0</v>
      </c>
      <c r="AX32" s="96">
        <f t="shared" si="6"/>
        <v>0</v>
      </c>
    </row>
  </sheetData>
  <autoFilter ref="B4:AW32"/>
  <mergeCells count="1">
    <mergeCell ref="B1:M1"/>
  </mergeCells>
  <conditionalFormatting sqref="C6:C19">
    <cfRule type="expression" dxfId="643" priority="19">
      <formula>($O6/$O6)&lt;=1/4</formula>
    </cfRule>
  </conditionalFormatting>
  <conditionalFormatting sqref="C20">
    <cfRule type="expression" dxfId="642" priority="18">
      <formula>($O20/$O20)&lt;=1/4</formula>
    </cfRule>
  </conditionalFormatting>
  <conditionalFormatting sqref="C21">
    <cfRule type="expression" dxfId="641" priority="16">
      <formula>($O21/$O21)&lt;=1/4</formula>
    </cfRule>
  </conditionalFormatting>
  <conditionalFormatting sqref="C22">
    <cfRule type="expression" dxfId="640" priority="14">
      <formula>($O22/$O22)&lt;=1/4</formula>
    </cfRule>
  </conditionalFormatting>
  <conditionalFormatting sqref="C23">
    <cfRule type="expression" dxfId="639" priority="12">
      <formula>($O23/$O23)&lt;=1/4</formula>
    </cfRule>
  </conditionalFormatting>
  <conditionalFormatting sqref="C24:C25">
    <cfRule type="expression" dxfId="638" priority="10">
      <formula>($O24/$O24)&lt;=1/4</formula>
    </cfRule>
  </conditionalFormatting>
  <conditionalFormatting sqref="C26">
    <cfRule type="expression" dxfId="637" priority="8">
      <formula>($O26/$O26)&lt;=1/4</formula>
    </cfRule>
  </conditionalFormatting>
  <conditionalFormatting sqref="C27:C28">
    <cfRule type="expression" dxfId="636" priority="6">
      <formula>($O27/$O27)&lt;=1/4</formula>
    </cfRule>
  </conditionalFormatting>
  <conditionalFormatting sqref="C5:C28">
    <cfRule type="expression" dxfId="635" priority="20">
      <formula>($O5/$F5)&lt;=1/4</formula>
    </cfRule>
  </conditionalFormatting>
  <conditionalFormatting sqref="C29">
    <cfRule type="expression" dxfId="634" priority="3">
      <formula>($O29/$O29)&lt;=1/4</formula>
    </cfRule>
  </conditionalFormatting>
  <conditionalFormatting sqref="C29">
    <cfRule type="expression" dxfId="633" priority="4">
      <formula>($O29/$F29)&lt;=1/4</formula>
    </cfRule>
  </conditionalFormatting>
  <conditionalFormatting sqref="C30:C32">
    <cfRule type="expression" dxfId="632" priority="1">
      <formula>($O30/$O30)&lt;=1/4</formula>
    </cfRule>
  </conditionalFormatting>
  <conditionalFormatting sqref="C30:C32">
    <cfRule type="expression" dxfId="631" priority="2">
      <formula>($O30/$F30)&lt;=1/4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G42"/>
  <sheetViews>
    <sheetView workbookViewId="0">
      <selection activeCell="E10" sqref="E10"/>
    </sheetView>
  </sheetViews>
  <sheetFormatPr defaultRowHeight="15" x14ac:dyDescent="0.25"/>
  <cols>
    <col min="1" max="1" width="40.5703125" style="14" customWidth="1"/>
    <col min="2" max="2" width="13" style="15" customWidth="1"/>
    <col min="3" max="3" width="12.5703125" style="14" customWidth="1"/>
    <col min="4" max="4" width="6.140625" style="14" customWidth="1"/>
    <col min="5" max="5" width="40.5703125" style="14" customWidth="1"/>
    <col min="6" max="6" width="13" style="15" customWidth="1"/>
    <col min="7" max="7" width="12.5703125" style="14" customWidth="1"/>
    <col min="8" max="8" width="9.140625" style="14"/>
    <col min="9" max="9" width="40.5703125" style="14" customWidth="1"/>
    <col min="10" max="10" width="11.85546875" style="14" customWidth="1"/>
    <col min="11" max="11" width="12.85546875" style="14" customWidth="1"/>
    <col min="12" max="16384" width="9.140625" style="14"/>
  </cols>
  <sheetData>
    <row r="1" spans="1:7" ht="22.5" customHeight="1" x14ac:dyDescent="0.25"/>
    <row r="2" spans="1:7" ht="36" customHeight="1" x14ac:dyDescent="0.25">
      <c r="A2" s="21" t="s">
        <v>17</v>
      </c>
      <c r="B2" s="21" t="s">
        <v>55</v>
      </c>
      <c r="C2" s="21" t="s">
        <v>57</v>
      </c>
      <c r="E2" s="21" t="s">
        <v>17</v>
      </c>
      <c r="F2" s="21" t="s">
        <v>55</v>
      </c>
      <c r="G2" s="21" t="s">
        <v>57</v>
      </c>
    </row>
    <row r="3" spans="1:7" ht="23.25" customHeight="1" x14ac:dyDescent="0.25">
      <c r="A3" s="22" t="s">
        <v>25</v>
      </c>
      <c r="B3" s="23" t="s">
        <v>56</v>
      </c>
      <c r="C3" s="24">
        <v>27000</v>
      </c>
      <c r="E3" s="22" t="s">
        <v>142</v>
      </c>
      <c r="F3" s="23" t="s">
        <v>56</v>
      </c>
      <c r="G3" s="24">
        <v>42000</v>
      </c>
    </row>
    <row r="4" spans="1:7" ht="23.25" customHeight="1" x14ac:dyDescent="0.25">
      <c r="A4" s="22" t="s">
        <v>1</v>
      </c>
      <c r="B4" s="23" t="s">
        <v>56</v>
      </c>
      <c r="C4" s="24">
        <v>25000</v>
      </c>
      <c r="E4" s="22" t="s">
        <v>143</v>
      </c>
      <c r="F4" s="23" t="s">
        <v>56</v>
      </c>
      <c r="G4" s="24">
        <v>35000</v>
      </c>
    </row>
    <row r="5" spans="1:7" ht="23.25" customHeight="1" x14ac:dyDescent="0.25">
      <c r="A5" s="22" t="s">
        <v>2</v>
      </c>
      <c r="B5" s="23" t="s">
        <v>56</v>
      </c>
      <c r="C5" s="24">
        <v>28000</v>
      </c>
      <c r="E5" s="22" t="s">
        <v>145</v>
      </c>
      <c r="F5" s="23" t="s">
        <v>56</v>
      </c>
      <c r="G5" s="24">
        <v>45000</v>
      </c>
    </row>
    <row r="6" spans="1:7" ht="23.25" customHeight="1" x14ac:dyDescent="0.25">
      <c r="A6" s="25" t="s">
        <v>3</v>
      </c>
      <c r="B6" s="29" t="s">
        <v>56</v>
      </c>
      <c r="C6" s="30">
        <v>30000</v>
      </c>
      <c r="E6" s="26" t="s">
        <v>147</v>
      </c>
      <c r="F6" s="23" t="s">
        <v>56</v>
      </c>
      <c r="G6" s="24">
        <v>45000</v>
      </c>
    </row>
    <row r="7" spans="1:7" ht="23.25" customHeight="1" x14ac:dyDescent="0.25">
      <c r="A7" s="26" t="s">
        <v>30</v>
      </c>
      <c r="B7" s="27" t="s">
        <v>56</v>
      </c>
      <c r="C7" s="28">
        <v>38000</v>
      </c>
      <c r="E7" s="26" t="s">
        <v>150</v>
      </c>
      <c r="F7" s="23" t="s">
        <v>56</v>
      </c>
      <c r="G7" s="24">
        <v>35000</v>
      </c>
    </row>
    <row r="8" spans="1:7" ht="23.25" customHeight="1" x14ac:dyDescent="0.25">
      <c r="A8" s="26" t="s">
        <v>28</v>
      </c>
      <c r="B8" s="23" t="s">
        <v>56</v>
      </c>
      <c r="C8" s="24">
        <v>42000</v>
      </c>
    </row>
    <row r="9" spans="1:7" ht="23.25" customHeight="1" x14ac:dyDescent="0.25">
      <c r="A9" s="25" t="s">
        <v>26</v>
      </c>
      <c r="B9" s="29" t="s">
        <v>63</v>
      </c>
      <c r="C9" s="30">
        <v>34000</v>
      </c>
    </row>
    <row r="10" spans="1:7" ht="23.25" customHeight="1" x14ac:dyDescent="0.25">
      <c r="A10" s="26" t="s">
        <v>151</v>
      </c>
      <c r="B10" s="27" t="s">
        <v>56</v>
      </c>
      <c r="C10" s="28">
        <v>35000</v>
      </c>
    </row>
    <row r="11" spans="1:7" ht="23.25" customHeight="1" x14ac:dyDescent="0.25">
      <c r="A11" s="25" t="s">
        <v>31</v>
      </c>
      <c r="B11" s="29" t="s">
        <v>56</v>
      </c>
      <c r="C11" s="30">
        <v>45000</v>
      </c>
    </row>
    <row r="12" spans="1:7" ht="24.95" customHeight="1" x14ac:dyDescent="0.25">
      <c r="B12" s="14"/>
    </row>
    <row r="13" spans="1:7" ht="23.25" customHeight="1" x14ac:dyDescent="0.25">
      <c r="A13" s="21" t="s">
        <v>17</v>
      </c>
      <c r="B13" s="21" t="s">
        <v>55</v>
      </c>
      <c r="C13" s="21" t="s">
        <v>57</v>
      </c>
      <c r="E13" s="21" t="s">
        <v>17</v>
      </c>
      <c r="F13" s="21" t="s">
        <v>55</v>
      </c>
      <c r="G13" s="21" t="s">
        <v>57</v>
      </c>
    </row>
    <row r="14" spans="1:7" ht="23.25" customHeight="1" x14ac:dyDescent="0.25">
      <c r="A14" s="26" t="s">
        <v>6</v>
      </c>
      <c r="B14" s="27" t="s">
        <v>56</v>
      </c>
      <c r="C14" s="28">
        <v>50000</v>
      </c>
      <c r="E14" s="22" t="s">
        <v>13</v>
      </c>
      <c r="F14" s="23" t="s">
        <v>56</v>
      </c>
      <c r="G14" s="24">
        <v>28000</v>
      </c>
    </row>
    <row r="15" spans="1:7" ht="23.25" customHeight="1" x14ac:dyDescent="0.25">
      <c r="A15" s="26" t="s">
        <v>58</v>
      </c>
      <c r="B15" s="27" t="s">
        <v>56</v>
      </c>
      <c r="C15" s="28">
        <v>45000</v>
      </c>
      <c r="E15" s="22" t="s">
        <v>12</v>
      </c>
      <c r="F15" s="23" t="s">
        <v>56</v>
      </c>
      <c r="G15" s="24">
        <v>26000</v>
      </c>
    </row>
    <row r="16" spans="1:7" ht="23.25" customHeight="1" x14ac:dyDescent="0.25">
      <c r="A16" s="26" t="s">
        <v>35</v>
      </c>
      <c r="B16" s="27" t="s">
        <v>56</v>
      </c>
      <c r="C16" s="28">
        <v>45000</v>
      </c>
      <c r="D16" s="33"/>
      <c r="E16" s="22" t="s">
        <v>14</v>
      </c>
      <c r="F16" s="23" t="s">
        <v>56</v>
      </c>
      <c r="G16" s="24">
        <v>33000</v>
      </c>
    </row>
    <row r="17" spans="1:7" ht="23.25" customHeight="1" x14ac:dyDescent="0.25">
      <c r="A17" s="26" t="s">
        <v>32</v>
      </c>
      <c r="B17" s="27" t="s">
        <v>56</v>
      </c>
      <c r="C17" s="28">
        <v>45000</v>
      </c>
      <c r="D17" s="33"/>
      <c r="E17" s="22" t="s">
        <v>7</v>
      </c>
      <c r="F17" s="23" t="s">
        <v>56</v>
      </c>
      <c r="G17" s="24">
        <v>34000</v>
      </c>
    </row>
    <row r="18" spans="1:7" ht="23.25" customHeight="1" x14ac:dyDescent="0.25">
      <c r="A18" s="26" t="s">
        <v>34</v>
      </c>
      <c r="B18" s="27" t="s">
        <v>56</v>
      </c>
      <c r="C18" s="28">
        <v>45000</v>
      </c>
      <c r="D18" s="33"/>
      <c r="E18" s="26" t="s">
        <v>8</v>
      </c>
      <c r="F18" s="27" t="s">
        <v>56</v>
      </c>
      <c r="G18" s="28">
        <v>69000</v>
      </c>
    </row>
    <row r="19" spans="1:7" ht="23.25" customHeight="1" x14ac:dyDescent="0.25">
      <c r="A19" s="26" t="s">
        <v>33</v>
      </c>
      <c r="B19" s="27" t="s">
        <v>56</v>
      </c>
      <c r="C19" s="28">
        <v>45000</v>
      </c>
      <c r="E19" s="26" t="s">
        <v>27</v>
      </c>
      <c r="F19" s="23" t="s">
        <v>56</v>
      </c>
      <c r="G19" s="24">
        <v>38000</v>
      </c>
    </row>
    <row r="20" spans="1:7" ht="23.25" customHeight="1" x14ac:dyDescent="0.25">
      <c r="A20" s="25" t="s">
        <v>5</v>
      </c>
      <c r="B20" s="29" t="s">
        <v>54</v>
      </c>
      <c r="C20" s="30">
        <v>40000</v>
      </c>
      <c r="E20" s="25" t="s">
        <v>68</v>
      </c>
      <c r="F20" s="29" t="s">
        <v>53</v>
      </c>
      <c r="G20" s="30">
        <v>35000</v>
      </c>
    </row>
    <row r="21" spans="1:7" ht="23.25" customHeight="1" x14ac:dyDescent="0.25">
      <c r="A21" s="25" t="s">
        <v>4</v>
      </c>
      <c r="B21" s="29" t="s">
        <v>54</v>
      </c>
      <c r="C21" s="30">
        <v>40000</v>
      </c>
      <c r="E21" s="25" t="s">
        <v>29</v>
      </c>
      <c r="F21" s="29" t="s">
        <v>53</v>
      </c>
      <c r="G21" s="30">
        <v>45000</v>
      </c>
    </row>
    <row r="22" spans="1:7" ht="24.95" customHeight="1" x14ac:dyDescent="0.25">
      <c r="A22" s="26" t="s">
        <v>9</v>
      </c>
      <c r="B22" s="27" t="s">
        <v>56</v>
      </c>
      <c r="C22" s="28">
        <v>55000</v>
      </c>
      <c r="E22" s="26" t="s">
        <v>15</v>
      </c>
      <c r="F22" s="27" t="s">
        <v>53</v>
      </c>
      <c r="G22" s="28">
        <v>35000</v>
      </c>
    </row>
    <row r="23" spans="1:7" ht="24.95" customHeight="1" x14ac:dyDescent="0.25">
      <c r="B23" s="14"/>
      <c r="E23" s="26" t="s">
        <v>10</v>
      </c>
      <c r="F23" s="27" t="s">
        <v>53</v>
      </c>
      <c r="G23" s="28">
        <v>32000</v>
      </c>
    </row>
    <row r="24" spans="1:7" x14ac:dyDescent="0.25">
      <c r="B24" s="14"/>
      <c r="F24" s="14"/>
    </row>
    <row r="25" spans="1:7" x14ac:dyDescent="0.25">
      <c r="B25" s="14"/>
      <c r="F25" s="14"/>
    </row>
    <row r="26" spans="1:7" x14ac:dyDescent="0.25">
      <c r="B26" s="14"/>
      <c r="F26" s="14"/>
    </row>
    <row r="27" spans="1:7" x14ac:dyDescent="0.25">
      <c r="B27" s="14"/>
      <c r="F27" s="14"/>
    </row>
    <row r="28" spans="1:7" x14ac:dyDescent="0.25">
      <c r="B28" s="14"/>
      <c r="F28" s="14"/>
    </row>
    <row r="29" spans="1:7" x14ac:dyDescent="0.25">
      <c r="B29" s="14"/>
      <c r="F29" s="14"/>
    </row>
    <row r="30" spans="1:7" x14ac:dyDescent="0.25">
      <c r="B30" s="14"/>
      <c r="F30" s="14"/>
    </row>
    <row r="31" spans="1:7" x14ac:dyDescent="0.25">
      <c r="B31" s="14"/>
      <c r="F31" s="14"/>
    </row>
    <row r="32" spans="1:7"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sheetData>
  <autoFilter ref="A2:C2"/>
  <pageMargins left="0" right="0" top="0" bottom="0" header="0" footer="0"/>
  <pageSetup fitToHeight="0"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G46"/>
  <sheetViews>
    <sheetView workbookViewId="0">
      <selection activeCell="E13" sqref="E13"/>
    </sheetView>
  </sheetViews>
  <sheetFormatPr defaultRowHeight="15" x14ac:dyDescent="0.25"/>
  <cols>
    <col min="1" max="1" width="40.5703125" style="14" customWidth="1"/>
    <col min="2" max="2" width="13" style="15" customWidth="1"/>
    <col min="3" max="3" width="11.28515625" style="14" customWidth="1"/>
    <col min="4" max="4" width="6.7109375" style="14" customWidth="1"/>
    <col min="5" max="5" width="40.5703125" style="14" customWidth="1"/>
    <col min="6" max="6" width="13" style="15" customWidth="1"/>
    <col min="7" max="7" width="11.28515625" style="14" customWidth="1"/>
    <col min="8" max="16384" width="9.140625" style="14"/>
  </cols>
  <sheetData>
    <row r="1" spans="1:7" ht="39.75" customHeight="1" x14ac:dyDescent="0.25">
      <c r="A1" s="194" t="s">
        <v>66</v>
      </c>
      <c r="B1" s="194"/>
      <c r="C1" s="194"/>
      <c r="E1" s="194" t="s">
        <v>66</v>
      </c>
      <c r="F1" s="194"/>
      <c r="G1" s="194"/>
    </row>
    <row r="2" spans="1:7" ht="36" customHeight="1" x14ac:dyDescent="0.25">
      <c r="A2" s="21" t="s">
        <v>17</v>
      </c>
      <c r="B2" s="21" t="s">
        <v>55</v>
      </c>
      <c r="C2" s="21" t="s">
        <v>57</v>
      </c>
      <c r="E2" s="21" t="s">
        <v>17</v>
      </c>
      <c r="F2" s="21" t="s">
        <v>55</v>
      </c>
      <c r="G2" s="21" t="s">
        <v>57</v>
      </c>
    </row>
    <row r="3" spans="1:7" ht="23.25" customHeight="1" x14ac:dyDescent="0.25">
      <c r="A3" s="26" t="s">
        <v>38</v>
      </c>
      <c r="B3" s="31" t="s">
        <v>56</v>
      </c>
      <c r="C3" s="16">
        <v>32000</v>
      </c>
      <c r="E3" s="26" t="s">
        <v>47</v>
      </c>
      <c r="F3" s="31" t="s">
        <v>56</v>
      </c>
      <c r="G3" s="16">
        <v>79000</v>
      </c>
    </row>
    <row r="4" spans="1:7" ht="23.25" customHeight="1" x14ac:dyDescent="0.25">
      <c r="A4" s="26" t="s">
        <v>39</v>
      </c>
      <c r="B4" s="31" t="s">
        <v>65</v>
      </c>
      <c r="C4" s="16">
        <v>14000</v>
      </c>
      <c r="E4" s="25" t="s">
        <v>37</v>
      </c>
      <c r="F4" s="32" t="s">
        <v>56</v>
      </c>
      <c r="G4" s="17">
        <v>66000</v>
      </c>
    </row>
    <row r="5" spans="1:7" ht="23.25" customHeight="1" x14ac:dyDescent="0.25">
      <c r="A5" s="25" t="s">
        <v>67</v>
      </c>
      <c r="B5" s="32" t="s">
        <v>56</v>
      </c>
      <c r="C5" s="17">
        <v>32000</v>
      </c>
      <c r="E5" s="25" t="s">
        <v>50</v>
      </c>
      <c r="F5" s="32" t="s">
        <v>64</v>
      </c>
      <c r="G5" s="17">
        <v>122000</v>
      </c>
    </row>
    <row r="6" spans="1:7" ht="23.25" customHeight="1" x14ac:dyDescent="0.25">
      <c r="A6" s="26" t="s">
        <v>40</v>
      </c>
      <c r="B6" s="31" t="s">
        <v>56</v>
      </c>
      <c r="C6" s="16">
        <v>34500</v>
      </c>
      <c r="E6" s="25" t="s">
        <v>36</v>
      </c>
      <c r="F6" s="32" t="s">
        <v>56</v>
      </c>
      <c r="G6" s="17">
        <v>66000</v>
      </c>
    </row>
    <row r="7" spans="1:7" ht="23.25" customHeight="1" x14ac:dyDescent="0.25">
      <c r="A7" s="26" t="s">
        <v>41</v>
      </c>
      <c r="B7" s="31" t="s">
        <v>65</v>
      </c>
      <c r="C7" s="16">
        <v>14000</v>
      </c>
      <c r="E7" s="26" t="s">
        <v>51</v>
      </c>
      <c r="F7" s="34" t="s">
        <v>56</v>
      </c>
      <c r="G7" s="18">
        <v>65000</v>
      </c>
    </row>
    <row r="8" spans="1:7" ht="23.25" customHeight="1" x14ac:dyDescent="0.25">
      <c r="A8" s="25" t="s">
        <v>42</v>
      </c>
      <c r="B8" s="32" t="s">
        <v>56</v>
      </c>
      <c r="C8" s="17">
        <v>34500</v>
      </c>
      <c r="E8" s="26" t="s">
        <v>52</v>
      </c>
      <c r="F8" s="34" t="s">
        <v>56</v>
      </c>
      <c r="G8" s="18">
        <v>54000</v>
      </c>
    </row>
    <row r="9" spans="1:7" ht="23.25" customHeight="1" x14ac:dyDescent="0.25">
      <c r="A9" s="25" t="s">
        <v>43</v>
      </c>
      <c r="B9" s="32" t="s">
        <v>65</v>
      </c>
      <c r="C9" s="17">
        <v>14000</v>
      </c>
      <c r="E9" s="26" t="s">
        <v>46</v>
      </c>
      <c r="F9" s="34" t="s">
        <v>56</v>
      </c>
      <c r="G9" s="18">
        <v>59000</v>
      </c>
    </row>
    <row r="10" spans="1:7" ht="23.25" customHeight="1" x14ac:dyDescent="0.25">
      <c r="A10" s="26" t="s">
        <v>48</v>
      </c>
      <c r="B10" s="31" t="s">
        <v>56</v>
      </c>
      <c r="C10" s="16">
        <v>59000</v>
      </c>
      <c r="F10" s="14"/>
    </row>
    <row r="11" spans="1:7" ht="23.25" customHeight="1" x14ac:dyDescent="0.25">
      <c r="A11" s="26" t="s">
        <v>49</v>
      </c>
      <c r="B11" s="31" t="s">
        <v>56</v>
      </c>
      <c r="C11" s="16">
        <v>52000</v>
      </c>
      <c r="F11" s="14"/>
    </row>
    <row r="12" spans="1:7" ht="23.25" customHeight="1" x14ac:dyDescent="0.25">
      <c r="A12" s="26" t="s">
        <v>45</v>
      </c>
      <c r="B12" s="31" t="s">
        <v>56</v>
      </c>
      <c r="C12" s="16">
        <v>65000</v>
      </c>
      <c r="F12" s="14"/>
    </row>
    <row r="13" spans="1:7" ht="23.25" customHeight="1" x14ac:dyDescent="0.25">
      <c r="A13" s="26" t="s">
        <v>44</v>
      </c>
      <c r="B13" s="31" t="s">
        <v>56</v>
      </c>
      <c r="C13" s="16">
        <v>44000</v>
      </c>
      <c r="F13" s="14"/>
    </row>
    <row r="14" spans="1:7" ht="23.25" customHeight="1" x14ac:dyDescent="0.25">
      <c r="B14" s="14"/>
      <c r="F14" s="14"/>
    </row>
    <row r="15" spans="1:7" ht="23.25" customHeight="1" x14ac:dyDescent="0.25">
      <c r="B15" s="14"/>
      <c r="F15" s="14"/>
    </row>
    <row r="16" spans="1:7" ht="24.95" customHeight="1" x14ac:dyDescent="0.25">
      <c r="B16" s="14"/>
      <c r="F16" s="14"/>
    </row>
    <row r="17" spans="2:6" ht="23.25" customHeight="1" x14ac:dyDescent="0.25">
      <c r="B17" s="14"/>
      <c r="F17" s="14"/>
    </row>
    <row r="18" spans="2:6" ht="23.25" customHeight="1" x14ac:dyDescent="0.25"/>
    <row r="19" spans="2:6" ht="23.25" customHeight="1" x14ac:dyDescent="0.25"/>
    <row r="20" spans="2:6" ht="23.25" customHeight="1" x14ac:dyDescent="0.25"/>
    <row r="21" spans="2:6" ht="23.25" customHeight="1" x14ac:dyDescent="0.25"/>
    <row r="22" spans="2:6" ht="23.25" customHeight="1" x14ac:dyDescent="0.25"/>
    <row r="23" spans="2:6" ht="23.25" customHeight="1" x14ac:dyDescent="0.25"/>
    <row r="24" spans="2:6" ht="23.25" customHeight="1" x14ac:dyDescent="0.25">
      <c r="B24" s="14"/>
      <c r="F24" s="14"/>
    </row>
    <row r="25" spans="2:6" ht="23.25" customHeight="1" x14ac:dyDescent="0.25">
      <c r="B25" s="14"/>
      <c r="F25" s="14"/>
    </row>
    <row r="26" spans="2:6" ht="24.95" customHeight="1" x14ac:dyDescent="0.25">
      <c r="B26" s="14"/>
      <c r="F26" s="14"/>
    </row>
    <row r="27" spans="2:6" x14ac:dyDescent="0.25">
      <c r="B27" s="14"/>
      <c r="F27" s="14"/>
    </row>
    <row r="28" spans="2:6" x14ac:dyDescent="0.25">
      <c r="B28" s="14"/>
      <c r="F28" s="14"/>
    </row>
    <row r="29" spans="2:6" x14ac:dyDescent="0.25">
      <c r="B29" s="14"/>
      <c r="F29" s="14"/>
    </row>
    <row r="30" spans="2:6" x14ac:dyDescent="0.25">
      <c r="B30" s="14"/>
      <c r="F30" s="14"/>
    </row>
    <row r="31" spans="2:6" x14ac:dyDescent="0.25">
      <c r="B31" s="14"/>
      <c r="F31" s="14"/>
    </row>
    <row r="32" spans="2:6"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row r="43" spans="2:6" x14ac:dyDescent="0.25">
      <c r="B43" s="14"/>
      <c r="F43" s="14"/>
    </row>
    <row r="44" spans="2:6" x14ac:dyDescent="0.25">
      <c r="B44" s="14"/>
      <c r="F44" s="14"/>
    </row>
    <row r="45" spans="2:6" x14ac:dyDescent="0.25">
      <c r="B45" s="14"/>
      <c r="F45" s="14"/>
    </row>
    <row r="46" spans="2:6" x14ac:dyDescent="0.25">
      <c r="B46" s="14"/>
      <c r="F46" s="14"/>
    </row>
  </sheetData>
  <autoFilter ref="A2:C2"/>
  <mergeCells count="2">
    <mergeCell ref="A1:C1"/>
    <mergeCell ref="E1:G1"/>
  </mergeCells>
  <pageMargins left="0" right="0" top="0" bottom="0" header="0" footer="0"/>
  <pageSetup fitToHeight="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Q19"/>
  <sheetViews>
    <sheetView workbookViewId="0">
      <selection activeCell="C20" sqref="C20"/>
    </sheetView>
  </sheetViews>
  <sheetFormatPr defaultRowHeight="15" x14ac:dyDescent="0.25"/>
  <cols>
    <col min="1" max="1" width="13.5703125" customWidth="1"/>
    <col min="3" max="3" width="25.7109375" customWidth="1"/>
    <col min="4" max="4" width="16" customWidth="1"/>
    <col min="7" max="7" width="25.85546875" customWidth="1"/>
    <col min="8" max="8" width="18.28515625" customWidth="1"/>
    <col min="9" max="9" width="17.7109375" customWidth="1"/>
    <col min="10" max="10" width="49.85546875" customWidth="1"/>
    <col min="12" max="12" width="14.85546875" bestFit="1" customWidth="1"/>
  </cols>
  <sheetData>
    <row r="1" spans="1:17" ht="27.75" customHeight="1" x14ac:dyDescent="0.25">
      <c r="D1" s="81">
        <f>SUBTOTAL(9,D2:D180)</f>
        <v>12402</v>
      </c>
      <c r="G1" s="121" t="s">
        <v>156</v>
      </c>
      <c r="H1" s="178">
        <f>60000+6217+H4+H5</f>
        <v>86017</v>
      </c>
      <c r="I1" s="122">
        <f>H1-H2-H3</f>
        <v>-52394</v>
      </c>
      <c r="J1" s="129" t="s">
        <v>154</v>
      </c>
      <c r="L1" s="15" t="s">
        <v>218</v>
      </c>
      <c r="M1" s="15">
        <v>55</v>
      </c>
      <c r="N1" s="15">
        <v>30</v>
      </c>
      <c r="O1" s="15">
        <f>M1*N1*0.9</f>
        <v>1485</v>
      </c>
      <c r="P1" s="15">
        <f>N1*70</f>
        <v>2100</v>
      </c>
      <c r="Q1" s="14"/>
    </row>
    <row r="2" spans="1:17" ht="27.75" customHeight="1" x14ac:dyDescent="0.25">
      <c r="G2" s="132" t="s">
        <v>153</v>
      </c>
      <c r="H2" s="123">
        <f>D1</f>
        <v>12402</v>
      </c>
      <c r="I2" s="124">
        <v>-11571</v>
      </c>
      <c r="J2" s="124" t="s">
        <v>157</v>
      </c>
      <c r="L2" s="15" t="s">
        <v>219</v>
      </c>
      <c r="M2" s="15">
        <v>41</v>
      </c>
      <c r="N2" s="15">
        <v>15</v>
      </c>
      <c r="O2" s="15">
        <f t="shared" ref="O2:O3" si="0">M2*N2</f>
        <v>615</v>
      </c>
      <c r="P2" s="15">
        <f>N2*45</f>
        <v>675</v>
      </c>
      <c r="Q2" s="14"/>
    </row>
    <row r="3" spans="1:17" ht="27.75" customHeight="1" x14ac:dyDescent="0.25">
      <c r="G3" s="125" t="s">
        <v>155</v>
      </c>
      <c r="H3" s="137">
        <f>INT('Quốc Nhân'!K4+'La Cusina'!K4+TVP!J4)</f>
        <v>126009</v>
      </c>
      <c r="I3" s="126">
        <f>I1+I2</f>
        <v>-63965</v>
      </c>
      <c r="J3" s="130" t="s">
        <v>152</v>
      </c>
      <c r="L3" s="15" t="s">
        <v>220</v>
      </c>
      <c r="M3" s="15">
        <v>46</v>
      </c>
      <c r="N3" s="15">
        <v>30</v>
      </c>
      <c r="O3" s="15">
        <f t="shared" si="0"/>
        <v>1380</v>
      </c>
      <c r="P3" s="15">
        <f>N3*60</f>
        <v>1800</v>
      </c>
      <c r="Q3" s="14"/>
    </row>
    <row r="4" spans="1:17" ht="27.75" customHeight="1" x14ac:dyDescent="0.25">
      <c r="G4" s="127" t="s">
        <v>207</v>
      </c>
      <c r="H4" s="172">
        <v>10000</v>
      </c>
      <c r="I4" s="128">
        <f ca="1">INT('Quốc Nhân'!K4+'La Cusina'!K4+TVP!J4-('Quốc Nhân'!A4+'La Cusina'!A4+TVP!A4))</f>
        <v>71311</v>
      </c>
      <c r="J4" s="131" t="s">
        <v>162</v>
      </c>
      <c r="L4" s="15" t="s">
        <v>224</v>
      </c>
      <c r="M4" s="15"/>
      <c r="N4" s="15"/>
      <c r="O4" s="15">
        <f>221+140</f>
        <v>361</v>
      </c>
      <c r="P4" s="15"/>
      <c r="Q4" s="14"/>
    </row>
    <row r="5" spans="1:17" ht="27.75" customHeight="1" x14ac:dyDescent="0.25">
      <c r="G5" s="127" t="s">
        <v>204</v>
      </c>
      <c r="H5" s="172">
        <f>7400+2400</f>
        <v>9800</v>
      </c>
      <c r="I5" s="133">
        <f ca="1">I4+I3</f>
        <v>7346</v>
      </c>
      <c r="J5" s="134" t="s">
        <v>163</v>
      </c>
      <c r="L5" s="15"/>
      <c r="M5" s="15"/>
      <c r="N5" s="15"/>
      <c r="O5" s="15">
        <f>SUM(O1:O4)</f>
        <v>3841</v>
      </c>
      <c r="P5" s="15">
        <f>SUM(P1:P3)</f>
        <v>4575</v>
      </c>
      <c r="Q5" s="192">
        <f>P5-O5</f>
        <v>734</v>
      </c>
    </row>
    <row r="6" spans="1:17" x14ac:dyDescent="0.25">
      <c r="C6" t="s">
        <v>128</v>
      </c>
      <c r="D6">
        <v>400</v>
      </c>
      <c r="E6" t="s">
        <v>129</v>
      </c>
      <c r="H6" s="177"/>
      <c r="L6" s="14"/>
      <c r="M6" s="14"/>
      <c r="N6" s="14"/>
      <c r="O6" s="14"/>
      <c r="P6" s="14"/>
      <c r="Q6" s="14"/>
    </row>
    <row r="7" spans="1:17" x14ac:dyDescent="0.25">
      <c r="C7" t="s">
        <v>130</v>
      </c>
      <c r="D7">
        <v>1000</v>
      </c>
      <c r="E7" t="s">
        <v>129</v>
      </c>
      <c r="I7" s="135"/>
      <c r="J7" s="135"/>
      <c r="L7" s="14"/>
      <c r="M7" s="14"/>
      <c r="N7" s="14"/>
      <c r="O7" s="14"/>
      <c r="P7" s="14"/>
      <c r="Q7" s="14"/>
    </row>
    <row r="8" spans="1:17" x14ac:dyDescent="0.25">
      <c r="C8" t="s">
        <v>131</v>
      </c>
      <c r="D8">
        <v>80</v>
      </c>
      <c r="E8" t="s">
        <v>129</v>
      </c>
      <c r="H8" s="135"/>
      <c r="I8" s="135"/>
      <c r="J8" s="135"/>
      <c r="L8" s="14"/>
      <c r="M8" s="14"/>
      <c r="N8" s="14"/>
      <c r="O8" s="14"/>
      <c r="P8" s="14"/>
      <c r="Q8" s="14"/>
    </row>
    <row r="9" spans="1:17" x14ac:dyDescent="0.25">
      <c r="C9" t="s">
        <v>132</v>
      </c>
      <c r="D9">
        <v>145</v>
      </c>
      <c r="E9" t="s">
        <v>133</v>
      </c>
      <c r="G9" s="135"/>
      <c r="H9" s="135"/>
      <c r="I9" s="135"/>
      <c r="J9" s="135"/>
    </row>
    <row r="10" spans="1:17" x14ac:dyDescent="0.25">
      <c r="C10" t="s">
        <v>134</v>
      </c>
      <c r="D10">
        <v>800</v>
      </c>
      <c r="E10" t="s">
        <v>133</v>
      </c>
      <c r="I10" s="135"/>
      <c r="J10" s="135"/>
    </row>
    <row r="11" spans="1:17" x14ac:dyDescent="0.25">
      <c r="C11" t="s">
        <v>135</v>
      </c>
      <c r="D11">
        <v>1500</v>
      </c>
      <c r="E11" t="s">
        <v>133</v>
      </c>
      <c r="I11" s="135"/>
      <c r="J11" s="135"/>
    </row>
    <row r="12" spans="1:17" x14ac:dyDescent="0.25">
      <c r="C12" t="s">
        <v>158</v>
      </c>
      <c r="D12">
        <v>160</v>
      </c>
      <c r="E12" t="s">
        <v>133</v>
      </c>
      <c r="I12" s="135"/>
      <c r="J12" s="135"/>
    </row>
    <row r="13" spans="1:17" x14ac:dyDescent="0.25">
      <c r="C13" t="s">
        <v>173</v>
      </c>
      <c r="D13">
        <v>42</v>
      </c>
      <c r="E13" t="s">
        <v>133</v>
      </c>
      <c r="J13" s="135"/>
    </row>
    <row r="14" spans="1:17" x14ac:dyDescent="0.25">
      <c r="A14" t="s">
        <v>136</v>
      </c>
      <c r="B14">
        <v>40</v>
      </c>
      <c r="C14" s="156" t="s">
        <v>186</v>
      </c>
      <c r="D14" s="156">
        <v>7500</v>
      </c>
      <c r="E14" s="156" t="s">
        <v>133</v>
      </c>
      <c r="I14" s="135"/>
      <c r="J14" s="135"/>
    </row>
    <row r="15" spans="1:17" x14ac:dyDescent="0.25">
      <c r="A15" t="s">
        <v>137</v>
      </c>
      <c r="B15">
        <v>150</v>
      </c>
      <c r="C15" t="s">
        <v>187</v>
      </c>
      <c r="D15">
        <v>160</v>
      </c>
      <c r="E15" t="s">
        <v>133</v>
      </c>
      <c r="H15" s="135"/>
      <c r="I15" s="135"/>
    </row>
    <row r="16" spans="1:17" x14ac:dyDescent="0.25">
      <c r="A16" t="s">
        <v>138</v>
      </c>
      <c r="B16">
        <v>55</v>
      </c>
      <c r="C16" t="s">
        <v>193</v>
      </c>
      <c r="D16">
        <v>50</v>
      </c>
      <c r="E16" t="s">
        <v>133</v>
      </c>
      <c r="I16" s="135"/>
    </row>
    <row r="17" spans="3:5" x14ac:dyDescent="0.25">
      <c r="C17" t="s">
        <v>173</v>
      </c>
      <c r="D17">
        <v>45</v>
      </c>
      <c r="E17" t="s">
        <v>133</v>
      </c>
    </row>
    <row r="18" spans="3:5" x14ac:dyDescent="0.25">
      <c r="C18" t="s">
        <v>215</v>
      </c>
      <c r="D18">
        <v>490</v>
      </c>
    </row>
    <row r="19" spans="3:5" x14ac:dyDescent="0.25">
      <c r="C19" t="s">
        <v>230</v>
      </c>
      <c r="D19">
        <v>30</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AO68"/>
  <sheetViews>
    <sheetView tabSelected="1" zoomScale="85" zoomScaleNormal="85" workbookViewId="0">
      <pane ySplit="4" topLeftCell="A5" activePane="bottomLeft" state="frozen"/>
      <selection activeCell="Q5" sqref="Q5:Q22"/>
      <selection pane="bottomLeft" activeCell="G2" sqref="G2"/>
    </sheetView>
  </sheetViews>
  <sheetFormatPr defaultRowHeight="15.75" x14ac:dyDescent="0.25"/>
  <cols>
    <col min="1" max="1" width="16.5703125" style="43" bestFit="1" customWidth="1"/>
    <col min="2" max="2" width="41.85546875" style="42" customWidth="1"/>
    <col min="3" max="3" width="19.5703125" style="42" customWidth="1"/>
    <col min="4" max="4" width="18.28515625" style="42" customWidth="1"/>
    <col min="5" max="5" width="16.5703125" style="42" customWidth="1"/>
    <col min="6" max="6" width="15" style="42" customWidth="1"/>
    <col min="7" max="7" width="12.28515625" style="42" customWidth="1"/>
    <col min="8" max="11" width="14.28515625" style="42" customWidth="1"/>
    <col min="12" max="28" width="10.85546875" style="42" customWidth="1"/>
    <col min="29" max="36" width="9.140625" style="42"/>
    <col min="37" max="37" width="11.42578125" style="42" customWidth="1"/>
    <col min="38" max="16384" width="9.140625" style="42"/>
  </cols>
  <sheetData>
    <row r="1" spans="1:41" ht="28.5" customHeight="1" x14ac:dyDescent="0.25">
      <c r="A1" s="195">
        <f ca="1">'Quốc Nhân'!N4+'La Cusina'!N4+TVP!M4-('Quốc Nhân'!K4+'La Cusina'!K4+TVP!J4-('Quốc Nhân'!A4+'La Cusina'!A4+TVP!A4))</f>
        <v>13385.473550361421</v>
      </c>
      <c r="B1" s="201" t="str">
        <f>"Tiền Hàng: "&amp;INT('Quốc Nhân'!K4+'La Cusina'!K4+TVP!J4)</f>
        <v>Tiền Hàng: 126009</v>
      </c>
      <c r="C1" s="200" t="str">
        <f ca="1">"Giá trị hàng Tồn: "&amp;INT('Quốc Nhân'!A4+'La Cusina'!A4+TVP!A4)</f>
        <v>Giá trị hàng Tồn: 54698</v>
      </c>
      <c r="D1" s="199" t="str">
        <f ca="1">"Giá trị Hàng xuất: "&amp;CHAR(10)&amp;INT('Quốc Nhân'!K4+'La Cusina'!K4+TVP!J4-('Quốc Nhân'!A4+'La Cusina'!A4+TVP!A4))</f>
        <v>Giá trị Hàng xuất: 
71311</v>
      </c>
      <c r="E1" s="199" t="str">
        <f ca="1">"Doanh Thu Tích Lũy: "&amp;INT('Quốc Nhân'!N4+'La Cusina'!N4+TVP!M4)</f>
        <v>Doanh Thu Tích Lũy: 84697</v>
      </c>
      <c r="F1" s="197">
        <v>2116</v>
      </c>
      <c r="G1" s="118">
        <v>-490</v>
      </c>
      <c r="H1" s="82"/>
      <c r="I1" s="82"/>
      <c r="J1" s="179"/>
      <c r="K1" s="179"/>
      <c r="L1" s="119"/>
      <c r="N1" s="119"/>
    </row>
    <row r="2" spans="1:41" ht="28.5" customHeight="1" x14ac:dyDescent="0.25">
      <c r="A2" s="196"/>
      <c r="B2" s="201"/>
      <c r="C2" s="200"/>
      <c r="D2" s="199"/>
      <c r="E2" s="199"/>
      <c r="F2" s="198"/>
      <c r="G2" s="84">
        <v>-30</v>
      </c>
      <c r="H2" s="84"/>
      <c r="I2" s="84"/>
      <c r="J2" s="119"/>
      <c r="K2" s="82"/>
    </row>
    <row r="3" spans="1:41" s="43" customFormat="1" ht="30" customHeight="1" x14ac:dyDescent="0.25">
      <c r="A3" s="32" t="s">
        <v>106</v>
      </c>
      <c r="B3" s="32" t="s">
        <v>17</v>
      </c>
      <c r="C3" s="32" t="s">
        <v>107</v>
      </c>
      <c r="D3" s="32" t="s">
        <v>117</v>
      </c>
      <c r="E3" s="59" t="s">
        <v>55</v>
      </c>
      <c r="F3" s="59" t="s">
        <v>119</v>
      </c>
      <c r="G3" s="32" t="s">
        <v>139</v>
      </c>
      <c r="H3" s="59" t="s">
        <v>141</v>
      </c>
      <c r="I3" s="86" t="s">
        <v>140</v>
      </c>
      <c r="J3" s="59" t="s">
        <v>120</v>
      </c>
      <c r="K3" s="62" t="s">
        <v>121</v>
      </c>
      <c r="L3" s="43">
        <v>2</v>
      </c>
      <c r="M3" s="43">
        <v>3</v>
      </c>
      <c r="N3" s="43">
        <v>4</v>
      </c>
      <c r="O3" s="43">
        <v>5</v>
      </c>
      <c r="P3" s="43">
        <v>6</v>
      </c>
      <c r="Q3" s="43">
        <v>7</v>
      </c>
      <c r="R3" s="43">
        <v>8</v>
      </c>
      <c r="S3" s="43">
        <v>9</v>
      </c>
      <c r="T3" s="43">
        <v>10</v>
      </c>
      <c r="U3" s="43">
        <v>11</v>
      </c>
      <c r="V3" s="43">
        <v>12</v>
      </c>
      <c r="W3" s="43">
        <v>13</v>
      </c>
      <c r="X3" s="43">
        <v>14</v>
      </c>
      <c r="Y3" s="43">
        <v>15</v>
      </c>
      <c r="Z3" s="43">
        <v>16</v>
      </c>
      <c r="AA3" s="43">
        <v>17</v>
      </c>
      <c r="AB3" s="43">
        <v>18</v>
      </c>
      <c r="AC3" s="43">
        <v>19</v>
      </c>
      <c r="AD3" s="43">
        <v>20</v>
      </c>
      <c r="AE3" s="43">
        <v>21</v>
      </c>
      <c r="AF3" s="43">
        <v>22</v>
      </c>
      <c r="AG3" s="43">
        <v>23</v>
      </c>
      <c r="AH3" s="43">
        <v>24</v>
      </c>
      <c r="AI3" s="43">
        <v>25</v>
      </c>
      <c r="AJ3" s="43">
        <v>26</v>
      </c>
      <c r="AK3" s="43">
        <v>27</v>
      </c>
      <c r="AL3" s="43">
        <v>28</v>
      </c>
      <c r="AM3" s="43">
        <v>29</v>
      </c>
      <c r="AN3" s="43">
        <v>30</v>
      </c>
      <c r="AO3" s="43">
        <v>31</v>
      </c>
    </row>
    <row r="4" spans="1:41" s="68" customFormat="1" ht="35.25" customHeight="1" x14ac:dyDescent="0.25">
      <c r="A4" s="61"/>
      <c r="B4" s="61">
        <f>SUBTOTAL(3,B5:B99)</f>
        <v>64</v>
      </c>
      <c r="C4" s="61"/>
      <c r="D4" s="61"/>
      <c r="E4" s="61"/>
      <c r="F4" s="61">
        <f ca="1">SUMPRODUCT(($E$5:$E$66)*($F$5:$F$66))</f>
        <v>22.299999999999997</v>
      </c>
      <c r="G4" s="61"/>
      <c r="H4" s="85">
        <f ca="1">SUBTOTAL(9,H5:H499)</f>
        <v>299506.98665805371</v>
      </c>
      <c r="I4" s="85">
        <f ca="1">H4-K2</f>
        <v>299506.98665805371</v>
      </c>
      <c r="J4" s="40">
        <f ca="1">SUBTOTAL(9,J5:J499)</f>
        <v>1620493.0133419465</v>
      </c>
      <c r="K4" s="67">
        <f ca="1">SUM(L4:AN4)</f>
        <v>1920000</v>
      </c>
      <c r="L4" s="93">
        <f t="shared" ref="L4:P4" ca="1" si="0">IFERROR(INDIRECT("'Thanh Toán ("&amp;L$3&amp;")'!$g"&amp;SUBTOTAL(3,INDIRECT("'Thanh Toán ("&amp;L$3&amp;")'!$g$2:$g$50"))+1-COUNTIF(INDIRECT("'Thanh Toán ("&amp;L$3&amp;")'!$g$2:$g$50"),""&amp;"*")),"")</f>
        <v>28000</v>
      </c>
      <c r="M4" s="93">
        <f t="shared" ca="1" si="0"/>
        <v>188000</v>
      </c>
      <c r="N4" s="93">
        <f t="shared" ca="1" si="0"/>
        <v>338000</v>
      </c>
      <c r="O4" s="93">
        <f t="shared" ca="1" si="0"/>
        <v>217000</v>
      </c>
      <c r="P4" s="93">
        <f t="shared" ca="1" si="0"/>
        <v>100000</v>
      </c>
      <c r="Q4" s="93">
        <f ca="1">IFERROR(INDIRECT("'Thanh Toán ("&amp;Q$3&amp;")'!$g"&amp;SUBTOTAL(3,INDIRECT("'Thanh Toán ("&amp;Q$3&amp;")'!$g$2:$g$50"))+1-COUNTIF(INDIRECT("'Thanh Toán ("&amp;Q$3&amp;")'!$g$2:$g$50"),""&amp;"*")),"")</f>
        <v>25000</v>
      </c>
      <c r="R4" s="93">
        <f t="shared" ref="R4:AO4" ca="1" si="1">IFERROR(INDIRECT("'Thanh Toán ("&amp;R$3&amp;")'!$g"&amp;SUBTOTAL(3,INDIRECT("'Thanh Toán ("&amp;R$3&amp;")'!$g$2:$g$50"))+1-COUNTIF(INDIRECT("'Thanh Toán ("&amp;R$3&amp;")'!$g$2:$g$50"),""&amp;"*")),"")</f>
        <v>67000</v>
      </c>
      <c r="S4" s="93">
        <f t="shared" ca="1" si="1"/>
        <v>173000</v>
      </c>
      <c r="T4" s="93">
        <f t="shared" ca="1" si="1"/>
        <v>177000</v>
      </c>
      <c r="U4" s="93">
        <f t="shared" ca="1" si="1"/>
        <v>45000</v>
      </c>
      <c r="V4" s="93">
        <f t="shared" ca="1" si="1"/>
        <v>138000</v>
      </c>
      <c r="W4" s="93">
        <f t="shared" ca="1" si="1"/>
        <v>276000</v>
      </c>
      <c r="X4" s="93">
        <f t="shared" ca="1" si="1"/>
        <v>120000</v>
      </c>
      <c r="Y4" s="93">
        <f t="shared" ca="1" si="1"/>
        <v>28000</v>
      </c>
      <c r="Z4" s="93" t="str">
        <f t="shared" ca="1" si="1"/>
        <v/>
      </c>
      <c r="AA4" s="93" t="str">
        <f t="shared" ca="1" si="1"/>
        <v/>
      </c>
      <c r="AB4" s="93" t="str">
        <f t="shared" ca="1" si="1"/>
        <v/>
      </c>
      <c r="AC4" s="93" t="str">
        <f t="shared" ca="1" si="1"/>
        <v/>
      </c>
      <c r="AD4" s="93" t="str">
        <f t="shared" ca="1" si="1"/>
        <v/>
      </c>
      <c r="AE4" s="93" t="str">
        <f t="shared" ca="1" si="1"/>
        <v/>
      </c>
      <c r="AF4" s="93" t="str">
        <f t="shared" ca="1" si="1"/>
        <v/>
      </c>
      <c r="AG4" s="93" t="str">
        <f t="shared" ca="1" si="1"/>
        <v/>
      </c>
      <c r="AH4" s="93" t="str">
        <f t="shared" ca="1" si="1"/>
        <v/>
      </c>
      <c r="AI4" s="93" t="str">
        <f t="shared" ca="1" si="1"/>
        <v/>
      </c>
      <c r="AJ4" s="93" t="str">
        <f t="shared" ca="1" si="1"/>
        <v/>
      </c>
      <c r="AK4" s="93" t="str">
        <f t="shared" ca="1" si="1"/>
        <v/>
      </c>
      <c r="AL4" s="93" t="str">
        <f t="shared" ca="1" si="1"/>
        <v/>
      </c>
      <c r="AM4" s="93" t="str">
        <f t="shared" ca="1" si="1"/>
        <v/>
      </c>
      <c r="AN4" s="93" t="str">
        <f t="shared" ca="1" si="1"/>
        <v/>
      </c>
      <c r="AO4" s="93" t="str">
        <f t="shared" ca="1" si="1"/>
        <v/>
      </c>
    </row>
    <row r="5" spans="1:41" x14ac:dyDescent="0.25">
      <c r="A5" s="23">
        <v>1</v>
      </c>
      <c r="B5" s="151" t="s">
        <v>25</v>
      </c>
      <c r="C5" s="23" t="s">
        <v>108</v>
      </c>
      <c r="D5" s="44">
        <f>VLOOKUP($C5,Sheet1!$C$2:$D$98,2,0)</f>
        <v>27000</v>
      </c>
      <c r="E5" s="60">
        <v>0.5</v>
      </c>
      <c r="F5" s="58">
        <f ca="1">SUM(L5:BW5)</f>
        <v>1</v>
      </c>
      <c r="G5" s="58">
        <v>22.507288469539144</v>
      </c>
      <c r="H5" s="58">
        <f t="shared" ref="H5:H36" ca="1" si="2">(D5-G5*1000)*$F5</f>
        <v>4492.711530460856</v>
      </c>
      <c r="I5" s="58"/>
      <c r="J5" s="58">
        <f ca="1">F5*G5*1000</f>
        <v>22507.288469539144</v>
      </c>
      <c r="K5" s="58"/>
      <c r="L5" s="2">
        <f ca="1">IFERROR(SUMIFS(INDIRECT("'Thanh Toán ("&amp;L$3&amp;")'!$e:$e"),INDIRECT("'Thanh Toán ("&amp;L$3&amp;")'!$B:$B"),'Tổng Đơn'!$B5),0)</f>
        <v>0</v>
      </c>
      <c r="M5" s="2">
        <f ca="1">IFERROR(SUMIFS(INDIRECT("'Thanh Toán ("&amp;M$3&amp;")'!$e:$e"),INDIRECT("'Thanh Toán ("&amp;M$3&amp;")'!$B:$B"),'Tổng Đơn'!$B5),0)</f>
        <v>0</v>
      </c>
      <c r="N5" s="2">
        <f ca="1">IFERROR(SUMIFS(INDIRECT("'Thanh Toán ("&amp;N$3&amp;")'!$e:$e"),INDIRECT("'Thanh Toán ("&amp;N$3&amp;")'!$B:$B"),'Tổng Đơn'!$B5),0)</f>
        <v>0</v>
      </c>
      <c r="O5" s="2">
        <f ca="1">IFERROR(SUMIFS(INDIRECT("'Thanh Toán ("&amp;O$3&amp;")'!$e:$e"),INDIRECT("'Thanh Toán ("&amp;O$3&amp;")'!$B:$B"),'Tổng Đơn'!$B5),0)</f>
        <v>0</v>
      </c>
      <c r="P5" s="2">
        <f ca="1">IFERROR(SUMIFS(INDIRECT("'Thanh Toán ("&amp;P$3&amp;")'!$e:$e"),INDIRECT("'Thanh Toán ("&amp;P$3&amp;")'!$B:$B"),'Tổng Đơn'!$B5),0)</f>
        <v>0</v>
      </c>
      <c r="Q5" s="2">
        <f ca="1">IFERROR(SUMIFS(INDIRECT("'Thanh Toán ("&amp;Q$3&amp;")'!$e:$e"),INDIRECT("'Thanh Toán ("&amp;Q$3&amp;")'!$B:$B"),'Tổng Đơn'!$B5),0)</f>
        <v>0</v>
      </c>
      <c r="R5" s="2">
        <f ca="1">IFERROR(SUMIFS(INDIRECT("'Thanh Toán ("&amp;R$3&amp;")'!$e:$e"),INDIRECT("'Thanh Toán ("&amp;R$3&amp;")'!$B:$B"),'Tổng Đơn'!$B5),0)</f>
        <v>1</v>
      </c>
      <c r="S5" s="2">
        <f ca="1">IFERROR(SUMIFS(INDIRECT("'Thanh Toán ("&amp;S$3&amp;")'!$e:$e"),INDIRECT("'Thanh Toán ("&amp;S$3&amp;")'!$B:$B"),'Tổng Đơn'!$B5),0)</f>
        <v>0</v>
      </c>
      <c r="T5" s="2">
        <f ca="1">IFERROR(SUMIFS(INDIRECT("'Thanh Toán ("&amp;T$3&amp;")'!$e:$e"),INDIRECT("'Thanh Toán ("&amp;T$3&amp;")'!$B:$B"),'Tổng Đơn'!$B5),0)</f>
        <v>0</v>
      </c>
      <c r="U5" s="2">
        <f ca="1">IFERROR(SUMIFS(INDIRECT("'Thanh Toán ("&amp;U$3&amp;")'!$e:$e"),INDIRECT("'Thanh Toán ("&amp;U$3&amp;")'!$B:$B"),'Tổng Đơn'!$B5),0)</f>
        <v>0</v>
      </c>
      <c r="V5" s="2">
        <f ca="1">IFERROR(SUMIFS(INDIRECT("'Thanh Toán ("&amp;V$3&amp;")'!$e:$e"),INDIRECT("'Thanh Toán ("&amp;V$3&amp;")'!$B:$B"),'Tổng Đơn'!$B5),0)</f>
        <v>0</v>
      </c>
      <c r="W5" s="2">
        <f ca="1">IFERROR(SUMIFS(INDIRECT("'Thanh Toán ("&amp;W$3&amp;")'!$e:$e"),INDIRECT("'Thanh Toán ("&amp;W$3&amp;")'!$B:$B"),'Tổng Đơn'!$B5),0)</f>
        <v>0</v>
      </c>
      <c r="X5" s="2">
        <f ca="1">IFERROR(SUMIFS(INDIRECT("'Thanh Toán ("&amp;X$3&amp;")'!$e:$e"),INDIRECT("'Thanh Toán ("&amp;X$3&amp;")'!$B:$B"),'Tổng Đơn'!$B5),0)</f>
        <v>0</v>
      </c>
      <c r="Y5" s="2">
        <f ca="1">IFERROR(SUMIFS(INDIRECT("'Thanh Toán ("&amp;Y$3&amp;")'!$e:$e"),INDIRECT("'Thanh Toán ("&amp;Y$3&amp;")'!$B:$B"),'Tổng Đơn'!$B5),0)</f>
        <v>0</v>
      </c>
      <c r="Z5" s="2">
        <f ca="1">IFERROR(SUMIFS(INDIRECT("'Thanh Toán ("&amp;Z$3&amp;")'!$e:$e"),INDIRECT("'Thanh Toán ("&amp;Z$3&amp;")'!$B:$B"),'Tổng Đơn'!$B5),0)</f>
        <v>0</v>
      </c>
      <c r="AA5" s="2">
        <f ca="1">IFERROR(SUMIFS(INDIRECT("'Thanh Toán ("&amp;AA$3&amp;")'!$e:$e"),INDIRECT("'Thanh Toán ("&amp;AA$3&amp;")'!$B:$B"),'Tổng Đơn'!$B5),0)</f>
        <v>0</v>
      </c>
      <c r="AB5" s="2">
        <f ca="1">IFERROR(SUMIFS(INDIRECT("'Thanh Toán ("&amp;AB$3&amp;")'!$e:$e"),INDIRECT("'Thanh Toán ("&amp;AB$3&amp;")'!$B:$B"),'Tổng Đơn'!$B5),0)</f>
        <v>0</v>
      </c>
      <c r="AC5" s="2">
        <f ca="1">IFERROR(SUMIFS(INDIRECT("'Thanh Toán ("&amp;AC$3&amp;")'!$e:$e"),INDIRECT("'Thanh Toán ("&amp;AC$3&amp;")'!$B:$B"),'Tổng Đơn'!$B5),0)</f>
        <v>0</v>
      </c>
      <c r="AD5" s="2">
        <f ca="1">IFERROR(SUMIFS(INDIRECT("'Thanh Toán ("&amp;AD$3&amp;")'!$e:$e"),INDIRECT("'Thanh Toán ("&amp;AD$3&amp;")'!$B:$B"),'Tổng Đơn'!$B5),0)</f>
        <v>0</v>
      </c>
      <c r="AE5" s="2">
        <f ca="1">IFERROR(SUMIFS(INDIRECT("'Thanh Toán ("&amp;AE$3&amp;")'!$e:$e"),INDIRECT("'Thanh Toán ("&amp;AE$3&amp;")'!$B:$B"),'Tổng Đơn'!$B5),0)</f>
        <v>0</v>
      </c>
      <c r="AF5" s="2">
        <f ca="1">IFERROR(SUMIFS(INDIRECT("'Thanh Toán ("&amp;AF$3&amp;")'!$e:$e"),INDIRECT("'Thanh Toán ("&amp;AF$3&amp;")'!$B:$B"),'Tổng Đơn'!$B5),0)</f>
        <v>0</v>
      </c>
      <c r="AG5" s="2">
        <f ca="1">IFERROR(SUMIFS(INDIRECT("'Thanh Toán ("&amp;AG$3&amp;")'!$e:$e"),INDIRECT("'Thanh Toán ("&amp;AG$3&amp;")'!$B:$B"),'Tổng Đơn'!$B5),0)</f>
        <v>0</v>
      </c>
      <c r="AH5" s="2">
        <f ca="1">IFERROR(SUMIFS(INDIRECT("'Thanh Toán ("&amp;AH$3&amp;")'!$e:$e"),INDIRECT("'Thanh Toán ("&amp;AH$3&amp;")'!$B:$B"),'Tổng Đơn'!$B5),0)</f>
        <v>0</v>
      </c>
      <c r="AI5" s="2">
        <f ca="1">IFERROR(SUMIFS(INDIRECT("'Thanh Toán ("&amp;AI$3&amp;")'!$e:$e"),INDIRECT("'Thanh Toán ("&amp;AI$3&amp;")'!$B:$B"),'Tổng Đơn'!$B5),0)</f>
        <v>0</v>
      </c>
      <c r="AJ5" s="2">
        <f ca="1">IFERROR(SUMIFS(INDIRECT("'Thanh Toán ("&amp;AJ$3&amp;")'!$e:$e"),INDIRECT("'Thanh Toán ("&amp;AJ$3&amp;")'!$B:$B"),'Tổng Đơn'!$B5),0)</f>
        <v>0</v>
      </c>
      <c r="AK5" s="2">
        <f ca="1">IFERROR(SUMIFS(INDIRECT("'Thanh Toán ("&amp;AK$3&amp;")'!$e:$e"),INDIRECT("'Thanh Toán ("&amp;AK$3&amp;")'!$B:$B"),'Tổng Đơn'!$B5),0)</f>
        <v>0</v>
      </c>
      <c r="AL5" s="2">
        <f ca="1">IFERROR(SUMIFS(INDIRECT("'Thanh Toán ("&amp;AL$3&amp;")'!$e:$e"),INDIRECT("'Thanh Toán ("&amp;AL$3&amp;")'!$B:$B"),'Tổng Đơn'!$B5),0)</f>
        <v>0</v>
      </c>
      <c r="AM5" s="2">
        <f ca="1">IFERROR(SUMIFS(INDIRECT("'Thanh Toán ("&amp;AM$3&amp;")'!$e:$e"),INDIRECT("'Thanh Toán ("&amp;AM$3&amp;")'!$B:$B"),'Tổng Đơn'!$B5),0)</f>
        <v>0</v>
      </c>
      <c r="AN5" s="2">
        <f ca="1">IFERROR(SUMIFS(INDIRECT("'Thanh Toán ("&amp;AN$3&amp;")'!$e:$e"),INDIRECT("'Thanh Toán ("&amp;AN$3&amp;")'!$B:$B"),'Tổng Đơn'!$B5),0)</f>
        <v>0</v>
      </c>
      <c r="AO5" s="2">
        <f ca="1">IFERROR(SUMIFS(INDIRECT("'Thanh Toán ("&amp;AO$3&amp;")'!$e:$e"),INDIRECT("'Thanh Toán ("&amp;AO$3&amp;")'!$B:$B"),'Tổng Đơn'!$B5),0)</f>
        <v>0</v>
      </c>
    </row>
    <row r="6" spans="1:41" s="116" customFormat="1" x14ac:dyDescent="0.25">
      <c r="A6" s="27">
        <v>2</v>
      </c>
      <c r="B6" s="152" t="s">
        <v>1</v>
      </c>
      <c r="C6" s="27" t="s">
        <v>109</v>
      </c>
      <c r="D6" s="44">
        <f>VLOOKUP($C6,Sheet1!$C$2:$D$98,2,0)</f>
        <v>25000</v>
      </c>
      <c r="E6" s="60">
        <v>0.5</v>
      </c>
      <c r="F6" s="58">
        <f t="shared" ref="F6:F54" ca="1" si="3">SUM(L6:BW6)</f>
        <v>6</v>
      </c>
      <c r="G6" s="58">
        <v>21.779779860886041</v>
      </c>
      <c r="H6" s="58">
        <f t="shared" ca="1" si="2"/>
        <v>19321.320834683764</v>
      </c>
      <c r="I6" s="58"/>
      <c r="J6" s="58">
        <f t="shared" ref="J6:J63" ca="1" si="4">F6*G6*1000</f>
        <v>130678.67916531625</v>
      </c>
      <c r="K6" s="58"/>
      <c r="L6" s="115">
        <f ca="1">IFERROR(SUMIFS(INDIRECT("'Thanh Toán ("&amp;L$3&amp;")'!$e:$e"),INDIRECT("'Thanh Toán ("&amp;L$3&amp;")'!$B:$B"),'Tổng Đơn'!$B6),0)</f>
        <v>0</v>
      </c>
      <c r="M6" s="115">
        <f ca="1">IFERROR(SUMIFS(INDIRECT("'Thanh Toán ("&amp;M$3&amp;")'!$e:$e"),INDIRECT("'Thanh Toán ("&amp;M$3&amp;")'!$B:$B"),'Tổng Đơn'!$B6),0)</f>
        <v>2</v>
      </c>
      <c r="N6" s="115">
        <f ca="1">IFERROR(SUMIFS(INDIRECT("'Thanh Toán ("&amp;N$3&amp;")'!$e:$e"),INDIRECT("'Thanh Toán ("&amp;N$3&amp;")'!$B:$B"),'Tổng Đơn'!$B6),0)</f>
        <v>1</v>
      </c>
      <c r="O6" s="115">
        <f ca="1">IFERROR(SUMIFS(INDIRECT("'Thanh Toán ("&amp;O$3&amp;")'!$e:$e"),INDIRECT("'Thanh Toán ("&amp;O$3&amp;")'!$B:$B"),'Tổng Đơn'!$B6),0)</f>
        <v>0</v>
      </c>
      <c r="P6" s="115">
        <f ca="1">IFERROR(SUMIFS(INDIRECT("'Thanh Toán ("&amp;P$3&amp;")'!$e:$e"),INDIRECT("'Thanh Toán ("&amp;P$3&amp;")'!$B:$B"),'Tổng Đơn'!$B6),0)</f>
        <v>1</v>
      </c>
      <c r="Q6" s="115">
        <f ca="1">IFERROR(SUMIFS(INDIRECT("'Thanh Toán ("&amp;Q$3&amp;")'!$e:$e"),INDIRECT("'Thanh Toán ("&amp;Q$3&amp;")'!$B:$B"),'Tổng Đơn'!$B6),0)</f>
        <v>1</v>
      </c>
      <c r="R6" s="115">
        <f ca="1">IFERROR(SUMIFS(INDIRECT("'Thanh Toán ("&amp;R$3&amp;")'!$e:$e"),INDIRECT("'Thanh Toán ("&amp;R$3&amp;")'!$B:$B"),'Tổng Đơn'!$B6),0)</f>
        <v>0</v>
      </c>
      <c r="S6" s="115">
        <f ca="1">IFERROR(SUMIFS(INDIRECT("'Thanh Toán ("&amp;S$3&amp;")'!$e:$e"),INDIRECT("'Thanh Toán ("&amp;S$3&amp;")'!$B:$B"),'Tổng Đơn'!$B6),0)</f>
        <v>0</v>
      </c>
      <c r="T6" s="115">
        <f ca="1">IFERROR(SUMIFS(INDIRECT("'Thanh Toán ("&amp;T$3&amp;")'!$e:$e"),INDIRECT("'Thanh Toán ("&amp;T$3&amp;")'!$B:$B"),'Tổng Đơn'!$B6),0)</f>
        <v>0</v>
      </c>
      <c r="U6" s="115">
        <f ca="1">IFERROR(SUMIFS(INDIRECT("'Thanh Toán ("&amp;U$3&amp;")'!$e:$e"),INDIRECT("'Thanh Toán ("&amp;U$3&amp;")'!$B:$B"),'Tổng Đơn'!$B6),0)</f>
        <v>0</v>
      </c>
      <c r="V6" s="115">
        <f ca="1">IFERROR(SUMIFS(INDIRECT("'Thanh Toán ("&amp;V$3&amp;")'!$e:$e"),INDIRECT("'Thanh Toán ("&amp;V$3&amp;")'!$B:$B"),'Tổng Đơn'!$B6),0)</f>
        <v>1</v>
      </c>
      <c r="W6" s="115">
        <f ca="1">IFERROR(SUMIFS(INDIRECT("'Thanh Toán ("&amp;W$3&amp;")'!$e:$e"),INDIRECT("'Thanh Toán ("&amp;W$3&amp;")'!$B:$B"),'Tổng Đơn'!$B6),0)</f>
        <v>0</v>
      </c>
      <c r="X6" s="115">
        <f ca="1">IFERROR(SUMIFS(INDIRECT("'Thanh Toán ("&amp;X$3&amp;")'!$e:$e"),INDIRECT("'Thanh Toán ("&amp;X$3&amp;")'!$B:$B"),'Tổng Đơn'!$B6),0)</f>
        <v>0</v>
      </c>
      <c r="Y6" s="115">
        <f ca="1">IFERROR(SUMIFS(INDIRECT("'Thanh Toán ("&amp;Y$3&amp;")'!$e:$e"),INDIRECT("'Thanh Toán ("&amp;Y$3&amp;")'!$B:$B"),'Tổng Đơn'!$B6),0)</f>
        <v>0</v>
      </c>
      <c r="Z6" s="115">
        <f ca="1">IFERROR(SUMIFS(INDIRECT("'Thanh Toán ("&amp;Z$3&amp;")'!$e:$e"),INDIRECT("'Thanh Toán ("&amp;Z$3&amp;")'!$B:$B"),'Tổng Đơn'!$B6),0)</f>
        <v>0</v>
      </c>
      <c r="AA6" s="115">
        <f ca="1">IFERROR(SUMIFS(INDIRECT("'Thanh Toán ("&amp;AA$3&amp;")'!$e:$e"),INDIRECT("'Thanh Toán ("&amp;AA$3&amp;")'!$B:$B"),'Tổng Đơn'!$B6),0)</f>
        <v>0</v>
      </c>
      <c r="AB6" s="115">
        <f ca="1">IFERROR(SUMIFS(INDIRECT("'Thanh Toán ("&amp;AB$3&amp;")'!$e:$e"),INDIRECT("'Thanh Toán ("&amp;AB$3&amp;")'!$B:$B"),'Tổng Đơn'!$B6),0)</f>
        <v>0</v>
      </c>
      <c r="AC6" s="115">
        <f ca="1">IFERROR(SUMIFS(INDIRECT("'Thanh Toán ("&amp;AC$3&amp;")'!$e:$e"),INDIRECT("'Thanh Toán ("&amp;AC$3&amp;")'!$B:$B"),'Tổng Đơn'!$B6),0)</f>
        <v>0</v>
      </c>
      <c r="AD6" s="115">
        <f ca="1">IFERROR(SUMIFS(INDIRECT("'Thanh Toán ("&amp;AD$3&amp;")'!$e:$e"),INDIRECT("'Thanh Toán ("&amp;AD$3&amp;")'!$B:$B"),'Tổng Đơn'!$B6),0)</f>
        <v>0</v>
      </c>
      <c r="AE6" s="115">
        <f ca="1">IFERROR(SUMIFS(INDIRECT("'Thanh Toán ("&amp;AE$3&amp;")'!$e:$e"),INDIRECT("'Thanh Toán ("&amp;AE$3&amp;")'!$B:$B"),'Tổng Đơn'!$B6),0)</f>
        <v>0</v>
      </c>
      <c r="AF6" s="115">
        <f ca="1">IFERROR(SUMIFS(INDIRECT("'Thanh Toán ("&amp;AF$3&amp;")'!$e:$e"),INDIRECT("'Thanh Toán ("&amp;AF$3&amp;")'!$B:$B"),'Tổng Đơn'!$B6),0)</f>
        <v>0</v>
      </c>
      <c r="AG6" s="115">
        <f ca="1">IFERROR(SUMIFS(INDIRECT("'Thanh Toán ("&amp;AG$3&amp;")'!$e:$e"),INDIRECT("'Thanh Toán ("&amp;AG$3&amp;")'!$B:$B"),'Tổng Đơn'!$B6),0)</f>
        <v>0</v>
      </c>
      <c r="AH6" s="115">
        <f ca="1">IFERROR(SUMIFS(INDIRECT("'Thanh Toán ("&amp;AH$3&amp;")'!$e:$e"),INDIRECT("'Thanh Toán ("&amp;AH$3&amp;")'!$B:$B"),'Tổng Đơn'!$B6),0)</f>
        <v>0</v>
      </c>
      <c r="AI6" s="115">
        <f ca="1">IFERROR(SUMIFS(INDIRECT("'Thanh Toán ("&amp;AI$3&amp;")'!$e:$e"),INDIRECT("'Thanh Toán ("&amp;AI$3&amp;")'!$B:$B"),'Tổng Đơn'!$B6),0)</f>
        <v>0</v>
      </c>
      <c r="AJ6" s="115">
        <f ca="1">IFERROR(SUMIFS(INDIRECT("'Thanh Toán ("&amp;AJ$3&amp;")'!$e:$e"),INDIRECT("'Thanh Toán ("&amp;AJ$3&amp;")'!$B:$B"),'Tổng Đơn'!$B6),0)</f>
        <v>0</v>
      </c>
      <c r="AK6" s="115">
        <f ca="1">IFERROR(SUMIFS(INDIRECT("'Thanh Toán ("&amp;AK$3&amp;")'!$e:$e"),INDIRECT("'Thanh Toán ("&amp;AK$3&amp;")'!$B:$B"),'Tổng Đơn'!$B6),0)</f>
        <v>0</v>
      </c>
      <c r="AL6" s="115">
        <f ca="1">IFERROR(SUMIFS(INDIRECT("'Thanh Toán ("&amp;AL$3&amp;")'!$e:$e"),INDIRECT("'Thanh Toán ("&amp;AL$3&amp;")'!$B:$B"),'Tổng Đơn'!$B6),0)</f>
        <v>0</v>
      </c>
      <c r="AM6" s="115">
        <f ca="1">IFERROR(SUMIFS(INDIRECT("'Thanh Toán ("&amp;AM$3&amp;")'!$e:$e"),INDIRECT("'Thanh Toán ("&amp;AM$3&amp;")'!$B:$B"),'Tổng Đơn'!$B6),0)</f>
        <v>0</v>
      </c>
      <c r="AN6" s="115">
        <f ca="1">IFERROR(SUMIFS(INDIRECT("'Thanh Toán ("&amp;AN$3&amp;")'!$e:$e"),INDIRECT("'Thanh Toán ("&amp;AN$3&amp;")'!$B:$B"),'Tổng Đơn'!$B6),0)</f>
        <v>0</v>
      </c>
      <c r="AO6" s="115">
        <f ca="1">IFERROR(SUMIFS(INDIRECT("'Thanh Toán ("&amp;AO$3&amp;")'!$e:$e"),INDIRECT("'Thanh Toán ("&amp;AO$3&amp;")'!$B:$B"),'Tổng Đơn'!$B6),0)</f>
        <v>0</v>
      </c>
    </row>
    <row r="7" spans="1:41" x14ac:dyDescent="0.25">
      <c r="A7" s="23">
        <v>3</v>
      </c>
      <c r="B7" s="151" t="s">
        <v>2</v>
      </c>
      <c r="C7" s="23" t="s">
        <v>110</v>
      </c>
      <c r="D7" s="44">
        <f>VLOOKUP($C7,Sheet1!$C$2:$D$98,2,0)</f>
        <v>28000</v>
      </c>
      <c r="E7" s="60">
        <v>0.5</v>
      </c>
      <c r="F7" s="58">
        <f t="shared" ca="1" si="3"/>
        <v>0</v>
      </c>
      <c r="G7" s="58">
        <v>22.548477973623196</v>
      </c>
      <c r="H7" s="58">
        <f t="shared" ca="1" si="2"/>
        <v>0</v>
      </c>
      <c r="I7" s="58"/>
      <c r="J7" s="58">
        <f t="shared" ca="1" si="4"/>
        <v>0</v>
      </c>
      <c r="K7" s="58"/>
      <c r="L7" s="2">
        <f ca="1">IFERROR(SUMIFS(INDIRECT("'Thanh Toán ("&amp;L$3&amp;")'!$e:$e"),INDIRECT("'Thanh Toán ("&amp;L$3&amp;")'!$B:$B"),'Tổng Đơn'!$B7),0)</f>
        <v>0</v>
      </c>
      <c r="M7" s="2">
        <f ca="1">IFERROR(SUMIFS(INDIRECT("'Thanh Toán ("&amp;M$3&amp;")'!$e:$e"),INDIRECT("'Thanh Toán ("&amp;M$3&amp;")'!$B:$B"),'Tổng Đơn'!$B7),0)</f>
        <v>0</v>
      </c>
      <c r="N7" s="2">
        <f ca="1">IFERROR(SUMIFS(INDIRECT("'Thanh Toán ("&amp;N$3&amp;")'!$e:$e"),INDIRECT("'Thanh Toán ("&amp;N$3&amp;")'!$B:$B"),'Tổng Đơn'!$B7),0)</f>
        <v>0</v>
      </c>
      <c r="O7" s="2">
        <f ca="1">IFERROR(SUMIFS(INDIRECT("'Thanh Toán ("&amp;O$3&amp;")'!$e:$e"),INDIRECT("'Thanh Toán ("&amp;O$3&amp;")'!$B:$B"),'Tổng Đơn'!$B7),0)</f>
        <v>0</v>
      </c>
      <c r="P7" s="2">
        <f ca="1">IFERROR(SUMIFS(INDIRECT("'Thanh Toán ("&amp;P$3&amp;")'!$e:$e"),INDIRECT("'Thanh Toán ("&amp;P$3&amp;")'!$B:$B"),'Tổng Đơn'!$B7),0)</f>
        <v>0</v>
      </c>
      <c r="Q7" s="2">
        <f ca="1">IFERROR(SUMIFS(INDIRECT("'Thanh Toán ("&amp;Q$3&amp;")'!$e:$e"),INDIRECT("'Thanh Toán ("&amp;Q$3&amp;")'!$B:$B"),'Tổng Đơn'!$B7),0)</f>
        <v>0</v>
      </c>
      <c r="R7" s="2">
        <f ca="1">IFERROR(SUMIFS(INDIRECT("'Thanh Toán ("&amp;R$3&amp;")'!$e:$e"),INDIRECT("'Thanh Toán ("&amp;R$3&amp;")'!$B:$B"),'Tổng Đơn'!$B7),0)</f>
        <v>0</v>
      </c>
      <c r="S7" s="2">
        <f ca="1">IFERROR(SUMIFS(INDIRECT("'Thanh Toán ("&amp;S$3&amp;")'!$e:$e"),INDIRECT("'Thanh Toán ("&amp;S$3&amp;")'!$B:$B"),'Tổng Đơn'!$B7),0)</f>
        <v>0</v>
      </c>
      <c r="T7" s="2">
        <f ca="1">IFERROR(SUMIFS(INDIRECT("'Thanh Toán ("&amp;T$3&amp;")'!$e:$e"),INDIRECT("'Thanh Toán ("&amp;T$3&amp;")'!$B:$B"),'Tổng Đơn'!$B7),0)</f>
        <v>0</v>
      </c>
      <c r="U7" s="2">
        <f ca="1">IFERROR(SUMIFS(INDIRECT("'Thanh Toán ("&amp;U$3&amp;")'!$e:$e"),INDIRECT("'Thanh Toán ("&amp;U$3&amp;")'!$B:$B"),'Tổng Đơn'!$B7),0)</f>
        <v>0</v>
      </c>
      <c r="V7" s="2">
        <f ca="1">IFERROR(SUMIFS(INDIRECT("'Thanh Toán ("&amp;V$3&amp;")'!$e:$e"),INDIRECT("'Thanh Toán ("&amp;V$3&amp;")'!$B:$B"),'Tổng Đơn'!$B7),0)</f>
        <v>0</v>
      </c>
      <c r="W7" s="2">
        <f ca="1">IFERROR(SUMIFS(INDIRECT("'Thanh Toán ("&amp;W$3&amp;")'!$e:$e"),INDIRECT("'Thanh Toán ("&amp;W$3&amp;")'!$B:$B"),'Tổng Đơn'!$B7),0)</f>
        <v>0</v>
      </c>
      <c r="X7" s="2">
        <f ca="1">IFERROR(SUMIFS(INDIRECT("'Thanh Toán ("&amp;X$3&amp;")'!$e:$e"),INDIRECT("'Thanh Toán ("&amp;X$3&amp;")'!$B:$B"),'Tổng Đơn'!$B7),0)</f>
        <v>0</v>
      </c>
      <c r="Y7" s="2">
        <f ca="1">IFERROR(SUMIFS(INDIRECT("'Thanh Toán ("&amp;Y$3&amp;")'!$e:$e"),INDIRECT("'Thanh Toán ("&amp;Y$3&amp;")'!$B:$B"),'Tổng Đơn'!$B7),0)</f>
        <v>0</v>
      </c>
      <c r="Z7" s="2">
        <f ca="1">IFERROR(SUMIFS(INDIRECT("'Thanh Toán ("&amp;Z$3&amp;")'!$e:$e"),INDIRECT("'Thanh Toán ("&amp;Z$3&amp;")'!$B:$B"),'Tổng Đơn'!$B7),0)</f>
        <v>0</v>
      </c>
      <c r="AA7" s="2">
        <f ca="1">IFERROR(SUMIFS(INDIRECT("'Thanh Toán ("&amp;AA$3&amp;")'!$e:$e"),INDIRECT("'Thanh Toán ("&amp;AA$3&amp;")'!$B:$B"),'Tổng Đơn'!$B7),0)</f>
        <v>0</v>
      </c>
      <c r="AB7" s="2">
        <f ca="1">IFERROR(SUMIFS(INDIRECT("'Thanh Toán ("&amp;AB$3&amp;")'!$e:$e"),INDIRECT("'Thanh Toán ("&amp;AB$3&amp;")'!$B:$B"),'Tổng Đơn'!$B7),0)</f>
        <v>0</v>
      </c>
      <c r="AC7" s="2">
        <f ca="1">IFERROR(SUMIFS(INDIRECT("'Thanh Toán ("&amp;AC$3&amp;")'!$e:$e"),INDIRECT("'Thanh Toán ("&amp;AC$3&amp;")'!$B:$B"),'Tổng Đơn'!$B7),0)</f>
        <v>0</v>
      </c>
      <c r="AD7" s="2">
        <f ca="1">IFERROR(SUMIFS(INDIRECT("'Thanh Toán ("&amp;AD$3&amp;")'!$e:$e"),INDIRECT("'Thanh Toán ("&amp;AD$3&amp;")'!$B:$B"),'Tổng Đơn'!$B7),0)</f>
        <v>0</v>
      </c>
      <c r="AE7" s="2">
        <f ca="1">IFERROR(SUMIFS(INDIRECT("'Thanh Toán ("&amp;AE$3&amp;")'!$e:$e"),INDIRECT("'Thanh Toán ("&amp;AE$3&amp;")'!$B:$B"),'Tổng Đơn'!$B7),0)</f>
        <v>0</v>
      </c>
      <c r="AF7" s="2">
        <f ca="1">IFERROR(SUMIFS(INDIRECT("'Thanh Toán ("&amp;AF$3&amp;")'!$e:$e"),INDIRECT("'Thanh Toán ("&amp;AF$3&amp;")'!$B:$B"),'Tổng Đơn'!$B7),0)</f>
        <v>0</v>
      </c>
      <c r="AG7" s="2">
        <f ca="1">IFERROR(SUMIFS(INDIRECT("'Thanh Toán ("&amp;AG$3&amp;")'!$e:$e"),INDIRECT("'Thanh Toán ("&amp;AG$3&amp;")'!$B:$B"),'Tổng Đơn'!$B7),0)</f>
        <v>0</v>
      </c>
      <c r="AH7" s="2">
        <f ca="1">IFERROR(SUMIFS(INDIRECT("'Thanh Toán ("&amp;AH$3&amp;")'!$e:$e"),INDIRECT("'Thanh Toán ("&amp;AH$3&amp;")'!$B:$B"),'Tổng Đơn'!$B7),0)</f>
        <v>0</v>
      </c>
      <c r="AI7" s="2">
        <f ca="1">IFERROR(SUMIFS(INDIRECT("'Thanh Toán ("&amp;AI$3&amp;")'!$e:$e"),INDIRECT("'Thanh Toán ("&amp;AI$3&amp;")'!$B:$B"),'Tổng Đơn'!$B7),0)</f>
        <v>0</v>
      </c>
      <c r="AJ7" s="2">
        <f ca="1">IFERROR(SUMIFS(INDIRECT("'Thanh Toán ("&amp;AJ$3&amp;")'!$e:$e"),INDIRECT("'Thanh Toán ("&amp;AJ$3&amp;")'!$B:$B"),'Tổng Đơn'!$B7),0)</f>
        <v>0</v>
      </c>
      <c r="AK7" s="2">
        <f ca="1">IFERROR(SUMIFS(INDIRECT("'Thanh Toán ("&amp;AK$3&amp;")'!$e:$e"),INDIRECT("'Thanh Toán ("&amp;AK$3&amp;")'!$B:$B"),'Tổng Đơn'!$B7),0)</f>
        <v>0</v>
      </c>
      <c r="AL7" s="2">
        <f ca="1">IFERROR(SUMIFS(INDIRECT("'Thanh Toán ("&amp;AL$3&amp;")'!$e:$e"),INDIRECT("'Thanh Toán ("&amp;AL$3&amp;")'!$B:$B"),'Tổng Đơn'!$B7),0)</f>
        <v>0</v>
      </c>
      <c r="AM7" s="2">
        <f ca="1">IFERROR(SUMIFS(INDIRECT("'Thanh Toán ("&amp;AM$3&amp;")'!$e:$e"),INDIRECT("'Thanh Toán ("&amp;AM$3&amp;")'!$B:$B"),'Tổng Đơn'!$B7),0)</f>
        <v>0</v>
      </c>
      <c r="AN7" s="2">
        <f ca="1">IFERROR(SUMIFS(INDIRECT("'Thanh Toán ("&amp;AN$3&amp;")'!$e:$e"),INDIRECT("'Thanh Toán ("&amp;AN$3&amp;")'!$B:$B"),'Tổng Đơn'!$B7),0)</f>
        <v>0</v>
      </c>
      <c r="AO7" s="2">
        <f ca="1">IFERROR(SUMIFS(INDIRECT("'Thanh Toán ("&amp;AO$3&amp;")'!$e:$e"),INDIRECT("'Thanh Toán ("&amp;AO$3&amp;")'!$B:$B"),'Tổng Đơn'!$B7),0)</f>
        <v>0</v>
      </c>
    </row>
    <row r="8" spans="1:41" ht="15.75" customHeight="1" x14ac:dyDescent="0.25">
      <c r="A8" s="23">
        <v>4</v>
      </c>
      <c r="B8" s="151" t="s">
        <v>3</v>
      </c>
      <c r="C8" s="23" t="s">
        <v>111</v>
      </c>
      <c r="D8" s="44">
        <f>VLOOKUP($C8,Sheet1!$C$2:$D$98,2,0)</f>
        <v>30000</v>
      </c>
      <c r="E8" s="60">
        <v>0.5</v>
      </c>
      <c r="F8" s="58">
        <f t="shared" ca="1" si="3"/>
        <v>1</v>
      </c>
      <c r="G8" s="58">
        <v>22.292245269377478</v>
      </c>
      <c r="H8" s="58">
        <f t="shared" ca="1" si="2"/>
        <v>7707.7547306225206</v>
      </c>
      <c r="I8" s="58"/>
      <c r="J8" s="58">
        <f t="shared" ca="1" si="4"/>
        <v>22292.245269377479</v>
      </c>
      <c r="K8" s="160">
        <f ca="1">H4/J4</f>
        <v>0.18482460843220777</v>
      </c>
      <c r="L8" s="2">
        <f ca="1">IFERROR(SUMIFS(INDIRECT("'Thanh Toán ("&amp;L$3&amp;")'!$e:$e"),INDIRECT("'Thanh Toán ("&amp;L$3&amp;")'!$B:$B"),'Tổng Đơn'!$B8),0)</f>
        <v>0</v>
      </c>
      <c r="M8" s="2">
        <f ca="1">IFERROR(SUMIFS(INDIRECT("'Thanh Toán ("&amp;M$3&amp;")'!$e:$e"),INDIRECT("'Thanh Toán ("&amp;M$3&amp;")'!$B:$B"),'Tổng Đơn'!$B8),0)</f>
        <v>1</v>
      </c>
      <c r="N8" s="2">
        <f ca="1">IFERROR(SUMIFS(INDIRECT("'Thanh Toán ("&amp;N$3&amp;")'!$e:$e"),INDIRECT("'Thanh Toán ("&amp;N$3&amp;")'!$B:$B"),'Tổng Đơn'!$B8),0)</f>
        <v>0</v>
      </c>
      <c r="O8" s="2">
        <f ca="1">IFERROR(SUMIFS(INDIRECT("'Thanh Toán ("&amp;O$3&amp;")'!$e:$e"),INDIRECT("'Thanh Toán ("&amp;O$3&amp;")'!$B:$B"),'Tổng Đơn'!$B8),0)</f>
        <v>0</v>
      </c>
      <c r="P8" s="2">
        <f ca="1">IFERROR(SUMIFS(INDIRECT("'Thanh Toán ("&amp;P$3&amp;")'!$e:$e"),INDIRECT("'Thanh Toán ("&amp;P$3&amp;")'!$B:$B"),'Tổng Đơn'!$B8),0)</f>
        <v>0</v>
      </c>
      <c r="Q8" s="2">
        <f ca="1">IFERROR(SUMIFS(INDIRECT("'Thanh Toán ("&amp;Q$3&amp;")'!$e:$e"),INDIRECT("'Thanh Toán ("&amp;Q$3&amp;")'!$B:$B"),'Tổng Đơn'!$B8),0)</f>
        <v>0</v>
      </c>
      <c r="R8" s="2">
        <f ca="1">IFERROR(SUMIFS(INDIRECT("'Thanh Toán ("&amp;R$3&amp;")'!$e:$e"),INDIRECT("'Thanh Toán ("&amp;R$3&amp;")'!$B:$B"),'Tổng Đơn'!$B8),0)</f>
        <v>0</v>
      </c>
      <c r="S8" s="2">
        <f ca="1">IFERROR(SUMIFS(INDIRECT("'Thanh Toán ("&amp;S$3&amp;")'!$e:$e"),INDIRECT("'Thanh Toán ("&amp;S$3&amp;")'!$B:$B"),'Tổng Đơn'!$B8),0)</f>
        <v>0</v>
      </c>
      <c r="T8" s="2">
        <f ca="1">IFERROR(SUMIFS(INDIRECT("'Thanh Toán ("&amp;T$3&amp;")'!$e:$e"),INDIRECT("'Thanh Toán ("&amp;T$3&amp;")'!$B:$B"),'Tổng Đơn'!$B8),0)</f>
        <v>0</v>
      </c>
      <c r="U8" s="2">
        <f ca="1">IFERROR(SUMIFS(INDIRECT("'Thanh Toán ("&amp;U$3&amp;")'!$e:$e"),INDIRECT("'Thanh Toán ("&amp;U$3&amp;")'!$B:$B"),'Tổng Đơn'!$B8),0)</f>
        <v>0</v>
      </c>
      <c r="V8" s="2">
        <f ca="1">IFERROR(SUMIFS(INDIRECT("'Thanh Toán ("&amp;V$3&amp;")'!$e:$e"),INDIRECT("'Thanh Toán ("&amp;V$3&amp;")'!$B:$B"),'Tổng Đơn'!$B8),0)</f>
        <v>0</v>
      </c>
      <c r="W8" s="2">
        <f ca="1">IFERROR(SUMIFS(INDIRECT("'Thanh Toán ("&amp;W$3&amp;")'!$e:$e"),INDIRECT("'Thanh Toán ("&amp;W$3&amp;")'!$B:$B"),'Tổng Đơn'!$B8),0)</f>
        <v>0</v>
      </c>
      <c r="X8" s="2">
        <f ca="1">IFERROR(SUMIFS(INDIRECT("'Thanh Toán ("&amp;X$3&amp;")'!$e:$e"),INDIRECT("'Thanh Toán ("&amp;X$3&amp;")'!$B:$B"),'Tổng Đơn'!$B8),0)</f>
        <v>0</v>
      </c>
      <c r="Y8" s="2">
        <f ca="1">IFERROR(SUMIFS(INDIRECT("'Thanh Toán ("&amp;Y$3&amp;")'!$e:$e"),INDIRECT("'Thanh Toán ("&amp;Y$3&amp;")'!$B:$B"),'Tổng Đơn'!$B8),0)</f>
        <v>0</v>
      </c>
      <c r="Z8" s="2">
        <f ca="1">IFERROR(SUMIFS(INDIRECT("'Thanh Toán ("&amp;Z$3&amp;")'!$e:$e"),INDIRECT("'Thanh Toán ("&amp;Z$3&amp;")'!$B:$B"),'Tổng Đơn'!$B8),0)</f>
        <v>0</v>
      </c>
      <c r="AA8" s="2">
        <f ca="1">IFERROR(SUMIFS(INDIRECT("'Thanh Toán ("&amp;AA$3&amp;")'!$e:$e"),INDIRECT("'Thanh Toán ("&amp;AA$3&amp;")'!$B:$B"),'Tổng Đơn'!$B8),0)</f>
        <v>0</v>
      </c>
      <c r="AB8" s="2">
        <f ca="1">IFERROR(SUMIFS(INDIRECT("'Thanh Toán ("&amp;AB$3&amp;")'!$e:$e"),INDIRECT("'Thanh Toán ("&amp;AB$3&amp;")'!$B:$B"),'Tổng Đơn'!$B8),0)</f>
        <v>0</v>
      </c>
      <c r="AC8" s="2">
        <f ca="1">IFERROR(SUMIFS(INDIRECT("'Thanh Toán ("&amp;AC$3&amp;")'!$e:$e"),INDIRECT("'Thanh Toán ("&amp;AC$3&amp;")'!$B:$B"),'Tổng Đơn'!$B8),0)</f>
        <v>0</v>
      </c>
      <c r="AD8" s="2">
        <f ca="1">IFERROR(SUMIFS(INDIRECT("'Thanh Toán ("&amp;AD$3&amp;")'!$e:$e"),INDIRECT("'Thanh Toán ("&amp;AD$3&amp;")'!$B:$B"),'Tổng Đơn'!$B8),0)</f>
        <v>0</v>
      </c>
      <c r="AE8" s="2">
        <f ca="1">IFERROR(SUMIFS(INDIRECT("'Thanh Toán ("&amp;AE$3&amp;")'!$e:$e"),INDIRECT("'Thanh Toán ("&amp;AE$3&amp;")'!$B:$B"),'Tổng Đơn'!$B8),0)</f>
        <v>0</v>
      </c>
      <c r="AF8" s="2">
        <f ca="1">IFERROR(SUMIFS(INDIRECT("'Thanh Toán ("&amp;AF$3&amp;")'!$e:$e"),INDIRECT("'Thanh Toán ("&amp;AF$3&amp;")'!$B:$B"),'Tổng Đơn'!$B8),0)</f>
        <v>0</v>
      </c>
      <c r="AG8" s="2">
        <f ca="1">IFERROR(SUMIFS(INDIRECT("'Thanh Toán ("&amp;AG$3&amp;")'!$e:$e"),INDIRECT("'Thanh Toán ("&amp;AG$3&amp;")'!$B:$B"),'Tổng Đơn'!$B8),0)</f>
        <v>0</v>
      </c>
      <c r="AH8" s="2">
        <f ca="1">IFERROR(SUMIFS(INDIRECT("'Thanh Toán ("&amp;AH$3&amp;")'!$e:$e"),INDIRECT("'Thanh Toán ("&amp;AH$3&amp;")'!$B:$B"),'Tổng Đơn'!$B8),0)</f>
        <v>0</v>
      </c>
      <c r="AI8" s="2">
        <f ca="1">IFERROR(SUMIFS(INDIRECT("'Thanh Toán ("&amp;AI$3&amp;")'!$e:$e"),INDIRECT("'Thanh Toán ("&amp;AI$3&amp;")'!$B:$B"),'Tổng Đơn'!$B8),0)</f>
        <v>0</v>
      </c>
      <c r="AJ8" s="2">
        <f ca="1">IFERROR(SUMIFS(INDIRECT("'Thanh Toán ("&amp;AJ$3&amp;")'!$e:$e"),INDIRECT("'Thanh Toán ("&amp;AJ$3&amp;")'!$B:$B"),'Tổng Đơn'!$B8),0)</f>
        <v>0</v>
      </c>
      <c r="AK8" s="2">
        <f ca="1">IFERROR(SUMIFS(INDIRECT("'Thanh Toán ("&amp;AK$3&amp;")'!$e:$e"),INDIRECT("'Thanh Toán ("&amp;AK$3&amp;")'!$B:$B"),'Tổng Đơn'!$B8),0)</f>
        <v>0</v>
      </c>
      <c r="AL8" s="2">
        <f ca="1">IFERROR(SUMIFS(INDIRECT("'Thanh Toán ("&amp;AL$3&amp;")'!$e:$e"),INDIRECT("'Thanh Toán ("&amp;AL$3&amp;")'!$B:$B"),'Tổng Đơn'!$B8),0)</f>
        <v>0</v>
      </c>
      <c r="AM8" s="2">
        <f ca="1">IFERROR(SUMIFS(INDIRECT("'Thanh Toán ("&amp;AM$3&amp;")'!$e:$e"),INDIRECT("'Thanh Toán ("&amp;AM$3&amp;")'!$B:$B"),'Tổng Đơn'!$B8),0)</f>
        <v>0</v>
      </c>
      <c r="AN8" s="2">
        <f ca="1">IFERROR(SUMIFS(INDIRECT("'Thanh Toán ("&amp;AN$3&amp;")'!$e:$e"),INDIRECT("'Thanh Toán ("&amp;AN$3&amp;")'!$B:$B"),'Tổng Đơn'!$B8),0)</f>
        <v>0</v>
      </c>
      <c r="AO8" s="2">
        <f ca="1">IFERROR(SUMIFS(INDIRECT("'Thanh Toán ("&amp;AO$3&amp;")'!$e:$e"),INDIRECT("'Thanh Toán ("&amp;AO$3&amp;")'!$B:$B"),'Tổng Đơn'!$B8),0)</f>
        <v>0</v>
      </c>
    </row>
    <row r="9" spans="1:41" x14ac:dyDescent="0.25">
      <c r="A9" s="23">
        <v>5</v>
      </c>
      <c r="B9" s="151" t="s">
        <v>30</v>
      </c>
      <c r="C9" s="23" t="s">
        <v>112</v>
      </c>
      <c r="D9" s="44">
        <f>VLOOKUP($C9,Sheet1!$C$2:$D$98,2,0)</f>
        <v>38000</v>
      </c>
      <c r="E9" s="60">
        <v>0.5</v>
      </c>
      <c r="F9" s="58">
        <f t="shared" ca="1" si="3"/>
        <v>0</v>
      </c>
      <c r="G9" s="58">
        <v>34.783991271105947</v>
      </c>
      <c r="H9" s="58">
        <f t="shared" ca="1" si="2"/>
        <v>0</v>
      </c>
      <c r="I9" s="58"/>
      <c r="J9" s="58">
        <f t="shared" ca="1" si="4"/>
        <v>0</v>
      </c>
      <c r="K9" s="58"/>
      <c r="L9" s="2">
        <f ca="1">IFERROR(SUMIFS(INDIRECT("'Thanh Toán ("&amp;L$3&amp;")'!$e:$e"),INDIRECT("'Thanh Toán ("&amp;L$3&amp;")'!$B:$B"),'Tổng Đơn'!$B9),0)</f>
        <v>0</v>
      </c>
      <c r="M9" s="2">
        <f ca="1">IFERROR(SUMIFS(INDIRECT("'Thanh Toán ("&amp;M$3&amp;")'!$e:$e"),INDIRECT("'Thanh Toán ("&amp;M$3&amp;")'!$B:$B"),'Tổng Đơn'!$B9),0)</f>
        <v>0</v>
      </c>
      <c r="N9" s="2">
        <f ca="1">IFERROR(SUMIFS(INDIRECT("'Thanh Toán ("&amp;N$3&amp;")'!$e:$e"),INDIRECT("'Thanh Toán ("&amp;N$3&amp;")'!$B:$B"),'Tổng Đơn'!$B9),0)</f>
        <v>0</v>
      </c>
      <c r="O9" s="2">
        <f ca="1">IFERROR(SUMIFS(INDIRECT("'Thanh Toán ("&amp;O$3&amp;")'!$e:$e"),INDIRECT("'Thanh Toán ("&amp;O$3&amp;")'!$B:$B"),'Tổng Đơn'!$B9),0)</f>
        <v>0</v>
      </c>
      <c r="P9" s="2">
        <f ca="1">IFERROR(SUMIFS(INDIRECT("'Thanh Toán ("&amp;P$3&amp;")'!$e:$e"),INDIRECT("'Thanh Toán ("&amp;P$3&amp;")'!$B:$B"),'Tổng Đơn'!$B9),0)</f>
        <v>0</v>
      </c>
      <c r="Q9" s="2">
        <f ca="1">IFERROR(SUMIFS(INDIRECT("'Thanh Toán ("&amp;Q$3&amp;")'!$e:$e"),INDIRECT("'Thanh Toán ("&amp;Q$3&amp;")'!$B:$B"),'Tổng Đơn'!$B9),0)</f>
        <v>0</v>
      </c>
      <c r="R9" s="2">
        <f ca="1">IFERROR(SUMIFS(INDIRECT("'Thanh Toán ("&amp;R$3&amp;")'!$e:$e"),INDIRECT("'Thanh Toán ("&amp;R$3&amp;")'!$B:$B"),'Tổng Đơn'!$B9),0)</f>
        <v>0</v>
      </c>
      <c r="S9" s="2">
        <f ca="1">IFERROR(SUMIFS(INDIRECT("'Thanh Toán ("&amp;S$3&amp;")'!$e:$e"),INDIRECT("'Thanh Toán ("&amp;S$3&amp;")'!$B:$B"),'Tổng Đơn'!$B9),0)</f>
        <v>0</v>
      </c>
      <c r="T9" s="2">
        <f ca="1">IFERROR(SUMIFS(INDIRECT("'Thanh Toán ("&amp;T$3&amp;")'!$e:$e"),INDIRECT("'Thanh Toán ("&amp;T$3&amp;")'!$B:$B"),'Tổng Đơn'!$B9),0)</f>
        <v>0</v>
      </c>
      <c r="U9" s="2">
        <f ca="1">IFERROR(SUMIFS(INDIRECT("'Thanh Toán ("&amp;U$3&amp;")'!$e:$e"),INDIRECT("'Thanh Toán ("&amp;U$3&amp;")'!$B:$B"),'Tổng Đơn'!$B9),0)</f>
        <v>0</v>
      </c>
      <c r="V9" s="2">
        <f ca="1">IFERROR(SUMIFS(INDIRECT("'Thanh Toán ("&amp;V$3&amp;")'!$e:$e"),INDIRECT("'Thanh Toán ("&amp;V$3&amp;")'!$B:$B"),'Tổng Đơn'!$B9),0)</f>
        <v>0</v>
      </c>
      <c r="W9" s="2">
        <f ca="1">IFERROR(SUMIFS(INDIRECT("'Thanh Toán ("&amp;W$3&amp;")'!$e:$e"),INDIRECT("'Thanh Toán ("&amp;W$3&amp;")'!$B:$B"),'Tổng Đơn'!$B9),0)</f>
        <v>0</v>
      </c>
      <c r="X9" s="2">
        <f ca="1">IFERROR(SUMIFS(INDIRECT("'Thanh Toán ("&amp;X$3&amp;")'!$e:$e"),INDIRECT("'Thanh Toán ("&amp;X$3&amp;")'!$B:$B"),'Tổng Đơn'!$B9),0)</f>
        <v>0</v>
      </c>
      <c r="Y9" s="2">
        <f ca="1">IFERROR(SUMIFS(INDIRECT("'Thanh Toán ("&amp;Y$3&amp;")'!$e:$e"),INDIRECT("'Thanh Toán ("&amp;Y$3&amp;")'!$B:$B"),'Tổng Đơn'!$B9),0)</f>
        <v>0</v>
      </c>
      <c r="Z9" s="2">
        <f ca="1">IFERROR(SUMIFS(INDIRECT("'Thanh Toán ("&amp;Z$3&amp;")'!$e:$e"),INDIRECT("'Thanh Toán ("&amp;Z$3&amp;")'!$B:$B"),'Tổng Đơn'!$B9),0)</f>
        <v>0</v>
      </c>
      <c r="AA9" s="2">
        <f ca="1">IFERROR(SUMIFS(INDIRECT("'Thanh Toán ("&amp;AA$3&amp;")'!$e:$e"),INDIRECT("'Thanh Toán ("&amp;AA$3&amp;")'!$B:$B"),'Tổng Đơn'!$B9),0)</f>
        <v>0</v>
      </c>
      <c r="AB9" s="2">
        <f ca="1">IFERROR(SUMIFS(INDIRECT("'Thanh Toán ("&amp;AB$3&amp;")'!$e:$e"),INDIRECT("'Thanh Toán ("&amp;AB$3&amp;")'!$B:$B"),'Tổng Đơn'!$B9),0)</f>
        <v>0</v>
      </c>
      <c r="AC9" s="2">
        <f ca="1">IFERROR(SUMIFS(INDIRECT("'Thanh Toán ("&amp;AC$3&amp;")'!$e:$e"),INDIRECT("'Thanh Toán ("&amp;AC$3&amp;")'!$B:$B"),'Tổng Đơn'!$B9),0)</f>
        <v>0</v>
      </c>
      <c r="AD9" s="2">
        <f ca="1">IFERROR(SUMIFS(INDIRECT("'Thanh Toán ("&amp;AD$3&amp;")'!$e:$e"),INDIRECT("'Thanh Toán ("&amp;AD$3&amp;")'!$B:$B"),'Tổng Đơn'!$B9),0)</f>
        <v>0</v>
      </c>
      <c r="AE9" s="2">
        <f ca="1">IFERROR(SUMIFS(INDIRECT("'Thanh Toán ("&amp;AE$3&amp;")'!$e:$e"),INDIRECT("'Thanh Toán ("&amp;AE$3&amp;")'!$B:$B"),'Tổng Đơn'!$B9),0)</f>
        <v>0</v>
      </c>
      <c r="AF9" s="2">
        <f ca="1">IFERROR(SUMIFS(INDIRECT("'Thanh Toán ("&amp;AF$3&amp;")'!$e:$e"),INDIRECT("'Thanh Toán ("&amp;AF$3&amp;")'!$B:$B"),'Tổng Đơn'!$B9),0)</f>
        <v>0</v>
      </c>
      <c r="AG9" s="2">
        <f ca="1">IFERROR(SUMIFS(INDIRECT("'Thanh Toán ("&amp;AG$3&amp;")'!$e:$e"),INDIRECT("'Thanh Toán ("&amp;AG$3&amp;")'!$B:$B"),'Tổng Đơn'!$B9),0)</f>
        <v>0</v>
      </c>
      <c r="AH9" s="2">
        <f ca="1">IFERROR(SUMIFS(INDIRECT("'Thanh Toán ("&amp;AH$3&amp;")'!$e:$e"),INDIRECT("'Thanh Toán ("&amp;AH$3&amp;")'!$B:$B"),'Tổng Đơn'!$B9),0)</f>
        <v>0</v>
      </c>
      <c r="AI9" s="2">
        <f ca="1">IFERROR(SUMIFS(INDIRECT("'Thanh Toán ("&amp;AI$3&amp;")'!$e:$e"),INDIRECT("'Thanh Toán ("&amp;AI$3&amp;")'!$B:$B"),'Tổng Đơn'!$B9),0)</f>
        <v>0</v>
      </c>
      <c r="AJ9" s="2">
        <f ca="1">IFERROR(SUMIFS(INDIRECT("'Thanh Toán ("&amp;AJ$3&amp;")'!$e:$e"),INDIRECT("'Thanh Toán ("&amp;AJ$3&amp;")'!$B:$B"),'Tổng Đơn'!$B9),0)</f>
        <v>0</v>
      </c>
      <c r="AK9" s="2">
        <f ca="1">IFERROR(SUMIFS(INDIRECT("'Thanh Toán ("&amp;AK$3&amp;")'!$e:$e"),INDIRECT("'Thanh Toán ("&amp;AK$3&amp;")'!$B:$B"),'Tổng Đơn'!$B9),0)</f>
        <v>0</v>
      </c>
      <c r="AL9" s="2">
        <f ca="1">IFERROR(SUMIFS(INDIRECT("'Thanh Toán ("&amp;AL$3&amp;")'!$e:$e"),INDIRECT("'Thanh Toán ("&amp;AL$3&amp;")'!$B:$B"),'Tổng Đơn'!$B9),0)</f>
        <v>0</v>
      </c>
      <c r="AM9" s="2">
        <f ca="1">IFERROR(SUMIFS(INDIRECT("'Thanh Toán ("&amp;AM$3&amp;")'!$e:$e"),INDIRECT("'Thanh Toán ("&amp;AM$3&amp;")'!$B:$B"),'Tổng Đơn'!$B9),0)</f>
        <v>0</v>
      </c>
      <c r="AN9" s="2">
        <f ca="1">IFERROR(SUMIFS(INDIRECT("'Thanh Toán ("&amp;AN$3&amp;")'!$e:$e"),INDIRECT("'Thanh Toán ("&amp;AN$3&amp;")'!$B:$B"),'Tổng Đơn'!$B9),0)</f>
        <v>0</v>
      </c>
      <c r="AO9" s="2">
        <f ca="1">IFERROR(SUMIFS(INDIRECT("'Thanh Toán ("&amp;AO$3&amp;")'!$e:$e"),INDIRECT("'Thanh Toán ("&amp;AO$3&amp;")'!$B:$B"),'Tổng Đơn'!$B9),0)</f>
        <v>0</v>
      </c>
    </row>
    <row r="10" spans="1:41" ht="15.75" customHeight="1" x14ac:dyDescent="0.25">
      <c r="A10" s="23">
        <v>6</v>
      </c>
      <c r="B10" s="151" t="s">
        <v>28</v>
      </c>
      <c r="C10" s="23" t="s">
        <v>113</v>
      </c>
      <c r="D10" s="44">
        <f>VLOOKUP($C10,Sheet1!$C$2:$D$98,2,0)</f>
        <v>42000</v>
      </c>
      <c r="E10" s="60">
        <v>0.5</v>
      </c>
      <c r="F10" s="58">
        <f t="shared" ca="1" si="3"/>
        <v>0</v>
      </c>
      <c r="G10" s="58">
        <v>37.341637688099034</v>
      </c>
      <c r="H10" s="58">
        <f t="shared" ca="1" si="2"/>
        <v>0</v>
      </c>
      <c r="I10" s="58"/>
      <c r="J10" s="58">
        <f t="shared" ca="1" si="4"/>
        <v>0</v>
      </c>
      <c r="K10" s="58"/>
      <c r="L10" s="2">
        <f ca="1">IFERROR(SUMIFS(INDIRECT("'Thanh Toán ("&amp;L$3&amp;")'!$e:$e"),INDIRECT("'Thanh Toán ("&amp;L$3&amp;")'!$B:$B"),'Tổng Đơn'!$B10),0)</f>
        <v>0</v>
      </c>
      <c r="M10" s="2">
        <f ca="1">IFERROR(SUMIFS(INDIRECT("'Thanh Toán ("&amp;M$3&amp;")'!$e:$e"),INDIRECT("'Thanh Toán ("&amp;M$3&amp;")'!$B:$B"),'Tổng Đơn'!$B10),0)</f>
        <v>0</v>
      </c>
      <c r="N10" s="2">
        <f ca="1">IFERROR(SUMIFS(INDIRECT("'Thanh Toán ("&amp;N$3&amp;")'!$e:$e"),INDIRECT("'Thanh Toán ("&amp;N$3&amp;")'!$B:$B"),'Tổng Đơn'!$B10),0)</f>
        <v>0</v>
      </c>
      <c r="O10" s="2">
        <f ca="1">IFERROR(SUMIFS(INDIRECT("'Thanh Toán ("&amp;O$3&amp;")'!$e:$e"),INDIRECT("'Thanh Toán ("&amp;O$3&amp;")'!$B:$B"),'Tổng Đơn'!$B10),0)</f>
        <v>0</v>
      </c>
      <c r="P10" s="2">
        <f ca="1">IFERROR(SUMIFS(INDIRECT("'Thanh Toán ("&amp;P$3&amp;")'!$e:$e"),INDIRECT("'Thanh Toán ("&amp;P$3&amp;")'!$B:$B"),'Tổng Đơn'!$B10),0)</f>
        <v>0</v>
      </c>
      <c r="Q10" s="2">
        <f ca="1">IFERROR(SUMIFS(INDIRECT("'Thanh Toán ("&amp;Q$3&amp;")'!$e:$e"),INDIRECT("'Thanh Toán ("&amp;Q$3&amp;")'!$B:$B"),'Tổng Đơn'!$B10),0)</f>
        <v>0</v>
      </c>
      <c r="R10" s="2">
        <f ca="1">IFERROR(SUMIFS(INDIRECT("'Thanh Toán ("&amp;R$3&amp;")'!$e:$e"),INDIRECT("'Thanh Toán ("&amp;R$3&amp;")'!$B:$B"),'Tổng Đơn'!$B10),0)</f>
        <v>0</v>
      </c>
      <c r="S10" s="2">
        <f ca="1">IFERROR(SUMIFS(INDIRECT("'Thanh Toán ("&amp;S$3&amp;")'!$e:$e"),INDIRECT("'Thanh Toán ("&amp;S$3&amp;")'!$B:$B"),'Tổng Đơn'!$B10),0)</f>
        <v>0</v>
      </c>
      <c r="T10" s="2">
        <f ca="1">IFERROR(SUMIFS(INDIRECT("'Thanh Toán ("&amp;T$3&amp;")'!$e:$e"),INDIRECT("'Thanh Toán ("&amp;T$3&amp;")'!$B:$B"),'Tổng Đơn'!$B10),0)</f>
        <v>0</v>
      </c>
      <c r="U10" s="2">
        <f ca="1">IFERROR(SUMIFS(INDIRECT("'Thanh Toán ("&amp;U$3&amp;")'!$e:$e"),INDIRECT("'Thanh Toán ("&amp;U$3&amp;")'!$B:$B"),'Tổng Đơn'!$B10),0)</f>
        <v>0</v>
      </c>
      <c r="V10" s="2">
        <f ca="1">IFERROR(SUMIFS(INDIRECT("'Thanh Toán ("&amp;V$3&amp;")'!$e:$e"),INDIRECT("'Thanh Toán ("&amp;V$3&amp;")'!$B:$B"),'Tổng Đơn'!$B10),0)</f>
        <v>0</v>
      </c>
      <c r="W10" s="2">
        <f ca="1">IFERROR(SUMIFS(INDIRECT("'Thanh Toán ("&amp;W$3&amp;")'!$e:$e"),INDIRECT("'Thanh Toán ("&amp;W$3&amp;")'!$B:$B"),'Tổng Đơn'!$B10),0)</f>
        <v>0</v>
      </c>
      <c r="X10" s="2">
        <f ca="1">IFERROR(SUMIFS(INDIRECT("'Thanh Toán ("&amp;X$3&amp;")'!$e:$e"),INDIRECT("'Thanh Toán ("&amp;X$3&amp;")'!$B:$B"),'Tổng Đơn'!$B10),0)</f>
        <v>0</v>
      </c>
      <c r="Y10" s="2">
        <f ca="1">IFERROR(SUMIFS(INDIRECT("'Thanh Toán ("&amp;Y$3&amp;")'!$e:$e"),INDIRECT("'Thanh Toán ("&amp;Y$3&amp;")'!$B:$B"),'Tổng Đơn'!$B10),0)</f>
        <v>0</v>
      </c>
      <c r="Z10" s="2">
        <f ca="1">IFERROR(SUMIFS(INDIRECT("'Thanh Toán ("&amp;Z$3&amp;")'!$e:$e"),INDIRECT("'Thanh Toán ("&amp;Z$3&amp;")'!$B:$B"),'Tổng Đơn'!$B10),0)</f>
        <v>0</v>
      </c>
      <c r="AA10" s="2">
        <f ca="1">IFERROR(SUMIFS(INDIRECT("'Thanh Toán ("&amp;AA$3&amp;")'!$e:$e"),INDIRECT("'Thanh Toán ("&amp;AA$3&amp;")'!$B:$B"),'Tổng Đơn'!$B10),0)</f>
        <v>0</v>
      </c>
      <c r="AB10" s="2">
        <f ca="1">IFERROR(SUMIFS(INDIRECT("'Thanh Toán ("&amp;AB$3&amp;")'!$e:$e"),INDIRECT("'Thanh Toán ("&amp;AB$3&amp;")'!$B:$B"),'Tổng Đơn'!$B10),0)</f>
        <v>0</v>
      </c>
      <c r="AC10" s="2">
        <f ca="1">IFERROR(SUMIFS(INDIRECT("'Thanh Toán ("&amp;AC$3&amp;")'!$e:$e"),INDIRECT("'Thanh Toán ("&amp;AC$3&amp;")'!$B:$B"),'Tổng Đơn'!$B10),0)</f>
        <v>0</v>
      </c>
      <c r="AD10" s="2">
        <f ca="1">IFERROR(SUMIFS(INDIRECT("'Thanh Toán ("&amp;AD$3&amp;")'!$e:$e"),INDIRECT("'Thanh Toán ("&amp;AD$3&amp;")'!$B:$B"),'Tổng Đơn'!$B10),0)</f>
        <v>0</v>
      </c>
      <c r="AE10" s="2">
        <f ca="1">IFERROR(SUMIFS(INDIRECT("'Thanh Toán ("&amp;AE$3&amp;")'!$e:$e"),INDIRECT("'Thanh Toán ("&amp;AE$3&amp;")'!$B:$B"),'Tổng Đơn'!$B10),0)</f>
        <v>0</v>
      </c>
      <c r="AF10" s="2">
        <f ca="1">IFERROR(SUMIFS(INDIRECT("'Thanh Toán ("&amp;AF$3&amp;")'!$e:$e"),INDIRECT("'Thanh Toán ("&amp;AF$3&amp;")'!$B:$B"),'Tổng Đơn'!$B10),0)</f>
        <v>0</v>
      </c>
      <c r="AG10" s="2">
        <f ca="1">IFERROR(SUMIFS(INDIRECT("'Thanh Toán ("&amp;AG$3&amp;")'!$e:$e"),INDIRECT("'Thanh Toán ("&amp;AG$3&amp;")'!$B:$B"),'Tổng Đơn'!$B10),0)</f>
        <v>0</v>
      </c>
      <c r="AH10" s="2">
        <f ca="1">IFERROR(SUMIFS(INDIRECT("'Thanh Toán ("&amp;AH$3&amp;")'!$e:$e"),INDIRECT("'Thanh Toán ("&amp;AH$3&amp;")'!$B:$B"),'Tổng Đơn'!$B10),0)</f>
        <v>0</v>
      </c>
      <c r="AI10" s="2">
        <f ca="1">IFERROR(SUMIFS(INDIRECT("'Thanh Toán ("&amp;AI$3&amp;")'!$e:$e"),INDIRECT("'Thanh Toán ("&amp;AI$3&amp;")'!$B:$B"),'Tổng Đơn'!$B10),0)</f>
        <v>0</v>
      </c>
      <c r="AJ10" s="2">
        <f ca="1">IFERROR(SUMIFS(INDIRECT("'Thanh Toán ("&amp;AJ$3&amp;")'!$e:$e"),INDIRECT("'Thanh Toán ("&amp;AJ$3&amp;")'!$B:$B"),'Tổng Đơn'!$B10),0)</f>
        <v>0</v>
      </c>
      <c r="AK10" s="2">
        <f ca="1">IFERROR(SUMIFS(INDIRECT("'Thanh Toán ("&amp;AK$3&amp;")'!$e:$e"),INDIRECT("'Thanh Toán ("&amp;AK$3&amp;")'!$B:$B"),'Tổng Đơn'!$B10),0)</f>
        <v>0</v>
      </c>
      <c r="AL10" s="2">
        <f ca="1">IFERROR(SUMIFS(INDIRECT("'Thanh Toán ("&amp;AL$3&amp;")'!$e:$e"),INDIRECT("'Thanh Toán ("&amp;AL$3&amp;")'!$B:$B"),'Tổng Đơn'!$B10),0)</f>
        <v>0</v>
      </c>
      <c r="AM10" s="2">
        <f ca="1">IFERROR(SUMIFS(INDIRECT("'Thanh Toán ("&amp;AM$3&amp;")'!$e:$e"),INDIRECT("'Thanh Toán ("&amp;AM$3&amp;")'!$B:$B"),'Tổng Đơn'!$B10),0)</f>
        <v>0</v>
      </c>
      <c r="AN10" s="2">
        <f ca="1">IFERROR(SUMIFS(INDIRECT("'Thanh Toán ("&amp;AN$3&amp;")'!$e:$e"),INDIRECT("'Thanh Toán ("&amp;AN$3&amp;")'!$B:$B"),'Tổng Đơn'!$B10),0)</f>
        <v>0</v>
      </c>
      <c r="AO10" s="2">
        <f ca="1">IFERROR(SUMIFS(INDIRECT("'Thanh Toán ("&amp;AO$3&amp;")'!$e:$e"),INDIRECT("'Thanh Toán ("&amp;AO$3&amp;")'!$B:$B"),'Tổng Đơn'!$B10),0)</f>
        <v>0</v>
      </c>
    </row>
    <row r="11" spans="1:41" x14ac:dyDescent="0.25">
      <c r="A11" s="23">
        <v>7</v>
      </c>
      <c r="B11" s="151" t="s">
        <v>26</v>
      </c>
      <c r="C11" s="23" t="s">
        <v>114</v>
      </c>
      <c r="D11" s="44">
        <f>VLOOKUP($C11,Sheet1!$C$2:$D$98,2,0)</f>
        <v>34000</v>
      </c>
      <c r="E11" s="60">
        <v>0.25</v>
      </c>
      <c r="F11" s="58">
        <f t="shared" ca="1" si="3"/>
        <v>0</v>
      </c>
      <c r="G11" s="58">
        <v>28.98324919736563</v>
      </c>
      <c r="H11" s="58">
        <f t="shared" ca="1" si="2"/>
        <v>0</v>
      </c>
      <c r="I11" s="58"/>
      <c r="J11" s="58">
        <f t="shared" ca="1" si="4"/>
        <v>0</v>
      </c>
      <c r="K11" s="58"/>
      <c r="L11" s="2">
        <f ca="1">IFERROR(SUMIFS(INDIRECT("'Thanh Toán ("&amp;L$3&amp;")'!$e:$e"),INDIRECT("'Thanh Toán ("&amp;L$3&amp;")'!$B:$B"),'Tổng Đơn'!$B11),0)</f>
        <v>0</v>
      </c>
      <c r="M11" s="2">
        <f ca="1">IFERROR(SUMIFS(INDIRECT("'Thanh Toán ("&amp;M$3&amp;")'!$e:$e"),INDIRECT("'Thanh Toán ("&amp;M$3&amp;")'!$B:$B"),'Tổng Đơn'!$B11),0)</f>
        <v>0</v>
      </c>
      <c r="N11" s="2">
        <f ca="1">IFERROR(SUMIFS(INDIRECT("'Thanh Toán ("&amp;N$3&amp;")'!$e:$e"),INDIRECT("'Thanh Toán ("&amp;N$3&amp;")'!$B:$B"),'Tổng Đơn'!$B11),0)</f>
        <v>0</v>
      </c>
      <c r="O11" s="2">
        <f ca="1">IFERROR(SUMIFS(INDIRECT("'Thanh Toán ("&amp;O$3&amp;")'!$e:$e"),INDIRECT("'Thanh Toán ("&amp;O$3&amp;")'!$B:$B"),'Tổng Đơn'!$B11),0)</f>
        <v>0</v>
      </c>
      <c r="P11" s="2">
        <f ca="1">IFERROR(SUMIFS(INDIRECT("'Thanh Toán ("&amp;P$3&amp;")'!$e:$e"),INDIRECT("'Thanh Toán ("&amp;P$3&amp;")'!$B:$B"),'Tổng Đơn'!$B11),0)</f>
        <v>0</v>
      </c>
      <c r="Q11" s="2">
        <f ca="1">IFERROR(SUMIFS(INDIRECT("'Thanh Toán ("&amp;Q$3&amp;")'!$e:$e"),INDIRECT("'Thanh Toán ("&amp;Q$3&amp;")'!$B:$B"),'Tổng Đơn'!$B11),0)</f>
        <v>0</v>
      </c>
      <c r="R11" s="2">
        <f ca="1">IFERROR(SUMIFS(INDIRECT("'Thanh Toán ("&amp;R$3&amp;")'!$e:$e"),INDIRECT("'Thanh Toán ("&amp;R$3&amp;")'!$B:$B"),'Tổng Đơn'!$B11),0)</f>
        <v>0</v>
      </c>
      <c r="S11" s="2">
        <f ca="1">IFERROR(SUMIFS(INDIRECT("'Thanh Toán ("&amp;S$3&amp;")'!$e:$e"),INDIRECT("'Thanh Toán ("&amp;S$3&amp;")'!$B:$B"),'Tổng Đơn'!$B11),0)</f>
        <v>0</v>
      </c>
      <c r="T11" s="2">
        <f ca="1">IFERROR(SUMIFS(INDIRECT("'Thanh Toán ("&amp;T$3&amp;")'!$e:$e"),INDIRECT("'Thanh Toán ("&amp;T$3&amp;")'!$B:$B"),'Tổng Đơn'!$B11),0)</f>
        <v>0</v>
      </c>
      <c r="U11" s="2">
        <f ca="1">IFERROR(SUMIFS(INDIRECT("'Thanh Toán ("&amp;U$3&amp;")'!$e:$e"),INDIRECT("'Thanh Toán ("&amp;U$3&amp;")'!$B:$B"),'Tổng Đơn'!$B11),0)</f>
        <v>0</v>
      </c>
      <c r="V11" s="2">
        <f ca="1">IFERROR(SUMIFS(INDIRECT("'Thanh Toán ("&amp;V$3&amp;")'!$e:$e"),INDIRECT("'Thanh Toán ("&amp;V$3&amp;")'!$B:$B"),'Tổng Đơn'!$B11),0)</f>
        <v>0</v>
      </c>
      <c r="W11" s="2">
        <f ca="1">IFERROR(SUMIFS(INDIRECT("'Thanh Toán ("&amp;W$3&amp;")'!$e:$e"),INDIRECT("'Thanh Toán ("&amp;W$3&amp;")'!$B:$B"),'Tổng Đơn'!$B11),0)</f>
        <v>0</v>
      </c>
      <c r="X11" s="2">
        <f ca="1">IFERROR(SUMIFS(INDIRECT("'Thanh Toán ("&amp;X$3&amp;")'!$e:$e"),INDIRECT("'Thanh Toán ("&amp;X$3&amp;")'!$B:$B"),'Tổng Đơn'!$B11),0)</f>
        <v>0</v>
      </c>
      <c r="Y11" s="2">
        <f ca="1">IFERROR(SUMIFS(INDIRECT("'Thanh Toán ("&amp;Y$3&amp;")'!$e:$e"),INDIRECT("'Thanh Toán ("&amp;Y$3&amp;")'!$B:$B"),'Tổng Đơn'!$B11),0)</f>
        <v>0</v>
      </c>
      <c r="Z11" s="2">
        <f ca="1">IFERROR(SUMIFS(INDIRECT("'Thanh Toán ("&amp;Z$3&amp;")'!$e:$e"),INDIRECT("'Thanh Toán ("&amp;Z$3&amp;")'!$B:$B"),'Tổng Đơn'!$B11),0)</f>
        <v>0</v>
      </c>
      <c r="AA11" s="2">
        <f ca="1">IFERROR(SUMIFS(INDIRECT("'Thanh Toán ("&amp;AA$3&amp;")'!$e:$e"),INDIRECT("'Thanh Toán ("&amp;AA$3&amp;")'!$B:$B"),'Tổng Đơn'!$B11),0)</f>
        <v>0</v>
      </c>
      <c r="AB11" s="2">
        <f ca="1">IFERROR(SUMIFS(INDIRECT("'Thanh Toán ("&amp;AB$3&amp;")'!$e:$e"),INDIRECT("'Thanh Toán ("&amp;AB$3&amp;")'!$B:$B"),'Tổng Đơn'!$B11),0)</f>
        <v>0</v>
      </c>
      <c r="AC11" s="2">
        <f ca="1">IFERROR(SUMIFS(INDIRECT("'Thanh Toán ("&amp;AC$3&amp;")'!$e:$e"),INDIRECT("'Thanh Toán ("&amp;AC$3&amp;")'!$B:$B"),'Tổng Đơn'!$B11),0)</f>
        <v>0</v>
      </c>
      <c r="AD11" s="2">
        <f ca="1">IFERROR(SUMIFS(INDIRECT("'Thanh Toán ("&amp;AD$3&amp;")'!$e:$e"),INDIRECT("'Thanh Toán ("&amp;AD$3&amp;")'!$B:$B"),'Tổng Đơn'!$B11),0)</f>
        <v>0</v>
      </c>
      <c r="AE11" s="2">
        <f ca="1">IFERROR(SUMIFS(INDIRECT("'Thanh Toán ("&amp;AE$3&amp;")'!$e:$e"),INDIRECT("'Thanh Toán ("&amp;AE$3&amp;")'!$B:$B"),'Tổng Đơn'!$B11),0)</f>
        <v>0</v>
      </c>
      <c r="AF11" s="2">
        <f ca="1">IFERROR(SUMIFS(INDIRECT("'Thanh Toán ("&amp;AF$3&amp;")'!$e:$e"),INDIRECT("'Thanh Toán ("&amp;AF$3&amp;")'!$B:$B"),'Tổng Đơn'!$B11),0)</f>
        <v>0</v>
      </c>
      <c r="AG11" s="2">
        <f ca="1">IFERROR(SUMIFS(INDIRECT("'Thanh Toán ("&amp;AG$3&amp;")'!$e:$e"),INDIRECT("'Thanh Toán ("&amp;AG$3&amp;")'!$B:$B"),'Tổng Đơn'!$B11),0)</f>
        <v>0</v>
      </c>
      <c r="AH11" s="2">
        <f ca="1">IFERROR(SUMIFS(INDIRECT("'Thanh Toán ("&amp;AH$3&amp;")'!$e:$e"),INDIRECT("'Thanh Toán ("&amp;AH$3&amp;")'!$B:$B"),'Tổng Đơn'!$B11),0)</f>
        <v>0</v>
      </c>
      <c r="AI11" s="2">
        <f ca="1">IFERROR(SUMIFS(INDIRECT("'Thanh Toán ("&amp;AI$3&amp;")'!$e:$e"),INDIRECT("'Thanh Toán ("&amp;AI$3&amp;")'!$B:$B"),'Tổng Đơn'!$B11),0)</f>
        <v>0</v>
      </c>
      <c r="AJ11" s="2">
        <f ca="1">IFERROR(SUMIFS(INDIRECT("'Thanh Toán ("&amp;AJ$3&amp;")'!$e:$e"),INDIRECT("'Thanh Toán ("&amp;AJ$3&amp;")'!$B:$B"),'Tổng Đơn'!$B11),0)</f>
        <v>0</v>
      </c>
      <c r="AK11" s="2">
        <f ca="1">IFERROR(SUMIFS(INDIRECT("'Thanh Toán ("&amp;AK$3&amp;")'!$e:$e"),INDIRECT("'Thanh Toán ("&amp;AK$3&amp;")'!$B:$B"),'Tổng Đơn'!$B11),0)</f>
        <v>0</v>
      </c>
      <c r="AL11" s="2">
        <f ca="1">IFERROR(SUMIFS(INDIRECT("'Thanh Toán ("&amp;AL$3&amp;")'!$e:$e"),INDIRECT("'Thanh Toán ("&amp;AL$3&amp;")'!$B:$B"),'Tổng Đơn'!$B11),0)</f>
        <v>0</v>
      </c>
      <c r="AM11" s="2">
        <f ca="1">IFERROR(SUMIFS(INDIRECT("'Thanh Toán ("&amp;AM$3&amp;")'!$e:$e"),INDIRECT("'Thanh Toán ("&amp;AM$3&amp;")'!$B:$B"),'Tổng Đơn'!$B11),0)</f>
        <v>0</v>
      </c>
      <c r="AN11" s="2">
        <f ca="1">IFERROR(SUMIFS(INDIRECT("'Thanh Toán ("&amp;AN$3&amp;")'!$e:$e"),INDIRECT("'Thanh Toán ("&amp;AN$3&amp;")'!$B:$B"),'Tổng Đơn'!$B11),0)</f>
        <v>0</v>
      </c>
      <c r="AO11" s="2">
        <f ca="1">IFERROR(SUMIFS(INDIRECT("'Thanh Toán ("&amp;AO$3&amp;")'!$e:$e"),INDIRECT("'Thanh Toán ("&amp;AO$3&amp;")'!$B:$B"),'Tổng Đơn'!$B11),0)</f>
        <v>0</v>
      </c>
    </row>
    <row r="12" spans="1:41" x14ac:dyDescent="0.25">
      <c r="A12" s="23">
        <v>8</v>
      </c>
      <c r="B12" s="151" t="s">
        <v>61</v>
      </c>
      <c r="C12" s="23" t="s">
        <v>115</v>
      </c>
      <c r="D12" s="44">
        <f>VLOOKUP($C12,Sheet1!$C$2:$D$98,2,0)</f>
        <v>35000</v>
      </c>
      <c r="E12" s="60">
        <v>0.5</v>
      </c>
      <c r="F12" s="58">
        <f t="shared" ca="1" si="3"/>
        <v>1</v>
      </c>
      <c r="G12" s="58">
        <v>30.180227720518396</v>
      </c>
      <c r="H12" s="58">
        <f t="shared" ca="1" si="2"/>
        <v>4819.7722794816036</v>
      </c>
      <c r="I12" s="58"/>
      <c r="J12" s="58">
        <f t="shared" ca="1" si="4"/>
        <v>30180.227720518396</v>
      </c>
      <c r="K12" s="58"/>
      <c r="L12" s="2">
        <f ca="1">IFERROR(SUMIFS(INDIRECT("'Thanh Toán ("&amp;L$3&amp;")'!$e:$e"),INDIRECT("'Thanh Toán ("&amp;L$3&amp;")'!$B:$B"),'Tổng Đơn'!$B12),0)</f>
        <v>0</v>
      </c>
      <c r="M12" s="2">
        <f ca="1">IFERROR(SUMIFS(INDIRECT("'Thanh Toán ("&amp;M$3&amp;")'!$e:$e"),INDIRECT("'Thanh Toán ("&amp;M$3&amp;")'!$B:$B"),'Tổng Đơn'!$B12),0)</f>
        <v>0</v>
      </c>
      <c r="N12" s="2">
        <f ca="1">IFERROR(SUMIFS(INDIRECT("'Thanh Toán ("&amp;N$3&amp;")'!$e:$e"),INDIRECT("'Thanh Toán ("&amp;N$3&amp;")'!$B:$B"),'Tổng Đơn'!$B12),0)</f>
        <v>1</v>
      </c>
      <c r="O12" s="2">
        <f ca="1">IFERROR(SUMIFS(INDIRECT("'Thanh Toán ("&amp;O$3&amp;")'!$e:$e"),INDIRECT("'Thanh Toán ("&amp;O$3&amp;")'!$B:$B"),'Tổng Đơn'!$B12),0)</f>
        <v>0</v>
      </c>
      <c r="P12" s="2">
        <f ca="1">IFERROR(SUMIFS(INDIRECT("'Thanh Toán ("&amp;P$3&amp;")'!$e:$e"),INDIRECT("'Thanh Toán ("&amp;P$3&amp;")'!$B:$B"),'Tổng Đơn'!$B12),0)</f>
        <v>0</v>
      </c>
      <c r="Q12" s="2">
        <f ca="1">IFERROR(SUMIFS(INDIRECT("'Thanh Toán ("&amp;Q$3&amp;")'!$e:$e"),INDIRECT("'Thanh Toán ("&amp;Q$3&amp;")'!$B:$B"),'Tổng Đơn'!$B12),0)</f>
        <v>0</v>
      </c>
      <c r="R12" s="2">
        <f ca="1">IFERROR(SUMIFS(INDIRECT("'Thanh Toán ("&amp;R$3&amp;")'!$e:$e"),INDIRECT("'Thanh Toán ("&amp;R$3&amp;")'!$B:$B"),'Tổng Đơn'!$B12),0)</f>
        <v>0</v>
      </c>
      <c r="S12" s="2">
        <f ca="1">IFERROR(SUMIFS(INDIRECT("'Thanh Toán ("&amp;S$3&amp;")'!$e:$e"),INDIRECT("'Thanh Toán ("&amp;S$3&amp;")'!$B:$B"),'Tổng Đơn'!$B12),0)</f>
        <v>0</v>
      </c>
      <c r="T12" s="2">
        <f ca="1">IFERROR(SUMIFS(INDIRECT("'Thanh Toán ("&amp;T$3&amp;")'!$e:$e"),INDIRECT("'Thanh Toán ("&amp;T$3&amp;")'!$B:$B"),'Tổng Đơn'!$B12),0)</f>
        <v>0</v>
      </c>
      <c r="U12" s="2">
        <f ca="1">IFERROR(SUMIFS(INDIRECT("'Thanh Toán ("&amp;U$3&amp;")'!$e:$e"),INDIRECT("'Thanh Toán ("&amp;U$3&amp;")'!$B:$B"),'Tổng Đơn'!$B12),0)</f>
        <v>0</v>
      </c>
      <c r="V12" s="2">
        <f ca="1">IFERROR(SUMIFS(INDIRECT("'Thanh Toán ("&amp;V$3&amp;")'!$e:$e"),INDIRECT("'Thanh Toán ("&amp;V$3&amp;")'!$B:$B"),'Tổng Đơn'!$B12),0)</f>
        <v>0</v>
      </c>
      <c r="W12" s="2">
        <f ca="1">IFERROR(SUMIFS(INDIRECT("'Thanh Toán ("&amp;W$3&amp;")'!$e:$e"),INDIRECT("'Thanh Toán ("&amp;W$3&amp;")'!$B:$B"),'Tổng Đơn'!$B12),0)</f>
        <v>0</v>
      </c>
      <c r="X12" s="2">
        <f ca="1">IFERROR(SUMIFS(INDIRECT("'Thanh Toán ("&amp;X$3&amp;")'!$e:$e"),INDIRECT("'Thanh Toán ("&amp;X$3&amp;")'!$B:$B"),'Tổng Đơn'!$B12),0)</f>
        <v>0</v>
      </c>
      <c r="Y12" s="2">
        <f ca="1">IFERROR(SUMIFS(INDIRECT("'Thanh Toán ("&amp;Y$3&amp;")'!$e:$e"),INDIRECT("'Thanh Toán ("&amp;Y$3&amp;")'!$B:$B"),'Tổng Đơn'!$B12),0)</f>
        <v>0</v>
      </c>
      <c r="Z12" s="2">
        <f ca="1">IFERROR(SUMIFS(INDIRECT("'Thanh Toán ("&amp;Z$3&amp;")'!$e:$e"),INDIRECT("'Thanh Toán ("&amp;Z$3&amp;")'!$B:$B"),'Tổng Đơn'!$B12),0)</f>
        <v>0</v>
      </c>
      <c r="AA12" s="2">
        <f ca="1">IFERROR(SUMIFS(INDIRECT("'Thanh Toán ("&amp;AA$3&amp;")'!$e:$e"),INDIRECT("'Thanh Toán ("&amp;AA$3&amp;")'!$B:$B"),'Tổng Đơn'!$B12),0)</f>
        <v>0</v>
      </c>
      <c r="AB12" s="2">
        <f ca="1">IFERROR(SUMIFS(INDIRECT("'Thanh Toán ("&amp;AB$3&amp;")'!$e:$e"),INDIRECT("'Thanh Toán ("&amp;AB$3&amp;")'!$B:$B"),'Tổng Đơn'!$B12),0)</f>
        <v>0</v>
      </c>
      <c r="AC12" s="2">
        <f ca="1">IFERROR(SUMIFS(INDIRECT("'Thanh Toán ("&amp;AC$3&amp;")'!$e:$e"),INDIRECT("'Thanh Toán ("&amp;AC$3&amp;")'!$B:$B"),'Tổng Đơn'!$B12),0)</f>
        <v>0</v>
      </c>
      <c r="AD12" s="2">
        <f ca="1">IFERROR(SUMIFS(INDIRECT("'Thanh Toán ("&amp;AD$3&amp;")'!$e:$e"),INDIRECT("'Thanh Toán ("&amp;AD$3&amp;")'!$B:$B"),'Tổng Đơn'!$B12),0)</f>
        <v>0</v>
      </c>
      <c r="AE12" s="2">
        <f ca="1">IFERROR(SUMIFS(INDIRECT("'Thanh Toán ("&amp;AE$3&amp;")'!$e:$e"),INDIRECT("'Thanh Toán ("&amp;AE$3&amp;")'!$B:$B"),'Tổng Đơn'!$B12),0)</f>
        <v>0</v>
      </c>
      <c r="AF12" s="2">
        <f ca="1">IFERROR(SUMIFS(INDIRECT("'Thanh Toán ("&amp;AF$3&amp;")'!$e:$e"),INDIRECT("'Thanh Toán ("&amp;AF$3&amp;")'!$B:$B"),'Tổng Đơn'!$B12),0)</f>
        <v>0</v>
      </c>
      <c r="AG12" s="2">
        <f ca="1">IFERROR(SUMIFS(INDIRECT("'Thanh Toán ("&amp;AG$3&amp;")'!$e:$e"),INDIRECT("'Thanh Toán ("&amp;AG$3&amp;")'!$B:$B"),'Tổng Đơn'!$B12),0)</f>
        <v>0</v>
      </c>
      <c r="AH12" s="2">
        <f ca="1">IFERROR(SUMIFS(INDIRECT("'Thanh Toán ("&amp;AH$3&amp;")'!$e:$e"),INDIRECT("'Thanh Toán ("&amp;AH$3&amp;")'!$B:$B"),'Tổng Đơn'!$B12),0)</f>
        <v>0</v>
      </c>
      <c r="AI12" s="2">
        <f ca="1">IFERROR(SUMIFS(INDIRECT("'Thanh Toán ("&amp;AI$3&amp;")'!$e:$e"),INDIRECT("'Thanh Toán ("&amp;AI$3&amp;")'!$B:$B"),'Tổng Đơn'!$B12),0)</f>
        <v>0</v>
      </c>
      <c r="AJ12" s="2">
        <f ca="1">IFERROR(SUMIFS(INDIRECT("'Thanh Toán ("&amp;AJ$3&amp;")'!$e:$e"),INDIRECT("'Thanh Toán ("&amp;AJ$3&amp;")'!$B:$B"),'Tổng Đơn'!$B12),0)</f>
        <v>0</v>
      </c>
      <c r="AK12" s="2">
        <f ca="1">IFERROR(SUMIFS(INDIRECT("'Thanh Toán ("&amp;AK$3&amp;")'!$e:$e"),INDIRECT("'Thanh Toán ("&amp;AK$3&amp;")'!$B:$B"),'Tổng Đơn'!$B12),0)</f>
        <v>0</v>
      </c>
      <c r="AL12" s="2">
        <f ca="1">IFERROR(SUMIFS(INDIRECT("'Thanh Toán ("&amp;AL$3&amp;")'!$e:$e"),INDIRECT("'Thanh Toán ("&amp;AL$3&amp;")'!$B:$B"),'Tổng Đơn'!$B12),0)</f>
        <v>0</v>
      </c>
      <c r="AM12" s="2">
        <f ca="1">IFERROR(SUMIFS(INDIRECT("'Thanh Toán ("&amp;AM$3&amp;")'!$e:$e"),INDIRECT("'Thanh Toán ("&amp;AM$3&amp;")'!$B:$B"),'Tổng Đơn'!$B12),0)</f>
        <v>0</v>
      </c>
      <c r="AN12" s="2">
        <f ca="1">IFERROR(SUMIFS(INDIRECT("'Thanh Toán ("&amp;AN$3&amp;")'!$e:$e"),INDIRECT("'Thanh Toán ("&amp;AN$3&amp;")'!$B:$B"),'Tổng Đơn'!$B12),0)</f>
        <v>0</v>
      </c>
      <c r="AO12" s="2">
        <f ca="1">IFERROR(SUMIFS(INDIRECT("'Thanh Toán ("&amp;AO$3&amp;")'!$e:$e"),INDIRECT("'Thanh Toán ("&amp;AO$3&amp;")'!$B:$B"),'Tổng Đơn'!$B12),0)</f>
        <v>0</v>
      </c>
    </row>
    <row r="13" spans="1:41" x14ac:dyDescent="0.25">
      <c r="A13" s="23">
        <v>9</v>
      </c>
      <c r="B13" s="151" t="s">
        <v>164</v>
      </c>
      <c r="C13" s="23" t="s">
        <v>116</v>
      </c>
      <c r="D13" s="44">
        <f>VLOOKUP($C13,Sheet1!$C$2:$D$98,2,0)</f>
        <v>45000</v>
      </c>
      <c r="E13" s="60">
        <v>0.5</v>
      </c>
      <c r="F13" s="58">
        <f t="shared" ca="1" si="3"/>
        <v>0</v>
      </c>
      <c r="G13" s="58">
        <v>32.226344854112867</v>
      </c>
      <c r="H13" s="58">
        <f t="shared" ca="1" si="2"/>
        <v>0</v>
      </c>
      <c r="I13" s="58"/>
      <c r="J13" s="58">
        <f t="shared" ca="1" si="4"/>
        <v>0</v>
      </c>
      <c r="K13" s="58"/>
      <c r="L13" s="2">
        <f ca="1">IFERROR(SUMIFS(INDIRECT("'Thanh Toán ("&amp;L$3&amp;")'!$e:$e"),INDIRECT("'Thanh Toán ("&amp;L$3&amp;")'!$B:$B"),'Tổng Đơn'!$B13),0)</f>
        <v>0</v>
      </c>
      <c r="M13" s="2">
        <f ca="1">IFERROR(SUMIFS(INDIRECT("'Thanh Toán ("&amp;M$3&amp;")'!$e:$e"),INDIRECT("'Thanh Toán ("&amp;M$3&amp;")'!$B:$B"),'Tổng Đơn'!$B13),0)</f>
        <v>0</v>
      </c>
      <c r="N13" s="2">
        <f ca="1">IFERROR(SUMIFS(INDIRECT("'Thanh Toán ("&amp;N$3&amp;")'!$e:$e"),INDIRECT("'Thanh Toán ("&amp;N$3&amp;")'!$B:$B"),'Tổng Đơn'!$B13),0)</f>
        <v>0</v>
      </c>
      <c r="O13" s="2">
        <f ca="1">IFERROR(SUMIFS(INDIRECT("'Thanh Toán ("&amp;O$3&amp;")'!$e:$e"),INDIRECT("'Thanh Toán ("&amp;O$3&amp;")'!$B:$B"),'Tổng Đơn'!$B13),0)</f>
        <v>0</v>
      </c>
      <c r="P13" s="2">
        <f ca="1">IFERROR(SUMIFS(INDIRECT("'Thanh Toán ("&amp;P$3&amp;")'!$e:$e"),INDIRECT("'Thanh Toán ("&amp;P$3&amp;")'!$B:$B"),'Tổng Đơn'!$B13),0)</f>
        <v>0</v>
      </c>
      <c r="Q13" s="2">
        <f ca="1">IFERROR(SUMIFS(INDIRECT("'Thanh Toán ("&amp;Q$3&amp;")'!$e:$e"),INDIRECT("'Thanh Toán ("&amp;Q$3&amp;")'!$B:$B"),'Tổng Đơn'!$B13),0)</f>
        <v>0</v>
      </c>
      <c r="R13" s="2">
        <f ca="1">IFERROR(SUMIFS(INDIRECT("'Thanh Toán ("&amp;R$3&amp;")'!$e:$e"),INDIRECT("'Thanh Toán ("&amp;R$3&amp;")'!$B:$B"),'Tổng Đơn'!$B13),0)</f>
        <v>0</v>
      </c>
      <c r="S13" s="2">
        <f ca="1">IFERROR(SUMIFS(INDIRECT("'Thanh Toán ("&amp;S$3&amp;")'!$e:$e"),INDIRECT("'Thanh Toán ("&amp;S$3&amp;")'!$B:$B"),'Tổng Đơn'!$B13),0)</f>
        <v>0</v>
      </c>
      <c r="T13" s="2">
        <f ca="1">IFERROR(SUMIFS(INDIRECT("'Thanh Toán ("&amp;T$3&amp;")'!$e:$e"),INDIRECT("'Thanh Toán ("&amp;T$3&amp;")'!$B:$B"),'Tổng Đơn'!$B13),0)</f>
        <v>0</v>
      </c>
      <c r="U13" s="2">
        <f ca="1">IFERROR(SUMIFS(INDIRECT("'Thanh Toán ("&amp;U$3&amp;")'!$e:$e"),INDIRECT("'Thanh Toán ("&amp;U$3&amp;")'!$B:$B"),'Tổng Đơn'!$B13),0)</f>
        <v>0</v>
      </c>
      <c r="V13" s="2">
        <f ca="1">IFERROR(SUMIFS(INDIRECT("'Thanh Toán ("&amp;V$3&amp;")'!$e:$e"),INDIRECT("'Thanh Toán ("&amp;V$3&amp;")'!$B:$B"),'Tổng Đơn'!$B13),0)</f>
        <v>0</v>
      </c>
      <c r="W13" s="2">
        <f ca="1">IFERROR(SUMIFS(INDIRECT("'Thanh Toán ("&amp;W$3&amp;")'!$e:$e"),INDIRECT("'Thanh Toán ("&amp;W$3&amp;")'!$B:$B"),'Tổng Đơn'!$B13),0)</f>
        <v>0</v>
      </c>
      <c r="X13" s="2">
        <f ca="1">IFERROR(SUMIFS(INDIRECT("'Thanh Toán ("&amp;X$3&amp;")'!$e:$e"),INDIRECT("'Thanh Toán ("&amp;X$3&amp;")'!$B:$B"),'Tổng Đơn'!$B13),0)</f>
        <v>0</v>
      </c>
      <c r="Y13" s="2">
        <f ca="1">IFERROR(SUMIFS(INDIRECT("'Thanh Toán ("&amp;Y$3&amp;")'!$e:$e"),INDIRECT("'Thanh Toán ("&amp;Y$3&amp;")'!$B:$B"),'Tổng Đơn'!$B13),0)</f>
        <v>0</v>
      </c>
      <c r="Z13" s="2">
        <f ca="1">IFERROR(SUMIFS(INDIRECT("'Thanh Toán ("&amp;Z$3&amp;")'!$e:$e"),INDIRECT("'Thanh Toán ("&amp;Z$3&amp;")'!$B:$B"),'Tổng Đơn'!$B13),0)</f>
        <v>0</v>
      </c>
      <c r="AA13" s="2">
        <f ca="1">IFERROR(SUMIFS(INDIRECT("'Thanh Toán ("&amp;AA$3&amp;")'!$e:$e"),INDIRECT("'Thanh Toán ("&amp;AA$3&amp;")'!$B:$B"),'Tổng Đơn'!$B13),0)</f>
        <v>0</v>
      </c>
      <c r="AB13" s="2">
        <f ca="1">IFERROR(SUMIFS(INDIRECT("'Thanh Toán ("&amp;AB$3&amp;")'!$e:$e"),INDIRECT("'Thanh Toán ("&amp;AB$3&amp;")'!$B:$B"),'Tổng Đơn'!$B13),0)</f>
        <v>0</v>
      </c>
      <c r="AC13" s="2">
        <f ca="1">IFERROR(SUMIFS(INDIRECT("'Thanh Toán ("&amp;AC$3&amp;")'!$e:$e"),INDIRECT("'Thanh Toán ("&amp;AC$3&amp;")'!$B:$B"),'Tổng Đơn'!$B13),0)</f>
        <v>0</v>
      </c>
      <c r="AD13" s="2">
        <f ca="1">IFERROR(SUMIFS(INDIRECT("'Thanh Toán ("&amp;AD$3&amp;")'!$e:$e"),INDIRECT("'Thanh Toán ("&amp;AD$3&amp;")'!$B:$B"),'Tổng Đơn'!$B13),0)</f>
        <v>0</v>
      </c>
      <c r="AE13" s="2">
        <f ca="1">IFERROR(SUMIFS(INDIRECT("'Thanh Toán ("&amp;AE$3&amp;")'!$e:$e"),INDIRECT("'Thanh Toán ("&amp;AE$3&amp;")'!$B:$B"),'Tổng Đơn'!$B13),0)</f>
        <v>0</v>
      </c>
      <c r="AF13" s="2">
        <f ca="1">IFERROR(SUMIFS(INDIRECT("'Thanh Toán ("&amp;AF$3&amp;")'!$e:$e"),INDIRECT("'Thanh Toán ("&amp;AF$3&amp;")'!$B:$B"),'Tổng Đơn'!$B13),0)</f>
        <v>0</v>
      </c>
      <c r="AG13" s="2">
        <f ca="1">IFERROR(SUMIFS(INDIRECT("'Thanh Toán ("&amp;AG$3&amp;")'!$e:$e"),INDIRECT("'Thanh Toán ("&amp;AG$3&amp;")'!$B:$B"),'Tổng Đơn'!$B13),0)</f>
        <v>0</v>
      </c>
      <c r="AH13" s="2">
        <f ca="1">IFERROR(SUMIFS(INDIRECT("'Thanh Toán ("&amp;AH$3&amp;")'!$e:$e"),INDIRECT("'Thanh Toán ("&amp;AH$3&amp;")'!$B:$B"),'Tổng Đơn'!$B13),0)</f>
        <v>0</v>
      </c>
      <c r="AI13" s="2">
        <f ca="1">IFERROR(SUMIFS(INDIRECT("'Thanh Toán ("&amp;AI$3&amp;")'!$e:$e"),INDIRECT("'Thanh Toán ("&amp;AI$3&amp;")'!$B:$B"),'Tổng Đơn'!$B13),0)</f>
        <v>0</v>
      </c>
      <c r="AJ13" s="2">
        <f ca="1">IFERROR(SUMIFS(INDIRECT("'Thanh Toán ("&amp;AJ$3&amp;")'!$e:$e"),INDIRECT("'Thanh Toán ("&amp;AJ$3&amp;")'!$B:$B"),'Tổng Đơn'!$B13),0)</f>
        <v>0</v>
      </c>
      <c r="AK13" s="2">
        <f ca="1">IFERROR(SUMIFS(INDIRECT("'Thanh Toán ("&amp;AK$3&amp;")'!$e:$e"),INDIRECT("'Thanh Toán ("&amp;AK$3&amp;")'!$B:$B"),'Tổng Đơn'!$B13),0)</f>
        <v>0</v>
      </c>
      <c r="AL13" s="2">
        <f ca="1">IFERROR(SUMIFS(INDIRECT("'Thanh Toán ("&amp;AL$3&amp;")'!$e:$e"),INDIRECT("'Thanh Toán ("&amp;AL$3&amp;")'!$B:$B"),'Tổng Đơn'!$B13),0)</f>
        <v>0</v>
      </c>
      <c r="AM13" s="2">
        <f ca="1">IFERROR(SUMIFS(INDIRECT("'Thanh Toán ("&amp;AM$3&amp;")'!$e:$e"),INDIRECT("'Thanh Toán ("&amp;AM$3&amp;")'!$B:$B"),'Tổng Đơn'!$B13),0)</f>
        <v>0</v>
      </c>
      <c r="AN13" s="2">
        <f ca="1">IFERROR(SUMIFS(INDIRECT("'Thanh Toán ("&amp;AN$3&amp;")'!$e:$e"),INDIRECT("'Thanh Toán ("&amp;AN$3&amp;")'!$B:$B"),'Tổng Đơn'!$B13),0)</f>
        <v>0</v>
      </c>
      <c r="AO13" s="2">
        <f ca="1">IFERROR(SUMIFS(INDIRECT("'Thanh Toán ("&amp;AO$3&amp;")'!$e:$e"),INDIRECT("'Thanh Toán ("&amp;AO$3&amp;")'!$B:$B"),'Tổng Đơn'!$B13),0)</f>
        <v>0</v>
      </c>
    </row>
    <row r="14" spans="1:41" x14ac:dyDescent="0.25">
      <c r="A14" s="23">
        <v>10</v>
      </c>
      <c r="B14" s="151" t="s">
        <v>6</v>
      </c>
      <c r="C14" s="23" t="s">
        <v>69</v>
      </c>
      <c r="D14" s="44">
        <f>VLOOKUP($C14,Sheet1!$C$2:$D$98,2,0)</f>
        <v>50000</v>
      </c>
      <c r="E14" s="60">
        <v>0.5</v>
      </c>
      <c r="F14" s="58">
        <f t="shared" ca="1" si="3"/>
        <v>2</v>
      </c>
      <c r="G14" s="58">
        <v>44.072025130263519</v>
      </c>
      <c r="H14" s="58">
        <f t="shared" ca="1" si="2"/>
        <v>11855.949739472955</v>
      </c>
      <c r="I14" s="58"/>
      <c r="J14" s="58">
        <f t="shared" ca="1" si="4"/>
        <v>88144.050260527045</v>
      </c>
      <c r="K14" s="58"/>
      <c r="L14" s="2">
        <f ca="1">IFERROR(SUMIFS(INDIRECT("'Thanh Toán ("&amp;L$3&amp;")'!$e:$e"),INDIRECT("'Thanh Toán ("&amp;L$3&amp;")'!$B:$B"),'Tổng Đơn'!$B14),0)</f>
        <v>0</v>
      </c>
      <c r="M14" s="2">
        <f ca="1">IFERROR(SUMIFS(INDIRECT("'Thanh Toán ("&amp;M$3&amp;")'!$e:$e"),INDIRECT("'Thanh Toán ("&amp;M$3&amp;")'!$B:$B"),'Tổng Đơn'!$B14),0)</f>
        <v>1</v>
      </c>
      <c r="N14" s="2">
        <f ca="1">IFERROR(SUMIFS(INDIRECT("'Thanh Toán ("&amp;N$3&amp;")'!$e:$e"),INDIRECT("'Thanh Toán ("&amp;N$3&amp;")'!$B:$B"),'Tổng Đơn'!$B14),0)</f>
        <v>0</v>
      </c>
      <c r="O14" s="2">
        <f ca="1">IFERROR(SUMIFS(INDIRECT("'Thanh Toán ("&amp;O$3&amp;")'!$e:$e"),INDIRECT("'Thanh Toán ("&amp;O$3&amp;")'!$B:$B"),'Tổng Đơn'!$B14),0)</f>
        <v>0</v>
      </c>
      <c r="P14" s="2">
        <f ca="1">IFERROR(SUMIFS(INDIRECT("'Thanh Toán ("&amp;P$3&amp;")'!$e:$e"),INDIRECT("'Thanh Toán ("&amp;P$3&amp;")'!$B:$B"),'Tổng Đơn'!$B14),0)</f>
        <v>0</v>
      </c>
      <c r="Q14" s="2">
        <f ca="1">IFERROR(SUMIFS(INDIRECT("'Thanh Toán ("&amp;Q$3&amp;")'!$e:$e"),INDIRECT("'Thanh Toán ("&amp;Q$3&amp;")'!$B:$B"),'Tổng Đơn'!$B14),0)</f>
        <v>0</v>
      </c>
      <c r="R14" s="2">
        <f ca="1">IFERROR(SUMIFS(INDIRECT("'Thanh Toán ("&amp;R$3&amp;")'!$e:$e"),INDIRECT("'Thanh Toán ("&amp;R$3&amp;")'!$B:$B"),'Tổng Đơn'!$B14),0)</f>
        <v>0</v>
      </c>
      <c r="S14" s="2">
        <f ca="1">IFERROR(SUMIFS(INDIRECT("'Thanh Toán ("&amp;S$3&amp;")'!$e:$e"),INDIRECT("'Thanh Toán ("&amp;S$3&amp;")'!$B:$B"),'Tổng Đơn'!$B14),0)</f>
        <v>0</v>
      </c>
      <c r="T14" s="2">
        <f ca="1">IFERROR(SUMIFS(INDIRECT("'Thanh Toán ("&amp;T$3&amp;")'!$e:$e"),INDIRECT("'Thanh Toán ("&amp;T$3&amp;")'!$B:$B"),'Tổng Đơn'!$B14),0)</f>
        <v>0</v>
      </c>
      <c r="U14" s="2">
        <f ca="1">IFERROR(SUMIFS(INDIRECT("'Thanh Toán ("&amp;U$3&amp;")'!$e:$e"),INDIRECT("'Thanh Toán ("&amp;U$3&amp;")'!$B:$B"),'Tổng Đơn'!$B14),0)</f>
        <v>0</v>
      </c>
      <c r="V14" s="2">
        <f ca="1">IFERROR(SUMIFS(INDIRECT("'Thanh Toán ("&amp;V$3&amp;")'!$e:$e"),INDIRECT("'Thanh Toán ("&amp;V$3&amp;")'!$B:$B"),'Tổng Đơn'!$B14),0)</f>
        <v>0</v>
      </c>
      <c r="W14" s="2">
        <f ca="1">IFERROR(SUMIFS(INDIRECT("'Thanh Toán ("&amp;W$3&amp;")'!$e:$e"),INDIRECT("'Thanh Toán ("&amp;W$3&amp;")'!$B:$B"),'Tổng Đơn'!$B14),0)</f>
        <v>0</v>
      </c>
      <c r="X14" s="2">
        <f ca="1">IFERROR(SUMIFS(INDIRECT("'Thanh Toán ("&amp;X$3&amp;")'!$e:$e"),INDIRECT("'Thanh Toán ("&amp;X$3&amp;")'!$B:$B"),'Tổng Đơn'!$B14),0)</f>
        <v>1</v>
      </c>
      <c r="Y14" s="2">
        <f ca="1">IFERROR(SUMIFS(INDIRECT("'Thanh Toán ("&amp;Y$3&amp;")'!$e:$e"),INDIRECT("'Thanh Toán ("&amp;Y$3&amp;")'!$B:$B"),'Tổng Đơn'!$B14),0)</f>
        <v>0</v>
      </c>
      <c r="Z14" s="2">
        <f ca="1">IFERROR(SUMIFS(INDIRECT("'Thanh Toán ("&amp;Z$3&amp;")'!$e:$e"),INDIRECT("'Thanh Toán ("&amp;Z$3&amp;")'!$B:$B"),'Tổng Đơn'!$B14),0)</f>
        <v>0</v>
      </c>
      <c r="AA14" s="2">
        <f ca="1">IFERROR(SUMIFS(INDIRECT("'Thanh Toán ("&amp;AA$3&amp;")'!$e:$e"),INDIRECT("'Thanh Toán ("&amp;AA$3&amp;")'!$B:$B"),'Tổng Đơn'!$B14),0)</f>
        <v>0</v>
      </c>
      <c r="AB14" s="2">
        <f ca="1">IFERROR(SUMIFS(INDIRECT("'Thanh Toán ("&amp;AB$3&amp;")'!$e:$e"),INDIRECT("'Thanh Toán ("&amp;AB$3&amp;")'!$B:$B"),'Tổng Đơn'!$B14),0)</f>
        <v>0</v>
      </c>
      <c r="AC14" s="2">
        <f ca="1">IFERROR(SUMIFS(INDIRECT("'Thanh Toán ("&amp;AC$3&amp;")'!$e:$e"),INDIRECT("'Thanh Toán ("&amp;AC$3&amp;")'!$B:$B"),'Tổng Đơn'!$B14),0)</f>
        <v>0</v>
      </c>
      <c r="AD14" s="2">
        <f ca="1">IFERROR(SUMIFS(INDIRECT("'Thanh Toán ("&amp;AD$3&amp;")'!$e:$e"),INDIRECT("'Thanh Toán ("&amp;AD$3&amp;")'!$B:$B"),'Tổng Đơn'!$B14),0)</f>
        <v>0</v>
      </c>
      <c r="AE14" s="2">
        <f ca="1">IFERROR(SUMIFS(INDIRECT("'Thanh Toán ("&amp;AE$3&amp;")'!$e:$e"),INDIRECT("'Thanh Toán ("&amp;AE$3&amp;")'!$B:$B"),'Tổng Đơn'!$B14),0)</f>
        <v>0</v>
      </c>
      <c r="AF14" s="2">
        <f ca="1">IFERROR(SUMIFS(INDIRECT("'Thanh Toán ("&amp;AF$3&amp;")'!$e:$e"),INDIRECT("'Thanh Toán ("&amp;AF$3&amp;")'!$B:$B"),'Tổng Đơn'!$B14),0)</f>
        <v>0</v>
      </c>
      <c r="AG14" s="2">
        <f ca="1">IFERROR(SUMIFS(INDIRECT("'Thanh Toán ("&amp;AG$3&amp;")'!$e:$e"),INDIRECT("'Thanh Toán ("&amp;AG$3&amp;")'!$B:$B"),'Tổng Đơn'!$B14),0)</f>
        <v>0</v>
      </c>
      <c r="AH14" s="2">
        <f ca="1">IFERROR(SUMIFS(INDIRECT("'Thanh Toán ("&amp;AH$3&amp;")'!$e:$e"),INDIRECT("'Thanh Toán ("&amp;AH$3&amp;")'!$B:$B"),'Tổng Đơn'!$B14),0)</f>
        <v>0</v>
      </c>
      <c r="AI14" s="2">
        <f ca="1">IFERROR(SUMIFS(INDIRECT("'Thanh Toán ("&amp;AI$3&amp;")'!$e:$e"),INDIRECT("'Thanh Toán ("&amp;AI$3&amp;")'!$B:$B"),'Tổng Đơn'!$B14),0)</f>
        <v>0</v>
      </c>
      <c r="AJ14" s="2">
        <f ca="1">IFERROR(SUMIFS(INDIRECT("'Thanh Toán ("&amp;AJ$3&amp;")'!$e:$e"),INDIRECT("'Thanh Toán ("&amp;AJ$3&amp;")'!$B:$B"),'Tổng Đơn'!$B14),0)</f>
        <v>0</v>
      </c>
      <c r="AK14" s="2">
        <f ca="1">IFERROR(SUMIFS(INDIRECT("'Thanh Toán ("&amp;AK$3&amp;")'!$e:$e"),INDIRECT("'Thanh Toán ("&amp;AK$3&amp;")'!$B:$B"),'Tổng Đơn'!$B14),0)</f>
        <v>0</v>
      </c>
      <c r="AL14" s="2">
        <f ca="1">IFERROR(SUMIFS(INDIRECT("'Thanh Toán ("&amp;AL$3&amp;")'!$e:$e"),INDIRECT("'Thanh Toán ("&amp;AL$3&amp;")'!$B:$B"),'Tổng Đơn'!$B14),0)</f>
        <v>0</v>
      </c>
      <c r="AM14" s="2">
        <f ca="1">IFERROR(SUMIFS(INDIRECT("'Thanh Toán ("&amp;AM$3&amp;")'!$e:$e"),INDIRECT("'Thanh Toán ("&amp;AM$3&amp;")'!$B:$B"),'Tổng Đơn'!$B14),0)</f>
        <v>0</v>
      </c>
      <c r="AN14" s="2">
        <f ca="1">IFERROR(SUMIFS(INDIRECT("'Thanh Toán ("&amp;AN$3&amp;")'!$e:$e"),INDIRECT("'Thanh Toán ("&amp;AN$3&amp;")'!$B:$B"),'Tổng Đơn'!$B14),0)</f>
        <v>0</v>
      </c>
      <c r="AO14" s="2">
        <f ca="1">IFERROR(SUMIFS(INDIRECT("'Thanh Toán ("&amp;AO$3&amp;")'!$e:$e"),INDIRECT("'Thanh Toán ("&amp;AO$3&amp;")'!$B:$B"),'Tổng Đơn'!$B14),0)</f>
        <v>0</v>
      </c>
    </row>
    <row r="15" spans="1:41" x14ac:dyDescent="0.25">
      <c r="A15" s="23">
        <v>11</v>
      </c>
      <c r="B15" s="151" t="s">
        <v>58</v>
      </c>
      <c r="C15" s="23" t="s">
        <v>70</v>
      </c>
      <c r="D15" s="44">
        <f>VLOOKUP($C15,Sheet1!$C$2:$D$98,2,0)</f>
        <v>45000</v>
      </c>
      <c r="E15" s="60">
        <v>0.5</v>
      </c>
      <c r="F15" s="58">
        <f t="shared" ca="1" si="3"/>
        <v>0</v>
      </c>
      <c r="G15" s="58">
        <v>40.922342671889353</v>
      </c>
      <c r="H15" s="58">
        <f t="shared" ca="1" si="2"/>
        <v>0</v>
      </c>
      <c r="I15" s="58"/>
      <c r="J15" s="58">
        <f t="shared" ca="1" si="4"/>
        <v>0</v>
      </c>
      <c r="K15" s="58"/>
      <c r="L15" s="2">
        <f ca="1">IFERROR(SUMIFS(INDIRECT("'Thanh Toán ("&amp;L$3&amp;")'!$e:$e"),INDIRECT("'Thanh Toán ("&amp;L$3&amp;")'!$B:$B"),'Tổng Đơn'!$B15),0)</f>
        <v>0</v>
      </c>
      <c r="M15" s="2">
        <f ca="1">IFERROR(SUMIFS(INDIRECT("'Thanh Toán ("&amp;M$3&amp;")'!$e:$e"),INDIRECT("'Thanh Toán ("&amp;M$3&amp;")'!$B:$B"),'Tổng Đơn'!$B15),0)</f>
        <v>0</v>
      </c>
      <c r="N15" s="2">
        <f ca="1">IFERROR(SUMIFS(INDIRECT("'Thanh Toán ("&amp;N$3&amp;")'!$e:$e"),INDIRECT("'Thanh Toán ("&amp;N$3&amp;")'!$B:$B"),'Tổng Đơn'!$B15),0)</f>
        <v>0</v>
      </c>
      <c r="O15" s="2">
        <f ca="1">IFERROR(SUMIFS(INDIRECT("'Thanh Toán ("&amp;O$3&amp;")'!$e:$e"),INDIRECT("'Thanh Toán ("&amp;O$3&amp;")'!$B:$B"),'Tổng Đơn'!$B15),0)</f>
        <v>0</v>
      </c>
      <c r="P15" s="2">
        <f ca="1">IFERROR(SUMIFS(INDIRECT("'Thanh Toán ("&amp;P$3&amp;")'!$e:$e"),INDIRECT("'Thanh Toán ("&amp;P$3&amp;")'!$B:$B"),'Tổng Đơn'!$B15),0)</f>
        <v>0</v>
      </c>
      <c r="Q15" s="2">
        <f ca="1">IFERROR(SUMIFS(INDIRECT("'Thanh Toán ("&amp;Q$3&amp;")'!$e:$e"),INDIRECT("'Thanh Toán ("&amp;Q$3&amp;")'!$B:$B"),'Tổng Đơn'!$B15),0)</f>
        <v>0</v>
      </c>
      <c r="R15" s="2">
        <f ca="1">IFERROR(SUMIFS(INDIRECT("'Thanh Toán ("&amp;R$3&amp;")'!$e:$e"),INDIRECT("'Thanh Toán ("&amp;R$3&amp;")'!$B:$B"),'Tổng Đơn'!$B15),0)</f>
        <v>0</v>
      </c>
      <c r="S15" s="2">
        <f ca="1">IFERROR(SUMIFS(INDIRECT("'Thanh Toán ("&amp;S$3&amp;")'!$e:$e"),INDIRECT("'Thanh Toán ("&amp;S$3&amp;")'!$B:$B"),'Tổng Đơn'!$B15),0)</f>
        <v>0</v>
      </c>
      <c r="T15" s="2">
        <f ca="1">IFERROR(SUMIFS(INDIRECT("'Thanh Toán ("&amp;T$3&amp;")'!$e:$e"),INDIRECT("'Thanh Toán ("&amp;T$3&amp;")'!$B:$B"),'Tổng Đơn'!$B15),0)</f>
        <v>0</v>
      </c>
      <c r="U15" s="2">
        <f ca="1">IFERROR(SUMIFS(INDIRECT("'Thanh Toán ("&amp;U$3&amp;")'!$e:$e"),INDIRECT("'Thanh Toán ("&amp;U$3&amp;")'!$B:$B"),'Tổng Đơn'!$B15),0)</f>
        <v>0</v>
      </c>
      <c r="V15" s="2">
        <f ca="1">IFERROR(SUMIFS(INDIRECT("'Thanh Toán ("&amp;V$3&amp;")'!$e:$e"),INDIRECT("'Thanh Toán ("&amp;V$3&amp;")'!$B:$B"),'Tổng Đơn'!$B15),0)</f>
        <v>0</v>
      </c>
      <c r="W15" s="2">
        <f ca="1">IFERROR(SUMIFS(INDIRECT("'Thanh Toán ("&amp;W$3&amp;")'!$e:$e"),INDIRECT("'Thanh Toán ("&amp;W$3&amp;")'!$B:$B"),'Tổng Đơn'!$B15),0)</f>
        <v>0</v>
      </c>
      <c r="X15" s="2">
        <f ca="1">IFERROR(SUMIFS(INDIRECT("'Thanh Toán ("&amp;X$3&amp;")'!$e:$e"),INDIRECT("'Thanh Toán ("&amp;X$3&amp;")'!$B:$B"),'Tổng Đơn'!$B15),0)</f>
        <v>0</v>
      </c>
      <c r="Y15" s="2">
        <f ca="1">IFERROR(SUMIFS(INDIRECT("'Thanh Toán ("&amp;Y$3&amp;")'!$e:$e"),INDIRECT("'Thanh Toán ("&amp;Y$3&amp;")'!$B:$B"),'Tổng Đơn'!$B15),0)</f>
        <v>0</v>
      </c>
      <c r="Z15" s="2">
        <f ca="1">IFERROR(SUMIFS(INDIRECT("'Thanh Toán ("&amp;Z$3&amp;")'!$e:$e"),INDIRECT("'Thanh Toán ("&amp;Z$3&amp;")'!$B:$B"),'Tổng Đơn'!$B15),0)</f>
        <v>0</v>
      </c>
      <c r="AA15" s="2">
        <f ca="1">IFERROR(SUMIFS(INDIRECT("'Thanh Toán ("&amp;AA$3&amp;")'!$e:$e"),INDIRECT("'Thanh Toán ("&amp;AA$3&amp;")'!$B:$B"),'Tổng Đơn'!$B15),0)</f>
        <v>0</v>
      </c>
      <c r="AB15" s="2">
        <f ca="1">IFERROR(SUMIFS(INDIRECT("'Thanh Toán ("&amp;AB$3&amp;")'!$e:$e"),INDIRECT("'Thanh Toán ("&amp;AB$3&amp;")'!$B:$B"),'Tổng Đơn'!$B15),0)</f>
        <v>0</v>
      </c>
      <c r="AC15" s="2">
        <f ca="1">IFERROR(SUMIFS(INDIRECT("'Thanh Toán ("&amp;AC$3&amp;")'!$e:$e"),INDIRECT("'Thanh Toán ("&amp;AC$3&amp;")'!$B:$B"),'Tổng Đơn'!$B15),0)</f>
        <v>0</v>
      </c>
      <c r="AD15" s="2">
        <f ca="1">IFERROR(SUMIFS(INDIRECT("'Thanh Toán ("&amp;AD$3&amp;")'!$e:$e"),INDIRECT("'Thanh Toán ("&amp;AD$3&amp;")'!$B:$B"),'Tổng Đơn'!$B15),0)</f>
        <v>0</v>
      </c>
      <c r="AE15" s="2">
        <f ca="1">IFERROR(SUMIFS(INDIRECT("'Thanh Toán ("&amp;AE$3&amp;")'!$e:$e"),INDIRECT("'Thanh Toán ("&amp;AE$3&amp;")'!$B:$B"),'Tổng Đơn'!$B15),0)</f>
        <v>0</v>
      </c>
      <c r="AF15" s="2">
        <f ca="1">IFERROR(SUMIFS(INDIRECT("'Thanh Toán ("&amp;AF$3&amp;")'!$e:$e"),INDIRECT("'Thanh Toán ("&amp;AF$3&amp;")'!$B:$B"),'Tổng Đơn'!$B15),0)</f>
        <v>0</v>
      </c>
      <c r="AG15" s="2">
        <f ca="1">IFERROR(SUMIFS(INDIRECT("'Thanh Toán ("&amp;AG$3&amp;")'!$e:$e"),INDIRECT("'Thanh Toán ("&amp;AG$3&amp;")'!$B:$B"),'Tổng Đơn'!$B15),0)</f>
        <v>0</v>
      </c>
      <c r="AH15" s="2">
        <f ca="1">IFERROR(SUMIFS(INDIRECT("'Thanh Toán ("&amp;AH$3&amp;")'!$e:$e"),INDIRECT("'Thanh Toán ("&amp;AH$3&amp;")'!$B:$B"),'Tổng Đơn'!$B15),0)</f>
        <v>0</v>
      </c>
      <c r="AI15" s="2">
        <f ca="1">IFERROR(SUMIFS(INDIRECT("'Thanh Toán ("&amp;AI$3&amp;")'!$e:$e"),INDIRECT("'Thanh Toán ("&amp;AI$3&amp;")'!$B:$B"),'Tổng Đơn'!$B15),0)</f>
        <v>0</v>
      </c>
      <c r="AJ15" s="2">
        <f ca="1">IFERROR(SUMIFS(INDIRECT("'Thanh Toán ("&amp;AJ$3&amp;")'!$e:$e"),INDIRECT("'Thanh Toán ("&amp;AJ$3&amp;")'!$B:$B"),'Tổng Đơn'!$B15),0)</f>
        <v>0</v>
      </c>
      <c r="AK15" s="2">
        <f ca="1">IFERROR(SUMIFS(INDIRECT("'Thanh Toán ("&amp;AK$3&amp;")'!$e:$e"),INDIRECT("'Thanh Toán ("&amp;AK$3&amp;")'!$B:$B"),'Tổng Đơn'!$B15),0)</f>
        <v>0</v>
      </c>
      <c r="AL15" s="2">
        <f ca="1">IFERROR(SUMIFS(INDIRECT("'Thanh Toán ("&amp;AL$3&amp;")'!$e:$e"),INDIRECT("'Thanh Toán ("&amp;AL$3&amp;")'!$B:$B"),'Tổng Đơn'!$B15),0)</f>
        <v>0</v>
      </c>
      <c r="AM15" s="2">
        <f ca="1">IFERROR(SUMIFS(INDIRECT("'Thanh Toán ("&amp;AM$3&amp;")'!$e:$e"),INDIRECT("'Thanh Toán ("&amp;AM$3&amp;")'!$B:$B"),'Tổng Đơn'!$B15),0)</f>
        <v>0</v>
      </c>
      <c r="AN15" s="2">
        <f ca="1">IFERROR(SUMIFS(INDIRECT("'Thanh Toán ("&amp;AN$3&amp;")'!$e:$e"),INDIRECT("'Thanh Toán ("&amp;AN$3&amp;")'!$B:$B"),'Tổng Đơn'!$B15),0)</f>
        <v>0</v>
      </c>
      <c r="AO15" s="2">
        <f ca="1">IFERROR(SUMIFS(INDIRECT("'Thanh Toán ("&amp;AO$3&amp;")'!$e:$e"),INDIRECT("'Thanh Toán ("&amp;AO$3&amp;")'!$B:$B"),'Tổng Đơn'!$B15),0)</f>
        <v>0</v>
      </c>
    </row>
    <row r="16" spans="1:41" ht="15.75" customHeight="1" x14ac:dyDescent="0.25">
      <c r="A16" s="23">
        <v>12</v>
      </c>
      <c r="B16" s="151" t="s">
        <v>35</v>
      </c>
      <c r="C16" s="23" t="s">
        <v>71</v>
      </c>
      <c r="D16" s="44">
        <f>VLOOKUP($C16,Sheet1!$C$2:$D$98,2,0)</f>
        <v>45000</v>
      </c>
      <c r="E16" s="60">
        <v>0.5</v>
      </c>
      <c r="F16" s="58">
        <f t="shared" ca="1" si="3"/>
        <v>0</v>
      </c>
      <c r="G16" s="58">
        <v>40.922342671889353</v>
      </c>
      <c r="H16" s="58">
        <f t="shared" ca="1" si="2"/>
        <v>0</v>
      </c>
      <c r="I16" s="58"/>
      <c r="J16" s="58">
        <f t="shared" ca="1" si="4"/>
        <v>0</v>
      </c>
      <c r="K16" s="58"/>
      <c r="L16" s="2">
        <f ca="1">IFERROR(SUMIFS(INDIRECT("'Thanh Toán ("&amp;L$3&amp;")'!$e:$e"),INDIRECT("'Thanh Toán ("&amp;L$3&amp;")'!$B:$B"),'Tổng Đơn'!$B16),0)</f>
        <v>0</v>
      </c>
      <c r="M16" s="2">
        <f ca="1">IFERROR(SUMIFS(INDIRECT("'Thanh Toán ("&amp;M$3&amp;")'!$e:$e"),INDIRECT("'Thanh Toán ("&amp;M$3&amp;")'!$B:$B"),'Tổng Đơn'!$B16),0)</f>
        <v>0</v>
      </c>
      <c r="N16" s="2">
        <f ca="1">IFERROR(SUMIFS(INDIRECT("'Thanh Toán ("&amp;N$3&amp;")'!$e:$e"),INDIRECT("'Thanh Toán ("&amp;N$3&amp;")'!$B:$B"),'Tổng Đơn'!$B16),0)</f>
        <v>0</v>
      </c>
      <c r="O16" s="2">
        <f ca="1">IFERROR(SUMIFS(INDIRECT("'Thanh Toán ("&amp;O$3&amp;")'!$e:$e"),INDIRECT("'Thanh Toán ("&amp;O$3&amp;")'!$B:$B"),'Tổng Đơn'!$B16),0)</f>
        <v>0</v>
      </c>
      <c r="P16" s="2">
        <f ca="1">IFERROR(SUMIFS(INDIRECT("'Thanh Toán ("&amp;P$3&amp;")'!$e:$e"),INDIRECT("'Thanh Toán ("&amp;P$3&amp;")'!$B:$B"),'Tổng Đơn'!$B16),0)</f>
        <v>0</v>
      </c>
      <c r="Q16" s="2">
        <f ca="1">IFERROR(SUMIFS(INDIRECT("'Thanh Toán ("&amp;Q$3&amp;")'!$e:$e"),INDIRECT("'Thanh Toán ("&amp;Q$3&amp;")'!$B:$B"),'Tổng Đơn'!$B16),0)</f>
        <v>0</v>
      </c>
      <c r="R16" s="2">
        <f ca="1">IFERROR(SUMIFS(INDIRECT("'Thanh Toán ("&amp;R$3&amp;")'!$e:$e"),INDIRECT("'Thanh Toán ("&amp;R$3&amp;")'!$B:$B"),'Tổng Đơn'!$B16),0)</f>
        <v>0</v>
      </c>
      <c r="S16" s="2">
        <f ca="1">IFERROR(SUMIFS(INDIRECT("'Thanh Toán ("&amp;S$3&amp;")'!$e:$e"),INDIRECT("'Thanh Toán ("&amp;S$3&amp;")'!$B:$B"),'Tổng Đơn'!$B16),0)</f>
        <v>0</v>
      </c>
      <c r="T16" s="2">
        <f ca="1">IFERROR(SUMIFS(INDIRECT("'Thanh Toán ("&amp;T$3&amp;")'!$e:$e"),INDIRECT("'Thanh Toán ("&amp;T$3&amp;")'!$B:$B"),'Tổng Đơn'!$B16),0)</f>
        <v>0</v>
      </c>
      <c r="U16" s="2">
        <f ca="1">IFERROR(SUMIFS(INDIRECT("'Thanh Toán ("&amp;U$3&amp;")'!$e:$e"),INDIRECT("'Thanh Toán ("&amp;U$3&amp;")'!$B:$B"),'Tổng Đơn'!$B16),0)</f>
        <v>0</v>
      </c>
      <c r="V16" s="2">
        <f ca="1">IFERROR(SUMIFS(INDIRECT("'Thanh Toán ("&amp;V$3&amp;")'!$e:$e"),INDIRECT("'Thanh Toán ("&amp;V$3&amp;")'!$B:$B"),'Tổng Đơn'!$B16),0)</f>
        <v>0</v>
      </c>
      <c r="W16" s="2">
        <f ca="1">IFERROR(SUMIFS(INDIRECT("'Thanh Toán ("&amp;W$3&amp;")'!$e:$e"),INDIRECT("'Thanh Toán ("&amp;W$3&amp;")'!$B:$B"),'Tổng Đơn'!$B16),0)</f>
        <v>0</v>
      </c>
      <c r="X16" s="2">
        <f ca="1">IFERROR(SUMIFS(INDIRECT("'Thanh Toán ("&amp;X$3&amp;")'!$e:$e"),INDIRECT("'Thanh Toán ("&amp;X$3&amp;")'!$B:$B"),'Tổng Đơn'!$B16),0)</f>
        <v>0</v>
      </c>
      <c r="Y16" s="2">
        <f ca="1">IFERROR(SUMIFS(INDIRECT("'Thanh Toán ("&amp;Y$3&amp;")'!$e:$e"),INDIRECT("'Thanh Toán ("&amp;Y$3&amp;")'!$B:$B"),'Tổng Đơn'!$B16),0)</f>
        <v>0</v>
      </c>
      <c r="Z16" s="2">
        <f ca="1">IFERROR(SUMIFS(INDIRECT("'Thanh Toán ("&amp;Z$3&amp;")'!$e:$e"),INDIRECT("'Thanh Toán ("&amp;Z$3&amp;")'!$B:$B"),'Tổng Đơn'!$B16),0)</f>
        <v>0</v>
      </c>
      <c r="AA16" s="2">
        <f ca="1">IFERROR(SUMIFS(INDIRECT("'Thanh Toán ("&amp;AA$3&amp;")'!$e:$e"),INDIRECT("'Thanh Toán ("&amp;AA$3&amp;")'!$B:$B"),'Tổng Đơn'!$B16),0)</f>
        <v>0</v>
      </c>
      <c r="AB16" s="2">
        <f ca="1">IFERROR(SUMIFS(INDIRECT("'Thanh Toán ("&amp;AB$3&amp;")'!$e:$e"),INDIRECT("'Thanh Toán ("&amp;AB$3&amp;")'!$B:$B"),'Tổng Đơn'!$B16),0)</f>
        <v>0</v>
      </c>
      <c r="AC16" s="2">
        <f ca="1">IFERROR(SUMIFS(INDIRECT("'Thanh Toán ("&amp;AC$3&amp;")'!$e:$e"),INDIRECT("'Thanh Toán ("&amp;AC$3&amp;")'!$B:$B"),'Tổng Đơn'!$B16),0)</f>
        <v>0</v>
      </c>
      <c r="AD16" s="2">
        <f ca="1">IFERROR(SUMIFS(INDIRECT("'Thanh Toán ("&amp;AD$3&amp;")'!$e:$e"),INDIRECT("'Thanh Toán ("&amp;AD$3&amp;")'!$B:$B"),'Tổng Đơn'!$B16),0)</f>
        <v>0</v>
      </c>
      <c r="AE16" s="2">
        <f ca="1">IFERROR(SUMIFS(INDIRECT("'Thanh Toán ("&amp;AE$3&amp;")'!$e:$e"),INDIRECT("'Thanh Toán ("&amp;AE$3&amp;")'!$B:$B"),'Tổng Đơn'!$B16),0)</f>
        <v>0</v>
      </c>
      <c r="AF16" s="2">
        <f ca="1">IFERROR(SUMIFS(INDIRECT("'Thanh Toán ("&amp;AF$3&amp;")'!$e:$e"),INDIRECT("'Thanh Toán ("&amp;AF$3&amp;")'!$B:$B"),'Tổng Đơn'!$B16),0)</f>
        <v>0</v>
      </c>
      <c r="AG16" s="2">
        <f ca="1">IFERROR(SUMIFS(INDIRECT("'Thanh Toán ("&amp;AG$3&amp;")'!$e:$e"),INDIRECT("'Thanh Toán ("&amp;AG$3&amp;")'!$B:$B"),'Tổng Đơn'!$B16),0)</f>
        <v>0</v>
      </c>
      <c r="AH16" s="2">
        <f ca="1">IFERROR(SUMIFS(INDIRECT("'Thanh Toán ("&amp;AH$3&amp;")'!$e:$e"),INDIRECT("'Thanh Toán ("&amp;AH$3&amp;")'!$B:$B"),'Tổng Đơn'!$B16),0)</f>
        <v>0</v>
      </c>
      <c r="AI16" s="2">
        <f ca="1">IFERROR(SUMIFS(INDIRECT("'Thanh Toán ("&amp;AI$3&amp;")'!$e:$e"),INDIRECT("'Thanh Toán ("&amp;AI$3&amp;")'!$B:$B"),'Tổng Đơn'!$B16),0)</f>
        <v>0</v>
      </c>
      <c r="AJ16" s="2">
        <f ca="1">IFERROR(SUMIFS(INDIRECT("'Thanh Toán ("&amp;AJ$3&amp;")'!$e:$e"),INDIRECT("'Thanh Toán ("&amp;AJ$3&amp;")'!$B:$B"),'Tổng Đơn'!$B16),0)</f>
        <v>0</v>
      </c>
      <c r="AK16" s="2">
        <f ca="1">IFERROR(SUMIFS(INDIRECT("'Thanh Toán ("&amp;AK$3&amp;")'!$e:$e"),INDIRECT("'Thanh Toán ("&amp;AK$3&amp;")'!$B:$B"),'Tổng Đơn'!$B16),0)</f>
        <v>0</v>
      </c>
      <c r="AL16" s="2">
        <f ca="1">IFERROR(SUMIFS(INDIRECT("'Thanh Toán ("&amp;AL$3&amp;")'!$e:$e"),INDIRECT("'Thanh Toán ("&amp;AL$3&amp;")'!$B:$B"),'Tổng Đơn'!$B16),0)</f>
        <v>0</v>
      </c>
      <c r="AM16" s="2">
        <f ca="1">IFERROR(SUMIFS(INDIRECT("'Thanh Toán ("&amp;AM$3&amp;")'!$e:$e"),INDIRECT("'Thanh Toán ("&amp;AM$3&amp;")'!$B:$B"),'Tổng Đơn'!$B16),0)</f>
        <v>0</v>
      </c>
      <c r="AN16" s="2">
        <f ca="1">IFERROR(SUMIFS(INDIRECT("'Thanh Toán ("&amp;AN$3&amp;")'!$e:$e"),INDIRECT("'Thanh Toán ("&amp;AN$3&amp;")'!$B:$B"),'Tổng Đơn'!$B16),0)</f>
        <v>0</v>
      </c>
      <c r="AO16" s="2">
        <f ca="1">IFERROR(SUMIFS(INDIRECT("'Thanh Toán ("&amp;AO$3&amp;")'!$e:$e"),INDIRECT("'Thanh Toán ("&amp;AO$3&amp;")'!$B:$B"),'Tổng Đơn'!$B16),0)</f>
        <v>0</v>
      </c>
    </row>
    <row r="17" spans="1:41" ht="15.75" customHeight="1" x14ac:dyDescent="0.25">
      <c r="A17" s="23">
        <v>13</v>
      </c>
      <c r="B17" s="151" t="s">
        <v>32</v>
      </c>
      <c r="C17" s="23" t="s">
        <v>72</v>
      </c>
      <c r="D17" s="44">
        <f>VLOOKUP($C17,Sheet1!$C$2:$D$98,2,0)</f>
        <v>45000</v>
      </c>
      <c r="E17" s="60">
        <v>0.5</v>
      </c>
      <c r="F17" s="58">
        <f t="shared" ca="1" si="3"/>
        <v>0</v>
      </c>
      <c r="G17" s="58">
        <v>40.922342671889353</v>
      </c>
      <c r="H17" s="58">
        <f t="shared" ca="1" si="2"/>
        <v>0</v>
      </c>
      <c r="I17" s="58"/>
      <c r="J17" s="58">
        <f t="shared" ca="1" si="4"/>
        <v>0</v>
      </c>
      <c r="K17" s="58"/>
      <c r="L17" s="2">
        <f ca="1">IFERROR(SUMIFS(INDIRECT("'Thanh Toán ("&amp;L$3&amp;")'!$e:$e"),INDIRECT("'Thanh Toán ("&amp;L$3&amp;")'!$B:$B"),'Tổng Đơn'!$B17),0)</f>
        <v>0</v>
      </c>
      <c r="M17" s="2">
        <f ca="1">IFERROR(SUMIFS(INDIRECT("'Thanh Toán ("&amp;M$3&amp;")'!$e:$e"),INDIRECT("'Thanh Toán ("&amp;M$3&amp;")'!$B:$B"),'Tổng Đơn'!$B17),0)</f>
        <v>0</v>
      </c>
      <c r="N17" s="2">
        <f ca="1">IFERROR(SUMIFS(INDIRECT("'Thanh Toán ("&amp;N$3&amp;")'!$e:$e"),INDIRECT("'Thanh Toán ("&amp;N$3&amp;")'!$B:$B"),'Tổng Đơn'!$B17),0)</f>
        <v>0</v>
      </c>
      <c r="O17" s="2">
        <f ca="1">IFERROR(SUMIFS(INDIRECT("'Thanh Toán ("&amp;O$3&amp;")'!$e:$e"),INDIRECT("'Thanh Toán ("&amp;O$3&amp;")'!$B:$B"),'Tổng Đơn'!$B17),0)</f>
        <v>0</v>
      </c>
      <c r="P17" s="2">
        <f ca="1">IFERROR(SUMIFS(INDIRECT("'Thanh Toán ("&amp;P$3&amp;")'!$e:$e"),INDIRECT("'Thanh Toán ("&amp;P$3&amp;")'!$B:$B"),'Tổng Đơn'!$B17),0)</f>
        <v>0</v>
      </c>
      <c r="Q17" s="2">
        <f ca="1">IFERROR(SUMIFS(INDIRECT("'Thanh Toán ("&amp;Q$3&amp;")'!$e:$e"),INDIRECT("'Thanh Toán ("&amp;Q$3&amp;")'!$B:$B"),'Tổng Đơn'!$B17),0)</f>
        <v>0</v>
      </c>
      <c r="R17" s="2">
        <f ca="1">IFERROR(SUMIFS(INDIRECT("'Thanh Toán ("&amp;R$3&amp;")'!$e:$e"),INDIRECT("'Thanh Toán ("&amp;R$3&amp;")'!$B:$B"),'Tổng Đơn'!$B17),0)</f>
        <v>0</v>
      </c>
      <c r="S17" s="2">
        <f ca="1">IFERROR(SUMIFS(INDIRECT("'Thanh Toán ("&amp;S$3&amp;")'!$e:$e"),INDIRECT("'Thanh Toán ("&amp;S$3&amp;")'!$B:$B"),'Tổng Đơn'!$B17),0)</f>
        <v>0</v>
      </c>
      <c r="T17" s="2">
        <f ca="1">IFERROR(SUMIFS(INDIRECT("'Thanh Toán ("&amp;T$3&amp;")'!$e:$e"),INDIRECT("'Thanh Toán ("&amp;T$3&amp;")'!$B:$B"),'Tổng Đơn'!$B17),0)</f>
        <v>0</v>
      </c>
      <c r="U17" s="2">
        <f ca="1">IFERROR(SUMIFS(INDIRECT("'Thanh Toán ("&amp;U$3&amp;")'!$e:$e"),INDIRECT("'Thanh Toán ("&amp;U$3&amp;")'!$B:$B"),'Tổng Đơn'!$B17),0)</f>
        <v>0</v>
      </c>
      <c r="V17" s="2">
        <f ca="1">IFERROR(SUMIFS(INDIRECT("'Thanh Toán ("&amp;V$3&amp;")'!$e:$e"),INDIRECT("'Thanh Toán ("&amp;V$3&amp;")'!$B:$B"),'Tổng Đơn'!$B17),0)</f>
        <v>0</v>
      </c>
      <c r="W17" s="2">
        <f ca="1">IFERROR(SUMIFS(INDIRECT("'Thanh Toán ("&amp;W$3&amp;")'!$e:$e"),INDIRECT("'Thanh Toán ("&amp;W$3&amp;")'!$B:$B"),'Tổng Đơn'!$B17),0)</f>
        <v>0</v>
      </c>
      <c r="X17" s="2">
        <f ca="1">IFERROR(SUMIFS(INDIRECT("'Thanh Toán ("&amp;X$3&amp;")'!$e:$e"),INDIRECT("'Thanh Toán ("&amp;X$3&amp;")'!$B:$B"),'Tổng Đơn'!$B17),0)</f>
        <v>0</v>
      </c>
      <c r="Y17" s="2">
        <f ca="1">IFERROR(SUMIFS(INDIRECT("'Thanh Toán ("&amp;Y$3&amp;")'!$e:$e"),INDIRECT("'Thanh Toán ("&amp;Y$3&amp;")'!$B:$B"),'Tổng Đơn'!$B17),0)</f>
        <v>0</v>
      </c>
      <c r="Z17" s="2">
        <f ca="1">IFERROR(SUMIFS(INDIRECT("'Thanh Toán ("&amp;Z$3&amp;")'!$e:$e"),INDIRECT("'Thanh Toán ("&amp;Z$3&amp;")'!$B:$B"),'Tổng Đơn'!$B17),0)</f>
        <v>0</v>
      </c>
      <c r="AA17" s="2">
        <f ca="1">IFERROR(SUMIFS(INDIRECT("'Thanh Toán ("&amp;AA$3&amp;")'!$e:$e"),INDIRECT("'Thanh Toán ("&amp;AA$3&amp;")'!$B:$B"),'Tổng Đơn'!$B17),0)</f>
        <v>0</v>
      </c>
      <c r="AB17" s="2">
        <f ca="1">IFERROR(SUMIFS(INDIRECT("'Thanh Toán ("&amp;AB$3&amp;")'!$e:$e"),INDIRECT("'Thanh Toán ("&amp;AB$3&amp;")'!$B:$B"),'Tổng Đơn'!$B17),0)</f>
        <v>0</v>
      </c>
      <c r="AC17" s="2">
        <f ca="1">IFERROR(SUMIFS(INDIRECT("'Thanh Toán ("&amp;AC$3&amp;")'!$e:$e"),INDIRECT("'Thanh Toán ("&amp;AC$3&amp;")'!$B:$B"),'Tổng Đơn'!$B17),0)</f>
        <v>0</v>
      </c>
      <c r="AD17" s="2">
        <f ca="1">IFERROR(SUMIFS(INDIRECT("'Thanh Toán ("&amp;AD$3&amp;")'!$e:$e"),INDIRECT("'Thanh Toán ("&amp;AD$3&amp;")'!$B:$B"),'Tổng Đơn'!$B17),0)</f>
        <v>0</v>
      </c>
      <c r="AE17" s="2">
        <f ca="1">IFERROR(SUMIFS(INDIRECT("'Thanh Toán ("&amp;AE$3&amp;")'!$e:$e"),INDIRECT("'Thanh Toán ("&amp;AE$3&amp;")'!$B:$B"),'Tổng Đơn'!$B17),0)</f>
        <v>0</v>
      </c>
      <c r="AF17" s="2">
        <f ca="1">IFERROR(SUMIFS(INDIRECT("'Thanh Toán ("&amp;AF$3&amp;")'!$e:$e"),INDIRECT("'Thanh Toán ("&amp;AF$3&amp;")'!$B:$B"),'Tổng Đơn'!$B17),0)</f>
        <v>0</v>
      </c>
      <c r="AG17" s="2">
        <f ca="1">IFERROR(SUMIFS(INDIRECT("'Thanh Toán ("&amp;AG$3&amp;")'!$e:$e"),INDIRECT("'Thanh Toán ("&amp;AG$3&amp;")'!$B:$B"),'Tổng Đơn'!$B17),0)</f>
        <v>0</v>
      </c>
      <c r="AH17" s="2">
        <f ca="1">IFERROR(SUMIFS(INDIRECT("'Thanh Toán ("&amp;AH$3&amp;")'!$e:$e"),INDIRECT("'Thanh Toán ("&amp;AH$3&amp;")'!$B:$B"),'Tổng Đơn'!$B17),0)</f>
        <v>0</v>
      </c>
      <c r="AI17" s="2">
        <f ca="1">IFERROR(SUMIFS(INDIRECT("'Thanh Toán ("&amp;AI$3&amp;")'!$e:$e"),INDIRECT("'Thanh Toán ("&amp;AI$3&amp;")'!$B:$B"),'Tổng Đơn'!$B17),0)</f>
        <v>0</v>
      </c>
      <c r="AJ17" s="2">
        <f ca="1">IFERROR(SUMIFS(INDIRECT("'Thanh Toán ("&amp;AJ$3&amp;")'!$e:$e"),INDIRECT("'Thanh Toán ("&amp;AJ$3&amp;")'!$B:$B"),'Tổng Đơn'!$B17),0)</f>
        <v>0</v>
      </c>
      <c r="AK17" s="2">
        <f ca="1">IFERROR(SUMIFS(INDIRECT("'Thanh Toán ("&amp;AK$3&amp;")'!$e:$e"),INDIRECT("'Thanh Toán ("&amp;AK$3&amp;")'!$B:$B"),'Tổng Đơn'!$B17),0)</f>
        <v>0</v>
      </c>
      <c r="AL17" s="2">
        <f ca="1">IFERROR(SUMIFS(INDIRECT("'Thanh Toán ("&amp;AL$3&amp;")'!$e:$e"),INDIRECT("'Thanh Toán ("&amp;AL$3&amp;")'!$B:$B"),'Tổng Đơn'!$B17),0)</f>
        <v>0</v>
      </c>
      <c r="AM17" s="2">
        <f ca="1">IFERROR(SUMIFS(INDIRECT("'Thanh Toán ("&amp;AM$3&amp;")'!$e:$e"),INDIRECT("'Thanh Toán ("&amp;AM$3&amp;")'!$B:$B"),'Tổng Đơn'!$B17),0)</f>
        <v>0</v>
      </c>
      <c r="AN17" s="2">
        <f ca="1">IFERROR(SUMIFS(INDIRECT("'Thanh Toán ("&amp;AN$3&amp;")'!$e:$e"),INDIRECT("'Thanh Toán ("&amp;AN$3&amp;")'!$B:$B"),'Tổng Đơn'!$B17),0)</f>
        <v>0</v>
      </c>
      <c r="AO17" s="2">
        <f ca="1">IFERROR(SUMIFS(INDIRECT("'Thanh Toán ("&amp;AO$3&amp;")'!$e:$e"),INDIRECT("'Thanh Toán ("&amp;AO$3&amp;")'!$B:$B"),'Tổng Đơn'!$B17),0)</f>
        <v>0</v>
      </c>
    </row>
    <row r="18" spans="1:41" ht="15.75" customHeight="1" x14ac:dyDescent="0.25">
      <c r="A18" s="23">
        <v>14</v>
      </c>
      <c r="B18" s="151" t="s">
        <v>34</v>
      </c>
      <c r="C18" s="23" t="s">
        <v>73</v>
      </c>
      <c r="D18" s="44">
        <f>VLOOKUP($C18,Sheet1!$C$2:$D$98,2,0)</f>
        <v>45000</v>
      </c>
      <c r="E18" s="60">
        <v>0.5</v>
      </c>
      <c r="F18" s="58">
        <f t="shared" ca="1" si="3"/>
        <v>0</v>
      </c>
      <c r="G18" s="58">
        <v>40.922342671889353</v>
      </c>
      <c r="H18" s="58">
        <f t="shared" ca="1" si="2"/>
        <v>0</v>
      </c>
      <c r="I18" s="58"/>
      <c r="J18" s="58">
        <f t="shared" ca="1" si="4"/>
        <v>0</v>
      </c>
      <c r="K18" s="58"/>
      <c r="L18" s="2">
        <f ca="1">IFERROR(SUMIFS(INDIRECT("'Thanh Toán ("&amp;L$3&amp;")'!$e:$e"),INDIRECT("'Thanh Toán ("&amp;L$3&amp;")'!$B:$B"),'Tổng Đơn'!$B18),0)</f>
        <v>0</v>
      </c>
      <c r="M18" s="2">
        <f ca="1">IFERROR(SUMIFS(INDIRECT("'Thanh Toán ("&amp;M$3&amp;")'!$e:$e"),INDIRECT("'Thanh Toán ("&amp;M$3&amp;")'!$B:$B"),'Tổng Đơn'!$B18),0)</f>
        <v>0</v>
      </c>
      <c r="N18" s="2">
        <f ca="1">IFERROR(SUMIFS(INDIRECT("'Thanh Toán ("&amp;N$3&amp;")'!$e:$e"),INDIRECT("'Thanh Toán ("&amp;N$3&amp;")'!$B:$B"),'Tổng Đơn'!$B18),0)</f>
        <v>0</v>
      </c>
      <c r="O18" s="2">
        <f ca="1">IFERROR(SUMIFS(INDIRECT("'Thanh Toán ("&amp;O$3&amp;")'!$e:$e"),INDIRECT("'Thanh Toán ("&amp;O$3&amp;")'!$B:$B"),'Tổng Đơn'!$B18),0)</f>
        <v>0</v>
      </c>
      <c r="P18" s="2">
        <f ca="1">IFERROR(SUMIFS(INDIRECT("'Thanh Toán ("&amp;P$3&amp;")'!$e:$e"),INDIRECT("'Thanh Toán ("&amp;P$3&amp;")'!$B:$B"),'Tổng Đơn'!$B18),0)</f>
        <v>0</v>
      </c>
      <c r="Q18" s="2">
        <f ca="1">IFERROR(SUMIFS(INDIRECT("'Thanh Toán ("&amp;Q$3&amp;")'!$e:$e"),INDIRECT("'Thanh Toán ("&amp;Q$3&amp;")'!$B:$B"),'Tổng Đơn'!$B18),0)</f>
        <v>0</v>
      </c>
      <c r="R18" s="2">
        <f ca="1">IFERROR(SUMIFS(INDIRECT("'Thanh Toán ("&amp;R$3&amp;")'!$e:$e"),INDIRECT("'Thanh Toán ("&amp;R$3&amp;")'!$B:$B"),'Tổng Đơn'!$B18),0)</f>
        <v>0</v>
      </c>
      <c r="S18" s="2">
        <f ca="1">IFERROR(SUMIFS(INDIRECT("'Thanh Toán ("&amp;S$3&amp;")'!$e:$e"),INDIRECT("'Thanh Toán ("&amp;S$3&amp;")'!$B:$B"),'Tổng Đơn'!$B18),0)</f>
        <v>0</v>
      </c>
      <c r="T18" s="2">
        <f ca="1">IFERROR(SUMIFS(INDIRECT("'Thanh Toán ("&amp;T$3&amp;")'!$e:$e"),INDIRECT("'Thanh Toán ("&amp;T$3&amp;")'!$B:$B"),'Tổng Đơn'!$B18),0)</f>
        <v>0</v>
      </c>
      <c r="U18" s="2">
        <f ca="1">IFERROR(SUMIFS(INDIRECT("'Thanh Toán ("&amp;U$3&amp;")'!$e:$e"),INDIRECT("'Thanh Toán ("&amp;U$3&amp;")'!$B:$B"),'Tổng Đơn'!$B18),0)</f>
        <v>0</v>
      </c>
      <c r="V18" s="2">
        <f ca="1">IFERROR(SUMIFS(INDIRECT("'Thanh Toán ("&amp;V$3&amp;")'!$e:$e"),INDIRECT("'Thanh Toán ("&amp;V$3&amp;")'!$B:$B"),'Tổng Đơn'!$B18),0)</f>
        <v>0</v>
      </c>
      <c r="W18" s="2">
        <f ca="1">IFERROR(SUMIFS(INDIRECT("'Thanh Toán ("&amp;W$3&amp;")'!$e:$e"),INDIRECT("'Thanh Toán ("&amp;W$3&amp;")'!$B:$B"),'Tổng Đơn'!$B18),0)</f>
        <v>0</v>
      </c>
      <c r="X18" s="2">
        <f ca="1">IFERROR(SUMIFS(INDIRECT("'Thanh Toán ("&amp;X$3&amp;")'!$e:$e"),INDIRECT("'Thanh Toán ("&amp;X$3&amp;")'!$B:$B"),'Tổng Đơn'!$B18),0)</f>
        <v>0</v>
      </c>
      <c r="Y18" s="2">
        <f ca="1">IFERROR(SUMIFS(INDIRECT("'Thanh Toán ("&amp;Y$3&amp;")'!$e:$e"),INDIRECT("'Thanh Toán ("&amp;Y$3&amp;")'!$B:$B"),'Tổng Đơn'!$B18),0)</f>
        <v>0</v>
      </c>
      <c r="Z18" s="2">
        <f ca="1">IFERROR(SUMIFS(INDIRECT("'Thanh Toán ("&amp;Z$3&amp;")'!$e:$e"),INDIRECT("'Thanh Toán ("&amp;Z$3&amp;")'!$B:$B"),'Tổng Đơn'!$B18),0)</f>
        <v>0</v>
      </c>
      <c r="AA18" s="2">
        <f ca="1">IFERROR(SUMIFS(INDIRECT("'Thanh Toán ("&amp;AA$3&amp;")'!$e:$e"),INDIRECT("'Thanh Toán ("&amp;AA$3&amp;")'!$B:$B"),'Tổng Đơn'!$B18),0)</f>
        <v>0</v>
      </c>
      <c r="AB18" s="2">
        <f ca="1">IFERROR(SUMIFS(INDIRECT("'Thanh Toán ("&amp;AB$3&amp;")'!$e:$e"),INDIRECT("'Thanh Toán ("&amp;AB$3&amp;")'!$B:$B"),'Tổng Đơn'!$B18),0)</f>
        <v>0</v>
      </c>
      <c r="AC18" s="2">
        <f ca="1">IFERROR(SUMIFS(INDIRECT("'Thanh Toán ("&amp;AC$3&amp;")'!$e:$e"),INDIRECT("'Thanh Toán ("&amp;AC$3&amp;")'!$B:$B"),'Tổng Đơn'!$B18),0)</f>
        <v>0</v>
      </c>
      <c r="AD18" s="2">
        <f ca="1">IFERROR(SUMIFS(INDIRECT("'Thanh Toán ("&amp;AD$3&amp;")'!$e:$e"),INDIRECT("'Thanh Toán ("&amp;AD$3&amp;")'!$B:$B"),'Tổng Đơn'!$B18),0)</f>
        <v>0</v>
      </c>
      <c r="AE18" s="2">
        <f ca="1">IFERROR(SUMIFS(INDIRECT("'Thanh Toán ("&amp;AE$3&amp;")'!$e:$e"),INDIRECT("'Thanh Toán ("&amp;AE$3&amp;")'!$B:$B"),'Tổng Đơn'!$B18),0)</f>
        <v>0</v>
      </c>
      <c r="AF18" s="2">
        <f ca="1">IFERROR(SUMIFS(INDIRECT("'Thanh Toán ("&amp;AF$3&amp;")'!$e:$e"),INDIRECT("'Thanh Toán ("&amp;AF$3&amp;")'!$B:$B"),'Tổng Đơn'!$B18),0)</f>
        <v>0</v>
      </c>
      <c r="AG18" s="2">
        <f ca="1">IFERROR(SUMIFS(INDIRECT("'Thanh Toán ("&amp;AG$3&amp;")'!$e:$e"),INDIRECT("'Thanh Toán ("&amp;AG$3&amp;")'!$B:$B"),'Tổng Đơn'!$B18),0)</f>
        <v>0</v>
      </c>
      <c r="AH18" s="2">
        <f ca="1">IFERROR(SUMIFS(INDIRECT("'Thanh Toán ("&amp;AH$3&amp;")'!$e:$e"),INDIRECT("'Thanh Toán ("&amp;AH$3&amp;")'!$B:$B"),'Tổng Đơn'!$B18),0)</f>
        <v>0</v>
      </c>
      <c r="AI18" s="2">
        <f ca="1">IFERROR(SUMIFS(INDIRECT("'Thanh Toán ("&amp;AI$3&amp;")'!$e:$e"),INDIRECT("'Thanh Toán ("&amp;AI$3&amp;")'!$B:$B"),'Tổng Đơn'!$B18),0)</f>
        <v>0</v>
      </c>
      <c r="AJ18" s="2">
        <f ca="1">IFERROR(SUMIFS(INDIRECT("'Thanh Toán ("&amp;AJ$3&amp;")'!$e:$e"),INDIRECT("'Thanh Toán ("&amp;AJ$3&amp;")'!$B:$B"),'Tổng Đơn'!$B18),0)</f>
        <v>0</v>
      </c>
      <c r="AK18" s="2">
        <f ca="1">IFERROR(SUMIFS(INDIRECT("'Thanh Toán ("&amp;AK$3&amp;")'!$e:$e"),INDIRECT("'Thanh Toán ("&amp;AK$3&amp;")'!$B:$B"),'Tổng Đơn'!$B18),0)</f>
        <v>0</v>
      </c>
      <c r="AL18" s="2">
        <f ca="1">IFERROR(SUMIFS(INDIRECT("'Thanh Toán ("&amp;AL$3&amp;")'!$e:$e"),INDIRECT("'Thanh Toán ("&amp;AL$3&amp;")'!$B:$B"),'Tổng Đơn'!$B18),0)</f>
        <v>0</v>
      </c>
      <c r="AM18" s="2">
        <f ca="1">IFERROR(SUMIFS(INDIRECT("'Thanh Toán ("&amp;AM$3&amp;")'!$e:$e"),INDIRECT("'Thanh Toán ("&amp;AM$3&amp;")'!$B:$B"),'Tổng Đơn'!$B18),0)</f>
        <v>0</v>
      </c>
      <c r="AN18" s="2">
        <f ca="1">IFERROR(SUMIFS(INDIRECT("'Thanh Toán ("&amp;AN$3&amp;")'!$e:$e"),INDIRECT("'Thanh Toán ("&amp;AN$3&amp;")'!$B:$B"),'Tổng Đơn'!$B18),0)</f>
        <v>0</v>
      </c>
      <c r="AO18" s="2">
        <f ca="1">IFERROR(SUMIFS(INDIRECT("'Thanh Toán ("&amp;AO$3&amp;")'!$e:$e"),INDIRECT("'Thanh Toán ("&amp;AO$3&amp;")'!$B:$B"),'Tổng Đơn'!$B18),0)</f>
        <v>0</v>
      </c>
    </row>
    <row r="19" spans="1:41" ht="15.75" customHeight="1" x14ac:dyDescent="0.25">
      <c r="A19" s="23">
        <v>15</v>
      </c>
      <c r="B19" s="151" t="s">
        <v>33</v>
      </c>
      <c r="C19" s="23" t="s">
        <v>74</v>
      </c>
      <c r="D19" s="44">
        <f>VLOOKUP($C19,Sheet1!$C$2:$D$98,2,0)</f>
        <v>45000</v>
      </c>
      <c r="E19" s="60">
        <v>0.5</v>
      </c>
      <c r="F19" s="58">
        <f t="shared" ca="1" si="3"/>
        <v>0</v>
      </c>
      <c r="G19" s="58">
        <v>40.922342671889353</v>
      </c>
      <c r="H19" s="58">
        <f t="shared" ca="1" si="2"/>
        <v>0</v>
      </c>
      <c r="I19" s="58"/>
      <c r="J19" s="58">
        <f t="shared" ca="1" si="4"/>
        <v>0</v>
      </c>
      <c r="K19" s="58"/>
      <c r="L19" s="2">
        <f ca="1">IFERROR(SUMIFS(INDIRECT("'Thanh Toán ("&amp;L$3&amp;")'!$e:$e"),INDIRECT("'Thanh Toán ("&amp;L$3&amp;")'!$B:$B"),'Tổng Đơn'!$B19),0)</f>
        <v>0</v>
      </c>
      <c r="M19" s="2">
        <f ca="1">IFERROR(SUMIFS(INDIRECT("'Thanh Toán ("&amp;M$3&amp;")'!$e:$e"),INDIRECT("'Thanh Toán ("&amp;M$3&amp;")'!$B:$B"),'Tổng Đơn'!$B19),0)</f>
        <v>0</v>
      </c>
      <c r="N19" s="2">
        <f ca="1">IFERROR(SUMIFS(INDIRECT("'Thanh Toán ("&amp;N$3&amp;")'!$e:$e"),INDIRECT("'Thanh Toán ("&amp;N$3&amp;")'!$B:$B"),'Tổng Đơn'!$B19),0)</f>
        <v>0</v>
      </c>
      <c r="O19" s="2">
        <f ca="1">IFERROR(SUMIFS(INDIRECT("'Thanh Toán ("&amp;O$3&amp;")'!$e:$e"),INDIRECT("'Thanh Toán ("&amp;O$3&amp;")'!$B:$B"),'Tổng Đơn'!$B19),0)</f>
        <v>0</v>
      </c>
      <c r="P19" s="2">
        <f ca="1">IFERROR(SUMIFS(INDIRECT("'Thanh Toán ("&amp;P$3&amp;")'!$e:$e"),INDIRECT("'Thanh Toán ("&amp;P$3&amp;")'!$B:$B"),'Tổng Đơn'!$B19),0)</f>
        <v>0</v>
      </c>
      <c r="Q19" s="2">
        <f ca="1">IFERROR(SUMIFS(INDIRECT("'Thanh Toán ("&amp;Q$3&amp;")'!$e:$e"),INDIRECT("'Thanh Toán ("&amp;Q$3&amp;")'!$B:$B"),'Tổng Đơn'!$B19),0)</f>
        <v>0</v>
      </c>
      <c r="R19" s="2">
        <f ca="1">IFERROR(SUMIFS(INDIRECT("'Thanh Toán ("&amp;R$3&amp;")'!$e:$e"),INDIRECT("'Thanh Toán ("&amp;R$3&amp;")'!$B:$B"),'Tổng Đơn'!$B19),0)</f>
        <v>0</v>
      </c>
      <c r="S19" s="2">
        <f ca="1">IFERROR(SUMIFS(INDIRECT("'Thanh Toán ("&amp;S$3&amp;")'!$e:$e"),INDIRECT("'Thanh Toán ("&amp;S$3&amp;")'!$B:$B"),'Tổng Đơn'!$B19),0)</f>
        <v>0</v>
      </c>
      <c r="T19" s="2">
        <f ca="1">IFERROR(SUMIFS(INDIRECT("'Thanh Toán ("&amp;T$3&amp;")'!$e:$e"),INDIRECT("'Thanh Toán ("&amp;T$3&amp;")'!$B:$B"),'Tổng Đơn'!$B19),0)</f>
        <v>0</v>
      </c>
      <c r="U19" s="2">
        <f ca="1">IFERROR(SUMIFS(INDIRECT("'Thanh Toán ("&amp;U$3&amp;")'!$e:$e"),INDIRECT("'Thanh Toán ("&amp;U$3&amp;")'!$B:$B"),'Tổng Đơn'!$B19),0)</f>
        <v>0</v>
      </c>
      <c r="V19" s="2">
        <f ca="1">IFERROR(SUMIFS(INDIRECT("'Thanh Toán ("&amp;V$3&amp;")'!$e:$e"),INDIRECT("'Thanh Toán ("&amp;V$3&amp;")'!$B:$B"),'Tổng Đơn'!$B19),0)</f>
        <v>0</v>
      </c>
      <c r="W19" s="2">
        <f ca="1">IFERROR(SUMIFS(INDIRECT("'Thanh Toán ("&amp;W$3&amp;")'!$e:$e"),INDIRECT("'Thanh Toán ("&amp;W$3&amp;")'!$B:$B"),'Tổng Đơn'!$B19),0)</f>
        <v>0</v>
      </c>
      <c r="X19" s="2">
        <f ca="1">IFERROR(SUMIFS(INDIRECT("'Thanh Toán ("&amp;X$3&amp;")'!$e:$e"),INDIRECT("'Thanh Toán ("&amp;X$3&amp;")'!$B:$B"),'Tổng Đơn'!$B19),0)</f>
        <v>0</v>
      </c>
      <c r="Y19" s="2">
        <f ca="1">IFERROR(SUMIFS(INDIRECT("'Thanh Toán ("&amp;Y$3&amp;")'!$e:$e"),INDIRECT("'Thanh Toán ("&amp;Y$3&amp;")'!$B:$B"),'Tổng Đơn'!$B19),0)</f>
        <v>0</v>
      </c>
      <c r="Z19" s="2">
        <f ca="1">IFERROR(SUMIFS(INDIRECT("'Thanh Toán ("&amp;Z$3&amp;")'!$e:$e"),INDIRECT("'Thanh Toán ("&amp;Z$3&amp;")'!$B:$B"),'Tổng Đơn'!$B19),0)</f>
        <v>0</v>
      </c>
      <c r="AA19" s="2">
        <f ca="1">IFERROR(SUMIFS(INDIRECT("'Thanh Toán ("&amp;AA$3&amp;")'!$e:$e"),INDIRECT("'Thanh Toán ("&amp;AA$3&amp;")'!$B:$B"),'Tổng Đơn'!$B19),0)</f>
        <v>0</v>
      </c>
      <c r="AB19" s="2">
        <f ca="1">IFERROR(SUMIFS(INDIRECT("'Thanh Toán ("&amp;AB$3&amp;")'!$e:$e"),INDIRECT("'Thanh Toán ("&amp;AB$3&amp;")'!$B:$B"),'Tổng Đơn'!$B19),0)</f>
        <v>0</v>
      </c>
      <c r="AC19" s="2">
        <f ca="1">IFERROR(SUMIFS(INDIRECT("'Thanh Toán ("&amp;AC$3&amp;")'!$e:$e"),INDIRECT("'Thanh Toán ("&amp;AC$3&amp;")'!$B:$B"),'Tổng Đơn'!$B19),0)</f>
        <v>0</v>
      </c>
      <c r="AD19" s="2">
        <f ca="1">IFERROR(SUMIFS(INDIRECT("'Thanh Toán ("&amp;AD$3&amp;")'!$e:$e"),INDIRECT("'Thanh Toán ("&amp;AD$3&amp;")'!$B:$B"),'Tổng Đơn'!$B19),0)</f>
        <v>0</v>
      </c>
      <c r="AE19" s="2">
        <f ca="1">IFERROR(SUMIFS(INDIRECT("'Thanh Toán ("&amp;AE$3&amp;")'!$e:$e"),INDIRECT("'Thanh Toán ("&amp;AE$3&amp;")'!$B:$B"),'Tổng Đơn'!$B19),0)</f>
        <v>0</v>
      </c>
      <c r="AF19" s="2">
        <f ca="1">IFERROR(SUMIFS(INDIRECT("'Thanh Toán ("&amp;AF$3&amp;")'!$e:$e"),INDIRECT("'Thanh Toán ("&amp;AF$3&amp;")'!$B:$B"),'Tổng Đơn'!$B19),0)</f>
        <v>0</v>
      </c>
      <c r="AG19" s="2">
        <f ca="1">IFERROR(SUMIFS(INDIRECT("'Thanh Toán ("&amp;AG$3&amp;")'!$e:$e"),INDIRECT("'Thanh Toán ("&amp;AG$3&amp;")'!$B:$B"),'Tổng Đơn'!$B19),0)</f>
        <v>0</v>
      </c>
      <c r="AH19" s="2">
        <f ca="1">IFERROR(SUMIFS(INDIRECT("'Thanh Toán ("&amp;AH$3&amp;")'!$e:$e"),INDIRECT("'Thanh Toán ("&amp;AH$3&amp;")'!$B:$B"),'Tổng Đơn'!$B19),0)</f>
        <v>0</v>
      </c>
      <c r="AI19" s="2">
        <f ca="1">IFERROR(SUMIFS(INDIRECT("'Thanh Toán ("&amp;AI$3&amp;")'!$e:$e"),INDIRECT("'Thanh Toán ("&amp;AI$3&amp;")'!$B:$B"),'Tổng Đơn'!$B19),0)</f>
        <v>0</v>
      </c>
      <c r="AJ19" s="2">
        <f ca="1">IFERROR(SUMIFS(INDIRECT("'Thanh Toán ("&amp;AJ$3&amp;")'!$e:$e"),INDIRECT("'Thanh Toán ("&amp;AJ$3&amp;")'!$B:$B"),'Tổng Đơn'!$B19),0)</f>
        <v>0</v>
      </c>
      <c r="AK19" s="2">
        <f ca="1">IFERROR(SUMIFS(INDIRECT("'Thanh Toán ("&amp;AK$3&amp;")'!$e:$e"),INDIRECT("'Thanh Toán ("&amp;AK$3&amp;")'!$B:$B"),'Tổng Đơn'!$B19),0)</f>
        <v>0</v>
      </c>
      <c r="AL19" s="2">
        <f ca="1">IFERROR(SUMIFS(INDIRECT("'Thanh Toán ("&amp;AL$3&amp;")'!$e:$e"),INDIRECT("'Thanh Toán ("&amp;AL$3&amp;")'!$B:$B"),'Tổng Đơn'!$B19),0)</f>
        <v>0</v>
      </c>
      <c r="AM19" s="2">
        <f ca="1">IFERROR(SUMIFS(INDIRECT("'Thanh Toán ("&amp;AM$3&amp;")'!$e:$e"),INDIRECT("'Thanh Toán ("&amp;AM$3&amp;")'!$B:$B"),'Tổng Đơn'!$B19),0)</f>
        <v>0</v>
      </c>
      <c r="AN19" s="2">
        <f ca="1">IFERROR(SUMIFS(INDIRECT("'Thanh Toán ("&amp;AN$3&amp;")'!$e:$e"),INDIRECT("'Thanh Toán ("&amp;AN$3&amp;")'!$B:$B"),'Tổng Đơn'!$B19),0)</f>
        <v>0</v>
      </c>
      <c r="AO19" s="2">
        <f ca="1">IFERROR(SUMIFS(INDIRECT("'Thanh Toán ("&amp;AO$3&amp;")'!$e:$e"),INDIRECT("'Thanh Toán ("&amp;AO$3&amp;")'!$B:$B"),'Tổng Đơn'!$B19),0)</f>
        <v>0</v>
      </c>
    </row>
    <row r="20" spans="1:41" x14ac:dyDescent="0.25">
      <c r="A20" s="23">
        <v>16</v>
      </c>
      <c r="B20" s="151" t="s">
        <v>5</v>
      </c>
      <c r="C20" s="23" t="s">
        <v>75</v>
      </c>
      <c r="D20" s="44">
        <f>VLOOKUP($C20,Sheet1!$C$2:$D$98,2,0)</f>
        <v>40000</v>
      </c>
      <c r="E20" s="60">
        <v>0.5</v>
      </c>
      <c r="F20" s="58">
        <f t="shared" ca="1" si="3"/>
        <v>2</v>
      </c>
      <c r="G20" s="58">
        <v>34.847647777417663</v>
      </c>
      <c r="H20" s="58">
        <f t="shared" ca="1" si="2"/>
        <v>10304.70444516468</v>
      </c>
      <c r="I20" s="58"/>
      <c r="J20" s="58">
        <f t="shared" ca="1" si="4"/>
        <v>69695.29555483532</v>
      </c>
      <c r="K20" s="58"/>
      <c r="L20" s="2">
        <f ca="1">IFERROR(SUMIFS(INDIRECT("'Thanh Toán ("&amp;L$3&amp;")'!$e:$e"),INDIRECT("'Thanh Toán ("&amp;L$3&amp;")'!$B:$B"),'Tổng Đơn'!$B20),0)</f>
        <v>0</v>
      </c>
      <c r="M20" s="2">
        <f ca="1">IFERROR(SUMIFS(INDIRECT("'Thanh Toán ("&amp;M$3&amp;")'!$e:$e"),INDIRECT("'Thanh Toán ("&amp;M$3&amp;")'!$B:$B"),'Tổng Đơn'!$B20),0)</f>
        <v>0</v>
      </c>
      <c r="N20" s="2">
        <f ca="1">IFERROR(SUMIFS(INDIRECT("'Thanh Toán ("&amp;N$3&amp;")'!$e:$e"),INDIRECT("'Thanh Toán ("&amp;N$3&amp;")'!$B:$B"),'Tổng Đơn'!$B20),0)</f>
        <v>1</v>
      </c>
      <c r="O20" s="2">
        <f ca="1">IFERROR(SUMIFS(INDIRECT("'Thanh Toán ("&amp;O$3&amp;")'!$e:$e"),INDIRECT("'Thanh Toán ("&amp;O$3&amp;")'!$B:$B"),'Tổng Đơn'!$B20),0)</f>
        <v>0</v>
      </c>
      <c r="P20" s="2">
        <f ca="1">IFERROR(SUMIFS(INDIRECT("'Thanh Toán ("&amp;P$3&amp;")'!$e:$e"),INDIRECT("'Thanh Toán ("&amp;P$3&amp;")'!$B:$B"),'Tổng Đơn'!$B20),0)</f>
        <v>0</v>
      </c>
      <c r="Q20" s="2">
        <f ca="1">IFERROR(SUMIFS(INDIRECT("'Thanh Toán ("&amp;Q$3&amp;")'!$e:$e"),INDIRECT("'Thanh Toán ("&amp;Q$3&amp;")'!$B:$B"),'Tổng Đơn'!$B20),0)</f>
        <v>0</v>
      </c>
      <c r="R20" s="2">
        <f ca="1">IFERROR(SUMIFS(INDIRECT("'Thanh Toán ("&amp;R$3&amp;")'!$e:$e"),INDIRECT("'Thanh Toán ("&amp;R$3&amp;")'!$B:$B"),'Tổng Đơn'!$B20),0)</f>
        <v>1</v>
      </c>
      <c r="S20" s="2">
        <f ca="1">IFERROR(SUMIFS(INDIRECT("'Thanh Toán ("&amp;S$3&amp;")'!$e:$e"),INDIRECT("'Thanh Toán ("&amp;S$3&amp;")'!$B:$B"),'Tổng Đơn'!$B20),0)</f>
        <v>0</v>
      </c>
      <c r="T20" s="2">
        <f ca="1">IFERROR(SUMIFS(INDIRECT("'Thanh Toán ("&amp;T$3&amp;")'!$e:$e"),INDIRECT("'Thanh Toán ("&amp;T$3&amp;")'!$B:$B"),'Tổng Đơn'!$B20),0)</f>
        <v>0</v>
      </c>
      <c r="U20" s="2">
        <f ca="1">IFERROR(SUMIFS(INDIRECT("'Thanh Toán ("&amp;U$3&amp;")'!$e:$e"),INDIRECT("'Thanh Toán ("&amp;U$3&amp;")'!$B:$B"),'Tổng Đơn'!$B20),0)</f>
        <v>0</v>
      </c>
      <c r="V20" s="2">
        <f ca="1">IFERROR(SUMIFS(INDIRECT("'Thanh Toán ("&amp;V$3&amp;")'!$e:$e"),INDIRECT("'Thanh Toán ("&amp;V$3&amp;")'!$B:$B"),'Tổng Đơn'!$B20),0)</f>
        <v>0</v>
      </c>
      <c r="W20" s="2">
        <f ca="1">IFERROR(SUMIFS(INDIRECT("'Thanh Toán ("&amp;W$3&amp;")'!$e:$e"),INDIRECT("'Thanh Toán ("&amp;W$3&amp;")'!$B:$B"),'Tổng Đơn'!$B20),0)</f>
        <v>0</v>
      </c>
      <c r="X20" s="2">
        <f ca="1">IFERROR(SUMIFS(INDIRECT("'Thanh Toán ("&amp;X$3&amp;")'!$e:$e"),INDIRECT("'Thanh Toán ("&amp;X$3&amp;")'!$B:$B"),'Tổng Đơn'!$B20),0)</f>
        <v>0</v>
      </c>
      <c r="Y20" s="2">
        <f ca="1">IFERROR(SUMIFS(INDIRECT("'Thanh Toán ("&amp;Y$3&amp;")'!$e:$e"),INDIRECT("'Thanh Toán ("&amp;Y$3&amp;")'!$B:$B"),'Tổng Đơn'!$B20),0)</f>
        <v>0</v>
      </c>
      <c r="Z20" s="2">
        <f ca="1">IFERROR(SUMIFS(INDIRECT("'Thanh Toán ("&amp;Z$3&amp;")'!$e:$e"),INDIRECT("'Thanh Toán ("&amp;Z$3&amp;")'!$B:$B"),'Tổng Đơn'!$B20),0)</f>
        <v>0</v>
      </c>
      <c r="AA20" s="2">
        <f ca="1">IFERROR(SUMIFS(INDIRECT("'Thanh Toán ("&amp;AA$3&amp;")'!$e:$e"),INDIRECT("'Thanh Toán ("&amp;AA$3&amp;")'!$B:$B"),'Tổng Đơn'!$B20),0)</f>
        <v>0</v>
      </c>
      <c r="AB20" s="2">
        <f ca="1">IFERROR(SUMIFS(INDIRECT("'Thanh Toán ("&amp;AB$3&amp;")'!$e:$e"),INDIRECT("'Thanh Toán ("&amp;AB$3&amp;")'!$B:$B"),'Tổng Đơn'!$B20),0)</f>
        <v>0</v>
      </c>
      <c r="AC20" s="2">
        <f ca="1">IFERROR(SUMIFS(INDIRECT("'Thanh Toán ("&amp;AC$3&amp;")'!$e:$e"),INDIRECT("'Thanh Toán ("&amp;AC$3&amp;")'!$B:$B"),'Tổng Đơn'!$B20),0)</f>
        <v>0</v>
      </c>
      <c r="AD20" s="2">
        <f ca="1">IFERROR(SUMIFS(INDIRECT("'Thanh Toán ("&amp;AD$3&amp;")'!$e:$e"),INDIRECT("'Thanh Toán ("&amp;AD$3&amp;")'!$B:$B"),'Tổng Đơn'!$B20),0)</f>
        <v>0</v>
      </c>
      <c r="AE20" s="2">
        <f ca="1">IFERROR(SUMIFS(INDIRECT("'Thanh Toán ("&amp;AE$3&amp;")'!$e:$e"),INDIRECT("'Thanh Toán ("&amp;AE$3&amp;")'!$B:$B"),'Tổng Đơn'!$B20),0)</f>
        <v>0</v>
      </c>
      <c r="AF20" s="2">
        <f ca="1">IFERROR(SUMIFS(INDIRECT("'Thanh Toán ("&amp;AF$3&amp;")'!$e:$e"),INDIRECT("'Thanh Toán ("&amp;AF$3&amp;")'!$B:$B"),'Tổng Đơn'!$B20),0)</f>
        <v>0</v>
      </c>
      <c r="AG20" s="2">
        <f ca="1">IFERROR(SUMIFS(INDIRECT("'Thanh Toán ("&amp;AG$3&amp;")'!$e:$e"),INDIRECT("'Thanh Toán ("&amp;AG$3&amp;")'!$B:$B"),'Tổng Đơn'!$B20),0)</f>
        <v>0</v>
      </c>
      <c r="AH20" s="2">
        <f ca="1">IFERROR(SUMIFS(INDIRECT("'Thanh Toán ("&amp;AH$3&amp;")'!$e:$e"),INDIRECT("'Thanh Toán ("&amp;AH$3&amp;")'!$B:$B"),'Tổng Đơn'!$B20),0)</f>
        <v>0</v>
      </c>
      <c r="AI20" s="2">
        <f ca="1">IFERROR(SUMIFS(INDIRECT("'Thanh Toán ("&amp;AI$3&amp;")'!$e:$e"),INDIRECT("'Thanh Toán ("&amp;AI$3&amp;")'!$B:$B"),'Tổng Đơn'!$B20),0)</f>
        <v>0</v>
      </c>
      <c r="AJ20" s="2">
        <f ca="1">IFERROR(SUMIFS(INDIRECT("'Thanh Toán ("&amp;AJ$3&amp;")'!$e:$e"),INDIRECT("'Thanh Toán ("&amp;AJ$3&amp;")'!$B:$B"),'Tổng Đơn'!$B20),0)</f>
        <v>0</v>
      </c>
      <c r="AK20" s="2">
        <f ca="1">IFERROR(SUMIFS(INDIRECT("'Thanh Toán ("&amp;AK$3&amp;")'!$e:$e"),INDIRECT("'Thanh Toán ("&amp;AK$3&amp;")'!$B:$B"),'Tổng Đơn'!$B20),0)</f>
        <v>0</v>
      </c>
      <c r="AL20" s="2">
        <f ca="1">IFERROR(SUMIFS(INDIRECT("'Thanh Toán ("&amp;AL$3&amp;")'!$e:$e"),INDIRECT("'Thanh Toán ("&amp;AL$3&amp;")'!$B:$B"),'Tổng Đơn'!$B20),0)</f>
        <v>0</v>
      </c>
      <c r="AM20" s="2">
        <f ca="1">IFERROR(SUMIFS(INDIRECT("'Thanh Toán ("&amp;AM$3&amp;")'!$e:$e"),INDIRECT("'Thanh Toán ("&amp;AM$3&amp;")'!$B:$B"),'Tổng Đơn'!$B20),0)</f>
        <v>0</v>
      </c>
      <c r="AN20" s="2">
        <f ca="1">IFERROR(SUMIFS(INDIRECT("'Thanh Toán ("&amp;AN$3&amp;")'!$e:$e"),INDIRECT("'Thanh Toán ("&amp;AN$3&amp;")'!$B:$B"),'Tổng Đơn'!$B20),0)</f>
        <v>0</v>
      </c>
      <c r="AO20" s="2">
        <f ca="1">IFERROR(SUMIFS(INDIRECT("'Thanh Toán ("&amp;AO$3&amp;")'!$e:$e"),INDIRECT("'Thanh Toán ("&amp;AO$3&amp;")'!$B:$B"),'Tổng Đơn'!$B20),0)</f>
        <v>0</v>
      </c>
    </row>
    <row r="21" spans="1:41" x14ac:dyDescent="0.25">
      <c r="A21" s="23">
        <v>17</v>
      </c>
      <c r="B21" s="151" t="s">
        <v>4</v>
      </c>
      <c r="C21" s="23" t="s">
        <v>76</v>
      </c>
      <c r="D21" s="44">
        <f>VLOOKUP($C21,Sheet1!$C$2:$D$98,2,0)</f>
        <v>40000</v>
      </c>
      <c r="E21" s="60">
        <v>0.5</v>
      </c>
      <c r="F21" s="58">
        <f t="shared" ca="1" si="3"/>
        <v>0</v>
      </c>
      <c r="G21" s="58">
        <v>30.747924509486175</v>
      </c>
      <c r="H21" s="58">
        <f t="shared" ca="1" si="2"/>
        <v>0</v>
      </c>
      <c r="I21" s="58"/>
      <c r="J21" s="58">
        <f t="shared" ca="1" si="4"/>
        <v>0</v>
      </c>
      <c r="K21" s="58"/>
      <c r="L21" s="2">
        <f ca="1">IFERROR(SUMIFS(INDIRECT("'Thanh Toán ("&amp;L$3&amp;")'!$e:$e"),INDIRECT("'Thanh Toán ("&amp;L$3&amp;")'!$B:$B"),'Tổng Đơn'!$B21),0)</f>
        <v>0</v>
      </c>
      <c r="M21" s="2">
        <f ca="1">IFERROR(SUMIFS(INDIRECT("'Thanh Toán ("&amp;M$3&amp;")'!$e:$e"),INDIRECT("'Thanh Toán ("&amp;M$3&amp;")'!$B:$B"),'Tổng Đơn'!$B21),0)</f>
        <v>0</v>
      </c>
      <c r="N21" s="2">
        <f ca="1">IFERROR(SUMIFS(INDIRECT("'Thanh Toán ("&amp;N$3&amp;")'!$e:$e"),INDIRECT("'Thanh Toán ("&amp;N$3&amp;")'!$B:$B"),'Tổng Đơn'!$B21),0)</f>
        <v>0</v>
      </c>
      <c r="O21" s="2">
        <f ca="1">IFERROR(SUMIFS(INDIRECT("'Thanh Toán ("&amp;O$3&amp;")'!$e:$e"),INDIRECT("'Thanh Toán ("&amp;O$3&amp;")'!$B:$B"),'Tổng Đơn'!$B21),0)</f>
        <v>0</v>
      </c>
      <c r="P21" s="2">
        <f ca="1">IFERROR(SUMIFS(INDIRECT("'Thanh Toán ("&amp;P$3&amp;")'!$e:$e"),INDIRECT("'Thanh Toán ("&amp;P$3&amp;")'!$B:$B"),'Tổng Đơn'!$B21),0)</f>
        <v>0</v>
      </c>
      <c r="Q21" s="2">
        <f ca="1">IFERROR(SUMIFS(INDIRECT("'Thanh Toán ("&amp;Q$3&amp;")'!$e:$e"),INDIRECT("'Thanh Toán ("&amp;Q$3&amp;")'!$B:$B"),'Tổng Đơn'!$B21),0)</f>
        <v>0</v>
      </c>
      <c r="R21" s="2">
        <f ca="1">IFERROR(SUMIFS(INDIRECT("'Thanh Toán ("&amp;R$3&amp;")'!$e:$e"),INDIRECT("'Thanh Toán ("&amp;R$3&amp;")'!$B:$B"),'Tổng Đơn'!$B21),0)</f>
        <v>0</v>
      </c>
      <c r="S21" s="2">
        <f ca="1">IFERROR(SUMIFS(INDIRECT("'Thanh Toán ("&amp;S$3&amp;")'!$e:$e"),INDIRECT("'Thanh Toán ("&amp;S$3&amp;")'!$B:$B"),'Tổng Đơn'!$B21),0)</f>
        <v>0</v>
      </c>
      <c r="T21" s="2">
        <f ca="1">IFERROR(SUMIFS(INDIRECT("'Thanh Toán ("&amp;T$3&amp;")'!$e:$e"),INDIRECT("'Thanh Toán ("&amp;T$3&amp;")'!$B:$B"),'Tổng Đơn'!$B21),0)</f>
        <v>0</v>
      </c>
      <c r="U21" s="2">
        <f ca="1">IFERROR(SUMIFS(INDIRECT("'Thanh Toán ("&amp;U$3&amp;")'!$e:$e"),INDIRECT("'Thanh Toán ("&amp;U$3&amp;")'!$B:$B"),'Tổng Đơn'!$B21),0)</f>
        <v>0</v>
      </c>
      <c r="V21" s="2">
        <f ca="1">IFERROR(SUMIFS(INDIRECT("'Thanh Toán ("&amp;V$3&amp;")'!$e:$e"),INDIRECT("'Thanh Toán ("&amp;V$3&amp;")'!$B:$B"),'Tổng Đơn'!$B21),0)</f>
        <v>0</v>
      </c>
      <c r="W21" s="2">
        <f ca="1">IFERROR(SUMIFS(INDIRECT("'Thanh Toán ("&amp;W$3&amp;")'!$e:$e"),INDIRECT("'Thanh Toán ("&amp;W$3&amp;")'!$B:$B"),'Tổng Đơn'!$B21),0)</f>
        <v>0</v>
      </c>
      <c r="X21" s="2">
        <f ca="1">IFERROR(SUMIFS(INDIRECT("'Thanh Toán ("&amp;X$3&amp;")'!$e:$e"),INDIRECT("'Thanh Toán ("&amp;X$3&amp;")'!$B:$B"),'Tổng Đơn'!$B21),0)</f>
        <v>0</v>
      </c>
      <c r="Y21" s="2">
        <f ca="1">IFERROR(SUMIFS(INDIRECT("'Thanh Toán ("&amp;Y$3&amp;")'!$e:$e"),INDIRECT("'Thanh Toán ("&amp;Y$3&amp;")'!$B:$B"),'Tổng Đơn'!$B21),0)</f>
        <v>0</v>
      </c>
      <c r="Z21" s="2">
        <f ca="1">IFERROR(SUMIFS(INDIRECT("'Thanh Toán ("&amp;Z$3&amp;")'!$e:$e"),INDIRECT("'Thanh Toán ("&amp;Z$3&amp;")'!$B:$B"),'Tổng Đơn'!$B21),0)</f>
        <v>0</v>
      </c>
      <c r="AA21" s="2">
        <f ca="1">IFERROR(SUMIFS(INDIRECT("'Thanh Toán ("&amp;AA$3&amp;")'!$e:$e"),INDIRECT("'Thanh Toán ("&amp;AA$3&amp;")'!$B:$B"),'Tổng Đơn'!$B21),0)</f>
        <v>0</v>
      </c>
      <c r="AB21" s="2">
        <f ca="1">IFERROR(SUMIFS(INDIRECT("'Thanh Toán ("&amp;AB$3&amp;")'!$e:$e"),INDIRECT("'Thanh Toán ("&amp;AB$3&amp;")'!$B:$B"),'Tổng Đơn'!$B21),0)</f>
        <v>0</v>
      </c>
      <c r="AC21" s="2">
        <f ca="1">IFERROR(SUMIFS(INDIRECT("'Thanh Toán ("&amp;AC$3&amp;")'!$e:$e"),INDIRECT("'Thanh Toán ("&amp;AC$3&amp;")'!$B:$B"),'Tổng Đơn'!$B21),0)</f>
        <v>0</v>
      </c>
      <c r="AD21" s="2">
        <f ca="1">IFERROR(SUMIFS(INDIRECT("'Thanh Toán ("&amp;AD$3&amp;")'!$e:$e"),INDIRECT("'Thanh Toán ("&amp;AD$3&amp;")'!$B:$B"),'Tổng Đơn'!$B21),0)</f>
        <v>0</v>
      </c>
      <c r="AE21" s="2">
        <f ca="1">IFERROR(SUMIFS(INDIRECT("'Thanh Toán ("&amp;AE$3&amp;")'!$e:$e"),INDIRECT("'Thanh Toán ("&amp;AE$3&amp;")'!$B:$B"),'Tổng Đơn'!$B21),0)</f>
        <v>0</v>
      </c>
      <c r="AF21" s="2">
        <f ca="1">IFERROR(SUMIFS(INDIRECT("'Thanh Toán ("&amp;AF$3&amp;")'!$e:$e"),INDIRECT("'Thanh Toán ("&amp;AF$3&amp;")'!$B:$B"),'Tổng Đơn'!$B21),0)</f>
        <v>0</v>
      </c>
      <c r="AG21" s="2">
        <f ca="1">IFERROR(SUMIFS(INDIRECT("'Thanh Toán ("&amp;AG$3&amp;")'!$e:$e"),INDIRECT("'Thanh Toán ("&amp;AG$3&amp;")'!$B:$B"),'Tổng Đơn'!$B21),0)</f>
        <v>0</v>
      </c>
      <c r="AH21" s="2">
        <f ca="1">IFERROR(SUMIFS(INDIRECT("'Thanh Toán ("&amp;AH$3&amp;")'!$e:$e"),INDIRECT("'Thanh Toán ("&amp;AH$3&amp;")'!$B:$B"),'Tổng Đơn'!$B21),0)</f>
        <v>0</v>
      </c>
      <c r="AI21" s="2">
        <f ca="1">IFERROR(SUMIFS(INDIRECT("'Thanh Toán ("&amp;AI$3&amp;")'!$e:$e"),INDIRECT("'Thanh Toán ("&amp;AI$3&amp;")'!$B:$B"),'Tổng Đơn'!$B21),0)</f>
        <v>0</v>
      </c>
      <c r="AJ21" s="2">
        <f ca="1">IFERROR(SUMIFS(INDIRECT("'Thanh Toán ("&amp;AJ$3&amp;")'!$e:$e"),INDIRECT("'Thanh Toán ("&amp;AJ$3&amp;")'!$B:$B"),'Tổng Đơn'!$B21),0)</f>
        <v>0</v>
      </c>
      <c r="AK21" s="2">
        <f ca="1">IFERROR(SUMIFS(INDIRECT("'Thanh Toán ("&amp;AK$3&amp;")'!$e:$e"),INDIRECT("'Thanh Toán ("&amp;AK$3&amp;")'!$B:$B"),'Tổng Đơn'!$B21),0)</f>
        <v>0</v>
      </c>
      <c r="AL21" s="2">
        <f ca="1">IFERROR(SUMIFS(INDIRECT("'Thanh Toán ("&amp;AL$3&amp;")'!$e:$e"),INDIRECT("'Thanh Toán ("&amp;AL$3&amp;")'!$B:$B"),'Tổng Đơn'!$B21),0)</f>
        <v>0</v>
      </c>
      <c r="AM21" s="2">
        <f ca="1">IFERROR(SUMIFS(INDIRECT("'Thanh Toán ("&amp;AM$3&amp;")'!$e:$e"),INDIRECT("'Thanh Toán ("&amp;AM$3&amp;")'!$B:$B"),'Tổng Đơn'!$B21),0)</f>
        <v>0</v>
      </c>
      <c r="AN21" s="2">
        <f ca="1">IFERROR(SUMIFS(INDIRECT("'Thanh Toán ("&amp;AN$3&amp;")'!$e:$e"),INDIRECT("'Thanh Toán ("&amp;AN$3&amp;")'!$B:$B"),'Tổng Đơn'!$B21),0)</f>
        <v>0</v>
      </c>
      <c r="AO21" s="2">
        <f ca="1">IFERROR(SUMIFS(INDIRECT("'Thanh Toán ("&amp;AO$3&amp;")'!$e:$e"),INDIRECT("'Thanh Toán ("&amp;AO$3&amp;")'!$B:$B"),'Tổng Đơn'!$B21),0)</f>
        <v>0</v>
      </c>
    </row>
    <row r="22" spans="1:41" x14ac:dyDescent="0.25">
      <c r="A22" s="23">
        <v>18</v>
      </c>
      <c r="B22" s="151" t="s">
        <v>9</v>
      </c>
      <c r="C22" s="23" t="s">
        <v>77</v>
      </c>
      <c r="D22" s="44">
        <f>VLOOKUP($C22,Sheet1!$C$2:$D$98,2,0)</f>
        <v>55000</v>
      </c>
      <c r="E22" s="60">
        <v>0.5</v>
      </c>
      <c r="F22" s="58">
        <f t="shared" ca="1" si="3"/>
        <v>1</v>
      </c>
      <c r="G22" s="58">
        <v>43.559559721772082</v>
      </c>
      <c r="H22" s="58">
        <f t="shared" ca="1" si="2"/>
        <v>11440.440278227921</v>
      </c>
      <c r="I22" s="58"/>
      <c r="J22" s="58">
        <f t="shared" ca="1" si="4"/>
        <v>43559.559721772079</v>
      </c>
      <c r="K22" s="58"/>
      <c r="L22" s="2">
        <f ca="1">IFERROR(SUMIFS(INDIRECT("'Thanh Toán ("&amp;L$3&amp;")'!$e:$e"),INDIRECT("'Thanh Toán ("&amp;L$3&amp;")'!$B:$B"),'Tổng Đơn'!$B22),0)</f>
        <v>0</v>
      </c>
      <c r="M22" s="2">
        <f ca="1">IFERROR(SUMIFS(INDIRECT("'Thanh Toán ("&amp;M$3&amp;")'!$e:$e"),INDIRECT("'Thanh Toán ("&amp;M$3&amp;")'!$B:$B"),'Tổng Đơn'!$B22),0)</f>
        <v>0</v>
      </c>
      <c r="N22" s="2">
        <f ca="1">IFERROR(SUMIFS(INDIRECT("'Thanh Toán ("&amp;N$3&amp;")'!$e:$e"),INDIRECT("'Thanh Toán ("&amp;N$3&amp;")'!$B:$B"),'Tổng Đơn'!$B22),0)</f>
        <v>0</v>
      </c>
      <c r="O22" s="2">
        <f ca="1">IFERROR(SUMIFS(INDIRECT("'Thanh Toán ("&amp;O$3&amp;")'!$e:$e"),INDIRECT("'Thanh Toán ("&amp;O$3&amp;")'!$B:$B"),'Tổng Đơn'!$B22),0)</f>
        <v>1</v>
      </c>
      <c r="P22" s="2">
        <f ca="1">IFERROR(SUMIFS(INDIRECT("'Thanh Toán ("&amp;P$3&amp;")'!$e:$e"),INDIRECT("'Thanh Toán ("&amp;P$3&amp;")'!$B:$B"),'Tổng Đơn'!$B22),0)</f>
        <v>0</v>
      </c>
      <c r="Q22" s="2">
        <f ca="1">IFERROR(SUMIFS(INDIRECT("'Thanh Toán ("&amp;Q$3&amp;")'!$e:$e"),INDIRECT("'Thanh Toán ("&amp;Q$3&amp;")'!$B:$B"),'Tổng Đơn'!$B22),0)</f>
        <v>0</v>
      </c>
      <c r="R22" s="2">
        <f ca="1">IFERROR(SUMIFS(INDIRECT("'Thanh Toán ("&amp;R$3&amp;")'!$e:$e"),INDIRECT("'Thanh Toán ("&amp;R$3&amp;")'!$B:$B"),'Tổng Đơn'!$B22),0)</f>
        <v>0</v>
      </c>
      <c r="S22" s="2">
        <f ca="1">IFERROR(SUMIFS(INDIRECT("'Thanh Toán ("&amp;S$3&amp;")'!$e:$e"),INDIRECT("'Thanh Toán ("&amp;S$3&amp;")'!$B:$B"),'Tổng Đơn'!$B22),0)</f>
        <v>0</v>
      </c>
      <c r="T22" s="2">
        <f ca="1">IFERROR(SUMIFS(INDIRECT("'Thanh Toán ("&amp;T$3&amp;")'!$e:$e"),INDIRECT("'Thanh Toán ("&amp;T$3&amp;")'!$B:$B"),'Tổng Đơn'!$B22),0)</f>
        <v>0</v>
      </c>
      <c r="U22" s="2">
        <f ca="1">IFERROR(SUMIFS(INDIRECT("'Thanh Toán ("&amp;U$3&amp;")'!$e:$e"),INDIRECT("'Thanh Toán ("&amp;U$3&amp;")'!$B:$B"),'Tổng Đơn'!$B22),0)</f>
        <v>0</v>
      </c>
      <c r="V22" s="2">
        <f ca="1">IFERROR(SUMIFS(INDIRECT("'Thanh Toán ("&amp;V$3&amp;")'!$e:$e"),INDIRECT("'Thanh Toán ("&amp;V$3&amp;")'!$B:$B"),'Tổng Đơn'!$B22),0)</f>
        <v>0</v>
      </c>
      <c r="W22" s="2">
        <f ca="1">IFERROR(SUMIFS(INDIRECT("'Thanh Toán ("&amp;W$3&amp;")'!$e:$e"),INDIRECT("'Thanh Toán ("&amp;W$3&amp;")'!$B:$B"),'Tổng Đơn'!$B22),0)</f>
        <v>0</v>
      </c>
      <c r="X22" s="2">
        <f ca="1">IFERROR(SUMIFS(INDIRECT("'Thanh Toán ("&amp;X$3&amp;")'!$e:$e"),INDIRECT("'Thanh Toán ("&amp;X$3&amp;")'!$B:$B"),'Tổng Đơn'!$B22),0)</f>
        <v>0</v>
      </c>
      <c r="Y22" s="2">
        <f ca="1">IFERROR(SUMIFS(INDIRECT("'Thanh Toán ("&amp;Y$3&amp;")'!$e:$e"),INDIRECT("'Thanh Toán ("&amp;Y$3&amp;")'!$B:$B"),'Tổng Đơn'!$B22),0)</f>
        <v>0</v>
      </c>
      <c r="Z22" s="2">
        <f ca="1">IFERROR(SUMIFS(INDIRECT("'Thanh Toán ("&amp;Z$3&amp;")'!$e:$e"),INDIRECT("'Thanh Toán ("&amp;Z$3&amp;")'!$B:$B"),'Tổng Đơn'!$B22),0)</f>
        <v>0</v>
      </c>
      <c r="AA22" s="2">
        <f ca="1">IFERROR(SUMIFS(INDIRECT("'Thanh Toán ("&amp;AA$3&amp;")'!$e:$e"),INDIRECT("'Thanh Toán ("&amp;AA$3&amp;")'!$B:$B"),'Tổng Đơn'!$B22),0)</f>
        <v>0</v>
      </c>
      <c r="AB22" s="2">
        <f ca="1">IFERROR(SUMIFS(INDIRECT("'Thanh Toán ("&amp;AB$3&amp;")'!$e:$e"),INDIRECT("'Thanh Toán ("&amp;AB$3&amp;")'!$B:$B"),'Tổng Đơn'!$B22),0)</f>
        <v>0</v>
      </c>
      <c r="AC22" s="2">
        <f ca="1">IFERROR(SUMIFS(INDIRECT("'Thanh Toán ("&amp;AC$3&amp;")'!$e:$e"),INDIRECT("'Thanh Toán ("&amp;AC$3&amp;")'!$B:$B"),'Tổng Đơn'!$B22),0)</f>
        <v>0</v>
      </c>
      <c r="AD22" s="2">
        <f ca="1">IFERROR(SUMIFS(INDIRECT("'Thanh Toán ("&amp;AD$3&amp;")'!$e:$e"),INDIRECT("'Thanh Toán ("&amp;AD$3&amp;")'!$B:$B"),'Tổng Đơn'!$B22),0)</f>
        <v>0</v>
      </c>
      <c r="AE22" s="2">
        <f ca="1">IFERROR(SUMIFS(INDIRECT("'Thanh Toán ("&amp;AE$3&amp;")'!$e:$e"),INDIRECT("'Thanh Toán ("&amp;AE$3&amp;")'!$B:$B"),'Tổng Đơn'!$B22),0)</f>
        <v>0</v>
      </c>
      <c r="AF22" s="2">
        <f ca="1">IFERROR(SUMIFS(INDIRECT("'Thanh Toán ("&amp;AF$3&amp;")'!$e:$e"),INDIRECT("'Thanh Toán ("&amp;AF$3&amp;")'!$B:$B"),'Tổng Đơn'!$B22),0)</f>
        <v>0</v>
      </c>
      <c r="AG22" s="2">
        <f ca="1">IFERROR(SUMIFS(INDIRECT("'Thanh Toán ("&amp;AG$3&amp;")'!$e:$e"),INDIRECT("'Thanh Toán ("&amp;AG$3&amp;")'!$B:$B"),'Tổng Đơn'!$B22),0)</f>
        <v>0</v>
      </c>
      <c r="AH22" s="2">
        <f ca="1">IFERROR(SUMIFS(INDIRECT("'Thanh Toán ("&amp;AH$3&amp;")'!$e:$e"),INDIRECT("'Thanh Toán ("&amp;AH$3&amp;")'!$B:$B"),'Tổng Đơn'!$B22),0)</f>
        <v>0</v>
      </c>
      <c r="AI22" s="2">
        <f ca="1">IFERROR(SUMIFS(INDIRECT("'Thanh Toán ("&amp;AI$3&amp;")'!$e:$e"),INDIRECT("'Thanh Toán ("&amp;AI$3&amp;")'!$B:$B"),'Tổng Đơn'!$B22),0)</f>
        <v>0</v>
      </c>
      <c r="AJ22" s="2">
        <f ca="1">IFERROR(SUMIFS(INDIRECT("'Thanh Toán ("&amp;AJ$3&amp;")'!$e:$e"),INDIRECT("'Thanh Toán ("&amp;AJ$3&amp;")'!$B:$B"),'Tổng Đơn'!$B22),0)</f>
        <v>0</v>
      </c>
      <c r="AK22" s="2">
        <f ca="1">IFERROR(SUMIFS(INDIRECT("'Thanh Toán ("&amp;AK$3&amp;")'!$e:$e"),INDIRECT("'Thanh Toán ("&amp;AK$3&amp;")'!$B:$B"),'Tổng Đơn'!$B22),0)</f>
        <v>0</v>
      </c>
      <c r="AL22" s="2">
        <f ca="1">IFERROR(SUMIFS(INDIRECT("'Thanh Toán ("&amp;AL$3&amp;")'!$e:$e"),INDIRECT("'Thanh Toán ("&amp;AL$3&amp;")'!$B:$B"),'Tổng Đơn'!$B22),0)</f>
        <v>0</v>
      </c>
      <c r="AM22" s="2">
        <f ca="1">IFERROR(SUMIFS(INDIRECT("'Thanh Toán ("&amp;AM$3&amp;")'!$e:$e"),INDIRECT("'Thanh Toán ("&amp;AM$3&amp;")'!$B:$B"),'Tổng Đơn'!$B22),0)</f>
        <v>0</v>
      </c>
      <c r="AN22" s="2">
        <f ca="1">IFERROR(SUMIFS(INDIRECT("'Thanh Toán ("&amp;AN$3&amp;")'!$e:$e"),INDIRECT("'Thanh Toán ("&amp;AN$3&amp;")'!$B:$B"),'Tổng Đơn'!$B22),0)</f>
        <v>0</v>
      </c>
      <c r="AO22" s="2">
        <f ca="1">IFERROR(SUMIFS(INDIRECT("'Thanh Toán ("&amp;AO$3&amp;")'!$e:$e"),INDIRECT("'Thanh Toán ("&amp;AO$3&amp;")'!$B:$B"),'Tổng Đơn'!$B22),0)</f>
        <v>0</v>
      </c>
    </row>
    <row r="23" spans="1:41" x14ac:dyDescent="0.25">
      <c r="A23" s="23">
        <v>19</v>
      </c>
      <c r="B23" s="151" t="s">
        <v>13</v>
      </c>
      <c r="C23" s="23" t="s">
        <v>78</v>
      </c>
      <c r="D23" s="44">
        <f>VLOOKUP($C23,Sheet1!$C$2:$D$98,2,0)</f>
        <v>28000</v>
      </c>
      <c r="E23" s="60">
        <v>0.5</v>
      </c>
      <c r="F23" s="58">
        <f t="shared" ca="1" si="3"/>
        <v>2</v>
      </c>
      <c r="G23" s="58">
        <v>21.011081748148886</v>
      </c>
      <c r="H23" s="58">
        <f t="shared" ca="1" si="2"/>
        <v>13977.83650370223</v>
      </c>
      <c r="I23" s="58"/>
      <c r="J23" s="58">
        <f t="shared" ca="1" si="4"/>
        <v>42022.16349629777</v>
      </c>
      <c r="K23" s="58"/>
      <c r="L23" s="2">
        <f ca="1">IFERROR(SUMIFS(INDIRECT("'Thanh Toán ("&amp;L$3&amp;")'!$e:$e"),INDIRECT("'Thanh Toán ("&amp;L$3&amp;")'!$B:$B"),'Tổng Đơn'!$B23),0)</f>
        <v>0</v>
      </c>
      <c r="M23" s="2">
        <f ca="1">IFERROR(SUMIFS(INDIRECT("'Thanh Toán ("&amp;M$3&amp;")'!$e:$e"),INDIRECT("'Thanh Toán ("&amp;M$3&amp;")'!$B:$B"),'Tổng Đơn'!$B23),0)</f>
        <v>1</v>
      </c>
      <c r="N23" s="2">
        <f ca="1">IFERROR(SUMIFS(INDIRECT("'Thanh Toán ("&amp;N$3&amp;")'!$e:$e"),INDIRECT("'Thanh Toán ("&amp;N$3&amp;")'!$B:$B"),'Tổng Đơn'!$B23),0)</f>
        <v>1</v>
      </c>
      <c r="O23" s="2">
        <f ca="1">IFERROR(SUMIFS(INDIRECT("'Thanh Toán ("&amp;O$3&amp;")'!$e:$e"),INDIRECT("'Thanh Toán ("&amp;O$3&amp;")'!$B:$B"),'Tổng Đơn'!$B23),0)</f>
        <v>0</v>
      </c>
      <c r="P23" s="2">
        <f ca="1">IFERROR(SUMIFS(INDIRECT("'Thanh Toán ("&amp;P$3&amp;")'!$e:$e"),INDIRECT("'Thanh Toán ("&amp;P$3&amp;")'!$B:$B"),'Tổng Đơn'!$B23),0)</f>
        <v>0</v>
      </c>
      <c r="Q23" s="2">
        <f ca="1">IFERROR(SUMIFS(INDIRECT("'Thanh Toán ("&amp;Q$3&amp;")'!$e:$e"),INDIRECT("'Thanh Toán ("&amp;Q$3&amp;")'!$B:$B"),'Tổng Đơn'!$B23),0)</f>
        <v>0</v>
      </c>
      <c r="R23" s="2">
        <f ca="1">IFERROR(SUMIFS(INDIRECT("'Thanh Toán ("&amp;R$3&amp;")'!$e:$e"),INDIRECT("'Thanh Toán ("&amp;R$3&amp;")'!$B:$B"),'Tổng Đơn'!$B23),0)</f>
        <v>0</v>
      </c>
      <c r="S23" s="2">
        <f ca="1">IFERROR(SUMIFS(INDIRECT("'Thanh Toán ("&amp;S$3&amp;")'!$e:$e"),INDIRECT("'Thanh Toán ("&amp;S$3&amp;")'!$B:$B"),'Tổng Đơn'!$B23),0)</f>
        <v>0</v>
      </c>
      <c r="T23" s="2">
        <f ca="1">IFERROR(SUMIFS(INDIRECT("'Thanh Toán ("&amp;T$3&amp;")'!$e:$e"),INDIRECT("'Thanh Toán ("&amp;T$3&amp;")'!$B:$B"),'Tổng Đơn'!$B23),0)</f>
        <v>0</v>
      </c>
      <c r="U23" s="2">
        <f ca="1">IFERROR(SUMIFS(INDIRECT("'Thanh Toán ("&amp;U$3&amp;")'!$e:$e"),INDIRECT("'Thanh Toán ("&amp;U$3&amp;")'!$B:$B"),'Tổng Đơn'!$B23),0)</f>
        <v>0</v>
      </c>
      <c r="V23" s="2">
        <f ca="1">IFERROR(SUMIFS(INDIRECT("'Thanh Toán ("&amp;V$3&amp;")'!$e:$e"),INDIRECT("'Thanh Toán ("&amp;V$3&amp;")'!$B:$B"),'Tổng Đơn'!$B23),0)</f>
        <v>0</v>
      </c>
      <c r="W23" s="2">
        <f ca="1">IFERROR(SUMIFS(INDIRECT("'Thanh Toán ("&amp;W$3&amp;")'!$e:$e"),INDIRECT("'Thanh Toán ("&amp;W$3&amp;")'!$B:$B"),'Tổng Đơn'!$B23),0)</f>
        <v>0</v>
      </c>
      <c r="X23" s="2">
        <f ca="1">IFERROR(SUMIFS(INDIRECT("'Thanh Toán ("&amp;X$3&amp;")'!$e:$e"),INDIRECT("'Thanh Toán ("&amp;X$3&amp;")'!$B:$B"),'Tổng Đơn'!$B23),0)</f>
        <v>0</v>
      </c>
      <c r="Y23" s="2">
        <f ca="1">IFERROR(SUMIFS(INDIRECT("'Thanh Toán ("&amp;Y$3&amp;")'!$e:$e"),INDIRECT("'Thanh Toán ("&amp;Y$3&amp;")'!$B:$B"),'Tổng Đơn'!$B23),0)</f>
        <v>0</v>
      </c>
      <c r="Z23" s="2">
        <f ca="1">IFERROR(SUMIFS(INDIRECT("'Thanh Toán ("&amp;Z$3&amp;")'!$e:$e"),INDIRECT("'Thanh Toán ("&amp;Z$3&amp;")'!$B:$B"),'Tổng Đơn'!$B23),0)</f>
        <v>0</v>
      </c>
      <c r="AA23" s="2">
        <f ca="1">IFERROR(SUMIFS(INDIRECT("'Thanh Toán ("&amp;AA$3&amp;")'!$e:$e"),INDIRECT("'Thanh Toán ("&amp;AA$3&amp;")'!$B:$B"),'Tổng Đơn'!$B23),0)</f>
        <v>0</v>
      </c>
      <c r="AB23" s="2">
        <f ca="1">IFERROR(SUMIFS(INDIRECT("'Thanh Toán ("&amp;AB$3&amp;")'!$e:$e"),INDIRECT("'Thanh Toán ("&amp;AB$3&amp;")'!$B:$B"),'Tổng Đơn'!$B23),0)</f>
        <v>0</v>
      </c>
      <c r="AC23" s="2">
        <f ca="1">IFERROR(SUMIFS(INDIRECT("'Thanh Toán ("&amp;AC$3&amp;")'!$e:$e"),INDIRECT("'Thanh Toán ("&amp;AC$3&amp;")'!$B:$B"),'Tổng Đơn'!$B23),0)</f>
        <v>0</v>
      </c>
      <c r="AD23" s="2">
        <f ca="1">IFERROR(SUMIFS(INDIRECT("'Thanh Toán ("&amp;AD$3&amp;")'!$e:$e"),INDIRECT("'Thanh Toán ("&amp;AD$3&amp;")'!$B:$B"),'Tổng Đơn'!$B23),0)</f>
        <v>0</v>
      </c>
      <c r="AE23" s="2">
        <f ca="1">IFERROR(SUMIFS(INDIRECT("'Thanh Toán ("&amp;AE$3&amp;")'!$e:$e"),INDIRECT("'Thanh Toán ("&amp;AE$3&amp;")'!$B:$B"),'Tổng Đơn'!$B23),0)</f>
        <v>0</v>
      </c>
      <c r="AF23" s="2">
        <f ca="1">IFERROR(SUMIFS(INDIRECT("'Thanh Toán ("&amp;AF$3&amp;")'!$e:$e"),INDIRECT("'Thanh Toán ("&amp;AF$3&amp;")'!$B:$B"),'Tổng Đơn'!$B23),0)</f>
        <v>0</v>
      </c>
      <c r="AG23" s="2">
        <f ca="1">IFERROR(SUMIFS(INDIRECT("'Thanh Toán ("&amp;AG$3&amp;")'!$e:$e"),INDIRECT("'Thanh Toán ("&amp;AG$3&amp;")'!$B:$B"),'Tổng Đơn'!$B23),0)</f>
        <v>0</v>
      </c>
      <c r="AH23" s="2">
        <f ca="1">IFERROR(SUMIFS(INDIRECT("'Thanh Toán ("&amp;AH$3&amp;")'!$e:$e"),INDIRECT("'Thanh Toán ("&amp;AH$3&amp;")'!$B:$B"),'Tổng Đơn'!$B23),0)</f>
        <v>0</v>
      </c>
      <c r="AI23" s="2">
        <f ca="1">IFERROR(SUMIFS(INDIRECT("'Thanh Toán ("&amp;AI$3&amp;")'!$e:$e"),INDIRECT("'Thanh Toán ("&amp;AI$3&amp;")'!$B:$B"),'Tổng Đơn'!$B23),0)</f>
        <v>0</v>
      </c>
      <c r="AJ23" s="2">
        <f ca="1">IFERROR(SUMIFS(INDIRECT("'Thanh Toán ("&amp;AJ$3&amp;")'!$e:$e"),INDIRECT("'Thanh Toán ("&amp;AJ$3&amp;")'!$B:$B"),'Tổng Đơn'!$B23),0)</f>
        <v>0</v>
      </c>
      <c r="AK23" s="2">
        <f ca="1">IFERROR(SUMIFS(INDIRECT("'Thanh Toán ("&amp;AK$3&amp;")'!$e:$e"),INDIRECT("'Thanh Toán ("&amp;AK$3&amp;")'!$B:$B"),'Tổng Đơn'!$B23),0)</f>
        <v>0</v>
      </c>
      <c r="AL23" s="2">
        <f ca="1">IFERROR(SUMIFS(INDIRECT("'Thanh Toán ("&amp;AL$3&amp;")'!$e:$e"),INDIRECT("'Thanh Toán ("&amp;AL$3&amp;")'!$B:$B"),'Tổng Đơn'!$B23),0)</f>
        <v>0</v>
      </c>
      <c r="AM23" s="2">
        <f ca="1">IFERROR(SUMIFS(INDIRECT("'Thanh Toán ("&amp;AM$3&amp;")'!$e:$e"),INDIRECT("'Thanh Toán ("&amp;AM$3&amp;")'!$B:$B"),'Tổng Đơn'!$B23),0)</f>
        <v>0</v>
      </c>
      <c r="AN23" s="2">
        <f ca="1">IFERROR(SUMIFS(INDIRECT("'Thanh Toán ("&amp;AN$3&amp;")'!$e:$e"),INDIRECT("'Thanh Toán ("&amp;AN$3&amp;")'!$B:$B"),'Tổng Đơn'!$B23),0)</f>
        <v>0</v>
      </c>
      <c r="AO23" s="2">
        <f ca="1">IFERROR(SUMIFS(INDIRECT("'Thanh Toán ("&amp;AO$3&amp;")'!$e:$e"),INDIRECT("'Thanh Toán ("&amp;AO$3&amp;")'!$B:$B"),'Tổng Đơn'!$B23),0)</f>
        <v>0</v>
      </c>
    </row>
    <row r="24" spans="1:41" x14ac:dyDescent="0.25">
      <c r="A24" s="23">
        <v>20</v>
      </c>
      <c r="B24" s="151" t="s">
        <v>12</v>
      </c>
      <c r="C24" s="23" t="s">
        <v>79</v>
      </c>
      <c r="D24" s="44">
        <f>VLOOKUP($C24,Sheet1!$C$2:$D$98,2,0)</f>
        <v>26000</v>
      </c>
      <c r="E24" s="60">
        <v>0.5</v>
      </c>
      <c r="F24" s="58">
        <f t="shared" ca="1" si="3"/>
        <v>0</v>
      </c>
      <c r="G24" s="58">
        <v>21.011081748148886</v>
      </c>
      <c r="H24" s="58">
        <f t="shared" ca="1" si="2"/>
        <v>0</v>
      </c>
      <c r="I24" s="58"/>
      <c r="J24" s="58">
        <f t="shared" ca="1" si="4"/>
        <v>0</v>
      </c>
      <c r="K24" s="58"/>
      <c r="L24" s="2">
        <f ca="1">IFERROR(SUMIFS(INDIRECT("'Thanh Toán ("&amp;L$3&amp;")'!$e:$e"),INDIRECT("'Thanh Toán ("&amp;L$3&amp;")'!$B:$B"),'Tổng Đơn'!$B24),0)</f>
        <v>0</v>
      </c>
      <c r="M24" s="2">
        <f ca="1">IFERROR(SUMIFS(INDIRECT("'Thanh Toán ("&amp;M$3&amp;")'!$e:$e"),INDIRECT("'Thanh Toán ("&amp;M$3&amp;")'!$B:$B"),'Tổng Đơn'!$B24),0)</f>
        <v>0</v>
      </c>
      <c r="N24" s="2">
        <f ca="1">IFERROR(SUMIFS(INDIRECT("'Thanh Toán ("&amp;N$3&amp;")'!$e:$e"),INDIRECT("'Thanh Toán ("&amp;N$3&amp;")'!$B:$B"),'Tổng Đơn'!$B24),0)</f>
        <v>0</v>
      </c>
      <c r="O24" s="2">
        <f ca="1">IFERROR(SUMIFS(INDIRECT("'Thanh Toán ("&amp;O$3&amp;")'!$e:$e"),INDIRECT("'Thanh Toán ("&amp;O$3&amp;")'!$B:$B"),'Tổng Đơn'!$B24),0)</f>
        <v>0</v>
      </c>
      <c r="P24" s="2">
        <f ca="1">IFERROR(SUMIFS(INDIRECT("'Thanh Toán ("&amp;P$3&amp;")'!$e:$e"),INDIRECT("'Thanh Toán ("&amp;P$3&amp;")'!$B:$B"),'Tổng Đơn'!$B24),0)</f>
        <v>0</v>
      </c>
      <c r="Q24" s="2">
        <f ca="1">IFERROR(SUMIFS(INDIRECT("'Thanh Toán ("&amp;Q$3&amp;")'!$e:$e"),INDIRECT("'Thanh Toán ("&amp;Q$3&amp;")'!$B:$B"),'Tổng Đơn'!$B24),0)</f>
        <v>0</v>
      </c>
      <c r="R24" s="2">
        <f ca="1">IFERROR(SUMIFS(INDIRECT("'Thanh Toán ("&amp;R$3&amp;")'!$e:$e"),INDIRECT("'Thanh Toán ("&amp;R$3&amp;")'!$B:$B"),'Tổng Đơn'!$B24),0)</f>
        <v>0</v>
      </c>
      <c r="S24" s="2">
        <f ca="1">IFERROR(SUMIFS(INDIRECT("'Thanh Toán ("&amp;S$3&amp;")'!$e:$e"),INDIRECT("'Thanh Toán ("&amp;S$3&amp;")'!$B:$B"),'Tổng Đơn'!$B24),0)</f>
        <v>0</v>
      </c>
      <c r="T24" s="2">
        <f ca="1">IFERROR(SUMIFS(INDIRECT("'Thanh Toán ("&amp;T$3&amp;")'!$e:$e"),INDIRECT("'Thanh Toán ("&amp;T$3&amp;")'!$B:$B"),'Tổng Đơn'!$B24),0)</f>
        <v>0</v>
      </c>
      <c r="U24" s="2">
        <f ca="1">IFERROR(SUMIFS(INDIRECT("'Thanh Toán ("&amp;U$3&amp;")'!$e:$e"),INDIRECT("'Thanh Toán ("&amp;U$3&amp;")'!$B:$B"),'Tổng Đơn'!$B24),0)</f>
        <v>0</v>
      </c>
      <c r="V24" s="2">
        <f ca="1">IFERROR(SUMIFS(INDIRECT("'Thanh Toán ("&amp;V$3&amp;")'!$e:$e"),INDIRECT("'Thanh Toán ("&amp;V$3&amp;")'!$B:$B"),'Tổng Đơn'!$B24),0)</f>
        <v>0</v>
      </c>
      <c r="W24" s="2">
        <f ca="1">IFERROR(SUMIFS(INDIRECT("'Thanh Toán ("&amp;W$3&amp;")'!$e:$e"),INDIRECT("'Thanh Toán ("&amp;W$3&amp;")'!$B:$B"),'Tổng Đơn'!$B24),0)</f>
        <v>0</v>
      </c>
      <c r="X24" s="2">
        <f ca="1">IFERROR(SUMIFS(INDIRECT("'Thanh Toán ("&amp;X$3&amp;")'!$e:$e"),INDIRECT("'Thanh Toán ("&amp;X$3&amp;")'!$B:$B"),'Tổng Đơn'!$B24),0)</f>
        <v>0</v>
      </c>
      <c r="Y24" s="2">
        <f ca="1">IFERROR(SUMIFS(INDIRECT("'Thanh Toán ("&amp;Y$3&amp;")'!$e:$e"),INDIRECT("'Thanh Toán ("&amp;Y$3&amp;")'!$B:$B"),'Tổng Đơn'!$B24),0)</f>
        <v>0</v>
      </c>
      <c r="Z24" s="2">
        <f ca="1">IFERROR(SUMIFS(INDIRECT("'Thanh Toán ("&amp;Z$3&amp;")'!$e:$e"),INDIRECT("'Thanh Toán ("&amp;Z$3&amp;")'!$B:$B"),'Tổng Đơn'!$B24),0)</f>
        <v>0</v>
      </c>
      <c r="AA24" s="2">
        <f ca="1">IFERROR(SUMIFS(INDIRECT("'Thanh Toán ("&amp;AA$3&amp;")'!$e:$e"),INDIRECT("'Thanh Toán ("&amp;AA$3&amp;")'!$B:$B"),'Tổng Đơn'!$B24),0)</f>
        <v>0</v>
      </c>
      <c r="AB24" s="2">
        <f ca="1">IFERROR(SUMIFS(INDIRECT("'Thanh Toán ("&amp;AB$3&amp;")'!$e:$e"),INDIRECT("'Thanh Toán ("&amp;AB$3&amp;")'!$B:$B"),'Tổng Đơn'!$B24),0)</f>
        <v>0</v>
      </c>
      <c r="AC24" s="2">
        <f ca="1">IFERROR(SUMIFS(INDIRECT("'Thanh Toán ("&amp;AC$3&amp;")'!$e:$e"),INDIRECT("'Thanh Toán ("&amp;AC$3&amp;")'!$B:$B"),'Tổng Đơn'!$B24),0)</f>
        <v>0</v>
      </c>
      <c r="AD24" s="2">
        <f ca="1">IFERROR(SUMIFS(INDIRECT("'Thanh Toán ("&amp;AD$3&amp;")'!$e:$e"),INDIRECT("'Thanh Toán ("&amp;AD$3&amp;")'!$B:$B"),'Tổng Đơn'!$B24),0)</f>
        <v>0</v>
      </c>
      <c r="AE24" s="2">
        <f ca="1">IFERROR(SUMIFS(INDIRECT("'Thanh Toán ("&amp;AE$3&amp;")'!$e:$e"),INDIRECT("'Thanh Toán ("&amp;AE$3&amp;")'!$B:$B"),'Tổng Đơn'!$B24),0)</f>
        <v>0</v>
      </c>
      <c r="AF24" s="2">
        <f ca="1">IFERROR(SUMIFS(INDIRECT("'Thanh Toán ("&amp;AF$3&amp;")'!$e:$e"),INDIRECT("'Thanh Toán ("&amp;AF$3&amp;")'!$B:$B"),'Tổng Đơn'!$B24),0)</f>
        <v>0</v>
      </c>
      <c r="AG24" s="2">
        <f ca="1">IFERROR(SUMIFS(INDIRECT("'Thanh Toán ("&amp;AG$3&amp;")'!$e:$e"),INDIRECT("'Thanh Toán ("&amp;AG$3&amp;")'!$B:$B"),'Tổng Đơn'!$B24),0)</f>
        <v>0</v>
      </c>
      <c r="AH24" s="2">
        <f ca="1">IFERROR(SUMIFS(INDIRECT("'Thanh Toán ("&amp;AH$3&amp;")'!$e:$e"),INDIRECT("'Thanh Toán ("&amp;AH$3&amp;")'!$B:$B"),'Tổng Đơn'!$B24),0)</f>
        <v>0</v>
      </c>
      <c r="AI24" s="2">
        <f ca="1">IFERROR(SUMIFS(INDIRECT("'Thanh Toán ("&amp;AI$3&amp;")'!$e:$e"),INDIRECT("'Thanh Toán ("&amp;AI$3&amp;")'!$B:$B"),'Tổng Đơn'!$B24),0)</f>
        <v>0</v>
      </c>
      <c r="AJ24" s="2">
        <f ca="1">IFERROR(SUMIFS(INDIRECT("'Thanh Toán ("&amp;AJ$3&amp;")'!$e:$e"),INDIRECT("'Thanh Toán ("&amp;AJ$3&amp;")'!$B:$B"),'Tổng Đơn'!$B24),0)</f>
        <v>0</v>
      </c>
      <c r="AK24" s="2">
        <f ca="1">IFERROR(SUMIFS(INDIRECT("'Thanh Toán ("&amp;AK$3&amp;")'!$e:$e"),INDIRECT("'Thanh Toán ("&amp;AK$3&amp;")'!$B:$B"),'Tổng Đơn'!$B24),0)</f>
        <v>0</v>
      </c>
      <c r="AL24" s="2">
        <f ca="1">IFERROR(SUMIFS(INDIRECT("'Thanh Toán ("&amp;AL$3&amp;")'!$e:$e"),INDIRECT("'Thanh Toán ("&amp;AL$3&amp;")'!$B:$B"),'Tổng Đơn'!$B24),0)</f>
        <v>0</v>
      </c>
      <c r="AM24" s="2">
        <f ca="1">IFERROR(SUMIFS(INDIRECT("'Thanh Toán ("&amp;AM$3&amp;")'!$e:$e"),INDIRECT("'Thanh Toán ("&amp;AM$3&amp;")'!$B:$B"),'Tổng Đơn'!$B24),0)</f>
        <v>0</v>
      </c>
      <c r="AN24" s="2">
        <f ca="1">IFERROR(SUMIFS(INDIRECT("'Thanh Toán ("&amp;AN$3&amp;")'!$e:$e"),INDIRECT("'Thanh Toán ("&amp;AN$3&amp;")'!$B:$B"),'Tổng Đơn'!$B24),0)</f>
        <v>0</v>
      </c>
      <c r="AO24" s="2">
        <f ca="1">IFERROR(SUMIFS(INDIRECT("'Thanh Toán ("&amp;AO$3&amp;")'!$e:$e"),INDIRECT("'Thanh Toán ("&amp;AO$3&amp;")'!$B:$B"),'Tổng Đơn'!$B24),0)</f>
        <v>0</v>
      </c>
    </row>
    <row r="25" spans="1:41" x14ac:dyDescent="0.25">
      <c r="A25" s="23">
        <v>21</v>
      </c>
      <c r="B25" s="151" t="s">
        <v>14</v>
      </c>
      <c r="C25" s="23" t="s">
        <v>80</v>
      </c>
      <c r="D25" s="44">
        <f>VLOOKUP($C25,Sheet1!$C$2:$D$98,2,0)</f>
        <v>33000</v>
      </c>
      <c r="E25" s="60">
        <v>0.5</v>
      </c>
      <c r="F25" s="58">
        <f t="shared" ca="1" si="3"/>
        <v>4</v>
      </c>
      <c r="G25" s="58">
        <v>28.185597467028995</v>
      </c>
      <c r="H25" s="58">
        <f t="shared" ca="1" si="2"/>
        <v>19257.610131884023</v>
      </c>
      <c r="I25" s="58"/>
      <c r="J25" s="58">
        <f t="shared" ca="1" si="4"/>
        <v>112742.38986811598</v>
      </c>
      <c r="K25" s="58"/>
      <c r="L25" s="2">
        <f ca="1">IFERROR(SUMIFS(INDIRECT("'Thanh Toán ("&amp;L$3&amp;")'!$e:$e"),INDIRECT("'Thanh Toán ("&amp;L$3&amp;")'!$B:$B"),'Tổng Đơn'!$B25),0)</f>
        <v>0</v>
      </c>
      <c r="M25" s="2">
        <f ca="1">IFERROR(SUMIFS(INDIRECT("'Thanh Toán ("&amp;M$3&amp;")'!$e:$e"),INDIRECT("'Thanh Toán ("&amp;M$3&amp;")'!$B:$B"),'Tổng Đơn'!$B25),0)</f>
        <v>0</v>
      </c>
      <c r="N25" s="2">
        <f ca="1">IFERROR(SUMIFS(INDIRECT("'Thanh Toán ("&amp;N$3&amp;")'!$e:$e"),INDIRECT("'Thanh Toán ("&amp;N$3&amp;")'!$B:$B"),'Tổng Đơn'!$B25),0)</f>
        <v>0</v>
      </c>
      <c r="O25" s="2">
        <f ca="1">IFERROR(SUMIFS(INDIRECT("'Thanh Toán ("&amp;O$3&amp;")'!$e:$e"),INDIRECT("'Thanh Toán ("&amp;O$3&amp;")'!$B:$B"),'Tổng Đơn'!$B25),0)</f>
        <v>2</v>
      </c>
      <c r="P25" s="2">
        <f ca="1">IFERROR(SUMIFS(INDIRECT("'Thanh Toán ("&amp;P$3&amp;")'!$e:$e"),INDIRECT("'Thanh Toán ("&amp;P$3&amp;")'!$B:$B"),'Tổng Đơn'!$B25),0)</f>
        <v>1</v>
      </c>
      <c r="Q25" s="2">
        <f ca="1">IFERROR(SUMIFS(INDIRECT("'Thanh Toán ("&amp;Q$3&amp;")'!$e:$e"),INDIRECT("'Thanh Toán ("&amp;Q$3&amp;")'!$B:$B"),'Tổng Đơn'!$B25),0)</f>
        <v>0</v>
      </c>
      <c r="R25" s="2">
        <f ca="1">IFERROR(SUMIFS(INDIRECT("'Thanh Toán ("&amp;R$3&amp;")'!$e:$e"),INDIRECT("'Thanh Toán ("&amp;R$3&amp;")'!$B:$B"),'Tổng Đơn'!$B25),0)</f>
        <v>0</v>
      </c>
      <c r="S25" s="2">
        <f ca="1">IFERROR(SUMIFS(INDIRECT("'Thanh Toán ("&amp;S$3&amp;")'!$e:$e"),INDIRECT("'Thanh Toán ("&amp;S$3&amp;")'!$B:$B"),'Tổng Đơn'!$B25),0)</f>
        <v>0</v>
      </c>
      <c r="T25" s="2">
        <f ca="1">IFERROR(SUMIFS(INDIRECT("'Thanh Toán ("&amp;T$3&amp;")'!$e:$e"),INDIRECT("'Thanh Toán ("&amp;T$3&amp;")'!$B:$B"),'Tổng Đơn'!$B25),0)</f>
        <v>0</v>
      </c>
      <c r="U25" s="2">
        <f ca="1">IFERROR(SUMIFS(INDIRECT("'Thanh Toán ("&amp;U$3&amp;")'!$e:$e"),INDIRECT("'Thanh Toán ("&amp;U$3&amp;")'!$B:$B"),'Tổng Đơn'!$B25),0)</f>
        <v>0</v>
      </c>
      <c r="V25" s="2">
        <f ca="1">IFERROR(SUMIFS(INDIRECT("'Thanh Toán ("&amp;V$3&amp;")'!$e:$e"),INDIRECT("'Thanh Toán ("&amp;V$3&amp;")'!$B:$B"),'Tổng Đơn'!$B25),0)</f>
        <v>1</v>
      </c>
      <c r="W25" s="2">
        <f ca="1">IFERROR(SUMIFS(INDIRECT("'Thanh Toán ("&amp;W$3&amp;")'!$e:$e"),INDIRECT("'Thanh Toán ("&amp;W$3&amp;")'!$B:$B"),'Tổng Đơn'!$B25),0)</f>
        <v>0</v>
      </c>
      <c r="X25" s="2">
        <f ca="1">IFERROR(SUMIFS(INDIRECT("'Thanh Toán ("&amp;X$3&amp;")'!$e:$e"),INDIRECT("'Thanh Toán ("&amp;X$3&amp;")'!$B:$B"),'Tổng Đơn'!$B25),0)</f>
        <v>0</v>
      </c>
      <c r="Y25" s="2">
        <f ca="1">IFERROR(SUMIFS(INDIRECT("'Thanh Toán ("&amp;Y$3&amp;")'!$e:$e"),INDIRECT("'Thanh Toán ("&amp;Y$3&amp;")'!$B:$B"),'Tổng Đơn'!$B25),0)</f>
        <v>0</v>
      </c>
      <c r="Z25" s="2">
        <f ca="1">IFERROR(SUMIFS(INDIRECT("'Thanh Toán ("&amp;Z$3&amp;")'!$e:$e"),INDIRECT("'Thanh Toán ("&amp;Z$3&amp;")'!$B:$B"),'Tổng Đơn'!$B25),0)</f>
        <v>0</v>
      </c>
      <c r="AA25" s="2">
        <f ca="1">IFERROR(SUMIFS(INDIRECT("'Thanh Toán ("&amp;AA$3&amp;")'!$e:$e"),INDIRECT("'Thanh Toán ("&amp;AA$3&amp;")'!$B:$B"),'Tổng Đơn'!$B25),0)</f>
        <v>0</v>
      </c>
      <c r="AB25" s="2">
        <f ca="1">IFERROR(SUMIFS(INDIRECT("'Thanh Toán ("&amp;AB$3&amp;")'!$e:$e"),INDIRECT("'Thanh Toán ("&amp;AB$3&amp;")'!$B:$B"),'Tổng Đơn'!$B25),0)</f>
        <v>0</v>
      </c>
      <c r="AC25" s="2">
        <f ca="1">IFERROR(SUMIFS(INDIRECT("'Thanh Toán ("&amp;AC$3&amp;")'!$e:$e"),INDIRECT("'Thanh Toán ("&amp;AC$3&amp;")'!$B:$B"),'Tổng Đơn'!$B25),0)</f>
        <v>0</v>
      </c>
      <c r="AD25" s="2">
        <f ca="1">IFERROR(SUMIFS(INDIRECT("'Thanh Toán ("&amp;AD$3&amp;")'!$e:$e"),INDIRECT("'Thanh Toán ("&amp;AD$3&amp;")'!$B:$B"),'Tổng Đơn'!$B25),0)</f>
        <v>0</v>
      </c>
      <c r="AE25" s="2">
        <f ca="1">IFERROR(SUMIFS(INDIRECT("'Thanh Toán ("&amp;AE$3&amp;")'!$e:$e"),INDIRECT("'Thanh Toán ("&amp;AE$3&amp;")'!$B:$B"),'Tổng Đơn'!$B25),0)</f>
        <v>0</v>
      </c>
      <c r="AF25" s="2">
        <f ca="1">IFERROR(SUMIFS(INDIRECT("'Thanh Toán ("&amp;AF$3&amp;")'!$e:$e"),INDIRECT("'Thanh Toán ("&amp;AF$3&amp;")'!$B:$B"),'Tổng Đơn'!$B25),0)</f>
        <v>0</v>
      </c>
      <c r="AG25" s="2">
        <f ca="1">IFERROR(SUMIFS(INDIRECT("'Thanh Toán ("&amp;AG$3&amp;")'!$e:$e"),INDIRECT("'Thanh Toán ("&amp;AG$3&amp;")'!$B:$B"),'Tổng Đơn'!$B25),0)</f>
        <v>0</v>
      </c>
      <c r="AH25" s="2">
        <f ca="1">IFERROR(SUMIFS(INDIRECT("'Thanh Toán ("&amp;AH$3&amp;")'!$e:$e"),INDIRECT("'Thanh Toán ("&amp;AH$3&amp;")'!$B:$B"),'Tổng Đơn'!$B25),0)</f>
        <v>0</v>
      </c>
      <c r="AI25" s="2">
        <f ca="1">IFERROR(SUMIFS(INDIRECT("'Thanh Toán ("&amp;AI$3&amp;")'!$e:$e"),INDIRECT("'Thanh Toán ("&amp;AI$3&amp;")'!$B:$B"),'Tổng Đơn'!$B25),0)</f>
        <v>0</v>
      </c>
      <c r="AJ25" s="2">
        <f ca="1">IFERROR(SUMIFS(INDIRECT("'Thanh Toán ("&amp;AJ$3&amp;")'!$e:$e"),INDIRECT("'Thanh Toán ("&amp;AJ$3&amp;")'!$B:$B"),'Tổng Đơn'!$B25),0)</f>
        <v>0</v>
      </c>
      <c r="AK25" s="2">
        <f ca="1">IFERROR(SUMIFS(INDIRECT("'Thanh Toán ("&amp;AK$3&amp;")'!$e:$e"),INDIRECT("'Thanh Toán ("&amp;AK$3&amp;")'!$B:$B"),'Tổng Đơn'!$B25),0)</f>
        <v>0</v>
      </c>
      <c r="AL25" s="2">
        <f ca="1">IFERROR(SUMIFS(INDIRECT("'Thanh Toán ("&amp;AL$3&amp;")'!$e:$e"),INDIRECT("'Thanh Toán ("&amp;AL$3&amp;")'!$B:$B"),'Tổng Đơn'!$B25),0)</f>
        <v>0</v>
      </c>
      <c r="AM25" s="2">
        <f ca="1">IFERROR(SUMIFS(INDIRECT("'Thanh Toán ("&amp;AM$3&amp;")'!$e:$e"),INDIRECT("'Thanh Toán ("&amp;AM$3&amp;")'!$B:$B"),'Tổng Đơn'!$B25),0)</f>
        <v>0</v>
      </c>
      <c r="AN25" s="2">
        <f ca="1">IFERROR(SUMIFS(INDIRECT("'Thanh Toán ("&amp;AN$3&amp;")'!$e:$e"),INDIRECT("'Thanh Toán ("&amp;AN$3&amp;")'!$B:$B"),'Tổng Đơn'!$B25),0)</f>
        <v>0</v>
      </c>
      <c r="AO25" s="2">
        <f ca="1">IFERROR(SUMIFS(INDIRECT("'Thanh Toán ("&amp;AO$3&amp;")'!$e:$e"),INDIRECT("'Thanh Toán ("&amp;AO$3&amp;")'!$B:$B"),'Tổng Đơn'!$B25),0)</f>
        <v>0</v>
      </c>
    </row>
    <row r="26" spans="1:41" x14ac:dyDescent="0.25">
      <c r="A26" s="23">
        <v>22</v>
      </c>
      <c r="B26" s="151" t="s">
        <v>7</v>
      </c>
      <c r="C26" s="23" t="s">
        <v>81</v>
      </c>
      <c r="D26" s="44">
        <f>VLOOKUP($C26,Sheet1!$C$2:$D$98,2,0)</f>
        <v>34000</v>
      </c>
      <c r="E26" s="60">
        <v>0.5</v>
      </c>
      <c r="F26" s="58">
        <f t="shared" ca="1" si="3"/>
        <v>0</v>
      </c>
      <c r="G26" s="58">
        <v>28.185597467028995</v>
      </c>
      <c r="H26" s="58">
        <f t="shared" ca="1" si="2"/>
        <v>0</v>
      </c>
      <c r="I26" s="58"/>
      <c r="J26" s="58">
        <f t="shared" ca="1" si="4"/>
        <v>0</v>
      </c>
      <c r="K26" s="58"/>
      <c r="L26" s="2">
        <f ca="1">IFERROR(SUMIFS(INDIRECT("'Thanh Toán ("&amp;L$3&amp;")'!$e:$e"),INDIRECT("'Thanh Toán ("&amp;L$3&amp;")'!$B:$B"),'Tổng Đơn'!$B26),0)</f>
        <v>0</v>
      </c>
      <c r="M26" s="2">
        <f ca="1">IFERROR(SUMIFS(INDIRECT("'Thanh Toán ("&amp;M$3&amp;")'!$e:$e"),INDIRECT("'Thanh Toán ("&amp;M$3&amp;")'!$B:$B"),'Tổng Đơn'!$B26),0)</f>
        <v>0</v>
      </c>
      <c r="N26" s="2">
        <f ca="1">IFERROR(SUMIFS(INDIRECT("'Thanh Toán ("&amp;N$3&amp;")'!$e:$e"),INDIRECT("'Thanh Toán ("&amp;N$3&amp;")'!$B:$B"),'Tổng Đơn'!$B26),0)</f>
        <v>0</v>
      </c>
      <c r="O26" s="2">
        <f ca="1">IFERROR(SUMIFS(INDIRECT("'Thanh Toán ("&amp;O$3&amp;")'!$e:$e"),INDIRECT("'Thanh Toán ("&amp;O$3&amp;")'!$B:$B"),'Tổng Đơn'!$B26),0)</f>
        <v>0</v>
      </c>
      <c r="P26" s="2">
        <f ca="1">IFERROR(SUMIFS(INDIRECT("'Thanh Toán ("&amp;P$3&amp;")'!$e:$e"),INDIRECT("'Thanh Toán ("&amp;P$3&amp;")'!$B:$B"),'Tổng Đơn'!$B26),0)</f>
        <v>0</v>
      </c>
      <c r="Q26" s="2">
        <f ca="1">IFERROR(SUMIFS(INDIRECT("'Thanh Toán ("&amp;Q$3&amp;")'!$e:$e"),INDIRECT("'Thanh Toán ("&amp;Q$3&amp;")'!$B:$B"),'Tổng Đơn'!$B26),0)</f>
        <v>0</v>
      </c>
      <c r="R26" s="2">
        <f ca="1">IFERROR(SUMIFS(INDIRECT("'Thanh Toán ("&amp;R$3&amp;")'!$e:$e"),INDIRECT("'Thanh Toán ("&amp;R$3&amp;")'!$B:$B"),'Tổng Đơn'!$B26),0)</f>
        <v>0</v>
      </c>
      <c r="S26" s="2">
        <f ca="1">IFERROR(SUMIFS(INDIRECT("'Thanh Toán ("&amp;S$3&amp;")'!$e:$e"),INDIRECT("'Thanh Toán ("&amp;S$3&amp;")'!$B:$B"),'Tổng Đơn'!$B26),0)</f>
        <v>0</v>
      </c>
      <c r="T26" s="2">
        <f ca="1">IFERROR(SUMIFS(INDIRECT("'Thanh Toán ("&amp;T$3&amp;")'!$e:$e"),INDIRECT("'Thanh Toán ("&amp;T$3&amp;")'!$B:$B"),'Tổng Đơn'!$B26),0)</f>
        <v>0</v>
      </c>
      <c r="U26" s="2">
        <f ca="1">IFERROR(SUMIFS(INDIRECT("'Thanh Toán ("&amp;U$3&amp;")'!$e:$e"),INDIRECT("'Thanh Toán ("&amp;U$3&amp;")'!$B:$B"),'Tổng Đơn'!$B26),0)</f>
        <v>0</v>
      </c>
      <c r="V26" s="2">
        <f ca="1">IFERROR(SUMIFS(INDIRECT("'Thanh Toán ("&amp;V$3&amp;")'!$e:$e"),INDIRECT("'Thanh Toán ("&amp;V$3&amp;")'!$B:$B"),'Tổng Đơn'!$B26),0)</f>
        <v>0</v>
      </c>
      <c r="W26" s="2">
        <f ca="1">IFERROR(SUMIFS(INDIRECT("'Thanh Toán ("&amp;W$3&amp;")'!$e:$e"),INDIRECT("'Thanh Toán ("&amp;W$3&amp;")'!$B:$B"),'Tổng Đơn'!$B26),0)</f>
        <v>0</v>
      </c>
      <c r="X26" s="2">
        <f ca="1">IFERROR(SUMIFS(INDIRECT("'Thanh Toán ("&amp;X$3&amp;")'!$e:$e"),INDIRECT("'Thanh Toán ("&amp;X$3&amp;")'!$B:$B"),'Tổng Đơn'!$B26),0)</f>
        <v>0</v>
      </c>
      <c r="Y26" s="2">
        <f ca="1">IFERROR(SUMIFS(INDIRECT("'Thanh Toán ("&amp;Y$3&amp;")'!$e:$e"),INDIRECT("'Thanh Toán ("&amp;Y$3&amp;")'!$B:$B"),'Tổng Đơn'!$B26),0)</f>
        <v>0</v>
      </c>
      <c r="Z26" s="2">
        <f ca="1">IFERROR(SUMIFS(INDIRECT("'Thanh Toán ("&amp;Z$3&amp;")'!$e:$e"),INDIRECT("'Thanh Toán ("&amp;Z$3&amp;")'!$B:$B"),'Tổng Đơn'!$B26),0)</f>
        <v>0</v>
      </c>
      <c r="AA26" s="2">
        <f ca="1">IFERROR(SUMIFS(INDIRECT("'Thanh Toán ("&amp;AA$3&amp;")'!$e:$e"),INDIRECT("'Thanh Toán ("&amp;AA$3&amp;")'!$B:$B"),'Tổng Đơn'!$B26),0)</f>
        <v>0</v>
      </c>
      <c r="AB26" s="2">
        <f ca="1">IFERROR(SUMIFS(INDIRECT("'Thanh Toán ("&amp;AB$3&amp;")'!$e:$e"),INDIRECT("'Thanh Toán ("&amp;AB$3&amp;")'!$B:$B"),'Tổng Đơn'!$B26),0)</f>
        <v>0</v>
      </c>
      <c r="AC26" s="2">
        <f ca="1">IFERROR(SUMIFS(INDIRECT("'Thanh Toán ("&amp;AC$3&amp;")'!$e:$e"),INDIRECT("'Thanh Toán ("&amp;AC$3&amp;")'!$B:$B"),'Tổng Đơn'!$B26),0)</f>
        <v>0</v>
      </c>
      <c r="AD26" s="2">
        <f ca="1">IFERROR(SUMIFS(INDIRECT("'Thanh Toán ("&amp;AD$3&amp;")'!$e:$e"),INDIRECT("'Thanh Toán ("&amp;AD$3&amp;")'!$B:$B"),'Tổng Đơn'!$B26),0)</f>
        <v>0</v>
      </c>
      <c r="AE26" s="2">
        <f ca="1">IFERROR(SUMIFS(INDIRECT("'Thanh Toán ("&amp;AE$3&amp;")'!$e:$e"),INDIRECT("'Thanh Toán ("&amp;AE$3&amp;")'!$B:$B"),'Tổng Đơn'!$B26),0)</f>
        <v>0</v>
      </c>
      <c r="AF26" s="2">
        <f ca="1">IFERROR(SUMIFS(INDIRECT("'Thanh Toán ("&amp;AF$3&amp;")'!$e:$e"),INDIRECT("'Thanh Toán ("&amp;AF$3&amp;")'!$B:$B"),'Tổng Đơn'!$B26),0)</f>
        <v>0</v>
      </c>
      <c r="AG26" s="2">
        <f ca="1">IFERROR(SUMIFS(INDIRECT("'Thanh Toán ("&amp;AG$3&amp;")'!$e:$e"),INDIRECT("'Thanh Toán ("&amp;AG$3&amp;")'!$B:$B"),'Tổng Đơn'!$B26),0)</f>
        <v>0</v>
      </c>
      <c r="AH26" s="2">
        <f ca="1">IFERROR(SUMIFS(INDIRECT("'Thanh Toán ("&amp;AH$3&amp;")'!$e:$e"),INDIRECT("'Thanh Toán ("&amp;AH$3&amp;")'!$B:$B"),'Tổng Đơn'!$B26),0)</f>
        <v>0</v>
      </c>
      <c r="AI26" s="2">
        <f ca="1">IFERROR(SUMIFS(INDIRECT("'Thanh Toán ("&amp;AI$3&amp;")'!$e:$e"),INDIRECT("'Thanh Toán ("&amp;AI$3&amp;")'!$B:$B"),'Tổng Đơn'!$B26),0)</f>
        <v>0</v>
      </c>
      <c r="AJ26" s="2">
        <f ca="1">IFERROR(SUMIFS(INDIRECT("'Thanh Toán ("&amp;AJ$3&amp;")'!$e:$e"),INDIRECT("'Thanh Toán ("&amp;AJ$3&amp;")'!$B:$B"),'Tổng Đơn'!$B26),0)</f>
        <v>0</v>
      </c>
      <c r="AK26" s="2">
        <f ca="1">IFERROR(SUMIFS(INDIRECT("'Thanh Toán ("&amp;AK$3&amp;")'!$e:$e"),INDIRECT("'Thanh Toán ("&amp;AK$3&amp;")'!$B:$B"),'Tổng Đơn'!$B26),0)</f>
        <v>0</v>
      </c>
      <c r="AL26" s="2">
        <f ca="1">IFERROR(SUMIFS(INDIRECT("'Thanh Toán ("&amp;AL$3&amp;")'!$e:$e"),INDIRECT("'Thanh Toán ("&amp;AL$3&amp;")'!$B:$B"),'Tổng Đơn'!$B26),0)</f>
        <v>0</v>
      </c>
      <c r="AM26" s="2">
        <f ca="1">IFERROR(SUMIFS(INDIRECT("'Thanh Toán ("&amp;AM$3&amp;")'!$e:$e"),INDIRECT("'Thanh Toán ("&amp;AM$3&amp;")'!$B:$B"),'Tổng Đơn'!$B26),0)</f>
        <v>0</v>
      </c>
      <c r="AN26" s="2">
        <f ca="1">IFERROR(SUMIFS(INDIRECT("'Thanh Toán ("&amp;AN$3&amp;")'!$e:$e"),INDIRECT("'Thanh Toán ("&amp;AN$3&amp;")'!$B:$B"),'Tổng Đơn'!$B26),0)</f>
        <v>0</v>
      </c>
      <c r="AO26" s="2">
        <f ca="1">IFERROR(SUMIFS(INDIRECT("'Thanh Toán ("&amp;AO$3&amp;")'!$e:$e"),INDIRECT("'Thanh Toán ("&amp;AO$3&amp;")'!$B:$B"),'Tổng Đơn'!$B26),0)</f>
        <v>0</v>
      </c>
    </row>
    <row r="27" spans="1:41" x14ac:dyDescent="0.25">
      <c r="A27" s="23">
        <v>23</v>
      </c>
      <c r="B27" s="151" t="s">
        <v>8</v>
      </c>
      <c r="C27" s="23" t="s">
        <v>82</v>
      </c>
      <c r="D27" s="44">
        <f>VLOOKUP($C27,Sheet1!$C$2:$D$98,2,0)</f>
        <v>69000</v>
      </c>
      <c r="E27" s="60">
        <v>0.5</v>
      </c>
      <c r="F27" s="58">
        <f t="shared" ca="1" si="3"/>
        <v>0</v>
      </c>
      <c r="G27" s="58">
        <v>58.933521976515173</v>
      </c>
      <c r="H27" s="58">
        <f t="shared" ca="1" si="2"/>
        <v>0</v>
      </c>
      <c r="I27" s="58"/>
      <c r="J27" s="58">
        <f t="shared" ca="1" si="4"/>
        <v>0</v>
      </c>
      <c r="K27" s="58"/>
      <c r="L27" s="2">
        <f ca="1">IFERROR(SUMIFS(INDIRECT("'Thanh Toán ("&amp;L$3&amp;")'!$e:$e"),INDIRECT("'Thanh Toán ("&amp;L$3&amp;")'!$B:$B"),'Tổng Đơn'!$B27),0)</f>
        <v>0</v>
      </c>
      <c r="M27" s="2">
        <f ca="1">IFERROR(SUMIFS(INDIRECT("'Thanh Toán ("&amp;M$3&amp;")'!$e:$e"),INDIRECT("'Thanh Toán ("&amp;M$3&amp;")'!$B:$B"),'Tổng Đơn'!$B27),0)</f>
        <v>0</v>
      </c>
      <c r="N27" s="2">
        <f ca="1">IFERROR(SUMIFS(INDIRECT("'Thanh Toán ("&amp;N$3&amp;")'!$e:$e"),INDIRECT("'Thanh Toán ("&amp;N$3&amp;")'!$B:$B"),'Tổng Đơn'!$B27),0)</f>
        <v>0</v>
      </c>
      <c r="O27" s="2">
        <f ca="1">IFERROR(SUMIFS(INDIRECT("'Thanh Toán ("&amp;O$3&amp;")'!$e:$e"),INDIRECT("'Thanh Toán ("&amp;O$3&amp;")'!$B:$B"),'Tổng Đơn'!$B27),0)</f>
        <v>0</v>
      </c>
      <c r="P27" s="2">
        <f ca="1">IFERROR(SUMIFS(INDIRECT("'Thanh Toán ("&amp;P$3&amp;")'!$e:$e"),INDIRECT("'Thanh Toán ("&amp;P$3&amp;")'!$B:$B"),'Tổng Đơn'!$B27),0)</f>
        <v>0</v>
      </c>
      <c r="Q27" s="2">
        <f ca="1">IFERROR(SUMIFS(INDIRECT("'Thanh Toán ("&amp;Q$3&amp;")'!$e:$e"),INDIRECT("'Thanh Toán ("&amp;Q$3&amp;")'!$B:$B"),'Tổng Đơn'!$B27),0)</f>
        <v>0</v>
      </c>
      <c r="R27" s="2">
        <f ca="1">IFERROR(SUMIFS(INDIRECT("'Thanh Toán ("&amp;R$3&amp;")'!$e:$e"),INDIRECT("'Thanh Toán ("&amp;R$3&amp;")'!$B:$B"),'Tổng Đơn'!$B27),0)</f>
        <v>0</v>
      </c>
      <c r="S27" s="2">
        <f ca="1">IFERROR(SUMIFS(INDIRECT("'Thanh Toán ("&amp;S$3&amp;")'!$e:$e"),INDIRECT("'Thanh Toán ("&amp;S$3&amp;")'!$B:$B"),'Tổng Đơn'!$B27),0)</f>
        <v>0</v>
      </c>
      <c r="T27" s="2">
        <f ca="1">IFERROR(SUMIFS(INDIRECT("'Thanh Toán ("&amp;T$3&amp;")'!$e:$e"),INDIRECT("'Thanh Toán ("&amp;T$3&amp;")'!$B:$B"),'Tổng Đơn'!$B27),0)</f>
        <v>0</v>
      </c>
      <c r="U27" s="2">
        <f ca="1">IFERROR(SUMIFS(INDIRECT("'Thanh Toán ("&amp;U$3&amp;")'!$e:$e"),INDIRECT("'Thanh Toán ("&amp;U$3&amp;")'!$B:$B"),'Tổng Đơn'!$B27),0)</f>
        <v>0</v>
      </c>
      <c r="V27" s="2">
        <f ca="1">IFERROR(SUMIFS(INDIRECT("'Thanh Toán ("&amp;V$3&amp;")'!$e:$e"),INDIRECT("'Thanh Toán ("&amp;V$3&amp;")'!$B:$B"),'Tổng Đơn'!$B27),0)</f>
        <v>0</v>
      </c>
      <c r="W27" s="2">
        <f ca="1">IFERROR(SUMIFS(INDIRECT("'Thanh Toán ("&amp;W$3&amp;")'!$e:$e"),INDIRECT("'Thanh Toán ("&amp;W$3&amp;")'!$B:$B"),'Tổng Đơn'!$B27),0)</f>
        <v>0</v>
      </c>
      <c r="X27" s="2">
        <f ca="1">IFERROR(SUMIFS(INDIRECT("'Thanh Toán ("&amp;X$3&amp;")'!$e:$e"),INDIRECT("'Thanh Toán ("&amp;X$3&amp;")'!$B:$B"),'Tổng Đơn'!$B27),0)</f>
        <v>0</v>
      </c>
      <c r="Y27" s="2">
        <f ca="1">IFERROR(SUMIFS(INDIRECT("'Thanh Toán ("&amp;Y$3&amp;")'!$e:$e"),INDIRECT("'Thanh Toán ("&amp;Y$3&amp;")'!$B:$B"),'Tổng Đơn'!$B27),0)</f>
        <v>0</v>
      </c>
      <c r="Z27" s="2">
        <f ca="1">IFERROR(SUMIFS(INDIRECT("'Thanh Toán ("&amp;Z$3&amp;")'!$e:$e"),INDIRECT("'Thanh Toán ("&amp;Z$3&amp;")'!$B:$B"),'Tổng Đơn'!$B27),0)</f>
        <v>0</v>
      </c>
      <c r="AA27" s="2">
        <f ca="1">IFERROR(SUMIFS(INDIRECT("'Thanh Toán ("&amp;AA$3&amp;")'!$e:$e"),INDIRECT("'Thanh Toán ("&amp;AA$3&amp;")'!$B:$B"),'Tổng Đơn'!$B27),0)</f>
        <v>0</v>
      </c>
      <c r="AB27" s="2">
        <f ca="1">IFERROR(SUMIFS(INDIRECT("'Thanh Toán ("&amp;AB$3&amp;")'!$e:$e"),INDIRECT("'Thanh Toán ("&amp;AB$3&amp;")'!$B:$B"),'Tổng Đơn'!$B27),0)</f>
        <v>0</v>
      </c>
      <c r="AC27" s="2">
        <f ca="1">IFERROR(SUMIFS(INDIRECT("'Thanh Toán ("&amp;AC$3&amp;")'!$e:$e"),INDIRECT("'Thanh Toán ("&amp;AC$3&amp;")'!$B:$B"),'Tổng Đơn'!$B27),0)</f>
        <v>0</v>
      </c>
      <c r="AD27" s="2">
        <f ca="1">IFERROR(SUMIFS(INDIRECT("'Thanh Toán ("&amp;AD$3&amp;")'!$e:$e"),INDIRECT("'Thanh Toán ("&amp;AD$3&amp;")'!$B:$B"),'Tổng Đơn'!$B27),0)</f>
        <v>0</v>
      </c>
      <c r="AE27" s="2">
        <f ca="1">IFERROR(SUMIFS(INDIRECT("'Thanh Toán ("&amp;AE$3&amp;")'!$e:$e"),INDIRECT("'Thanh Toán ("&amp;AE$3&amp;")'!$B:$B"),'Tổng Đơn'!$B27),0)</f>
        <v>0</v>
      </c>
      <c r="AF27" s="2">
        <f ca="1">IFERROR(SUMIFS(INDIRECT("'Thanh Toán ("&amp;AF$3&amp;")'!$e:$e"),INDIRECT("'Thanh Toán ("&amp;AF$3&amp;")'!$B:$B"),'Tổng Đơn'!$B27),0)</f>
        <v>0</v>
      </c>
      <c r="AG27" s="2">
        <f ca="1">IFERROR(SUMIFS(INDIRECT("'Thanh Toán ("&amp;AG$3&amp;")'!$e:$e"),INDIRECT("'Thanh Toán ("&amp;AG$3&amp;")'!$B:$B"),'Tổng Đơn'!$B27),0)</f>
        <v>0</v>
      </c>
      <c r="AH27" s="2">
        <f ca="1">IFERROR(SUMIFS(INDIRECT("'Thanh Toán ("&amp;AH$3&amp;")'!$e:$e"),INDIRECT("'Thanh Toán ("&amp;AH$3&amp;")'!$B:$B"),'Tổng Đơn'!$B27),0)</f>
        <v>0</v>
      </c>
      <c r="AI27" s="2">
        <f ca="1">IFERROR(SUMIFS(INDIRECT("'Thanh Toán ("&amp;AI$3&amp;")'!$e:$e"),INDIRECT("'Thanh Toán ("&amp;AI$3&amp;")'!$B:$B"),'Tổng Đơn'!$B27),0)</f>
        <v>0</v>
      </c>
      <c r="AJ27" s="2">
        <f ca="1">IFERROR(SUMIFS(INDIRECT("'Thanh Toán ("&amp;AJ$3&amp;")'!$e:$e"),INDIRECT("'Thanh Toán ("&amp;AJ$3&amp;")'!$B:$B"),'Tổng Đơn'!$B27),0)</f>
        <v>0</v>
      </c>
      <c r="AK27" s="2">
        <f ca="1">IFERROR(SUMIFS(INDIRECT("'Thanh Toán ("&amp;AK$3&amp;")'!$e:$e"),INDIRECT("'Thanh Toán ("&amp;AK$3&amp;")'!$B:$B"),'Tổng Đơn'!$B27),0)</f>
        <v>0</v>
      </c>
      <c r="AL27" s="2">
        <f ca="1">IFERROR(SUMIFS(INDIRECT("'Thanh Toán ("&amp;AL$3&amp;")'!$e:$e"),INDIRECT("'Thanh Toán ("&amp;AL$3&amp;")'!$B:$B"),'Tổng Đơn'!$B27),0)</f>
        <v>0</v>
      </c>
      <c r="AM27" s="2">
        <f ca="1">IFERROR(SUMIFS(INDIRECT("'Thanh Toán ("&amp;AM$3&amp;")'!$e:$e"),INDIRECT("'Thanh Toán ("&amp;AM$3&amp;")'!$B:$B"),'Tổng Đơn'!$B27),0)</f>
        <v>0</v>
      </c>
      <c r="AN27" s="2">
        <f ca="1">IFERROR(SUMIFS(INDIRECT("'Thanh Toán ("&amp;AN$3&amp;")'!$e:$e"),INDIRECT("'Thanh Toán ("&amp;AN$3&amp;")'!$B:$B"),'Tổng Đơn'!$B27),0)</f>
        <v>0</v>
      </c>
      <c r="AO27" s="2">
        <f ca="1">IFERROR(SUMIFS(INDIRECT("'Thanh Toán ("&amp;AO$3&amp;")'!$e:$e"),INDIRECT("'Thanh Toán ("&amp;AO$3&amp;")'!$B:$B"),'Tổng Đơn'!$B27),0)</f>
        <v>0</v>
      </c>
    </row>
    <row r="28" spans="1:41" x14ac:dyDescent="0.25">
      <c r="A28" s="23">
        <v>24</v>
      </c>
      <c r="B28" s="151" t="s">
        <v>27</v>
      </c>
      <c r="C28" s="23" t="s">
        <v>83</v>
      </c>
      <c r="D28" s="44">
        <f>VLOOKUP($C28,Sheet1!$C$2:$D$98,2,0)</f>
        <v>38000</v>
      </c>
      <c r="E28" s="60">
        <v>0.5</v>
      </c>
      <c r="F28" s="58">
        <f t="shared" ca="1" si="3"/>
        <v>0</v>
      </c>
      <c r="G28" s="58">
        <v>33.530744526779337</v>
      </c>
      <c r="H28" s="58">
        <f t="shared" ca="1" si="2"/>
        <v>0</v>
      </c>
      <c r="I28" s="58"/>
      <c r="J28" s="58">
        <f t="shared" ca="1" si="4"/>
        <v>0</v>
      </c>
      <c r="K28" s="58"/>
      <c r="L28" s="2">
        <f ca="1">IFERROR(SUMIFS(INDIRECT("'Thanh Toán ("&amp;L$3&amp;")'!$e:$e"),INDIRECT("'Thanh Toán ("&amp;L$3&amp;")'!$B:$B"),'Tổng Đơn'!$B28),0)</f>
        <v>0</v>
      </c>
      <c r="M28" s="2">
        <f ca="1">IFERROR(SUMIFS(INDIRECT("'Thanh Toán ("&amp;M$3&amp;")'!$e:$e"),INDIRECT("'Thanh Toán ("&amp;M$3&amp;")'!$B:$B"),'Tổng Đơn'!$B28),0)</f>
        <v>0</v>
      </c>
      <c r="N28" s="2">
        <f ca="1">IFERROR(SUMIFS(INDIRECT("'Thanh Toán ("&amp;N$3&amp;")'!$e:$e"),INDIRECT("'Thanh Toán ("&amp;N$3&amp;")'!$B:$B"),'Tổng Đơn'!$B28),0)</f>
        <v>0</v>
      </c>
      <c r="O28" s="2">
        <f ca="1">IFERROR(SUMIFS(INDIRECT("'Thanh Toán ("&amp;O$3&amp;")'!$e:$e"),INDIRECT("'Thanh Toán ("&amp;O$3&amp;")'!$B:$B"),'Tổng Đơn'!$B28),0)</f>
        <v>0</v>
      </c>
      <c r="P28" s="2">
        <f ca="1">IFERROR(SUMIFS(INDIRECT("'Thanh Toán ("&amp;P$3&amp;")'!$e:$e"),INDIRECT("'Thanh Toán ("&amp;P$3&amp;")'!$B:$B"),'Tổng Đơn'!$B28),0)</f>
        <v>0</v>
      </c>
      <c r="Q28" s="2">
        <f ca="1">IFERROR(SUMIFS(INDIRECT("'Thanh Toán ("&amp;Q$3&amp;")'!$e:$e"),INDIRECT("'Thanh Toán ("&amp;Q$3&amp;")'!$B:$B"),'Tổng Đơn'!$B28),0)</f>
        <v>0</v>
      </c>
      <c r="R28" s="2">
        <f ca="1">IFERROR(SUMIFS(INDIRECT("'Thanh Toán ("&amp;R$3&amp;")'!$e:$e"),INDIRECT("'Thanh Toán ("&amp;R$3&amp;")'!$B:$B"),'Tổng Đơn'!$B28),0)</f>
        <v>0</v>
      </c>
      <c r="S28" s="2">
        <f ca="1">IFERROR(SUMIFS(INDIRECT("'Thanh Toán ("&amp;S$3&amp;")'!$e:$e"),INDIRECT("'Thanh Toán ("&amp;S$3&amp;")'!$B:$B"),'Tổng Đơn'!$B28),0)</f>
        <v>0</v>
      </c>
      <c r="T28" s="2">
        <f ca="1">IFERROR(SUMIFS(INDIRECT("'Thanh Toán ("&amp;T$3&amp;")'!$e:$e"),INDIRECT("'Thanh Toán ("&amp;T$3&amp;")'!$B:$B"),'Tổng Đơn'!$B28),0)</f>
        <v>0</v>
      </c>
      <c r="U28" s="2">
        <f ca="1">IFERROR(SUMIFS(INDIRECT("'Thanh Toán ("&amp;U$3&amp;")'!$e:$e"),INDIRECT("'Thanh Toán ("&amp;U$3&amp;")'!$B:$B"),'Tổng Đơn'!$B28),0)</f>
        <v>0</v>
      </c>
      <c r="V28" s="2">
        <f ca="1">IFERROR(SUMIFS(INDIRECT("'Thanh Toán ("&amp;V$3&amp;")'!$e:$e"),INDIRECT("'Thanh Toán ("&amp;V$3&amp;")'!$B:$B"),'Tổng Đơn'!$B28),0)</f>
        <v>0</v>
      </c>
      <c r="W28" s="2">
        <f ca="1">IFERROR(SUMIFS(INDIRECT("'Thanh Toán ("&amp;W$3&amp;")'!$e:$e"),INDIRECT("'Thanh Toán ("&amp;W$3&amp;")'!$B:$B"),'Tổng Đơn'!$B28),0)</f>
        <v>0</v>
      </c>
      <c r="X28" s="2">
        <f ca="1">IFERROR(SUMIFS(INDIRECT("'Thanh Toán ("&amp;X$3&amp;")'!$e:$e"),INDIRECT("'Thanh Toán ("&amp;X$3&amp;")'!$B:$B"),'Tổng Đơn'!$B28),0)</f>
        <v>0</v>
      </c>
      <c r="Y28" s="2">
        <f ca="1">IFERROR(SUMIFS(INDIRECT("'Thanh Toán ("&amp;Y$3&amp;")'!$e:$e"),INDIRECT("'Thanh Toán ("&amp;Y$3&amp;")'!$B:$B"),'Tổng Đơn'!$B28),0)</f>
        <v>0</v>
      </c>
      <c r="Z28" s="2">
        <f ca="1">IFERROR(SUMIFS(INDIRECT("'Thanh Toán ("&amp;Z$3&amp;")'!$e:$e"),INDIRECT("'Thanh Toán ("&amp;Z$3&amp;")'!$B:$B"),'Tổng Đơn'!$B28),0)</f>
        <v>0</v>
      </c>
      <c r="AA28" s="2">
        <f ca="1">IFERROR(SUMIFS(INDIRECT("'Thanh Toán ("&amp;AA$3&amp;")'!$e:$e"),INDIRECT("'Thanh Toán ("&amp;AA$3&amp;")'!$B:$B"),'Tổng Đơn'!$B28),0)</f>
        <v>0</v>
      </c>
      <c r="AB28" s="2">
        <f ca="1">IFERROR(SUMIFS(INDIRECT("'Thanh Toán ("&amp;AB$3&amp;")'!$e:$e"),INDIRECT("'Thanh Toán ("&amp;AB$3&amp;")'!$B:$B"),'Tổng Đơn'!$B28),0)</f>
        <v>0</v>
      </c>
      <c r="AC28" s="2">
        <f ca="1">IFERROR(SUMIFS(INDIRECT("'Thanh Toán ("&amp;AC$3&amp;")'!$e:$e"),INDIRECT("'Thanh Toán ("&amp;AC$3&amp;")'!$B:$B"),'Tổng Đơn'!$B28),0)</f>
        <v>0</v>
      </c>
      <c r="AD28" s="2">
        <f ca="1">IFERROR(SUMIFS(INDIRECT("'Thanh Toán ("&amp;AD$3&amp;")'!$e:$e"),INDIRECT("'Thanh Toán ("&amp;AD$3&amp;")'!$B:$B"),'Tổng Đơn'!$B28),0)</f>
        <v>0</v>
      </c>
      <c r="AE28" s="2">
        <f ca="1">IFERROR(SUMIFS(INDIRECT("'Thanh Toán ("&amp;AE$3&amp;")'!$e:$e"),INDIRECT("'Thanh Toán ("&amp;AE$3&amp;")'!$B:$B"),'Tổng Đơn'!$B28),0)</f>
        <v>0</v>
      </c>
      <c r="AF28" s="2">
        <f ca="1">IFERROR(SUMIFS(INDIRECT("'Thanh Toán ("&amp;AF$3&amp;")'!$e:$e"),INDIRECT("'Thanh Toán ("&amp;AF$3&amp;")'!$B:$B"),'Tổng Đơn'!$B28),0)</f>
        <v>0</v>
      </c>
      <c r="AG28" s="2">
        <f ca="1">IFERROR(SUMIFS(INDIRECT("'Thanh Toán ("&amp;AG$3&amp;")'!$e:$e"),INDIRECT("'Thanh Toán ("&amp;AG$3&amp;")'!$B:$B"),'Tổng Đơn'!$B28),0)</f>
        <v>0</v>
      </c>
      <c r="AH28" s="2">
        <f ca="1">IFERROR(SUMIFS(INDIRECT("'Thanh Toán ("&amp;AH$3&amp;")'!$e:$e"),INDIRECT("'Thanh Toán ("&amp;AH$3&amp;")'!$B:$B"),'Tổng Đơn'!$B28),0)</f>
        <v>0</v>
      </c>
      <c r="AI28" s="2">
        <f ca="1">IFERROR(SUMIFS(INDIRECT("'Thanh Toán ("&amp;AI$3&amp;")'!$e:$e"),INDIRECT("'Thanh Toán ("&amp;AI$3&amp;")'!$B:$B"),'Tổng Đơn'!$B28),0)</f>
        <v>0</v>
      </c>
      <c r="AJ28" s="2">
        <f ca="1">IFERROR(SUMIFS(INDIRECT("'Thanh Toán ("&amp;AJ$3&amp;")'!$e:$e"),INDIRECT("'Thanh Toán ("&amp;AJ$3&amp;")'!$B:$B"),'Tổng Đơn'!$B28),0)</f>
        <v>0</v>
      </c>
      <c r="AK28" s="2">
        <f ca="1">IFERROR(SUMIFS(INDIRECT("'Thanh Toán ("&amp;AK$3&amp;")'!$e:$e"),INDIRECT("'Thanh Toán ("&amp;AK$3&amp;")'!$B:$B"),'Tổng Đơn'!$B28),0)</f>
        <v>0</v>
      </c>
      <c r="AL28" s="2">
        <f ca="1">IFERROR(SUMIFS(INDIRECT("'Thanh Toán ("&amp;AL$3&amp;")'!$e:$e"),INDIRECT("'Thanh Toán ("&amp;AL$3&amp;")'!$B:$B"),'Tổng Đơn'!$B28),0)</f>
        <v>0</v>
      </c>
      <c r="AM28" s="2">
        <f ca="1">IFERROR(SUMIFS(INDIRECT("'Thanh Toán ("&amp;AM$3&amp;")'!$e:$e"),INDIRECT("'Thanh Toán ("&amp;AM$3&amp;")'!$B:$B"),'Tổng Đơn'!$B28),0)</f>
        <v>0</v>
      </c>
      <c r="AN28" s="2">
        <f ca="1">IFERROR(SUMIFS(INDIRECT("'Thanh Toán ("&amp;AN$3&amp;")'!$e:$e"),INDIRECT("'Thanh Toán ("&amp;AN$3&amp;")'!$B:$B"),'Tổng Đơn'!$B28),0)</f>
        <v>0</v>
      </c>
      <c r="AO28" s="2">
        <f ca="1">IFERROR(SUMIFS(INDIRECT("'Thanh Toán ("&amp;AO$3&amp;")'!$e:$e"),INDIRECT("'Thanh Toán ("&amp;AO$3&amp;")'!$B:$B"),'Tổng Đơn'!$B28),0)</f>
        <v>0</v>
      </c>
    </row>
    <row r="29" spans="1:41" ht="15.75" customHeight="1" x14ac:dyDescent="0.25">
      <c r="A29" s="23">
        <v>25</v>
      </c>
      <c r="B29" s="151" t="s">
        <v>68</v>
      </c>
      <c r="C29" s="23" t="s">
        <v>84</v>
      </c>
      <c r="D29" s="44">
        <f>VLOOKUP($C29,Sheet1!$C$2:$D$98,2,0)</f>
        <v>35000</v>
      </c>
      <c r="E29" s="60">
        <v>0.5</v>
      </c>
      <c r="F29" s="58">
        <f t="shared" ca="1" si="3"/>
        <v>0</v>
      </c>
      <c r="G29" s="58">
        <v>27.673132058537558</v>
      </c>
      <c r="H29" s="58">
        <f t="shared" ca="1" si="2"/>
        <v>0</v>
      </c>
      <c r="I29" s="58"/>
      <c r="J29" s="58">
        <f t="shared" ca="1" si="4"/>
        <v>0</v>
      </c>
      <c r="K29" s="58"/>
      <c r="L29" s="2">
        <f ca="1">IFERROR(SUMIFS(INDIRECT("'Thanh Toán ("&amp;L$3&amp;")'!$e:$e"),INDIRECT("'Thanh Toán ("&amp;L$3&amp;")'!$B:$B"),'Tổng Đơn'!$B29),0)</f>
        <v>0</v>
      </c>
      <c r="M29" s="2">
        <f ca="1">IFERROR(SUMIFS(INDIRECT("'Thanh Toán ("&amp;M$3&amp;")'!$e:$e"),INDIRECT("'Thanh Toán ("&amp;M$3&amp;")'!$B:$B"),'Tổng Đơn'!$B29),0)</f>
        <v>0</v>
      </c>
      <c r="N29" s="2">
        <f ca="1">IFERROR(SUMIFS(INDIRECT("'Thanh Toán ("&amp;N$3&amp;")'!$e:$e"),INDIRECT("'Thanh Toán ("&amp;N$3&amp;")'!$B:$B"),'Tổng Đơn'!$B29),0)</f>
        <v>0</v>
      </c>
      <c r="O29" s="2">
        <f ca="1">IFERROR(SUMIFS(INDIRECT("'Thanh Toán ("&amp;O$3&amp;")'!$e:$e"),INDIRECT("'Thanh Toán ("&amp;O$3&amp;")'!$B:$B"),'Tổng Đơn'!$B29),0)</f>
        <v>0</v>
      </c>
      <c r="P29" s="2">
        <f ca="1">IFERROR(SUMIFS(INDIRECT("'Thanh Toán ("&amp;P$3&amp;")'!$e:$e"),INDIRECT("'Thanh Toán ("&amp;P$3&amp;")'!$B:$B"),'Tổng Đơn'!$B29),0)</f>
        <v>0</v>
      </c>
      <c r="Q29" s="2">
        <f ca="1">IFERROR(SUMIFS(INDIRECT("'Thanh Toán ("&amp;Q$3&amp;")'!$e:$e"),INDIRECT("'Thanh Toán ("&amp;Q$3&amp;")'!$B:$B"),'Tổng Đơn'!$B29),0)</f>
        <v>0</v>
      </c>
      <c r="R29" s="2">
        <f ca="1">IFERROR(SUMIFS(INDIRECT("'Thanh Toán ("&amp;R$3&amp;")'!$e:$e"),INDIRECT("'Thanh Toán ("&amp;R$3&amp;")'!$B:$B"),'Tổng Đơn'!$B29),0)</f>
        <v>0</v>
      </c>
      <c r="S29" s="2">
        <f ca="1">IFERROR(SUMIFS(INDIRECT("'Thanh Toán ("&amp;S$3&amp;")'!$e:$e"),INDIRECT("'Thanh Toán ("&amp;S$3&amp;")'!$B:$B"),'Tổng Đơn'!$B29),0)</f>
        <v>0</v>
      </c>
      <c r="T29" s="2">
        <f ca="1">IFERROR(SUMIFS(INDIRECT("'Thanh Toán ("&amp;T$3&amp;")'!$e:$e"),INDIRECT("'Thanh Toán ("&amp;T$3&amp;")'!$B:$B"),'Tổng Đơn'!$B29),0)</f>
        <v>0</v>
      </c>
      <c r="U29" s="2">
        <f ca="1">IFERROR(SUMIFS(INDIRECT("'Thanh Toán ("&amp;U$3&amp;")'!$e:$e"),INDIRECT("'Thanh Toán ("&amp;U$3&amp;")'!$B:$B"),'Tổng Đơn'!$B29),0)</f>
        <v>0</v>
      </c>
      <c r="V29" s="2">
        <f ca="1">IFERROR(SUMIFS(INDIRECT("'Thanh Toán ("&amp;V$3&amp;")'!$e:$e"),INDIRECT("'Thanh Toán ("&amp;V$3&amp;")'!$B:$B"),'Tổng Đơn'!$B29),0)</f>
        <v>0</v>
      </c>
      <c r="W29" s="2">
        <f ca="1">IFERROR(SUMIFS(INDIRECT("'Thanh Toán ("&amp;W$3&amp;")'!$e:$e"),INDIRECT("'Thanh Toán ("&amp;W$3&amp;")'!$B:$B"),'Tổng Đơn'!$B29),0)</f>
        <v>0</v>
      </c>
      <c r="X29" s="2">
        <f ca="1">IFERROR(SUMIFS(INDIRECT("'Thanh Toán ("&amp;X$3&amp;")'!$e:$e"),INDIRECT("'Thanh Toán ("&amp;X$3&amp;")'!$B:$B"),'Tổng Đơn'!$B29),0)</f>
        <v>0</v>
      </c>
      <c r="Y29" s="2">
        <f ca="1">IFERROR(SUMIFS(INDIRECT("'Thanh Toán ("&amp;Y$3&amp;")'!$e:$e"),INDIRECT("'Thanh Toán ("&amp;Y$3&amp;")'!$B:$B"),'Tổng Đơn'!$B29),0)</f>
        <v>0</v>
      </c>
      <c r="Z29" s="2">
        <f ca="1">IFERROR(SUMIFS(INDIRECT("'Thanh Toán ("&amp;Z$3&amp;")'!$e:$e"),INDIRECT("'Thanh Toán ("&amp;Z$3&amp;")'!$B:$B"),'Tổng Đơn'!$B29),0)</f>
        <v>0</v>
      </c>
      <c r="AA29" s="2">
        <f ca="1">IFERROR(SUMIFS(INDIRECT("'Thanh Toán ("&amp;AA$3&amp;")'!$e:$e"),INDIRECT("'Thanh Toán ("&amp;AA$3&amp;")'!$B:$B"),'Tổng Đơn'!$B29),0)</f>
        <v>0</v>
      </c>
      <c r="AB29" s="2">
        <f ca="1">IFERROR(SUMIFS(INDIRECT("'Thanh Toán ("&amp;AB$3&amp;")'!$e:$e"),INDIRECT("'Thanh Toán ("&amp;AB$3&amp;")'!$B:$B"),'Tổng Đơn'!$B29),0)</f>
        <v>0</v>
      </c>
      <c r="AC29" s="2">
        <f ca="1">IFERROR(SUMIFS(INDIRECT("'Thanh Toán ("&amp;AC$3&amp;")'!$e:$e"),INDIRECT("'Thanh Toán ("&amp;AC$3&amp;")'!$B:$B"),'Tổng Đơn'!$B29),0)</f>
        <v>0</v>
      </c>
      <c r="AD29" s="2">
        <f ca="1">IFERROR(SUMIFS(INDIRECT("'Thanh Toán ("&amp;AD$3&amp;")'!$e:$e"),INDIRECT("'Thanh Toán ("&amp;AD$3&amp;")'!$B:$B"),'Tổng Đơn'!$B29),0)</f>
        <v>0</v>
      </c>
      <c r="AE29" s="2">
        <f ca="1">IFERROR(SUMIFS(INDIRECT("'Thanh Toán ("&amp;AE$3&amp;")'!$e:$e"),INDIRECT("'Thanh Toán ("&amp;AE$3&amp;")'!$B:$B"),'Tổng Đơn'!$B29),0)</f>
        <v>0</v>
      </c>
      <c r="AF29" s="2">
        <f ca="1">IFERROR(SUMIFS(INDIRECT("'Thanh Toán ("&amp;AF$3&amp;")'!$e:$e"),INDIRECT("'Thanh Toán ("&amp;AF$3&amp;")'!$B:$B"),'Tổng Đơn'!$B29),0)</f>
        <v>0</v>
      </c>
      <c r="AG29" s="2">
        <f ca="1">IFERROR(SUMIFS(INDIRECT("'Thanh Toán ("&amp;AG$3&amp;")'!$e:$e"),INDIRECT("'Thanh Toán ("&amp;AG$3&amp;")'!$B:$B"),'Tổng Đơn'!$B29),0)</f>
        <v>0</v>
      </c>
      <c r="AH29" s="2">
        <f ca="1">IFERROR(SUMIFS(INDIRECT("'Thanh Toán ("&amp;AH$3&amp;")'!$e:$e"),INDIRECT("'Thanh Toán ("&amp;AH$3&amp;")'!$B:$B"),'Tổng Đơn'!$B29),0)</f>
        <v>0</v>
      </c>
      <c r="AI29" s="2">
        <f ca="1">IFERROR(SUMIFS(INDIRECT("'Thanh Toán ("&amp;AI$3&amp;")'!$e:$e"),INDIRECT("'Thanh Toán ("&amp;AI$3&amp;")'!$B:$B"),'Tổng Đơn'!$B29),0)</f>
        <v>0</v>
      </c>
      <c r="AJ29" s="2">
        <f ca="1">IFERROR(SUMIFS(INDIRECT("'Thanh Toán ("&amp;AJ$3&amp;")'!$e:$e"),INDIRECT("'Thanh Toán ("&amp;AJ$3&amp;")'!$B:$B"),'Tổng Đơn'!$B29),0)</f>
        <v>0</v>
      </c>
      <c r="AK29" s="2">
        <f ca="1">IFERROR(SUMIFS(INDIRECT("'Thanh Toán ("&amp;AK$3&amp;")'!$e:$e"),INDIRECT("'Thanh Toán ("&amp;AK$3&amp;")'!$B:$B"),'Tổng Đơn'!$B29),0)</f>
        <v>0</v>
      </c>
      <c r="AL29" s="2">
        <f ca="1">IFERROR(SUMIFS(INDIRECT("'Thanh Toán ("&amp;AL$3&amp;")'!$e:$e"),INDIRECT("'Thanh Toán ("&amp;AL$3&amp;")'!$B:$B"),'Tổng Đơn'!$B29),0)</f>
        <v>0</v>
      </c>
      <c r="AM29" s="2">
        <f ca="1">IFERROR(SUMIFS(INDIRECT("'Thanh Toán ("&amp;AM$3&amp;")'!$e:$e"),INDIRECT("'Thanh Toán ("&amp;AM$3&amp;")'!$B:$B"),'Tổng Đơn'!$B29),0)</f>
        <v>0</v>
      </c>
      <c r="AN29" s="2">
        <f ca="1">IFERROR(SUMIFS(INDIRECT("'Thanh Toán ("&amp;AN$3&amp;")'!$e:$e"),INDIRECT("'Thanh Toán ("&amp;AN$3&amp;")'!$B:$B"),'Tổng Đơn'!$B29),0)</f>
        <v>0</v>
      </c>
      <c r="AO29" s="2">
        <f ca="1">IFERROR(SUMIFS(INDIRECT("'Thanh Toán ("&amp;AO$3&amp;")'!$e:$e"),INDIRECT("'Thanh Toán ("&amp;AO$3&amp;")'!$B:$B"),'Tổng Đơn'!$B29),0)</f>
        <v>0</v>
      </c>
    </row>
    <row r="30" spans="1:41" x14ac:dyDescent="0.25">
      <c r="A30" s="23">
        <v>26</v>
      </c>
      <c r="B30" s="151" t="s">
        <v>29</v>
      </c>
      <c r="C30" s="23" t="s">
        <v>85</v>
      </c>
      <c r="D30" s="44">
        <f>VLOOKUP($C30,Sheet1!$C$2:$D$98,2,0)</f>
        <v>45000</v>
      </c>
      <c r="E30" s="60">
        <v>0.5</v>
      </c>
      <c r="F30" s="58">
        <f t="shared" ca="1" si="3"/>
        <v>1</v>
      </c>
      <c r="G30" s="58">
        <v>40.922342671889353</v>
      </c>
      <c r="H30" s="58">
        <f t="shared" ca="1" si="2"/>
        <v>4077.6573281106466</v>
      </c>
      <c r="I30" s="58"/>
      <c r="J30" s="58">
        <f t="shared" ca="1" si="4"/>
        <v>40922.342671889353</v>
      </c>
      <c r="K30" s="58"/>
      <c r="L30" s="2">
        <f ca="1">IFERROR(SUMIFS(INDIRECT("'Thanh Toán ("&amp;L$3&amp;")'!$e:$e"),INDIRECT("'Thanh Toán ("&amp;L$3&amp;")'!$B:$B"),'Tổng Đơn'!$B30),0)</f>
        <v>0</v>
      </c>
      <c r="M30" s="2">
        <f ca="1">IFERROR(SUMIFS(INDIRECT("'Thanh Toán ("&amp;M$3&amp;")'!$e:$e"),INDIRECT("'Thanh Toán ("&amp;M$3&amp;")'!$B:$B"),'Tổng Đơn'!$B30),0)</f>
        <v>0</v>
      </c>
      <c r="N30" s="2">
        <f ca="1">IFERROR(SUMIFS(INDIRECT("'Thanh Toán ("&amp;N$3&amp;")'!$e:$e"),INDIRECT("'Thanh Toán ("&amp;N$3&amp;")'!$B:$B"),'Tổng Đơn'!$B30),0)</f>
        <v>0</v>
      </c>
      <c r="O30" s="2">
        <f ca="1">IFERROR(SUMIFS(INDIRECT("'Thanh Toán ("&amp;O$3&amp;")'!$e:$e"),INDIRECT("'Thanh Toán ("&amp;O$3&amp;")'!$B:$B"),'Tổng Đơn'!$B30),0)</f>
        <v>0</v>
      </c>
      <c r="P30" s="2">
        <f ca="1">IFERROR(SUMIFS(INDIRECT("'Thanh Toán ("&amp;P$3&amp;")'!$e:$e"),INDIRECT("'Thanh Toán ("&amp;P$3&amp;")'!$B:$B"),'Tổng Đơn'!$B30),0)</f>
        <v>0</v>
      </c>
      <c r="Q30" s="2">
        <f ca="1">IFERROR(SUMIFS(INDIRECT("'Thanh Toán ("&amp;Q$3&amp;")'!$e:$e"),INDIRECT("'Thanh Toán ("&amp;Q$3&amp;")'!$B:$B"),'Tổng Đơn'!$B30),0)</f>
        <v>0</v>
      </c>
      <c r="R30" s="2">
        <f ca="1">IFERROR(SUMIFS(INDIRECT("'Thanh Toán ("&amp;R$3&amp;")'!$e:$e"),INDIRECT("'Thanh Toán ("&amp;R$3&amp;")'!$B:$B"),'Tổng Đơn'!$B30),0)</f>
        <v>0</v>
      </c>
      <c r="S30" s="2">
        <f ca="1">IFERROR(SUMIFS(INDIRECT("'Thanh Toán ("&amp;S$3&amp;")'!$e:$e"),INDIRECT("'Thanh Toán ("&amp;S$3&amp;")'!$B:$B"),'Tổng Đơn'!$B30),0)</f>
        <v>0</v>
      </c>
      <c r="T30" s="2">
        <f ca="1">IFERROR(SUMIFS(INDIRECT("'Thanh Toán ("&amp;T$3&amp;")'!$e:$e"),INDIRECT("'Thanh Toán ("&amp;T$3&amp;")'!$B:$B"),'Tổng Đơn'!$B30),0)</f>
        <v>0</v>
      </c>
      <c r="U30" s="2">
        <f ca="1">IFERROR(SUMIFS(INDIRECT("'Thanh Toán ("&amp;U$3&amp;")'!$e:$e"),INDIRECT("'Thanh Toán ("&amp;U$3&amp;")'!$B:$B"),'Tổng Đơn'!$B30),0)</f>
        <v>1</v>
      </c>
      <c r="V30" s="2">
        <f ca="1">IFERROR(SUMIFS(INDIRECT("'Thanh Toán ("&amp;V$3&amp;")'!$e:$e"),INDIRECT("'Thanh Toán ("&amp;V$3&amp;")'!$B:$B"),'Tổng Đơn'!$B30),0)</f>
        <v>0</v>
      </c>
      <c r="W30" s="2">
        <f ca="1">IFERROR(SUMIFS(INDIRECT("'Thanh Toán ("&amp;W$3&amp;")'!$e:$e"),INDIRECT("'Thanh Toán ("&amp;W$3&amp;")'!$B:$B"),'Tổng Đơn'!$B30),0)</f>
        <v>0</v>
      </c>
      <c r="X30" s="2">
        <f ca="1">IFERROR(SUMIFS(INDIRECT("'Thanh Toán ("&amp;X$3&amp;")'!$e:$e"),INDIRECT("'Thanh Toán ("&amp;X$3&amp;")'!$B:$B"),'Tổng Đơn'!$B30),0)</f>
        <v>0</v>
      </c>
      <c r="Y30" s="2">
        <f ca="1">IFERROR(SUMIFS(INDIRECT("'Thanh Toán ("&amp;Y$3&amp;")'!$e:$e"),INDIRECT("'Thanh Toán ("&amp;Y$3&amp;")'!$B:$B"),'Tổng Đơn'!$B30),0)</f>
        <v>0</v>
      </c>
      <c r="Z30" s="2">
        <f ca="1">IFERROR(SUMIFS(INDIRECT("'Thanh Toán ("&amp;Z$3&amp;")'!$e:$e"),INDIRECT("'Thanh Toán ("&amp;Z$3&amp;")'!$B:$B"),'Tổng Đơn'!$B30),0)</f>
        <v>0</v>
      </c>
      <c r="AA30" s="2">
        <f ca="1">IFERROR(SUMIFS(INDIRECT("'Thanh Toán ("&amp;AA$3&amp;")'!$e:$e"),INDIRECT("'Thanh Toán ("&amp;AA$3&amp;")'!$B:$B"),'Tổng Đơn'!$B30),0)</f>
        <v>0</v>
      </c>
      <c r="AB30" s="2">
        <f ca="1">IFERROR(SUMIFS(INDIRECT("'Thanh Toán ("&amp;AB$3&amp;")'!$e:$e"),INDIRECT("'Thanh Toán ("&amp;AB$3&amp;")'!$B:$B"),'Tổng Đơn'!$B30),0)</f>
        <v>0</v>
      </c>
      <c r="AC30" s="2">
        <f ca="1">IFERROR(SUMIFS(INDIRECT("'Thanh Toán ("&amp;AC$3&amp;")'!$e:$e"),INDIRECT("'Thanh Toán ("&amp;AC$3&amp;")'!$B:$B"),'Tổng Đơn'!$B30),0)</f>
        <v>0</v>
      </c>
      <c r="AD30" s="2">
        <f ca="1">IFERROR(SUMIFS(INDIRECT("'Thanh Toán ("&amp;AD$3&amp;")'!$e:$e"),INDIRECT("'Thanh Toán ("&amp;AD$3&amp;")'!$B:$B"),'Tổng Đơn'!$B30),0)</f>
        <v>0</v>
      </c>
      <c r="AE30" s="2">
        <f ca="1">IFERROR(SUMIFS(INDIRECT("'Thanh Toán ("&amp;AE$3&amp;")'!$e:$e"),INDIRECT("'Thanh Toán ("&amp;AE$3&amp;")'!$B:$B"),'Tổng Đơn'!$B30),0)</f>
        <v>0</v>
      </c>
      <c r="AF30" s="2">
        <f ca="1">IFERROR(SUMIFS(INDIRECT("'Thanh Toán ("&amp;AF$3&amp;")'!$e:$e"),INDIRECT("'Thanh Toán ("&amp;AF$3&amp;")'!$B:$B"),'Tổng Đơn'!$B30),0)</f>
        <v>0</v>
      </c>
      <c r="AG30" s="2">
        <f ca="1">IFERROR(SUMIFS(INDIRECT("'Thanh Toán ("&amp;AG$3&amp;")'!$e:$e"),INDIRECT("'Thanh Toán ("&amp;AG$3&amp;")'!$B:$B"),'Tổng Đơn'!$B30),0)</f>
        <v>0</v>
      </c>
      <c r="AH30" s="2">
        <f ca="1">IFERROR(SUMIFS(INDIRECT("'Thanh Toán ("&amp;AH$3&amp;")'!$e:$e"),INDIRECT("'Thanh Toán ("&amp;AH$3&amp;")'!$B:$B"),'Tổng Đơn'!$B30),0)</f>
        <v>0</v>
      </c>
      <c r="AI30" s="2">
        <f ca="1">IFERROR(SUMIFS(INDIRECT("'Thanh Toán ("&amp;AI$3&amp;")'!$e:$e"),INDIRECT("'Thanh Toán ("&amp;AI$3&amp;")'!$B:$B"),'Tổng Đơn'!$B30),0)</f>
        <v>0</v>
      </c>
      <c r="AJ30" s="2">
        <f ca="1">IFERROR(SUMIFS(INDIRECT("'Thanh Toán ("&amp;AJ$3&amp;")'!$e:$e"),INDIRECT("'Thanh Toán ("&amp;AJ$3&amp;")'!$B:$B"),'Tổng Đơn'!$B30),0)</f>
        <v>0</v>
      </c>
      <c r="AK30" s="2">
        <f ca="1">IFERROR(SUMIFS(INDIRECT("'Thanh Toán ("&amp;AK$3&amp;")'!$e:$e"),INDIRECT("'Thanh Toán ("&amp;AK$3&amp;")'!$B:$B"),'Tổng Đơn'!$B30),0)</f>
        <v>0</v>
      </c>
      <c r="AL30" s="2">
        <f ca="1">IFERROR(SUMIFS(INDIRECT("'Thanh Toán ("&amp;AL$3&amp;")'!$e:$e"),INDIRECT("'Thanh Toán ("&amp;AL$3&amp;")'!$B:$B"),'Tổng Đơn'!$B30),0)</f>
        <v>0</v>
      </c>
      <c r="AM30" s="2">
        <f ca="1">IFERROR(SUMIFS(INDIRECT("'Thanh Toán ("&amp;AM$3&amp;")'!$e:$e"),INDIRECT("'Thanh Toán ("&amp;AM$3&amp;")'!$B:$B"),'Tổng Đơn'!$B30),0)</f>
        <v>0</v>
      </c>
      <c r="AN30" s="2">
        <f ca="1">IFERROR(SUMIFS(INDIRECT("'Thanh Toán ("&amp;AN$3&amp;")'!$e:$e"),INDIRECT("'Thanh Toán ("&amp;AN$3&amp;")'!$B:$B"),'Tổng Đơn'!$B30),0)</f>
        <v>0</v>
      </c>
      <c r="AO30" s="2">
        <f ca="1">IFERROR(SUMIFS(INDIRECT("'Thanh Toán ("&amp;AO$3&amp;")'!$e:$e"),INDIRECT("'Thanh Toán ("&amp;AO$3&amp;")'!$B:$B"),'Tổng Đơn'!$B30),0)</f>
        <v>0</v>
      </c>
    </row>
    <row r="31" spans="1:41" ht="15.75" customHeight="1" x14ac:dyDescent="0.25">
      <c r="A31" s="23">
        <v>27</v>
      </c>
      <c r="B31" s="151" t="s">
        <v>15</v>
      </c>
      <c r="C31" s="23" t="s">
        <v>86</v>
      </c>
      <c r="D31" s="44">
        <f>VLOOKUP($C31,Sheet1!$C$2:$D$98,2,0)</f>
        <v>35000</v>
      </c>
      <c r="E31" s="60">
        <v>0.5</v>
      </c>
      <c r="F31" s="58">
        <f t="shared" ca="1" si="3"/>
        <v>0</v>
      </c>
      <c r="G31" s="58">
        <v>30.747924509486175</v>
      </c>
      <c r="H31" s="58">
        <f t="shared" ca="1" si="2"/>
        <v>0</v>
      </c>
      <c r="I31" s="58"/>
      <c r="J31" s="58">
        <f t="shared" ca="1" si="4"/>
        <v>0</v>
      </c>
      <c r="K31" s="58"/>
      <c r="L31" s="2">
        <f ca="1">IFERROR(SUMIFS(INDIRECT("'Thanh Toán ("&amp;L$3&amp;")'!$e:$e"),INDIRECT("'Thanh Toán ("&amp;L$3&amp;")'!$B:$B"),'Tổng Đơn'!$B31),0)</f>
        <v>0</v>
      </c>
      <c r="M31" s="2">
        <f ca="1">IFERROR(SUMIFS(INDIRECT("'Thanh Toán ("&amp;M$3&amp;")'!$e:$e"),INDIRECT("'Thanh Toán ("&amp;M$3&amp;")'!$B:$B"),'Tổng Đơn'!$B31),0)</f>
        <v>0</v>
      </c>
      <c r="N31" s="2">
        <f ca="1">IFERROR(SUMIFS(INDIRECT("'Thanh Toán ("&amp;N$3&amp;")'!$e:$e"),INDIRECT("'Thanh Toán ("&amp;N$3&amp;")'!$B:$B"),'Tổng Đơn'!$B31),0)</f>
        <v>0</v>
      </c>
      <c r="O31" s="2">
        <f ca="1">IFERROR(SUMIFS(INDIRECT("'Thanh Toán ("&amp;O$3&amp;")'!$e:$e"),INDIRECT("'Thanh Toán ("&amp;O$3&amp;")'!$B:$B"),'Tổng Đơn'!$B31),0)</f>
        <v>0</v>
      </c>
      <c r="P31" s="2">
        <f ca="1">IFERROR(SUMIFS(INDIRECT("'Thanh Toán ("&amp;P$3&amp;")'!$e:$e"),INDIRECT("'Thanh Toán ("&amp;P$3&amp;")'!$B:$B"),'Tổng Đơn'!$B31),0)</f>
        <v>0</v>
      </c>
      <c r="Q31" s="2">
        <f ca="1">IFERROR(SUMIFS(INDIRECT("'Thanh Toán ("&amp;Q$3&amp;")'!$e:$e"),INDIRECT("'Thanh Toán ("&amp;Q$3&amp;")'!$B:$B"),'Tổng Đơn'!$B31),0)</f>
        <v>0</v>
      </c>
      <c r="R31" s="2">
        <f ca="1">IFERROR(SUMIFS(INDIRECT("'Thanh Toán ("&amp;R$3&amp;")'!$e:$e"),INDIRECT("'Thanh Toán ("&amp;R$3&amp;")'!$B:$B"),'Tổng Đơn'!$B31),0)</f>
        <v>0</v>
      </c>
      <c r="S31" s="2">
        <f ca="1">IFERROR(SUMIFS(INDIRECT("'Thanh Toán ("&amp;S$3&amp;")'!$e:$e"),INDIRECT("'Thanh Toán ("&amp;S$3&amp;")'!$B:$B"),'Tổng Đơn'!$B31),0)</f>
        <v>0</v>
      </c>
      <c r="T31" s="2">
        <f ca="1">IFERROR(SUMIFS(INDIRECT("'Thanh Toán ("&amp;T$3&amp;")'!$e:$e"),INDIRECT("'Thanh Toán ("&amp;T$3&amp;")'!$B:$B"),'Tổng Đơn'!$B31),0)</f>
        <v>0</v>
      </c>
      <c r="U31" s="2">
        <f ca="1">IFERROR(SUMIFS(INDIRECT("'Thanh Toán ("&amp;U$3&amp;")'!$e:$e"),INDIRECT("'Thanh Toán ("&amp;U$3&amp;")'!$B:$B"),'Tổng Đơn'!$B31),0)</f>
        <v>0</v>
      </c>
      <c r="V31" s="2">
        <f ca="1">IFERROR(SUMIFS(INDIRECT("'Thanh Toán ("&amp;V$3&amp;")'!$e:$e"),INDIRECT("'Thanh Toán ("&amp;V$3&amp;")'!$B:$B"),'Tổng Đơn'!$B31),0)</f>
        <v>0</v>
      </c>
      <c r="W31" s="2">
        <f ca="1">IFERROR(SUMIFS(INDIRECT("'Thanh Toán ("&amp;W$3&amp;")'!$e:$e"),INDIRECT("'Thanh Toán ("&amp;W$3&amp;")'!$B:$B"),'Tổng Đơn'!$B31),0)</f>
        <v>0</v>
      </c>
      <c r="X31" s="2">
        <f ca="1">IFERROR(SUMIFS(INDIRECT("'Thanh Toán ("&amp;X$3&amp;")'!$e:$e"),INDIRECT("'Thanh Toán ("&amp;X$3&amp;")'!$B:$B"),'Tổng Đơn'!$B31),0)</f>
        <v>0</v>
      </c>
      <c r="Y31" s="2">
        <f ca="1">IFERROR(SUMIFS(INDIRECT("'Thanh Toán ("&amp;Y$3&amp;")'!$e:$e"),INDIRECT("'Thanh Toán ("&amp;Y$3&amp;")'!$B:$B"),'Tổng Đơn'!$B31),0)</f>
        <v>0</v>
      </c>
      <c r="Z31" s="2">
        <f ca="1">IFERROR(SUMIFS(INDIRECT("'Thanh Toán ("&amp;Z$3&amp;")'!$e:$e"),INDIRECT("'Thanh Toán ("&amp;Z$3&amp;")'!$B:$B"),'Tổng Đơn'!$B31),0)</f>
        <v>0</v>
      </c>
      <c r="AA31" s="2">
        <f ca="1">IFERROR(SUMIFS(INDIRECT("'Thanh Toán ("&amp;AA$3&amp;")'!$e:$e"),INDIRECT("'Thanh Toán ("&amp;AA$3&amp;")'!$B:$B"),'Tổng Đơn'!$B31),0)</f>
        <v>0</v>
      </c>
      <c r="AB31" s="2">
        <f ca="1">IFERROR(SUMIFS(INDIRECT("'Thanh Toán ("&amp;AB$3&amp;")'!$e:$e"),INDIRECT("'Thanh Toán ("&amp;AB$3&amp;")'!$B:$B"),'Tổng Đơn'!$B31),0)</f>
        <v>0</v>
      </c>
      <c r="AC31" s="2">
        <f ca="1">IFERROR(SUMIFS(INDIRECT("'Thanh Toán ("&amp;AC$3&amp;")'!$e:$e"),INDIRECT("'Thanh Toán ("&amp;AC$3&amp;")'!$B:$B"),'Tổng Đơn'!$B31),0)</f>
        <v>0</v>
      </c>
      <c r="AD31" s="2">
        <f ca="1">IFERROR(SUMIFS(INDIRECT("'Thanh Toán ("&amp;AD$3&amp;")'!$e:$e"),INDIRECT("'Thanh Toán ("&amp;AD$3&amp;")'!$B:$B"),'Tổng Đơn'!$B31),0)</f>
        <v>0</v>
      </c>
      <c r="AE31" s="2">
        <f ca="1">IFERROR(SUMIFS(INDIRECT("'Thanh Toán ("&amp;AE$3&amp;")'!$e:$e"),INDIRECT("'Thanh Toán ("&amp;AE$3&amp;")'!$B:$B"),'Tổng Đơn'!$B31),0)</f>
        <v>0</v>
      </c>
      <c r="AF31" s="2">
        <f ca="1">IFERROR(SUMIFS(INDIRECT("'Thanh Toán ("&amp;AF$3&amp;")'!$e:$e"),INDIRECT("'Thanh Toán ("&amp;AF$3&amp;")'!$B:$B"),'Tổng Đơn'!$B31),0)</f>
        <v>0</v>
      </c>
      <c r="AG31" s="2">
        <f ca="1">IFERROR(SUMIFS(INDIRECT("'Thanh Toán ("&amp;AG$3&amp;")'!$e:$e"),INDIRECT("'Thanh Toán ("&amp;AG$3&amp;")'!$B:$B"),'Tổng Đơn'!$B31),0)</f>
        <v>0</v>
      </c>
      <c r="AH31" s="2">
        <f ca="1">IFERROR(SUMIFS(INDIRECT("'Thanh Toán ("&amp;AH$3&amp;")'!$e:$e"),INDIRECT("'Thanh Toán ("&amp;AH$3&amp;")'!$B:$B"),'Tổng Đơn'!$B31),0)</f>
        <v>0</v>
      </c>
      <c r="AI31" s="2">
        <f ca="1">IFERROR(SUMIFS(INDIRECT("'Thanh Toán ("&amp;AI$3&amp;")'!$e:$e"),INDIRECT("'Thanh Toán ("&amp;AI$3&amp;")'!$B:$B"),'Tổng Đơn'!$B31),0)</f>
        <v>0</v>
      </c>
      <c r="AJ31" s="2">
        <f ca="1">IFERROR(SUMIFS(INDIRECT("'Thanh Toán ("&amp;AJ$3&amp;")'!$e:$e"),INDIRECT("'Thanh Toán ("&amp;AJ$3&amp;")'!$B:$B"),'Tổng Đơn'!$B31),0)</f>
        <v>0</v>
      </c>
      <c r="AK31" s="2">
        <f ca="1">IFERROR(SUMIFS(INDIRECT("'Thanh Toán ("&amp;AK$3&amp;")'!$e:$e"),INDIRECT("'Thanh Toán ("&amp;AK$3&amp;")'!$B:$B"),'Tổng Đơn'!$B31),0)</f>
        <v>0</v>
      </c>
      <c r="AL31" s="2">
        <f ca="1">IFERROR(SUMIFS(INDIRECT("'Thanh Toán ("&amp;AL$3&amp;")'!$e:$e"),INDIRECT("'Thanh Toán ("&amp;AL$3&amp;")'!$B:$B"),'Tổng Đơn'!$B31),0)</f>
        <v>0</v>
      </c>
      <c r="AM31" s="2">
        <f ca="1">IFERROR(SUMIFS(INDIRECT("'Thanh Toán ("&amp;AM$3&amp;")'!$e:$e"),INDIRECT("'Thanh Toán ("&amp;AM$3&amp;")'!$B:$B"),'Tổng Đơn'!$B31),0)</f>
        <v>0</v>
      </c>
      <c r="AN31" s="2">
        <f ca="1">IFERROR(SUMIFS(INDIRECT("'Thanh Toán ("&amp;AN$3&amp;")'!$e:$e"),INDIRECT("'Thanh Toán ("&amp;AN$3&amp;")'!$B:$B"),'Tổng Đơn'!$B31),0)</f>
        <v>0</v>
      </c>
      <c r="AO31" s="2">
        <f ca="1">IFERROR(SUMIFS(INDIRECT("'Thanh Toán ("&amp;AO$3&amp;")'!$e:$e"),INDIRECT("'Thanh Toán ("&amp;AO$3&amp;")'!$B:$B"),'Tổng Đơn'!$B31),0)</f>
        <v>0</v>
      </c>
    </row>
    <row r="32" spans="1:41" ht="15.75" customHeight="1" x14ac:dyDescent="0.25">
      <c r="A32" s="23">
        <v>28</v>
      </c>
      <c r="B32" s="151" t="s">
        <v>10</v>
      </c>
      <c r="C32" s="23" t="s">
        <v>87</v>
      </c>
      <c r="D32" s="44">
        <f>VLOOKUP($C32,Sheet1!$C$2:$D$98,2,0)</f>
        <v>32000</v>
      </c>
      <c r="E32" s="60">
        <v>0.5</v>
      </c>
      <c r="F32" s="58">
        <f t="shared" ca="1" si="3"/>
        <v>0</v>
      </c>
      <c r="G32" s="58">
        <v>27.673132058537558</v>
      </c>
      <c r="H32" s="58">
        <f t="shared" ca="1" si="2"/>
        <v>0</v>
      </c>
      <c r="I32" s="58"/>
      <c r="J32" s="58">
        <f t="shared" ca="1" si="4"/>
        <v>0</v>
      </c>
      <c r="K32" s="58"/>
      <c r="L32" s="2">
        <f ca="1">IFERROR(SUMIFS(INDIRECT("'Thanh Toán ("&amp;L$3&amp;")'!$e:$e"),INDIRECT("'Thanh Toán ("&amp;L$3&amp;")'!$B:$B"),'Tổng Đơn'!$B32),0)</f>
        <v>0</v>
      </c>
      <c r="M32" s="2">
        <f ca="1">IFERROR(SUMIFS(INDIRECT("'Thanh Toán ("&amp;M$3&amp;")'!$e:$e"),INDIRECT("'Thanh Toán ("&amp;M$3&amp;")'!$B:$B"),'Tổng Đơn'!$B32),0)</f>
        <v>0</v>
      </c>
      <c r="N32" s="2">
        <f ca="1">IFERROR(SUMIFS(INDIRECT("'Thanh Toán ("&amp;N$3&amp;")'!$e:$e"),INDIRECT("'Thanh Toán ("&amp;N$3&amp;")'!$B:$B"),'Tổng Đơn'!$B32),0)</f>
        <v>0</v>
      </c>
      <c r="O32" s="2">
        <f ca="1">IFERROR(SUMIFS(INDIRECT("'Thanh Toán ("&amp;O$3&amp;")'!$e:$e"),INDIRECT("'Thanh Toán ("&amp;O$3&amp;")'!$B:$B"),'Tổng Đơn'!$B32),0)</f>
        <v>0</v>
      </c>
      <c r="P32" s="2">
        <f ca="1">IFERROR(SUMIFS(INDIRECT("'Thanh Toán ("&amp;P$3&amp;")'!$e:$e"),INDIRECT("'Thanh Toán ("&amp;P$3&amp;")'!$B:$B"),'Tổng Đơn'!$B32),0)</f>
        <v>0</v>
      </c>
      <c r="Q32" s="2">
        <f ca="1">IFERROR(SUMIFS(INDIRECT("'Thanh Toán ("&amp;Q$3&amp;")'!$e:$e"),INDIRECT("'Thanh Toán ("&amp;Q$3&amp;")'!$B:$B"),'Tổng Đơn'!$B32),0)</f>
        <v>0</v>
      </c>
      <c r="R32" s="2">
        <f ca="1">IFERROR(SUMIFS(INDIRECT("'Thanh Toán ("&amp;R$3&amp;")'!$e:$e"),INDIRECT("'Thanh Toán ("&amp;R$3&amp;")'!$B:$B"),'Tổng Đơn'!$B32),0)</f>
        <v>0</v>
      </c>
      <c r="S32" s="2">
        <f ca="1">IFERROR(SUMIFS(INDIRECT("'Thanh Toán ("&amp;S$3&amp;")'!$e:$e"),INDIRECT("'Thanh Toán ("&amp;S$3&amp;")'!$B:$B"),'Tổng Đơn'!$B32),0)</f>
        <v>0</v>
      </c>
      <c r="T32" s="2">
        <f ca="1">IFERROR(SUMIFS(INDIRECT("'Thanh Toán ("&amp;T$3&amp;")'!$e:$e"),INDIRECT("'Thanh Toán ("&amp;T$3&amp;")'!$B:$B"),'Tổng Đơn'!$B32),0)</f>
        <v>0</v>
      </c>
      <c r="U32" s="2">
        <f ca="1">IFERROR(SUMIFS(INDIRECT("'Thanh Toán ("&amp;U$3&amp;")'!$e:$e"),INDIRECT("'Thanh Toán ("&amp;U$3&amp;")'!$B:$B"),'Tổng Đơn'!$B32),0)</f>
        <v>0</v>
      </c>
      <c r="V32" s="2">
        <f ca="1">IFERROR(SUMIFS(INDIRECT("'Thanh Toán ("&amp;V$3&amp;")'!$e:$e"),INDIRECT("'Thanh Toán ("&amp;V$3&amp;")'!$B:$B"),'Tổng Đơn'!$B32),0)</f>
        <v>0</v>
      </c>
      <c r="W32" s="2">
        <f ca="1">IFERROR(SUMIFS(INDIRECT("'Thanh Toán ("&amp;W$3&amp;")'!$e:$e"),INDIRECT("'Thanh Toán ("&amp;W$3&amp;")'!$B:$B"),'Tổng Đơn'!$B32),0)</f>
        <v>0</v>
      </c>
      <c r="X32" s="2">
        <f ca="1">IFERROR(SUMIFS(INDIRECT("'Thanh Toán ("&amp;X$3&amp;")'!$e:$e"),INDIRECT("'Thanh Toán ("&amp;X$3&amp;")'!$B:$B"),'Tổng Đơn'!$B32),0)</f>
        <v>0</v>
      </c>
      <c r="Y32" s="2">
        <f ca="1">IFERROR(SUMIFS(INDIRECT("'Thanh Toán ("&amp;Y$3&amp;")'!$e:$e"),INDIRECT("'Thanh Toán ("&amp;Y$3&amp;")'!$B:$B"),'Tổng Đơn'!$B32),0)</f>
        <v>0</v>
      </c>
      <c r="Z32" s="2">
        <f ca="1">IFERROR(SUMIFS(INDIRECT("'Thanh Toán ("&amp;Z$3&amp;")'!$e:$e"),INDIRECT("'Thanh Toán ("&amp;Z$3&amp;")'!$B:$B"),'Tổng Đơn'!$B32),0)</f>
        <v>0</v>
      </c>
      <c r="AA32" s="2">
        <f ca="1">IFERROR(SUMIFS(INDIRECT("'Thanh Toán ("&amp;AA$3&amp;")'!$e:$e"),INDIRECT("'Thanh Toán ("&amp;AA$3&amp;")'!$B:$B"),'Tổng Đơn'!$B32),0)</f>
        <v>0</v>
      </c>
      <c r="AB32" s="2">
        <f ca="1">IFERROR(SUMIFS(INDIRECT("'Thanh Toán ("&amp;AB$3&amp;")'!$e:$e"),INDIRECT("'Thanh Toán ("&amp;AB$3&amp;")'!$B:$B"),'Tổng Đơn'!$B32),0)</f>
        <v>0</v>
      </c>
      <c r="AC32" s="2">
        <f ca="1">IFERROR(SUMIFS(INDIRECT("'Thanh Toán ("&amp;AC$3&amp;")'!$e:$e"),INDIRECT("'Thanh Toán ("&amp;AC$3&amp;")'!$B:$B"),'Tổng Đơn'!$B32),0)</f>
        <v>0</v>
      </c>
      <c r="AD32" s="2">
        <f ca="1">IFERROR(SUMIFS(INDIRECT("'Thanh Toán ("&amp;AD$3&amp;")'!$e:$e"),INDIRECT("'Thanh Toán ("&amp;AD$3&amp;")'!$B:$B"),'Tổng Đơn'!$B32),0)</f>
        <v>0</v>
      </c>
      <c r="AE32" s="2">
        <f ca="1">IFERROR(SUMIFS(INDIRECT("'Thanh Toán ("&amp;AE$3&amp;")'!$e:$e"),INDIRECT("'Thanh Toán ("&amp;AE$3&amp;")'!$B:$B"),'Tổng Đơn'!$B32),0)</f>
        <v>0</v>
      </c>
      <c r="AF32" s="2">
        <f ca="1">IFERROR(SUMIFS(INDIRECT("'Thanh Toán ("&amp;AF$3&amp;")'!$e:$e"),INDIRECT("'Thanh Toán ("&amp;AF$3&amp;")'!$B:$B"),'Tổng Đơn'!$B32),0)</f>
        <v>0</v>
      </c>
      <c r="AG32" s="2">
        <f ca="1">IFERROR(SUMIFS(INDIRECT("'Thanh Toán ("&amp;AG$3&amp;")'!$e:$e"),INDIRECT("'Thanh Toán ("&amp;AG$3&amp;")'!$B:$B"),'Tổng Đơn'!$B32),0)</f>
        <v>0</v>
      </c>
      <c r="AH32" s="2">
        <f ca="1">IFERROR(SUMIFS(INDIRECT("'Thanh Toán ("&amp;AH$3&amp;")'!$e:$e"),INDIRECT("'Thanh Toán ("&amp;AH$3&amp;")'!$B:$B"),'Tổng Đơn'!$B32),0)</f>
        <v>0</v>
      </c>
      <c r="AI32" s="2">
        <f ca="1">IFERROR(SUMIFS(INDIRECT("'Thanh Toán ("&amp;AI$3&amp;")'!$e:$e"),INDIRECT("'Thanh Toán ("&amp;AI$3&amp;")'!$B:$B"),'Tổng Đơn'!$B32),0)</f>
        <v>0</v>
      </c>
      <c r="AJ32" s="2">
        <f ca="1">IFERROR(SUMIFS(INDIRECT("'Thanh Toán ("&amp;AJ$3&amp;")'!$e:$e"),INDIRECT("'Thanh Toán ("&amp;AJ$3&amp;")'!$B:$B"),'Tổng Đơn'!$B32),0)</f>
        <v>0</v>
      </c>
      <c r="AK32" s="2">
        <f ca="1">IFERROR(SUMIFS(INDIRECT("'Thanh Toán ("&amp;AK$3&amp;")'!$e:$e"),INDIRECT("'Thanh Toán ("&amp;AK$3&amp;")'!$B:$B"),'Tổng Đơn'!$B32),0)</f>
        <v>0</v>
      </c>
      <c r="AL32" s="2">
        <f ca="1">IFERROR(SUMIFS(INDIRECT("'Thanh Toán ("&amp;AL$3&amp;")'!$e:$e"),INDIRECT("'Thanh Toán ("&amp;AL$3&amp;")'!$B:$B"),'Tổng Đơn'!$B32),0)</f>
        <v>0</v>
      </c>
      <c r="AM32" s="2">
        <f ca="1">IFERROR(SUMIFS(INDIRECT("'Thanh Toán ("&amp;AM$3&amp;")'!$e:$e"),INDIRECT("'Thanh Toán ("&amp;AM$3&amp;")'!$B:$B"),'Tổng Đơn'!$B32),0)</f>
        <v>0</v>
      </c>
      <c r="AN32" s="2">
        <f ca="1">IFERROR(SUMIFS(INDIRECT("'Thanh Toán ("&amp;AN$3&amp;")'!$e:$e"),INDIRECT("'Thanh Toán ("&amp;AN$3&amp;")'!$B:$B"),'Tổng Đơn'!$B32),0)</f>
        <v>0</v>
      </c>
      <c r="AO32" s="2">
        <f ca="1">IFERROR(SUMIFS(INDIRECT("'Thanh Toán ("&amp;AO$3&amp;")'!$e:$e"),INDIRECT("'Thanh Toán ("&amp;AO$3&amp;")'!$B:$B"),'Tổng Đơn'!$B32),0)</f>
        <v>0</v>
      </c>
    </row>
    <row r="33" spans="1:41" x14ac:dyDescent="0.25">
      <c r="A33" s="23">
        <v>29</v>
      </c>
      <c r="B33" s="151" t="s">
        <v>38</v>
      </c>
      <c r="C33" s="23" t="s">
        <v>88</v>
      </c>
      <c r="D33" s="44">
        <f>VLOOKUP($C33,Sheet1!$C$2:$D$98,2,0)</f>
        <v>32000</v>
      </c>
      <c r="E33" s="60">
        <v>0.5</v>
      </c>
      <c r="F33" s="58">
        <f t="shared" ca="1" si="3"/>
        <v>1</v>
      </c>
      <c r="G33" s="58">
        <v>26.771489901453801</v>
      </c>
      <c r="H33" s="58">
        <f t="shared" ca="1" si="2"/>
        <v>5228.5100985461977</v>
      </c>
      <c r="I33" s="58"/>
      <c r="J33" s="58">
        <f t="shared" ca="1" si="4"/>
        <v>26771.489901453802</v>
      </c>
      <c r="K33" s="58"/>
      <c r="L33" s="2">
        <f ca="1">IFERROR(SUMIFS(INDIRECT("'Thanh Toán ("&amp;L$3&amp;")'!$e:$e"),INDIRECT("'Thanh Toán ("&amp;L$3&amp;")'!$B:$B"),'Tổng Đơn'!$B33),0)</f>
        <v>0</v>
      </c>
      <c r="M33" s="2">
        <f ca="1">IFERROR(SUMIFS(INDIRECT("'Thanh Toán ("&amp;M$3&amp;")'!$e:$e"),INDIRECT("'Thanh Toán ("&amp;M$3&amp;")'!$B:$B"),'Tổng Đơn'!$B33),0)</f>
        <v>0</v>
      </c>
      <c r="N33" s="2">
        <f ca="1">IFERROR(SUMIFS(INDIRECT("'Thanh Toán ("&amp;N$3&amp;")'!$e:$e"),INDIRECT("'Thanh Toán ("&amp;N$3&amp;")'!$B:$B"),'Tổng Đơn'!$B33),0)</f>
        <v>0</v>
      </c>
      <c r="O33" s="2">
        <f ca="1">IFERROR(SUMIFS(INDIRECT("'Thanh Toán ("&amp;O$3&amp;")'!$e:$e"),INDIRECT("'Thanh Toán ("&amp;O$3&amp;")'!$B:$B"),'Tổng Đơn'!$B33),0)</f>
        <v>0</v>
      </c>
      <c r="P33" s="2">
        <f ca="1">IFERROR(SUMIFS(INDIRECT("'Thanh Toán ("&amp;P$3&amp;")'!$e:$e"),INDIRECT("'Thanh Toán ("&amp;P$3&amp;")'!$B:$B"),'Tổng Đơn'!$B33),0)</f>
        <v>0</v>
      </c>
      <c r="Q33" s="2">
        <f ca="1">IFERROR(SUMIFS(INDIRECT("'Thanh Toán ("&amp;Q$3&amp;")'!$e:$e"),INDIRECT("'Thanh Toán ("&amp;Q$3&amp;")'!$B:$B"),'Tổng Đơn'!$B33),0)</f>
        <v>0</v>
      </c>
      <c r="R33" s="2">
        <f ca="1">IFERROR(SUMIFS(INDIRECT("'Thanh Toán ("&amp;R$3&amp;")'!$e:$e"),INDIRECT("'Thanh Toán ("&amp;R$3&amp;")'!$B:$B"),'Tổng Đơn'!$B33),0)</f>
        <v>0</v>
      </c>
      <c r="S33" s="2">
        <f ca="1">IFERROR(SUMIFS(INDIRECT("'Thanh Toán ("&amp;S$3&amp;")'!$e:$e"),INDIRECT("'Thanh Toán ("&amp;S$3&amp;")'!$B:$B"),'Tổng Đơn'!$B33),0)</f>
        <v>1</v>
      </c>
      <c r="T33" s="2">
        <f ca="1">IFERROR(SUMIFS(INDIRECT("'Thanh Toán ("&amp;T$3&amp;")'!$e:$e"),INDIRECT("'Thanh Toán ("&amp;T$3&amp;")'!$B:$B"),'Tổng Đơn'!$B33),0)</f>
        <v>0</v>
      </c>
      <c r="U33" s="2">
        <f ca="1">IFERROR(SUMIFS(INDIRECT("'Thanh Toán ("&amp;U$3&amp;")'!$e:$e"),INDIRECT("'Thanh Toán ("&amp;U$3&amp;")'!$B:$B"),'Tổng Đơn'!$B33),0)</f>
        <v>0</v>
      </c>
      <c r="V33" s="2">
        <f ca="1">IFERROR(SUMIFS(INDIRECT("'Thanh Toán ("&amp;V$3&amp;")'!$e:$e"),INDIRECT("'Thanh Toán ("&amp;V$3&amp;")'!$B:$B"),'Tổng Đơn'!$B33),0)</f>
        <v>0</v>
      </c>
      <c r="W33" s="2">
        <f ca="1">IFERROR(SUMIFS(INDIRECT("'Thanh Toán ("&amp;W$3&amp;")'!$e:$e"),INDIRECT("'Thanh Toán ("&amp;W$3&amp;")'!$B:$B"),'Tổng Đơn'!$B33),0)</f>
        <v>0</v>
      </c>
      <c r="X33" s="2">
        <f ca="1">IFERROR(SUMIFS(INDIRECT("'Thanh Toán ("&amp;X$3&amp;")'!$e:$e"),INDIRECT("'Thanh Toán ("&amp;X$3&amp;")'!$B:$B"),'Tổng Đơn'!$B33),0)</f>
        <v>0</v>
      </c>
      <c r="Y33" s="2">
        <f ca="1">IFERROR(SUMIFS(INDIRECT("'Thanh Toán ("&amp;Y$3&amp;")'!$e:$e"),INDIRECT("'Thanh Toán ("&amp;Y$3&amp;")'!$B:$B"),'Tổng Đơn'!$B33),0)</f>
        <v>0</v>
      </c>
      <c r="Z33" s="2">
        <f ca="1">IFERROR(SUMIFS(INDIRECT("'Thanh Toán ("&amp;Z$3&amp;")'!$e:$e"),INDIRECT("'Thanh Toán ("&amp;Z$3&amp;")'!$B:$B"),'Tổng Đơn'!$B33),0)</f>
        <v>0</v>
      </c>
      <c r="AA33" s="2">
        <f ca="1">IFERROR(SUMIFS(INDIRECT("'Thanh Toán ("&amp;AA$3&amp;")'!$e:$e"),INDIRECT("'Thanh Toán ("&amp;AA$3&amp;")'!$B:$B"),'Tổng Đơn'!$B33),0)</f>
        <v>0</v>
      </c>
      <c r="AB33" s="2">
        <f ca="1">IFERROR(SUMIFS(INDIRECT("'Thanh Toán ("&amp;AB$3&amp;")'!$e:$e"),INDIRECT("'Thanh Toán ("&amp;AB$3&amp;")'!$B:$B"),'Tổng Đơn'!$B33),0)</f>
        <v>0</v>
      </c>
      <c r="AC33" s="2">
        <f ca="1">IFERROR(SUMIFS(INDIRECT("'Thanh Toán ("&amp;AC$3&amp;")'!$e:$e"),INDIRECT("'Thanh Toán ("&amp;AC$3&amp;")'!$B:$B"),'Tổng Đơn'!$B33),0)</f>
        <v>0</v>
      </c>
      <c r="AD33" s="2">
        <f ca="1">IFERROR(SUMIFS(INDIRECT("'Thanh Toán ("&amp;AD$3&amp;")'!$e:$e"),INDIRECT("'Thanh Toán ("&amp;AD$3&amp;")'!$B:$B"),'Tổng Đơn'!$B33),0)</f>
        <v>0</v>
      </c>
      <c r="AE33" s="2">
        <f ca="1">IFERROR(SUMIFS(INDIRECT("'Thanh Toán ("&amp;AE$3&amp;")'!$e:$e"),INDIRECT("'Thanh Toán ("&amp;AE$3&amp;")'!$B:$B"),'Tổng Đơn'!$B33),0)</f>
        <v>0</v>
      </c>
      <c r="AF33" s="2">
        <f ca="1">IFERROR(SUMIFS(INDIRECT("'Thanh Toán ("&amp;AF$3&amp;")'!$e:$e"),INDIRECT("'Thanh Toán ("&amp;AF$3&amp;")'!$B:$B"),'Tổng Đơn'!$B33),0)</f>
        <v>0</v>
      </c>
      <c r="AG33" s="2">
        <f ca="1">IFERROR(SUMIFS(INDIRECT("'Thanh Toán ("&amp;AG$3&amp;")'!$e:$e"),INDIRECT("'Thanh Toán ("&amp;AG$3&amp;")'!$B:$B"),'Tổng Đơn'!$B33),0)</f>
        <v>0</v>
      </c>
      <c r="AH33" s="2">
        <f ca="1">IFERROR(SUMIFS(INDIRECT("'Thanh Toán ("&amp;AH$3&amp;")'!$e:$e"),INDIRECT("'Thanh Toán ("&amp;AH$3&amp;")'!$B:$B"),'Tổng Đơn'!$B33),0)</f>
        <v>0</v>
      </c>
      <c r="AI33" s="2">
        <f ca="1">IFERROR(SUMIFS(INDIRECT("'Thanh Toán ("&amp;AI$3&amp;")'!$e:$e"),INDIRECT("'Thanh Toán ("&amp;AI$3&amp;")'!$B:$B"),'Tổng Đơn'!$B33),0)</f>
        <v>0</v>
      </c>
      <c r="AJ33" s="2">
        <f ca="1">IFERROR(SUMIFS(INDIRECT("'Thanh Toán ("&amp;AJ$3&amp;")'!$e:$e"),INDIRECT("'Thanh Toán ("&amp;AJ$3&amp;")'!$B:$B"),'Tổng Đơn'!$B33),0)</f>
        <v>0</v>
      </c>
      <c r="AK33" s="2">
        <f ca="1">IFERROR(SUMIFS(INDIRECT("'Thanh Toán ("&amp;AK$3&amp;")'!$e:$e"),INDIRECT("'Thanh Toán ("&amp;AK$3&amp;")'!$B:$B"),'Tổng Đơn'!$B33),0)</f>
        <v>0</v>
      </c>
      <c r="AL33" s="2">
        <f ca="1">IFERROR(SUMIFS(INDIRECT("'Thanh Toán ("&amp;AL$3&amp;")'!$e:$e"),INDIRECT("'Thanh Toán ("&amp;AL$3&amp;")'!$B:$B"),'Tổng Đơn'!$B33),0)</f>
        <v>0</v>
      </c>
      <c r="AM33" s="2">
        <f ca="1">IFERROR(SUMIFS(INDIRECT("'Thanh Toán ("&amp;AM$3&amp;")'!$e:$e"),INDIRECT("'Thanh Toán ("&amp;AM$3&amp;")'!$B:$B"),'Tổng Đơn'!$B33),0)</f>
        <v>0</v>
      </c>
      <c r="AN33" s="2">
        <f ca="1">IFERROR(SUMIFS(INDIRECT("'Thanh Toán ("&amp;AN$3&amp;")'!$e:$e"),INDIRECT("'Thanh Toán ("&amp;AN$3&amp;")'!$B:$B"),'Tổng Đơn'!$B33),0)</f>
        <v>0</v>
      </c>
      <c r="AO33" s="2">
        <f ca="1">IFERROR(SUMIFS(INDIRECT("'Thanh Toán ("&amp;AO$3&amp;")'!$e:$e"),INDIRECT("'Thanh Toán ("&amp;AO$3&amp;")'!$B:$B"),'Tổng Đơn'!$B33),0)</f>
        <v>0</v>
      </c>
    </row>
    <row r="34" spans="1:41" x14ac:dyDescent="0.25">
      <c r="A34" s="23">
        <v>30</v>
      </c>
      <c r="B34" s="151" t="s">
        <v>39</v>
      </c>
      <c r="C34" s="23" t="s">
        <v>89</v>
      </c>
      <c r="D34" s="44">
        <f>VLOOKUP($C34,Sheet1!$C$2:$D$98,2,0)</f>
        <v>14000</v>
      </c>
      <c r="E34" s="60">
        <v>0.2</v>
      </c>
      <c r="F34" s="58">
        <f t="shared" ca="1" si="3"/>
        <v>2</v>
      </c>
      <c r="G34" s="58">
        <v>11.314742901746511</v>
      </c>
      <c r="H34" s="58">
        <f t="shared" ca="1" si="2"/>
        <v>5370.5141965069779</v>
      </c>
      <c r="I34" s="58"/>
      <c r="J34" s="58">
        <f t="shared" ca="1" si="4"/>
        <v>22629.485803493022</v>
      </c>
      <c r="K34" s="58"/>
      <c r="L34" s="2">
        <f ca="1">IFERROR(SUMIFS(INDIRECT("'Thanh Toán ("&amp;L$3&amp;")'!$e:$e"),INDIRECT("'Thanh Toán ("&amp;L$3&amp;")'!$B:$B"),'Tổng Đơn'!$B34),0)</f>
        <v>1</v>
      </c>
      <c r="M34" s="2">
        <f ca="1">IFERROR(SUMIFS(INDIRECT("'Thanh Toán ("&amp;M$3&amp;")'!$e:$e"),INDIRECT("'Thanh Toán ("&amp;M$3&amp;")'!$B:$B"),'Tổng Đơn'!$B34),0)</f>
        <v>0</v>
      </c>
      <c r="N34" s="2">
        <f ca="1">IFERROR(SUMIFS(INDIRECT("'Thanh Toán ("&amp;N$3&amp;")'!$e:$e"),INDIRECT("'Thanh Toán ("&amp;N$3&amp;")'!$B:$B"),'Tổng Đơn'!$B34),0)</f>
        <v>0</v>
      </c>
      <c r="O34" s="2">
        <f ca="1">IFERROR(SUMIFS(INDIRECT("'Thanh Toán ("&amp;O$3&amp;")'!$e:$e"),INDIRECT("'Thanh Toán ("&amp;O$3&amp;")'!$B:$B"),'Tổng Đơn'!$B34),0)</f>
        <v>0</v>
      </c>
      <c r="P34" s="2">
        <f ca="1">IFERROR(SUMIFS(INDIRECT("'Thanh Toán ("&amp;P$3&amp;")'!$e:$e"),INDIRECT("'Thanh Toán ("&amp;P$3&amp;")'!$B:$B"),'Tổng Đơn'!$B34),0)</f>
        <v>0</v>
      </c>
      <c r="Q34" s="2">
        <f ca="1">IFERROR(SUMIFS(INDIRECT("'Thanh Toán ("&amp;Q$3&amp;")'!$e:$e"),INDIRECT("'Thanh Toán ("&amp;Q$3&amp;")'!$B:$B"),'Tổng Đơn'!$B34),0)</f>
        <v>0</v>
      </c>
      <c r="R34" s="2">
        <f ca="1">IFERROR(SUMIFS(INDIRECT("'Thanh Toán ("&amp;R$3&amp;")'!$e:$e"),INDIRECT("'Thanh Toán ("&amp;R$3&amp;")'!$B:$B"),'Tổng Đơn'!$B34),0)</f>
        <v>0</v>
      </c>
      <c r="S34" s="2">
        <f ca="1">IFERROR(SUMIFS(INDIRECT("'Thanh Toán ("&amp;S$3&amp;")'!$e:$e"),INDIRECT("'Thanh Toán ("&amp;S$3&amp;")'!$B:$B"),'Tổng Đơn'!$B34),0)</f>
        <v>0</v>
      </c>
      <c r="T34" s="2">
        <f ca="1">IFERROR(SUMIFS(INDIRECT("'Thanh Toán ("&amp;T$3&amp;")'!$e:$e"),INDIRECT("'Thanh Toán ("&amp;T$3&amp;")'!$B:$B"),'Tổng Đơn'!$B34),0)</f>
        <v>0</v>
      </c>
      <c r="U34" s="2">
        <f ca="1">IFERROR(SUMIFS(INDIRECT("'Thanh Toán ("&amp;U$3&amp;")'!$e:$e"),INDIRECT("'Thanh Toán ("&amp;U$3&amp;")'!$B:$B"),'Tổng Đơn'!$B34),0)</f>
        <v>0</v>
      </c>
      <c r="V34" s="2">
        <f ca="1">IFERROR(SUMIFS(INDIRECT("'Thanh Toán ("&amp;V$3&amp;")'!$e:$e"),INDIRECT("'Thanh Toán ("&amp;V$3&amp;")'!$B:$B"),'Tổng Đơn'!$B34),0)</f>
        <v>0</v>
      </c>
      <c r="W34" s="2">
        <f ca="1">IFERROR(SUMIFS(INDIRECT("'Thanh Toán ("&amp;W$3&amp;")'!$e:$e"),INDIRECT("'Thanh Toán ("&amp;W$3&amp;")'!$B:$B"),'Tổng Đơn'!$B34),0)</f>
        <v>0</v>
      </c>
      <c r="X34" s="2">
        <f ca="1">IFERROR(SUMIFS(INDIRECT("'Thanh Toán ("&amp;X$3&amp;")'!$e:$e"),INDIRECT("'Thanh Toán ("&amp;X$3&amp;")'!$B:$B"),'Tổng Đơn'!$B34),0)</f>
        <v>0</v>
      </c>
      <c r="Y34" s="2">
        <f ca="1">IFERROR(SUMIFS(INDIRECT("'Thanh Toán ("&amp;Y$3&amp;")'!$e:$e"),INDIRECT("'Thanh Toán ("&amp;Y$3&amp;")'!$B:$B"),'Tổng Đơn'!$B34),0)</f>
        <v>1</v>
      </c>
      <c r="Z34" s="2">
        <f ca="1">IFERROR(SUMIFS(INDIRECT("'Thanh Toán ("&amp;Z$3&amp;")'!$e:$e"),INDIRECT("'Thanh Toán ("&amp;Z$3&amp;")'!$B:$B"),'Tổng Đơn'!$B34),0)</f>
        <v>0</v>
      </c>
      <c r="AA34" s="2">
        <f ca="1">IFERROR(SUMIFS(INDIRECT("'Thanh Toán ("&amp;AA$3&amp;")'!$e:$e"),INDIRECT("'Thanh Toán ("&amp;AA$3&amp;")'!$B:$B"),'Tổng Đơn'!$B34),0)</f>
        <v>0</v>
      </c>
      <c r="AB34" s="2">
        <f ca="1">IFERROR(SUMIFS(INDIRECT("'Thanh Toán ("&amp;AB$3&amp;")'!$e:$e"),INDIRECT("'Thanh Toán ("&amp;AB$3&amp;")'!$B:$B"),'Tổng Đơn'!$B34),0)</f>
        <v>0</v>
      </c>
      <c r="AC34" s="2">
        <f ca="1">IFERROR(SUMIFS(INDIRECT("'Thanh Toán ("&amp;AC$3&amp;")'!$e:$e"),INDIRECT("'Thanh Toán ("&amp;AC$3&amp;")'!$B:$B"),'Tổng Đơn'!$B34),0)</f>
        <v>0</v>
      </c>
      <c r="AD34" s="2">
        <f ca="1">IFERROR(SUMIFS(INDIRECT("'Thanh Toán ("&amp;AD$3&amp;")'!$e:$e"),INDIRECT("'Thanh Toán ("&amp;AD$3&amp;")'!$B:$B"),'Tổng Đơn'!$B34),0)</f>
        <v>0</v>
      </c>
      <c r="AE34" s="2">
        <f ca="1">IFERROR(SUMIFS(INDIRECT("'Thanh Toán ("&amp;AE$3&amp;")'!$e:$e"),INDIRECT("'Thanh Toán ("&amp;AE$3&amp;")'!$B:$B"),'Tổng Đơn'!$B34),0)</f>
        <v>0</v>
      </c>
      <c r="AF34" s="2">
        <f ca="1">IFERROR(SUMIFS(INDIRECT("'Thanh Toán ("&amp;AF$3&amp;")'!$e:$e"),INDIRECT("'Thanh Toán ("&amp;AF$3&amp;")'!$B:$B"),'Tổng Đơn'!$B34),0)</f>
        <v>0</v>
      </c>
      <c r="AG34" s="2">
        <f ca="1">IFERROR(SUMIFS(INDIRECT("'Thanh Toán ("&amp;AG$3&amp;")'!$e:$e"),INDIRECT("'Thanh Toán ("&amp;AG$3&amp;")'!$B:$B"),'Tổng Đơn'!$B34),0)</f>
        <v>0</v>
      </c>
      <c r="AH34" s="2">
        <f ca="1">IFERROR(SUMIFS(INDIRECT("'Thanh Toán ("&amp;AH$3&amp;")'!$e:$e"),INDIRECT("'Thanh Toán ("&amp;AH$3&amp;")'!$B:$B"),'Tổng Đơn'!$B34),0)</f>
        <v>0</v>
      </c>
      <c r="AI34" s="2">
        <f ca="1">IFERROR(SUMIFS(INDIRECT("'Thanh Toán ("&amp;AI$3&amp;")'!$e:$e"),INDIRECT("'Thanh Toán ("&amp;AI$3&amp;")'!$B:$B"),'Tổng Đơn'!$B34),0)</f>
        <v>0</v>
      </c>
      <c r="AJ34" s="2">
        <f ca="1">IFERROR(SUMIFS(INDIRECT("'Thanh Toán ("&amp;AJ$3&amp;")'!$e:$e"),INDIRECT("'Thanh Toán ("&amp;AJ$3&amp;")'!$B:$B"),'Tổng Đơn'!$B34),0)</f>
        <v>0</v>
      </c>
      <c r="AK34" s="2">
        <f ca="1">IFERROR(SUMIFS(INDIRECT("'Thanh Toán ("&amp;AK$3&amp;")'!$e:$e"),INDIRECT("'Thanh Toán ("&amp;AK$3&amp;")'!$B:$B"),'Tổng Đơn'!$B34),0)</f>
        <v>0</v>
      </c>
      <c r="AL34" s="2">
        <f ca="1">IFERROR(SUMIFS(INDIRECT("'Thanh Toán ("&amp;AL$3&amp;")'!$e:$e"),INDIRECT("'Thanh Toán ("&amp;AL$3&amp;")'!$B:$B"),'Tổng Đơn'!$B34),0)</f>
        <v>0</v>
      </c>
      <c r="AM34" s="2">
        <f ca="1">IFERROR(SUMIFS(INDIRECT("'Thanh Toán ("&amp;AM$3&amp;")'!$e:$e"),INDIRECT("'Thanh Toán ("&amp;AM$3&amp;")'!$B:$B"),'Tổng Đơn'!$B34),0)</f>
        <v>0</v>
      </c>
      <c r="AN34" s="2">
        <f ca="1">IFERROR(SUMIFS(INDIRECT("'Thanh Toán ("&amp;AN$3&amp;")'!$e:$e"),INDIRECT("'Thanh Toán ("&amp;AN$3&amp;")'!$B:$B"),'Tổng Đơn'!$B34),0)</f>
        <v>0</v>
      </c>
      <c r="AO34" s="2">
        <f ca="1">IFERROR(SUMIFS(INDIRECT("'Thanh Toán ("&amp;AO$3&amp;")'!$e:$e"),INDIRECT("'Thanh Toán ("&amp;AO$3&amp;")'!$B:$B"),'Tổng Đơn'!$B34),0)</f>
        <v>0</v>
      </c>
    </row>
    <row r="35" spans="1:41" x14ac:dyDescent="0.25">
      <c r="A35" s="23">
        <v>31</v>
      </c>
      <c r="B35" s="151" t="s">
        <v>67</v>
      </c>
      <c r="C35" s="23" t="s">
        <v>90</v>
      </c>
      <c r="D35" s="44">
        <f>VLOOKUP($C35,Sheet1!$C$2:$D$98,2,0)</f>
        <v>32000</v>
      </c>
      <c r="E35" s="60">
        <v>0.5</v>
      </c>
      <c r="F35" s="58">
        <f t="shared" ca="1" si="3"/>
        <v>0</v>
      </c>
      <c r="G35" s="58">
        <v>26.771489901453801</v>
      </c>
      <c r="H35" s="58">
        <f t="shared" ca="1" si="2"/>
        <v>0</v>
      </c>
      <c r="I35" s="58"/>
      <c r="J35" s="58">
        <f t="shared" ca="1" si="4"/>
        <v>0</v>
      </c>
      <c r="K35" s="58"/>
      <c r="L35" s="2">
        <f ca="1">IFERROR(SUMIFS(INDIRECT("'Thanh Toán ("&amp;L$3&amp;")'!$e:$e"),INDIRECT("'Thanh Toán ("&amp;L$3&amp;")'!$B:$B"),'Tổng Đơn'!$B35),0)</f>
        <v>0</v>
      </c>
      <c r="M35" s="2">
        <f ca="1">IFERROR(SUMIFS(INDIRECT("'Thanh Toán ("&amp;M$3&amp;")'!$e:$e"),INDIRECT("'Thanh Toán ("&amp;M$3&amp;")'!$B:$B"),'Tổng Đơn'!$B35),0)</f>
        <v>0</v>
      </c>
      <c r="N35" s="2">
        <f ca="1">IFERROR(SUMIFS(INDIRECT("'Thanh Toán ("&amp;N$3&amp;")'!$e:$e"),INDIRECT("'Thanh Toán ("&amp;N$3&amp;")'!$B:$B"),'Tổng Đơn'!$B35),0)</f>
        <v>0</v>
      </c>
      <c r="O35" s="2">
        <f ca="1">IFERROR(SUMIFS(INDIRECT("'Thanh Toán ("&amp;O$3&amp;")'!$e:$e"),INDIRECT("'Thanh Toán ("&amp;O$3&amp;")'!$B:$B"),'Tổng Đơn'!$B35),0)</f>
        <v>0</v>
      </c>
      <c r="P35" s="2">
        <f ca="1">IFERROR(SUMIFS(INDIRECT("'Thanh Toán ("&amp;P$3&amp;")'!$e:$e"),INDIRECT("'Thanh Toán ("&amp;P$3&amp;")'!$B:$B"),'Tổng Đơn'!$B35),0)</f>
        <v>0</v>
      </c>
      <c r="Q35" s="2">
        <f ca="1">IFERROR(SUMIFS(INDIRECT("'Thanh Toán ("&amp;Q$3&amp;")'!$e:$e"),INDIRECT("'Thanh Toán ("&amp;Q$3&amp;")'!$B:$B"),'Tổng Đơn'!$B35),0)</f>
        <v>0</v>
      </c>
      <c r="R35" s="2">
        <f ca="1">IFERROR(SUMIFS(INDIRECT("'Thanh Toán ("&amp;R$3&amp;")'!$e:$e"),INDIRECT("'Thanh Toán ("&amp;R$3&amp;")'!$B:$B"),'Tổng Đơn'!$B35),0)</f>
        <v>0</v>
      </c>
      <c r="S35" s="2">
        <f ca="1">IFERROR(SUMIFS(INDIRECT("'Thanh Toán ("&amp;S$3&amp;")'!$e:$e"),INDIRECT("'Thanh Toán ("&amp;S$3&amp;")'!$B:$B"),'Tổng Đơn'!$B35),0)</f>
        <v>0</v>
      </c>
      <c r="T35" s="2">
        <f ca="1">IFERROR(SUMIFS(INDIRECT("'Thanh Toán ("&amp;T$3&amp;")'!$e:$e"),INDIRECT("'Thanh Toán ("&amp;T$3&amp;")'!$B:$B"),'Tổng Đơn'!$B35),0)</f>
        <v>0</v>
      </c>
      <c r="U35" s="2">
        <f ca="1">IFERROR(SUMIFS(INDIRECT("'Thanh Toán ("&amp;U$3&amp;")'!$e:$e"),INDIRECT("'Thanh Toán ("&amp;U$3&amp;")'!$B:$B"),'Tổng Đơn'!$B35),0)</f>
        <v>0</v>
      </c>
      <c r="V35" s="2">
        <f ca="1">IFERROR(SUMIFS(INDIRECT("'Thanh Toán ("&amp;V$3&amp;")'!$e:$e"),INDIRECT("'Thanh Toán ("&amp;V$3&amp;")'!$B:$B"),'Tổng Đơn'!$B35),0)</f>
        <v>0</v>
      </c>
      <c r="W35" s="2">
        <f ca="1">IFERROR(SUMIFS(INDIRECT("'Thanh Toán ("&amp;W$3&amp;")'!$e:$e"),INDIRECT("'Thanh Toán ("&amp;W$3&amp;")'!$B:$B"),'Tổng Đơn'!$B35),0)</f>
        <v>0</v>
      </c>
      <c r="X35" s="2">
        <f ca="1">IFERROR(SUMIFS(INDIRECT("'Thanh Toán ("&amp;X$3&amp;")'!$e:$e"),INDIRECT("'Thanh Toán ("&amp;X$3&amp;")'!$B:$B"),'Tổng Đơn'!$B35),0)</f>
        <v>0</v>
      </c>
      <c r="Y35" s="2">
        <f ca="1">IFERROR(SUMIFS(INDIRECT("'Thanh Toán ("&amp;Y$3&amp;")'!$e:$e"),INDIRECT("'Thanh Toán ("&amp;Y$3&amp;")'!$B:$B"),'Tổng Đơn'!$B35),0)</f>
        <v>0</v>
      </c>
      <c r="Z35" s="2">
        <f ca="1">IFERROR(SUMIFS(INDIRECT("'Thanh Toán ("&amp;Z$3&amp;")'!$e:$e"),INDIRECT("'Thanh Toán ("&amp;Z$3&amp;")'!$B:$B"),'Tổng Đơn'!$B35),0)</f>
        <v>0</v>
      </c>
      <c r="AA35" s="2">
        <f ca="1">IFERROR(SUMIFS(INDIRECT("'Thanh Toán ("&amp;AA$3&amp;")'!$e:$e"),INDIRECT("'Thanh Toán ("&amp;AA$3&amp;")'!$B:$B"),'Tổng Đơn'!$B35),0)</f>
        <v>0</v>
      </c>
      <c r="AB35" s="2">
        <f ca="1">IFERROR(SUMIFS(INDIRECT("'Thanh Toán ("&amp;AB$3&amp;")'!$e:$e"),INDIRECT("'Thanh Toán ("&amp;AB$3&amp;")'!$B:$B"),'Tổng Đơn'!$B35),0)</f>
        <v>0</v>
      </c>
      <c r="AC35" s="2">
        <f ca="1">IFERROR(SUMIFS(INDIRECT("'Thanh Toán ("&amp;AC$3&amp;")'!$e:$e"),INDIRECT("'Thanh Toán ("&amp;AC$3&amp;")'!$B:$B"),'Tổng Đơn'!$B35),0)</f>
        <v>0</v>
      </c>
      <c r="AD35" s="2">
        <f ca="1">IFERROR(SUMIFS(INDIRECT("'Thanh Toán ("&amp;AD$3&amp;")'!$e:$e"),INDIRECT("'Thanh Toán ("&amp;AD$3&amp;")'!$B:$B"),'Tổng Đơn'!$B35),0)</f>
        <v>0</v>
      </c>
      <c r="AE35" s="2">
        <f ca="1">IFERROR(SUMIFS(INDIRECT("'Thanh Toán ("&amp;AE$3&amp;")'!$e:$e"),INDIRECT("'Thanh Toán ("&amp;AE$3&amp;")'!$B:$B"),'Tổng Đơn'!$B35),0)</f>
        <v>0</v>
      </c>
      <c r="AF35" s="2">
        <f ca="1">IFERROR(SUMIFS(INDIRECT("'Thanh Toán ("&amp;AF$3&amp;")'!$e:$e"),INDIRECT("'Thanh Toán ("&amp;AF$3&amp;")'!$B:$B"),'Tổng Đơn'!$B35),0)</f>
        <v>0</v>
      </c>
      <c r="AG35" s="2">
        <f ca="1">IFERROR(SUMIFS(INDIRECT("'Thanh Toán ("&amp;AG$3&amp;")'!$e:$e"),INDIRECT("'Thanh Toán ("&amp;AG$3&amp;")'!$B:$B"),'Tổng Đơn'!$B35),0)</f>
        <v>0</v>
      </c>
      <c r="AH35" s="2">
        <f ca="1">IFERROR(SUMIFS(INDIRECT("'Thanh Toán ("&amp;AH$3&amp;")'!$e:$e"),INDIRECT("'Thanh Toán ("&amp;AH$3&amp;")'!$B:$B"),'Tổng Đơn'!$B35),0)</f>
        <v>0</v>
      </c>
      <c r="AI35" s="2">
        <f ca="1">IFERROR(SUMIFS(INDIRECT("'Thanh Toán ("&amp;AI$3&amp;")'!$e:$e"),INDIRECT("'Thanh Toán ("&amp;AI$3&amp;")'!$B:$B"),'Tổng Đơn'!$B35),0)</f>
        <v>0</v>
      </c>
      <c r="AJ35" s="2">
        <f ca="1">IFERROR(SUMIFS(INDIRECT("'Thanh Toán ("&amp;AJ$3&amp;")'!$e:$e"),INDIRECT("'Thanh Toán ("&amp;AJ$3&amp;")'!$B:$B"),'Tổng Đơn'!$B35),0)</f>
        <v>0</v>
      </c>
      <c r="AK35" s="2">
        <f ca="1">IFERROR(SUMIFS(INDIRECT("'Thanh Toán ("&amp;AK$3&amp;")'!$e:$e"),INDIRECT("'Thanh Toán ("&amp;AK$3&amp;")'!$B:$B"),'Tổng Đơn'!$B35),0)</f>
        <v>0</v>
      </c>
      <c r="AL35" s="2">
        <f ca="1">IFERROR(SUMIFS(INDIRECT("'Thanh Toán ("&amp;AL$3&amp;")'!$e:$e"),INDIRECT("'Thanh Toán ("&amp;AL$3&amp;")'!$B:$B"),'Tổng Đơn'!$B35),0)</f>
        <v>0</v>
      </c>
      <c r="AM35" s="2">
        <f ca="1">IFERROR(SUMIFS(INDIRECT("'Thanh Toán ("&amp;AM$3&amp;")'!$e:$e"),INDIRECT("'Thanh Toán ("&amp;AM$3&amp;")'!$B:$B"),'Tổng Đơn'!$B35),0)</f>
        <v>0</v>
      </c>
      <c r="AN35" s="2">
        <f ca="1">IFERROR(SUMIFS(INDIRECT("'Thanh Toán ("&amp;AN$3&amp;")'!$e:$e"),INDIRECT("'Thanh Toán ("&amp;AN$3&amp;")'!$B:$B"),'Tổng Đơn'!$B35),0)</f>
        <v>0</v>
      </c>
      <c r="AO35" s="2">
        <f ca="1">IFERROR(SUMIFS(INDIRECT("'Thanh Toán ("&amp;AO$3&amp;")'!$e:$e"),INDIRECT("'Thanh Toán ("&amp;AO$3&amp;")'!$B:$B"),'Tổng Đơn'!$B35),0)</f>
        <v>0</v>
      </c>
    </row>
    <row r="36" spans="1:41" x14ac:dyDescent="0.25">
      <c r="A36" s="23">
        <v>32</v>
      </c>
      <c r="B36" s="151" t="s">
        <v>40</v>
      </c>
      <c r="C36" s="23" t="s">
        <v>91</v>
      </c>
      <c r="D36" s="44">
        <f>VLOOKUP($C36,Sheet1!$C$2:$D$98,2,0)</f>
        <v>35000</v>
      </c>
      <c r="E36" s="60">
        <v>0.5</v>
      </c>
      <c r="F36" s="58">
        <f t="shared" ca="1" si="3"/>
        <v>0</v>
      </c>
      <c r="G36" s="58">
        <v>28.791979705337106</v>
      </c>
      <c r="H36" s="58">
        <f t="shared" ca="1" si="2"/>
        <v>0</v>
      </c>
      <c r="I36" s="58"/>
      <c r="J36" s="58">
        <f t="shared" ca="1" si="4"/>
        <v>0</v>
      </c>
      <c r="K36" s="58"/>
      <c r="L36" s="2">
        <f ca="1">IFERROR(SUMIFS(INDIRECT("'Thanh Toán ("&amp;L$3&amp;")'!$e:$e"),INDIRECT("'Thanh Toán ("&amp;L$3&amp;")'!$B:$B"),'Tổng Đơn'!$B36),0)</f>
        <v>0</v>
      </c>
      <c r="M36" s="2">
        <f ca="1">IFERROR(SUMIFS(INDIRECT("'Thanh Toán ("&amp;M$3&amp;")'!$e:$e"),INDIRECT("'Thanh Toán ("&amp;M$3&amp;")'!$B:$B"),'Tổng Đơn'!$B36),0)</f>
        <v>0</v>
      </c>
      <c r="N36" s="2">
        <f ca="1">IFERROR(SUMIFS(INDIRECT("'Thanh Toán ("&amp;N$3&amp;")'!$e:$e"),INDIRECT("'Thanh Toán ("&amp;N$3&amp;")'!$B:$B"),'Tổng Đơn'!$B36),0)</f>
        <v>0</v>
      </c>
      <c r="O36" s="2">
        <f ca="1">IFERROR(SUMIFS(INDIRECT("'Thanh Toán ("&amp;O$3&amp;")'!$e:$e"),INDIRECT("'Thanh Toán ("&amp;O$3&amp;")'!$B:$B"),'Tổng Đơn'!$B36),0)</f>
        <v>0</v>
      </c>
      <c r="P36" s="2">
        <f ca="1">IFERROR(SUMIFS(INDIRECT("'Thanh Toán ("&amp;P$3&amp;")'!$e:$e"),INDIRECT("'Thanh Toán ("&amp;P$3&amp;")'!$B:$B"),'Tổng Đơn'!$B36),0)</f>
        <v>0</v>
      </c>
      <c r="Q36" s="2">
        <f ca="1">IFERROR(SUMIFS(INDIRECT("'Thanh Toán ("&amp;Q$3&amp;")'!$e:$e"),INDIRECT("'Thanh Toán ("&amp;Q$3&amp;")'!$B:$B"),'Tổng Đơn'!$B36),0)</f>
        <v>0</v>
      </c>
      <c r="R36" s="2">
        <f ca="1">IFERROR(SUMIFS(INDIRECT("'Thanh Toán ("&amp;R$3&amp;")'!$e:$e"),INDIRECT("'Thanh Toán ("&amp;R$3&amp;")'!$B:$B"),'Tổng Đơn'!$B36),0)</f>
        <v>0</v>
      </c>
      <c r="S36" s="2">
        <f ca="1">IFERROR(SUMIFS(INDIRECT("'Thanh Toán ("&amp;S$3&amp;")'!$e:$e"),INDIRECT("'Thanh Toán ("&amp;S$3&amp;")'!$B:$B"),'Tổng Đơn'!$B36),0)</f>
        <v>0</v>
      </c>
      <c r="T36" s="2">
        <f ca="1">IFERROR(SUMIFS(INDIRECT("'Thanh Toán ("&amp;T$3&amp;")'!$e:$e"),INDIRECT("'Thanh Toán ("&amp;T$3&amp;")'!$B:$B"),'Tổng Đơn'!$B36),0)</f>
        <v>0</v>
      </c>
      <c r="U36" s="2">
        <f ca="1">IFERROR(SUMIFS(INDIRECT("'Thanh Toán ("&amp;U$3&amp;")'!$e:$e"),INDIRECT("'Thanh Toán ("&amp;U$3&amp;")'!$B:$B"),'Tổng Đơn'!$B36),0)</f>
        <v>0</v>
      </c>
      <c r="V36" s="2">
        <f ca="1">IFERROR(SUMIFS(INDIRECT("'Thanh Toán ("&amp;V$3&amp;")'!$e:$e"),INDIRECT("'Thanh Toán ("&amp;V$3&amp;")'!$B:$B"),'Tổng Đơn'!$B36),0)</f>
        <v>0</v>
      </c>
      <c r="W36" s="2">
        <f ca="1">IFERROR(SUMIFS(INDIRECT("'Thanh Toán ("&amp;W$3&amp;")'!$e:$e"),INDIRECT("'Thanh Toán ("&amp;W$3&amp;")'!$B:$B"),'Tổng Đơn'!$B36),0)</f>
        <v>0</v>
      </c>
      <c r="X36" s="2">
        <f ca="1">IFERROR(SUMIFS(INDIRECT("'Thanh Toán ("&amp;X$3&amp;")'!$e:$e"),INDIRECT("'Thanh Toán ("&amp;X$3&amp;")'!$B:$B"),'Tổng Đơn'!$B36),0)</f>
        <v>0</v>
      </c>
      <c r="Y36" s="2">
        <f ca="1">IFERROR(SUMIFS(INDIRECT("'Thanh Toán ("&amp;Y$3&amp;")'!$e:$e"),INDIRECT("'Thanh Toán ("&amp;Y$3&amp;")'!$B:$B"),'Tổng Đơn'!$B36),0)</f>
        <v>0</v>
      </c>
      <c r="Z36" s="2">
        <f ca="1">IFERROR(SUMIFS(INDIRECT("'Thanh Toán ("&amp;Z$3&amp;")'!$e:$e"),INDIRECT("'Thanh Toán ("&amp;Z$3&amp;")'!$B:$B"),'Tổng Đơn'!$B36),0)</f>
        <v>0</v>
      </c>
      <c r="AA36" s="2">
        <f ca="1">IFERROR(SUMIFS(INDIRECT("'Thanh Toán ("&amp;AA$3&amp;")'!$e:$e"),INDIRECT("'Thanh Toán ("&amp;AA$3&amp;")'!$B:$B"),'Tổng Đơn'!$B36),0)</f>
        <v>0</v>
      </c>
      <c r="AB36" s="2">
        <f ca="1">IFERROR(SUMIFS(INDIRECT("'Thanh Toán ("&amp;AB$3&amp;")'!$e:$e"),INDIRECT("'Thanh Toán ("&amp;AB$3&amp;")'!$B:$B"),'Tổng Đơn'!$B36),0)</f>
        <v>0</v>
      </c>
      <c r="AC36" s="2">
        <f ca="1">IFERROR(SUMIFS(INDIRECT("'Thanh Toán ("&amp;AC$3&amp;")'!$e:$e"),INDIRECT("'Thanh Toán ("&amp;AC$3&amp;")'!$B:$B"),'Tổng Đơn'!$B36),0)</f>
        <v>0</v>
      </c>
      <c r="AD36" s="2">
        <f ca="1">IFERROR(SUMIFS(INDIRECT("'Thanh Toán ("&amp;AD$3&amp;")'!$e:$e"),INDIRECT("'Thanh Toán ("&amp;AD$3&amp;")'!$B:$B"),'Tổng Đơn'!$B36),0)</f>
        <v>0</v>
      </c>
      <c r="AE36" s="2">
        <f ca="1">IFERROR(SUMIFS(INDIRECT("'Thanh Toán ("&amp;AE$3&amp;")'!$e:$e"),INDIRECT("'Thanh Toán ("&amp;AE$3&amp;")'!$B:$B"),'Tổng Đơn'!$B36),0)</f>
        <v>0</v>
      </c>
      <c r="AF36" s="2">
        <f ca="1">IFERROR(SUMIFS(INDIRECT("'Thanh Toán ("&amp;AF$3&amp;")'!$e:$e"),INDIRECT("'Thanh Toán ("&amp;AF$3&amp;")'!$B:$B"),'Tổng Đơn'!$B36),0)</f>
        <v>0</v>
      </c>
      <c r="AG36" s="2">
        <f ca="1">IFERROR(SUMIFS(INDIRECT("'Thanh Toán ("&amp;AG$3&amp;")'!$e:$e"),INDIRECT("'Thanh Toán ("&amp;AG$3&amp;")'!$B:$B"),'Tổng Đơn'!$B36),0)</f>
        <v>0</v>
      </c>
      <c r="AH36" s="2">
        <f ca="1">IFERROR(SUMIFS(INDIRECT("'Thanh Toán ("&amp;AH$3&amp;")'!$e:$e"),INDIRECT("'Thanh Toán ("&amp;AH$3&amp;")'!$B:$B"),'Tổng Đơn'!$B36),0)</f>
        <v>0</v>
      </c>
      <c r="AI36" s="2">
        <f ca="1">IFERROR(SUMIFS(INDIRECT("'Thanh Toán ("&amp;AI$3&amp;")'!$e:$e"),INDIRECT("'Thanh Toán ("&amp;AI$3&amp;")'!$B:$B"),'Tổng Đơn'!$B36),0)</f>
        <v>0</v>
      </c>
      <c r="AJ36" s="2">
        <f ca="1">IFERROR(SUMIFS(INDIRECT("'Thanh Toán ("&amp;AJ$3&amp;")'!$e:$e"),INDIRECT("'Thanh Toán ("&amp;AJ$3&amp;")'!$B:$B"),'Tổng Đơn'!$B36),0)</f>
        <v>0</v>
      </c>
      <c r="AK36" s="2">
        <f ca="1">IFERROR(SUMIFS(INDIRECT("'Thanh Toán ("&amp;AK$3&amp;")'!$e:$e"),INDIRECT("'Thanh Toán ("&amp;AK$3&amp;")'!$B:$B"),'Tổng Đơn'!$B36),0)</f>
        <v>0</v>
      </c>
      <c r="AL36" s="2">
        <f ca="1">IFERROR(SUMIFS(INDIRECT("'Thanh Toán ("&amp;AL$3&amp;")'!$e:$e"),INDIRECT("'Thanh Toán ("&amp;AL$3&amp;")'!$B:$B"),'Tổng Đơn'!$B36),0)</f>
        <v>0</v>
      </c>
      <c r="AM36" s="2">
        <f ca="1">IFERROR(SUMIFS(INDIRECT("'Thanh Toán ("&amp;AM$3&amp;")'!$e:$e"),INDIRECT("'Thanh Toán ("&amp;AM$3&amp;")'!$B:$B"),'Tổng Đơn'!$B36),0)</f>
        <v>0</v>
      </c>
      <c r="AN36" s="2">
        <f ca="1">IFERROR(SUMIFS(INDIRECT("'Thanh Toán ("&amp;AN$3&amp;")'!$e:$e"),INDIRECT("'Thanh Toán ("&amp;AN$3&amp;")'!$B:$B"),'Tổng Đơn'!$B36),0)</f>
        <v>0</v>
      </c>
      <c r="AO36" s="2">
        <f ca="1">IFERROR(SUMIFS(INDIRECT("'Thanh Toán ("&amp;AO$3&amp;")'!$e:$e"),INDIRECT("'Thanh Toán ("&amp;AO$3&amp;")'!$B:$B"),'Tổng Đơn'!$B36),0)</f>
        <v>0</v>
      </c>
    </row>
    <row r="37" spans="1:41" x14ac:dyDescent="0.25">
      <c r="A37" s="23">
        <v>33</v>
      </c>
      <c r="B37" s="151" t="s">
        <v>41</v>
      </c>
      <c r="C37" s="23" t="s">
        <v>92</v>
      </c>
      <c r="D37" s="44">
        <f>VLOOKUP($C37,Sheet1!$C$2:$D$98,2,0)</f>
        <v>14000</v>
      </c>
      <c r="E37" s="60">
        <v>0.2</v>
      </c>
      <c r="F37" s="58">
        <f t="shared" ca="1" si="3"/>
        <v>1</v>
      </c>
      <c r="G37" s="58">
        <v>12.122938823299835</v>
      </c>
      <c r="H37" s="58">
        <f t="shared" ref="H37:H63" ca="1" si="5">(D37-G37*1000)*$F37</f>
        <v>1877.0611767001647</v>
      </c>
      <c r="I37" s="58"/>
      <c r="J37" s="58">
        <f t="shared" ca="1" si="4"/>
        <v>12122.938823299835</v>
      </c>
      <c r="K37" s="58"/>
      <c r="L37" s="2">
        <f ca="1">IFERROR(SUMIFS(INDIRECT("'Thanh Toán ("&amp;L$3&amp;")'!$e:$e"),INDIRECT("'Thanh Toán ("&amp;L$3&amp;")'!$B:$B"),'Tổng Đơn'!$B37),0)</f>
        <v>1</v>
      </c>
      <c r="M37" s="2">
        <f ca="1">IFERROR(SUMIFS(INDIRECT("'Thanh Toán ("&amp;M$3&amp;")'!$e:$e"),INDIRECT("'Thanh Toán ("&amp;M$3&amp;")'!$B:$B"),'Tổng Đơn'!$B37),0)</f>
        <v>0</v>
      </c>
      <c r="N37" s="2">
        <f ca="1">IFERROR(SUMIFS(INDIRECT("'Thanh Toán ("&amp;N$3&amp;")'!$e:$e"),INDIRECT("'Thanh Toán ("&amp;N$3&amp;")'!$B:$B"),'Tổng Đơn'!$B37),0)</f>
        <v>0</v>
      </c>
      <c r="O37" s="2">
        <f ca="1">IFERROR(SUMIFS(INDIRECT("'Thanh Toán ("&amp;O$3&amp;")'!$e:$e"),INDIRECT("'Thanh Toán ("&amp;O$3&amp;")'!$B:$B"),'Tổng Đơn'!$B37),0)</f>
        <v>0</v>
      </c>
      <c r="P37" s="2">
        <f ca="1">IFERROR(SUMIFS(INDIRECT("'Thanh Toán ("&amp;P$3&amp;")'!$e:$e"),INDIRECT("'Thanh Toán ("&amp;P$3&amp;")'!$B:$B"),'Tổng Đơn'!$B37),0)</f>
        <v>0</v>
      </c>
      <c r="Q37" s="2">
        <f ca="1">IFERROR(SUMIFS(INDIRECT("'Thanh Toán ("&amp;Q$3&amp;")'!$e:$e"),INDIRECT("'Thanh Toán ("&amp;Q$3&amp;")'!$B:$B"),'Tổng Đơn'!$B37),0)</f>
        <v>0</v>
      </c>
      <c r="R37" s="2">
        <f ca="1">IFERROR(SUMIFS(INDIRECT("'Thanh Toán ("&amp;R$3&amp;")'!$e:$e"),INDIRECT("'Thanh Toán ("&amp;R$3&amp;")'!$B:$B"),'Tổng Đơn'!$B37),0)</f>
        <v>0</v>
      </c>
      <c r="S37" s="2">
        <f ca="1">IFERROR(SUMIFS(INDIRECT("'Thanh Toán ("&amp;S$3&amp;")'!$e:$e"),INDIRECT("'Thanh Toán ("&amp;S$3&amp;")'!$B:$B"),'Tổng Đơn'!$B37),0)</f>
        <v>0</v>
      </c>
      <c r="T37" s="2">
        <f ca="1">IFERROR(SUMIFS(INDIRECT("'Thanh Toán ("&amp;T$3&amp;")'!$e:$e"),INDIRECT("'Thanh Toán ("&amp;T$3&amp;")'!$B:$B"),'Tổng Đơn'!$B37),0)</f>
        <v>0</v>
      </c>
      <c r="U37" s="2">
        <f ca="1">IFERROR(SUMIFS(INDIRECT("'Thanh Toán ("&amp;U$3&amp;")'!$e:$e"),INDIRECT("'Thanh Toán ("&amp;U$3&amp;")'!$B:$B"),'Tổng Đơn'!$B37),0)</f>
        <v>0</v>
      </c>
      <c r="V37" s="2">
        <f ca="1">IFERROR(SUMIFS(INDIRECT("'Thanh Toán ("&amp;V$3&amp;")'!$e:$e"),INDIRECT("'Thanh Toán ("&amp;V$3&amp;")'!$B:$B"),'Tổng Đơn'!$B37),0)</f>
        <v>0</v>
      </c>
      <c r="W37" s="2">
        <f ca="1">IFERROR(SUMIFS(INDIRECT("'Thanh Toán ("&amp;W$3&amp;")'!$e:$e"),INDIRECT("'Thanh Toán ("&amp;W$3&amp;")'!$B:$B"),'Tổng Đơn'!$B37),0)</f>
        <v>0</v>
      </c>
      <c r="X37" s="2">
        <f ca="1">IFERROR(SUMIFS(INDIRECT("'Thanh Toán ("&amp;X$3&amp;")'!$e:$e"),INDIRECT("'Thanh Toán ("&amp;X$3&amp;")'!$B:$B"),'Tổng Đơn'!$B37),0)</f>
        <v>0</v>
      </c>
      <c r="Y37" s="2">
        <f ca="1">IFERROR(SUMIFS(INDIRECT("'Thanh Toán ("&amp;Y$3&amp;")'!$e:$e"),INDIRECT("'Thanh Toán ("&amp;Y$3&amp;")'!$B:$B"),'Tổng Đơn'!$B37),0)</f>
        <v>0</v>
      </c>
      <c r="Z37" s="2">
        <f ca="1">IFERROR(SUMIFS(INDIRECT("'Thanh Toán ("&amp;Z$3&amp;")'!$e:$e"),INDIRECT("'Thanh Toán ("&amp;Z$3&amp;")'!$B:$B"),'Tổng Đơn'!$B37),0)</f>
        <v>0</v>
      </c>
      <c r="AA37" s="2">
        <f ca="1">IFERROR(SUMIFS(INDIRECT("'Thanh Toán ("&amp;AA$3&amp;")'!$e:$e"),INDIRECT("'Thanh Toán ("&amp;AA$3&amp;")'!$B:$B"),'Tổng Đơn'!$B37),0)</f>
        <v>0</v>
      </c>
      <c r="AB37" s="2">
        <f ca="1">IFERROR(SUMIFS(INDIRECT("'Thanh Toán ("&amp;AB$3&amp;")'!$e:$e"),INDIRECT("'Thanh Toán ("&amp;AB$3&amp;")'!$B:$B"),'Tổng Đơn'!$B37),0)</f>
        <v>0</v>
      </c>
      <c r="AC37" s="2">
        <f ca="1">IFERROR(SUMIFS(INDIRECT("'Thanh Toán ("&amp;AC$3&amp;")'!$e:$e"),INDIRECT("'Thanh Toán ("&amp;AC$3&amp;")'!$B:$B"),'Tổng Đơn'!$B37),0)</f>
        <v>0</v>
      </c>
      <c r="AD37" s="2">
        <f ca="1">IFERROR(SUMIFS(INDIRECT("'Thanh Toán ("&amp;AD$3&amp;")'!$e:$e"),INDIRECT("'Thanh Toán ("&amp;AD$3&amp;")'!$B:$B"),'Tổng Đơn'!$B37),0)</f>
        <v>0</v>
      </c>
      <c r="AE37" s="2">
        <f ca="1">IFERROR(SUMIFS(INDIRECT("'Thanh Toán ("&amp;AE$3&amp;")'!$e:$e"),INDIRECT("'Thanh Toán ("&amp;AE$3&amp;")'!$B:$B"),'Tổng Đơn'!$B37),0)</f>
        <v>0</v>
      </c>
      <c r="AF37" s="2">
        <f ca="1">IFERROR(SUMIFS(INDIRECT("'Thanh Toán ("&amp;AF$3&amp;")'!$e:$e"),INDIRECT("'Thanh Toán ("&amp;AF$3&amp;")'!$B:$B"),'Tổng Đơn'!$B37),0)</f>
        <v>0</v>
      </c>
      <c r="AG37" s="2">
        <f ca="1">IFERROR(SUMIFS(INDIRECT("'Thanh Toán ("&amp;AG$3&amp;")'!$e:$e"),INDIRECT("'Thanh Toán ("&amp;AG$3&amp;")'!$B:$B"),'Tổng Đơn'!$B37),0)</f>
        <v>0</v>
      </c>
      <c r="AH37" s="2">
        <f ca="1">IFERROR(SUMIFS(INDIRECT("'Thanh Toán ("&amp;AH$3&amp;")'!$e:$e"),INDIRECT("'Thanh Toán ("&amp;AH$3&amp;")'!$B:$B"),'Tổng Đơn'!$B37),0)</f>
        <v>0</v>
      </c>
      <c r="AI37" s="2">
        <f ca="1">IFERROR(SUMIFS(INDIRECT("'Thanh Toán ("&amp;AI$3&amp;")'!$e:$e"),INDIRECT("'Thanh Toán ("&amp;AI$3&amp;")'!$B:$B"),'Tổng Đơn'!$B37),0)</f>
        <v>0</v>
      </c>
      <c r="AJ37" s="2">
        <f ca="1">IFERROR(SUMIFS(INDIRECT("'Thanh Toán ("&amp;AJ$3&amp;")'!$e:$e"),INDIRECT("'Thanh Toán ("&amp;AJ$3&amp;")'!$B:$B"),'Tổng Đơn'!$B37),0)</f>
        <v>0</v>
      </c>
      <c r="AK37" s="2">
        <f ca="1">IFERROR(SUMIFS(INDIRECT("'Thanh Toán ("&amp;AK$3&amp;")'!$e:$e"),INDIRECT("'Thanh Toán ("&amp;AK$3&amp;")'!$B:$B"),'Tổng Đơn'!$B37),0)</f>
        <v>0</v>
      </c>
      <c r="AL37" s="2">
        <f ca="1">IFERROR(SUMIFS(INDIRECT("'Thanh Toán ("&amp;AL$3&amp;")'!$e:$e"),INDIRECT("'Thanh Toán ("&amp;AL$3&amp;")'!$B:$B"),'Tổng Đơn'!$B37),0)</f>
        <v>0</v>
      </c>
      <c r="AM37" s="2">
        <f ca="1">IFERROR(SUMIFS(INDIRECT("'Thanh Toán ("&amp;AM$3&amp;")'!$e:$e"),INDIRECT("'Thanh Toán ("&amp;AM$3&amp;")'!$B:$B"),'Tổng Đơn'!$B37),0)</f>
        <v>0</v>
      </c>
      <c r="AN37" s="2">
        <f ca="1">IFERROR(SUMIFS(INDIRECT("'Thanh Toán ("&amp;AN$3&amp;")'!$e:$e"),INDIRECT("'Thanh Toán ("&amp;AN$3&amp;")'!$B:$B"),'Tổng Đơn'!$B37),0)</f>
        <v>0</v>
      </c>
      <c r="AO37" s="2">
        <f ca="1">IFERROR(SUMIFS(INDIRECT("'Thanh Toán ("&amp;AO$3&amp;")'!$e:$e"),INDIRECT("'Thanh Toán ("&amp;AO$3&amp;")'!$B:$B"),'Tổng Đơn'!$B37),0)</f>
        <v>0</v>
      </c>
    </row>
    <row r="38" spans="1:41" x14ac:dyDescent="0.25">
      <c r="A38" s="23">
        <v>34</v>
      </c>
      <c r="B38" s="151" t="s">
        <v>42</v>
      </c>
      <c r="C38" s="23" t="s">
        <v>93</v>
      </c>
      <c r="D38" s="44">
        <f>VLOOKUP($C38,Sheet1!$C$2:$D$98,2,0)</f>
        <v>35000</v>
      </c>
      <c r="E38" s="60">
        <v>0.5</v>
      </c>
      <c r="F38" s="58">
        <f t="shared" ca="1" si="3"/>
        <v>0</v>
      </c>
      <c r="G38" s="58">
        <v>28.791979705337106</v>
      </c>
      <c r="H38" s="58">
        <f t="shared" ca="1" si="5"/>
        <v>0</v>
      </c>
      <c r="I38" s="58"/>
      <c r="J38" s="58">
        <f t="shared" ca="1" si="4"/>
        <v>0</v>
      </c>
      <c r="K38" s="58"/>
      <c r="L38" s="2">
        <f ca="1">IFERROR(SUMIFS(INDIRECT("'Thanh Toán ("&amp;L$3&amp;")'!$e:$e"),INDIRECT("'Thanh Toán ("&amp;L$3&amp;")'!$B:$B"),'Tổng Đơn'!$B38),0)</f>
        <v>0</v>
      </c>
      <c r="M38" s="2">
        <f ca="1">IFERROR(SUMIFS(INDIRECT("'Thanh Toán ("&amp;M$3&amp;")'!$e:$e"),INDIRECT("'Thanh Toán ("&amp;M$3&amp;")'!$B:$B"),'Tổng Đơn'!$B38),0)</f>
        <v>0</v>
      </c>
      <c r="N38" s="2">
        <f ca="1">IFERROR(SUMIFS(INDIRECT("'Thanh Toán ("&amp;N$3&amp;")'!$e:$e"),INDIRECT("'Thanh Toán ("&amp;N$3&amp;")'!$B:$B"),'Tổng Đơn'!$B38),0)</f>
        <v>0</v>
      </c>
      <c r="O38" s="2">
        <f ca="1">IFERROR(SUMIFS(INDIRECT("'Thanh Toán ("&amp;O$3&amp;")'!$e:$e"),INDIRECT("'Thanh Toán ("&amp;O$3&amp;")'!$B:$B"),'Tổng Đơn'!$B38),0)</f>
        <v>0</v>
      </c>
      <c r="P38" s="2">
        <f ca="1">IFERROR(SUMIFS(INDIRECT("'Thanh Toán ("&amp;P$3&amp;")'!$e:$e"),INDIRECT("'Thanh Toán ("&amp;P$3&amp;")'!$B:$B"),'Tổng Đơn'!$B38),0)</f>
        <v>0</v>
      </c>
      <c r="Q38" s="2">
        <f ca="1">IFERROR(SUMIFS(INDIRECT("'Thanh Toán ("&amp;Q$3&amp;")'!$e:$e"),INDIRECT("'Thanh Toán ("&amp;Q$3&amp;")'!$B:$B"),'Tổng Đơn'!$B38),0)</f>
        <v>0</v>
      </c>
      <c r="R38" s="2">
        <f ca="1">IFERROR(SUMIFS(INDIRECT("'Thanh Toán ("&amp;R$3&amp;")'!$e:$e"),INDIRECT("'Thanh Toán ("&amp;R$3&amp;")'!$B:$B"),'Tổng Đơn'!$B38),0)</f>
        <v>0</v>
      </c>
      <c r="S38" s="2">
        <f ca="1">IFERROR(SUMIFS(INDIRECT("'Thanh Toán ("&amp;S$3&amp;")'!$e:$e"),INDIRECT("'Thanh Toán ("&amp;S$3&amp;")'!$B:$B"),'Tổng Đơn'!$B38),0)</f>
        <v>0</v>
      </c>
      <c r="T38" s="2">
        <f ca="1">IFERROR(SUMIFS(INDIRECT("'Thanh Toán ("&amp;T$3&amp;")'!$e:$e"),INDIRECT("'Thanh Toán ("&amp;T$3&amp;")'!$B:$B"),'Tổng Đơn'!$B38),0)</f>
        <v>0</v>
      </c>
      <c r="U38" s="2">
        <f ca="1">IFERROR(SUMIFS(INDIRECT("'Thanh Toán ("&amp;U$3&amp;")'!$e:$e"),INDIRECT("'Thanh Toán ("&amp;U$3&amp;")'!$B:$B"),'Tổng Đơn'!$B38),0)</f>
        <v>0</v>
      </c>
      <c r="V38" s="2">
        <f ca="1">IFERROR(SUMIFS(INDIRECT("'Thanh Toán ("&amp;V$3&amp;")'!$e:$e"),INDIRECT("'Thanh Toán ("&amp;V$3&amp;")'!$B:$B"),'Tổng Đơn'!$B38),0)</f>
        <v>0</v>
      </c>
      <c r="W38" s="2">
        <f ca="1">IFERROR(SUMIFS(INDIRECT("'Thanh Toán ("&amp;W$3&amp;")'!$e:$e"),INDIRECT("'Thanh Toán ("&amp;W$3&amp;")'!$B:$B"),'Tổng Đơn'!$B38),0)</f>
        <v>0</v>
      </c>
      <c r="X38" s="2">
        <f ca="1">IFERROR(SUMIFS(INDIRECT("'Thanh Toán ("&amp;X$3&amp;")'!$e:$e"),INDIRECT("'Thanh Toán ("&amp;X$3&amp;")'!$B:$B"),'Tổng Đơn'!$B38),0)</f>
        <v>0</v>
      </c>
      <c r="Y38" s="2">
        <f ca="1">IFERROR(SUMIFS(INDIRECT("'Thanh Toán ("&amp;Y$3&amp;")'!$e:$e"),INDIRECT("'Thanh Toán ("&amp;Y$3&amp;")'!$B:$B"),'Tổng Đơn'!$B38),0)</f>
        <v>0</v>
      </c>
      <c r="Z38" s="2">
        <f ca="1">IFERROR(SUMIFS(INDIRECT("'Thanh Toán ("&amp;Z$3&amp;")'!$e:$e"),INDIRECT("'Thanh Toán ("&amp;Z$3&amp;")'!$B:$B"),'Tổng Đơn'!$B38),0)</f>
        <v>0</v>
      </c>
      <c r="AA38" s="2">
        <f ca="1">IFERROR(SUMIFS(INDIRECT("'Thanh Toán ("&amp;AA$3&amp;")'!$e:$e"),INDIRECT("'Thanh Toán ("&amp;AA$3&amp;")'!$B:$B"),'Tổng Đơn'!$B38),0)</f>
        <v>0</v>
      </c>
      <c r="AB38" s="2">
        <f ca="1">IFERROR(SUMIFS(INDIRECT("'Thanh Toán ("&amp;AB$3&amp;")'!$e:$e"),INDIRECT("'Thanh Toán ("&amp;AB$3&amp;")'!$B:$B"),'Tổng Đơn'!$B38),0)</f>
        <v>0</v>
      </c>
      <c r="AC38" s="2">
        <f ca="1">IFERROR(SUMIFS(INDIRECT("'Thanh Toán ("&amp;AC$3&amp;")'!$e:$e"),INDIRECT("'Thanh Toán ("&amp;AC$3&amp;")'!$B:$B"),'Tổng Đơn'!$B38),0)</f>
        <v>0</v>
      </c>
      <c r="AD38" s="2">
        <f ca="1">IFERROR(SUMIFS(INDIRECT("'Thanh Toán ("&amp;AD$3&amp;")'!$e:$e"),INDIRECT("'Thanh Toán ("&amp;AD$3&amp;")'!$B:$B"),'Tổng Đơn'!$B38),0)</f>
        <v>0</v>
      </c>
      <c r="AE38" s="2">
        <f ca="1">IFERROR(SUMIFS(INDIRECT("'Thanh Toán ("&amp;AE$3&amp;")'!$e:$e"),INDIRECT("'Thanh Toán ("&amp;AE$3&amp;")'!$B:$B"),'Tổng Đơn'!$B38),0)</f>
        <v>0</v>
      </c>
      <c r="AF38" s="2">
        <f ca="1">IFERROR(SUMIFS(INDIRECT("'Thanh Toán ("&amp;AF$3&amp;")'!$e:$e"),INDIRECT("'Thanh Toán ("&amp;AF$3&amp;")'!$B:$B"),'Tổng Đơn'!$B38),0)</f>
        <v>0</v>
      </c>
      <c r="AG38" s="2">
        <f ca="1">IFERROR(SUMIFS(INDIRECT("'Thanh Toán ("&amp;AG$3&amp;")'!$e:$e"),INDIRECT("'Thanh Toán ("&amp;AG$3&amp;")'!$B:$B"),'Tổng Đơn'!$B38),0)</f>
        <v>0</v>
      </c>
      <c r="AH38" s="2">
        <f ca="1">IFERROR(SUMIFS(INDIRECT("'Thanh Toán ("&amp;AH$3&amp;")'!$e:$e"),INDIRECT("'Thanh Toán ("&amp;AH$3&amp;")'!$B:$B"),'Tổng Đơn'!$B38),0)</f>
        <v>0</v>
      </c>
      <c r="AI38" s="2">
        <f ca="1">IFERROR(SUMIFS(INDIRECT("'Thanh Toán ("&amp;AI$3&amp;")'!$e:$e"),INDIRECT("'Thanh Toán ("&amp;AI$3&amp;")'!$B:$B"),'Tổng Đơn'!$B38),0)</f>
        <v>0</v>
      </c>
      <c r="AJ38" s="2">
        <f ca="1">IFERROR(SUMIFS(INDIRECT("'Thanh Toán ("&amp;AJ$3&amp;")'!$e:$e"),INDIRECT("'Thanh Toán ("&amp;AJ$3&amp;")'!$B:$B"),'Tổng Đơn'!$B38),0)</f>
        <v>0</v>
      </c>
      <c r="AK38" s="2">
        <f ca="1">IFERROR(SUMIFS(INDIRECT("'Thanh Toán ("&amp;AK$3&amp;")'!$e:$e"),INDIRECT("'Thanh Toán ("&amp;AK$3&amp;")'!$B:$B"),'Tổng Đơn'!$B38),0)</f>
        <v>0</v>
      </c>
      <c r="AL38" s="2">
        <f ca="1">IFERROR(SUMIFS(INDIRECT("'Thanh Toán ("&amp;AL$3&amp;")'!$e:$e"),INDIRECT("'Thanh Toán ("&amp;AL$3&amp;")'!$B:$B"),'Tổng Đơn'!$B38),0)</f>
        <v>0</v>
      </c>
      <c r="AM38" s="2">
        <f ca="1">IFERROR(SUMIFS(INDIRECT("'Thanh Toán ("&amp;AM$3&amp;")'!$e:$e"),INDIRECT("'Thanh Toán ("&amp;AM$3&amp;")'!$B:$B"),'Tổng Đơn'!$B38),0)</f>
        <v>0</v>
      </c>
      <c r="AN38" s="2">
        <f ca="1">IFERROR(SUMIFS(INDIRECT("'Thanh Toán ("&amp;AN$3&amp;")'!$e:$e"),INDIRECT("'Thanh Toán ("&amp;AN$3&amp;")'!$B:$B"),'Tổng Đơn'!$B38),0)</f>
        <v>0</v>
      </c>
      <c r="AO38" s="2">
        <f ca="1">IFERROR(SUMIFS(INDIRECT("'Thanh Toán ("&amp;AO$3&amp;")'!$e:$e"),INDIRECT("'Thanh Toán ("&amp;AO$3&amp;")'!$B:$B"),'Tổng Đơn'!$B38),0)</f>
        <v>0</v>
      </c>
    </row>
    <row r="39" spans="1:41" x14ac:dyDescent="0.25">
      <c r="A39" s="23">
        <v>35</v>
      </c>
      <c r="B39" s="151" t="s">
        <v>43</v>
      </c>
      <c r="C39" s="23" t="s">
        <v>94</v>
      </c>
      <c r="D39" s="44">
        <f>VLOOKUP($C39,Sheet1!$C$2:$D$98,2,0)</f>
        <v>14000</v>
      </c>
      <c r="E39" s="60">
        <v>0.2</v>
      </c>
      <c r="F39" s="58">
        <f t="shared" ca="1" si="3"/>
        <v>1</v>
      </c>
      <c r="G39" s="58">
        <v>12.122938823299835</v>
      </c>
      <c r="H39" s="58">
        <f t="shared" ca="1" si="5"/>
        <v>1877.0611767001647</v>
      </c>
      <c r="I39" s="58"/>
      <c r="J39" s="58">
        <f t="shared" ca="1" si="4"/>
        <v>12122.938823299835</v>
      </c>
      <c r="K39" s="58"/>
      <c r="L39" s="2">
        <f ca="1">IFERROR(SUMIFS(INDIRECT("'Thanh Toán ("&amp;L$3&amp;")'!$e:$e"),INDIRECT("'Thanh Toán ("&amp;L$3&amp;")'!$B:$B"),'Tổng Đơn'!$B39),0)</f>
        <v>0</v>
      </c>
      <c r="M39" s="2">
        <f ca="1">IFERROR(SUMIFS(INDIRECT("'Thanh Toán ("&amp;M$3&amp;")'!$e:$e"),INDIRECT("'Thanh Toán ("&amp;M$3&amp;")'!$B:$B"),'Tổng Đơn'!$B39),0)</f>
        <v>0</v>
      </c>
      <c r="N39" s="2">
        <f ca="1">IFERROR(SUMIFS(INDIRECT("'Thanh Toán ("&amp;N$3&amp;")'!$e:$e"),INDIRECT("'Thanh Toán ("&amp;N$3&amp;")'!$B:$B"),'Tổng Đơn'!$B39),0)</f>
        <v>0</v>
      </c>
      <c r="O39" s="2">
        <f ca="1">IFERROR(SUMIFS(INDIRECT("'Thanh Toán ("&amp;O$3&amp;")'!$e:$e"),INDIRECT("'Thanh Toán ("&amp;O$3&amp;")'!$B:$B"),'Tổng Đơn'!$B39),0)</f>
        <v>0</v>
      </c>
      <c r="P39" s="2">
        <f ca="1">IFERROR(SUMIFS(INDIRECT("'Thanh Toán ("&amp;P$3&amp;")'!$e:$e"),INDIRECT("'Thanh Toán ("&amp;P$3&amp;")'!$B:$B"),'Tổng Đơn'!$B39),0)</f>
        <v>0</v>
      </c>
      <c r="Q39" s="2">
        <f ca="1">IFERROR(SUMIFS(INDIRECT("'Thanh Toán ("&amp;Q$3&amp;")'!$e:$e"),INDIRECT("'Thanh Toán ("&amp;Q$3&amp;")'!$B:$B"),'Tổng Đơn'!$B39),0)</f>
        <v>0</v>
      </c>
      <c r="R39" s="2">
        <f ca="1">IFERROR(SUMIFS(INDIRECT("'Thanh Toán ("&amp;R$3&amp;")'!$e:$e"),INDIRECT("'Thanh Toán ("&amp;R$3&amp;")'!$B:$B"),'Tổng Đơn'!$B39),0)</f>
        <v>0</v>
      </c>
      <c r="S39" s="2">
        <f ca="1">IFERROR(SUMIFS(INDIRECT("'Thanh Toán ("&amp;S$3&amp;")'!$e:$e"),INDIRECT("'Thanh Toán ("&amp;S$3&amp;")'!$B:$B"),'Tổng Đơn'!$B39),0)</f>
        <v>0</v>
      </c>
      <c r="T39" s="2">
        <f ca="1">IFERROR(SUMIFS(INDIRECT("'Thanh Toán ("&amp;T$3&amp;")'!$e:$e"),INDIRECT("'Thanh Toán ("&amp;T$3&amp;")'!$B:$B"),'Tổng Đơn'!$B39),0)</f>
        <v>0</v>
      </c>
      <c r="U39" s="2">
        <f ca="1">IFERROR(SUMIFS(INDIRECT("'Thanh Toán ("&amp;U$3&amp;")'!$e:$e"),INDIRECT("'Thanh Toán ("&amp;U$3&amp;")'!$B:$B"),'Tổng Đơn'!$B39),0)</f>
        <v>0</v>
      </c>
      <c r="V39" s="2">
        <f ca="1">IFERROR(SUMIFS(INDIRECT("'Thanh Toán ("&amp;V$3&amp;")'!$e:$e"),INDIRECT("'Thanh Toán ("&amp;V$3&amp;")'!$B:$B"),'Tổng Đơn'!$B39),0)</f>
        <v>0</v>
      </c>
      <c r="W39" s="2">
        <f ca="1">IFERROR(SUMIFS(INDIRECT("'Thanh Toán ("&amp;W$3&amp;")'!$e:$e"),INDIRECT("'Thanh Toán ("&amp;W$3&amp;")'!$B:$B"),'Tổng Đơn'!$B39),0)</f>
        <v>0</v>
      </c>
      <c r="X39" s="2">
        <f ca="1">IFERROR(SUMIFS(INDIRECT("'Thanh Toán ("&amp;X$3&amp;")'!$e:$e"),INDIRECT("'Thanh Toán ("&amp;X$3&amp;")'!$B:$B"),'Tổng Đơn'!$B39),0)</f>
        <v>0</v>
      </c>
      <c r="Y39" s="2">
        <f ca="1">IFERROR(SUMIFS(INDIRECT("'Thanh Toán ("&amp;Y$3&amp;")'!$e:$e"),INDIRECT("'Thanh Toán ("&amp;Y$3&amp;")'!$B:$B"),'Tổng Đơn'!$B39),0)</f>
        <v>1</v>
      </c>
      <c r="Z39" s="2">
        <f ca="1">IFERROR(SUMIFS(INDIRECT("'Thanh Toán ("&amp;Z$3&amp;")'!$e:$e"),INDIRECT("'Thanh Toán ("&amp;Z$3&amp;")'!$B:$B"),'Tổng Đơn'!$B39),0)</f>
        <v>0</v>
      </c>
      <c r="AA39" s="2">
        <f ca="1">IFERROR(SUMIFS(INDIRECT("'Thanh Toán ("&amp;AA$3&amp;")'!$e:$e"),INDIRECT("'Thanh Toán ("&amp;AA$3&amp;")'!$B:$B"),'Tổng Đơn'!$B39),0)</f>
        <v>0</v>
      </c>
      <c r="AB39" s="2">
        <f ca="1">IFERROR(SUMIFS(INDIRECT("'Thanh Toán ("&amp;AB$3&amp;")'!$e:$e"),INDIRECT("'Thanh Toán ("&amp;AB$3&amp;")'!$B:$B"),'Tổng Đơn'!$B39),0)</f>
        <v>0</v>
      </c>
      <c r="AC39" s="2">
        <f ca="1">IFERROR(SUMIFS(INDIRECT("'Thanh Toán ("&amp;AC$3&amp;")'!$e:$e"),INDIRECT("'Thanh Toán ("&amp;AC$3&amp;")'!$B:$B"),'Tổng Đơn'!$B39),0)</f>
        <v>0</v>
      </c>
      <c r="AD39" s="2">
        <f ca="1">IFERROR(SUMIFS(INDIRECT("'Thanh Toán ("&amp;AD$3&amp;")'!$e:$e"),INDIRECT("'Thanh Toán ("&amp;AD$3&amp;")'!$B:$B"),'Tổng Đơn'!$B39),0)</f>
        <v>0</v>
      </c>
      <c r="AE39" s="2">
        <f ca="1">IFERROR(SUMIFS(INDIRECT("'Thanh Toán ("&amp;AE$3&amp;")'!$e:$e"),INDIRECT("'Thanh Toán ("&amp;AE$3&amp;")'!$B:$B"),'Tổng Đơn'!$B39),0)</f>
        <v>0</v>
      </c>
      <c r="AF39" s="2">
        <f ca="1">IFERROR(SUMIFS(INDIRECT("'Thanh Toán ("&amp;AF$3&amp;")'!$e:$e"),INDIRECT("'Thanh Toán ("&amp;AF$3&amp;")'!$B:$B"),'Tổng Đơn'!$B39),0)</f>
        <v>0</v>
      </c>
      <c r="AG39" s="2">
        <f ca="1">IFERROR(SUMIFS(INDIRECT("'Thanh Toán ("&amp;AG$3&amp;")'!$e:$e"),INDIRECT("'Thanh Toán ("&amp;AG$3&amp;")'!$B:$B"),'Tổng Đơn'!$B39),0)</f>
        <v>0</v>
      </c>
      <c r="AH39" s="2">
        <f ca="1">IFERROR(SUMIFS(INDIRECT("'Thanh Toán ("&amp;AH$3&amp;")'!$e:$e"),INDIRECT("'Thanh Toán ("&amp;AH$3&amp;")'!$B:$B"),'Tổng Đơn'!$B39),0)</f>
        <v>0</v>
      </c>
      <c r="AI39" s="2">
        <f ca="1">IFERROR(SUMIFS(INDIRECT("'Thanh Toán ("&amp;AI$3&amp;")'!$e:$e"),INDIRECT("'Thanh Toán ("&amp;AI$3&amp;")'!$B:$B"),'Tổng Đơn'!$B39),0)</f>
        <v>0</v>
      </c>
      <c r="AJ39" s="2">
        <f ca="1">IFERROR(SUMIFS(INDIRECT("'Thanh Toán ("&amp;AJ$3&amp;")'!$e:$e"),INDIRECT("'Thanh Toán ("&amp;AJ$3&amp;")'!$B:$B"),'Tổng Đơn'!$B39),0)</f>
        <v>0</v>
      </c>
      <c r="AK39" s="2">
        <f ca="1">IFERROR(SUMIFS(INDIRECT("'Thanh Toán ("&amp;AK$3&amp;")'!$e:$e"),INDIRECT("'Thanh Toán ("&amp;AK$3&amp;")'!$B:$B"),'Tổng Đơn'!$B39),0)</f>
        <v>0</v>
      </c>
      <c r="AL39" s="2">
        <f ca="1">IFERROR(SUMIFS(INDIRECT("'Thanh Toán ("&amp;AL$3&amp;")'!$e:$e"),INDIRECT("'Thanh Toán ("&amp;AL$3&amp;")'!$B:$B"),'Tổng Đơn'!$B39),0)</f>
        <v>0</v>
      </c>
      <c r="AM39" s="2">
        <f ca="1">IFERROR(SUMIFS(INDIRECT("'Thanh Toán ("&amp;AM$3&amp;")'!$e:$e"),INDIRECT("'Thanh Toán ("&amp;AM$3&amp;")'!$B:$B"),'Tổng Đơn'!$B39),0)</f>
        <v>0</v>
      </c>
      <c r="AN39" s="2">
        <f ca="1">IFERROR(SUMIFS(INDIRECT("'Thanh Toán ("&amp;AN$3&amp;")'!$e:$e"),INDIRECT("'Thanh Toán ("&amp;AN$3&amp;")'!$B:$B"),'Tổng Đơn'!$B39),0)</f>
        <v>0</v>
      </c>
      <c r="AO39" s="2">
        <f ca="1">IFERROR(SUMIFS(INDIRECT("'Thanh Toán ("&amp;AO$3&amp;")'!$e:$e"),INDIRECT("'Thanh Toán ("&amp;AO$3&amp;")'!$B:$B"),'Tổng Đơn'!$B39),0)</f>
        <v>0</v>
      </c>
    </row>
    <row r="40" spans="1:41" ht="15.75" customHeight="1" x14ac:dyDescent="0.25">
      <c r="A40" s="23">
        <v>36</v>
      </c>
      <c r="B40" s="151" t="s">
        <v>48</v>
      </c>
      <c r="C40" s="23" t="s">
        <v>95</v>
      </c>
      <c r="D40" s="44">
        <f>VLOOKUP($C40,Sheet1!$C$2:$D$98,2,0)</f>
        <v>59000</v>
      </c>
      <c r="E40" s="60">
        <v>0.5</v>
      </c>
      <c r="F40" s="58">
        <f t="shared" ca="1" si="3"/>
        <v>0</v>
      </c>
      <c r="G40" s="58">
        <v>49.502000195140987</v>
      </c>
      <c r="H40" s="58">
        <f t="shared" ca="1" si="5"/>
        <v>0</v>
      </c>
      <c r="I40" s="58"/>
      <c r="J40" s="58">
        <f t="shared" ca="1" si="4"/>
        <v>0</v>
      </c>
      <c r="K40" s="58"/>
      <c r="L40" s="2">
        <f ca="1">IFERROR(SUMIFS(INDIRECT("'Thanh Toán ("&amp;L$3&amp;")'!$e:$e"),INDIRECT("'Thanh Toán ("&amp;L$3&amp;")'!$B:$B"),'Tổng Đơn'!$B40),0)</f>
        <v>0</v>
      </c>
      <c r="M40" s="2">
        <f ca="1">IFERROR(SUMIFS(INDIRECT("'Thanh Toán ("&amp;M$3&amp;")'!$e:$e"),INDIRECT("'Thanh Toán ("&amp;M$3&amp;")'!$B:$B"),'Tổng Đơn'!$B40),0)</f>
        <v>0</v>
      </c>
      <c r="N40" s="2">
        <f ca="1">IFERROR(SUMIFS(INDIRECT("'Thanh Toán ("&amp;N$3&amp;")'!$e:$e"),INDIRECT("'Thanh Toán ("&amp;N$3&amp;")'!$B:$B"),'Tổng Đơn'!$B40),0)</f>
        <v>0</v>
      </c>
      <c r="O40" s="2">
        <f ca="1">IFERROR(SUMIFS(INDIRECT("'Thanh Toán ("&amp;O$3&amp;")'!$e:$e"),INDIRECT("'Thanh Toán ("&amp;O$3&amp;")'!$B:$B"),'Tổng Đơn'!$B40),0)</f>
        <v>0</v>
      </c>
      <c r="P40" s="2">
        <f ca="1">IFERROR(SUMIFS(INDIRECT("'Thanh Toán ("&amp;P$3&amp;")'!$e:$e"),INDIRECT("'Thanh Toán ("&amp;P$3&amp;")'!$B:$B"),'Tổng Đơn'!$B40),0)</f>
        <v>0</v>
      </c>
      <c r="Q40" s="2">
        <f ca="1">IFERROR(SUMIFS(INDIRECT("'Thanh Toán ("&amp;Q$3&amp;")'!$e:$e"),INDIRECT("'Thanh Toán ("&amp;Q$3&amp;")'!$B:$B"),'Tổng Đơn'!$B40),0)</f>
        <v>0</v>
      </c>
      <c r="R40" s="2">
        <f ca="1">IFERROR(SUMIFS(INDIRECT("'Thanh Toán ("&amp;R$3&amp;")'!$e:$e"),INDIRECT("'Thanh Toán ("&amp;R$3&amp;")'!$B:$B"),'Tổng Đơn'!$B40),0)</f>
        <v>0</v>
      </c>
      <c r="S40" s="2">
        <f ca="1">IFERROR(SUMIFS(INDIRECT("'Thanh Toán ("&amp;S$3&amp;")'!$e:$e"),INDIRECT("'Thanh Toán ("&amp;S$3&amp;")'!$B:$B"),'Tổng Đơn'!$B40),0)</f>
        <v>0</v>
      </c>
      <c r="T40" s="2">
        <f ca="1">IFERROR(SUMIFS(INDIRECT("'Thanh Toán ("&amp;T$3&amp;")'!$e:$e"),INDIRECT("'Thanh Toán ("&amp;T$3&amp;")'!$B:$B"),'Tổng Đơn'!$B40),0)</f>
        <v>0</v>
      </c>
      <c r="U40" s="2">
        <f ca="1">IFERROR(SUMIFS(INDIRECT("'Thanh Toán ("&amp;U$3&amp;")'!$e:$e"),INDIRECT("'Thanh Toán ("&amp;U$3&amp;")'!$B:$B"),'Tổng Đơn'!$B40),0)</f>
        <v>0</v>
      </c>
      <c r="V40" s="2">
        <f ca="1">IFERROR(SUMIFS(INDIRECT("'Thanh Toán ("&amp;V$3&amp;")'!$e:$e"),INDIRECT("'Thanh Toán ("&amp;V$3&amp;")'!$B:$B"),'Tổng Đơn'!$B40),0)</f>
        <v>0</v>
      </c>
      <c r="W40" s="2">
        <f ca="1">IFERROR(SUMIFS(INDIRECT("'Thanh Toán ("&amp;W$3&amp;")'!$e:$e"),INDIRECT("'Thanh Toán ("&amp;W$3&amp;")'!$B:$B"),'Tổng Đơn'!$B40),0)</f>
        <v>0</v>
      </c>
      <c r="X40" s="2">
        <f ca="1">IFERROR(SUMIFS(INDIRECT("'Thanh Toán ("&amp;X$3&amp;")'!$e:$e"),INDIRECT("'Thanh Toán ("&amp;X$3&amp;")'!$B:$B"),'Tổng Đơn'!$B40),0)</f>
        <v>0</v>
      </c>
      <c r="Y40" s="2">
        <f ca="1">IFERROR(SUMIFS(INDIRECT("'Thanh Toán ("&amp;Y$3&amp;")'!$e:$e"),INDIRECT("'Thanh Toán ("&amp;Y$3&amp;")'!$B:$B"),'Tổng Đơn'!$B40),0)</f>
        <v>0</v>
      </c>
      <c r="Z40" s="2">
        <f ca="1">IFERROR(SUMIFS(INDIRECT("'Thanh Toán ("&amp;Z$3&amp;")'!$e:$e"),INDIRECT("'Thanh Toán ("&amp;Z$3&amp;")'!$B:$B"),'Tổng Đơn'!$B40),0)</f>
        <v>0</v>
      </c>
      <c r="AA40" s="2">
        <f ca="1">IFERROR(SUMIFS(INDIRECT("'Thanh Toán ("&amp;AA$3&amp;")'!$e:$e"),INDIRECT("'Thanh Toán ("&amp;AA$3&amp;")'!$B:$B"),'Tổng Đơn'!$B40),0)</f>
        <v>0</v>
      </c>
      <c r="AB40" s="2">
        <f ca="1">IFERROR(SUMIFS(INDIRECT("'Thanh Toán ("&amp;AB$3&amp;")'!$e:$e"),INDIRECT("'Thanh Toán ("&amp;AB$3&amp;")'!$B:$B"),'Tổng Đơn'!$B40),0)</f>
        <v>0</v>
      </c>
      <c r="AC40" s="2">
        <f ca="1">IFERROR(SUMIFS(INDIRECT("'Thanh Toán ("&amp;AC$3&amp;")'!$e:$e"),INDIRECT("'Thanh Toán ("&amp;AC$3&amp;")'!$B:$B"),'Tổng Đơn'!$B40),0)</f>
        <v>0</v>
      </c>
      <c r="AD40" s="2">
        <f ca="1">IFERROR(SUMIFS(INDIRECT("'Thanh Toán ("&amp;AD$3&amp;")'!$e:$e"),INDIRECT("'Thanh Toán ("&amp;AD$3&amp;")'!$B:$B"),'Tổng Đơn'!$B40),0)</f>
        <v>0</v>
      </c>
      <c r="AE40" s="2">
        <f ca="1">IFERROR(SUMIFS(INDIRECT("'Thanh Toán ("&amp;AE$3&amp;")'!$e:$e"),INDIRECT("'Thanh Toán ("&amp;AE$3&amp;")'!$B:$B"),'Tổng Đơn'!$B40),0)</f>
        <v>0</v>
      </c>
      <c r="AF40" s="2">
        <f ca="1">IFERROR(SUMIFS(INDIRECT("'Thanh Toán ("&amp;AF$3&amp;")'!$e:$e"),INDIRECT("'Thanh Toán ("&amp;AF$3&amp;")'!$B:$B"),'Tổng Đơn'!$B40),0)</f>
        <v>0</v>
      </c>
      <c r="AG40" s="2">
        <f ca="1">IFERROR(SUMIFS(INDIRECT("'Thanh Toán ("&amp;AG$3&amp;")'!$e:$e"),INDIRECT("'Thanh Toán ("&amp;AG$3&amp;")'!$B:$B"),'Tổng Đơn'!$B40),0)</f>
        <v>0</v>
      </c>
      <c r="AH40" s="2">
        <f ca="1">IFERROR(SUMIFS(INDIRECT("'Thanh Toán ("&amp;AH$3&amp;")'!$e:$e"),INDIRECT("'Thanh Toán ("&amp;AH$3&amp;")'!$B:$B"),'Tổng Đơn'!$B40),0)</f>
        <v>0</v>
      </c>
      <c r="AI40" s="2">
        <f ca="1">IFERROR(SUMIFS(INDIRECT("'Thanh Toán ("&amp;AI$3&amp;")'!$e:$e"),INDIRECT("'Thanh Toán ("&amp;AI$3&amp;")'!$B:$B"),'Tổng Đơn'!$B40),0)</f>
        <v>0</v>
      </c>
      <c r="AJ40" s="2">
        <f ca="1">IFERROR(SUMIFS(INDIRECT("'Thanh Toán ("&amp;AJ$3&amp;")'!$e:$e"),INDIRECT("'Thanh Toán ("&amp;AJ$3&amp;")'!$B:$B"),'Tổng Đơn'!$B40),0)</f>
        <v>0</v>
      </c>
      <c r="AK40" s="2">
        <f ca="1">IFERROR(SUMIFS(INDIRECT("'Thanh Toán ("&amp;AK$3&amp;")'!$e:$e"),INDIRECT("'Thanh Toán ("&amp;AK$3&amp;")'!$B:$B"),'Tổng Đơn'!$B40),0)</f>
        <v>0</v>
      </c>
      <c r="AL40" s="2">
        <f ca="1">IFERROR(SUMIFS(INDIRECT("'Thanh Toán ("&amp;AL$3&amp;")'!$e:$e"),INDIRECT("'Thanh Toán ("&amp;AL$3&amp;")'!$B:$B"),'Tổng Đơn'!$B40),0)</f>
        <v>0</v>
      </c>
      <c r="AM40" s="2">
        <f ca="1">IFERROR(SUMIFS(INDIRECT("'Thanh Toán ("&amp;AM$3&amp;")'!$e:$e"),INDIRECT("'Thanh Toán ("&amp;AM$3&amp;")'!$B:$B"),'Tổng Đơn'!$B40),0)</f>
        <v>0</v>
      </c>
      <c r="AN40" s="2">
        <f ca="1">IFERROR(SUMIFS(INDIRECT("'Thanh Toán ("&amp;AN$3&amp;")'!$e:$e"),INDIRECT("'Thanh Toán ("&amp;AN$3&amp;")'!$B:$B"),'Tổng Đơn'!$B40),0)</f>
        <v>0</v>
      </c>
      <c r="AO40" s="2">
        <f ca="1">IFERROR(SUMIFS(INDIRECT("'Thanh Toán ("&amp;AO$3&amp;")'!$e:$e"),INDIRECT("'Thanh Toán ("&amp;AO$3&amp;")'!$B:$B"),'Tổng Đơn'!$B40),0)</f>
        <v>0</v>
      </c>
    </row>
    <row r="41" spans="1:41" x14ac:dyDescent="0.25">
      <c r="A41" s="23">
        <v>37</v>
      </c>
      <c r="B41" s="151" t="s">
        <v>49</v>
      </c>
      <c r="C41" s="23" t="s">
        <v>96</v>
      </c>
      <c r="D41" s="44">
        <f>VLOOKUP($C41,Sheet1!$C$2:$D$98,2,0)</f>
        <v>52000</v>
      </c>
      <c r="E41" s="60">
        <v>0.5</v>
      </c>
      <c r="F41" s="58">
        <f t="shared" ca="1" si="3"/>
        <v>0</v>
      </c>
      <c r="G41" s="58">
        <v>43.44053078349107</v>
      </c>
      <c r="H41" s="58">
        <f t="shared" ca="1" si="5"/>
        <v>0</v>
      </c>
      <c r="I41" s="58"/>
      <c r="J41" s="58">
        <f t="shared" ca="1" si="4"/>
        <v>0</v>
      </c>
      <c r="K41" s="58"/>
      <c r="L41" s="2">
        <f ca="1">IFERROR(SUMIFS(INDIRECT("'Thanh Toán ("&amp;L$3&amp;")'!$e:$e"),INDIRECT("'Thanh Toán ("&amp;L$3&amp;")'!$B:$B"),'Tổng Đơn'!$B41),0)</f>
        <v>0</v>
      </c>
      <c r="M41" s="2">
        <f ca="1">IFERROR(SUMIFS(INDIRECT("'Thanh Toán ("&amp;M$3&amp;")'!$e:$e"),INDIRECT("'Thanh Toán ("&amp;M$3&amp;")'!$B:$B"),'Tổng Đơn'!$B41),0)</f>
        <v>0</v>
      </c>
      <c r="N41" s="2">
        <f ca="1">IFERROR(SUMIFS(INDIRECT("'Thanh Toán ("&amp;N$3&amp;")'!$e:$e"),INDIRECT("'Thanh Toán ("&amp;N$3&amp;")'!$B:$B"),'Tổng Đơn'!$B41),0)</f>
        <v>0</v>
      </c>
      <c r="O41" s="2">
        <f ca="1">IFERROR(SUMIFS(INDIRECT("'Thanh Toán ("&amp;O$3&amp;")'!$e:$e"),INDIRECT("'Thanh Toán ("&amp;O$3&amp;")'!$B:$B"),'Tổng Đơn'!$B41),0)</f>
        <v>0</v>
      </c>
      <c r="P41" s="2">
        <f ca="1">IFERROR(SUMIFS(INDIRECT("'Thanh Toán ("&amp;P$3&amp;")'!$e:$e"),INDIRECT("'Thanh Toán ("&amp;P$3&amp;")'!$B:$B"),'Tổng Đơn'!$B41),0)</f>
        <v>0</v>
      </c>
      <c r="Q41" s="2">
        <f ca="1">IFERROR(SUMIFS(INDIRECT("'Thanh Toán ("&amp;Q$3&amp;")'!$e:$e"),INDIRECT("'Thanh Toán ("&amp;Q$3&amp;")'!$B:$B"),'Tổng Đơn'!$B41),0)</f>
        <v>0</v>
      </c>
      <c r="R41" s="2">
        <f ca="1">IFERROR(SUMIFS(INDIRECT("'Thanh Toán ("&amp;R$3&amp;")'!$e:$e"),INDIRECT("'Thanh Toán ("&amp;R$3&amp;")'!$B:$B"),'Tổng Đơn'!$B41),0)</f>
        <v>0</v>
      </c>
      <c r="S41" s="2">
        <f ca="1">IFERROR(SUMIFS(INDIRECT("'Thanh Toán ("&amp;S$3&amp;")'!$e:$e"),INDIRECT("'Thanh Toán ("&amp;S$3&amp;")'!$B:$B"),'Tổng Đơn'!$B41),0)</f>
        <v>0</v>
      </c>
      <c r="T41" s="2">
        <f ca="1">IFERROR(SUMIFS(INDIRECT("'Thanh Toán ("&amp;T$3&amp;")'!$e:$e"),INDIRECT("'Thanh Toán ("&amp;T$3&amp;")'!$B:$B"),'Tổng Đơn'!$B41),0)</f>
        <v>0</v>
      </c>
      <c r="U41" s="2">
        <f ca="1">IFERROR(SUMIFS(INDIRECT("'Thanh Toán ("&amp;U$3&amp;")'!$e:$e"),INDIRECT("'Thanh Toán ("&amp;U$3&amp;")'!$B:$B"),'Tổng Đơn'!$B41),0)</f>
        <v>0</v>
      </c>
      <c r="V41" s="2">
        <f ca="1">IFERROR(SUMIFS(INDIRECT("'Thanh Toán ("&amp;V$3&amp;")'!$e:$e"),INDIRECT("'Thanh Toán ("&amp;V$3&amp;")'!$B:$B"),'Tổng Đơn'!$B41),0)</f>
        <v>0</v>
      </c>
      <c r="W41" s="2">
        <f ca="1">IFERROR(SUMIFS(INDIRECT("'Thanh Toán ("&amp;W$3&amp;")'!$e:$e"),INDIRECT("'Thanh Toán ("&amp;W$3&amp;")'!$B:$B"),'Tổng Đơn'!$B41),0)</f>
        <v>0</v>
      </c>
      <c r="X41" s="2">
        <f ca="1">IFERROR(SUMIFS(INDIRECT("'Thanh Toán ("&amp;X$3&amp;")'!$e:$e"),INDIRECT("'Thanh Toán ("&amp;X$3&amp;")'!$B:$B"),'Tổng Đơn'!$B41),0)</f>
        <v>0</v>
      </c>
      <c r="Y41" s="2">
        <f ca="1">IFERROR(SUMIFS(INDIRECT("'Thanh Toán ("&amp;Y$3&amp;")'!$e:$e"),INDIRECT("'Thanh Toán ("&amp;Y$3&amp;")'!$B:$B"),'Tổng Đơn'!$B41),0)</f>
        <v>0</v>
      </c>
      <c r="Z41" s="2">
        <f ca="1">IFERROR(SUMIFS(INDIRECT("'Thanh Toán ("&amp;Z$3&amp;")'!$e:$e"),INDIRECT("'Thanh Toán ("&amp;Z$3&amp;")'!$B:$B"),'Tổng Đơn'!$B41),0)</f>
        <v>0</v>
      </c>
      <c r="AA41" s="2">
        <f ca="1">IFERROR(SUMIFS(INDIRECT("'Thanh Toán ("&amp;AA$3&amp;")'!$e:$e"),INDIRECT("'Thanh Toán ("&amp;AA$3&amp;")'!$B:$B"),'Tổng Đơn'!$B41),0)</f>
        <v>0</v>
      </c>
      <c r="AB41" s="2">
        <f ca="1">IFERROR(SUMIFS(INDIRECT("'Thanh Toán ("&amp;AB$3&amp;")'!$e:$e"),INDIRECT("'Thanh Toán ("&amp;AB$3&amp;")'!$B:$B"),'Tổng Đơn'!$B41),0)</f>
        <v>0</v>
      </c>
      <c r="AC41" s="2">
        <f ca="1">IFERROR(SUMIFS(INDIRECT("'Thanh Toán ("&amp;AC$3&amp;")'!$e:$e"),INDIRECT("'Thanh Toán ("&amp;AC$3&amp;")'!$B:$B"),'Tổng Đơn'!$B41),0)</f>
        <v>0</v>
      </c>
      <c r="AD41" s="2">
        <f ca="1">IFERROR(SUMIFS(INDIRECT("'Thanh Toán ("&amp;AD$3&amp;")'!$e:$e"),INDIRECT("'Thanh Toán ("&amp;AD$3&amp;")'!$B:$B"),'Tổng Đơn'!$B41),0)</f>
        <v>0</v>
      </c>
      <c r="AE41" s="2">
        <f ca="1">IFERROR(SUMIFS(INDIRECT("'Thanh Toán ("&amp;AE$3&amp;")'!$e:$e"),INDIRECT("'Thanh Toán ("&amp;AE$3&amp;")'!$B:$B"),'Tổng Đơn'!$B41),0)</f>
        <v>0</v>
      </c>
      <c r="AF41" s="2">
        <f ca="1">IFERROR(SUMIFS(INDIRECT("'Thanh Toán ("&amp;AF$3&amp;")'!$e:$e"),INDIRECT("'Thanh Toán ("&amp;AF$3&amp;")'!$B:$B"),'Tổng Đơn'!$B41),0)</f>
        <v>0</v>
      </c>
      <c r="AG41" s="2">
        <f ca="1">IFERROR(SUMIFS(INDIRECT("'Thanh Toán ("&amp;AG$3&amp;")'!$e:$e"),INDIRECT("'Thanh Toán ("&amp;AG$3&amp;")'!$B:$B"),'Tổng Đơn'!$B41),0)</f>
        <v>0</v>
      </c>
      <c r="AH41" s="2">
        <f ca="1">IFERROR(SUMIFS(INDIRECT("'Thanh Toán ("&amp;AH$3&amp;")'!$e:$e"),INDIRECT("'Thanh Toán ("&amp;AH$3&amp;")'!$B:$B"),'Tổng Đơn'!$B41),0)</f>
        <v>0</v>
      </c>
      <c r="AI41" s="2">
        <f ca="1">IFERROR(SUMIFS(INDIRECT("'Thanh Toán ("&amp;AI$3&amp;")'!$e:$e"),INDIRECT("'Thanh Toán ("&amp;AI$3&amp;")'!$B:$B"),'Tổng Đơn'!$B41),0)</f>
        <v>0</v>
      </c>
      <c r="AJ41" s="2">
        <f ca="1">IFERROR(SUMIFS(INDIRECT("'Thanh Toán ("&amp;AJ$3&amp;")'!$e:$e"),INDIRECT("'Thanh Toán ("&amp;AJ$3&amp;")'!$B:$B"),'Tổng Đơn'!$B41),0)</f>
        <v>0</v>
      </c>
      <c r="AK41" s="2">
        <f ca="1">IFERROR(SUMIFS(INDIRECT("'Thanh Toán ("&amp;AK$3&amp;")'!$e:$e"),INDIRECT("'Thanh Toán ("&amp;AK$3&amp;")'!$B:$B"),'Tổng Đơn'!$B41),0)</f>
        <v>0</v>
      </c>
      <c r="AL41" s="2">
        <f ca="1">IFERROR(SUMIFS(INDIRECT("'Thanh Toán ("&amp;AL$3&amp;")'!$e:$e"),INDIRECT("'Thanh Toán ("&amp;AL$3&amp;")'!$B:$B"),'Tổng Đơn'!$B41),0)</f>
        <v>0</v>
      </c>
      <c r="AM41" s="2">
        <f ca="1">IFERROR(SUMIFS(INDIRECT("'Thanh Toán ("&amp;AM$3&amp;")'!$e:$e"),INDIRECT("'Thanh Toán ("&amp;AM$3&amp;")'!$B:$B"),'Tổng Đơn'!$B41),0)</f>
        <v>0</v>
      </c>
      <c r="AN41" s="2">
        <f ca="1">IFERROR(SUMIFS(INDIRECT("'Thanh Toán ("&amp;AN$3&amp;")'!$e:$e"),INDIRECT("'Thanh Toán ("&amp;AN$3&amp;")'!$B:$B"),'Tổng Đơn'!$B41),0)</f>
        <v>0</v>
      </c>
      <c r="AO41" s="2">
        <f ca="1">IFERROR(SUMIFS(INDIRECT("'Thanh Toán ("&amp;AO$3&amp;")'!$e:$e"),INDIRECT("'Thanh Toán ("&amp;AO$3&amp;")'!$B:$B"),'Tổng Đơn'!$B41),0)</f>
        <v>0</v>
      </c>
    </row>
    <row r="42" spans="1:41" x14ac:dyDescent="0.25">
      <c r="A42" s="23">
        <v>38</v>
      </c>
      <c r="B42" s="151" t="s">
        <v>45</v>
      </c>
      <c r="C42" s="23" t="s">
        <v>97</v>
      </c>
      <c r="D42" s="44">
        <f>VLOOKUP($C42,Sheet1!$C$2:$D$98,2,0)</f>
        <v>65000</v>
      </c>
      <c r="E42" s="60">
        <v>0.5</v>
      </c>
      <c r="F42" s="58">
        <f t="shared" ca="1" si="3"/>
        <v>0</v>
      </c>
      <c r="G42" s="58">
        <v>54.553224704849256</v>
      </c>
      <c r="H42" s="58">
        <f t="shared" ca="1" si="5"/>
        <v>0</v>
      </c>
      <c r="I42" s="58"/>
      <c r="J42" s="58">
        <f t="shared" ca="1" si="4"/>
        <v>0</v>
      </c>
      <c r="K42" s="58"/>
      <c r="L42" s="2">
        <f ca="1">IFERROR(SUMIFS(INDIRECT("'Thanh Toán ("&amp;L$3&amp;")'!$e:$e"),INDIRECT("'Thanh Toán ("&amp;L$3&amp;")'!$B:$B"),'Tổng Đơn'!$B42),0)</f>
        <v>0</v>
      </c>
      <c r="M42" s="2">
        <f ca="1">IFERROR(SUMIFS(INDIRECT("'Thanh Toán ("&amp;M$3&amp;")'!$e:$e"),INDIRECT("'Thanh Toán ("&amp;M$3&amp;")'!$B:$B"),'Tổng Đơn'!$B42),0)</f>
        <v>0</v>
      </c>
      <c r="N42" s="2">
        <f ca="1">IFERROR(SUMIFS(INDIRECT("'Thanh Toán ("&amp;N$3&amp;")'!$e:$e"),INDIRECT("'Thanh Toán ("&amp;N$3&amp;")'!$B:$B"),'Tổng Đơn'!$B42),0)</f>
        <v>0</v>
      </c>
      <c r="O42" s="2">
        <f ca="1">IFERROR(SUMIFS(INDIRECT("'Thanh Toán ("&amp;O$3&amp;")'!$e:$e"),INDIRECT("'Thanh Toán ("&amp;O$3&amp;")'!$B:$B"),'Tổng Đơn'!$B42),0)</f>
        <v>0</v>
      </c>
      <c r="P42" s="2">
        <f ca="1">IFERROR(SUMIFS(INDIRECT("'Thanh Toán ("&amp;P$3&amp;")'!$e:$e"),INDIRECT("'Thanh Toán ("&amp;P$3&amp;")'!$B:$B"),'Tổng Đơn'!$B42),0)</f>
        <v>0</v>
      </c>
      <c r="Q42" s="2">
        <f ca="1">IFERROR(SUMIFS(INDIRECT("'Thanh Toán ("&amp;Q$3&amp;")'!$e:$e"),INDIRECT("'Thanh Toán ("&amp;Q$3&amp;")'!$B:$B"),'Tổng Đơn'!$B42),0)</f>
        <v>0</v>
      </c>
      <c r="R42" s="2">
        <f ca="1">IFERROR(SUMIFS(INDIRECT("'Thanh Toán ("&amp;R$3&amp;")'!$e:$e"),INDIRECT("'Thanh Toán ("&amp;R$3&amp;")'!$B:$B"),'Tổng Đơn'!$B42),0)</f>
        <v>0</v>
      </c>
      <c r="S42" s="2">
        <f ca="1">IFERROR(SUMIFS(INDIRECT("'Thanh Toán ("&amp;S$3&amp;")'!$e:$e"),INDIRECT("'Thanh Toán ("&amp;S$3&amp;")'!$B:$B"),'Tổng Đơn'!$B42),0)</f>
        <v>0</v>
      </c>
      <c r="T42" s="2">
        <f ca="1">IFERROR(SUMIFS(INDIRECT("'Thanh Toán ("&amp;T$3&amp;")'!$e:$e"),INDIRECT("'Thanh Toán ("&amp;T$3&amp;")'!$B:$B"),'Tổng Đơn'!$B42),0)</f>
        <v>0</v>
      </c>
      <c r="U42" s="2">
        <f ca="1">IFERROR(SUMIFS(INDIRECT("'Thanh Toán ("&amp;U$3&amp;")'!$e:$e"),INDIRECT("'Thanh Toán ("&amp;U$3&amp;")'!$B:$B"),'Tổng Đơn'!$B42),0)</f>
        <v>0</v>
      </c>
      <c r="V42" s="2">
        <f ca="1">IFERROR(SUMIFS(INDIRECT("'Thanh Toán ("&amp;V$3&amp;")'!$e:$e"),INDIRECT("'Thanh Toán ("&amp;V$3&amp;")'!$B:$B"),'Tổng Đơn'!$B42),0)</f>
        <v>0</v>
      </c>
      <c r="W42" s="2">
        <f ca="1">IFERROR(SUMIFS(INDIRECT("'Thanh Toán ("&amp;W$3&amp;")'!$e:$e"),INDIRECT("'Thanh Toán ("&amp;W$3&amp;")'!$B:$B"),'Tổng Đơn'!$B42),0)</f>
        <v>0</v>
      </c>
      <c r="X42" s="2">
        <f ca="1">IFERROR(SUMIFS(INDIRECT("'Thanh Toán ("&amp;X$3&amp;")'!$e:$e"),INDIRECT("'Thanh Toán ("&amp;X$3&amp;")'!$B:$B"),'Tổng Đơn'!$B42),0)</f>
        <v>0</v>
      </c>
      <c r="Y42" s="2">
        <f ca="1">IFERROR(SUMIFS(INDIRECT("'Thanh Toán ("&amp;Y$3&amp;")'!$e:$e"),INDIRECT("'Thanh Toán ("&amp;Y$3&amp;")'!$B:$B"),'Tổng Đơn'!$B42),0)</f>
        <v>0</v>
      </c>
      <c r="Z42" s="2">
        <f ca="1">IFERROR(SUMIFS(INDIRECT("'Thanh Toán ("&amp;Z$3&amp;")'!$e:$e"),INDIRECT("'Thanh Toán ("&amp;Z$3&amp;")'!$B:$B"),'Tổng Đơn'!$B42),0)</f>
        <v>0</v>
      </c>
      <c r="AA42" s="2">
        <f ca="1">IFERROR(SUMIFS(INDIRECT("'Thanh Toán ("&amp;AA$3&amp;")'!$e:$e"),INDIRECT("'Thanh Toán ("&amp;AA$3&amp;")'!$B:$B"),'Tổng Đơn'!$B42),0)</f>
        <v>0</v>
      </c>
      <c r="AB42" s="2">
        <f ca="1">IFERROR(SUMIFS(INDIRECT("'Thanh Toán ("&amp;AB$3&amp;")'!$e:$e"),INDIRECT("'Thanh Toán ("&amp;AB$3&amp;")'!$B:$B"),'Tổng Đơn'!$B42),0)</f>
        <v>0</v>
      </c>
      <c r="AC42" s="2">
        <f ca="1">IFERROR(SUMIFS(INDIRECT("'Thanh Toán ("&amp;AC$3&amp;")'!$e:$e"),INDIRECT("'Thanh Toán ("&amp;AC$3&amp;")'!$B:$B"),'Tổng Đơn'!$B42),0)</f>
        <v>0</v>
      </c>
      <c r="AD42" s="2">
        <f ca="1">IFERROR(SUMIFS(INDIRECT("'Thanh Toán ("&amp;AD$3&amp;")'!$e:$e"),INDIRECT("'Thanh Toán ("&amp;AD$3&amp;")'!$B:$B"),'Tổng Đơn'!$B42),0)</f>
        <v>0</v>
      </c>
      <c r="AE42" s="2">
        <f ca="1">IFERROR(SUMIFS(INDIRECT("'Thanh Toán ("&amp;AE$3&amp;")'!$e:$e"),INDIRECT("'Thanh Toán ("&amp;AE$3&amp;")'!$B:$B"),'Tổng Đơn'!$B42),0)</f>
        <v>0</v>
      </c>
      <c r="AF42" s="2">
        <f ca="1">IFERROR(SUMIFS(INDIRECT("'Thanh Toán ("&amp;AF$3&amp;")'!$e:$e"),INDIRECT("'Thanh Toán ("&amp;AF$3&amp;")'!$B:$B"),'Tổng Đơn'!$B42),0)</f>
        <v>0</v>
      </c>
      <c r="AG42" s="2">
        <f ca="1">IFERROR(SUMIFS(INDIRECT("'Thanh Toán ("&amp;AG$3&amp;")'!$e:$e"),INDIRECT("'Thanh Toán ("&amp;AG$3&amp;")'!$B:$B"),'Tổng Đơn'!$B42),0)</f>
        <v>0</v>
      </c>
      <c r="AH42" s="2">
        <f ca="1">IFERROR(SUMIFS(INDIRECT("'Thanh Toán ("&amp;AH$3&amp;")'!$e:$e"),INDIRECT("'Thanh Toán ("&amp;AH$3&amp;")'!$B:$B"),'Tổng Đơn'!$B42),0)</f>
        <v>0</v>
      </c>
      <c r="AI42" s="2">
        <f ca="1">IFERROR(SUMIFS(INDIRECT("'Thanh Toán ("&amp;AI$3&amp;")'!$e:$e"),INDIRECT("'Thanh Toán ("&amp;AI$3&amp;")'!$B:$B"),'Tổng Đơn'!$B42),0)</f>
        <v>0</v>
      </c>
      <c r="AJ42" s="2">
        <f ca="1">IFERROR(SUMIFS(INDIRECT("'Thanh Toán ("&amp;AJ$3&amp;")'!$e:$e"),INDIRECT("'Thanh Toán ("&amp;AJ$3&amp;")'!$B:$B"),'Tổng Đơn'!$B42),0)</f>
        <v>0</v>
      </c>
      <c r="AK42" s="2">
        <f ca="1">IFERROR(SUMIFS(INDIRECT("'Thanh Toán ("&amp;AK$3&amp;")'!$e:$e"),INDIRECT("'Thanh Toán ("&amp;AK$3&amp;")'!$B:$B"),'Tổng Đơn'!$B42),0)</f>
        <v>0</v>
      </c>
      <c r="AL42" s="2">
        <f ca="1">IFERROR(SUMIFS(INDIRECT("'Thanh Toán ("&amp;AL$3&amp;")'!$e:$e"),INDIRECT("'Thanh Toán ("&amp;AL$3&amp;")'!$B:$B"),'Tổng Đơn'!$B42),0)</f>
        <v>0</v>
      </c>
      <c r="AM42" s="2">
        <f ca="1">IFERROR(SUMIFS(INDIRECT("'Thanh Toán ("&amp;AM$3&amp;")'!$e:$e"),INDIRECT("'Thanh Toán ("&amp;AM$3&amp;")'!$B:$B"),'Tổng Đơn'!$B42),0)</f>
        <v>0</v>
      </c>
      <c r="AN42" s="2">
        <f ca="1">IFERROR(SUMIFS(INDIRECT("'Thanh Toán ("&amp;AN$3&amp;")'!$e:$e"),INDIRECT("'Thanh Toán ("&amp;AN$3&amp;")'!$B:$B"),'Tổng Đơn'!$B42),0)</f>
        <v>0</v>
      </c>
      <c r="AO42" s="2">
        <f ca="1">IFERROR(SUMIFS(INDIRECT("'Thanh Toán ("&amp;AO$3&amp;")'!$e:$e"),INDIRECT("'Thanh Toán ("&amp;AO$3&amp;")'!$B:$B"),'Tổng Đơn'!$B42),0)</f>
        <v>0</v>
      </c>
    </row>
    <row r="43" spans="1:41" ht="15.75" customHeight="1" x14ac:dyDescent="0.25">
      <c r="A43" s="23">
        <v>39</v>
      </c>
      <c r="B43" s="151" t="s">
        <v>44</v>
      </c>
      <c r="C43" s="23" t="s">
        <v>98</v>
      </c>
      <c r="D43" s="44">
        <f>VLOOKUP($C43,Sheet1!$C$2:$D$98,2,0)</f>
        <v>44000</v>
      </c>
      <c r="E43" s="60">
        <v>0.5</v>
      </c>
      <c r="F43" s="58">
        <f t="shared" ca="1" si="3"/>
        <v>1</v>
      </c>
      <c r="G43" s="58">
        <v>36.87393892087033</v>
      </c>
      <c r="H43" s="58">
        <f t="shared" ca="1" si="5"/>
        <v>7126.0610791296713</v>
      </c>
      <c r="I43" s="58"/>
      <c r="J43" s="58">
        <f t="shared" ca="1" si="4"/>
        <v>36873.938920870329</v>
      </c>
      <c r="K43" s="58"/>
      <c r="L43" s="2">
        <f ca="1">IFERROR(SUMIFS(INDIRECT("'Thanh Toán ("&amp;L$3&amp;")'!$e:$e"),INDIRECT("'Thanh Toán ("&amp;L$3&amp;")'!$B:$B"),'Tổng Đơn'!$B43),0)</f>
        <v>0</v>
      </c>
      <c r="M43" s="2">
        <f ca="1">IFERROR(SUMIFS(INDIRECT("'Thanh Toán ("&amp;M$3&amp;")'!$e:$e"),INDIRECT("'Thanh Toán ("&amp;M$3&amp;")'!$B:$B"),'Tổng Đơn'!$B43),0)</f>
        <v>0</v>
      </c>
      <c r="N43" s="2">
        <f ca="1">IFERROR(SUMIFS(INDIRECT("'Thanh Toán ("&amp;N$3&amp;")'!$e:$e"),INDIRECT("'Thanh Toán ("&amp;N$3&amp;")'!$B:$B"),'Tổng Đơn'!$B43),0)</f>
        <v>0</v>
      </c>
      <c r="O43" s="2">
        <f ca="1">IFERROR(SUMIFS(INDIRECT("'Thanh Toán ("&amp;O$3&amp;")'!$e:$e"),INDIRECT("'Thanh Toán ("&amp;O$3&amp;")'!$B:$B"),'Tổng Đơn'!$B43),0)</f>
        <v>0</v>
      </c>
      <c r="P43" s="2">
        <f ca="1">IFERROR(SUMIFS(INDIRECT("'Thanh Toán ("&amp;P$3&amp;")'!$e:$e"),INDIRECT("'Thanh Toán ("&amp;P$3&amp;")'!$B:$B"),'Tổng Đơn'!$B43),0)</f>
        <v>0</v>
      </c>
      <c r="Q43" s="2">
        <f ca="1">IFERROR(SUMIFS(INDIRECT("'Thanh Toán ("&amp;Q$3&amp;")'!$e:$e"),INDIRECT("'Thanh Toán ("&amp;Q$3&amp;")'!$B:$B"),'Tổng Đơn'!$B43),0)</f>
        <v>0</v>
      </c>
      <c r="R43" s="2">
        <f ca="1">IFERROR(SUMIFS(INDIRECT("'Thanh Toán ("&amp;R$3&amp;")'!$e:$e"),INDIRECT("'Thanh Toán ("&amp;R$3&amp;")'!$B:$B"),'Tổng Đơn'!$B43),0)</f>
        <v>0</v>
      </c>
      <c r="S43" s="2">
        <f ca="1">IFERROR(SUMIFS(INDIRECT("'Thanh Toán ("&amp;S$3&amp;")'!$e:$e"),INDIRECT("'Thanh Toán ("&amp;S$3&amp;")'!$B:$B"),'Tổng Đơn'!$B43),0)</f>
        <v>1</v>
      </c>
      <c r="T43" s="2">
        <f ca="1">IFERROR(SUMIFS(INDIRECT("'Thanh Toán ("&amp;T$3&amp;")'!$e:$e"),INDIRECT("'Thanh Toán ("&amp;T$3&amp;")'!$B:$B"),'Tổng Đơn'!$B43),0)</f>
        <v>0</v>
      </c>
      <c r="U43" s="2">
        <f ca="1">IFERROR(SUMIFS(INDIRECT("'Thanh Toán ("&amp;U$3&amp;")'!$e:$e"),INDIRECT("'Thanh Toán ("&amp;U$3&amp;")'!$B:$B"),'Tổng Đơn'!$B43),0)</f>
        <v>0</v>
      </c>
      <c r="V43" s="2">
        <f ca="1">IFERROR(SUMIFS(INDIRECT("'Thanh Toán ("&amp;V$3&amp;")'!$e:$e"),INDIRECT("'Thanh Toán ("&amp;V$3&amp;")'!$B:$B"),'Tổng Đơn'!$B43),0)</f>
        <v>0</v>
      </c>
      <c r="W43" s="2">
        <f ca="1">IFERROR(SUMIFS(INDIRECT("'Thanh Toán ("&amp;W$3&amp;")'!$e:$e"),INDIRECT("'Thanh Toán ("&amp;W$3&amp;")'!$B:$B"),'Tổng Đơn'!$B43),0)</f>
        <v>0</v>
      </c>
      <c r="X43" s="2">
        <f ca="1">IFERROR(SUMIFS(INDIRECT("'Thanh Toán ("&amp;X$3&amp;")'!$e:$e"),INDIRECT("'Thanh Toán ("&amp;X$3&amp;")'!$B:$B"),'Tổng Đơn'!$B43),0)</f>
        <v>0</v>
      </c>
      <c r="Y43" s="2">
        <f ca="1">IFERROR(SUMIFS(INDIRECT("'Thanh Toán ("&amp;Y$3&amp;")'!$e:$e"),INDIRECT("'Thanh Toán ("&amp;Y$3&amp;")'!$B:$B"),'Tổng Đơn'!$B43),0)</f>
        <v>0</v>
      </c>
      <c r="Z43" s="2">
        <f ca="1">IFERROR(SUMIFS(INDIRECT("'Thanh Toán ("&amp;Z$3&amp;")'!$e:$e"),INDIRECT("'Thanh Toán ("&amp;Z$3&amp;")'!$B:$B"),'Tổng Đơn'!$B43),0)</f>
        <v>0</v>
      </c>
      <c r="AA43" s="2">
        <f ca="1">IFERROR(SUMIFS(INDIRECT("'Thanh Toán ("&amp;AA$3&amp;")'!$e:$e"),INDIRECT("'Thanh Toán ("&amp;AA$3&amp;")'!$B:$B"),'Tổng Đơn'!$B43),0)</f>
        <v>0</v>
      </c>
      <c r="AB43" s="2">
        <f ca="1">IFERROR(SUMIFS(INDIRECT("'Thanh Toán ("&amp;AB$3&amp;")'!$e:$e"),INDIRECT("'Thanh Toán ("&amp;AB$3&amp;")'!$B:$B"),'Tổng Đơn'!$B43),0)</f>
        <v>0</v>
      </c>
      <c r="AC43" s="2">
        <f ca="1">IFERROR(SUMIFS(INDIRECT("'Thanh Toán ("&amp;AC$3&amp;")'!$e:$e"),INDIRECT("'Thanh Toán ("&amp;AC$3&amp;")'!$B:$B"),'Tổng Đơn'!$B43),0)</f>
        <v>0</v>
      </c>
      <c r="AD43" s="2">
        <f ca="1">IFERROR(SUMIFS(INDIRECT("'Thanh Toán ("&amp;AD$3&amp;")'!$e:$e"),INDIRECT("'Thanh Toán ("&amp;AD$3&amp;")'!$B:$B"),'Tổng Đơn'!$B43),0)</f>
        <v>0</v>
      </c>
      <c r="AE43" s="2">
        <f ca="1">IFERROR(SUMIFS(INDIRECT("'Thanh Toán ("&amp;AE$3&amp;")'!$e:$e"),INDIRECT("'Thanh Toán ("&amp;AE$3&amp;")'!$B:$B"),'Tổng Đơn'!$B43),0)</f>
        <v>0</v>
      </c>
      <c r="AF43" s="2">
        <f ca="1">IFERROR(SUMIFS(INDIRECT("'Thanh Toán ("&amp;AF$3&amp;")'!$e:$e"),INDIRECT("'Thanh Toán ("&amp;AF$3&amp;")'!$B:$B"),'Tổng Đơn'!$B43),0)</f>
        <v>0</v>
      </c>
      <c r="AG43" s="2">
        <f ca="1">IFERROR(SUMIFS(INDIRECT("'Thanh Toán ("&amp;AG$3&amp;")'!$e:$e"),INDIRECT("'Thanh Toán ("&amp;AG$3&amp;")'!$B:$B"),'Tổng Đơn'!$B43),0)</f>
        <v>0</v>
      </c>
      <c r="AH43" s="2">
        <f ca="1">IFERROR(SUMIFS(INDIRECT("'Thanh Toán ("&amp;AH$3&amp;")'!$e:$e"),INDIRECT("'Thanh Toán ("&amp;AH$3&amp;")'!$B:$B"),'Tổng Đơn'!$B43),0)</f>
        <v>0</v>
      </c>
      <c r="AI43" s="2">
        <f ca="1">IFERROR(SUMIFS(INDIRECT("'Thanh Toán ("&amp;AI$3&amp;")'!$e:$e"),INDIRECT("'Thanh Toán ("&amp;AI$3&amp;")'!$B:$B"),'Tổng Đơn'!$B43),0)</f>
        <v>0</v>
      </c>
      <c r="AJ43" s="2">
        <f ca="1">IFERROR(SUMIFS(INDIRECT("'Thanh Toán ("&amp;AJ$3&amp;")'!$e:$e"),INDIRECT("'Thanh Toán ("&amp;AJ$3&amp;")'!$B:$B"),'Tổng Đơn'!$B43),0)</f>
        <v>0</v>
      </c>
      <c r="AK43" s="2">
        <f ca="1">IFERROR(SUMIFS(INDIRECT("'Thanh Toán ("&amp;AK$3&amp;")'!$e:$e"),INDIRECT("'Thanh Toán ("&amp;AK$3&amp;")'!$B:$B"),'Tổng Đơn'!$B43),0)</f>
        <v>0</v>
      </c>
      <c r="AL43" s="2">
        <f ca="1">IFERROR(SUMIFS(INDIRECT("'Thanh Toán ("&amp;AL$3&amp;")'!$e:$e"),INDIRECT("'Thanh Toán ("&amp;AL$3&amp;")'!$B:$B"),'Tổng Đơn'!$B43),0)</f>
        <v>0</v>
      </c>
      <c r="AM43" s="2">
        <f ca="1">IFERROR(SUMIFS(INDIRECT("'Thanh Toán ("&amp;AM$3&amp;")'!$e:$e"),INDIRECT("'Thanh Toán ("&amp;AM$3&amp;")'!$B:$B"),'Tổng Đơn'!$B43),0)</f>
        <v>0</v>
      </c>
      <c r="AN43" s="2">
        <f ca="1">IFERROR(SUMIFS(INDIRECT("'Thanh Toán ("&amp;AN$3&amp;")'!$e:$e"),INDIRECT("'Thanh Toán ("&amp;AN$3&amp;")'!$B:$B"),'Tổng Đơn'!$B43),0)</f>
        <v>0</v>
      </c>
      <c r="AO43" s="2">
        <f ca="1">IFERROR(SUMIFS(INDIRECT("'Thanh Toán ("&amp;AO$3&amp;")'!$e:$e"),INDIRECT("'Thanh Toán ("&amp;AO$3&amp;")'!$B:$B"),'Tổng Đơn'!$B43),0)</f>
        <v>0</v>
      </c>
    </row>
    <row r="44" spans="1:41" x14ac:dyDescent="0.25">
      <c r="A44" s="23">
        <v>40</v>
      </c>
      <c r="B44" s="151" t="s">
        <v>47</v>
      </c>
      <c r="C44" s="23" t="s">
        <v>99</v>
      </c>
      <c r="D44" s="44">
        <f>VLOOKUP($C44,Sheet1!$C$2:$D$98,2,0)</f>
        <v>79000</v>
      </c>
      <c r="E44" s="60">
        <v>0.5</v>
      </c>
      <c r="F44" s="58">
        <f t="shared" ca="1" si="3"/>
        <v>0</v>
      </c>
      <c r="G44" s="58">
        <v>66.67616352814909</v>
      </c>
      <c r="H44" s="58">
        <f t="shared" ca="1" si="5"/>
        <v>0</v>
      </c>
      <c r="I44" s="58"/>
      <c r="J44" s="58">
        <f t="shared" ca="1" si="4"/>
        <v>0</v>
      </c>
      <c r="K44" s="58"/>
      <c r="L44" s="2">
        <f ca="1">IFERROR(SUMIFS(INDIRECT("'Thanh Toán ("&amp;L$3&amp;")'!$e:$e"),INDIRECT("'Thanh Toán ("&amp;L$3&amp;")'!$B:$B"),'Tổng Đơn'!$B44),0)</f>
        <v>0</v>
      </c>
      <c r="M44" s="2">
        <f ca="1">IFERROR(SUMIFS(INDIRECT("'Thanh Toán ("&amp;M$3&amp;")'!$e:$e"),INDIRECT("'Thanh Toán ("&amp;M$3&amp;")'!$B:$B"),'Tổng Đơn'!$B44),0)</f>
        <v>0</v>
      </c>
      <c r="N44" s="2">
        <f ca="1">IFERROR(SUMIFS(INDIRECT("'Thanh Toán ("&amp;N$3&amp;")'!$e:$e"),INDIRECT("'Thanh Toán ("&amp;N$3&amp;")'!$B:$B"),'Tổng Đơn'!$B44),0)</f>
        <v>0</v>
      </c>
      <c r="O44" s="2">
        <f ca="1">IFERROR(SUMIFS(INDIRECT("'Thanh Toán ("&amp;O$3&amp;")'!$e:$e"),INDIRECT("'Thanh Toán ("&amp;O$3&amp;")'!$B:$B"),'Tổng Đơn'!$B44),0)</f>
        <v>0</v>
      </c>
      <c r="P44" s="2">
        <f ca="1">IFERROR(SUMIFS(INDIRECT("'Thanh Toán ("&amp;P$3&amp;")'!$e:$e"),INDIRECT("'Thanh Toán ("&amp;P$3&amp;")'!$B:$B"),'Tổng Đơn'!$B44),0)</f>
        <v>0</v>
      </c>
      <c r="Q44" s="2">
        <f ca="1">IFERROR(SUMIFS(INDIRECT("'Thanh Toán ("&amp;Q$3&amp;")'!$e:$e"),INDIRECT("'Thanh Toán ("&amp;Q$3&amp;")'!$B:$B"),'Tổng Đơn'!$B44),0)</f>
        <v>0</v>
      </c>
      <c r="R44" s="2">
        <f ca="1">IFERROR(SUMIFS(INDIRECT("'Thanh Toán ("&amp;R$3&amp;")'!$e:$e"),INDIRECT("'Thanh Toán ("&amp;R$3&amp;")'!$B:$B"),'Tổng Đơn'!$B44),0)</f>
        <v>0</v>
      </c>
      <c r="S44" s="2">
        <f ca="1">IFERROR(SUMIFS(INDIRECT("'Thanh Toán ("&amp;S$3&amp;")'!$e:$e"),INDIRECT("'Thanh Toán ("&amp;S$3&amp;")'!$B:$B"),'Tổng Đơn'!$B44),0)</f>
        <v>0</v>
      </c>
      <c r="T44" s="2">
        <f ca="1">IFERROR(SUMIFS(INDIRECT("'Thanh Toán ("&amp;T$3&amp;")'!$e:$e"),INDIRECT("'Thanh Toán ("&amp;T$3&amp;")'!$B:$B"),'Tổng Đơn'!$B44),0)</f>
        <v>0</v>
      </c>
      <c r="U44" s="2">
        <f ca="1">IFERROR(SUMIFS(INDIRECT("'Thanh Toán ("&amp;U$3&amp;")'!$e:$e"),INDIRECT("'Thanh Toán ("&amp;U$3&amp;")'!$B:$B"),'Tổng Đơn'!$B44),0)</f>
        <v>0</v>
      </c>
      <c r="V44" s="2">
        <f ca="1">IFERROR(SUMIFS(INDIRECT("'Thanh Toán ("&amp;V$3&amp;")'!$e:$e"),INDIRECT("'Thanh Toán ("&amp;V$3&amp;")'!$B:$B"),'Tổng Đơn'!$B44),0)</f>
        <v>0</v>
      </c>
      <c r="W44" s="2">
        <f ca="1">IFERROR(SUMIFS(INDIRECT("'Thanh Toán ("&amp;W$3&amp;")'!$e:$e"),INDIRECT("'Thanh Toán ("&amp;W$3&amp;")'!$B:$B"),'Tổng Đơn'!$B44),0)</f>
        <v>0</v>
      </c>
      <c r="X44" s="2">
        <f ca="1">IFERROR(SUMIFS(INDIRECT("'Thanh Toán ("&amp;X$3&amp;")'!$e:$e"),INDIRECT("'Thanh Toán ("&amp;X$3&amp;")'!$B:$B"),'Tổng Đơn'!$B44),0)</f>
        <v>0</v>
      </c>
      <c r="Y44" s="2">
        <f ca="1">IFERROR(SUMIFS(INDIRECT("'Thanh Toán ("&amp;Y$3&amp;")'!$e:$e"),INDIRECT("'Thanh Toán ("&amp;Y$3&amp;")'!$B:$B"),'Tổng Đơn'!$B44),0)</f>
        <v>0</v>
      </c>
      <c r="Z44" s="2">
        <f ca="1">IFERROR(SUMIFS(INDIRECT("'Thanh Toán ("&amp;Z$3&amp;")'!$e:$e"),INDIRECT("'Thanh Toán ("&amp;Z$3&amp;")'!$B:$B"),'Tổng Đơn'!$B44),0)</f>
        <v>0</v>
      </c>
      <c r="AA44" s="2">
        <f ca="1">IFERROR(SUMIFS(INDIRECT("'Thanh Toán ("&amp;AA$3&amp;")'!$e:$e"),INDIRECT("'Thanh Toán ("&amp;AA$3&amp;")'!$B:$B"),'Tổng Đơn'!$B44),0)</f>
        <v>0</v>
      </c>
      <c r="AB44" s="2">
        <f ca="1">IFERROR(SUMIFS(INDIRECT("'Thanh Toán ("&amp;AB$3&amp;")'!$e:$e"),INDIRECT("'Thanh Toán ("&amp;AB$3&amp;")'!$B:$B"),'Tổng Đơn'!$B44),0)</f>
        <v>0</v>
      </c>
      <c r="AC44" s="2">
        <f ca="1">IFERROR(SUMIFS(INDIRECT("'Thanh Toán ("&amp;AC$3&amp;")'!$e:$e"),INDIRECT("'Thanh Toán ("&amp;AC$3&amp;")'!$B:$B"),'Tổng Đơn'!$B44),0)</f>
        <v>0</v>
      </c>
      <c r="AD44" s="2">
        <f ca="1">IFERROR(SUMIFS(INDIRECT("'Thanh Toán ("&amp;AD$3&amp;")'!$e:$e"),INDIRECT("'Thanh Toán ("&amp;AD$3&amp;")'!$B:$B"),'Tổng Đơn'!$B44),0)</f>
        <v>0</v>
      </c>
      <c r="AE44" s="2">
        <f ca="1">IFERROR(SUMIFS(INDIRECT("'Thanh Toán ("&amp;AE$3&amp;")'!$e:$e"),INDIRECT("'Thanh Toán ("&amp;AE$3&amp;")'!$B:$B"),'Tổng Đơn'!$B44),0)</f>
        <v>0</v>
      </c>
      <c r="AF44" s="2">
        <f ca="1">IFERROR(SUMIFS(INDIRECT("'Thanh Toán ("&amp;AF$3&amp;")'!$e:$e"),INDIRECT("'Thanh Toán ("&amp;AF$3&amp;")'!$B:$B"),'Tổng Đơn'!$B44),0)</f>
        <v>0</v>
      </c>
      <c r="AG44" s="2">
        <f ca="1">IFERROR(SUMIFS(INDIRECT("'Thanh Toán ("&amp;AG$3&amp;")'!$e:$e"),INDIRECT("'Thanh Toán ("&amp;AG$3&amp;")'!$B:$B"),'Tổng Đơn'!$B44),0)</f>
        <v>0</v>
      </c>
      <c r="AH44" s="2">
        <f ca="1">IFERROR(SUMIFS(INDIRECT("'Thanh Toán ("&amp;AH$3&amp;")'!$e:$e"),INDIRECT("'Thanh Toán ("&amp;AH$3&amp;")'!$B:$B"),'Tổng Đơn'!$B44),0)</f>
        <v>0</v>
      </c>
      <c r="AI44" s="2">
        <f ca="1">IFERROR(SUMIFS(INDIRECT("'Thanh Toán ("&amp;AI$3&amp;")'!$e:$e"),INDIRECT("'Thanh Toán ("&amp;AI$3&amp;")'!$B:$B"),'Tổng Đơn'!$B44),0)</f>
        <v>0</v>
      </c>
      <c r="AJ44" s="2">
        <f ca="1">IFERROR(SUMIFS(INDIRECT("'Thanh Toán ("&amp;AJ$3&amp;")'!$e:$e"),INDIRECT("'Thanh Toán ("&amp;AJ$3&amp;")'!$B:$B"),'Tổng Đơn'!$B44),0)</f>
        <v>0</v>
      </c>
      <c r="AK44" s="2">
        <f ca="1">IFERROR(SUMIFS(INDIRECT("'Thanh Toán ("&amp;AK$3&amp;")'!$e:$e"),INDIRECT("'Thanh Toán ("&amp;AK$3&amp;")'!$B:$B"),'Tổng Đơn'!$B44),0)</f>
        <v>0</v>
      </c>
      <c r="AL44" s="2">
        <f ca="1">IFERROR(SUMIFS(INDIRECT("'Thanh Toán ("&amp;AL$3&amp;")'!$e:$e"),INDIRECT("'Thanh Toán ("&amp;AL$3&amp;")'!$B:$B"),'Tổng Đơn'!$B44),0)</f>
        <v>0</v>
      </c>
      <c r="AM44" s="2">
        <f ca="1">IFERROR(SUMIFS(INDIRECT("'Thanh Toán ("&amp;AM$3&amp;")'!$e:$e"),INDIRECT("'Thanh Toán ("&amp;AM$3&amp;")'!$B:$B"),'Tổng Đơn'!$B44),0)</f>
        <v>0</v>
      </c>
      <c r="AN44" s="2">
        <f ca="1">IFERROR(SUMIFS(INDIRECT("'Thanh Toán ("&amp;AN$3&amp;")'!$e:$e"),INDIRECT("'Thanh Toán ("&amp;AN$3&amp;")'!$B:$B"),'Tổng Đơn'!$B44),0)</f>
        <v>0</v>
      </c>
      <c r="AO44" s="2">
        <f ca="1">IFERROR(SUMIFS(INDIRECT("'Thanh Toán ("&amp;AO$3&amp;")'!$e:$e"),INDIRECT("'Thanh Toán ("&amp;AO$3&amp;")'!$B:$B"),'Tổng Đơn'!$B44),0)</f>
        <v>0</v>
      </c>
    </row>
    <row r="45" spans="1:41" x14ac:dyDescent="0.25">
      <c r="A45" s="23">
        <v>41</v>
      </c>
      <c r="B45" s="151" t="s">
        <v>37</v>
      </c>
      <c r="C45" s="23" t="s">
        <v>100</v>
      </c>
      <c r="D45" s="44">
        <f>VLOOKUP($C45,Sheet1!$C$2:$D$98,2,0)</f>
        <v>66000</v>
      </c>
      <c r="E45" s="60">
        <v>0.5</v>
      </c>
      <c r="F45" s="58">
        <f t="shared" ca="1" si="3"/>
        <v>1</v>
      </c>
      <c r="G45" s="58">
        <v>56.068592057761734</v>
      </c>
      <c r="H45" s="58">
        <f t="shared" ca="1" si="5"/>
        <v>9931.4079422382638</v>
      </c>
      <c r="I45" s="58"/>
      <c r="J45" s="58">
        <f t="shared" ca="1" si="4"/>
        <v>56068.592057761736</v>
      </c>
      <c r="K45" s="58"/>
      <c r="L45" s="2">
        <f ca="1">IFERROR(SUMIFS(INDIRECT("'Thanh Toán ("&amp;L$3&amp;")'!$e:$e"),INDIRECT("'Thanh Toán ("&amp;L$3&amp;")'!$B:$B"),'Tổng Đơn'!$B45),0)</f>
        <v>0</v>
      </c>
      <c r="M45" s="2">
        <f ca="1">IFERROR(SUMIFS(INDIRECT("'Thanh Toán ("&amp;M$3&amp;")'!$e:$e"),INDIRECT("'Thanh Toán ("&amp;M$3&amp;")'!$B:$B"),'Tổng Đơn'!$B45),0)</f>
        <v>0</v>
      </c>
      <c r="N45" s="2">
        <f ca="1">IFERROR(SUMIFS(INDIRECT("'Thanh Toán ("&amp;N$3&amp;")'!$e:$e"),INDIRECT("'Thanh Toán ("&amp;N$3&amp;")'!$B:$B"),'Tổng Đơn'!$B45),0)</f>
        <v>0</v>
      </c>
      <c r="O45" s="2">
        <f ca="1">IFERROR(SUMIFS(INDIRECT("'Thanh Toán ("&amp;O$3&amp;")'!$e:$e"),INDIRECT("'Thanh Toán ("&amp;O$3&amp;")'!$B:$B"),'Tổng Đơn'!$B45),0)</f>
        <v>0</v>
      </c>
      <c r="P45" s="2">
        <f ca="1">IFERROR(SUMIFS(INDIRECT("'Thanh Toán ("&amp;P$3&amp;")'!$e:$e"),INDIRECT("'Thanh Toán ("&amp;P$3&amp;")'!$B:$B"),'Tổng Đơn'!$B45),0)</f>
        <v>0</v>
      </c>
      <c r="Q45" s="2">
        <f ca="1">IFERROR(SUMIFS(INDIRECT("'Thanh Toán ("&amp;Q$3&amp;")'!$e:$e"),INDIRECT("'Thanh Toán ("&amp;Q$3&amp;")'!$B:$B"),'Tổng Đơn'!$B45),0)</f>
        <v>0</v>
      </c>
      <c r="R45" s="2">
        <f ca="1">IFERROR(SUMIFS(INDIRECT("'Thanh Toán ("&amp;R$3&amp;")'!$e:$e"),INDIRECT("'Thanh Toán ("&amp;R$3&amp;")'!$B:$B"),'Tổng Đơn'!$B45),0)</f>
        <v>0</v>
      </c>
      <c r="S45" s="2">
        <f ca="1">IFERROR(SUMIFS(INDIRECT("'Thanh Toán ("&amp;S$3&amp;")'!$e:$e"),INDIRECT("'Thanh Toán ("&amp;S$3&amp;")'!$B:$B"),'Tổng Đơn'!$B45),0)</f>
        <v>0</v>
      </c>
      <c r="T45" s="2">
        <f ca="1">IFERROR(SUMIFS(INDIRECT("'Thanh Toán ("&amp;T$3&amp;")'!$e:$e"),INDIRECT("'Thanh Toán ("&amp;T$3&amp;")'!$B:$B"),'Tổng Đơn'!$B45),0)</f>
        <v>1</v>
      </c>
      <c r="U45" s="2">
        <f ca="1">IFERROR(SUMIFS(INDIRECT("'Thanh Toán ("&amp;U$3&amp;")'!$e:$e"),INDIRECT("'Thanh Toán ("&amp;U$3&amp;")'!$B:$B"),'Tổng Đơn'!$B45),0)</f>
        <v>0</v>
      </c>
      <c r="V45" s="2">
        <f ca="1">IFERROR(SUMIFS(INDIRECT("'Thanh Toán ("&amp;V$3&amp;")'!$e:$e"),INDIRECT("'Thanh Toán ("&amp;V$3&amp;")'!$B:$B"),'Tổng Đơn'!$B45),0)</f>
        <v>0</v>
      </c>
      <c r="W45" s="2">
        <f ca="1">IFERROR(SUMIFS(INDIRECT("'Thanh Toán ("&amp;W$3&amp;")'!$e:$e"),INDIRECT("'Thanh Toán ("&amp;W$3&amp;")'!$B:$B"),'Tổng Đơn'!$B45),0)</f>
        <v>0</v>
      </c>
      <c r="X45" s="2">
        <f ca="1">IFERROR(SUMIFS(INDIRECT("'Thanh Toán ("&amp;X$3&amp;")'!$e:$e"),INDIRECT("'Thanh Toán ("&amp;X$3&amp;")'!$B:$B"),'Tổng Đơn'!$B45),0)</f>
        <v>0</v>
      </c>
      <c r="Y45" s="2">
        <f ca="1">IFERROR(SUMIFS(INDIRECT("'Thanh Toán ("&amp;Y$3&amp;")'!$e:$e"),INDIRECT("'Thanh Toán ("&amp;Y$3&amp;")'!$B:$B"),'Tổng Đơn'!$B45),0)</f>
        <v>0</v>
      </c>
      <c r="Z45" s="2">
        <f ca="1">IFERROR(SUMIFS(INDIRECT("'Thanh Toán ("&amp;Z$3&amp;")'!$e:$e"),INDIRECT("'Thanh Toán ("&amp;Z$3&amp;")'!$B:$B"),'Tổng Đơn'!$B45),0)</f>
        <v>0</v>
      </c>
      <c r="AA45" s="2">
        <f ca="1">IFERROR(SUMIFS(INDIRECT("'Thanh Toán ("&amp;AA$3&amp;")'!$e:$e"),INDIRECT("'Thanh Toán ("&amp;AA$3&amp;")'!$B:$B"),'Tổng Đơn'!$B45),0)</f>
        <v>0</v>
      </c>
      <c r="AB45" s="2">
        <f ca="1">IFERROR(SUMIFS(INDIRECT("'Thanh Toán ("&amp;AB$3&amp;")'!$e:$e"),INDIRECT("'Thanh Toán ("&amp;AB$3&amp;")'!$B:$B"),'Tổng Đơn'!$B45),0)</f>
        <v>0</v>
      </c>
      <c r="AC45" s="2">
        <f ca="1">IFERROR(SUMIFS(INDIRECT("'Thanh Toán ("&amp;AC$3&amp;")'!$e:$e"),INDIRECT("'Thanh Toán ("&amp;AC$3&amp;")'!$B:$B"),'Tổng Đơn'!$B45),0)</f>
        <v>0</v>
      </c>
      <c r="AD45" s="2">
        <f ca="1">IFERROR(SUMIFS(INDIRECT("'Thanh Toán ("&amp;AD$3&amp;")'!$e:$e"),INDIRECT("'Thanh Toán ("&amp;AD$3&amp;")'!$B:$B"),'Tổng Đơn'!$B45),0)</f>
        <v>0</v>
      </c>
      <c r="AE45" s="2">
        <f ca="1">IFERROR(SUMIFS(INDIRECT("'Thanh Toán ("&amp;AE$3&amp;")'!$e:$e"),INDIRECT("'Thanh Toán ("&amp;AE$3&amp;")'!$B:$B"),'Tổng Đơn'!$B45),0)</f>
        <v>0</v>
      </c>
      <c r="AF45" s="2">
        <f ca="1">IFERROR(SUMIFS(INDIRECT("'Thanh Toán ("&amp;AF$3&amp;")'!$e:$e"),INDIRECT("'Thanh Toán ("&amp;AF$3&amp;")'!$B:$B"),'Tổng Đơn'!$B45),0)</f>
        <v>0</v>
      </c>
      <c r="AG45" s="2">
        <f ca="1">IFERROR(SUMIFS(INDIRECT("'Thanh Toán ("&amp;AG$3&amp;")'!$e:$e"),INDIRECT("'Thanh Toán ("&amp;AG$3&amp;")'!$B:$B"),'Tổng Đơn'!$B45),0)</f>
        <v>0</v>
      </c>
      <c r="AH45" s="2">
        <f ca="1">IFERROR(SUMIFS(INDIRECT("'Thanh Toán ("&amp;AH$3&amp;")'!$e:$e"),INDIRECT("'Thanh Toán ("&amp;AH$3&amp;")'!$B:$B"),'Tổng Đơn'!$B45),0)</f>
        <v>0</v>
      </c>
      <c r="AI45" s="2">
        <f ca="1">IFERROR(SUMIFS(INDIRECT("'Thanh Toán ("&amp;AI$3&amp;")'!$e:$e"),INDIRECT("'Thanh Toán ("&amp;AI$3&amp;")'!$B:$B"),'Tổng Đơn'!$B45),0)</f>
        <v>0</v>
      </c>
      <c r="AJ45" s="2">
        <f ca="1">IFERROR(SUMIFS(INDIRECT("'Thanh Toán ("&amp;AJ$3&amp;")'!$e:$e"),INDIRECT("'Thanh Toán ("&amp;AJ$3&amp;")'!$B:$B"),'Tổng Đơn'!$B45),0)</f>
        <v>0</v>
      </c>
      <c r="AK45" s="2">
        <f ca="1">IFERROR(SUMIFS(INDIRECT("'Thanh Toán ("&amp;AK$3&amp;")'!$e:$e"),INDIRECT("'Thanh Toán ("&amp;AK$3&amp;")'!$B:$B"),'Tổng Đơn'!$B45),0)</f>
        <v>0</v>
      </c>
      <c r="AL45" s="2">
        <f ca="1">IFERROR(SUMIFS(INDIRECT("'Thanh Toán ("&amp;AL$3&amp;")'!$e:$e"),INDIRECT("'Thanh Toán ("&amp;AL$3&amp;")'!$B:$B"),'Tổng Đơn'!$B45),0)</f>
        <v>0</v>
      </c>
      <c r="AM45" s="2">
        <f ca="1">IFERROR(SUMIFS(INDIRECT("'Thanh Toán ("&amp;AM$3&amp;")'!$e:$e"),INDIRECT("'Thanh Toán ("&amp;AM$3&amp;")'!$B:$B"),'Tổng Đơn'!$B45),0)</f>
        <v>0</v>
      </c>
      <c r="AN45" s="2">
        <f ca="1">IFERROR(SUMIFS(INDIRECT("'Thanh Toán ("&amp;AN$3&amp;")'!$e:$e"),INDIRECT("'Thanh Toán ("&amp;AN$3&amp;")'!$B:$B"),'Tổng Đơn'!$B45),0)</f>
        <v>0</v>
      </c>
      <c r="AO45" s="2">
        <f ca="1">IFERROR(SUMIFS(INDIRECT("'Thanh Toán ("&amp;AO$3&amp;")'!$e:$e"),INDIRECT("'Thanh Toán ("&amp;AO$3&amp;")'!$B:$B"),'Tổng Đơn'!$B45),0)</f>
        <v>0</v>
      </c>
    </row>
    <row r="46" spans="1:41" x14ac:dyDescent="0.25">
      <c r="A46" s="23">
        <v>42</v>
      </c>
      <c r="B46" s="151" t="s">
        <v>50</v>
      </c>
      <c r="C46" s="23" t="s">
        <v>101</v>
      </c>
      <c r="D46" s="44">
        <f>VLOOKUP($C46,Sheet1!$C$2:$D$98,2,0)</f>
        <v>122000</v>
      </c>
      <c r="E46" s="60">
        <v>1</v>
      </c>
      <c r="F46" s="58">
        <f t="shared" ca="1" si="3"/>
        <v>0</v>
      </c>
      <c r="G46" s="58">
        <v>103.04497999804859</v>
      </c>
      <c r="H46" s="58">
        <f ca="1">(D46-G46*1000)*$F46</f>
        <v>0</v>
      </c>
      <c r="I46" s="58"/>
      <c r="J46" s="58">
        <f t="shared" ca="1" si="4"/>
        <v>0</v>
      </c>
      <c r="K46" s="58"/>
      <c r="L46" s="2">
        <f ca="1">IFERROR(SUMIFS(INDIRECT("'Thanh Toán ("&amp;L$3&amp;")'!$e:$e"),INDIRECT("'Thanh Toán ("&amp;L$3&amp;")'!$B:$B"),'Tổng Đơn'!$B46),0)</f>
        <v>0</v>
      </c>
      <c r="M46" s="2">
        <f ca="1">IFERROR(SUMIFS(INDIRECT("'Thanh Toán ("&amp;M$3&amp;")'!$e:$e"),INDIRECT("'Thanh Toán ("&amp;M$3&amp;")'!$B:$B"),'Tổng Đơn'!$B46),0)</f>
        <v>0</v>
      </c>
      <c r="N46" s="2">
        <f ca="1">IFERROR(SUMIFS(INDIRECT("'Thanh Toán ("&amp;N$3&amp;")'!$e:$e"),INDIRECT("'Thanh Toán ("&amp;N$3&amp;")'!$B:$B"),'Tổng Đơn'!$B46),0)</f>
        <v>0</v>
      </c>
      <c r="O46" s="2">
        <f ca="1">IFERROR(SUMIFS(INDIRECT("'Thanh Toán ("&amp;O$3&amp;")'!$e:$e"),INDIRECT("'Thanh Toán ("&amp;O$3&amp;")'!$B:$B"),'Tổng Đơn'!$B46),0)</f>
        <v>0</v>
      </c>
      <c r="P46" s="2">
        <f ca="1">IFERROR(SUMIFS(INDIRECT("'Thanh Toán ("&amp;P$3&amp;")'!$e:$e"),INDIRECT("'Thanh Toán ("&amp;P$3&amp;")'!$B:$B"),'Tổng Đơn'!$B46),0)</f>
        <v>0</v>
      </c>
      <c r="Q46" s="2">
        <f ca="1">IFERROR(SUMIFS(INDIRECT("'Thanh Toán ("&amp;Q$3&amp;")'!$e:$e"),INDIRECT("'Thanh Toán ("&amp;Q$3&amp;")'!$B:$B"),'Tổng Đơn'!$B46),0)</f>
        <v>0</v>
      </c>
      <c r="R46" s="2">
        <f ca="1">IFERROR(SUMIFS(INDIRECT("'Thanh Toán ("&amp;R$3&amp;")'!$e:$e"),INDIRECT("'Thanh Toán ("&amp;R$3&amp;")'!$B:$B"),'Tổng Đơn'!$B46),0)</f>
        <v>0</v>
      </c>
      <c r="S46" s="2">
        <f ca="1">IFERROR(SUMIFS(INDIRECT("'Thanh Toán ("&amp;S$3&amp;")'!$e:$e"),INDIRECT("'Thanh Toán ("&amp;S$3&amp;")'!$B:$B"),'Tổng Đơn'!$B46),0)</f>
        <v>0</v>
      </c>
      <c r="T46" s="2">
        <f ca="1">IFERROR(SUMIFS(INDIRECT("'Thanh Toán ("&amp;T$3&amp;")'!$e:$e"),INDIRECT("'Thanh Toán ("&amp;T$3&amp;")'!$B:$B"),'Tổng Đơn'!$B46),0)</f>
        <v>0</v>
      </c>
      <c r="U46" s="2">
        <f ca="1">IFERROR(SUMIFS(INDIRECT("'Thanh Toán ("&amp;U$3&amp;")'!$e:$e"),INDIRECT("'Thanh Toán ("&amp;U$3&amp;")'!$B:$B"),'Tổng Đơn'!$B46),0)</f>
        <v>0</v>
      </c>
      <c r="V46" s="2">
        <f ca="1">IFERROR(SUMIFS(INDIRECT("'Thanh Toán ("&amp;V$3&amp;")'!$e:$e"),INDIRECT("'Thanh Toán ("&amp;V$3&amp;")'!$B:$B"),'Tổng Đơn'!$B46),0)</f>
        <v>0</v>
      </c>
      <c r="W46" s="2">
        <f ca="1">IFERROR(SUMIFS(INDIRECT("'Thanh Toán ("&amp;W$3&amp;")'!$e:$e"),INDIRECT("'Thanh Toán ("&amp;W$3&amp;")'!$B:$B"),'Tổng Đơn'!$B46),0)</f>
        <v>0</v>
      </c>
      <c r="X46" s="2">
        <f ca="1">IFERROR(SUMIFS(INDIRECT("'Thanh Toán ("&amp;X$3&amp;")'!$e:$e"),INDIRECT("'Thanh Toán ("&amp;X$3&amp;")'!$B:$B"),'Tổng Đơn'!$B46),0)</f>
        <v>0</v>
      </c>
      <c r="Y46" s="2">
        <f ca="1">IFERROR(SUMIFS(INDIRECT("'Thanh Toán ("&amp;Y$3&amp;")'!$e:$e"),INDIRECT("'Thanh Toán ("&amp;Y$3&amp;")'!$B:$B"),'Tổng Đơn'!$B46),0)</f>
        <v>0</v>
      </c>
      <c r="Z46" s="2">
        <f ca="1">IFERROR(SUMIFS(INDIRECT("'Thanh Toán ("&amp;Z$3&amp;")'!$e:$e"),INDIRECT("'Thanh Toán ("&amp;Z$3&amp;")'!$B:$B"),'Tổng Đơn'!$B46),0)</f>
        <v>0</v>
      </c>
      <c r="AA46" s="2">
        <f ca="1">IFERROR(SUMIFS(INDIRECT("'Thanh Toán ("&amp;AA$3&amp;")'!$e:$e"),INDIRECT("'Thanh Toán ("&amp;AA$3&amp;")'!$B:$B"),'Tổng Đơn'!$B46),0)</f>
        <v>0</v>
      </c>
      <c r="AB46" s="2">
        <f ca="1">IFERROR(SUMIFS(INDIRECT("'Thanh Toán ("&amp;AB$3&amp;")'!$e:$e"),INDIRECT("'Thanh Toán ("&amp;AB$3&amp;")'!$B:$B"),'Tổng Đơn'!$B46),0)</f>
        <v>0</v>
      </c>
      <c r="AC46" s="2">
        <f ca="1">IFERROR(SUMIFS(INDIRECT("'Thanh Toán ("&amp;AC$3&amp;")'!$e:$e"),INDIRECT("'Thanh Toán ("&amp;AC$3&amp;")'!$B:$B"),'Tổng Đơn'!$B46),0)</f>
        <v>0</v>
      </c>
      <c r="AD46" s="2">
        <f ca="1">IFERROR(SUMIFS(INDIRECT("'Thanh Toán ("&amp;AD$3&amp;")'!$e:$e"),INDIRECT("'Thanh Toán ("&amp;AD$3&amp;")'!$B:$B"),'Tổng Đơn'!$B46),0)</f>
        <v>0</v>
      </c>
      <c r="AE46" s="2">
        <f ca="1">IFERROR(SUMIFS(INDIRECT("'Thanh Toán ("&amp;AE$3&amp;")'!$e:$e"),INDIRECT("'Thanh Toán ("&amp;AE$3&amp;")'!$B:$B"),'Tổng Đơn'!$B46),0)</f>
        <v>0</v>
      </c>
      <c r="AF46" s="2">
        <f ca="1">IFERROR(SUMIFS(INDIRECT("'Thanh Toán ("&amp;AF$3&amp;")'!$e:$e"),INDIRECT("'Thanh Toán ("&amp;AF$3&amp;")'!$B:$B"),'Tổng Đơn'!$B46),0)</f>
        <v>0</v>
      </c>
      <c r="AG46" s="2">
        <f ca="1">IFERROR(SUMIFS(INDIRECT("'Thanh Toán ("&amp;AG$3&amp;")'!$e:$e"),INDIRECT("'Thanh Toán ("&amp;AG$3&amp;")'!$B:$B"),'Tổng Đơn'!$B46),0)</f>
        <v>0</v>
      </c>
      <c r="AH46" s="2">
        <f ca="1">IFERROR(SUMIFS(INDIRECT("'Thanh Toán ("&amp;AH$3&amp;")'!$e:$e"),INDIRECT("'Thanh Toán ("&amp;AH$3&amp;")'!$B:$B"),'Tổng Đơn'!$B46),0)</f>
        <v>0</v>
      </c>
      <c r="AI46" s="2">
        <f ca="1">IFERROR(SUMIFS(INDIRECT("'Thanh Toán ("&amp;AI$3&amp;")'!$e:$e"),INDIRECT("'Thanh Toán ("&amp;AI$3&amp;")'!$B:$B"),'Tổng Đơn'!$B46),0)</f>
        <v>0</v>
      </c>
      <c r="AJ46" s="2">
        <f ca="1">IFERROR(SUMIFS(INDIRECT("'Thanh Toán ("&amp;AJ$3&amp;")'!$e:$e"),INDIRECT("'Thanh Toán ("&amp;AJ$3&amp;")'!$B:$B"),'Tổng Đơn'!$B46),0)</f>
        <v>0</v>
      </c>
      <c r="AK46" s="2">
        <f ca="1">IFERROR(SUMIFS(INDIRECT("'Thanh Toán ("&amp;AK$3&amp;")'!$e:$e"),INDIRECT("'Thanh Toán ("&amp;AK$3&amp;")'!$B:$B"),'Tổng Đơn'!$B46),0)</f>
        <v>0</v>
      </c>
      <c r="AL46" s="2">
        <f ca="1">IFERROR(SUMIFS(INDIRECT("'Thanh Toán ("&amp;AL$3&amp;")'!$e:$e"),INDIRECT("'Thanh Toán ("&amp;AL$3&amp;")'!$B:$B"),'Tổng Đơn'!$B46),0)</f>
        <v>0</v>
      </c>
      <c r="AM46" s="2">
        <f ca="1">IFERROR(SUMIFS(INDIRECT("'Thanh Toán ("&amp;AM$3&amp;")'!$e:$e"),INDIRECT("'Thanh Toán ("&amp;AM$3&amp;")'!$B:$B"),'Tổng Đơn'!$B46),0)</f>
        <v>0</v>
      </c>
      <c r="AN46" s="2">
        <f ca="1">IFERROR(SUMIFS(INDIRECT("'Thanh Toán ("&amp;AN$3&amp;")'!$e:$e"),INDIRECT("'Thanh Toán ("&amp;AN$3&amp;")'!$B:$B"),'Tổng Đơn'!$B46),0)</f>
        <v>0</v>
      </c>
      <c r="AO46" s="2">
        <f ca="1">IFERROR(SUMIFS(INDIRECT("'Thanh Toán ("&amp;AO$3&amp;")'!$e:$e"),INDIRECT("'Thanh Toán ("&amp;AO$3&amp;")'!$B:$B"),'Tổng Đơn'!$B46),0)</f>
        <v>0</v>
      </c>
    </row>
    <row r="47" spans="1:41" x14ac:dyDescent="0.25">
      <c r="A47" s="23">
        <v>43</v>
      </c>
      <c r="B47" s="151" t="s">
        <v>36</v>
      </c>
      <c r="C47" s="23" t="s">
        <v>102</v>
      </c>
      <c r="D47" s="44">
        <f>VLOOKUP($C47,Sheet1!$C$2:$D$98,2,0)</f>
        <v>66000</v>
      </c>
      <c r="E47" s="60">
        <v>0.5</v>
      </c>
      <c r="F47" s="58">
        <f t="shared" ca="1" si="3"/>
        <v>0</v>
      </c>
      <c r="G47" s="58">
        <v>56.068592057761734</v>
      </c>
      <c r="H47" s="58">
        <f t="shared" ca="1" si="5"/>
        <v>0</v>
      </c>
      <c r="I47" s="58"/>
      <c r="J47" s="58">
        <f t="shared" ca="1" si="4"/>
        <v>0</v>
      </c>
      <c r="K47" s="58"/>
      <c r="L47" s="2">
        <f ca="1">IFERROR(SUMIFS(INDIRECT("'Thanh Toán ("&amp;L$3&amp;")'!$e:$e"),INDIRECT("'Thanh Toán ("&amp;L$3&amp;")'!$B:$B"),'Tổng Đơn'!$B47),0)</f>
        <v>0</v>
      </c>
      <c r="M47" s="2">
        <f ca="1">IFERROR(SUMIFS(INDIRECT("'Thanh Toán ("&amp;M$3&amp;")'!$e:$e"),INDIRECT("'Thanh Toán ("&amp;M$3&amp;")'!$B:$B"),'Tổng Đơn'!$B47),0)</f>
        <v>0</v>
      </c>
      <c r="N47" s="2">
        <f ca="1">IFERROR(SUMIFS(INDIRECT("'Thanh Toán ("&amp;N$3&amp;")'!$e:$e"),INDIRECT("'Thanh Toán ("&amp;N$3&amp;")'!$B:$B"),'Tổng Đơn'!$B47),0)</f>
        <v>0</v>
      </c>
      <c r="O47" s="2">
        <f ca="1">IFERROR(SUMIFS(INDIRECT("'Thanh Toán ("&amp;O$3&amp;")'!$e:$e"),INDIRECT("'Thanh Toán ("&amp;O$3&amp;")'!$B:$B"),'Tổng Đơn'!$B47),0)</f>
        <v>0</v>
      </c>
      <c r="P47" s="2">
        <f ca="1">IFERROR(SUMIFS(INDIRECT("'Thanh Toán ("&amp;P$3&amp;")'!$e:$e"),INDIRECT("'Thanh Toán ("&amp;P$3&amp;")'!$B:$B"),'Tổng Đơn'!$B47),0)</f>
        <v>0</v>
      </c>
      <c r="Q47" s="2">
        <f ca="1">IFERROR(SUMIFS(INDIRECT("'Thanh Toán ("&amp;Q$3&amp;")'!$e:$e"),INDIRECT("'Thanh Toán ("&amp;Q$3&amp;")'!$B:$B"),'Tổng Đơn'!$B47),0)</f>
        <v>0</v>
      </c>
      <c r="R47" s="2">
        <f ca="1">IFERROR(SUMIFS(INDIRECT("'Thanh Toán ("&amp;R$3&amp;")'!$e:$e"),INDIRECT("'Thanh Toán ("&amp;R$3&amp;")'!$B:$B"),'Tổng Đơn'!$B47),0)</f>
        <v>0</v>
      </c>
      <c r="S47" s="2">
        <f ca="1">IFERROR(SUMIFS(INDIRECT("'Thanh Toán ("&amp;S$3&amp;")'!$e:$e"),INDIRECT("'Thanh Toán ("&amp;S$3&amp;")'!$B:$B"),'Tổng Đơn'!$B47),0)</f>
        <v>0</v>
      </c>
      <c r="T47" s="2">
        <f ca="1">IFERROR(SUMIFS(INDIRECT("'Thanh Toán ("&amp;T$3&amp;")'!$e:$e"),INDIRECT("'Thanh Toán ("&amp;T$3&amp;")'!$B:$B"),'Tổng Đơn'!$B47),0)</f>
        <v>0</v>
      </c>
      <c r="U47" s="2">
        <f ca="1">IFERROR(SUMIFS(INDIRECT("'Thanh Toán ("&amp;U$3&amp;")'!$e:$e"),INDIRECT("'Thanh Toán ("&amp;U$3&amp;")'!$B:$B"),'Tổng Đơn'!$B47),0)</f>
        <v>0</v>
      </c>
      <c r="V47" s="2">
        <f ca="1">IFERROR(SUMIFS(INDIRECT("'Thanh Toán ("&amp;V$3&amp;")'!$e:$e"),INDIRECT("'Thanh Toán ("&amp;V$3&amp;")'!$B:$B"),'Tổng Đơn'!$B47),0)</f>
        <v>0</v>
      </c>
      <c r="W47" s="2">
        <f ca="1">IFERROR(SUMIFS(INDIRECT("'Thanh Toán ("&amp;W$3&amp;")'!$e:$e"),INDIRECT("'Thanh Toán ("&amp;W$3&amp;")'!$B:$B"),'Tổng Đơn'!$B47),0)</f>
        <v>0</v>
      </c>
      <c r="X47" s="2">
        <f ca="1">IFERROR(SUMIFS(INDIRECT("'Thanh Toán ("&amp;X$3&amp;")'!$e:$e"),INDIRECT("'Thanh Toán ("&amp;X$3&amp;")'!$B:$B"),'Tổng Đơn'!$B47),0)</f>
        <v>0</v>
      </c>
      <c r="Y47" s="2">
        <f ca="1">IFERROR(SUMIFS(INDIRECT("'Thanh Toán ("&amp;Y$3&amp;")'!$e:$e"),INDIRECT("'Thanh Toán ("&amp;Y$3&amp;")'!$B:$B"),'Tổng Đơn'!$B47),0)</f>
        <v>0</v>
      </c>
      <c r="Z47" s="2">
        <f ca="1">IFERROR(SUMIFS(INDIRECT("'Thanh Toán ("&amp;Z$3&amp;")'!$e:$e"),INDIRECT("'Thanh Toán ("&amp;Z$3&amp;")'!$B:$B"),'Tổng Đơn'!$B47),0)</f>
        <v>0</v>
      </c>
      <c r="AA47" s="2">
        <f ca="1">IFERROR(SUMIFS(INDIRECT("'Thanh Toán ("&amp;AA$3&amp;")'!$e:$e"),INDIRECT("'Thanh Toán ("&amp;AA$3&amp;")'!$B:$B"),'Tổng Đơn'!$B47),0)</f>
        <v>0</v>
      </c>
      <c r="AB47" s="2">
        <f ca="1">IFERROR(SUMIFS(INDIRECT("'Thanh Toán ("&amp;AB$3&amp;")'!$e:$e"),INDIRECT("'Thanh Toán ("&amp;AB$3&amp;")'!$B:$B"),'Tổng Đơn'!$B47),0)</f>
        <v>0</v>
      </c>
      <c r="AC47" s="2">
        <f ca="1">IFERROR(SUMIFS(INDIRECT("'Thanh Toán ("&amp;AC$3&amp;")'!$e:$e"),INDIRECT("'Thanh Toán ("&amp;AC$3&amp;")'!$B:$B"),'Tổng Đơn'!$B47),0)</f>
        <v>0</v>
      </c>
      <c r="AD47" s="2">
        <f ca="1">IFERROR(SUMIFS(INDIRECT("'Thanh Toán ("&amp;AD$3&amp;")'!$e:$e"),INDIRECT("'Thanh Toán ("&amp;AD$3&amp;")'!$B:$B"),'Tổng Đơn'!$B47),0)</f>
        <v>0</v>
      </c>
      <c r="AE47" s="2">
        <f ca="1">IFERROR(SUMIFS(INDIRECT("'Thanh Toán ("&amp;AE$3&amp;")'!$e:$e"),INDIRECT("'Thanh Toán ("&amp;AE$3&amp;")'!$B:$B"),'Tổng Đơn'!$B47),0)</f>
        <v>0</v>
      </c>
      <c r="AF47" s="2">
        <f ca="1">IFERROR(SUMIFS(INDIRECT("'Thanh Toán ("&amp;AF$3&amp;")'!$e:$e"),INDIRECT("'Thanh Toán ("&amp;AF$3&amp;")'!$B:$B"),'Tổng Đơn'!$B47),0)</f>
        <v>0</v>
      </c>
      <c r="AG47" s="2">
        <f ca="1">IFERROR(SUMIFS(INDIRECT("'Thanh Toán ("&amp;AG$3&amp;")'!$e:$e"),INDIRECT("'Thanh Toán ("&amp;AG$3&amp;")'!$B:$B"),'Tổng Đơn'!$B47),0)</f>
        <v>0</v>
      </c>
      <c r="AH47" s="2">
        <f ca="1">IFERROR(SUMIFS(INDIRECT("'Thanh Toán ("&amp;AH$3&amp;")'!$e:$e"),INDIRECT("'Thanh Toán ("&amp;AH$3&amp;")'!$B:$B"),'Tổng Đơn'!$B47),0)</f>
        <v>0</v>
      </c>
      <c r="AI47" s="2">
        <f ca="1">IFERROR(SUMIFS(INDIRECT("'Thanh Toán ("&amp;AI$3&amp;")'!$e:$e"),INDIRECT("'Thanh Toán ("&amp;AI$3&amp;")'!$B:$B"),'Tổng Đơn'!$B47),0)</f>
        <v>0</v>
      </c>
      <c r="AJ47" s="2">
        <f ca="1">IFERROR(SUMIFS(INDIRECT("'Thanh Toán ("&amp;AJ$3&amp;")'!$e:$e"),INDIRECT("'Thanh Toán ("&amp;AJ$3&amp;")'!$B:$B"),'Tổng Đơn'!$B47),0)</f>
        <v>0</v>
      </c>
      <c r="AK47" s="2">
        <f ca="1">IFERROR(SUMIFS(INDIRECT("'Thanh Toán ("&amp;AK$3&amp;")'!$e:$e"),INDIRECT("'Thanh Toán ("&amp;AK$3&amp;")'!$B:$B"),'Tổng Đơn'!$B47),0)</f>
        <v>0</v>
      </c>
      <c r="AL47" s="2">
        <f ca="1">IFERROR(SUMIFS(INDIRECT("'Thanh Toán ("&amp;AL$3&amp;")'!$e:$e"),INDIRECT("'Thanh Toán ("&amp;AL$3&amp;")'!$B:$B"),'Tổng Đơn'!$B47),0)</f>
        <v>0</v>
      </c>
      <c r="AM47" s="2">
        <f ca="1">IFERROR(SUMIFS(INDIRECT("'Thanh Toán ("&amp;AM$3&amp;")'!$e:$e"),INDIRECT("'Thanh Toán ("&amp;AM$3&amp;")'!$B:$B"),'Tổng Đơn'!$B47),0)</f>
        <v>0</v>
      </c>
      <c r="AN47" s="2">
        <f ca="1">IFERROR(SUMIFS(INDIRECT("'Thanh Toán ("&amp;AN$3&amp;")'!$e:$e"),INDIRECT("'Thanh Toán ("&amp;AN$3&amp;")'!$B:$B"),'Tổng Đơn'!$B47),0)</f>
        <v>0</v>
      </c>
      <c r="AO47" s="2">
        <f ca="1">IFERROR(SUMIFS(INDIRECT("'Thanh Toán ("&amp;AO$3&amp;")'!$e:$e"),INDIRECT("'Thanh Toán ("&amp;AO$3&amp;")'!$B:$B"),'Tổng Đơn'!$B47),0)</f>
        <v>0</v>
      </c>
    </row>
    <row r="48" spans="1:41" ht="15.75" customHeight="1" x14ac:dyDescent="0.25">
      <c r="A48" s="23">
        <v>44</v>
      </c>
      <c r="B48" s="151" t="s">
        <v>51</v>
      </c>
      <c r="C48" s="23" t="s">
        <v>103</v>
      </c>
      <c r="D48" s="44">
        <f>VLOOKUP($C48,Sheet1!$C$2:$D$98,2,0)</f>
        <v>65000</v>
      </c>
      <c r="E48" s="60">
        <v>0.5</v>
      </c>
      <c r="F48" s="58">
        <f t="shared" ca="1" si="3"/>
        <v>0</v>
      </c>
      <c r="G48" s="58">
        <v>54.553224704849256</v>
      </c>
      <c r="H48" s="58">
        <f t="shared" ca="1" si="5"/>
        <v>0</v>
      </c>
      <c r="I48" s="58"/>
      <c r="J48" s="58">
        <f t="shared" ca="1" si="4"/>
        <v>0</v>
      </c>
      <c r="K48" s="58"/>
      <c r="L48" s="2">
        <f ca="1">IFERROR(SUMIFS(INDIRECT("'Thanh Toán ("&amp;L$3&amp;")'!$e:$e"),INDIRECT("'Thanh Toán ("&amp;L$3&amp;")'!$B:$B"),'Tổng Đơn'!$B48),0)</f>
        <v>0</v>
      </c>
      <c r="M48" s="2">
        <f ca="1">IFERROR(SUMIFS(INDIRECT("'Thanh Toán ("&amp;M$3&amp;")'!$e:$e"),INDIRECT("'Thanh Toán ("&amp;M$3&amp;")'!$B:$B"),'Tổng Đơn'!$B48),0)</f>
        <v>0</v>
      </c>
      <c r="N48" s="2">
        <f ca="1">IFERROR(SUMIFS(INDIRECT("'Thanh Toán ("&amp;N$3&amp;")'!$e:$e"),INDIRECT("'Thanh Toán ("&amp;N$3&amp;")'!$B:$B"),'Tổng Đơn'!$B48),0)</f>
        <v>0</v>
      </c>
      <c r="O48" s="2">
        <f ca="1">IFERROR(SUMIFS(INDIRECT("'Thanh Toán ("&amp;O$3&amp;")'!$e:$e"),INDIRECT("'Thanh Toán ("&amp;O$3&amp;")'!$B:$B"),'Tổng Đơn'!$B48),0)</f>
        <v>0</v>
      </c>
      <c r="P48" s="2">
        <f ca="1">IFERROR(SUMIFS(INDIRECT("'Thanh Toán ("&amp;P$3&amp;")'!$e:$e"),INDIRECT("'Thanh Toán ("&amp;P$3&amp;")'!$B:$B"),'Tổng Đơn'!$B48),0)</f>
        <v>0</v>
      </c>
      <c r="Q48" s="2">
        <f ca="1">IFERROR(SUMIFS(INDIRECT("'Thanh Toán ("&amp;Q$3&amp;")'!$e:$e"),INDIRECT("'Thanh Toán ("&amp;Q$3&amp;")'!$B:$B"),'Tổng Đơn'!$B48),0)</f>
        <v>0</v>
      </c>
      <c r="R48" s="2">
        <f ca="1">IFERROR(SUMIFS(INDIRECT("'Thanh Toán ("&amp;R$3&amp;")'!$e:$e"),INDIRECT("'Thanh Toán ("&amp;R$3&amp;")'!$B:$B"),'Tổng Đơn'!$B48),0)</f>
        <v>0</v>
      </c>
      <c r="S48" s="2">
        <f ca="1">IFERROR(SUMIFS(INDIRECT("'Thanh Toán ("&amp;S$3&amp;")'!$e:$e"),INDIRECT("'Thanh Toán ("&amp;S$3&amp;")'!$B:$B"),'Tổng Đơn'!$B48),0)</f>
        <v>0</v>
      </c>
      <c r="T48" s="2">
        <f ca="1">IFERROR(SUMIFS(INDIRECT("'Thanh Toán ("&amp;T$3&amp;")'!$e:$e"),INDIRECT("'Thanh Toán ("&amp;T$3&amp;")'!$B:$B"),'Tổng Đơn'!$B48),0)</f>
        <v>0</v>
      </c>
      <c r="U48" s="2">
        <f ca="1">IFERROR(SUMIFS(INDIRECT("'Thanh Toán ("&amp;U$3&amp;")'!$e:$e"),INDIRECT("'Thanh Toán ("&amp;U$3&amp;")'!$B:$B"),'Tổng Đơn'!$B48),0)</f>
        <v>0</v>
      </c>
      <c r="V48" s="2">
        <f ca="1">IFERROR(SUMIFS(INDIRECT("'Thanh Toán ("&amp;V$3&amp;")'!$e:$e"),INDIRECT("'Thanh Toán ("&amp;V$3&amp;")'!$B:$B"),'Tổng Đơn'!$B48),0)</f>
        <v>0</v>
      </c>
      <c r="W48" s="2">
        <f ca="1">IFERROR(SUMIFS(INDIRECT("'Thanh Toán ("&amp;W$3&amp;")'!$e:$e"),INDIRECT("'Thanh Toán ("&amp;W$3&amp;")'!$B:$B"),'Tổng Đơn'!$B48),0)</f>
        <v>0</v>
      </c>
      <c r="X48" s="2">
        <f ca="1">IFERROR(SUMIFS(INDIRECT("'Thanh Toán ("&amp;X$3&amp;")'!$e:$e"),INDIRECT("'Thanh Toán ("&amp;X$3&amp;")'!$B:$B"),'Tổng Đơn'!$B48),0)</f>
        <v>0</v>
      </c>
      <c r="Y48" s="2">
        <f ca="1">IFERROR(SUMIFS(INDIRECT("'Thanh Toán ("&amp;Y$3&amp;")'!$e:$e"),INDIRECT("'Thanh Toán ("&amp;Y$3&amp;")'!$B:$B"),'Tổng Đơn'!$B48),0)</f>
        <v>0</v>
      </c>
      <c r="Z48" s="2">
        <f ca="1">IFERROR(SUMIFS(INDIRECT("'Thanh Toán ("&amp;Z$3&amp;")'!$e:$e"),INDIRECT("'Thanh Toán ("&amp;Z$3&amp;")'!$B:$B"),'Tổng Đơn'!$B48),0)</f>
        <v>0</v>
      </c>
      <c r="AA48" s="2">
        <f ca="1">IFERROR(SUMIFS(INDIRECT("'Thanh Toán ("&amp;AA$3&amp;")'!$e:$e"),INDIRECT("'Thanh Toán ("&amp;AA$3&amp;")'!$B:$B"),'Tổng Đơn'!$B48),0)</f>
        <v>0</v>
      </c>
      <c r="AB48" s="2">
        <f ca="1">IFERROR(SUMIFS(INDIRECT("'Thanh Toán ("&amp;AB$3&amp;")'!$e:$e"),INDIRECT("'Thanh Toán ("&amp;AB$3&amp;")'!$B:$B"),'Tổng Đơn'!$B48),0)</f>
        <v>0</v>
      </c>
      <c r="AC48" s="2">
        <f ca="1">IFERROR(SUMIFS(INDIRECT("'Thanh Toán ("&amp;AC$3&amp;")'!$e:$e"),INDIRECT("'Thanh Toán ("&amp;AC$3&amp;")'!$B:$B"),'Tổng Đơn'!$B48),0)</f>
        <v>0</v>
      </c>
      <c r="AD48" s="2">
        <f ca="1">IFERROR(SUMIFS(INDIRECT("'Thanh Toán ("&amp;AD$3&amp;")'!$e:$e"),INDIRECT("'Thanh Toán ("&amp;AD$3&amp;")'!$B:$B"),'Tổng Đơn'!$B48),0)</f>
        <v>0</v>
      </c>
      <c r="AE48" s="2">
        <f ca="1">IFERROR(SUMIFS(INDIRECT("'Thanh Toán ("&amp;AE$3&amp;")'!$e:$e"),INDIRECT("'Thanh Toán ("&amp;AE$3&amp;")'!$B:$B"),'Tổng Đơn'!$B48),0)</f>
        <v>0</v>
      </c>
      <c r="AF48" s="2">
        <f ca="1">IFERROR(SUMIFS(INDIRECT("'Thanh Toán ("&amp;AF$3&amp;")'!$e:$e"),INDIRECT("'Thanh Toán ("&amp;AF$3&amp;")'!$B:$B"),'Tổng Đơn'!$B48),0)</f>
        <v>0</v>
      </c>
      <c r="AG48" s="2">
        <f ca="1">IFERROR(SUMIFS(INDIRECT("'Thanh Toán ("&amp;AG$3&amp;")'!$e:$e"),INDIRECT("'Thanh Toán ("&amp;AG$3&amp;")'!$B:$B"),'Tổng Đơn'!$B48),0)</f>
        <v>0</v>
      </c>
      <c r="AH48" s="2">
        <f ca="1">IFERROR(SUMIFS(INDIRECT("'Thanh Toán ("&amp;AH$3&amp;")'!$e:$e"),INDIRECT("'Thanh Toán ("&amp;AH$3&amp;")'!$B:$B"),'Tổng Đơn'!$B48),0)</f>
        <v>0</v>
      </c>
      <c r="AI48" s="2">
        <f ca="1">IFERROR(SUMIFS(INDIRECT("'Thanh Toán ("&amp;AI$3&amp;")'!$e:$e"),INDIRECT("'Thanh Toán ("&amp;AI$3&amp;")'!$B:$B"),'Tổng Đơn'!$B48),0)</f>
        <v>0</v>
      </c>
      <c r="AJ48" s="2">
        <f ca="1">IFERROR(SUMIFS(INDIRECT("'Thanh Toán ("&amp;AJ$3&amp;")'!$e:$e"),INDIRECT("'Thanh Toán ("&amp;AJ$3&amp;")'!$B:$B"),'Tổng Đơn'!$B48),0)</f>
        <v>0</v>
      </c>
      <c r="AK48" s="2">
        <f ca="1">IFERROR(SUMIFS(INDIRECT("'Thanh Toán ("&amp;AK$3&amp;")'!$e:$e"),INDIRECT("'Thanh Toán ("&amp;AK$3&amp;")'!$B:$B"),'Tổng Đơn'!$B48),0)</f>
        <v>0</v>
      </c>
      <c r="AL48" s="2">
        <f ca="1">IFERROR(SUMIFS(INDIRECT("'Thanh Toán ("&amp;AL$3&amp;")'!$e:$e"),INDIRECT("'Thanh Toán ("&amp;AL$3&amp;")'!$B:$B"),'Tổng Đơn'!$B48),0)</f>
        <v>0</v>
      </c>
      <c r="AM48" s="2">
        <f ca="1">IFERROR(SUMIFS(INDIRECT("'Thanh Toán ("&amp;AM$3&amp;")'!$e:$e"),INDIRECT("'Thanh Toán ("&amp;AM$3&amp;")'!$B:$B"),'Tổng Đơn'!$B48),0)</f>
        <v>0</v>
      </c>
      <c r="AN48" s="2">
        <f ca="1">IFERROR(SUMIFS(INDIRECT("'Thanh Toán ("&amp;AN$3&amp;")'!$e:$e"),INDIRECT("'Thanh Toán ("&amp;AN$3&amp;")'!$B:$B"),'Tổng Đơn'!$B48),0)</f>
        <v>0</v>
      </c>
      <c r="AO48" s="2">
        <f ca="1">IFERROR(SUMIFS(INDIRECT("'Thanh Toán ("&amp;AO$3&amp;")'!$e:$e"),INDIRECT("'Thanh Toán ("&amp;AO$3&amp;")'!$B:$B"),'Tổng Đơn'!$B48),0)</f>
        <v>0</v>
      </c>
    </row>
    <row r="49" spans="1:41" ht="15.75" customHeight="1" x14ac:dyDescent="0.25">
      <c r="A49" s="23">
        <v>45</v>
      </c>
      <c r="B49" s="151" t="s">
        <v>52</v>
      </c>
      <c r="C49" s="23" t="s">
        <v>104</v>
      </c>
      <c r="D49" s="44">
        <f>VLOOKUP($C49,Sheet1!$C$2:$D$98,2,0)</f>
        <v>54000</v>
      </c>
      <c r="E49" s="60">
        <v>0.5</v>
      </c>
      <c r="F49" s="58">
        <f t="shared" ca="1" si="3"/>
        <v>0</v>
      </c>
      <c r="G49" s="58">
        <v>45.461020587374378</v>
      </c>
      <c r="H49" s="58">
        <f t="shared" ca="1" si="5"/>
        <v>0</v>
      </c>
      <c r="I49" s="58"/>
      <c r="J49" s="58">
        <f t="shared" ca="1" si="4"/>
        <v>0</v>
      </c>
      <c r="K49" s="58"/>
      <c r="L49" s="2">
        <f ca="1">IFERROR(SUMIFS(INDIRECT("'Thanh Toán ("&amp;L$3&amp;")'!$e:$e"),INDIRECT("'Thanh Toán ("&amp;L$3&amp;")'!$B:$B"),'Tổng Đơn'!$B49),0)</f>
        <v>0</v>
      </c>
      <c r="M49" s="2">
        <f ca="1">IFERROR(SUMIFS(INDIRECT("'Thanh Toán ("&amp;M$3&amp;")'!$e:$e"),INDIRECT("'Thanh Toán ("&amp;M$3&amp;")'!$B:$B"),'Tổng Đơn'!$B49),0)</f>
        <v>0</v>
      </c>
      <c r="N49" s="2">
        <f ca="1">IFERROR(SUMIFS(INDIRECT("'Thanh Toán ("&amp;N$3&amp;")'!$e:$e"),INDIRECT("'Thanh Toán ("&amp;N$3&amp;")'!$B:$B"),'Tổng Đơn'!$B49),0)</f>
        <v>0</v>
      </c>
      <c r="O49" s="2">
        <f ca="1">IFERROR(SUMIFS(INDIRECT("'Thanh Toán ("&amp;O$3&amp;")'!$e:$e"),INDIRECT("'Thanh Toán ("&amp;O$3&amp;")'!$B:$B"),'Tổng Đơn'!$B49),0)</f>
        <v>0</v>
      </c>
      <c r="P49" s="2">
        <f ca="1">IFERROR(SUMIFS(INDIRECT("'Thanh Toán ("&amp;P$3&amp;")'!$e:$e"),INDIRECT("'Thanh Toán ("&amp;P$3&amp;")'!$B:$B"),'Tổng Đơn'!$B49),0)</f>
        <v>0</v>
      </c>
      <c r="Q49" s="2">
        <f ca="1">IFERROR(SUMIFS(INDIRECT("'Thanh Toán ("&amp;Q$3&amp;")'!$e:$e"),INDIRECT("'Thanh Toán ("&amp;Q$3&amp;")'!$B:$B"),'Tổng Đơn'!$B49),0)</f>
        <v>0</v>
      </c>
      <c r="R49" s="2">
        <f ca="1">IFERROR(SUMIFS(INDIRECT("'Thanh Toán ("&amp;R$3&amp;")'!$e:$e"),INDIRECT("'Thanh Toán ("&amp;R$3&amp;")'!$B:$B"),'Tổng Đơn'!$B49),0)</f>
        <v>0</v>
      </c>
      <c r="S49" s="2">
        <f ca="1">IFERROR(SUMIFS(INDIRECT("'Thanh Toán ("&amp;S$3&amp;")'!$e:$e"),INDIRECT("'Thanh Toán ("&amp;S$3&amp;")'!$B:$B"),'Tổng Đơn'!$B49),0)</f>
        <v>0</v>
      </c>
      <c r="T49" s="2">
        <f ca="1">IFERROR(SUMIFS(INDIRECT("'Thanh Toán ("&amp;T$3&amp;")'!$e:$e"),INDIRECT("'Thanh Toán ("&amp;T$3&amp;")'!$B:$B"),'Tổng Đơn'!$B49),0)</f>
        <v>0</v>
      </c>
      <c r="U49" s="2">
        <f ca="1">IFERROR(SUMIFS(INDIRECT("'Thanh Toán ("&amp;U$3&amp;")'!$e:$e"),INDIRECT("'Thanh Toán ("&amp;U$3&amp;")'!$B:$B"),'Tổng Đơn'!$B49),0)</f>
        <v>0</v>
      </c>
      <c r="V49" s="2">
        <f ca="1">IFERROR(SUMIFS(INDIRECT("'Thanh Toán ("&amp;V$3&amp;")'!$e:$e"),INDIRECT("'Thanh Toán ("&amp;V$3&amp;")'!$B:$B"),'Tổng Đơn'!$B49),0)</f>
        <v>0</v>
      </c>
      <c r="W49" s="2">
        <f ca="1">IFERROR(SUMIFS(INDIRECT("'Thanh Toán ("&amp;W$3&amp;")'!$e:$e"),INDIRECT("'Thanh Toán ("&amp;W$3&amp;")'!$B:$B"),'Tổng Đơn'!$B49),0)</f>
        <v>0</v>
      </c>
      <c r="X49" s="2">
        <f ca="1">IFERROR(SUMIFS(INDIRECT("'Thanh Toán ("&amp;X$3&amp;")'!$e:$e"),INDIRECT("'Thanh Toán ("&amp;X$3&amp;")'!$B:$B"),'Tổng Đơn'!$B49),0)</f>
        <v>0</v>
      </c>
      <c r="Y49" s="2">
        <f ca="1">IFERROR(SUMIFS(INDIRECT("'Thanh Toán ("&amp;Y$3&amp;")'!$e:$e"),INDIRECT("'Thanh Toán ("&amp;Y$3&amp;")'!$B:$B"),'Tổng Đơn'!$B49),0)</f>
        <v>0</v>
      </c>
      <c r="Z49" s="2">
        <f ca="1">IFERROR(SUMIFS(INDIRECT("'Thanh Toán ("&amp;Z$3&amp;")'!$e:$e"),INDIRECT("'Thanh Toán ("&amp;Z$3&amp;")'!$B:$B"),'Tổng Đơn'!$B49),0)</f>
        <v>0</v>
      </c>
      <c r="AA49" s="2">
        <f ca="1">IFERROR(SUMIFS(INDIRECT("'Thanh Toán ("&amp;AA$3&amp;")'!$e:$e"),INDIRECT("'Thanh Toán ("&amp;AA$3&amp;")'!$B:$B"),'Tổng Đơn'!$B49),0)</f>
        <v>0</v>
      </c>
      <c r="AB49" s="2">
        <f ca="1">IFERROR(SUMIFS(INDIRECT("'Thanh Toán ("&amp;AB$3&amp;")'!$e:$e"),INDIRECT("'Thanh Toán ("&amp;AB$3&amp;")'!$B:$B"),'Tổng Đơn'!$B49),0)</f>
        <v>0</v>
      </c>
      <c r="AC49" s="2">
        <f ca="1">IFERROR(SUMIFS(INDIRECT("'Thanh Toán ("&amp;AC$3&amp;")'!$e:$e"),INDIRECT("'Thanh Toán ("&amp;AC$3&amp;")'!$B:$B"),'Tổng Đơn'!$B49),0)</f>
        <v>0</v>
      </c>
      <c r="AD49" s="2">
        <f ca="1">IFERROR(SUMIFS(INDIRECT("'Thanh Toán ("&amp;AD$3&amp;")'!$e:$e"),INDIRECT("'Thanh Toán ("&amp;AD$3&amp;")'!$B:$B"),'Tổng Đơn'!$B49),0)</f>
        <v>0</v>
      </c>
      <c r="AE49" s="2">
        <f ca="1">IFERROR(SUMIFS(INDIRECT("'Thanh Toán ("&amp;AE$3&amp;")'!$e:$e"),INDIRECT("'Thanh Toán ("&amp;AE$3&amp;")'!$B:$B"),'Tổng Đơn'!$B49),0)</f>
        <v>0</v>
      </c>
      <c r="AF49" s="2">
        <f ca="1">IFERROR(SUMIFS(INDIRECT("'Thanh Toán ("&amp;AF$3&amp;")'!$e:$e"),INDIRECT("'Thanh Toán ("&amp;AF$3&amp;")'!$B:$B"),'Tổng Đơn'!$B49),0)</f>
        <v>0</v>
      </c>
      <c r="AG49" s="2">
        <f ca="1">IFERROR(SUMIFS(INDIRECT("'Thanh Toán ("&amp;AG$3&amp;")'!$e:$e"),INDIRECT("'Thanh Toán ("&amp;AG$3&amp;")'!$B:$B"),'Tổng Đơn'!$B49),0)</f>
        <v>0</v>
      </c>
      <c r="AH49" s="2">
        <f ca="1">IFERROR(SUMIFS(INDIRECT("'Thanh Toán ("&amp;AH$3&amp;")'!$e:$e"),INDIRECT("'Thanh Toán ("&amp;AH$3&amp;")'!$B:$B"),'Tổng Đơn'!$B49),0)</f>
        <v>0</v>
      </c>
      <c r="AI49" s="2">
        <f ca="1">IFERROR(SUMIFS(INDIRECT("'Thanh Toán ("&amp;AI$3&amp;")'!$e:$e"),INDIRECT("'Thanh Toán ("&amp;AI$3&amp;")'!$B:$B"),'Tổng Đơn'!$B49),0)</f>
        <v>0</v>
      </c>
      <c r="AJ49" s="2">
        <f ca="1">IFERROR(SUMIFS(INDIRECT("'Thanh Toán ("&amp;AJ$3&amp;")'!$e:$e"),INDIRECT("'Thanh Toán ("&amp;AJ$3&amp;")'!$B:$B"),'Tổng Đơn'!$B49),0)</f>
        <v>0</v>
      </c>
      <c r="AK49" s="2">
        <f ca="1">IFERROR(SUMIFS(INDIRECT("'Thanh Toán ("&amp;AK$3&amp;")'!$e:$e"),INDIRECT("'Thanh Toán ("&amp;AK$3&amp;")'!$B:$B"),'Tổng Đơn'!$B49),0)</f>
        <v>0</v>
      </c>
      <c r="AL49" s="2">
        <f ca="1">IFERROR(SUMIFS(INDIRECT("'Thanh Toán ("&amp;AL$3&amp;")'!$e:$e"),INDIRECT("'Thanh Toán ("&amp;AL$3&amp;")'!$B:$B"),'Tổng Đơn'!$B49),0)</f>
        <v>0</v>
      </c>
      <c r="AM49" s="2">
        <f ca="1">IFERROR(SUMIFS(INDIRECT("'Thanh Toán ("&amp;AM$3&amp;")'!$e:$e"),INDIRECT("'Thanh Toán ("&amp;AM$3&amp;")'!$B:$B"),'Tổng Đơn'!$B49),0)</f>
        <v>0</v>
      </c>
      <c r="AN49" s="2">
        <f ca="1">IFERROR(SUMIFS(INDIRECT("'Thanh Toán ("&amp;AN$3&amp;")'!$e:$e"),INDIRECT("'Thanh Toán ("&amp;AN$3&amp;")'!$B:$B"),'Tổng Đơn'!$B49),0)</f>
        <v>0</v>
      </c>
      <c r="AO49" s="2">
        <f ca="1">IFERROR(SUMIFS(INDIRECT("'Thanh Toán ("&amp;AO$3&amp;")'!$e:$e"),INDIRECT("'Thanh Toán ("&amp;AO$3&amp;")'!$B:$B"),'Tổng Đơn'!$B49),0)</f>
        <v>0</v>
      </c>
    </row>
    <row r="50" spans="1:41" x14ac:dyDescent="0.25">
      <c r="A50" s="23">
        <v>46</v>
      </c>
      <c r="B50" s="151" t="s">
        <v>46</v>
      </c>
      <c r="C50" s="23" t="s">
        <v>105</v>
      </c>
      <c r="D50" s="44">
        <f>VLOOKUP($C50,Sheet1!$C$2:$D$98,2,0)</f>
        <v>59000</v>
      </c>
      <c r="E50" s="60">
        <v>0.5</v>
      </c>
      <c r="F50" s="58">
        <f t="shared" ca="1" si="3"/>
        <v>0</v>
      </c>
      <c r="G50" s="58">
        <v>49.502000195140987</v>
      </c>
      <c r="H50" s="58">
        <f t="shared" ca="1" si="5"/>
        <v>0</v>
      </c>
      <c r="I50" s="58"/>
      <c r="J50" s="58">
        <f t="shared" ca="1" si="4"/>
        <v>0</v>
      </c>
      <c r="K50" s="58"/>
      <c r="L50" s="2">
        <f ca="1">IFERROR(SUMIFS(INDIRECT("'Thanh Toán ("&amp;L$3&amp;")'!$e:$e"),INDIRECT("'Thanh Toán ("&amp;L$3&amp;")'!$B:$B"),'Tổng Đơn'!$B50),0)</f>
        <v>0</v>
      </c>
      <c r="M50" s="2">
        <f ca="1">IFERROR(SUMIFS(INDIRECT("'Thanh Toán ("&amp;M$3&amp;")'!$e:$e"),INDIRECT("'Thanh Toán ("&amp;M$3&amp;")'!$B:$B"),'Tổng Đơn'!$B50),0)</f>
        <v>0</v>
      </c>
      <c r="N50" s="2">
        <f ca="1">IFERROR(SUMIFS(INDIRECT("'Thanh Toán ("&amp;N$3&amp;")'!$e:$e"),INDIRECT("'Thanh Toán ("&amp;N$3&amp;")'!$B:$B"),'Tổng Đơn'!$B50),0)</f>
        <v>0</v>
      </c>
      <c r="O50" s="2">
        <f ca="1">IFERROR(SUMIFS(INDIRECT("'Thanh Toán ("&amp;O$3&amp;")'!$e:$e"),INDIRECT("'Thanh Toán ("&amp;O$3&amp;")'!$B:$B"),'Tổng Đơn'!$B50),0)</f>
        <v>0</v>
      </c>
      <c r="P50" s="2">
        <f ca="1">IFERROR(SUMIFS(INDIRECT("'Thanh Toán ("&amp;P$3&amp;")'!$e:$e"),INDIRECT("'Thanh Toán ("&amp;P$3&amp;")'!$B:$B"),'Tổng Đơn'!$B50),0)</f>
        <v>0</v>
      </c>
      <c r="Q50" s="2">
        <f ca="1">IFERROR(SUMIFS(INDIRECT("'Thanh Toán ("&amp;Q$3&amp;")'!$e:$e"),INDIRECT("'Thanh Toán ("&amp;Q$3&amp;")'!$B:$B"),'Tổng Đơn'!$B50),0)</f>
        <v>0</v>
      </c>
      <c r="R50" s="2">
        <f ca="1">IFERROR(SUMIFS(INDIRECT("'Thanh Toán ("&amp;R$3&amp;")'!$e:$e"),INDIRECT("'Thanh Toán ("&amp;R$3&amp;")'!$B:$B"),'Tổng Đơn'!$B50),0)</f>
        <v>0</v>
      </c>
      <c r="S50" s="2">
        <f ca="1">IFERROR(SUMIFS(INDIRECT("'Thanh Toán ("&amp;S$3&amp;")'!$e:$e"),INDIRECT("'Thanh Toán ("&amp;S$3&amp;")'!$B:$B"),'Tổng Đơn'!$B50),0)</f>
        <v>0</v>
      </c>
      <c r="T50" s="2">
        <f ca="1">IFERROR(SUMIFS(INDIRECT("'Thanh Toán ("&amp;T$3&amp;")'!$e:$e"),INDIRECT("'Thanh Toán ("&amp;T$3&amp;")'!$B:$B"),'Tổng Đơn'!$B50),0)</f>
        <v>0</v>
      </c>
      <c r="U50" s="2">
        <f ca="1">IFERROR(SUMIFS(INDIRECT("'Thanh Toán ("&amp;U$3&amp;")'!$e:$e"),INDIRECT("'Thanh Toán ("&amp;U$3&amp;")'!$B:$B"),'Tổng Đơn'!$B50),0)</f>
        <v>0</v>
      </c>
      <c r="V50" s="2">
        <f ca="1">IFERROR(SUMIFS(INDIRECT("'Thanh Toán ("&amp;V$3&amp;")'!$e:$e"),INDIRECT("'Thanh Toán ("&amp;V$3&amp;")'!$B:$B"),'Tổng Đơn'!$B50),0)</f>
        <v>0</v>
      </c>
      <c r="W50" s="2">
        <f ca="1">IFERROR(SUMIFS(INDIRECT("'Thanh Toán ("&amp;W$3&amp;")'!$e:$e"),INDIRECT("'Thanh Toán ("&amp;W$3&amp;")'!$B:$B"),'Tổng Đơn'!$B50),0)</f>
        <v>0</v>
      </c>
      <c r="X50" s="2">
        <f ca="1">IFERROR(SUMIFS(INDIRECT("'Thanh Toán ("&amp;X$3&amp;")'!$e:$e"),INDIRECT("'Thanh Toán ("&amp;X$3&amp;")'!$B:$B"),'Tổng Đơn'!$B50),0)</f>
        <v>0</v>
      </c>
      <c r="Y50" s="2">
        <f ca="1">IFERROR(SUMIFS(INDIRECT("'Thanh Toán ("&amp;Y$3&amp;")'!$e:$e"),INDIRECT("'Thanh Toán ("&amp;Y$3&amp;")'!$B:$B"),'Tổng Đơn'!$B50),0)</f>
        <v>0</v>
      </c>
      <c r="Z50" s="2">
        <f ca="1">IFERROR(SUMIFS(INDIRECT("'Thanh Toán ("&amp;Z$3&amp;")'!$e:$e"),INDIRECT("'Thanh Toán ("&amp;Z$3&amp;")'!$B:$B"),'Tổng Đơn'!$B50),0)</f>
        <v>0</v>
      </c>
      <c r="AA50" s="2">
        <f ca="1">IFERROR(SUMIFS(INDIRECT("'Thanh Toán ("&amp;AA$3&amp;")'!$e:$e"),INDIRECT("'Thanh Toán ("&amp;AA$3&amp;")'!$B:$B"),'Tổng Đơn'!$B50),0)</f>
        <v>0</v>
      </c>
      <c r="AB50" s="2">
        <f ca="1">IFERROR(SUMIFS(INDIRECT("'Thanh Toán ("&amp;AB$3&amp;")'!$e:$e"),INDIRECT("'Thanh Toán ("&amp;AB$3&amp;")'!$B:$B"),'Tổng Đơn'!$B50),0)</f>
        <v>0</v>
      </c>
      <c r="AC50" s="2">
        <f ca="1">IFERROR(SUMIFS(INDIRECT("'Thanh Toán ("&amp;AC$3&amp;")'!$e:$e"),INDIRECT("'Thanh Toán ("&amp;AC$3&amp;")'!$B:$B"),'Tổng Đơn'!$B50),0)</f>
        <v>0</v>
      </c>
      <c r="AD50" s="2">
        <f ca="1">IFERROR(SUMIFS(INDIRECT("'Thanh Toán ("&amp;AD$3&amp;")'!$e:$e"),INDIRECT("'Thanh Toán ("&amp;AD$3&amp;")'!$B:$B"),'Tổng Đơn'!$B50),0)</f>
        <v>0</v>
      </c>
      <c r="AE50" s="2">
        <f ca="1">IFERROR(SUMIFS(INDIRECT("'Thanh Toán ("&amp;AE$3&amp;")'!$e:$e"),INDIRECT("'Thanh Toán ("&amp;AE$3&amp;")'!$B:$B"),'Tổng Đơn'!$B50),0)</f>
        <v>0</v>
      </c>
      <c r="AF50" s="2">
        <f ca="1">IFERROR(SUMIFS(INDIRECT("'Thanh Toán ("&amp;AF$3&amp;")'!$e:$e"),INDIRECT("'Thanh Toán ("&amp;AF$3&amp;")'!$B:$B"),'Tổng Đơn'!$B50),0)</f>
        <v>0</v>
      </c>
      <c r="AG50" s="2">
        <f ca="1">IFERROR(SUMIFS(INDIRECT("'Thanh Toán ("&amp;AG$3&amp;")'!$e:$e"),INDIRECT("'Thanh Toán ("&amp;AG$3&amp;")'!$B:$B"),'Tổng Đơn'!$B50),0)</f>
        <v>0</v>
      </c>
      <c r="AH50" s="2">
        <f ca="1">IFERROR(SUMIFS(INDIRECT("'Thanh Toán ("&amp;AH$3&amp;")'!$e:$e"),INDIRECT("'Thanh Toán ("&amp;AH$3&amp;")'!$B:$B"),'Tổng Đơn'!$B50),0)</f>
        <v>0</v>
      </c>
      <c r="AI50" s="2">
        <f ca="1">IFERROR(SUMIFS(INDIRECT("'Thanh Toán ("&amp;AI$3&amp;")'!$e:$e"),INDIRECT("'Thanh Toán ("&amp;AI$3&amp;")'!$B:$B"),'Tổng Đơn'!$B50),0)</f>
        <v>0</v>
      </c>
      <c r="AJ50" s="2">
        <f ca="1">IFERROR(SUMIFS(INDIRECT("'Thanh Toán ("&amp;AJ$3&amp;")'!$e:$e"),INDIRECT("'Thanh Toán ("&amp;AJ$3&amp;")'!$B:$B"),'Tổng Đơn'!$B50),0)</f>
        <v>0</v>
      </c>
      <c r="AK50" s="2">
        <f ca="1">IFERROR(SUMIFS(INDIRECT("'Thanh Toán ("&amp;AK$3&amp;")'!$e:$e"),INDIRECT("'Thanh Toán ("&amp;AK$3&amp;")'!$B:$B"),'Tổng Đơn'!$B50),0)</f>
        <v>0</v>
      </c>
      <c r="AL50" s="2">
        <f ca="1">IFERROR(SUMIFS(INDIRECT("'Thanh Toán ("&amp;AL$3&amp;")'!$e:$e"),INDIRECT("'Thanh Toán ("&amp;AL$3&amp;")'!$B:$B"),'Tổng Đơn'!$B50),0)</f>
        <v>0</v>
      </c>
      <c r="AM50" s="2">
        <f ca="1">IFERROR(SUMIFS(INDIRECT("'Thanh Toán ("&amp;AM$3&amp;")'!$e:$e"),INDIRECT("'Thanh Toán ("&amp;AM$3&amp;")'!$B:$B"),'Tổng Đơn'!$B50),0)</f>
        <v>0</v>
      </c>
      <c r="AN50" s="2">
        <f ca="1">IFERROR(SUMIFS(INDIRECT("'Thanh Toán ("&amp;AN$3&amp;")'!$e:$e"),INDIRECT("'Thanh Toán ("&amp;AN$3&amp;")'!$B:$B"),'Tổng Đơn'!$B50),0)</f>
        <v>0</v>
      </c>
      <c r="AO50" s="2">
        <f ca="1">IFERROR(SUMIFS(INDIRECT("'Thanh Toán ("&amp;AO$3&amp;")'!$e:$e"),INDIRECT("'Thanh Toán ("&amp;AO$3&amp;")'!$B:$B"),'Tổng Đơn'!$B50),0)</f>
        <v>0</v>
      </c>
    </row>
    <row r="51" spans="1:41" x14ac:dyDescent="0.25">
      <c r="A51" s="150">
        <v>47</v>
      </c>
      <c r="B51" s="153" t="s">
        <v>142</v>
      </c>
      <c r="C51" s="23" t="s">
        <v>126</v>
      </c>
      <c r="D51" s="44">
        <f>VLOOKUP($C51,Sheet1!$C$2:$D$98,2,0)</f>
        <v>40000</v>
      </c>
      <c r="E51" s="60">
        <v>0.5</v>
      </c>
      <c r="F51" s="58">
        <f t="shared" ca="1" si="3"/>
        <v>0</v>
      </c>
      <c r="G51" s="58">
        <v>31.772855326469049</v>
      </c>
      <c r="H51" s="58">
        <f t="shared" ca="1" si="5"/>
        <v>0</v>
      </c>
      <c r="I51" s="58"/>
      <c r="J51" s="58">
        <f t="shared" ca="1" si="4"/>
        <v>0</v>
      </c>
      <c r="K51" s="58"/>
      <c r="L51" s="2">
        <f ca="1">IFERROR(SUMIFS(INDIRECT("'Thanh Toán ("&amp;L$3&amp;")'!$e:$e"),INDIRECT("'Thanh Toán ("&amp;L$3&amp;")'!$B:$B"),'Tổng Đơn'!$B51),0)</f>
        <v>0</v>
      </c>
      <c r="M51" s="2">
        <f ca="1">IFERROR(SUMIFS(INDIRECT("'Thanh Toán ("&amp;M$3&amp;")'!$e:$e"),INDIRECT("'Thanh Toán ("&amp;M$3&amp;")'!$B:$B"),'Tổng Đơn'!$B51),0)</f>
        <v>0</v>
      </c>
      <c r="N51" s="2">
        <f ca="1">IFERROR(SUMIFS(INDIRECT("'Thanh Toán ("&amp;N$3&amp;")'!$e:$e"),INDIRECT("'Thanh Toán ("&amp;N$3&amp;")'!$B:$B"),'Tổng Đơn'!$B51),0)</f>
        <v>0</v>
      </c>
      <c r="O51" s="2">
        <f ca="1">IFERROR(SUMIFS(INDIRECT("'Thanh Toán ("&amp;O$3&amp;")'!$e:$e"),INDIRECT("'Thanh Toán ("&amp;O$3&amp;")'!$B:$B"),'Tổng Đơn'!$B51),0)</f>
        <v>0</v>
      </c>
      <c r="P51" s="2">
        <f ca="1">IFERROR(SUMIFS(INDIRECT("'Thanh Toán ("&amp;P$3&amp;")'!$e:$e"),INDIRECT("'Thanh Toán ("&amp;P$3&amp;")'!$B:$B"),'Tổng Đơn'!$B51),0)</f>
        <v>0</v>
      </c>
      <c r="Q51" s="2">
        <f ca="1">IFERROR(SUMIFS(INDIRECT("'Thanh Toán ("&amp;Q$3&amp;")'!$e:$e"),INDIRECT("'Thanh Toán ("&amp;Q$3&amp;")'!$B:$B"),'Tổng Đơn'!$B51),0)</f>
        <v>0</v>
      </c>
      <c r="R51" s="2">
        <f ca="1">IFERROR(SUMIFS(INDIRECT("'Thanh Toán ("&amp;R$3&amp;")'!$e:$e"),INDIRECT("'Thanh Toán ("&amp;R$3&amp;")'!$B:$B"),'Tổng Đơn'!$B51),0)</f>
        <v>0</v>
      </c>
      <c r="S51" s="2">
        <f ca="1">IFERROR(SUMIFS(INDIRECT("'Thanh Toán ("&amp;S$3&amp;")'!$e:$e"),INDIRECT("'Thanh Toán ("&amp;S$3&amp;")'!$B:$B"),'Tổng Đơn'!$B51),0)</f>
        <v>0</v>
      </c>
      <c r="T51" s="2">
        <f ca="1">IFERROR(SUMIFS(INDIRECT("'Thanh Toán ("&amp;T$3&amp;")'!$e:$e"),INDIRECT("'Thanh Toán ("&amp;T$3&amp;")'!$B:$B"),'Tổng Đơn'!$B51),0)</f>
        <v>0</v>
      </c>
      <c r="U51" s="2">
        <f ca="1">IFERROR(SUMIFS(INDIRECT("'Thanh Toán ("&amp;U$3&amp;")'!$e:$e"),INDIRECT("'Thanh Toán ("&amp;U$3&amp;")'!$B:$B"),'Tổng Đơn'!$B51),0)</f>
        <v>0</v>
      </c>
      <c r="V51" s="2">
        <f ca="1">IFERROR(SUMIFS(INDIRECT("'Thanh Toán ("&amp;V$3&amp;")'!$e:$e"),INDIRECT("'Thanh Toán ("&amp;V$3&amp;")'!$B:$B"),'Tổng Đơn'!$B51),0)</f>
        <v>0</v>
      </c>
      <c r="W51" s="2">
        <f ca="1">IFERROR(SUMIFS(INDIRECT("'Thanh Toán ("&amp;W$3&amp;")'!$e:$e"),INDIRECT("'Thanh Toán ("&amp;W$3&amp;")'!$B:$B"),'Tổng Đơn'!$B51),0)</f>
        <v>0</v>
      </c>
      <c r="X51" s="2">
        <f ca="1">IFERROR(SUMIFS(INDIRECT("'Thanh Toán ("&amp;X$3&amp;")'!$e:$e"),INDIRECT("'Thanh Toán ("&amp;X$3&amp;")'!$B:$B"),'Tổng Đơn'!$B51),0)</f>
        <v>0</v>
      </c>
      <c r="Y51" s="2">
        <f ca="1">IFERROR(SUMIFS(INDIRECT("'Thanh Toán ("&amp;Y$3&amp;")'!$e:$e"),INDIRECT("'Thanh Toán ("&amp;Y$3&amp;")'!$B:$B"),'Tổng Đơn'!$B51),0)</f>
        <v>0</v>
      </c>
      <c r="Z51" s="2">
        <f ca="1">IFERROR(SUMIFS(INDIRECT("'Thanh Toán ("&amp;Z$3&amp;")'!$e:$e"),INDIRECT("'Thanh Toán ("&amp;Z$3&amp;")'!$B:$B"),'Tổng Đơn'!$B51),0)</f>
        <v>0</v>
      </c>
      <c r="AA51" s="2">
        <f ca="1">IFERROR(SUMIFS(INDIRECT("'Thanh Toán ("&amp;AA$3&amp;")'!$e:$e"),INDIRECT("'Thanh Toán ("&amp;AA$3&amp;")'!$B:$B"),'Tổng Đơn'!$B51),0)</f>
        <v>0</v>
      </c>
      <c r="AB51" s="2">
        <f ca="1">IFERROR(SUMIFS(INDIRECT("'Thanh Toán ("&amp;AB$3&amp;")'!$e:$e"),INDIRECT("'Thanh Toán ("&amp;AB$3&amp;")'!$B:$B"),'Tổng Đơn'!$B51),0)</f>
        <v>0</v>
      </c>
      <c r="AC51" s="2">
        <f ca="1">IFERROR(SUMIFS(INDIRECT("'Thanh Toán ("&amp;AC$3&amp;")'!$e:$e"),INDIRECT("'Thanh Toán ("&amp;AC$3&amp;")'!$B:$B"),'Tổng Đơn'!$B51),0)</f>
        <v>0</v>
      </c>
      <c r="AD51" s="2">
        <f ca="1">IFERROR(SUMIFS(INDIRECT("'Thanh Toán ("&amp;AD$3&amp;")'!$e:$e"),INDIRECT("'Thanh Toán ("&amp;AD$3&amp;")'!$B:$B"),'Tổng Đơn'!$B51),0)</f>
        <v>0</v>
      </c>
      <c r="AE51" s="2">
        <f ca="1">IFERROR(SUMIFS(INDIRECT("'Thanh Toán ("&amp;AE$3&amp;")'!$e:$e"),INDIRECT("'Thanh Toán ("&amp;AE$3&amp;")'!$B:$B"),'Tổng Đơn'!$B51),0)</f>
        <v>0</v>
      </c>
      <c r="AF51" s="2">
        <f ca="1">IFERROR(SUMIFS(INDIRECT("'Thanh Toán ("&amp;AF$3&amp;")'!$e:$e"),INDIRECT("'Thanh Toán ("&amp;AF$3&amp;")'!$B:$B"),'Tổng Đơn'!$B51),0)</f>
        <v>0</v>
      </c>
      <c r="AG51" s="2">
        <f ca="1">IFERROR(SUMIFS(INDIRECT("'Thanh Toán ("&amp;AG$3&amp;")'!$e:$e"),INDIRECT("'Thanh Toán ("&amp;AG$3&amp;")'!$B:$B"),'Tổng Đơn'!$B51),0)</f>
        <v>0</v>
      </c>
      <c r="AH51" s="2">
        <f ca="1">IFERROR(SUMIFS(INDIRECT("'Thanh Toán ("&amp;AH$3&amp;")'!$e:$e"),INDIRECT("'Thanh Toán ("&amp;AH$3&amp;")'!$B:$B"),'Tổng Đơn'!$B51),0)</f>
        <v>0</v>
      </c>
      <c r="AI51" s="2">
        <f ca="1">IFERROR(SUMIFS(INDIRECT("'Thanh Toán ("&amp;AI$3&amp;")'!$e:$e"),INDIRECT("'Thanh Toán ("&amp;AI$3&amp;")'!$B:$B"),'Tổng Đơn'!$B51),0)</f>
        <v>0</v>
      </c>
      <c r="AJ51" s="2">
        <f ca="1">IFERROR(SUMIFS(INDIRECT("'Thanh Toán ("&amp;AJ$3&amp;")'!$e:$e"),INDIRECT("'Thanh Toán ("&amp;AJ$3&amp;")'!$B:$B"),'Tổng Đơn'!$B51),0)</f>
        <v>0</v>
      </c>
      <c r="AK51" s="2">
        <f ca="1">IFERROR(SUMIFS(INDIRECT("'Thanh Toán ("&amp;AK$3&amp;")'!$e:$e"),INDIRECT("'Thanh Toán ("&amp;AK$3&amp;")'!$B:$B"),'Tổng Đơn'!$B51),0)</f>
        <v>0</v>
      </c>
      <c r="AL51" s="2">
        <f ca="1">IFERROR(SUMIFS(INDIRECT("'Thanh Toán ("&amp;AL$3&amp;")'!$e:$e"),INDIRECT("'Thanh Toán ("&amp;AL$3&amp;")'!$B:$B"),'Tổng Đơn'!$B51),0)</f>
        <v>0</v>
      </c>
      <c r="AM51" s="2">
        <f ca="1">IFERROR(SUMIFS(INDIRECT("'Thanh Toán ("&amp;AM$3&amp;")'!$e:$e"),INDIRECT("'Thanh Toán ("&amp;AM$3&amp;")'!$B:$B"),'Tổng Đơn'!$B51),0)</f>
        <v>0</v>
      </c>
      <c r="AN51" s="2">
        <f ca="1">IFERROR(SUMIFS(INDIRECT("'Thanh Toán ("&amp;AN$3&amp;")'!$e:$e"),INDIRECT("'Thanh Toán ("&amp;AN$3&amp;")'!$B:$B"),'Tổng Đơn'!$B51),0)</f>
        <v>0</v>
      </c>
      <c r="AO51" s="2">
        <f ca="1">IFERROR(SUMIFS(INDIRECT("'Thanh Toán ("&amp;AO$3&amp;")'!$e:$e"),INDIRECT("'Thanh Toán ("&amp;AO$3&amp;")'!$B:$B"),'Tổng Đơn'!$B51),0)</f>
        <v>0</v>
      </c>
    </row>
    <row r="52" spans="1:41" x14ac:dyDescent="0.25">
      <c r="A52" s="150">
        <v>48</v>
      </c>
      <c r="B52" s="153" t="s">
        <v>143</v>
      </c>
      <c r="C52" s="23" t="s">
        <v>144</v>
      </c>
      <c r="D52" s="44">
        <f>VLOOKUP($C52,Sheet1!$C$2:$D$98,2,0)</f>
        <v>35000</v>
      </c>
      <c r="E52" s="60">
        <v>0.5</v>
      </c>
      <c r="F52" s="58">
        <f t="shared" ca="1" si="3"/>
        <v>0</v>
      </c>
      <c r="G52" s="58">
        <v>22.03601256513176</v>
      </c>
      <c r="H52" s="58">
        <f t="shared" ca="1" si="5"/>
        <v>0</v>
      </c>
      <c r="I52" s="58"/>
      <c r="J52" s="58">
        <f t="shared" ca="1" si="4"/>
        <v>0</v>
      </c>
      <c r="K52" s="58"/>
      <c r="L52" s="2">
        <f ca="1">IFERROR(SUMIFS(INDIRECT("'Thanh Toán ("&amp;L$3&amp;")'!$e:$e"),INDIRECT("'Thanh Toán ("&amp;L$3&amp;")'!$B:$B"),'Tổng Đơn'!$B52),0)</f>
        <v>0</v>
      </c>
      <c r="M52" s="2">
        <f ca="1">IFERROR(SUMIFS(INDIRECT("'Thanh Toán ("&amp;M$3&amp;")'!$e:$e"),INDIRECT("'Thanh Toán ("&amp;M$3&amp;")'!$B:$B"),'Tổng Đơn'!$B52),0)</f>
        <v>0</v>
      </c>
      <c r="N52" s="2">
        <f ca="1">IFERROR(SUMIFS(INDIRECT("'Thanh Toán ("&amp;N$3&amp;")'!$e:$e"),INDIRECT("'Thanh Toán ("&amp;N$3&amp;")'!$B:$B"),'Tổng Đơn'!$B52),0)</f>
        <v>0</v>
      </c>
      <c r="O52" s="2">
        <f ca="1">IFERROR(SUMIFS(INDIRECT("'Thanh Toán ("&amp;O$3&amp;")'!$e:$e"),INDIRECT("'Thanh Toán ("&amp;O$3&amp;")'!$B:$B"),'Tổng Đơn'!$B52),0)</f>
        <v>0</v>
      </c>
      <c r="P52" s="2">
        <f ca="1">IFERROR(SUMIFS(INDIRECT("'Thanh Toán ("&amp;P$3&amp;")'!$e:$e"),INDIRECT("'Thanh Toán ("&amp;P$3&amp;")'!$B:$B"),'Tổng Đơn'!$B52),0)</f>
        <v>0</v>
      </c>
      <c r="Q52" s="2">
        <f ca="1">IFERROR(SUMIFS(INDIRECT("'Thanh Toán ("&amp;Q$3&amp;")'!$e:$e"),INDIRECT("'Thanh Toán ("&amp;Q$3&amp;")'!$B:$B"),'Tổng Đơn'!$B52),0)</f>
        <v>0</v>
      </c>
      <c r="R52" s="2">
        <f ca="1">IFERROR(SUMIFS(INDIRECT("'Thanh Toán ("&amp;R$3&amp;")'!$e:$e"),INDIRECT("'Thanh Toán ("&amp;R$3&amp;")'!$B:$B"),'Tổng Đơn'!$B52),0)</f>
        <v>0</v>
      </c>
      <c r="S52" s="2">
        <f ca="1">IFERROR(SUMIFS(INDIRECT("'Thanh Toán ("&amp;S$3&amp;")'!$e:$e"),INDIRECT("'Thanh Toán ("&amp;S$3&amp;")'!$B:$B"),'Tổng Đơn'!$B52),0)</f>
        <v>0</v>
      </c>
      <c r="T52" s="2">
        <f ca="1">IFERROR(SUMIFS(INDIRECT("'Thanh Toán ("&amp;T$3&amp;")'!$e:$e"),INDIRECT("'Thanh Toán ("&amp;T$3&amp;")'!$B:$B"),'Tổng Đơn'!$B52),0)</f>
        <v>0</v>
      </c>
      <c r="U52" s="2">
        <f ca="1">IFERROR(SUMIFS(INDIRECT("'Thanh Toán ("&amp;U$3&amp;")'!$e:$e"),INDIRECT("'Thanh Toán ("&amp;U$3&amp;")'!$B:$B"),'Tổng Đơn'!$B52),0)</f>
        <v>0</v>
      </c>
      <c r="V52" s="2">
        <f ca="1">IFERROR(SUMIFS(INDIRECT("'Thanh Toán ("&amp;V$3&amp;")'!$e:$e"),INDIRECT("'Thanh Toán ("&amp;V$3&amp;")'!$B:$B"),'Tổng Đơn'!$B52),0)</f>
        <v>0</v>
      </c>
      <c r="W52" s="2">
        <f ca="1">IFERROR(SUMIFS(INDIRECT("'Thanh Toán ("&amp;W$3&amp;")'!$e:$e"),INDIRECT("'Thanh Toán ("&amp;W$3&amp;")'!$B:$B"),'Tổng Đơn'!$B52),0)</f>
        <v>0</v>
      </c>
      <c r="X52" s="2">
        <f ca="1">IFERROR(SUMIFS(INDIRECT("'Thanh Toán ("&amp;X$3&amp;")'!$e:$e"),INDIRECT("'Thanh Toán ("&amp;X$3&amp;")'!$B:$B"),'Tổng Đơn'!$B52),0)</f>
        <v>0</v>
      </c>
      <c r="Y52" s="2">
        <f ca="1">IFERROR(SUMIFS(INDIRECT("'Thanh Toán ("&amp;Y$3&amp;")'!$e:$e"),INDIRECT("'Thanh Toán ("&amp;Y$3&amp;")'!$B:$B"),'Tổng Đơn'!$B52),0)</f>
        <v>0</v>
      </c>
      <c r="Z52" s="2">
        <f ca="1">IFERROR(SUMIFS(INDIRECT("'Thanh Toán ("&amp;Z$3&amp;")'!$e:$e"),INDIRECT("'Thanh Toán ("&amp;Z$3&amp;")'!$B:$B"),'Tổng Đơn'!$B52),0)</f>
        <v>0</v>
      </c>
      <c r="AA52" s="2">
        <f ca="1">IFERROR(SUMIFS(INDIRECT("'Thanh Toán ("&amp;AA$3&amp;")'!$e:$e"),INDIRECT("'Thanh Toán ("&amp;AA$3&amp;")'!$B:$B"),'Tổng Đơn'!$B52),0)</f>
        <v>0</v>
      </c>
      <c r="AB52" s="2">
        <f ca="1">IFERROR(SUMIFS(INDIRECT("'Thanh Toán ("&amp;AB$3&amp;")'!$e:$e"),INDIRECT("'Thanh Toán ("&amp;AB$3&amp;")'!$B:$B"),'Tổng Đơn'!$B52),0)</f>
        <v>0</v>
      </c>
      <c r="AC52" s="2">
        <f ca="1">IFERROR(SUMIFS(INDIRECT("'Thanh Toán ("&amp;AC$3&amp;")'!$e:$e"),INDIRECT("'Thanh Toán ("&amp;AC$3&amp;")'!$B:$B"),'Tổng Đơn'!$B52),0)</f>
        <v>0</v>
      </c>
      <c r="AD52" s="2">
        <f ca="1">IFERROR(SUMIFS(INDIRECT("'Thanh Toán ("&amp;AD$3&amp;")'!$e:$e"),INDIRECT("'Thanh Toán ("&amp;AD$3&amp;")'!$B:$B"),'Tổng Đơn'!$B52),0)</f>
        <v>0</v>
      </c>
      <c r="AE52" s="2">
        <f ca="1">IFERROR(SUMIFS(INDIRECT("'Thanh Toán ("&amp;AE$3&amp;")'!$e:$e"),INDIRECT("'Thanh Toán ("&amp;AE$3&amp;")'!$B:$B"),'Tổng Đơn'!$B52),0)</f>
        <v>0</v>
      </c>
      <c r="AF52" s="2">
        <f ca="1">IFERROR(SUMIFS(INDIRECT("'Thanh Toán ("&amp;AF$3&amp;")'!$e:$e"),INDIRECT("'Thanh Toán ("&amp;AF$3&amp;")'!$B:$B"),'Tổng Đơn'!$B52),0)</f>
        <v>0</v>
      </c>
      <c r="AG52" s="2">
        <f ca="1">IFERROR(SUMIFS(INDIRECT("'Thanh Toán ("&amp;AG$3&amp;")'!$e:$e"),INDIRECT("'Thanh Toán ("&amp;AG$3&amp;")'!$B:$B"),'Tổng Đơn'!$B52),0)</f>
        <v>0</v>
      </c>
      <c r="AH52" s="2">
        <f ca="1">IFERROR(SUMIFS(INDIRECT("'Thanh Toán ("&amp;AH$3&amp;")'!$e:$e"),INDIRECT("'Thanh Toán ("&amp;AH$3&amp;")'!$B:$B"),'Tổng Đơn'!$B52),0)</f>
        <v>0</v>
      </c>
      <c r="AI52" s="2">
        <f ca="1">IFERROR(SUMIFS(INDIRECT("'Thanh Toán ("&amp;AI$3&amp;")'!$e:$e"),INDIRECT("'Thanh Toán ("&amp;AI$3&amp;")'!$B:$B"),'Tổng Đơn'!$B52),0)</f>
        <v>0</v>
      </c>
      <c r="AJ52" s="2">
        <f ca="1">IFERROR(SUMIFS(INDIRECT("'Thanh Toán ("&amp;AJ$3&amp;")'!$e:$e"),INDIRECT("'Thanh Toán ("&amp;AJ$3&amp;")'!$B:$B"),'Tổng Đơn'!$B52),0)</f>
        <v>0</v>
      </c>
      <c r="AK52" s="2">
        <f ca="1">IFERROR(SUMIFS(INDIRECT("'Thanh Toán ("&amp;AK$3&amp;")'!$e:$e"),INDIRECT("'Thanh Toán ("&amp;AK$3&amp;")'!$B:$B"),'Tổng Đơn'!$B52),0)</f>
        <v>0</v>
      </c>
      <c r="AL52" s="2">
        <f ca="1">IFERROR(SUMIFS(INDIRECT("'Thanh Toán ("&amp;AL$3&amp;")'!$e:$e"),INDIRECT("'Thanh Toán ("&amp;AL$3&amp;")'!$B:$B"),'Tổng Đơn'!$B52),0)</f>
        <v>0</v>
      </c>
      <c r="AM52" s="2">
        <f ca="1">IFERROR(SUMIFS(INDIRECT("'Thanh Toán ("&amp;AM$3&amp;")'!$e:$e"),INDIRECT("'Thanh Toán ("&amp;AM$3&amp;")'!$B:$B"),'Tổng Đơn'!$B52),0)</f>
        <v>0</v>
      </c>
      <c r="AN52" s="2">
        <f ca="1">IFERROR(SUMIFS(INDIRECT("'Thanh Toán ("&amp;AN$3&amp;")'!$e:$e"),INDIRECT("'Thanh Toán ("&amp;AN$3&amp;")'!$B:$B"),'Tổng Đơn'!$B52),0)</f>
        <v>0</v>
      </c>
      <c r="AO52" s="2">
        <f ca="1">IFERROR(SUMIFS(INDIRECT("'Thanh Toán ("&amp;AO$3&amp;")'!$e:$e"),INDIRECT("'Thanh Toán ("&amp;AO$3&amp;")'!$B:$B"),'Tổng Đơn'!$B52),0)</f>
        <v>0</v>
      </c>
    </row>
    <row r="53" spans="1:41" x14ac:dyDescent="0.25">
      <c r="A53" s="150">
        <v>49</v>
      </c>
      <c r="B53" s="153" t="s">
        <v>165</v>
      </c>
      <c r="C53" s="23" t="s">
        <v>146</v>
      </c>
      <c r="D53" s="44">
        <f>VLOOKUP($C53,Sheet1!$C$2:$D$98,2,0)</f>
        <v>45000</v>
      </c>
      <c r="E53" s="60">
        <v>0.5</v>
      </c>
      <c r="F53" s="58">
        <f t="shared" ca="1" si="3"/>
        <v>0</v>
      </c>
      <c r="G53" s="58">
        <v>27.673132058537558</v>
      </c>
      <c r="H53" s="58">
        <f t="shared" ca="1" si="5"/>
        <v>0</v>
      </c>
      <c r="I53" s="58"/>
      <c r="J53" s="58">
        <f t="shared" ca="1" si="4"/>
        <v>0</v>
      </c>
      <c r="K53" s="58"/>
      <c r="L53" s="2">
        <f ca="1">IFERROR(SUMIFS(INDIRECT("'Thanh Toán ("&amp;L$3&amp;")'!$e:$e"),INDIRECT("'Thanh Toán ("&amp;L$3&amp;")'!$B:$B"),'Tổng Đơn'!$B53),0)</f>
        <v>0</v>
      </c>
      <c r="M53" s="2">
        <f ca="1">IFERROR(SUMIFS(INDIRECT("'Thanh Toán ("&amp;M$3&amp;")'!$e:$e"),INDIRECT("'Thanh Toán ("&amp;M$3&amp;")'!$B:$B"),'Tổng Đơn'!$B53),0)</f>
        <v>0</v>
      </c>
      <c r="N53" s="2">
        <f ca="1">IFERROR(SUMIFS(INDIRECT("'Thanh Toán ("&amp;N$3&amp;")'!$e:$e"),INDIRECT("'Thanh Toán ("&amp;N$3&amp;")'!$B:$B"),'Tổng Đơn'!$B53),0)</f>
        <v>0</v>
      </c>
      <c r="O53" s="2">
        <f ca="1">IFERROR(SUMIFS(INDIRECT("'Thanh Toán ("&amp;O$3&amp;")'!$e:$e"),INDIRECT("'Thanh Toán ("&amp;O$3&amp;")'!$B:$B"),'Tổng Đơn'!$B53),0)</f>
        <v>0</v>
      </c>
      <c r="P53" s="2">
        <f ca="1">IFERROR(SUMIFS(INDIRECT("'Thanh Toán ("&amp;P$3&amp;")'!$e:$e"),INDIRECT("'Thanh Toán ("&amp;P$3&amp;")'!$B:$B"),'Tổng Đơn'!$B53),0)</f>
        <v>0</v>
      </c>
      <c r="Q53" s="2">
        <f ca="1">IFERROR(SUMIFS(INDIRECT("'Thanh Toán ("&amp;Q$3&amp;")'!$e:$e"),INDIRECT("'Thanh Toán ("&amp;Q$3&amp;")'!$B:$B"),'Tổng Đơn'!$B53),0)</f>
        <v>0</v>
      </c>
      <c r="R53" s="2">
        <f ca="1">IFERROR(SUMIFS(INDIRECT("'Thanh Toán ("&amp;R$3&amp;")'!$e:$e"),INDIRECT("'Thanh Toán ("&amp;R$3&amp;")'!$B:$B"),'Tổng Đơn'!$B53),0)</f>
        <v>0</v>
      </c>
      <c r="S53" s="2">
        <f ca="1">IFERROR(SUMIFS(INDIRECT("'Thanh Toán ("&amp;S$3&amp;")'!$e:$e"),INDIRECT("'Thanh Toán ("&amp;S$3&amp;")'!$B:$B"),'Tổng Đơn'!$B53),0)</f>
        <v>0</v>
      </c>
      <c r="T53" s="2">
        <f ca="1">IFERROR(SUMIFS(INDIRECT("'Thanh Toán ("&amp;T$3&amp;")'!$e:$e"),INDIRECT("'Thanh Toán ("&amp;T$3&amp;")'!$B:$B"),'Tổng Đơn'!$B53),0)</f>
        <v>0</v>
      </c>
      <c r="U53" s="2">
        <f ca="1">IFERROR(SUMIFS(INDIRECT("'Thanh Toán ("&amp;U$3&amp;")'!$e:$e"),INDIRECT("'Thanh Toán ("&amp;U$3&amp;")'!$B:$B"),'Tổng Đơn'!$B53),0)</f>
        <v>0</v>
      </c>
      <c r="V53" s="2">
        <f ca="1">IFERROR(SUMIFS(INDIRECT("'Thanh Toán ("&amp;V$3&amp;")'!$e:$e"),INDIRECT("'Thanh Toán ("&amp;V$3&amp;")'!$B:$B"),'Tổng Đơn'!$B53),0)</f>
        <v>0</v>
      </c>
      <c r="W53" s="2">
        <f ca="1">IFERROR(SUMIFS(INDIRECT("'Thanh Toán ("&amp;W$3&amp;")'!$e:$e"),INDIRECT("'Thanh Toán ("&amp;W$3&amp;")'!$B:$B"),'Tổng Đơn'!$B53),0)</f>
        <v>0</v>
      </c>
      <c r="X53" s="2">
        <f ca="1">IFERROR(SUMIFS(INDIRECT("'Thanh Toán ("&amp;X$3&amp;")'!$e:$e"),INDIRECT("'Thanh Toán ("&amp;X$3&amp;")'!$B:$B"),'Tổng Đơn'!$B53),0)</f>
        <v>0</v>
      </c>
      <c r="Y53" s="2">
        <f ca="1">IFERROR(SUMIFS(INDIRECT("'Thanh Toán ("&amp;Y$3&amp;")'!$e:$e"),INDIRECT("'Thanh Toán ("&amp;Y$3&amp;")'!$B:$B"),'Tổng Đơn'!$B53),0)</f>
        <v>0</v>
      </c>
      <c r="Z53" s="2">
        <f ca="1">IFERROR(SUMIFS(INDIRECT("'Thanh Toán ("&amp;Z$3&amp;")'!$e:$e"),INDIRECT("'Thanh Toán ("&amp;Z$3&amp;")'!$B:$B"),'Tổng Đơn'!$B53),0)</f>
        <v>0</v>
      </c>
      <c r="AA53" s="2">
        <f ca="1">IFERROR(SUMIFS(INDIRECT("'Thanh Toán ("&amp;AA$3&amp;")'!$e:$e"),INDIRECT("'Thanh Toán ("&amp;AA$3&amp;")'!$B:$B"),'Tổng Đơn'!$B53),0)</f>
        <v>0</v>
      </c>
      <c r="AB53" s="2">
        <f ca="1">IFERROR(SUMIFS(INDIRECT("'Thanh Toán ("&amp;AB$3&amp;")'!$e:$e"),INDIRECT("'Thanh Toán ("&amp;AB$3&amp;")'!$B:$B"),'Tổng Đơn'!$B53),0)</f>
        <v>0</v>
      </c>
      <c r="AC53" s="2">
        <f ca="1">IFERROR(SUMIFS(INDIRECT("'Thanh Toán ("&amp;AC$3&amp;")'!$e:$e"),INDIRECT("'Thanh Toán ("&amp;AC$3&amp;")'!$B:$B"),'Tổng Đơn'!$B53),0)</f>
        <v>0</v>
      </c>
      <c r="AD53" s="2">
        <f ca="1">IFERROR(SUMIFS(INDIRECT("'Thanh Toán ("&amp;AD$3&amp;")'!$e:$e"),INDIRECT("'Thanh Toán ("&amp;AD$3&amp;")'!$B:$B"),'Tổng Đơn'!$B53),0)</f>
        <v>0</v>
      </c>
      <c r="AE53" s="2">
        <f ca="1">IFERROR(SUMIFS(INDIRECT("'Thanh Toán ("&amp;AE$3&amp;")'!$e:$e"),INDIRECT("'Thanh Toán ("&amp;AE$3&amp;")'!$B:$B"),'Tổng Đơn'!$B53),0)</f>
        <v>0</v>
      </c>
      <c r="AF53" s="2">
        <f ca="1">IFERROR(SUMIFS(INDIRECT("'Thanh Toán ("&amp;AF$3&amp;")'!$e:$e"),INDIRECT("'Thanh Toán ("&amp;AF$3&amp;")'!$B:$B"),'Tổng Đơn'!$B53),0)</f>
        <v>0</v>
      </c>
      <c r="AG53" s="2">
        <f ca="1">IFERROR(SUMIFS(INDIRECT("'Thanh Toán ("&amp;AG$3&amp;")'!$e:$e"),INDIRECT("'Thanh Toán ("&amp;AG$3&amp;")'!$B:$B"),'Tổng Đơn'!$B53),0)</f>
        <v>0</v>
      </c>
      <c r="AH53" s="2">
        <f ca="1">IFERROR(SUMIFS(INDIRECT("'Thanh Toán ("&amp;AH$3&amp;")'!$e:$e"),INDIRECT("'Thanh Toán ("&amp;AH$3&amp;")'!$B:$B"),'Tổng Đơn'!$B53),0)</f>
        <v>0</v>
      </c>
      <c r="AI53" s="2">
        <f ca="1">IFERROR(SUMIFS(INDIRECT("'Thanh Toán ("&amp;AI$3&amp;")'!$e:$e"),INDIRECT("'Thanh Toán ("&amp;AI$3&amp;")'!$B:$B"),'Tổng Đơn'!$B53),0)</f>
        <v>0</v>
      </c>
      <c r="AJ53" s="2">
        <f ca="1">IFERROR(SUMIFS(INDIRECT("'Thanh Toán ("&amp;AJ$3&amp;")'!$e:$e"),INDIRECT("'Thanh Toán ("&amp;AJ$3&amp;")'!$B:$B"),'Tổng Đơn'!$B53),0)</f>
        <v>0</v>
      </c>
      <c r="AK53" s="2">
        <f ca="1">IFERROR(SUMIFS(INDIRECT("'Thanh Toán ("&amp;AK$3&amp;")'!$e:$e"),INDIRECT("'Thanh Toán ("&amp;AK$3&amp;")'!$B:$B"),'Tổng Đơn'!$B53),0)</f>
        <v>0</v>
      </c>
      <c r="AL53" s="2">
        <f ca="1">IFERROR(SUMIFS(INDIRECT("'Thanh Toán ("&amp;AL$3&amp;")'!$e:$e"),INDIRECT("'Thanh Toán ("&amp;AL$3&amp;")'!$B:$B"),'Tổng Đơn'!$B53),0)</f>
        <v>0</v>
      </c>
      <c r="AM53" s="2">
        <f ca="1">IFERROR(SUMIFS(INDIRECT("'Thanh Toán ("&amp;AM$3&amp;")'!$e:$e"),INDIRECT("'Thanh Toán ("&amp;AM$3&amp;")'!$B:$B"),'Tổng Đơn'!$B53),0)</f>
        <v>0</v>
      </c>
      <c r="AN53" s="2">
        <f ca="1">IFERROR(SUMIFS(INDIRECT("'Thanh Toán ("&amp;AN$3&amp;")'!$e:$e"),INDIRECT("'Thanh Toán ("&amp;AN$3&amp;")'!$B:$B"),'Tổng Đơn'!$B53),0)</f>
        <v>0</v>
      </c>
      <c r="AO53" s="2">
        <f ca="1">IFERROR(SUMIFS(INDIRECT("'Thanh Toán ("&amp;AO$3&amp;")'!$e:$e"),INDIRECT("'Thanh Toán ("&amp;AO$3&amp;")'!$B:$B"),'Tổng Đơn'!$B53),0)</f>
        <v>0</v>
      </c>
    </row>
    <row r="54" spans="1:41" x14ac:dyDescent="0.25">
      <c r="A54" s="150">
        <v>50</v>
      </c>
      <c r="B54" s="153" t="s">
        <v>147</v>
      </c>
      <c r="C54" s="23" t="s">
        <v>148</v>
      </c>
      <c r="D54" s="44">
        <f>VLOOKUP($C54,Sheet1!$C$2:$D$98,2,0)</f>
        <v>44000</v>
      </c>
      <c r="E54" s="60">
        <v>0.5</v>
      </c>
      <c r="F54" s="58">
        <f t="shared" ca="1" si="3"/>
        <v>2</v>
      </c>
      <c r="G54" s="58">
        <v>37</v>
      </c>
      <c r="H54" s="58">
        <f t="shared" ca="1" si="5"/>
        <v>14000</v>
      </c>
      <c r="I54" s="58"/>
      <c r="J54" s="58">
        <f t="shared" ca="1" si="4"/>
        <v>74000</v>
      </c>
      <c r="K54" s="58"/>
      <c r="L54" s="2">
        <f ca="1">IFERROR(SUMIFS(INDIRECT("'Thanh Toán ("&amp;L$3&amp;")'!$e:$e"),INDIRECT("'Thanh Toán ("&amp;L$3&amp;")'!$B:$B"),'Tổng Đơn'!$B54),0)</f>
        <v>0</v>
      </c>
      <c r="M54" s="2">
        <f ca="1">IFERROR(SUMIFS(INDIRECT("'Thanh Toán ("&amp;M$3&amp;")'!$e:$e"),INDIRECT("'Thanh Toán ("&amp;M$3&amp;")'!$B:$B"),'Tổng Đơn'!$B54),0)</f>
        <v>0</v>
      </c>
      <c r="N54" s="2">
        <f ca="1">IFERROR(SUMIFS(INDIRECT("'Thanh Toán ("&amp;N$3&amp;")'!$e:$e"),INDIRECT("'Thanh Toán ("&amp;N$3&amp;")'!$B:$B"),'Tổng Đơn'!$B54),0)</f>
        <v>2</v>
      </c>
      <c r="O54" s="2">
        <f ca="1">IFERROR(SUMIFS(INDIRECT("'Thanh Toán ("&amp;O$3&amp;")'!$e:$e"),INDIRECT("'Thanh Toán ("&amp;O$3&amp;")'!$B:$B"),'Tổng Đơn'!$B54),0)</f>
        <v>0</v>
      </c>
      <c r="P54" s="2">
        <f ca="1">IFERROR(SUMIFS(INDIRECT("'Thanh Toán ("&amp;P$3&amp;")'!$e:$e"),INDIRECT("'Thanh Toán ("&amp;P$3&amp;")'!$B:$B"),'Tổng Đơn'!$B54),0)</f>
        <v>0</v>
      </c>
      <c r="Q54" s="2">
        <f ca="1">IFERROR(SUMIFS(INDIRECT("'Thanh Toán ("&amp;Q$3&amp;")'!$e:$e"),INDIRECT("'Thanh Toán ("&amp;Q$3&amp;")'!$B:$B"),'Tổng Đơn'!$B54),0)</f>
        <v>0</v>
      </c>
      <c r="R54" s="2">
        <f ca="1">IFERROR(SUMIFS(INDIRECT("'Thanh Toán ("&amp;R$3&amp;")'!$e:$e"),INDIRECT("'Thanh Toán ("&amp;R$3&amp;")'!$B:$B"),'Tổng Đơn'!$B54),0)</f>
        <v>0</v>
      </c>
      <c r="S54" s="2">
        <f ca="1">IFERROR(SUMIFS(INDIRECT("'Thanh Toán ("&amp;S$3&amp;")'!$e:$e"),INDIRECT("'Thanh Toán ("&amp;S$3&amp;")'!$B:$B"),'Tổng Đơn'!$B54),0)</f>
        <v>0</v>
      </c>
      <c r="T54" s="2">
        <f ca="1">IFERROR(SUMIFS(INDIRECT("'Thanh Toán ("&amp;T$3&amp;")'!$e:$e"),INDIRECT("'Thanh Toán ("&amp;T$3&amp;")'!$B:$B"),'Tổng Đơn'!$B54),0)</f>
        <v>0</v>
      </c>
      <c r="U54" s="2">
        <f ca="1">IFERROR(SUMIFS(INDIRECT("'Thanh Toán ("&amp;U$3&amp;")'!$e:$e"),INDIRECT("'Thanh Toán ("&amp;U$3&amp;")'!$B:$B"),'Tổng Đơn'!$B54),0)</f>
        <v>0</v>
      </c>
      <c r="V54" s="2">
        <f ca="1">IFERROR(SUMIFS(INDIRECT("'Thanh Toán ("&amp;V$3&amp;")'!$e:$e"),INDIRECT("'Thanh Toán ("&amp;V$3&amp;")'!$B:$B"),'Tổng Đơn'!$B54),0)</f>
        <v>0</v>
      </c>
      <c r="W54" s="2">
        <f ca="1">IFERROR(SUMIFS(INDIRECT("'Thanh Toán ("&amp;W$3&amp;")'!$e:$e"),INDIRECT("'Thanh Toán ("&amp;W$3&amp;")'!$B:$B"),'Tổng Đơn'!$B54),0)</f>
        <v>0</v>
      </c>
      <c r="X54" s="2">
        <f ca="1">IFERROR(SUMIFS(INDIRECT("'Thanh Toán ("&amp;X$3&amp;")'!$e:$e"),INDIRECT("'Thanh Toán ("&amp;X$3&amp;")'!$B:$B"),'Tổng Đơn'!$B54),0)</f>
        <v>0</v>
      </c>
      <c r="Y54" s="2">
        <f ca="1">IFERROR(SUMIFS(INDIRECT("'Thanh Toán ("&amp;Y$3&amp;")'!$e:$e"),INDIRECT("'Thanh Toán ("&amp;Y$3&amp;")'!$B:$B"),'Tổng Đơn'!$B54),0)</f>
        <v>0</v>
      </c>
      <c r="Z54" s="2">
        <f ca="1">IFERROR(SUMIFS(INDIRECT("'Thanh Toán ("&amp;Z$3&amp;")'!$e:$e"),INDIRECT("'Thanh Toán ("&amp;Z$3&amp;")'!$B:$B"),'Tổng Đơn'!$B54),0)</f>
        <v>0</v>
      </c>
      <c r="AA54" s="2">
        <f ca="1">IFERROR(SUMIFS(INDIRECT("'Thanh Toán ("&amp;AA$3&amp;")'!$e:$e"),INDIRECT("'Thanh Toán ("&amp;AA$3&amp;")'!$B:$B"),'Tổng Đơn'!$B54),0)</f>
        <v>0</v>
      </c>
      <c r="AB54" s="2">
        <f ca="1">IFERROR(SUMIFS(INDIRECT("'Thanh Toán ("&amp;AB$3&amp;")'!$e:$e"),INDIRECT("'Thanh Toán ("&amp;AB$3&amp;")'!$B:$B"),'Tổng Đơn'!$B54),0)</f>
        <v>0</v>
      </c>
      <c r="AC54" s="2">
        <f ca="1">IFERROR(SUMIFS(INDIRECT("'Thanh Toán ("&amp;AC$3&amp;")'!$e:$e"),INDIRECT("'Thanh Toán ("&amp;AC$3&amp;")'!$B:$B"),'Tổng Đơn'!$B54),0)</f>
        <v>0</v>
      </c>
      <c r="AD54" s="2">
        <f ca="1">IFERROR(SUMIFS(INDIRECT("'Thanh Toán ("&amp;AD$3&amp;")'!$e:$e"),INDIRECT("'Thanh Toán ("&amp;AD$3&amp;")'!$B:$B"),'Tổng Đơn'!$B54),0)</f>
        <v>0</v>
      </c>
      <c r="AE54" s="2">
        <f ca="1">IFERROR(SUMIFS(INDIRECT("'Thanh Toán ("&amp;AE$3&amp;")'!$e:$e"),INDIRECT("'Thanh Toán ("&amp;AE$3&amp;")'!$B:$B"),'Tổng Đơn'!$B54),0)</f>
        <v>0</v>
      </c>
      <c r="AF54" s="2">
        <f ca="1">IFERROR(SUMIFS(INDIRECT("'Thanh Toán ("&amp;AF$3&amp;")'!$e:$e"),INDIRECT("'Thanh Toán ("&amp;AF$3&amp;")'!$B:$B"),'Tổng Đơn'!$B54),0)</f>
        <v>0</v>
      </c>
      <c r="AG54" s="2">
        <f ca="1">IFERROR(SUMIFS(INDIRECT("'Thanh Toán ("&amp;AG$3&amp;")'!$e:$e"),INDIRECT("'Thanh Toán ("&amp;AG$3&amp;")'!$B:$B"),'Tổng Đơn'!$B54),0)</f>
        <v>0</v>
      </c>
      <c r="AH54" s="2">
        <f ca="1">IFERROR(SUMIFS(INDIRECT("'Thanh Toán ("&amp;AH$3&amp;")'!$e:$e"),INDIRECT("'Thanh Toán ("&amp;AH$3&amp;")'!$B:$B"),'Tổng Đơn'!$B54),0)</f>
        <v>0</v>
      </c>
      <c r="AI54" s="2">
        <f ca="1">IFERROR(SUMIFS(INDIRECT("'Thanh Toán ("&amp;AI$3&amp;")'!$e:$e"),INDIRECT("'Thanh Toán ("&amp;AI$3&amp;")'!$B:$B"),'Tổng Đơn'!$B54),0)</f>
        <v>0</v>
      </c>
      <c r="AJ54" s="2">
        <f ca="1">IFERROR(SUMIFS(INDIRECT("'Thanh Toán ("&amp;AJ$3&amp;")'!$e:$e"),INDIRECT("'Thanh Toán ("&amp;AJ$3&amp;")'!$B:$B"),'Tổng Đơn'!$B54),0)</f>
        <v>0</v>
      </c>
      <c r="AK54" s="2">
        <f ca="1">IFERROR(SUMIFS(INDIRECT("'Thanh Toán ("&amp;AK$3&amp;")'!$e:$e"),INDIRECT("'Thanh Toán ("&amp;AK$3&amp;")'!$B:$B"),'Tổng Đơn'!$B54),0)</f>
        <v>0</v>
      </c>
      <c r="AL54" s="2">
        <f ca="1">IFERROR(SUMIFS(INDIRECT("'Thanh Toán ("&amp;AL$3&amp;")'!$e:$e"),INDIRECT("'Thanh Toán ("&amp;AL$3&amp;")'!$B:$B"),'Tổng Đơn'!$B54),0)</f>
        <v>0</v>
      </c>
      <c r="AM54" s="2">
        <f ca="1">IFERROR(SUMIFS(INDIRECT("'Thanh Toán ("&amp;AM$3&amp;")'!$e:$e"),INDIRECT("'Thanh Toán ("&amp;AM$3&amp;")'!$B:$B"),'Tổng Đơn'!$B54),0)</f>
        <v>0</v>
      </c>
      <c r="AN54" s="2">
        <f ca="1">IFERROR(SUMIFS(INDIRECT("'Thanh Toán ("&amp;AN$3&amp;")'!$e:$e"),INDIRECT("'Thanh Toán ("&amp;AN$3&amp;")'!$B:$B"),'Tổng Đơn'!$B54),0)</f>
        <v>0</v>
      </c>
      <c r="AO54" s="2">
        <f ca="1">IFERROR(SUMIFS(INDIRECT("'Thanh Toán ("&amp;AO$3&amp;")'!$e:$e"),INDIRECT("'Thanh Toán ("&amp;AO$3&amp;")'!$B:$B"),'Tổng Đơn'!$B54),0)</f>
        <v>0</v>
      </c>
    </row>
    <row r="55" spans="1:41" x14ac:dyDescent="0.25">
      <c r="A55" s="150">
        <v>51</v>
      </c>
      <c r="B55" s="153" t="s">
        <v>150</v>
      </c>
      <c r="C55" s="23" t="s">
        <v>161</v>
      </c>
      <c r="D55" s="44">
        <f>VLOOKUP($C55,Sheet1!$C$2:$D$98,2,0)</f>
        <v>38000</v>
      </c>
      <c r="E55" s="60">
        <v>0.5</v>
      </c>
      <c r="F55" s="58">
        <f t="shared" ref="F55:F57" ca="1" si="6">SUM(L55:BW55)</f>
        <v>0</v>
      </c>
      <c r="G55" s="58">
        <v>27.111052020126696</v>
      </c>
      <c r="H55" s="58">
        <f t="shared" ca="1" si="5"/>
        <v>0</v>
      </c>
      <c r="I55" s="58"/>
      <c r="J55" s="58">
        <f t="shared" ca="1" si="4"/>
        <v>0</v>
      </c>
      <c r="K55" s="58"/>
      <c r="L55" s="2">
        <f ca="1">IFERROR(SUMIFS(INDIRECT("'Thanh Toán ("&amp;L$3&amp;")'!$e:$e"),INDIRECT("'Thanh Toán ("&amp;L$3&amp;")'!$B:$B"),'Tổng Đơn'!$B55),0)</f>
        <v>0</v>
      </c>
      <c r="M55" s="2">
        <f ca="1">IFERROR(SUMIFS(INDIRECT("'Thanh Toán ("&amp;M$3&amp;")'!$e:$e"),INDIRECT("'Thanh Toán ("&amp;M$3&amp;")'!$B:$B"),'Tổng Đơn'!$B55),0)</f>
        <v>0</v>
      </c>
      <c r="N55" s="2">
        <f ca="1">IFERROR(SUMIFS(INDIRECT("'Thanh Toán ("&amp;N$3&amp;")'!$e:$e"),INDIRECT("'Thanh Toán ("&amp;N$3&amp;")'!$B:$B"),'Tổng Đơn'!$B55),0)</f>
        <v>0</v>
      </c>
      <c r="O55" s="2">
        <f ca="1">IFERROR(SUMIFS(INDIRECT("'Thanh Toán ("&amp;O$3&amp;")'!$e:$e"),INDIRECT("'Thanh Toán ("&amp;O$3&amp;")'!$B:$B"),'Tổng Đơn'!$B55),0)</f>
        <v>0</v>
      </c>
      <c r="P55" s="2">
        <f ca="1">IFERROR(SUMIFS(INDIRECT("'Thanh Toán ("&amp;P$3&amp;")'!$e:$e"),INDIRECT("'Thanh Toán ("&amp;P$3&amp;")'!$B:$B"),'Tổng Đơn'!$B55),0)</f>
        <v>0</v>
      </c>
      <c r="Q55" s="2">
        <f ca="1">IFERROR(SUMIFS(INDIRECT("'Thanh Toán ("&amp;Q$3&amp;")'!$e:$e"),INDIRECT("'Thanh Toán ("&amp;Q$3&amp;")'!$B:$B"),'Tổng Đơn'!$B55),0)</f>
        <v>0</v>
      </c>
      <c r="R55" s="2">
        <f ca="1">IFERROR(SUMIFS(INDIRECT("'Thanh Toán ("&amp;R$3&amp;")'!$e:$e"),INDIRECT("'Thanh Toán ("&amp;R$3&amp;")'!$B:$B"),'Tổng Đơn'!$B55),0)</f>
        <v>0</v>
      </c>
      <c r="S55" s="2">
        <f ca="1">IFERROR(SUMIFS(INDIRECT("'Thanh Toán ("&amp;S$3&amp;")'!$e:$e"),INDIRECT("'Thanh Toán ("&amp;S$3&amp;")'!$B:$B"),'Tổng Đơn'!$B55),0)</f>
        <v>0</v>
      </c>
      <c r="T55" s="2">
        <f ca="1">IFERROR(SUMIFS(INDIRECT("'Thanh Toán ("&amp;T$3&amp;")'!$e:$e"),INDIRECT("'Thanh Toán ("&amp;T$3&amp;")'!$B:$B"),'Tổng Đơn'!$B55),0)</f>
        <v>0</v>
      </c>
      <c r="U55" s="2">
        <f ca="1">IFERROR(SUMIFS(INDIRECT("'Thanh Toán ("&amp;U$3&amp;")'!$e:$e"),INDIRECT("'Thanh Toán ("&amp;U$3&amp;")'!$B:$B"),'Tổng Đơn'!$B55),0)</f>
        <v>0</v>
      </c>
      <c r="V55" s="2">
        <f ca="1">IFERROR(SUMIFS(INDIRECT("'Thanh Toán ("&amp;V$3&amp;")'!$e:$e"),INDIRECT("'Thanh Toán ("&amp;V$3&amp;")'!$B:$B"),'Tổng Đơn'!$B55),0)</f>
        <v>0</v>
      </c>
      <c r="W55" s="2">
        <f ca="1">IFERROR(SUMIFS(INDIRECT("'Thanh Toán ("&amp;W$3&amp;")'!$e:$e"),INDIRECT("'Thanh Toán ("&amp;W$3&amp;")'!$B:$B"),'Tổng Đơn'!$B55),0)</f>
        <v>0</v>
      </c>
      <c r="X55" s="2">
        <f ca="1">IFERROR(SUMIFS(INDIRECT("'Thanh Toán ("&amp;X$3&amp;")'!$e:$e"),INDIRECT("'Thanh Toán ("&amp;X$3&amp;")'!$B:$B"),'Tổng Đơn'!$B55),0)</f>
        <v>0</v>
      </c>
      <c r="Y55" s="2">
        <f ca="1">IFERROR(SUMIFS(INDIRECT("'Thanh Toán ("&amp;Y$3&amp;")'!$e:$e"),INDIRECT("'Thanh Toán ("&amp;Y$3&amp;")'!$B:$B"),'Tổng Đơn'!$B55),0)</f>
        <v>0</v>
      </c>
      <c r="Z55" s="2">
        <f ca="1">IFERROR(SUMIFS(INDIRECT("'Thanh Toán ("&amp;Z$3&amp;")'!$e:$e"),INDIRECT("'Thanh Toán ("&amp;Z$3&amp;")'!$B:$B"),'Tổng Đơn'!$B55),0)</f>
        <v>0</v>
      </c>
      <c r="AA55" s="2">
        <f ca="1">IFERROR(SUMIFS(INDIRECT("'Thanh Toán ("&amp;AA$3&amp;")'!$e:$e"),INDIRECT("'Thanh Toán ("&amp;AA$3&amp;")'!$B:$B"),'Tổng Đơn'!$B55),0)</f>
        <v>0</v>
      </c>
      <c r="AB55" s="2">
        <f ca="1">IFERROR(SUMIFS(INDIRECT("'Thanh Toán ("&amp;AB$3&amp;")'!$e:$e"),INDIRECT("'Thanh Toán ("&amp;AB$3&amp;")'!$B:$B"),'Tổng Đơn'!$B55),0)</f>
        <v>0</v>
      </c>
      <c r="AC55" s="2">
        <f ca="1">IFERROR(SUMIFS(INDIRECT("'Thanh Toán ("&amp;AC$3&amp;")'!$e:$e"),INDIRECT("'Thanh Toán ("&amp;AC$3&amp;")'!$B:$B"),'Tổng Đơn'!$B55),0)</f>
        <v>0</v>
      </c>
      <c r="AD55" s="2">
        <f ca="1">IFERROR(SUMIFS(INDIRECT("'Thanh Toán ("&amp;AD$3&amp;")'!$e:$e"),INDIRECT("'Thanh Toán ("&amp;AD$3&amp;")'!$B:$B"),'Tổng Đơn'!$B55),0)</f>
        <v>0</v>
      </c>
      <c r="AE55" s="2">
        <f ca="1">IFERROR(SUMIFS(INDIRECT("'Thanh Toán ("&amp;AE$3&amp;")'!$e:$e"),INDIRECT("'Thanh Toán ("&amp;AE$3&amp;")'!$B:$B"),'Tổng Đơn'!$B55),0)</f>
        <v>0</v>
      </c>
      <c r="AF55" s="2">
        <f ca="1">IFERROR(SUMIFS(INDIRECT("'Thanh Toán ("&amp;AF$3&amp;")'!$e:$e"),INDIRECT("'Thanh Toán ("&amp;AF$3&amp;")'!$B:$B"),'Tổng Đơn'!$B55),0)</f>
        <v>0</v>
      </c>
      <c r="AG55" s="2">
        <f ca="1">IFERROR(SUMIFS(INDIRECT("'Thanh Toán ("&amp;AG$3&amp;")'!$e:$e"),INDIRECT("'Thanh Toán ("&amp;AG$3&amp;")'!$B:$B"),'Tổng Đơn'!$B55),0)</f>
        <v>0</v>
      </c>
      <c r="AH55" s="2">
        <f ca="1">IFERROR(SUMIFS(INDIRECT("'Thanh Toán ("&amp;AH$3&amp;")'!$e:$e"),INDIRECT("'Thanh Toán ("&amp;AH$3&amp;")'!$B:$B"),'Tổng Đơn'!$B55),0)</f>
        <v>0</v>
      </c>
      <c r="AI55" s="2">
        <f ca="1">IFERROR(SUMIFS(INDIRECT("'Thanh Toán ("&amp;AI$3&amp;")'!$e:$e"),INDIRECT("'Thanh Toán ("&amp;AI$3&amp;")'!$B:$B"),'Tổng Đơn'!$B55),0)</f>
        <v>0</v>
      </c>
      <c r="AJ55" s="2">
        <f ca="1">IFERROR(SUMIFS(INDIRECT("'Thanh Toán ("&amp;AJ$3&amp;")'!$e:$e"),INDIRECT("'Thanh Toán ("&amp;AJ$3&amp;")'!$B:$B"),'Tổng Đơn'!$B55),0)</f>
        <v>0</v>
      </c>
      <c r="AK55" s="2">
        <f ca="1">IFERROR(SUMIFS(INDIRECT("'Thanh Toán ("&amp;AK$3&amp;")'!$e:$e"),INDIRECT("'Thanh Toán ("&amp;AK$3&amp;")'!$B:$B"),'Tổng Đơn'!$B55),0)</f>
        <v>0</v>
      </c>
      <c r="AL55" s="2">
        <f ca="1">IFERROR(SUMIFS(INDIRECT("'Thanh Toán ("&amp;AL$3&amp;")'!$e:$e"),INDIRECT("'Thanh Toán ("&amp;AL$3&amp;")'!$B:$B"),'Tổng Đơn'!$B55),0)</f>
        <v>0</v>
      </c>
      <c r="AM55" s="2">
        <f ca="1">IFERROR(SUMIFS(INDIRECT("'Thanh Toán ("&amp;AM$3&amp;")'!$e:$e"),INDIRECT("'Thanh Toán ("&amp;AM$3&amp;")'!$B:$B"),'Tổng Đơn'!$B55),0)</f>
        <v>0</v>
      </c>
      <c r="AN55" s="2">
        <f ca="1">IFERROR(SUMIFS(INDIRECT("'Thanh Toán ("&amp;AN$3&amp;")'!$e:$e"),INDIRECT("'Thanh Toán ("&amp;AN$3&amp;")'!$B:$B"),'Tổng Đơn'!$B55),0)</f>
        <v>0</v>
      </c>
      <c r="AO55" s="2">
        <f ca="1">IFERROR(SUMIFS(INDIRECT("'Thanh Toán ("&amp;AO$3&amp;")'!$e:$e"),INDIRECT("'Thanh Toán ("&amp;AO$3&amp;")'!$B:$B"),'Tổng Đơn'!$B55),0)</f>
        <v>0</v>
      </c>
    </row>
    <row r="56" spans="1:41" x14ac:dyDescent="0.25">
      <c r="A56" s="150">
        <v>52</v>
      </c>
      <c r="B56" s="153" t="s">
        <v>166</v>
      </c>
      <c r="C56" s="23" t="s">
        <v>167</v>
      </c>
      <c r="D56" s="44">
        <f>VLOOKUP($C56,Sheet1!$C$2:$D$98,2,0)</f>
        <v>69000</v>
      </c>
      <c r="E56" s="60">
        <v>0.5</v>
      </c>
      <c r="F56" s="58">
        <f t="shared" ca="1" si="6"/>
        <v>4</v>
      </c>
      <c r="G56" s="58">
        <v>58.594204312615865</v>
      </c>
      <c r="H56" s="58">
        <f ca="1">(D56-G56*1000)*$F56</f>
        <v>41623.182749536529</v>
      </c>
      <c r="I56" s="58"/>
      <c r="J56" s="58">
        <f t="shared" ca="1" si="4"/>
        <v>234376.81725046347</v>
      </c>
      <c r="K56" s="58"/>
      <c r="L56" s="2">
        <f ca="1">IFERROR(SUMIFS(INDIRECT("'Thanh Toán ("&amp;L$3&amp;")'!$e:$e"),INDIRECT("'Thanh Toán ("&amp;L$3&amp;")'!$B:$B"),'Tổng Đơn'!$B56),0)</f>
        <v>0</v>
      </c>
      <c r="M56" s="2">
        <f ca="1">IFERROR(SUMIFS(INDIRECT("'Thanh Toán ("&amp;M$3&amp;")'!$e:$e"),INDIRECT("'Thanh Toán ("&amp;M$3&amp;")'!$B:$B"),'Tổng Đơn'!$B56),0)</f>
        <v>0</v>
      </c>
      <c r="N56" s="2">
        <f ca="1">IFERROR(SUMIFS(INDIRECT("'Thanh Toán ("&amp;N$3&amp;")'!$e:$e"),INDIRECT("'Thanh Toán ("&amp;N$3&amp;")'!$B:$B"),'Tổng Đơn'!$B56),0)</f>
        <v>0</v>
      </c>
      <c r="O56" s="2">
        <f ca="1">IFERROR(SUMIFS(INDIRECT("'Thanh Toán ("&amp;O$3&amp;")'!$e:$e"),INDIRECT("'Thanh Toán ("&amp;O$3&amp;")'!$B:$B"),'Tổng Đơn'!$B56),0)</f>
        <v>0</v>
      </c>
      <c r="P56" s="2">
        <f ca="1">IFERROR(SUMIFS(INDIRECT("'Thanh Toán ("&amp;P$3&amp;")'!$e:$e"),INDIRECT("'Thanh Toán ("&amp;P$3&amp;")'!$B:$B"),'Tổng Đơn'!$B56),0)</f>
        <v>0</v>
      </c>
      <c r="Q56" s="2">
        <f ca="1">IFERROR(SUMIFS(INDIRECT("'Thanh Toán ("&amp;Q$3&amp;")'!$e:$e"),INDIRECT("'Thanh Toán ("&amp;Q$3&amp;")'!$B:$B"),'Tổng Đơn'!$B56),0)</f>
        <v>0</v>
      </c>
      <c r="R56" s="2">
        <f ca="1">IFERROR(SUMIFS(INDIRECT("'Thanh Toán ("&amp;R$3&amp;")'!$e:$e"),INDIRECT("'Thanh Toán ("&amp;R$3&amp;")'!$B:$B"),'Tổng Đơn'!$B56),0)</f>
        <v>0</v>
      </c>
      <c r="S56" s="2">
        <f ca="1">IFERROR(SUMIFS(INDIRECT("'Thanh Toán ("&amp;S$3&amp;")'!$e:$e"),INDIRECT("'Thanh Toán ("&amp;S$3&amp;")'!$B:$B"),'Tổng Đơn'!$B56),0)</f>
        <v>0</v>
      </c>
      <c r="T56" s="2">
        <f ca="1">IFERROR(SUMIFS(INDIRECT("'Thanh Toán ("&amp;T$3&amp;")'!$e:$e"),INDIRECT("'Thanh Toán ("&amp;T$3&amp;")'!$B:$B"),'Tổng Đơn'!$B56),0)</f>
        <v>0</v>
      </c>
      <c r="U56" s="2">
        <f ca="1">IFERROR(SUMIFS(INDIRECT("'Thanh Toán ("&amp;U$3&amp;")'!$e:$e"),INDIRECT("'Thanh Toán ("&amp;U$3&amp;")'!$B:$B"),'Tổng Đơn'!$B56),0)</f>
        <v>0</v>
      </c>
      <c r="V56" s="2">
        <f ca="1">IFERROR(SUMIFS(INDIRECT("'Thanh Toán ("&amp;V$3&amp;")'!$e:$e"),INDIRECT("'Thanh Toán ("&amp;V$3&amp;")'!$B:$B"),'Tổng Đơn'!$B56),0)</f>
        <v>0</v>
      </c>
      <c r="W56" s="2">
        <f ca="1">IFERROR(SUMIFS(INDIRECT("'Thanh Toán ("&amp;W$3&amp;")'!$e:$e"),INDIRECT("'Thanh Toán ("&amp;W$3&amp;")'!$B:$B"),'Tổng Đơn'!$B56),0)</f>
        <v>4</v>
      </c>
      <c r="X56" s="2">
        <f ca="1">IFERROR(SUMIFS(INDIRECT("'Thanh Toán ("&amp;X$3&amp;")'!$e:$e"),INDIRECT("'Thanh Toán ("&amp;X$3&amp;")'!$B:$B"),'Tổng Đơn'!$B56),0)</f>
        <v>0</v>
      </c>
      <c r="Y56" s="2">
        <f ca="1">IFERROR(SUMIFS(INDIRECT("'Thanh Toán ("&amp;Y$3&amp;")'!$e:$e"),INDIRECT("'Thanh Toán ("&amp;Y$3&amp;")'!$B:$B"),'Tổng Đơn'!$B56),0)</f>
        <v>0</v>
      </c>
      <c r="Z56" s="2">
        <f ca="1">IFERROR(SUMIFS(INDIRECT("'Thanh Toán ("&amp;Z$3&amp;")'!$e:$e"),INDIRECT("'Thanh Toán ("&amp;Z$3&amp;")'!$B:$B"),'Tổng Đơn'!$B56),0)</f>
        <v>0</v>
      </c>
      <c r="AA56" s="2">
        <f ca="1">IFERROR(SUMIFS(INDIRECT("'Thanh Toán ("&amp;AA$3&amp;")'!$e:$e"),INDIRECT("'Thanh Toán ("&amp;AA$3&amp;")'!$B:$B"),'Tổng Đơn'!$B56),0)</f>
        <v>0</v>
      </c>
      <c r="AB56" s="2">
        <f ca="1">IFERROR(SUMIFS(INDIRECT("'Thanh Toán ("&amp;AB$3&amp;")'!$e:$e"),INDIRECT("'Thanh Toán ("&amp;AB$3&amp;")'!$B:$B"),'Tổng Đơn'!$B56),0)</f>
        <v>0</v>
      </c>
      <c r="AC56" s="2">
        <f ca="1">IFERROR(SUMIFS(INDIRECT("'Thanh Toán ("&amp;AC$3&amp;")'!$e:$e"),INDIRECT("'Thanh Toán ("&amp;AC$3&amp;")'!$B:$B"),'Tổng Đơn'!$B56),0)</f>
        <v>0</v>
      </c>
      <c r="AD56" s="2">
        <f ca="1">IFERROR(SUMIFS(INDIRECT("'Thanh Toán ("&amp;AD$3&amp;")'!$e:$e"),INDIRECT("'Thanh Toán ("&amp;AD$3&amp;")'!$B:$B"),'Tổng Đơn'!$B56),0)</f>
        <v>0</v>
      </c>
      <c r="AE56" s="2">
        <f ca="1">IFERROR(SUMIFS(INDIRECT("'Thanh Toán ("&amp;AE$3&amp;")'!$e:$e"),INDIRECT("'Thanh Toán ("&amp;AE$3&amp;")'!$B:$B"),'Tổng Đơn'!$B56),0)</f>
        <v>0</v>
      </c>
      <c r="AF56" s="2">
        <f ca="1">IFERROR(SUMIFS(INDIRECT("'Thanh Toán ("&amp;AF$3&amp;")'!$e:$e"),INDIRECT("'Thanh Toán ("&amp;AF$3&amp;")'!$B:$B"),'Tổng Đơn'!$B56),0)</f>
        <v>0</v>
      </c>
      <c r="AG56" s="2">
        <f ca="1">IFERROR(SUMIFS(INDIRECT("'Thanh Toán ("&amp;AG$3&amp;")'!$e:$e"),INDIRECT("'Thanh Toán ("&amp;AG$3&amp;")'!$B:$B"),'Tổng Đơn'!$B56),0)</f>
        <v>0</v>
      </c>
      <c r="AH56" s="2">
        <f ca="1">IFERROR(SUMIFS(INDIRECT("'Thanh Toán ("&amp;AH$3&amp;")'!$e:$e"),INDIRECT("'Thanh Toán ("&amp;AH$3&amp;")'!$B:$B"),'Tổng Đơn'!$B56),0)</f>
        <v>0</v>
      </c>
      <c r="AI56" s="2">
        <f ca="1">IFERROR(SUMIFS(INDIRECT("'Thanh Toán ("&amp;AI$3&amp;")'!$e:$e"),INDIRECT("'Thanh Toán ("&amp;AI$3&amp;")'!$B:$B"),'Tổng Đơn'!$B56),0)</f>
        <v>0</v>
      </c>
      <c r="AJ56" s="2">
        <f ca="1">IFERROR(SUMIFS(INDIRECT("'Thanh Toán ("&amp;AJ$3&amp;")'!$e:$e"),INDIRECT("'Thanh Toán ("&amp;AJ$3&amp;")'!$B:$B"),'Tổng Đơn'!$B56),0)</f>
        <v>0</v>
      </c>
      <c r="AK56" s="2">
        <f ca="1">IFERROR(SUMIFS(INDIRECT("'Thanh Toán ("&amp;AK$3&amp;")'!$e:$e"),INDIRECT("'Thanh Toán ("&amp;AK$3&amp;")'!$B:$B"),'Tổng Đơn'!$B56),0)</f>
        <v>0</v>
      </c>
      <c r="AL56" s="2">
        <f ca="1">IFERROR(SUMIFS(INDIRECT("'Thanh Toán ("&amp;AL$3&amp;")'!$e:$e"),INDIRECT("'Thanh Toán ("&amp;AL$3&amp;")'!$B:$B"),'Tổng Đơn'!$B56),0)</f>
        <v>0</v>
      </c>
      <c r="AM56" s="2">
        <f ca="1">IFERROR(SUMIFS(INDIRECT("'Thanh Toán ("&amp;AM$3&amp;")'!$e:$e"),INDIRECT("'Thanh Toán ("&amp;AM$3&amp;")'!$B:$B"),'Tổng Đơn'!$B56),0)</f>
        <v>0</v>
      </c>
      <c r="AN56" s="2">
        <f ca="1">IFERROR(SUMIFS(INDIRECT("'Thanh Toán ("&amp;AN$3&amp;")'!$e:$e"),INDIRECT("'Thanh Toán ("&amp;AN$3&amp;")'!$B:$B"),'Tổng Đơn'!$B56),0)</f>
        <v>0</v>
      </c>
      <c r="AO56" s="2">
        <f ca="1">IFERROR(SUMIFS(INDIRECT("'Thanh Toán ("&amp;AO$3&amp;")'!$e:$e"),INDIRECT("'Thanh Toán ("&amp;AO$3&amp;")'!$B:$B"),'Tổng Đơn'!$B56),0)</f>
        <v>0</v>
      </c>
    </row>
    <row r="57" spans="1:41" x14ac:dyDescent="0.25">
      <c r="A57" s="150">
        <v>53</v>
      </c>
      <c r="B57" s="153" t="s">
        <v>168</v>
      </c>
      <c r="C57" s="23" t="s">
        <v>169</v>
      </c>
      <c r="D57" s="44">
        <v>76000</v>
      </c>
      <c r="E57" s="60">
        <v>0.5</v>
      </c>
      <c r="F57" s="58">
        <f t="shared" ca="1" si="6"/>
        <v>1</v>
      </c>
      <c r="G57" s="58">
        <v>31.822714411162064</v>
      </c>
      <c r="H57" s="58">
        <f t="shared" ca="1" si="5"/>
        <v>44177.285588837934</v>
      </c>
      <c r="I57" s="58"/>
      <c r="J57" s="58">
        <f t="shared" ca="1" si="4"/>
        <v>31822.714411162066</v>
      </c>
      <c r="K57" s="58"/>
      <c r="L57" s="2">
        <f ca="1">IFERROR(SUMIFS(INDIRECT("'Thanh Toán ("&amp;L$3&amp;")'!$e:$e"),INDIRECT("'Thanh Toán ("&amp;L$3&amp;")'!$B:$B"),'Tổng Đơn'!$B57),0)</f>
        <v>0</v>
      </c>
      <c r="M57" s="2">
        <f ca="1">IFERROR(SUMIFS(INDIRECT("'Thanh Toán ("&amp;M$3&amp;")'!$e:$e"),INDIRECT("'Thanh Toán ("&amp;M$3&amp;")'!$B:$B"),'Tổng Đơn'!$B57),0)</f>
        <v>0</v>
      </c>
      <c r="N57" s="2">
        <f ca="1">IFERROR(SUMIFS(INDIRECT("'Thanh Toán ("&amp;N$3&amp;")'!$e:$e"),INDIRECT("'Thanh Toán ("&amp;N$3&amp;")'!$B:$B"),'Tổng Đơn'!$B57),0)</f>
        <v>0</v>
      </c>
      <c r="O57" s="2">
        <f ca="1">IFERROR(SUMIFS(INDIRECT("'Thanh Toán ("&amp;O$3&amp;")'!$e:$e"),INDIRECT("'Thanh Toán ("&amp;O$3&amp;")'!$B:$B"),'Tổng Đơn'!$B57),0)</f>
        <v>0</v>
      </c>
      <c r="P57" s="2">
        <f ca="1">IFERROR(SUMIFS(INDIRECT("'Thanh Toán ("&amp;P$3&amp;")'!$e:$e"),INDIRECT("'Thanh Toán ("&amp;P$3&amp;")'!$B:$B"),'Tổng Đơn'!$B57),0)</f>
        <v>0</v>
      </c>
      <c r="Q57" s="2">
        <f ca="1">IFERROR(SUMIFS(INDIRECT("'Thanh Toán ("&amp;Q$3&amp;")'!$e:$e"),INDIRECT("'Thanh Toán ("&amp;Q$3&amp;")'!$B:$B"),'Tổng Đơn'!$B57),0)</f>
        <v>0</v>
      </c>
      <c r="R57" s="2">
        <f ca="1">IFERROR(SUMIFS(INDIRECT("'Thanh Toán ("&amp;R$3&amp;")'!$e:$e"),INDIRECT("'Thanh Toán ("&amp;R$3&amp;")'!$B:$B"),'Tổng Đơn'!$B57),0)</f>
        <v>0</v>
      </c>
      <c r="S57" s="2">
        <f ca="1">IFERROR(SUMIFS(INDIRECT("'Thanh Toán ("&amp;S$3&amp;")'!$e:$e"),INDIRECT("'Thanh Toán ("&amp;S$3&amp;")'!$B:$B"),'Tổng Đơn'!$B57),0)</f>
        <v>0</v>
      </c>
      <c r="T57" s="2">
        <f ca="1">IFERROR(SUMIFS(INDIRECT("'Thanh Toán ("&amp;T$3&amp;")'!$e:$e"),INDIRECT("'Thanh Toán ("&amp;T$3&amp;")'!$B:$B"),'Tổng Đơn'!$B57),0)</f>
        <v>1</v>
      </c>
      <c r="U57" s="2">
        <f ca="1">IFERROR(SUMIFS(INDIRECT("'Thanh Toán ("&amp;U$3&amp;")'!$e:$e"),INDIRECT("'Thanh Toán ("&amp;U$3&amp;")'!$B:$B"),'Tổng Đơn'!$B57),0)</f>
        <v>0</v>
      </c>
      <c r="V57" s="2">
        <f ca="1">IFERROR(SUMIFS(INDIRECT("'Thanh Toán ("&amp;V$3&amp;")'!$e:$e"),INDIRECT("'Thanh Toán ("&amp;V$3&amp;")'!$B:$B"),'Tổng Đơn'!$B57),0)</f>
        <v>0</v>
      </c>
      <c r="W57" s="2">
        <f ca="1">IFERROR(SUMIFS(INDIRECT("'Thanh Toán ("&amp;W$3&amp;")'!$e:$e"),INDIRECT("'Thanh Toán ("&amp;W$3&amp;")'!$B:$B"),'Tổng Đơn'!$B57),0)</f>
        <v>0</v>
      </c>
      <c r="X57" s="2">
        <f ca="1">IFERROR(SUMIFS(INDIRECT("'Thanh Toán ("&amp;X$3&amp;")'!$e:$e"),INDIRECT("'Thanh Toán ("&amp;X$3&amp;")'!$B:$B"),'Tổng Đơn'!$B57),0)</f>
        <v>0</v>
      </c>
      <c r="Y57" s="2">
        <f ca="1">IFERROR(SUMIFS(INDIRECT("'Thanh Toán ("&amp;Y$3&amp;")'!$e:$e"),INDIRECT("'Thanh Toán ("&amp;Y$3&amp;")'!$B:$B"),'Tổng Đơn'!$B57),0)</f>
        <v>0</v>
      </c>
      <c r="Z57" s="2">
        <f ca="1">IFERROR(SUMIFS(INDIRECT("'Thanh Toán ("&amp;Z$3&amp;")'!$e:$e"),INDIRECT("'Thanh Toán ("&amp;Z$3&amp;")'!$B:$B"),'Tổng Đơn'!$B57),0)</f>
        <v>0</v>
      </c>
      <c r="AA57" s="2">
        <f ca="1">IFERROR(SUMIFS(INDIRECT("'Thanh Toán ("&amp;AA$3&amp;")'!$e:$e"),INDIRECT("'Thanh Toán ("&amp;AA$3&amp;")'!$B:$B"),'Tổng Đơn'!$B57),0)</f>
        <v>0</v>
      </c>
      <c r="AB57" s="2">
        <f ca="1">IFERROR(SUMIFS(INDIRECT("'Thanh Toán ("&amp;AB$3&amp;")'!$e:$e"),INDIRECT("'Thanh Toán ("&amp;AB$3&amp;")'!$B:$B"),'Tổng Đơn'!$B57),0)</f>
        <v>0</v>
      </c>
      <c r="AC57" s="2">
        <f ca="1">IFERROR(SUMIFS(INDIRECT("'Thanh Toán ("&amp;AC$3&amp;")'!$e:$e"),INDIRECT("'Thanh Toán ("&amp;AC$3&amp;")'!$B:$B"),'Tổng Đơn'!$B57),0)</f>
        <v>0</v>
      </c>
      <c r="AD57" s="2">
        <f ca="1">IFERROR(SUMIFS(INDIRECT("'Thanh Toán ("&amp;AD$3&amp;")'!$e:$e"),INDIRECT("'Thanh Toán ("&amp;AD$3&amp;")'!$B:$B"),'Tổng Đơn'!$B57),0)</f>
        <v>0</v>
      </c>
      <c r="AE57" s="2">
        <f ca="1">IFERROR(SUMIFS(INDIRECT("'Thanh Toán ("&amp;AE$3&amp;")'!$e:$e"),INDIRECT("'Thanh Toán ("&amp;AE$3&amp;")'!$B:$B"),'Tổng Đơn'!$B57),0)</f>
        <v>0</v>
      </c>
      <c r="AF57" s="2">
        <f ca="1">IFERROR(SUMIFS(INDIRECT("'Thanh Toán ("&amp;AF$3&amp;")'!$e:$e"),INDIRECT("'Thanh Toán ("&amp;AF$3&amp;")'!$B:$B"),'Tổng Đơn'!$B57),0)</f>
        <v>0</v>
      </c>
      <c r="AG57" s="2">
        <f ca="1">IFERROR(SUMIFS(INDIRECT("'Thanh Toán ("&amp;AG$3&amp;")'!$e:$e"),INDIRECT("'Thanh Toán ("&amp;AG$3&amp;")'!$B:$B"),'Tổng Đơn'!$B57),0)</f>
        <v>0</v>
      </c>
      <c r="AH57" s="2">
        <f ca="1">IFERROR(SUMIFS(INDIRECT("'Thanh Toán ("&amp;AH$3&amp;")'!$e:$e"),INDIRECT("'Thanh Toán ("&amp;AH$3&amp;")'!$B:$B"),'Tổng Đơn'!$B57),0)</f>
        <v>0</v>
      </c>
      <c r="AI57" s="2">
        <f ca="1">IFERROR(SUMIFS(INDIRECT("'Thanh Toán ("&amp;AI$3&amp;")'!$e:$e"),INDIRECT("'Thanh Toán ("&amp;AI$3&amp;")'!$B:$B"),'Tổng Đơn'!$B57),0)</f>
        <v>0</v>
      </c>
      <c r="AJ57" s="2">
        <f ca="1">IFERROR(SUMIFS(INDIRECT("'Thanh Toán ("&amp;AJ$3&amp;")'!$e:$e"),INDIRECT("'Thanh Toán ("&amp;AJ$3&amp;")'!$B:$B"),'Tổng Đơn'!$B57),0)</f>
        <v>0</v>
      </c>
      <c r="AK57" s="2">
        <f ca="1">IFERROR(SUMIFS(INDIRECT("'Thanh Toán ("&amp;AK$3&amp;")'!$e:$e"),INDIRECT("'Thanh Toán ("&amp;AK$3&amp;")'!$B:$B"),'Tổng Đơn'!$B57),0)</f>
        <v>0</v>
      </c>
      <c r="AL57" s="2">
        <f ca="1">IFERROR(SUMIFS(INDIRECT("'Thanh Toán ("&amp;AL$3&amp;")'!$e:$e"),INDIRECT("'Thanh Toán ("&amp;AL$3&amp;")'!$B:$B"),'Tổng Đơn'!$B57),0)</f>
        <v>0</v>
      </c>
      <c r="AM57" s="2">
        <f ca="1">IFERROR(SUMIFS(INDIRECT("'Thanh Toán ("&amp;AM$3&amp;")'!$e:$e"),INDIRECT("'Thanh Toán ("&amp;AM$3&amp;")'!$B:$B"),'Tổng Đơn'!$B57),0)</f>
        <v>0</v>
      </c>
      <c r="AN57" s="2">
        <f ca="1">IFERROR(SUMIFS(INDIRECT("'Thanh Toán ("&amp;AN$3&amp;")'!$e:$e"),INDIRECT("'Thanh Toán ("&amp;AN$3&amp;")'!$B:$B"),'Tổng Đơn'!$B57),0)</f>
        <v>0</v>
      </c>
      <c r="AO57" s="2">
        <f ca="1">IFERROR(SUMIFS(INDIRECT("'Thanh Toán ("&amp;AO$3&amp;")'!$e:$e"),INDIRECT("'Thanh Toán ("&amp;AO$3&amp;")'!$B:$B"),'Tổng Đơn'!$B57),0)</f>
        <v>0</v>
      </c>
    </row>
    <row r="58" spans="1:41" x14ac:dyDescent="0.25">
      <c r="A58" s="150">
        <v>54</v>
      </c>
      <c r="B58" s="153" t="s">
        <v>178</v>
      </c>
      <c r="C58" s="23" t="s">
        <v>175</v>
      </c>
      <c r="D58" s="44">
        <v>30000</v>
      </c>
      <c r="E58" s="60">
        <v>0.5</v>
      </c>
      <c r="F58" s="58">
        <f t="shared" ref="F58:F60" ca="1" si="7">SUM(L58:BW58)</f>
        <v>1</v>
      </c>
      <c r="G58" s="58">
        <v>22.292245269377478</v>
      </c>
      <c r="H58" s="58">
        <f t="shared" ca="1" si="5"/>
        <v>7707.7547306225206</v>
      </c>
      <c r="I58" s="58"/>
      <c r="J58" s="58">
        <f t="shared" ca="1" si="4"/>
        <v>22292.245269377479</v>
      </c>
      <c r="K58" s="58"/>
      <c r="L58" s="2">
        <f ca="1">IFERROR(SUMIFS(INDIRECT("'Thanh Toán ("&amp;L$3&amp;")'!$e:$e"),INDIRECT("'Thanh Toán ("&amp;L$3&amp;")'!$B:$B"),'Tổng Đơn'!$B58),0)</f>
        <v>0</v>
      </c>
      <c r="M58" s="2">
        <f ca="1">IFERROR(SUMIFS(INDIRECT("'Thanh Toán ("&amp;M$3&amp;")'!$e:$e"),INDIRECT("'Thanh Toán ("&amp;M$3&amp;")'!$B:$B"),'Tổng Đơn'!$B58),0)</f>
        <v>1</v>
      </c>
      <c r="N58" s="2">
        <f ca="1">IFERROR(SUMIFS(INDIRECT("'Thanh Toán ("&amp;N$3&amp;")'!$e:$e"),INDIRECT("'Thanh Toán ("&amp;N$3&amp;")'!$B:$B"),'Tổng Đơn'!$B58),0)</f>
        <v>0</v>
      </c>
      <c r="O58" s="2">
        <f ca="1">IFERROR(SUMIFS(INDIRECT("'Thanh Toán ("&amp;O$3&amp;")'!$e:$e"),INDIRECT("'Thanh Toán ("&amp;O$3&amp;")'!$B:$B"),'Tổng Đơn'!$B58),0)</f>
        <v>0</v>
      </c>
      <c r="P58" s="2">
        <f ca="1">IFERROR(SUMIFS(INDIRECT("'Thanh Toán ("&amp;P$3&amp;")'!$e:$e"),INDIRECT("'Thanh Toán ("&amp;P$3&amp;")'!$B:$B"),'Tổng Đơn'!$B58),0)</f>
        <v>0</v>
      </c>
      <c r="Q58" s="2">
        <f ca="1">IFERROR(SUMIFS(INDIRECT("'Thanh Toán ("&amp;Q$3&amp;")'!$e:$e"),INDIRECT("'Thanh Toán ("&amp;Q$3&amp;")'!$B:$B"),'Tổng Đơn'!$B58),0)</f>
        <v>0</v>
      </c>
      <c r="R58" s="2">
        <f ca="1">IFERROR(SUMIFS(INDIRECT("'Thanh Toán ("&amp;R$3&amp;")'!$e:$e"),INDIRECT("'Thanh Toán ("&amp;R$3&amp;")'!$B:$B"),'Tổng Đơn'!$B58),0)</f>
        <v>0</v>
      </c>
      <c r="S58" s="2">
        <f ca="1">IFERROR(SUMIFS(INDIRECT("'Thanh Toán ("&amp;S$3&amp;")'!$e:$e"),INDIRECT("'Thanh Toán ("&amp;S$3&amp;")'!$B:$B"),'Tổng Đơn'!$B58),0)</f>
        <v>0</v>
      </c>
      <c r="T58" s="2">
        <f ca="1">IFERROR(SUMIFS(INDIRECT("'Thanh Toán ("&amp;T$3&amp;")'!$e:$e"),INDIRECT("'Thanh Toán ("&amp;T$3&amp;")'!$B:$B"),'Tổng Đơn'!$B58),0)</f>
        <v>0</v>
      </c>
      <c r="U58" s="2">
        <f ca="1">IFERROR(SUMIFS(INDIRECT("'Thanh Toán ("&amp;U$3&amp;")'!$e:$e"),INDIRECT("'Thanh Toán ("&amp;U$3&amp;")'!$B:$B"),'Tổng Đơn'!$B58),0)</f>
        <v>0</v>
      </c>
      <c r="V58" s="2">
        <f ca="1">IFERROR(SUMIFS(INDIRECT("'Thanh Toán ("&amp;V$3&amp;")'!$e:$e"),INDIRECT("'Thanh Toán ("&amp;V$3&amp;")'!$B:$B"),'Tổng Đơn'!$B58),0)</f>
        <v>0</v>
      </c>
      <c r="W58" s="2">
        <f ca="1">IFERROR(SUMIFS(INDIRECT("'Thanh Toán ("&amp;W$3&amp;")'!$e:$e"),INDIRECT("'Thanh Toán ("&amp;W$3&amp;")'!$B:$B"),'Tổng Đơn'!$B58),0)</f>
        <v>0</v>
      </c>
      <c r="X58" s="2">
        <f ca="1">IFERROR(SUMIFS(INDIRECT("'Thanh Toán ("&amp;X$3&amp;")'!$e:$e"),INDIRECT("'Thanh Toán ("&amp;X$3&amp;")'!$B:$B"),'Tổng Đơn'!$B58),0)</f>
        <v>0</v>
      </c>
      <c r="Y58" s="2">
        <f ca="1">IFERROR(SUMIFS(INDIRECT("'Thanh Toán ("&amp;Y$3&amp;")'!$e:$e"),INDIRECT("'Thanh Toán ("&amp;Y$3&amp;")'!$B:$B"),'Tổng Đơn'!$B58),0)</f>
        <v>0</v>
      </c>
      <c r="Z58" s="2">
        <f ca="1">IFERROR(SUMIFS(INDIRECT("'Thanh Toán ("&amp;Z$3&amp;")'!$e:$e"),INDIRECT("'Thanh Toán ("&amp;Z$3&amp;")'!$B:$B"),'Tổng Đơn'!$B58),0)</f>
        <v>0</v>
      </c>
      <c r="AA58" s="2">
        <f ca="1">IFERROR(SUMIFS(INDIRECT("'Thanh Toán ("&amp;AA$3&amp;")'!$e:$e"),INDIRECT("'Thanh Toán ("&amp;AA$3&amp;")'!$B:$B"),'Tổng Đơn'!$B58),0)</f>
        <v>0</v>
      </c>
      <c r="AB58" s="2">
        <f ca="1">IFERROR(SUMIFS(INDIRECT("'Thanh Toán ("&amp;AB$3&amp;")'!$e:$e"),INDIRECT("'Thanh Toán ("&amp;AB$3&amp;")'!$B:$B"),'Tổng Đơn'!$B58),0)</f>
        <v>0</v>
      </c>
      <c r="AC58" s="2">
        <f ca="1">IFERROR(SUMIFS(INDIRECT("'Thanh Toán ("&amp;AC$3&amp;")'!$e:$e"),INDIRECT("'Thanh Toán ("&amp;AC$3&amp;")'!$B:$B"),'Tổng Đơn'!$B58),0)</f>
        <v>0</v>
      </c>
      <c r="AD58" s="2">
        <f ca="1">IFERROR(SUMIFS(INDIRECT("'Thanh Toán ("&amp;AD$3&amp;")'!$e:$e"),INDIRECT("'Thanh Toán ("&amp;AD$3&amp;")'!$B:$B"),'Tổng Đơn'!$B58),0)</f>
        <v>0</v>
      </c>
      <c r="AE58" s="2">
        <f ca="1">IFERROR(SUMIFS(INDIRECT("'Thanh Toán ("&amp;AE$3&amp;")'!$e:$e"),INDIRECT("'Thanh Toán ("&amp;AE$3&amp;")'!$B:$B"),'Tổng Đơn'!$B58),0)</f>
        <v>0</v>
      </c>
      <c r="AF58" s="2">
        <f ca="1">IFERROR(SUMIFS(INDIRECT("'Thanh Toán ("&amp;AF$3&amp;")'!$e:$e"),INDIRECT("'Thanh Toán ("&amp;AF$3&amp;")'!$B:$B"),'Tổng Đơn'!$B58),0)</f>
        <v>0</v>
      </c>
      <c r="AG58" s="2">
        <f ca="1">IFERROR(SUMIFS(INDIRECT("'Thanh Toán ("&amp;AG$3&amp;")'!$e:$e"),INDIRECT("'Thanh Toán ("&amp;AG$3&amp;")'!$B:$B"),'Tổng Đơn'!$B58),0)</f>
        <v>0</v>
      </c>
      <c r="AH58" s="2">
        <f ca="1">IFERROR(SUMIFS(INDIRECT("'Thanh Toán ("&amp;AH$3&amp;")'!$e:$e"),INDIRECT("'Thanh Toán ("&amp;AH$3&amp;")'!$B:$B"),'Tổng Đơn'!$B58),0)</f>
        <v>0</v>
      </c>
      <c r="AI58" s="2">
        <f ca="1">IFERROR(SUMIFS(INDIRECT("'Thanh Toán ("&amp;AI$3&amp;")'!$e:$e"),INDIRECT("'Thanh Toán ("&amp;AI$3&amp;")'!$B:$B"),'Tổng Đơn'!$B58),0)</f>
        <v>0</v>
      </c>
      <c r="AJ58" s="2">
        <f ca="1">IFERROR(SUMIFS(INDIRECT("'Thanh Toán ("&amp;AJ$3&amp;")'!$e:$e"),INDIRECT("'Thanh Toán ("&amp;AJ$3&amp;")'!$B:$B"),'Tổng Đơn'!$B58),0)</f>
        <v>0</v>
      </c>
      <c r="AK58" s="2">
        <f ca="1">IFERROR(SUMIFS(INDIRECT("'Thanh Toán ("&amp;AK$3&amp;")'!$e:$e"),INDIRECT("'Thanh Toán ("&amp;AK$3&amp;")'!$B:$B"),'Tổng Đơn'!$B58),0)</f>
        <v>0</v>
      </c>
      <c r="AL58" s="2">
        <f ca="1">IFERROR(SUMIFS(INDIRECT("'Thanh Toán ("&amp;AL$3&amp;")'!$e:$e"),INDIRECT("'Thanh Toán ("&amp;AL$3&amp;")'!$B:$B"),'Tổng Đơn'!$B58),0)</f>
        <v>0</v>
      </c>
      <c r="AM58" s="2">
        <f ca="1">IFERROR(SUMIFS(INDIRECT("'Thanh Toán ("&amp;AM$3&amp;")'!$e:$e"),INDIRECT("'Thanh Toán ("&amp;AM$3&amp;")'!$B:$B"),'Tổng Đơn'!$B58),0)</f>
        <v>0</v>
      </c>
      <c r="AN58" s="2">
        <f ca="1">IFERROR(SUMIFS(INDIRECT("'Thanh Toán ("&amp;AN$3&amp;")'!$e:$e"),INDIRECT("'Thanh Toán ("&amp;AN$3&amp;")'!$B:$B"),'Tổng Đơn'!$B58),0)</f>
        <v>0</v>
      </c>
      <c r="AO58" s="2">
        <f ca="1">IFERROR(SUMIFS(INDIRECT("'Thanh Toán ("&amp;AO$3&amp;")'!$e:$e"),INDIRECT("'Thanh Toán ("&amp;AO$3&amp;")'!$B:$B"),'Tổng Đơn'!$B58),0)</f>
        <v>0</v>
      </c>
    </row>
    <row r="59" spans="1:41" x14ac:dyDescent="0.25">
      <c r="A59" s="150">
        <v>55</v>
      </c>
      <c r="B59" s="153" t="s">
        <v>176</v>
      </c>
      <c r="C59" s="23" t="s">
        <v>177</v>
      </c>
      <c r="D59" s="44">
        <v>49000</v>
      </c>
      <c r="E59" s="60">
        <v>1</v>
      </c>
      <c r="F59" s="58">
        <f t="shared" ca="1" si="7"/>
        <v>1</v>
      </c>
      <c r="G59" s="58">
        <v>39.972301862332031</v>
      </c>
      <c r="H59" s="58">
        <f t="shared" ca="1" si="5"/>
        <v>9027.6981376679687</v>
      </c>
      <c r="I59" s="58"/>
      <c r="J59" s="58">
        <f t="shared" ca="1" si="4"/>
        <v>39972.301862332031</v>
      </c>
      <c r="K59" s="58"/>
      <c r="L59" s="2">
        <f ca="1">IFERROR(SUMIFS(INDIRECT("'Thanh Toán ("&amp;L$3&amp;")'!$e:$e"),INDIRECT("'Thanh Toán ("&amp;L$3&amp;")'!$B:$B"),'Tổng Đơn'!$B59),0)</f>
        <v>0</v>
      </c>
      <c r="M59" s="2">
        <f ca="1">IFERROR(SUMIFS(INDIRECT("'Thanh Toán ("&amp;M$3&amp;")'!$e:$e"),INDIRECT("'Thanh Toán ("&amp;M$3&amp;")'!$B:$B"),'Tổng Đơn'!$B59),0)</f>
        <v>0</v>
      </c>
      <c r="N59" s="2">
        <f ca="1">IFERROR(SUMIFS(INDIRECT("'Thanh Toán ("&amp;N$3&amp;")'!$e:$e"),INDIRECT("'Thanh Toán ("&amp;N$3&amp;")'!$B:$B"),'Tổng Đơn'!$B59),0)</f>
        <v>0</v>
      </c>
      <c r="O59" s="2">
        <f ca="1">IFERROR(SUMIFS(INDIRECT("'Thanh Toán ("&amp;O$3&amp;")'!$e:$e"),INDIRECT("'Thanh Toán ("&amp;O$3&amp;")'!$B:$B"),'Tổng Đơn'!$B59),0)</f>
        <v>0</v>
      </c>
      <c r="P59" s="2">
        <f ca="1">IFERROR(SUMIFS(INDIRECT("'Thanh Toán ("&amp;P$3&amp;")'!$e:$e"),INDIRECT("'Thanh Toán ("&amp;P$3&amp;")'!$B:$B"),'Tổng Đơn'!$B59),0)</f>
        <v>0</v>
      </c>
      <c r="Q59" s="2">
        <f ca="1">IFERROR(SUMIFS(INDIRECT("'Thanh Toán ("&amp;Q$3&amp;")'!$e:$e"),INDIRECT("'Thanh Toán ("&amp;Q$3&amp;")'!$B:$B"),'Tổng Đơn'!$B59),0)</f>
        <v>0</v>
      </c>
      <c r="R59" s="2">
        <f ca="1">IFERROR(SUMIFS(INDIRECT("'Thanh Toán ("&amp;R$3&amp;")'!$e:$e"),INDIRECT("'Thanh Toán ("&amp;R$3&amp;")'!$B:$B"),'Tổng Đơn'!$B59),0)</f>
        <v>0</v>
      </c>
      <c r="S59" s="2">
        <f ca="1">IFERROR(SUMIFS(INDIRECT("'Thanh Toán ("&amp;S$3&amp;")'!$e:$e"),INDIRECT("'Thanh Toán ("&amp;S$3&amp;")'!$B:$B"),'Tổng Đơn'!$B59),0)</f>
        <v>1</v>
      </c>
      <c r="T59" s="2">
        <f ca="1">IFERROR(SUMIFS(INDIRECT("'Thanh Toán ("&amp;T$3&amp;")'!$e:$e"),INDIRECT("'Thanh Toán ("&amp;T$3&amp;")'!$B:$B"),'Tổng Đơn'!$B59),0)</f>
        <v>0</v>
      </c>
      <c r="U59" s="2">
        <f ca="1">IFERROR(SUMIFS(INDIRECT("'Thanh Toán ("&amp;U$3&amp;")'!$e:$e"),INDIRECT("'Thanh Toán ("&amp;U$3&amp;")'!$B:$B"),'Tổng Đơn'!$B59),0)</f>
        <v>0</v>
      </c>
      <c r="V59" s="2">
        <f ca="1">IFERROR(SUMIFS(INDIRECT("'Thanh Toán ("&amp;V$3&amp;")'!$e:$e"),INDIRECT("'Thanh Toán ("&amp;V$3&amp;")'!$B:$B"),'Tổng Đơn'!$B59),0)</f>
        <v>0</v>
      </c>
      <c r="W59" s="2">
        <f ca="1">IFERROR(SUMIFS(INDIRECT("'Thanh Toán ("&amp;W$3&amp;")'!$e:$e"),INDIRECT("'Thanh Toán ("&amp;W$3&amp;")'!$B:$B"),'Tổng Đơn'!$B59),0)</f>
        <v>0</v>
      </c>
      <c r="X59" s="2">
        <f ca="1">IFERROR(SUMIFS(INDIRECT("'Thanh Toán ("&amp;X$3&amp;")'!$e:$e"),INDIRECT("'Thanh Toán ("&amp;X$3&amp;")'!$B:$B"),'Tổng Đơn'!$B59),0)</f>
        <v>0</v>
      </c>
      <c r="Y59" s="2">
        <f ca="1">IFERROR(SUMIFS(INDIRECT("'Thanh Toán ("&amp;Y$3&amp;")'!$e:$e"),INDIRECT("'Thanh Toán ("&amp;Y$3&amp;")'!$B:$B"),'Tổng Đơn'!$B59),0)</f>
        <v>0</v>
      </c>
      <c r="Z59" s="2">
        <f ca="1">IFERROR(SUMIFS(INDIRECT("'Thanh Toán ("&amp;Z$3&amp;")'!$e:$e"),INDIRECT("'Thanh Toán ("&amp;Z$3&amp;")'!$B:$B"),'Tổng Đơn'!$B59),0)</f>
        <v>0</v>
      </c>
      <c r="AA59" s="2">
        <f ca="1">IFERROR(SUMIFS(INDIRECT("'Thanh Toán ("&amp;AA$3&amp;")'!$e:$e"),INDIRECT("'Thanh Toán ("&amp;AA$3&amp;")'!$B:$B"),'Tổng Đơn'!$B59),0)</f>
        <v>0</v>
      </c>
      <c r="AB59" s="2">
        <f ca="1">IFERROR(SUMIFS(INDIRECT("'Thanh Toán ("&amp;AB$3&amp;")'!$e:$e"),INDIRECT("'Thanh Toán ("&amp;AB$3&amp;")'!$B:$B"),'Tổng Đơn'!$B59),0)</f>
        <v>0</v>
      </c>
      <c r="AC59" s="2">
        <f ca="1">IFERROR(SUMIFS(INDIRECT("'Thanh Toán ("&amp;AC$3&amp;")'!$e:$e"),INDIRECT("'Thanh Toán ("&amp;AC$3&amp;")'!$B:$B"),'Tổng Đơn'!$B59),0)</f>
        <v>0</v>
      </c>
      <c r="AD59" s="2">
        <f ca="1">IFERROR(SUMIFS(INDIRECT("'Thanh Toán ("&amp;AD$3&amp;")'!$e:$e"),INDIRECT("'Thanh Toán ("&amp;AD$3&amp;")'!$B:$B"),'Tổng Đơn'!$B59),0)</f>
        <v>0</v>
      </c>
      <c r="AE59" s="2">
        <f ca="1">IFERROR(SUMIFS(INDIRECT("'Thanh Toán ("&amp;AE$3&amp;")'!$e:$e"),INDIRECT("'Thanh Toán ("&amp;AE$3&amp;")'!$B:$B"),'Tổng Đơn'!$B59),0)</f>
        <v>0</v>
      </c>
      <c r="AF59" s="2">
        <f ca="1">IFERROR(SUMIFS(INDIRECT("'Thanh Toán ("&amp;AF$3&amp;")'!$e:$e"),INDIRECT("'Thanh Toán ("&amp;AF$3&amp;")'!$B:$B"),'Tổng Đơn'!$B59),0)</f>
        <v>0</v>
      </c>
      <c r="AG59" s="2">
        <f ca="1">IFERROR(SUMIFS(INDIRECT("'Thanh Toán ("&amp;AG$3&amp;")'!$e:$e"),INDIRECT("'Thanh Toán ("&amp;AG$3&amp;")'!$B:$B"),'Tổng Đơn'!$B59),0)</f>
        <v>0</v>
      </c>
      <c r="AH59" s="2">
        <f ca="1">IFERROR(SUMIFS(INDIRECT("'Thanh Toán ("&amp;AH$3&amp;")'!$e:$e"),INDIRECT("'Thanh Toán ("&amp;AH$3&amp;")'!$B:$B"),'Tổng Đơn'!$B59),0)</f>
        <v>0</v>
      </c>
      <c r="AI59" s="2">
        <f ca="1">IFERROR(SUMIFS(INDIRECT("'Thanh Toán ("&amp;AI$3&amp;")'!$e:$e"),INDIRECT("'Thanh Toán ("&amp;AI$3&amp;")'!$B:$B"),'Tổng Đơn'!$B59),0)</f>
        <v>0</v>
      </c>
      <c r="AJ59" s="2">
        <f ca="1">IFERROR(SUMIFS(INDIRECT("'Thanh Toán ("&amp;AJ$3&amp;")'!$e:$e"),INDIRECT("'Thanh Toán ("&amp;AJ$3&amp;")'!$B:$B"),'Tổng Đơn'!$B59),0)</f>
        <v>0</v>
      </c>
      <c r="AK59" s="2">
        <f ca="1">IFERROR(SUMIFS(INDIRECT("'Thanh Toán ("&amp;AK$3&amp;")'!$e:$e"),INDIRECT("'Thanh Toán ("&amp;AK$3&amp;")'!$B:$B"),'Tổng Đơn'!$B59),0)</f>
        <v>0</v>
      </c>
      <c r="AL59" s="2">
        <f ca="1">IFERROR(SUMIFS(INDIRECT("'Thanh Toán ("&amp;AL$3&amp;")'!$e:$e"),INDIRECT("'Thanh Toán ("&amp;AL$3&amp;")'!$B:$B"),'Tổng Đơn'!$B59),0)</f>
        <v>0</v>
      </c>
      <c r="AM59" s="2">
        <f ca="1">IFERROR(SUMIFS(INDIRECT("'Thanh Toán ("&amp;AM$3&amp;")'!$e:$e"),INDIRECT("'Thanh Toán ("&amp;AM$3&amp;")'!$B:$B"),'Tổng Đơn'!$B59),0)</f>
        <v>0</v>
      </c>
      <c r="AN59" s="2">
        <f ca="1">IFERROR(SUMIFS(INDIRECT("'Thanh Toán ("&amp;AN$3&amp;")'!$e:$e"),INDIRECT("'Thanh Toán ("&amp;AN$3&amp;")'!$B:$B"),'Tổng Đơn'!$B59),0)</f>
        <v>0</v>
      </c>
      <c r="AO59" s="2">
        <f ca="1">IFERROR(SUMIFS(INDIRECT("'Thanh Toán ("&amp;AO$3&amp;")'!$e:$e"),INDIRECT("'Thanh Toán ("&amp;AO$3&amp;")'!$B:$B"),'Tổng Đơn'!$B59),0)</f>
        <v>0</v>
      </c>
    </row>
    <row r="60" spans="1:41" x14ac:dyDescent="0.25">
      <c r="A60" s="150">
        <v>56</v>
      </c>
      <c r="B60" s="153" t="s">
        <v>174</v>
      </c>
      <c r="C60" s="23" t="s">
        <v>179</v>
      </c>
      <c r="D60" s="44">
        <v>80000</v>
      </c>
      <c r="E60" s="60">
        <v>0.5</v>
      </c>
      <c r="F60" s="58">
        <f t="shared" ca="1" si="7"/>
        <v>2</v>
      </c>
      <c r="G60" s="58">
        <v>74.307484231258258</v>
      </c>
      <c r="H60" s="58">
        <f t="shared" ca="1" si="5"/>
        <v>11385.031537483475</v>
      </c>
      <c r="I60" s="58"/>
      <c r="J60" s="58">
        <f t="shared" ca="1" si="4"/>
        <v>148614.96846251652</v>
      </c>
      <c r="K60" s="58"/>
      <c r="L60" s="2">
        <f ca="1">IFERROR(SUMIFS(INDIRECT("'Thanh Toán ("&amp;L$3&amp;")'!$e:$e"),INDIRECT("'Thanh Toán ("&amp;L$3&amp;")'!$B:$B"),'Tổng Đơn'!$B60),0)</f>
        <v>0</v>
      </c>
      <c r="M60" s="2">
        <f ca="1">IFERROR(SUMIFS(INDIRECT("'Thanh Toán ("&amp;M$3&amp;")'!$e:$e"),INDIRECT("'Thanh Toán ("&amp;M$3&amp;")'!$B:$B"),'Tổng Đơn'!$B60),0)</f>
        <v>0</v>
      </c>
      <c r="N60" s="2">
        <f ca="1">IFERROR(SUMIFS(INDIRECT("'Thanh Toán ("&amp;N$3&amp;")'!$e:$e"),INDIRECT("'Thanh Toán ("&amp;N$3&amp;")'!$B:$B"),'Tổng Đơn'!$B60),0)</f>
        <v>1</v>
      </c>
      <c r="O60" s="2">
        <f ca="1">IFERROR(SUMIFS(INDIRECT("'Thanh Toán ("&amp;O$3&amp;")'!$e:$e"),INDIRECT("'Thanh Toán ("&amp;O$3&amp;")'!$B:$B"),'Tổng Đơn'!$B60),0)</f>
        <v>0</v>
      </c>
      <c r="P60" s="2">
        <f ca="1">IFERROR(SUMIFS(INDIRECT("'Thanh Toán ("&amp;P$3&amp;")'!$e:$e"),INDIRECT("'Thanh Toán ("&amp;P$3&amp;")'!$B:$B"),'Tổng Đơn'!$B60),0)</f>
        <v>0</v>
      </c>
      <c r="Q60" s="2">
        <f ca="1">IFERROR(SUMIFS(INDIRECT("'Thanh Toán ("&amp;Q$3&amp;")'!$e:$e"),INDIRECT("'Thanh Toán ("&amp;Q$3&amp;")'!$B:$B"),'Tổng Đơn'!$B60),0)</f>
        <v>0</v>
      </c>
      <c r="R60" s="2">
        <f ca="1">IFERROR(SUMIFS(INDIRECT("'Thanh Toán ("&amp;R$3&amp;")'!$e:$e"),INDIRECT("'Thanh Toán ("&amp;R$3&amp;")'!$B:$B"),'Tổng Đơn'!$B60),0)</f>
        <v>0</v>
      </c>
      <c r="S60" s="2">
        <f ca="1">IFERROR(SUMIFS(INDIRECT("'Thanh Toán ("&amp;S$3&amp;")'!$e:$e"),INDIRECT("'Thanh Toán ("&amp;S$3&amp;")'!$B:$B"),'Tổng Đơn'!$B60),0)</f>
        <v>0</v>
      </c>
      <c r="T60" s="2">
        <f ca="1">IFERROR(SUMIFS(INDIRECT("'Thanh Toán ("&amp;T$3&amp;")'!$e:$e"),INDIRECT("'Thanh Toán ("&amp;T$3&amp;")'!$B:$B"),'Tổng Đơn'!$B60),0)</f>
        <v>0</v>
      </c>
      <c r="U60" s="2">
        <f ca="1">IFERROR(SUMIFS(INDIRECT("'Thanh Toán ("&amp;U$3&amp;")'!$e:$e"),INDIRECT("'Thanh Toán ("&amp;U$3&amp;")'!$B:$B"),'Tổng Đơn'!$B60),0)</f>
        <v>0</v>
      </c>
      <c r="V60" s="2">
        <f ca="1">IFERROR(SUMIFS(INDIRECT("'Thanh Toán ("&amp;V$3&amp;")'!$e:$e"),INDIRECT("'Thanh Toán ("&amp;V$3&amp;")'!$B:$B"),'Tổng Đơn'!$B60),0)</f>
        <v>1</v>
      </c>
      <c r="W60" s="2">
        <f ca="1">IFERROR(SUMIFS(INDIRECT("'Thanh Toán ("&amp;W$3&amp;")'!$e:$e"),INDIRECT("'Thanh Toán ("&amp;W$3&amp;")'!$B:$B"),'Tổng Đơn'!$B60),0)</f>
        <v>0</v>
      </c>
      <c r="X60" s="2">
        <f ca="1">IFERROR(SUMIFS(INDIRECT("'Thanh Toán ("&amp;X$3&amp;")'!$e:$e"),INDIRECT("'Thanh Toán ("&amp;X$3&amp;")'!$B:$B"),'Tổng Đơn'!$B60),0)</f>
        <v>0</v>
      </c>
      <c r="Y60" s="2">
        <f ca="1">IFERROR(SUMIFS(INDIRECT("'Thanh Toán ("&amp;Y$3&amp;")'!$e:$e"),INDIRECT("'Thanh Toán ("&amp;Y$3&amp;")'!$B:$B"),'Tổng Đơn'!$B60),0)</f>
        <v>0</v>
      </c>
      <c r="Z60" s="2">
        <f ca="1">IFERROR(SUMIFS(INDIRECT("'Thanh Toán ("&amp;Z$3&amp;")'!$e:$e"),INDIRECT("'Thanh Toán ("&amp;Z$3&amp;")'!$B:$B"),'Tổng Đơn'!$B60),0)</f>
        <v>0</v>
      </c>
      <c r="AA60" s="2">
        <f ca="1">IFERROR(SUMIFS(INDIRECT("'Thanh Toán ("&amp;AA$3&amp;")'!$e:$e"),INDIRECT("'Thanh Toán ("&amp;AA$3&amp;")'!$B:$B"),'Tổng Đơn'!$B60),0)</f>
        <v>0</v>
      </c>
      <c r="AB60" s="2">
        <f ca="1">IFERROR(SUMIFS(INDIRECT("'Thanh Toán ("&amp;AB$3&amp;")'!$e:$e"),INDIRECT("'Thanh Toán ("&amp;AB$3&amp;")'!$B:$B"),'Tổng Đơn'!$B60),0)</f>
        <v>0</v>
      </c>
      <c r="AC60" s="2">
        <f ca="1">IFERROR(SUMIFS(INDIRECT("'Thanh Toán ("&amp;AC$3&amp;")'!$e:$e"),INDIRECT("'Thanh Toán ("&amp;AC$3&amp;")'!$B:$B"),'Tổng Đơn'!$B60),0)</f>
        <v>0</v>
      </c>
      <c r="AD60" s="2">
        <f ca="1">IFERROR(SUMIFS(INDIRECT("'Thanh Toán ("&amp;AD$3&amp;")'!$e:$e"),INDIRECT("'Thanh Toán ("&amp;AD$3&amp;")'!$B:$B"),'Tổng Đơn'!$B60),0)</f>
        <v>0</v>
      </c>
      <c r="AE60" s="2">
        <f ca="1">IFERROR(SUMIFS(INDIRECT("'Thanh Toán ("&amp;AE$3&amp;")'!$e:$e"),INDIRECT("'Thanh Toán ("&amp;AE$3&amp;")'!$B:$B"),'Tổng Đơn'!$B60),0)</f>
        <v>0</v>
      </c>
      <c r="AF60" s="2">
        <f ca="1">IFERROR(SUMIFS(INDIRECT("'Thanh Toán ("&amp;AF$3&amp;")'!$e:$e"),INDIRECT("'Thanh Toán ("&amp;AF$3&amp;")'!$B:$B"),'Tổng Đơn'!$B60),0)</f>
        <v>0</v>
      </c>
      <c r="AG60" s="2">
        <f ca="1">IFERROR(SUMIFS(INDIRECT("'Thanh Toán ("&amp;AG$3&amp;")'!$e:$e"),INDIRECT("'Thanh Toán ("&amp;AG$3&amp;")'!$B:$B"),'Tổng Đơn'!$B60),0)</f>
        <v>0</v>
      </c>
      <c r="AH60" s="2">
        <f ca="1">IFERROR(SUMIFS(INDIRECT("'Thanh Toán ("&amp;AH$3&amp;")'!$e:$e"),INDIRECT("'Thanh Toán ("&amp;AH$3&amp;")'!$B:$B"),'Tổng Đơn'!$B60),0)</f>
        <v>0</v>
      </c>
      <c r="AI60" s="2">
        <f ca="1">IFERROR(SUMIFS(INDIRECT("'Thanh Toán ("&amp;AI$3&amp;")'!$e:$e"),INDIRECT("'Thanh Toán ("&amp;AI$3&amp;")'!$B:$B"),'Tổng Đơn'!$B60),0)</f>
        <v>0</v>
      </c>
      <c r="AJ60" s="2">
        <f ca="1">IFERROR(SUMIFS(INDIRECT("'Thanh Toán ("&amp;AJ$3&amp;")'!$e:$e"),INDIRECT("'Thanh Toán ("&amp;AJ$3&amp;")'!$B:$B"),'Tổng Đơn'!$B60),0)</f>
        <v>0</v>
      </c>
      <c r="AK60" s="2">
        <f ca="1">IFERROR(SUMIFS(INDIRECT("'Thanh Toán ("&amp;AK$3&amp;")'!$e:$e"),INDIRECT("'Thanh Toán ("&amp;AK$3&amp;")'!$B:$B"),'Tổng Đơn'!$B60),0)</f>
        <v>0</v>
      </c>
      <c r="AL60" s="2">
        <f ca="1">IFERROR(SUMIFS(INDIRECT("'Thanh Toán ("&amp;AL$3&amp;")'!$e:$e"),INDIRECT("'Thanh Toán ("&amp;AL$3&amp;")'!$B:$B"),'Tổng Đơn'!$B60),0)</f>
        <v>0</v>
      </c>
      <c r="AM60" s="2">
        <f ca="1">IFERROR(SUMIFS(INDIRECT("'Thanh Toán ("&amp;AM$3&amp;")'!$e:$e"),INDIRECT("'Thanh Toán ("&amp;AM$3&amp;")'!$B:$B"),'Tổng Đơn'!$B60),0)</f>
        <v>0</v>
      </c>
      <c r="AN60" s="2">
        <f ca="1">IFERROR(SUMIFS(INDIRECT("'Thanh Toán ("&amp;AN$3&amp;")'!$e:$e"),INDIRECT("'Thanh Toán ("&amp;AN$3&amp;")'!$B:$B"),'Tổng Đơn'!$B60),0)</f>
        <v>0</v>
      </c>
      <c r="AO60" s="2">
        <f ca="1">IFERROR(SUMIFS(INDIRECT("'Thanh Toán ("&amp;AO$3&amp;")'!$e:$e"),INDIRECT("'Thanh Toán ("&amp;AO$3&amp;")'!$B:$B"),'Tổng Đơn'!$B60),0)</f>
        <v>0</v>
      </c>
    </row>
    <row r="61" spans="1:41" x14ac:dyDescent="0.25">
      <c r="A61" s="150">
        <v>57</v>
      </c>
      <c r="B61" s="153" t="s">
        <v>180</v>
      </c>
      <c r="C61" s="23" t="s">
        <v>181</v>
      </c>
      <c r="D61" s="44">
        <v>42000</v>
      </c>
      <c r="E61" s="60">
        <v>0.5</v>
      </c>
      <c r="F61" s="58">
        <f t="shared" ref="F61:F68" ca="1" si="8">SUM(L61:BW61)</f>
        <v>2</v>
      </c>
      <c r="G61" s="58">
        <v>37.922440228366284</v>
      </c>
      <c r="H61" s="58">
        <f t="shared" ca="1" si="5"/>
        <v>8155.1195432674285</v>
      </c>
      <c r="I61" s="58"/>
      <c r="J61" s="58">
        <f t="shared" ca="1" si="4"/>
        <v>75844.880456732571</v>
      </c>
      <c r="K61" s="58"/>
      <c r="L61" s="2">
        <f ca="1">IFERROR(SUMIFS(INDIRECT("'Thanh Toán ("&amp;L$3&amp;")'!$e:$e"),INDIRECT("'Thanh Toán ("&amp;L$3&amp;")'!$B:$B"),'Tổng Đơn'!$B61),0)</f>
        <v>0</v>
      </c>
      <c r="M61" s="2">
        <f ca="1">IFERROR(SUMIFS(INDIRECT("'Thanh Toán ("&amp;M$3&amp;")'!$e:$e"),INDIRECT("'Thanh Toán ("&amp;M$3&amp;")'!$B:$B"),'Tổng Đơn'!$B61),0)</f>
        <v>0</v>
      </c>
      <c r="N61" s="2">
        <f ca="1">IFERROR(SUMIFS(INDIRECT("'Thanh Toán ("&amp;N$3&amp;")'!$e:$e"),INDIRECT("'Thanh Toán ("&amp;N$3&amp;")'!$B:$B"),'Tổng Đơn'!$B61),0)</f>
        <v>1</v>
      </c>
      <c r="O61" s="2">
        <f ca="1">IFERROR(SUMIFS(INDIRECT("'Thanh Toán ("&amp;O$3&amp;")'!$e:$e"),INDIRECT("'Thanh Toán ("&amp;O$3&amp;")'!$B:$B"),'Tổng Đơn'!$B61),0)</f>
        <v>0</v>
      </c>
      <c r="P61" s="2">
        <f ca="1">IFERROR(SUMIFS(INDIRECT("'Thanh Toán ("&amp;P$3&amp;")'!$e:$e"),INDIRECT("'Thanh Toán ("&amp;P$3&amp;")'!$B:$B"),'Tổng Đơn'!$B61),0)</f>
        <v>1</v>
      </c>
      <c r="Q61" s="2">
        <f ca="1">IFERROR(SUMIFS(INDIRECT("'Thanh Toán ("&amp;Q$3&amp;")'!$e:$e"),INDIRECT("'Thanh Toán ("&amp;Q$3&amp;")'!$B:$B"),'Tổng Đơn'!$B61),0)</f>
        <v>0</v>
      </c>
      <c r="R61" s="2">
        <f ca="1">IFERROR(SUMIFS(INDIRECT("'Thanh Toán ("&amp;R$3&amp;")'!$e:$e"),INDIRECT("'Thanh Toán ("&amp;R$3&amp;")'!$B:$B"),'Tổng Đơn'!$B61),0)</f>
        <v>0</v>
      </c>
      <c r="S61" s="2">
        <f ca="1">IFERROR(SUMIFS(INDIRECT("'Thanh Toán ("&amp;S$3&amp;")'!$e:$e"),INDIRECT("'Thanh Toán ("&amp;S$3&amp;")'!$B:$B"),'Tổng Đơn'!$B61),0)</f>
        <v>0</v>
      </c>
      <c r="T61" s="2">
        <f ca="1">IFERROR(SUMIFS(INDIRECT("'Thanh Toán ("&amp;T$3&amp;")'!$e:$e"),INDIRECT("'Thanh Toán ("&amp;T$3&amp;")'!$B:$B"),'Tổng Đơn'!$B61),0)</f>
        <v>0</v>
      </c>
      <c r="U61" s="2">
        <f ca="1">IFERROR(SUMIFS(INDIRECT("'Thanh Toán ("&amp;U$3&amp;")'!$e:$e"),INDIRECT("'Thanh Toán ("&amp;U$3&amp;")'!$B:$B"),'Tổng Đơn'!$B61),0)</f>
        <v>0</v>
      </c>
      <c r="V61" s="2">
        <f ca="1">IFERROR(SUMIFS(INDIRECT("'Thanh Toán ("&amp;V$3&amp;")'!$e:$e"),INDIRECT("'Thanh Toán ("&amp;V$3&amp;")'!$B:$B"),'Tổng Đơn'!$B61),0)</f>
        <v>0</v>
      </c>
      <c r="W61" s="2">
        <f ca="1">IFERROR(SUMIFS(INDIRECT("'Thanh Toán ("&amp;W$3&amp;")'!$e:$e"),INDIRECT("'Thanh Toán ("&amp;W$3&amp;")'!$B:$B"),'Tổng Đơn'!$B61),0)</f>
        <v>0</v>
      </c>
      <c r="X61" s="2">
        <f ca="1">IFERROR(SUMIFS(INDIRECT("'Thanh Toán ("&amp;X$3&amp;")'!$e:$e"),INDIRECT("'Thanh Toán ("&amp;X$3&amp;")'!$B:$B"),'Tổng Đơn'!$B61),0)</f>
        <v>0</v>
      </c>
      <c r="Y61" s="2">
        <f ca="1">IFERROR(SUMIFS(INDIRECT("'Thanh Toán ("&amp;Y$3&amp;")'!$e:$e"),INDIRECT("'Thanh Toán ("&amp;Y$3&amp;")'!$B:$B"),'Tổng Đơn'!$B61),0)</f>
        <v>0</v>
      </c>
      <c r="Z61" s="2">
        <f ca="1">IFERROR(SUMIFS(INDIRECT("'Thanh Toán ("&amp;Z$3&amp;")'!$e:$e"),INDIRECT("'Thanh Toán ("&amp;Z$3&amp;")'!$B:$B"),'Tổng Đơn'!$B61),0)</f>
        <v>0</v>
      </c>
      <c r="AA61" s="2">
        <f ca="1">IFERROR(SUMIFS(INDIRECT("'Thanh Toán ("&amp;AA$3&amp;")'!$e:$e"),INDIRECT("'Thanh Toán ("&amp;AA$3&amp;")'!$B:$B"),'Tổng Đơn'!$B61),0)</f>
        <v>0</v>
      </c>
      <c r="AB61" s="2">
        <f ca="1">IFERROR(SUMIFS(INDIRECT("'Thanh Toán ("&amp;AB$3&amp;")'!$e:$e"),INDIRECT("'Thanh Toán ("&amp;AB$3&amp;")'!$B:$B"),'Tổng Đơn'!$B61),0)</f>
        <v>0</v>
      </c>
      <c r="AC61" s="2">
        <f ca="1">IFERROR(SUMIFS(INDIRECT("'Thanh Toán ("&amp;AC$3&amp;")'!$e:$e"),INDIRECT("'Thanh Toán ("&amp;AC$3&amp;")'!$B:$B"),'Tổng Đơn'!$B61),0)</f>
        <v>0</v>
      </c>
      <c r="AD61" s="2">
        <f ca="1">IFERROR(SUMIFS(INDIRECT("'Thanh Toán ("&amp;AD$3&amp;")'!$e:$e"),INDIRECT("'Thanh Toán ("&amp;AD$3&amp;")'!$B:$B"),'Tổng Đơn'!$B61),0)</f>
        <v>0</v>
      </c>
      <c r="AE61" s="2">
        <f ca="1">IFERROR(SUMIFS(INDIRECT("'Thanh Toán ("&amp;AE$3&amp;")'!$e:$e"),INDIRECT("'Thanh Toán ("&amp;AE$3&amp;")'!$B:$B"),'Tổng Đơn'!$B61),0)</f>
        <v>0</v>
      </c>
      <c r="AF61" s="2">
        <f ca="1">IFERROR(SUMIFS(INDIRECT("'Thanh Toán ("&amp;AF$3&amp;")'!$e:$e"),INDIRECT("'Thanh Toán ("&amp;AF$3&amp;")'!$B:$B"),'Tổng Đơn'!$B61),0)</f>
        <v>0</v>
      </c>
      <c r="AG61" s="2">
        <f ca="1">IFERROR(SUMIFS(INDIRECT("'Thanh Toán ("&amp;AG$3&amp;")'!$e:$e"),INDIRECT("'Thanh Toán ("&amp;AG$3&amp;")'!$B:$B"),'Tổng Đơn'!$B61),0)</f>
        <v>0</v>
      </c>
      <c r="AH61" s="2">
        <f ca="1">IFERROR(SUMIFS(INDIRECT("'Thanh Toán ("&amp;AH$3&amp;")'!$e:$e"),INDIRECT("'Thanh Toán ("&amp;AH$3&amp;")'!$B:$B"),'Tổng Đơn'!$B61),0)</f>
        <v>0</v>
      </c>
      <c r="AI61" s="2">
        <f ca="1">IFERROR(SUMIFS(INDIRECT("'Thanh Toán ("&amp;AI$3&amp;")'!$e:$e"),INDIRECT("'Thanh Toán ("&amp;AI$3&amp;")'!$B:$B"),'Tổng Đơn'!$B61),0)</f>
        <v>0</v>
      </c>
      <c r="AJ61" s="2">
        <f ca="1">IFERROR(SUMIFS(INDIRECT("'Thanh Toán ("&amp;AJ$3&amp;")'!$e:$e"),INDIRECT("'Thanh Toán ("&amp;AJ$3&amp;")'!$B:$B"),'Tổng Đơn'!$B61),0)</f>
        <v>0</v>
      </c>
      <c r="AK61" s="2">
        <f ca="1">IFERROR(SUMIFS(INDIRECT("'Thanh Toán ("&amp;AK$3&amp;")'!$e:$e"),INDIRECT("'Thanh Toán ("&amp;AK$3&amp;")'!$B:$B"),'Tổng Đơn'!$B61),0)</f>
        <v>0</v>
      </c>
      <c r="AL61" s="2">
        <f ca="1">IFERROR(SUMIFS(INDIRECT("'Thanh Toán ("&amp;AL$3&amp;")'!$e:$e"),INDIRECT("'Thanh Toán ("&amp;AL$3&amp;")'!$B:$B"),'Tổng Đơn'!$B61),0)</f>
        <v>0</v>
      </c>
      <c r="AM61" s="2">
        <f ca="1">IFERROR(SUMIFS(INDIRECT("'Thanh Toán ("&amp;AM$3&amp;")'!$e:$e"),INDIRECT("'Thanh Toán ("&amp;AM$3&amp;")'!$B:$B"),'Tổng Đơn'!$B61),0)</f>
        <v>0</v>
      </c>
      <c r="AN61" s="2">
        <f ca="1">IFERROR(SUMIFS(INDIRECT("'Thanh Toán ("&amp;AN$3&amp;")'!$e:$e"),INDIRECT("'Thanh Toán ("&amp;AN$3&amp;")'!$B:$B"),'Tổng Đơn'!$B61),0)</f>
        <v>0</v>
      </c>
      <c r="AO61" s="2">
        <f ca="1">IFERROR(SUMIFS(INDIRECT("'Thanh Toán ("&amp;AO$3&amp;")'!$e:$e"),INDIRECT("'Thanh Toán ("&amp;AO$3&amp;")'!$B:$B"),'Tổng Đơn'!$B61),0)</f>
        <v>0</v>
      </c>
    </row>
    <row r="62" spans="1:41" x14ac:dyDescent="0.25">
      <c r="A62" s="150">
        <v>58</v>
      </c>
      <c r="B62" s="153" t="s">
        <v>182</v>
      </c>
      <c r="C62" s="23" t="s">
        <v>184</v>
      </c>
      <c r="D62" s="44">
        <v>35000</v>
      </c>
      <c r="E62" s="60">
        <v>0.5</v>
      </c>
      <c r="F62" s="58">
        <f t="shared" ca="1" si="8"/>
        <v>1</v>
      </c>
      <c r="G62" s="58">
        <v>30.235459100994738</v>
      </c>
      <c r="H62" s="58">
        <f t="shared" ca="1" si="5"/>
        <v>4764.5408990052601</v>
      </c>
      <c r="I62" s="58"/>
      <c r="J62" s="58">
        <f t="shared" ca="1" si="4"/>
        <v>30235.45910099474</v>
      </c>
      <c r="K62" s="58"/>
      <c r="L62" s="2">
        <f ca="1">IFERROR(SUMIFS(INDIRECT("'Thanh Toán ("&amp;L$3&amp;")'!$e:$e"),INDIRECT("'Thanh Toán ("&amp;L$3&amp;")'!$B:$B"),'Tổng Đơn'!$B62),0)</f>
        <v>0</v>
      </c>
      <c r="M62" s="2">
        <f ca="1">IFERROR(SUMIFS(INDIRECT("'Thanh Toán ("&amp;M$3&amp;")'!$e:$e"),INDIRECT("'Thanh Toán ("&amp;M$3&amp;")'!$B:$B"),'Tổng Đơn'!$B62),0)</f>
        <v>0</v>
      </c>
      <c r="N62" s="2">
        <f ca="1">IFERROR(SUMIFS(INDIRECT("'Thanh Toán ("&amp;N$3&amp;")'!$e:$e"),INDIRECT("'Thanh Toán ("&amp;N$3&amp;")'!$B:$B"),'Tổng Đơn'!$B62),0)</f>
        <v>0</v>
      </c>
      <c r="O62" s="2">
        <f ca="1">IFERROR(SUMIFS(INDIRECT("'Thanh Toán ("&amp;O$3&amp;")'!$e:$e"),INDIRECT("'Thanh Toán ("&amp;O$3&amp;")'!$B:$B"),'Tổng Đơn'!$B62),0)</f>
        <v>0</v>
      </c>
      <c r="P62" s="2">
        <f ca="1">IFERROR(SUMIFS(INDIRECT("'Thanh Toán ("&amp;P$3&amp;")'!$e:$e"),INDIRECT("'Thanh Toán ("&amp;P$3&amp;")'!$B:$B"),'Tổng Đơn'!$B62),0)</f>
        <v>0</v>
      </c>
      <c r="Q62" s="2">
        <f ca="1">IFERROR(SUMIFS(INDIRECT("'Thanh Toán ("&amp;Q$3&amp;")'!$e:$e"),INDIRECT("'Thanh Toán ("&amp;Q$3&amp;")'!$B:$B"),'Tổng Đơn'!$B62),0)</f>
        <v>0</v>
      </c>
      <c r="R62" s="2">
        <f ca="1">IFERROR(SUMIFS(INDIRECT("'Thanh Toán ("&amp;R$3&amp;")'!$e:$e"),INDIRECT("'Thanh Toán ("&amp;R$3&amp;")'!$B:$B"),'Tổng Đơn'!$B62),0)</f>
        <v>0</v>
      </c>
      <c r="S62" s="2">
        <f ca="1">IFERROR(SUMIFS(INDIRECT("'Thanh Toán ("&amp;S$3&amp;")'!$e:$e"),INDIRECT("'Thanh Toán ("&amp;S$3&amp;")'!$B:$B"),'Tổng Đơn'!$B62),0)</f>
        <v>0</v>
      </c>
      <c r="T62" s="2">
        <f ca="1">IFERROR(SUMIFS(INDIRECT("'Thanh Toán ("&amp;T$3&amp;")'!$e:$e"),INDIRECT("'Thanh Toán ("&amp;T$3&amp;")'!$B:$B"),'Tổng Đơn'!$B62),0)</f>
        <v>1</v>
      </c>
      <c r="U62" s="2">
        <f ca="1">IFERROR(SUMIFS(INDIRECT("'Thanh Toán ("&amp;U$3&amp;")'!$e:$e"),INDIRECT("'Thanh Toán ("&amp;U$3&amp;")'!$B:$B"),'Tổng Đơn'!$B62),0)</f>
        <v>0</v>
      </c>
      <c r="V62" s="2">
        <f ca="1">IFERROR(SUMIFS(INDIRECT("'Thanh Toán ("&amp;V$3&amp;")'!$e:$e"),INDIRECT("'Thanh Toán ("&amp;V$3&amp;")'!$B:$B"),'Tổng Đơn'!$B62),0)</f>
        <v>0</v>
      </c>
      <c r="W62" s="2">
        <f ca="1">IFERROR(SUMIFS(INDIRECT("'Thanh Toán ("&amp;W$3&amp;")'!$e:$e"),INDIRECT("'Thanh Toán ("&amp;W$3&amp;")'!$B:$B"),'Tổng Đơn'!$B62),0)</f>
        <v>0</v>
      </c>
      <c r="X62" s="2">
        <f ca="1">IFERROR(SUMIFS(INDIRECT("'Thanh Toán ("&amp;X$3&amp;")'!$e:$e"),INDIRECT("'Thanh Toán ("&amp;X$3&amp;")'!$B:$B"),'Tổng Đơn'!$B62),0)</f>
        <v>0</v>
      </c>
      <c r="Y62" s="2">
        <f ca="1">IFERROR(SUMIFS(INDIRECT("'Thanh Toán ("&amp;Y$3&amp;")'!$e:$e"),INDIRECT("'Thanh Toán ("&amp;Y$3&amp;")'!$B:$B"),'Tổng Đơn'!$B62),0)</f>
        <v>0</v>
      </c>
      <c r="Z62" s="2">
        <f ca="1">IFERROR(SUMIFS(INDIRECT("'Thanh Toán ("&amp;Z$3&amp;")'!$e:$e"),INDIRECT("'Thanh Toán ("&amp;Z$3&amp;")'!$B:$B"),'Tổng Đơn'!$B62),0)</f>
        <v>0</v>
      </c>
      <c r="AA62" s="2">
        <f ca="1">IFERROR(SUMIFS(INDIRECT("'Thanh Toán ("&amp;AA$3&amp;")'!$e:$e"),INDIRECT("'Thanh Toán ("&amp;AA$3&amp;")'!$B:$B"),'Tổng Đơn'!$B62),0)</f>
        <v>0</v>
      </c>
      <c r="AB62" s="2">
        <f ca="1">IFERROR(SUMIFS(INDIRECT("'Thanh Toán ("&amp;AB$3&amp;")'!$e:$e"),INDIRECT("'Thanh Toán ("&amp;AB$3&amp;")'!$B:$B"),'Tổng Đơn'!$B62),0)</f>
        <v>0</v>
      </c>
      <c r="AC62" s="2">
        <f ca="1">IFERROR(SUMIFS(INDIRECT("'Thanh Toán ("&amp;AC$3&amp;")'!$e:$e"),INDIRECT("'Thanh Toán ("&amp;AC$3&amp;")'!$B:$B"),'Tổng Đơn'!$B62),0)</f>
        <v>0</v>
      </c>
      <c r="AD62" s="2">
        <f ca="1">IFERROR(SUMIFS(INDIRECT("'Thanh Toán ("&amp;AD$3&amp;")'!$e:$e"),INDIRECT("'Thanh Toán ("&amp;AD$3&amp;")'!$B:$B"),'Tổng Đơn'!$B62),0)</f>
        <v>0</v>
      </c>
      <c r="AE62" s="2">
        <f ca="1">IFERROR(SUMIFS(INDIRECT("'Thanh Toán ("&amp;AE$3&amp;")'!$e:$e"),INDIRECT("'Thanh Toán ("&amp;AE$3&amp;")'!$B:$B"),'Tổng Đơn'!$B62),0)</f>
        <v>0</v>
      </c>
      <c r="AF62" s="2">
        <f ca="1">IFERROR(SUMIFS(INDIRECT("'Thanh Toán ("&amp;AF$3&amp;")'!$e:$e"),INDIRECT("'Thanh Toán ("&amp;AF$3&amp;")'!$B:$B"),'Tổng Đơn'!$B62),0)</f>
        <v>0</v>
      </c>
      <c r="AG62" s="2">
        <f ca="1">IFERROR(SUMIFS(INDIRECT("'Thanh Toán ("&amp;AG$3&amp;")'!$e:$e"),INDIRECT("'Thanh Toán ("&amp;AG$3&amp;")'!$B:$B"),'Tổng Đơn'!$B62),0)</f>
        <v>0</v>
      </c>
      <c r="AH62" s="2">
        <f ca="1">IFERROR(SUMIFS(INDIRECT("'Thanh Toán ("&amp;AH$3&amp;")'!$e:$e"),INDIRECT("'Thanh Toán ("&amp;AH$3&amp;")'!$B:$B"),'Tổng Đơn'!$B62),0)</f>
        <v>0</v>
      </c>
      <c r="AI62" s="2">
        <f ca="1">IFERROR(SUMIFS(INDIRECT("'Thanh Toán ("&amp;AI$3&amp;")'!$e:$e"),INDIRECT("'Thanh Toán ("&amp;AI$3&amp;")'!$B:$B"),'Tổng Đơn'!$B62),0)</f>
        <v>0</v>
      </c>
      <c r="AJ62" s="2">
        <f ca="1">IFERROR(SUMIFS(INDIRECT("'Thanh Toán ("&amp;AJ$3&amp;")'!$e:$e"),INDIRECT("'Thanh Toán ("&amp;AJ$3&amp;")'!$B:$B"),'Tổng Đơn'!$B62),0)</f>
        <v>0</v>
      </c>
      <c r="AK62" s="2">
        <f ca="1">IFERROR(SUMIFS(INDIRECT("'Thanh Toán ("&amp;AK$3&amp;")'!$e:$e"),INDIRECT("'Thanh Toán ("&amp;AK$3&amp;")'!$B:$B"),'Tổng Đơn'!$B62),0)</f>
        <v>0</v>
      </c>
      <c r="AL62" s="2">
        <f ca="1">IFERROR(SUMIFS(INDIRECT("'Thanh Toán ("&amp;AL$3&amp;")'!$e:$e"),INDIRECT("'Thanh Toán ("&amp;AL$3&amp;")'!$B:$B"),'Tổng Đơn'!$B62),0)</f>
        <v>0</v>
      </c>
      <c r="AM62" s="2">
        <f ca="1">IFERROR(SUMIFS(INDIRECT("'Thanh Toán ("&amp;AM$3&amp;")'!$e:$e"),INDIRECT("'Thanh Toán ("&amp;AM$3&amp;")'!$B:$B"),'Tổng Đơn'!$B62),0)</f>
        <v>0</v>
      </c>
      <c r="AN62" s="2">
        <f ca="1">IFERROR(SUMIFS(INDIRECT("'Thanh Toán ("&amp;AN$3&amp;")'!$e:$e"),INDIRECT("'Thanh Toán ("&amp;AN$3&amp;")'!$B:$B"),'Tổng Đơn'!$B62),0)</f>
        <v>0</v>
      </c>
      <c r="AO62" s="2">
        <f ca="1">IFERROR(SUMIFS(INDIRECT("'Thanh Toán ("&amp;AO$3&amp;")'!$e:$e"),INDIRECT("'Thanh Toán ("&amp;AO$3&amp;")'!$B:$B"),'Tổng Đơn'!$B62),0)</f>
        <v>0</v>
      </c>
    </row>
    <row r="63" spans="1:41" x14ac:dyDescent="0.25">
      <c r="A63" s="150">
        <v>59</v>
      </c>
      <c r="B63" s="153" t="s">
        <v>183</v>
      </c>
      <c r="C63" s="23" t="s">
        <v>185</v>
      </c>
      <c r="D63" s="44">
        <v>38000</v>
      </c>
      <c r="E63" s="60">
        <v>0.5</v>
      </c>
      <c r="F63" s="58">
        <f t="shared" ca="1" si="8"/>
        <v>0</v>
      </c>
      <c r="G63" s="58">
        <v>32.285320734960486</v>
      </c>
      <c r="H63" s="58">
        <f t="shared" ca="1" si="5"/>
        <v>0</v>
      </c>
      <c r="I63" s="58"/>
      <c r="J63" s="58">
        <f t="shared" ca="1" si="4"/>
        <v>0</v>
      </c>
      <c r="K63" s="58"/>
      <c r="L63" s="2">
        <f ca="1">IFERROR(SUMIFS(INDIRECT("'Thanh Toán ("&amp;L$3&amp;")'!$e:$e"),INDIRECT("'Thanh Toán ("&amp;L$3&amp;")'!$B:$B"),'Tổng Đơn'!$B63),0)</f>
        <v>0</v>
      </c>
      <c r="M63" s="2">
        <f ca="1">IFERROR(SUMIFS(INDIRECT("'Thanh Toán ("&amp;M$3&amp;")'!$e:$e"),INDIRECT("'Thanh Toán ("&amp;M$3&amp;")'!$B:$B"),'Tổng Đơn'!$B63),0)</f>
        <v>0</v>
      </c>
      <c r="N63" s="2">
        <f ca="1">IFERROR(SUMIFS(INDIRECT("'Thanh Toán ("&amp;N$3&amp;")'!$e:$e"),INDIRECT("'Thanh Toán ("&amp;N$3&amp;")'!$B:$B"),'Tổng Đơn'!$B63),0)</f>
        <v>0</v>
      </c>
      <c r="O63" s="2">
        <f ca="1">IFERROR(SUMIFS(INDIRECT("'Thanh Toán ("&amp;O$3&amp;")'!$e:$e"),INDIRECT("'Thanh Toán ("&amp;O$3&amp;")'!$B:$B"),'Tổng Đơn'!$B63),0)</f>
        <v>0</v>
      </c>
      <c r="P63" s="2">
        <f ca="1">IFERROR(SUMIFS(INDIRECT("'Thanh Toán ("&amp;P$3&amp;")'!$e:$e"),INDIRECT("'Thanh Toán ("&amp;P$3&amp;")'!$B:$B"),'Tổng Đơn'!$B63),0)</f>
        <v>0</v>
      </c>
      <c r="Q63" s="2">
        <f ca="1">IFERROR(SUMIFS(INDIRECT("'Thanh Toán ("&amp;Q$3&amp;")'!$e:$e"),INDIRECT("'Thanh Toán ("&amp;Q$3&amp;")'!$B:$B"),'Tổng Đơn'!$B63),0)</f>
        <v>0</v>
      </c>
      <c r="R63" s="2">
        <f ca="1">IFERROR(SUMIFS(INDIRECT("'Thanh Toán ("&amp;R$3&amp;")'!$e:$e"),INDIRECT("'Thanh Toán ("&amp;R$3&amp;")'!$B:$B"),'Tổng Đơn'!$B63),0)</f>
        <v>0</v>
      </c>
      <c r="S63" s="2">
        <f ca="1">IFERROR(SUMIFS(INDIRECT("'Thanh Toán ("&amp;S$3&amp;")'!$e:$e"),INDIRECT("'Thanh Toán ("&amp;S$3&amp;")'!$B:$B"),'Tổng Đơn'!$B63),0)</f>
        <v>0</v>
      </c>
      <c r="T63" s="2">
        <f ca="1">IFERROR(SUMIFS(INDIRECT("'Thanh Toán ("&amp;T$3&amp;")'!$e:$e"),INDIRECT("'Thanh Toán ("&amp;T$3&amp;")'!$B:$B"),'Tổng Đơn'!$B63),0)</f>
        <v>0</v>
      </c>
      <c r="U63" s="2">
        <f ca="1">IFERROR(SUMIFS(INDIRECT("'Thanh Toán ("&amp;U$3&amp;")'!$e:$e"),INDIRECT("'Thanh Toán ("&amp;U$3&amp;")'!$B:$B"),'Tổng Đơn'!$B63),0)</f>
        <v>0</v>
      </c>
      <c r="V63" s="2">
        <f ca="1">IFERROR(SUMIFS(INDIRECT("'Thanh Toán ("&amp;V$3&amp;")'!$e:$e"),INDIRECT("'Thanh Toán ("&amp;V$3&amp;")'!$B:$B"),'Tổng Đơn'!$B63),0)</f>
        <v>0</v>
      </c>
      <c r="W63" s="2">
        <f ca="1">IFERROR(SUMIFS(INDIRECT("'Thanh Toán ("&amp;W$3&amp;")'!$e:$e"),INDIRECT("'Thanh Toán ("&amp;W$3&amp;")'!$B:$B"),'Tổng Đơn'!$B63),0)</f>
        <v>0</v>
      </c>
      <c r="X63" s="2">
        <f ca="1">IFERROR(SUMIFS(INDIRECT("'Thanh Toán ("&amp;X$3&amp;")'!$e:$e"),INDIRECT("'Thanh Toán ("&amp;X$3&amp;")'!$B:$B"),'Tổng Đơn'!$B63),0)</f>
        <v>0</v>
      </c>
      <c r="Y63" s="2">
        <f ca="1">IFERROR(SUMIFS(INDIRECT("'Thanh Toán ("&amp;Y$3&amp;")'!$e:$e"),INDIRECT("'Thanh Toán ("&amp;Y$3&amp;")'!$B:$B"),'Tổng Đơn'!$B63),0)</f>
        <v>0</v>
      </c>
      <c r="Z63" s="2">
        <f ca="1">IFERROR(SUMIFS(INDIRECT("'Thanh Toán ("&amp;Z$3&amp;")'!$e:$e"),INDIRECT("'Thanh Toán ("&amp;Z$3&amp;")'!$B:$B"),'Tổng Đơn'!$B63),0)</f>
        <v>0</v>
      </c>
      <c r="AA63" s="2">
        <f ca="1">IFERROR(SUMIFS(INDIRECT("'Thanh Toán ("&amp;AA$3&amp;")'!$e:$e"),INDIRECT("'Thanh Toán ("&amp;AA$3&amp;")'!$B:$B"),'Tổng Đơn'!$B63),0)</f>
        <v>0</v>
      </c>
      <c r="AB63" s="2">
        <f ca="1">IFERROR(SUMIFS(INDIRECT("'Thanh Toán ("&amp;AB$3&amp;")'!$e:$e"),INDIRECT("'Thanh Toán ("&amp;AB$3&amp;")'!$B:$B"),'Tổng Đơn'!$B63),0)</f>
        <v>0</v>
      </c>
      <c r="AC63" s="2">
        <f ca="1">IFERROR(SUMIFS(INDIRECT("'Thanh Toán ("&amp;AC$3&amp;")'!$e:$e"),INDIRECT("'Thanh Toán ("&amp;AC$3&amp;")'!$B:$B"),'Tổng Đơn'!$B63),0)</f>
        <v>0</v>
      </c>
      <c r="AD63" s="2">
        <f ca="1">IFERROR(SUMIFS(INDIRECT("'Thanh Toán ("&amp;AD$3&amp;")'!$e:$e"),INDIRECT("'Thanh Toán ("&amp;AD$3&amp;")'!$B:$B"),'Tổng Đơn'!$B63),0)</f>
        <v>0</v>
      </c>
      <c r="AE63" s="2">
        <f ca="1">IFERROR(SUMIFS(INDIRECT("'Thanh Toán ("&amp;AE$3&amp;")'!$e:$e"),INDIRECT("'Thanh Toán ("&amp;AE$3&amp;")'!$B:$B"),'Tổng Đơn'!$B63),0)</f>
        <v>0</v>
      </c>
      <c r="AF63" s="2">
        <f ca="1">IFERROR(SUMIFS(INDIRECT("'Thanh Toán ("&amp;AF$3&amp;")'!$e:$e"),INDIRECT("'Thanh Toán ("&amp;AF$3&amp;")'!$B:$B"),'Tổng Đơn'!$B63),0)</f>
        <v>0</v>
      </c>
      <c r="AG63" s="2">
        <f ca="1">IFERROR(SUMIFS(INDIRECT("'Thanh Toán ("&amp;AG$3&amp;")'!$e:$e"),INDIRECT("'Thanh Toán ("&amp;AG$3&amp;")'!$B:$B"),'Tổng Đơn'!$B63),0)</f>
        <v>0</v>
      </c>
      <c r="AH63" s="2">
        <f ca="1">IFERROR(SUMIFS(INDIRECT("'Thanh Toán ("&amp;AH$3&amp;")'!$e:$e"),INDIRECT("'Thanh Toán ("&amp;AH$3&amp;")'!$B:$B"),'Tổng Đơn'!$B63),0)</f>
        <v>0</v>
      </c>
      <c r="AI63" s="2">
        <f ca="1">IFERROR(SUMIFS(INDIRECT("'Thanh Toán ("&amp;AI$3&amp;")'!$e:$e"),INDIRECT("'Thanh Toán ("&amp;AI$3&amp;")'!$B:$B"),'Tổng Đơn'!$B63),0)</f>
        <v>0</v>
      </c>
      <c r="AJ63" s="2">
        <f ca="1">IFERROR(SUMIFS(INDIRECT("'Thanh Toán ("&amp;AJ$3&amp;")'!$e:$e"),INDIRECT("'Thanh Toán ("&amp;AJ$3&amp;")'!$B:$B"),'Tổng Đơn'!$B63),0)</f>
        <v>0</v>
      </c>
      <c r="AK63" s="2">
        <f ca="1">IFERROR(SUMIFS(INDIRECT("'Thanh Toán ("&amp;AK$3&amp;")'!$e:$e"),INDIRECT("'Thanh Toán ("&amp;AK$3&amp;")'!$B:$B"),'Tổng Đơn'!$B63),0)</f>
        <v>0</v>
      </c>
      <c r="AL63" s="2">
        <f ca="1">IFERROR(SUMIFS(INDIRECT("'Thanh Toán ("&amp;AL$3&amp;")'!$e:$e"),INDIRECT("'Thanh Toán ("&amp;AL$3&amp;")'!$B:$B"),'Tổng Đơn'!$B63),0)</f>
        <v>0</v>
      </c>
      <c r="AM63" s="2">
        <f ca="1">IFERROR(SUMIFS(INDIRECT("'Thanh Toán ("&amp;AM$3&amp;")'!$e:$e"),INDIRECT("'Thanh Toán ("&amp;AM$3&amp;")'!$B:$B"),'Tổng Đơn'!$B63),0)</f>
        <v>0</v>
      </c>
      <c r="AN63" s="2">
        <f ca="1">IFERROR(SUMIFS(INDIRECT("'Thanh Toán ("&amp;AN$3&amp;")'!$e:$e"),INDIRECT("'Thanh Toán ("&amp;AN$3&amp;")'!$B:$B"),'Tổng Đơn'!$B63),0)</f>
        <v>0</v>
      </c>
      <c r="AO63" s="2">
        <f ca="1">IFERROR(SUMIFS(INDIRECT("'Thanh Toán ("&amp;AO$3&amp;")'!$e:$e"),INDIRECT("'Thanh Toán ("&amp;AO$3&amp;")'!$B:$B"),'Tổng Đơn'!$B63),0)</f>
        <v>0</v>
      </c>
    </row>
    <row r="64" spans="1:41" x14ac:dyDescent="0.25">
      <c r="A64" s="150">
        <v>60</v>
      </c>
      <c r="B64" s="153" t="s">
        <v>189</v>
      </c>
      <c r="C64" s="23" t="s">
        <v>190</v>
      </c>
      <c r="D64" s="44">
        <v>70000</v>
      </c>
      <c r="E64" s="60">
        <v>0.5</v>
      </c>
      <c r="F64" s="58">
        <f t="shared" ca="1" si="8"/>
        <v>1</v>
      </c>
      <c r="G64" s="58">
        <v>62</v>
      </c>
      <c r="H64" s="58">
        <f t="shared" ref="H64" ca="1" si="9">(D64-G64*1000)*$F64</f>
        <v>8000</v>
      </c>
      <c r="I64" s="58"/>
      <c r="J64" s="58">
        <f t="shared" ref="J64" ca="1" si="10">F64*G64*1000</f>
        <v>62000</v>
      </c>
      <c r="K64" s="58"/>
      <c r="L64" s="2">
        <f ca="1">IFERROR(SUMIFS(INDIRECT("'Thanh Toán ("&amp;L$3&amp;")'!$e:$e"),INDIRECT("'Thanh Toán ("&amp;L$3&amp;")'!$B:$B"),'Tổng Đơn'!$B64),0)</f>
        <v>0</v>
      </c>
      <c r="M64" s="2">
        <f ca="1">IFERROR(SUMIFS(INDIRECT("'Thanh Toán ("&amp;M$3&amp;")'!$e:$e"),INDIRECT("'Thanh Toán ("&amp;M$3&amp;")'!$B:$B"),'Tổng Đơn'!$B64),0)</f>
        <v>0</v>
      </c>
      <c r="N64" s="2">
        <f ca="1">IFERROR(SUMIFS(INDIRECT("'Thanh Toán ("&amp;N$3&amp;")'!$e:$e"),INDIRECT("'Thanh Toán ("&amp;N$3&amp;")'!$B:$B"),'Tổng Đơn'!$B64),0)</f>
        <v>0</v>
      </c>
      <c r="O64" s="2">
        <f ca="1">IFERROR(SUMIFS(INDIRECT("'Thanh Toán ("&amp;O$3&amp;")'!$e:$e"),INDIRECT("'Thanh Toán ("&amp;O$3&amp;")'!$B:$B"),'Tổng Đơn'!$B64),0)</f>
        <v>0</v>
      </c>
      <c r="P64" s="2">
        <f ca="1">IFERROR(SUMIFS(INDIRECT("'Thanh Toán ("&amp;P$3&amp;")'!$e:$e"),INDIRECT("'Thanh Toán ("&amp;P$3&amp;")'!$B:$B"),'Tổng Đơn'!$B64),0)</f>
        <v>0</v>
      </c>
      <c r="Q64" s="2">
        <f ca="1">IFERROR(SUMIFS(INDIRECT("'Thanh Toán ("&amp;Q$3&amp;")'!$e:$e"),INDIRECT("'Thanh Toán ("&amp;Q$3&amp;")'!$B:$B"),'Tổng Đơn'!$B64),0)</f>
        <v>0</v>
      </c>
      <c r="R64" s="2">
        <f ca="1">IFERROR(SUMIFS(INDIRECT("'Thanh Toán ("&amp;R$3&amp;")'!$e:$e"),INDIRECT("'Thanh Toán ("&amp;R$3&amp;")'!$B:$B"),'Tổng Đơn'!$B64),0)</f>
        <v>0</v>
      </c>
      <c r="S64" s="2">
        <f ca="1">IFERROR(SUMIFS(INDIRECT("'Thanh Toán ("&amp;S$3&amp;")'!$e:$e"),INDIRECT("'Thanh Toán ("&amp;S$3&amp;")'!$B:$B"),'Tổng Đơn'!$B64),0)</f>
        <v>0</v>
      </c>
      <c r="T64" s="2">
        <f ca="1">IFERROR(SUMIFS(INDIRECT("'Thanh Toán ("&amp;T$3&amp;")'!$e:$e"),INDIRECT("'Thanh Toán ("&amp;T$3&amp;")'!$B:$B"),'Tổng Đơn'!$B64),0)</f>
        <v>0</v>
      </c>
      <c r="U64" s="2">
        <f ca="1">IFERROR(SUMIFS(INDIRECT("'Thanh Toán ("&amp;U$3&amp;")'!$e:$e"),INDIRECT("'Thanh Toán ("&amp;U$3&amp;")'!$B:$B"),'Tổng Đơn'!$B64),0)</f>
        <v>0</v>
      </c>
      <c r="V64" s="2">
        <f ca="1">IFERROR(SUMIFS(INDIRECT("'Thanh Toán ("&amp;V$3&amp;")'!$e:$e"),INDIRECT("'Thanh Toán ("&amp;V$3&amp;")'!$B:$B"),'Tổng Đơn'!$B64),0)</f>
        <v>0</v>
      </c>
      <c r="W64" s="2">
        <f ca="1">IFERROR(SUMIFS(INDIRECT("'Thanh Toán ("&amp;W$3&amp;")'!$e:$e"),INDIRECT("'Thanh Toán ("&amp;W$3&amp;")'!$B:$B"),'Tổng Đơn'!$B64),0)</f>
        <v>0</v>
      </c>
      <c r="X64" s="2">
        <f ca="1">IFERROR(SUMIFS(INDIRECT("'Thanh Toán ("&amp;X$3&amp;")'!$e:$e"),INDIRECT("'Thanh Toán ("&amp;X$3&amp;")'!$B:$B"),'Tổng Đơn'!$B64),0)</f>
        <v>1</v>
      </c>
      <c r="Y64" s="2">
        <f ca="1">IFERROR(SUMIFS(INDIRECT("'Thanh Toán ("&amp;Y$3&amp;")'!$e:$e"),INDIRECT("'Thanh Toán ("&amp;Y$3&amp;")'!$B:$B"),'Tổng Đơn'!$B64),0)</f>
        <v>0</v>
      </c>
      <c r="Z64" s="2">
        <f ca="1">IFERROR(SUMIFS(INDIRECT("'Thanh Toán ("&amp;Z$3&amp;")'!$e:$e"),INDIRECT("'Thanh Toán ("&amp;Z$3&amp;")'!$B:$B"),'Tổng Đơn'!$B64),0)</f>
        <v>0</v>
      </c>
      <c r="AA64" s="2">
        <f ca="1">IFERROR(SUMIFS(INDIRECT("'Thanh Toán ("&amp;AA$3&amp;")'!$e:$e"),INDIRECT("'Thanh Toán ("&amp;AA$3&amp;")'!$B:$B"),'Tổng Đơn'!$B64),0)</f>
        <v>0</v>
      </c>
      <c r="AB64" s="2">
        <f ca="1">IFERROR(SUMIFS(INDIRECT("'Thanh Toán ("&amp;AB$3&amp;")'!$e:$e"),INDIRECT("'Thanh Toán ("&amp;AB$3&amp;")'!$B:$B"),'Tổng Đơn'!$B64),0)</f>
        <v>0</v>
      </c>
      <c r="AC64" s="2">
        <f ca="1">IFERROR(SUMIFS(INDIRECT("'Thanh Toán ("&amp;AC$3&amp;")'!$e:$e"),INDIRECT("'Thanh Toán ("&amp;AC$3&amp;")'!$B:$B"),'Tổng Đơn'!$B64),0)</f>
        <v>0</v>
      </c>
      <c r="AD64" s="2">
        <f ca="1">IFERROR(SUMIFS(INDIRECT("'Thanh Toán ("&amp;AD$3&amp;")'!$e:$e"),INDIRECT("'Thanh Toán ("&amp;AD$3&amp;")'!$B:$B"),'Tổng Đơn'!$B64),0)</f>
        <v>0</v>
      </c>
      <c r="AE64" s="2">
        <f ca="1">IFERROR(SUMIFS(INDIRECT("'Thanh Toán ("&amp;AE$3&amp;")'!$e:$e"),INDIRECT("'Thanh Toán ("&amp;AE$3&amp;")'!$B:$B"),'Tổng Đơn'!$B64),0)</f>
        <v>0</v>
      </c>
      <c r="AF64" s="2">
        <f ca="1">IFERROR(SUMIFS(INDIRECT("'Thanh Toán ("&amp;AF$3&amp;")'!$e:$e"),INDIRECT("'Thanh Toán ("&amp;AF$3&amp;")'!$B:$B"),'Tổng Đơn'!$B64),0)</f>
        <v>0</v>
      </c>
      <c r="AG64" s="2">
        <f ca="1">IFERROR(SUMIFS(INDIRECT("'Thanh Toán ("&amp;AG$3&amp;")'!$e:$e"),INDIRECT("'Thanh Toán ("&amp;AG$3&amp;")'!$B:$B"),'Tổng Đơn'!$B64),0)</f>
        <v>0</v>
      </c>
      <c r="AH64" s="2">
        <f ca="1">IFERROR(SUMIFS(INDIRECT("'Thanh Toán ("&amp;AH$3&amp;")'!$e:$e"),INDIRECT("'Thanh Toán ("&amp;AH$3&amp;")'!$B:$B"),'Tổng Đơn'!$B64),0)</f>
        <v>0</v>
      </c>
      <c r="AI64" s="2">
        <f ca="1">IFERROR(SUMIFS(INDIRECT("'Thanh Toán ("&amp;AI$3&amp;")'!$e:$e"),INDIRECT("'Thanh Toán ("&amp;AI$3&amp;")'!$B:$B"),'Tổng Đơn'!$B64),0)</f>
        <v>0</v>
      </c>
      <c r="AJ64" s="2">
        <f ca="1">IFERROR(SUMIFS(INDIRECT("'Thanh Toán ("&amp;AJ$3&amp;")'!$e:$e"),INDIRECT("'Thanh Toán ("&amp;AJ$3&amp;")'!$B:$B"),'Tổng Đơn'!$B64),0)</f>
        <v>0</v>
      </c>
      <c r="AK64" s="2">
        <f ca="1">IFERROR(SUMIFS(INDIRECT("'Thanh Toán ("&amp;AK$3&amp;")'!$e:$e"),INDIRECT("'Thanh Toán ("&amp;AK$3&amp;")'!$B:$B"),'Tổng Đơn'!$B64),0)</f>
        <v>0</v>
      </c>
      <c r="AL64" s="2">
        <f ca="1">IFERROR(SUMIFS(INDIRECT("'Thanh Toán ("&amp;AL$3&amp;")'!$e:$e"),INDIRECT("'Thanh Toán ("&amp;AL$3&amp;")'!$B:$B"),'Tổng Đơn'!$B64),0)</f>
        <v>0</v>
      </c>
      <c r="AM64" s="2">
        <f ca="1">IFERROR(SUMIFS(INDIRECT("'Thanh Toán ("&amp;AM$3&amp;")'!$e:$e"),INDIRECT("'Thanh Toán ("&amp;AM$3&amp;")'!$B:$B"),'Tổng Đơn'!$B64),0)</f>
        <v>0</v>
      </c>
      <c r="AN64" s="2">
        <f ca="1">IFERROR(SUMIFS(INDIRECT("'Thanh Toán ("&amp;AN$3&amp;")'!$e:$e"),INDIRECT("'Thanh Toán ("&amp;AN$3&amp;")'!$B:$B"),'Tổng Đơn'!$B64),0)</f>
        <v>0</v>
      </c>
      <c r="AO64" s="2">
        <f ca="1">IFERROR(SUMIFS(INDIRECT("'Thanh Toán ("&amp;AO$3&amp;")'!$e:$e"),INDIRECT("'Thanh Toán ("&amp;AO$3&amp;")'!$B:$B"),'Tổng Đơn'!$B64),0)</f>
        <v>0</v>
      </c>
    </row>
    <row r="65" spans="1:41" x14ac:dyDescent="0.25">
      <c r="A65" s="150">
        <v>61</v>
      </c>
      <c r="B65" s="153" t="s">
        <v>205</v>
      </c>
      <c r="C65" s="23" t="s">
        <v>206</v>
      </c>
      <c r="D65" s="44">
        <v>54000</v>
      </c>
      <c r="E65" s="60">
        <v>0.5</v>
      </c>
      <c r="F65" s="58">
        <f t="shared" ca="1" si="8"/>
        <v>0</v>
      </c>
      <c r="G65" s="58">
        <v>45</v>
      </c>
      <c r="H65" s="58">
        <f t="shared" ref="H65:H66" ca="1" si="11">(D65-G65*1000)*$F65</f>
        <v>0</v>
      </c>
      <c r="I65" s="58"/>
      <c r="J65" s="58">
        <f t="shared" ref="J65:J66" ca="1" si="12">F65*G65*1000</f>
        <v>0</v>
      </c>
      <c r="K65" s="58"/>
      <c r="L65" s="2">
        <f ca="1">IFERROR(SUMIFS(INDIRECT("'Thanh Toán ("&amp;L$3&amp;")'!$e:$e"),INDIRECT("'Thanh Toán ("&amp;L$3&amp;")'!$B:$B"),'Tổng Đơn'!$B65),0)</f>
        <v>0</v>
      </c>
      <c r="M65" s="2">
        <f ca="1">IFERROR(SUMIFS(INDIRECT("'Thanh Toán ("&amp;M$3&amp;")'!$e:$e"),INDIRECT("'Thanh Toán ("&amp;M$3&amp;")'!$B:$B"),'Tổng Đơn'!$B65),0)</f>
        <v>0</v>
      </c>
      <c r="N65" s="2">
        <f ca="1">IFERROR(SUMIFS(INDIRECT("'Thanh Toán ("&amp;N$3&amp;")'!$e:$e"),INDIRECT("'Thanh Toán ("&amp;N$3&amp;")'!$B:$B"),'Tổng Đơn'!$B65),0)</f>
        <v>0</v>
      </c>
      <c r="O65" s="2">
        <f ca="1">IFERROR(SUMIFS(INDIRECT("'Thanh Toán ("&amp;O$3&amp;")'!$e:$e"),INDIRECT("'Thanh Toán ("&amp;O$3&amp;")'!$B:$B"),'Tổng Đơn'!$B65),0)</f>
        <v>0</v>
      </c>
      <c r="P65" s="2">
        <f ca="1">IFERROR(SUMIFS(INDIRECT("'Thanh Toán ("&amp;P$3&amp;")'!$e:$e"),INDIRECT("'Thanh Toán ("&amp;P$3&amp;")'!$B:$B"),'Tổng Đơn'!$B65),0)</f>
        <v>0</v>
      </c>
      <c r="Q65" s="2">
        <f ca="1">IFERROR(SUMIFS(INDIRECT("'Thanh Toán ("&amp;Q$3&amp;")'!$e:$e"),INDIRECT("'Thanh Toán ("&amp;Q$3&amp;")'!$B:$B"),'Tổng Đơn'!$B65),0)</f>
        <v>0</v>
      </c>
      <c r="R65" s="2">
        <f ca="1">IFERROR(SUMIFS(INDIRECT("'Thanh Toán ("&amp;R$3&amp;")'!$e:$e"),INDIRECT("'Thanh Toán ("&amp;R$3&amp;")'!$B:$B"),'Tổng Đơn'!$B65),0)</f>
        <v>0</v>
      </c>
      <c r="S65" s="2">
        <f ca="1">IFERROR(SUMIFS(INDIRECT("'Thanh Toán ("&amp;S$3&amp;")'!$e:$e"),INDIRECT("'Thanh Toán ("&amp;S$3&amp;")'!$B:$B"),'Tổng Đơn'!$B65),0)</f>
        <v>0</v>
      </c>
      <c r="T65" s="2">
        <f ca="1">IFERROR(SUMIFS(INDIRECT("'Thanh Toán ("&amp;T$3&amp;")'!$e:$e"),INDIRECT("'Thanh Toán ("&amp;T$3&amp;")'!$B:$B"),'Tổng Đơn'!$B65),0)</f>
        <v>0</v>
      </c>
      <c r="U65" s="2">
        <f ca="1">IFERROR(SUMIFS(INDIRECT("'Thanh Toán ("&amp;U$3&amp;")'!$e:$e"),INDIRECT("'Thanh Toán ("&amp;U$3&amp;")'!$B:$B"),'Tổng Đơn'!$B65),0)</f>
        <v>0</v>
      </c>
      <c r="V65" s="2">
        <f ca="1">IFERROR(SUMIFS(INDIRECT("'Thanh Toán ("&amp;V$3&amp;")'!$e:$e"),INDIRECT("'Thanh Toán ("&amp;V$3&amp;")'!$B:$B"),'Tổng Đơn'!$B65),0)</f>
        <v>0</v>
      </c>
      <c r="W65" s="2">
        <f ca="1">IFERROR(SUMIFS(INDIRECT("'Thanh Toán ("&amp;W$3&amp;")'!$e:$e"),INDIRECT("'Thanh Toán ("&amp;W$3&amp;")'!$B:$B"),'Tổng Đơn'!$B65),0)</f>
        <v>0</v>
      </c>
      <c r="X65" s="2">
        <f ca="1">IFERROR(SUMIFS(INDIRECT("'Thanh Toán ("&amp;X$3&amp;")'!$e:$e"),INDIRECT("'Thanh Toán ("&amp;X$3&amp;")'!$B:$B"),'Tổng Đơn'!$B65),0)</f>
        <v>0</v>
      </c>
      <c r="Y65" s="2">
        <f ca="1">IFERROR(SUMIFS(INDIRECT("'Thanh Toán ("&amp;Y$3&amp;")'!$e:$e"),INDIRECT("'Thanh Toán ("&amp;Y$3&amp;")'!$B:$B"),'Tổng Đơn'!$B65),0)</f>
        <v>0</v>
      </c>
      <c r="Z65" s="2">
        <f ca="1">IFERROR(SUMIFS(INDIRECT("'Thanh Toán ("&amp;Z$3&amp;")'!$e:$e"),INDIRECT("'Thanh Toán ("&amp;Z$3&amp;")'!$B:$B"),'Tổng Đơn'!$B65),0)</f>
        <v>0</v>
      </c>
      <c r="AA65" s="2">
        <f ca="1">IFERROR(SUMIFS(INDIRECT("'Thanh Toán ("&amp;AA$3&amp;")'!$e:$e"),INDIRECT("'Thanh Toán ("&amp;AA$3&amp;")'!$B:$B"),'Tổng Đơn'!$B65),0)</f>
        <v>0</v>
      </c>
      <c r="AB65" s="2">
        <f ca="1">IFERROR(SUMIFS(INDIRECT("'Thanh Toán ("&amp;AB$3&amp;")'!$e:$e"),INDIRECT("'Thanh Toán ("&amp;AB$3&amp;")'!$B:$B"),'Tổng Đơn'!$B65),0)</f>
        <v>0</v>
      </c>
      <c r="AC65" s="2">
        <f ca="1">IFERROR(SUMIFS(INDIRECT("'Thanh Toán ("&amp;AC$3&amp;")'!$e:$e"),INDIRECT("'Thanh Toán ("&amp;AC$3&amp;")'!$B:$B"),'Tổng Đơn'!$B65),0)</f>
        <v>0</v>
      </c>
      <c r="AD65" s="2">
        <f ca="1">IFERROR(SUMIFS(INDIRECT("'Thanh Toán ("&amp;AD$3&amp;")'!$e:$e"),INDIRECT("'Thanh Toán ("&amp;AD$3&amp;")'!$B:$B"),'Tổng Đơn'!$B65),0)</f>
        <v>0</v>
      </c>
      <c r="AE65" s="2">
        <f ca="1">IFERROR(SUMIFS(INDIRECT("'Thanh Toán ("&amp;AE$3&amp;")'!$e:$e"),INDIRECT("'Thanh Toán ("&amp;AE$3&amp;")'!$B:$B"),'Tổng Đơn'!$B65),0)</f>
        <v>0</v>
      </c>
      <c r="AF65" s="2">
        <f ca="1">IFERROR(SUMIFS(INDIRECT("'Thanh Toán ("&amp;AF$3&amp;")'!$e:$e"),INDIRECT("'Thanh Toán ("&amp;AF$3&amp;")'!$B:$B"),'Tổng Đơn'!$B65),0)</f>
        <v>0</v>
      </c>
      <c r="AG65" s="2">
        <f ca="1">IFERROR(SUMIFS(INDIRECT("'Thanh Toán ("&amp;AG$3&amp;")'!$e:$e"),INDIRECT("'Thanh Toán ("&amp;AG$3&amp;")'!$B:$B"),'Tổng Đơn'!$B65),0)</f>
        <v>0</v>
      </c>
      <c r="AH65" s="2">
        <f ca="1">IFERROR(SUMIFS(INDIRECT("'Thanh Toán ("&amp;AH$3&amp;")'!$e:$e"),INDIRECT("'Thanh Toán ("&amp;AH$3&amp;")'!$B:$B"),'Tổng Đơn'!$B65),0)</f>
        <v>0</v>
      </c>
      <c r="AI65" s="2">
        <f ca="1">IFERROR(SUMIFS(INDIRECT("'Thanh Toán ("&amp;AI$3&amp;")'!$e:$e"),INDIRECT("'Thanh Toán ("&amp;AI$3&amp;")'!$B:$B"),'Tổng Đơn'!$B65),0)</f>
        <v>0</v>
      </c>
      <c r="AJ65" s="2">
        <f ca="1">IFERROR(SUMIFS(INDIRECT("'Thanh Toán ("&amp;AJ$3&amp;")'!$e:$e"),INDIRECT("'Thanh Toán ("&amp;AJ$3&amp;")'!$B:$B"),'Tổng Đơn'!$B65),0)</f>
        <v>0</v>
      </c>
      <c r="AK65" s="2">
        <f ca="1">IFERROR(SUMIFS(INDIRECT("'Thanh Toán ("&amp;AK$3&amp;")'!$e:$e"),INDIRECT("'Thanh Toán ("&amp;AK$3&amp;")'!$B:$B"),'Tổng Đơn'!$B65),0)</f>
        <v>0</v>
      </c>
      <c r="AL65" s="2">
        <f ca="1">IFERROR(SUMIFS(INDIRECT("'Thanh Toán ("&amp;AL$3&amp;")'!$e:$e"),INDIRECT("'Thanh Toán ("&amp;AL$3&amp;")'!$B:$B"),'Tổng Đơn'!$B65),0)</f>
        <v>0</v>
      </c>
      <c r="AM65" s="2">
        <f ca="1">IFERROR(SUMIFS(INDIRECT("'Thanh Toán ("&amp;AM$3&amp;")'!$e:$e"),INDIRECT("'Thanh Toán ("&amp;AM$3&amp;")'!$B:$B"),'Tổng Đơn'!$B65),0)</f>
        <v>0</v>
      </c>
      <c r="AN65" s="2">
        <f ca="1">IFERROR(SUMIFS(INDIRECT("'Thanh Toán ("&amp;AN$3&amp;")'!$e:$e"),INDIRECT("'Thanh Toán ("&amp;AN$3&amp;")'!$B:$B"),'Tổng Đơn'!$B65),0)</f>
        <v>0</v>
      </c>
      <c r="AO65" s="2">
        <f ca="1">IFERROR(SUMIFS(INDIRECT("'Thanh Toán ("&amp;AO$3&amp;")'!$e:$e"),INDIRECT("'Thanh Toán ("&amp;AO$3&amp;")'!$B:$B"),'Tổng Đơn'!$B65),0)</f>
        <v>0</v>
      </c>
    </row>
    <row r="66" spans="1:41" x14ac:dyDescent="0.25">
      <c r="A66" s="150">
        <v>62</v>
      </c>
      <c r="B66" s="153" t="s">
        <v>208</v>
      </c>
      <c r="C66" s="23" t="s">
        <v>209</v>
      </c>
      <c r="D66" s="44">
        <v>48000</v>
      </c>
      <c r="E66" s="60">
        <v>0.5</v>
      </c>
      <c r="F66" s="58">
        <f t="shared" ca="1" si="8"/>
        <v>3</v>
      </c>
      <c r="G66" s="58">
        <v>44</v>
      </c>
      <c r="H66" s="58">
        <f t="shared" ca="1" si="11"/>
        <v>12000</v>
      </c>
      <c r="I66" s="58"/>
      <c r="J66" s="58">
        <f t="shared" ca="1" si="12"/>
        <v>132000</v>
      </c>
      <c r="K66" s="58"/>
      <c r="L66" s="2">
        <f ca="1">IFERROR(SUMIFS(INDIRECT("'Thanh Toán ("&amp;L$3&amp;")'!$e:$e"),INDIRECT("'Thanh Toán ("&amp;L$3&amp;")'!$B:$B"),'Tổng Đơn'!$B66),0)</f>
        <v>0</v>
      </c>
      <c r="M66" s="2">
        <f ca="1">IFERROR(SUMIFS(INDIRECT("'Thanh Toán ("&amp;M$3&amp;")'!$e:$e"),INDIRECT("'Thanh Toán ("&amp;M$3&amp;")'!$B:$B"),'Tổng Đơn'!$B66),0)</f>
        <v>0</v>
      </c>
      <c r="N66" s="2">
        <f ca="1">IFERROR(SUMIFS(INDIRECT("'Thanh Toán ("&amp;N$3&amp;")'!$e:$e"),INDIRECT("'Thanh Toán ("&amp;N$3&amp;")'!$B:$B"),'Tổng Đơn'!$B66),0)</f>
        <v>0</v>
      </c>
      <c r="O66" s="2">
        <f ca="1">IFERROR(SUMIFS(INDIRECT("'Thanh Toán ("&amp;O$3&amp;")'!$e:$e"),INDIRECT("'Thanh Toán ("&amp;O$3&amp;")'!$B:$B"),'Tổng Đơn'!$B66),0)</f>
        <v>2</v>
      </c>
      <c r="P66" s="2">
        <f ca="1">IFERROR(SUMIFS(INDIRECT("'Thanh Toán ("&amp;P$3&amp;")'!$e:$e"),INDIRECT("'Thanh Toán ("&amp;P$3&amp;")'!$B:$B"),'Tổng Đơn'!$B66),0)</f>
        <v>0</v>
      </c>
      <c r="Q66" s="2">
        <f ca="1">IFERROR(SUMIFS(INDIRECT("'Thanh Toán ("&amp;Q$3&amp;")'!$e:$e"),INDIRECT("'Thanh Toán ("&amp;Q$3&amp;")'!$B:$B"),'Tổng Đơn'!$B66),0)</f>
        <v>0</v>
      </c>
      <c r="R66" s="2">
        <f ca="1">IFERROR(SUMIFS(INDIRECT("'Thanh Toán ("&amp;R$3&amp;")'!$e:$e"),INDIRECT("'Thanh Toán ("&amp;R$3&amp;")'!$B:$B"),'Tổng Đơn'!$B66),0)</f>
        <v>0</v>
      </c>
      <c r="S66" s="2">
        <f ca="1">IFERROR(SUMIFS(INDIRECT("'Thanh Toán ("&amp;S$3&amp;")'!$e:$e"),INDIRECT("'Thanh Toán ("&amp;S$3&amp;")'!$B:$B"),'Tổng Đơn'!$B66),0)</f>
        <v>1</v>
      </c>
      <c r="T66" s="2">
        <f ca="1">IFERROR(SUMIFS(INDIRECT("'Thanh Toán ("&amp;T$3&amp;")'!$e:$e"),INDIRECT("'Thanh Toán ("&amp;T$3&amp;")'!$B:$B"),'Tổng Đơn'!$B66),0)</f>
        <v>0</v>
      </c>
      <c r="U66" s="2">
        <f ca="1">IFERROR(SUMIFS(INDIRECT("'Thanh Toán ("&amp;U$3&amp;")'!$e:$e"),INDIRECT("'Thanh Toán ("&amp;U$3&amp;")'!$B:$B"),'Tổng Đơn'!$B66),0)</f>
        <v>0</v>
      </c>
      <c r="V66" s="2">
        <f ca="1">IFERROR(SUMIFS(INDIRECT("'Thanh Toán ("&amp;V$3&amp;")'!$e:$e"),INDIRECT("'Thanh Toán ("&amp;V$3&amp;")'!$B:$B"),'Tổng Đơn'!$B66),0)</f>
        <v>0</v>
      </c>
      <c r="W66" s="2">
        <f ca="1">IFERROR(SUMIFS(INDIRECT("'Thanh Toán ("&amp;W$3&amp;")'!$e:$e"),INDIRECT("'Thanh Toán ("&amp;W$3&amp;")'!$B:$B"),'Tổng Đơn'!$B66),0)</f>
        <v>0</v>
      </c>
      <c r="X66" s="2">
        <f ca="1">IFERROR(SUMIFS(INDIRECT("'Thanh Toán ("&amp;X$3&amp;")'!$e:$e"),INDIRECT("'Thanh Toán ("&amp;X$3&amp;")'!$B:$B"),'Tổng Đơn'!$B66),0)</f>
        <v>0</v>
      </c>
      <c r="Y66" s="2">
        <f ca="1">IFERROR(SUMIFS(INDIRECT("'Thanh Toán ("&amp;Y$3&amp;")'!$e:$e"),INDIRECT("'Thanh Toán ("&amp;Y$3&amp;")'!$B:$B"),'Tổng Đơn'!$B66),0)</f>
        <v>0</v>
      </c>
      <c r="Z66" s="2">
        <f ca="1">IFERROR(SUMIFS(INDIRECT("'Thanh Toán ("&amp;Z$3&amp;")'!$e:$e"),INDIRECT("'Thanh Toán ("&amp;Z$3&amp;")'!$B:$B"),'Tổng Đơn'!$B66),0)</f>
        <v>0</v>
      </c>
      <c r="AA66" s="2">
        <f ca="1">IFERROR(SUMIFS(INDIRECT("'Thanh Toán ("&amp;AA$3&amp;")'!$e:$e"),INDIRECT("'Thanh Toán ("&amp;AA$3&amp;")'!$B:$B"),'Tổng Đơn'!$B66),0)</f>
        <v>0</v>
      </c>
      <c r="AB66" s="2">
        <f ca="1">IFERROR(SUMIFS(INDIRECT("'Thanh Toán ("&amp;AB$3&amp;")'!$e:$e"),INDIRECT("'Thanh Toán ("&amp;AB$3&amp;")'!$B:$B"),'Tổng Đơn'!$B66),0)</f>
        <v>0</v>
      </c>
      <c r="AC66" s="2">
        <f ca="1">IFERROR(SUMIFS(INDIRECT("'Thanh Toán ("&amp;AC$3&amp;")'!$e:$e"),INDIRECT("'Thanh Toán ("&amp;AC$3&amp;")'!$B:$B"),'Tổng Đơn'!$B66),0)</f>
        <v>0</v>
      </c>
      <c r="AD66" s="2">
        <f ca="1">IFERROR(SUMIFS(INDIRECT("'Thanh Toán ("&amp;AD$3&amp;")'!$e:$e"),INDIRECT("'Thanh Toán ("&amp;AD$3&amp;")'!$B:$B"),'Tổng Đơn'!$B66),0)</f>
        <v>0</v>
      </c>
      <c r="AE66" s="2">
        <f ca="1">IFERROR(SUMIFS(INDIRECT("'Thanh Toán ("&amp;AE$3&amp;")'!$e:$e"),INDIRECT("'Thanh Toán ("&amp;AE$3&amp;")'!$B:$B"),'Tổng Đơn'!$B66),0)</f>
        <v>0</v>
      </c>
      <c r="AF66" s="2">
        <f ca="1">IFERROR(SUMIFS(INDIRECT("'Thanh Toán ("&amp;AF$3&amp;")'!$e:$e"),INDIRECT("'Thanh Toán ("&amp;AF$3&amp;")'!$B:$B"),'Tổng Đơn'!$B66),0)</f>
        <v>0</v>
      </c>
      <c r="AG66" s="2">
        <f ca="1">IFERROR(SUMIFS(INDIRECT("'Thanh Toán ("&amp;AG$3&amp;")'!$e:$e"),INDIRECT("'Thanh Toán ("&amp;AG$3&amp;")'!$B:$B"),'Tổng Đơn'!$B66),0)</f>
        <v>0</v>
      </c>
      <c r="AH66" s="2">
        <f ca="1">IFERROR(SUMIFS(INDIRECT("'Thanh Toán ("&amp;AH$3&amp;")'!$e:$e"),INDIRECT("'Thanh Toán ("&amp;AH$3&amp;")'!$B:$B"),'Tổng Đơn'!$B66),0)</f>
        <v>0</v>
      </c>
      <c r="AI66" s="2">
        <f ca="1">IFERROR(SUMIFS(INDIRECT("'Thanh Toán ("&amp;AI$3&amp;")'!$e:$e"),INDIRECT("'Thanh Toán ("&amp;AI$3&amp;")'!$B:$B"),'Tổng Đơn'!$B66),0)</f>
        <v>0</v>
      </c>
      <c r="AJ66" s="2">
        <f ca="1">IFERROR(SUMIFS(INDIRECT("'Thanh Toán ("&amp;AJ$3&amp;")'!$e:$e"),INDIRECT("'Thanh Toán ("&amp;AJ$3&amp;")'!$B:$B"),'Tổng Đơn'!$B66),0)</f>
        <v>0</v>
      </c>
      <c r="AK66" s="2">
        <f ca="1">IFERROR(SUMIFS(INDIRECT("'Thanh Toán ("&amp;AK$3&amp;")'!$e:$e"),INDIRECT("'Thanh Toán ("&amp;AK$3&amp;")'!$B:$B"),'Tổng Đơn'!$B66),0)</f>
        <v>0</v>
      </c>
      <c r="AL66" s="2">
        <f ca="1">IFERROR(SUMIFS(INDIRECT("'Thanh Toán ("&amp;AL$3&amp;")'!$e:$e"),INDIRECT("'Thanh Toán ("&amp;AL$3&amp;")'!$B:$B"),'Tổng Đơn'!$B66),0)</f>
        <v>0</v>
      </c>
      <c r="AM66" s="2">
        <f ca="1">IFERROR(SUMIFS(INDIRECT("'Thanh Toán ("&amp;AM$3&amp;")'!$e:$e"),INDIRECT("'Thanh Toán ("&amp;AM$3&amp;")'!$B:$B"),'Tổng Đơn'!$B66),0)</f>
        <v>0</v>
      </c>
      <c r="AN66" s="2">
        <f ca="1">IFERROR(SUMIFS(INDIRECT("'Thanh Toán ("&amp;AN$3&amp;")'!$e:$e"),INDIRECT("'Thanh Toán ("&amp;AN$3&amp;")'!$B:$B"),'Tổng Đơn'!$B66),0)</f>
        <v>0</v>
      </c>
      <c r="AO66" s="2">
        <f ca="1">IFERROR(SUMIFS(INDIRECT("'Thanh Toán ("&amp;AO$3&amp;")'!$e:$e"),INDIRECT("'Thanh Toán ("&amp;AO$3&amp;")'!$B:$B"),'Tổng Đơn'!$B66),0)</f>
        <v>0</v>
      </c>
    </row>
    <row r="67" spans="1:41" x14ac:dyDescent="0.25">
      <c r="A67" s="150">
        <v>63</v>
      </c>
      <c r="B67" s="153" t="s">
        <v>212</v>
      </c>
      <c r="C67" s="23" t="s">
        <v>216</v>
      </c>
      <c r="D67" s="44">
        <v>50000</v>
      </c>
      <c r="E67" s="60">
        <v>0.5</v>
      </c>
      <c r="F67" s="58">
        <f t="shared" ca="1" si="8"/>
        <v>0</v>
      </c>
      <c r="G67" s="58">
        <v>45</v>
      </c>
      <c r="H67" s="58">
        <f t="shared" ref="H67:H68" ca="1" si="13">(D67-G67*1000)*$F67</f>
        <v>0</v>
      </c>
      <c r="I67" s="58"/>
      <c r="J67" s="58">
        <f t="shared" ref="J67:J68" ca="1" si="14">F67*G67*1000</f>
        <v>0</v>
      </c>
      <c r="K67" s="58"/>
      <c r="L67" s="2">
        <f ca="1">IFERROR(SUMIFS(INDIRECT("'Thanh Toán ("&amp;L$3&amp;")'!$e:$e"),INDIRECT("'Thanh Toán ("&amp;L$3&amp;")'!$B:$B"),'Tổng Đơn'!$B67),0)</f>
        <v>0</v>
      </c>
      <c r="M67" s="2">
        <f ca="1">IFERROR(SUMIFS(INDIRECT("'Thanh Toán ("&amp;M$3&amp;")'!$e:$e"),INDIRECT("'Thanh Toán ("&amp;M$3&amp;")'!$B:$B"),'Tổng Đơn'!$B67),0)</f>
        <v>0</v>
      </c>
      <c r="N67" s="2">
        <f ca="1">IFERROR(SUMIFS(INDIRECT("'Thanh Toán ("&amp;N$3&amp;")'!$e:$e"),INDIRECT("'Thanh Toán ("&amp;N$3&amp;")'!$B:$B"),'Tổng Đơn'!$B67),0)</f>
        <v>0</v>
      </c>
      <c r="O67" s="2">
        <f ca="1">IFERROR(SUMIFS(INDIRECT("'Thanh Toán ("&amp;O$3&amp;")'!$e:$e"),INDIRECT("'Thanh Toán ("&amp;O$3&amp;")'!$B:$B"),'Tổng Đơn'!$B67),0)</f>
        <v>0</v>
      </c>
      <c r="P67" s="2">
        <f ca="1">IFERROR(SUMIFS(INDIRECT("'Thanh Toán ("&amp;P$3&amp;")'!$e:$e"),INDIRECT("'Thanh Toán ("&amp;P$3&amp;")'!$B:$B"),'Tổng Đơn'!$B67),0)</f>
        <v>0</v>
      </c>
      <c r="Q67" s="2">
        <f ca="1">IFERROR(SUMIFS(INDIRECT("'Thanh Toán ("&amp;Q$3&amp;")'!$e:$e"),INDIRECT("'Thanh Toán ("&amp;Q$3&amp;")'!$B:$B"),'Tổng Đơn'!$B67),0)</f>
        <v>0</v>
      </c>
      <c r="R67" s="2">
        <f ca="1">IFERROR(SUMIFS(INDIRECT("'Thanh Toán ("&amp;R$3&amp;")'!$e:$e"),INDIRECT("'Thanh Toán ("&amp;R$3&amp;")'!$B:$B"),'Tổng Đơn'!$B67),0)</f>
        <v>0</v>
      </c>
      <c r="S67" s="2">
        <f ca="1">IFERROR(SUMIFS(INDIRECT("'Thanh Toán ("&amp;S$3&amp;")'!$e:$e"),INDIRECT("'Thanh Toán ("&amp;S$3&amp;")'!$B:$B"),'Tổng Đơn'!$B67),0)</f>
        <v>0</v>
      </c>
      <c r="T67" s="2">
        <f ca="1">IFERROR(SUMIFS(INDIRECT("'Thanh Toán ("&amp;T$3&amp;")'!$e:$e"),INDIRECT("'Thanh Toán ("&amp;T$3&amp;")'!$B:$B"),'Tổng Đơn'!$B67),0)</f>
        <v>0</v>
      </c>
      <c r="U67" s="2">
        <f ca="1">IFERROR(SUMIFS(INDIRECT("'Thanh Toán ("&amp;U$3&amp;")'!$e:$e"),INDIRECT("'Thanh Toán ("&amp;U$3&amp;")'!$B:$B"),'Tổng Đơn'!$B67),0)</f>
        <v>0</v>
      </c>
      <c r="V67" s="2">
        <f ca="1">IFERROR(SUMIFS(INDIRECT("'Thanh Toán ("&amp;V$3&amp;")'!$e:$e"),INDIRECT("'Thanh Toán ("&amp;V$3&amp;")'!$B:$B"),'Tổng Đơn'!$B67),0)</f>
        <v>0</v>
      </c>
      <c r="W67" s="2">
        <f ca="1">IFERROR(SUMIFS(INDIRECT("'Thanh Toán ("&amp;W$3&amp;")'!$e:$e"),INDIRECT("'Thanh Toán ("&amp;W$3&amp;")'!$B:$B"),'Tổng Đơn'!$B67),0)</f>
        <v>0</v>
      </c>
      <c r="X67" s="2">
        <f ca="1">IFERROR(SUMIFS(INDIRECT("'Thanh Toán ("&amp;X$3&amp;")'!$e:$e"),INDIRECT("'Thanh Toán ("&amp;X$3&amp;")'!$B:$B"),'Tổng Đơn'!$B67),0)</f>
        <v>0</v>
      </c>
      <c r="Y67" s="2">
        <f ca="1">IFERROR(SUMIFS(INDIRECT("'Thanh Toán ("&amp;Y$3&amp;")'!$e:$e"),INDIRECT("'Thanh Toán ("&amp;Y$3&amp;")'!$B:$B"),'Tổng Đơn'!$B67),0)</f>
        <v>0</v>
      </c>
      <c r="Z67" s="2">
        <f ca="1">IFERROR(SUMIFS(INDIRECT("'Thanh Toán ("&amp;Z$3&amp;")'!$e:$e"),INDIRECT("'Thanh Toán ("&amp;Z$3&amp;")'!$B:$B"),'Tổng Đơn'!$B67),0)</f>
        <v>0</v>
      </c>
      <c r="AA67" s="2">
        <f ca="1">IFERROR(SUMIFS(INDIRECT("'Thanh Toán ("&amp;AA$3&amp;")'!$e:$e"),INDIRECT("'Thanh Toán ("&amp;AA$3&amp;")'!$B:$B"),'Tổng Đơn'!$B67),0)</f>
        <v>0</v>
      </c>
      <c r="AB67" s="2">
        <f ca="1">IFERROR(SUMIFS(INDIRECT("'Thanh Toán ("&amp;AB$3&amp;")'!$e:$e"),INDIRECT("'Thanh Toán ("&amp;AB$3&amp;")'!$B:$B"),'Tổng Đơn'!$B67),0)</f>
        <v>0</v>
      </c>
      <c r="AC67" s="2">
        <f ca="1">IFERROR(SUMIFS(INDIRECT("'Thanh Toán ("&amp;AC$3&amp;")'!$e:$e"),INDIRECT("'Thanh Toán ("&amp;AC$3&amp;")'!$B:$B"),'Tổng Đơn'!$B67),0)</f>
        <v>0</v>
      </c>
      <c r="AD67" s="2">
        <f ca="1">IFERROR(SUMIFS(INDIRECT("'Thanh Toán ("&amp;AD$3&amp;")'!$e:$e"),INDIRECT("'Thanh Toán ("&amp;AD$3&amp;")'!$B:$B"),'Tổng Đơn'!$B67),0)</f>
        <v>0</v>
      </c>
      <c r="AE67" s="2">
        <f ca="1">IFERROR(SUMIFS(INDIRECT("'Thanh Toán ("&amp;AE$3&amp;")'!$e:$e"),INDIRECT("'Thanh Toán ("&amp;AE$3&amp;")'!$B:$B"),'Tổng Đơn'!$B67),0)</f>
        <v>0</v>
      </c>
      <c r="AF67" s="2">
        <f ca="1">IFERROR(SUMIFS(INDIRECT("'Thanh Toán ("&amp;AF$3&amp;")'!$e:$e"),INDIRECT("'Thanh Toán ("&amp;AF$3&amp;")'!$B:$B"),'Tổng Đơn'!$B67),0)</f>
        <v>0</v>
      </c>
      <c r="AG67" s="2">
        <f ca="1">IFERROR(SUMIFS(INDIRECT("'Thanh Toán ("&amp;AG$3&amp;")'!$e:$e"),INDIRECT("'Thanh Toán ("&amp;AG$3&amp;")'!$B:$B"),'Tổng Đơn'!$B67),0)</f>
        <v>0</v>
      </c>
      <c r="AH67" s="2">
        <f ca="1">IFERROR(SUMIFS(INDIRECT("'Thanh Toán ("&amp;AH$3&amp;")'!$e:$e"),INDIRECT("'Thanh Toán ("&amp;AH$3&amp;")'!$B:$B"),'Tổng Đơn'!$B67),0)</f>
        <v>0</v>
      </c>
      <c r="AI67" s="2">
        <f ca="1">IFERROR(SUMIFS(INDIRECT("'Thanh Toán ("&amp;AI$3&amp;")'!$e:$e"),INDIRECT("'Thanh Toán ("&amp;AI$3&amp;")'!$B:$B"),'Tổng Đơn'!$B67),0)</f>
        <v>0</v>
      </c>
      <c r="AJ67" s="2">
        <f ca="1">IFERROR(SUMIFS(INDIRECT("'Thanh Toán ("&amp;AJ$3&amp;")'!$e:$e"),INDIRECT("'Thanh Toán ("&amp;AJ$3&amp;")'!$B:$B"),'Tổng Đơn'!$B67),0)</f>
        <v>0</v>
      </c>
      <c r="AK67" s="2">
        <f ca="1">IFERROR(SUMIFS(INDIRECT("'Thanh Toán ("&amp;AK$3&amp;")'!$e:$e"),INDIRECT("'Thanh Toán ("&amp;AK$3&amp;")'!$B:$B"),'Tổng Đơn'!$B67),0)</f>
        <v>0</v>
      </c>
      <c r="AL67" s="2">
        <f ca="1">IFERROR(SUMIFS(INDIRECT("'Thanh Toán ("&amp;AL$3&amp;")'!$e:$e"),INDIRECT("'Thanh Toán ("&amp;AL$3&amp;")'!$B:$B"),'Tổng Đơn'!$B67),0)</f>
        <v>0</v>
      </c>
      <c r="AM67" s="2">
        <f ca="1">IFERROR(SUMIFS(INDIRECT("'Thanh Toán ("&amp;AM$3&amp;")'!$e:$e"),INDIRECT("'Thanh Toán ("&amp;AM$3&amp;")'!$B:$B"),'Tổng Đơn'!$B67),0)</f>
        <v>0</v>
      </c>
      <c r="AN67" s="2">
        <f ca="1">IFERROR(SUMIFS(INDIRECT("'Thanh Toán ("&amp;AN$3&amp;")'!$e:$e"),INDIRECT("'Thanh Toán ("&amp;AN$3&amp;")'!$B:$B"),'Tổng Đơn'!$B67),0)</f>
        <v>0</v>
      </c>
      <c r="AO67" s="2">
        <f ca="1">IFERROR(SUMIFS(INDIRECT("'Thanh Toán ("&amp;AO$3&amp;")'!$e:$e"),INDIRECT("'Thanh Toán ("&amp;AO$3&amp;")'!$B:$B"),'Tổng Đơn'!$B67),0)</f>
        <v>0</v>
      </c>
    </row>
    <row r="68" spans="1:41" x14ac:dyDescent="0.25">
      <c r="A68" s="150">
        <v>64</v>
      </c>
      <c r="B68" s="153" t="s">
        <v>210</v>
      </c>
      <c r="C68" s="23" t="s">
        <v>217</v>
      </c>
      <c r="D68" s="44">
        <v>45000</v>
      </c>
      <c r="E68" s="60">
        <v>0.5</v>
      </c>
      <c r="F68" s="58">
        <f t="shared" ca="1" si="8"/>
        <v>0</v>
      </c>
      <c r="G68" s="58">
        <v>38</v>
      </c>
      <c r="H68" s="58">
        <f t="shared" ca="1" si="13"/>
        <v>0</v>
      </c>
      <c r="I68" s="58"/>
      <c r="J68" s="58">
        <f t="shared" ca="1" si="14"/>
        <v>0</v>
      </c>
      <c r="K68" s="58"/>
      <c r="L68" s="2">
        <f ca="1">IFERROR(SUMIFS(INDIRECT("'Thanh Toán ("&amp;L$3&amp;")'!$e:$e"),INDIRECT("'Thanh Toán ("&amp;L$3&amp;")'!$B:$B"),'Tổng Đơn'!$B68),0)</f>
        <v>0</v>
      </c>
      <c r="M68" s="2">
        <f ca="1">IFERROR(SUMIFS(INDIRECT("'Thanh Toán ("&amp;M$3&amp;")'!$e:$e"),INDIRECT("'Thanh Toán ("&amp;M$3&amp;")'!$B:$B"),'Tổng Đơn'!$B68),0)</f>
        <v>0</v>
      </c>
      <c r="N68" s="2">
        <f ca="1">IFERROR(SUMIFS(INDIRECT("'Thanh Toán ("&amp;N$3&amp;")'!$e:$e"),INDIRECT("'Thanh Toán ("&amp;N$3&amp;")'!$B:$B"),'Tổng Đơn'!$B68),0)</f>
        <v>0</v>
      </c>
      <c r="O68" s="2">
        <f ca="1">IFERROR(SUMIFS(INDIRECT("'Thanh Toán ("&amp;O$3&amp;")'!$e:$e"),INDIRECT("'Thanh Toán ("&amp;O$3&amp;")'!$B:$B"),'Tổng Đơn'!$B68),0)</f>
        <v>0</v>
      </c>
      <c r="P68" s="2">
        <f ca="1">IFERROR(SUMIFS(INDIRECT("'Thanh Toán ("&amp;P$3&amp;")'!$e:$e"),INDIRECT("'Thanh Toán ("&amp;P$3&amp;")'!$B:$B"),'Tổng Đơn'!$B68),0)</f>
        <v>0</v>
      </c>
      <c r="Q68" s="2">
        <f ca="1">IFERROR(SUMIFS(INDIRECT("'Thanh Toán ("&amp;Q$3&amp;")'!$e:$e"),INDIRECT("'Thanh Toán ("&amp;Q$3&amp;")'!$B:$B"),'Tổng Đơn'!$B68),0)</f>
        <v>0</v>
      </c>
      <c r="R68" s="2">
        <f ca="1">IFERROR(SUMIFS(INDIRECT("'Thanh Toán ("&amp;R$3&amp;")'!$e:$e"),INDIRECT("'Thanh Toán ("&amp;R$3&amp;")'!$B:$B"),'Tổng Đơn'!$B68),0)</f>
        <v>0</v>
      </c>
      <c r="S68" s="2">
        <f ca="1">IFERROR(SUMIFS(INDIRECT("'Thanh Toán ("&amp;S$3&amp;")'!$e:$e"),INDIRECT("'Thanh Toán ("&amp;S$3&amp;")'!$B:$B"),'Tổng Đơn'!$B68),0)</f>
        <v>0</v>
      </c>
      <c r="T68" s="2">
        <f ca="1">IFERROR(SUMIFS(INDIRECT("'Thanh Toán ("&amp;T$3&amp;")'!$e:$e"),INDIRECT("'Thanh Toán ("&amp;T$3&amp;")'!$B:$B"),'Tổng Đơn'!$B68),0)</f>
        <v>0</v>
      </c>
      <c r="U68" s="2">
        <f ca="1">IFERROR(SUMIFS(INDIRECT("'Thanh Toán ("&amp;U$3&amp;")'!$e:$e"),INDIRECT("'Thanh Toán ("&amp;U$3&amp;")'!$B:$B"),'Tổng Đơn'!$B68),0)</f>
        <v>0</v>
      </c>
      <c r="V68" s="2">
        <f ca="1">IFERROR(SUMIFS(INDIRECT("'Thanh Toán ("&amp;V$3&amp;")'!$e:$e"),INDIRECT("'Thanh Toán ("&amp;V$3&amp;")'!$B:$B"),'Tổng Đơn'!$B68),0)</f>
        <v>0</v>
      </c>
      <c r="W68" s="2">
        <f ca="1">IFERROR(SUMIFS(INDIRECT("'Thanh Toán ("&amp;W$3&amp;")'!$e:$e"),INDIRECT("'Thanh Toán ("&amp;W$3&amp;")'!$B:$B"),'Tổng Đơn'!$B68),0)</f>
        <v>0</v>
      </c>
      <c r="X68" s="2">
        <f ca="1">IFERROR(SUMIFS(INDIRECT("'Thanh Toán ("&amp;X$3&amp;")'!$e:$e"),INDIRECT("'Thanh Toán ("&amp;X$3&amp;")'!$B:$B"),'Tổng Đơn'!$B68),0)</f>
        <v>0</v>
      </c>
      <c r="Y68" s="2">
        <f ca="1">IFERROR(SUMIFS(INDIRECT("'Thanh Toán ("&amp;Y$3&amp;")'!$e:$e"),INDIRECT("'Thanh Toán ("&amp;Y$3&amp;")'!$B:$B"),'Tổng Đơn'!$B68),0)</f>
        <v>0</v>
      </c>
      <c r="Z68" s="2">
        <f ca="1">IFERROR(SUMIFS(INDIRECT("'Thanh Toán ("&amp;Z$3&amp;")'!$e:$e"),INDIRECT("'Thanh Toán ("&amp;Z$3&amp;")'!$B:$B"),'Tổng Đơn'!$B68),0)</f>
        <v>0</v>
      </c>
      <c r="AA68" s="2">
        <f ca="1">IFERROR(SUMIFS(INDIRECT("'Thanh Toán ("&amp;AA$3&amp;")'!$e:$e"),INDIRECT("'Thanh Toán ("&amp;AA$3&amp;")'!$B:$B"),'Tổng Đơn'!$B68),0)</f>
        <v>0</v>
      </c>
      <c r="AB68" s="2">
        <f ca="1">IFERROR(SUMIFS(INDIRECT("'Thanh Toán ("&amp;AB$3&amp;")'!$e:$e"),INDIRECT("'Thanh Toán ("&amp;AB$3&amp;")'!$B:$B"),'Tổng Đơn'!$B68),0)</f>
        <v>0</v>
      </c>
      <c r="AC68" s="2">
        <f ca="1">IFERROR(SUMIFS(INDIRECT("'Thanh Toán ("&amp;AC$3&amp;")'!$e:$e"),INDIRECT("'Thanh Toán ("&amp;AC$3&amp;")'!$B:$B"),'Tổng Đơn'!$B68),0)</f>
        <v>0</v>
      </c>
      <c r="AD68" s="2">
        <f ca="1">IFERROR(SUMIFS(INDIRECT("'Thanh Toán ("&amp;AD$3&amp;")'!$e:$e"),INDIRECT("'Thanh Toán ("&amp;AD$3&amp;")'!$B:$B"),'Tổng Đơn'!$B68),0)</f>
        <v>0</v>
      </c>
      <c r="AE68" s="2">
        <f ca="1">IFERROR(SUMIFS(INDIRECT("'Thanh Toán ("&amp;AE$3&amp;")'!$e:$e"),INDIRECT("'Thanh Toán ("&amp;AE$3&amp;")'!$B:$B"),'Tổng Đơn'!$B68),0)</f>
        <v>0</v>
      </c>
      <c r="AF68" s="2">
        <f ca="1">IFERROR(SUMIFS(INDIRECT("'Thanh Toán ("&amp;AF$3&amp;")'!$e:$e"),INDIRECT("'Thanh Toán ("&amp;AF$3&amp;")'!$B:$B"),'Tổng Đơn'!$B68),0)</f>
        <v>0</v>
      </c>
      <c r="AG68" s="2">
        <f ca="1">IFERROR(SUMIFS(INDIRECT("'Thanh Toán ("&amp;AG$3&amp;")'!$e:$e"),INDIRECT("'Thanh Toán ("&amp;AG$3&amp;")'!$B:$B"),'Tổng Đơn'!$B68),0)</f>
        <v>0</v>
      </c>
      <c r="AH68" s="2">
        <f ca="1">IFERROR(SUMIFS(INDIRECT("'Thanh Toán ("&amp;AH$3&amp;")'!$e:$e"),INDIRECT("'Thanh Toán ("&amp;AH$3&amp;")'!$B:$B"),'Tổng Đơn'!$B68),0)</f>
        <v>0</v>
      </c>
      <c r="AI68" s="2">
        <f ca="1">IFERROR(SUMIFS(INDIRECT("'Thanh Toán ("&amp;AI$3&amp;")'!$e:$e"),INDIRECT("'Thanh Toán ("&amp;AI$3&amp;")'!$B:$B"),'Tổng Đơn'!$B68),0)</f>
        <v>0</v>
      </c>
      <c r="AJ68" s="2">
        <f ca="1">IFERROR(SUMIFS(INDIRECT("'Thanh Toán ("&amp;AJ$3&amp;")'!$e:$e"),INDIRECT("'Thanh Toán ("&amp;AJ$3&amp;")'!$B:$B"),'Tổng Đơn'!$B68),0)</f>
        <v>0</v>
      </c>
      <c r="AK68" s="2">
        <f ca="1">IFERROR(SUMIFS(INDIRECT("'Thanh Toán ("&amp;AK$3&amp;")'!$e:$e"),INDIRECT("'Thanh Toán ("&amp;AK$3&amp;")'!$B:$B"),'Tổng Đơn'!$B68),0)</f>
        <v>0</v>
      </c>
      <c r="AL68" s="2">
        <f ca="1">IFERROR(SUMIFS(INDIRECT("'Thanh Toán ("&amp;AL$3&amp;")'!$e:$e"),INDIRECT("'Thanh Toán ("&amp;AL$3&amp;")'!$B:$B"),'Tổng Đơn'!$B68),0)</f>
        <v>0</v>
      </c>
      <c r="AM68" s="2">
        <f ca="1">IFERROR(SUMIFS(INDIRECT("'Thanh Toán ("&amp;AM$3&amp;")'!$e:$e"),INDIRECT("'Thanh Toán ("&amp;AM$3&amp;")'!$B:$B"),'Tổng Đơn'!$B68),0)</f>
        <v>0</v>
      </c>
      <c r="AN68" s="2">
        <f ca="1">IFERROR(SUMIFS(INDIRECT("'Thanh Toán ("&amp;AN$3&amp;")'!$e:$e"),INDIRECT("'Thanh Toán ("&amp;AN$3&amp;")'!$B:$B"),'Tổng Đơn'!$B68),0)</f>
        <v>0</v>
      </c>
      <c r="AO68" s="2">
        <f ca="1">IFERROR(SUMIFS(INDIRECT("'Thanh Toán ("&amp;AO$3&amp;")'!$e:$e"),INDIRECT("'Thanh Toán ("&amp;AO$3&amp;")'!$B:$B"),'Tổng Đơn'!$B68),0)</f>
        <v>0</v>
      </c>
    </row>
  </sheetData>
  <autoFilter ref="A4:AO66"/>
  <mergeCells count="6">
    <mergeCell ref="A1:A2"/>
    <mergeCell ref="F1:F2"/>
    <mergeCell ref="D1:D2"/>
    <mergeCell ref="C1:C2"/>
    <mergeCell ref="B1:B2"/>
    <mergeCell ref="E1:E2"/>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topLeftCell="A16" zoomScale="85" zoomScaleNormal="85" workbookViewId="0">
      <selection activeCell="Q2" sqref="Q2"/>
    </sheetView>
  </sheetViews>
  <sheetFormatPr defaultRowHeight="15.75" x14ac:dyDescent="0.25"/>
  <cols>
    <col min="1" max="1" width="9.140625" style="43"/>
    <col min="2" max="2" width="41.85546875" style="42" customWidth="1"/>
    <col min="3" max="3" width="10.140625" style="42" bestFit="1" customWidth="1"/>
    <col min="4" max="4" width="10.140625" style="42" customWidth="1"/>
    <col min="5" max="5" width="6.85546875" style="42" customWidth="1"/>
    <col min="6" max="8" width="8.28515625" style="42" customWidth="1"/>
    <col min="9" max="10" width="6.85546875" style="42" customWidth="1"/>
    <col min="11" max="11" width="7.7109375" style="42" customWidth="1"/>
    <col min="12" max="12" width="9.85546875" style="43" customWidth="1"/>
    <col min="13" max="13" width="10.42578125" style="43" hidden="1" customWidth="1"/>
    <col min="14" max="14" width="33.42578125" style="43" customWidth="1"/>
    <col min="15" max="15" width="16" style="43" customWidth="1"/>
    <col min="16" max="16" width="13.42578125" style="43" customWidth="1"/>
    <col min="17" max="17" width="13.42578125" style="42" customWidth="1"/>
    <col min="18" max="18" width="14.7109375" style="42" customWidth="1"/>
    <col min="19" max="16384" width="9.140625" style="42"/>
  </cols>
  <sheetData>
    <row r="1" spans="1:18" s="68" customFormat="1" ht="22.5" x14ac:dyDescent="0.25">
      <c r="A1" s="61" t="s">
        <v>106</v>
      </c>
      <c r="B1" s="61" t="s">
        <v>17</v>
      </c>
      <c r="C1" s="61" t="s">
        <v>107</v>
      </c>
      <c r="D1" s="61" t="s">
        <v>117</v>
      </c>
      <c r="E1" s="161"/>
      <c r="F1" s="161"/>
      <c r="G1" s="161"/>
      <c r="H1" s="161"/>
      <c r="I1" s="161"/>
      <c r="J1" s="161"/>
      <c r="K1" s="161"/>
      <c r="L1" s="189" t="s">
        <v>106</v>
      </c>
      <c r="M1" s="189" t="s">
        <v>107</v>
      </c>
      <c r="N1" s="189" t="s">
        <v>17</v>
      </c>
      <c r="O1" s="189" t="s">
        <v>117</v>
      </c>
      <c r="P1" s="180" t="s">
        <v>107</v>
      </c>
      <c r="Q1" s="162" t="s">
        <v>191</v>
      </c>
      <c r="R1" s="163">
        <f>SUBTOTAL(9,R2:R31)</f>
        <v>0</v>
      </c>
    </row>
    <row r="2" spans="1:18" s="168" customFormat="1" ht="18.75" x14ac:dyDescent="0.3">
      <c r="A2" s="164">
        <v>1</v>
      </c>
      <c r="B2" s="165" t="s">
        <v>25</v>
      </c>
      <c r="C2" s="164" t="s">
        <v>108</v>
      </c>
      <c r="D2" s="166">
        <v>27000</v>
      </c>
      <c r="E2" s="167"/>
      <c r="F2" s="167"/>
      <c r="G2" s="167"/>
      <c r="H2" s="167"/>
      <c r="I2" s="167"/>
      <c r="J2" s="167"/>
      <c r="K2" s="167"/>
      <c r="L2" s="188">
        <v>1</v>
      </c>
      <c r="M2" s="186" t="s">
        <v>108</v>
      </c>
      <c r="N2" s="190" t="s">
        <v>25</v>
      </c>
      <c r="O2" s="187">
        <v>27000</v>
      </c>
      <c r="P2" s="181">
        <f t="shared" ref="P2:P31" si="0">IFERROR(VALUE(SUBSTITUTE(L2,"&lt;1","")),"")</f>
        <v>1</v>
      </c>
      <c r="Q2" s="169"/>
      <c r="R2" s="170">
        <f>O2*Q2</f>
        <v>0</v>
      </c>
    </row>
    <row r="3" spans="1:18" s="168" customFormat="1" ht="18.75" x14ac:dyDescent="0.3">
      <c r="A3" s="164">
        <v>2</v>
      </c>
      <c r="B3" s="165" t="s">
        <v>1</v>
      </c>
      <c r="C3" s="164" t="s">
        <v>109</v>
      </c>
      <c r="D3" s="166">
        <v>25000</v>
      </c>
      <c r="E3" s="167"/>
      <c r="F3" s="167"/>
      <c r="G3" s="167"/>
      <c r="H3" s="167"/>
      <c r="I3" s="167"/>
      <c r="J3" s="167"/>
      <c r="K3" s="167"/>
      <c r="L3" s="188">
        <v>2</v>
      </c>
      <c r="M3" s="186" t="s">
        <v>109</v>
      </c>
      <c r="N3" s="190" t="s">
        <v>1</v>
      </c>
      <c r="O3" s="187">
        <v>25000</v>
      </c>
      <c r="P3" s="181">
        <f t="shared" si="0"/>
        <v>2</v>
      </c>
      <c r="Q3" s="169"/>
      <c r="R3" s="170">
        <f t="shared" ref="R3:R31" si="1">O3*Q3</f>
        <v>0</v>
      </c>
    </row>
    <row r="4" spans="1:18" s="168" customFormat="1" ht="18.75" x14ac:dyDescent="0.3">
      <c r="A4" s="164">
        <v>3</v>
      </c>
      <c r="B4" s="165" t="s">
        <v>2</v>
      </c>
      <c r="C4" s="164" t="s">
        <v>110</v>
      </c>
      <c r="D4" s="166">
        <v>28000</v>
      </c>
      <c r="E4" s="167"/>
      <c r="F4" s="167"/>
      <c r="G4" s="167"/>
      <c r="H4" s="167"/>
      <c r="I4" s="167"/>
      <c r="J4" s="167"/>
      <c r="K4" s="167"/>
      <c r="L4" s="188">
        <v>3</v>
      </c>
      <c r="M4" s="186" t="s">
        <v>110</v>
      </c>
      <c r="N4" s="190" t="s">
        <v>2</v>
      </c>
      <c r="O4" s="187">
        <v>28000</v>
      </c>
      <c r="P4" s="181">
        <f t="shared" si="0"/>
        <v>3</v>
      </c>
      <c r="Q4" s="169"/>
      <c r="R4" s="170">
        <f t="shared" si="1"/>
        <v>0</v>
      </c>
    </row>
    <row r="5" spans="1:18" s="168" customFormat="1" ht="18.75" x14ac:dyDescent="0.3">
      <c r="A5" s="164">
        <v>4</v>
      </c>
      <c r="B5" s="165" t="s">
        <v>3</v>
      </c>
      <c r="C5" s="164" t="s">
        <v>111</v>
      </c>
      <c r="D5" s="166">
        <v>30000</v>
      </c>
      <c r="E5" s="167"/>
      <c r="F5" s="167"/>
      <c r="G5" s="167"/>
      <c r="H5" s="167"/>
      <c r="I5" s="167"/>
      <c r="J5" s="167"/>
      <c r="K5" s="167"/>
      <c r="L5" s="188">
        <v>4</v>
      </c>
      <c r="M5" s="186" t="s">
        <v>111</v>
      </c>
      <c r="N5" s="190" t="s">
        <v>3</v>
      </c>
      <c r="O5" s="187">
        <v>30000</v>
      </c>
      <c r="P5" s="181">
        <f t="shared" si="0"/>
        <v>4</v>
      </c>
      <c r="Q5" s="169"/>
      <c r="R5" s="170">
        <f t="shared" si="1"/>
        <v>0</v>
      </c>
    </row>
    <row r="6" spans="1:18" s="168" customFormat="1" ht="18.75" x14ac:dyDescent="0.3">
      <c r="A6" s="164">
        <v>5</v>
      </c>
      <c r="B6" s="165" t="s">
        <v>30</v>
      </c>
      <c r="C6" s="164" t="s">
        <v>112</v>
      </c>
      <c r="D6" s="166">
        <v>38000</v>
      </c>
      <c r="E6" s="167"/>
      <c r="F6" s="167"/>
      <c r="G6" s="167"/>
      <c r="H6" s="167"/>
      <c r="I6" s="167"/>
      <c r="J6" s="167"/>
      <c r="K6" s="167"/>
      <c r="L6" s="188">
        <v>5</v>
      </c>
      <c r="M6" s="186" t="s">
        <v>112</v>
      </c>
      <c r="N6" s="190" t="s">
        <v>30</v>
      </c>
      <c r="O6" s="187">
        <v>38000</v>
      </c>
      <c r="P6" s="181">
        <f t="shared" si="0"/>
        <v>5</v>
      </c>
      <c r="Q6" s="169"/>
      <c r="R6" s="170">
        <f t="shared" si="1"/>
        <v>0</v>
      </c>
    </row>
    <row r="7" spans="1:18" s="168" customFormat="1" ht="18.75" x14ac:dyDescent="0.3">
      <c r="A7" s="164">
        <v>6</v>
      </c>
      <c r="B7" s="165" t="s">
        <v>28</v>
      </c>
      <c r="C7" s="164" t="s">
        <v>113</v>
      </c>
      <c r="D7" s="166">
        <v>42000</v>
      </c>
      <c r="E7" s="167"/>
      <c r="F7" s="167"/>
      <c r="G7" s="167"/>
      <c r="H7" s="167"/>
      <c r="I7" s="167"/>
      <c r="J7" s="167"/>
      <c r="K7" s="167"/>
      <c r="L7" s="188">
        <v>6</v>
      </c>
      <c r="M7" s="186" t="s">
        <v>113</v>
      </c>
      <c r="N7" s="190" t="s">
        <v>28</v>
      </c>
      <c r="O7" s="187">
        <v>42000</v>
      </c>
      <c r="P7" s="181">
        <f t="shared" si="0"/>
        <v>6</v>
      </c>
      <c r="Q7" s="169"/>
      <c r="R7" s="170">
        <f t="shared" si="1"/>
        <v>0</v>
      </c>
    </row>
    <row r="8" spans="1:18" s="168" customFormat="1" ht="18.75" x14ac:dyDescent="0.3">
      <c r="A8" s="164">
        <v>7</v>
      </c>
      <c r="B8" s="165" t="s">
        <v>26</v>
      </c>
      <c r="C8" s="164" t="s">
        <v>114</v>
      </c>
      <c r="D8" s="166">
        <v>34000</v>
      </c>
      <c r="E8" s="167"/>
      <c r="F8" s="167"/>
      <c r="G8" s="167"/>
      <c r="H8" s="167"/>
      <c r="I8" s="167"/>
      <c r="J8" s="167"/>
      <c r="K8" s="167"/>
      <c r="L8" s="188">
        <v>7</v>
      </c>
      <c r="M8" s="186" t="s">
        <v>114</v>
      </c>
      <c r="N8" s="190" t="s">
        <v>26</v>
      </c>
      <c r="O8" s="187">
        <v>34000</v>
      </c>
      <c r="P8" s="181">
        <f t="shared" si="0"/>
        <v>7</v>
      </c>
      <c r="Q8" s="169"/>
      <c r="R8" s="170">
        <f t="shared" si="1"/>
        <v>0</v>
      </c>
    </row>
    <row r="9" spans="1:18" s="168" customFormat="1" ht="18.75" x14ac:dyDescent="0.3">
      <c r="A9" s="164">
        <v>8</v>
      </c>
      <c r="B9" s="165" t="s">
        <v>61</v>
      </c>
      <c r="C9" s="164" t="s">
        <v>115</v>
      </c>
      <c r="D9" s="166">
        <v>35000</v>
      </c>
      <c r="E9" s="167"/>
      <c r="F9" s="167"/>
      <c r="G9" s="167"/>
      <c r="H9" s="167"/>
      <c r="I9" s="167"/>
      <c r="J9" s="167"/>
      <c r="K9" s="167"/>
      <c r="L9" s="188">
        <v>8</v>
      </c>
      <c r="M9" s="186" t="s">
        <v>115</v>
      </c>
      <c r="N9" s="190" t="s">
        <v>61</v>
      </c>
      <c r="O9" s="187">
        <v>35000</v>
      </c>
      <c r="P9" s="181">
        <f t="shared" si="0"/>
        <v>8</v>
      </c>
      <c r="Q9" s="169"/>
      <c r="R9" s="170">
        <f t="shared" si="1"/>
        <v>0</v>
      </c>
    </row>
    <row r="10" spans="1:18" s="168" customFormat="1" ht="18.75" x14ac:dyDescent="0.3">
      <c r="A10" s="164">
        <v>9</v>
      </c>
      <c r="B10" s="165" t="s">
        <v>164</v>
      </c>
      <c r="C10" s="164" t="s">
        <v>116</v>
      </c>
      <c r="D10" s="166">
        <v>45000</v>
      </c>
      <c r="E10" s="167"/>
      <c r="F10" s="167"/>
      <c r="G10" s="167"/>
      <c r="H10" s="167"/>
      <c r="I10" s="167"/>
      <c r="J10" s="167"/>
      <c r="K10" s="167"/>
      <c r="L10" s="188">
        <v>9</v>
      </c>
      <c r="M10" s="186" t="s">
        <v>116</v>
      </c>
      <c r="N10" s="190" t="s">
        <v>164</v>
      </c>
      <c r="O10" s="187">
        <v>45000</v>
      </c>
      <c r="P10" s="181">
        <f t="shared" si="0"/>
        <v>9</v>
      </c>
      <c r="Q10" s="169"/>
      <c r="R10" s="170">
        <f t="shared" si="1"/>
        <v>0</v>
      </c>
    </row>
    <row r="11" spans="1:18" s="168" customFormat="1" ht="18.75" x14ac:dyDescent="0.3">
      <c r="A11" s="164">
        <v>10</v>
      </c>
      <c r="B11" s="165" t="s">
        <v>6</v>
      </c>
      <c r="C11" s="164" t="s">
        <v>69</v>
      </c>
      <c r="D11" s="166">
        <v>50000</v>
      </c>
      <c r="E11" s="167"/>
      <c r="F11" s="167"/>
      <c r="G11" s="167"/>
      <c r="H11" s="167"/>
      <c r="I11" s="167"/>
      <c r="J11" s="167"/>
      <c r="K11" s="167"/>
      <c r="L11" s="188">
        <v>10</v>
      </c>
      <c r="M11" s="186" t="s">
        <v>69</v>
      </c>
      <c r="N11" s="190" t="s">
        <v>6</v>
      </c>
      <c r="O11" s="187">
        <v>50000</v>
      </c>
      <c r="P11" s="181">
        <f t="shared" si="0"/>
        <v>10</v>
      </c>
      <c r="Q11" s="169"/>
      <c r="R11" s="170">
        <f t="shared" si="1"/>
        <v>0</v>
      </c>
    </row>
    <row r="12" spans="1:18" s="168" customFormat="1" ht="18.75" x14ac:dyDescent="0.3">
      <c r="A12" s="164">
        <v>11</v>
      </c>
      <c r="B12" s="165" t="s">
        <v>58</v>
      </c>
      <c r="C12" s="164" t="s">
        <v>70</v>
      </c>
      <c r="D12" s="166">
        <v>45000</v>
      </c>
      <c r="E12" s="167"/>
      <c r="F12" s="167"/>
      <c r="G12" s="167"/>
      <c r="H12" s="167"/>
      <c r="I12" s="167"/>
      <c r="J12" s="167"/>
      <c r="K12" s="167"/>
      <c r="L12" s="188">
        <v>11</v>
      </c>
      <c r="M12" s="186" t="s">
        <v>70</v>
      </c>
      <c r="N12" s="190" t="s">
        <v>58</v>
      </c>
      <c r="O12" s="187">
        <v>45000</v>
      </c>
      <c r="P12" s="181">
        <f t="shared" si="0"/>
        <v>11</v>
      </c>
      <c r="Q12" s="169"/>
      <c r="R12" s="170">
        <f t="shared" si="1"/>
        <v>0</v>
      </c>
    </row>
    <row r="13" spans="1:18" s="168" customFormat="1" ht="18.75" x14ac:dyDescent="0.3">
      <c r="A13" s="164">
        <v>12</v>
      </c>
      <c r="B13" s="165" t="s">
        <v>35</v>
      </c>
      <c r="C13" s="164" t="s">
        <v>71</v>
      </c>
      <c r="D13" s="166">
        <v>45000</v>
      </c>
      <c r="E13" s="167"/>
      <c r="F13" s="167"/>
      <c r="G13" s="167"/>
      <c r="H13" s="167"/>
      <c r="I13" s="167"/>
      <c r="J13" s="167"/>
      <c r="K13" s="167"/>
      <c r="L13" s="188">
        <v>12</v>
      </c>
      <c r="M13" s="186" t="s">
        <v>71</v>
      </c>
      <c r="N13" s="190" t="s">
        <v>35</v>
      </c>
      <c r="O13" s="187">
        <v>45000</v>
      </c>
      <c r="P13" s="181">
        <f t="shared" si="0"/>
        <v>12</v>
      </c>
      <c r="Q13" s="169"/>
      <c r="R13" s="170">
        <f t="shared" si="1"/>
        <v>0</v>
      </c>
    </row>
    <row r="14" spans="1:18" s="168" customFormat="1" ht="18.75" x14ac:dyDescent="0.3">
      <c r="A14" s="164">
        <v>13</v>
      </c>
      <c r="B14" s="165" t="s">
        <v>32</v>
      </c>
      <c r="C14" s="164" t="s">
        <v>72</v>
      </c>
      <c r="D14" s="166">
        <v>45000</v>
      </c>
      <c r="E14" s="167"/>
      <c r="F14" s="167"/>
      <c r="G14" s="167"/>
      <c r="H14" s="167"/>
      <c r="I14" s="167"/>
      <c r="J14" s="167"/>
      <c r="K14" s="167"/>
      <c r="L14" s="188">
        <v>13</v>
      </c>
      <c r="M14" s="186" t="s">
        <v>72</v>
      </c>
      <c r="N14" s="190" t="s">
        <v>32</v>
      </c>
      <c r="O14" s="187">
        <v>45000</v>
      </c>
      <c r="P14" s="181">
        <f t="shared" si="0"/>
        <v>13</v>
      </c>
      <c r="Q14" s="169"/>
      <c r="R14" s="170">
        <f t="shared" si="1"/>
        <v>0</v>
      </c>
    </row>
    <row r="15" spans="1:18" s="168" customFormat="1" ht="18.75" x14ac:dyDescent="0.3">
      <c r="A15" s="164">
        <v>14</v>
      </c>
      <c r="B15" s="165" t="s">
        <v>34</v>
      </c>
      <c r="C15" s="164" t="s">
        <v>73</v>
      </c>
      <c r="D15" s="166">
        <v>45000</v>
      </c>
      <c r="E15" s="167"/>
      <c r="F15" s="167"/>
      <c r="G15" s="167"/>
      <c r="H15" s="167"/>
      <c r="I15" s="167"/>
      <c r="J15" s="167"/>
      <c r="K15" s="167"/>
      <c r="L15" s="188">
        <v>14</v>
      </c>
      <c r="M15" s="186" t="s">
        <v>73</v>
      </c>
      <c r="N15" s="190" t="s">
        <v>34</v>
      </c>
      <c r="O15" s="187">
        <v>45000</v>
      </c>
      <c r="P15" s="181">
        <f t="shared" si="0"/>
        <v>14</v>
      </c>
      <c r="Q15" s="169"/>
      <c r="R15" s="170">
        <f t="shared" si="1"/>
        <v>0</v>
      </c>
    </row>
    <row r="16" spans="1:18" s="168" customFormat="1" ht="18.75" x14ac:dyDescent="0.3">
      <c r="A16" s="164">
        <v>15</v>
      </c>
      <c r="B16" s="165" t="s">
        <v>33</v>
      </c>
      <c r="C16" s="164" t="s">
        <v>74</v>
      </c>
      <c r="D16" s="166">
        <v>45000</v>
      </c>
      <c r="E16" s="167"/>
      <c r="F16" s="167"/>
      <c r="G16" s="167"/>
      <c r="H16" s="167"/>
      <c r="I16" s="167"/>
      <c r="J16" s="167"/>
      <c r="K16" s="167"/>
      <c r="L16" s="188">
        <v>15</v>
      </c>
      <c r="M16" s="186" t="s">
        <v>74</v>
      </c>
      <c r="N16" s="190" t="s">
        <v>33</v>
      </c>
      <c r="O16" s="187">
        <v>45000</v>
      </c>
      <c r="P16" s="181">
        <f t="shared" si="0"/>
        <v>15</v>
      </c>
      <c r="Q16" s="169"/>
      <c r="R16" s="170">
        <f t="shared" si="1"/>
        <v>0</v>
      </c>
    </row>
    <row r="17" spans="1:18" s="168" customFormat="1" ht="18.75" x14ac:dyDescent="0.3">
      <c r="A17" s="164">
        <v>16</v>
      </c>
      <c r="B17" s="165" t="s">
        <v>5</v>
      </c>
      <c r="C17" s="164" t="s">
        <v>75</v>
      </c>
      <c r="D17" s="166">
        <v>40000</v>
      </c>
      <c r="E17" s="167"/>
      <c r="F17" s="167"/>
      <c r="G17" s="167"/>
      <c r="H17" s="167"/>
      <c r="I17" s="167"/>
      <c r="J17" s="167"/>
      <c r="K17" s="167"/>
      <c r="L17" s="188">
        <v>16</v>
      </c>
      <c r="M17" s="186" t="s">
        <v>75</v>
      </c>
      <c r="N17" s="190" t="s">
        <v>5</v>
      </c>
      <c r="O17" s="187">
        <v>40000</v>
      </c>
      <c r="P17" s="181">
        <f t="shared" si="0"/>
        <v>16</v>
      </c>
      <c r="Q17" s="169"/>
      <c r="R17" s="170">
        <f t="shared" si="1"/>
        <v>0</v>
      </c>
    </row>
    <row r="18" spans="1:18" s="168" customFormat="1" ht="18.75" x14ac:dyDescent="0.3">
      <c r="A18" s="164">
        <v>17</v>
      </c>
      <c r="B18" s="165" t="s">
        <v>4</v>
      </c>
      <c r="C18" s="164" t="s">
        <v>76</v>
      </c>
      <c r="D18" s="166">
        <v>40000</v>
      </c>
      <c r="E18" s="167"/>
      <c r="F18" s="167"/>
      <c r="G18" s="167"/>
      <c r="H18" s="167"/>
      <c r="I18" s="167"/>
      <c r="J18" s="167"/>
      <c r="K18" s="167"/>
      <c r="L18" s="188">
        <v>17</v>
      </c>
      <c r="M18" s="186" t="s">
        <v>76</v>
      </c>
      <c r="N18" s="190" t="s">
        <v>4</v>
      </c>
      <c r="O18" s="187">
        <v>40000</v>
      </c>
      <c r="P18" s="181">
        <f t="shared" si="0"/>
        <v>17</v>
      </c>
      <c r="Q18" s="169"/>
      <c r="R18" s="170">
        <f t="shared" si="1"/>
        <v>0</v>
      </c>
    </row>
    <row r="19" spans="1:18" s="168" customFormat="1" ht="18.75" x14ac:dyDescent="0.3">
      <c r="A19" s="164">
        <v>18</v>
      </c>
      <c r="B19" s="165" t="s">
        <v>9</v>
      </c>
      <c r="C19" s="164" t="s">
        <v>77</v>
      </c>
      <c r="D19" s="166">
        <v>55000</v>
      </c>
      <c r="E19" s="167"/>
      <c r="F19" s="167"/>
      <c r="G19" s="167"/>
      <c r="H19" s="167"/>
      <c r="I19" s="167"/>
      <c r="J19" s="167"/>
      <c r="K19" s="167"/>
      <c r="L19" s="188">
        <v>18</v>
      </c>
      <c r="M19" s="186" t="s">
        <v>77</v>
      </c>
      <c r="N19" s="190" t="s">
        <v>9</v>
      </c>
      <c r="O19" s="187">
        <v>55000</v>
      </c>
      <c r="P19" s="181">
        <f t="shared" si="0"/>
        <v>18</v>
      </c>
      <c r="Q19" s="169"/>
      <c r="R19" s="170">
        <f t="shared" si="1"/>
        <v>0</v>
      </c>
    </row>
    <row r="20" spans="1:18" s="168" customFormat="1" ht="18.75" x14ac:dyDescent="0.3">
      <c r="A20" s="164">
        <v>19</v>
      </c>
      <c r="B20" s="165" t="s">
        <v>13</v>
      </c>
      <c r="C20" s="164" t="s">
        <v>78</v>
      </c>
      <c r="D20" s="166">
        <v>28000</v>
      </c>
      <c r="E20" s="167"/>
      <c r="F20" s="167"/>
      <c r="G20" s="167"/>
      <c r="H20" s="167"/>
      <c r="I20" s="167"/>
      <c r="J20" s="167"/>
      <c r="K20" s="167"/>
      <c r="L20" s="188">
        <v>19</v>
      </c>
      <c r="M20" s="186" t="s">
        <v>78</v>
      </c>
      <c r="N20" s="190" t="s">
        <v>13</v>
      </c>
      <c r="O20" s="187">
        <v>28000</v>
      </c>
      <c r="P20" s="181">
        <f t="shared" si="0"/>
        <v>19</v>
      </c>
      <c r="Q20" s="169"/>
      <c r="R20" s="170">
        <f t="shared" si="1"/>
        <v>0</v>
      </c>
    </row>
    <row r="21" spans="1:18" s="168" customFormat="1" ht="18.75" x14ac:dyDescent="0.3">
      <c r="A21" s="164">
        <v>20</v>
      </c>
      <c r="B21" s="165" t="s">
        <v>12</v>
      </c>
      <c r="C21" s="164" t="s">
        <v>79</v>
      </c>
      <c r="D21" s="166">
        <v>26000</v>
      </c>
      <c r="E21" s="167"/>
      <c r="F21" s="167"/>
      <c r="G21" s="167"/>
      <c r="H21" s="167"/>
      <c r="I21" s="167"/>
      <c r="J21" s="167"/>
      <c r="K21" s="167"/>
      <c r="L21" s="188">
        <v>20</v>
      </c>
      <c r="M21" s="186" t="s">
        <v>79</v>
      </c>
      <c r="N21" s="190" t="s">
        <v>12</v>
      </c>
      <c r="O21" s="187">
        <v>26000</v>
      </c>
      <c r="P21" s="181">
        <f t="shared" si="0"/>
        <v>20</v>
      </c>
      <c r="Q21" s="169"/>
      <c r="R21" s="170">
        <f t="shared" si="1"/>
        <v>0</v>
      </c>
    </row>
    <row r="22" spans="1:18" s="168" customFormat="1" ht="18.75" x14ac:dyDescent="0.3">
      <c r="A22" s="164">
        <v>21</v>
      </c>
      <c r="B22" s="165" t="s">
        <v>14</v>
      </c>
      <c r="C22" s="164" t="s">
        <v>80</v>
      </c>
      <c r="D22" s="166">
        <v>33000</v>
      </c>
      <c r="E22" s="167"/>
      <c r="F22" s="167"/>
      <c r="G22" s="167"/>
      <c r="H22" s="167"/>
      <c r="I22" s="167"/>
      <c r="J22" s="167"/>
      <c r="K22" s="167"/>
      <c r="L22" s="188">
        <v>21</v>
      </c>
      <c r="M22" s="186" t="s">
        <v>80</v>
      </c>
      <c r="N22" s="190" t="s">
        <v>14</v>
      </c>
      <c r="O22" s="187">
        <v>33000</v>
      </c>
      <c r="P22" s="181">
        <f t="shared" si="0"/>
        <v>21</v>
      </c>
      <c r="Q22" s="169"/>
      <c r="R22" s="170">
        <f t="shared" si="1"/>
        <v>0</v>
      </c>
    </row>
    <row r="23" spans="1:18" s="168" customFormat="1" ht="18.75" x14ac:dyDescent="0.3">
      <c r="A23" s="164">
        <v>22</v>
      </c>
      <c r="B23" s="165" t="s">
        <v>7</v>
      </c>
      <c r="C23" s="164" t="s">
        <v>81</v>
      </c>
      <c r="D23" s="166">
        <v>34000</v>
      </c>
      <c r="E23" s="167"/>
      <c r="F23" s="167"/>
      <c r="G23" s="167"/>
      <c r="H23" s="167"/>
      <c r="I23" s="167"/>
      <c r="J23" s="167"/>
      <c r="K23" s="167"/>
      <c r="L23" s="188">
        <v>22</v>
      </c>
      <c r="M23" s="186" t="s">
        <v>81</v>
      </c>
      <c r="N23" s="190" t="s">
        <v>7</v>
      </c>
      <c r="O23" s="187">
        <v>34000</v>
      </c>
      <c r="P23" s="181">
        <f t="shared" si="0"/>
        <v>22</v>
      </c>
      <c r="Q23" s="169"/>
      <c r="R23" s="170">
        <f t="shared" si="1"/>
        <v>0</v>
      </c>
    </row>
    <row r="24" spans="1:18" s="168" customFormat="1" ht="18.75" x14ac:dyDescent="0.3">
      <c r="A24" s="164">
        <v>23</v>
      </c>
      <c r="B24" s="165" t="s">
        <v>8</v>
      </c>
      <c r="C24" s="164" t="s">
        <v>82</v>
      </c>
      <c r="D24" s="166">
        <v>69000</v>
      </c>
      <c r="E24" s="167"/>
      <c r="F24" s="167"/>
      <c r="G24" s="167"/>
      <c r="H24" s="167"/>
      <c r="I24" s="167"/>
      <c r="J24" s="167"/>
      <c r="K24" s="167"/>
      <c r="L24" s="188">
        <v>23</v>
      </c>
      <c r="M24" s="186" t="s">
        <v>82</v>
      </c>
      <c r="N24" s="190" t="s">
        <v>8</v>
      </c>
      <c r="O24" s="187">
        <v>69000</v>
      </c>
      <c r="P24" s="181">
        <f t="shared" si="0"/>
        <v>23</v>
      </c>
      <c r="Q24" s="169"/>
      <c r="R24" s="170">
        <f t="shared" si="1"/>
        <v>0</v>
      </c>
    </row>
    <row r="25" spans="1:18" s="168" customFormat="1" ht="18.75" x14ac:dyDescent="0.3">
      <c r="A25" s="164">
        <v>24</v>
      </c>
      <c r="B25" s="165" t="s">
        <v>27</v>
      </c>
      <c r="C25" s="164" t="s">
        <v>83</v>
      </c>
      <c r="D25" s="166">
        <v>38000</v>
      </c>
      <c r="E25" s="167"/>
      <c r="F25" s="167"/>
      <c r="G25" s="167"/>
      <c r="H25" s="167"/>
      <c r="I25" s="167"/>
      <c r="J25" s="167"/>
      <c r="K25" s="167"/>
      <c r="L25" s="188">
        <v>24</v>
      </c>
      <c r="M25" s="186" t="s">
        <v>83</v>
      </c>
      <c r="N25" s="190" t="s">
        <v>27</v>
      </c>
      <c r="O25" s="187">
        <v>38000</v>
      </c>
      <c r="P25" s="181">
        <f t="shared" si="0"/>
        <v>24</v>
      </c>
      <c r="Q25" s="169"/>
      <c r="R25" s="170">
        <f t="shared" si="1"/>
        <v>0</v>
      </c>
    </row>
    <row r="26" spans="1:18" s="168" customFormat="1" ht="18.75" x14ac:dyDescent="0.3">
      <c r="A26" s="164">
        <v>25</v>
      </c>
      <c r="B26" s="165" t="s">
        <v>68</v>
      </c>
      <c r="C26" s="164" t="s">
        <v>84</v>
      </c>
      <c r="D26" s="166">
        <v>35000</v>
      </c>
      <c r="E26" s="167"/>
      <c r="F26" s="167"/>
      <c r="G26" s="167"/>
      <c r="H26" s="167"/>
      <c r="I26" s="167"/>
      <c r="J26" s="167"/>
      <c r="K26" s="167"/>
      <c r="L26" s="188">
        <v>25</v>
      </c>
      <c r="M26" s="186" t="s">
        <v>84</v>
      </c>
      <c r="N26" s="190" t="s">
        <v>68</v>
      </c>
      <c r="O26" s="187">
        <v>35000</v>
      </c>
      <c r="P26" s="181">
        <f t="shared" si="0"/>
        <v>25</v>
      </c>
      <c r="Q26" s="169"/>
      <c r="R26" s="170">
        <f t="shared" si="1"/>
        <v>0</v>
      </c>
    </row>
    <row r="27" spans="1:18" s="168" customFormat="1" ht="18.75" x14ac:dyDescent="0.3">
      <c r="A27" s="164">
        <v>26</v>
      </c>
      <c r="B27" s="165" t="s">
        <v>29</v>
      </c>
      <c r="C27" s="164" t="s">
        <v>85</v>
      </c>
      <c r="D27" s="166">
        <v>45000</v>
      </c>
      <c r="E27" s="167"/>
      <c r="F27" s="167"/>
      <c r="G27" s="167"/>
      <c r="H27" s="167"/>
      <c r="I27" s="167"/>
      <c r="J27" s="167"/>
      <c r="K27" s="167"/>
      <c r="L27" s="188">
        <v>26</v>
      </c>
      <c r="M27" s="186" t="s">
        <v>85</v>
      </c>
      <c r="N27" s="190" t="s">
        <v>29</v>
      </c>
      <c r="O27" s="187">
        <v>45000</v>
      </c>
      <c r="P27" s="181">
        <f t="shared" si="0"/>
        <v>26</v>
      </c>
      <c r="Q27" s="169"/>
      <c r="R27" s="170">
        <f t="shared" si="1"/>
        <v>0</v>
      </c>
    </row>
    <row r="28" spans="1:18" s="168" customFormat="1" ht="18.75" x14ac:dyDescent="0.3">
      <c r="A28" s="164">
        <v>27</v>
      </c>
      <c r="B28" s="165" t="s">
        <v>15</v>
      </c>
      <c r="C28" s="164" t="s">
        <v>86</v>
      </c>
      <c r="D28" s="166">
        <v>35000</v>
      </c>
      <c r="E28" s="167"/>
      <c r="F28" s="167"/>
      <c r="G28" s="167"/>
      <c r="H28" s="167"/>
      <c r="I28" s="167"/>
      <c r="J28" s="167"/>
      <c r="K28" s="167"/>
      <c r="L28" s="188">
        <v>27</v>
      </c>
      <c r="M28" s="186" t="s">
        <v>86</v>
      </c>
      <c r="N28" s="190" t="s">
        <v>15</v>
      </c>
      <c r="O28" s="187">
        <v>35000</v>
      </c>
      <c r="P28" s="181">
        <f t="shared" si="0"/>
        <v>27</v>
      </c>
      <c r="Q28" s="169"/>
      <c r="R28" s="170">
        <f t="shared" si="1"/>
        <v>0</v>
      </c>
    </row>
    <row r="29" spans="1:18" s="168" customFormat="1" ht="18.75" x14ac:dyDescent="0.3">
      <c r="A29" s="164">
        <v>28</v>
      </c>
      <c r="B29" s="165" t="s">
        <v>10</v>
      </c>
      <c r="C29" s="164" t="s">
        <v>87</v>
      </c>
      <c r="D29" s="166">
        <v>32000</v>
      </c>
      <c r="E29" s="167"/>
      <c r="F29" s="167"/>
      <c r="G29" s="167"/>
      <c r="H29" s="167"/>
      <c r="I29" s="167"/>
      <c r="J29" s="167"/>
      <c r="K29" s="167"/>
      <c r="L29" s="188">
        <v>28</v>
      </c>
      <c r="M29" s="186" t="s">
        <v>87</v>
      </c>
      <c r="N29" s="190" t="s">
        <v>10</v>
      </c>
      <c r="O29" s="187">
        <v>32000</v>
      </c>
      <c r="P29" s="181">
        <f t="shared" si="0"/>
        <v>28</v>
      </c>
      <c r="Q29" s="169"/>
      <c r="R29" s="170">
        <f t="shared" si="1"/>
        <v>0</v>
      </c>
    </row>
    <row r="30" spans="1:18" s="168" customFormat="1" ht="18.75" x14ac:dyDescent="0.3">
      <c r="A30" s="164">
        <v>29</v>
      </c>
      <c r="B30" s="165" t="s">
        <v>38</v>
      </c>
      <c r="C30" s="164" t="s">
        <v>88</v>
      </c>
      <c r="D30" s="166">
        <v>32000</v>
      </c>
      <c r="E30" s="167"/>
      <c r="F30" s="167"/>
      <c r="G30" s="167"/>
      <c r="H30" s="167"/>
      <c r="I30" s="167"/>
      <c r="J30" s="167"/>
      <c r="K30" s="167"/>
      <c r="L30" s="188">
        <v>29</v>
      </c>
      <c r="M30" s="186" t="s">
        <v>88</v>
      </c>
      <c r="N30" s="190" t="s">
        <v>38</v>
      </c>
      <c r="O30" s="187">
        <v>32000</v>
      </c>
      <c r="P30" s="181">
        <f t="shared" si="0"/>
        <v>29</v>
      </c>
      <c r="Q30" s="169"/>
      <c r="R30" s="170">
        <f t="shared" si="1"/>
        <v>0</v>
      </c>
    </row>
    <row r="31" spans="1:18" s="168" customFormat="1" ht="18.75" x14ac:dyDescent="0.3">
      <c r="A31" s="164">
        <v>30</v>
      </c>
      <c r="B31" s="165" t="s">
        <v>39</v>
      </c>
      <c r="C31" s="164" t="s">
        <v>89</v>
      </c>
      <c r="D31" s="166">
        <v>14000</v>
      </c>
      <c r="E31" s="167"/>
      <c r="F31" s="167"/>
      <c r="G31" s="167"/>
      <c r="H31" s="167"/>
      <c r="I31" s="167"/>
      <c r="J31" s="167"/>
      <c r="K31" s="167"/>
      <c r="L31" s="188">
        <v>30</v>
      </c>
      <c r="M31" s="186" t="s">
        <v>89</v>
      </c>
      <c r="N31" s="190" t="s">
        <v>39</v>
      </c>
      <c r="O31" s="187">
        <v>14000</v>
      </c>
      <c r="P31" s="181">
        <f t="shared" si="0"/>
        <v>30</v>
      </c>
      <c r="Q31" s="169"/>
      <c r="R31" s="170">
        <f t="shared" si="1"/>
        <v>0</v>
      </c>
    </row>
    <row r="32" spans="1:18" s="168" customFormat="1" ht="18.75" x14ac:dyDescent="0.3">
      <c r="A32" s="164">
        <v>31</v>
      </c>
      <c r="B32" s="165" t="s">
        <v>67</v>
      </c>
      <c r="C32" s="164" t="s">
        <v>90</v>
      </c>
      <c r="D32" s="166">
        <v>32000</v>
      </c>
      <c r="E32" s="167"/>
      <c r="F32" s="167"/>
      <c r="G32" s="167"/>
      <c r="H32" s="167"/>
      <c r="I32" s="167"/>
      <c r="J32" s="167"/>
      <c r="K32" s="167"/>
      <c r="L32" s="188">
        <v>31</v>
      </c>
      <c r="M32" s="186" t="s">
        <v>90</v>
      </c>
      <c r="N32" s="190" t="s">
        <v>67</v>
      </c>
      <c r="O32" s="187">
        <v>32000</v>
      </c>
      <c r="P32" s="181">
        <f t="shared" ref="P32:P65" si="2">IFERROR(VALUE(SUBSTITUTE(L32,"&lt;1","")),"")</f>
        <v>31</v>
      </c>
      <c r="Q32" s="169"/>
      <c r="R32" s="169"/>
    </row>
    <row r="33" spans="1:18" s="168" customFormat="1" ht="18.75" x14ac:dyDescent="0.3">
      <c r="A33" s="164">
        <v>32</v>
      </c>
      <c r="B33" s="165" t="s">
        <v>40</v>
      </c>
      <c r="C33" s="164" t="s">
        <v>91</v>
      </c>
      <c r="D33" s="166">
        <v>35000</v>
      </c>
      <c r="E33" s="167"/>
      <c r="F33" s="167"/>
      <c r="G33" s="167"/>
      <c r="H33" s="167"/>
      <c r="I33" s="167"/>
      <c r="J33" s="167"/>
      <c r="K33" s="167"/>
      <c r="L33" s="188">
        <v>32</v>
      </c>
      <c r="M33" s="186" t="s">
        <v>91</v>
      </c>
      <c r="N33" s="190" t="s">
        <v>40</v>
      </c>
      <c r="O33" s="187">
        <v>35000</v>
      </c>
      <c r="P33" s="181">
        <f t="shared" si="2"/>
        <v>32</v>
      </c>
      <c r="Q33" s="169"/>
      <c r="R33" s="169"/>
    </row>
    <row r="34" spans="1:18" s="168" customFormat="1" ht="18.75" x14ac:dyDescent="0.3">
      <c r="A34" s="164">
        <v>33</v>
      </c>
      <c r="B34" s="165" t="s">
        <v>41</v>
      </c>
      <c r="C34" s="164" t="s">
        <v>92</v>
      </c>
      <c r="D34" s="166">
        <v>14000</v>
      </c>
      <c r="E34" s="167"/>
      <c r="F34" s="167"/>
      <c r="G34" s="167"/>
      <c r="H34" s="167"/>
      <c r="I34" s="167"/>
      <c r="J34" s="167"/>
      <c r="K34" s="167"/>
      <c r="L34" s="188">
        <v>33</v>
      </c>
      <c r="M34" s="186" t="s">
        <v>92</v>
      </c>
      <c r="N34" s="190" t="s">
        <v>41</v>
      </c>
      <c r="O34" s="187">
        <v>14000</v>
      </c>
      <c r="P34" s="181">
        <f t="shared" si="2"/>
        <v>33</v>
      </c>
      <c r="Q34" s="169"/>
      <c r="R34" s="169"/>
    </row>
    <row r="35" spans="1:18" s="168" customFormat="1" ht="18.75" x14ac:dyDescent="0.3">
      <c r="A35" s="164">
        <v>34</v>
      </c>
      <c r="B35" s="165" t="s">
        <v>42</v>
      </c>
      <c r="C35" s="164" t="s">
        <v>93</v>
      </c>
      <c r="D35" s="166">
        <v>35000</v>
      </c>
      <c r="E35" s="167"/>
      <c r="F35" s="167"/>
      <c r="G35" s="167"/>
      <c r="H35" s="167"/>
      <c r="I35" s="167"/>
      <c r="J35" s="167"/>
      <c r="K35" s="167"/>
      <c r="L35" s="188">
        <v>34</v>
      </c>
      <c r="M35" s="186" t="s">
        <v>93</v>
      </c>
      <c r="N35" s="190" t="s">
        <v>42</v>
      </c>
      <c r="O35" s="187">
        <v>35000</v>
      </c>
      <c r="P35" s="181">
        <f t="shared" si="2"/>
        <v>34</v>
      </c>
      <c r="Q35" s="169"/>
      <c r="R35" s="169"/>
    </row>
    <row r="36" spans="1:18" s="168" customFormat="1" ht="18.75" x14ac:dyDescent="0.3">
      <c r="A36" s="164">
        <v>35</v>
      </c>
      <c r="B36" s="165" t="s">
        <v>43</v>
      </c>
      <c r="C36" s="164" t="s">
        <v>94</v>
      </c>
      <c r="D36" s="166">
        <v>14000</v>
      </c>
      <c r="E36" s="167"/>
      <c r="F36" s="167"/>
      <c r="G36" s="167"/>
      <c r="H36" s="167"/>
      <c r="I36" s="167"/>
      <c r="J36" s="167"/>
      <c r="K36" s="167"/>
      <c r="L36" s="188">
        <v>35</v>
      </c>
      <c r="M36" s="186" t="s">
        <v>94</v>
      </c>
      <c r="N36" s="190" t="s">
        <v>43</v>
      </c>
      <c r="O36" s="187">
        <v>14000</v>
      </c>
      <c r="P36" s="181">
        <f t="shared" si="2"/>
        <v>35</v>
      </c>
      <c r="Q36" s="169"/>
      <c r="R36" s="169"/>
    </row>
    <row r="37" spans="1:18" s="168" customFormat="1" ht="18.75" x14ac:dyDescent="0.3">
      <c r="A37" s="164">
        <v>36</v>
      </c>
      <c r="B37" s="165" t="s">
        <v>48</v>
      </c>
      <c r="C37" s="164" t="s">
        <v>95</v>
      </c>
      <c r="D37" s="166">
        <v>59000</v>
      </c>
      <c r="E37" s="167"/>
      <c r="F37" s="167"/>
      <c r="G37" s="167"/>
      <c r="H37" s="167"/>
      <c r="I37" s="167"/>
      <c r="J37" s="167"/>
      <c r="K37" s="167"/>
      <c r="L37" s="188">
        <v>36</v>
      </c>
      <c r="M37" s="186" t="s">
        <v>95</v>
      </c>
      <c r="N37" s="190" t="s">
        <v>48</v>
      </c>
      <c r="O37" s="187">
        <v>59000</v>
      </c>
      <c r="P37" s="181">
        <f t="shared" si="2"/>
        <v>36</v>
      </c>
      <c r="Q37" s="169"/>
      <c r="R37" s="169"/>
    </row>
    <row r="38" spans="1:18" s="168" customFormat="1" ht="18.75" x14ac:dyDescent="0.3">
      <c r="A38" s="164">
        <v>37</v>
      </c>
      <c r="B38" s="165" t="s">
        <v>49</v>
      </c>
      <c r="C38" s="164" t="s">
        <v>96</v>
      </c>
      <c r="D38" s="166">
        <v>52000</v>
      </c>
      <c r="E38" s="167"/>
      <c r="F38" s="167"/>
      <c r="G38" s="167"/>
      <c r="H38" s="167"/>
      <c r="I38" s="167"/>
      <c r="J38" s="167"/>
      <c r="K38" s="167"/>
      <c r="L38" s="188">
        <v>37</v>
      </c>
      <c r="M38" s="186" t="s">
        <v>96</v>
      </c>
      <c r="N38" s="190" t="s">
        <v>49</v>
      </c>
      <c r="O38" s="187">
        <v>52000</v>
      </c>
      <c r="P38" s="181">
        <f t="shared" si="2"/>
        <v>37</v>
      </c>
      <c r="Q38" s="169"/>
      <c r="R38" s="169"/>
    </row>
    <row r="39" spans="1:18" s="168" customFormat="1" ht="18.75" x14ac:dyDescent="0.3">
      <c r="A39" s="164">
        <v>38</v>
      </c>
      <c r="B39" s="165" t="s">
        <v>45</v>
      </c>
      <c r="C39" s="164" t="s">
        <v>97</v>
      </c>
      <c r="D39" s="166">
        <v>65000</v>
      </c>
      <c r="E39" s="167"/>
      <c r="F39" s="167"/>
      <c r="G39" s="167"/>
      <c r="H39" s="167"/>
      <c r="I39" s="167"/>
      <c r="J39" s="167"/>
      <c r="K39" s="167"/>
      <c r="L39" s="188">
        <v>38</v>
      </c>
      <c r="M39" s="186" t="s">
        <v>97</v>
      </c>
      <c r="N39" s="190" t="s">
        <v>45</v>
      </c>
      <c r="O39" s="187">
        <v>65000</v>
      </c>
      <c r="P39" s="181">
        <f t="shared" si="2"/>
        <v>38</v>
      </c>
      <c r="Q39" s="169"/>
      <c r="R39" s="169"/>
    </row>
    <row r="40" spans="1:18" s="168" customFormat="1" ht="18.75" x14ac:dyDescent="0.3">
      <c r="A40" s="164">
        <v>39</v>
      </c>
      <c r="B40" s="165" t="s">
        <v>44</v>
      </c>
      <c r="C40" s="164" t="s">
        <v>98</v>
      </c>
      <c r="D40" s="166">
        <v>44000</v>
      </c>
      <c r="E40" s="167"/>
      <c r="F40" s="167"/>
      <c r="G40" s="167"/>
      <c r="H40" s="167"/>
      <c r="I40" s="167"/>
      <c r="J40" s="167"/>
      <c r="K40" s="167"/>
      <c r="L40" s="188">
        <v>39</v>
      </c>
      <c r="M40" s="186" t="s">
        <v>98</v>
      </c>
      <c r="N40" s="190" t="s">
        <v>44</v>
      </c>
      <c r="O40" s="187">
        <v>44000</v>
      </c>
      <c r="P40" s="181">
        <f t="shared" si="2"/>
        <v>39</v>
      </c>
      <c r="Q40" s="169"/>
      <c r="R40" s="169"/>
    </row>
    <row r="41" spans="1:18" s="168" customFormat="1" ht="18.75" x14ac:dyDescent="0.3">
      <c r="A41" s="164">
        <v>40</v>
      </c>
      <c r="B41" s="165" t="s">
        <v>47</v>
      </c>
      <c r="C41" s="164" t="s">
        <v>99</v>
      </c>
      <c r="D41" s="166">
        <v>79000</v>
      </c>
      <c r="E41" s="167"/>
      <c r="F41" s="167"/>
      <c r="G41" s="167"/>
      <c r="H41" s="167"/>
      <c r="I41" s="167"/>
      <c r="J41" s="167"/>
      <c r="K41" s="167"/>
      <c r="L41" s="188">
        <v>40</v>
      </c>
      <c r="M41" s="186" t="s">
        <v>99</v>
      </c>
      <c r="N41" s="190" t="s">
        <v>47</v>
      </c>
      <c r="O41" s="187">
        <v>79000</v>
      </c>
      <c r="P41" s="181">
        <f t="shared" si="2"/>
        <v>40</v>
      </c>
      <c r="Q41" s="169"/>
      <c r="R41" s="169"/>
    </row>
    <row r="42" spans="1:18" s="168" customFormat="1" ht="18.75" x14ac:dyDescent="0.3">
      <c r="A42" s="164">
        <v>41</v>
      </c>
      <c r="B42" s="165" t="s">
        <v>37</v>
      </c>
      <c r="C42" s="164" t="s">
        <v>100</v>
      </c>
      <c r="D42" s="166">
        <v>66000</v>
      </c>
      <c r="E42" s="167"/>
      <c r="F42" s="167"/>
      <c r="G42" s="167"/>
      <c r="H42" s="167"/>
      <c r="I42" s="167"/>
      <c r="J42" s="167"/>
      <c r="K42" s="167"/>
      <c r="L42" s="188">
        <v>41</v>
      </c>
      <c r="M42" s="186" t="s">
        <v>100</v>
      </c>
      <c r="N42" s="190" t="s">
        <v>37</v>
      </c>
      <c r="O42" s="187">
        <v>66000</v>
      </c>
      <c r="P42" s="181">
        <f t="shared" si="2"/>
        <v>41</v>
      </c>
      <c r="Q42" s="169"/>
      <c r="R42" s="169"/>
    </row>
    <row r="43" spans="1:18" s="168" customFormat="1" ht="18.75" x14ac:dyDescent="0.3">
      <c r="A43" s="164">
        <v>42</v>
      </c>
      <c r="B43" s="165" t="s">
        <v>50</v>
      </c>
      <c r="C43" s="164" t="s">
        <v>101</v>
      </c>
      <c r="D43" s="166">
        <v>122000</v>
      </c>
      <c r="E43" s="167"/>
      <c r="F43" s="167"/>
      <c r="G43" s="167"/>
      <c r="H43" s="167"/>
      <c r="I43" s="167"/>
      <c r="J43" s="167"/>
      <c r="K43" s="167"/>
      <c r="L43" s="188">
        <v>42</v>
      </c>
      <c r="M43" s="186" t="s">
        <v>101</v>
      </c>
      <c r="N43" s="190" t="s">
        <v>50</v>
      </c>
      <c r="O43" s="187">
        <v>122000</v>
      </c>
      <c r="P43" s="181">
        <f t="shared" si="2"/>
        <v>42</v>
      </c>
      <c r="Q43" s="169"/>
      <c r="R43" s="169"/>
    </row>
    <row r="44" spans="1:18" s="168" customFormat="1" ht="18.75" x14ac:dyDescent="0.3">
      <c r="A44" s="164">
        <v>43</v>
      </c>
      <c r="B44" s="165" t="s">
        <v>36</v>
      </c>
      <c r="C44" s="164" t="s">
        <v>102</v>
      </c>
      <c r="D44" s="166">
        <v>66000</v>
      </c>
      <c r="E44" s="167"/>
      <c r="F44" s="167"/>
      <c r="G44" s="167"/>
      <c r="H44" s="167"/>
      <c r="I44" s="167"/>
      <c r="J44" s="167"/>
      <c r="K44" s="167"/>
      <c r="L44" s="188">
        <v>43</v>
      </c>
      <c r="M44" s="186" t="s">
        <v>102</v>
      </c>
      <c r="N44" s="190" t="s">
        <v>36</v>
      </c>
      <c r="O44" s="187">
        <v>66000</v>
      </c>
      <c r="P44" s="181">
        <f t="shared" si="2"/>
        <v>43</v>
      </c>
      <c r="Q44" s="169"/>
      <c r="R44" s="169"/>
    </row>
    <row r="45" spans="1:18" s="168" customFormat="1" ht="18.75" x14ac:dyDescent="0.3">
      <c r="A45" s="164">
        <v>44</v>
      </c>
      <c r="B45" s="165" t="s">
        <v>51</v>
      </c>
      <c r="C45" s="164" t="s">
        <v>103</v>
      </c>
      <c r="D45" s="166">
        <v>65000</v>
      </c>
      <c r="E45" s="167"/>
      <c r="F45" s="167"/>
      <c r="G45" s="167"/>
      <c r="H45" s="167"/>
      <c r="I45" s="167"/>
      <c r="J45" s="167"/>
      <c r="K45" s="167"/>
      <c r="L45" s="188">
        <v>44</v>
      </c>
      <c r="M45" s="186" t="s">
        <v>103</v>
      </c>
      <c r="N45" s="190" t="s">
        <v>51</v>
      </c>
      <c r="O45" s="187">
        <v>65000</v>
      </c>
      <c r="P45" s="181">
        <f t="shared" si="2"/>
        <v>44</v>
      </c>
      <c r="Q45" s="169"/>
      <c r="R45" s="169"/>
    </row>
    <row r="46" spans="1:18" s="168" customFormat="1" ht="18.75" x14ac:dyDescent="0.3">
      <c r="A46" s="164">
        <v>45</v>
      </c>
      <c r="B46" s="165" t="s">
        <v>52</v>
      </c>
      <c r="C46" s="164" t="s">
        <v>104</v>
      </c>
      <c r="D46" s="166">
        <v>54000</v>
      </c>
      <c r="E46" s="167"/>
      <c r="F46" s="167"/>
      <c r="G46" s="167"/>
      <c r="H46" s="167"/>
      <c r="I46" s="167"/>
      <c r="J46" s="167"/>
      <c r="K46" s="167"/>
      <c r="L46" s="188">
        <v>45</v>
      </c>
      <c r="M46" s="186" t="s">
        <v>104</v>
      </c>
      <c r="N46" s="190" t="s">
        <v>52</v>
      </c>
      <c r="O46" s="187">
        <v>54000</v>
      </c>
      <c r="P46" s="181">
        <f t="shared" si="2"/>
        <v>45</v>
      </c>
      <c r="Q46" s="169"/>
      <c r="R46" s="169"/>
    </row>
    <row r="47" spans="1:18" s="168" customFormat="1" ht="18.75" x14ac:dyDescent="0.3">
      <c r="A47" s="164">
        <v>46</v>
      </c>
      <c r="B47" s="165" t="s">
        <v>46</v>
      </c>
      <c r="C47" s="164" t="s">
        <v>105</v>
      </c>
      <c r="D47" s="166">
        <v>59000</v>
      </c>
      <c r="E47" s="167"/>
      <c r="F47" s="167"/>
      <c r="G47" s="167"/>
      <c r="H47" s="167"/>
      <c r="I47" s="167"/>
      <c r="J47" s="167"/>
      <c r="K47" s="167"/>
      <c r="L47" s="188">
        <v>46</v>
      </c>
      <c r="M47" s="186" t="s">
        <v>105</v>
      </c>
      <c r="N47" s="190" t="s">
        <v>46</v>
      </c>
      <c r="O47" s="187">
        <v>59000</v>
      </c>
      <c r="P47" s="181">
        <f t="shared" si="2"/>
        <v>46</v>
      </c>
      <c r="Q47" s="169"/>
      <c r="R47" s="169"/>
    </row>
    <row r="48" spans="1:18" s="168" customFormat="1" ht="18.75" x14ac:dyDescent="0.3">
      <c r="A48" s="164">
        <v>47</v>
      </c>
      <c r="B48" s="165" t="s">
        <v>142</v>
      </c>
      <c r="C48" s="164" t="s">
        <v>126</v>
      </c>
      <c r="D48" s="166">
        <v>40000</v>
      </c>
      <c r="E48" s="167"/>
      <c r="F48" s="167"/>
      <c r="G48" s="167"/>
      <c r="H48" s="167"/>
      <c r="I48" s="167"/>
      <c r="J48" s="167"/>
      <c r="K48" s="167"/>
      <c r="L48" s="188">
        <v>47</v>
      </c>
      <c r="M48" s="186" t="s">
        <v>126</v>
      </c>
      <c r="N48" s="190" t="s">
        <v>142</v>
      </c>
      <c r="O48" s="187">
        <v>40000</v>
      </c>
      <c r="P48" s="181">
        <f t="shared" si="2"/>
        <v>47</v>
      </c>
      <c r="Q48" s="169"/>
      <c r="R48" s="169"/>
    </row>
    <row r="49" spans="1:18" s="168" customFormat="1" ht="18.75" x14ac:dyDescent="0.3">
      <c r="A49" s="164">
        <v>48</v>
      </c>
      <c r="B49" s="165" t="s">
        <v>143</v>
      </c>
      <c r="C49" s="164" t="s">
        <v>144</v>
      </c>
      <c r="D49" s="166">
        <v>35000</v>
      </c>
      <c r="E49" s="167"/>
      <c r="F49" s="167"/>
      <c r="G49" s="167"/>
      <c r="H49" s="167"/>
      <c r="I49" s="167"/>
      <c r="J49" s="167"/>
      <c r="K49" s="167"/>
      <c r="L49" s="188">
        <v>48</v>
      </c>
      <c r="M49" s="186" t="s">
        <v>144</v>
      </c>
      <c r="N49" s="190" t="s">
        <v>143</v>
      </c>
      <c r="O49" s="187">
        <v>35000</v>
      </c>
      <c r="P49" s="181">
        <f t="shared" si="2"/>
        <v>48</v>
      </c>
      <c r="Q49" s="169"/>
      <c r="R49" s="169"/>
    </row>
    <row r="50" spans="1:18" s="168" customFormat="1" ht="18.75" x14ac:dyDescent="0.3">
      <c r="A50" s="164">
        <v>49</v>
      </c>
      <c r="B50" s="165" t="s">
        <v>165</v>
      </c>
      <c r="C50" s="164" t="s">
        <v>146</v>
      </c>
      <c r="D50" s="166">
        <v>45000</v>
      </c>
      <c r="E50" s="167"/>
      <c r="F50" s="167"/>
      <c r="G50" s="167"/>
      <c r="H50" s="167"/>
      <c r="I50" s="167"/>
      <c r="J50" s="167"/>
      <c r="K50" s="167"/>
      <c r="L50" s="188">
        <v>49</v>
      </c>
      <c r="M50" s="186" t="s">
        <v>146</v>
      </c>
      <c r="N50" s="190" t="s">
        <v>165</v>
      </c>
      <c r="O50" s="187">
        <v>45000</v>
      </c>
      <c r="P50" s="181">
        <f t="shared" si="2"/>
        <v>49</v>
      </c>
      <c r="Q50" s="169"/>
      <c r="R50" s="169"/>
    </row>
    <row r="51" spans="1:18" s="168" customFormat="1" ht="18.75" x14ac:dyDescent="0.3">
      <c r="A51" s="164">
        <v>50</v>
      </c>
      <c r="B51" s="165" t="s">
        <v>147</v>
      </c>
      <c r="C51" s="164" t="s">
        <v>148</v>
      </c>
      <c r="D51" s="166">
        <v>44000</v>
      </c>
      <c r="E51" s="167"/>
      <c r="F51" s="167"/>
      <c r="G51" s="167"/>
      <c r="H51" s="167"/>
      <c r="I51" s="167"/>
      <c r="J51" s="167"/>
      <c r="K51" s="167"/>
      <c r="L51" s="188">
        <v>50</v>
      </c>
      <c r="M51" s="186" t="s">
        <v>148</v>
      </c>
      <c r="N51" s="190" t="s">
        <v>147</v>
      </c>
      <c r="O51" s="191">
        <v>44000</v>
      </c>
      <c r="P51" s="181">
        <f t="shared" si="2"/>
        <v>50</v>
      </c>
      <c r="Q51" s="169"/>
      <c r="R51" s="169"/>
    </row>
    <row r="52" spans="1:18" s="168" customFormat="1" ht="18.75" x14ac:dyDescent="0.3">
      <c r="A52" s="164">
        <v>51</v>
      </c>
      <c r="B52" s="165" t="s">
        <v>150</v>
      </c>
      <c r="C52" s="164" t="s">
        <v>161</v>
      </c>
      <c r="D52" s="166">
        <v>38000</v>
      </c>
      <c r="E52" s="167"/>
      <c r="F52" s="167"/>
      <c r="G52" s="167"/>
      <c r="H52" s="167"/>
      <c r="I52" s="167"/>
      <c r="J52" s="167"/>
      <c r="K52" s="167"/>
      <c r="L52" s="188">
        <v>51</v>
      </c>
      <c r="M52" s="186" t="s">
        <v>161</v>
      </c>
      <c r="N52" s="190" t="s">
        <v>150</v>
      </c>
      <c r="O52" s="187">
        <v>38000</v>
      </c>
      <c r="P52" s="181">
        <f t="shared" si="2"/>
        <v>51</v>
      </c>
      <c r="Q52" s="169"/>
      <c r="R52" s="169"/>
    </row>
    <row r="53" spans="1:18" s="168" customFormat="1" ht="18.75" x14ac:dyDescent="0.3">
      <c r="A53" s="164">
        <v>52</v>
      </c>
      <c r="B53" s="165" t="s">
        <v>166</v>
      </c>
      <c r="C53" s="164" t="s">
        <v>167</v>
      </c>
      <c r="D53" s="166">
        <v>69000</v>
      </c>
      <c r="E53" s="167"/>
      <c r="F53" s="167"/>
      <c r="G53" s="167"/>
      <c r="H53" s="167"/>
      <c r="I53" s="167"/>
      <c r="J53" s="167"/>
      <c r="K53" s="167"/>
      <c r="L53" s="188">
        <v>52</v>
      </c>
      <c r="M53" s="186" t="s">
        <v>167</v>
      </c>
      <c r="N53" s="190" t="s">
        <v>166</v>
      </c>
      <c r="O53" s="187">
        <v>69000</v>
      </c>
      <c r="P53" s="181">
        <f t="shared" si="2"/>
        <v>52</v>
      </c>
      <c r="Q53" s="169"/>
      <c r="R53" s="169"/>
    </row>
    <row r="54" spans="1:18" s="168" customFormat="1" ht="18.75" x14ac:dyDescent="0.3">
      <c r="A54" s="164">
        <v>53</v>
      </c>
      <c r="B54" s="165" t="s">
        <v>168</v>
      </c>
      <c r="C54" s="164" t="s">
        <v>169</v>
      </c>
      <c r="D54" s="166">
        <v>76000</v>
      </c>
      <c r="E54" s="167"/>
      <c r="F54" s="167"/>
      <c r="G54" s="167"/>
      <c r="H54" s="167"/>
      <c r="I54" s="167"/>
      <c r="J54" s="167"/>
      <c r="K54" s="167"/>
      <c r="L54" s="188">
        <v>53</v>
      </c>
      <c r="M54" s="186" t="s">
        <v>169</v>
      </c>
      <c r="N54" s="190" t="s">
        <v>168</v>
      </c>
      <c r="O54" s="187">
        <v>76000</v>
      </c>
      <c r="P54" s="181">
        <f t="shared" si="2"/>
        <v>53</v>
      </c>
      <c r="Q54" s="169"/>
      <c r="R54" s="169"/>
    </row>
    <row r="55" spans="1:18" s="168" customFormat="1" ht="18.75" x14ac:dyDescent="0.3">
      <c r="A55" s="164">
        <v>54</v>
      </c>
      <c r="B55" s="165" t="s">
        <v>178</v>
      </c>
      <c r="C55" s="164" t="s">
        <v>175</v>
      </c>
      <c r="D55" s="166">
        <v>30000</v>
      </c>
      <c r="E55" s="167"/>
      <c r="F55" s="167"/>
      <c r="G55" s="167"/>
      <c r="H55" s="167"/>
      <c r="I55" s="167"/>
      <c r="J55" s="167"/>
      <c r="K55" s="167"/>
      <c r="L55" s="188">
        <v>54</v>
      </c>
      <c r="M55" s="186" t="s">
        <v>175</v>
      </c>
      <c r="N55" s="190" t="s">
        <v>178</v>
      </c>
      <c r="O55" s="187">
        <v>30000</v>
      </c>
      <c r="P55" s="181">
        <f t="shared" si="2"/>
        <v>54</v>
      </c>
      <c r="Q55" s="169"/>
      <c r="R55" s="169"/>
    </row>
    <row r="56" spans="1:18" s="168" customFormat="1" ht="18.75" x14ac:dyDescent="0.3">
      <c r="A56" s="164">
        <v>55</v>
      </c>
      <c r="B56" s="165" t="s">
        <v>176</v>
      </c>
      <c r="C56" s="164" t="s">
        <v>177</v>
      </c>
      <c r="D56" s="166">
        <v>49000</v>
      </c>
      <c r="E56" s="167"/>
      <c r="F56" s="167"/>
      <c r="G56" s="167"/>
      <c r="H56" s="167"/>
      <c r="I56" s="167"/>
      <c r="J56" s="167"/>
      <c r="K56" s="167"/>
      <c r="L56" s="188">
        <v>55</v>
      </c>
      <c r="M56" s="186" t="s">
        <v>177</v>
      </c>
      <c r="N56" s="190" t="s">
        <v>176</v>
      </c>
      <c r="O56" s="187">
        <v>49000</v>
      </c>
      <c r="P56" s="181">
        <f t="shared" si="2"/>
        <v>55</v>
      </c>
      <c r="Q56" s="169"/>
      <c r="R56" s="169"/>
    </row>
    <row r="57" spans="1:18" s="168" customFormat="1" ht="18.75" x14ac:dyDescent="0.3">
      <c r="A57" s="164">
        <v>56</v>
      </c>
      <c r="B57" s="165" t="s">
        <v>174</v>
      </c>
      <c r="C57" s="164" t="s">
        <v>179</v>
      </c>
      <c r="D57" s="166">
        <v>80000</v>
      </c>
      <c r="E57" s="167"/>
      <c r="F57" s="167"/>
      <c r="G57" s="167"/>
      <c r="H57" s="167"/>
      <c r="I57" s="167"/>
      <c r="J57" s="167"/>
      <c r="K57" s="167"/>
      <c r="L57" s="188">
        <v>56</v>
      </c>
      <c r="M57" s="186" t="s">
        <v>179</v>
      </c>
      <c r="N57" s="190" t="s">
        <v>174</v>
      </c>
      <c r="O57" s="187">
        <v>80000</v>
      </c>
      <c r="P57" s="181">
        <f t="shared" si="2"/>
        <v>56</v>
      </c>
      <c r="Q57" s="169"/>
      <c r="R57" s="169"/>
    </row>
    <row r="58" spans="1:18" s="168" customFormat="1" ht="18.75" x14ac:dyDescent="0.3">
      <c r="A58" s="164">
        <v>57</v>
      </c>
      <c r="B58" s="165" t="s">
        <v>180</v>
      </c>
      <c r="C58" s="164" t="s">
        <v>181</v>
      </c>
      <c r="D58" s="166">
        <v>42000</v>
      </c>
      <c r="E58" s="167"/>
      <c r="F58" s="167"/>
      <c r="G58" s="167"/>
      <c r="H58" s="167"/>
      <c r="I58" s="167"/>
      <c r="J58" s="167"/>
      <c r="K58" s="167"/>
      <c r="L58" s="188">
        <v>57</v>
      </c>
      <c r="M58" s="186" t="s">
        <v>181</v>
      </c>
      <c r="N58" s="190" t="s">
        <v>180</v>
      </c>
      <c r="O58" s="187">
        <v>42000</v>
      </c>
      <c r="P58" s="181">
        <f t="shared" si="2"/>
        <v>57</v>
      </c>
      <c r="Q58" s="169"/>
      <c r="R58" s="169"/>
    </row>
    <row r="59" spans="1:18" s="168" customFormat="1" ht="18.75" x14ac:dyDescent="0.3">
      <c r="A59" s="164">
        <v>58</v>
      </c>
      <c r="B59" s="165" t="s">
        <v>182</v>
      </c>
      <c r="C59" s="164" t="s">
        <v>184</v>
      </c>
      <c r="D59" s="166">
        <v>35000</v>
      </c>
      <c r="E59" s="167"/>
      <c r="F59" s="167"/>
      <c r="G59" s="167"/>
      <c r="H59" s="167"/>
      <c r="I59" s="167"/>
      <c r="J59" s="167"/>
      <c r="K59" s="167"/>
      <c r="L59" s="188">
        <v>58</v>
      </c>
      <c r="M59" s="186" t="s">
        <v>184</v>
      </c>
      <c r="N59" s="190" t="s">
        <v>182</v>
      </c>
      <c r="O59" s="187">
        <v>35000</v>
      </c>
      <c r="P59" s="181">
        <f t="shared" si="2"/>
        <v>58</v>
      </c>
      <c r="Q59" s="169"/>
      <c r="R59" s="169"/>
    </row>
    <row r="60" spans="1:18" s="168" customFormat="1" ht="18.75" x14ac:dyDescent="0.3">
      <c r="A60" s="164">
        <v>59</v>
      </c>
      <c r="B60" s="165" t="s">
        <v>183</v>
      </c>
      <c r="C60" s="164" t="s">
        <v>185</v>
      </c>
      <c r="D60" s="166">
        <v>38000</v>
      </c>
      <c r="E60" s="167"/>
      <c r="F60" s="167"/>
      <c r="G60" s="167"/>
      <c r="H60" s="167"/>
      <c r="I60" s="167"/>
      <c r="J60" s="167"/>
      <c r="K60" s="167"/>
      <c r="L60" s="188">
        <v>59</v>
      </c>
      <c r="M60" s="186" t="s">
        <v>185</v>
      </c>
      <c r="N60" s="190" t="s">
        <v>183</v>
      </c>
      <c r="O60" s="187">
        <v>38000</v>
      </c>
      <c r="P60" s="181">
        <f t="shared" si="2"/>
        <v>59</v>
      </c>
      <c r="Q60" s="169"/>
      <c r="R60" s="169"/>
    </row>
    <row r="61" spans="1:18" s="168" customFormat="1" ht="18.75" x14ac:dyDescent="0.3">
      <c r="A61" s="164">
        <v>60</v>
      </c>
      <c r="B61" s="165" t="s">
        <v>189</v>
      </c>
      <c r="C61" s="164" t="s">
        <v>190</v>
      </c>
      <c r="D61" s="166">
        <v>70000</v>
      </c>
      <c r="E61" s="167"/>
      <c r="F61" s="167"/>
      <c r="G61" s="167"/>
      <c r="H61" s="167"/>
      <c r="I61" s="167"/>
      <c r="J61" s="167"/>
      <c r="K61" s="167"/>
      <c r="L61" s="188">
        <v>60</v>
      </c>
      <c r="M61" s="186" t="s">
        <v>190</v>
      </c>
      <c r="N61" s="190" t="s">
        <v>189</v>
      </c>
      <c r="O61" s="187">
        <v>70000</v>
      </c>
      <c r="P61" s="181">
        <f t="shared" si="2"/>
        <v>60</v>
      </c>
      <c r="Q61" s="169"/>
      <c r="R61" s="169"/>
    </row>
    <row r="62" spans="1:18" s="168" customFormat="1" ht="18.75" x14ac:dyDescent="0.3">
      <c r="A62" s="164">
        <v>61</v>
      </c>
      <c r="B62" s="165" t="s">
        <v>205</v>
      </c>
      <c r="C62" s="164" t="s">
        <v>206</v>
      </c>
      <c r="D62" s="166">
        <v>54000</v>
      </c>
      <c r="E62" s="167"/>
      <c r="F62" s="167"/>
      <c r="G62" s="167"/>
      <c r="H62" s="167"/>
      <c r="I62" s="167"/>
      <c r="J62" s="167"/>
      <c r="K62" s="167"/>
      <c r="L62" s="188">
        <v>61</v>
      </c>
      <c r="M62" s="186" t="s">
        <v>206</v>
      </c>
      <c r="N62" s="190" t="s">
        <v>205</v>
      </c>
      <c r="O62" s="191">
        <v>54000</v>
      </c>
      <c r="P62" s="181">
        <f t="shared" si="2"/>
        <v>61</v>
      </c>
      <c r="Q62" s="169"/>
      <c r="R62" s="169"/>
    </row>
    <row r="63" spans="1:18" s="168" customFormat="1" ht="18.75" x14ac:dyDescent="0.3">
      <c r="A63" s="164">
        <v>62</v>
      </c>
      <c r="B63" s="165" t="s">
        <v>208</v>
      </c>
      <c r="C63" s="164" t="s">
        <v>209</v>
      </c>
      <c r="D63" s="166">
        <v>48000</v>
      </c>
      <c r="E63" s="167"/>
      <c r="F63" s="167"/>
      <c r="G63" s="167"/>
      <c r="H63" s="167"/>
      <c r="I63" s="167"/>
      <c r="J63" s="167"/>
      <c r="K63" s="167"/>
      <c r="L63" s="188">
        <v>62</v>
      </c>
      <c r="M63" s="186" t="s">
        <v>209</v>
      </c>
      <c r="N63" s="190" t="s">
        <v>208</v>
      </c>
      <c r="O63" s="191">
        <v>48000</v>
      </c>
      <c r="P63" s="181">
        <f t="shared" si="2"/>
        <v>62</v>
      </c>
      <c r="Q63" s="169"/>
      <c r="R63" s="169"/>
    </row>
    <row r="64" spans="1:18" s="168" customFormat="1" ht="18.75" x14ac:dyDescent="0.3">
      <c r="A64" s="164">
        <v>63</v>
      </c>
      <c r="B64" s="165" t="s">
        <v>212</v>
      </c>
      <c r="C64" s="164" t="s">
        <v>216</v>
      </c>
      <c r="D64" s="166">
        <v>50000</v>
      </c>
      <c r="E64" s="167"/>
      <c r="F64" s="167"/>
      <c r="G64" s="167"/>
      <c r="H64" s="167"/>
      <c r="I64" s="167"/>
      <c r="J64" s="167"/>
      <c r="K64" s="167"/>
      <c r="L64" s="188">
        <v>63</v>
      </c>
      <c r="M64" s="186" t="s">
        <v>216</v>
      </c>
      <c r="N64" s="190" t="s">
        <v>212</v>
      </c>
      <c r="O64" s="191">
        <v>50000</v>
      </c>
      <c r="P64" s="181">
        <f t="shared" si="2"/>
        <v>63</v>
      </c>
      <c r="Q64" s="169"/>
      <c r="R64" s="169"/>
    </row>
    <row r="65" spans="1:18" s="168" customFormat="1" ht="18.75" x14ac:dyDescent="0.3">
      <c r="A65" s="164">
        <v>64</v>
      </c>
      <c r="B65" s="165" t="s">
        <v>210</v>
      </c>
      <c r="C65" s="164" t="s">
        <v>217</v>
      </c>
      <c r="D65" s="166">
        <v>45000</v>
      </c>
      <c r="E65" s="167"/>
      <c r="F65" s="167"/>
      <c r="G65" s="167"/>
      <c r="H65" s="167"/>
      <c r="I65" s="167"/>
      <c r="J65" s="167"/>
      <c r="K65" s="167"/>
      <c r="L65" s="188">
        <v>64</v>
      </c>
      <c r="M65" s="186" t="s">
        <v>217</v>
      </c>
      <c r="N65" s="190" t="s">
        <v>210</v>
      </c>
      <c r="O65" s="191">
        <v>45000</v>
      </c>
      <c r="P65" s="181">
        <f t="shared" si="2"/>
        <v>64</v>
      </c>
      <c r="Q65" s="169"/>
      <c r="R65" s="169"/>
    </row>
    <row r="66" spans="1:18" x14ac:dyDescent="0.25">
      <c r="L66" s="15"/>
      <c r="M66" s="15"/>
      <c r="N66" s="15"/>
      <c r="O66" s="15"/>
      <c r="P66" s="15"/>
    </row>
    <row r="67" spans="1:18" x14ac:dyDescent="0.25">
      <c r="L67" s="15"/>
      <c r="M67" s="15"/>
      <c r="N67" s="15"/>
      <c r="O67" s="15"/>
      <c r="P67" s="15"/>
    </row>
    <row r="68" spans="1:18" x14ac:dyDescent="0.25">
      <c r="L68" s="15"/>
      <c r="M68" s="15"/>
      <c r="N68" s="15"/>
      <c r="O68" s="15"/>
      <c r="P68" s="15"/>
    </row>
    <row r="69" spans="1:18" x14ac:dyDescent="0.25">
      <c r="L69" s="15"/>
      <c r="M69" s="15"/>
      <c r="N69" s="15"/>
      <c r="O69" s="15"/>
      <c r="P69" s="15"/>
    </row>
    <row r="70" spans="1:18" x14ac:dyDescent="0.25">
      <c r="L70" s="15"/>
      <c r="M70" s="15"/>
      <c r="N70" s="15"/>
      <c r="O70" s="15"/>
      <c r="P70" s="15"/>
    </row>
    <row r="71" spans="1:18" x14ac:dyDescent="0.25">
      <c r="L71" s="15"/>
      <c r="M71" s="15"/>
      <c r="N71" s="15"/>
      <c r="O71" s="15"/>
      <c r="P71" s="15"/>
    </row>
    <row r="72" spans="1:18" x14ac:dyDescent="0.25">
      <c r="L72" s="15"/>
      <c r="M72" s="15"/>
      <c r="N72" s="15"/>
      <c r="O72" s="15"/>
      <c r="P72" s="15"/>
    </row>
    <row r="73" spans="1:18" x14ac:dyDescent="0.25">
      <c r="L73" s="15"/>
      <c r="M73" s="15"/>
      <c r="N73" s="15"/>
      <c r="O73" s="15"/>
      <c r="P73" s="15"/>
    </row>
    <row r="74" spans="1:18" x14ac:dyDescent="0.25">
      <c r="L74" s="15"/>
      <c r="M74" s="15"/>
      <c r="N74" s="15"/>
      <c r="O74" s="15"/>
      <c r="P74" s="15"/>
    </row>
    <row r="75" spans="1:18" x14ac:dyDescent="0.25">
      <c r="L75" s="15"/>
      <c r="M75" s="15"/>
      <c r="N75" s="15"/>
      <c r="O75" s="15"/>
      <c r="P75" s="15"/>
    </row>
    <row r="76" spans="1:18" x14ac:dyDescent="0.25">
      <c r="L76" s="15"/>
      <c r="M76" s="15"/>
      <c r="N76" s="15"/>
      <c r="O76" s="15"/>
      <c r="P76" s="15"/>
    </row>
    <row r="77" spans="1:18" x14ac:dyDescent="0.25">
      <c r="L77" s="15"/>
      <c r="M77" s="15"/>
      <c r="N77" s="15"/>
      <c r="O77" s="15"/>
      <c r="P77" s="15"/>
    </row>
    <row r="78" spans="1:18" x14ac:dyDescent="0.25">
      <c r="L78" s="15"/>
      <c r="M78" s="15"/>
      <c r="N78" s="15"/>
      <c r="O78" s="15"/>
      <c r="P78" s="15"/>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1"/>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38100</xdr:colOff>
                    <xdr:row>0</xdr:row>
                    <xdr:rowOff>9525</xdr:rowOff>
                  </from>
                  <to>
                    <xdr:col>1</xdr:col>
                    <xdr:colOff>704850</xdr:colOff>
                    <xdr:row>1</xdr:row>
                    <xdr:rowOff>38100</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1"/>
  </sheetPr>
  <dimension ref="A1:M52"/>
  <sheetViews>
    <sheetView zoomScaleNormal="100" workbookViewId="0">
      <pane ySplit="1" topLeftCell="A2" activePane="bottomLeft" state="frozen"/>
      <selection activeCell="H16" sqref="H16"/>
      <selection pane="bottomLeft" activeCell="D2" sqref="D2"/>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3" width="10.140625" style="14" bestFit="1" customWidth="1"/>
    <col min="14" max="16384" width="9.140625" style="14"/>
  </cols>
  <sheetData>
    <row r="1" spans="1:13" s="45" customFormat="1" ht="39" customHeight="1" x14ac:dyDescent="0.25">
      <c r="A1" s="47" t="s">
        <v>0</v>
      </c>
      <c r="B1" s="47" t="s">
        <v>17</v>
      </c>
      <c r="C1" s="87" t="s">
        <v>55</v>
      </c>
      <c r="D1" s="91" t="s">
        <v>118</v>
      </c>
      <c r="E1" s="91" t="s">
        <v>16</v>
      </c>
      <c r="F1" s="47" t="s">
        <v>18</v>
      </c>
      <c r="G1" s="47" t="s">
        <v>19</v>
      </c>
      <c r="H1" s="157"/>
      <c r="I1" s="55">
        <f>SUBTOTAL(9,H2:H31)</f>
        <v>0</v>
      </c>
      <c r="K1" s="47" t="s">
        <v>18</v>
      </c>
    </row>
    <row r="2" spans="1:13" s="46" customFormat="1" ht="24.95" customHeight="1" x14ac:dyDescent="0.25">
      <c r="A2" s="51" t="str">
        <f>IF(OR(SUM($A1,$D2&lt;&gt;"")=0,$D2=""),"",SUM($A1,$D2&lt;&gt;""))</f>
        <v/>
      </c>
      <c r="B2" s="52" t="str">
        <f>IFERROR(VLOOKUP($D2,Sheet1!$A$2:$B$98,2,0),"")</f>
        <v/>
      </c>
      <c r="C2" s="88" t="str">
        <f>IFERROR(VLOOKUP($D2,'Tổng Đơn'!$A$5:$E$100,5,0),"")</f>
        <v/>
      </c>
      <c r="D2" s="48"/>
      <c r="E2" s="48"/>
      <c r="F2" s="53" t="str">
        <f>IFERROR(VLOOKUP($D2,Sheet1!$A$2:$D$98,4,0),"")</f>
        <v/>
      </c>
      <c r="G2" s="54" t="str">
        <f>IF($A1=MAX($A$2:$A$50),SUM($G1:$G$2),IFERROR($F2*$E2,""))</f>
        <v/>
      </c>
      <c r="H2" s="92" t="str">
        <f>IFERROR(E2*C2,"")</f>
        <v/>
      </c>
      <c r="I2" s="46" t="str">
        <f>IF(SUMPRODUCT(($E$2:$E$12),($K$2:$K$12))&gt;=200000,"KM 15%",IF(SUMPRODUCT(($E$2:$E$12),($K$2:$K$12))&gt;=100000,"KM 10%",""))</f>
        <v/>
      </c>
      <c r="K2" s="50" t="str">
        <f>IFERROR(VLOOKUP($D2,Sheet1!$A$2:$D$98,4,0),"")</f>
        <v/>
      </c>
    </row>
    <row r="3" spans="1:13" s="46" customFormat="1" ht="24.95" customHeight="1" x14ac:dyDescent="0.25">
      <c r="A3" s="51" t="str">
        <f t="shared" ref="A3:A31" si="0">IF(OR(SUM($A2,$D3&lt;&gt;"")=0,$D3=""),"",SUM($A2,$D3&lt;&gt;""))</f>
        <v/>
      </c>
      <c r="B3" s="52" t="str">
        <f>IFERROR(VLOOKUP($D3,Sheet1!$A$2:$B$98,2,0),"")</f>
        <v/>
      </c>
      <c r="C3" s="89" t="str">
        <f>IFERROR(VLOOKUP($D3,'Tổng Đơn'!$A$5:$E$100,5,0),"")</f>
        <v/>
      </c>
      <c r="D3" s="48"/>
      <c r="E3" s="48"/>
      <c r="F3" s="53" t="str">
        <f>IF(AND($A3="",$A2&lt;&gt;""),"Tổng Cộng",IFERROR(VLOOKUP($D3,Sheet1!$A$2:$D$98,4,0),""))</f>
        <v/>
      </c>
      <c r="G3" s="54" t="str">
        <f>IF($A2=MAX($A$2:$A$50),SUM($G$2:$G2),IFERROR($F3*$E3,""))</f>
        <v/>
      </c>
      <c r="H3" s="92" t="str">
        <f t="shared" ref="H3:H31" si="1">IFERROR(E3*C3,"")</f>
        <v/>
      </c>
      <c r="K3" s="49" t="str">
        <f>IFERROR(VLOOKUP($D3,Sheet1!$A$2:$D$98,4,0),"")</f>
        <v/>
      </c>
    </row>
    <row r="4" spans="1:13" s="46" customFormat="1" ht="24.95" customHeight="1" x14ac:dyDescent="0.25">
      <c r="A4" s="51" t="str">
        <f t="shared" si="0"/>
        <v/>
      </c>
      <c r="B4" s="52" t="str">
        <f>IFERROR(VLOOKUP($D4,Sheet1!$A$2:$B$98,2,0),"")</f>
        <v/>
      </c>
      <c r="C4" s="89" t="str">
        <f>IFERROR(VLOOKUP($D4,'Tổng Đơn'!$A$5:$E$100,5,0),"")</f>
        <v/>
      </c>
      <c r="D4" s="48"/>
      <c r="E4" s="48"/>
      <c r="F4" s="53" t="str">
        <f>IF(AND($A4="",$A3&lt;&gt;""),"Tổng Cộng",IFERROR(VLOOKUP($D4,Sheet1!$A$2:$D$98,4,0),""))</f>
        <v/>
      </c>
      <c r="G4" s="54" t="str">
        <f>IF($A3=MAX($A$2:$A$50),SUM($G$2:$G3),IFERROR($F4*$E4,""))</f>
        <v/>
      </c>
      <c r="H4" s="92" t="str">
        <f t="shared" si="1"/>
        <v/>
      </c>
      <c r="K4" s="49" t="str">
        <f>IFERROR(VLOOKUP($D4,Sheet1!$A$2:$D$98,4,0),"")</f>
        <v/>
      </c>
    </row>
    <row r="5" spans="1:13" s="46" customFormat="1" ht="24.95" customHeight="1" x14ac:dyDescent="0.25">
      <c r="A5" s="51" t="str">
        <f t="shared" si="0"/>
        <v/>
      </c>
      <c r="B5" s="52" t="str">
        <f>IFERROR(VLOOKUP($D5,Sheet1!$A$2:$B$98,2,0),"")</f>
        <v/>
      </c>
      <c r="C5" s="89" t="str">
        <f>IFERROR(VLOOKUP($D5,'Tổng Đơn'!$A$5:$E$100,5,0),"")</f>
        <v/>
      </c>
      <c r="D5" s="48"/>
      <c r="E5" s="48"/>
      <c r="F5" s="53" t="str">
        <f>IF(AND($A5="",$A4&lt;&gt;""),"Tổng Cộng",IFERROR(VLOOKUP($D5,Sheet1!$A$2:$D$98,4,0),""))</f>
        <v/>
      </c>
      <c r="G5" s="54" t="str">
        <f>IF($A4=MAX($A$2:$A$50),SUM($G$2:$G4),IFERROR($F5*$E5,""))</f>
        <v/>
      </c>
      <c r="H5" s="92" t="str">
        <f t="shared" si="1"/>
        <v/>
      </c>
      <c r="K5" s="49" t="str">
        <f>IFERROR(VLOOKUP($D5,Sheet1!$A$2:$D$98,4,0),"")</f>
        <v/>
      </c>
    </row>
    <row r="6" spans="1:13" s="46" customFormat="1" ht="24.95" customHeight="1" x14ac:dyDescent="0.25">
      <c r="A6" s="51" t="str">
        <f t="shared" si="0"/>
        <v/>
      </c>
      <c r="B6" s="52" t="str">
        <f>IFERROR(VLOOKUP($D6,Sheet1!$A$2:$B$98,2,0),"")</f>
        <v/>
      </c>
      <c r="C6" s="89" t="str">
        <f>IFERROR(VLOOKUP($D6,'Tổng Đơn'!$A$5:$E$100,5,0),"")</f>
        <v/>
      </c>
      <c r="D6" s="48"/>
      <c r="E6" s="48"/>
      <c r="F6" s="53" t="str">
        <f>IF(AND($A6="",$A5&lt;&gt;""),"Tổng Cộng",IFERROR(VLOOKUP($D6,Sheet1!$A$2:$D$98,4,0),""))</f>
        <v/>
      </c>
      <c r="G6" s="54" t="str">
        <f>IF($A5=MAX($A$2:$A$50),SUM($G$2:$G5),IFERROR($F6*$E6,""))</f>
        <v/>
      </c>
      <c r="H6" s="92" t="str">
        <f t="shared" si="1"/>
        <v/>
      </c>
      <c r="I6" s="175"/>
      <c r="K6" s="49"/>
      <c r="L6" s="184"/>
      <c r="M6" s="176"/>
    </row>
    <row r="7" spans="1:13" s="46" customFormat="1" ht="24.95" customHeight="1" x14ac:dyDescent="0.25">
      <c r="A7" s="51" t="str">
        <f t="shared" si="0"/>
        <v/>
      </c>
      <c r="B7" s="52" t="str">
        <f>IFERROR(VLOOKUP($D7,Sheet1!$A$2:$B$98,2,0),"")</f>
        <v/>
      </c>
      <c r="C7" s="89" t="str">
        <f>IFERROR(VLOOKUP($D7,'Tổng Đơn'!$A$5:$E$100,5,0),"")</f>
        <v/>
      </c>
      <c r="D7" s="48"/>
      <c r="E7" s="48"/>
      <c r="F7" s="53" t="str">
        <f>IF(AND($A7="",$A6&lt;&gt;""),"Tổng Cộng",IFERROR(VLOOKUP($D7,Sheet1!$A$2:$D$98,4,0),""))</f>
        <v/>
      </c>
      <c r="G7" s="54" t="str">
        <f>IF($A6=MAX($A$2:$A$50),SUM($G$2:$G6),IFERROR($F7*$E7,""))</f>
        <v/>
      </c>
      <c r="H7" s="92" t="str">
        <f t="shared" si="1"/>
        <v/>
      </c>
      <c r="K7" s="49"/>
    </row>
    <row r="8" spans="1:13" s="46" customFormat="1" ht="24.95" customHeight="1" x14ac:dyDescent="0.25">
      <c r="A8" s="51" t="str">
        <f t="shared" si="0"/>
        <v/>
      </c>
      <c r="B8" s="52" t="str">
        <f>IFERROR(VLOOKUP($D8,Sheet1!$A$2:$B$98,2,0),"")</f>
        <v/>
      </c>
      <c r="C8" s="89" t="str">
        <f>IFERROR(VLOOKUP($D8,'Tổng Đơn'!$A$5:$E$100,5,0),"")</f>
        <v/>
      </c>
      <c r="D8" s="48"/>
      <c r="E8" s="48"/>
      <c r="F8" s="53" t="str">
        <f>IF(AND($A8="",$A7&lt;&gt;""),"Tổng Cộng",IFERROR(VLOOKUP($D8,Sheet1!$A$2:$D$98,4,0),""))</f>
        <v/>
      </c>
      <c r="G8" s="54" t="str">
        <f>IF($A7=MAX($A$2:$A$50),SUM($G$2:$G7),IFERROR($F8*$E8,""))</f>
        <v/>
      </c>
      <c r="H8" s="92" t="str">
        <f t="shared" si="1"/>
        <v/>
      </c>
      <c r="K8" s="49" t="str">
        <f>IFERROR(VLOOKUP($D8,Sheet1!$A$2:$D$98,4,0),"")</f>
        <v/>
      </c>
      <c r="L8" s="185"/>
    </row>
    <row r="9" spans="1:13" s="46" customFormat="1" ht="24.95" customHeight="1" x14ac:dyDescent="0.25">
      <c r="A9" s="51" t="str">
        <f t="shared" si="0"/>
        <v/>
      </c>
      <c r="B9" s="52" t="str">
        <f>IFERROR(VLOOKUP($D9,Sheet1!$A$2:$B$98,2,0),"")</f>
        <v/>
      </c>
      <c r="C9" s="89" t="str">
        <f>IFERROR(VLOOKUP($D9,'Tổng Đơn'!$A$5:$E$100,5,0),"")</f>
        <v/>
      </c>
      <c r="D9" s="48"/>
      <c r="E9" s="48"/>
      <c r="F9" s="53" t="str">
        <f>IF(AND($A9="",$A8&lt;&gt;""),"Tổng Cộng",IFERROR(VLOOKUP($D9,Sheet1!$A$2:$D$98,4,0),""))</f>
        <v/>
      </c>
      <c r="G9" s="54" t="str">
        <f>IF($A8=MAX($A$2:$A$50),SUM($G$2:$G8),IFERROR($F9*$E9,""))</f>
        <v/>
      </c>
      <c r="H9" s="92" t="str">
        <f t="shared" si="1"/>
        <v/>
      </c>
      <c r="K9" s="49" t="str">
        <f>IFERROR(VLOOKUP($D9,Sheet1!$A$2:$D$98,4,0),"")</f>
        <v/>
      </c>
    </row>
    <row r="10" spans="1:13" s="46" customFormat="1" ht="24.95" customHeight="1" x14ac:dyDescent="0.25">
      <c r="A10" s="51" t="str">
        <f t="shared" si="0"/>
        <v/>
      </c>
      <c r="B10" s="52" t="str">
        <f>IFERROR(VLOOKUP($D10,Sheet1!$A$2:$B$98,2,0),"")</f>
        <v/>
      </c>
      <c r="C10" s="89" t="str">
        <f>IFERROR(VLOOKUP($D10,'Tổng Đơn'!$A$5:$E$100,5,0),"")</f>
        <v/>
      </c>
      <c r="D10" s="48"/>
      <c r="E10" s="48"/>
      <c r="F10" s="53" t="str">
        <f>IF(AND($A10="",$A9&lt;&gt;""),"Tổng Cộng",IFERROR(VLOOKUP($D10,Sheet1!$A$2:$D$98,4,0),""))</f>
        <v/>
      </c>
      <c r="G10" s="54" t="str">
        <f>IF($A9=MAX($A$2:$A$50),SUM($G$2:$G9),IFERROR($F10*$E10,""))</f>
        <v/>
      </c>
      <c r="H10" s="92" t="str">
        <f t="shared" si="1"/>
        <v/>
      </c>
      <c r="K10" s="49" t="str">
        <f>IFERROR(VLOOKUP($D10,Sheet1!$A$2:$D$98,4,0),"")</f>
        <v/>
      </c>
    </row>
    <row r="11" spans="1:13" s="46" customFormat="1" ht="24.95" customHeight="1" x14ac:dyDescent="0.25">
      <c r="A11" s="51" t="str">
        <f t="shared" si="0"/>
        <v/>
      </c>
      <c r="B11" s="52" t="str">
        <f>IFERROR(VLOOKUP($D11,Sheet1!$A$2:$B$98,2,0),"")</f>
        <v/>
      </c>
      <c r="C11" s="89" t="str">
        <f>IFERROR(VLOOKUP($D11,'Tổng Đơn'!$A$5:$E$100,5,0),"")</f>
        <v/>
      </c>
      <c r="D11" s="48"/>
      <c r="E11" s="48"/>
      <c r="F11" s="53" t="str">
        <f>IF(AND($A11="",$A10&lt;&gt;""),"Tổng Cộng",IFERROR(VLOOKUP($D11,Sheet1!$A$2:$D$98,4,0),""))</f>
        <v/>
      </c>
      <c r="G11" s="54" t="str">
        <f>IF($A10=MAX($A$2:$A$50),SUM($G$2:$G10),IFERROR($F11*$E11,""))</f>
        <v/>
      </c>
      <c r="H11" s="92" t="str">
        <f t="shared" si="1"/>
        <v/>
      </c>
      <c r="K11" s="49" t="str">
        <f>IFERROR(VLOOKUP($D11,Sheet1!$A$2:$D$98,4,0),"")</f>
        <v/>
      </c>
    </row>
    <row r="12" spans="1:13" s="46" customFormat="1" ht="24.95" customHeight="1" x14ac:dyDescent="0.25">
      <c r="A12" s="51" t="str">
        <f t="shared" si="0"/>
        <v/>
      </c>
      <c r="B12" s="52" t="str">
        <f>IFERROR(VLOOKUP($D12,Sheet1!$A$2:$B$98,2,0),"")</f>
        <v/>
      </c>
      <c r="C12" s="89" t="str">
        <f>IFERROR(VLOOKUP($D12,'Tổng Đơn'!$A$5:$E$100,5,0),"")</f>
        <v/>
      </c>
      <c r="D12" s="48"/>
      <c r="E12" s="48"/>
      <c r="F12" s="53" t="str">
        <f>IF(AND($A12="",$A11&lt;&gt;""),"Tổng Cộng",IFERROR(VLOOKUP($D12,Sheet1!$A$2:$D$98,4,0),""))</f>
        <v/>
      </c>
      <c r="G12" s="54" t="str">
        <f>IF($A11=MAX($A$2:$A$50),SUM($G$2:$G11),IFERROR($F12*$E12,""))</f>
        <v/>
      </c>
      <c r="H12" s="92" t="str">
        <f t="shared" si="1"/>
        <v/>
      </c>
      <c r="K12" s="49" t="str">
        <f>IFERROR(VLOOKUP($D12,Sheet1!$A$2:$D$98,4,0),"")</f>
        <v/>
      </c>
    </row>
    <row r="13" spans="1:13" s="46" customFormat="1" ht="24.95" customHeight="1" x14ac:dyDescent="0.25">
      <c r="A13" s="51" t="str">
        <f t="shared" si="0"/>
        <v/>
      </c>
      <c r="B13" s="52" t="str">
        <f>IFERROR(VLOOKUP($D13,Sheet1!$A$2:$B$98,2,0),"")</f>
        <v/>
      </c>
      <c r="C13" s="89" t="str">
        <f>IFERROR(VLOOKUP($D13,'Tổng Đơn'!$A$5:$E$100,5,0),"")</f>
        <v/>
      </c>
      <c r="D13" s="48"/>
      <c r="E13" s="48"/>
      <c r="F13" s="53" t="str">
        <f>IF(AND($A13="",$A12&lt;&gt;""),"Tổng Cộng",IFERROR(VLOOKUP($D13,Sheet1!$A$2:$D$98,4,0),""))</f>
        <v/>
      </c>
      <c r="G13" s="54" t="str">
        <f>IF($A12=MAX($A$2:$A$50),SUM($G$2:$G12),IFERROR($F13*$E13,""))</f>
        <v/>
      </c>
      <c r="H13" s="92" t="str">
        <f t="shared" si="1"/>
        <v/>
      </c>
      <c r="K13" s="49" t="str">
        <f>IFERROR(VLOOKUP($D13,Sheet1!$A$2:$D$98,4,0),"")</f>
        <v/>
      </c>
    </row>
    <row r="14" spans="1:13" s="46" customFormat="1" ht="24.95" customHeight="1" x14ac:dyDescent="0.25">
      <c r="A14" s="51" t="str">
        <f t="shared" si="0"/>
        <v/>
      </c>
      <c r="B14" s="52" t="str">
        <f>IFERROR(VLOOKUP($D14,Sheet1!$A$2:$B$98,2,0),"")</f>
        <v/>
      </c>
      <c r="C14" s="89" t="str">
        <f>IFERROR(VLOOKUP($D14,'Tổng Đơn'!$A$5:$E$100,5,0),"")</f>
        <v/>
      </c>
      <c r="D14" s="48"/>
      <c r="E14" s="48"/>
      <c r="F14" s="53" t="str">
        <f>IF(AND($A14="",$A13&lt;&gt;""),"Tổng Cộng",IFERROR(VLOOKUP($D14,Sheet1!$A$2:$D$98,4,0),""))</f>
        <v/>
      </c>
      <c r="G14" s="54" t="str">
        <f>IF($A13=MAX($A$2:$A$50),SUM($G$2:$G13),IFERROR($F14*$E14,""))</f>
        <v/>
      </c>
      <c r="H14" s="92" t="str">
        <f t="shared" si="1"/>
        <v/>
      </c>
      <c r="K14" s="49" t="str">
        <f>IFERROR(VLOOKUP($D14,Sheet1!$A$2:$D$98,4,0),"")</f>
        <v/>
      </c>
    </row>
    <row r="15" spans="1:13" s="46" customFormat="1" ht="24.95" customHeight="1" x14ac:dyDescent="0.25">
      <c r="A15" s="51" t="str">
        <f t="shared" si="0"/>
        <v/>
      </c>
      <c r="B15" s="52" t="str">
        <f>IFERROR(VLOOKUP($D15,Sheet1!$A$2:$B$98,2,0),"")</f>
        <v/>
      </c>
      <c r="C15" s="89" t="str">
        <f>IFERROR(VLOOKUP($D15,'Tổng Đơn'!$A$5:$E$100,5,0),"")</f>
        <v/>
      </c>
      <c r="D15" s="48"/>
      <c r="E15" s="48"/>
      <c r="F15" s="53" t="str">
        <f>IF(AND($A15="",$A14&lt;&gt;""),"Tổng Cộng",IFERROR(VLOOKUP($D15,Sheet1!$A$2:$D$98,4,0),""))</f>
        <v/>
      </c>
      <c r="G15" s="54" t="str">
        <f>IF($A14=MAX($A$2:$A$50),SUM($G$2:$G14),IFERROR($F15*$E15,""))</f>
        <v/>
      </c>
      <c r="H15" s="92" t="str">
        <f t="shared" si="1"/>
        <v/>
      </c>
      <c r="K15" s="49" t="str">
        <f>IFERROR(VLOOKUP($D15,Sheet1!$A$2:$D$98,4,0),"")</f>
        <v/>
      </c>
    </row>
    <row r="16" spans="1:13" s="46" customFormat="1" ht="24.95" customHeight="1" x14ac:dyDescent="0.25">
      <c r="A16" s="51" t="str">
        <f t="shared" si="0"/>
        <v/>
      </c>
      <c r="B16" s="52" t="str">
        <f>IFERROR(VLOOKUP($D16,Sheet1!$A$2:$B$98,2,0),"")</f>
        <v/>
      </c>
      <c r="C16" s="89" t="str">
        <f>IFERROR(VLOOKUP($D16,'Tổng Đơn'!$A$5:$E$100,5,0),"")</f>
        <v/>
      </c>
      <c r="D16" s="48"/>
      <c r="E16" s="48"/>
      <c r="F16" s="53" t="str">
        <f>IF(AND($A16="",$A15&lt;&gt;""),"Tổng Cộng",IFERROR(VLOOKUP($D16,Sheet1!$A$2:$D$98,4,0),""))</f>
        <v/>
      </c>
      <c r="G16" s="54" t="str">
        <f>IF($A15=MAX($A$2:$A$50),SUM($G$2:$G15),IFERROR($F16*$E16,""))</f>
        <v/>
      </c>
      <c r="H16" s="92" t="str">
        <f t="shared" si="1"/>
        <v/>
      </c>
      <c r="K16" s="49" t="str">
        <f>IFERROR(VLOOKUP($D16,Sheet1!$A$2:$D$98,4,0),"")</f>
        <v/>
      </c>
    </row>
    <row r="17" spans="1:11" s="46" customFormat="1" ht="24.95" customHeight="1" x14ac:dyDescent="0.25">
      <c r="A17" s="51" t="str">
        <f t="shared" si="0"/>
        <v/>
      </c>
      <c r="B17" s="52" t="str">
        <f>IFERROR(VLOOKUP($D17,Sheet1!$A$2:$B$98,2,0),"")</f>
        <v/>
      </c>
      <c r="C17" s="89" t="str">
        <f>IFERROR(VLOOKUP($D17,'Tổng Đơn'!$A$5:$E$100,5,0),"")</f>
        <v/>
      </c>
      <c r="D17" s="48"/>
      <c r="E17" s="48"/>
      <c r="F17" s="53" t="str">
        <f>IF(AND($A17="",$A16&lt;&gt;""),"Tổng Cộng",IFERROR(VLOOKUP($D17,Sheet1!$A$2:$D$98,4,0),""))</f>
        <v/>
      </c>
      <c r="G17" s="54" t="str">
        <f>IF($A16=MAX($A$2:$A$50),SUM($G$2:$G16),IFERROR($F17*$E17,""))</f>
        <v/>
      </c>
      <c r="H17" s="92" t="str">
        <f t="shared" si="1"/>
        <v/>
      </c>
      <c r="K17" s="49" t="str">
        <f>IFERROR(VLOOKUP($D17,Sheet1!$A$2:$D$98,4,0),"")</f>
        <v/>
      </c>
    </row>
    <row r="18" spans="1:11" s="46" customFormat="1" ht="24.95" customHeight="1" x14ac:dyDescent="0.25">
      <c r="A18" s="51" t="str">
        <f t="shared" si="0"/>
        <v/>
      </c>
      <c r="B18" s="52" t="str">
        <f>IFERROR(VLOOKUP($D18,Sheet1!$A$2:$B$98,2,0),"")</f>
        <v/>
      </c>
      <c r="C18" s="89" t="str">
        <f>IFERROR(VLOOKUP($D18,'Tổng Đơn'!$A$5:$E$100,5,0),"")</f>
        <v/>
      </c>
      <c r="D18" s="48"/>
      <c r="E18" s="48"/>
      <c r="F18" s="53" t="str">
        <f>IF(AND($A18="",$A17&lt;&gt;""),"Tổng Cộng",IFERROR(VLOOKUP($D18,Sheet1!$A$2:$D$98,4,0),""))</f>
        <v/>
      </c>
      <c r="G18" s="54" t="str">
        <f>IF($A17=MAX($A$2:$A$50),SUM($G$2:$G17),IFERROR($F18*$E18,""))</f>
        <v/>
      </c>
      <c r="H18" s="92" t="str">
        <f t="shared" si="1"/>
        <v/>
      </c>
      <c r="K18" s="49" t="str">
        <f>IFERROR(VLOOKUP($D18,Sheet1!$A$2:$D$98,4,0),"")</f>
        <v/>
      </c>
    </row>
    <row r="19" spans="1:11" s="46" customFormat="1" ht="24.95" customHeight="1" x14ac:dyDescent="0.25">
      <c r="A19" s="51" t="str">
        <f t="shared" si="0"/>
        <v/>
      </c>
      <c r="B19" s="52" t="str">
        <f>IFERROR(VLOOKUP($D19,Sheet1!$A$2:$B$98,2,0),"")</f>
        <v/>
      </c>
      <c r="C19" s="89" t="str">
        <f>IFERROR(VLOOKUP($D19,'Tổng Đơn'!$A$5:$E$100,5,0),"")</f>
        <v/>
      </c>
      <c r="D19" s="48"/>
      <c r="E19" s="48"/>
      <c r="F19" s="53" t="str">
        <f>IF(AND($A19="",$A18&lt;&gt;""),"Tổng Cộng",IFERROR(VLOOKUP($D19,Sheet1!$A$2:$D$98,4,0),""))</f>
        <v/>
      </c>
      <c r="G19" s="54" t="str">
        <f>IF($A18=MAX($A$2:$A$50),SUM($G$2:$G18),IFERROR($F19*$E19,""))</f>
        <v/>
      </c>
      <c r="H19" s="92" t="str">
        <f t="shared" si="1"/>
        <v/>
      </c>
      <c r="K19" s="49" t="str">
        <f>IFERROR(VLOOKUP($D19,Sheet1!$A$2:$D$98,4,0),"")</f>
        <v/>
      </c>
    </row>
    <row r="20" spans="1:11" s="46" customFormat="1" ht="24.95" customHeight="1" x14ac:dyDescent="0.25">
      <c r="A20" s="51" t="str">
        <f t="shared" si="0"/>
        <v/>
      </c>
      <c r="B20" s="52" t="str">
        <f>IFERROR(VLOOKUP($D20,Sheet1!$A$2:$B$98,2,0),"")</f>
        <v/>
      </c>
      <c r="C20" s="89" t="str">
        <f>IFERROR(VLOOKUP($D20,'Tổng Đơn'!$A$5:$E$100,5,0),"")</f>
        <v/>
      </c>
      <c r="D20" s="48"/>
      <c r="E20" s="48"/>
      <c r="F20" s="53" t="str">
        <f>IF(AND($A20="",$A19&lt;&gt;""),"Tổng Cộng",IFERROR(VLOOKUP($D20,Sheet1!$A$2:$D$98,4,0),""))</f>
        <v/>
      </c>
      <c r="G20" s="54" t="str">
        <f>IF($A19=MAX($A$2:$A$50),SUM($G$2:$G19),IFERROR($F20*$E20,""))</f>
        <v/>
      </c>
      <c r="H20" s="92" t="str">
        <f t="shared" si="1"/>
        <v/>
      </c>
      <c r="K20" s="49" t="str">
        <f>IFERROR(VLOOKUP($D20,Sheet1!$A$2:$D$98,4,0),"")</f>
        <v/>
      </c>
    </row>
    <row r="21" spans="1:11" s="46" customFormat="1" ht="24.95" customHeight="1" x14ac:dyDescent="0.25">
      <c r="A21" s="51" t="str">
        <f t="shared" si="0"/>
        <v/>
      </c>
      <c r="B21" s="52" t="str">
        <f>IFERROR(VLOOKUP($D21,Sheet1!$A$2:$B$98,2,0),"")</f>
        <v/>
      </c>
      <c r="C21" s="89" t="str">
        <f>IFERROR(VLOOKUP($D21,'Tổng Đơn'!$A$5:$E$100,5,0),"")</f>
        <v/>
      </c>
      <c r="D21" s="48"/>
      <c r="E21" s="48"/>
      <c r="F21" s="53" t="str">
        <f>IF(AND($A21="",$A20&lt;&gt;""),"Tổng Cộng",IFERROR(VLOOKUP($D21,Sheet1!$A$2:$D$98,4,0),""))</f>
        <v/>
      </c>
      <c r="G21" s="54" t="str">
        <f>IF($A20=MAX($A$2:$A$50),SUM($G$2:$G20),IFERROR($F21*$E21,""))</f>
        <v/>
      </c>
      <c r="H21" s="92" t="str">
        <f t="shared" si="1"/>
        <v/>
      </c>
      <c r="K21" s="49"/>
    </row>
    <row r="22" spans="1:11" s="46" customFormat="1" ht="24.95" customHeight="1" x14ac:dyDescent="0.25">
      <c r="A22" s="51" t="str">
        <f t="shared" si="0"/>
        <v/>
      </c>
      <c r="B22" s="52" t="str">
        <f>IFERROR(VLOOKUP($D22,Sheet1!$A$2:$B$98,2,0),"")</f>
        <v/>
      </c>
      <c r="C22" s="89" t="str">
        <f>IFERROR(VLOOKUP($D22,'Tổng Đơn'!$A$5:$E$100,5,0),"")</f>
        <v/>
      </c>
      <c r="D22" s="48"/>
      <c r="E22" s="48"/>
      <c r="F22" s="53" t="str">
        <f>IF(AND($A22="",$A21&lt;&gt;""),"Tổng Cộng",IFERROR(VLOOKUP($D22,Sheet1!$A$2:$D$98,4,0),""))</f>
        <v/>
      </c>
      <c r="G22" s="54" t="str">
        <f>IF($A21=MAX($A$2:$A$50),SUM($G$2:$G21),IFERROR($F22*$E22,""))</f>
        <v/>
      </c>
      <c r="H22" s="92" t="str">
        <f t="shared" si="1"/>
        <v/>
      </c>
      <c r="K22" s="49"/>
    </row>
    <row r="23" spans="1:11" s="46" customFormat="1" ht="24.95" customHeight="1" x14ac:dyDescent="0.25">
      <c r="A23" s="51" t="str">
        <f t="shared" si="0"/>
        <v/>
      </c>
      <c r="B23" s="52" t="str">
        <f>IFERROR(VLOOKUP($D23,Sheet1!$A$2:$B$98,2,0),"")</f>
        <v/>
      </c>
      <c r="C23" s="89" t="str">
        <f>IFERROR(VLOOKUP($D23,'Tổng Đơn'!$A$5:$E$100,5,0),"")</f>
        <v/>
      </c>
      <c r="D23" s="48"/>
      <c r="E23" s="48"/>
      <c r="F23" s="53" t="str">
        <f>IF(AND($A23="",$A22&lt;&gt;""),"Tổng Cộng",IFERROR(VLOOKUP($D23,Sheet1!$A$2:$D$98,4,0),""))</f>
        <v/>
      </c>
      <c r="G23" s="54" t="str">
        <f>IF($A22=MAX($A$2:$A$50),SUM($G$2:$G22),IFERROR($F23*$E23,""))</f>
        <v/>
      </c>
      <c r="H23" s="92" t="str">
        <f t="shared" si="1"/>
        <v/>
      </c>
      <c r="K23" s="49">
        <v>1</v>
      </c>
    </row>
    <row r="24" spans="1:11" s="46" customFormat="1" ht="24.95" customHeight="1" x14ac:dyDescent="0.25">
      <c r="A24" s="51" t="str">
        <f t="shared" si="0"/>
        <v/>
      </c>
      <c r="B24" s="52" t="str">
        <f>IFERROR(VLOOKUP($D24,Sheet1!$A$2:$B$98,2,0),"")</f>
        <v/>
      </c>
      <c r="C24" s="89" t="str">
        <f>IFERROR(VLOOKUP($D24,'Tổng Đơn'!$A$5:$E$100,5,0),"")</f>
        <v/>
      </c>
      <c r="D24" s="48"/>
      <c r="E24" s="48"/>
      <c r="F24" s="53" t="str">
        <f>IF(AND($A24="",$A23&lt;&gt;""),"Tổng Cộng",IFERROR(VLOOKUP($D24,Sheet1!$A$2:$D$98,4,0),""))</f>
        <v/>
      </c>
      <c r="G24" s="54" t="str">
        <f>IF($A23=MAX($A$2:$A$50),SUM($G$2:$G23),IFERROR($F24*$E24,""))</f>
        <v/>
      </c>
      <c r="H24" s="92" t="str">
        <f t="shared" si="1"/>
        <v/>
      </c>
      <c r="K24" s="49">
        <v>1</v>
      </c>
    </row>
    <row r="25" spans="1:11" s="46" customFormat="1" ht="24.95" customHeight="1" x14ac:dyDescent="0.25">
      <c r="A25" s="51" t="str">
        <f t="shared" si="0"/>
        <v/>
      </c>
      <c r="B25" s="52" t="str">
        <f>IFERROR(VLOOKUP($D25,Sheet1!$A$2:$B$98,2,0),"")</f>
        <v/>
      </c>
      <c r="C25" s="89" t="str">
        <f>IFERROR(VLOOKUP($D25,'Tổng Đơn'!$A$5:$E$100,5,0),"")</f>
        <v/>
      </c>
      <c r="D25" s="48"/>
      <c r="E25" s="48"/>
      <c r="F25" s="53" t="str">
        <f>IF(AND($A25="",$A24&lt;&gt;""),"Tổng Cộng",IFERROR(VLOOKUP($D25,Sheet1!$A$2:$D$98,4,0),""))</f>
        <v/>
      </c>
      <c r="G25" s="54" t="str">
        <f>IF($A24=MAX($A$2:$A$50),SUM($G$2:$G24),IFERROR($F25*$E25,""))</f>
        <v/>
      </c>
      <c r="H25" s="92" t="str">
        <f t="shared" si="1"/>
        <v/>
      </c>
      <c r="K25" s="49">
        <v>1</v>
      </c>
    </row>
    <row r="26" spans="1:11" s="46" customFormat="1" ht="24.95" customHeight="1" x14ac:dyDescent="0.25">
      <c r="A26" s="51" t="str">
        <f t="shared" si="0"/>
        <v/>
      </c>
      <c r="B26" s="52" t="str">
        <f>IFERROR(VLOOKUP($D26,Sheet1!$A$2:$B$98,2,0),"")</f>
        <v/>
      </c>
      <c r="C26" s="89" t="str">
        <f>IFERROR(VLOOKUP($D26,'Tổng Đơn'!$A$5:$E$100,5,0),"")</f>
        <v/>
      </c>
      <c r="D26" s="48"/>
      <c r="E26" s="48"/>
      <c r="F26" s="53" t="str">
        <f>IF(AND($A26="",$A25&lt;&gt;""),"Tổng Cộng",IFERROR(VLOOKUP($D26,Sheet1!$A$2:$D$98,4,0),""))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IFERROR(VLOOKUP($D27,Sheet1!$A$2:$B$98,2,0),"")</f>
        <v/>
      </c>
      <c r="C27" s="89" t="str">
        <f>IFERROR(VLOOKUP($D27,'Tổng Đơn'!$A$5:$E$100,5,0),"")</f>
        <v/>
      </c>
      <c r="D27" s="48"/>
      <c r="E27" s="48"/>
      <c r="F27" s="53" t="str">
        <f>IF(AND($A27="",$A26&lt;&gt;""),"Tổng Cộng",IFERROR(VLOOKUP($D27,Sheet1!$A$2:$D$98,4,0),""))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IFERROR(VLOOKUP($D28,Sheet1!$A$2:$B$98,2,0),"")</f>
        <v/>
      </c>
      <c r="C28" s="89" t="str">
        <f>IFERROR(VLOOKUP($D28,'Tổng Đơn'!$A$5:$E$100,5,0),"")</f>
        <v/>
      </c>
      <c r="D28" s="48"/>
      <c r="E28" s="48"/>
      <c r="F28" s="53" t="str">
        <f>IF(AND($A28="",$A27&lt;&gt;""),"Tổng Cộng",IFERROR(VLOOKUP($D28,Sheet1!$A$2:$D$98,4,0),""))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IFERROR(VLOOKUP($D29,Sheet1!$A$2:$B$98,2,0),"")</f>
        <v/>
      </c>
      <c r="C29" s="89" t="str">
        <f>IFERROR(VLOOKUP($D29,'Tổng Đơn'!$A$5:$E$100,5,0),"")</f>
        <v/>
      </c>
      <c r="D29" s="48"/>
      <c r="E29" s="48"/>
      <c r="F29" s="53" t="str">
        <f>IF(AND($A29="",$A28&lt;&gt;""),"Tổng Cộng",IFERROR(VLOOKUP($D29,Sheet1!$A$2:$D$98,4,0),""))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IFERROR(VLOOKUP($D30,Sheet1!$A$2:$B$98,2,0),"")</f>
        <v/>
      </c>
      <c r="C30" s="89" t="str">
        <f>IFERROR(VLOOKUP($D30,'Tổng Đơn'!$A$5:$E$100,5,0),"")</f>
        <v/>
      </c>
      <c r="D30" s="48"/>
      <c r="E30" s="48"/>
      <c r="F30" s="53" t="str">
        <f>IF(AND($A30="",$A29&lt;&gt;""),"Tổng Cộng",IFERROR(VLOOKUP($D30,Sheet1!$A$2:$D$98,4,0),""))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IFERROR(VLOOKUP($D31,Sheet1!$A$2:$B$98,2,0),"")</f>
        <v/>
      </c>
      <c r="C31" s="89" t="str">
        <f>IFERROR(VLOOKUP($D31,'Tổng Đơn'!$A$5:$E$100,5,0),"")</f>
        <v/>
      </c>
      <c r="D31" s="48"/>
      <c r="E31" s="48"/>
      <c r="F31" s="53" t="str">
        <f>IF(AND($A31="",$A30&lt;&gt;""),"Tổng Cộng",IFERROR(VLOOKUP($D31,Sheet1!$A$2:$D$98,4,0),""))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Cộng",IFERROR(VLOOKUP($D32,Sheet1!$A$2:$D$98,4,0),""))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F3">
    <cfRule type="expression" dxfId="179" priority="21">
      <formula>$A2=MAX($A$2:$A$31)</formula>
    </cfRule>
  </conditionalFormatting>
  <conditionalFormatting sqref="D2:D3">
    <cfRule type="expression" dxfId="178" priority="18">
      <formula>AND($D2="",$E2&lt;&gt;"")</formula>
    </cfRule>
  </conditionalFormatting>
  <conditionalFormatting sqref="E2:E3">
    <cfRule type="expression" dxfId="177" priority="17">
      <formula>AND($E2="",$D2&lt;&gt;"")</formula>
    </cfRule>
  </conditionalFormatting>
  <conditionalFormatting sqref="C2:C3">
    <cfRule type="expression" dxfId="176" priority="15">
      <formula>AND($D2="",$E2&lt;&gt;"")</formula>
    </cfRule>
  </conditionalFormatting>
  <conditionalFormatting sqref="A10:G31 A4:F9 G2:G9">
    <cfRule type="expression" dxfId="175" priority="8">
      <formula>$A1=MAX($A$2:$A$31)</formula>
    </cfRule>
  </conditionalFormatting>
  <conditionalFormatting sqref="D4:D31">
    <cfRule type="expression" dxfId="174" priority="7">
      <formula>AND($D4="",$E4&lt;&gt;"")</formula>
    </cfRule>
  </conditionalFormatting>
  <conditionalFormatting sqref="E4:E31">
    <cfRule type="expression" dxfId="173" priority="6">
      <formula>AND($E4="",$D4&lt;&gt;"")</formula>
    </cfRule>
  </conditionalFormatting>
  <conditionalFormatting sqref="C4:C31">
    <cfRule type="expression" dxfId="172" priority="5">
      <formula>AND($D4="",$E4&lt;&gt;"")</formula>
    </cfRule>
  </conditionalFormatting>
  <conditionalFormatting sqref="A32:G32">
    <cfRule type="expression" dxfId="171" priority="4">
      <formula>$A31=MAX($A$2:$A$31)</formula>
    </cfRule>
  </conditionalFormatting>
  <conditionalFormatting sqref="D32">
    <cfRule type="expression" dxfId="170" priority="3">
      <formula>AND($D32="",$E32&lt;&gt;"")</formula>
    </cfRule>
  </conditionalFormatting>
  <conditionalFormatting sqref="E32">
    <cfRule type="expression" dxfId="169" priority="2">
      <formula>AND($E32="",$D32&lt;&gt;"")</formula>
    </cfRule>
  </conditionalFormatting>
  <conditionalFormatting sqref="C32">
    <cfRule type="expression" dxfId="168"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4" r:id="rId4" name="Button 2">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theme="1"/>
  </sheetPr>
  <dimension ref="A1:M52"/>
  <sheetViews>
    <sheetView zoomScaleNormal="100" workbookViewId="0">
      <pane ySplit="1" topLeftCell="A2" activePane="bottomLeft" state="frozen"/>
      <selection activeCell="H16" sqref="H16"/>
      <selection pane="bottomLeft" activeCell="H1" sqref="H1"/>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3" width="10.140625" style="14" bestFit="1" customWidth="1"/>
    <col min="14" max="16384" width="9.140625" style="14"/>
  </cols>
  <sheetData>
    <row r="1" spans="1:13" s="45" customFormat="1" ht="39" customHeight="1" x14ac:dyDescent="0.25">
      <c r="A1" s="47" t="s">
        <v>0</v>
      </c>
      <c r="B1" s="47" t="s">
        <v>17</v>
      </c>
      <c r="C1" s="87" t="s">
        <v>55</v>
      </c>
      <c r="D1" s="91" t="s">
        <v>118</v>
      </c>
      <c r="E1" s="91" t="s">
        <v>16</v>
      </c>
      <c r="F1" s="47" t="s">
        <v>18</v>
      </c>
      <c r="G1" s="47" t="s">
        <v>19</v>
      </c>
      <c r="H1" s="157" t="s">
        <v>228</v>
      </c>
      <c r="I1" s="55">
        <f>SUBTOTAL(9,H2:H31)</f>
        <v>0.4</v>
      </c>
      <c r="K1" s="47" t="s">
        <v>18</v>
      </c>
    </row>
    <row r="2" spans="1:13" s="46" customFormat="1" ht="24.95" customHeight="1" x14ac:dyDescent="0.25">
      <c r="A2" s="51">
        <f>IF(OR(SUM($A1,$D2&lt;&gt;"")=0,$D2=""),"",SUM($A1,$D2&lt;&gt;""))</f>
        <v>1</v>
      </c>
      <c r="B2" s="52" t="str">
        <f>IFERROR(VLOOKUP($D2,Sheet1!$A$2:$B$98,2,0),"")</f>
        <v>Cá Viên TVP nhỏ</v>
      </c>
      <c r="C2" s="88">
        <f>IFERROR(VLOOKUP($D2,'Tổng Đơn'!$A$5:$E$100,5,0),"")</f>
        <v>0.2</v>
      </c>
      <c r="D2" s="48">
        <v>30</v>
      </c>
      <c r="E2" s="48">
        <v>1</v>
      </c>
      <c r="F2" s="53">
        <f>IFERROR(VLOOKUP($D2,Sheet1!$A$2:$D$98,4,0),"")</f>
        <v>14000</v>
      </c>
      <c r="G2" s="54">
        <f>IF($A1=MAX($A$2:$A$50),SUM($G1:$G$2),IFERROR($F2*$E2,""))</f>
        <v>14000</v>
      </c>
      <c r="H2" s="92">
        <f>IFERROR(E2*C2,"")</f>
        <v>0.2</v>
      </c>
      <c r="I2" s="46" t="str">
        <f>IF(SUMPRODUCT(($E$2:$E$12),($K$2:$K$12))&gt;=200000,"KM 15%",IF(SUMPRODUCT(($E$2:$E$12),($K$2:$K$12))&gt;=100000,"KM 10%",""))</f>
        <v/>
      </c>
      <c r="K2" s="50">
        <f>IFERROR(VLOOKUP($D2,Sheet1!$A$2:$D$98,4,0),"")</f>
        <v>14000</v>
      </c>
    </row>
    <row r="3" spans="1:13" s="46" customFormat="1" ht="24.95" customHeight="1" x14ac:dyDescent="0.25">
      <c r="A3" s="51">
        <f t="shared" ref="A3:A31" si="0">IF(OR(SUM($A2,$D3&lt;&gt;"")=0,$D3=""),"",SUM($A2,$D3&lt;&gt;""))</f>
        <v>2</v>
      </c>
      <c r="B3" s="52" t="str">
        <f>IFERROR(VLOOKUP($D3,Sheet1!$A$2:$B$98,2,0),"")</f>
        <v>Bò viên TVP nhỏ</v>
      </c>
      <c r="C3" s="89">
        <f>IFERROR(VLOOKUP($D3,'Tổng Đơn'!$A$5:$E$100,5,0),"")</f>
        <v>0.2</v>
      </c>
      <c r="D3" s="48">
        <v>35</v>
      </c>
      <c r="E3" s="48">
        <v>1</v>
      </c>
      <c r="F3" s="53">
        <f>IF(AND($A3="",$A2&lt;&gt;""),"Tổng Cộng",IFERROR(VLOOKUP($D3,Sheet1!$A$2:$D$98,4,0),""))</f>
        <v>14000</v>
      </c>
      <c r="G3" s="54">
        <f>IF($A2=MAX($A$2:$A$50),SUM($G$2:$G2),IFERROR($F3*$E3,""))</f>
        <v>14000</v>
      </c>
      <c r="H3" s="92">
        <f t="shared" ref="H3:H31" si="1">IFERROR(E3*C3,"")</f>
        <v>0.2</v>
      </c>
      <c r="K3" s="49">
        <f>IFERROR(VLOOKUP($D3,Sheet1!$A$2:$D$98,4,0),"")</f>
        <v>14000</v>
      </c>
    </row>
    <row r="4" spans="1:13" s="46" customFormat="1" ht="24.95" customHeight="1" x14ac:dyDescent="0.25">
      <c r="A4" s="51" t="str">
        <f t="shared" si="0"/>
        <v/>
      </c>
      <c r="B4" s="52" t="str">
        <f>IFERROR(VLOOKUP($D4,Sheet1!$A$2:$B$98,2,0),"")</f>
        <v/>
      </c>
      <c r="C4" s="89" t="str">
        <f>IFERROR(VLOOKUP($D4,'Tổng Đơn'!$A$5:$E$100,5,0),"")</f>
        <v/>
      </c>
      <c r="D4" s="48" t="s">
        <v>192</v>
      </c>
      <c r="E4" s="48"/>
      <c r="F4" s="53" t="str">
        <f>IF(AND($A4="",$A3&lt;&gt;""),"Tổng Cộng",IFERROR(VLOOKUP($D4,Sheet1!$A$2:$D$98,4,0),""))</f>
        <v>Tổng Cộng</v>
      </c>
      <c r="G4" s="54">
        <f>IF($A3=MAX($A$2:$A$50),SUM($G$2:$G3),IFERROR($F4*$E4,""))</f>
        <v>28000</v>
      </c>
      <c r="H4" s="92" t="str">
        <f t="shared" si="1"/>
        <v/>
      </c>
      <c r="K4" s="49" t="str">
        <f>IFERROR(VLOOKUP($D4,Sheet1!$A$2:$D$98,4,0),"")</f>
        <v/>
      </c>
    </row>
    <row r="5" spans="1:13" s="46" customFormat="1" ht="24.95" customHeight="1" x14ac:dyDescent="0.25">
      <c r="A5" s="51" t="str">
        <f t="shared" si="0"/>
        <v/>
      </c>
      <c r="B5" s="52" t="str">
        <f>IFERROR(VLOOKUP($D5,Sheet1!$A$2:$B$98,2,0),"")</f>
        <v/>
      </c>
      <c r="C5" s="89" t="str">
        <f>IFERROR(VLOOKUP($D5,'Tổng Đơn'!$A$5:$E$100,5,0),"")</f>
        <v/>
      </c>
      <c r="D5" s="48" t="s">
        <v>192</v>
      </c>
      <c r="E5" s="48"/>
      <c r="F5" s="53" t="str">
        <f>IF(AND($A5="",$A4&lt;&gt;""),"Tổng Cộng",IFERROR(VLOOKUP($D5,Sheet1!$A$2:$D$98,4,0),""))</f>
        <v/>
      </c>
      <c r="G5" s="54" t="str">
        <f>IF($A4=MAX($A$2:$A$50),SUM($G$2:$G4),IFERROR($F5*$E5,""))</f>
        <v/>
      </c>
      <c r="H5" s="92" t="str">
        <f t="shared" si="1"/>
        <v/>
      </c>
      <c r="K5" s="49" t="str">
        <f>IFERROR(VLOOKUP($D5,Sheet1!$A$2:$D$98,4,0),"")</f>
        <v/>
      </c>
    </row>
    <row r="6" spans="1:13" s="46" customFormat="1" ht="24.95" customHeight="1" x14ac:dyDescent="0.25">
      <c r="A6" s="51" t="str">
        <f t="shared" si="0"/>
        <v/>
      </c>
      <c r="B6" s="52" t="str">
        <f>IFERROR(VLOOKUP($D6,Sheet1!$A$2:$B$98,2,0),"")</f>
        <v/>
      </c>
      <c r="C6" s="89" t="str">
        <f>IFERROR(VLOOKUP($D6,'Tổng Đơn'!$A$5:$E$100,5,0),"")</f>
        <v/>
      </c>
      <c r="D6" s="48" t="s">
        <v>192</v>
      </c>
      <c r="E6" s="48"/>
      <c r="F6" s="53" t="str">
        <f>IF(AND($A6="",$A5&lt;&gt;""),"Tổng Cộng",IFERROR(VLOOKUP($D6,Sheet1!$A$2:$D$98,4,0),""))</f>
        <v/>
      </c>
      <c r="G6" s="54" t="str">
        <f>IF($A5=MAX($A$2:$A$50),SUM($G$2:$G5),IFERROR($F6*$E6,""))</f>
        <v/>
      </c>
      <c r="H6" s="92" t="str">
        <f t="shared" si="1"/>
        <v/>
      </c>
      <c r="I6" s="175"/>
      <c r="K6" s="49"/>
      <c r="L6" s="184"/>
      <c r="M6" s="176"/>
    </row>
    <row r="7" spans="1:13" s="46" customFormat="1" ht="24.95" customHeight="1" x14ac:dyDescent="0.25">
      <c r="A7" s="51" t="str">
        <f t="shared" si="0"/>
        <v/>
      </c>
      <c r="B7" s="52" t="str">
        <f>IFERROR(VLOOKUP($D7,Sheet1!$A$2:$B$98,2,0),"")</f>
        <v/>
      </c>
      <c r="C7" s="89" t="str">
        <f>IFERROR(VLOOKUP($D7,'Tổng Đơn'!$A$5:$E$100,5,0),"")</f>
        <v/>
      </c>
      <c r="D7" s="48" t="s">
        <v>192</v>
      </c>
      <c r="E7" s="48"/>
      <c r="F7" s="53" t="str">
        <f>IF(AND($A7="",$A6&lt;&gt;""),"Tổng Cộng",IFERROR(VLOOKUP($D7,Sheet1!$A$2:$D$98,4,0),""))</f>
        <v/>
      </c>
      <c r="G7" s="54" t="str">
        <f>IF($A6=MAX($A$2:$A$50),SUM($G$2:$G6),IFERROR($F7*$E7,""))</f>
        <v/>
      </c>
      <c r="H7" s="92" t="str">
        <f t="shared" si="1"/>
        <v/>
      </c>
      <c r="K7" s="49"/>
    </row>
    <row r="8" spans="1:13" s="46" customFormat="1" ht="24.95" customHeight="1" x14ac:dyDescent="0.25">
      <c r="A8" s="51" t="str">
        <f t="shared" si="0"/>
        <v/>
      </c>
      <c r="B8" s="52" t="str">
        <f>IFERROR(VLOOKUP($D8,Sheet1!$A$2:$B$98,2,0),"")</f>
        <v/>
      </c>
      <c r="C8" s="89" t="str">
        <f>IFERROR(VLOOKUP($D8,'Tổng Đơn'!$A$5:$E$100,5,0),"")</f>
        <v/>
      </c>
      <c r="D8" s="48" t="s">
        <v>192</v>
      </c>
      <c r="E8" s="48"/>
      <c r="F8" s="53" t="str">
        <f>IF(AND($A8="",$A7&lt;&gt;""),"Tổng Cộng",IFERROR(VLOOKUP($D8,Sheet1!$A$2:$D$98,4,0),""))</f>
        <v/>
      </c>
      <c r="G8" s="54" t="str">
        <f>IF($A7=MAX($A$2:$A$50),SUM($G$2:$G7),IFERROR($F8*$E8,""))</f>
        <v/>
      </c>
      <c r="H8" s="92" t="str">
        <f t="shared" si="1"/>
        <v/>
      </c>
      <c r="K8" s="49" t="str">
        <f>IFERROR(VLOOKUP($D8,Sheet1!$A$2:$D$98,4,0),"")</f>
        <v/>
      </c>
      <c r="L8" s="185"/>
    </row>
    <row r="9" spans="1:13" s="46" customFormat="1" ht="24.95" customHeight="1" x14ac:dyDescent="0.25">
      <c r="A9" s="51" t="str">
        <f t="shared" si="0"/>
        <v/>
      </c>
      <c r="B9" s="52" t="str">
        <f>IFERROR(VLOOKUP($D9,Sheet1!$A$2:$B$98,2,0),"")</f>
        <v/>
      </c>
      <c r="C9" s="89" t="str">
        <f>IFERROR(VLOOKUP($D9,'Tổng Đơn'!$A$5:$E$100,5,0),"")</f>
        <v/>
      </c>
      <c r="D9" s="48" t="s">
        <v>192</v>
      </c>
      <c r="E9" s="48"/>
      <c r="F9" s="53" t="str">
        <f>IF(AND($A9="",$A8&lt;&gt;""),"Tổng Cộng",IFERROR(VLOOKUP($D9,Sheet1!$A$2:$D$98,4,0),""))</f>
        <v/>
      </c>
      <c r="G9" s="54" t="str">
        <f>IF($A8=MAX($A$2:$A$50),SUM($G$2:$G8),IFERROR($F9*$E9,""))</f>
        <v/>
      </c>
      <c r="H9" s="92" t="str">
        <f t="shared" si="1"/>
        <v/>
      </c>
      <c r="K9" s="49" t="str">
        <f>IFERROR(VLOOKUP($D9,Sheet1!$A$2:$D$98,4,0),"")</f>
        <v/>
      </c>
    </row>
    <row r="10" spans="1:13" s="46" customFormat="1" ht="24.95" customHeight="1" x14ac:dyDescent="0.25">
      <c r="A10" s="51" t="str">
        <f t="shared" si="0"/>
        <v/>
      </c>
      <c r="B10" s="52" t="str">
        <f>IFERROR(VLOOKUP($D10,Sheet1!$A$2:$B$98,2,0),"")</f>
        <v/>
      </c>
      <c r="C10" s="89" t="str">
        <f>IFERROR(VLOOKUP($D10,'Tổng Đơn'!$A$5:$E$100,5,0),"")</f>
        <v/>
      </c>
      <c r="D10" s="48" t="s">
        <v>192</v>
      </c>
      <c r="E10" s="48"/>
      <c r="F10" s="53" t="str">
        <f>IF(AND($A10="",$A9&lt;&gt;""),"Tổng Cộng",IFERROR(VLOOKUP($D10,Sheet1!$A$2:$D$98,4,0),""))</f>
        <v/>
      </c>
      <c r="G10" s="54" t="str">
        <f>IF($A9=MAX($A$2:$A$50),SUM($G$2:$G9),IFERROR($F10*$E10,""))</f>
        <v/>
      </c>
      <c r="H10" s="92" t="str">
        <f t="shared" si="1"/>
        <v/>
      </c>
      <c r="K10" s="49" t="str">
        <f>IFERROR(VLOOKUP($D10,Sheet1!$A$2:$D$98,4,0),"")</f>
        <v/>
      </c>
    </row>
    <row r="11" spans="1:13" s="46" customFormat="1" ht="24.95" customHeight="1" x14ac:dyDescent="0.25">
      <c r="A11" s="51" t="str">
        <f t="shared" si="0"/>
        <v/>
      </c>
      <c r="B11" s="52" t="str">
        <f>IFERROR(VLOOKUP($D11,Sheet1!$A$2:$B$98,2,0),"")</f>
        <v/>
      </c>
      <c r="C11" s="89" t="str">
        <f>IFERROR(VLOOKUP($D11,'Tổng Đơn'!$A$5:$E$100,5,0),"")</f>
        <v/>
      </c>
      <c r="D11" s="48" t="s">
        <v>192</v>
      </c>
      <c r="E11" s="48"/>
      <c r="F11" s="53" t="str">
        <f>IF(AND($A11="",$A10&lt;&gt;""),"Tổng Cộng",IFERROR(VLOOKUP($D11,Sheet1!$A$2:$D$98,4,0),""))</f>
        <v/>
      </c>
      <c r="G11" s="54" t="str">
        <f>IF($A10=MAX($A$2:$A$50),SUM($G$2:$G10),IFERROR($F11*$E11,""))</f>
        <v/>
      </c>
      <c r="H11" s="92" t="str">
        <f t="shared" si="1"/>
        <v/>
      </c>
      <c r="K11" s="49" t="str">
        <f>IFERROR(VLOOKUP($D11,Sheet1!$A$2:$D$98,4,0),"")</f>
        <v/>
      </c>
    </row>
    <row r="12" spans="1:13" s="46" customFormat="1" ht="24.95" customHeight="1" x14ac:dyDescent="0.25">
      <c r="A12" s="51" t="str">
        <f t="shared" si="0"/>
        <v/>
      </c>
      <c r="B12" s="52" t="str">
        <f>IFERROR(VLOOKUP($D12,Sheet1!$A$2:$B$98,2,0),"")</f>
        <v/>
      </c>
      <c r="C12" s="89" t="str">
        <f>IFERROR(VLOOKUP($D12,'Tổng Đơn'!$A$5:$E$100,5,0),"")</f>
        <v/>
      </c>
      <c r="D12" s="48" t="s">
        <v>192</v>
      </c>
      <c r="E12" s="48"/>
      <c r="F12" s="53" t="str">
        <f>IF(AND($A12="",$A11&lt;&gt;""),"Tổng Cộng",IFERROR(VLOOKUP($D12,Sheet1!$A$2:$D$98,4,0),""))</f>
        <v/>
      </c>
      <c r="G12" s="54" t="str">
        <f>IF($A11=MAX($A$2:$A$50),SUM($G$2:$G11),IFERROR($F12*$E12,""))</f>
        <v/>
      </c>
      <c r="H12" s="92" t="str">
        <f t="shared" si="1"/>
        <v/>
      </c>
      <c r="K12" s="49" t="str">
        <f>IFERROR(VLOOKUP($D12,Sheet1!$A$2:$D$98,4,0),"")</f>
        <v/>
      </c>
    </row>
    <row r="13" spans="1:13" s="46" customFormat="1" ht="24.95" customHeight="1" x14ac:dyDescent="0.25">
      <c r="A13" s="51" t="str">
        <f t="shared" si="0"/>
        <v/>
      </c>
      <c r="B13" s="52" t="str">
        <f>IFERROR(VLOOKUP($D13,Sheet1!$A$2:$B$98,2,0),"")</f>
        <v/>
      </c>
      <c r="C13" s="89" t="str">
        <f>IFERROR(VLOOKUP($D13,'Tổng Đơn'!$A$5:$E$100,5,0),"")</f>
        <v/>
      </c>
      <c r="D13" s="48" t="s">
        <v>192</v>
      </c>
      <c r="E13" s="48"/>
      <c r="F13" s="53" t="str">
        <f>IF(AND($A13="",$A12&lt;&gt;""),"Tổng Cộng",IFERROR(VLOOKUP($D13,Sheet1!$A$2:$D$98,4,0),""))</f>
        <v/>
      </c>
      <c r="G13" s="54" t="str">
        <f>IF($A12=MAX($A$2:$A$50),SUM($G$2:$G12),IFERROR($F13*$E13,""))</f>
        <v/>
      </c>
      <c r="H13" s="92" t="str">
        <f t="shared" si="1"/>
        <v/>
      </c>
      <c r="K13" s="49" t="str">
        <f>IFERROR(VLOOKUP($D13,Sheet1!$A$2:$D$98,4,0),"")</f>
        <v/>
      </c>
    </row>
    <row r="14" spans="1:13" s="46" customFormat="1" ht="24.95" customHeight="1" x14ac:dyDescent="0.25">
      <c r="A14" s="51" t="str">
        <f t="shared" si="0"/>
        <v/>
      </c>
      <c r="B14" s="52" t="str">
        <f>IFERROR(VLOOKUP($D14,Sheet1!$A$2:$B$98,2,0),"")</f>
        <v/>
      </c>
      <c r="C14" s="89" t="str">
        <f>IFERROR(VLOOKUP($D14,'Tổng Đơn'!$A$5:$E$100,5,0),"")</f>
        <v/>
      </c>
      <c r="D14" s="48" t="s">
        <v>192</v>
      </c>
      <c r="E14" s="48"/>
      <c r="F14" s="53" t="str">
        <f>IF(AND($A14="",$A13&lt;&gt;""),"Tổng Cộng",IFERROR(VLOOKUP($D14,Sheet1!$A$2:$D$98,4,0),""))</f>
        <v/>
      </c>
      <c r="G14" s="54" t="str">
        <f>IF($A13=MAX($A$2:$A$50),SUM($G$2:$G13),IFERROR($F14*$E14,""))</f>
        <v/>
      </c>
      <c r="H14" s="92" t="str">
        <f t="shared" si="1"/>
        <v/>
      </c>
      <c r="K14" s="49" t="str">
        <f>IFERROR(VLOOKUP($D14,Sheet1!$A$2:$D$98,4,0),"")</f>
        <v/>
      </c>
    </row>
    <row r="15" spans="1:13" s="46" customFormat="1" ht="24.95" customHeight="1" x14ac:dyDescent="0.25">
      <c r="A15" s="51" t="str">
        <f t="shared" si="0"/>
        <v/>
      </c>
      <c r="B15" s="52" t="str">
        <f>IFERROR(VLOOKUP($D15,Sheet1!$A$2:$B$98,2,0),"")</f>
        <v/>
      </c>
      <c r="C15" s="89" t="str">
        <f>IFERROR(VLOOKUP($D15,'Tổng Đơn'!$A$5:$E$100,5,0),"")</f>
        <v/>
      </c>
      <c r="D15" s="48" t="s">
        <v>192</v>
      </c>
      <c r="E15" s="48"/>
      <c r="F15" s="53" t="str">
        <f>IF(AND($A15="",$A14&lt;&gt;""),"Tổng Cộng",IFERROR(VLOOKUP($D15,Sheet1!$A$2:$D$98,4,0),""))</f>
        <v/>
      </c>
      <c r="G15" s="54" t="str">
        <f>IF($A14=MAX($A$2:$A$50),SUM($G$2:$G14),IFERROR($F15*$E15,""))</f>
        <v/>
      </c>
      <c r="H15" s="92" t="str">
        <f t="shared" si="1"/>
        <v/>
      </c>
      <c r="K15" s="49" t="str">
        <f>IFERROR(VLOOKUP($D15,Sheet1!$A$2:$D$98,4,0),"")</f>
        <v/>
      </c>
    </row>
    <row r="16" spans="1:13" s="46" customFormat="1" ht="24.95" customHeight="1" x14ac:dyDescent="0.25">
      <c r="A16" s="51" t="str">
        <f t="shared" si="0"/>
        <v/>
      </c>
      <c r="B16" s="52" t="str">
        <f>IFERROR(VLOOKUP($D16,Sheet1!$A$2:$B$98,2,0),"")</f>
        <v/>
      </c>
      <c r="C16" s="89" t="str">
        <f>IFERROR(VLOOKUP($D16,'Tổng Đơn'!$A$5:$E$100,5,0),"")</f>
        <v/>
      </c>
      <c r="D16" s="48" t="s">
        <v>192</v>
      </c>
      <c r="E16" s="48"/>
      <c r="F16" s="53" t="str">
        <f>IF(AND($A16="",$A15&lt;&gt;""),"Tổng Cộng",IFERROR(VLOOKUP($D16,Sheet1!$A$2:$D$98,4,0),""))</f>
        <v/>
      </c>
      <c r="G16" s="54" t="str">
        <f>IF($A15=MAX($A$2:$A$50),SUM($G$2:$G15),IFERROR($F16*$E16,""))</f>
        <v/>
      </c>
      <c r="H16" s="92" t="str">
        <f t="shared" si="1"/>
        <v/>
      </c>
      <c r="K16" s="49" t="str">
        <f>IFERROR(VLOOKUP($D16,Sheet1!$A$2:$D$98,4,0),"")</f>
        <v/>
      </c>
    </row>
    <row r="17" spans="1:11" s="46" customFormat="1" ht="24.95" customHeight="1" x14ac:dyDescent="0.25">
      <c r="A17" s="51" t="str">
        <f t="shared" si="0"/>
        <v/>
      </c>
      <c r="B17" s="52" t="str">
        <f>IFERROR(VLOOKUP($D17,Sheet1!$A$2:$B$98,2,0),"")</f>
        <v/>
      </c>
      <c r="C17" s="89" t="str">
        <f>IFERROR(VLOOKUP($D17,'Tổng Đơn'!$A$5:$E$100,5,0),"")</f>
        <v/>
      </c>
      <c r="D17" s="48" t="s">
        <v>192</v>
      </c>
      <c r="E17" s="48"/>
      <c r="F17" s="53" t="str">
        <f>IF(AND($A17="",$A16&lt;&gt;""),"Tổng Cộng",IFERROR(VLOOKUP($D17,Sheet1!$A$2:$D$98,4,0),""))</f>
        <v/>
      </c>
      <c r="G17" s="54" t="str">
        <f>IF($A16=MAX($A$2:$A$50),SUM($G$2:$G16),IFERROR($F17*$E17,""))</f>
        <v/>
      </c>
      <c r="H17" s="92" t="str">
        <f t="shared" si="1"/>
        <v/>
      </c>
      <c r="K17" s="49" t="str">
        <f>IFERROR(VLOOKUP($D17,Sheet1!$A$2:$D$98,4,0),"")</f>
        <v/>
      </c>
    </row>
    <row r="18" spans="1:11" s="46" customFormat="1" ht="24.95" customHeight="1" x14ac:dyDescent="0.25">
      <c r="A18" s="51" t="str">
        <f t="shared" si="0"/>
        <v/>
      </c>
      <c r="B18" s="52" t="str">
        <f>IFERROR(VLOOKUP($D18,Sheet1!$A$2:$B$98,2,0),"")</f>
        <v/>
      </c>
      <c r="C18" s="89" t="str">
        <f>IFERROR(VLOOKUP($D18,'Tổng Đơn'!$A$5:$E$100,5,0),"")</f>
        <v/>
      </c>
      <c r="D18" s="48" t="s">
        <v>192</v>
      </c>
      <c r="E18" s="48"/>
      <c r="F18" s="53" t="str">
        <f>IF(AND($A18="",$A17&lt;&gt;""),"Tổng Cộng",IFERROR(VLOOKUP($D18,Sheet1!$A$2:$D$98,4,0),""))</f>
        <v/>
      </c>
      <c r="G18" s="54" t="str">
        <f>IF($A17=MAX($A$2:$A$50),SUM($G$2:$G17),IFERROR($F18*$E18,""))</f>
        <v/>
      </c>
      <c r="H18" s="92" t="str">
        <f t="shared" si="1"/>
        <v/>
      </c>
      <c r="K18" s="49" t="str">
        <f>IFERROR(VLOOKUP($D18,Sheet1!$A$2:$D$98,4,0),"")</f>
        <v/>
      </c>
    </row>
    <row r="19" spans="1:11" s="46" customFormat="1" ht="24.95" customHeight="1" x14ac:dyDescent="0.25">
      <c r="A19" s="51" t="str">
        <f t="shared" si="0"/>
        <v/>
      </c>
      <c r="B19" s="52" t="str">
        <f>IFERROR(VLOOKUP($D19,Sheet1!$A$2:$B$98,2,0),"")</f>
        <v/>
      </c>
      <c r="C19" s="89" t="str">
        <f>IFERROR(VLOOKUP($D19,'Tổng Đơn'!$A$5:$E$100,5,0),"")</f>
        <v/>
      </c>
      <c r="D19" s="48" t="s">
        <v>192</v>
      </c>
      <c r="E19" s="48"/>
      <c r="F19" s="53" t="str">
        <f>IF(AND($A19="",$A18&lt;&gt;""),"Tổng Cộng",IFERROR(VLOOKUP($D19,Sheet1!$A$2:$D$98,4,0),""))</f>
        <v/>
      </c>
      <c r="G19" s="54" t="str">
        <f>IF($A18=MAX($A$2:$A$50),SUM($G$2:$G18),IFERROR($F19*$E19,""))</f>
        <v/>
      </c>
      <c r="H19" s="92" t="str">
        <f t="shared" si="1"/>
        <v/>
      </c>
      <c r="K19" s="49" t="str">
        <f>IFERROR(VLOOKUP($D19,Sheet1!$A$2:$D$98,4,0),"")</f>
        <v/>
      </c>
    </row>
    <row r="20" spans="1:11" s="46" customFormat="1" ht="24.95" customHeight="1" x14ac:dyDescent="0.25">
      <c r="A20" s="51" t="str">
        <f t="shared" si="0"/>
        <v/>
      </c>
      <c r="B20" s="52" t="str">
        <f>IFERROR(VLOOKUP($D20,Sheet1!$A$2:$B$98,2,0),"")</f>
        <v/>
      </c>
      <c r="C20" s="89" t="str">
        <f>IFERROR(VLOOKUP($D20,'Tổng Đơn'!$A$5:$E$100,5,0),"")</f>
        <v/>
      </c>
      <c r="D20" s="48" t="s">
        <v>192</v>
      </c>
      <c r="E20" s="48"/>
      <c r="F20" s="53" t="str">
        <f>IF(AND($A20="",$A19&lt;&gt;""),"Tổng Cộng",IFERROR(VLOOKUP($D20,Sheet1!$A$2:$D$98,4,0),""))</f>
        <v/>
      </c>
      <c r="G20" s="54" t="str">
        <f>IF($A19=MAX($A$2:$A$50),SUM($G$2:$G19),IFERROR($F20*$E20,""))</f>
        <v/>
      </c>
      <c r="H20" s="92" t="str">
        <f t="shared" si="1"/>
        <v/>
      </c>
      <c r="K20" s="49" t="str">
        <f>IFERROR(VLOOKUP($D20,Sheet1!$A$2:$D$98,4,0),"")</f>
        <v/>
      </c>
    </row>
    <row r="21" spans="1:11" s="46" customFormat="1" ht="24.95" customHeight="1" x14ac:dyDescent="0.25">
      <c r="A21" s="51" t="str">
        <f t="shared" si="0"/>
        <v/>
      </c>
      <c r="B21" s="52" t="str">
        <f>IFERROR(VLOOKUP($D21,Sheet1!$A$2:$B$98,2,0),"")</f>
        <v/>
      </c>
      <c r="C21" s="89" t="str">
        <f>IFERROR(VLOOKUP($D21,'Tổng Đơn'!$A$5:$E$100,5,0),"")</f>
        <v/>
      </c>
      <c r="D21" s="48" t="s">
        <v>192</v>
      </c>
      <c r="E21" s="48"/>
      <c r="F21" s="53" t="str">
        <f>IF(AND($A21="",$A20&lt;&gt;""),"Tổng Cộng",IFERROR(VLOOKUP($D21,Sheet1!$A$2:$D$98,4,0),""))</f>
        <v/>
      </c>
      <c r="G21" s="54" t="str">
        <f>IF($A20=MAX($A$2:$A$50),SUM($G$2:$G20),IFERROR($F21*$E21,""))</f>
        <v/>
      </c>
      <c r="H21" s="92" t="str">
        <f t="shared" si="1"/>
        <v/>
      </c>
      <c r="K21" s="49"/>
    </row>
    <row r="22" spans="1:11" s="46" customFormat="1" ht="24.95" customHeight="1" x14ac:dyDescent="0.25">
      <c r="A22" s="51" t="str">
        <f t="shared" si="0"/>
        <v/>
      </c>
      <c r="B22" s="52" t="str">
        <f>IFERROR(VLOOKUP($D22,Sheet1!$A$2:$B$98,2,0),"")</f>
        <v/>
      </c>
      <c r="C22" s="89" t="str">
        <f>IFERROR(VLOOKUP($D22,'Tổng Đơn'!$A$5:$E$100,5,0),"")</f>
        <v/>
      </c>
      <c r="D22" s="48" t="s">
        <v>192</v>
      </c>
      <c r="E22" s="48"/>
      <c r="F22" s="53" t="str">
        <f>IF(AND($A22="",$A21&lt;&gt;""),"Tổng Cộng",IFERROR(VLOOKUP($D22,Sheet1!$A$2:$D$98,4,0),""))</f>
        <v/>
      </c>
      <c r="G22" s="54" t="str">
        <f>IF($A21=MAX($A$2:$A$50),SUM($G$2:$G21),IFERROR($F22*$E22,""))</f>
        <v/>
      </c>
      <c r="H22" s="92" t="str">
        <f t="shared" si="1"/>
        <v/>
      </c>
      <c r="K22" s="49"/>
    </row>
    <row r="23" spans="1:11" s="46" customFormat="1" ht="24.95" customHeight="1" x14ac:dyDescent="0.25">
      <c r="A23" s="51" t="str">
        <f t="shared" si="0"/>
        <v/>
      </c>
      <c r="B23" s="52" t="str">
        <f>IFERROR(VLOOKUP($D23,Sheet1!$A$2:$B$98,2,0),"")</f>
        <v/>
      </c>
      <c r="C23" s="89" t="str">
        <f>IFERROR(VLOOKUP($D23,'Tổng Đơn'!$A$5:$E$100,5,0),"")</f>
        <v/>
      </c>
      <c r="D23" s="48" t="s">
        <v>192</v>
      </c>
      <c r="E23" s="48"/>
      <c r="F23" s="53" t="str">
        <f>IF(AND($A23="",$A22&lt;&gt;""),"Tổng Cộng",IFERROR(VLOOKUP($D23,Sheet1!$A$2:$D$98,4,0),""))</f>
        <v/>
      </c>
      <c r="G23" s="54" t="str">
        <f>IF($A22=MAX($A$2:$A$50),SUM($G$2:$G22),IFERROR($F23*$E23,""))</f>
        <v/>
      </c>
      <c r="H23" s="92" t="str">
        <f t="shared" si="1"/>
        <v/>
      </c>
      <c r="K23" s="49">
        <v>1</v>
      </c>
    </row>
    <row r="24" spans="1:11" s="46" customFormat="1" ht="24.95" customHeight="1" x14ac:dyDescent="0.25">
      <c r="A24" s="51" t="str">
        <f t="shared" si="0"/>
        <v/>
      </c>
      <c r="B24" s="52" t="str">
        <f>IFERROR(VLOOKUP($D24,Sheet1!$A$2:$B$98,2,0),"")</f>
        <v/>
      </c>
      <c r="C24" s="89" t="str">
        <f>IFERROR(VLOOKUP($D24,'Tổng Đơn'!$A$5:$E$100,5,0),"")</f>
        <v/>
      </c>
      <c r="D24" s="48" t="s">
        <v>192</v>
      </c>
      <c r="E24" s="48"/>
      <c r="F24" s="53" t="str">
        <f>IF(AND($A24="",$A23&lt;&gt;""),"Tổng Cộng",IFERROR(VLOOKUP($D24,Sheet1!$A$2:$D$98,4,0),""))</f>
        <v/>
      </c>
      <c r="G24" s="54" t="str">
        <f>IF($A23=MAX($A$2:$A$50),SUM($G$2:$G23),IFERROR($F24*$E24,""))</f>
        <v/>
      </c>
      <c r="H24" s="92" t="str">
        <f t="shared" si="1"/>
        <v/>
      </c>
      <c r="K24" s="49">
        <v>1</v>
      </c>
    </row>
    <row r="25" spans="1:11" s="46" customFormat="1" ht="24.95" customHeight="1" x14ac:dyDescent="0.25">
      <c r="A25" s="51" t="str">
        <f t="shared" si="0"/>
        <v/>
      </c>
      <c r="B25" s="52" t="str">
        <f>IFERROR(VLOOKUP($D25,Sheet1!$A$2:$B$98,2,0),"")</f>
        <v/>
      </c>
      <c r="C25" s="89" t="str">
        <f>IFERROR(VLOOKUP($D25,'Tổng Đơn'!$A$5:$E$100,5,0),"")</f>
        <v/>
      </c>
      <c r="D25" s="48" t="s">
        <v>192</v>
      </c>
      <c r="E25" s="48"/>
      <c r="F25" s="53" t="str">
        <f>IF(AND($A25="",$A24&lt;&gt;""),"Tổng Cộng",IFERROR(VLOOKUP($D25,Sheet1!$A$2:$D$98,4,0),""))</f>
        <v/>
      </c>
      <c r="G25" s="54" t="str">
        <f>IF($A24=MAX($A$2:$A$50),SUM($G$2:$G24),IFERROR($F25*$E25,""))</f>
        <v/>
      </c>
      <c r="H25" s="92" t="str">
        <f t="shared" si="1"/>
        <v/>
      </c>
      <c r="K25" s="49">
        <v>1</v>
      </c>
    </row>
    <row r="26" spans="1:11" s="46" customFormat="1" ht="24.95" customHeight="1" x14ac:dyDescent="0.25">
      <c r="A26" s="51" t="str">
        <f t="shared" si="0"/>
        <v/>
      </c>
      <c r="B26" s="52" t="str">
        <f>IFERROR(VLOOKUP($D26,Sheet1!$A$2:$B$98,2,0),"")</f>
        <v/>
      </c>
      <c r="C26" s="89" t="str">
        <f>IFERROR(VLOOKUP($D26,'Tổng Đơn'!$A$5:$E$100,5,0),"")</f>
        <v/>
      </c>
      <c r="D26" s="48" t="s">
        <v>192</v>
      </c>
      <c r="E26" s="48"/>
      <c r="F26" s="53" t="str">
        <f>IF(AND($A26="",$A25&lt;&gt;""),"Tổng Cộng",IFERROR(VLOOKUP($D26,Sheet1!$A$2:$D$98,4,0),""))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IFERROR(VLOOKUP($D27,Sheet1!$A$2:$B$98,2,0),"")</f>
        <v/>
      </c>
      <c r="C27" s="89" t="str">
        <f>IFERROR(VLOOKUP($D27,'Tổng Đơn'!$A$5:$E$100,5,0),"")</f>
        <v/>
      </c>
      <c r="D27" s="48" t="s">
        <v>192</v>
      </c>
      <c r="E27" s="48"/>
      <c r="F27" s="53" t="str">
        <f>IF(AND($A27="",$A26&lt;&gt;""),"Tổng Cộng",IFERROR(VLOOKUP($D27,Sheet1!$A$2:$D$98,4,0),""))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IFERROR(VLOOKUP($D28,Sheet1!$A$2:$B$98,2,0),"")</f>
        <v/>
      </c>
      <c r="C28" s="89" t="str">
        <f>IFERROR(VLOOKUP($D28,'Tổng Đơn'!$A$5:$E$100,5,0),"")</f>
        <v/>
      </c>
      <c r="D28" s="48" t="s">
        <v>192</v>
      </c>
      <c r="E28" s="48"/>
      <c r="F28" s="53" t="str">
        <f>IF(AND($A28="",$A27&lt;&gt;""),"Tổng Cộng",IFERROR(VLOOKUP($D28,Sheet1!$A$2:$D$98,4,0),""))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IFERROR(VLOOKUP($D29,Sheet1!$A$2:$B$98,2,0),"")</f>
        <v/>
      </c>
      <c r="C29" s="89" t="str">
        <f>IFERROR(VLOOKUP($D29,'Tổng Đơn'!$A$5:$E$100,5,0),"")</f>
        <v/>
      </c>
      <c r="D29" s="48" t="s">
        <v>192</v>
      </c>
      <c r="E29" s="48"/>
      <c r="F29" s="53" t="str">
        <f>IF(AND($A29="",$A28&lt;&gt;""),"Tổng Cộng",IFERROR(VLOOKUP($D29,Sheet1!$A$2:$D$98,4,0),""))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IFERROR(VLOOKUP($D30,Sheet1!$A$2:$B$98,2,0),"")</f>
        <v/>
      </c>
      <c r="C30" s="89" t="str">
        <f>IFERROR(VLOOKUP($D30,'Tổng Đơn'!$A$5:$E$100,5,0),"")</f>
        <v/>
      </c>
      <c r="D30" s="48" t="s">
        <v>192</v>
      </c>
      <c r="E30" s="48"/>
      <c r="F30" s="53" t="str">
        <f>IF(AND($A30="",$A29&lt;&gt;""),"Tổng Cộng",IFERROR(VLOOKUP($D30,Sheet1!$A$2:$D$98,4,0),""))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IFERROR(VLOOKUP($D31,Sheet1!$A$2:$B$98,2,0),"")</f>
        <v/>
      </c>
      <c r="C31" s="89" t="str">
        <f>IFERROR(VLOOKUP($D31,'Tổng Đơn'!$A$5:$E$100,5,0),"")</f>
        <v/>
      </c>
      <c r="D31" s="48" t="s">
        <v>192</v>
      </c>
      <c r="E31" s="48"/>
      <c r="F31" s="53" t="str">
        <f>IF(AND($A31="",$A30&lt;&gt;""),"Tổng Cộng",IFERROR(VLOOKUP($D31,Sheet1!$A$2:$D$98,4,0),""))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Cộng",IFERROR(VLOOKUP($D32,Sheet1!$A$2:$D$98,4,0),""))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F3">
    <cfRule type="expression" dxfId="167" priority="12">
      <formula>$A2=MAX($A$2:$A$31)</formula>
    </cfRule>
  </conditionalFormatting>
  <conditionalFormatting sqref="D2:D3">
    <cfRule type="expression" dxfId="166" priority="11">
      <formula>AND($D2="",$E2&lt;&gt;"")</formula>
    </cfRule>
  </conditionalFormatting>
  <conditionalFormatting sqref="E2:E3">
    <cfRule type="expression" dxfId="165" priority="10">
      <formula>AND($E2="",$D2&lt;&gt;"")</formula>
    </cfRule>
  </conditionalFormatting>
  <conditionalFormatting sqref="C2:C3">
    <cfRule type="expression" dxfId="164" priority="9">
      <formula>AND($D2="",$E2&lt;&gt;"")</formula>
    </cfRule>
  </conditionalFormatting>
  <conditionalFormatting sqref="A10:G31 A4:F9 G2:G9">
    <cfRule type="expression" dxfId="163" priority="8">
      <formula>$A1=MAX($A$2:$A$31)</formula>
    </cfRule>
  </conditionalFormatting>
  <conditionalFormatting sqref="D4:D31">
    <cfRule type="expression" dxfId="162" priority="7">
      <formula>AND($D4="",$E4&lt;&gt;"")</formula>
    </cfRule>
  </conditionalFormatting>
  <conditionalFormatting sqref="E4:E31">
    <cfRule type="expression" dxfId="161" priority="6">
      <formula>AND($E4="",$D4&lt;&gt;"")</formula>
    </cfRule>
  </conditionalFormatting>
  <conditionalFormatting sqref="C4:C31">
    <cfRule type="expression" dxfId="160" priority="5">
      <formula>AND($D4="",$E4&lt;&gt;"")</formula>
    </cfRule>
  </conditionalFormatting>
  <conditionalFormatting sqref="A32:G32">
    <cfRule type="expression" dxfId="159" priority="4">
      <formula>$A31=MAX($A$2:$A$31)</formula>
    </cfRule>
  </conditionalFormatting>
  <conditionalFormatting sqref="D32">
    <cfRule type="expression" dxfId="158" priority="3">
      <formula>AND($D32="",$E32&lt;&gt;"")</formula>
    </cfRule>
  </conditionalFormatting>
  <conditionalFormatting sqref="E32">
    <cfRule type="expression" dxfId="157" priority="2">
      <formula>AND($E32="",$D32&lt;&gt;"")</formula>
    </cfRule>
  </conditionalFormatting>
  <conditionalFormatting sqref="C32">
    <cfRule type="expression" dxfId="156"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theme="1"/>
  </sheetPr>
  <dimension ref="A1:M52"/>
  <sheetViews>
    <sheetView zoomScaleNormal="100" workbookViewId="0">
      <pane ySplit="1" topLeftCell="A2" activePane="bottomLeft" state="frozen"/>
      <selection activeCell="H16" sqref="H16"/>
      <selection pane="bottomLeft" activeCell="B9" sqref="B9"/>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3" width="10.140625" style="14" bestFit="1" customWidth="1"/>
    <col min="14" max="16384" width="9.140625" style="14"/>
  </cols>
  <sheetData>
    <row r="1" spans="1:13" s="45" customFormat="1" ht="39" customHeight="1" x14ac:dyDescent="0.25">
      <c r="A1" s="47" t="s">
        <v>0</v>
      </c>
      <c r="B1" s="47" t="s">
        <v>17</v>
      </c>
      <c r="C1" s="87" t="s">
        <v>55</v>
      </c>
      <c r="D1" s="91" t="s">
        <v>118</v>
      </c>
      <c r="E1" s="91" t="s">
        <v>16</v>
      </c>
      <c r="F1" s="47" t="s">
        <v>18</v>
      </c>
      <c r="G1" s="47" t="s">
        <v>19</v>
      </c>
      <c r="H1" s="157" t="s">
        <v>228</v>
      </c>
      <c r="I1" s="55">
        <f>SUBTOTAL(9,H2:H31)</f>
        <v>1</v>
      </c>
      <c r="K1" s="47" t="s">
        <v>18</v>
      </c>
    </row>
    <row r="2" spans="1:13" s="46" customFormat="1" ht="24.95" customHeight="1" x14ac:dyDescent="0.25">
      <c r="A2" s="51">
        <f>IF(OR(SUM($A1,$D2&lt;&gt;"")=0,$D2=""),"",SUM($A1,$D2&lt;&gt;""))</f>
        <v>1</v>
      </c>
      <c r="B2" s="52" t="str">
        <f>IFERROR(VLOOKUP($D2,Sheet1!$A$2:$B$98,2,0),"")</f>
        <v>Viên thả lẩu 3 màu</v>
      </c>
      <c r="C2" s="88">
        <f>IFERROR(VLOOKUP($D2,'Tổng Đơn'!$A$5:$E$100,5,0),"")</f>
        <v>0.5</v>
      </c>
      <c r="D2" s="48">
        <v>10</v>
      </c>
      <c r="E2" s="48">
        <v>1</v>
      </c>
      <c r="F2" s="53">
        <f>IFERROR(VLOOKUP($D2,Sheet1!$A$2:$D$98,4,0),"")</f>
        <v>50000</v>
      </c>
      <c r="G2" s="54">
        <f>IF($A1=MAX($A$2:$A$50),SUM($G1:$G$2),IFERROR($F2*$E2,""))</f>
        <v>50000</v>
      </c>
      <c r="H2" s="92">
        <f>IFERROR(E2*C2,"")</f>
        <v>0.5</v>
      </c>
      <c r="I2" s="46" t="str">
        <f>IF(SUMPRODUCT(($E$2:$E$12),($K$2:$K$12))&gt;=200000,"KM 15%",IF(SUMPRODUCT(($E$2:$E$12),($K$2:$K$12))&gt;=100000,"KM 10%",""))</f>
        <v>KM 10%</v>
      </c>
      <c r="K2" s="50">
        <f>IFERROR(VLOOKUP($D2,Sheet1!$A$2:$D$98,4,0),"")</f>
        <v>50000</v>
      </c>
    </row>
    <row r="3" spans="1:13" s="46" customFormat="1" ht="24.95" customHeight="1" x14ac:dyDescent="0.25">
      <c r="A3" s="51">
        <f t="shared" ref="A3:A31" si="0">IF(OR(SUM($A2,$D3&lt;&gt;"")=0,$D3=""),"",SUM($A2,$D3&lt;&gt;""))</f>
        <v>2</v>
      </c>
      <c r="B3" s="52" t="str">
        <f>IFERROR(VLOOKUP($D3,Sheet1!$A$2:$B$98,2,0),"")</f>
        <v>Thanh cua dài Liên Anh</v>
      </c>
      <c r="C3" s="89">
        <f>IFERROR(VLOOKUP($D3,'Tổng Đơn'!$A$5:$E$100,5,0),"")</f>
        <v>0.5</v>
      </c>
      <c r="D3" s="48">
        <v>60</v>
      </c>
      <c r="E3" s="48">
        <v>1</v>
      </c>
      <c r="F3" s="53">
        <f>IF(AND($A3="",$A2&lt;&gt;""),"Tổng Cộng",IFERROR(VLOOKUP($D3,Sheet1!$A$2:$D$98,4,0),""))</f>
        <v>70000</v>
      </c>
      <c r="G3" s="54">
        <f>IF($A2=MAX($A$2:$A$50),SUM($G$2:$G2),IFERROR($F3*$E3,""))</f>
        <v>70000</v>
      </c>
      <c r="H3" s="92">
        <f t="shared" ref="H3:H31" si="1">IFERROR(E3*C3,"")</f>
        <v>0.5</v>
      </c>
      <c r="K3" s="49">
        <f>IFERROR(VLOOKUP($D3,Sheet1!$A$2:$D$98,4,0),"")</f>
        <v>70000</v>
      </c>
    </row>
    <row r="4" spans="1:13" s="46" customFormat="1" ht="24.95" customHeight="1" x14ac:dyDescent="0.25">
      <c r="A4" s="51" t="str">
        <f t="shared" si="0"/>
        <v/>
      </c>
      <c r="B4" s="52" t="str">
        <f>IFERROR(VLOOKUP($D4,Sheet1!$A$2:$B$98,2,0),"")</f>
        <v/>
      </c>
      <c r="C4" s="89" t="str">
        <f>IFERROR(VLOOKUP($D4,'Tổng Đơn'!$A$5:$E$100,5,0),"")</f>
        <v/>
      </c>
      <c r="D4" s="48" t="s">
        <v>192</v>
      </c>
      <c r="E4" s="48"/>
      <c r="F4" s="53" t="str">
        <f>IF(AND($A4="",$A3&lt;&gt;""),"Tổng Cộng",IFERROR(VLOOKUP($D4,Sheet1!$A$2:$D$98,4,0),""))</f>
        <v>Tổng Cộng</v>
      </c>
      <c r="G4" s="54">
        <f>IF($A3=MAX($A$2:$A$50),SUM($G$2:$G3),IFERROR($F4*$E4,""))</f>
        <v>120000</v>
      </c>
      <c r="H4" s="92" t="str">
        <f t="shared" si="1"/>
        <v/>
      </c>
      <c r="K4" s="49" t="str">
        <f>IFERROR(VLOOKUP($D4,Sheet1!$A$2:$D$98,4,0),"")</f>
        <v/>
      </c>
    </row>
    <row r="5" spans="1:13" s="46" customFormat="1" ht="24.95" customHeight="1" x14ac:dyDescent="0.25">
      <c r="A5" s="51" t="str">
        <f t="shared" si="0"/>
        <v/>
      </c>
      <c r="B5" s="52" t="str">
        <f>IFERROR(VLOOKUP($D5,Sheet1!$A$2:$B$98,2,0),"")</f>
        <v/>
      </c>
      <c r="C5" s="89" t="str">
        <f>IFERROR(VLOOKUP($D5,'Tổng Đơn'!$A$5:$E$100,5,0),"")</f>
        <v/>
      </c>
      <c r="D5" s="48" t="s">
        <v>192</v>
      </c>
      <c r="E5" s="48"/>
      <c r="F5" s="53" t="str">
        <f>IF(AND($A5="",$A4&lt;&gt;""),"Tổng Cộng",IFERROR(VLOOKUP($D5,Sheet1!$A$2:$D$98,4,0),""))</f>
        <v/>
      </c>
      <c r="G5" s="54" t="str">
        <f>IF($A4=MAX($A$2:$A$50),SUM($G$2:$G4),IFERROR($F5*$E5,""))</f>
        <v/>
      </c>
      <c r="H5" s="92" t="str">
        <f t="shared" si="1"/>
        <v/>
      </c>
      <c r="K5" s="49" t="str">
        <f>IFERROR(VLOOKUP($D5,Sheet1!$A$2:$D$98,4,0),"")</f>
        <v/>
      </c>
    </row>
    <row r="6" spans="1:13" s="46" customFormat="1" ht="24.95" customHeight="1" x14ac:dyDescent="0.25">
      <c r="A6" s="51" t="str">
        <f t="shared" si="0"/>
        <v/>
      </c>
      <c r="B6" s="52" t="str">
        <f>IFERROR(VLOOKUP($D6,Sheet1!$A$2:$B$98,2,0),"")</f>
        <v/>
      </c>
      <c r="C6" s="89" t="str">
        <f>IFERROR(VLOOKUP($D6,'Tổng Đơn'!$A$5:$E$100,5,0),"")</f>
        <v/>
      </c>
      <c r="D6" s="48" t="s">
        <v>192</v>
      </c>
      <c r="E6" s="48"/>
      <c r="F6" s="53" t="str">
        <f>IF(AND($A6="",$A5&lt;&gt;""),"Tổng Cộng",IFERROR(VLOOKUP($D6,Sheet1!$A$2:$D$98,4,0),""))</f>
        <v/>
      </c>
      <c r="G6" s="54" t="str">
        <f>IF($A5=MAX($A$2:$A$50),SUM($G$2:$G5),IFERROR($F6*$E6,""))</f>
        <v/>
      </c>
      <c r="H6" s="92" t="str">
        <f t="shared" si="1"/>
        <v/>
      </c>
      <c r="I6" s="175"/>
      <c r="K6" s="49"/>
      <c r="L6" s="184"/>
      <c r="M6" s="176"/>
    </row>
    <row r="7" spans="1:13" s="46" customFormat="1" ht="24.95" customHeight="1" x14ac:dyDescent="0.25">
      <c r="A7" s="51" t="str">
        <f t="shared" si="0"/>
        <v/>
      </c>
      <c r="B7" s="52" t="str">
        <f>IFERROR(VLOOKUP($D7,Sheet1!$A$2:$B$98,2,0),"")</f>
        <v/>
      </c>
      <c r="C7" s="89" t="str">
        <f>IFERROR(VLOOKUP($D7,'Tổng Đơn'!$A$5:$E$100,5,0),"")</f>
        <v/>
      </c>
      <c r="D7" s="48" t="s">
        <v>192</v>
      </c>
      <c r="E7" s="48"/>
      <c r="F7" s="53" t="str">
        <f>IF(AND($A7="",$A6&lt;&gt;""),"Tổng Cộng",IFERROR(VLOOKUP($D7,Sheet1!$A$2:$D$98,4,0),""))</f>
        <v/>
      </c>
      <c r="G7" s="54" t="str">
        <f>IF($A6=MAX($A$2:$A$50),SUM($G$2:$G6),IFERROR($F7*$E7,""))</f>
        <v/>
      </c>
      <c r="H7" s="92" t="str">
        <f t="shared" si="1"/>
        <v/>
      </c>
      <c r="K7" s="49"/>
    </row>
    <row r="8" spans="1:13" s="46" customFormat="1" ht="24.95" customHeight="1" x14ac:dyDescent="0.25">
      <c r="A8" s="51" t="str">
        <f t="shared" si="0"/>
        <v/>
      </c>
      <c r="B8" s="52" t="str">
        <f>IFERROR(VLOOKUP($D8,Sheet1!$A$2:$B$98,2,0),"")</f>
        <v/>
      </c>
      <c r="C8" s="89" t="str">
        <f>IFERROR(VLOOKUP($D8,'Tổng Đơn'!$A$5:$E$100,5,0),"")</f>
        <v/>
      </c>
      <c r="D8" s="48" t="s">
        <v>192</v>
      </c>
      <c r="E8" s="48"/>
      <c r="F8" s="53" t="str">
        <f>IF(AND($A8="",$A7&lt;&gt;""),"Tổng Cộng",IFERROR(VLOOKUP($D8,Sheet1!$A$2:$D$98,4,0),""))</f>
        <v/>
      </c>
      <c r="G8" s="54" t="str">
        <f>IF($A7=MAX($A$2:$A$50),SUM($G$2:$G7),IFERROR($F8*$E8,""))</f>
        <v/>
      </c>
      <c r="H8" s="92" t="str">
        <f t="shared" si="1"/>
        <v/>
      </c>
      <c r="K8" s="49" t="str">
        <f>IFERROR(VLOOKUP($D8,Sheet1!$A$2:$D$98,4,0),"")</f>
        <v/>
      </c>
      <c r="L8" s="185"/>
    </row>
    <row r="9" spans="1:13" s="46" customFormat="1" ht="24.95" customHeight="1" x14ac:dyDescent="0.25">
      <c r="A9" s="51" t="str">
        <f t="shared" si="0"/>
        <v/>
      </c>
      <c r="B9" s="52" t="str">
        <f>IFERROR(VLOOKUP($D9,Sheet1!$A$2:$B$98,2,0),"")</f>
        <v/>
      </c>
      <c r="C9" s="89" t="str">
        <f>IFERROR(VLOOKUP($D9,'Tổng Đơn'!$A$5:$E$100,5,0),"")</f>
        <v/>
      </c>
      <c r="D9" s="48" t="s">
        <v>192</v>
      </c>
      <c r="E9" s="48"/>
      <c r="F9" s="53" t="str">
        <f>IF(AND($A9="",$A8&lt;&gt;""),"Tổng Cộng",IFERROR(VLOOKUP($D9,Sheet1!$A$2:$D$98,4,0),""))</f>
        <v/>
      </c>
      <c r="G9" s="54" t="str">
        <f>IF($A8=MAX($A$2:$A$50),SUM($G$2:$G8),IFERROR($F9*$E9,""))</f>
        <v/>
      </c>
      <c r="H9" s="92" t="str">
        <f t="shared" si="1"/>
        <v/>
      </c>
      <c r="K9" s="49" t="str">
        <f>IFERROR(VLOOKUP($D9,Sheet1!$A$2:$D$98,4,0),"")</f>
        <v/>
      </c>
    </row>
    <row r="10" spans="1:13" s="46" customFormat="1" ht="24.95" customHeight="1" x14ac:dyDescent="0.25">
      <c r="A10" s="51" t="str">
        <f t="shared" si="0"/>
        <v/>
      </c>
      <c r="B10" s="52" t="str">
        <f>IFERROR(VLOOKUP($D10,Sheet1!$A$2:$B$98,2,0),"")</f>
        <v/>
      </c>
      <c r="C10" s="89" t="str">
        <f>IFERROR(VLOOKUP($D10,'Tổng Đơn'!$A$5:$E$100,5,0),"")</f>
        <v/>
      </c>
      <c r="D10" s="48" t="s">
        <v>192</v>
      </c>
      <c r="E10" s="48"/>
      <c r="F10" s="53" t="str">
        <f>IF(AND($A10="",$A9&lt;&gt;""),"Tổng Cộng",IFERROR(VLOOKUP($D10,Sheet1!$A$2:$D$98,4,0),""))</f>
        <v/>
      </c>
      <c r="G10" s="54" t="str">
        <f>IF($A9=MAX($A$2:$A$50),SUM($G$2:$G9),IFERROR($F10*$E10,""))</f>
        <v/>
      </c>
      <c r="H10" s="92" t="str">
        <f t="shared" si="1"/>
        <v/>
      </c>
      <c r="K10" s="49" t="str">
        <f>IFERROR(VLOOKUP($D10,Sheet1!$A$2:$D$98,4,0),"")</f>
        <v/>
      </c>
    </row>
    <row r="11" spans="1:13" s="46" customFormat="1" ht="24.95" customHeight="1" x14ac:dyDescent="0.25">
      <c r="A11" s="51" t="str">
        <f t="shared" si="0"/>
        <v/>
      </c>
      <c r="B11" s="52" t="str">
        <f>IFERROR(VLOOKUP($D11,Sheet1!$A$2:$B$98,2,0),"")</f>
        <v/>
      </c>
      <c r="C11" s="89" t="str">
        <f>IFERROR(VLOOKUP($D11,'Tổng Đơn'!$A$5:$E$100,5,0),"")</f>
        <v/>
      </c>
      <c r="D11" s="48" t="s">
        <v>192</v>
      </c>
      <c r="E11" s="48"/>
      <c r="F11" s="53" t="str">
        <f>IF(AND($A11="",$A10&lt;&gt;""),"Tổng Cộng",IFERROR(VLOOKUP($D11,Sheet1!$A$2:$D$98,4,0),""))</f>
        <v/>
      </c>
      <c r="G11" s="54" t="str">
        <f>IF($A10=MAX($A$2:$A$50),SUM($G$2:$G10),IFERROR($F11*$E11,""))</f>
        <v/>
      </c>
      <c r="H11" s="92" t="str">
        <f t="shared" si="1"/>
        <v/>
      </c>
      <c r="K11" s="49" t="str">
        <f>IFERROR(VLOOKUP($D11,Sheet1!$A$2:$D$98,4,0),"")</f>
        <v/>
      </c>
    </row>
    <row r="12" spans="1:13" s="46" customFormat="1" ht="24.95" customHeight="1" x14ac:dyDescent="0.25">
      <c r="A12" s="51" t="str">
        <f t="shared" si="0"/>
        <v/>
      </c>
      <c r="B12" s="52" t="str">
        <f>IFERROR(VLOOKUP($D12,Sheet1!$A$2:$B$98,2,0),"")</f>
        <v/>
      </c>
      <c r="C12" s="89" t="str">
        <f>IFERROR(VLOOKUP($D12,'Tổng Đơn'!$A$5:$E$100,5,0),"")</f>
        <v/>
      </c>
      <c r="D12" s="48" t="s">
        <v>192</v>
      </c>
      <c r="E12" s="48"/>
      <c r="F12" s="53" t="str">
        <f>IF(AND($A12="",$A11&lt;&gt;""),"Tổng Cộng",IFERROR(VLOOKUP($D12,Sheet1!$A$2:$D$98,4,0),""))</f>
        <v/>
      </c>
      <c r="G12" s="54" t="str">
        <f>IF($A11=MAX($A$2:$A$50),SUM($G$2:$G11),IFERROR($F12*$E12,""))</f>
        <v/>
      </c>
      <c r="H12" s="92" t="str">
        <f t="shared" si="1"/>
        <v/>
      </c>
      <c r="K12" s="49" t="str">
        <f>IFERROR(VLOOKUP($D12,Sheet1!$A$2:$D$98,4,0),"")</f>
        <v/>
      </c>
    </row>
    <row r="13" spans="1:13" s="46" customFormat="1" ht="24.95" customHeight="1" x14ac:dyDescent="0.25">
      <c r="A13" s="51" t="str">
        <f t="shared" si="0"/>
        <v/>
      </c>
      <c r="B13" s="52" t="str">
        <f>IFERROR(VLOOKUP($D13,Sheet1!$A$2:$B$98,2,0),"")</f>
        <v/>
      </c>
      <c r="C13" s="89" t="str">
        <f>IFERROR(VLOOKUP($D13,'Tổng Đơn'!$A$5:$E$100,5,0),"")</f>
        <v/>
      </c>
      <c r="D13" s="48" t="s">
        <v>192</v>
      </c>
      <c r="E13" s="48"/>
      <c r="F13" s="53" t="str">
        <f>IF(AND($A13="",$A12&lt;&gt;""),"Tổng Cộng",IFERROR(VLOOKUP($D13,Sheet1!$A$2:$D$98,4,0),""))</f>
        <v/>
      </c>
      <c r="G13" s="54" t="str">
        <f>IF($A12=MAX($A$2:$A$50),SUM($G$2:$G12),IFERROR($F13*$E13,""))</f>
        <v/>
      </c>
      <c r="H13" s="92" t="str">
        <f t="shared" si="1"/>
        <v/>
      </c>
      <c r="K13" s="49" t="str">
        <f>IFERROR(VLOOKUP($D13,Sheet1!$A$2:$D$98,4,0),"")</f>
        <v/>
      </c>
    </row>
    <row r="14" spans="1:13" s="46" customFormat="1" ht="24.95" customHeight="1" x14ac:dyDescent="0.25">
      <c r="A14" s="51" t="str">
        <f t="shared" si="0"/>
        <v/>
      </c>
      <c r="B14" s="52" t="str">
        <f>IFERROR(VLOOKUP($D14,Sheet1!$A$2:$B$98,2,0),"")</f>
        <v/>
      </c>
      <c r="C14" s="89" t="str">
        <f>IFERROR(VLOOKUP($D14,'Tổng Đơn'!$A$5:$E$100,5,0),"")</f>
        <v/>
      </c>
      <c r="D14" s="48" t="s">
        <v>192</v>
      </c>
      <c r="E14" s="48"/>
      <c r="F14" s="53" t="str">
        <f>IF(AND($A14="",$A13&lt;&gt;""),"Tổng Cộng",IFERROR(VLOOKUP($D14,Sheet1!$A$2:$D$98,4,0),""))</f>
        <v/>
      </c>
      <c r="G14" s="54" t="str">
        <f>IF($A13=MAX($A$2:$A$50),SUM($G$2:$G13),IFERROR($F14*$E14,""))</f>
        <v/>
      </c>
      <c r="H14" s="92" t="str">
        <f t="shared" si="1"/>
        <v/>
      </c>
      <c r="K14" s="49" t="str">
        <f>IFERROR(VLOOKUP($D14,Sheet1!$A$2:$D$98,4,0),"")</f>
        <v/>
      </c>
    </row>
    <row r="15" spans="1:13" s="46" customFormat="1" ht="24.95" customHeight="1" x14ac:dyDescent="0.25">
      <c r="A15" s="51" t="str">
        <f t="shared" si="0"/>
        <v/>
      </c>
      <c r="B15" s="52" t="str">
        <f>IFERROR(VLOOKUP($D15,Sheet1!$A$2:$B$98,2,0),"")</f>
        <v/>
      </c>
      <c r="C15" s="89" t="str">
        <f>IFERROR(VLOOKUP($D15,'Tổng Đơn'!$A$5:$E$100,5,0),"")</f>
        <v/>
      </c>
      <c r="D15" s="48" t="s">
        <v>192</v>
      </c>
      <c r="E15" s="48"/>
      <c r="F15" s="53" t="str">
        <f>IF(AND($A15="",$A14&lt;&gt;""),"Tổng Cộng",IFERROR(VLOOKUP($D15,Sheet1!$A$2:$D$98,4,0),""))</f>
        <v/>
      </c>
      <c r="G15" s="54" t="str">
        <f>IF($A14=MAX($A$2:$A$50),SUM($G$2:$G14),IFERROR($F15*$E15,""))</f>
        <v/>
      </c>
      <c r="H15" s="92" t="str">
        <f t="shared" si="1"/>
        <v/>
      </c>
      <c r="K15" s="49" t="str">
        <f>IFERROR(VLOOKUP($D15,Sheet1!$A$2:$D$98,4,0),"")</f>
        <v/>
      </c>
    </row>
    <row r="16" spans="1:13" s="46" customFormat="1" ht="24.95" customHeight="1" x14ac:dyDescent="0.25">
      <c r="A16" s="51" t="str">
        <f t="shared" si="0"/>
        <v/>
      </c>
      <c r="B16" s="52" t="str">
        <f>IFERROR(VLOOKUP($D16,Sheet1!$A$2:$B$98,2,0),"")</f>
        <v/>
      </c>
      <c r="C16" s="89" t="str">
        <f>IFERROR(VLOOKUP($D16,'Tổng Đơn'!$A$5:$E$100,5,0),"")</f>
        <v/>
      </c>
      <c r="D16" s="48" t="s">
        <v>192</v>
      </c>
      <c r="E16" s="48"/>
      <c r="F16" s="53" t="str">
        <f>IF(AND($A16="",$A15&lt;&gt;""),"Tổng Cộng",IFERROR(VLOOKUP($D16,Sheet1!$A$2:$D$98,4,0),""))</f>
        <v/>
      </c>
      <c r="G16" s="54" t="str">
        <f>IF($A15=MAX($A$2:$A$50),SUM($G$2:$G15),IFERROR($F16*$E16,""))</f>
        <v/>
      </c>
      <c r="H16" s="92" t="str">
        <f t="shared" si="1"/>
        <v/>
      </c>
      <c r="K16" s="49" t="str">
        <f>IFERROR(VLOOKUP($D16,Sheet1!$A$2:$D$98,4,0),"")</f>
        <v/>
      </c>
    </row>
    <row r="17" spans="1:11" s="46" customFormat="1" ht="24.95" customHeight="1" x14ac:dyDescent="0.25">
      <c r="A17" s="51" t="str">
        <f t="shared" si="0"/>
        <v/>
      </c>
      <c r="B17" s="52" t="str">
        <f>IFERROR(VLOOKUP($D17,Sheet1!$A$2:$B$98,2,0),"")</f>
        <v/>
      </c>
      <c r="C17" s="89" t="str">
        <f>IFERROR(VLOOKUP($D17,'Tổng Đơn'!$A$5:$E$100,5,0),"")</f>
        <v/>
      </c>
      <c r="D17" s="48" t="s">
        <v>192</v>
      </c>
      <c r="E17" s="48"/>
      <c r="F17" s="53" t="str">
        <f>IF(AND($A17="",$A16&lt;&gt;""),"Tổng Cộng",IFERROR(VLOOKUP($D17,Sheet1!$A$2:$D$98,4,0),""))</f>
        <v/>
      </c>
      <c r="G17" s="54" t="str">
        <f>IF($A16=MAX($A$2:$A$50),SUM($G$2:$G16),IFERROR($F17*$E17,""))</f>
        <v/>
      </c>
      <c r="H17" s="92" t="str">
        <f t="shared" si="1"/>
        <v/>
      </c>
      <c r="K17" s="49" t="str">
        <f>IFERROR(VLOOKUP($D17,Sheet1!$A$2:$D$98,4,0),"")</f>
        <v/>
      </c>
    </row>
    <row r="18" spans="1:11" s="46" customFormat="1" ht="24.95" customHeight="1" x14ac:dyDescent="0.25">
      <c r="A18" s="51" t="str">
        <f t="shared" si="0"/>
        <v/>
      </c>
      <c r="B18" s="52" t="str">
        <f>IFERROR(VLOOKUP($D18,Sheet1!$A$2:$B$98,2,0),"")</f>
        <v/>
      </c>
      <c r="C18" s="89" t="str">
        <f>IFERROR(VLOOKUP($D18,'Tổng Đơn'!$A$5:$E$100,5,0),"")</f>
        <v/>
      </c>
      <c r="D18" s="48" t="s">
        <v>192</v>
      </c>
      <c r="E18" s="48"/>
      <c r="F18" s="53" t="str">
        <f>IF(AND($A18="",$A17&lt;&gt;""),"Tổng Cộng",IFERROR(VLOOKUP($D18,Sheet1!$A$2:$D$98,4,0),""))</f>
        <v/>
      </c>
      <c r="G18" s="54" t="str">
        <f>IF($A17=MAX($A$2:$A$50),SUM($G$2:$G17),IFERROR($F18*$E18,""))</f>
        <v/>
      </c>
      <c r="H18" s="92" t="str">
        <f t="shared" si="1"/>
        <v/>
      </c>
      <c r="K18" s="49" t="str">
        <f>IFERROR(VLOOKUP($D18,Sheet1!$A$2:$D$98,4,0),"")</f>
        <v/>
      </c>
    </row>
    <row r="19" spans="1:11" s="46" customFormat="1" ht="24.95" customHeight="1" x14ac:dyDescent="0.25">
      <c r="A19" s="51" t="str">
        <f t="shared" si="0"/>
        <v/>
      </c>
      <c r="B19" s="52" t="str">
        <f>IFERROR(VLOOKUP($D19,Sheet1!$A$2:$B$98,2,0),"")</f>
        <v/>
      </c>
      <c r="C19" s="89" t="str">
        <f>IFERROR(VLOOKUP($D19,'Tổng Đơn'!$A$5:$E$100,5,0),"")</f>
        <v/>
      </c>
      <c r="D19" s="48" t="s">
        <v>192</v>
      </c>
      <c r="E19" s="48"/>
      <c r="F19" s="53" t="str">
        <f>IF(AND($A19="",$A18&lt;&gt;""),"Tổng Cộng",IFERROR(VLOOKUP($D19,Sheet1!$A$2:$D$98,4,0),""))</f>
        <v/>
      </c>
      <c r="G19" s="54" t="str">
        <f>IF($A18=MAX($A$2:$A$50),SUM($G$2:$G18),IFERROR($F19*$E19,""))</f>
        <v/>
      </c>
      <c r="H19" s="92" t="str">
        <f t="shared" si="1"/>
        <v/>
      </c>
      <c r="K19" s="49" t="str">
        <f>IFERROR(VLOOKUP($D19,Sheet1!$A$2:$D$98,4,0),"")</f>
        <v/>
      </c>
    </row>
    <row r="20" spans="1:11" s="46" customFormat="1" ht="24.95" customHeight="1" x14ac:dyDescent="0.25">
      <c r="A20" s="51" t="str">
        <f t="shared" si="0"/>
        <v/>
      </c>
      <c r="B20" s="52" t="str">
        <f>IFERROR(VLOOKUP($D20,Sheet1!$A$2:$B$98,2,0),"")</f>
        <v/>
      </c>
      <c r="C20" s="89" t="str">
        <f>IFERROR(VLOOKUP($D20,'Tổng Đơn'!$A$5:$E$100,5,0),"")</f>
        <v/>
      </c>
      <c r="D20" s="48" t="s">
        <v>192</v>
      </c>
      <c r="E20" s="48"/>
      <c r="F20" s="53" t="str">
        <f>IF(AND($A20="",$A19&lt;&gt;""),"Tổng Cộng",IFERROR(VLOOKUP($D20,Sheet1!$A$2:$D$98,4,0),""))</f>
        <v/>
      </c>
      <c r="G20" s="54" t="str">
        <f>IF($A19=MAX($A$2:$A$50),SUM($G$2:$G19),IFERROR($F20*$E20,""))</f>
        <v/>
      </c>
      <c r="H20" s="92" t="str">
        <f t="shared" si="1"/>
        <v/>
      </c>
      <c r="K20" s="49" t="str">
        <f>IFERROR(VLOOKUP($D20,Sheet1!$A$2:$D$98,4,0),"")</f>
        <v/>
      </c>
    </row>
    <row r="21" spans="1:11" s="46" customFormat="1" ht="24.95" customHeight="1" x14ac:dyDescent="0.25">
      <c r="A21" s="51" t="str">
        <f t="shared" si="0"/>
        <v/>
      </c>
      <c r="B21" s="52" t="str">
        <f>IFERROR(VLOOKUP($D21,Sheet1!$A$2:$B$98,2,0),"")</f>
        <v/>
      </c>
      <c r="C21" s="89" t="str">
        <f>IFERROR(VLOOKUP($D21,'Tổng Đơn'!$A$5:$E$100,5,0),"")</f>
        <v/>
      </c>
      <c r="D21" s="48" t="s">
        <v>192</v>
      </c>
      <c r="E21" s="48"/>
      <c r="F21" s="53" t="str">
        <f>IF(AND($A21="",$A20&lt;&gt;""),"Tổng Cộng",IFERROR(VLOOKUP($D21,Sheet1!$A$2:$D$98,4,0),""))</f>
        <v/>
      </c>
      <c r="G21" s="54" t="str">
        <f>IF($A20=MAX($A$2:$A$50),SUM($G$2:$G20),IFERROR($F21*$E21,""))</f>
        <v/>
      </c>
      <c r="H21" s="92" t="str">
        <f t="shared" si="1"/>
        <v/>
      </c>
      <c r="K21" s="49"/>
    </row>
    <row r="22" spans="1:11" s="46" customFormat="1" ht="24.95" customHeight="1" x14ac:dyDescent="0.25">
      <c r="A22" s="51" t="str">
        <f t="shared" si="0"/>
        <v/>
      </c>
      <c r="B22" s="52" t="str">
        <f>IFERROR(VLOOKUP($D22,Sheet1!$A$2:$B$98,2,0),"")</f>
        <v/>
      </c>
      <c r="C22" s="89" t="str">
        <f>IFERROR(VLOOKUP($D22,'Tổng Đơn'!$A$5:$E$100,5,0),"")</f>
        <v/>
      </c>
      <c r="D22" s="48" t="s">
        <v>192</v>
      </c>
      <c r="E22" s="48"/>
      <c r="F22" s="53" t="str">
        <f>IF(AND($A22="",$A21&lt;&gt;""),"Tổng Cộng",IFERROR(VLOOKUP($D22,Sheet1!$A$2:$D$98,4,0),""))</f>
        <v/>
      </c>
      <c r="G22" s="54" t="str">
        <f>IF($A21=MAX($A$2:$A$50),SUM($G$2:$G21),IFERROR($F22*$E22,""))</f>
        <v/>
      </c>
      <c r="H22" s="92" t="str">
        <f t="shared" si="1"/>
        <v/>
      </c>
      <c r="K22" s="49"/>
    </row>
    <row r="23" spans="1:11" s="46" customFormat="1" ht="24.95" customHeight="1" x14ac:dyDescent="0.25">
      <c r="A23" s="51" t="str">
        <f t="shared" si="0"/>
        <v/>
      </c>
      <c r="B23" s="52" t="str">
        <f>IFERROR(VLOOKUP($D23,Sheet1!$A$2:$B$98,2,0),"")</f>
        <v/>
      </c>
      <c r="C23" s="89" t="str">
        <f>IFERROR(VLOOKUP($D23,'Tổng Đơn'!$A$5:$E$100,5,0),"")</f>
        <v/>
      </c>
      <c r="D23" s="48" t="s">
        <v>192</v>
      </c>
      <c r="E23" s="48"/>
      <c r="F23" s="53" t="str">
        <f>IF(AND($A23="",$A22&lt;&gt;""),"Tổng Cộng",IFERROR(VLOOKUP($D23,Sheet1!$A$2:$D$98,4,0),""))</f>
        <v/>
      </c>
      <c r="G23" s="54" t="str">
        <f>IF($A22=MAX($A$2:$A$50),SUM($G$2:$G22),IFERROR($F23*$E23,""))</f>
        <v/>
      </c>
      <c r="H23" s="92" t="str">
        <f t="shared" si="1"/>
        <v/>
      </c>
      <c r="K23" s="49">
        <v>1</v>
      </c>
    </row>
    <row r="24" spans="1:11" s="46" customFormat="1" ht="24.95" customHeight="1" x14ac:dyDescent="0.25">
      <c r="A24" s="51" t="str">
        <f t="shared" si="0"/>
        <v/>
      </c>
      <c r="B24" s="52" t="str">
        <f>IFERROR(VLOOKUP($D24,Sheet1!$A$2:$B$98,2,0),"")</f>
        <v/>
      </c>
      <c r="C24" s="89" t="str">
        <f>IFERROR(VLOOKUP($D24,'Tổng Đơn'!$A$5:$E$100,5,0),"")</f>
        <v/>
      </c>
      <c r="D24" s="48" t="s">
        <v>192</v>
      </c>
      <c r="E24" s="48"/>
      <c r="F24" s="53" t="str">
        <f>IF(AND($A24="",$A23&lt;&gt;""),"Tổng Cộng",IFERROR(VLOOKUP($D24,Sheet1!$A$2:$D$98,4,0),""))</f>
        <v/>
      </c>
      <c r="G24" s="54" t="str">
        <f>IF($A23=MAX($A$2:$A$50),SUM($G$2:$G23),IFERROR($F24*$E24,""))</f>
        <v/>
      </c>
      <c r="H24" s="92" t="str">
        <f t="shared" si="1"/>
        <v/>
      </c>
      <c r="K24" s="49">
        <v>1</v>
      </c>
    </row>
    <row r="25" spans="1:11" s="46" customFormat="1" ht="24.95" customHeight="1" x14ac:dyDescent="0.25">
      <c r="A25" s="51" t="str">
        <f t="shared" si="0"/>
        <v/>
      </c>
      <c r="B25" s="52" t="str">
        <f>IFERROR(VLOOKUP($D25,Sheet1!$A$2:$B$98,2,0),"")</f>
        <v/>
      </c>
      <c r="C25" s="89" t="str">
        <f>IFERROR(VLOOKUP($D25,'Tổng Đơn'!$A$5:$E$100,5,0),"")</f>
        <v/>
      </c>
      <c r="D25" s="48" t="s">
        <v>192</v>
      </c>
      <c r="E25" s="48"/>
      <c r="F25" s="53" t="str">
        <f>IF(AND($A25="",$A24&lt;&gt;""),"Tổng Cộng",IFERROR(VLOOKUP($D25,Sheet1!$A$2:$D$98,4,0),""))</f>
        <v/>
      </c>
      <c r="G25" s="54" t="str">
        <f>IF($A24=MAX($A$2:$A$50),SUM($G$2:$G24),IFERROR($F25*$E25,""))</f>
        <v/>
      </c>
      <c r="H25" s="92" t="str">
        <f t="shared" si="1"/>
        <v/>
      </c>
      <c r="K25" s="49">
        <v>1</v>
      </c>
    </row>
    <row r="26" spans="1:11" s="46" customFormat="1" ht="24.95" customHeight="1" x14ac:dyDescent="0.25">
      <c r="A26" s="51" t="str">
        <f t="shared" si="0"/>
        <v/>
      </c>
      <c r="B26" s="52" t="str">
        <f>IFERROR(VLOOKUP($D26,Sheet1!$A$2:$B$98,2,0),"")</f>
        <v/>
      </c>
      <c r="C26" s="89" t="str">
        <f>IFERROR(VLOOKUP($D26,'Tổng Đơn'!$A$5:$E$100,5,0),"")</f>
        <v/>
      </c>
      <c r="D26" s="48" t="s">
        <v>192</v>
      </c>
      <c r="E26" s="48"/>
      <c r="F26" s="53" t="str">
        <f>IF(AND($A26="",$A25&lt;&gt;""),"Tổng Cộng",IFERROR(VLOOKUP($D26,Sheet1!$A$2:$D$98,4,0),""))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IFERROR(VLOOKUP($D27,Sheet1!$A$2:$B$98,2,0),"")</f>
        <v/>
      </c>
      <c r="C27" s="89" t="str">
        <f>IFERROR(VLOOKUP($D27,'Tổng Đơn'!$A$5:$E$100,5,0),"")</f>
        <v/>
      </c>
      <c r="D27" s="48" t="s">
        <v>192</v>
      </c>
      <c r="E27" s="48"/>
      <c r="F27" s="53" t="str">
        <f>IF(AND($A27="",$A26&lt;&gt;""),"Tổng Cộng",IFERROR(VLOOKUP($D27,Sheet1!$A$2:$D$98,4,0),""))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IFERROR(VLOOKUP($D28,Sheet1!$A$2:$B$98,2,0),"")</f>
        <v/>
      </c>
      <c r="C28" s="89" t="str">
        <f>IFERROR(VLOOKUP($D28,'Tổng Đơn'!$A$5:$E$100,5,0),"")</f>
        <v/>
      </c>
      <c r="D28" s="48" t="s">
        <v>192</v>
      </c>
      <c r="E28" s="48"/>
      <c r="F28" s="53" t="str">
        <f>IF(AND($A28="",$A27&lt;&gt;""),"Tổng Cộng",IFERROR(VLOOKUP($D28,Sheet1!$A$2:$D$98,4,0),""))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IFERROR(VLOOKUP($D29,Sheet1!$A$2:$B$98,2,0),"")</f>
        <v/>
      </c>
      <c r="C29" s="89" t="str">
        <f>IFERROR(VLOOKUP($D29,'Tổng Đơn'!$A$5:$E$100,5,0),"")</f>
        <v/>
      </c>
      <c r="D29" s="48" t="s">
        <v>192</v>
      </c>
      <c r="E29" s="48"/>
      <c r="F29" s="53" t="str">
        <f>IF(AND($A29="",$A28&lt;&gt;""),"Tổng Cộng",IFERROR(VLOOKUP($D29,Sheet1!$A$2:$D$98,4,0),""))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IFERROR(VLOOKUP($D30,Sheet1!$A$2:$B$98,2,0),"")</f>
        <v/>
      </c>
      <c r="C30" s="89" t="str">
        <f>IFERROR(VLOOKUP($D30,'Tổng Đơn'!$A$5:$E$100,5,0),"")</f>
        <v/>
      </c>
      <c r="D30" s="48" t="s">
        <v>192</v>
      </c>
      <c r="E30" s="48"/>
      <c r="F30" s="53" t="str">
        <f>IF(AND($A30="",$A29&lt;&gt;""),"Tổng Cộng",IFERROR(VLOOKUP($D30,Sheet1!$A$2:$D$98,4,0),""))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IFERROR(VLOOKUP($D31,Sheet1!$A$2:$B$98,2,0),"")</f>
        <v/>
      </c>
      <c r="C31" s="89" t="str">
        <f>IFERROR(VLOOKUP($D31,'Tổng Đơn'!$A$5:$E$100,5,0),"")</f>
        <v/>
      </c>
      <c r="D31" s="48" t="s">
        <v>192</v>
      </c>
      <c r="E31" s="48"/>
      <c r="F31" s="53" t="str">
        <f>IF(AND($A31="",$A30&lt;&gt;""),"Tổng Cộng",IFERROR(VLOOKUP($D31,Sheet1!$A$2:$D$98,4,0),""))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Cộng",IFERROR(VLOOKUP($D32,Sheet1!$A$2:$D$98,4,0),""))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F3">
    <cfRule type="expression" dxfId="155" priority="12">
      <formula>$A2=MAX($A$2:$A$31)</formula>
    </cfRule>
  </conditionalFormatting>
  <conditionalFormatting sqref="D2:D3">
    <cfRule type="expression" dxfId="154" priority="11">
      <formula>AND($D2="",$E2&lt;&gt;"")</formula>
    </cfRule>
  </conditionalFormatting>
  <conditionalFormatting sqref="E2:E3">
    <cfRule type="expression" dxfId="153" priority="10">
      <formula>AND($E2="",$D2&lt;&gt;"")</formula>
    </cfRule>
  </conditionalFormatting>
  <conditionalFormatting sqref="C2:C3">
    <cfRule type="expression" dxfId="152" priority="9">
      <formula>AND($D2="",$E2&lt;&gt;"")</formula>
    </cfRule>
  </conditionalFormatting>
  <conditionalFormatting sqref="A10:G31 A4:F9 G2:G9">
    <cfRule type="expression" dxfId="151" priority="8">
      <formula>$A1=MAX($A$2:$A$31)</formula>
    </cfRule>
  </conditionalFormatting>
  <conditionalFormatting sqref="D4:D31">
    <cfRule type="expression" dxfId="150" priority="7">
      <formula>AND($D4="",$E4&lt;&gt;"")</formula>
    </cfRule>
  </conditionalFormatting>
  <conditionalFormatting sqref="E4:E31">
    <cfRule type="expression" dxfId="149" priority="6">
      <formula>AND($E4="",$D4&lt;&gt;"")</formula>
    </cfRule>
  </conditionalFormatting>
  <conditionalFormatting sqref="C4:C31">
    <cfRule type="expression" dxfId="148" priority="5">
      <formula>AND($D4="",$E4&lt;&gt;"")</formula>
    </cfRule>
  </conditionalFormatting>
  <conditionalFormatting sqref="A32:G32">
    <cfRule type="expression" dxfId="147" priority="4">
      <formula>$A31=MAX($A$2:$A$31)</formula>
    </cfRule>
  </conditionalFormatting>
  <conditionalFormatting sqref="D32">
    <cfRule type="expression" dxfId="146" priority="3">
      <formula>AND($D32="",$E32&lt;&gt;"")</formula>
    </cfRule>
  </conditionalFormatting>
  <conditionalFormatting sqref="E32">
    <cfRule type="expression" dxfId="145" priority="2">
      <formula>AND($E32="",$D32&lt;&gt;"")</formula>
    </cfRule>
  </conditionalFormatting>
  <conditionalFormatting sqref="C32">
    <cfRule type="expression" dxfId="144"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tabColor theme="1"/>
  </sheetPr>
  <dimension ref="A1:M52"/>
  <sheetViews>
    <sheetView zoomScaleNormal="100" workbookViewId="0">
      <pane ySplit="1" topLeftCell="A2" activePane="bottomLeft" state="frozen"/>
      <selection activeCell="H16" sqref="H16"/>
      <selection pane="bottomLeft" activeCell="H1" sqref="H1"/>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3" width="10.140625" style="14" bestFit="1" customWidth="1"/>
    <col min="14" max="16384" width="9.140625" style="14"/>
  </cols>
  <sheetData>
    <row r="1" spans="1:13" s="45" customFormat="1" ht="39" customHeight="1" x14ac:dyDescent="0.25">
      <c r="A1" s="47" t="s">
        <v>0</v>
      </c>
      <c r="B1" s="47" t="s">
        <v>17</v>
      </c>
      <c r="C1" s="87" t="s">
        <v>55</v>
      </c>
      <c r="D1" s="91" t="s">
        <v>118</v>
      </c>
      <c r="E1" s="91" t="s">
        <v>16</v>
      </c>
      <c r="F1" s="47" t="s">
        <v>18</v>
      </c>
      <c r="G1" s="47" t="s">
        <v>19</v>
      </c>
      <c r="H1" s="157" t="s">
        <v>228</v>
      </c>
      <c r="I1" s="55">
        <f>SUBTOTAL(9,H2:H31)</f>
        <v>2</v>
      </c>
      <c r="K1" s="47" t="s">
        <v>18</v>
      </c>
    </row>
    <row r="2" spans="1:13" s="46" customFormat="1" ht="24.95" customHeight="1" x14ac:dyDescent="0.25">
      <c r="A2" s="51">
        <f>IF(OR(SUM($A1,$D2&lt;&gt;"")=0,$D2=""),"",SUM($A1,$D2&lt;&gt;""))</f>
        <v>1</v>
      </c>
      <c r="B2" s="52" t="str">
        <f>IFERROR(VLOOKUP($D2,Sheet1!$A$2:$B$98,2,0),"")</f>
        <v>Chả lụa bì Ớt xiêm xanh</v>
      </c>
      <c r="C2" s="88">
        <f>IFERROR(VLOOKUP($D2,'Tổng Đơn'!$A$5:$E$100,5,0),"")</f>
        <v>0.5</v>
      </c>
      <c r="D2" s="48">
        <v>52</v>
      </c>
      <c r="E2" s="48">
        <v>4</v>
      </c>
      <c r="F2" s="53">
        <f>IFERROR(VLOOKUP($D2,Sheet1!$A$2:$D$98,4,0),"")</f>
        <v>69000</v>
      </c>
      <c r="G2" s="54">
        <f>IF($A1=MAX($A$2:$A$50),SUM($G1:$G$2),IFERROR($F2*$E2,""))</f>
        <v>276000</v>
      </c>
      <c r="H2" s="92">
        <f>IFERROR(E2*C2,"")</f>
        <v>2</v>
      </c>
      <c r="I2" s="46" t="str">
        <f>IF(SUMPRODUCT(($E$2:$E$12),($K$2:$K$12))&gt;=200000,"KM 15%",IF(SUMPRODUCT(($E$2:$E$12),($K$2:$K$12))&gt;=100000,"KM 10%",""))</f>
        <v>KM 15%</v>
      </c>
      <c r="K2" s="50">
        <f>IFERROR(VLOOKUP($D2,Sheet1!$A$2:$D$98,4,0),"")</f>
        <v>69000</v>
      </c>
    </row>
    <row r="3" spans="1:13" s="46" customFormat="1" ht="24.95" customHeight="1" x14ac:dyDescent="0.25">
      <c r="A3" s="51" t="str">
        <f t="shared" ref="A3:A31" si="0">IF(OR(SUM($A2,$D3&lt;&gt;"")=0,$D3=""),"",SUM($A2,$D3&lt;&gt;""))</f>
        <v/>
      </c>
      <c r="B3" s="52" t="str">
        <f>IFERROR(VLOOKUP($D3,Sheet1!$A$2:$B$98,2,0),"")</f>
        <v/>
      </c>
      <c r="C3" s="89" t="str">
        <f>IFERROR(VLOOKUP($D3,'Tổng Đơn'!$A$5:$E$100,5,0),"")</f>
        <v/>
      </c>
      <c r="D3" s="48"/>
      <c r="E3" s="48"/>
      <c r="F3" s="53" t="str">
        <f>IF(AND($A3="",$A2&lt;&gt;""),"Tổng Cộng",IFERROR(VLOOKUP($D3,Sheet1!$A$2:$D$98,4,0),""))</f>
        <v>Tổng Cộng</v>
      </c>
      <c r="G3" s="54">
        <f>IF($A2=MAX($A$2:$A$50),SUM($G$2:$G2),IFERROR($F3*$E3,""))</f>
        <v>276000</v>
      </c>
      <c r="H3" s="92" t="str">
        <f t="shared" ref="H3:H31" si="1">IFERROR(E3*C3,"")</f>
        <v/>
      </c>
      <c r="K3" s="49" t="str">
        <f>IFERROR(VLOOKUP($D3,Sheet1!$A$2:$D$98,4,0),"")</f>
        <v/>
      </c>
    </row>
    <row r="4" spans="1:13" s="46" customFormat="1" ht="24.95" customHeight="1" x14ac:dyDescent="0.25">
      <c r="A4" s="51" t="str">
        <f t="shared" si="0"/>
        <v/>
      </c>
      <c r="B4" s="52" t="str">
        <f>IFERROR(VLOOKUP($D4,Sheet1!$A$2:$B$98,2,0),"")</f>
        <v/>
      </c>
      <c r="C4" s="89" t="str">
        <f>IFERROR(VLOOKUP($D4,'Tổng Đơn'!$A$5:$E$100,5,0),"")</f>
        <v/>
      </c>
      <c r="D4" s="48"/>
      <c r="E4" s="48"/>
      <c r="F4" s="53" t="str">
        <f>IF(AND($A4="",$A3&lt;&gt;""),"Tổng Cộng",IFERROR(VLOOKUP($D4,Sheet1!$A$2:$D$98,4,0),""))</f>
        <v/>
      </c>
      <c r="G4" s="54" t="str">
        <f>IF($A3=MAX($A$2:$A$50),SUM($G$2:$G3),IFERROR($F4*$E4,""))</f>
        <v/>
      </c>
      <c r="H4" s="92" t="str">
        <f t="shared" si="1"/>
        <v/>
      </c>
      <c r="K4" s="49" t="str">
        <f>IFERROR(VLOOKUP($D4,Sheet1!$A$2:$D$98,4,0),"")</f>
        <v/>
      </c>
    </row>
    <row r="5" spans="1:13" s="46" customFormat="1" ht="24.95" customHeight="1" x14ac:dyDescent="0.25">
      <c r="A5" s="51" t="str">
        <f t="shared" si="0"/>
        <v/>
      </c>
      <c r="B5" s="52" t="str">
        <f>IFERROR(VLOOKUP($D5,Sheet1!$A$2:$B$98,2,0),"")</f>
        <v/>
      </c>
      <c r="C5" s="89" t="str">
        <f>IFERROR(VLOOKUP($D5,'Tổng Đơn'!$A$5:$E$100,5,0),"")</f>
        <v/>
      </c>
      <c r="D5" s="48"/>
      <c r="E5" s="48"/>
      <c r="F5" s="53" t="str">
        <f>IF(AND($A5="",$A4&lt;&gt;""),"Tổng Cộng",IFERROR(VLOOKUP($D5,Sheet1!$A$2:$D$98,4,0),""))</f>
        <v/>
      </c>
      <c r="G5" s="54" t="str">
        <f>IF($A4=MAX($A$2:$A$50),SUM($G$2:$G4),IFERROR($F5*$E5,""))</f>
        <v/>
      </c>
      <c r="H5" s="92" t="str">
        <f t="shared" si="1"/>
        <v/>
      </c>
      <c r="K5" s="49" t="str">
        <f>IFERROR(VLOOKUP($D5,Sheet1!$A$2:$D$98,4,0),"")</f>
        <v/>
      </c>
    </row>
    <row r="6" spans="1:13" s="46" customFormat="1" ht="24.95" customHeight="1" x14ac:dyDescent="0.25">
      <c r="A6" s="51" t="str">
        <f t="shared" si="0"/>
        <v/>
      </c>
      <c r="B6" s="52" t="str">
        <f>IFERROR(VLOOKUP($D6,Sheet1!$A$2:$B$98,2,0),"")</f>
        <v/>
      </c>
      <c r="C6" s="89" t="str">
        <f>IFERROR(VLOOKUP($D6,'Tổng Đơn'!$A$5:$E$100,5,0),"")</f>
        <v/>
      </c>
      <c r="D6" s="48"/>
      <c r="E6" s="48"/>
      <c r="F6" s="53" t="str">
        <f>IF(AND($A6="",$A5&lt;&gt;""),"Tổng Cộng",IFERROR(VLOOKUP($D6,Sheet1!$A$2:$D$98,4,0),""))</f>
        <v/>
      </c>
      <c r="G6" s="54" t="str">
        <f>IF($A5=MAX($A$2:$A$50),SUM($G$2:$G5),IFERROR($F6*$E6,""))</f>
        <v/>
      </c>
      <c r="H6" s="92" t="str">
        <f t="shared" si="1"/>
        <v/>
      </c>
      <c r="I6" s="175"/>
      <c r="K6" s="49"/>
      <c r="L6" s="184"/>
      <c r="M6" s="176"/>
    </row>
    <row r="7" spans="1:13" s="46" customFormat="1" ht="24.95" customHeight="1" x14ac:dyDescent="0.25">
      <c r="A7" s="51" t="str">
        <f t="shared" si="0"/>
        <v/>
      </c>
      <c r="B7" s="52" t="str">
        <f>IFERROR(VLOOKUP($D7,Sheet1!$A$2:$B$98,2,0),"")</f>
        <v/>
      </c>
      <c r="C7" s="89" t="str">
        <f>IFERROR(VLOOKUP($D7,'Tổng Đơn'!$A$5:$E$100,5,0),"")</f>
        <v/>
      </c>
      <c r="D7" s="48"/>
      <c r="E7" s="48"/>
      <c r="F7" s="53" t="str">
        <f>IF(AND($A7="",$A6&lt;&gt;""),"Tổng Cộng",IFERROR(VLOOKUP($D7,Sheet1!$A$2:$D$98,4,0),""))</f>
        <v/>
      </c>
      <c r="G7" s="54" t="str">
        <f>IF($A6=MAX($A$2:$A$50),SUM($G$2:$G6),IFERROR($F7*$E7,""))</f>
        <v/>
      </c>
      <c r="H7" s="92" t="str">
        <f t="shared" si="1"/>
        <v/>
      </c>
      <c r="K7" s="49"/>
    </row>
    <row r="8" spans="1:13" s="46" customFormat="1" ht="24.95" customHeight="1" x14ac:dyDescent="0.25">
      <c r="A8" s="51" t="str">
        <f t="shared" si="0"/>
        <v/>
      </c>
      <c r="B8" s="52" t="str">
        <f>IFERROR(VLOOKUP($D8,Sheet1!$A$2:$B$98,2,0),"")</f>
        <v/>
      </c>
      <c r="C8" s="89" t="str">
        <f>IFERROR(VLOOKUP($D8,'Tổng Đơn'!$A$5:$E$100,5,0),"")</f>
        <v/>
      </c>
      <c r="D8" s="48"/>
      <c r="E8" s="48"/>
      <c r="F8" s="53" t="str">
        <f>IF(AND($A8="",$A7&lt;&gt;""),"Tổng Cộng",IFERROR(VLOOKUP($D8,Sheet1!$A$2:$D$98,4,0),""))</f>
        <v/>
      </c>
      <c r="G8" s="54" t="str">
        <f>IF($A7=MAX($A$2:$A$50),SUM($G$2:$G7),IFERROR($F8*$E8,""))</f>
        <v/>
      </c>
      <c r="H8" s="92" t="str">
        <f t="shared" si="1"/>
        <v/>
      </c>
      <c r="K8" s="49" t="str">
        <f>IFERROR(VLOOKUP($D8,Sheet1!$A$2:$D$98,4,0),"")</f>
        <v/>
      </c>
      <c r="L8" s="185"/>
    </row>
    <row r="9" spans="1:13" s="46" customFormat="1" ht="24.95" customHeight="1" x14ac:dyDescent="0.25">
      <c r="A9" s="51" t="str">
        <f t="shared" si="0"/>
        <v/>
      </c>
      <c r="B9" s="52" t="str">
        <f>IFERROR(VLOOKUP($D9,Sheet1!$A$2:$B$98,2,0),"")</f>
        <v/>
      </c>
      <c r="C9" s="89" t="str">
        <f>IFERROR(VLOOKUP($D9,'Tổng Đơn'!$A$5:$E$100,5,0),"")</f>
        <v/>
      </c>
      <c r="D9" s="48"/>
      <c r="E9" s="48"/>
      <c r="F9" s="53" t="str">
        <f>IF(AND($A9="",$A8&lt;&gt;""),"Tổng Cộng",IFERROR(VLOOKUP($D9,Sheet1!$A$2:$D$98,4,0),""))</f>
        <v/>
      </c>
      <c r="G9" s="54" t="str">
        <f>IF($A8=MAX($A$2:$A$50),SUM($G$2:$G8),IFERROR($F9*$E9,""))</f>
        <v/>
      </c>
      <c r="H9" s="92" t="str">
        <f t="shared" si="1"/>
        <v/>
      </c>
      <c r="K9" s="49" t="str">
        <f>IFERROR(VLOOKUP($D9,Sheet1!$A$2:$D$98,4,0),"")</f>
        <v/>
      </c>
    </row>
    <row r="10" spans="1:13" s="46" customFormat="1" ht="24.95" customHeight="1" x14ac:dyDescent="0.25">
      <c r="A10" s="51" t="str">
        <f t="shared" si="0"/>
        <v/>
      </c>
      <c r="B10" s="52" t="str">
        <f>IFERROR(VLOOKUP($D10,Sheet1!$A$2:$B$98,2,0),"")</f>
        <v/>
      </c>
      <c r="C10" s="89" t="str">
        <f>IFERROR(VLOOKUP($D10,'Tổng Đơn'!$A$5:$E$100,5,0),"")</f>
        <v/>
      </c>
      <c r="D10" s="48"/>
      <c r="E10" s="48"/>
      <c r="F10" s="53" t="str">
        <f>IF(AND($A10="",$A9&lt;&gt;""),"Tổng Cộng",IFERROR(VLOOKUP($D10,Sheet1!$A$2:$D$98,4,0),""))</f>
        <v/>
      </c>
      <c r="G10" s="54" t="str">
        <f>IF($A9=MAX($A$2:$A$50),SUM($G$2:$G9),IFERROR($F10*$E10,""))</f>
        <v/>
      </c>
      <c r="H10" s="92" t="str">
        <f t="shared" si="1"/>
        <v/>
      </c>
      <c r="K10" s="49" t="str">
        <f>IFERROR(VLOOKUP($D10,Sheet1!$A$2:$D$98,4,0),"")</f>
        <v/>
      </c>
    </row>
    <row r="11" spans="1:13" s="46" customFormat="1" ht="24.95" customHeight="1" x14ac:dyDescent="0.25">
      <c r="A11" s="51" t="str">
        <f t="shared" si="0"/>
        <v/>
      </c>
      <c r="B11" s="52" t="str">
        <f>IFERROR(VLOOKUP($D11,Sheet1!$A$2:$B$98,2,0),"")</f>
        <v/>
      </c>
      <c r="C11" s="89" t="str">
        <f>IFERROR(VLOOKUP($D11,'Tổng Đơn'!$A$5:$E$100,5,0),"")</f>
        <v/>
      </c>
      <c r="D11" s="48"/>
      <c r="E11" s="48"/>
      <c r="F11" s="53" t="str">
        <f>IF(AND($A11="",$A10&lt;&gt;""),"Tổng Cộng",IFERROR(VLOOKUP($D11,Sheet1!$A$2:$D$98,4,0),""))</f>
        <v/>
      </c>
      <c r="G11" s="54" t="str">
        <f>IF($A10=MAX($A$2:$A$50),SUM($G$2:$G10),IFERROR($F11*$E11,""))</f>
        <v/>
      </c>
      <c r="H11" s="92" t="str">
        <f t="shared" si="1"/>
        <v/>
      </c>
      <c r="K11" s="49" t="str">
        <f>IFERROR(VLOOKUP($D11,Sheet1!$A$2:$D$98,4,0),"")</f>
        <v/>
      </c>
    </row>
    <row r="12" spans="1:13" s="46" customFormat="1" ht="24.95" customHeight="1" x14ac:dyDescent="0.25">
      <c r="A12" s="51" t="str">
        <f t="shared" si="0"/>
        <v/>
      </c>
      <c r="B12" s="52" t="str">
        <f>IFERROR(VLOOKUP($D12,Sheet1!$A$2:$B$98,2,0),"")</f>
        <v/>
      </c>
      <c r="C12" s="89" t="str">
        <f>IFERROR(VLOOKUP($D12,'Tổng Đơn'!$A$5:$E$100,5,0),"")</f>
        <v/>
      </c>
      <c r="D12" s="48"/>
      <c r="E12" s="48"/>
      <c r="F12" s="53" t="str">
        <f>IF(AND($A12="",$A11&lt;&gt;""),"Tổng Cộng",IFERROR(VLOOKUP($D12,Sheet1!$A$2:$D$98,4,0),""))</f>
        <v/>
      </c>
      <c r="G12" s="54" t="str">
        <f>IF($A11=MAX($A$2:$A$50),SUM($G$2:$G11),IFERROR($F12*$E12,""))</f>
        <v/>
      </c>
      <c r="H12" s="92" t="str">
        <f t="shared" si="1"/>
        <v/>
      </c>
      <c r="K12" s="49" t="str">
        <f>IFERROR(VLOOKUP($D12,Sheet1!$A$2:$D$98,4,0),"")</f>
        <v/>
      </c>
    </row>
    <row r="13" spans="1:13" s="46" customFormat="1" ht="24.95" customHeight="1" x14ac:dyDescent="0.25">
      <c r="A13" s="51" t="str">
        <f t="shared" si="0"/>
        <v/>
      </c>
      <c r="B13" s="52" t="str">
        <f>IFERROR(VLOOKUP($D13,Sheet1!$A$2:$B$98,2,0),"")</f>
        <v/>
      </c>
      <c r="C13" s="89" t="str">
        <f>IFERROR(VLOOKUP($D13,'Tổng Đơn'!$A$5:$E$100,5,0),"")</f>
        <v/>
      </c>
      <c r="D13" s="48"/>
      <c r="E13" s="48"/>
      <c r="F13" s="53" t="str">
        <f>IF(AND($A13="",$A12&lt;&gt;""),"Tổng Cộng",IFERROR(VLOOKUP($D13,Sheet1!$A$2:$D$98,4,0),""))</f>
        <v/>
      </c>
      <c r="G13" s="54" t="str">
        <f>IF($A12=MAX($A$2:$A$50),SUM($G$2:$G12),IFERROR($F13*$E13,""))</f>
        <v/>
      </c>
      <c r="H13" s="92" t="str">
        <f t="shared" si="1"/>
        <v/>
      </c>
      <c r="K13" s="49" t="str">
        <f>IFERROR(VLOOKUP($D13,Sheet1!$A$2:$D$98,4,0),"")</f>
        <v/>
      </c>
    </row>
    <row r="14" spans="1:13" s="46" customFormat="1" ht="24.95" customHeight="1" x14ac:dyDescent="0.25">
      <c r="A14" s="51" t="str">
        <f t="shared" si="0"/>
        <v/>
      </c>
      <c r="B14" s="52" t="str">
        <f>IFERROR(VLOOKUP($D14,Sheet1!$A$2:$B$98,2,0),"")</f>
        <v/>
      </c>
      <c r="C14" s="89" t="str">
        <f>IFERROR(VLOOKUP($D14,'Tổng Đơn'!$A$5:$E$100,5,0),"")</f>
        <v/>
      </c>
      <c r="D14" s="48"/>
      <c r="E14" s="48"/>
      <c r="F14" s="53" t="str">
        <f>IF(AND($A14="",$A13&lt;&gt;""),"Tổng Cộng",IFERROR(VLOOKUP($D14,Sheet1!$A$2:$D$98,4,0),""))</f>
        <v/>
      </c>
      <c r="G14" s="54" t="str">
        <f>IF($A13=MAX($A$2:$A$50),SUM($G$2:$G13),IFERROR($F14*$E14,""))</f>
        <v/>
      </c>
      <c r="H14" s="92" t="str">
        <f t="shared" si="1"/>
        <v/>
      </c>
      <c r="K14" s="49" t="str">
        <f>IFERROR(VLOOKUP($D14,Sheet1!$A$2:$D$98,4,0),"")</f>
        <v/>
      </c>
    </row>
    <row r="15" spans="1:13" s="46" customFormat="1" ht="24.95" customHeight="1" x14ac:dyDescent="0.25">
      <c r="A15" s="51" t="str">
        <f t="shared" si="0"/>
        <v/>
      </c>
      <c r="B15" s="52" t="str">
        <f>IFERROR(VLOOKUP($D15,Sheet1!$A$2:$B$98,2,0),"")</f>
        <v/>
      </c>
      <c r="C15" s="89" t="str">
        <f>IFERROR(VLOOKUP($D15,'Tổng Đơn'!$A$5:$E$100,5,0),"")</f>
        <v/>
      </c>
      <c r="D15" s="48"/>
      <c r="E15" s="48"/>
      <c r="F15" s="53" t="str">
        <f>IF(AND($A15="",$A14&lt;&gt;""),"Tổng Cộng",IFERROR(VLOOKUP($D15,Sheet1!$A$2:$D$98,4,0),""))</f>
        <v/>
      </c>
      <c r="G15" s="54" t="str">
        <f>IF($A14=MAX($A$2:$A$50),SUM($G$2:$G14),IFERROR($F15*$E15,""))</f>
        <v/>
      </c>
      <c r="H15" s="92" t="str">
        <f t="shared" si="1"/>
        <v/>
      </c>
      <c r="K15" s="49" t="str">
        <f>IFERROR(VLOOKUP($D15,Sheet1!$A$2:$D$98,4,0),"")</f>
        <v/>
      </c>
    </row>
    <row r="16" spans="1:13" s="46" customFormat="1" ht="24.95" customHeight="1" x14ac:dyDescent="0.25">
      <c r="A16" s="51" t="str">
        <f t="shared" si="0"/>
        <v/>
      </c>
      <c r="B16" s="52" t="str">
        <f>IFERROR(VLOOKUP($D16,Sheet1!$A$2:$B$98,2,0),"")</f>
        <v/>
      </c>
      <c r="C16" s="89" t="str">
        <f>IFERROR(VLOOKUP($D16,'Tổng Đơn'!$A$5:$E$100,5,0),"")</f>
        <v/>
      </c>
      <c r="D16" s="48"/>
      <c r="E16" s="48"/>
      <c r="F16" s="53" t="str">
        <f>IF(AND($A16="",$A15&lt;&gt;""),"Tổng Cộng",IFERROR(VLOOKUP($D16,Sheet1!$A$2:$D$98,4,0),""))</f>
        <v/>
      </c>
      <c r="G16" s="54" t="str">
        <f>IF($A15=MAX($A$2:$A$50),SUM($G$2:$G15),IFERROR($F16*$E16,""))</f>
        <v/>
      </c>
      <c r="H16" s="92" t="str">
        <f t="shared" si="1"/>
        <v/>
      </c>
      <c r="K16" s="49" t="str">
        <f>IFERROR(VLOOKUP($D16,Sheet1!$A$2:$D$98,4,0),"")</f>
        <v/>
      </c>
    </row>
    <row r="17" spans="1:11" s="46" customFormat="1" ht="24.95" customHeight="1" x14ac:dyDescent="0.25">
      <c r="A17" s="51" t="str">
        <f t="shared" si="0"/>
        <v/>
      </c>
      <c r="B17" s="52" t="str">
        <f>IFERROR(VLOOKUP($D17,Sheet1!$A$2:$B$98,2,0),"")</f>
        <v/>
      </c>
      <c r="C17" s="89" t="str">
        <f>IFERROR(VLOOKUP($D17,'Tổng Đơn'!$A$5:$E$100,5,0),"")</f>
        <v/>
      </c>
      <c r="D17" s="48"/>
      <c r="E17" s="48"/>
      <c r="F17" s="53" t="str">
        <f>IF(AND($A17="",$A16&lt;&gt;""),"Tổng Cộng",IFERROR(VLOOKUP($D17,Sheet1!$A$2:$D$98,4,0),""))</f>
        <v/>
      </c>
      <c r="G17" s="54" t="str">
        <f>IF($A16=MAX($A$2:$A$50),SUM($G$2:$G16),IFERROR($F17*$E17,""))</f>
        <v/>
      </c>
      <c r="H17" s="92" t="str">
        <f t="shared" si="1"/>
        <v/>
      </c>
      <c r="K17" s="49" t="str">
        <f>IFERROR(VLOOKUP($D17,Sheet1!$A$2:$D$98,4,0),"")</f>
        <v/>
      </c>
    </row>
    <row r="18" spans="1:11" s="46" customFormat="1" ht="24.95" customHeight="1" x14ac:dyDescent="0.25">
      <c r="A18" s="51" t="str">
        <f t="shared" si="0"/>
        <v/>
      </c>
      <c r="B18" s="52" t="str">
        <f>IFERROR(VLOOKUP($D18,Sheet1!$A$2:$B$98,2,0),"")</f>
        <v/>
      </c>
      <c r="C18" s="89" t="str">
        <f>IFERROR(VLOOKUP($D18,'Tổng Đơn'!$A$5:$E$100,5,0),"")</f>
        <v/>
      </c>
      <c r="D18" s="48"/>
      <c r="E18" s="48"/>
      <c r="F18" s="53" t="str">
        <f>IF(AND($A18="",$A17&lt;&gt;""),"Tổng Cộng",IFERROR(VLOOKUP($D18,Sheet1!$A$2:$D$98,4,0),""))</f>
        <v/>
      </c>
      <c r="G18" s="54" t="str">
        <f>IF($A17=MAX($A$2:$A$50),SUM($G$2:$G17),IFERROR($F18*$E18,""))</f>
        <v/>
      </c>
      <c r="H18" s="92" t="str">
        <f t="shared" si="1"/>
        <v/>
      </c>
      <c r="K18" s="49" t="str">
        <f>IFERROR(VLOOKUP($D18,Sheet1!$A$2:$D$98,4,0),"")</f>
        <v/>
      </c>
    </row>
    <row r="19" spans="1:11" s="46" customFormat="1" ht="24.95" customHeight="1" x14ac:dyDescent="0.25">
      <c r="A19" s="51" t="str">
        <f t="shared" si="0"/>
        <v/>
      </c>
      <c r="B19" s="52" t="str">
        <f>IFERROR(VLOOKUP($D19,Sheet1!$A$2:$B$98,2,0),"")</f>
        <v/>
      </c>
      <c r="C19" s="89" t="str">
        <f>IFERROR(VLOOKUP($D19,'Tổng Đơn'!$A$5:$E$100,5,0),"")</f>
        <v/>
      </c>
      <c r="D19" s="48"/>
      <c r="E19" s="48"/>
      <c r="F19" s="53" t="str">
        <f>IF(AND($A19="",$A18&lt;&gt;""),"Tổng Cộng",IFERROR(VLOOKUP($D19,Sheet1!$A$2:$D$98,4,0),""))</f>
        <v/>
      </c>
      <c r="G19" s="54" t="str">
        <f>IF($A18=MAX($A$2:$A$50),SUM($G$2:$G18),IFERROR($F19*$E19,""))</f>
        <v/>
      </c>
      <c r="H19" s="92" t="str">
        <f t="shared" si="1"/>
        <v/>
      </c>
      <c r="K19" s="49" t="str">
        <f>IFERROR(VLOOKUP($D19,Sheet1!$A$2:$D$98,4,0),"")</f>
        <v/>
      </c>
    </row>
    <row r="20" spans="1:11" s="46" customFormat="1" ht="24.95" customHeight="1" x14ac:dyDescent="0.25">
      <c r="A20" s="51" t="str">
        <f t="shared" si="0"/>
        <v/>
      </c>
      <c r="B20" s="52" t="str">
        <f>IFERROR(VLOOKUP($D20,Sheet1!$A$2:$B$98,2,0),"")</f>
        <v/>
      </c>
      <c r="C20" s="89" t="str">
        <f>IFERROR(VLOOKUP($D20,'Tổng Đơn'!$A$5:$E$100,5,0),"")</f>
        <v/>
      </c>
      <c r="D20" s="48"/>
      <c r="E20" s="48"/>
      <c r="F20" s="53" t="str">
        <f>IF(AND($A20="",$A19&lt;&gt;""),"Tổng Cộng",IFERROR(VLOOKUP($D20,Sheet1!$A$2:$D$98,4,0),""))</f>
        <v/>
      </c>
      <c r="G20" s="54" t="str">
        <f>IF($A19=MAX($A$2:$A$50),SUM($G$2:$G19),IFERROR($F20*$E20,""))</f>
        <v/>
      </c>
      <c r="H20" s="92" t="str">
        <f t="shared" si="1"/>
        <v/>
      </c>
      <c r="K20" s="49" t="str">
        <f>IFERROR(VLOOKUP($D20,Sheet1!$A$2:$D$98,4,0),"")</f>
        <v/>
      </c>
    </row>
    <row r="21" spans="1:11" s="46" customFormat="1" ht="24.95" customHeight="1" x14ac:dyDescent="0.25">
      <c r="A21" s="51" t="str">
        <f t="shared" si="0"/>
        <v/>
      </c>
      <c r="B21" s="52" t="str">
        <f>IFERROR(VLOOKUP($D21,Sheet1!$A$2:$B$98,2,0),"")</f>
        <v/>
      </c>
      <c r="C21" s="89" t="str">
        <f>IFERROR(VLOOKUP($D21,'Tổng Đơn'!$A$5:$E$100,5,0),"")</f>
        <v/>
      </c>
      <c r="D21" s="48"/>
      <c r="E21" s="48"/>
      <c r="F21" s="53" t="str">
        <f>IF(AND($A21="",$A20&lt;&gt;""),"Tổng Cộng",IFERROR(VLOOKUP($D21,Sheet1!$A$2:$D$98,4,0),""))</f>
        <v/>
      </c>
      <c r="G21" s="54" t="str">
        <f>IF($A20=MAX($A$2:$A$50),SUM($G$2:$G20),IFERROR($F21*$E21,""))</f>
        <v/>
      </c>
      <c r="H21" s="92" t="str">
        <f t="shared" si="1"/>
        <v/>
      </c>
      <c r="K21" s="49"/>
    </row>
    <row r="22" spans="1:11" s="46" customFormat="1" ht="24.95" customHeight="1" x14ac:dyDescent="0.25">
      <c r="A22" s="51" t="str">
        <f t="shared" si="0"/>
        <v/>
      </c>
      <c r="B22" s="52" t="str">
        <f>IFERROR(VLOOKUP($D22,Sheet1!$A$2:$B$98,2,0),"")</f>
        <v/>
      </c>
      <c r="C22" s="89" t="str">
        <f>IFERROR(VLOOKUP($D22,'Tổng Đơn'!$A$5:$E$100,5,0),"")</f>
        <v/>
      </c>
      <c r="D22" s="48"/>
      <c r="E22" s="48"/>
      <c r="F22" s="53" t="str">
        <f>IF(AND($A22="",$A21&lt;&gt;""),"Tổng Cộng",IFERROR(VLOOKUP($D22,Sheet1!$A$2:$D$98,4,0),""))</f>
        <v/>
      </c>
      <c r="G22" s="54" t="str">
        <f>IF($A21=MAX($A$2:$A$50),SUM($G$2:$G21),IFERROR($F22*$E22,""))</f>
        <v/>
      </c>
      <c r="H22" s="92" t="str">
        <f t="shared" si="1"/>
        <v/>
      </c>
      <c r="K22" s="49"/>
    </row>
    <row r="23" spans="1:11" s="46" customFormat="1" ht="24.95" customHeight="1" x14ac:dyDescent="0.25">
      <c r="A23" s="51" t="str">
        <f t="shared" si="0"/>
        <v/>
      </c>
      <c r="B23" s="52" t="str">
        <f>IFERROR(VLOOKUP($D23,Sheet1!$A$2:$B$98,2,0),"")</f>
        <v/>
      </c>
      <c r="C23" s="89" t="str">
        <f>IFERROR(VLOOKUP($D23,'Tổng Đơn'!$A$5:$E$100,5,0),"")</f>
        <v/>
      </c>
      <c r="D23" s="48"/>
      <c r="E23" s="48"/>
      <c r="F23" s="53" t="str">
        <f>IF(AND($A23="",$A22&lt;&gt;""),"Tổng Cộng",IFERROR(VLOOKUP($D23,Sheet1!$A$2:$D$98,4,0),""))</f>
        <v/>
      </c>
      <c r="G23" s="54" t="str">
        <f>IF($A22=MAX($A$2:$A$50),SUM($G$2:$G22),IFERROR($F23*$E23,""))</f>
        <v/>
      </c>
      <c r="H23" s="92" t="str">
        <f t="shared" si="1"/>
        <v/>
      </c>
      <c r="K23" s="49">
        <v>1</v>
      </c>
    </row>
    <row r="24" spans="1:11" s="46" customFormat="1" ht="24.95" customHeight="1" x14ac:dyDescent="0.25">
      <c r="A24" s="51" t="str">
        <f t="shared" si="0"/>
        <v/>
      </c>
      <c r="B24" s="52" t="str">
        <f>IFERROR(VLOOKUP($D24,Sheet1!$A$2:$B$98,2,0),"")</f>
        <v/>
      </c>
      <c r="C24" s="89" t="str">
        <f>IFERROR(VLOOKUP($D24,'Tổng Đơn'!$A$5:$E$100,5,0),"")</f>
        <v/>
      </c>
      <c r="D24" s="48"/>
      <c r="E24" s="48"/>
      <c r="F24" s="53" t="str">
        <f>IF(AND($A24="",$A23&lt;&gt;""),"Tổng Cộng",IFERROR(VLOOKUP($D24,Sheet1!$A$2:$D$98,4,0),""))</f>
        <v/>
      </c>
      <c r="G24" s="54" t="str">
        <f>IF($A23=MAX($A$2:$A$50),SUM($G$2:$G23),IFERROR($F24*$E24,""))</f>
        <v/>
      </c>
      <c r="H24" s="92" t="str">
        <f t="shared" si="1"/>
        <v/>
      </c>
      <c r="K24" s="49">
        <v>1</v>
      </c>
    </row>
    <row r="25" spans="1:11" s="46" customFormat="1" ht="24.95" customHeight="1" x14ac:dyDescent="0.25">
      <c r="A25" s="51" t="str">
        <f t="shared" si="0"/>
        <v/>
      </c>
      <c r="B25" s="52" t="str">
        <f>IFERROR(VLOOKUP($D25,Sheet1!$A$2:$B$98,2,0),"")</f>
        <v/>
      </c>
      <c r="C25" s="89" t="str">
        <f>IFERROR(VLOOKUP($D25,'Tổng Đơn'!$A$5:$E$100,5,0),"")</f>
        <v/>
      </c>
      <c r="D25" s="48"/>
      <c r="E25" s="48"/>
      <c r="F25" s="53" t="str">
        <f>IF(AND($A25="",$A24&lt;&gt;""),"Tổng Cộng",IFERROR(VLOOKUP($D25,Sheet1!$A$2:$D$98,4,0),""))</f>
        <v/>
      </c>
      <c r="G25" s="54" t="str">
        <f>IF($A24=MAX($A$2:$A$50),SUM($G$2:$G24),IFERROR($F25*$E25,""))</f>
        <v/>
      </c>
      <c r="H25" s="92" t="str">
        <f t="shared" si="1"/>
        <v/>
      </c>
      <c r="K25" s="49">
        <v>1</v>
      </c>
    </row>
    <row r="26" spans="1:11" s="46" customFormat="1" ht="24.95" customHeight="1" x14ac:dyDescent="0.25">
      <c r="A26" s="51" t="str">
        <f t="shared" si="0"/>
        <v/>
      </c>
      <c r="B26" s="52" t="str">
        <f>IFERROR(VLOOKUP($D26,Sheet1!$A$2:$B$98,2,0),"")</f>
        <v/>
      </c>
      <c r="C26" s="89" t="str">
        <f>IFERROR(VLOOKUP($D26,'Tổng Đơn'!$A$5:$E$100,5,0),"")</f>
        <v/>
      </c>
      <c r="D26" s="48"/>
      <c r="E26" s="48"/>
      <c r="F26" s="53" t="str">
        <f>IF(AND($A26="",$A25&lt;&gt;""),"Tổng Cộng",IFERROR(VLOOKUP($D26,Sheet1!$A$2:$D$98,4,0),""))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IFERROR(VLOOKUP($D27,Sheet1!$A$2:$B$98,2,0),"")</f>
        <v/>
      </c>
      <c r="C27" s="89" t="str">
        <f>IFERROR(VLOOKUP($D27,'Tổng Đơn'!$A$5:$E$100,5,0),"")</f>
        <v/>
      </c>
      <c r="D27" s="48"/>
      <c r="E27" s="48"/>
      <c r="F27" s="53" t="str">
        <f>IF(AND($A27="",$A26&lt;&gt;""),"Tổng Cộng",IFERROR(VLOOKUP($D27,Sheet1!$A$2:$D$98,4,0),""))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IFERROR(VLOOKUP($D28,Sheet1!$A$2:$B$98,2,0),"")</f>
        <v/>
      </c>
      <c r="C28" s="89" t="str">
        <f>IFERROR(VLOOKUP($D28,'Tổng Đơn'!$A$5:$E$100,5,0),"")</f>
        <v/>
      </c>
      <c r="D28" s="48"/>
      <c r="E28" s="48"/>
      <c r="F28" s="53" t="str">
        <f>IF(AND($A28="",$A27&lt;&gt;""),"Tổng Cộng",IFERROR(VLOOKUP($D28,Sheet1!$A$2:$D$98,4,0),""))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IFERROR(VLOOKUP($D29,Sheet1!$A$2:$B$98,2,0),"")</f>
        <v/>
      </c>
      <c r="C29" s="89" t="str">
        <f>IFERROR(VLOOKUP($D29,'Tổng Đơn'!$A$5:$E$100,5,0),"")</f>
        <v/>
      </c>
      <c r="D29" s="48"/>
      <c r="E29" s="48"/>
      <c r="F29" s="53" t="str">
        <f>IF(AND($A29="",$A28&lt;&gt;""),"Tổng Cộng",IFERROR(VLOOKUP($D29,Sheet1!$A$2:$D$98,4,0),""))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IFERROR(VLOOKUP($D30,Sheet1!$A$2:$B$98,2,0),"")</f>
        <v/>
      </c>
      <c r="C30" s="89" t="str">
        <f>IFERROR(VLOOKUP($D30,'Tổng Đơn'!$A$5:$E$100,5,0),"")</f>
        <v/>
      </c>
      <c r="D30" s="48"/>
      <c r="E30" s="48"/>
      <c r="F30" s="53" t="str">
        <f>IF(AND($A30="",$A29&lt;&gt;""),"Tổng Cộng",IFERROR(VLOOKUP($D30,Sheet1!$A$2:$D$98,4,0),""))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IFERROR(VLOOKUP($D31,Sheet1!$A$2:$B$98,2,0),"")</f>
        <v/>
      </c>
      <c r="C31" s="89" t="str">
        <f>IFERROR(VLOOKUP($D31,'Tổng Đơn'!$A$5:$E$100,5,0),"")</f>
        <v/>
      </c>
      <c r="D31" s="48"/>
      <c r="E31" s="48"/>
      <c r="F31" s="53" t="str">
        <f>IF(AND($A31="",$A30&lt;&gt;""),"Tổng Cộng",IFERROR(VLOOKUP($D31,Sheet1!$A$2:$D$98,4,0),""))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Cộng",IFERROR(VLOOKUP($D32,Sheet1!$A$2:$D$98,4,0),""))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F3">
    <cfRule type="expression" dxfId="143" priority="12">
      <formula>$A2=MAX($A$2:$A$31)</formula>
    </cfRule>
  </conditionalFormatting>
  <conditionalFormatting sqref="D2:D3">
    <cfRule type="expression" dxfId="142" priority="11">
      <formula>AND($D2="",$E2&lt;&gt;"")</formula>
    </cfRule>
  </conditionalFormatting>
  <conditionalFormatting sqref="E2:E3">
    <cfRule type="expression" dxfId="141" priority="10">
      <formula>AND($E2="",$D2&lt;&gt;"")</formula>
    </cfRule>
  </conditionalFormatting>
  <conditionalFormatting sqref="C2:C3">
    <cfRule type="expression" dxfId="140" priority="9">
      <formula>AND($D2="",$E2&lt;&gt;"")</formula>
    </cfRule>
  </conditionalFormatting>
  <conditionalFormatting sqref="A10:G31 A4:F9 G2:G9">
    <cfRule type="expression" dxfId="139" priority="8">
      <formula>$A1=MAX($A$2:$A$31)</formula>
    </cfRule>
  </conditionalFormatting>
  <conditionalFormatting sqref="D4:D31">
    <cfRule type="expression" dxfId="138" priority="7">
      <formula>AND($D4="",$E4&lt;&gt;"")</formula>
    </cfRule>
  </conditionalFormatting>
  <conditionalFormatting sqref="E4:E31">
    <cfRule type="expression" dxfId="137" priority="6">
      <formula>AND($E4="",$D4&lt;&gt;"")</formula>
    </cfRule>
  </conditionalFormatting>
  <conditionalFormatting sqref="C4:C31">
    <cfRule type="expression" dxfId="136" priority="5">
      <formula>AND($D4="",$E4&lt;&gt;"")</formula>
    </cfRule>
  </conditionalFormatting>
  <conditionalFormatting sqref="A32:G32">
    <cfRule type="expression" dxfId="135" priority="4">
      <formula>$A31=MAX($A$2:$A$31)</formula>
    </cfRule>
  </conditionalFormatting>
  <conditionalFormatting sqref="D32">
    <cfRule type="expression" dxfId="134" priority="3">
      <formula>AND($D32="",$E32&lt;&gt;"")</formula>
    </cfRule>
  </conditionalFormatting>
  <conditionalFormatting sqref="E32">
    <cfRule type="expression" dxfId="133" priority="2">
      <formula>AND($E32="",$D32&lt;&gt;"")</formula>
    </cfRule>
  </conditionalFormatting>
  <conditionalFormatting sqref="C32">
    <cfRule type="expression" dxfId="132"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625"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tabColor theme="1"/>
  </sheetPr>
  <dimension ref="A1:M52"/>
  <sheetViews>
    <sheetView zoomScaleNormal="100" workbookViewId="0">
      <pane ySplit="1" topLeftCell="A2" activePane="bottomLeft" state="frozen"/>
      <selection activeCell="H16" sqref="H16"/>
      <selection pane="bottomLeft" activeCell="H1" sqref="H1"/>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3" width="10.140625" style="14" bestFit="1" customWidth="1"/>
    <col min="14" max="16384" width="9.140625" style="14"/>
  </cols>
  <sheetData>
    <row r="1" spans="1:13" s="45" customFormat="1" ht="39" customHeight="1" x14ac:dyDescent="0.25">
      <c r="A1" s="47" t="s">
        <v>0</v>
      </c>
      <c r="B1" s="47" t="s">
        <v>17</v>
      </c>
      <c r="C1" s="87" t="s">
        <v>55</v>
      </c>
      <c r="D1" s="91" t="s">
        <v>118</v>
      </c>
      <c r="E1" s="91" t="s">
        <v>16</v>
      </c>
      <c r="F1" s="47" t="s">
        <v>18</v>
      </c>
      <c r="G1" s="47" t="s">
        <v>19</v>
      </c>
      <c r="H1" s="157" t="s">
        <v>231</v>
      </c>
      <c r="I1" s="55">
        <f>SUBTOTAL(9,H2:H31)</f>
        <v>1.5</v>
      </c>
      <c r="K1" s="47" t="s">
        <v>18</v>
      </c>
    </row>
    <row r="2" spans="1:13" s="46" customFormat="1" ht="24.95" customHeight="1" x14ac:dyDescent="0.25">
      <c r="A2" s="51">
        <f>IF(OR(SUM($A1,$D2&lt;&gt;"")=0,$D2=""),"",SUM($A1,$D2&lt;&gt;""))</f>
        <v>1</v>
      </c>
      <c r="B2" s="52" t="str">
        <f>IFERROR(VLOOKUP($D2,Sheet1!$A$2:$B$98,2,0),"")</f>
        <v>Cá viên HM</v>
      </c>
      <c r="C2" s="88">
        <f>IFERROR(VLOOKUP($D2,'Tổng Đơn'!$A$5:$E$100,5,0),"")</f>
        <v>0.5</v>
      </c>
      <c r="D2" s="48">
        <v>2</v>
      </c>
      <c r="E2" s="48">
        <v>1</v>
      </c>
      <c r="F2" s="53">
        <f>IFERROR(VLOOKUP($D2,Sheet1!$A$2:$D$98,4,0),"")</f>
        <v>25000</v>
      </c>
      <c r="G2" s="54">
        <f>IF($A1=MAX($A$2:$A$50),SUM($G1:$G$2),IFERROR($F2*$E2,""))</f>
        <v>25000</v>
      </c>
      <c r="H2" s="92">
        <f>IFERROR(E2*C2,"")</f>
        <v>0.5</v>
      </c>
      <c r="I2" s="46" t="str">
        <f>IF(SUMPRODUCT(($E$2:$E$12),($K$2:$K$12))&gt;=200000,"KM 15%",IF(SUMPRODUCT(($E$2:$E$12),($K$2:$K$12))&gt;=100000,"KM 10%",""))</f>
        <v>KM 10%</v>
      </c>
      <c r="K2" s="50">
        <f>IFERROR(VLOOKUP($D2,Sheet1!$A$2:$D$98,4,0),"")</f>
        <v>25000</v>
      </c>
    </row>
    <row r="3" spans="1:13" s="46" customFormat="1" ht="24.95" customHeight="1" x14ac:dyDescent="0.25">
      <c r="A3" s="51">
        <f t="shared" ref="A3:A31" si="0">IF(OR(SUM($A2,$D3&lt;&gt;"")=0,$D3=""),"",SUM($A2,$D3&lt;&gt;""))</f>
        <v>2</v>
      </c>
      <c r="B3" s="52" t="str">
        <f>IFERROR(VLOOKUP($D3,Sheet1!$A$2:$B$98,2,0),"")</f>
        <v>XX Đức HS ĐNA</v>
      </c>
      <c r="C3" s="89">
        <f>IFERROR(VLOOKUP($D3,'Tổng Đơn'!$A$5:$E$100,5,0),"")</f>
        <v>0.5</v>
      </c>
      <c r="D3" s="48">
        <v>21</v>
      </c>
      <c r="E3" s="48">
        <v>1</v>
      </c>
      <c r="F3" s="53">
        <f>IF(AND($A3="",$A2&lt;&gt;""),"Tổng Cộng",IFERROR(VLOOKUP($D3,Sheet1!$A$2:$D$98,4,0),""))</f>
        <v>33000</v>
      </c>
      <c r="G3" s="54">
        <f>IF($A2=MAX($A$2:$A$50),SUM($G$2:$G2),IFERROR($F3*$E3,""))</f>
        <v>33000</v>
      </c>
      <c r="H3" s="92">
        <f t="shared" ref="H3:H31" si="1">IFERROR(E3*C3,"")</f>
        <v>0.5</v>
      </c>
      <c r="K3" s="49">
        <f>IFERROR(VLOOKUP($D3,Sheet1!$A$2:$D$98,4,0),"")</f>
        <v>33000</v>
      </c>
    </row>
    <row r="4" spans="1:13" s="46" customFormat="1" ht="24.95" customHeight="1" x14ac:dyDescent="0.25">
      <c r="A4" s="51">
        <f t="shared" si="0"/>
        <v>3</v>
      </c>
      <c r="B4" s="52" t="str">
        <f>IFERROR(VLOOKUP($D4,Sheet1!$A$2:$B$98,2,0),"")</f>
        <v>Đậu hủ phô mai EB</v>
      </c>
      <c r="C4" s="89">
        <f>IFERROR(VLOOKUP($D4,'Tổng Đơn'!$A$5:$E$100,5,0),"")</f>
        <v>0.5</v>
      </c>
      <c r="D4" s="48">
        <v>56</v>
      </c>
      <c r="E4" s="48">
        <v>1</v>
      </c>
      <c r="F4" s="53">
        <f>IF(AND($A4="",$A3&lt;&gt;""),"Tổng Cộng",IFERROR(VLOOKUP($D4,Sheet1!$A$2:$D$98,4,0),""))</f>
        <v>80000</v>
      </c>
      <c r="G4" s="54">
        <f>IF($A3=MAX($A$2:$A$50),SUM($G$2:$G3),IFERROR($F4*$E4,""))</f>
        <v>80000</v>
      </c>
      <c r="H4" s="92">
        <f t="shared" si="1"/>
        <v>0.5</v>
      </c>
      <c r="K4" s="49">
        <f>IFERROR(VLOOKUP($D4,Sheet1!$A$2:$D$98,4,0),"")</f>
        <v>80000</v>
      </c>
    </row>
    <row r="5" spans="1:13" s="46" customFormat="1" ht="24.95" customHeight="1" x14ac:dyDescent="0.25">
      <c r="A5" s="51" t="str">
        <f t="shared" si="0"/>
        <v/>
      </c>
      <c r="B5" s="52" t="str">
        <f>IFERROR(VLOOKUP($D5,Sheet1!$A$2:$B$98,2,0),"")</f>
        <v/>
      </c>
      <c r="C5" s="89" t="str">
        <f>IFERROR(VLOOKUP($D5,'Tổng Đơn'!$A$5:$E$100,5,0),"")</f>
        <v/>
      </c>
      <c r="D5" s="48" t="s">
        <v>192</v>
      </c>
      <c r="E5" s="48"/>
      <c r="F5" s="53" t="str">
        <f>IF(AND($A5="",$A4&lt;&gt;""),"Tổng Cộng",IFERROR(VLOOKUP($D5,Sheet1!$A$2:$D$98,4,0),""))</f>
        <v>Tổng Cộng</v>
      </c>
      <c r="G5" s="54">
        <f>IF($A4=MAX($A$2:$A$50),SUM($G$2:$G4),IFERROR($F5*$E5,""))</f>
        <v>138000</v>
      </c>
      <c r="H5" s="92" t="str">
        <f t="shared" si="1"/>
        <v/>
      </c>
      <c r="K5" s="49" t="str">
        <f>IFERROR(VLOOKUP($D5,Sheet1!$A$2:$D$98,4,0),"")</f>
        <v/>
      </c>
    </row>
    <row r="6" spans="1:13" s="46" customFormat="1" ht="24.95" customHeight="1" x14ac:dyDescent="0.25">
      <c r="A6" s="51" t="str">
        <f t="shared" si="0"/>
        <v/>
      </c>
      <c r="B6" s="52" t="str">
        <f>IFERROR(VLOOKUP($D6,Sheet1!$A$2:$B$98,2,0),"")</f>
        <v/>
      </c>
      <c r="C6" s="89" t="str">
        <f>IFERROR(VLOOKUP($D6,'Tổng Đơn'!$A$5:$E$100,5,0),"")</f>
        <v/>
      </c>
      <c r="D6" s="48" t="s">
        <v>192</v>
      </c>
      <c r="E6" s="48"/>
      <c r="F6" s="53" t="str">
        <f>IF(AND($A6="",$A5&lt;&gt;""),"Tổng Cộng",IFERROR(VLOOKUP($D6,Sheet1!$A$2:$D$98,4,0),""))</f>
        <v/>
      </c>
      <c r="G6" s="54" t="str">
        <f>IF($A5=MAX($A$2:$A$50),SUM($G$2:$G5),IFERROR($F6*$E6,""))</f>
        <v/>
      </c>
      <c r="H6" s="92" t="str">
        <f t="shared" si="1"/>
        <v/>
      </c>
      <c r="I6" s="175"/>
      <c r="K6" s="49"/>
      <c r="L6" s="184"/>
      <c r="M6" s="176"/>
    </row>
    <row r="7" spans="1:13" s="46" customFormat="1" ht="24.95" customHeight="1" x14ac:dyDescent="0.25">
      <c r="A7" s="51" t="str">
        <f t="shared" si="0"/>
        <v/>
      </c>
      <c r="B7" s="52" t="str">
        <f>IFERROR(VLOOKUP($D7,Sheet1!$A$2:$B$98,2,0),"")</f>
        <v/>
      </c>
      <c r="C7" s="89" t="str">
        <f>IFERROR(VLOOKUP($D7,'Tổng Đơn'!$A$5:$E$100,5,0),"")</f>
        <v/>
      </c>
      <c r="D7" s="48" t="s">
        <v>192</v>
      </c>
      <c r="E7" s="48"/>
      <c r="F7" s="53" t="str">
        <f>IF(AND($A7="",$A6&lt;&gt;""),"Tổng Cộng",IFERROR(VLOOKUP($D7,Sheet1!$A$2:$D$98,4,0),""))</f>
        <v/>
      </c>
      <c r="G7" s="54" t="str">
        <f>IF($A6=MAX($A$2:$A$50),SUM($G$2:$G6),IFERROR($F7*$E7,""))</f>
        <v/>
      </c>
      <c r="H7" s="92" t="str">
        <f t="shared" si="1"/>
        <v/>
      </c>
      <c r="K7" s="49"/>
    </row>
    <row r="8" spans="1:13" s="46" customFormat="1" ht="24.95" customHeight="1" x14ac:dyDescent="0.25">
      <c r="A8" s="51" t="str">
        <f t="shared" si="0"/>
        <v/>
      </c>
      <c r="B8" s="52" t="str">
        <f>IFERROR(VLOOKUP($D8,Sheet1!$A$2:$B$98,2,0),"")</f>
        <v/>
      </c>
      <c r="C8" s="89" t="str">
        <f>IFERROR(VLOOKUP($D8,'Tổng Đơn'!$A$5:$E$100,5,0),"")</f>
        <v/>
      </c>
      <c r="D8" s="48" t="s">
        <v>192</v>
      </c>
      <c r="E8" s="48"/>
      <c r="F8" s="53" t="str">
        <f>IF(AND($A8="",$A7&lt;&gt;""),"Tổng Cộng",IFERROR(VLOOKUP($D8,Sheet1!$A$2:$D$98,4,0),""))</f>
        <v/>
      </c>
      <c r="G8" s="54" t="str">
        <f>IF($A7=MAX($A$2:$A$50),SUM($G$2:$G7),IFERROR($F8*$E8,""))</f>
        <v/>
      </c>
      <c r="H8" s="92" t="str">
        <f t="shared" si="1"/>
        <v/>
      </c>
      <c r="K8" s="49" t="str">
        <f>IFERROR(VLOOKUP($D8,Sheet1!$A$2:$D$98,4,0),"")</f>
        <v/>
      </c>
      <c r="L8" s="185"/>
    </row>
    <row r="9" spans="1:13" s="46" customFormat="1" ht="24.95" customHeight="1" x14ac:dyDescent="0.25">
      <c r="A9" s="51" t="str">
        <f t="shared" si="0"/>
        <v/>
      </c>
      <c r="B9" s="52" t="str">
        <f>IFERROR(VLOOKUP($D9,Sheet1!$A$2:$B$98,2,0),"")</f>
        <v/>
      </c>
      <c r="C9" s="89" t="str">
        <f>IFERROR(VLOOKUP($D9,'Tổng Đơn'!$A$5:$E$100,5,0),"")</f>
        <v/>
      </c>
      <c r="D9" s="48" t="s">
        <v>192</v>
      </c>
      <c r="E9" s="48"/>
      <c r="F9" s="53" t="str">
        <f>IF(AND($A9="",$A8&lt;&gt;""),"Tổng Cộng",IFERROR(VLOOKUP($D9,Sheet1!$A$2:$D$98,4,0),""))</f>
        <v/>
      </c>
      <c r="G9" s="54" t="str">
        <f>IF($A8=MAX($A$2:$A$50),SUM($G$2:$G8),IFERROR($F9*$E9,""))</f>
        <v/>
      </c>
      <c r="H9" s="92" t="str">
        <f t="shared" si="1"/>
        <v/>
      </c>
      <c r="K9" s="49" t="str">
        <f>IFERROR(VLOOKUP($D9,Sheet1!$A$2:$D$98,4,0),"")</f>
        <v/>
      </c>
    </row>
    <row r="10" spans="1:13" s="46" customFormat="1" ht="24.95" customHeight="1" x14ac:dyDescent="0.25">
      <c r="A10" s="51" t="str">
        <f t="shared" si="0"/>
        <v/>
      </c>
      <c r="B10" s="52" t="str">
        <f>IFERROR(VLOOKUP($D10,Sheet1!$A$2:$B$98,2,0),"")</f>
        <v/>
      </c>
      <c r="C10" s="89" t="str">
        <f>IFERROR(VLOOKUP($D10,'Tổng Đơn'!$A$5:$E$100,5,0),"")</f>
        <v/>
      </c>
      <c r="D10" s="48" t="s">
        <v>192</v>
      </c>
      <c r="E10" s="48"/>
      <c r="F10" s="53" t="str">
        <f>IF(AND($A10="",$A9&lt;&gt;""),"Tổng Cộng",IFERROR(VLOOKUP($D10,Sheet1!$A$2:$D$98,4,0),""))</f>
        <v/>
      </c>
      <c r="G10" s="54" t="str">
        <f>IF($A9=MAX($A$2:$A$50),SUM($G$2:$G9),IFERROR($F10*$E10,""))</f>
        <v/>
      </c>
      <c r="H10" s="92" t="str">
        <f t="shared" si="1"/>
        <v/>
      </c>
      <c r="K10" s="49" t="str">
        <f>IFERROR(VLOOKUP($D10,Sheet1!$A$2:$D$98,4,0),"")</f>
        <v/>
      </c>
    </row>
    <row r="11" spans="1:13" s="46" customFormat="1" ht="24.95" customHeight="1" x14ac:dyDescent="0.25">
      <c r="A11" s="51" t="str">
        <f t="shared" si="0"/>
        <v/>
      </c>
      <c r="B11" s="52" t="str">
        <f>IFERROR(VLOOKUP($D11,Sheet1!$A$2:$B$98,2,0),"")</f>
        <v/>
      </c>
      <c r="C11" s="89" t="str">
        <f>IFERROR(VLOOKUP($D11,'Tổng Đơn'!$A$5:$E$100,5,0),"")</f>
        <v/>
      </c>
      <c r="D11" s="48" t="s">
        <v>192</v>
      </c>
      <c r="E11" s="48"/>
      <c r="F11" s="53" t="str">
        <f>IF(AND($A11="",$A10&lt;&gt;""),"Tổng Cộng",IFERROR(VLOOKUP($D11,Sheet1!$A$2:$D$98,4,0),""))</f>
        <v/>
      </c>
      <c r="G11" s="54" t="str">
        <f>IF($A10=MAX($A$2:$A$50),SUM($G$2:$G10),IFERROR($F11*$E11,""))</f>
        <v/>
      </c>
      <c r="H11" s="92" t="str">
        <f t="shared" si="1"/>
        <v/>
      </c>
      <c r="K11" s="49" t="str">
        <f>IFERROR(VLOOKUP($D11,Sheet1!$A$2:$D$98,4,0),"")</f>
        <v/>
      </c>
    </row>
    <row r="12" spans="1:13" s="46" customFormat="1" ht="24.95" customHeight="1" x14ac:dyDescent="0.25">
      <c r="A12" s="51" t="str">
        <f t="shared" si="0"/>
        <v/>
      </c>
      <c r="B12" s="52" t="str">
        <f>IFERROR(VLOOKUP($D12,Sheet1!$A$2:$B$98,2,0),"")</f>
        <v/>
      </c>
      <c r="C12" s="89" t="str">
        <f>IFERROR(VLOOKUP($D12,'Tổng Đơn'!$A$5:$E$100,5,0),"")</f>
        <v/>
      </c>
      <c r="D12" s="48" t="s">
        <v>192</v>
      </c>
      <c r="E12" s="48"/>
      <c r="F12" s="53" t="str">
        <f>IF(AND($A12="",$A11&lt;&gt;""),"Tổng Cộng",IFERROR(VLOOKUP($D12,Sheet1!$A$2:$D$98,4,0),""))</f>
        <v/>
      </c>
      <c r="G12" s="54" t="str">
        <f>IF($A11=MAX($A$2:$A$50),SUM($G$2:$G11),IFERROR($F12*$E12,""))</f>
        <v/>
      </c>
      <c r="H12" s="92" t="str">
        <f t="shared" si="1"/>
        <v/>
      </c>
      <c r="K12" s="49" t="str">
        <f>IFERROR(VLOOKUP($D12,Sheet1!$A$2:$D$98,4,0),"")</f>
        <v/>
      </c>
    </row>
    <row r="13" spans="1:13" s="46" customFormat="1" ht="24.95" customHeight="1" x14ac:dyDescent="0.25">
      <c r="A13" s="51" t="str">
        <f t="shared" si="0"/>
        <v/>
      </c>
      <c r="B13" s="52" t="str">
        <f>IFERROR(VLOOKUP($D13,Sheet1!$A$2:$B$98,2,0),"")</f>
        <v/>
      </c>
      <c r="C13" s="89" t="str">
        <f>IFERROR(VLOOKUP($D13,'Tổng Đơn'!$A$5:$E$100,5,0),"")</f>
        <v/>
      </c>
      <c r="D13" s="48" t="s">
        <v>192</v>
      </c>
      <c r="E13" s="48"/>
      <c r="F13" s="53" t="str">
        <f>IF(AND($A13="",$A12&lt;&gt;""),"Tổng Cộng",IFERROR(VLOOKUP($D13,Sheet1!$A$2:$D$98,4,0),""))</f>
        <v/>
      </c>
      <c r="G13" s="54" t="str">
        <f>IF($A12=MAX($A$2:$A$50),SUM($G$2:$G12),IFERROR($F13*$E13,""))</f>
        <v/>
      </c>
      <c r="H13" s="92" t="str">
        <f t="shared" si="1"/>
        <v/>
      </c>
      <c r="K13" s="49" t="str">
        <f>IFERROR(VLOOKUP($D13,Sheet1!$A$2:$D$98,4,0),"")</f>
        <v/>
      </c>
    </row>
    <row r="14" spans="1:13" s="46" customFormat="1" ht="24.95" customHeight="1" x14ac:dyDescent="0.25">
      <c r="A14" s="51" t="str">
        <f t="shared" si="0"/>
        <v/>
      </c>
      <c r="B14" s="52" t="str">
        <f>IFERROR(VLOOKUP($D14,Sheet1!$A$2:$B$98,2,0),"")</f>
        <v/>
      </c>
      <c r="C14" s="89" t="str">
        <f>IFERROR(VLOOKUP($D14,'Tổng Đơn'!$A$5:$E$100,5,0),"")</f>
        <v/>
      </c>
      <c r="D14" s="48" t="s">
        <v>192</v>
      </c>
      <c r="E14" s="48"/>
      <c r="F14" s="53" t="str">
        <f>IF(AND($A14="",$A13&lt;&gt;""),"Tổng Cộng",IFERROR(VLOOKUP($D14,Sheet1!$A$2:$D$98,4,0),""))</f>
        <v/>
      </c>
      <c r="G14" s="54" t="str">
        <f>IF($A13=MAX($A$2:$A$50),SUM($G$2:$G13),IFERROR($F14*$E14,""))</f>
        <v/>
      </c>
      <c r="H14" s="92" t="str">
        <f t="shared" si="1"/>
        <v/>
      </c>
      <c r="K14" s="49" t="str">
        <f>IFERROR(VLOOKUP($D14,Sheet1!$A$2:$D$98,4,0),"")</f>
        <v/>
      </c>
    </row>
    <row r="15" spans="1:13" s="46" customFormat="1" ht="24.95" customHeight="1" x14ac:dyDescent="0.25">
      <c r="A15" s="51" t="str">
        <f t="shared" si="0"/>
        <v/>
      </c>
      <c r="B15" s="52" t="str">
        <f>IFERROR(VLOOKUP($D15,Sheet1!$A$2:$B$98,2,0),"")</f>
        <v/>
      </c>
      <c r="C15" s="89" t="str">
        <f>IFERROR(VLOOKUP($D15,'Tổng Đơn'!$A$5:$E$100,5,0),"")</f>
        <v/>
      </c>
      <c r="D15" s="48" t="s">
        <v>192</v>
      </c>
      <c r="E15" s="48"/>
      <c r="F15" s="53" t="str">
        <f>IF(AND($A15="",$A14&lt;&gt;""),"Tổng Cộng",IFERROR(VLOOKUP($D15,Sheet1!$A$2:$D$98,4,0),""))</f>
        <v/>
      </c>
      <c r="G15" s="54" t="str">
        <f>IF($A14=MAX($A$2:$A$50),SUM($G$2:$G14),IFERROR($F15*$E15,""))</f>
        <v/>
      </c>
      <c r="H15" s="92" t="str">
        <f t="shared" si="1"/>
        <v/>
      </c>
      <c r="K15" s="49" t="str">
        <f>IFERROR(VLOOKUP($D15,Sheet1!$A$2:$D$98,4,0),"")</f>
        <v/>
      </c>
    </row>
    <row r="16" spans="1:13" s="46" customFormat="1" ht="24.95" customHeight="1" x14ac:dyDescent="0.25">
      <c r="A16" s="51" t="str">
        <f t="shared" si="0"/>
        <v/>
      </c>
      <c r="B16" s="52" t="str">
        <f>IFERROR(VLOOKUP($D16,Sheet1!$A$2:$B$98,2,0),"")</f>
        <v/>
      </c>
      <c r="C16" s="89" t="str">
        <f>IFERROR(VLOOKUP($D16,'Tổng Đơn'!$A$5:$E$100,5,0),"")</f>
        <v/>
      </c>
      <c r="D16" s="48" t="s">
        <v>192</v>
      </c>
      <c r="E16" s="48"/>
      <c r="F16" s="53" t="str">
        <f>IF(AND($A16="",$A15&lt;&gt;""),"Tổng Cộng",IFERROR(VLOOKUP($D16,Sheet1!$A$2:$D$98,4,0),""))</f>
        <v/>
      </c>
      <c r="G16" s="54" t="str">
        <f>IF($A15=MAX($A$2:$A$50),SUM($G$2:$G15),IFERROR($F16*$E16,""))</f>
        <v/>
      </c>
      <c r="H16" s="92" t="str">
        <f t="shared" si="1"/>
        <v/>
      </c>
      <c r="K16" s="49" t="str">
        <f>IFERROR(VLOOKUP($D16,Sheet1!$A$2:$D$98,4,0),"")</f>
        <v/>
      </c>
    </row>
    <row r="17" spans="1:11" s="46" customFormat="1" ht="24.95" customHeight="1" x14ac:dyDescent="0.25">
      <c r="A17" s="51" t="str">
        <f t="shared" si="0"/>
        <v/>
      </c>
      <c r="B17" s="52" t="str">
        <f>IFERROR(VLOOKUP($D17,Sheet1!$A$2:$B$98,2,0),"")</f>
        <v/>
      </c>
      <c r="C17" s="89" t="str">
        <f>IFERROR(VLOOKUP($D17,'Tổng Đơn'!$A$5:$E$100,5,0),"")</f>
        <v/>
      </c>
      <c r="D17" s="48" t="s">
        <v>192</v>
      </c>
      <c r="E17" s="48"/>
      <c r="F17" s="53" t="str">
        <f>IF(AND($A17="",$A16&lt;&gt;""),"Tổng Cộng",IFERROR(VLOOKUP($D17,Sheet1!$A$2:$D$98,4,0),""))</f>
        <v/>
      </c>
      <c r="G17" s="54" t="str">
        <f>IF($A16=MAX($A$2:$A$50),SUM($G$2:$G16),IFERROR($F17*$E17,""))</f>
        <v/>
      </c>
      <c r="H17" s="92" t="str">
        <f t="shared" si="1"/>
        <v/>
      </c>
      <c r="K17" s="49" t="str">
        <f>IFERROR(VLOOKUP($D17,Sheet1!$A$2:$D$98,4,0),"")</f>
        <v/>
      </c>
    </row>
    <row r="18" spans="1:11" s="46" customFormat="1" ht="24.95" customHeight="1" x14ac:dyDescent="0.25">
      <c r="A18" s="51" t="str">
        <f t="shared" si="0"/>
        <v/>
      </c>
      <c r="B18" s="52" t="str">
        <f>IFERROR(VLOOKUP($D18,Sheet1!$A$2:$B$98,2,0),"")</f>
        <v/>
      </c>
      <c r="C18" s="89" t="str">
        <f>IFERROR(VLOOKUP($D18,'Tổng Đơn'!$A$5:$E$100,5,0),"")</f>
        <v/>
      </c>
      <c r="D18" s="48" t="s">
        <v>192</v>
      </c>
      <c r="E18" s="48"/>
      <c r="F18" s="53" t="str">
        <f>IF(AND($A18="",$A17&lt;&gt;""),"Tổng Cộng",IFERROR(VLOOKUP($D18,Sheet1!$A$2:$D$98,4,0),""))</f>
        <v/>
      </c>
      <c r="G18" s="54" t="str">
        <f>IF($A17=MAX($A$2:$A$50),SUM($G$2:$G17),IFERROR($F18*$E18,""))</f>
        <v/>
      </c>
      <c r="H18" s="92" t="str">
        <f t="shared" si="1"/>
        <v/>
      </c>
      <c r="K18" s="49" t="str">
        <f>IFERROR(VLOOKUP($D18,Sheet1!$A$2:$D$98,4,0),"")</f>
        <v/>
      </c>
    </row>
    <row r="19" spans="1:11" s="46" customFormat="1" ht="24.95" customHeight="1" x14ac:dyDescent="0.25">
      <c r="A19" s="51" t="str">
        <f t="shared" si="0"/>
        <v/>
      </c>
      <c r="B19" s="52" t="str">
        <f>IFERROR(VLOOKUP($D19,Sheet1!$A$2:$B$98,2,0),"")</f>
        <v/>
      </c>
      <c r="C19" s="89" t="str">
        <f>IFERROR(VLOOKUP($D19,'Tổng Đơn'!$A$5:$E$100,5,0),"")</f>
        <v/>
      </c>
      <c r="D19" s="48" t="s">
        <v>192</v>
      </c>
      <c r="E19" s="48"/>
      <c r="F19" s="53" t="str">
        <f>IF(AND($A19="",$A18&lt;&gt;""),"Tổng Cộng",IFERROR(VLOOKUP($D19,Sheet1!$A$2:$D$98,4,0),""))</f>
        <v/>
      </c>
      <c r="G19" s="54" t="str">
        <f>IF($A18=MAX($A$2:$A$50),SUM($G$2:$G18),IFERROR($F19*$E19,""))</f>
        <v/>
      </c>
      <c r="H19" s="92" t="str">
        <f t="shared" si="1"/>
        <v/>
      </c>
      <c r="K19" s="49" t="str">
        <f>IFERROR(VLOOKUP($D19,Sheet1!$A$2:$D$98,4,0),"")</f>
        <v/>
      </c>
    </row>
    <row r="20" spans="1:11" s="46" customFormat="1" ht="24.95" customHeight="1" x14ac:dyDescent="0.25">
      <c r="A20" s="51" t="str">
        <f t="shared" si="0"/>
        <v/>
      </c>
      <c r="B20" s="52" t="str">
        <f>IFERROR(VLOOKUP($D20,Sheet1!$A$2:$B$98,2,0),"")</f>
        <v/>
      </c>
      <c r="C20" s="89" t="str">
        <f>IFERROR(VLOOKUP($D20,'Tổng Đơn'!$A$5:$E$100,5,0),"")</f>
        <v/>
      </c>
      <c r="D20" s="48" t="s">
        <v>192</v>
      </c>
      <c r="E20" s="48"/>
      <c r="F20" s="53" t="str">
        <f>IF(AND($A20="",$A19&lt;&gt;""),"Tổng Cộng",IFERROR(VLOOKUP($D20,Sheet1!$A$2:$D$98,4,0),""))</f>
        <v/>
      </c>
      <c r="G20" s="54" t="str">
        <f>IF($A19=MAX($A$2:$A$50),SUM($G$2:$G19),IFERROR($F20*$E20,""))</f>
        <v/>
      </c>
      <c r="H20" s="92" t="str">
        <f t="shared" si="1"/>
        <v/>
      </c>
      <c r="K20" s="49" t="str">
        <f>IFERROR(VLOOKUP($D20,Sheet1!$A$2:$D$98,4,0),"")</f>
        <v/>
      </c>
    </row>
    <row r="21" spans="1:11" s="46" customFormat="1" ht="24.95" customHeight="1" x14ac:dyDescent="0.25">
      <c r="A21" s="51" t="str">
        <f t="shared" si="0"/>
        <v/>
      </c>
      <c r="B21" s="52" t="str">
        <f>IFERROR(VLOOKUP($D21,Sheet1!$A$2:$B$98,2,0),"")</f>
        <v/>
      </c>
      <c r="C21" s="89" t="str">
        <f>IFERROR(VLOOKUP($D21,'Tổng Đơn'!$A$5:$E$100,5,0),"")</f>
        <v/>
      </c>
      <c r="D21" s="48" t="s">
        <v>192</v>
      </c>
      <c r="E21" s="48"/>
      <c r="F21" s="53" t="str">
        <f>IF(AND($A21="",$A20&lt;&gt;""),"Tổng Cộng",IFERROR(VLOOKUP($D21,Sheet1!$A$2:$D$98,4,0),""))</f>
        <v/>
      </c>
      <c r="G21" s="54" t="str">
        <f>IF($A20=MAX($A$2:$A$50),SUM($G$2:$G20),IFERROR($F21*$E21,""))</f>
        <v/>
      </c>
      <c r="H21" s="92" t="str">
        <f t="shared" si="1"/>
        <v/>
      </c>
      <c r="K21" s="49"/>
    </row>
    <row r="22" spans="1:11" s="46" customFormat="1" ht="24.95" customHeight="1" x14ac:dyDescent="0.25">
      <c r="A22" s="51" t="str">
        <f t="shared" si="0"/>
        <v/>
      </c>
      <c r="B22" s="52" t="str">
        <f>IFERROR(VLOOKUP($D22,Sheet1!$A$2:$B$98,2,0),"")</f>
        <v/>
      </c>
      <c r="C22" s="89" t="str">
        <f>IFERROR(VLOOKUP($D22,'Tổng Đơn'!$A$5:$E$100,5,0),"")</f>
        <v/>
      </c>
      <c r="D22" s="48" t="s">
        <v>192</v>
      </c>
      <c r="E22" s="48"/>
      <c r="F22" s="53" t="str">
        <f>IF(AND($A22="",$A21&lt;&gt;""),"Tổng Cộng",IFERROR(VLOOKUP($D22,Sheet1!$A$2:$D$98,4,0),""))</f>
        <v/>
      </c>
      <c r="G22" s="54" t="str">
        <f>IF($A21=MAX($A$2:$A$50),SUM($G$2:$G21),IFERROR($F22*$E22,""))</f>
        <v/>
      </c>
      <c r="H22" s="92" t="str">
        <f t="shared" si="1"/>
        <v/>
      </c>
      <c r="K22" s="49"/>
    </row>
    <row r="23" spans="1:11" s="46" customFormat="1" ht="24.95" customHeight="1" x14ac:dyDescent="0.25">
      <c r="A23" s="51" t="str">
        <f t="shared" si="0"/>
        <v/>
      </c>
      <c r="B23" s="52" t="str">
        <f>IFERROR(VLOOKUP($D23,Sheet1!$A$2:$B$98,2,0),"")</f>
        <v/>
      </c>
      <c r="C23" s="89" t="str">
        <f>IFERROR(VLOOKUP($D23,'Tổng Đơn'!$A$5:$E$100,5,0),"")</f>
        <v/>
      </c>
      <c r="D23" s="48" t="s">
        <v>192</v>
      </c>
      <c r="E23" s="48"/>
      <c r="F23" s="53" t="str">
        <f>IF(AND($A23="",$A22&lt;&gt;""),"Tổng Cộng",IFERROR(VLOOKUP($D23,Sheet1!$A$2:$D$98,4,0),""))</f>
        <v/>
      </c>
      <c r="G23" s="54" t="str">
        <f>IF($A22=MAX($A$2:$A$50),SUM($G$2:$G22),IFERROR($F23*$E23,""))</f>
        <v/>
      </c>
      <c r="H23" s="92" t="str">
        <f t="shared" si="1"/>
        <v/>
      </c>
      <c r="K23" s="49">
        <v>1</v>
      </c>
    </row>
    <row r="24" spans="1:11" s="46" customFormat="1" ht="24.95" customHeight="1" x14ac:dyDescent="0.25">
      <c r="A24" s="51" t="str">
        <f t="shared" si="0"/>
        <v/>
      </c>
      <c r="B24" s="52" t="str">
        <f>IFERROR(VLOOKUP($D24,Sheet1!$A$2:$B$98,2,0),"")</f>
        <v/>
      </c>
      <c r="C24" s="89" t="str">
        <f>IFERROR(VLOOKUP($D24,'Tổng Đơn'!$A$5:$E$100,5,0),"")</f>
        <v/>
      </c>
      <c r="D24" s="48" t="s">
        <v>192</v>
      </c>
      <c r="E24" s="48"/>
      <c r="F24" s="53" t="str">
        <f>IF(AND($A24="",$A23&lt;&gt;""),"Tổng Cộng",IFERROR(VLOOKUP($D24,Sheet1!$A$2:$D$98,4,0),""))</f>
        <v/>
      </c>
      <c r="G24" s="54" t="str">
        <f>IF($A23=MAX($A$2:$A$50),SUM($G$2:$G23),IFERROR($F24*$E24,""))</f>
        <v/>
      </c>
      <c r="H24" s="92" t="str">
        <f t="shared" si="1"/>
        <v/>
      </c>
      <c r="K24" s="49">
        <v>1</v>
      </c>
    </row>
    <row r="25" spans="1:11" s="46" customFormat="1" ht="24.95" customHeight="1" x14ac:dyDescent="0.25">
      <c r="A25" s="51" t="str">
        <f t="shared" si="0"/>
        <v/>
      </c>
      <c r="B25" s="52" t="str">
        <f>IFERROR(VLOOKUP($D25,Sheet1!$A$2:$B$98,2,0),"")</f>
        <v/>
      </c>
      <c r="C25" s="89" t="str">
        <f>IFERROR(VLOOKUP($D25,'Tổng Đơn'!$A$5:$E$100,5,0),"")</f>
        <v/>
      </c>
      <c r="D25" s="48" t="s">
        <v>192</v>
      </c>
      <c r="E25" s="48"/>
      <c r="F25" s="53" t="str">
        <f>IF(AND($A25="",$A24&lt;&gt;""),"Tổng Cộng",IFERROR(VLOOKUP($D25,Sheet1!$A$2:$D$98,4,0),""))</f>
        <v/>
      </c>
      <c r="G25" s="54" t="str">
        <f>IF($A24=MAX($A$2:$A$50),SUM($G$2:$G24),IFERROR($F25*$E25,""))</f>
        <v/>
      </c>
      <c r="H25" s="92" t="str">
        <f t="shared" si="1"/>
        <v/>
      </c>
      <c r="K25" s="49">
        <v>1</v>
      </c>
    </row>
    <row r="26" spans="1:11" s="46" customFormat="1" ht="24.95" customHeight="1" x14ac:dyDescent="0.25">
      <c r="A26" s="51" t="str">
        <f t="shared" si="0"/>
        <v/>
      </c>
      <c r="B26" s="52" t="str">
        <f>IFERROR(VLOOKUP($D26,Sheet1!$A$2:$B$98,2,0),"")</f>
        <v/>
      </c>
      <c r="C26" s="89" t="str">
        <f>IFERROR(VLOOKUP($D26,'Tổng Đơn'!$A$5:$E$100,5,0),"")</f>
        <v/>
      </c>
      <c r="D26" s="48" t="s">
        <v>192</v>
      </c>
      <c r="E26" s="48"/>
      <c r="F26" s="53" t="str">
        <f>IF(AND($A26="",$A25&lt;&gt;""),"Tổng Cộng",IFERROR(VLOOKUP($D26,Sheet1!$A$2:$D$98,4,0),""))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IFERROR(VLOOKUP($D27,Sheet1!$A$2:$B$98,2,0),"")</f>
        <v/>
      </c>
      <c r="C27" s="89" t="str">
        <f>IFERROR(VLOOKUP($D27,'Tổng Đơn'!$A$5:$E$100,5,0),"")</f>
        <v/>
      </c>
      <c r="D27" s="48" t="s">
        <v>192</v>
      </c>
      <c r="E27" s="48"/>
      <c r="F27" s="53" t="str">
        <f>IF(AND($A27="",$A26&lt;&gt;""),"Tổng Cộng",IFERROR(VLOOKUP($D27,Sheet1!$A$2:$D$98,4,0),""))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IFERROR(VLOOKUP($D28,Sheet1!$A$2:$B$98,2,0),"")</f>
        <v/>
      </c>
      <c r="C28" s="89" t="str">
        <f>IFERROR(VLOOKUP($D28,'Tổng Đơn'!$A$5:$E$100,5,0),"")</f>
        <v/>
      </c>
      <c r="D28" s="48" t="s">
        <v>192</v>
      </c>
      <c r="E28" s="48"/>
      <c r="F28" s="53" t="str">
        <f>IF(AND($A28="",$A27&lt;&gt;""),"Tổng Cộng",IFERROR(VLOOKUP($D28,Sheet1!$A$2:$D$98,4,0),""))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IFERROR(VLOOKUP($D29,Sheet1!$A$2:$B$98,2,0),"")</f>
        <v/>
      </c>
      <c r="C29" s="89" t="str">
        <f>IFERROR(VLOOKUP($D29,'Tổng Đơn'!$A$5:$E$100,5,0),"")</f>
        <v/>
      </c>
      <c r="D29" s="48" t="s">
        <v>192</v>
      </c>
      <c r="E29" s="48"/>
      <c r="F29" s="53" t="str">
        <f>IF(AND($A29="",$A28&lt;&gt;""),"Tổng Cộng",IFERROR(VLOOKUP($D29,Sheet1!$A$2:$D$98,4,0),""))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IFERROR(VLOOKUP($D30,Sheet1!$A$2:$B$98,2,0),"")</f>
        <v/>
      </c>
      <c r="C30" s="89" t="str">
        <f>IFERROR(VLOOKUP($D30,'Tổng Đơn'!$A$5:$E$100,5,0),"")</f>
        <v/>
      </c>
      <c r="D30" s="48" t="s">
        <v>192</v>
      </c>
      <c r="E30" s="48"/>
      <c r="F30" s="53" t="str">
        <f>IF(AND($A30="",$A29&lt;&gt;""),"Tổng Cộng",IFERROR(VLOOKUP($D30,Sheet1!$A$2:$D$98,4,0),""))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IFERROR(VLOOKUP($D31,Sheet1!$A$2:$B$98,2,0),"")</f>
        <v/>
      </c>
      <c r="C31" s="89" t="str">
        <f>IFERROR(VLOOKUP($D31,'Tổng Đơn'!$A$5:$E$100,5,0),"")</f>
        <v/>
      </c>
      <c r="D31" s="48" t="s">
        <v>192</v>
      </c>
      <c r="E31" s="48"/>
      <c r="F31" s="53" t="str">
        <f>IF(AND($A31="",$A30&lt;&gt;""),"Tổng Cộng",IFERROR(VLOOKUP($D31,Sheet1!$A$2:$D$98,4,0),""))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Cộng",IFERROR(VLOOKUP($D32,Sheet1!$A$2:$D$98,4,0),""))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F3">
    <cfRule type="expression" dxfId="131" priority="12">
      <formula>$A2=MAX($A$2:$A$31)</formula>
    </cfRule>
  </conditionalFormatting>
  <conditionalFormatting sqref="D2:D3">
    <cfRule type="expression" dxfId="130" priority="11">
      <formula>AND($D2="",$E2&lt;&gt;"")</formula>
    </cfRule>
  </conditionalFormatting>
  <conditionalFormatting sqref="E2:E3">
    <cfRule type="expression" dxfId="129" priority="10">
      <formula>AND($E2="",$D2&lt;&gt;"")</formula>
    </cfRule>
  </conditionalFormatting>
  <conditionalFormatting sqref="C2:C3">
    <cfRule type="expression" dxfId="128" priority="9">
      <formula>AND($D2="",$E2&lt;&gt;"")</formula>
    </cfRule>
  </conditionalFormatting>
  <conditionalFormatting sqref="A10:G31 A4:F9 G2:G9">
    <cfRule type="expression" dxfId="127" priority="8">
      <formula>$A1=MAX($A$2:$A$31)</formula>
    </cfRule>
  </conditionalFormatting>
  <conditionalFormatting sqref="D4:D31">
    <cfRule type="expression" dxfId="126" priority="7">
      <formula>AND($D4="",$E4&lt;&gt;"")</formula>
    </cfRule>
  </conditionalFormatting>
  <conditionalFormatting sqref="E4:E31">
    <cfRule type="expression" dxfId="125" priority="6">
      <formula>AND($E4="",$D4&lt;&gt;"")</formula>
    </cfRule>
  </conditionalFormatting>
  <conditionalFormatting sqref="C4:C31">
    <cfRule type="expression" dxfId="124" priority="5">
      <formula>AND($D4="",$E4&lt;&gt;"")</formula>
    </cfRule>
  </conditionalFormatting>
  <conditionalFormatting sqref="A32:G32">
    <cfRule type="expression" dxfId="123" priority="4">
      <formula>$A31=MAX($A$2:$A$31)</formula>
    </cfRule>
  </conditionalFormatting>
  <conditionalFormatting sqref="D32">
    <cfRule type="expression" dxfId="122" priority="3">
      <formula>AND($D32="",$E32&lt;&gt;"")</formula>
    </cfRule>
  </conditionalFormatting>
  <conditionalFormatting sqref="E32">
    <cfRule type="expression" dxfId="121" priority="2">
      <formula>AND($E32="",$D32&lt;&gt;"")</formula>
    </cfRule>
  </conditionalFormatting>
  <conditionalFormatting sqref="C32">
    <cfRule type="expression" dxfId="120"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1"/>
  </sheetPr>
  <dimension ref="A1:M52"/>
  <sheetViews>
    <sheetView zoomScaleNormal="100" workbookViewId="0">
      <pane ySplit="1" topLeftCell="A2" activePane="bottomLeft" state="frozen"/>
      <selection activeCell="H16" sqref="H16"/>
      <selection pane="bottomLeft" activeCell="H1" sqref="H1"/>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3" width="10.140625" style="14" bestFit="1" customWidth="1"/>
    <col min="14" max="16384" width="9.140625" style="14"/>
  </cols>
  <sheetData>
    <row r="1" spans="1:13" s="45" customFormat="1" ht="39" customHeight="1" x14ac:dyDescent="0.25">
      <c r="A1" s="47" t="s">
        <v>0</v>
      </c>
      <c r="B1" s="47" t="s">
        <v>17</v>
      </c>
      <c r="C1" s="87" t="s">
        <v>55</v>
      </c>
      <c r="D1" s="91" t="s">
        <v>118</v>
      </c>
      <c r="E1" s="91" t="s">
        <v>16</v>
      </c>
      <c r="F1" s="47" t="s">
        <v>18</v>
      </c>
      <c r="G1" s="47" t="s">
        <v>19</v>
      </c>
      <c r="H1" s="157" t="s">
        <v>228</v>
      </c>
      <c r="I1" s="55">
        <f>SUBTOTAL(9,H2:H31)</f>
        <v>0.5</v>
      </c>
      <c r="K1" s="47" t="s">
        <v>18</v>
      </c>
    </row>
    <row r="2" spans="1:13" s="46" customFormat="1" ht="24.95" customHeight="1" x14ac:dyDescent="0.25">
      <c r="A2" s="51">
        <f>IF(OR(SUM($A1,$D2&lt;&gt;"")=0,$D2=""),"",SUM($A1,$D2&lt;&gt;""))</f>
        <v>1</v>
      </c>
      <c r="B2" s="52" t="str">
        <f>IFERROR(VLOOKUP($D2,Sheet1!$A$2:$B$98,2,0),"")</f>
        <v>Chả giò Rế tôm mực LC</v>
      </c>
      <c r="C2" s="88">
        <f>IFERROR(VLOOKUP($D2,'Tổng Đơn'!$A$5:$E$100,5,0),"")</f>
        <v>0.5</v>
      </c>
      <c r="D2" s="48">
        <v>26</v>
      </c>
      <c r="E2" s="48">
        <v>1</v>
      </c>
      <c r="F2" s="53">
        <f>IFERROR(VLOOKUP($D2,Sheet1!$A$2:$D$98,4,0),"")</f>
        <v>45000</v>
      </c>
      <c r="G2" s="54">
        <f>IF($A1=MAX($A$2:$A$50),SUM($G1:$G$2),IFERROR($F2*$E2,""))</f>
        <v>45000</v>
      </c>
      <c r="H2" s="92">
        <f>IFERROR(E2*C2,"")</f>
        <v>0.5</v>
      </c>
      <c r="I2" s="46" t="str">
        <f>IF(SUMPRODUCT(($E$2:$E$12),($K$2:$K$12))&gt;=200000,"KM 15%",IF(SUMPRODUCT(($E$2:$E$12),($K$2:$K$12))&gt;=100000,"KM 10%",""))</f>
        <v/>
      </c>
      <c r="K2" s="50">
        <f>IFERROR(VLOOKUP($D2,Sheet1!$A$2:$D$98,4,0),"")</f>
        <v>45000</v>
      </c>
    </row>
    <row r="3" spans="1:13" s="46" customFormat="1" ht="24.95" customHeight="1" x14ac:dyDescent="0.25">
      <c r="A3" s="51" t="str">
        <f t="shared" ref="A3:A31" si="0">IF(OR(SUM($A2,$D3&lt;&gt;"")=0,$D3=""),"",SUM($A2,$D3&lt;&gt;""))</f>
        <v/>
      </c>
      <c r="B3" s="52" t="str">
        <f>IFERROR(VLOOKUP($D3,Sheet1!$A$2:$B$98,2,0),"")</f>
        <v/>
      </c>
      <c r="C3" s="89" t="str">
        <f>IFERROR(VLOOKUP($D3,'Tổng Đơn'!$A$5:$E$100,5,0),"")</f>
        <v/>
      </c>
      <c r="D3" s="48"/>
      <c r="E3" s="48"/>
      <c r="F3" s="53" t="str">
        <f>IF(AND($A3="",$A2&lt;&gt;""),"Tổng Cộng",IFERROR(VLOOKUP($D3,Sheet1!$A$2:$D$98,4,0),""))</f>
        <v>Tổng Cộng</v>
      </c>
      <c r="G3" s="54">
        <f>IF($A2=MAX($A$2:$A$50),SUM($G$2:$G2),IFERROR($F3*$E3,""))</f>
        <v>45000</v>
      </c>
      <c r="H3" s="92" t="str">
        <f t="shared" ref="H3:H31" si="1">IFERROR(E3*C3,"")</f>
        <v/>
      </c>
      <c r="K3" s="49" t="str">
        <f>IFERROR(VLOOKUP($D3,Sheet1!$A$2:$D$98,4,0),"")</f>
        <v/>
      </c>
    </row>
    <row r="4" spans="1:13" s="46" customFormat="1" ht="24.95" customHeight="1" x14ac:dyDescent="0.25">
      <c r="A4" s="51" t="str">
        <f t="shared" si="0"/>
        <v/>
      </c>
      <c r="B4" s="52" t="str">
        <f>IFERROR(VLOOKUP($D4,Sheet1!$A$2:$B$98,2,0),"")</f>
        <v/>
      </c>
      <c r="C4" s="89" t="str">
        <f>IFERROR(VLOOKUP($D4,'Tổng Đơn'!$A$5:$E$100,5,0),"")</f>
        <v/>
      </c>
      <c r="D4" s="48"/>
      <c r="E4" s="48"/>
      <c r="F4" s="53" t="str">
        <f>IF(AND($A4="",$A3&lt;&gt;""),"Tổng Cộng",IFERROR(VLOOKUP($D4,Sheet1!$A$2:$D$98,4,0),""))</f>
        <v/>
      </c>
      <c r="G4" s="54" t="str">
        <f>IF($A3=MAX($A$2:$A$50),SUM($G$2:$G3),IFERROR($F4*$E4,""))</f>
        <v/>
      </c>
      <c r="H4" s="92" t="str">
        <f t="shared" si="1"/>
        <v/>
      </c>
      <c r="K4" s="49" t="str">
        <f>IFERROR(VLOOKUP($D4,Sheet1!$A$2:$D$98,4,0),"")</f>
        <v/>
      </c>
    </row>
    <row r="5" spans="1:13" s="46" customFormat="1" ht="24.95" customHeight="1" x14ac:dyDescent="0.25">
      <c r="A5" s="51" t="str">
        <f t="shared" si="0"/>
        <v/>
      </c>
      <c r="B5" s="52" t="str">
        <f>IFERROR(VLOOKUP($D5,Sheet1!$A$2:$B$98,2,0),"")</f>
        <v/>
      </c>
      <c r="C5" s="89" t="str">
        <f>IFERROR(VLOOKUP($D5,'Tổng Đơn'!$A$5:$E$100,5,0),"")</f>
        <v/>
      </c>
      <c r="D5" s="48"/>
      <c r="E5" s="48"/>
      <c r="F5" s="53" t="str">
        <f>IF(AND($A5="",$A4&lt;&gt;""),"Tổng Cộng",IFERROR(VLOOKUP($D5,Sheet1!$A$2:$D$98,4,0),""))</f>
        <v/>
      </c>
      <c r="G5" s="54" t="str">
        <f>IF($A4=MAX($A$2:$A$50),SUM($G$2:$G4),IFERROR($F5*$E5,""))</f>
        <v/>
      </c>
      <c r="H5" s="92" t="str">
        <f t="shared" si="1"/>
        <v/>
      </c>
      <c r="K5" s="49" t="str">
        <f>IFERROR(VLOOKUP($D5,Sheet1!$A$2:$D$98,4,0),"")</f>
        <v/>
      </c>
    </row>
    <row r="6" spans="1:13" s="46" customFormat="1" ht="24.95" customHeight="1" x14ac:dyDescent="0.25">
      <c r="A6" s="51" t="str">
        <f t="shared" si="0"/>
        <v/>
      </c>
      <c r="B6" s="52" t="str">
        <f>IFERROR(VLOOKUP($D6,Sheet1!$A$2:$B$98,2,0),"")</f>
        <v/>
      </c>
      <c r="C6" s="89" t="str">
        <f>IFERROR(VLOOKUP($D6,'Tổng Đơn'!$A$5:$E$100,5,0),"")</f>
        <v/>
      </c>
      <c r="D6" s="48"/>
      <c r="E6" s="48"/>
      <c r="F6" s="53" t="str">
        <f>IF(AND($A6="",$A5&lt;&gt;""),"Tổng Cộng",IFERROR(VLOOKUP($D6,Sheet1!$A$2:$D$98,4,0),""))</f>
        <v/>
      </c>
      <c r="G6" s="54" t="str">
        <f>IF($A5=MAX($A$2:$A$50),SUM($G$2:$G5),IFERROR($F6*$E6,""))</f>
        <v/>
      </c>
      <c r="H6" s="92" t="str">
        <f t="shared" si="1"/>
        <v/>
      </c>
      <c r="I6" s="175"/>
      <c r="K6" s="49"/>
      <c r="L6" s="184"/>
      <c r="M6" s="176"/>
    </row>
    <row r="7" spans="1:13" s="46" customFormat="1" ht="24.95" customHeight="1" x14ac:dyDescent="0.25">
      <c r="A7" s="51" t="str">
        <f t="shared" si="0"/>
        <v/>
      </c>
      <c r="B7" s="52" t="str">
        <f>IFERROR(VLOOKUP($D7,Sheet1!$A$2:$B$98,2,0),"")</f>
        <v/>
      </c>
      <c r="C7" s="89" t="str">
        <f>IFERROR(VLOOKUP($D7,'Tổng Đơn'!$A$5:$E$100,5,0),"")</f>
        <v/>
      </c>
      <c r="D7" s="48"/>
      <c r="E7" s="48"/>
      <c r="F7" s="53" t="str">
        <f>IF(AND($A7="",$A6&lt;&gt;""),"Tổng Cộng",IFERROR(VLOOKUP($D7,Sheet1!$A$2:$D$98,4,0),""))</f>
        <v/>
      </c>
      <c r="G7" s="54" t="str">
        <f>IF($A6=MAX($A$2:$A$50),SUM($G$2:$G6),IFERROR($F7*$E7,""))</f>
        <v/>
      </c>
      <c r="H7" s="92" t="str">
        <f t="shared" si="1"/>
        <v/>
      </c>
      <c r="K7" s="49"/>
    </row>
    <row r="8" spans="1:13" s="46" customFormat="1" ht="24.95" customHeight="1" x14ac:dyDescent="0.25">
      <c r="A8" s="51" t="str">
        <f t="shared" si="0"/>
        <v/>
      </c>
      <c r="B8" s="52" t="str">
        <f>IFERROR(VLOOKUP($D8,Sheet1!$A$2:$B$98,2,0),"")</f>
        <v/>
      </c>
      <c r="C8" s="89" t="str">
        <f>IFERROR(VLOOKUP($D8,'Tổng Đơn'!$A$5:$E$100,5,0),"")</f>
        <v/>
      </c>
      <c r="D8" s="48"/>
      <c r="E8" s="48"/>
      <c r="F8" s="53" t="str">
        <f>IF(AND($A8="",$A7&lt;&gt;""),"Tổng Cộng",IFERROR(VLOOKUP($D8,Sheet1!$A$2:$D$98,4,0),""))</f>
        <v/>
      </c>
      <c r="G8" s="54" t="str">
        <f>IF($A7=MAX($A$2:$A$50),SUM($G$2:$G7),IFERROR($F8*$E8,""))</f>
        <v/>
      </c>
      <c r="H8" s="92" t="str">
        <f t="shared" si="1"/>
        <v/>
      </c>
      <c r="K8" s="49" t="str">
        <f>IFERROR(VLOOKUP($D8,Sheet1!$A$2:$D$98,4,0),"")</f>
        <v/>
      </c>
      <c r="L8" s="185"/>
    </row>
    <row r="9" spans="1:13" s="46" customFormat="1" ht="24.95" customHeight="1" x14ac:dyDescent="0.25">
      <c r="A9" s="51" t="str">
        <f t="shared" si="0"/>
        <v/>
      </c>
      <c r="B9" s="52" t="str">
        <f>IFERROR(VLOOKUP($D9,Sheet1!$A$2:$B$98,2,0),"")</f>
        <v/>
      </c>
      <c r="C9" s="89" t="str">
        <f>IFERROR(VLOOKUP($D9,'Tổng Đơn'!$A$5:$E$100,5,0),"")</f>
        <v/>
      </c>
      <c r="D9" s="48"/>
      <c r="E9" s="48"/>
      <c r="F9" s="53" t="str">
        <f>IF(AND($A9="",$A8&lt;&gt;""),"Tổng Cộng",IFERROR(VLOOKUP($D9,Sheet1!$A$2:$D$98,4,0),""))</f>
        <v/>
      </c>
      <c r="G9" s="54" t="str">
        <f>IF($A8=MAX($A$2:$A$50),SUM($G$2:$G8),IFERROR($F9*$E9,""))</f>
        <v/>
      </c>
      <c r="H9" s="92" t="str">
        <f t="shared" si="1"/>
        <v/>
      </c>
      <c r="K9" s="49" t="str">
        <f>IFERROR(VLOOKUP($D9,Sheet1!$A$2:$D$98,4,0),"")</f>
        <v/>
      </c>
    </row>
    <row r="10" spans="1:13" s="46" customFormat="1" ht="24.95" customHeight="1" x14ac:dyDescent="0.25">
      <c r="A10" s="51" t="str">
        <f t="shared" si="0"/>
        <v/>
      </c>
      <c r="B10" s="52" t="str">
        <f>IFERROR(VLOOKUP($D10,Sheet1!$A$2:$B$98,2,0),"")</f>
        <v/>
      </c>
      <c r="C10" s="89" t="str">
        <f>IFERROR(VLOOKUP($D10,'Tổng Đơn'!$A$5:$E$100,5,0),"")</f>
        <v/>
      </c>
      <c r="D10" s="48"/>
      <c r="E10" s="48"/>
      <c r="F10" s="53" t="str">
        <f>IF(AND($A10="",$A9&lt;&gt;""),"Tổng Cộng",IFERROR(VLOOKUP($D10,Sheet1!$A$2:$D$98,4,0),""))</f>
        <v/>
      </c>
      <c r="G10" s="54" t="str">
        <f>IF($A9=MAX($A$2:$A$50),SUM($G$2:$G9),IFERROR($F10*$E10,""))</f>
        <v/>
      </c>
      <c r="H10" s="92" t="str">
        <f t="shared" si="1"/>
        <v/>
      </c>
      <c r="K10" s="49" t="str">
        <f>IFERROR(VLOOKUP($D10,Sheet1!$A$2:$D$98,4,0),"")</f>
        <v/>
      </c>
    </row>
    <row r="11" spans="1:13" s="46" customFormat="1" ht="24.95" customHeight="1" x14ac:dyDescent="0.25">
      <c r="A11" s="51" t="str">
        <f t="shared" si="0"/>
        <v/>
      </c>
      <c r="B11" s="52" t="str">
        <f>IFERROR(VLOOKUP($D11,Sheet1!$A$2:$B$98,2,0),"")</f>
        <v/>
      </c>
      <c r="C11" s="89" t="str">
        <f>IFERROR(VLOOKUP($D11,'Tổng Đơn'!$A$5:$E$100,5,0),"")</f>
        <v/>
      </c>
      <c r="D11" s="48"/>
      <c r="E11" s="48"/>
      <c r="F11" s="53" t="str">
        <f>IF(AND($A11="",$A10&lt;&gt;""),"Tổng Cộng",IFERROR(VLOOKUP($D11,Sheet1!$A$2:$D$98,4,0),""))</f>
        <v/>
      </c>
      <c r="G11" s="54" t="str">
        <f>IF($A10=MAX($A$2:$A$50),SUM($G$2:$G10),IFERROR($F11*$E11,""))</f>
        <v/>
      </c>
      <c r="H11" s="92" t="str">
        <f t="shared" si="1"/>
        <v/>
      </c>
      <c r="K11" s="49" t="str">
        <f>IFERROR(VLOOKUP($D11,Sheet1!$A$2:$D$98,4,0),"")</f>
        <v/>
      </c>
    </row>
    <row r="12" spans="1:13" s="46" customFormat="1" ht="24.95" customHeight="1" x14ac:dyDescent="0.25">
      <c r="A12" s="51" t="str">
        <f t="shared" si="0"/>
        <v/>
      </c>
      <c r="B12" s="52" t="str">
        <f>IFERROR(VLOOKUP($D12,Sheet1!$A$2:$B$98,2,0),"")</f>
        <v/>
      </c>
      <c r="C12" s="89" t="str">
        <f>IFERROR(VLOOKUP($D12,'Tổng Đơn'!$A$5:$E$100,5,0),"")</f>
        <v/>
      </c>
      <c r="D12" s="48"/>
      <c r="E12" s="48"/>
      <c r="F12" s="53" t="str">
        <f>IF(AND($A12="",$A11&lt;&gt;""),"Tổng Cộng",IFERROR(VLOOKUP($D12,Sheet1!$A$2:$D$98,4,0),""))</f>
        <v/>
      </c>
      <c r="G12" s="54" t="str">
        <f>IF($A11=MAX($A$2:$A$50),SUM($G$2:$G11),IFERROR($F12*$E12,""))</f>
        <v/>
      </c>
      <c r="H12" s="92" t="str">
        <f t="shared" si="1"/>
        <v/>
      </c>
      <c r="K12" s="49" t="str">
        <f>IFERROR(VLOOKUP($D12,Sheet1!$A$2:$D$98,4,0),"")</f>
        <v/>
      </c>
    </row>
    <row r="13" spans="1:13" s="46" customFormat="1" ht="24.95" customHeight="1" x14ac:dyDescent="0.25">
      <c r="A13" s="51" t="str">
        <f t="shared" si="0"/>
        <v/>
      </c>
      <c r="B13" s="52" t="str">
        <f>IFERROR(VLOOKUP($D13,Sheet1!$A$2:$B$98,2,0),"")</f>
        <v/>
      </c>
      <c r="C13" s="89" t="str">
        <f>IFERROR(VLOOKUP($D13,'Tổng Đơn'!$A$5:$E$100,5,0),"")</f>
        <v/>
      </c>
      <c r="D13" s="48"/>
      <c r="E13" s="48"/>
      <c r="F13" s="53" t="str">
        <f>IF(AND($A13="",$A12&lt;&gt;""),"Tổng Cộng",IFERROR(VLOOKUP($D13,Sheet1!$A$2:$D$98,4,0),""))</f>
        <v/>
      </c>
      <c r="G13" s="54" t="str">
        <f>IF($A12=MAX($A$2:$A$50),SUM($G$2:$G12),IFERROR($F13*$E13,""))</f>
        <v/>
      </c>
      <c r="H13" s="92" t="str">
        <f t="shared" si="1"/>
        <v/>
      </c>
      <c r="K13" s="49" t="str">
        <f>IFERROR(VLOOKUP($D13,Sheet1!$A$2:$D$98,4,0),"")</f>
        <v/>
      </c>
    </row>
    <row r="14" spans="1:13" s="46" customFormat="1" ht="24.95" customHeight="1" x14ac:dyDescent="0.25">
      <c r="A14" s="51" t="str">
        <f t="shared" si="0"/>
        <v/>
      </c>
      <c r="B14" s="52" t="str">
        <f>IFERROR(VLOOKUP($D14,Sheet1!$A$2:$B$98,2,0),"")</f>
        <v/>
      </c>
      <c r="C14" s="89" t="str">
        <f>IFERROR(VLOOKUP($D14,'Tổng Đơn'!$A$5:$E$100,5,0),"")</f>
        <v/>
      </c>
      <c r="D14" s="48"/>
      <c r="E14" s="48"/>
      <c r="F14" s="53" t="str">
        <f>IF(AND($A14="",$A13&lt;&gt;""),"Tổng Cộng",IFERROR(VLOOKUP($D14,Sheet1!$A$2:$D$98,4,0),""))</f>
        <v/>
      </c>
      <c r="G14" s="54" t="str">
        <f>IF($A13=MAX($A$2:$A$50),SUM($G$2:$G13),IFERROR($F14*$E14,""))</f>
        <v/>
      </c>
      <c r="H14" s="92" t="str">
        <f t="shared" si="1"/>
        <v/>
      </c>
      <c r="K14" s="49" t="str">
        <f>IFERROR(VLOOKUP($D14,Sheet1!$A$2:$D$98,4,0),"")</f>
        <v/>
      </c>
    </row>
    <row r="15" spans="1:13" s="46" customFormat="1" ht="24.95" customHeight="1" x14ac:dyDescent="0.25">
      <c r="A15" s="51" t="str">
        <f t="shared" si="0"/>
        <v/>
      </c>
      <c r="B15" s="52" t="str">
        <f>IFERROR(VLOOKUP($D15,Sheet1!$A$2:$B$98,2,0),"")</f>
        <v/>
      </c>
      <c r="C15" s="89" t="str">
        <f>IFERROR(VLOOKUP($D15,'Tổng Đơn'!$A$5:$E$100,5,0),"")</f>
        <v/>
      </c>
      <c r="D15" s="48"/>
      <c r="E15" s="48"/>
      <c r="F15" s="53" t="str">
        <f>IF(AND($A15="",$A14&lt;&gt;""),"Tổng Cộng",IFERROR(VLOOKUP($D15,Sheet1!$A$2:$D$98,4,0),""))</f>
        <v/>
      </c>
      <c r="G15" s="54" t="str">
        <f>IF($A14=MAX($A$2:$A$50),SUM($G$2:$G14),IFERROR($F15*$E15,""))</f>
        <v/>
      </c>
      <c r="H15" s="92" t="str">
        <f t="shared" si="1"/>
        <v/>
      </c>
      <c r="K15" s="49" t="str">
        <f>IFERROR(VLOOKUP($D15,Sheet1!$A$2:$D$98,4,0),"")</f>
        <v/>
      </c>
    </row>
    <row r="16" spans="1:13" s="46" customFormat="1" ht="24.95" customHeight="1" x14ac:dyDescent="0.25">
      <c r="A16" s="51" t="str">
        <f t="shared" si="0"/>
        <v/>
      </c>
      <c r="B16" s="52" t="str">
        <f>IFERROR(VLOOKUP($D16,Sheet1!$A$2:$B$98,2,0),"")</f>
        <v/>
      </c>
      <c r="C16" s="89" t="str">
        <f>IFERROR(VLOOKUP($D16,'Tổng Đơn'!$A$5:$E$100,5,0),"")</f>
        <v/>
      </c>
      <c r="D16" s="48"/>
      <c r="E16" s="48"/>
      <c r="F16" s="53" t="str">
        <f>IF(AND($A16="",$A15&lt;&gt;""),"Tổng Cộng",IFERROR(VLOOKUP($D16,Sheet1!$A$2:$D$98,4,0),""))</f>
        <v/>
      </c>
      <c r="G16" s="54" t="str">
        <f>IF($A15=MAX($A$2:$A$50),SUM($G$2:$G15),IFERROR($F16*$E16,""))</f>
        <v/>
      </c>
      <c r="H16" s="92" t="str">
        <f t="shared" si="1"/>
        <v/>
      </c>
      <c r="K16" s="49" t="str">
        <f>IFERROR(VLOOKUP($D16,Sheet1!$A$2:$D$98,4,0),"")</f>
        <v/>
      </c>
    </row>
    <row r="17" spans="1:11" s="46" customFormat="1" ht="24.95" customHeight="1" x14ac:dyDescent="0.25">
      <c r="A17" s="51" t="str">
        <f t="shared" si="0"/>
        <v/>
      </c>
      <c r="B17" s="52" t="str">
        <f>IFERROR(VLOOKUP($D17,Sheet1!$A$2:$B$98,2,0),"")</f>
        <v/>
      </c>
      <c r="C17" s="89" t="str">
        <f>IFERROR(VLOOKUP($D17,'Tổng Đơn'!$A$5:$E$100,5,0),"")</f>
        <v/>
      </c>
      <c r="D17" s="48"/>
      <c r="E17" s="48"/>
      <c r="F17" s="53" t="str">
        <f>IF(AND($A17="",$A16&lt;&gt;""),"Tổng Cộng",IFERROR(VLOOKUP($D17,Sheet1!$A$2:$D$98,4,0),""))</f>
        <v/>
      </c>
      <c r="G17" s="54" t="str">
        <f>IF($A16=MAX($A$2:$A$50),SUM($G$2:$G16),IFERROR($F17*$E17,""))</f>
        <v/>
      </c>
      <c r="H17" s="92" t="str">
        <f t="shared" si="1"/>
        <v/>
      </c>
      <c r="K17" s="49" t="str">
        <f>IFERROR(VLOOKUP($D17,Sheet1!$A$2:$D$98,4,0),"")</f>
        <v/>
      </c>
    </row>
    <row r="18" spans="1:11" s="46" customFormat="1" ht="24.95" customHeight="1" x14ac:dyDescent="0.25">
      <c r="A18" s="51" t="str">
        <f t="shared" si="0"/>
        <v/>
      </c>
      <c r="B18" s="52" t="str">
        <f>IFERROR(VLOOKUP($D18,Sheet1!$A$2:$B$98,2,0),"")</f>
        <v/>
      </c>
      <c r="C18" s="89" t="str">
        <f>IFERROR(VLOOKUP($D18,'Tổng Đơn'!$A$5:$E$100,5,0),"")</f>
        <v/>
      </c>
      <c r="D18" s="48"/>
      <c r="E18" s="48"/>
      <c r="F18" s="53" t="str">
        <f>IF(AND($A18="",$A17&lt;&gt;""),"Tổng Cộng",IFERROR(VLOOKUP($D18,Sheet1!$A$2:$D$98,4,0),""))</f>
        <v/>
      </c>
      <c r="G18" s="54" t="str">
        <f>IF($A17=MAX($A$2:$A$50),SUM($G$2:$G17),IFERROR($F18*$E18,""))</f>
        <v/>
      </c>
      <c r="H18" s="92" t="str">
        <f t="shared" si="1"/>
        <v/>
      </c>
      <c r="K18" s="49" t="str">
        <f>IFERROR(VLOOKUP($D18,Sheet1!$A$2:$D$98,4,0),"")</f>
        <v/>
      </c>
    </row>
    <row r="19" spans="1:11" s="46" customFormat="1" ht="24.95" customHeight="1" x14ac:dyDescent="0.25">
      <c r="A19" s="51" t="str">
        <f t="shared" si="0"/>
        <v/>
      </c>
      <c r="B19" s="52" t="str">
        <f>IFERROR(VLOOKUP($D19,Sheet1!$A$2:$B$98,2,0),"")</f>
        <v/>
      </c>
      <c r="C19" s="89" t="str">
        <f>IFERROR(VLOOKUP($D19,'Tổng Đơn'!$A$5:$E$100,5,0),"")</f>
        <v/>
      </c>
      <c r="D19" s="48"/>
      <c r="E19" s="48"/>
      <c r="F19" s="53" t="str">
        <f>IF(AND($A19="",$A18&lt;&gt;""),"Tổng Cộng",IFERROR(VLOOKUP($D19,Sheet1!$A$2:$D$98,4,0),""))</f>
        <v/>
      </c>
      <c r="G19" s="54" t="str">
        <f>IF($A18=MAX($A$2:$A$50),SUM($G$2:$G18),IFERROR($F19*$E19,""))</f>
        <v/>
      </c>
      <c r="H19" s="92" t="str">
        <f t="shared" si="1"/>
        <v/>
      </c>
      <c r="K19" s="49" t="str">
        <f>IFERROR(VLOOKUP($D19,Sheet1!$A$2:$D$98,4,0),"")</f>
        <v/>
      </c>
    </row>
    <row r="20" spans="1:11" s="46" customFormat="1" ht="24.95" customHeight="1" x14ac:dyDescent="0.25">
      <c r="A20" s="51" t="str">
        <f t="shared" si="0"/>
        <v/>
      </c>
      <c r="B20" s="52" t="str">
        <f>IFERROR(VLOOKUP($D20,Sheet1!$A$2:$B$98,2,0),"")</f>
        <v/>
      </c>
      <c r="C20" s="89" t="str">
        <f>IFERROR(VLOOKUP($D20,'Tổng Đơn'!$A$5:$E$100,5,0),"")</f>
        <v/>
      </c>
      <c r="D20" s="48"/>
      <c r="E20" s="48"/>
      <c r="F20" s="53" t="str">
        <f>IF(AND($A20="",$A19&lt;&gt;""),"Tổng Cộng",IFERROR(VLOOKUP($D20,Sheet1!$A$2:$D$98,4,0),""))</f>
        <v/>
      </c>
      <c r="G20" s="54" t="str">
        <f>IF($A19=MAX($A$2:$A$50),SUM($G$2:$G19),IFERROR($F20*$E20,""))</f>
        <v/>
      </c>
      <c r="H20" s="92" t="str">
        <f t="shared" si="1"/>
        <v/>
      </c>
      <c r="K20" s="49" t="str">
        <f>IFERROR(VLOOKUP($D20,Sheet1!$A$2:$D$98,4,0),"")</f>
        <v/>
      </c>
    </row>
    <row r="21" spans="1:11" s="46" customFormat="1" ht="24.95" customHeight="1" x14ac:dyDescent="0.25">
      <c r="A21" s="51" t="str">
        <f t="shared" si="0"/>
        <v/>
      </c>
      <c r="B21" s="52" t="str">
        <f>IFERROR(VLOOKUP($D21,Sheet1!$A$2:$B$98,2,0),"")</f>
        <v/>
      </c>
      <c r="C21" s="89" t="str">
        <f>IFERROR(VLOOKUP($D21,'Tổng Đơn'!$A$5:$E$100,5,0),"")</f>
        <v/>
      </c>
      <c r="D21" s="48"/>
      <c r="E21" s="48"/>
      <c r="F21" s="53" t="str">
        <f>IF(AND($A21="",$A20&lt;&gt;""),"Tổng Cộng",IFERROR(VLOOKUP($D21,Sheet1!$A$2:$D$98,4,0),""))</f>
        <v/>
      </c>
      <c r="G21" s="54" t="str">
        <f>IF($A20=MAX($A$2:$A$50),SUM($G$2:$G20),IFERROR($F21*$E21,""))</f>
        <v/>
      </c>
      <c r="H21" s="92" t="str">
        <f t="shared" si="1"/>
        <v/>
      </c>
      <c r="K21" s="49"/>
    </row>
    <row r="22" spans="1:11" s="46" customFormat="1" ht="24.95" customHeight="1" x14ac:dyDescent="0.25">
      <c r="A22" s="51" t="str">
        <f t="shared" si="0"/>
        <v/>
      </c>
      <c r="B22" s="52" t="str">
        <f>IFERROR(VLOOKUP($D22,Sheet1!$A$2:$B$98,2,0),"")</f>
        <v/>
      </c>
      <c r="C22" s="89" t="str">
        <f>IFERROR(VLOOKUP($D22,'Tổng Đơn'!$A$5:$E$100,5,0),"")</f>
        <v/>
      </c>
      <c r="D22" s="48"/>
      <c r="E22" s="48"/>
      <c r="F22" s="53" t="str">
        <f>IF(AND($A22="",$A21&lt;&gt;""),"Tổng Cộng",IFERROR(VLOOKUP($D22,Sheet1!$A$2:$D$98,4,0),""))</f>
        <v/>
      </c>
      <c r="G22" s="54" t="str">
        <f>IF($A21=MAX($A$2:$A$50),SUM($G$2:$G21),IFERROR($F22*$E22,""))</f>
        <v/>
      </c>
      <c r="H22" s="92" t="str">
        <f t="shared" si="1"/>
        <v/>
      </c>
      <c r="K22" s="49"/>
    </row>
    <row r="23" spans="1:11" s="46" customFormat="1" ht="24.95" customHeight="1" x14ac:dyDescent="0.25">
      <c r="A23" s="51" t="str">
        <f t="shared" si="0"/>
        <v/>
      </c>
      <c r="B23" s="52" t="str">
        <f>IFERROR(VLOOKUP($D23,Sheet1!$A$2:$B$98,2,0),"")</f>
        <v/>
      </c>
      <c r="C23" s="89" t="str">
        <f>IFERROR(VLOOKUP($D23,'Tổng Đơn'!$A$5:$E$100,5,0),"")</f>
        <v/>
      </c>
      <c r="D23" s="48"/>
      <c r="E23" s="48"/>
      <c r="F23" s="53" t="str">
        <f>IF(AND($A23="",$A22&lt;&gt;""),"Tổng Cộng",IFERROR(VLOOKUP($D23,Sheet1!$A$2:$D$98,4,0),""))</f>
        <v/>
      </c>
      <c r="G23" s="54" t="str">
        <f>IF($A22=MAX($A$2:$A$50),SUM($G$2:$G22),IFERROR($F23*$E23,""))</f>
        <v/>
      </c>
      <c r="H23" s="92" t="str">
        <f t="shared" si="1"/>
        <v/>
      </c>
      <c r="K23" s="49">
        <v>1</v>
      </c>
    </row>
    <row r="24" spans="1:11" s="46" customFormat="1" ht="24.95" customHeight="1" x14ac:dyDescent="0.25">
      <c r="A24" s="51" t="str">
        <f t="shared" si="0"/>
        <v/>
      </c>
      <c r="B24" s="52" t="str">
        <f>IFERROR(VLOOKUP($D24,Sheet1!$A$2:$B$98,2,0),"")</f>
        <v/>
      </c>
      <c r="C24" s="89" t="str">
        <f>IFERROR(VLOOKUP($D24,'Tổng Đơn'!$A$5:$E$100,5,0),"")</f>
        <v/>
      </c>
      <c r="D24" s="48"/>
      <c r="E24" s="48"/>
      <c r="F24" s="53" t="str">
        <f>IF(AND($A24="",$A23&lt;&gt;""),"Tổng Cộng",IFERROR(VLOOKUP($D24,Sheet1!$A$2:$D$98,4,0),""))</f>
        <v/>
      </c>
      <c r="G24" s="54" t="str">
        <f>IF($A23=MAX($A$2:$A$50),SUM($G$2:$G23),IFERROR($F24*$E24,""))</f>
        <v/>
      </c>
      <c r="H24" s="92" t="str">
        <f t="shared" si="1"/>
        <v/>
      </c>
      <c r="K24" s="49">
        <v>1</v>
      </c>
    </row>
    <row r="25" spans="1:11" s="46" customFormat="1" ht="24.95" customHeight="1" x14ac:dyDescent="0.25">
      <c r="A25" s="51" t="str">
        <f t="shared" si="0"/>
        <v/>
      </c>
      <c r="B25" s="52" t="str">
        <f>IFERROR(VLOOKUP($D25,Sheet1!$A$2:$B$98,2,0),"")</f>
        <v/>
      </c>
      <c r="C25" s="89" t="str">
        <f>IFERROR(VLOOKUP($D25,'Tổng Đơn'!$A$5:$E$100,5,0),"")</f>
        <v/>
      </c>
      <c r="D25" s="48"/>
      <c r="E25" s="48"/>
      <c r="F25" s="53" t="str">
        <f>IF(AND($A25="",$A24&lt;&gt;""),"Tổng Cộng",IFERROR(VLOOKUP($D25,Sheet1!$A$2:$D$98,4,0),""))</f>
        <v/>
      </c>
      <c r="G25" s="54" t="str">
        <f>IF($A24=MAX($A$2:$A$50),SUM($G$2:$G24),IFERROR($F25*$E25,""))</f>
        <v/>
      </c>
      <c r="H25" s="92" t="str">
        <f t="shared" si="1"/>
        <v/>
      </c>
      <c r="K25" s="49">
        <v>1</v>
      </c>
    </row>
    <row r="26" spans="1:11" s="46" customFormat="1" ht="24.95" customHeight="1" x14ac:dyDescent="0.25">
      <c r="A26" s="51" t="str">
        <f t="shared" si="0"/>
        <v/>
      </c>
      <c r="B26" s="52" t="str">
        <f>IFERROR(VLOOKUP($D26,Sheet1!$A$2:$B$98,2,0),"")</f>
        <v/>
      </c>
      <c r="C26" s="89" t="str">
        <f>IFERROR(VLOOKUP($D26,'Tổng Đơn'!$A$5:$E$100,5,0),"")</f>
        <v/>
      </c>
      <c r="D26" s="48"/>
      <c r="E26" s="48"/>
      <c r="F26" s="53" t="str">
        <f>IF(AND($A26="",$A25&lt;&gt;""),"Tổng Cộng",IFERROR(VLOOKUP($D26,Sheet1!$A$2:$D$98,4,0),""))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IFERROR(VLOOKUP($D27,Sheet1!$A$2:$B$98,2,0),"")</f>
        <v/>
      </c>
      <c r="C27" s="89" t="str">
        <f>IFERROR(VLOOKUP($D27,'Tổng Đơn'!$A$5:$E$100,5,0),"")</f>
        <v/>
      </c>
      <c r="D27" s="48"/>
      <c r="E27" s="48"/>
      <c r="F27" s="53" t="str">
        <f>IF(AND($A27="",$A26&lt;&gt;""),"Tổng Cộng",IFERROR(VLOOKUP($D27,Sheet1!$A$2:$D$98,4,0),""))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IFERROR(VLOOKUP($D28,Sheet1!$A$2:$B$98,2,0),"")</f>
        <v/>
      </c>
      <c r="C28" s="89" t="str">
        <f>IFERROR(VLOOKUP($D28,'Tổng Đơn'!$A$5:$E$100,5,0),"")</f>
        <v/>
      </c>
      <c r="D28" s="48"/>
      <c r="E28" s="48"/>
      <c r="F28" s="53" t="str">
        <f>IF(AND($A28="",$A27&lt;&gt;""),"Tổng Cộng",IFERROR(VLOOKUP($D28,Sheet1!$A$2:$D$98,4,0),""))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IFERROR(VLOOKUP($D29,Sheet1!$A$2:$B$98,2,0),"")</f>
        <v/>
      </c>
      <c r="C29" s="89" t="str">
        <f>IFERROR(VLOOKUP($D29,'Tổng Đơn'!$A$5:$E$100,5,0),"")</f>
        <v/>
      </c>
      <c r="D29" s="48"/>
      <c r="E29" s="48"/>
      <c r="F29" s="53" t="str">
        <f>IF(AND($A29="",$A28&lt;&gt;""),"Tổng Cộng",IFERROR(VLOOKUP($D29,Sheet1!$A$2:$D$98,4,0),""))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IFERROR(VLOOKUP($D30,Sheet1!$A$2:$B$98,2,0),"")</f>
        <v/>
      </c>
      <c r="C30" s="89" t="str">
        <f>IFERROR(VLOOKUP($D30,'Tổng Đơn'!$A$5:$E$100,5,0),"")</f>
        <v/>
      </c>
      <c r="D30" s="48"/>
      <c r="E30" s="48"/>
      <c r="F30" s="53" t="str">
        <f>IF(AND($A30="",$A29&lt;&gt;""),"Tổng Cộng",IFERROR(VLOOKUP($D30,Sheet1!$A$2:$D$98,4,0),""))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IFERROR(VLOOKUP($D31,Sheet1!$A$2:$B$98,2,0),"")</f>
        <v/>
      </c>
      <c r="C31" s="89" t="str">
        <f>IFERROR(VLOOKUP($D31,'Tổng Đơn'!$A$5:$E$100,5,0),"")</f>
        <v/>
      </c>
      <c r="D31" s="48"/>
      <c r="E31" s="48"/>
      <c r="F31" s="53" t="str">
        <f>IF(AND($A31="",$A30&lt;&gt;""),"Tổng Cộng",IFERROR(VLOOKUP($D31,Sheet1!$A$2:$D$98,4,0),""))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Cộng",IFERROR(VLOOKUP($D32,Sheet1!$A$2:$D$98,4,0),""))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F3">
    <cfRule type="expression" dxfId="119" priority="12">
      <formula>$A2=MAX($A$2:$A$31)</formula>
    </cfRule>
  </conditionalFormatting>
  <conditionalFormatting sqref="D2:D3">
    <cfRule type="expression" dxfId="118" priority="11">
      <formula>AND($D2="",$E2&lt;&gt;"")</formula>
    </cfRule>
  </conditionalFormatting>
  <conditionalFormatting sqref="E2:E3">
    <cfRule type="expression" dxfId="117" priority="10">
      <formula>AND($E2="",$D2&lt;&gt;"")</formula>
    </cfRule>
  </conditionalFormatting>
  <conditionalFormatting sqref="C2:C3">
    <cfRule type="expression" dxfId="116" priority="9">
      <formula>AND($D2="",$E2&lt;&gt;"")</formula>
    </cfRule>
  </conditionalFormatting>
  <conditionalFormatting sqref="A10:G31 A4:F9 G2:G9">
    <cfRule type="expression" dxfId="115" priority="8">
      <formula>$A1=MAX($A$2:$A$31)</formula>
    </cfRule>
  </conditionalFormatting>
  <conditionalFormatting sqref="D4:D31">
    <cfRule type="expression" dxfId="114" priority="7">
      <formula>AND($D4="",$E4&lt;&gt;"")</formula>
    </cfRule>
  </conditionalFormatting>
  <conditionalFormatting sqref="E4:E31">
    <cfRule type="expression" dxfId="113" priority="6">
      <formula>AND($E4="",$D4&lt;&gt;"")</formula>
    </cfRule>
  </conditionalFormatting>
  <conditionalFormatting sqref="C4:C31">
    <cfRule type="expression" dxfId="112" priority="5">
      <formula>AND($D4="",$E4&lt;&gt;"")</formula>
    </cfRule>
  </conditionalFormatting>
  <conditionalFormatting sqref="A32:G32">
    <cfRule type="expression" dxfId="111" priority="4">
      <formula>$A31=MAX($A$2:$A$31)</formula>
    </cfRule>
  </conditionalFormatting>
  <conditionalFormatting sqref="D32">
    <cfRule type="expression" dxfId="110" priority="3">
      <formula>AND($D32="",$E32&lt;&gt;"")</formula>
    </cfRule>
  </conditionalFormatting>
  <conditionalFormatting sqref="E32">
    <cfRule type="expression" dxfId="109" priority="2">
      <formula>AND($E32="",$D32&lt;&gt;"")</formula>
    </cfRule>
  </conditionalFormatting>
  <conditionalFormatting sqref="C32">
    <cfRule type="expression" dxfId="108"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tabColor theme="1"/>
  </sheetPr>
  <dimension ref="A1:M52"/>
  <sheetViews>
    <sheetView zoomScaleNormal="100" workbookViewId="0">
      <pane ySplit="1" topLeftCell="A2" activePane="bottomLeft" state="frozen"/>
      <selection activeCell="H16" sqref="H16"/>
      <selection pane="bottomLeft" activeCell="H2" sqref="H2"/>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3" width="10.140625" style="14" bestFit="1" customWidth="1"/>
    <col min="14" max="16384" width="9.140625" style="14"/>
  </cols>
  <sheetData>
    <row r="1" spans="1:13" s="45" customFormat="1" ht="39" customHeight="1" x14ac:dyDescent="0.25">
      <c r="A1" s="47" t="s">
        <v>0</v>
      </c>
      <c r="B1" s="47" t="s">
        <v>17</v>
      </c>
      <c r="C1" s="87" t="s">
        <v>55</v>
      </c>
      <c r="D1" s="91" t="s">
        <v>118</v>
      </c>
      <c r="E1" s="91" t="s">
        <v>16</v>
      </c>
      <c r="F1" s="47" t="s">
        <v>18</v>
      </c>
      <c r="G1" s="47" t="s">
        <v>19</v>
      </c>
      <c r="H1" s="157" t="s">
        <v>229</v>
      </c>
      <c r="I1" s="55">
        <f>SUBTOTAL(9,H2:H31)</f>
        <v>1.5</v>
      </c>
      <c r="K1" s="47" t="s">
        <v>18</v>
      </c>
    </row>
    <row r="2" spans="1:13" s="46" customFormat="1" ht="24.95" customHeight="1" x14ac:dyDescent="0.25">
      <c r="A2" s="51">
        <f>IF(OR(SUM($A1,$D2&lt;&gt;"")=0,$D2=""),"",SUM($A1,$D2&lt;&gt;""))</f>
        <v>1</v>
      </c>
      <c r="B2" s="52" t="str">
        <f>IFERROR(VLOOKUP($D2,Sheet1!$A$2:$B$98,2,0),"")</f>
        <v>Jambon Đỏ</v>
      </c>
      <c r="C2" s="88">
        <f>IFERROR(VLOOKUP($D2,'Tổng Đơn'!$A$5:$E$100,5,0),"")</f>
        <v>0.5</v>
      </c>
      <c r="D2" s="48">
        <v>41</v>
      </c>
      <c r="E2" s="48">
        <v>1</v>
      </c>
      <c r="F2" s="53">
        <f>IFERROR(VLOOKUP($D2,Sheet1!$A$2:$D$98,4,0),"")</f>
        <v>66000</v>
      </c>
      <c r="G2" s="54">
        <f>IF($A1=MAX($A$2:$A$50),SUM($G1:$G$2),IFERROR($F2*$E2,""))</f>
        <v>66000</v>
      </c>
      <c r="H2" s="92">
        <f>IFERROR(E2*C2,"")</f>
        <v>0.5</v>
      </c>
      <c r="I2" s="46" t="str">
        <f>IF(SUMPRODUCT(($E$2:$E$12),($K$2:$K$12))&gt;=200000,"KM 15%",IF(SUMPRODUCT(($E$2:$E$12),($K$2:$K$12))&gt;=100000,"KM 10%",""))</f>
        <v>KM 10%</v>
      </c>
      <c r="K2" s="50">
        <f>IFERROR(VLOOKUP($D2,Sheet1!$A$2:$D$98,4,0),"")</f>
        <v>66000</v>
      </c>
    </row>
    <row r="3" spans="1:13" s="46" customFormat="1" ht="24.95" customHeight="1" x14ac:dyDescent="0.25">
      <c r="A3" s="51">
        <f t="shared" ref="A3:A31" si="0">IF(OR(SUM($A2,$D3&lt;&gt;"")=0,$D3=""),"",SUM($A2,$D3&lt;&gt;""))</f>
        <v>2</v>
      </c>
      <c r="B3" s="52" t="str">
        <f>IFERROR(VLOOKUP($D3,Sheet1!$A$2:$B$98,2,0),"")</f>
        <v>Bò viên phở TVP</v>
      </c>
      <c r="C3" s="89">
        <f>IFERROR(VLOOKUP($D3,'Tổng Đơn'!$A$5:$E$100,5,0),"")</f>
        <v>0.5</v>
      </c>
      <c r="D3" s="48">
        <v>53</v>
      </c>
      <c r="E3" s="48">
        <v>1</v>
      </c>
      <c r="F3" s="53">
        <f>IF(AND($A3="",$A2&lt;&gt;""),"Tổng Cộng",IFERROR(VLOOKUP($D3,Sheet1!$A$2:$D$98,4,0),""))</f>
        <v>76000</v>
      </c>
      <c r="G3" s="54">
        <f>IF($A2=MAX($A$2:$A$50),SUM($G$2:$G2),IFERROR($F3*$E3,""))</f>
        <v>76000</v>
      </c>
      <c r="H3" s="92">
        <f t="shared" ref="H3:H31" si="1">IFERROR(E3*C3,"")</f>
        <v>0.5</v>
      </c>
      <c r="K3" s="49">
        <f>IFERROR(VLOOKUP($D3,Sheet1!$A$2:$D$98,4,0),"")</f>
        <v>76000</v>
      </c>
    </row>
    <row r="4" spans="1:13" s="46" customFormat="1" ht="24.95" customHeight="1" x14ac:dyDescent="0.25">
      <c r="A4" s="51">
        <f t="shared" si="0"/>
        <v>3</v>
      </c>
      <c r="B4" s="52" t="str">
        <f>IFERROR(VLOOKUP($D4,Sheet1!$A$2:$B$98,2,0),"")</f>
        <v>Há cảo Lớn</v>
      </c>
      <c r="C4" s="89">
        <f>IFERROR(VLOOKUP($D4,'Tổng Đơn'!$A$5:$E$100,5,0),"")</f>
        <v>0.5</v>
      </c>
      <c r="D4" s="48">
        <v>58</v>
      </c>
      <c r="E4" s="48">
        <v>1</v>
      </c>
      <c r="F4" s="53">
        <f>IF(AND($A4="",$A3&lt;&gt;""),"Tổng Cộng",IFERROR(VLOOKUP($D4,Sheet1!$A$2:$D$98,4,0),""))</f>
        <v>35000</v>
      </c>
      <c r="G4" s="54">
        <f>IF($A3=MAX($A$2:$A$50),SUM($G$2:$G3),IFERROR($F4*$E4,""))</f>
        <v>35000</v>
      </c>
      <c r="H4" s="92">
        <f t="shared" si="1"/>
        <v>0.5</v>
      </c>
      <c r="K4" s="49">
        <f>IFERROR(VLOOKUP($D4,Sheet1!$A$2:$D$98,4,0),"")</f>
        <v>35000</v>
      </c>
    </row>
    <row r="5" spans="1:13" s="46" customFormat="1" ht="24.95" customHeight="1" x14ac:dyDescent="0.25">
      <c r="A5" s="51" t="str">
        <f t="shared" si="0"/>
        <v/>
      </c>
      <c r="B5" s="52" t="str">
        <f>IFERROR(VLOOKUP($D5,Sheet1!$A$2:$B$98,2,0),"")</f>
        <v/>
      </c>
      <c r="C5" s="89" t="str">
        <f>IFERROR(VLOOKUP($D5,'Tổng Đơn'!$A$5:$E$100,5,0),"")</f>
        <v/>
      </c>
      <c r="D5" s="48" t="s">
        <v>192</v>
      </c>
      <c r="E5" s="48"/>
      <c r="F5" s="53" t="str">
        <f>IF(AND($A5="",$A4&lt;&gt;""),"Tổng Cộng",IFERROR(VLOOKUP($D5,Sheet1!$A$2:$D$98,4,0),""))</f>
        <v>Tổng Cộng</v>
      </c>
      <c r="G5" s="54">
        <f>IF($A4=MAX($A$2:$A$50),SUM($G$2:$G4),IFERROR($F5*$E5,""))</f>
        <v>177000</v>
      </c>
      <c r="H5" s="92" t="str">
        <f t="shared" si="1"/>
        <v/>
      </c>
      <c r="K5" s="49" t="str">
        <f>IFERROR(VLOOKUP($D5,Sheet1!$A$2:$D$98,4,0),"")</f>
        <v/>
      </c>
    </row>
    <row r="6" spans="1:13" s="46" customFormat="1" ht="24.95" customHeight="1" x14ac:dyDescent="0.25">
      <c r="A6" s="51" t="str">
        <f t="shared" si="0"/>
        <v/>
      </c>
      <c r="B6" s="52" t="str">
        <f>IFERROR(VLOOKUP($D6,Sheet1!$A$2:$B$98,2,0),"")</f>
        <v/>
      </c>
      <c r="C6" s="89" t="str">
        <f>IFERROR(VLOOKUP($D6,'Tổng Đơn'!$A$5:$E$100,5,0),"")</f>
        <v/>
      </c>
      <c r="D6" s="48" t="s">
        <v>192</v>
      </c>
      <c r="E6" s="48"/>
      <c r="F6" s="53" t="str">
        <f>IF(AND($A6="",$A5&lt;&gt;""),"Tổng Cộng",IFERROR(VLOOKUP($D6,Sheet1!$A$2:$D$98,4,0),""))</f>
        <v/>
      </c>
      <c r="G6" s="54" t="str">
        <f>IF($A5=MAX($A$2:$A$50),SUM($G$2:$G5),IFERROR($F6*$E6,""))</f>
        <v/>
      </c>
      <c r="H6" s="92" t="str">
        <f t="shared" si="1"/>
        <v/>
      </c>
      <c r="I6" s="175"/>
      <c r="K6" s="49"/>
      <c r="L6" s="184"/>
      <c r="M6" s="176"/>
    </row>
    <row r="7" spans="1:13" s="46" customFormat="1" ht="24.95" customHeight="1" x14ac:dyDescent="0.25">
      <c r="A7" s="51" t="str">
        <f t="shared" si="0"/>
        <v/>
      </c>
      <c r="B7" s="52" t="str">
        <f>IFERROR(VLOOKUP($D7,Sheet1!$A$2:$B$98,2,0),"")</f>
        <v/>
      </c>
      <c r="C7" s="89" t="str">
        <f>IFERROR(VLOOKUP($D7,'Tổng Đơn'!$A$5:$E$100,5,0),"")</f>
        <v/>
      </c>
      <c r="D7" s="48" t="s">
        <v>192</v>
      </c>
      <c r="E7" s="48"/>
      <c r="F7" s="53" t="str">
        <f>IF(AND($A7="",$A6&lt;&gt;""),"Tổng Cộng",IFERROR(VLOOKUP($D7,Sheet1!$A$2:$D$98,4,0),""))</f>
        <v/>
      </c>
      <c r="G7" s="54" t="str">
        <f>IF($A6=MAX($A$2:$A$50),SUM($G$2:$G6),IFERROR($F7*$E7,""))</f>
        <v/>
      </c>
      <c r="H7" s="92" t="str">
        <f t="shared" si="1"/>
        <v/>
      </c>
      <c r="K7" s="49"/>
    </row>
    <row r="8" spans="1:13" s="46" customFormat="1" ht="24.95" customHeight="1" x14ac:dyDescent="0.25">
      <c r="A8" s="51" t="str">
        <f t="shared" si="0"/>
        <v/>
      </c>
      <c r="B8" s="52" t="str">
        <f>IFERROR(VLOOKUP($D8,Sheet1!$A$2:$B$98,2,0),"")</f>
        <v/>
      </c>
      <c r="C8" s="89" t="str">
        <f>IFERROR(VLOOKUP($D8,'Tổng Đơn'!$A$5:$E$100,5,0),"")</f>
        <v/>
      </c>
      <c r="D8" s="48" t="s">
        <v>192</v>
      </c>
      <c r="E8" s="48"/>
      <c r="F8" s="53" t="str">
        <f>IF(AND($A8="",$A7&lt;&gt;""),"Tổng Cộng",IFERROR(VLOOKUP($D8,Sheet1!$A$2:$D$98,4,0),""))</f>
        <v/>
      </c>
      <c r="G8" s="54" t="str">
        <f>IF($A7=MAX($A$2:$A$50),SUM($G$2:$G7),IFERROR($F8*$E8,""))</f>
        <v/>
      </c>
      <c r="H8" s="92" t="str">
        <f t="shared" si="1"/>
        <v/>
      </c>
      <c r="K8" s="49" t="str">
        <f>IFERROR(VLOOKUP($D8,Sheet1!$A$2:$D$98,4,0),"")</f>
        <v/>
      </c>
      <c r="L8" s="185"/>
    </row>
    <row r="9" spans="1:13" s="46" customFormat="1" ht="24.95" customHeight="1" x14ac:dyDescent="0.25">
      <c r="A9" s="51" t="str">
        <f t="shared" si="0"/>
        <v/>
      </c>
      <c r="B9" s="52" t="str">
        <f>IFERROR(VLOOKUP($D9,Sheet1!$A$2:$B$98,2,0),"")</f>
        <v/>
      </c>
      <c r="C9" s="89" t="str">
        <f>IFERROR(VLOOKUP($D9,'Tổng Đơn'!$A$5:$E$100,5,0),"")</f>
        <v/>
      </c>
      <c r="D9" s="48" t="s">
        <v>192</v>
      </c>
      <c r="E9" s="48"/>
      <c r="F9" s="53" t="str">
        <f>IF(AND($A9="",$A8&lt;&gt;""),"Tổng Cộng",IFERROR(VLOOKUP($D9,Sheet1!$A$2:$D$98,4,0),""))</f>
        <v/>
      </c>
      <c r="G9" s="54" t="str">
        <f>IF($A8=MAX($A$2:$A$50),SUM($G$2:$G8),IFERROR($F9*$E9,""))</f>
        <v/>
      </c>
      <c r="H9" s="92" t="str">
        <f t="shared" si="1"/>
        <v/>
      </c>
      <c r="K9" s="49" t="str">
        <f>IFERROR(VLOOKUP($D9,Sheet1!$A$2:$D$98,4,0),"")</f>
        <v/>
      </c>
    </row>
    <row r="10" spans="1:13" s="46" customFormat="1" ht="24.95" customHeight="1" x14ac:dyDescent="0.25">
      <c r="A10" s="51" t="str">
        <f t="shared" si="0"/>
        <v/>
      </c>
      <c r="B10" s="52" t="str">
        <f>IFERROR(VLOOKUP($D10,Sheet1!$A$2:$B$98,2,0),"")</f>
        <v/>
      </c>
      <c r="C10" s="89" t="str">
        <f>IFERROR(VLOOKUP($D10,'Tổng Đơn'!$A$5:$E$100,5,0),"")</f>
        <v/>
      </c>
      <c r="D10" s="48" t="s">
        <v>192</v>
      </c>
      <c r="E10" s="48"/>
      <c r="F10" s="53" t="str">
        <f>IF(AND($A10="",$A9&lt;&gt;""),"Tổng Cộng",IFERROR(VLOOKUP($D10,Sheet1!$A$2:$D$98,4,0),""))</f>
        <v/>
      </c>
      <c r="G10" s="54" t="str">
        <f>IF($A9=MAX($A$2:$A$50),SUM($G$2:$G9),IFERROR($F10*$E10,""))</f>
        <v/>
      </c>
      <c r="H10" s="92" t="str">
        <f t="shared" si="1"/>
        <v/>
      </c>
      <c r="K10" s="49" t="str">
        <f>IFERROR(VLOOKUP($D10,Sheet1!$A$2:$D$98,4,0),"")</f>
        <v/>
      </c>
    </row>
    <row r="11" spans="1:13" s="46" customFormat="1" ht="24.95" customHeight="1" x14ac:dyDescent="0.25">
      <c r="A11" s="51" t="str">
        <f t="shared" si="0"/>
        <v/>
      </c>
      <c r="B11" s="52" t="str">
        <f>IFERROR(VLOOKUP($D11,Sheet1!$A$2:$B$98,2,0),"")</f>
        <v/>
      </c>
      <c r="C11" s="89" t="str">
        <f>IFERROR(VLOOKUP($D11,'Tổng Đơn'!$A$5:$E$100,5,0),"")</f>
        <v/>
      </c>
      <c r="D11" s="48" t="s">
        <v>192</v>
      </c>
      <c r="E11" s="48"/>
      <c r="F11" s="53" t="str">
        <f>IF(AND($A11="",$A10&lt;&gt;""),"Tổng Cộng",IFERROR(VLOOKUP($D11,Sheet1!$A$2:$D$98,4,0),""))</f>
        <v/>
      </c>
      <c r="G11" s="54" t="str">
        <f>IF($A10=MAX($A$2:$A$50),SUM($G$2:$G10),IFERROR($F11*$E11,""))</f>
        <v/>
      </c>
      <c r="H11" s="92" t="str">
        <f t="shared" si="1"/>
        <v/>
      </c>
      <c r="K11" s="49" t="str">
        <f>IFERROR(VLOOKUP($D11,Sheet1!$A$2:$D$98,4,0),"")</f>
        <v/>
      </c>
    </row>
    <row r="12" spans="1:13" s="46" customFormat="1" ht="24.95" customHeight="1" x14ac:dyDescent="0.25">
      <c r="A12" s="51" t="str">
        <f t="shared" si="0"/>
        <v/>
      </c>
      <c r="B12" s="52" t="str">
        <f>IFERROR(VLOOKUP($D12,Sheet1!$A$2:$B$98,2,0),"")</f>
        <v/>
      </c>
      <c r="C12" s="89" t="str">
        <f>IFERROR(VLOOKUP($D12,'Tổng Đơn'!$A$5:$E$100,5,0),"")</f>
        <v/>
      </c>
      <c r="D12" s="48" t="s">
        <v>192</v>
      </c>
      <c r="E12" s="48"/>
      <c r="F12" s="53" t="str">
        <f>IF(AND($A12="",$A11&lt;&gt;""),"Tổng Cộng",IFERROR(VLOOKUP($D12,Sheet1!$A$2:$D$98,4,0),""))</f>
        <v/>
      </c>
      <c r="G12" s="54" t="str">
        <f>IF($A11=MAX($A$2:$A$50),SUM($G$2:$G11),IFERROR($F12*$E12,""))</f>
        <v/>
      </c>
      <c r="H12" s="92" t="str">
        <f t="shared" si="1"/>
        <v/>
      </c>
      <c r="K12" s="49" t="str">
        <f>IFERROR(VLOOKUP($D12,Sheet1!$A$2:$D$98,4,0),"")</f>
        <v/>
      </c>
    </row>
    <row r="13" spans="1:13" s="46" customFormat="1" ht="24.95" customHeight="1" x14ac:dyDescent="0.25">
      <c r="A13" s="51" t="str">
        <f t="shared" si="0"/>
        <v/>
      </c>
      <c r="B13" s="52" t="str">
        <f>IFERROR(VLOOKUP($D13,Sheet1!$A$2:$B$98,2,0),"")</f>
        <v/>
      </c>
      <c r="C13" s="89" t="str">
        <f>IFERROR(VLOOKUP($D13,'Tổng Đơn'!$A$5:$E$100,5,0),"")</f>
        <v/>
      </c>
      <c r="D13" s="48" t="s">
        <v>192</v>
      </c>
      <c r="E13" s="48"/>
      <c r="F13" s="53" t="str">
        <f>IF(AND($A13="",$A12&lt;&gt;""),"Tổng Cộng",IFERROR(VLOOKUP($D13,Sheet1!$A$2:$D$98,4,0),""))</f>
        <v/>
      </c>
      <c r="G13" s="54" t="str">
        <f>IF($A12=MAX($A$2:$A$50),SUM($G$2:$G12),IFERROR($F13*$E13,""))</f>
        <v/>
      </c>
      <c r="H13" s="92" t="str">
        <f t="shared" si="1"/>
        <v/>
      </c>
      <c r="K13" s="49" t="str">
        <f>IFERROR(VLOOKUP($D13,Sheet1!$A$2:$D$98,4,0),"")</f>
        <v/>
      </c>
    </row>
    <row r="14" spans="1:13" s="46" customFormat="1" ht="24.95" customHeight="1" x14ac:dyDescent="0.25">
      <c r="A14" s="51" t="str">
        <f t="shared" si="0"/>
        <v/>
      </c>
      <c r="B14" s="52" t="str">
        <f>IFERROR(VLOOKUP($D14,Sheet1!$A$2:$B$98,2,0),"")</f>
        <v/>
      </c>
      <c r="C14" s="89" t="str">
        <f>IFERROR(VLOOKUP($D14,'Tổng Đơn'!$A$5:$E$100,5,0),"")</f>
        <v/>
      </c>
      <c r="D14" s="48" t="s">
        <v>192</v>
      </c>
      <c r="E14" s="48"/>
      <c r="F14" s="53" t="str">
        <f>IF(AND($A14="",$A13&lt;&gt;""),"Tổng Cộng",IFERROR(VLOOKUP($D14,Sheet1!$A$2:$D$98,4,0),""))</f>
        <v/>
      </c>
      <c r="G14" s="54" t="str">
        <f>IF($A13=MAX($A$2:$A$50),SUM($G$2:$G13),IFERROR($F14*$E14,""))</f>
        <v/>
      </c>
      <c r="H14" s="92" t="str">
        <f t="shared" si="1"/>
        <v/>
      </c>
      <c r="K14" s="49" t="str">
        <f>IFERROR(VLOOKUP($D14,Sheet1!$A$2:$D$98,4,0),"")</f>
        <v/>
      </c>
    </row>
    <row r="15" spans="1:13" s="46" customFormat="1" ht="24.95" customHeight="1" x14ac:dyDescent="0.25">
      <c r="A15" s="51" t="str">
        <f t="shared" si="0"/>
        <v/>
      </c>
      <c r="B15" s="52" t="str">
        <f>IFERROR(VLOOKUP($D15,Sheet1!$A$2:$B$98,2,0),"")</f>
        <v/>
      </c>
      <c r="C15" s="89" t="str">
        <f>IFERROR(VLOOKUP($D15,'Tổng Đơn'!$A$5:$E$100,5,0),"")</f>
        <v/>
      </c>
      <c r="D15" s="48" t="s">
        <v>192</v>
      </c>
      <c r="E15" s="48"/>
      <c r="F15" s="53" t="str">
        <f>IF(AND($A15="",$A14&lt;&gt;""),"Tổng Cộng",IFERROR(VLOOKUP($D15,Sheet1!$A$2:$D$98,4,0),""))</f>
        <v/>
      </c>
      <c r="G15" s="54" t="str">
        <f>IF($A14=MAX($A$2:$A$50),SUM($G$2:$G14),IFERROR($F15*$E15,""))</f>
        <v/>
      </c>
      <c r="H15" s="92" t="str">
        <f t="shared" si="1"/>
        <v/>
      </c>
      <c r="K15" s="49" t="str">
        <f>IFERROR(VLOOKUP($D15,Sheet1!$A$2:$D$98,4,0),"")</f>
        <v/>
      </c>
    </row>
    <row r="16" spans="1:13" s="46" customFormat="1" ht="24.95" customHeight="1" x14ac:dyDescent="0.25">
      <c r="A16" s="51" t="str">
        <f t="shared" si="0"/>
        <v/>
      </c>
      <c r="B16" s="52" t="str">
        <f>IFERROR(VLOOKUP($D16,Sheet1!$A$2:$B$98,2,0),"")</f>
        <v/>
      </c>
      <c r="C16" s="89" t="str">
        <f>IFERROR(VLOOKUP($D16,'Tổng Đơn'!$A$5:$E$100,5,0),"")</f>
        <v/>
      </c>
      <c r="D16" s="48" t="s">
        <v>192</v>
      </c>
      <c r="E16" s="48"/>
      <c r="F16" s="53" t="str">
        <f>IF(AND($A16="",$A15&lt;&gt;""),"Tổng Cộng",IFERROR(VLOOKUP($D16,Sheet1!$A$2:$D$98,4,0),""))</f>
        <v/>
      </c>
      <c r="G16" s="54" t="str">
        <f>IF($A15=MAX($A$2:$A$50),SUM($G$2:$G15),IFERROR($F16*$E16,""))</f>
        <v/>
      </c>
      <c r="H16" s="92" t="str">
        <f t="shared" si="1"/>
        <v/>
      </c>
      <c r="K16" s="49" t="str">
        <f>IFERROR(VLOOKUP($D16,Sheet1!$A$2:$D$98,4,0),"")</f>
        <v/>
      </c>
    </row>
    <row r="17" spans="1:11" s="46" customFormat="1" ht="24.95" customHeight="1" x14ac:dyDescent="0.25">
      <c r="A17" s="51" t="str">
        <f t="shared" si="0"/>
        <v/>
      </c>
      <c r="B17" s="52" t="str">
        <f>IFERROR(VLOOKUP($D17,Sheet1!$A$2:$B$98,2,0),"")</f>
        <v/>
      </c>
      <c r="C17" s="89" t="str">
        <f>IFERROR(VLOOKUP($D17,'Tổng Đơn'!$A$5:$E$100,5,0),"")</f>
        <v/>
      </c>
      <c r="D17" s="48" t="s">
        <v>192</v>
      </c>
      <c r="E17" s="48"/>
      <c r="F17" s="53" t="str">
        <f>IF(AND($A17="",$A16&lt;&gt;""),"Tổng Cộng",IFERROR(VLOOKUP($D17,Sheet1!$A$2:$D$98,4,0),""))</f>
        <v/>
      </c>
      <c r="G17" s="54" t="str">
        <f>IF($A16=MAX($A$2:$A$50),SUM($G$2:$G16),IFERROR($F17*$E17,""))</f>
        <v/>
      </c>
      <c r="H17" s="92" t="str">
        <f t="shared" si="1"/>
        <v/>
      </c>
      <c r="K17" s="49" t="str">
        <f>IFERROR(VLOOKUP($D17,Sheet1!$A$2:$D$98,4,0),"")</f>
        <v/>
      </c>
    </row>
    <row r="18" spans="1:11" s="46" customFormat="1" ht="24.95" customHeight="1" x14ac:dyDescent="0.25">
      <c r="A18" s="51" t="str">
        <f t="shared" si="0"/>
        <v/>
      </c>
      <c r="B18" s="52" t="str">
        <f>IFERROR(VLOOKUP($D18,Sheet1!$A$2:$B$98,2,0),"")</f>
        <v/>
      </c>
      <c r="C18" s="89" t="str">
        <f>IFERROR(VLOOKUP($D18,'Tổng Đơn'!$A$5:$E$100,5,0),"")</f>
        <v/>
      </c>
      <c r="D18" s="48" t="s">
        <v>192</v>
      </c>
      <c r="E18" s="48"/>
      <c r="F18" s="53" t="str">
        <f>IF(AND($A18="",$A17&lt;&gt;""),"Tổng Cộng",IFERROR(VLOOKUP($D18,Sheet1!$A$2:$D$98,4,0),""))</f>
        <v/>
      </c>
      <c r="G18" s="54" t="str">
        <f>IF($A17=MAX($A$2:$A$50),SUM($G$2:$G17),IFERROR($F18*$E18,""))</f>
        <v/>
      </c>
      <c r="H18" s="92" t="str">
        <f t="shared" si="1"/>
        <v/>
      </c>
      <c r="K18" s="49" t="str">
        <f>IFERROR(VLOOKUP($D18,Sheet1!$A$2:$D$98,4,0),"")</f>
        <v/>
      </c>
    </row>
    <row r="19" spans="1:11" s="46" customFormat="1" ht="24.95" customHeight="1" x14ac:dyDescent="0.25">
      <c r="A19" s="51" t="str">
        <f t="shared" si="0"/>
        <v/>
      </c>
      <c r="B19" s="52" t="str">
        <f>IFERROR(VLOOKUP($D19,Sheet1!$A$2:$B$98,2,0),"")</f>
        <v/>
      </c>
      <c r="C19" s="89" t="str">
        <f>IFERROR(VLOOKUP($D19,'Tổng Đơn'!$A$5:$E$100,5,0),"")</f>
        <v/>
      </c>
      <c r="D19" s="48" t="s">
        <v>192</v>
      </c>
      <c r="E19" s="48"/>
      <c r="F19" s="53" t="str">
        <f>IF(AND($A19="",$A18&lt;&gt;""),"Tổng Cộng",IFERROR(VLOOKUP($D19,Sheet1!$A$2:$D$98,4,0),""))</f>
        <v/>
      </c>
      <c r="G19" s="54" t="str">
        <f>IF($A18=MAX($A$2:$A$50),SUM($G$2:$G18),IFERROR($F19*$E19,""))</f>
        <v/>
      </c>
      <c r="H19" s="92" t="str">
        <f t="shared" si="1"/>
        <v/>
      </c>
      <c r="K19" s="49" t="str">
        <f>IFERROR(VLOOKUP($D19,Sheet1!$A$2:$D$98,4,0),"")</f>
        <v/>
      </c>
    </row>
    <row r="20" spans="1:11" s="46" customFormat="1" ht="24.95" customHeight="1" x14ac:dyDescent="0.25">
      <c r="A20" s="51" t="str">
        <f t="shared" si="0"/>
        <v/>
      </c>
      <c r="B20" s="52" t="str">
        <f>IFERROR(VLOOKUP($D20,Sheet1!$A$2:$B$98,2,0),"")</f>
        <v/>
      </c>
      <c r="C20" s="89" t="str">
        <f>IFERROR(VLOOKUP($D20,'Tổng Đơn'!$A$5:$E$100,5,0),"")</f>
        <v/>
      </c>
      <c r="D20" s="48" t="s">
        <v>192</v>
      </c>
      <c r="E20" s="48"/>
      <c r="F20" s="53" t="str">
        <f>IF(AND($A20="",$A19&lt;&gt;""),"Tổng Cộng",IFERROR(VLOOKUP($D20,Sheet1!$A$2:$D$98,4,0),""))</f>
        <v/>
      </c>
      <c r="G20" s="54" t="str">
        <f>IF($A19=MAX($A$2:$A$50),SUM($G$2:$G19),IFERROR($F20*$E20,""))</f>
        <v/>
      </c>
      <c r="H20" s="92" t="str">
        <f t="shared" si="1"/>
        <v/>
      </c>
      <c r="K20" s="49" t="str">
        <f>IFERROR(VLOOKUP($D20,Sheet1!$A$2:$D$98,4,0),"")</f>
        <v/>
      </c>
    </row>
    <row r="21" spans="1:11" s="46" customFormat="1" ht="24.95" customHeight="1" x14ac:dyDescent="0.25">
      <c r="A21" s="51" t="str">
        <f t="shared" si="0"/>
        <v/>
      </c>
      <c r="B21" s="52" t="str">
        <f>IFERROR(VLOOKUP($D21,Sheet1!$A$2:$B$98,2,0),"")</f>
        <v/>
      </c>
      <c r="C21" s="89" t="str">
        <f>IFERROR(VLOOKUP($D21,'Tổng Đơn'!$A$5:$E$100,5,0),"")</f>
        <v/>
      </c>
      <c r="D21" s="48" t="s">
        <v>192</v>
      </c>
      <c r="E21" s="48"/>
      <c r="F21" s="53" t="str">
        <f>IF(AND($A21="",$A20&lt;&gt;""),"Tổng Cộng",IFERROR(VLOOKUP($D21,Sheet1!$A$2:$D$98,4,0),""))</f>
        <v/>
      </c>
      <c r="G21" s="54" t="str">
        <f>IF($A20=MAX($A$2:$A$50),SUM($G$2:$G20),IFERROR($F21*$E21,""))</f>
        <v/>
      </c>
      <c r="H21" s="92" t="str">
        <f t="shared" si="1"/>
        <v/>
      </c>
      <c r="K21" s="49"/>
    </row>
    <row r="22" spans="1:11" s="46" customFormat="1" ht="24.95" customHeight="1" x14ac:dyDescent="0.25">
      <c r="A22" s="51" t="str">
        <f t="shared" si="0"/>
        <v/>
      </c>
      <c r="B22" s="52" t="str">
        <f>IFERROR(VLOOKUP($D22,Sheet1!$A$2:$B$98,2,0),"")</f>
        <v/>
      </c>
      <c r="C22" s="89" t="str">
        <f>IFERROR(VLOOKUP($D22,'Tổng Đơn'!$A$5:$E$100,5,0),"")</f>
        <v/>
      </c>
      <c r="D22" s="48" t="s">
        <v>192</v>
      </c>
      <c r="E22" s="48"/>
      <c r="F22" s="53" t="str">
        <f>IF(AND($A22="",$A21&lt;&gt;""),"Tổng Cộng",IFERROR(VLOOKUP($D22,Sheet1!$A$2:$D$98,4,0),""))</f>
        <v/>
      </c>
      <c r="G22" s="54" t="str">
        <f>IF($A21=MAX($A$2:$A$50),SUM($G$2:$G21),IFERROR($F22*$E22,""))</f>
        <v/>
      </c>
      <c r="H22" s="92" t="str">
        <f t="shared" si="1"/>
        <v/>
      </c>
      <c r="K22" s="49"/>
    </row>
    <row r="23" spans="1:11" s="46" customFormat="1" ht="24.95" customHeight="1" x14ac:dyDescent="0.25">
      <c r="A23" s="51" t="str">
        <f t="shared" si="0"/>
        <v/>
      </c>
      <c r="B23" s="52" t="str">
        <f>IFERROR(VLOOKUP($D23,Sheet1!$A$2:$B$98,2,0),"")</f>
        <v/>
      </c>
      <c r="C23" s="89" t="str">
        <f>IFERROR(VLOOKUP($D23,'Tổng Đơn'!$A$5:$E$100,5,0),"")</f>
        <v/>
      </c>
      <c r="D23" s="48" t="s">
        <v>192</v>
      </c>
      <c r="E23" s="48"/>
      <c r="F23" s="53" t="str">
        <f>IF(AND($A23="",$A22&lt;&gt;""),"Tổng Cộng",IFERROR(VLOOKUP($D23,Sheet1!$A$2:$D$98,4,0),""))</f>
        <v/>
      </c>
      <c r="G23" s="54" t="str">
        <f>IF($A22=MAX($A$2:$A$50),SUM($G$2:$G22),IFERROR($F23*$E23,""))</f>
        <v/>
      </c>
      <c r="H23" s="92" t="str">
        <f t="shared" si="1"/>
        <v/>
      </c>
      <c r="K23" s="49">
        <v>1</v>
      </c>
    </row>
    <row r="24" spans="1:11" s="46" customFormat="1" ht="24.95" customHeight="1" x14ac:dyDescent="0.25">
      <c r="A24" s="51" t="str">
        <f t="shared" si="0"/>
        <v/>
      </c>
      <c r="B24" s="52" t="str">
        <f>IFERROR(VLOOKUP($D24,Sheet1!$A$2:$B$98,2,0),"")</f>
        <v/>
      </c>
      <c r="C24" s="89" t="str">
        <f>IFERROR(VLOOKUP($D24,'Tổng Đơn'!$A$5:$E$100,5,0),"")</f>
        <v/>
      </c>
      <c r="D24" s="48" t="s">
        <v>192</v>
      </c>
      <c r="E24" s="48"/>
      <c r="F24" s="53" t="str">
        <f>IF(AND($A24="",$A23&lt;&gt;""),"Tổng Cộng",IFERROR(VLOOKUP($D24,Sheet1!$A$2:$D$98,4,0),""))</f>
        <v/>
      </c>
      <c r="G24" s="54" t="str">
        <f>IF($A23=MAX($A$2:$A$50),SUM($G$2:$G23),IFERROR($F24*$E24,""))</f>
        <v/>
      </c>
      <c r="H24" s="92" t="str">
        <f t="shared" si="1"/>
        <v/>
      </c>
      <c r="K24" s="49">
        <v>1</v>
      </c>
    </row>
    <row r="25" spans="1:11" s="46" customFormat="1" ht="24.95" customHeight="1" x14ac:dyDescent="0.25">
      <c r="A25" s="51" t="str">
        <f t="shared" si="0"/>
        <v/>
      </c>
      <c r="B25" s="52" t="str">
        <f>IFERROR(VLOOKUP($D25,Sheet1!$A$2:$B$98,2,0),"")</f>
        <v/>
      </c>
      <c r="C25" s="89" t="str">
        <f>IFERROR(VLOOKUP($D25,'Tổng Đơn'!$A$5:$E$100,5,0),"")</f>
        <v/>
      </c>
      <c r="D25" s="48" t="s">
        <v>192</v>
      </c>
      <c r="E25" s="48"/>
      <c r="F25" s="53" t="str">
        <f>IF(AND($A25="",$A24&lt;&gt;""),"Tổng Cộng",IFERROR(VLOOKUP($D25,Sheet1!$A$2:$D$98,4,0),""))</f>
        <v/>
      </c>
      <c r="G25" s="54" t="str">
        <f>IF($A24=MAX($A$2:$A$50),SUM($G$2:$G24),IFERROR($F25*$E25,""))</f>
        <v/>
      </c>
      <c r="H25" s="92" t="str">
        <f t="shared" si="1"/>
        <v/>
      </c>
      <c r="K25" s="49">
        <v>1</v>
      </c>
    </row>
    <row r="26" spans="1:11" s="46" customFormat="1" ht="24.95" customHeight="1" x14ac:dyDescent="0.25">
      <c r="A26" s="51" t="str">
        <f t="shared" si="0"/>
        <v/>
      </c>
      <c r="B26" s="52" t="str">
        <f>IFERROR(VLOOKUP($D26,Sheet1!$A$2:$B$98,2,0),"")</f>
        <v/>
      </c>
      <c r="C26" s="89" t="str">
        <f>IFERROR(VLOOKUP($D26,'Tổng Đơn'!$A$5:$E$100,5,0),"")</f>
        <v/>
      </c>
      <c r="D26" s="48" t="s">
        <v>192</v>
      </c>
      <c r="E26" s="48"/>
      <c r="F26" s="53" t="str">
        <f>IF(AND($A26="",$A25&lt;&gt;""),"Tổng Cộng",IFERROR(VLOOKUP($D26,Sheet1!$A$2:$D$98,4,0),""))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IFERROR(VLOOKUP($D27,Sheet1!$A$2:$B$98,2,0),"")</f>
        <v/>
      </c>
      <c r="C27" s="89" t="str">
        <f>IFERROR(VLOOKUP($D27,'Tổng Đơn'!$A$5:$E$100,5,0),"")</f>
        <v/>
      </c>
      <c r="D27" s="48" t="s">
        <v>192</v>
      </c>
      <c r="E27" s="48"/>
      <c r="F27" s="53" t="str">
        <f>IF(AND($A27="",$A26&lt;&gt;""),"Tổng Cộng",IFERROR(VLOOKUP($D27,Sheet1!$A$2:$D$98,4,0),""))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IFERROR(VLOOKUP($D28,Sheet1!$A$2:$B$98,2,0),"")</f>
        <v/>
      </c>
      <c r="C28" s="89" t="str">
        <f>IFERROR(VLOOKUP($D28,'Tổng Đơn'!$A$5:$E$100,5,0),"")</f>
        <v/>
      </c>
      <c r="D28" s="48" t="s">
        <v>192</v>
      </c>
      <c r="E28" s="48"/>
      <c r="F28" s="53" t="str">
        <f>IF(AND($A28="",$A27&lt;&gt;""),"Tổng Cộng",IFERROR(VLOOKUP($D28,Sheet1!$A$2:$D$98,4,0),""))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IFERROR(VLOOKUP($D29,Sheet1!$A$2:$B$98,2,0),"")</f>
        <v/>
      </c>
      <c r="C29" s="89" t="str">
        <f>IFERROR(VLOOKUP($D29,'Tổng Đơn'!$A$5:$E$100,5,0),"")</f>
        <v/>
      </c>
      <c r="D29" s="48" t="s">
        <v>192</v>
      </c>
      <c r="E29" s="48"/>
      <c r="F29" s="53" t="str">
        <f>IF(AND($A29="",$A28&lt;&gt;""),"Tổng Cộng",IFERROR(VLOOKUP($D29,Sheet1!$A$2:$D$98,4,0),""))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IFERROR(VLOOKUP($D30,Sheet1!$A$2:$B$98,2,0),"")</f>
        <v/>
      </c>
      <c r="C30" s="89" t="str">
        <f>IFERROR(VLOOKUP($D30,'Tổng Đơn'!$A$5:$E$100,5,0),"")</f>
        <v/>
      </c>
      <c r="D30" s="48" t="s">
        <v>192</v>
      </c>
      <c r="E30" s="48"/>
      <c r="F30" s="53" t="str">
        <f>IF(AND($A30="",$A29&lt;&gt;""),"Tổng Cộng",IFERROR(VLOOKUP($D30,Sheet1!$A$2:$D$98,4,0),""))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IFERROR(VLOOKUP($D31,Sheet1!$A$2:$B$98,2,0),"")</f>
        <v/>
      </c>
      <c r="C31" s="89" t="str">
        <f>IFERROR(VLOOKUP($D31,'Tổng Đơn'!$A$5:$E$100,5,0),"")</f>
        <v/>
      </c>
      <c r="D31" s="48" t="s">
        <v>192</v>
      </c>
      <c r="E31" s="48"/>
      <c r="F31" s="53" t="str">
        <f>IF(AND($A31="",$A30&lt;&gt;""),"Tổng Cộng",IFERROR(VLOOKUP($D31,Sheet1!$A$2:$D$98,4,0),""))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Cộng",IFERROR(VLOOKUP($D32,Sheet1!$A$2:$D$98,4,0),""))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F3">
    <cfRule type="expression" dxfId="107" priority="12">
      <formula>$A2=MAX($A$2:$A$31)</formula>
    </cfRule>
  </conditionalFormatting>
  <conditionalFormatting sqref="D2:D3">
    <cfRule type="expression" dxfId="106" priority="11">
      <formula>AND($D2="",$E2&lt;&gt;"")</formula>
    </cfRule>
  </conditionalFormatting>
  <conditionalFormatting sqref="E2:E3">
    <cfRule type="expression" dxfId="105" priority="10">
      <formula>AND($E2="",$D2&lt;&gt;"")</formula>
    </cfRule>
  </conditionalFormatting>
  <conditionalFormatting sqref="C2:C3">
    <cfRule type="expression" dxfId="104" priority="9">
      <formula>AND($D2="",$E2&lt;&gt;"")</formula>
    </cfRule>
  </conditionalFormatting>
  <conditionalFormatting sqref="A10:G31 A4:F9 G2:G9">
    <cfRule type="expression" dxfId="103" priority="8">
      <formula>$A1=MAX($A$2:$A$31)</formula>
    </cfRule>
  </conditionalFormatting>
  <conditionalFormatting sqref="D4:D31">
    <cfRule type="expression" dxfId="102" priority="7">
      <formula>AND($D4="",$E4&lt;&gt;"")</formula>
    </cfRule>
  </conditionalFormatting>
  <conditionalFormatting sqref="E4:E31">
    <cfRule type="expression" dxfId="101" priority="6">
      <formula>AND($E4="",$D4&lt;&gt;"")</formula>
    </cfRule>
  </conditionalFormatting>
  <conditionalFormatting sqref="C4:C31">
    <cfRule type="expression" dxfId="100" priority="5">
      <formula>AND($D4="",$E4&lt;&gt;"")</formula>
    </cfRule>
  </conditionalFormatting>
  <conditionalFormatting sqref="A32:G32">
    <cfRule type="expression" dxfId="99" priority="4">
      <formula>$A31=MAX($A$2:$A$31)</formula>
    </cfRule>
  </conditionalFormatting>
  <conditionalFormatting sqref="D32">
    <cfRule type="expression" dxfId="98" priority="3">
      <formula>AND($D32="",$E32&lt;&gt;"")</formula>
    </cfRule>
  </conditionalFormatting>
  <conditionalFormatting sqref="E32">
    <cfRule type="expression" dxfId="97" priority="2">
      <formula>AND($E32="",$D32&lt;&gt;"")</formula>
    </cfRule>
  </conditionalFormatting>
  <conditionalFormatting sqref="C32">
    <cfRule type="expression" dxfId="96"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1"/>
  </sheetPr>
  <dimension ref="A1:M52"/>
  <sheetViews>
    <sheetView zoomScaleNormal="100" workbookViewId="0">
      <pane ySplit="1" topLeftCell="A2" activePane="bottomLeft" state="frozen"/>
      <selection activeCell="H16" sqref="H16"/>
      <selection pane="bottomLeft" activeCell="H2" sqref="H2"/>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3" width="10.140625" style="14" bestFit="1" customWidth="1"/>
    <col min="14" max="16384" width="9.140625" style="14"/>
  </cols>
  <sheetData>
    <row r="1" spans="1:13" s="45" customFormat="1" ht="39" customHeight="1" x14ac:dyDescent="0.25">
      <c r="A1" s="47" t="s">
        <v>0</v>
      </c>
      <c r="B1" s="47" t="s">
        <v>17</v>
      </c>
      <c r="C1" s="87" t="s">
        <v>55</v>
      </c>
      <c r="D1" s="91" t="s">
        <v>118</v>
      </c>
      <c r="E1" s="91" t="s">
        <v>16</v>
      </c>
      <c r="F1" s="47" t="s">
        <v>18</v>
      </c>
      <c r="G1" s="47" t="s">
        <v>19</v>
      </c>
      <c r="H1" s="157" t="s">
        <v>228</v>
      </c>
      <c r="I1" s="55">
        <f>SUBTOTAL(9,H2:H31)</f>
        <v>2.5</v>
      </c>
      <c r="K1" s="47" t="s">
        <v>18</v>
      </c>
    </row>
    <row r="2" spans="1:13" s="46" customFormat="1" ht="24.95" customHeight="1" x14ac:dyDescent="0.25">
      <c r="A2" s="51">
        <f>IF(OR(SUM($A1,$D2&lt;&gt;"")=0,$D2=""),"",SUM($A1,$D2&lt;&gt;""))</f>
        <v>1</v>
      </c>
      <c r="B2" s="52" t="str">
        <f>IFERROR(VLOOKUP($D2,Sheet1!$A$2:$B$98,2,0),"")</f>
        <v>Cá Viên TVP</v>
      </c>
      <c r="C2" s="88">
        <f>IFERROR(VLOOKUP($D2,'Tổng Đơn'!$A$5:$E$100,5,0),"")</f>
        <v>0.5</v>
      </c>
      <c r="D2" s="48">
        <v>29</v>
      </c>
      <c r="E2" s="48">
        <v>1</v>
      </c>
      <c r="F2" s="53">
        <f>IFERROR(VLOOKUP($D2,Sheet1!$A$2:$D$98,4,0),"")</f>
        <v>32000</v>
      </c>
      <c r="G2" s="54">
        <f>IF($A1=MAX($A$2:$A$50),SUM($G1:$G$2),IFERROR($F2*$E2,""))</f>
        <v>32000</v>
      </c>
      <c r="H2" s="92">
        <f>IFERROR(E2*C2,"")</f>
        <v>0.5</v>
      </c>
      <c r="I2" s="46" t="str">
        <f>IF(SUMPRODUCT(($E$2:$E$12),($K$2:$K$12))&gt;=200000,"KM 15%",IF(SUMPRODUCT(($E$2:$E$12),($K$2:$K$12))&gt;=100000,"KM 10%",""))</f>
        <v>KM 10%</v>
      </c>
      <c r="K2" s="50">
        <f>IFERROR(VLOOKUP($D2,Sheet1!$A$2:$D$98,4,0),"")</f>
        <v>32000</v>
      </c>
    </row>
    <row r="3" spans="1:13" s="46" customFormat="1" ht="24.95" customHeight="1" x14ac:dyDescent="0.25">
      <c r="A3" s="51">
        <f t="shared" ref="A3:A31" si="0">IF(OR(SUM($A2,$D3&lt;&gt;"")=0,$D3=""),"",SUM($A2,$D3&lt;&gt;""))</f>
        <v>2</v>
      </c>
      <c r="B3" s="52" t="str">
        <f>IFERROR(VLOOKUP($D3,Sheet1!$A$2:$B$98,2,0),"")</f>
        <v>XX MUNICH (10 Cây)</v>
      </c>
      <c r="C3" s="89">
        <f>IFERROR(VLOOKUP($D3,'Tổng Đơn'!$A$5:$E$100,5,0),"")</f>
        <v>0.5</v>
      </c>
      <c r="D3" s="48">
        <v>39</v>
      </c>
      <c r="E3" s="48">
        <v>1</v>
      </c>
      <c r="F3" s="53">
        <f>IF(AND($A3="",$A2&lt;&gt;""),"Tổng Cộng",IFERROR(VLOOKUP($D3,Sheet1!$A$2:$D$98,4,0),""))</f>
        <v>44000</v>
      </c>
      <c r="G3" s="54">
        <f>IF($A2=MAX($A$2:$A$50),SUM($G$2:$G2),IFERROR($F3*$E3,""))</f>
        <v>44000</v>
      </c>
      <c r="H3" s="92">
        <f t="shared" ref="H3:H31" si="1">IFERROR(E3*C3,"")</f>
        <v>0.5</v>
      </c>
      <c r="K3" s="49">
        <f>IFERROR(VLOOKUP($D3,Sheet1!$A$2:$D$98,4,0),"")</f>
        <v>44000</v>
      </c>
    </row>
    <row r="4" spans="1:13" s="46" customFormat="1" ht="24.95" customHeight="1" x14ac:dyDescent="0.25">
      <c r="A4" s="51">
        <f t="shared" si="0"/>
        <v>3</v>
      </c>
      <c r="B4" s="52" t="str">
        <f>IFERROR(VLOOKUP($D4,Sheet1!$A$2:$B$98,2,0),"")</f>
        <v>Khoai tây Simplot</v>
      </c>
      <c r="C4" s="89">
        <f>IFERROR(VLOOKUP($D4,'Tổng Đơn'!$A$5:$E$100,5,0),"")</f>
        <v>1</v>
      </c>
      <c r="D4" s="48">
        <v>55</v>
      </c>
      <c r="E4" s="48">
        <v>1</v>
      </c>
      <c r="F4" s="53">
        <f>IF(AND($A4="",$A3&lt;&gt;""),"Tổng Cộng",IFERROR(VLOOKUP($D4,Sheet1!$A$2:$D$98,4,0),""))</f>
        <v>49000</v>
      </c>
      <c r="G4" s="54">
        <f>IF($A3=MAX($A$2:$A$50),SUM($G$2:$G3),IFERROR($F4*$E4,""))</f>
        <v>49000</v>
      </c>
      <c r="H4" s="92">
        <f t="shared" si="1"/>
        <v>1</v>
      </c>
      <c r="K4" s="49">
        <f>IFERROR(VLOOKUP($D4,Sheet1!$A$2:$D$98,4,0),"")</f>
        <v>49000</v>
      </c>
    </row>
    <row r="5" spans="1:13" s="46" customFormat="1" ht="24.95" customHeight="1" x14ac:dyDescent="0.25">
      <c r="A5" s="51">
        <f t="shared" si="0"/>
        <v>4</v>
      </c>
      <c r="B5" s="52" t="str">
        <f>IFERROR(VLOOKUP($D5,Sheet1!$A$2:$B$98,2,0),"")</f>
        <v xml:space="preserve">Viên thả lẩu Cam-Trứng cá </v>
      </c>
      <c r="C5" s="89">
        <f>IFERROR(VLOOKUP($D5,'Tổng Đơn'!$A$5:$E$100,5,0),"")</f>
        <v>0.5</v>
      </c>
      <c r="D5" s="48">
        <v>62</v>
      </c>
      <c r="E5" s="48">
        <v>1</v>
      </c>
      <c r="F5" s="53">
        <f>IF(AND($A5="",$A4&lt;&gt;""),"Tổng Cộng",IFERROR(VLOOKUP($D5,Sheet1!$A$2:$D$98,4,0),""))</f>
        <v>48000</v>
      </c>
      <c r="G5" s="54">
        <f>IF($A4=MAX($A$2:$A$50),SUM($G$2:$G4),IFERROR($F5*$E5,""))</f>
        <v>48000</v>
      </c>
      <c r="H5" s="92">
        <f t="shared" si="1"/>
        <v>0.5</v>
      </c>
      <c r="K5" s="49">
        <f>IFERROR(VLOOKUP($D5,Sheet1!$A$2:$D$98,4,0),"")</f>
        <v>48000</v>
      </c>
    </row>
    <row r="6" spans="1:13" s="46" customFormat="1" ht="24.95" customHeight="1" x14ac:dyDescent="0.25">
      <c r="A6" s="51" t="str">
        <f t="shared" si="0"/>
        <v/>
      </c>
      <c r="B6" s="52" t="str">
        <f>IFERROR(VLOOKUP($D6,Sheet1!$A$2:$B$98,2,0),"")</f>
        <v/>
      </c>
      <c r="C6" s="89" t="str">
        <f>IFERROR(VLOOKUP($D6,'Tổng Đơn'!$A$5:$E$100,5,0),"")</f>
        <v/>
      </c>
      <c r="D6" s="48" t="s">
        <v>192</v>
      </c>
      <c r="E6" s="48"/>
      <c r="F6" s="53" t="str">
        <f>IF(AND($A6="",$A5&lt;&gt;""),"Tổng Cộng",IFERROR(VLOOKUP($D6,Sheet1!$A$2:$D$98,4,0),""))</f>
        <v>Tổng Cộng</v>
      </c>
      <c r="G6" s="54">
        <f>IF($A5=MAX($A$2:$A$50),SUM($G$2:$G5),IFERROR($F6*$E6,""))</f>
        <v>173000</v>
      </c>
      <c r="H6" s="92" t="str">
        <f t="shared" si="1"/>
        <v/>
      </c>
      <c r="I6" s="175"/>
      <c r="K6" s="49"/>
      <c r="L6" s="184"/>
      <c r="M6" s="176"/>
    </row>
    <row r="7" spans="1:13" s="46" customFormat="1" ht="24.95" customHeight="1" x14ac:dyDescent="0.25">
      <c r="A7" s="51" t="str">
        <f t="shared" si="0"/>
        <v/>
      </c>
      <c r="B7" s="52" t="str">
        <f>IFERROR(VLOOKUP($D7,Sheet1!$A$2:$B$98,2,0),"")</f>
        <v/>
      </c>
      <c r="C7" s="89" t="str">
        <f>IFERROR(VLOOKUP($D7,'Tổng Đơn'!$A$5:$E$100,5,0),"")</f>
        <v/>
      </c>
      <c r="D7" s="48" t="s">
        <v>192</v>
      </c>
      <c r="E7" s="48"/>
      <c r="F7" s="53" t="str">
        <f>IF(AND($A7="",$A6&lt;&gt;""),"Tổng Cộng",IFERROR(VLOOKUP($D7,Sheet1!$A$2:$D$98,4,0),""))</f>
        <v/>
      </c>
      <c r="G7" s="54" t="str">
        <f>IF($A6=MAX($A$2:$A$50),SUM($G$2:$G6),IFERROR($F7*$E7,""))</f>
        <v/>
      </c>
      <c r="H7" s="92" t="str">
        <f t="shared" si="1"/>
        <v/>
      </c>
      <c r="K7" s="49"/>
    </row>
    <row r="8" spans="1:13" s="46" customFormat="1" ht="24.95" customHeight="1" x14ac:dyDescent="0.25">
      <c r="A8" s="51" t="str">
        <f t="shared" si="0"/>
        <v/>
      </c>
      <c r="B8" s="52" t="str">
        <f>IFERROR(VLOOKUP($D8,Sheet1!$A$2:$B$98,2,0),"")</f>
        <v/>
      </c>
      <c r="C8" s="89" t="str">
        <f>IFERROR(VLOOKUP($D8,'Tổng Đơn'!$A$5:$E$100,5,0),"")</f>
        <v/>
      </c>
      <c r="D8" s="48" t="s">
        <v>192</v>
      </c>
      <c r="E8" s="48"/>
      <c r="F8" s="53" t="str">
        <f>IF(AND($A8="",$A7&lt;&gt;""),"Tổng Cộng",IFERROR(VLOOKUP($D8,Sheet1!$A$2:$D$98,4,0),""))</f>
        <v/>
      </c>
      <c r="G8" s="54" t="str">
        <f>IF($A7=MAX($A$2:$A$50),SUM($G$2:$G7),IFERROR($F8*$E8,""))</f>
        <v/>
      </c>
      <c r="H8" s="92" t="str">
        <f t="shared" si="1"/>
        <v/>
      </c>
      <c r="K8" s="49" t="str">
        <f>IFERROR(VLOOKUP($D8,Sheet1!$A$2:$D$98,4,0),"")</f>
        <v/>
      </c>
      <c r="L8" s="185"/>
    </row>
    <row r="9" spans="1:13" s="46" customFormat="1" ht="24.95" customHeight="1" x14ac:dyDescent="0.25">
      <c r="A9" s="51" t="str">
        <f t="shared" si="0"/>
        <v/>
      </c>
      <c r="B9" s="52" t="str">
        <f>IFERROR(VLOOKUP($D9,Sheet1!$A$2:$B$98,2,0),"")</f>
        <v/>
      </c>
      <c r="C9" s="89" t="str">
        <f>IFERROR(VLOOKUP($D9,'Tổng Đơn'!$A$5:$E$100,5,0),"")</f>
        <v/>
      </c>
      <c r="D9" s="48" t="s">
        <v>192</v>
      </c>
      <c r="E9" s="48"/>
      <c r="F9" s="53" t="str">
        <f>IF(AND($A9="",$A8&lt;&gt;""),"Tổng Cộng",IFERROR(VLOOKUP($D9,Sheet1!$A$2:$D$98,4,0),""))</f>
        <v/>
      </c>
      <c r="G9" s="54" t="str">
        <f>IF($A8=MAX($A$2:$A$50),SUM($G$2:$G8),IFERROR($F9*$E9,""))</f>
        <v/>
      </c>
      <c r="H9" s="92" t="str">
        <f t="shared" si="1"/>
        <v/>
      </c>
      <c r="K9" s="49" t="str">
        <f>IFERROR(VLOOKUP($D9,Sheet1!$A$2:$D$98,4,0),"")</f>
        <v/>
      </c>
    </row>
    <row r="10" spans="1:13" s="46" customFormat="1" ht="24.95" customHeight="1" x14ac:dyDescent="0.25">
      <c r="A10" s="51" t="str">
        <f t="shared" si="0"/>
        <v/>
      </c>
      <c r="B10" s="52" t="str">
        <f>IFERROR(VLOOKUP($D10,Sheet1!$A$2:$B$98,2,0),"")</f>
        <v/>
      </c>
      <c r="C10" s="89" t="str">
        <f>IFERROR(VLOOKUP($D10,'Tổng Đơn'!$A$5:$E$100,5,0),"")</f>
        <v/>
      </c>
      <c r="D10" s="48" t="s">
        <v>192</v>
      </c>
      <c r="E10" s="48"/>
      <c r="F10" s="53" t="str">
        <f>IF(AND($A10="",$A9&lt;&gt;""),"Tổng Cộng",IFERROR(VLOOKUP($D10,Sheet1!$A$2:$D$98,4,0),""))</f>
        <v/>
      </c>
      <c r="G10" s="54" t="str">
        <f>IF($A9=MAX($A$2:$A$50),SUM($G$2:$G9),IFERROR($F10*$E10,""))</f>
        <v/>
      </c>
      <c r="H10" s="92" t="str">
        <f t="shared" si="1"/>
        <v/>
      </c>
      <c r="K10" s="49" t="str">
        <f>IFERROR(VLOOKUP($D10,Sheet1!$A$2:$D$98,4,0),"")</f>
        <v/>
      </c>
    </row>
    <row r="11" spans="1:13" s="46" customFormat="1" ht="24.95" customHeight="1" x14ac:dyDescent="0.25">
      <c r="A11" s="51" t="str">
        <f t="shared" si="0"/>
        <v/>
      </c>
      <c r="B11" s="52" t="str">
        <f>IFERROR(VLOOKUP($D11,Sheet1!$A$2:$B$98,2,0),"")</f>
        <v/>
      </c>
      <c r="C11" s="89" t="str">
        <f>IFERROR(VLOOKUP($D11,'Tổng Đơn'!$A$5:$E$100,5,0),"")</f>
        <v/>
      </c>
      <c r="D11" s="48" t="s">
        <v>192</v>
      </c>
      <c r="E11" s="48"/>
      <c r="F11" s="53" t="str">
        <f>IF(AND($A11="",$A10&lt;&gt;""),"Tổng Cộng",IFERROR(VLOOKUP($D11,Sheet1!$A$2:$D$98,4,0),""))</f>
        <v/>
      </c>
      <c r="G11" s="54" t="str">
        <f>IF($A10=MAX($A$2:$A$50),SUM($G$2:$G10),IFERROR($F11*$E11,""))</f>
        <v/>
      </c>
      <c r="H11" s="92" t="str">
        <f t="shared" si="1"/>
        <v/>
      </c>
      <c r="K11" s="49" t="str">
        <f>IFERROR(VLOOKUP($D11,Sheet1!$A$2:$D$98,4,0),"")</f>
        <v/>
      </c>
    </row>
    <row r="12" spans="1:13" s="46" customFormat="1" ht="24.95" customHeight="1" x14ac:dyDescent="0.25">
      <c r="A12" s="51" t="str">
        <f t="shared" si="0"/>
        <v/>
      </c>
      <c r="B12" s="52" t="str">
        <f>IFERROR(VLOOKUP($D12,Sheet1!$A$2:$B$98,2,0),"")</f>
        <v/>
      </c>
      <c r="C12" s="89" t="str">
        <f>IFERROR(VLOOKUP($D12,'Tổng Đơn'!$A$5:$E$100,5,0),"")</f>
        <v/>
      </c>
      <c r="D12" s="48" t="s">
        <v>192</v>
      </c>
      <c r="E12" s="48"/>
      <c r="F12" s="53" t="str">
        <f>IF(AND($A12="",$A11&lt;&gt;""),"Tổng Cộng",IFERROR(VLOOKUP($D12,Sheet1!$A$2:$D$98,4,0),""))</f>
        <v/>
      </c>
      <c r="G12" s="54" t="str">
        <f>IF($A11=MAX($A$2:$A$50),SUM($G$2:$G11),IFERROR($F12*$E12,""))</f>
        <v/>
      </c>
      <c r="H12" s="92" t="str">
        <f t="shared" si="1"/>
        <v/>
      </c>
      <c r="K12" s="49" t="str">
        <f>IFERROR(VLOOKUP($D12,Sheet1!$A$2:$D$98,4,0),"")</f>
        <v/>
      </c>
    </row>
    <row r="13" spans="1:13" s="46" customFormat="1" ht="24.95" customHeight="1" x14ac:dyDescent="0.25">
      <c r="A13" s="51" t="str">
        <f t="shared" si="0"/>
        <v/>
      </c>
      <c r="B13" s="52" t="str">
        <f>IFERROR(VLOOKUP($D13,Sheet1!$A$2:$B$98,2,0),"")</f>
        <v/>
      </c>
      <c r="C13" s="89" t="str">
        <f>IFERROR(VLOOKUP($D13,'Tổng Đơn'!$A$5:$E$100,5,0),"")</f>
        <v/>
      </c>
      <c r="D13" s="48" t="s">
        <v>192</v>
      </c>
      <c r="E13" s="48"/>
      <c r="F13" s="53" t="str">
        <f>IF(AND($A13="",$A12&lt;&gt;""),"Tổng Cộng",IFERROR(VLOOKUP($D13,Sheet1!$A$2:$D$98,4,0),""))</f>
        <v/>
      </c>
      <c r="G13" s="54" t="str">
        <f>IF($A12=MAX($A$2:$A$50),SUM($G$2:$G12),IFERROR($F13*$E13,""))</f>
        <v/>
      </c>
      <c r="H13" s="92" t="str">
        <f t="shared" si="1"/>
        <v/>
      </c>
      <c r="K13" s="49" t="str">
        <f>IFERROR(VLOOKUP($D13,Sheet1!$A$2:$D$98,4,0),"")</f>
        <v/>
      </c>
    </row>
    <row r="14" spans="1:13" s="46" customFormat="1" ht="24.95" customHeight="1" x14ac:dyDescent="0.25">
      <c r="A14" s="51" t="str">
        <f t="shared" si="0"/>
        <v/>
      </c>
      <c r="B14" s="52" t="str">
        <f>IFERROR(VLOOKUP($D14,Sheet1!$A$2:$B$98,2,0),"")</f>
        <v/>
      </c>
      <c r="C14" s="89" t="str">
        <f>IFERROR(VLOOKUP($D14,'Tổng Đơn'!$A$5:$E$100,5,0),"")</f>
        <v/>
      </c>
      <c r="D14" s="48" t="s">
        <v>192</v>
      </c>
      <c r="E14" s="48"/>
      <c r="F14" s="53" t="str">
        <f>IF(AND($A14="",$A13&lt;&gt;""),"Tổng Cộng",IFERROR(VLOOKUP($D14,Sheet1!$A$2:$D$98,4,0),""))</f>
        <v/>
      </c>
      <c r="G14" s="54" t="str">
        <f>IF($A13=MAX($A$2:$A$50),SUM($G$2:$G13),IFERROR($F14*$E14,""))</f>
        <v/>
      </c>
      <c r="H14" s="92" t="str">
        <f t="shared" si="1"/>
        <v/>
      </c>
      <c r="K14" s="49" t="str">
        <f>IFERROR(VLOOKUP($D14,Sheet1!$A$2:$D$98,4,0),"")</f>
        <v/>
      </c>
    </row>
    <row r="15" spans="1:13" s="46" customFormat="1" ht="24.95" customHeight="1" x14ac:dyDescent="0.25">
      <c r="A15" s="51" t="str">
        <f t="shared" si="0"/>
        <v/>
      </c>
      <c r="B15" s="52" t="str">
        <f>IFERROR(VLOOKUP($D15,Sheet1!$A$2:$B$98,2,0),"")</f>
        <v/>
      </c>
      <c r="C15" s="89" t="str">
        <f>IFERROR(VLOOKUP($D15,'Tổng Đơn'!$A$5:$E$100,5,0),"")</f>
        <v/>
      </c>
      <c r="D15" s="48" t="s">
        <v>192</v>
      </c>
      <c r="E15" s="48"/>
      <c r="F15" s="53" t="str">
        <f>IF(AND($A15="",$A14&lt;&gt;""),"Tổng Cộng",IFERROR(VLOOKUP($D15,Sheet1!$A$2:$D$98,4,0),""))</f>
        <v/>
      </c>
      <c r="G15" s="54" t="str">
        <f>IF($A14=MAX($A$2:$A$50),SUM($G$2:$G14),IFERROR($F15*$E15,""))</f>
        <v/>
      </c>
      <c r="H15" s="92" t="str">
        <f t="shared" si="1"/>
        <v/>
      </c>
      <c r="K15" s="49" t="str">
        <f>IFERROR(VLOOKUP($D15,Sheet1!$A$2:$D$98,4,0),"")</f>
        <v/>
      </c>
    </row>
    <row r="16" spans="1:13" s="46" customFormat="1" ht="24.95" customHeight="1" x14ac:dyDescent="0.25">
      <c r="A16" s="51" t="str">
        <f t="shared" si="0"/>
        <v/>
      </c>
      <c r="B16" s="52" t="str">
        <f>IFERROR(VLOOKUP($D16,Sheet1!$A$2:$B$98,2,0),"")</f>
        <v/>
      </c>
      <c r="C16" s="89" t="str">
        <f>IFERROR(VLOOKUP($D16,'Tổng Đơn'!$A$5:$E$100,5,0),"")</f>
        <v/>
      </c>
      <c r="D16" s="48" t="s">
        <v>192</v>
      </c>
      <c r="E16" s="48"/>
      <c r="F16" s="53" t="str">
        <f>IF(AND($A16="",$A15&lt;&gt;""),"Tổng Cộng",IFERROR(VLOOKUP($D16,Sheet1!$A$2:$D$98,4,0),""))</f>
        <v/>
      </c>
      <c r="G16" s="54" t="str">
        <f>IF($A15=MAX($A$2:$A$50),SUM($G$2:$G15),IFERROR($F16*$E16,""))</f>
        <v/>
      </c>
      <c r="H16" s="92" t="str">
        <f t="shared" si="1"/>
        <v/>
      </c>
      <c r="K16" s="49" t="str">
        <f>IFERROR(VLOOKUP($D16,Sheet1!$A$2:$D$98,4,0),"")</f>
        <v/>
      </c>
    </row>
    <row r="17" spans="1:11" s="46" customFormat="1" ht="24.95" customHeight="1" x14ac:dyDescent="0.25">
      <c r="A17" s="51" t="str">
        <f t="shared" si="0"/>
        <v/>
      </c>
      <c r="B17" s="52" t="str">
        <f>IFERROR(VLOOKUP($D17,Sheet1!$A$2:$B$98,2,0),"")</f>
        <v/>
      </c>
      <c r="C17" s="89" t="str">
        <f>IFERROR(VLOOKUP($D17,'Tổng Đơn'!$A$5:$E$100,5,0),"")</f>
        <v/>
      </c>
      <c r="D17" s="48" t="s">
        <v>192</v>
      </c>
      <c r="E17" s="48"/>
      <c r="F17" s="53" t="str">
        <f>IF(AND($A17="",$A16&lt;&gt;""),"Tổng Cộng",IFERROR(VLOOKUP($D17,Sheet1!$A$2:$D$98,4,0),""))</f>
        <v/>
      </c>
      <c r="G17" s="54" t="str">
        <f>IF($A16=MAX($A$2:$A$50),SUM($G$2:$G16),IFERROR($F17*$E17,""))</f>
        <v/>
      </c>
      <c r="H17" s="92" t="str">
        <f t="shared" si="1"/>
        <v/>
      </c>
      <c r="K17" s="49" t="str">
        <f>IFERROR(VLOOKUP($D17,Sheet1!$A$2:$D$98,4,0),"")</f>
        <v/>
      </c>
    </row>
    <row r="18" spans="1:11" s="46" customFormat="1" ht="24.95" customHeight="1" x14ac:dyDescent="0.25">
      <c r="A18" s="51" t="str">
        <f t="shared" si="0"/>
        <v/>
      </c>
      <c r="B18" s="52" t="str">
        <f>IFERROR(VLOOKUP($D18,Sheet1!$A$2:$B$98,2,0),"")</f>
        <v/>
      </c>
      <c r="C18" s="89" t="str">
        <f>IFERROR(VLOOKUP($D18,'Tổng Đơn'!$A$5:$E$100,5,0),"")</f>
        <v/>
      </c>
      <c r="D18" s="48" t="s">
        <v>192</v>
      </c>
      <c r="E18" s="48"/>
      <c r="F18" s="53" t="str">
        <f>IF(AND($A18="",$A17&lt;&gt;""),"Tổng Cộng",IFERROR(VLOOKUP($D18,Sheet1!$A$2:$D$98,4,0),""))</f>
        <v/>
      </c>
      <c r="G18" s="54" t="str">
        <f>IF($A17=MAX($A$2:$A$50),SUM($G$2:$G17),IFERROR($F18*$E18,""))</f>
        <v/>
      </c>
      <c r="H18" s="92" t="str">
        <f t="shared" si="1"/>
        <v/>
      </c>
      <c r="K18" s="49" t="str">
        <f>IFERROR(VLOOKUP($D18,Sheet1!$A$2:$D$98,4,0),"")</f>
        <v/>
      </c>
    </row>
    <row r="19" spans="1:11" s="46" customFormat="1" ht="24.95" customHeight="1" x14ac:dyDescent="0.25">
      <c r="A19" s="51" t="str">
        <f t="shared" si="0"/>
        <v/>
      </c>
      <c r="B19" s="52" t="str">
        <f>IFERROR(VLOOKUP($D19,Sheet1!$A$2:$B$98,2,0),"")</f>
        <v/>
      </c>
      <c r="C19" s="89" t="str">
        <f>IFERROR(VLOOKUP($D19,'Tổng Đơn'!$A$5:$E$100,5,0),"")</f>
        <v/>
      </c>
      <c r="D19" s="48" t="s">
        <v>192</v>
      </c>
      <c r="E19" s="48"/>
      <c r="F19" s="53" t="str">
        <f>IF(AND($A19="",$A18&lt;&gt;""),"Tổng Cộng",IFERROR(VLOOKUP($D19,Sheet1!$A$2:$D$98,4,0),""))</f>
        <v/>
      </c>
      <c r="G19" s="54" t="str">
        <f>IF($A18=MAX($A$2:$A$50),SUM($G$2:$G18),IFERROR($F19*$E19,""))</f>
        <v/>
      </c>
      <c r="H19" s="92" t="str">
        <f t="shared" si="1"/>
        <v/>
      </c>
      <c r="K19" s="49" t="str">
        <f>IFERROR(VLOOKUP($D19,Sheet1!$A$2:$D$98,4,0),"")</f>
        <v/>
      </c>
    </row>
    <row r="20" spans="1:11" s="46" customFormat="1" ht="24.95" customHeight="1" x14ac:dyDescent="0.25">
      <c r="A20" s="51" t="str">
        <f t="shared" si="0"/>
        <v/>
      </c>
      <c r="B20" s="52" t="str">
        <f>IFERROR(VLOOKUP($D20,Sheet1!$A$2:$B$98,2,0),"")</f>
        <v/>
      </c>
      <c r="C20" s="89" t="str">
        <f>IFERROR(VLOOKUP($D20,'Tổng Đơn'!$A$5:$E$100,5,0),"")</f>
        <v/>
      </c>
      <c r="D20" s="48" t="s">
        <v>192</v>
      </c>
      <c r="E20" s="48"/>
      <c r="F20" s="53" t="str">
        <f>IF(AND($A20="",$A19&lt;&gt;""),"Tổng Cộng",IFERROR(VLOOKUP($D20,Sheet1!$A$2:$D$98,4,0),""))</f>
        <v/>
      </c>
      <c r="G20" s="54" t="str">
        <f>IF($A19=MAX($A$2:$A$50),SUM($G$2:$G19),IFERROR($F20*$E20,""))</f>
        <v/>
      </c>
      <c r="H20" s="92" t="str">
        <f t="shared" si="1"/>
        <v/>
      </c>
      <c r="K20" s="49" t="str">
        <f>IFERROR(VLOOKUP($D20,Sheet1!$A$2:$D$98,4,0),"")</f>
        <v/>
      </c>
    </row>
    <row r="21" spans="1:11" s="46" customFormat="1" ht="24.95" customHeight="1" x14ac:dyDescent="0.25">
      <c r="A21" s="51" t="str">
        <f t="shared" si="0"/>
        <v/>
      </c>
      <c r="B21" s="52" t="str">
        <f>IFERROR(VLOOKUP($D21,Sheet1!$A$2:$B$98,2,0),"")</f>
        <v/>
      </c>
      <c r="C21" s="89" t="str">
        <f>IFERROR(VLOOKUP($D21,'Tổng Đơn'!$A$5:$E$100,5,0),"")</f>
        <v/>
      </c>
      <c r="D21" s="48" t="s">
        <v>192</v>
      </c>
      <c r="E21" s="48"/>
      <c r="F21" s="53" t="str">
        <f>IF(AND($A21="",$A20&lt;&gt;""),"Tổng Cộng",IFERROR(VLOOKUP($D21,Sheet1!$A$2:$D$98,4,0),""))</f>
        <v/>
      </c>
      <c r="G21" s="54" t="str">
        <f>IF($A20=MAX($A$2:$A$50),SUM($G$2:$G20),IFERROR($F21*$E21,""))</f>
        <v/>
      </c>
      <c r="H21" s="92" t="str">
        <f t="shared" si="1"/>
        <v/>
      </c>
      <c r="K21" s="49"/>
    </row>
    <row r="22" spans="1:11" s="46" customFormat="1" ht="24.95" customHeight="1" x14ac:dyDescent="0.25">
      <c r="A22" s="51" t="str">
        <f t="shared" si="0"/>
        <v/>
      </c>
      <c r="B22" s="52" t="str">
        <f>IFERROR(VLOOKUP($D22,Sheet1!$A$2:$B$98,2,0),"")</f>
        <v/>
      </c>
      <c r="C22" s="89" t="str">
        <f>IFERROR(VLOOKUP($D22,'Tổng Đơn'!$A$5:$E$100,5,0),"")</f>
        <v/>
      </c>
      <c r="D22" s="48" t="s">
        <v>192</v>
      </c>
      <c r="E22" s="48"/>
      <c r="F22" s="53" t="str">
        <f>IF(AND($A22="",$A21&lt;&gt;""),"Tổng Cộng",IFERROR(VLOOKUP($D22,Sheet1!$A$2:$D$98,4,0),""))</f>
        <v/>
      </c>
      <c r="G22" s="54" t="str">
        <f>IF($A21=MAX($A$2:$A$50),SUM($G$2:$G21),IFERROR($F22*$E22,""))</f>
        <v/>
      </c>
      <c r="H22" s="92" t="str">
        <f t="shared" si="1"/>
        <v/>
      </c>
      <c r="K22" s="49"/>
    </row>
    <row r="23" spans="1:11" s="46" customFormat="1" ht="24.95" customHeight="1" x14ac:dyDescent="0.25">
      <c r="A23" s="51" t="str">
        <f t="shared" si="0"/>
        <v/>
      </c>
      <c r="B23" s="52" t="str">
        <f>IFERROR(VLOOKUP($D23,Sheet1!$A$2:$B$98,2,0),"")</f>
        <v/>
      </c>
      <c r="C23" s="89" t="str">
        <f>IFERROR(VLOOKUP($D23,'Tổng Đơn'!$A$5:$E$100,5,0),"")</f>
        <v/>
      </c>
      <c r="D23" s="48" t="s">
        <v>192</v>
      </c>
      <c r="E23" s="48"/>
      <c r="F23" s="53" t="str">
        <f>IF(AND($A23="",$A22&lt;&gt;""),"Tổng Cộng",IFERROR(VLOOKUP($D23,Sheet1!$A$2:$D$98,4,0),""))</f>
        <v/>
      </c>
      <c r="G23" s="54" t="str">
        <f>IF($A22=MAX($A$2:$A$50),SUM($G$2:$G22),IFERROR($F23*$E23,""))</f>
        <v/>
      </c>
      <c r="H23" s="92" t="str">
        <f t="shared" si="1"/>
        <v/>
      </c>
      <c r="K23" s="49">
        <v>1</v>
      </c>
    </row>
    <row r="24" spans="1:11" s="46" customFormat="1" ht="24.95" customHeight="1" x14ac:dyDescent="0.25">
      <c r="A24" s="51" t="str">
        <f t="shared" si="0"/>
        <v/>
      </c>
      <c r="B24" s="52" t="str">
        <f>IFERROR(VLOOKUP($D24,Sheet1!$A$2:$B$98,2,0),"")</f>
        <v/>
      </c>
      <c r="C24" s="89" t="str">
        <f>IFERROR(VLOOKUP($D24,'Tổng Đơn'!$A$5:$E$100,5,0),"")</f>
        <v/>
      </c>
      <c r="D24" s="48" t="s">
        <v>192</v>
      </c>
      <c r="E24" s="48"/>
      <c r="F24" s="53" t="str">
        <f>IF(AND($A24="",$A23&lt;&gt;""),"Tổng Cộng",IFERROR(VLOOKUP($D24,Sheet1!$A$2:$D$98,4,0),""))</f>
        <v/>
      </c>
      <c r="G24" s="54" t="str">
        <f>IF($A23=MAX($A$2:$A$50),SUM($G$2:$G23),IFERROR($F24*$E24,""))</f>
        <v/>
      </c>
      <c r="H24" s="92" t="str">
        <f t="shared" si="1"/>
        <v/>
      </c>
      <c r="K24" s="49">
        <v>1</v>
      </c>
    </row>
    <row r="25" spans="1:11" s="46" customFormat="1" ht="24.95" customHeight="1" x14ac:dyDescent="0.25">
      <c r="A25" s="51" t="str">
        <f t="shared" si="0"/>
        <v/>
      </c>
      <c r="B25" s="52" t="str">
        <f>IFERROR(VLOOKUP($D25,Sheet1!$A$2:$B$98,2,0),"")</f>
        <v/>
      </c>
      <c r="C25" s="89" t="str">
        <f>IFERROR(VLOOKUP($D25,'Tổng Đơn'!$A$5:$E$100,5,0),"")</f>
        <v/>
      </c>
      <c r="D25" s="48" t="s">
        <v>192</v>
      </c>
      <c r="E25" s="48"/>
      <c r="F25" s="53" t="str">
        <f>IF(AND($A25="",$A24&lt;&gt;""),"Tổng Cộng",IFERROR(VLOOKUP($D25,Sheet1!$A$2:$D$98,4,0),""))</f>
        <v/>
      </c>
      <c r="G25" s="54" t="str">
        <f>IF($A24=MAX($A$2:$A$50),SUM($G$2:$G24),IFERROR($F25*$E25,""))</f>
        <v/>
      </c>
      <c r="H25" s="92" t="str">
        <f t="shared" si="1"/>
        <v/>
      </c>
      <c r="K25" s="49">
        <v>1</v>
      </c>
    </row>
    <row r="26" spans="1:11" s="46" customFormat="1" ht="24.95" customHeight="1" x14ac:dyDescent="0.25">
      <c r="A26" s="51" t="str">
        <f t="shared" si="0"/>
        <v/>
      </c>
      <c r="B26" s="52" t="str">
        <f>IFERROR(VLOOKUP($D26,Sheet1!$A$2:$B$98,2,0),"")</f>
        <v/>
      </c>
      <c r="C26" s="89" t="str">
        <f>IFERROR(VLOOKUP($D26,'Tổng Đơn'!$A$5:$E$100,5,0),"")</f>
        <v/>
      </c>
      <c r="D26" s="48" t="s">
        <v>192</v>
      </c>
      <c r="E26" s="48"/>
      <c r="F26" s="53" t="str">
        <f>IF(AND($A26="",$A25&lt;&gt;""),"Tổng Cộng",IFERROR(VLOOKUP($D26,Sheet1!$A$2:$D$98,4,0),""))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IFERROR(VLOOKUP($D27,Sheet1!$A$2:$B$98,2,0),"")</f>
        <v/>
      </c>
      <c r="C27" s="89" t="str">
        <f>IFERROR(VLOOKUP($D27,'Tổng Đơn'!$A$5:$E$100,5,0),"")</f>
        <v/>
      </c>
      <c r="D27" s="48" t="s">
        <v>192</v>
      </c>
      <c r="E27" s="48"/>
      <c r="F27" s="53" t="str">
        <f>IF(AND($A27="",$A26&lt;&gt;""),"Tổng Cộng",IFERROR(VLOOKUP($D27,Sheet1!$A$2:$D$98,4,0),""))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IFERROR(VLOOKUP($D28,Sheet1!$A$2:$B$98,2,0),"")</f>
        <v/>
      </c>
      <c r="C28" s="89" t="str">
        <f>IFERROR(VLOOKUP($D28,'Tổng Đơn'!$A$5:$E$100,5,0),"")</f>
        <v/>
      </c>
      <c r="D28" s="48" t="s">
        <v>192</v>
      </c>
      <c r="E28" s="48"/>
      <c r="F28" s="53" t="str">
        <f>IF(AND($A28="",$A27&lt;&gt;""),"Tổng Cộng",IFERROR(VLOOKUP($D28,Sheet1!$A$2:$D$98,4,0),""))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IFERROR(VLOOKUP($D29,Sheet1!$A$2:$B$98,2,0),"")</f>
        <v/>
      </c>
      <c r="C29" s="89" t="str">
        <f>IFERROR(VLOOKUP($D29,'Tổng Đơn'!$A$5:$E$100,5,0),"")</f>
        <v/>
      </c>
      <c r="D29" s="48" t="s">
        <v>192</v>
      </c>
      <c r="E29" s="48"/>
      <c r="F29" s="53" t="str">
        <f>IF(AND($A29="",$A28&lt;&gt;""),"Tổng Cộng",IFERROR(VLOOKUP($D29,Sheet1!$A$2:$D$98,4,0),""))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IFERROR(VLOOKUP($D30,Sheet1!$A$2:$B$98,2,0),"")</f>
        <v/>
      </c>
      <c r="C30" s="89" t="str">
        <f>IFERROR(VLOOKUP($D30,'Tổng Đơn'!$A$5:$E$100,5,0),"")</f>
        <v/>
      </c>
      <c r="D30" s="48" t="s">
        <v>192</v>
      </c>
      <c r="E30" s="48"/>
      <c r="F30" s="53" t="str">
        <f>IF(AND($A30="",$A29&lt;&gt;""),"Tổng Cộng",IFERROR(VLOOKUP($D30,Sheet1!$A$2:$D$98,4,0),""))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IFERROR(VLOOKUP($D31,Sheet1!$A$2:$B$98,2,0),"")</f>
        <v/>
      </c>
      <c r="C31" s="89" t="str">
        <f>IFERROR(VLOOKUP($D31,'Tổng Đơn'!$A$5:$E$100,5,0),"")</f>
        <v/>
      </c>
      <c r="D31" s="48" t="s">
        <v>192</v>
      </c>
      <c r="E31" s="48"/>
      <c r="F31" s="53" t="str">
        <f>IF(AND($A31="",$A30&lt;&gt;""),"Tổng Cộng",IFERROR(VLOOKUP($D31,Sheet1!$A$2:$D$98,4,0),""))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Cộng",IFERROR(VLOOKUP($D32,Sheet1!$A$2:$D$98,4,0),""))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F3">
    <cfRule type="expression" dxfId="95" priority="12">
      <formula>$A2=MAX($A$2:$A$31)</formula>
    </cfRule>
  </conditionalFormatting>
  <conditionalFormatting sqref="D2:D3">
    <cfRule type="expression" dxfId="94" priority="11">
      <formula>AND($D2="",$E2&lt;&gt;"")</formula>
    </cfRule>
  </conditionalFormatting>
  <conditionalFormatting sqref="E2:E3">
    <cfRule type="expression" dxfId="93" priority="10">
      <formula>AND($E2="",$D2&lt;&gt;"")</formula>
    </cfRule>
  </conditionalFormatting>
  <conditionalFormatting sqref="C2:C3">
    <cfRule type="expression" dxfId="92" priority="9">
      <formula>AND($D2="",$E2&lt;&gt;"")</formula>
    </cfRule>
  </conditionalFormatting>
  <conditionalFormatting sqref="A10:G31 A4:F9 G2:G9">
    <cfRule type="expression" dxfId="91" priority="8">
      <formula>$A1=MAX($A$2:$A$31)</formula>
    </cfRule>
  </conditionalFormatting>
  <conditionalFormatting sqref="D4:D31">
    <cfRule type="expression" dxfId="90" priority="7">
      <formula>AND($D4="",$E4&lt;&gt;"")</formula>
    </cfRule>
  </conditionalFormatting>
  <conditionalFormatting sqref="E4:E31">
    <cfRule type="expression" dxfId="89" priority="6">
      <formula>AND($E4="",$D4&lt;&gt;"")</formula>
    </cfRule>
  </conditionalFormatting>
  <conditionalFormatting sqref="C4:C31">
    <cfRule type="expression" dxfId="88" priority="5">
      <formula>AND($D4="",$E4&lt;&gt;"")</formula>
    </cfRule>
  </conditionalFormatting>
  <conditionalFormatting sqref="A32:G32">
    <cfRule type="expression" dxfId="87" priority="4">
      <formula>$A31=MAX($A$2:$A$31)</formula>
    </cfRule>
  </conditionalFormatting>
  <conditionalFormatting sqref="D32">
    <cfRule type="expression" dxfId="86" priority="3">
      <formula>AND($D32="",$E32&lt;&gt;"")</formula>
    </cfRule>
  </conditionalFormatting>
  <conditionalFormatting sqref="E32">
    <cfRule type="expression" dxfId="85" priority="2">
      <formula>AND($E32="",$D32&lt;&gt;"")</formula>
    </cfRule>
  </conditionalFormatting>
  <conditionalFormatting sqref="C32">
    <cfRule type="expression" dxfId="84"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theme="1"/>
  </sheetPr>
  <dimension ref="A1:M52"/>
  <sheetViews>
    <sheetView zoomScaleNormal="100" workbookViewId="0">
      <pane ySplit="1" topLeftCell="A2" activePane="bottomLeft" state="frozen"/>
      <selection activeCell="H16" sqref="H16"/>
      <selection pane="bottomLeft" activeCell="H2" sqref="H2"/>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3" width="10.140625" style="14" bestFit="1" customWidth="1"/>
    <col min="14" max="16384" width="9.140625" style="14"/>
  </cols>
  <sheetData>
    <row r="1" spans="1:13" s="45" customFormat="1" ht="39" customHeight="1" x14ac:dyDescent="0.25">
      <c r="A1" s="47" t="s">
        <v>0</v>
      </c>
      <c r="B1" s="47" t="s">
        <v>17</v>
      </c>
      <c r="C1" s="87" t="s">
        <v>55</v>
      </c>
      <c r="D1" s="91" t="s">
        <v>118</v>
      </c>
      <c r="E1" s="91" t="s">
        <v>16</v>
      </c>
      <c r="F1" s="47" t="s">
        <v>18</v>
      </c>
      <c r="G1" s="47" t="s">
        <v>19</v>
      </c>
      <c r="H1" s="157" t="s">
        <v>227</v>
      </c>
      <c r="I1" s="55">
        <f>SUBTOTAL(9,H2:H31)</f>
        <v>1</v>
      </c>
      <c r="K1" s="47" t="s">
        <v>18</v>
      </c>
    </row>
    <row r="2" spans="1:13" s="46" customFormat="1" ht="24.95" customHeight="1" x14ac:dyDescent="0.25">
      <c r="A2" s="51">
        <f>IF(OR(SUM($A1,$D2&lt;&gt;"")=0,$D2=""),"",SUM($A1,$D2&lt;&gt;""))</f>
        <v>1</v>
      </c>
      <c r="B2" s="52" t="str">
        <f>IFERROR(VLOOKUP($D2,Sheet1!$A$2:$B$98,2,0),"")</f>
        <v>Cá viên LC</v>
      </c>
      <c r="C2" s="88">
        <f>IFERROR(VLOOKUP($D2,'Tổng Đơn'!$A$5:$E$100,5,0),"")</f>
        <v>0.5</v>
      </c>
      <c r="D2" s="48">
        <v>1</v>
      </c>
      <c r="E2" s="48">
        <v>1</v>
      </c>
      <c r="F2" s="53">
        <f>IFERROR(VLOOKUP($D2,Sheet1!$A$2:$D$98,4,0),"")</f>
        <v>27000</v>
      </c>
      <c r="G2" s="54">
        <f>IF($A1=MAX($A$2:$A$50),SUM($G1:$G$2),IFERROR($F2*$E2,""))</f>
        <v>27000</v>
      </c>
      <c r="H2" s="92">
        <f>IFERROR(E2*C2,"")</f>
        <v>0.5</v>
      </c>
      <c r="I2" s="46" t="str">
        <f>IF(SUMPRODUCT(($E$2:$E$12),($K$2:$K$12))&gt;=200000,"KM 15%",IF(SUMPRODUCT(($E$2:$E$12),($K$2:$K$12))&gt;=100000,"KM 10%",""))</f>
        <v/>
      </c>
      <c r="K2" s="50">
        <f>IFERROR(VLOOKUP($D2,Sheet1!$A$2:$D$98,4,0),"")</f>
        <v>27000</v>
      </c>
    </row>
    <row r="3" spans="1:13" s="46" customFormat="1" ht="24.95" customHeight="1" x14ac:dyDescent="0.25">
      <c r="A3" s="51">
        <f t="shared" ref="A3:A31" si="0">IF(OR(SUM($A2,$D3&lt;&gt;"")=0,$D3=""),"",SUM($A2,$D3&lt;&gt;""))</f>
        <v>2</v>
      </c>
      <c r="B3" s="52" t="str">
        <f>IFERROR(VLOOKUP($D3,Sheet1!$A$2:$B$98,2,0),"")</f>
        <v>Phô mai que (13 que)</v>
      </c>
      <c r="C3" s="89">
        <f>IFERROR(VLOOKUP($D3,'Tổng Đơn'!$A$5:$E$100,5,0),"")</f>
        <v>0.5</v>
      </c>
      <c r="D3" s="48">
        <v>16</v>
      </c>
      <c r="E3" s="48">
        <v>1</v>
      </c>
      <c r="F3" s="53">
        <f>IF(AND($A3="",$A2&lt;&gt;""),"Tổng Cộng",IFERROR(VLOOKUP($D3,Sheet1!$A$2:$D$98,4,0),""))</f>
        <v>40000</v>
      </c>
      <c r="G3" s="54">
        <f>IF($A2=MAX($A$2:$A$50),SUM($G$2:$G2),IFERROR($F3*$E3,""))</f>
        <v>40000</v>
      </c>
      <c r="H3" s="92">
        <f t="shared" ref="H3:H31" si="1">IFERROR(E3*C3,"")</f>
        <v>0.5</v>
      </c>
      <c r="K3" s="49">
        <f>IFERROR(VLOOKUP($D3,Sheet1!$A$2:$D$98,4,0),"")</f>
        <v>40000</v>
      </c>
    </row>
    <row r="4" spans="1:13" s="46" customFormat="1" ht="24.95" customHeight="1" x14ac:dyDescent="0.25">
      <c r="A4" s="51" t="str">
        <f t="shared" si="0"/>
        <v/>
      </c>
      <c r="B4" s="52" t="str">
        <f>IFERROR(VLOOKUP($D4,Sheet1!$A$2:$B$98,2,0),"")</f>
        <v/>
      </c>
      <c r="C4" s="89" t="str">
        <f>IFERROR(VLOOKUP($D4,'Tổng Đơn'!$A$5:$E$100,5,0),"")</f>
        <v/>
      </c>
      <c r="D4" s="48" t="s">
        <v>192</v>
      </c>
      <c r="E4" s="48"/>
      <c r="F4" s="53" t="str">
        <f>IF(AND($A4="",$A3&lt;&gt;""),"Tổng Cộng",IFERROR(VLOOKUP($D4,Sheet1!$A$2:$D$98,4,0),""))</f>
        <v>Tổng Cộng</v>
      </c>
      <c r="G4" s="54">
        <f>IF($A3=MAX($A$2:$A$50),SUM($G$2:$G3),IFERROR($F4*$E4,""))</f>
        <v>67000</v>
      </c>
      <c r="H4" s="92" t="str">
        <f t="shared" si="1"/>
        <v/>
      </c>
      <c r="K4" s="49" t="str">
        <f>IFERROR(VLOOKUP($D4,Sheet1!$A$2:$D$98,4,0),"")</f>
        <v/>
      </c>
    </row>
    <row r="5" spans="1:13" s="46" customFormat="1" ht="24.95" customHeight="1" x14ac:dyDescent="0.25">
      <c r="A5" s="51" t="str">
        <f t="shared" si="0"/>
        <v/>
      </c>
      <c r="B5" s="52" t="str">
        <f>IFERROR(VLOOKUP($D5,Sheet1!$A$2:$B$98,2,0),"")</f>
        <v/>
      </c>
      <c r="C5" s="89" t="str">
        <f>IFERROR(VLOOKUP($D5,'Tổng Đơn'!$A$5:$E$100,5,0),"")</f>
        <v/>
      </c>
      <c r="D5" s="48" t="s">
        <v>192</v>
      </c>
      <c r="E5" s="48"/>
      <c r="F5" s="53" t="str">
        <f>IF(AND($A5="",$A4&lt;&gt;""),"Tổng Cộng",IFERROR(VLOOKUP($D5,Sheet1!$A$2:$D$98,4,0),""))</f>
        <v/>
      </c>
      <c r="G5" s="54" t="str">
        <f>IF($A4=MAX($A$2:$A$50),SUM($G$2:$G4),IFERROR($F5*$E5,""))</f>
        <v/>
      </c>
      <c r="H5" s="92" t="str">
        <f t="shared" si="1"/>
        <v/>
      </c>
      <c r="K5" s="49" t="str">
        <f>IFERROR(VLOOKUP($D5,Sheet1!$A$2:$D$98,4,0),"")</f>
        <v/>
      </c>
    </row>
    <row r="6" spans="1:13" s="46" customFormat="1" ht="24.95" customHeight="1" x14ac:dyDescent="0.25">
      <c r="A6" s="51" t="str">
        <f t="shared" si="0"/>
        <v/>
      </c>
      <c r="B6" s="52" t="str">
        <f>IFERROR(VLOOKUP($D6,Sheet1!$A$2:$B$98,2,0),"")</f>
        <v/>
      </c>
      <c r="C6" s="89" t="str">
        <f>IFERROR(VLOOKUP($D6,'Tổng Đơn'!$A$5:$E$100,5,0),"")</f>
        <v/>
      </c>
      <c r="D6" s="48" t="s">
        <v>192</v>
      </c>
      <c r="E6" s="48"/>
      <c r="F6" s="53" t="str">
        <f>IF(AND($A6="",$A5&lt;&gt;""),"Tổng Cộng",IFERROR(VLOOKUP($D6,Sheet1!$A$2:$D$98,4,0),""))</f>
        <v/>
      </c>
      <c r="G6" s="54" t="str">
        <f>IF($A5=MAX($A$2:$A$50),SUM($G$2:$G5),IFERROR($F6*$E6,""))</f>
        <v/>
      </c>
      <c r="H6" s="92" t="str">
        <f t="shared" si="1"/>
        <v/>
      </c>
      <c r="I6" s="175"/>
      <c r="K6" s="49"/>
      <c r="L6" s="184"/>
      <c r="M6" s="176"/>
    </row>
    <row r="7" spans="1:13" s="46" customFormat="1" ht="24.95" customHeight="1" x14ac:dyDescent="0.25">
      <c r="A7" s="51" t="str">
        <f t="shared" si="0"/>
        <v/>
      </c>
      <c r="B7" s="52" t="str">
        <f>IFERROR(VLOOKUP($D7,Sheet1!$A$2:$B$98,2,0),"")</f>
        <v/>
      </c>
      <c r="C7" s="89" t="str">
        <f>IFERROR(VLOOKUP($D7,'Tổng Đơn'!$A$5:$E$100,5,0),"")</f>
        <v/>
      </c>
      <c r="D7" s="48" t="s">
        <v>192</v>
      </c>
      <c r="E7" s="48"/>
      <c r="F7" s="53" t="str">
        <f>IF(AND($A7="",$A6&lt;&gt;""),"Tổng Cộng",IFERROR(VLOOKUP($D7,Sheet1!$A$2:$D$98,4,0),""))</f>
        <v/>
      </c>
      <c r="G7" s="54" t="str">
        <f>IF($A6=MAX($A$2:$A$50),SUM($G$2:$G6),IFERROR($F7*$E7,""))</f>
        <v/>
      </c>
      <c r="H7" s="92" t="str">
        <f t="shared" si="1"/>
        <v/>
      </c>
      <c r="K7" s="49"/>
    </row>
    <row r="8" spans="1:13" s="46" customFormat="1" ht="24.95" customHeight="1" x14ac:dyDescent="0.25">
      <c r="A8" s="51" t="str">
        <f t="shared" si="0"/>
        <v/>
      </c>
      <c r="B8" s="52" t="str">
        <f>IFERROR(VLOOKUP($D8,Sheet1!$A$2:$B$98,2,0),"")</f>
        <v/>
      </c>
      <c r="C8" s="89" t="str">
        <f>IFERROR(VLOOKUP($D8,'Tổng Đơn'!$A$5:$E$100,5,0),"")</f>
        <v/>
      </c>
      <c r="D8" s="48" t="s">
        <v>192</v>
      </c>
      <c r="E8" s="48"/>
      <c r="F8" s="53" t="str">
        <f>IF(AND($A8="",$A7&lt;&gt;""),"Tổng Cộng",IFERROR(VLOOKUP($D8,Sheet1!$A$2:$D$98,4,0),""))</f>
        <v/>
      </c>
      <c r="G8" s="54" t="str">
        <f>IF($A7=MAX($A$2:$A$50),SUM($G$2:$G7),IFERROR($F8*$E8,""))</f>
        <v/>
      </c>
      <c r="H8" s="92" t="str">
        <f t="shared" si="1"/>
        <v/>
      </c>
      <c r="K8" s="49" t="str">
        <f>IFERROR(VLOOKUP($D8,Sheet1!$A$2:$D$98,4,0),"")</f>
        <v/>
      </c>
      <c r="L8" s="185"/>
    </row>
    <row r="9" spans="1:13" s="46" customFormat="1" ht="24.95" customHeight="1" x14ac:dyDescent="0.25">
      <c r="A9" s="51" t="str">
        <f t="shared" si="0"/>
        <v/>
      </c>
      <c r="B9" s="52" t="str">
        <f>IFERROR(VLOOKUP($D9,Sheet1!$A$2:$B$98,2,0),"")</f>
        <v/>
      </c>
      <c r="C9" s="89" t="str">
        <f>IFERROR(VLOOKUP($D9,'Tổng Đơn'!$A$5:$E$100,5,0),"")</f>
        <v/>
      </c>
      <c r="D9" s="48" t="s">
        <v>192</v>
      </c>
      <c r="E9" s="48"/>
      <c r="F9" s="53" t="str">
        <f>IF(AND($A9="",$A8&lt;&gt;""),"Tổng Cộng",IFERROR(VLOOKUP($D9,Sheet1!$A$2:$D$98,4,0),""))</f>
        <v/>
      </c>
      <c r="G9" s="54" t="str">
        <f>IF($A8=MAX($A$2:$A$50),SUM($G$2:$G8),IFERROR($F9*$E9,""))</f>
        <v/>
      </c>
      <c r="H9" s="92" t="str">
        <f t="shared" si="1"/>
        <v/>
      </c>
      <c r="K9" s="49" t="str">
        <f>IFERROR(VLOOKUP($D9,Sheet1!$A$2:$D$98,4,0),"")</f>
        <v/>
      </c>
    </row>
    <row r="10" spans="1:13" s="46" customFormat="1" ht="24.95" customHeight="1" x14ac:dyDescent="0.25">
      <c r="A10" s="51" t="str">
        <f t="shared" si="0"/>
        <v/>
      </c>
      <c r="B10" s="52" t="str">
        <f>IFERROR(VLOOKUP($D10,Sheet1!$A$2:$B$98,2,0),"")</f>
        <v/>
      </c>
      <c r="C10" s="89" t="str">
        <f>IFERROR(VLOOKUP($D10,'Tổng Đơn'!$A$5:$E$100,5,0),"")</f>
        <v/>
      </c>
      <c r="D10" s="48" t="s">
        <v>192</v>
      </c>
      <c r="E10" s="48"/>
      <c r="F10" s="53" t="str">
        <f>IF(AND($A10="",$A9&lt;&gt;""),"Tổng Cộng",IFERROR(VLOOKUP($D10,Sheet1!$A$2:$D$98,4,0),""))</f>
        <v/>
      </c>
      <c r="G10" s="54" t="str">
        <f>IF($A9=MAX($A$2:$A$50),SUM($G$2:$G9),IFERROR($F10*$E10,""))</f>
        <v/>
      </c>
      <c r="H10" s="92" t="str">
        <f t="shared" si="1"/>
        <v/>
      </c>
      <c r="K10" s="49" t="str">
        <f>IFERROR(VLOOKUP($D10,Sheet1!$A$2:$D$98,4,0),"")</f>
        <v/>
      </c>
    </row>
    <row r="11" spans="1:13" s="46" customFormat="1" ht="24.95" customHeight="1" x14ac:dyDescent="0.25">
      <c r="A11" s="51" t="str">
        <f t="shared" si="0"/>
        <v/>
      </c>
      <c r="B11" s="52" t="str">
        <f>IFERROR(VLOOKUP($D11,Sheet1!$A$2:$B$98,2,0),"")</f>
        <v/>
      </c>
      <c r="C11" s="89" t="str">
        <f>IFERROR(VLOOKUP($D11,'Tổng Đơn'!$A$5:$E$100,5,0),"")</f>
        <v/>
      </c>
      <c r="D11" s="48" t="s">
        <v>192</v>
      </c>
      <c r="E11" s="48"/>
      <c r="F11" s="53" t="str">
        <f>IF(AND($A11="",$A10&lt;&gt;""),"Tổng Cộng",IFERROR(VLOOKUP($D11,Sheet1!$A$2:$D$98,4,0),""))</f>
        <v/>
      </c>
      <c r="G11" s="54" t="str">
        <f>IF($A10=MAX($A$2:$A$50),SUM($G$2:$G10),IFERROR($F11*$E11,""))</f>
        <v/>
      </c>
      <c r="H11" s="92" t="str">
        <f t="shared" si="1"/>
        <v/>
      </c>
      <c r="K11" s="49" t="str">
        <f>IFERROR(VLOOKUP($D11,Sheet1!$A$2:$D$98,4,0),"")</f>
        <v/>
      </c>
    </row>
    <row r="12" spans="1:13" s="46" customFormat="1" ht="24.95" customHeight="1" x14ac:dyDescent="0.25">
      <c r="A12" s="51" t="str">
        <f t="shared" si="0"/>
        <v/>
      </c>
      <c r="B12" s="52" t="str">
        <f>IFERROR(VLOOKUP($D12,Sheet1!$A$2:$B$98,2,0),"")</f>
        <v/>
      </c>
      <c r="C12" s="89" t="str">
        <f>IFERROR(VLOOKUP($D12,'Tổng Đơn'!$A$5:$E$100,5,0),"")</f>
        <v/>
      </c>
      <c r="D12" s="48" t="s">
        <v>192</v>
      </c>
      <c r="E12" s="48"/>
      <c r="F12" s="53" t="str">
        <f>IF(AND($A12="",$A11&lt;&gt;""),"Tổng Cộng",IFERROR(VLOOKUP($D12,Sheet1!$A$2:$D$98,4,0),""))</f>
        <v/>
      </c>
      <c r="G12" s="54" t="str">
        <f>IF($A11=MAX($A$2:$A$50),SUM($G$2:$G11),IFERROR($F12*$E12,""))</f>
        <v/>
      </c>
      <c r="H12" s="92" t="str">
        <f t="shared" si="1"/>
        <v/>
      </c>
      <c r="K12" s="49" t="str">
        <f>IFERROR(VLOOKUP($D12,Sheet1!$A$2:$D$98,4,0),"")</f>
        <v/>
      </c>
    </row>
    <row r="13" spans="1:13" s="46" customFormat="1" ht="24.95" customHeight="1" x14ac:dyDescent="0.25">
      <c r="A13" s="51" t="str">
        <f t="shared" si="0"/>
        <v/>
      </c>
      <c r="B13" s="52" t="str">
        <f>IFERROR(VLOOKUP($D13,Sheet1!$A$2:$B$98,2,0),"")</f>
        <v/>
      </c>
      <c r="C13" s="89" t="str">
        <f>IFERROR(VLOOKUP($D13,'Tổng Đơn'!$A$5:$E$100,5,0),"")</f>
        <v/>
      </c>
      <c r="D13" s="48" t="s">
        <v>192</v>
      </c>
      <c r="E13" s="48"/>
      <c r="F13" s="53" t="str">
        <f>IF(AND($A13="",$A12&lt;&gt;""),"Tổng Cộng",IFERROR(VLOOKUP($D13,Sheet1!$A$2:$D$98,4,0),""))</f>
        <v/>
      </c>
      <c r="G13" s="54" t="str">
        <f>IF($A12=MAX($A$2:$A$50),SUM($G$2:$G12),IFERROR($F13*$E13,""))</f>
        <v/>
      </c>
      <c r="H13" s="92" t="str">
        <f t="shared" si="1"/>
        <v/>
      </c>
      <c r="K13" s="49" t="str">
        <f>IFERROR(VLOOKUP($D13,Sheet1!$A$2:$D$98,4,0),"")</f>
        <v/>
      </c>
    </row>
    <row r="14" spans="1:13" s="46" customFormat="1" ht="24.95" customHeight="1" x14ac:dyDescent="0.25">
      <c r="A14" s="51" t="str">
        <f t="shared" si="0"/>
        <v/>
      </c>
      <c r="B14" s="52" t="str">
        <f>IFERROR(VLOOKUP($D14,Sheet1!$A$2:$B$98,2,0),"")</f>
        <v/>
      </c>
      <c r="C14" s="89" t="str">
        <f>IFERROR(VLOOKUP($D14,'Tổng Đơn'!$A$5:$E$100,5,0),"")</f>
        <v/>
      </c>
      <c r="D14" s="48" t="s">
        <v>192</v>
      </c>
      <c r="E14" s="48"/>
      <c r="F14" s="53" t="str">
        <f>IF(AND($A14="",$A13&lt;&gt;""),"Tổng Cộng",IFERROR(VLOOKUP($D14,Sheet1!$A$2:$D$98,4,0),""))</f>
        <v/>
      </c>
      <c r="G14" s="54" t="str">
        <f>IF($A13=MAX($A$2:$A$50),SUM($G$2:$G13),IFERROR($F14*$E14,""))</f>
        <v/>
      </c>
      <c r="H14" s="92" t="str">
        <f t="shared" si="1"/>
        <v/>
      </c>
      <c r="K14" s="49" t="str">
        <f>IFERROR(VLOOKUP($D14,Sheet1!$A$2:$D$98,4,0),"")</f>
        <v/>
      </c>
    </row>
    <row r="15" spans="1:13" s="46" customFormat="1" ht="24.95" customHeight="1" x14ac:dyDescent="0.25">
      <c r="A15" s="51" t="str">
        <f t="shared" si="0"/>
        <v/>
      </c>
      <c r="B15" s="52" t="str">
        <f>IFERROR(VLOOKUP($D15,Sheet1!$A$2:$B$98,2,0),"")</f>
        <v/>
      </c>
      <c r="C15" s="89" t="str">
        <f>IFERROR(VLOOKUP($D15,'Tổng Đơn'!$A$5:$E$100,5,0),"")</f>
        <v/>
      </c>
      <c r="D15" s="48" t="s">
        <v>192</v>
      </c>
      <c r="E15" s="48"/>
      <c r="F15" s="53" t="str">
        <f>IF(AND($A15="",$A14&lt;&gt;""),"Tổng Cộng",IFERROR(VLOOKUP($D15,Sheet1!$A$2:$D$98,4,0),""))</f>
        <v/>
      </c>
      <c r="G15" s="54" t="str">
        <f>IF($A14=MAX($A$2:$A$50),SUM($G$2:$G14),IFERROR($F15*$E15,""))</f>
        <v/>
      </c>
      <c r="H15" s="92" t="str">
        <f t="shared" si="1"/>
        <v/>
      </c>
      <c r="K15" s="49" t="str">
        <f>IFERROR(VLOOKUP($D15,Sheet1!$A$2:$D$98,4,0),"")</f>
        <v/>
      </c>
    </row>
    <row r="16" spans="1:13" s="46" customFormat="1" ht="24.95" customHeight="1" x14ac:dyDescent="0.25">
      <c r="A16" s="51" t="str">
        <f t="shared" si="0"/>
        <v/>
      </c>
      <c r="B16" s="52" t="str">
        <f>IFERROR(VLOOKUP($D16,Sheet1!$A$2:$B$98,2,0),"")</f>
        <v/>
      </c>
      <c r="C16" s="89" t="str">
        <f>IFERROR(VLOOKUP($D16,'Tổng Đơn'!$A$5:$E$100,5,0),"")</f>
        <v/>
      </c>
      <c r="D16" s="48" t="s">
        <v>192</v>
      </c>
      <c r="E16" s="48"/>
      <c r="F16" s="53" t="str">
        <f>IF(AND($A16="",$A15&lt;&gt;""),"Tổng Cộng",IFERROR(VLOOKUP($D16,Sheet1!$A$2:$D$98,4,0),""))</f>
        <v/>
      </c>
      <c r="G16" s="54" t="str">
        <f>IF($A15=MAX($A$2:$A$50),SUM($G$2:$G15),IFERROR($F16*$E16,""))</f>
        <v/>
      </c>
      <c r="H16" s="92" t="str">
        <f t="shared" si="1"/>
        <v/>
      </c>
      <c r="K16" s="49" t="str">
        <f>IFERROR(VLOOKUP($D16,Sheet1!$A$2:$D$98,4,0),"")</f>
        <v/>
      </c>
    </row>
    <row r="17" spans="1:11" s="46" customFormat="1" ht="24.95" customHeight="1" x14ac:dyDescent="0.25">
      <c r="A17" s="51" t="str">
        <f t="shared" si="0"/>
        <v/>
      </c>
      <c r="B17" s="52" t="str">
        <f>IFERROR(VLOOKUP($D17,Sheet1!$A$2:$B$98,2,0),"")</f>
        <v/>
      </c>
      <c r="C17" s="89" t="str">
        <f>IFERROR(VLOOKUP($D17,'Tổng Đơn'!$A$5:$E$100,5,0),"")</f>
        <v/>
      </c>
      <c r="D17" s="48" t="s">
        <v>192</v>
      </c>
      <c r="E17" s="48"/>
      <c r="F17" s="53" t="str">
        <f>IF(AND($A17="",$A16&lt;&gt;""),"Tổng Cộng",IFERROR(VLOOKUP($D17,Sheet1!$A$2:$D$98,4,0),""))</f>
        <v/>
      </c>
      <c r="G17" s="54" t="str">
        <f>IF($A16=MAX($A$2:$A$50),SUM($G$2:$G16),IFERROR($F17*$E17,""))</f>
        <v/>
      </c>
      <c r="H17" s="92" t="str">
        <f t="shared" si="1"/>
        <v/>
      </c>
      <c r="K17" s="49" t="str">
        <f>IFERROR(VLOOKUP($D17,Sheet1!$A$2:$D$98,4,0),"")</f>
        <v/>
      </c>
    </row>
    <row r="18" spans="1:11" s="46" customFormat="1" ht="24.95" customHeight="1" x14ac:dyDescent="0.25">
      <c r="A18" s="51" t="str">
        <f t="shared" si="0"/>
        <v/>
      </c>
      <c r="B18" s="52" t="str">
        <f>IFERROR(VLOOKUP($D18,Sheet1!$A$2:$B$98,2,0),"")</f>
        <v/>
      </c>
      <c r="C18" s="89" t="str">
        <f>IFERROR(VLOOKUP($D18,'Tổng Đơn'!$A$5:$E$100,5,0),"")</f>
        <v/>
      </c>
      <c r="D18" s="48" t="s">
        <v>192</v>
      </c>
      <c r="E18" s="48"/>
      <c r="F18" s="53" t="str">
        <f>IF(AND($A18="",$A17&lt;&gt;""),"Tổng Cộng",IFERROR(VLOOKUP($D18,Sheet1!$A$2:$D$98,4,0),""))</f>
        <v/>
      </c>
      <c r="G18" s="54" t="str">
        <f>IF($A17=MAX($A$2:$A$50),SUM($G$2:$G17),IFERROR($F18*$E18,""))</f>
        <v/>
      </c>
      <c r="H18" s="92" t="str">
        <f t="shared" si="1"/>
        <v/>
      </c>
      <c r="K18" s="49" t="str">
        <f>IFERROR(VLOOKUP($D18,Sheet1!$A$2:$D$98,4,0),"")</f>
        <v/>
      </c>
    </row>
    <row r="19" spans="1:11" s="46" customFormat="1" ht="24.95" customHeight="1" x14ac:dyDescent="0.25">
      <c r="A19" s="51" t="str">
        <f t="shared" si="0"/>
        <v/>
      </c>
      <c r="B19" s="52" t="str">
        <f>IFERROR(VLOOKUP($D19,Sheet1!$A$2:$B$98,2,0),"")</f>
        <v/>
      </c>
      <c r="C19" s="89" t="str">
        <f>IFERROR(VLOOKUP($D19,'Tổng Đơn'!$A$5:$E$100,5,0),"")</f>
        <v/>
      </c>
      <c r="D19" s="48" t="s">
        <v>192</v>
      </c>
      <c r="E19" s="48"/>
      <c r="F19" s="53" t="str">
        <f>IF(AND($A19="",$A18&lt;&gt;""),"Tổng Cộng",IFERROR(VLOOKUP($D19,Sheet1!$A$2:$D$98,4,0),""))</f>
        <v/>
      </c>
      <c r="G19" s="54" t="str">
        <f>IF($A18=MAX($A$2:$A$50),SUM($G$2:$G18),IFERROR($F19*$E19,""))</f>
        <v/>
      </c>
      <c r="H19" s="92" t="str">
        <f t="shared" si="1"/>
        <v/>
      </c>
      <c r="K19" s="49" t="str">
        <f>IFERROR(VLOOKUP($D19,Sheet1!$A$2:$D$98,4,0),"")</f>
        <v/>
      </c>
    </row>
    <row r="20" spans="1:11" s="46" customFormat="1" ht="24.95" customHeight="1" x14ac:dyDescent="0.25">
      <c r="A20" s="51" t="str">
        <f t="shared" si="0"/>
        <v/>
      </c>
      <c r="B20" s="52" t="str">
        <f>IFERROR(VLOOKUP($D20,Sheet1!$A$2:$B$98,2,0),"")</f>
        <v/>
      </c>
      <c r="C20" s="89" t="str">
        <f>IFERROR(VLOOKUP($D20,'Tổng Đơn'!$A$5:$E$100,5,0),"")</f>
        <v/>
      </c>
      <c r="D20" s="48" t="s">
        <v>192</v>
      </c>
      <c r="E20" s="48"/>
      <c r="F20" s="53" t="str">
        <f>IF(AND($A20="",$A19&lt;&gt;""),"Tổng Cộng",IFERROR(VLOOKUP($D20,Sheet1!$A$2:$D$98,4,0),""))</f>
        <v/>
      </c>
      <c r="G20" s="54" t="str">
        <f>IF($A19=MAX($A$2:$A$50),SUM($G$2:$G19),IFERROR($F20*$E20,""))</f>
        <v/>
      </c>
      <c r="H20" s="92" t="str">
        <f t="shared" si="1"/>
        <v/>
      </c>
      <c r="K20" s="49" t="str">
        <f>IFERROR(VLOOKUP($D20,Sheet1!$A$2:$D$98,4,0),"")</f>
        <v/>
      </c>
    </row>
    <row r="21" spans="1:11" s="46" customFormat="1" ht="24.95" customHeight="1" x14ac:dyDescent="0.25">
      <c r="A21" s="51" t="str">
        <f t="shared" si="0"/>
        <v/>
      </c>
      <c r="B21" s="52" t="str">
        <f>IFERROR(VLOOKUP($D21,Sheet1!$A$2:$B$98,2,0),"")</f>
        <v/>
      </c>
      <c r="C21" s="89" t="str">
        <f>IFERROR(VLOOKUP($D21,'Tổng Đơn'!$A$5:$E$100,5,0),"")</f>
        <v/>
      </c>
      <c r="D21" s="48" t="s">
        <v>192</v>
      </c>
      <c r="E21" s="48"/>
      <c r="F21" s="53" t="str">
        <f>IF(AND($A21="",$A20&lt;&gt;""),"Tổng Cộng",IFERROR(VLOOKUP($D21,Sheet1!$A$2:$D$98,4,0),""))</f>
        <v/>
      </c>
      <c r="G21" s="54" t="str">
        <f>IF($A20=MAX($A$2:$A$50),SUM($G$2:$G20),IFERROR($F21*$E21,""))</f>
        <v/>
      </c>
      <c r="H21" s="92" t="str">
        <f t="shared" si="1"/>
        <v/>
      </c>
      <c r="K21" s="49"/>
    </row>
    <row r="22" spans="1:11" s="46" customFormat="1" ht="24.95" customHeight="1" x14ac:dyDescent="0.25">
      <c r="A22" s="51" t="str">
        <f t="shared" si="0"/>
        <v/>
      </c>
      <c r="B22" s="52" t="str">
        <f>IFERROR(VLOOKUP($D22,Sheet1!$A$2:$B$98,2,0),"")</f>
        <v/>
      </c>
      <c r="C22" s="89" t="str">
        <f>IFERROR(VLOOKUP($D22,'Tổng Đơn'!$A$5:$E$100,5,0),"")</f>
        <v/>
      </c>
      <c r="D22" s="48" t="s">
        <v>192</v>
      </c>
      <c r="E22" s="48"/>
      <c r="F22" s="53" t="str">
        <f>IF(AND($A22="",$A21&lt;&gt;""),"Tổng Cộng",IFERROR(VLOOKUP($D22,Sheet1!$A$2:$D$98,4,0),""))</f>
        <v/>
      </c>
      <c r="G22" s="54" t="str">
        <f>IF($A21=MAX($A$2:$A$50),SUM($G$2:$G21),IFERROR($F22*$E22,""))</f>
        <v/>
      </c>
      <c r="H22" s="92" t="str">
        <f t="shared" si="1"/>
        <v/>
      </c>
      <c r="K22" s="49"/>
    </row>
    <row r="23" spans="1:11" s="46" customFormat="1" ht="24.95" customHeight="1" x14ac:dyDescent="0.25">
      <c r="A23" s="51" t="str">
        <f t="shared" si="0"/>
        <v/>
      </c>
      <c r="B23" s="52" t="str">
        <f>IFERROR(VLOOKUP($D23,Sheet1!$A$2:$B$98,2,0),"")</f>
        <v/>
      </c>
      <c r="C23" s="89" t="str">
        <f>IFERROR(VLOOKUP($D23,'Tổng Đơn'!$A$5:$E$100,5,0),"")</f>
        <v/>
      </c>
      <c r="D23" s="48" t="s">
        <v>192</v>
      </c>
      <c r="E23" s="48"/>
      <c r="F23" s="53" t="str">
        <f>IF(AND($A23="",$A22&lt;&gt;""),"Tổng Cộng",IFERROR(VLOOKUP($D23,Sheet1!$A$2:$D$98,4,0),""))</f>
        <v/>
      </c>
      <c r="G23" s="54" t="str">
        <f>IF($A22=MAX($A$2:$A$50),SUM($G$2:$G22),IFERROR($F23*$E23,""))</f>
        <v/>
      </c>
      <c r="H23" s="92" t="str">
        <f t="shared" si="1"/>
        <v/>
      </c>
      <c r="K23" s="49">
        <v>1</v>
      </c>
    </row>
    <row r="24" spans="1:11" s="46" customFormat="1" ht="24.95" customHeight="1" x14ac:dyDescent="0.25">
      <c r="A24" s="51" t="str">
        <f t="shared" si="0"/>
        <v/>
      </c>
      <c r="B24" s="52" t="str">
        <f>IFERROR(VLOOKUP($D24,Sheet1!$A$2:$B$98,2,0),"")</f>
        <v/>
      </c>
      <c r="C24" s="89" t="str">
        <f>IFERROR(VLOOKUP($D24,'Tổng Đơn'!$A$5:$E$100,5,0),"")</f>
        <v/>
      </c>
      <c r="D24" s="48" t="s">
        <v>192</v>
      </c>
      <c r="E24" s="48"/>
      <c r="F24" s="53" t="str">
        <f>IF(AND($A24="",$A23&lt;&gt;""),"Tổng Cộng",IFERROR(VLOOKUP($D24,Sheet1!$A$2:$D$98,4,0),""))</f>
        <v/>
      </c>
      <c r="G24" s="54" t="str">
        <f>IF($A23=MAX($A$2:$A$50),SUM($G$2:$G23),IFERROR($F24*$E24,""))</f>
        <v/>
      </c>
      <c r="H24" s="92" t="str">
        <f t="shared" si="1"/>
        <v/>
      </c>
      <c r="K24" s="49">
        <v>1</v>
      </c>
    </row>
    <row r="25" spans="1:11" s="46" customFormat="1" ht="24.95" customHeight="1" x14ac:dyDescent="0.25">
      <c r="A25" s="51" t="str">
        <f t="shared" si="0"/>
        <v/>
      </c>
      <c r="B25" s="52" t="str">
        <f>IFERROR(VLOOKUP($D25,Sheet1!$A$2:$B$98,2,0),"")</f>
        <v/>
      </c>
      <c r="C25" s="89" t="str">
        <f>IFERROR(VLOOKUP($D25,'Tổng Đơn'!$A$5:$E$100,5,0),"")</f>
        <v/>
      </c>
      <c r="D25" s="48" t="s">
        <v>192</v>
      </c>
      <c r="E25" s="48"/>
      <c r="F25" s="53" t="str">
        <f>IF(AND($A25="",$A24&lt;&gt;""),"Tổng Cộng",IFERROR(VLOOKUP($D25,Sheet1!$A$2:$D$98,4,0),""))</f>
        <v/>
      </c>
      <c r="G25" s="54" t="str">
        <f>IF($A24=MAX($A$2:$A$50),SUM($G$2:$G24),IFERROR($F25*$E25,""))</f>
        <v/>
      </c>
      <c r="H25" s="92" t="str">
        <f t="shared" si="1"/>
        <v/>
      </c>
      <c r="K25" s="49">
        <v>1</v>
      </c>
    </row>
    <row r="26" spans="1:11" s="46" customFormat="1" ht="24.95" customHeight="1" x14ac:dyDescent="0.25">
      <c r="A26" s="51" t="str">
        <f t="shared" si="0"/>
        <v/>
      </c>
      <c r="B26" s="52" t="str">
        <f>IFERROR(VLOOKUP($D26,Sheet1!$A$2:$B$98,2,0),"")</f>
        <v/>
      </c>
      <c r="C26" s="89" t="str">
        <f>IFERROR(VLOOKUP($D26,'Tổng Đơn'!$A$5:$E$100,5,0),"")</f>
        <v/>
      </c>
      <c r="D26" s="48" t="s">
        <v>192</v>
      </c>
      <c r="E26" s="48"/>
      <c r="F26" s="53" t="str">
        <f>IF(AND($A26="",$A25&lt;&gt;""),"Tổng Cộng",IFERROR(VLOOKUP($D26,Sheet1!$A$2:$D$98,4,0),""))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IFERROR(VLOOKUP($D27,Sheet1!$A$2:$B$98,2,0),"")</f>
        <v/>
      </c>
      <c r="C27" s="89" t="str">
        <f>IFERROR(VLOOKUP($D27,'Tổng Đơn'!$A$5:$E$100,5,0),"")</f>
        <v/>
      </c>
      <c r="D27" s="48" t="s">
        <v>192</v>
      </c>
      <c r="E27" s="48"/>
      <c r="F27" s="53" t="str">
        <f>IF(AND($A27="",$A26&lt;&gt;""),"Tổng Cộng",IFERROR(VLOOKUP($D27,Sheet1!$A$2:$D$98,4,0),""))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IFERROR(VLOOKUP($D28,Sheet1!$A$2:$B$98,2,0),"")</f>
        <v/>
      </c>
      <c r="C28" s="89" t="str">
        <f>IFERROR(VLOOKUP($D28,'Tổng Đơn'!$A$5:$E$100,5,0),"")</f>
        <v/>
      </c>
      <c r="D28" s="48" t="s">
        <v>192</v>
      </c>
      <c r="E28" s="48"/>
      <c r="F28" s="53" t="str">
        <f>IF(AND($A28="",$A27&lt;&gt;""),"Tổng Cộng",IFERROR(VLOOKUP($D28,Sheet1!$A$2:$D$98,4,0),""))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IFERROR(VLOOKUP($D29,Sheet1!$A$2:$B$98,2,0),"")</f>
        <v/>
      </c>
      <c r="C29" s="89" t="str">
        <f>IFERROR(VLOOKUP($D29,'Tổng Đơn'!$A$5:$E$100,5,0),"")</f>
        <v/>
      </c>
      <c r="D29" s="48" t="s">
        <v>192</v>
      </c>
      <c r="E29" s="48"/>
      <c r="F29" s="53" t="str">
        <f>IF(AND($A29="",$A28&lt;&gt;""),"Tổng Cộng",IFERROR(VLOOKUP($D29,Sheet1!$A$2:$D$98,4,0),""))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IFERROR(VLOOKUP($D30,Sheet1!$A$2:$B$98,2,0),"")</f>
        <v/>
      </c>
      <c r="C30" s="89" t="str">
        <f>IFERROR(VLOOKUP($D30,'Tổng Đơn'!$A$5:$E$100,5,0),"")</f>
        <v/>
      </c>
      <c r="D30" s="48" t="s">
        <v>192</v>
      </c>
      <c r="E30" s="48"/>
      <c r="F30" s="53" t="str">
        <f>IF(AND($A30="",$A29&lt;&gt;""),"Tổng Cộng",IFERROR(VLOOKUP($D30,Sheet1!$A$2:$D$98,4,0),""))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IFERROR(VLOOKUP($D31,Sheet1!$A$2:$B$98,2,0),"")</f>
        <v/>
      </c>
      <c r="C31" s="89" t="str">
        <f>IFERROR(VLOOKUP($D31,'Tổng Đơn'!$A$5:$E$100,5,0),"")</f>
        <v/>
      </c>
      <c r="D31" s="48" t="s">
        <v>192</v>
      </c>
      <c r="E31" s="48"/>
      <c r="F31" s="53" t="str">
        <f>IF(AND($A31="",$A30&lt;&gt;""),"Tổng Cộng",IFERROR(VLOOKUP($D31,Sheet1!$A$2:$D$98,4,0),""))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Cộng",IFERROR(VLOOKUP($D32,Sheet1!$A$2:$D$98,4,0),""))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F3">
    <cfRule type="expression" dxfId="83" priority="12">
      <formula>$A2=MAX($A$2:$A$31)</formula>
    </cfRule>
  </conditionalFormatting>
  <conditionalFormatting sqref="D2:D3">
    <cfRule type="expression" dxfId="82" priority="11">
      <formula>AND($D2="",$E2&lt;&gt;"")</formula>
    </cfRule>
  </conditionalFormatting>
  <conditionalFormatting sqref="E2:E3">
    <cfRule type="expression" dxfId="81" priority="10">
      <formula>AND($E2="",$D2&lt;&gt;"")</formula>
    </cfRule>
  </conditionalFormatting>
  <conditionalFormatting sqref="C2:C3">
    <cfRule type="expression" dxfId="80" priority="9">
      <formula>AND($D2="",$E2&lt;&gt;"")</formula>
    </cfRule>
  </conditionalFormatting>
  <conditionalFormatting sqref="A10:G31 A4:F9 G2:G9">
    <cfRule type="expression" dxfId="79" priority="8">
      <formula>$A1=MAX($A$2:$A$31)</formula>
    </cfRule>
  </conditionalFormatting>
  <conditionalFormatting sqref="D4:D31">
    <cfRule type="expression" dxfId="78" priority="7">
      <formula>AND($D4="",$E4&lt;&gt;"")</formula>
    </cfRule>
  </conditionalFormatting>
  <conditionalFormatting sqref="E4:E31">
    <cfRule type="expression" dxfId="77" priority="6">
      <formula>AND($E4="",$D4&lt;&gt;"")</formula>
    </cfRule>
  </conditionalFormatting>
  <conditionalFormatting sqref="C4:C31">
    <cfRule type="expression" dxfId="76" priority="5">
      <formula>AND($D4="",$E4&lt;&gt;"")</formula>
    </cfRule>
  </conditionalFormatting>
  <conditionalFormatting sqref="A32:G32">
    <cfRule type="expression" dxfId="75" priority="4">
      <formula>$A31=MAX($A$2:$A$31)</formula>
    </cfRule>
  </conditionalFormatting>
  <conditionalFormatting sqref="D32">
    <cfRule type="expression" dxfId="74" priority="3">
      <formula>AND($D32="",$E32&lt;&gt;"")</formula>
    </cfRule>
  </conditionalFormatting>
  <conditionalFormatting sqref="E32">
    <cfRule type="expression" dxfId="73" priority="2">
      <formula>AND($E32="",$D32&lt;&gt;"")</formula>
    </cfRule>
  </conditionalFormatting>
  <conditionalFormatting sqref="C32">
    <cfRule type="expression" dxfId="72"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505"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1"/>
  </sheetPr>
  <dimension ref="A1:M52"/>
  <sheetViews>
    <sheetView zoomScaleNormal="100" workbookViewId="0">
      <pane ySplit="1" topLeftCell="A2" activePane="bottomLeft" state="frozen"/>
      <selection activeCell="H16" sqref="H16"/>
      <selection pane="bottomLeft" activeCell="H2" sqref="H2"/>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3" width="10.140625" style="14" bestFit="1" customWidth="1"/>
    <col min="14" max="16384" width="9.140625" style="14"/>
  </cols>
  <sheetData>
    <row r="1" spans="1:13" s="45" customFormat="1" ht="39" customHeight="1" x14ac:dyDescent="0.25">
      <c r="A1" s="47" t="s">
        <v>0</v>
      </c>
      <c r="B1" s="47" t="s">
        <v>17</v>
      </c>
      <c r="C1" s="87" t="s">
        <v>55</v>
      </c>
      <c r="D1" s="91" t="s">
        <v>118</v>
      </c>
      <c r="E1" s="91" t="s">
        <v>16</v>
      </c>
      <c r="F1" s="47" t="s">
        <v>18</v>
      </c>
      <c r="G1" s="47" t="s">
        <v>19</v>
      </c>
      <c r="H1" s="157" t="s">
        <v>227</v>
      </c>
      <c r="I1" s="55">
        <f>SUBTOTAL(9,H2:H31)</f>
        <v>0.5</v>
      </c>
      <c r="K1" s="47" t="s">
        <v>18</v>
      </c>
    </row>
    <row r="2" spans="1:13" s="46" customFormat="1" ht="24.95" customHeight="1" x14ac:dyDescent="0.25">
      <c r="A2" s="51">
        <f>IF(OR(SUM($A1,$D2&lt;&gt;"")=0,$D2=""),"",SUM($A1,$D2&lt;&gt;""))</f>
        <v>1</v>
      </c>
      <c r="B2" s="52" t="str">
        <f>IFERROR(VLOOKUP($D2,Sheet1!$A$2:$B$98,2,0),"")</f>
        <v>Cá viên HM</v>
      </c>
      <c r="C2" s="88">
        <f>IFERROR(VLOOKUP($D2,'Tổng Đơn'!$A$5:$E$100,5,0),"")</f>
        <v>0.5</v>
      </c>
      <c r="D2" s="48">
        <v>2</v>
      </c>
      <c r="E2" s="48">
        <v>1</v>
      </c>
      <c r="F2" s="53">
        <f>IFERROR(VLOOKUP($D2,Sheet1!$A$2:$D$98,4,0),"")</f>
        <v>25000</v>
      </c>
      <c r="G2" s="54">
        <f>IF($A1=MAX($A$2:$A$50),SUM($G1:$G$2),IFERROR($F2*$E2,""))</f>
        <v>25000</v>
      </c>
      <c r="H2" s="92">
        <f>IFERROR(E2*C2,"")</f>
        <v>0.5</v>
      </c>
      <c r="I2" s="46" t="str">
        <f>IF(SUMPRODUCT(($E$2:$E$12),($K$2:$K$12))&gt;=200000,"KM 15%",IF(SUMPRODUCT(($E$2:$E$12),($K$2:$K$12))&gt;=100000,"KM 10%",""))</f>
        <v/>
      </c>
      <c r="K2" s="50">
        <f>IFERROR(VLOOKUP($D2,Sheet1!$A$2:$D$98,4,0),"")</f>
        <v>25000</v>
      </c>
    </row>
    <row r="3" spans="1:13" s="46" customFormat="1" ht="24.95" customHeight="1" x14ac:dyDescent="0.25">
      <c r="A3" s="51" t="str">
        <f t="shared" ref="A3:A31" si="0">IF(OR(SUM($A2,$D3&lt;&gt;"")=0,$D3=""),"",SUM($A2,$D3&lt;&gt;""))</f>
        <v/>
      </c>
      <c r="B3" s="52" t="str">
        <f>IFERROR(VLOOKUP($D3,Sheet1!$A$2:$B$98,2,0),"")</f>
        <v/>
      </c>
      <c r="C3" s="89" t="str">
        <f>IFERROR(VLOOKUP($D3,'Tổng Đơn'!$A$5:$E$100,5,0),"")</f>
        <v/>
      </c>
      <c r="D3" s="48" t="s">
        <v>192</v>
      </c>
      <c r="E3" s="48"/>
      <c r="F3" s="53" t="str">
        <f>IF(AND($A3="",$A2&lt;&gt;""),"Tổng Cộng",IFERROR(VLOOKUP($D3,Sheet1!$A$2:$D$98,4,0),""))</f>
        <v>Tổng Cộng</v>
      </c>
      <c r="G3" s="54">
        <f>IF($A2=MAX($A$2:$A$50),SUM($G$2:$G2),IFERROR($F3*$E3,""))</f>
        <v>25000</v>
      </c>
      <c r="H3" s="92" t="str">
        <f t="shared" ref="H3:H31" si="1">IFERROR(E3*C3,"")</f>
        <v/>
      </c>
      <c r="K3" s="49" t="str">
        <f>IFERROR(VLOOKUP($D3,Sheet1!$A$2:$D$98,4,0),"")</f>
        <v/>
      </c>
    </row>
    <row r="4" spans="1:13" s="46" customFormat="1" ht="24.95" customHeight="1" x14ac:dyDescent="0.25">
      <c r="A4" s="51" t="str">
        <f t="shared" si="0"/>
        <v/>
      </c>
      <c r="B4" s="52" t="str">
        <f>IFERROR(VLOOKUP($D4,Sheet1!$A$2:$B$98,2,0),"")</f>
        <v/>
      </c>
      <c r="C4" s="89" t="str">
        <f>IFERROR(VLOOKUP($D4,'Tổng Đơn'!$A$5:$E$100,5,0),"")</f>
        <v/>
      </c>
      <c r="D4" s="48" t="s">
        <v>192</v>
      </c>
      <c r="E4" s="48"/>
      <c r="F4" s="53" t="str">
        <f>IF(AND($A4="",$A3&lt;&gt;""),"Tổng Cộng",IFERROR(VLOOKUP($D4,Sheet1!$A$2:$D$98,4,0),""))</f>
        <v/>
      </c>
      <c r="G4" s="54" t="str">
        <f>IF($A3=MAX($A$2:$A$50),SUM($G$2:$G3),IFERROR($F4*$E4,""))</f>
        <v/>
      </c>
      <c r="H4" s="92" t="str">
        <f t="shared" si="1"/>
        <v/>
      </c>
      <c r="K4" s="49" t="str">
        <f>IFERROR(VLOOKUP($D4,Sheet1!$A$2:$D$98,4,0),"")</f>
        <v/>
      </c>
    </row>
    <row r="5" spans="1:13" s="46" customFormat="1" ht="24.95" customHeight="1" x14ac:dyDescent="0.25">
      <c r="A5" s="51" t="str">
        <f t="shared" si="0"/>
        <v/>
      </c>
      <c r="B5" s="52" t="str">
        <f>IFERROR(VLOOKUP($D5,Sheet1!$A$2:$B$98,2,0),"")</f>
        <v/>
      </c>
      <c r="C5" s="89" t="str">
        <f>IFERROR(VLOOKUP($D5,'Tổng Đơn'!$A$5:$E$100,5,0),"")</f>
        <v/>
      </c>
      <c r="D5" s="48" t="s">
        <v>192</v>
      </c>
      <c r="E5" s="48"/>
      <c r="F5" s="53" t="str">
        <f>IF(AND($A5="",$A4&lt;&gt;""),"Tổng Cộng",IFERROR(VLOOKUP($D5,Sheet1!$A$2:$D$98,4,0),""))</f>
        <v/>
      </c>
      <c r="G5" s="54" t="str">
        <f>IF($A4=MAX($A$2:$A$50),SUM($G$2:$G4),IFERROR($F5*$E5,""))</f>
        <v/>
      </c>
      <c r="H5" s="92" t="str">
        <f t="shared" si="1"/>
        <v/>
      </c>
      <c r="K5" s="49" t="str">
        <f>IFERROR(VLOOKUP($D5,Sheet1!$A$2:$D$98,4,0),"")</f>
        <v/>
      </c>
    </row>
    <row r="6" spans="1:13" s="46" customFormat="1" ht="24.95" customHeight="1" x14ac:dyDescent="0.25">
      <c r="A6" s="51" t="str">
        <f t="shared" si="0"/>
        <v/>
      </c>
      <c r="B6" s="52" t="str">
        <f>IFERROR(VLOOKUP($D6,Sheet1!$A$2:$B$98,2,0),"")</f>
        <v/>
      </c>
      <c r="C6" s="89" t="str">
        <f>IFERROR(VLOOKUP($D6,'Tổng Đơn'!$A$5:$E$100,5,0),"")</f>
        <v/>
      </c>
      <c r="D6" s="48" t="s">
        <v>192</v>
      </c>
      <c r="E6" s="48"/>
      <c r="F6" s="53" t="str">
        <f>IF(AND($A6="",$A5&lt;&gt;""),"Tổng Cộng",IFERROR(VLOOKUP($D6,Sheet1!$A$2:$D$98,4,0),""))</f>
        <v/>
      </c>
      <c r="G6" s="54" t="str">
        <f>IF($A5=MAX($A$2:$A$50),SUM($G$2:$G5),IFERROR($F6*$E6,""))</f>
        <v/>
      </c>
      <c r="H6" s="92" t="str">
        <f t="shared" si="1"/>
        <v/>
      </c>
      <c r="I6" s="175"/>
      <c r="K6" s="49"/>
      <c r="L6" s="184"/>
      <c r="M6" s="176"/>
    </row>
    <row r="7" spans="1:13" s="46" customFormat="1" ht="24.95" customHeight="1" x14ac:dyDescent="0.25">
      <c r="A7" s="51" t="str">
        <f t="shared" si="0"/>
        <v/>
      </c>
      <c r="B7" s="52" t="str">
        <f>IFERROR(VLOOKUP($D7,Sheet1!$A$2:$B$98,2,0),"")</f>
        <v/>
      </c>
      <c r="C7" s="89" t="str">
        <f>IFERROR(VLOOKUP($D7,'Tổng Đơn'!$A$5:$E$100,5,0),"")</f>
        <v/>
      </c>
      <c r="D7" s="48" t="s">
        <v>192</v>
      </c>
      <c r="E7" s="48"/>
      <c r="F7" s="53" t="str">
        <f>IF(AND($A7="",$A6&lt;&gt;""),"Tổng Cộng",IFERROR(VLOOKUP($D7,Sheet1!$A$2:$D$98,4,0),""))</f>
        <v/>
      </c>
      <c r="G7" s="54" t="str">
        <f>IF($A6=MAX($A$2:$A$50),SUM($G$2:$G6),IFERROR($F7*$E7,""))</f>
        <v/>
      </c>
      <c r="H7" s="92" t="str">
        <f t="shared" si="1"/>
        <v/>
      </c>
      <c r="K7" s="49"/>
    </row>
    <row r="8" spans="1:13" s="46" customFormat="1" ht="24.95" customHeight="1" x14ac:dyDescent="0.25">
      <c r="A8" s="51" t="str">
        <f t="shared" si="0"/>
        <v/>
      </c>
      <c r="B8" s="52" t="str">
        <f>IFERROR(VLOOKUP($D8,Sheet1!$A$2:$B$98,2,0),"")</f>
        <v/>
      </c>
      <c r="C8" s="89" t="str">
        <f>IFERROR(VLOOKUP($D8,'Tổng Đơn'!$A$5:$E$100,5,0),"")</f>
        <v/>
      </c>
      <c r="D8" s="48" t="s">
        <v>192</v>
      </c>
      <c r="E8" s="48"/>
      <c r="F8" s="53" t="str">
        <f>IF(AND($A8="",$A7&lt;&gt;""),"Tổng Cộng",IFERROR(VLOOKUP($D8,Sheet1!$A$2:$D$98,4,0),""))</f>
        <v/>
      </c>
      <c r="G8" s="54" t="str">
        <f>IF($A7=MAX($A$2:$A$50),SUM($G$2:$G7),IFERROR($F8*$E8,""))</f>
        <v/>
      </c>
      <c r="H8" s="92" t="str">
        <f t="shared" si="1"/>
        <v/>
      </c>
      <c r="K8" s="49" t="str">
        <f>IFERROR(VLOOKUP($D8,Sheet1!$A$2:$D$98,4,0),"")</f>
        <v/>
      </c>
      <c r="L8" s="185"/>
    </row>
    <row r="9" spans="1:13" s="46" customFormat="1" ht="24.95" customHeight="1" x14ac:dyDescent="0.25">
      <c r="A9" s="51" t="str">
        <f t="shared" si="0"/>
        <v/>
      </c>
      <c r="B9" s="52" t="str">
        <f>IFERROR(VLOOKUP($D9,Sheet1!$A$2:$B$98,2,0),"")</f>
        <v/>
      </c>
      <c r="C9" s="89" t="str">
        <f>IFERROR(VLOOKUP($D9,'Tổng Đơn'!$A$5:$E$100,5,0),"")</f>
        <v/>
      </c>
      <c r="D9" s="48" t="s">
        <v>192</v>
      </c>
      <c r="E9" s="48"/>
      <c r="F9" s="53" t="str">
        <f>IF(AND($A9="",$A8&lt;&gt;""),"Tổng Cộng",IFERROR(VLOOKUP($D9,Sheet1!$A$2:$D$98,4,0),""))</f>
        <v/>
      </c>
      <c r="G9" s="54" t="str">
        <f>IF($A8=MAX($A$2:$A$50),SUM($G$2:$G8),IFERROR($F9*$E9,""))</f>
        <v/>
      </c>
      <c r="H9" s="92" t="str">
        <f t="shared" si="1"/>
        <v/>
      </c>
      <c r="K9" s="49" t="str">
        <f>IFERROR(VLOOKUP($D9,Sheet1!$A$2:$D$98,4,0),"")</f>
        <v/>
      </c>
    </row>
    <row r="10" spans="1:13" s="46" customFormat="1" ht="24.95" customHeight="1" x14ac:dyDescent="0.25">
      <c r="A10" s="51" t="str">
        <f t="shared" si="0"/>
        <v/>
      </c>
      <c r="B10" s="52" t="str">
        <f>IFERROR(VLOOKUP($D10,Sheet1!$A$2:$B$98,2,0),"")</f>
        <v/>
      </c>
      <c r="C10" s="89" t="str">
        <f>IFERROR(VLOOKUP($D10,'Tổng Đơn'!$A$5:$E$100,5,0),"")</f>
        <v/>
      </c>
      <c r="D10" s="48" t="s">
        <v>192</v>
      </c>
      <c r="E10" s="48"/>
      <c r="F10" s="53" t="str">
        <f>IF(AND($A10="",$A9&lt;&gt;""),"Tổng Cộng",IFERROR(VLOOKUP($D10,Sheet1!$A$2:$D$98,4,0),""))</f>
        <v/>
      </c>
      <c r="G10" s="54" t="str">
        <f>IF($A9=MAX($A$2:$A$50),SUM($G$2:$G9),IFERROR($F10*$E10,""))</f>
        <v/>
      </c>
      <c r="H10" s="92" t="str">
        <f t="shared" si="1"/>
        <v/>
      </c>
      <c r="K10" s="49" t="str">
        <f>IFERROR(VLOOKUP($D10,Sheet1!$A$2:$D$98,4,0),"")</f>
        <v/>
      </c>
    </row>
    <row r="11" spans="1:13" s="46" customFormat="1" ht="24.95" customHeight="1" x14ac:dyDescent="0.25">
      <c r="A11" s="51" t="str">
        <f t="shared" si="0"/>
        <v/>
      </c>
      <c r="B11" s="52" t="str">
        <f>IFERROR(VLOOKUP($D11,Sheet1!$A$2:$B$98,2,0),"")</f>
        <v/>
      </c>
      <c r="C11" s="89" t="str">
        <f>IFERROR(VLOOKUP($D11,'Tổng Đơn'!$A$5:$E$100,5,0),"")</f>
        <v/>
      </c>
      <c r="D11" s="48" t="s">
        <v>192</v>
      </c>
      <c r="E11" s="48"/>
      <c r="F11" s="53" t="str">
        <f>IF(AND($A11="",$A10&lt;&gt;""),"Tổng Cộng",IFERROR(VLOOKUP($D11,Sheet1!$A$2:$D$98,4,0),""))</f>
        <v/>
      </c>
      <c r="G11" s="54" t="str">
        <f>IF($A10=MAX($A$2:$A$50),SUM($G$2:$G10),IFERROR($F11*$E11,""))</f>
        <v/>
      </c>
      <c r="H11" s="92" t="str">
        <f t="shared" si="1"/>
        <v/>
      </c>
      <c r="K11" s="49" t="str">
        <f>IFERROR(VLOOKUP($D11,Sheet1!$A$2:$D$98,4,0),"")</f>
        <v/>
      </c>
    </row>
    <row r="12" spans="1:13" s="46" customFormat="1" ht="24.95" customHeight="1" x14ac:dyDescent="0.25">
      <c r="A12" s="51" t="str">
        <f t="shared" si="0"/>
        <v/>
      </c>
      <c r="B12" s="52" t="str">
        <f>IFERROR(VLOOKUP($D12,Sheet1!$A$2:$B$98,2,0),"")</f>
        <v/>
      </c>
      <c r="C12" s="89" t="str">
        <f>IFERROR(VLOOKUP($D12,'Tổng Đơn'!$A$5:$E$100,5,0),"")</f>
        <v/>
      </c>
      <c r="D12" s="48" t="s">
        <v>192</v>
      </c>
      <c r="E12" s="48"/>
      <c r="F12" s="53" t="str">
        <f>IF(AND($A12="",$A11&lt;&gt;""),"Tổng Cộng",IFERROR(VLOOKUP($D12,Sheet1!$A$2:$D$98,4,0),""))</f>
        <v/>
      </c>
      <c r="G12" s="54" t="str">
        <f>IF($A11=MAX($A$2:$A$50),SUM($G$2:$G11),IFERROR($F12*$E12,""))</f>
        <v/>
      </c>
      <c r="H12" s="92" t="str">
        <f t="shared" si="1"/>
        <v/>
      </c>
      <c r="K12" s="49" t="str">
        <f>IFERROR(VLOOKUP($D12,Sheet1!$A$2:$D$98,4,0),"")</f>
        <v/>
      </c>
    </row>
    <row r="13" spans="1:13" s="46" customFormat="1" ht="24.95" customHeight="1" x14ac:dyDescent="0.25">
      <c r="A13" s="51" t="str">
        <f t="shared" si="0"/>
        <v/>
      </c>
      <c r="B13" s="52" t="str">
        <f>IFERROR(VLOOKUP($D13,Sheet1!$A$2:$B$98,2,0),"")</f>
        <v/>
      </c>
      <c r="C13" s="89" t="str">
        <f>IFERROR(VLOOKUP($D13,'Tổng Đơn'!$A$5:$E$100,5,0),"")</f>
        <v/>
      </c>
      <c r="D13" s="48" t="s">
        <v>192</v>
      </c>
      <c r="E13" s="48"/>
      <c r="F13" s="53" t="str">
        <f>IF(AND($A13="",$A12&lt;&gt;""),"Tổng Cộng",IFERROR(VLOOKUP($D13,Sheet1!$A$2:$D$98,4,0),""))</f>
        <v/>
      </c>
      <c r="G13" s="54" t="str">
        <f>IF($A12=MAX($A$2:$A$50),SUM($G$2:$G12),IFERROR($F13*$E13,""))</f>
        <v/>
      </c>
      <c r="H13" s="92" t="str">
        <f t="shared" si="1"/>
        <v/>
      </c>
      <c r="K13" s="49" t="str">
        <f>IFERROR(VLOOKUP($D13,Sheet1!$A$2:$D$98,4,0),"")</f>
        <v/>
      </c>
    </row>
    <row r="14" spans="1:13" s="46" customFormat="1" ht="24.95" customHeight="1" x14ac:dyDescent="0.25">
      <c r="A14" s="51" t="str">
        <f t="shared" si="0"/>
        <v/>
      </c>
      <c r="B14" s="52" t="str">
        <f>IFERROR(VLOOKUP($D14,Sheet1!$A$2:$B$98,2,0),"")</f>
        <v/>
      </c>
      <c r="C14" s="89" t="str">
        <f>IFERROR(VLOOKUP($D14,'Tổng Đơn'!$A$5:$E$100,5,0),"")</f>
        <v/>
      </c>
      <c r="D14" s="48" t="s">
        <v>192</v>
      </c>
      <c r="E14" s="48"/>
      <c r="F14" s="53" t="str">
        <f>IF(AND($A14="",$A13&lt;&gt;""),"Tổng Cộng",IFERROR(VLOOKUP($D14,Sheet1!$A$2:$D$98,4,0),""))</f>
        <v/>
      </c>
      <c r="G14" s="54" t="str">
        <f>IF($A13=MAX($A$2:$A$50),SUM($G$2:$G13),IFERROR($F14*$E14,""))</f>
        <v/>
      </c>
      <c r="H14" s="92" t="str">
        <f t="shared" si="1"/>
        <v/>
      </c>
      <c r="K14" s="49" t="str">
        <f>IFERROR(VLOOKUP($D14,Sheet1!$A$2:$D$98,4,0),"")</f>
        <v/>
      </c>
    </row>
    <row r="15" spans="1:13" s="46" customFormat="1" ht="24.95" customHeight="1" x14ac:dyDescent="0.25">
      <c r="A15" s="51" t="str">
        <f t="shared" si="0"/>
        <v/>
      </c>
      <c r="B15" s="52" t="str">
        <f>IFERROR(VLOOKUP($D15,Sheet1!$A$2:$B$98,2,0),"")</f>
        <v/>
      </c>
      <c r="C15" s="89" t="str">
        <f>IFERROR(VLOOKUP($D15,'Tổng Đơn'!$A$5:$E$100,5,0),"")</f>
        <v/>
      </c>
      <c r="D15" s="48" t="s">
        <v>192</v>
      </c>
      <c r="E15" s="48"/>
      <c r="F15" s="53" t="str">
        <f>IF(AND($A15="",$A14&lt;&gt;""),"Tổng Cộng",IFERROR(VLOOKUP($D15,Sheet1!$A$2:$D$98,4,0),""))</f>
        <v/>
      </c>
      <c r="G15" s="54" t="str">
        <f>IF($A14=MAX($A$2:$A$50),SUM($G$2:$G14),IFERROR($F15*$E15,""))</f>
        <v/>
      </c>
      <c r="H15" s="92" t="str">
        <f t="shared" si="1"/>
        <v/>
      </c>
      <c r="K15" s="49" t="str">
        <f>IFERROR(VLOOKUP($D15,Sheet1!$A$2:$D$98,4,0),"")</f>
        <v/>
      </c>
    </row>
    <row r="16" spans="1:13" s="46" customFormat="1" ht="24.95" customHeight="1" x14ac:dyDescent="0.25">
      <c r="A16" s="51" t="str">
        <f t="shared" si="0"/>
        <v/>
      </c>
      <c r="B16" s="52" t="str">
        <f>IFERROR(VLOOKUP($D16,Sheet1!$A$2:$B$98,2,0),"")</f>
        <v/>
      </c>
      <c r="C16" s="89" t="str">
        <f>IFERROR(VLOOKUP($D16,'Tổng Đơn'!$A$5:$E$100,5,0),"")</f>
        <v/>
      </c>
      <c r="D16" s="48" t="s">
        <v>192</v>
      </c>
      <c r="E16" s="48"/>
      <c r="F16" s="53" t="str">
        <f>IF(AND($A16="",$A15&lt;&gt;""),"Tổng Cộng",IFERROR(VLOOKUP($D16,Sheet1!$A$2:$D$98,4,0),""))</f>
        <v/>
      </c>
      <c r="G16" s="54" t="str">
        <f>IF($A15=MAX($A$2:$A$50),SUM($G$2:$G15),IFERROR($F16*$E16,""))</f>
        <v/>
      </c>
      <c r="H16" s="92" t="str">
        <f t="shared" si="1"/>
        <v/>
      </c>
      <c r="K16" s="49" t="str">
        <f>IFERROR(VLOOKUP($D16,Sheet1!$A$2:$D$98,4,0),"")</f>
        <v/>
      </c>
    </row>
    <row r="17" spans="1:11" s="46" customFormat="1" ht="24.95" customHeight="1" x14ac:dyDescent="0.25">
      <c r="A17" s="51" t="str">
        <f t="shared" si="0"/>
        <v/>
      </c>
      <c r="B17" s="52" t="str">
        <f>IFERROR(VLOOKUP($D17,Sheet1!$A$2:$B$98,2,0),"")</f>
        <v/>
      </c>
      <c r="C17" s="89" t="str">
        <f>IFERROR(VLOOKUP($D17,'Tổng Đơn'!$A$5:$E$100,5,0),"")</f>
        <v/>
      </c>
      <c r="D17" s="48" t="s">
        <v>192</v>
      </c>
      <c r="E17" s="48"/>
      <c r="F17" s="53" t="str">
        <f>IF(AND($A17="",$A16&lt;&gt;""),"Tổng Cộng",IFERROR(VLOOKUP($D17,Sheet1!$A$2:$D$98,4,0),""))</f>
        <v/>
      </c>
      <c r="G17" s="54" t="str">
        <f>IF($A16=MAX($A$2:$A$50),SUM($G$2:$G16),IFERROR($F17*$E17,""))</f>
        <v/>
      </c>
      <c r="H17" s="92" t="str">
        <f t="shared" si="1"/>
        <v/>
      </c>
      <c r="K17" s="49" t="str">
        <f>IFERROR(VLOOKUP($D17,Sheet1!$A$2:$D$98,4,0),"")</f>
        <v/>
      </c>
    </row>
    <row r="18" spans="1:11" s="46" customFormat="1" ht="24.95" customHeight="1" x14ac:dyDescent="0.25">
      <c r="A18" s="51" t="str">
        <f t="shared" si="0"/>
        <v/>
      </c>
      <c r="B18" s="52" t="str">
        <f>IFERROR(VLOOKUP($D18,Sheet1!$A$2:$B$98,2,0),"")</f>
        <v/>
      </c>
      <c r="C18" s="89" t="str">
        <f>IFERROR(VLOOKUP($D18,'Tổng Đơn'!$A$5:$E$100,5,0),"")</f>
        <v/>
      </c>
      <c r="D18" s="48" t="s">
        <v>192</v>
      </c>
      <c r="E18" s="48"/>
      <c r="F18" s="53" t="str">
        <f>IF(AND($A18="",$A17&lt;&gt;""),"Tổng Cộng",IFERROR(VLOOKUP($D18,Sheet1!$A$2:$D$98,4,0),""))</f>
        <v/>
      </c>
      <c r="G18" s="54" t="str">
        <f>IF($A17=MAX($A$2:$A$50),SUM($G$2:$G17),IFERROR($F18*$E18,""))</f>
        <v/>
      </c>
      <c r="H18" s="92" t="str">
        <f t="shared" si="1"/>
        <v/>
      </c>
      <c r="K18" s="49" t="str">
        <f>IFERROR(VLOOKUP($D18,Sheet1!$A$2:$D$98,4,0),"")</f>
        <v/>
      </c>
    </row>
    <row r="19" spans="1:11" s="46" customFormat="1" ht="24.95" customHeight="1" x14ac:dyDescent="0.25">
      <c r="A19" s="51" t="str">
        <f t="shared" si="0"/>
        <v/>
      </c>
      <c r="B19" s="52" t="str">
        <f>IFERROR(VLOOKUP($D19,Sheet1!$A$2:$B$98,2,0),"")</f>
        <v/>
      </c>
      <c r="C19" s="89" t="str">
        <f>IFERROR(VLOOKUP($D19,'Tổng Đơn'!$A$5:$E$100,5,0),"")</f>
        <v/>
      </c>
      <c r="D19" s="48" t="s">
        <v>192</v>
      </c>
      <c r="E19" s="48"/>
      <c r="F19" s="53" t="str">
        <f>IF(AND($A19="",$A18&lt;&gt;""),"Tổng Cộng",IFERROR(VLOOKUP($D19,Sheet1!$A$2:$D$98,4,0),""))</f>
        <v/>
      </c>
      <c r="G19" s="54" t="str">
        <f>IF($A18=MAX($A$2:$A$50),SUM($G$2:$G18),IFERROR($F19*$E19,""))</f>
        <v/>
      </c>
      <c r="H19" s="92" t="str">
        <f t="shared" si="1"/>
        <v/>
      </c>
      <c r="K19" s="49" t="str">
        <f>IFERROR(VLOOKUP($D19,Sheet1!$A$2:$D$98,4,0),"")</f>
        <v/>
      </c>
    </row>
    <row r="20" spans="1:11" s="46" customFormat="1" ht="24.95" customHeight="1" x14ac:dyDescent="0.25">
      <c r="A20" s="51" t="str">
        <f t="shared" si="0"/>
        <v/>
      </c>
      <c r="B20" s="52" t="str">
        <f>IFERROR(VLOOKUP($D20,Sheet1!$A$2:$B$98,2,0),"")</f>
        <v/>
      </c>
      <c r="C20" s="89" t="str">
        <f>IFERROR(VLOOKUP($D20,'Tổng Đơn'!$A$5:$E$100,5,0),"")</f>
        <v/>
      </c>
      <c r="D20" s="48" t="s">
        <v>192</v>
      </c>
      <c r="E20" s="48"/>
      <c r="F20" s="53" t="str">
        <f>IF(AND($A20="",$A19&lt;&gt;""),"Tổng Cộng",IFERROR(VLOOKUP($D20,Sheet1!$A$2:$D$98,4,0),""))</f>
        <v/>
      </c>
      <c r="G20" s="54" t="str">
        <f>IF($A19=MAX($A$2:$A$50),SUM($G$2:$G19),IFERROR($F20*$E20,""))</f>
        <v/>
      </c>
      <c r="H20" s="92" t="str">
        <f t="shared" si="1"/>
        <v/>
      </c>
      <c r="K20" s="49" t="str">
        <f>IFERROR(VLOOKUP($D20,Sheet1!$A$2:$D$98,4,0),"")</f>
        <v/>
      </c>
    </row>
    <row r="21" spans="1:11" s="46" customFormat="1" ht="24.95" customHeight="1" x14ac:dyDescent="0.25">
      <c r="A21" s="51" t="str">
        <f t="shared" si="0"/>
        <v/>
      </c>
      <c r="B21" s="52" t="str">
        <f>IFERROR(VLOOKUP($D21,Sheet1!$A$2:$B$98,2,0),"")</f>
        <v/>
      </c>
      <c r="C21" s="89" t="str">
        <f>IFERROR(VLOOKUP($D21,'Tổng Đơn'!$A$5:$E$100,5,0),"")</f>
        <v/>
      </c>
      <c r="D21" s="48" t="s">
        <v>192</v>
      </c>
      <c r="E21" s="48"/>
      <c r="F21" s="53" t="str">
        <f>IF(AND($A21="",$A20&lt;&gt;""),"Tổng Cộng",IFERROR(VLOOKUP($D21,Sheet1!$A$2:$D$98,4,0),""))</f>
        <v/>
      </c>
      <c r="G21" s="54" t="str">
        <f>IF($A20=MAX($A$2:$A$50),SUM($G$2:$G20),IFERROR($F21*$E21,""))</f>
        <v/>
      </c>
      <c r="H21" s="92" t="str">
        <f t="shared" si="1"/>
        <v/>
      </c>
      <c r="K21" s="49"/>
    </row>
    <row r="22" spans="1:11" s="46" customFormat="1" ht="24.95" customHeight="1" x14ac:dyDescent="0.25">
      <c r="A22" s="51" t="str">
        <f t="shared" si="0"/>
        <v/>
      </c>
      <c r="B22" s="52" t="str">
        <f>IFERROR(VLOOKUP($D22,Sheet1!$A$2:$B$98,2,0),"")</f>
        <v/>
      </c>
      <c r="C22" s="89" t="str">
        <f>IFERROR(VLOOKUP($D22,'Tổng Đơn'!$A$5:$E$100,5,0),"")</f>
        <v/>
      </c>
      <c r="D22" s="48" t="s">
        <v>192</v>
      </c>
      <c r="E22" s="48"/>
      <c r="F22" s="53" t="str">
        <f>IF(AND($A22="",$A21&lt;&gt;""),"Tổng Cộng",IFERROR(VLOOKUP($D22,Sheet1!$A$2:$D$98,4,0),""))</f>
        <v/>
      </c>
      <c r="G22" s="54" t="str">
        <f>IF($A21=MAX($A$2:$A$50),SUM($G$2:$G21),IFERROR($F22*$E22,""))</f>
        <v/>
      </c>
      <c r="H22" s="92" t="str">
        <f t="shared" si="1"/>
        <v/>
      </c>
      <c r="K22" s="49"/>
    </row>
    <row r="23" spans="1:11" s="46" customFormat="1" ht="24.95" customHeight="1" x14ac:dyDescent="0.25">
      <c r="A23" s="51" t="str">
        <f t="shared" si="0"/>
        <v/>
      </c>
      <c r="B23" s="52" t="str">
        <f>IFERROR(VLOOKUP($D23,Sheet1!$A$2:$B$98,2,0),"")</f>
        <v/>
      </c>
      <c r="C23" s="89" t="str">
        <f>IFERROR(VLOOKUP($D23,'Tổng Đơn'!$A$5:$E$100,5,0),"")</f>
        <v/>
      </c>
      <c r="D23" s="48" t="s">
        <v>192</v>
      </c>
      <c r="E23" s="48"/>
      <c r="F23" s="53" t="str">
        <f>IF(AND($A23="",$A22&lt;&gt;""),"Tổng Cộng",IFERROR(VLOOKUP($D23,Sheet1!$A$2:$D$98,4,0),""))</f>
        <v/>
      </c>
      <c r="G23" s="54" t="str">
        <f>IF($A22=MAX($A$2:$A$50),SUM($G$2:$G22),IFERROR($F23*$E23,""))</f>
        <v/>
      </c>
      <c r="H23" s="92" t="str">
        <f t="shared" si="1"/>
        <v/>
      </c>
      <c r="K23" s="49">
        <v>1</v>
      </c>
    </row>
    <row r="24" spans="1:11" s="46" customFormat="1" ht="24.95" customHeight="1" x14ac:dyDescent="0.25">
      <c r="A24" s="51" t="str">
        <f t="shared" si="0"/>
        <v/>
      </c>
      <c r="B24" s="52" t="str">
        <f>IFERROR(VLOOKUP($D24,Sheet1!$A$2:$B$98,2,0),"")</f>
        <v/>
      </c>
      <c r="C24" s="89" t="str">
        <f>IFERROR(VLOOKUP($D24,'Tổng Đơn'!$A$5:$E$100,5,0),"")</f>
        <v/>
      </c>
      <c r="D24" s="48" t="s">
        <v>192</v>
      </c>
      <c r="E24" s="48"/>
      <c r="F24" s="53" t="str">
        <f>IF(AND($A24="",$A23&lt;&gt;""),"Tổng Cộng",IFERROR(VLOOKUP($D24,Sheet1!$A$2:$D$98,4,0),""))</f>
        <v/>
      </c>
      <c r="G24" s="54" t="str">
        <f>IF($A23=MAX($A$2:$A$50),SUM($G$2:$G23),IFERROR($F24*$E24,""))</f>
        <v/>
      </c>
      <c r="H24" s="92" t="str">
        <f t="shared" si="1"/>
        <v/>
      </c>
      <c r="K24" s="49">
        <v>1</v>
      </c>
    </row>
    <row r="25" spans="1:11" s="46" customFormat="1" ht="24.95" customHeight="1" x14ac:dyDescent="0.25">
      <c r="A25" s="51" t="str">
        <f t="shared" si="0"/>
        <v/>
      </c>
      <c r="B25" s="52" t="str">
        <f>IFERROR(VLOOKUP($D25,Sheet1!$A$2:$B$98,2,0),"")</f>
        <v/>
      </c>
      <c r="C25" s="89" t="str">
        <f>IFERROR(VLOOKUP($D25,'Tổng Đơn'!$A$5:$E$100,5,0),"")</f>
        <v/>
      </c>
      <c r="D25" s="48" t="s">
        <v>192</v>
      </c>
      <c r="E25" s="48"/>
      <c r="F25" s="53" t="str">
        <f>IF(AND($A25="",$A24&lt;&gt;""),"Tổng Cộng",IFERROR(VLOOKUP($D25,Sheet1!$A$2:$D$98,4,0),""))</f>
        <v/>
      </c>
      <c r="G25" s="54" t="str">
        <f>IF($A24=MAX($A$2:$A$50),SUM($G$2:$G24),IFERROR($F25*$E25,""))</f>
        <v/>
      </c>
      <c r="H25" s="92" t="str">
        <f t="shared" si="1"/>
        <v/>
      </c>
      <c r="K25" s="49">
        <v>1</v>
      </c>
    </row>
    <row r="26" spans="1:11" s="46" customFormat="1" ht="24.95" customHeight="1" x14ac:dyDescent="0.25">
      <c r="A26" s="51" t="str">
        <f t="shared" si="0"/>
        <v/>
      </c>
      <c r="B26" s="52" t="str">
        <f>IFERROR(VLOOKUP($D26,Sheet1!$A$2:$B$98,2,0),"")</f>
        <v/>
      </c>
      <c r="C26" s="89" t="str">
        <f>IFERROR(VLOOKUP($D26,'Tổng Đơn'!$A$5:$E$100,5,0),"")</f>
        <v/>
      </c>
      <c r="D26" s="48" t="s">
        <v>192</v>
      </c>
      <c r="E26" s="48"/>
      <c r="F26" s="53" t="str">
        <f>IF(AND($A26="",$A25&lt;&gt;""),"Tổng Cộng",IFERROR(VLOOKUP($D26,Sheet1!$A$2:$D$98,4,0),""))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IFERROR(VLOOKUP($D27,Sheet1!$A$2:$B$98,2,0),"")</f>
        <v/>
      </c>
      <c r="C27" s="89" t="str">
        <f>IFERROR(VLOOKUP($D27,'Tổng Đơn'!$A$5:$E$100,5,0),"")</f>
        <v/>
      </c>
      <c r="D27" s="48" t="s">
        <v>192</v>
      </c>
      <c r="E27" s="48"/>
      <c r="F27" s="53" t="str">
        <f>IF(AND($A27="",$A26&lt;&gt;""),"Tổng Cộng",IFERROR(VLOOKUP($D27,Sheet1!$A$2:$D$98,4,0),""))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IFERROR(VLOOKUP($D28,Sheet1!$A$2:$B$98,2,0),"")</f>
        <v/>
      </c>
      <c r="C28" s="89" t="str">
        <f>IFERROR(VLOOKUP($D28,'Tổng Đơn'!$A$5:$E$100,5,0),"")</f>
        <v/>
      </c>
      <c r="D28" s="48" t="s">
        <v>192</v>
      </c>
      <c r="E28" s="48"/>
      <c r="F28" s="53" t="str">
        <f>IF(AND($A28="",$A27&lt;&gt;""),"Tổng Cộng",IFERROR(VLOOKUP($D28,Sheet1!$A$2:$D$98,4,0),""))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IFERROR(VLOOKUP($D29,Sheet1!$A$2:$B$98,2,0),"")</f>
        <v/>
      </c>
      <c r="C29" s="89" t="str">
        <f>IFERROR(VLOOKUP($D29,'Tổng Đơn'!$A$5:$E$100,5,0),"")</f>
        <v/>
      </c>
      <c r="D29" s="48" t="s">
        <v>192</v>
      </c>
      <c r="E29" s="48"/>
      <c r="F29" s="53" t="str">
        <f>IF(AND($A29="",$A28&lt;&gt;""),"Tổng Cộng",IFERROR(VLOOKUP($D29,Sheet1!$A$2:$D$98,4,0),""))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IFERROR(VLOOKUP($D30,Sheet1!$A$2:$B$98,2,0),"")</f>
        <v/>
      </c>
      <c r="C30" s="89" t="str">
        <f>IFERROR(VLOOKUP($D30,'Tổng Đơn'!$A$5:$E$100,5,0),"")</f>
        <v/>
      </c>
      <c r="D30" s="48" t="s">
        <v>192</v>
      </c>
      <c r="E30" s="48"/>
      <c r="F30" s="53" t="str">
        <f>IF(AND($A30="",$A29&lt;&gt;""),"Tổng Cộng",IFERROR(VLOOKUP($D30,Sheet1!$A$2:$D$98,4,0),""))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IFERROR(VLOOKUP($D31,Sheet1!$A$2:$B$98,2,0),"")</f>
        <v/>
      </c>
      <c r="C31" s="89" t="str">
        <f>IFERROR(VLOOKUP($D31,'Tổng Đơn'!$A$5:$E$100,5,0),"")</f>
        <v/>
      </c>
      <c r="D31" s="48" t="s">
        <v>192</v>
      </c>
      <c r="E31" s="48"/>
      <c r="F31" s="53" t="str">
        <f>IF(AND($A31="",$A30&lt;&gt;""),"Tổng Cộng",IFERROR(VLOOKUP($D31,Sheet1!$A$2:$D$98,4,0),""))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Cộng",IFERROR(VLOOKUP($D32,Sheet1!$A$2:$D$98,4,0),""))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F3">
    <cfRule type="expression" dxfId="71" priority="12">
      <formula>$A2=MAX($A$2:$A$31)</formula>
    </cfRule>
  </conditionalFormatting>
  <conditionalFormatting sqref="D2:D3">
    <cfRule type="expression" dxfId="70" priority="11">
      <formula>AND($D2="",$E2&lt;&gt;"")</formula>
    </cfRule>
  </conditionalFormatting>
  <conditionalFormatting sqref="E2:E3">
    <cfRule type="expression" dxfId="69" priority="10">
      <formula>AND($E2="",$D2&lt;&gt;"")</formula>
    </cfRule>
  </conditionalFormatting>
  <conditionalFormatting sqref="C2:C3">
    <cfRule type="expression" dxfId="68" priority="9">
      <formula>AND($D2="",$E2&lt;&gt;"")</formula>
    </cfRule>
  </conditionalFormatting>
  <conditionalFormatting sqref="A10:G31 A4:F9 G2:G9">
    <cfRule type="expression" dxfId="67" priority="8">
      <formula>$A1=MAX($A$2:$A$31)</formula>
    </cfRule>
  </conditionalFormatting>
  <conditionalFormatting sqref="D4:D31">
    <cfRule type="expression" dxfId="66" priority="7">
      <formula>AND($D4="",$E4&lt;&gt;"")</formula>
    </cfRule>
  </conditionalFormatting>
  <conditionalFormatting sqref="E4:E31">
    <cfRule type="expression" dxfId="65" priority="6">
      <formula>AND($E4="",$D4&lt;&gt;"")</formula>
    </cfRule>
  </conditionalFormatting>
  <conditionalFormatting sqref="C4:C31">
    <cfRule type="expression" dxfId="64" priority="5">
      <formula>AND($D4="",$E4&lt;&gt;"")</formula>
    </cfRule>
  </conditionalFormatting>
  <conditionalFormatting sqref="A32:G32">
    <cfRule type="expression" dxfId="63" priority="4">
      <formula>$A31=MAX($A$2:$A$31)</formula>
    </cfRule>
  </conditionalFormatting>
  <conditionalFormatting sqref="D32">
    <cfRule type="expression" dxfId="62" priority="3">
      <formula>AND($D32="",$E32&lt;&gt;"")</formula>
    </cfRule>
  </conditionalFormatting>
  <conditionalFormatting sqref="E32">
    <cfRule type="expression" dxfId="61" priority="2">
      <formula>AND($E32="",$D32&lt;&gt;"")</formula>
    </cfRule>
  </conditionalFormatting>
  <conditionalFormatting sqref="C32">
    <cfRule type="expression" dxfId="60"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1"/>
  </sheetPr>
  <dimension ref="A1:M52"/>
  <sheetViews>
    <sheetView zoomScaleNormal="100" workbookViewId="0">
      <pane ySplit="1" topLeftCell="A2" activePane="bottomLeft" state="frozen"/>
      <selection activeCell="H16" sqref="H16"/>
      <selection pane="bottomLeft" activeCell="H2" sqref="H2"/>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3" width="10.140625" style="14" bestFit="1" customWidth="1"/>
    <col min="14" max="16384" width="9.140625" style="14"/>
  </cols>
  <sheetData>
    <row r="1" spans="1:13" s="45" customFormat="1" ht="39" customHeight="1" x14ac:dyDescent="0.25">
      <c r="A1" s="47" t="s">
        <v>0</v>
      </c>
      <c r="B1" s="47" t="s">
        <v>17</v>
      </c>
      <c r="C1" s="87" t="s">
        <v>55</v>
      </c>
      <c r="D1" s="91" t="s">
        <v>118</v>
      </c>
      <c r="E1" s="91" t="s">
        <v>16</v>
      </c>
      <c r="F1" s="47" t="s">
        <v>18</v>
      </c>
      <c r="G1" s="47" t="s">
        <v>19</v>
      </c>
      <c r="H1" s="157" t="s">
        <v>226</v>
      </c>
      <c r="I1" s="55">
        <f>SUBTOTAL(9,H2:H31)</f>
        <v>1.5</v>
      </c>
      <c r="K1" s="47" t="s">
        <v>18</v>
      </c>
    </row>
    <row r="2" spans="1:13" s="46" customFormat="1" ht="24.95" customHeight="1" x14ac:dyDescent="0.25">
      <c r="A2" s="51">
        <f>IF(OR(SUM($A1,$D2&lt;&gt;"")=0,$D2=""),"",SUM($A1,$D2&lt;&gt;""))</f>
        <v>1</v>
      </c>
      <c r="B2" s="52" t="str">
        <f>IFERROR(VLOOKUP($D2,Sheet1!$A$2:$B$98,2,0),"")</f>
        <v>Cá viên HM</v>
      </c>
      <c r="C2" s="88">
        <f>IFERROR(VLOOKUP($D2,'Tổng Đơn'!$A$5:$E$100,5,0),"")</f>
        <v>0.5</v>
      </c>
      <c r="D2" s="48">
        <v>2</v>
      </c>
      <c r="E2" s="48">
        <v>1</v>
      </c>
      <c r="F2" s="53">
        <f>IFERROR(VLOOKUP($D2,Sheet1!$A$2:$D$98,4,0),"")</f>
        <v>25000</v>
      </c>
      <c r="G2" s="54">
        <f>IF($A1=MAX($A$2:$A$50),SUM($G1:$G$2),IFERROR($F2*$E2,""))</f>
        <v>25000</v>
      </c>
      <c r="H2" s="92">
        <f>IFERROR(E2*C2,"")</f>
        <v>0.5</v>
      </c>
      <c r="I2" s="46" t="str">
        <f>IF(SUMPRODUCT(($E$2:$E$12),($K$2:$K$12))&gt;=200000,"KM 15%",IF(SUMPRODUCT(($E$2:$E$12),($K$2:$K$12))&gt;=100000,"KM 10%",""))</f>
        <v>KM 10%</v>
      </c>
      <c r="K2" s="50">
        <f>IFERROR(VLOOKUP($D2,Sheet1!$A$2:$D$98,4,0),"")</f>
        <v>25000</v>
      </c>
    </row>
    <row r="3" spans="1:13" s="46" customFormat="1" ht="24.95" customHeight="1" x14ac:dyDescent="0.25">
      <c r="A3" s="51">
        <f t="shared" ref="A3:A31" si="0">IF(OR(SUM($A2,$D3&lt;&gt;"")=0,$D3=""),"",SUM($A2,$D3&lt;&gt;""))</f>
        <v>2</v>
      </c>
      <c r="B3" s="52" t="str">
        <f>IFERROR(VLOOKUP($D3,Sheet1!$A$2:$B$98,2,0),"")</f>
        <v>XX Đức HS ĐNA</v>
      </c>
      <c r="C3" s="89">
        <f>IFERROR(VLOOKUP($D3,'Tổng Đơn'!$A$5:$E$100,5,0),"")</f>
        <v>0.5</v>
      </c>
      <c r="D3" s="48">
        <v>21</v>
      </c>
      <c r="E3" s="48">
        <v>1</v>
      </c>
      <c r="F3" s="53">
        <f>IF(AND($A3="",$A2&lt;&gt;""),"Tổng Cộng",IFERROR(VLOOKUP($D3,Sheet1!$A$2:$D$98,4,0),""))</f>
        <v>33000</v>
      </c>
      <c r="G3" s="54">
        <f>IF($A2=MAX($A$2:$A$50),SUM($G$2:$G2),IFERROR($F3*$E3,""))</f>
        <v>33000</v>
      </c>
      <c r="H3" s="92">
        <f t="shared" ref="H3:H31" si="1">IFERROR(E3*C3,"")</f>
        <v>0.5</v>
      </c>
      <c r="K3" s="49">
        <f>IFERROR(VLOOKUP($D3,Sheet1!$A$2:$D$98,4,0),"")</f>
        <v>33000</v>
      </c>
    </row>
    <row r="4" spans="1:13" s="46" customFormat="1" ht="24.95" customHeight="1" x14ac:dyDescent="0.25">
      <c r="A4" s="51">
        <f t="shared" si="0"/>
        <v>3</v>
      </c>
      <c r="B4" s="52" t="str">
        <f>IFERROR(VLOOKUP($D4,Sheet1!$A$2:$B$98,2,0),"")</f>
        <v>Hồ lô HM</v>
      </c>
      <c r="C4" s="89">
        <f>IFERROR(VLOOKUP($D4,'Tổng Đơn'!$A$5:$E$100,5,0),"")</f>
        <v>0.5</v>
      </c>
      <c r="D4" s="48">
        <v>57</v>
      </c>
      <c r="E4" s="48">
        <v>1</v>
      </c>
      <c r="F4" s="53">
        <f>IF(AND($A4="",$A3&lt;&gt;""),"Tổng Cộng",IFERROR(VLOOKUP($D4,Sheet1!$A$2:$D$98,4,0),""))</f>
        <v>42000</v>
      </c>
      <c r="G4" s="54">
        <f>IF($A3=MAX($A$2:$A$50),SUM($G$2:$G3),IFERROR($F4*$E4,""))</f>
        <v>42000</v>
      </c>
      <c r="H4" s="92">
        <f t="shared" si="1"/>
        <v>0.5</v>
      </c>
      <c r="K4" s="49">
        <f>IFERROR(VLOOKUP($D4,Sheet1!$A$2:$D$98,4,0),"")</f>
        <v>42000</v>
      </c>
    </row>
    <row r="5" spans="1:13" s="46" customFormat="1" ht="24.95" customHeight="1" x14ac:dyDescent="0.25">
      <c r="A5" s="51" t="str">
        <f t="shared" si="0"/>
        <v/>
      </c>
      <c r="B5" s="52" t="str">
        <f>IFERROR(VLOOKUP($D5,Sheet1!$A$2:$B$98,2,0),"")</f>
        <v/>
      </c>
      <c r="C5" s="89" t="str">
        <f>IFERROR(VLOOKUP($D5,'Tổng Đơn'!$A$5:$E$100,5,0),"")</f>
        <v/>
      </c>
      <c r="D5" s="48" t="s">
        <v>192</v>
      </c>
      <c r="E5" s="48"/>
      <c r="F5" s="53" t="str">
        <f>IF(AND($A5="",$A4&lt;&gt;""),"Tổng Cộng",IFERROR(VLOOKUP($D5,Sheet1!$A$2:$D$98,4,0),""))</f>
        <v>Tổng Cộng</v>
      </c>
      <c r="G5" s="54">
        <f>IF($A4=MAX($A$2:$A$50),SUM($G$2:$G4),IFERROR($F5*$E5,""))</f>
        <v>100000</v>
      </c>
      <c r="H5" s="92" t="str">
        <f t="shared" si="1"/>
        <v/>
      </c>
      <c r="K5" s="49" t="str">
        <f>IFERROR(VLOOKUP($D5,Sheet1!$A$2:$D$98,4,0),"")</f>
        <v/>
      </c>
    </row>
    <row r="6" spans="1:13" s="46" customFormat="1" ht="24.95" customHeight="1" x14ac:dyDescent="0.25">
      <c r="A6" s="51" t="str">
        <f t="shared" si="0"/>
        <v/>
      </c>
      <c r="B6" s="52" t="str">
        <f>IFERROR(VLOOKUP($D6,Sheet1!$A$2:$B$98,2,0),"")</f>
        <v/>
      </c>
      <c r="C6" s="89" t="str">
        <f>IFERROR(VLOOKUP($D6,'Tổng Đơn'!$A$5:$E$100,5,0),"")</f>
        <v/>
      </c>
      <c r="D6" s="48" t="s">
        <v>192</v>
      </c>
      <c r="E6" s="48"/>
      <c r="F6" s="53" t="str">
        <f>IF(AND($A6="",$A5&lt;&gt;""),"Tổng Cộng",IFERROR(VLOOKUP($D6,Sheet1!$A$2:$D$98,4,0),""))</f>
        <v/>
      </c>
      <c r="G6" s="54" t="str">
        <f>IF($A5=MAX($A$2:$A$50),SUM($G$2:$G5),IFERROR($F6*$E6,""))</f>
        <v/>
      </c>
      <c r="H6" s="92" t="str">
        <f t="shared" si="1"/>
        <v/>
      </c>
      <c r="I6" s="175"/>
      <c r="K6" s="49"/>
      <c r="L6" s="184"/>
      <c r="M6" s="176"/>
    </row>
    <row r="7" spans="1:13" s="46" customFormat="1" ht="24.95" customHeight="1" x14ac:dyDescent="0.25">
      <c r="A7" s="51" t="str">
        <f t="shared" si="0"/>
        <v/>
      </c>
      <c r="B7" s="52" t="str">
        <f>IFERROR(VLOOKUP($D7,Sheet1!$A$2:$B$98,2,0),"")</f>
        <v/>
      </c>
      <c r="C7" s="89" t="str">
        <f>IFERROR(VLOOKUP($D7,'Tổng Đơn'!$A$5:$E$100,5,0),"")</f>
        <v/>
      </c>
      <c r="D7" s="48" t="s">
        <v>192</v>
      </c>
      <c r="E7" s="48"/>
      <c r="F7" s="53" t="str">
        <f>IF(AND($A7="",$A6&lt;&gt;""),"Tổng Cộng",IFERROR(VLOOKUP($D7,Sheet1!$A$2:$D$98,4,0),""))</f>
        <v/>
      </c>
      <c r="G7" s="54" t="str">
        <f>IF($A6=MAX($A$2:$A$50),SUM($G$2:$G6),IFERROR($F7*$E7,""))</f>
        <v/>
      </c>
      <c r="H7" s="92" t="str">
        <f t="shared" si="1"/>
        <v/>
      </c>
      <c r="K7" s="49"/>
    </row>
    <row r="8" spans="1:13" s="46" customFormat="1" ht="24.95" customHeight="1" x14ac:dyDescent="0.25">
      <c r="A8" s="51" t="str">
        <f t="shared" si="0"/>
        <v/>
      </c>
      <c r="B8" s="52" t="str">
        <f>IFERROR(VLOOKUP($D8,Sheet1!$A$2:$B$98,2,0),"")</f>
        <v/>
      </c>
      <c r="C8" s="89" t="str">
        <f>IFERROR(VLOOKUP($D8,'Tổng Đơn'!$A$5:$E$100,5,0),"")</f>
        <v/>
      </c>
      <c r="D8" s="48" t="s">
        <v>192</v>
      </c>
      <c r="E8" s="48"/>
      <c r="F8" s="53" t="str">
        <f>IF(AND($A8="",$A7&lt;&gt;""),"Tổng Cộng",IFERROR(VLOOKUP($D8,Sheet1!$A$2:$D$98,4,0),""))</f>
        <v/>
      </c>
      <c r="G8" s="54" t="str">
        <f>IF($A7=MAX($A$2:$A$50),SUM($G$2:$G7),IFERROR($F8*$E8,""))</f>
        <v/>
      </c>
      <c r="H8" s="92" t="str">
        <f t="shared" si="1"/>
        <v/>
      </c>
      <c r="K8" s="49" t="str">
        <f>IFERROR(VLOOKUP($D8,Sheet1!$A$2:$D$98,4,0),"")</f>
        <v/>
      </c>
      <c r="L8" s="185"/>
    </row>
    <row r="9" spans="1:13" s="46" customFormat="1" ht="24.95" customHeight="1" x14ac:dyDescent="0.25">
      <c r="A9" s="51" t="str">
        <f t="shared" si="0"/>
        <v/>
      </c>
      <c r="B9" s="52" t="str">
        <f>IFERROR(VLOOKUP($D9,Sheet1!$A$2:$B$98,2,0),"")</f>
        <v/>
      </c>
      <c r="C9" s="89" t="str">
        <f>IFERROR(VLOOKUP($D9,'Tổng Đơn'!$A$5:$E$100,5,0),"")</f>
        <v/>
      </c>
      <c r="D9" s="48" t="s">
        <v>192</v>
      </c>
      <c r="E9" s="48"/>
      <c r="F9" s="53" t="str">
        <f>IF(AND($A9="",$A8&lt;&gt;""),"Tổng Cộng",IFERROR(VLOOKUP($D9,Sheet1!$A$2:$D$98,4,0),""))</f>
        <v/>
      </c>
      <c r="G9" s="54" t="str">
        <f>IF($A8=MAX($A$2:$A$50),SUM($G$2:$G8),IFERROR($F9*$E9,""))</f>
        <v/>
      </c>
      <c r="H9" s="92" t="str">
        <f t="shared" si="1"/>
        <v/>
      </c>
      <c r="K9" s="49" t="str">
        <f>IFERROR(VLOOKUP($D9,Sheet1!$A$2:$D$98,4,0),"")</f>
        <v/>
      </c>
    </row>
    <row r="10" spans="1:13" s="46" customFormat="1" ht="24.95" customHeight="1" x14ac:dyDescent="0.25">
      <c r="A10" s="51" t="str">
        <f t="shared" si="0"/>
        <v/>
      </c>
      <c r="B10" s="52" t="str">
        <f>IFERROR(VLOOKUP($D10,Sheet1!$A$2:$B$98,2,0),"")</f>
        <v/>
      </c>
      <c r="C10" s="89" t="str">
        <f>IFERROR(VLOOKUP($D10,'Tổng Đơn'!$A$5:$E$100,5,0),"")</f>
        <v/>
      </c>
      <c r="D10" s="48" t="s">
        <v>192</v>
      </c>
      <c r="E10" s="48"/>
      <c r="F10" s="53" t="str">
        <f>IF(AND($A10="",$A9&lt;&gt;""),"Tổng Cộng",IFERROR(VLOOKUP($D10,Sheet1!$A$2:$D$98,4,0),""))</f>
        <v/>
      </c>
      <c r="G10" s="54" t="str">
        <f>IF($A9=MAX($A$2:$A$50),SUM($G$2:$G9),IFERROR($F10*$E10,""))</f>
        <v/>
      </c>
      <c r="H10" s="92" t="str">
        <f t="shared" si="1"/>
        <v/>
      </c>
      <c r="K10" s="49" t="str">
        <f>IFERROR(VLOOKUP($D10,Sheet1!$A$2:$D$98,4,0),"")</f>
        <v/>
      </c>
    </row>
    <row r="11" spans="1:13" s="46" customFormat="1" ht="24.95" customHeight="1" x14ac:dyDescent="0.25">
      <c r="A11" s="51" t="str">
        <f t="shared" si="0"/>
        <v/>
      </c>
      <c r="B11" s="52" t="str">
        <f>IFERROR(VLOOKUP($D11,Sheet1!$A$2:$B$98,2,0),"")</f>
        <v/>
      </c>
      <c r="C11" s="89" t="str">
        <f>IFERROR(VLOOKUP($D11,'Tổng Đơn'!$A$5:$E$100,5,0),"")</f>
        <v/>
      </c>
      <c r="D11" s="48" t="s">
        <v>192</v>
      </c>
      <c r="E11" s="48"/>
      <c r="F11" s="53" t="str">
        <f>IF(AND($A11="",$A10&lt;&gt;""),"Tổng Cộng",IFERROR(VLOOKUP($D11,Sheet1!$A$2:$D$98,4,0),""))</f>
        <v/>
      </c>
      <c r="G11" s="54" t="str">
        <f>IF($A10=MAX($A$2:$A$50),SUM($G$2:$G10),IFERROR($F11*$E11,""))</f>
        <v/>
      </c>
      <c r="H11" s="92" t="str">
        <f t="shared" si="1"/>
        <v/>
      </c>
      <c r="K11" s="49" t="str">
        <f>IFERROR(VLOOKUP($D11,Sheet1!$A$2:$D$98,4,0),"")</f>
        <v/>
      </c>
    </row>
    <row r="12" spans="1:13" s="46" customFormat="1" ht="24.95" customHeight="1" x14ac:dyDescent="0.25">
      <c r="A12" s="51" t="str">
        <f t="shared" si="0"/>
        <v/>
      </c>
      <c r="B12" s="52" t="str">
        <f>IFERROR(VLOOKUP($D12,Sheet1!$A$2:$B$98,2,0),"")</f>
        <v/>
      </c>
      <c r="C12" s="89" t="str">
        <f>IFERROR(VLOOKUP($D12,'Tổng Đơn'!$A$5:$E$100,5,0),"")</f>
        <v/>
      </c>
      <c r="D12" s="48" t="s">
        <v>192</v>
      </c>
      <c r="E12" s="48"/>
      <c r="F12" s="53" t="str">
        <f>IF(AND($A12="",$A11&lt;&gt;""),"Tổng Cộng",IFERROR(VLOOKUP($D12,Sheet1!$A$2:$D$98,4,0),""))</f>
        <v/>
      </c>
      <c r="G12" s="54" t="str">
        <f>IF($A11=MAX($A$2:$A$50),SUM($G$2:$G11),IFERROR($F12*$E12,""))</f>
        <v/>
      </c>
      <c r="H12" s="92" t="str">
        <f t="shared" si="1"/>
        <v/>
      </c>
      <c r="K12" s="49" t="str">
        <f>IFERROR(VLOOKUP($D12,Sheet1!$A$2:$D$98,4,0),"")</f>
        <v/>
      </c>
    </row>
    <row r="13" spans="1:13" s="46" customFormat="1" ht="24.95" customHeight="1" x14ac:dyDescent="0.25">
      <c r="A13" s="51" t="str">
        <f t="shared" si="0"/>
        <v/>
      </c>
      <c r="B13" s="52" t="str">
        <f>IFERROR(VLOOKUP($D13,Sheet1!$A$2:$B$98,2,0),"")</f>
        <v/>
      </c>
      <c r="C13" s="89" t="str">
        <f>IFERROR(VLOOKUP($D13,'Tổng Đơn'!$A$5:$E$100,5,0),"")</f>
        <v/>
      </c>
      <c r="D13" s="48" t="s">
        <v>192</v>
      </c>
      <c r="E13" s="48"/>
      <c r="F13" s="53" t="str">
        <f>IF(AND($A13="",$A12&lt;&gt;""),"Tổng Cộng",IFERROR(VLOOKUP($D13,Sheet1!$A$2:$D$98,4,0),""))</f>
        <v/>
      </c>
      <c r="G13" s="54" t="str">
        <f>IF($A12=MAX($A$2:$A$50),SUM($G$2:$G12),IFERROR($F13*$E13,""))</f>
        <v/>
      </c>
      <c r="H13" s="92" t="str">
        <f t="shared" si="1"/>
        <v/>
      </c>
      <c r="K13" s="49" t="str">
        <f>IFERROR(VLOOKUP($D13,Sheet1!$A$2:$D$98,4,0),"")</f>
        <v/>
      </c>
    </row>
    <row r="14" spans="1:13" s="46" customFormat="1" ht="24.95" customHeight="1" x14ac:dyDescent="0.25">
      <c r="A14" s="51" t="str">
        <f t="shared" si="0"/>
        <v/>
      </c>
      <c r="B14" s="52" t="str">
        <f>IFERROR(VLOOKUP($D14,Sheet1!$A$2:$B$98,2,0),"")</f>
        <v/>
      </c>
      <c r="C14" s="89" t="str">
        <f>IFERROR(VLOOKUP($D14,'Tổng Đơn'!$A$5:$E$100,5,0),"")</f>
        <v/>
      </c>
      <c r="D14" s="48" t="s">
        <v>192</v>
      </c>
      <c r="E14" s="48"/>
      <c r="F14" s="53" t="str">
        <f>IF(AND($A14="",$A13&lt;&gt;""),"Tổng Cộng",IFERROR(VLOOKUP($D14,Sheet1!$A$2:$D$98,4,0),""))</f>
        <v/>
      </c>
      <c r="G14" s="54" t="str">
        <f>IF($A13=MAX($A$2:$A$50),SUM($G$2:$G13),IFERROR($F14*$E14,""))</f>
        <v/>
      </c>
      <c r="H14" s="92" t="str">
        <f t="shared" si="1"/>
        <v/>
      </c>
      <c r="K14" s="49" t="str">
        <f>IFERROR(VLOOKUP($D14,Sheet1!$A$2:$D$98,4,0),"")</f>
        <v/>
      </c>
    </row>
    <row r="15" spans="1:13" s="46" customFormat="1" ht="24.95" customHeight="1" x14ac:dyDescent="0.25">
      <c r="A15" s="51" t="str">
        <f t="shared" si="0"/>
        <v/>
      </c>
      <c r="B15" s="52" t="str">
        <f>IFERROR(VLOOKUP($D15,Sheet1!$A$2:$B$98,2,0),"")</f>
        <v/>
      </c>
      <c r="C15" s="89" t="str">
        <f>IFERROR(VLOOKUP($D15,'Tổng Đơn'!$A$5:$E$100,5,0),"")</f>
        <v/>
      </c>
      <c r="D15" s="48" t="s">
        <v>192</v>
      </c>
      <c r="E15" s="48"/>
      <c r="F15" s="53" t="str">
        <f>IF(AND($A15="",$A14&lt;&gt;""),"Tổng Cộng",IFERROR(VLOOKUP($D15,Sheet1!$A$2:$D$98,4,0),""))</f>
        <v/>
      </c>
      <c r="G15" s="54" t="str">
        <f>IF($A14=MAX($A$2:$A$50),SUM($G$2:$G14),IFERROR($F15*$E15,""))</f>
        <v/>
      </c>
      <c r="H15" s="92" t="str">
        <f t="shared" si="1"/>
        <v/>
      </c>
      <c r="K15" s="49" t="str">
        <f>IFERROR(VLOOKUP($D15,Sheet1!$A$2:$D$98,4,0),"")</f>
        <v/>
      </c>
    </row>
    <row r="16" spans="1:13" s="46" customFormat="1" ht="24.95" customHeight="1" x14ac:dyDescent="0.25">
      <c r="A16" s="51" t="str">
        <f t="shared" si="0"/>
        <v/>
      </c>
      <c r="B16" s="52" t="str">
        <f>IFERROR(VLOOKUP($D16,Sheet1!$A$2:$B$98,2,0),"")</f>
        <v/>
      </c>
      <c r="C16" s="89" t="str">
        <f>IFERROR(VLOOKUP($D16,'Tổng Đơn'!$A$5:$E$100,5,0),"")</f>
        <v/>
      </c>
      <c r="D16" s="48" t="s">
        <v>192</v>
      </c>
      <c r="E16" s="48"/>
      <c r="F16" s="53" t="str">
        <f>IF(AND($A16="",$A15&lt;&gt;""),"Tổng Cộng",IFERROR(VLOOKUP($D16,Sheet1!$A$2:$D$98,4,0),""))</f>
        <v/>
      </c>
      <c r="G16" s="54" t="str">
        <f>IF($A15=MAX($A$2:$A$50),SUM($G$2:$G15),IFERROR($F16*$E16,""))</f>
        <v/>
      </c>
      <c r="H16" s="92" t="str">
        <f t="shared" si="1"/>
        <v/>
      </c>
      <c r="K16" s="49" t="str">
        <f>IFERROR(VLOOKUP($D16,Sheet1!$A$2:$D$98,4,0),"")</f>
        <v/>
      </c>
    </row>
    <row r="17" spans="1:11" s="46" customFormat="1" ht="24.95" customHeight="1" x14ac:dyDescent="0.25">
      <c r="A17" s="51" t="str">
        <f t="shared" si="0"/>
        <v/>
      </c>
      <c r="B17" s="52" t="str">
        <f>IFERROR(VLOOKUP($D17,Sheet1!$A$2:$B$98,2,0),"")</f>
        <v/>
      </c>
      <c r="C17" s="89" t="str">
        <f>IFERROR(VLOOKUP($D17,'Tổng Đơn'!$A$5:$E$100,5,0),"")</f>
        <v/>
      </c>
      <c r="D17" s="48" t="s">
        <v>192</v>
      </c>
      <c r="E17" s="48"/>
      <c r="F17" s="53" t="str">
        <f>IF(AND($A17="",$A16&lt;&gt;""),"Tổng Cộng",IFERROR(VLOOKUP($D17,Sheet1!$A$2:$D$98,4,0),""))</f>
        <v/>
      </c>
      <c r="G17" s="54" t="str">
        <f>IF($A16=MAX($A$2:$A$50),SUM($G$2:$G16),IFERROR($F17*$E17,""))</f>
        <v/>
      </c>
      <c r="H17" s="92" t="str">
        <f t="shared" si="1"/>
        <v/>
      </c>
      <c r="K17" s="49" t="str">
        <f>IFERROR(VLOOKUP($D17,Sheet1!$A$2:$D$98,4,0),"")</f>
        <v/>
      </c>
    </row>
    <row r="18" spans="1:11" s="46" customFormat="1" ht="24.95" customHeight="1" x14ac:dyDescent="0.25">
      <c r="A18" s="51" t="str">
        <f t="shared" si="0"/>
        <v/>
      </c>
      <c r="B18" s="52" t="str">
        <f>IFERROR(VLOOKUP($D18,Sheet1!$A$2:$B$98,2,0),"")</f>
        <v/>
      </c>
      <c r="C18" s="89" t="str">
        <f>IFERROR(VLOOKUP($D18,'Tổng Đơn'!$A$5:$E$100,5,0),"")</f>
        <v/>
      </c>
      <c r="D18" s="48" t="s">
        <v>192</v>
      </c>
      <c r="E18" s="48"/>
      <c r="F18" s="53" t="str">
        <f>IF(AND($A18="",$A17&lt;&gt;""),"Tổng Cộng",IFERROR(VLOOKUP($D18,Sheet1!$A$2:$D$98,4,0),""))</f>
        <v/>
      </c>
      <c r="G18" s="54" t="str">
        <f>IF($A17=MAX($A$2:$A$50),SUM($G$2:$G17),IFERROR($F18*$E18,""))</f>
        <v/>
      </c>
      <c r="H18" s="92" t="str">
        <f t="shared" si="1"/>
        <v/>
      </c>
      <c r="K18" s="49" t="str">
        <f>IFERROR(VLOOKUP($D18,Sheet1!$A$2:$D$98,4,0),"")</f>
        <v/>
      </c>
    </row>
    <row r="19" spans="1:11" s="46" customFormat="1" ht="24.95" customHeight="1" x14ac:dyDescent="0.25">
      <c r="A19" s="51" t="str">
        <f t="shared" si="0"/>
        <v/>
      </c>
      <c r="B19" s="52" t="str">
        <f>IFERROR(VLOOKUP($D19,Sheet1!$A$2:$B$98,2,0),"")</f>
        <v/>
      </c>
      <c r="C19" s="89" t="str">
        <f>IFERROR(VLOOKUP($D19,'Tổng Đơn'!$A$5:$E$100,5,0),"")</f>
        <v/>
      </c>
      <c r="D19" s="48" t="s">
        <v>192</v>
      </c>
      <c r="E19" s="48"/>
      <c r="F19" s="53" t="str">
        <f>IF(AND($A19="",$A18&lt;&gt;""),"Tổng Cộng",IFERROR(VLOOKUP($D19,Sheet1!$A$2:$D$98,4,0),""))</f>
        <v/>
      </c>
      <c r="G19" s="54" t="str">
        <f>IF($A18=MAX($A$2:$A$50),SUM($G$2:$G18),IFERROR($F19*$E19,""))</f>
        <v/>
      </c>
      <c r="H19" s="92" t="str">
        <f t="shared" si="1"/>
        <v/>
      </c>
      <c r="K19" s="49" t="str">
        <f>IFERROR(VLOOKUP($D19,Sheet1!$A$2:$D$98,4,0),"")</f>
        <v/>
      </c>
    </row>
    <row r="20" spans="1:11" s="46" customFormat="1" ht="24.95" customHeight="1" x14ac:dyDescent="0.25">
      <c r="A20" s="51" t="str">
        <f t="shared" si="0"/>
        <v/>
      </c>
      <c r="B20" s="52" t="str">
        <f>IFERROR(VLOOKUP($D20,Sheet1!$A$2:$B$98,2,0),"")</f>
        <v/>
      </c>
      <c r="C20" s="89" t="str">
        <f>IFERROR(VLOOKUP($D20,'Tổng Đơn'!$A$5:$E$100,5,0),"")</f>
        <v/>
      </c>
      <c r="D20" s="48" t="s">
        <v>192</v>
      </c>
      <c r="E20" s="48"/>
      <c r="F20" s="53" t="str">
        <f>IF(AND($A20="",$A19&lt;&gt;""),"Tổng Cộng",IFERROR(VLOOKUP($D20,Sheet1!$A$2:$D$98,4,0),""))</f>
        <v/>
      </c>
      <c r="G20" s="54" t="str">
        <f>IF($A19=MAX($A$2:$A$50),SUM($G$2:$G19),IFERROR($F20*$E20,""))</f>
        <v/>
      </c>
      <c r="H20" s="92" t="str">
        <f t="shared" si="1"/>
        <v/>
      </c>
      <c r="K20" s="49" t="str">
        <f>IFERROR(VLOOKUP($D20,Sheet1!$A$2:$D$98,4,0),"")</f>
        <v/>
      </c>
    </row>
    <row r="21" spans="1:11" s="46" customFormat="1" ht="24.95" customHeight="1" x14ac:dyDescent="0.25">
      <c r="A21" s="51" t="str">
        <f t="shared" si="0"/>
        <v/>
      </c>
      <c r="B21" s="52" t="str">
        <f>IFERROR(VLOOKUP($D21,Sheet1!$A$2:$B$98,2,0),"")</f>
        <v/>
      </c>
      <c r="C21" s="89" t="str">
        <f>IFERROR(VLOOKUP($D21,'Tổng Đơn'!$A$5:$E$100,5,0),"")</f>
        <v/>
      </c>
      <c r="D21" s="48" t="s">
        <v>192</v>
      </c>
      <c r="E21" s="48"/>
      <c r="F21" s="53" t="str">
        <f>IF(AND($A21="",$A20&lt;&gt;""),"Tổng Cộng",IFERROR(VLOOKUP($D21,Sheet1!$A$2:$D$98,4,0),""))</f>
        <v/>
      </c>
      <c r="G21" s="54" t="str">
        <f>IF($A20=MAX($A$2:$A$50),SUM($G$2:$G20),IFERROR($F21*$E21,""))</f>
        <v/>
      </c>
      <c r="H21" s="92" t="str">
        <f t="shared" si="1"/>
        <v/>
      </c>
      <c r="K21" s="49"/>
    </row>
    <row r="22" spans="1:11" s="46" customFormat="1" ht="24.95" customHeight="1" x14ac:dyDescent="0.25">
      <c r="A22" s="51" t="str">
        <f t="shared" si="0"/>
        <v/>
      </c>
      <c r="B22" s="52" t="str">
        <f>IFERROR(VLOOKUP($D22,Sheet1!$A$2:$B$98,2,0),"")</f>
        <v/>
      </c>
      <c r="C22" s="89" t="str">
        <f>IFERROR(VLOOKUP($D22,'Tổng Đơn'!$A$5:$E$100,5,0),"")</f>
        <v/>
      </c>
      <c r="D22" s="48" t="s">
        <v>192</v>
      </c>
      <c r="E22" s="48"/>
      <c r="F22" s="53" t="str">
        <f>IF(AND($A22="",$A21&lt;&gt;""),"Tổng Cộng",IFERROR(VLOOKUP($D22,Sheet1!$A$2:$D$98,4,0),""))</f>
        <v/>
      </c>
      <c r="G22" s="54" t="str">
        <f>IF($A21=MAX($A$2:$A$50),SUM($G$2:$G21),IFERROR($F22*$E22,""))</f>
        <v/>
      </c>
      <c r="H22" s="92" t="str">
        <f t="shared" si="1"/>
        <v/>
      </c>
      <c r="K22" s="49"/>
    </row>
    <row r="23" spans="1:11" s="46" customFormat="1" ht="24.95" customHeight="1" x14ac:dyDescent="0.25">
      <c r="A23" s="51" t="str">
        <f t="shared" si="0"/>
        <v/>
      </c>
      <c r="B23" s="52" t="str">
        <f>IFERROR(VLOOKUP($D23,Sheet1!$A$2:$B$98,2,0),"")</f>
        <v/>
      </c>
      <c r="C23" s="89" t="str">
        <f>IFERROR(VLOOKUP($D23,'Tổng Đơn'!$A$5:$E$100,5,0),"")</f>
        <v/>
      </c>
      <c r="D23" s="48" t="s">
        <v>192</v>
      </c>
      <c r="E23" s="48"/>
      <c r="F23" s="53" t="str">
        <f>IF(AND($A23="",$A22&lt;&gt;""),"Tổng Cộng",IFERROR(VLOOKUP($D23,Sheet1!$A$2:$D$98,4,0),""))</f>
        <v/>
      </c>
      <c r="G23" s="54" t="str">
        <f>IF($A22=MAX($A$2:$A$50),SUM($G$2:$G22),IFERROR($F23*$E23,""))</f>
        <v/>
      </c>
      <c r="H23" s="92" t="str">
        <f t="shared" si="1"/>
        <v/>
      </c>
      <c r="K23" s="49">
        <v>1</v>
      </c>
    </row>
    <row r="24" spans="1:11" s="46" customFormat="1" ht="24.95" customHeight="1" x14ac:dyDescent="0.25">
      <c r="A24" s="51" t="str">
        <f t="shared" si="0"/>
        <v/>
      </c>
      <c r="B24" s="52" t="str">
        <f>IFERROR(VLOOKUP($D24,Sheet1!$A$2:$B$98,2,0),"")</f>
        <v/>
      </c>
      <c r="C24" s="89" t="str">
        <f>IFERROR(VLOOKUP($D24,'Tổng Đơn'!$A$5:$E$100,5,0),"")</f>
        <v/>
      </c>
      <c r="D24" s="48" t="s">
        <v>192</v>
      </c>
      <c r="E24" s="48"/>
      <c r="F24" s="53" t="str">
        <f>IF(AND($A24="",$A23&lt;&gt;""),"Tổng Cộng",IFERROR(VLOOKUP($D24,Sheet1!$A$2:$D$98,4,0),""))</f>
        <v/>
      </c>
      <c r="G24" s="54" t="str">
        <f>IF($A23=MAX($A$2:$A$50),SUM($G$2:$G23),IFERROR($F24*$E24,""))</f>
        <v/>
      </c>
      <c r="H24" s="92" t="str">
        <f t="shared" si="1"/>
        <v/>
      </c>
      <c r="K24" s="49">
        <v>1</v>
      </c>
    </row>
    <row r="25" spans="1:11" s="46" customFormat="1" ht="24.95" customHeight="1" x14ac:dyDescent="0.25">
      <c r="A25" s="51" t="str">
        <f t="shared" si="0"/>
        <v/>
      </c>
      <c r="B25" s="52" t="str">
        <f>IFERROR(VLOOKUP($D25,Sheet1!$A$2:$B$98,2,0),"")</f>
        <v/>
      </c>
      <c r="C25" s="89" t="str">
        <f>IFERROR(VLOOKUP($D25,'Tổng Đơn'!$A$5:$E$100,5,0),"")</f>
        <v/>
      </c>
      <c r="D25" s="48" t="s">
        <v>192</v>
      </c>
      <c r="E25" s="48"/>
      <c r="F25" s="53" t="str">
        <f>IF(AND($A25="",$A24&lt;&gt;""),"Tổng Cộng",IFERROR(VLOOKUP($D25,Sheet1!$A$2:$D$98,4,0),""))</f>
        <v/>
      </c>
      <c r="G25" s="54" t="str">
        <f>IF($A24=MAX($A$2:$A$50),SUM($G$2:$G24),IFERROR($F25*$E25,""))</f>
        <v/>
      </c>
      <c r="H25" s="92" t="str">
        <f t="shared" si="1"/>
        <v/>
      </c>
      <c r="K25" s="49">
        <v>1</v>
      </c>
    </row>
    <row r="26" spans="1:11" s="46" customFormat="1" ht="24.95" customHeight="1" x14ac:dyDescent="0.25">
      <c r="A26" s="51" t="str">
        <f t="shared" si="0"/>
        <v/>
      </c>
      <c r="B26" s="52" t="str">
        <f>IFERROR(VLOOKUP($D26,Sheet1!$A$2:$B$98,2,0),"")</f>
        <v/>
      </c>
      <c r="C26" s="89" t="str">
        <f>IFERROR(VLOOKUP($D26,'Tổng Đơn'!$A$5:$E$100,5,0),"")</f>
        <v/>
      </c>
      <c r="D26" s="48" t="s">
        <v>192</v>
      </c>
      <c r="E26" s="48"/>
      <c r="F26" s="53" t="str">
        <f>IF(AND($A26="",$A25&lt;&gt;""),"Tổng Cộng",IFERROR(VLOOKUP($D26,Sheet1!$A$2:$D$98,4,0),""))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IFERROR(VLOOKUP($D27,Sheet1!$A$2:$B$98,2,0),"")</f>
        <v/>
      </c>
      <c r="C27" s="89" t="str">
        <f>IFERROR(VLOOKUP($D27,'Tổng Đơn'!$A$5:$E$100,5,0),"")</f>
        <v/>
      </c>
      <c r="D27" s="48" t="s">
        <v>192</v>
      </c>
      <c r="E27" s="48"/>
      <c r="F27" s="53" t="str">
        <f>IF(AND($A27="",$A26&lt;&gt;""),"Tổng Cộng",IFERROR(VLOOKUP($D27,Sheet1!$A$2:$D$98,4,0),""))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IFERROR(VLOOKUP($D28,Sheet1!$A$2:$B$98,2,0),"")</f>
        <v/>
      </c>
      <c r="C28" s="89" t="str">
        <f>IFERROR(VLOOKUP($D28,'Tổng Đơn'!$A$5:$E$100,5,0),"")</f>
        <v/>
      </c>
      <c r="D28" s="48" t="s">
        <v>192</v>
      </c>
      <c r="E28" s="48"/>
      <c r="F28" s="53" t="str">
        <f>IF(AND($A28="",$A27&lt;&gt;""),"Tổng Cộng",IFERROR(VLOOKUP($D28,Sheet1!$A$2:$D$98,4,0),""))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IFERROR(VLOOKUP($D29,Sheet1!$A$2:$B$98,2,0),"")</f>
        <v/>
      </c>
      <c r="C29" s="89" t="str">
        <f>IFERROR(VLOOKUP($D29,'Tổng Đơn'!$A$5:$E$100,5,0),"")</f>
        <v/>
      </c>
      <c r="D29" s="48" t="s">
        <v>192</v>
      </c>
      <c r="E29" s="48"/>
      <c r="F29" s="53" t="str">
        <f>IF(AND($A29="",$A28&lt;&gt;""),"Tổng Cộng",IFERROR(VLOOKUP($D29,Sheet1!$A$2:$D$98,4,0),""))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IFERROR(VLOOKUP($D30,Sheet1!$A$2:$B$98,2,0),"")</f>
        <v/>
      </c>
      <c r="C30" s="89" t="str">
        <f>IFERROR(VLOOKUP($D30,'Tổng Đơn'!$A$5:$E$100,5,0),"")</f>
        <v/>
      </c>
      <c r="D30" s="48" t="s">
        <v>192</v>
      </c>
      <c r="E30" s="48"/>
      <c r="F30" s="53" t="str">
        <f>IF(AND($A30="",$A29&lt;&gt;""),"Tổng Cộng",IFERROR(VLOOKUP($D30,Sheet1!$A$2:$D$98,4,0),""))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IFERROR(VLOOKUP($D31,Sheet1!$A$2:$B$98,2,0),"")</f>
        <v/>
      </c>
      <c r="C31" s="89" t="str">
        <f>IFERROR(VLOOKUP($D31,'Tổng Đơn'!$A$5:$E$100,5,0),"")</f>
        <v/>
      </c>
      <c r="D31" s="48" t="s">
        <v>192</v>
      </c>
      <c r="E31" s="48"/>
      <c r="F31" s="53" t="str">
        <f>IF(AND($A31="",$A30&lt;&gt;""),"Tổng Cộng",IFERROR(VLOOKUP($D31,Sheet1!$A$2:$D$98,4,0),""))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Cộng",IFERROR(VLOOKUP($D32,Sheet1!$A$2:$D$98,4,0),""))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F3">
    <cfRule type="expression" dxfId="59" priority="12">
      <formula>$A2=MAX($A$2:$A$31)</formula>
    </cfRule>
  </conditionalFormatting>
  <conditionalFormatting sqref="D2:D3">
    <cfRule type="expression" dxfId="58" priority="11">
      <formula>AND($D2="",$E2&lt;&gt;"")</formula>
    </cfRule>
  </conditionalFormatting>
  <conditionalFormatting sqref="E2:E3">
    <cfRule type="expression" dxfId="57" priority="10">
      <formula>AND($E2="",$D2&lt;&gt;"")</formula>
    </cfRule>
  </conditionalFormatting>
  <conditionalFormatting sqref="C2:C3">
    <cfRule type="expression" dxfId="56" priority="9">
      <formula>AND($D2="",$E2&lt;&gt;"")</formula>
    </cfRule>
  </conditionalFormatting>
  <conditionalFormatting sqref="A10:G31 A4:F9 G2:G9">
    <cfRule type="expression" dxfId="55" priority="8">
      <formula>$A1=MAX($A$2:$A$31)</formula>
    </cfRule>
  </conditionalFormatting>
  <conditionalFormatting sqref="D4:D31">
    <cfRule type="expression" dxfId="54" priority="7">
      <formula>AND($D4="",$E4&lt;&gt;"")</formula>
    </cfRule>
  </conditionalFormatting>
  <conditionalFormatting sqref="E4:E31">
    <cfRule type="expression" dxfId="53" priority="6">
      <formula>AND($E4="",$D4&lt;&gt;"")</formula>
    </cfRule>
  </conditionalFormatting>
  <conditionalFormatting sqref="C4:C31">
    <cfRule type="expression" dxfId="52" priority="5">
      <formula>AND($D4="",$E4&lt;&gt;"")</formula>
    </cfRule>
  </conditionalFormatting>
  <conditionalFormatting sqref="A32:G32">
    <cfRule type="expression" dxfId="51" priority="4">
      <formula>$A31=MAX($A$2:$A$31)</formula>
    </cfRule>
  </conditionalFormatting>
  <conditionalFormatting sqref="D32">
    <cfRule type="expression" dxfId="50" priority="3">
      <formula>AND($D32="",$E32&lt;&gt;"")</formula>
    </cfRule>
  </conditionalFormatting>
  <conditionalFormatting sqref="E32">
    <cfRule type="expression" dxfId="49" priority="2">
      <formula>AND($E32="",$D32&lt;&gt;"")</formula>
    </cfRule>
  </conditionalFormatting>
  <conditionalFormatting sqref="C32">
    <cfRule type="expression" dxfId="48"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theme="1"/>
  </sheetPr>
  <dimension ref="A1:M52"/>
  <sheetViews>
    <sheetView zoomScaleNormal="100" workbookViewId="0">
      <pane ySplit="1" topLeftCell="A2" activePane="bottomLeft" state="frozen"/>
      <selection activeCell="H16" sqref="H16"/>
      <selection pane="bottomLeft" activeCell="H2" sqref="H2"/>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3" width="10.140625" style="14" bestFit="1" customWidth="1"/>
    <col min="14" max="16384" width="9.140625" style="14"/>
  </cols>
  <sheetData>
    <row r="1" spans="1:13" s="45" customFormat="1" ht="39" customHeight="1" x14ac:dyDescent="0.25">
      <c r="A1" s="47" t="s">
        <v>0</v>
      </c>
      <c r="B1" s="47" t="s">
        <v>17</v>
      </c>
      <c r="C1" s="87" t="s">
        <v>55</v>
      </c>
      <c r="D1" s="91" t="s">
        <v>118</v>
      </c>
      <c r="E1" s="91" t="s">
        <v>16</v>
      </c>
      <c r="F1" s="47" t="s">
        <v>18</v>
      </c>
      <c r="G1" s="47" t="s">
        <v>19</v>
      </c>
      <c r="H1" s="157" t="s">
        <v>225</v>
      </c>
      <c r="I1" s="55">
        <f>SUBTOTAL(9,H2:H31)</f>
        <v>2.5</v>
      </c>
      <c r="K1" s="47" t="s">
        <v>18</v>
      </c>
    </row>
    <row r="2" spans="1:13" s="46" customFormat="1" ht="24.95" customHeight="1" x14ac:dyDescent="0.25">
      <c r="A2" s="51">
        <f>IF(OR(SUM($A1,$D2&lt;&gt;"")=0,$D2=""),"",SUM($A1,$D2&lt;&gt;""))</f>
        <v>1</v>
      </c>
      <c r="B2" s="52" t="str">
        <f>IFERROR(VLOOKUP($D2,Sheet1!$A$2:$B$98,2,0),"")</f>
        <v>Đậu hủ phô mai</v>
      </c>
      <c r="C2" s="88">
        <f>IFERROR(VLOOKUP($D2,'Tổng Đơn'!$A$5:$E$100,5,0),"")</f>
        <v>0.5</v>
      </c>
      <c r="D2" s="48">
        <v>18</v>
      </c>
      <c r="E2" s="48">
        <v>1</v>
      </c>
      <c r="F2" s="53">
        <f>IFERROR(VLOOKUP($D2,Sheet1!$A$2:$D$98,4,0),"")</f>
        <v>55000</v>
      </c>
      <c r="G2" s="54">
        <f>IF($A1=MAX($A$2:$A$50),SUM($G1:$G$2),IFERROR($F2*$E2,""))</f>
        <v>55000</v>
      </c>
      <c r="H2" s="92">
        <f>IFERROR(E2*C2,"")</f>
        <v>0.5</v>
      </c>
      <c r="I2" s="46" t="str">
        <f>IF(SUMPRODUCT(($E$2:$E$12),($K$2:$K$12))&gt;=200000,"KM 15%",IF(SUMPRODUCT(($E$2:$E$12),($K$2:$K$12))&gt;=100000,"KM 10%",""))</f>
        <v>KM 15%</v>
      </c>
      <c r="K2" s="50">
        <f>IFERROR(VLOOKUP($D2,Sheet1!$A$2:$D$98,4,0),"")</f>
        <v>55000</v>
      </c>
    </row>
    <row r="3" spans="1:13" s="46" customFormat="1" ht="24.95" customHeight="1" x14ac:dyDescent="0.25">
      <c r="A3" s="51">
        <f t="shared" ref="A3:A31" si="0">IF(OR(SUM($A2,$D3&lt;&gt;"")=0,$D3=""),"",SUM($A2,$D3&lt;&gt;""))</f>
        <v>2</v>
      </c>
      <c r="B3" s="52" t="str">
        <f>IFERROR(VLOOKUP($D3,Sheet1!$A$2:$B$98,2,0),"")</f>
        <v>XX Đức HS ĐNA</v>
      </c>
      <c r="C3" s="89">
        <f>IFERROR(VLOOKUP($D3,'Tổng Đơn'!$A$5:$E$100,5,0),"")</f>
        <v>0.5</v>
      </c>
      <c r="D3" s="48">
        <v>21</v>
      </c>
      <c r="E3" s="48">
        <v>2</v>
      </c>
      <c r="F3" s="53">
        <f>IF(AND($A3="",$A2&lt;&gt;""),"Tổng Cộng",IFERROR(VLOOKUP($D3,Sheet1!$A$2:$D$98,4,0),""))</f>
        <v>33000</v>
      </c>
      <c r="G3" s="54">
        <f>IF($A2=MAX($A$2:$A$50),SUM($G$2:$G2),IFERROR($F3*$E3,""))</f>
        <v>66000</v>
      </c>
      <c r="H3" s="92">
        <f t="shared" ref="H3:H31" si="1">IFERROR(E3*C3,"")</f>
        <v>1</v>
      </c>
      <c r="K3" s="49">
        <f>IFERROR(VLOOKUP($D3,Sheet1!$A$2:$D$98,4,0),"")</f>
        <v>33000</v>
      </c>
    </row>
    <row r="4" spans="1:13" s="46" customFormat="1" ht="24.95" customHeight="1" x14ac:dyDescent="0.25">
      <c r="A4" s="51">
        <f t="shared" si="0"/>
        <v>3</v>
      </c>
      <c r="B4" s="52" t="str">
        <f>IFERROR(VLOOKUP($D4,Sheet1!$A$2:$B$98,2,0),"")</f>
        <v xml:space="preserve">Viên thả lẩu Cam-Trứng cá </v>
      </c>
      <c r="C4" s="89">
        <f>IFERROR(VLOOKUP($D4,'Tổng Đơn'!$A$5:$E$100,5,0),"")</f>
        <v>0.5</v>
      </c>
      <c r="D4" s="48">
        <v>62</v>
      </c>
      <c r="E4" s="48">
        <v>2</v>
      </c>
      <c r="F4" s="53">
        <f>IF(AND($A4="",$A3&lt;&gt;""),"Tổng Cộng",IFERROR(VLOOKUP($D4,Sheet1!$A$2:$D$98,4,0),""))</f>
        <v>48000</v>
      </c>
      <c r="G4" s="54">
        <f>IF($A3=MAX($A$2:$A$50),SUM($G$2:$G3),IFERROR($F4*$E4,""))</f>
        <v>96000</v>
      </c>
      <c r="H4" s="92">
        <f t="shared" si="1"/>
        <v>1</v>
      </c>
      <c r="K4" s="49">
        <f>IFERROR(VLOOKUP($D4,Sheet1!$A$2:$D$98,4,0),"")</f>
        <v>48000</v>
      </c>
    </row>
    <row r="5" spans="1:13" s="46" customFormat="1" ht="24.95" customHeight="1" x14ac:dyDescent="0.25">
      <c r="A5" s="51" t="str">
        <f t="shared" si="0"/>
        <v/>
      </c>
      <c r="B5" s="52" t="str">
        <f>IFERROR(VLOOKUP($D5,Sheet1!$A$2:$B$98,2,0),"")</f>
        <v/>
      </c>
      <c r="C5" s="89" t="str">
        <f>IFERROR(VLOOKUP($D5,'Tổng Đơn'!$A$5:$E$100,5,0),"")</f>
        <v/>
      </c>
      <c r="D5" s="48" t="s">
        <v>192</v>
      </c>
      <c r="E5" s="48"/>
      <c r="F5" s="53" t="str">
        <f>IF(AND($A5="",$A4&lt;&gt;""),"Tổng Cộng",IFERROR(VLOOKUP($D5,Sheet1!$A$2:$D$98,4,0),""))</f>
        <v>Tổng Cộng</v>
      </c>
      <c r="G5" s="54">
        <f>IF($A4=MAX($A$2:$A$50),SUM($G$2:$G4),IFERROR($F5*$E5,""))</f>
        <v>217000</v>
      </c>
      <c r="H5" s="92" t="str">
        <f t="shared" si="1"/>
        <v/>
      </c>
      <c r="K5" s="49" t="str">
        <f>IFERROR(VLOOKUP($D5,Sheet1!$A$2:$D$98,4,0),"")</f>
        <v/>
      </c>
    </row>
    <row r="6" spans="1:13" s="46" customFormat="1" ht="24.95" customHeight="1" x14ac:dyDescent="0.25">
      <c r="A6" s="51" t="str">
        <f t="shared" si="0"/>
        <v/>
      </c>
      <c r="B6" s="52" t="str">
        <f>IFERROR(VLOOKUP($D6,Sheet1!$A$2:$B$98,2,0),"")</f>
        <v/>
      </c>
      <c r="C6" s="89" t="str">
        <f>IFERROR(VLOOKUP($D6,'Tổng Đơn'!$A$5:$E$100,5,0),"")</f>
        <v/>
      </c>
      <c r="D6" s="48" t="s">
        <v>192</v>
      </c>
      <c r="E6" s="48"/>
      <c r="F6" s="53" t="str">
        <f>IF(AND($A6="",$A5&lt;&gt;""),"Tổng Cộng",IFERROR(VLOOKUP($D6,Sheet1!$A$2:$D$98,4,0),""))</f>
        <v/>
      </c>
      <c r="G6" s="54" t="str">
        <f>IF($A5=MAX($A$2:$A$50),SUM($G$2:$G5),IFERROR($F6*$E6,""))</f>
        <v/>
      </c>
      <c r="H6" s="92" t="str">
        <f t="shared" si="1"/>
        <v/>
      </c>
      <c r="I6" s="175"/>
      <c r="K6" s="49"/>
      <c r="L6" s="184"/>
      <c r="M6" s="176"/>
    </row>
    <row r="7" spans="1:13" s="46" customFormat="1" ht="24.95" customHeight="1" x14ac:dyDescent="0.25">
      <c r="A7" s="51" t="str">
        <f t="shared" si="0"/>
        <v/>
      </c>
      <c r="B7" s="52" t="str">
        <f>IFERROR(VLOOKUP($D7,Sheet1!$A$2:$B$98,2,0),"")</f>
        <v/>
      </c>
      <c r="C7" s="89" t="str">
        <f>IFERROR(VLOOKUP($D7,'Tổng Đơn'!$A$5:$E$100,5,0),"")</f>
        <v/>
      </c>
      <c r="D7" s="48" t="s">
        <v>192</v>
      </c>
      <c r="E7" s="48"/>
      <c r="F7" s="53" t="str">
        <f>IF(AND($A7="",$A6&lt;&gt;""),"Tổng Cộng",IFERROR(VLOOKUP($D7,Sheet1!$A$2:$D$98,4,0),""))</f>
        <v/>
      </c>
      <c r="G7" s="54" t="str">
        <f>IF($A6=MAX($A$2:$A$50),SUM($G$2:$G6),IFERROR($F7*$E7,""))</f>
        <v/>
      </c>
      <c r="H7" s="92" t="str">
        <f t="shared" si="1"/>
        <v/>
      </c>
      <c r="K7" s="49"/>
    </row>
    <row r="8" spans="1:13" s="46" customFormat="1" ht="24.95" customHeight="1" x14ac:dyDescent="0.25">
      <c r="A8" s="51" t="str">
        <f t="shared" si="0"/>
        <v/>
      </c>
      <c r="B8" s="52" t="str">
        <f>IFERROR(VLOOKUP($D8,Sheet1!$A$2:$B$98,2,0),"")</f>
        <v/>
      </c>
      <c r="C8" s="89" t="str">
        <f>IFERROR(VLOOKUP($D8,'Tổng Đơn'!$A$5:$E$100,5,0),"")</f>
        <v/>
      </c>
      <c r="D8" s="48" t="s">
        <v>192</v>
      </c>
      <c r="E8" s="48"/>
      <c r="F8" s="53" t="str">
        <f>IF(AND($A8="",$A7&lt;&gt;""),"Tổng Cộng",IFERROR(VLOOKUP($D8,Sheet1!$A$2:$D$98,4,0),""))</f>
        <v/>
      </c>
      <c r="G8" s="54" t="str">
        <f>IF($A7=MAX($A$2:$A$50),SUM($G$2:$G7),IFERROR($F8*$E8,""))</f>
        <v/>
      </c>
      <c r="H8" s="92" t="str">
        <f t="shared" si="1"/>
        <v/>
      </c>
      <c r="K8" s="49" t="str">
        <f>IFERROR(VLOOKUP($D8,Sheet1!$A$2:$D$98,4,0),"")</f>
        <v/>
      </c>
      <c r="L8" s="185"/>
    </row>
    <row r="9" spans="1:13" s="46" customFormat="1" ht="24.95" customHeight="1" x14ac:dyDescent="0.25">
      <c r="A9" s="51" t="str">
        <f t="shared" si="0"/>
        <v/>
      </c>
      <c r="B9" s="52" t="str">
        <f>IFERROR(VLOOKUP($D9,Sheet1!$A$2:$B$98,2,0),"")</f>
        <v/>
      </c>
      <c r="C9" s="89" t="str">
        <f>IFERROR(VLOOKUP($D9,'Tổng Đơn'!$A$5:$E$100,5,0),"")</f>
        <v/>
      </c>
      <c r="D9" s="48" t="s">
        <v>192</v>
      </c>
      <c r="E9" s="48"/>
      <c r="F9" s="53" t="str">
        <f>IF(AND($A9="",$A8&lt;&gt;""),"Tổng Cộng",IFERROR(VLOOKUP($D9,Sheet1!$A$2:$D$98,4,0),""))</f>
        <v/>
      </c>
      <c r="G9" s="54" t="str">
        <f>IF($A8=MAX($A$2:$A$50),SUM($G$2:$G8),IFERROR($F9*$E9,""))</f>
        <v/>
      </c>
      <c r="H9" s="92" t="str">
        <f t="shared" si="1"/>
        <v/>
      </c>
      <c r="K9" s="49" t="str">
        <f>IFERROR(VLOOKUP($D9,Sheet1!$A$2:$D$98,4,0),"")</f>
        <v/>
      </c>
    </row>
    <row r="10" spans="1:13" s="46" customFormat="1" ht="24.95" customHeight="1" x14ac:dyDescent="0.25">
      <c r="A10" s="51" t="str">
        <f t="shared" si="0"/>
        <v/>
      </c>
      <c r="B10" s="52" t="str">
        <f>IFERROR(VLOOKUP($D10,Sheet1!$A$2:$B$98,2,0),"")</f>
        <v/>
      </c>
      <c r="C10" s="89" t="str">
        <f>IFERROR(VLOOKUP($D10,'Tổng Đơn'!$A$5:$E$100,5,0),"")</f>
        <v/>
      </c>
      <c r="D10" s="48" t="s">
        <v>192</v>
      </c>
      <c r="E10" s="48"/>
      <c r="F10" s="53" t="str">
        <f>IF(AND($A10="",$A9&lt;&gt;""),"Tổng Cộng",IFERROR(VLOOKUP($D10,Sheet1!$A$2:$D$98,4,0),""))</f>
        <v/>
      </c>
      <c r="G10" s="54" t="str">
        <f>IF($A9=MAX($A$2:$A$50),SUM($G$2:$G9),IFERROR($F10*$E10,""))</f>
        <v/>
      </c>
      <c r="H10" s="92" t="str">
        <f t="shared" si="1"/>
        <v/>
      </c>
      <c r="K10" s="49" t="str">
        <f>IFERROR(VLOOKUP($D10,Sheet1!$A$2:$D$98,4,0),"")</f>
        <v/>
      </c>
    </row>
    <row r="11" spans="1:13" s="46" customFormat="1" ht="24.95" customHeight="1" x14ac:dyDescent="0.25">
      <c r="A11" s="51" t="str">
        <f t="shared" si="0"/>
        <v/>
      </c>
      <c r="B11" s="52" t="str">
        <f>IFERROR(VLOOKUP($D11,Sheet1!$A$2:$B$98,2,0),"")</f>
        <v/>
      </c>
      <c r="C11" s="89" t="str">
        <f>IFERROR(VLOOKUP($D11,'Tổng Đơn'!$A$5:$E$100,5,0),"")</f>
        <v/>
      </c>
      <c r="D11" s="48" t="s">
        <v>192</v>
      </c>
      <c r="E11" s="48"/>
      <c r="F11" s="53" t="str">
        <f>IF(AND($A11="",$A10&lt;&gt;""),"Tổng Cộng",IFERROR(VLOOKUP($D11,Sheet1!$A$2:$D$98,4,0),""))</f>
        <v/>
      </c>
      <c r="G11" s="54" t="str">
        <f>IF($A10=MAX($A$2:$A$50),SUM($G$2:$G10),IFERROR($F11*$E11,""))</f>
        <v/>
      </c>
      <c r="H11" s="92" t="str">
        <f t="shared" si="1"/>
        <v/>
      </c>
      <c r="K11" s="49" t="str">
        <f>IFERROR(VLOOKUP($D11,Sheet1!$A$2:$D$98,4,0),"")</f>
        <v/>
      </c>
    </row>
    <row r="12" spans="1:13" s="46" customFormat="1" ht="24.95" customHeight="1" x14ac:dyDescent="0.25">
      <c r="A12" s="51" t="str">
        <f t="shared" si="0"/>
        <v/>
      </c>
      <c r="B12" s="52" t="str">
        <f>IFERROR(VLOOKUP($D12,Sheet1!$A$2:$B$98,2,0),"")</f>
        <v/>
      </c>
      <c r="C12" s="89" t="str">
        <f>IFERROR(VLOOKUP($D12,'Tổng Đơn'!$A$5:$E$100,5,0),"")</f>
        <v/>
      </c>
      <c r="D12" s="48" t="s">
        <v>192</v>
      </c>
      <c r="E12" s="48"/>
      <c r="F12" s="53" t="str">
        <f>IF(AND($A12="",$A11&lt;&gt;""),"Tổng Cộng",IFERROR(VLOOKUP($D12,Sheet1!$A$2:$D$98,4,0),""))</f>
        <v/>
      </c>
      <c r="G12" s="54" t="str">
        <f>IF($A11=MAX($A$2:$A$50),SUM($G$2:$G11),IFERROR($F12*$E12,""))</f>
        <v/>
      </c>
      <c r="H12" s="92" t="str">
        <f t="shared" si="1"/>
        <v/>
      </c>
      <c r="K12" s="49" t="str">
        <f>IFERROR(VLOOKUP($D12,Sheet1!$A$2:$D$98,4,0),"")</f>
        <v/>
      </c>
    </row>
    <row r="13" spans="1:13" s="46" customFormat="1" ht="24.95" customHeight="1" x14ac:dyDescent="0.25">
      <c r="A13" s="51" t="str">
        <f t="shared" si="0"/>
        <v/>
      </c>
      <c r="B13" s="52" t="str">
        <f>IFERROR(VLOOKUP($D13,Sheet1!$A$2:$B$98,2,0),"")</f>
        <v/>
      </c>
      <c r="C13" s="89" t="str">
        <f>IFERROR(VLOOKUP($D13,'Tổng Đơn'!$A$5:$E$100,5,0),"")</f>
        <v/>
      </c>
      <c r="D13" s="48" t="s">
        <v>192</v>
      </c>
      <c r="E13" s="48"/>
      <c r="F13" s="53" t="str">
        <f>IF(AND($A13="",$A12&lt;&gt;""),"Tổng Cộng",IFERROR(VLOOKUP($D13,Sheet1!$A$2:$D$98,4,0),""))</f>
        <v/>
      </c>
      <c r="G13" s="54" t="str">
        <f>IF($A12=MAX($A$2:$A$50),SUM($G$2:$G12),IFERROR($F13*$E13,""))</f>
        <v/>
      </c>
      <c r="H13" s="92" t="str">
        <f t="shared" si="1"/>
        <v/>
      </c>
      <c r="K13" s="49" t="str">
        <f>IFERROR(VLOOKUP($D13,Sheet1!$A$2:$D$98,4,0),"")</f>
        <v/>
      </c>
    </row>
    <row r="14" spans="1:13" s="46" customFormat="1" ht="24.95" customHeight="1" x14ac:dyDescent="0.25">
      <c r="A14" s="51" t="str">
        <f t="shared" si="0"/>
        <v/>
      </c>
      <c r="B14" s="52" t="str">
        <f>IFERROR(VLOOKUP($D14,Sheet1!$A$2:$B$98,2,0),"")</f>
        <v/>
      </c>
      <c r="C14" s="89" t="str">
        <f>IFERROR(VLOOKUP($D14,'Tổng Đơn'!$A$5:$E$100,5,0),"")</f>
        <v/>
      </c>
      <c r="D14" s="48" t="s">
        <v>192</v>
      </c>
      <c r="E14" s="48"/>
      <c r="F14" s="53" t="str">
        <f>IF(AND($A14="",$A13&lt;&gt;""),"Tổng Cộng",IFERROR(VLOOKUP($D14,Sheet1!$A$2:$D$98,4,0),""))</f>
        <v/>
      </c>
      <c r="G14" s="54" t="str">
        <f>IF($A13=MAX($A$2:$A$50),SUM($G$2:$G13),IFERROR($F14*$E14,""))</f>
        <v/>
      </c>
      <c r="H14" s="92" t="str">
        <f t="shared" si="1"/>
        <v/>
      </c>
      <c r="K14" s="49" t="str">
        <f>IFERROR(VLOOKUP($D14,Sheet1!$A$2:$D$98,4,0),"")</f>
        <v/>
      </c>
    </row>
    <row r="15" spans="1:13" s="46" customFormat="1" ht="24.95" customHeight="1" x14ac:dyDescent="0.25">
      <c r="A15" s="51" t="str">
        <f t="shared" si="0"/>
        <v/>
      </c>
      <c r="B15" s="52" t="str">
        <f>IFERROR(VLOOKUP($D15,Sheet1!$A$2:$B$98,2,0),"")</f>
        <v/>
      </c>
      <c r="C15" s="89" t="str">
        <f>IFERROR(VLOOKUP($D15,'Tổng Đơn'!$A$5:$E$100,5,0),"")</f>
        <v/>
      </c>
      <c r="D15" s="48" t="s">
        <v>192</v>
      </c>
      <c r="E15" s="48"/>
      <c r="F15" s="53" t="str">
        <f>IF(AND($A15="",$A14&lt;&gt;""),"Tổng Cộng",IFERROR(VLOOKUP($D15,Sheet1!$A$2:$D$98,4,0),""))</f>
        <v/>
      </c>
      <c r="G15" s="54" t="str">
        <f>IF($A14=MAX($A$2:$A$50),SUM($G$2:$G14),IFERROR($F15*$E15,""))</f>
        <v/>
      </c>
      <c r="H15" s="92" t="str">
        <f t="shared" si="1"/>
        <v/>
      </c>
      <c r="K15" s="49" t="str">
        <f>IFERROR(VLOOKUP($D15,Sheet1!$A$2:$D$98,4,0),"")</f>
        <v/>
      </c>
    </row>
    <row r="16" spans="1:13" s="46" customFormat="1" ht="24.95" customHeight="1" x14ac:dyDescent="0.25">
      <c r="A16" s="51" t="str">
        <f t="shared" si="0"/>
        <v/>
      </c>
      <c r="B16" s="52" t="str">
        <f>IFERROR(VLOOKUP($D16,Sheet1!$A$2:$B$98,2,0),"")</f>
        <v/>
      </c>
      <c r="C16" s="89" t="str">
        <f>IFERROR(VLOOKUP($D16,'Tổng Đơn'!$A$5:$E$100,5,0),"")</f>
        <v/>
      </c>
      <c r="D16" s="48" t="s">
        <v>192</v>
      </c>
      <c r="E16" s="48"/>
      <c r="F16" s="53" t="str">
        <f>IF(AND($A16="",$A15&lt;&gt;""),"Tổng Cộng",IFERROR(VLOOKUP($D16,Sheet1!$A$2:$D$98,4,0),""))</f>
        <v/>
      </c>
      <c r="G16" s="54" t="str">
        <f>IF($A15=MAX($A$2:$A$50),SUM($G$2:$G15),IFERROR($F16*$E16,""))</f>
        <v/>
      </c>
      <c r="H16" s="92" t="str">
        <f t="shared" si="1"/>
        <v/>
      </c>
      <c r="K16" s="49" t="str">
        <f>IFERROR(VLOOKUP($D16,Sheet1!$A$2:$D$98,4,0),"")</f>
        <v/>
      </c>
    </row>
    <row r="17" spans="1:11" s="46" customFormat="1" ht="24.95" customHeight="1" x14ac:dyDescent="0.25">
      <c r="A17" s="51" t="str">
        <f t="shared" si="0"/>
        <v/>
      </c>
      <c r="B17" s="52" t="str">
        <f>IFERROR(VLOOKUP($D17,Sheet1!$A$2:$B$98,2,0),"")</f>
        <v/>
      </c>
      <c r="C17" s="89" t="str">
        <f>IFERROR(VLOOKUP($D17,'Tổng Đơn'!$A$5:$E$100,5,0),"")</f>
        <v/>
      </c>
      <c r="D17" s="48" t="s">
        <v>192</v>
      </c>
      <c r="E17" s="48"/>
      <c r="F17" s="53" t="str">
        <f>IF(AND($A17="",$A16&lt;&gt;""),"Tổng Cộng",IFERROR(VLOOKUP($D17,Sheet1!$A$2:$D$98,4,0),""))</f>
        <v/>
      </c>
      <c r="G17" s="54" t="str">
        <f>IF($A16=MAX($A$2:$A$50),SUM($G$2:$G16),IFERROR($F17*$E17,""))</f>
        <v/>
      </c>
      <c r="H17" s="92" t="str">
        <f t="shared" si="1"/>
        <v/>
      </c>
      <c r="K17" s="49" t="str">
        <f>IFERROR(VLOOKUP($D17,Sheet1!$A$2:$D$98,4,0),"")</f>
        <v/>
      </c>
    </row>
    <row r="18" spans="1:11" s="46" customFormat="1" ht="24.95" customHeight="1" x14ac:dyDescent="0.25">
      <c r="A18" s="51" t="str">
        <f t="shared" si="0"/>
        <v/>
      </c>
      <c r="B18" s="52" t="str">
        <f>IFERROR(VLOOKUP($D18,Sheet1!$A$2:$B$98,2,0),"")</f>
        <v/>
      </c>
      <c r="C18" s="89" t="str">
        <f>IFERROR(VLOOKUP($D18,'Tổng Đơn'!$A$5:$E$100,5,0),"")</f>
        <v/>
      </c>
      <c r="D18" s="48" t="s">
        <v>192</v>
      </c>
      <c r="E18" s="48"/>
      <c r="F18" s="53" t="str">
        <f>IF(AND($A18="",$A17&lt;&gt;""),"Tổng Cộng",IFERROR(VLOOKUP($D18,Sheet1!$A$2:$D$98,4,0),""))</f>
        <v/>
      </c>
      <c r="G18" s="54" t="str">
        <f>IF($A17=MAX($A$2:$A$50),SUM($G$2:$G17),IFERROR($F18*$E18,""))</f>
        <v/>
      </c>
      <c r="H18" s="92" t="str">
        <f t="shared" si="1"/>
        <v/>
      </c>
      <c r="K18" s="49" t="str">
        <f>IFERROR(VLOOKUP($D18,Sheet1!$A$2:$D$98,4,0),"")</f>
        <v/>
      </c>
    </row>
    <row r="19" spans="1:11" s="46" customFormat="1" ht="24.95" customHeight="1" x14ac:dyDescent="0.25">
      <c r="A19" s="51" t="str">
        <f t="shared" si="0"/>
        <v/>
      </c>
      <c r="B19" s="52" t="str">
        <f>IFERROR(VLOOKUP($D19,Sheet1!$A$2:$B$98,2,0),"")</f>
        <v/>
      </c>
      <c r="C19" s="89" t="str">
        <f>IFERROR(VLOOKUP($D19,'Tổng Đơn'!$A$5:$E$100,5,0),"")</f>
        <v/>
      </c>
      <c r="D19" s="48" t="s">
        <v>192</v>
      </c>
      <c r="E19" s="48"/>
      <c r="F19" s="53" t="str">
        <f>IF(AND($A19="",$A18&lt;&gt;""),"Tổng Cộng",IFERROR(VLOOKUP($D19,Sheet1!$A$2:$D$98,4,0),""))</f>
        <v/>
      </c>
      <c r="G19" s="54" t="str">
        <f>IF($A18=MAX($A$2:$A$50),SUM($G$2:$G18),IFERROR($F19*$E19,""))</f>
        <v/>
      </c>
      <c r="H19" s="92" t="str">
        <f t="shared" si="1"/>
        <v/>
      </c>
      <c r="K19" s="49" t="str">
        <f>IFERROR(VLOOKUP($D19,Sheet1!$A$2:$D$98,4,0),"")</f>
        <v/>
      </c>
    </row>
    <row r="20" spans="1:11" s="46" customFormat="1" ht="24.95" customHeight="1" x14ac:dyDescent="0.25">
      <c r="A20" s="51" t="str">
        <f t="shared" si="0"/>
        <v/>
      </c>
      <c r="B20" s="52" t="str">
        <f>IFERROR(VLOOKUP($D20,Sheet1!$A$2:$B$98,2,0),"")</f>
        <v/>
      </c>
      <c r="C20" s="89" t="str">
        <f>IFERROR(VLOOKUP($D20,'Tổng Đơn'!$A$5:$E$100,5,0),"")</f>
        <v/>
      </c>
      <c r="D20" s="48" t="s">
        <v>192</v>
      </c>
      <c r="E20" s="48"/>
      <c r="F20" s="53" t="str">
        <f>IF(AND($A20="",$A19&lt;&gt;""),"Tổng Cộng",IFERROR(VLOOKUP($D20,Sheet1!$A$2:$D$98,4,0),""))</f>
        <v/>
      </c>
      <c r="G20" s="54" t="str">
        <f>IF($A19=MAX($A$2:$A$50),SUM($G$2:$G19),IFERROR($F20*$E20,""))</f>
        <v/>
      </c>
      <c r="H20" s="92" t="str">
        <f t="shared" si="1"/>
        <v/>
      </c>
      <c r="K20" s="49" t="str">
        <f>IFERROR(VLOOKUP($D20,Sheet1!$A$2:$D$98,4,0),"")</f>
        <v/>
      </c>
    </row>
    <row r="21" spans="1:11" s="46" customFormat="1" ht="24.95" customHeight="1" x14ac:dyDescent="0.25">
      <c r="A21" s="51" t="str">
        <f t="shared" si="0"/>
        <v/>
      </c>
      <c r="B21" s="52" t="str">
        <f>IFERROR(VLOOKUP($D21,Sheet1!$A$2:$B$98,2,0),"")</f>
        <v/>
      </c>
      <c r="C21" s="89" t="str">
        <f>IFERROR(VLOOKUP($D21,'Tổng Đơn'!$A$5:$E$100,5,0),"")</f>
        <v/>
      </c>
      <c r="D21" s="48" t="s">
        <v>192</v>
      </c>
      <c r="E21" s="48"/>
      <c r="F21" s="53" t="str">
        <f>IF(AND($A21="",$A20&lt;&gt;""),"Tổng Cộng",IFERROR(VLOOKUP($D21,Sheet1!$A$2:$D$98,4,0),""))</f>
        <v/>
      </c>
      <c r="G21" s="54" t="str">
        <f>IF($A20=MAX($A$2:$A$50),SUM($G$2:$G20),IFERROR($F21*$E21,""))</f>
        <v/>
      </c>
      <c r="H21" s="92" t="str">
        <f t="shared" si="1"/>
        <v/>
      </c>
      <c r="K21" s="49"/>
    </row>
    <row r="22" spans="1:11" s="46" customFormat="1" ht="24.95" customHeight="1" x14ac:dyDescent="0.25">
      <c r="A22" s="51" t="str">
        <f t="shared" si="0"/>
        <v/>
      </c>
      <c r="B22" s="52" t="str">
        <f>IFERROR(VLOOKUP($D22,Sheet1!$A$2:$B$98,2,0),"")</f>
        <v/>
      </c>
      <c r="C22" s="89" t="str">
        <f>IFERROR(VLOOKUP($D22,'Tổng Đơn'!$A$5:$E$100,5,0),"")</f>
        <v/>
      </c>
      <c r="D22" s="48" t="s">
        <v>192</v>
      </c>
      <c r="E22" s="48"/>
      <c r="F22" s="53" t="str">
        <f>IF(AND($A22="",$A21&lt;&gt;""),"Tổng Cộng",IFERROR(VLOOKUP($D22,Sheet1!$A$2:$D$98,4,0),""))</f>
        <v/>
      </c>
      <c r="G22" s="54" t="str">
        <f>IF($A21=MAX($A$2:$A$50),SUM($G$2:$G21),IFERROR($F22*$E22,""))</f>
        <v/>
      </c>
      <c r="H22" s="92" t="str">
        <f t="shared" si="1"/>
        <v/>
      </c>
      <c r="K22" s="49"/>
    </row>
    <row r="23" spans="1:11" s="46" customFormat="1" ht="24.95" customHeight="1" x14ac:dyDescent="0.25">
      <c r="A23" s="51" t="str">
        <f t="shared" si="0"/>
        <v/>
      </c>
      <c r="B23" s="52" t="str">
        <f>IFERROR(VLOOKUP($D23,Sheet1!$A$2:$B$98,2,0),"")</f>
        <v/>
      </c>
      <c r="C23" s="89" t="str">
        <f>IFERROR(VLOOKUP($D23,'Tổng Đơn'!$A$5:$E$100,5,0),"")</f>
        <v/>
      </c>
      <c r="D23" s="48" t="s">
        <v>192</v>
      </c>
      <c r="E23" s="48"/>
      <c r="F23" s="53" t="str">
        <f>IF(AND($A23="",$A22&lt;&gt;""),"Tổng Cộng",IFERROR(VLOOKUP($D23,Sheet1!$A$2:$D$98,4,0),""))</f>
        <v/>
      </c>
      <c r="G23" s="54" t="str">
        <f>IF($A22=MAX($A$2:$A$50),SUM($G$2:$G22),IFERROR($F23*$E23,""))</f>
        <v/>
      </c>
      <c r="H23" s="92" t="str">
        <f t="shared" si="1"/>
        <v/>
      </c>
      <c r="K23" s="49">
        <v>1</v>
      </c>
    </row>
    <row r="24" spans="1:11" s="46" customFormat="1" ht="24.95" customHeight="1" x14ac:dyDescent="0.25">
      <c r="A24" s="51" t="str">
        <f t="shared" si="0"/>
        <v/>
      </c>
      <c r="B24" s="52" t="str">
        <f>IFERROR(VLOOKUP($D24,Sheet1!$A$2:$B$98,2,0),"")</f>
        <v/>
      </c>
      <c r="C24" s="89" t="str">
        <f>IFERROR(VLOOKUP($D24,'Tổng Đơn'!$A$5:$E$100,5,0),"")</f>
        <v/>
      </c>
      <c r="D24" s="48" t="s">
        <v>192</v>
      </c>
      <c r="E24" s="48"/>
      <c r="F24" s="53" t="str">
        <f>IF(AND($A24="",$A23&lt;&gt;""),"Tổng Cộng",IFERROR(VLOOKUP($D24,Sheet1!$A$2:$D$98,4,0),""))</f>
        <v/>
      </c>
      <c r="G24" s="54" t="str">
        <f>IF($A23=MAX($A$2:$A$50),SUM($G$2:$G23),IFERROR($F24*$E24,""))</f>
        <v/>
      </c>
      <c r="H24" s="92" t="str">
        <f t="shared" si="1"/>
        <v/>
      </c>
      <c r="K24" s="49">
        <v>1</v>
      </c>
    </row>
    <row r="25" spans="1:11" s="46" customFormat="1" ht="24.95" customHeight="1" x14ac:dyDescent="0.25">
      <c r="A25" s="51" t="str">
        <f t="shared" si="0"/>
        <v/>
      </c>
      <c r="B25" s="52" t="str">
        <f>IFERROR(VLOOKUP($D25,Sheet1!$A$2:$B$98,2,0),"")</f>
        <v/>
      </c>
      <c r="C25" s="89" t="str">
        <f>IFERROR(VLOOKUP($D25,'Tổng Đơn'!$A$5:$E$100,5,0),"")</f>
        <v/>
      </c>
      <c r="D25" s="48" t="s">
        <v>192</v>
      </c>
      <c r="E25" s="48"/>
      <c r="F25" s="53" t="str">
        <f>IF(AND($A25="",$A24&lt;&gt;""),"Tổng Cộng",IFERROR(VLOOKUP($D25,Sheet1!$A$2:$D$98,4,0),""))</f>
        <v/>
      </c>
      <c r="G25" s="54" t="str">
        <f>IF($A24=MAX($A$2:$A$50),SUM($G$2:$G24),IFERROR($F25*$E25,""))</f>
        <v/>
      </c>
      <c r="H25" s="92" t="str">
        <f t="shared" si="1"/>
        <v/>
      </c>
      <c r="K25" s="49">
        <v>1</v>
      </c>
    </row>
    <row r="26" spans="1:11" s="46" customFormat="1" ht="24.95" customHeight="1" x14ac:dyDescent="0.25">
      <c r="A26" s="51" t="str">
        <f t="shared" si="0"/>
        <v/>
      </c>
      <c r="B26" s="52" t="str">
        <f>IFERROR(VLOOKUP($D26,Sheet1!$A$2:$B$98,2,0),"")</f>
        <v/>
      </c>
      <c r="C26" s="89" t="str">
        <f>IFERROR(VLOOKUP($D26,'Tổng Đơn'!$A$5:$E$100,5,0),"")</f>
        <v/>
      </c>
      <c r="D26" s="48" t="s">
        <v>192</v>
      </c>
      <c r="E26" s="48"/>
      <c r="F26" s="53" t="str">
        <f>IF(AND($A26="",$A25&lt;&gt;""),"Tổng Cộng",IFERROR(VLOOKUP($D26,Sheet1!$A$2:$D$98,4,0),""))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IFERROR(VLOOKUP($D27,Sheet1!$A$2:$B$98,2,0),"")</f>
        <v/>
      </c>
      <c r="C27" s="89" t="str">
        <f>IFERROR(VLOOKUP($D27,'Tổng Đơn'!$A$5:$E$100,5,0),"")</f>
        <v/>
      </c>
      <c r="D27" s="48" t="s">
        <v>192</v>
      </c>
      <c r="E27" s="48"/>
      <c r="F27" s="53" t="str">
        <f>IF(AND($A27="",$A26&lt;&gt;""),"Tổng Cộng",IFERROR(VLOOKUP($D27,Sheet1!$A$2:$D$98,4,0),""))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IFERROR(VLOOKUP($D28,Sheet1!$A$2:$B$98,2,0),"")</f>
        <v/>
      </c>
      <c r="C28" s="89" t="str">
        <f>IFERROR(VLOOKUP($D28,'Tổng Đơn'!$A$5:$E$100,5,0),"")</f>
        <v/>
      </c>
      <c r="D28" s="48" t="s">
        <v>192</v>
      </c>
      <c r="E28" s="48"/>
      <c r="F28" s="53" t="str">
        <f>IF(AND($A28="",$A27&lt;&gt;""),"Tổng Cộng",IFERROR(VLOOKUP($D28,Sheet1!$A$2:$D$98,4,0),""))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IFERROR(VLOOKUP($D29,Sheet1!$A$2:$B$98,2,0),"")</f>
        <v/>
      </c>
      <c r="C29" s="89" t="str">
        <f>IFERROR(VLOOKUP($D29,'Tổng Đơn'!$A$5:$E$100,5,0),"")</f>
        <v/>
      </c>
      <c r="D29" s="48" t="s">
        <v>192</v>
      </c>
      <c r="E29" s="48"/>
      <c r="F29" s="53" t="str">
        <f>IF(AND($A29="",$A28&lt;&gt;""),"Tổng Cộng",IFERROR(VLOOKUP($D29,Sheet1!$A$2:$D$98,4,0),""))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IFERROR(VLOOKUP($D30,Sheet1!$A$2:$B$98,2,0),"")</f>
        <v/>
      </c>
      <c r="C30" s="89" t="str">
        <f>IFERROR(VLOOKUP($D30,'Tổng Đơn'!$A$5:$E$100,5,0),"")</f>
        <v/>
      </c>
      <c r="D30" s="48" t="s">
        <v>192</v>
      </c>
      <c r="E30" s="48"/>
      <c r="F30" s="53" t="str">
        <f>IF(AND($A30="",$A29&lt;&gt;""),"Tổng Cộng",IFERROR(VLOOKUP($D30,Sheet1!$A$2:$D$98,4,0),""))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IFERROR(VLOOKUP($D31,Sheet1!$A$2:$B$98,2,0),"")</f>
        <v/>
      </c>
      <c r="C31" s="89" t="str">
        <f>IFERROR(VLOOKUP($D31,'Tổng Đơn'!$A$5:$E$100,5,0),"")</f>
        <v/>
      </c>
      <c r="D31" s="48" t="s">
        <v>192</v>
      </c>
      <c r="E31" s="48"/>
      <c r="F31" s="53" t="str">
        <f>IF(AND($A31="",$A30&lt;&gt;""),"Tổng Cộng",IFERROR(VLOOKUP($D31,Sheet1!$A$2:$D$98,4,0),""))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Cộng",IFERROR(VLOOKUP($D32,Sheet1!$A$2:$D$98,4,0),""))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F3">
    <cfRule type="expression" dxfId="47" priority="12">
      <formula>$A2=MAX($A$2:$A$31)</formula>
    </cfRule>
  </conditionalFormatting>
  <conditionalFormatting sqref="D2:D3">
    <cfRule type="expression" dxfId="46" priority="11">
      <formula>AND($D2="",$E2&lt;&gt;"")</formula>
    </cfRule>
  </conditionalFormatting>
  <conditionalFormatting sqref="E2:E3">
    <cfRule type="expression" dxfId="45" priority="10">
      <formula>AND($E2="",$D2&lt;&gt;"")</formula>
    </cfRule>
  </conditionalFormatting>
  <conditionalFormatting sqref="C2:C3">
    <cfRule type="expression" dxfId="44" priority="9">
      <formula>AND($D2="",$E2&lt;&gt;"")</formula>
    </cfRule>
  </conditionalFormatting>
  <conditionalFormatting sqref="A10:G31 A4:F9 G2:G9">
    <cfRule type="expression" dxfId="43" priority="8">
      <formula>$A1=MAX($A$2:$A$31)</formula>
    </cfRule>
  </conditionalFormatting>
  <conditionalFormatting sqref="D4:D31">
    <cfRule type="expression" dxfId="42" priority="7">
      <formula>AND($D4="",$E4&lt;&gt;"")</formula>
    </cfRule>
  </conditionalFormatting>
  <conditionalFormatting sqref="E4:E31">
    <cfRule type="expression" dxfId="41" priority="6">
      <formula>AND($E4="",$D4&lt;&gt;"")</formula>
    </cfRule>
  </conditionalFormatting>
  <conditionalFormatting sqref="C4:C31">
    <cfRule type="expression" dxfId="40" priority="5">
      <formula>AND($D4="",$E4&lt;&gt;"")</formula>
    </cfRule>
  </conditionalFormatting>
  <conditionalFormatting sqref="A32:G32">
    <cfRule type="expression" dxfId="39" priority="4">
      <formula>$A31=MAX($A$2:$A$31)</formula>
    </cfRule>
  </conditionalFormatting>
  <conditionalFormatting sqref="D32">
    <cfRule type="expression" dxfId="38" priority="3">
      <formula>AND($D32="",$E32&lt;&gt;"")</formula>
    </cfRule>
  </conditionalFormatting>
  <conditionalFormatting sqref="E32">
    <cfRule type="expression" dxfId="37" priority="2">
      <formula>AND($E32="",$D32&lt;&gt;"")</formula>
    </cfRule>
  </conditionalFormatting>
  <conditionalFormatting sqref="C32">
    <cfRule type="expression" dxfId="36"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433"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1"/>
  </sheetPr>
  <dimension ref="A1:M52"/>
  <sheetViews>
    <sheetView zoomScaleNormal="100" workbookViewId="0">
      <pane ySplit="1" topLeftCell="A2" activePane="bottomLeft" state="frozen"/>
      <selection activeCell="H16" sqref="H16"/>
      <selection pane="bottomLeft" activeCell="H2" sqref="H2"/>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3" width="10.140625" style="14" bestFit="1" customWidth="1"/>
    <col min="14" max="16384" width="9.140625" style="14"/>
  </cols>
  <sheetData>
    <row r="1" spans="1:13" s="45" customFormat="1" ht="39" customHeight="1" x14ac:dyDescent="0.25">
      <c r="A1" s="47" t="s">
        <v>0</v>
      </c>
      <c r="B1" s="47" t="s">
        <v>17</v>
      </c>
      <c r="C1" s="87" t="s">
        <v>55</v>
      </c>
      <c r="D1" s="91" t="s">
        <v>118</v>
      </c>
      <c r="E1" s="91" t="s">
        <v>16</v>
      </c>
      <c r="F1" s="47" t="s">
        <v>18</v>
      </c>
      <c r="G1" s="47" t="s">
        <v>19</v>
      </c>
      <c r="H1" s="157" t="s">
        <v>223</v>
      </c>
      <c r="I1" s="55">
        <f>SUBTOTAL(9,H2:H31)</f>
        <v>4</v>
      </c>
      <c r="K1" s="47" t="s">
        <v>18</v>
      </c>
    </row>
    <row r="2" spans="1:13" s="46" customFormat="1" ht="24.95" customHeight="1" x14ac:dyDescent="0.25">
      <c r="A2" s="51">
        <f>IF(OR(SUM($A1,$D2&lt;&gt;"")=0,$D2=""),"",SUM($A1,$D2&lt;&gt;""))</f>
        <v>1</v>
      </c>
      <c r="B2" s="52" t="str">
        <f>IFERROR(VLOOKUP($D2,Sheet1!$A$2:$B$98,2,0),"")</f>
        <v>Cá viên HM</v>
      </c>
      <c r="C2" s="88">
        <f>IFERROR(VLOOKUP($D2,'Tổng Đơn'!$A$5:$E$100,5,0),"")</f>
        <v>0.5</v>
      </c>
      <c r="D2" s="48">
        <v>2</v>
      </c>
      <c r="E2" s="48">
        <v>1</v>
      </c>
      <c r="F2" s="53">
        <f>IFERROR(VLOOKUP($D2,Sheet1!$A$2:$D$98,4,0),"")</f>
        <v>25000</v>
      </c>
      <c r="G2" s="54">
        <f>IF($A1=MAX($A$2:$A$50),SUM($G1:$G$2),IFERROR($F2*$E2,""))</f>
        <v>25000</v>
      </c>
      <c r="H2" s="92">
        <f>IFERROR(E2*C2,"")</f>
        <v>0.5</v>
      </c>
      <c r="I2" s="46" t="str">
        <f>IF(SUMPRODUCT(($E$2:$E$12),($K$2:$K$12))&gt;=200000,"KM 15%",IF(SUMPRODUCT(($E$2:$E$12),($K$2:$K$12))&gt;=100000,"KM 10%",""))</f>
        <v>KM 10%</v>
      </c>
      <c r="K2" s="50">
        <f>IFERROR(VLOOKUP($D2,Sheet1!$A$2:$D$98,4,0),"")</f>
        <v>25000</v>
      </c>
    </row>
    <row r="3" spans="1:13" s="46" customFormat="1" ht="24.95" customHeight="1" x14ac:dyDescent="0.25">
      <c r="A3" s="51">
        <f t="shared" ref="A3:A31" si="0">IF(OR(SUM($A2,$D3&lt;&gt;"")=0,$D3=""),"",SUM($A2,$D3&lt;&gt;""))</f>
        <v>2</v>
      </c>
      <c r="B3" s="52" t="str">
        <f>IFERROR(VLOOKUP($D3,Sheet1!$A$2:$B$98,2,0),"")</f>
        <v>Hoành thánh chiên 500gr (60 viên)</v>
      </c>
      <c r="C3" s="89">
        <f>IFERROR(VLOOKUP($D3,'Tổng Đơn'!$A$5:$E$100,5,0),"")</f>
        <v>0.5</v>
      </c>
      <c r="D3" s="48">
        <v>8</v>
      </c>
      <c r="E3" s="48">
        <v>1</v>
      </c>
      <c r="F3" s="53">
        <f>IF(AND($A3="",$A2&lt;&gt;""),"Tổng Cộng",IFERROR(VLOOKUP($D3,Sheet1!$A$2:$D$98,4,0),""))</f>
        <v>35000</v>
      </c>
      <c r="G3" s="54">
        <f>IF($A2=MAX($A$2:$A$50),SUM($G$2:$G2),IFERROR($F3*$E3,""))</f>
        <v>35000</v>
      </c>
      <c r="H3" s="92">
        <f t="shared" ref="H3:H31" si="1">IFERROR(E3*C3,"")</f>
        <v>0.5</v>
      </c>
      <c r="K3" s="49">
        <f>IFERROR(VLOOKUP($D3,Sheet1!$A$2:$D$98,4,0),"")</f>
        <v>35000</v>
      </c>
    </row>
    <row r="4" spans="1:13" s="46" customFormat="1" ht="24.95" customHeight="1" x14ac:dyDescent="0.25">
      <c r="A4" s="51">
        <f t="shared" si="0"/>
        <v>3</v>
      </c>
      <c r="B4" s="52" t="str">
        <f>IFERROR(VLOOKUP($D4,Sheet1!$A$2:$B$98,2,0),"")</f>
        <v>Phô mai que (13 que)</v>
      </c>
      <c r="C4" s="89">
        <f>IFERROR(VLOOKUP($D4,'Tổng Đơn'!$A$5:$E$100,5,0),"")</f>
        <v>0.5</v>
      </c>
      <c r="D4" s="48">
        <v>16</v>
      </c>
      <c r="E4" s="48">
        <v>1</v>
      </c>
      <c r="F4" s="53">
        <f>IF(AND($A4="",$A3&lt;&gt;""),"Tổng Cộng",IFERROR(VLOOKUP($D4,Sheet1!$A$2:$D$98,4,0),""))</f>
        <v>40000</v>
      </c>
      <c r="G4" s="54">
        <f>IF($A3=MAX($A$2:$A$50),SUM($G$2:$G3),IFERROR($F4*$E4,""))</f>
        <v>40000</v>
      </c>
      <c r="H4" s="92">
        <f t="shared" si="1"/>
        <v>0.5</v>
      </c>
      <c r="K4" s="49">
        <f>IFERROR(VLOOKUP($D4,Sheet1!$A$2:$D$98,4,0),"")</f>
        <v>40000</v>
      </c>
    </row>
    <row r="5" spans="1:13" s="46" customFormat="1" ht="24.95" customHeight="1" x14ac:dyDescent="0.25">
      <c r="A5" s="51">
        <f t="shared" si="0"/>
        <v>4</v>
      </c>
      <c r="B5" s="52" t="str">
        <f>IFERROR(VLOOKUP($D5,Sheet1!$A$2:$B$98,2,0),"")</f>
        <v>XX Đỏ ĐNA (bao đỏ)</v>
      </c>
      <c r="C5" s="89">
        <f>IFERROR(VLOOKUP($D5,'Tổng Đơn'!$A$5:$E$100,5,0),"")</f>
        <v>0.5</v>
      </c>
      <c r="D5" s="48">
        <v>19</v>
      </c>
      <c r="E5" s="48">
        <v>1</v>
      </c>
      <c r="F5" s="53">
        <f>IF(AND($A5="",$A4&lt;&gt;""),"Tổng Cộng",IFERROR(VLOOKUP($D5,Sheet1!$A$2:$D$98,4,0),""))</f>
        <v>28000</v>
      </c>
      <c r="G5" s="54">
        <f>IF($A4=MAX($A$2:$A$50),SUM($G$2:$G4),IFERROR($F5*$E5,""))</f>
        <v>28000</v>
      </c>
      <c r="H5" s="92">
        <f t="shared" si="1"/>
        <v>0.5</v>
      </c>
      <c r="K5" s="49">
        <f>IFERROR(VLOOKUP($D5,Sheet1!$A$2:$D$98,4,0),"")</f>
        <v>28000</v>
      </c>
    </row>
    <row r="6" spans="1:13" s="46" customFormat="1" ht="24.95" customHeight="1" x14ac:dyDescent="0.25">
      <c r="A6" s="51">
        <f t="shared" si="0"/>
        <v>5</v>
      </c>
      <c r="B6" s="52" t="str">
        <f>IFERROR(VLOOKUP($D6,Sheet1!$A$2:$B$98,2,0),"")</f>
        <v>Bò lá lốt</v>
      </c>
      <c r="C6" s="89">
        <f>IFERROR(VLOOKUP($D6,'Tổng Đơn'!$A$5:$E$100,5,0),"")</f>
        <v>0.5</v>
      </c>
      <c r="D6" s="48">
        <v>50</v>
      </c>
      <c r="E6" s="48">
        <v>2</v>
      </c>
      <c r="F6" s="53">
        <f>IF(AND($A6="",$A5&lt;&gt;""),"Tổng Cộng",IFERROR(VLOOKUP($D6,Sheet1!$A$2:$D$98,4,0),""))</f>
        <v>44000</v>
      </c>
      <c r="G6" s="54">
        <f>IF($A5=MAX($A$2:$A$50),SUM($G$2:$G5),IFERROR($F6*$E6,""))</f>
        <v>88000</v>
      </c>
      <c r="H6" s="92">
        <f t="shared" si="1"/>
        <v>1</v>
      </c>
      <c r="I6" s="175"/>
      <c r="K6" s="49"/>
      <c r="L6" s="184"/>
      <c r="M6" s="176"/>
    </row>
    <row r="7" spans="1:13" s="46" customFormat="1" ht="24.95" customHeight="1" x14ac:dyDescent="0.25">
      <c r="A7" s="51">
        <f t="shared" si="0"/>
        <v>6</v>
      </c>
      <c r="B7" s="52" t="str">
        <f>IFERROR(VLOOKUP($D7,Sheet1!$A$2:$B$98,2,0),"")</f>
        <v>Đậu hủ phô mai EB</v>
      </c>
      <c r="C7" s="89">
        <f>IFERROR(VLOOKUP($D7,'Tổng Đơn'!$A$5:$E$100,5,0),"")</f>
        <v>0.5</v>
      </c>
      <c r="D7" s="48">
        <v>56</v>
      </c>
      <c r="E7" s="48">
        <v>1</v>
      </c>
      <c r="F7" s="53">
        <f>IF(AND($A7="",$A6&lt;&gt;""),"Tổng Cộng",IFERROR(VLOOKUP($D7,Sheet1!$A$2:$D$98,4,0),""))</f>
        <v>80000</v>
      </c>
      <c r="G7" s="54">
        <f>IF($A6=MAX($A$2:$A$50),SUM($G$2:$G6),IFERROR($F7*$E7,""))</f>
        <v>80000</v>
      </c>
      <c r="H7" s="92">
        <f t="shared" si="1"/>
        <v>0.5</v>
      </c>
      <c r="K7" s="49"/>
    </row>
    <row r="8" spans="1:13" s="46" customFormat="1" ht="24.95" customHeight="1" x14ac:dyDescent="0.25">
      <c r="A8" s="51">
        <f t="shared" si="0"/>
        <v>7</v>
      </c>
      <c r="B8" s="52" t="str">
        <f>IFERROR(VLOOKUP($D8,Sheet1!$A$2:$B$98,2,0),"")</f>
        <v>Hồ lô HM</v>
      </c>
      <c r="C8" s="89">
        <f>IFERROR(VLOOKUP($D8,'Tổng Đơn'!$A$5:$E$100,5,0),"")</f>
        <v>0.5</v>
      </c>
      <c r="D8" s="48">
        <v>57</v>
      </c>
      <c r="E8" s="48">
        <v>1</v>
      </c>
      <c r="F8" s="53">
        <f>IF(AND($A8="",$A7&lt;&gt;""),"Tổng Cộng",IFERROR(VLOOKUP($D8,Sheet1!$A$2:$D$98,4,0),""))</f>
        <v>42000</v>
      </c>
      <c r="G8" s="54">
        <f>IF($A7=MAX($A$2:$A$50),SUM($G$2:$G7),IFERROR($F8*$E8,""))</f>
        <v>42000</v>
      </c>
      <c r="H8" s="92">
        <f t="shared" si="1"/>
        <v>0.5</v>
      </c>
      <c r="K8" s="49">
        <f>IFERROR(VLOOKUP($D8,Sheet1!$A$2:$D$98,4,0),"")</f>
        <v>42000</v>
      </c>
      <c r="L8" s="185"/>
    </row>
    <row r="9" spans="1:13" s="46" customFormat="1" ht="24.95" customHeight="1" x14ac:dyDescent="0.25">
      <c r="A9" s="51" t="str">
        <f t="shared" si="0"/>
        <v/>
      </c>
      <c r="B9" s="52" t="str">
        <f>IFERROR(VLOOKUP($D9,Sheet1!$A$2:$B$98,2,0),"")</f>
        <v/>
      </c>
      <c r="C9" s="89" t="str">
        <f>IFERROR(VLOOKUP($D9,'Tổng Đơn'!$A$5:$E$100,5,0),"")</f>
        <v/>
      </c>
      <c r="D9" s="48" t="s">
        <v>192</v>
      </c>
      <c r="E9" s="48"/>
      <c r="F9" s="53" t="str">
        <f>IF(AND($A9="",$A8&lt;&gt;""),"Tổng Cộng",IFERROR(VLOOKUP($D9,Sheet1!$A$2:$D$98,4,0),""))</f>
        <v>Tổng Cộng</v>
      </c>
      <c r="G9" s="54">
        <f>IF($A8=MAX($A$2:$A$50),SUM($G$2:$G8),IFERROR($F9*$E9,""))</f>
        <v>338000</v>
      </c>
      <c r="H9" s="92" t="str">
        <f t="shared" si="1"/>
        <v/>
      </c>
      <c r="K9" s="49" t="str">
        <f>IFERROR(VLOOKUP($D9,Sheet1!$A$2:$D$98,4,0),"")</f>
        <v/>
      </c>
    </row>
    <row r="10" spans="1:13" s="46" customFormat="1" ht="24.95" customHeight="1" x14ac:dyDescent="0.25">
      <c r="A10" s="51" t="str">
        <f t="shared" si="0"/>
        <v/>
      </c>
      <c r="B10" s="52" t="str">
        <f>IFERROR(VLOOKUP($D10,Sheet1!$A$2:$B$98,2,0),"")</f>
        <v/>
      </c>
      <c r="C10" s="89" t="str">
        <f>IFERROR(VLOOKUP($D10,'Tổng Đơn'!$A$5:$E$100,5,0),"")</f>
        <v/>
      </c>
      <c r="D10" s="48" t="s">
        <v>192</v>
      </c>
      <c r="E10" s="48"/>
      <c r="F10" s="53" t="str">
        <f>IF(AND($A10="",$A9&lt;&gt;""),"Tổng Cộng",IFERROR(VLOOKUP($D10,Sheet1!$A$2:$D$98,4,0),""))</f>
        <v/>
      </c>
      <c r="G10" s="54" t="str">
        <f>IF($A9=MAX($A$2:$A$50),SUM($G$2:$G9),IFERROR($F10*$E10,""))</f>
        <v/>
      </c>
      <c r="H10" s="92" t="str">
        <f t="shared" si="1"/>
        <v/>
      </c>
      <c r="K10" s="49" t="str">
        <f>IFERROR(VLOOKUP($D10,Sheet1!$A$2:$D$98,4,0),"")</f>
        <v/>
      </c>
    </row>
    <row r="11" spans="1:13" s="46" customFormat="1" ht="24.95" customHeight="1" x14ac:dyDescent="0.25">
      <c r="A11" s="51" t="str">
        <f t="shared" si="0"/>
        <v/>
      </c>
      <c r="B11" s="52" t="str">
        <f>IFERROR(VLOOKUP($D11,Sheet1!$A$2:$B$98,2,0),"")</f>
        <v/>
      </c>
      <c r="C11" s="89" t="str">
        <f>IFERROR(VLOOKUP($D11,'Tổng Đơn'!$A$5:$E$100,5,0),"")</f>
        <v/>
      </c>
      <c r="D11" s="48" t="s">
        <v>192</v>
      </c>
      <c r="E11" s="48"/>
      <c r="F11" s="53" t="str">
        <f>IF(AND($A11="",$A10&lt;&gt;""),"Tổng Cộng",IFERROR(VLOOKUP($D11,Sheet1!$A$2:$D$98,4,0),""))</f>
        <v/>
      </c>
      <c r="G11" s="54" t="str">
        <f>IF($A10=MAX($A$2:$A$50),SUM($G$2:$G10),IFERROR($F11*$E11,""))</f>
        <v/>
      </c>
      <c r="H11" s="92" t="str">
        <f t="shared" si="1"/>
        <v/>
      </c>
      <c r="K11" s="49" t="str">
        <f>IFERROR(VLOOKUP($D11,Sheet1!$A$2:$D$98,4,0),"")</f>
        <v/>
      </c>
    </row>
    <row r="12" spans="1:13" s="46" customFormat="1" ht="24.95" customHeight="1" x14ac:dyDescent="0.25">
      <c r="A12" s="51" t="str">
        <f t="shared" si="0"/>
        <v/>
      </c>
      <c r="B12" s="52" t="str">
        <f>IFERROR(VLOOKUP($D12,Sheet1!$A$2:$B$98,2,0),"")</f>
        <v/>
      </c>
      <c r="C12" s="89" t="str">
        <f>IFERROR(VLOOKUP($D12,'Tổng Đơn'!$A$5:$E$100,5,0),"")</f>
        <v/>
      </c>
      <c r="D12" s="48" t="s">
        <v>192</v>
      </c>
      <c r="E12" s="48"/>
      <c r="F12" s="53" t="str">
        <f>IF(AND($A12="",$A11&lt;&gt;""),"Tổng Cộng",IFERROR(VLOOKUP($D12,Sheet1!$A$2:$D$98,4,0),""))</f>
        <v/>
      </c>
      <c r="G12" s="54" t="str">
        <f>IF($A11=MAX($A$2:$A$50),SUM($G$2:$G11),IFERROR($F12*$E12,""))</f>
        <v/>
      </c>
      <c r="H12" s="92" t="str">
        <f t="shared" si="1"/>
        <v/>
      </c>
      <c r="K12" s="49" t="str">
        <f>IFERROR(VLOOKUP($D12,Sheet1!$A$2:$D$98,4,0),"")</f>
        <v/>
      </c>
    </row>
    <row r="13" spans="1:13" s="46" customFormat="1" ht="24.95" customHeight="1" x14ac:dyDescent="0.25">
      <c r="A13" s="51" t="str">
        <f t="shared" si="0"/>
        <v/>
      </c>
      <c r="B13" s="52" t="str">
        <f>IFERROR(VLOOKUP($D13,Sheet1!$A$2:$B$98,2,0),"")</f>
        <v/>
      </c>
      <c r="C13" s="89" t="str">
        <f>IFERROR(VLOOKUP($D13,'Tổng Đơn'!$A$5:$E$100,5,0),"")</f>
        <v/>
      </c>
      <c r="D13" s="48" t="s">
        <v>192</v>
      </c>
      <c r="E13" s="48"/>
      <c r="F13" s="53" t="str">
        <f>IF(AND($A13="",$A12&lt;&gt;""),"Tổng Cộng",IFERROR(VLOOKUP($D13,Sheet1!$A$2:$D$98,4,0),""))</f>
        <v/>
      </c>
      <c r="G13" s="54" t="str">
        <f>IF($A12=MAX($A$2:$A$50),SUM($G$2:$G12),IFERROR($F13*$E13,""))</f>
        <v/>
      </c>
      <c r="H13" s="92" t="str">
        <f t="shared" si="1"/>
        <v/>
      </c>
      <c r="K13" s="49" t="str">
        <f>IFERROR(VLOOKUP($D13,Sheet1!$A$2:$D$98,4,0),"")</f>
        <v/>
      </c>
    </row>
    <row r="14" spans="1:13" s="46" customFormat="1" ht="24.95" customHeight="1" x14ac:dyDescent="0.25">
      <c r="A14" s="51" t="str">
        <f t="shared" si="0"/>
        <v/>
      </c>
      <c r="B14" s="52" t="str">
        <f>IFERROR(VLOOKUP($D14,Sheet1!$A$2:$B$98,2,0),"")</f>
        <v/>
      </c>
      <c r="C14" s="89" t="str">
        <f>IFERROR(VLOOKUP($D14,'Tổng Đơn'!$A$5:$E$100,5,0),"")</f>
        <v/>
      </c>
      <c r="D14" s="48" t="s">
        <v>192</v>
      </c>
      <c r="E14" s="48"/>
      <c r="F14" s="53" t="str">
        <f>IF(AND($A14="",$A13&lt;&gt;""),"Tổng Cộng",IFERROR(VLOOKUP($D14,Sheet1!$A$2:$D$98,4,0),""))</f>
        <v/>
      </c>
      <c r="G14" s="54" t="str">
        <f>IF($A13=MAX($A$2:$A$50),SUM($G$2:$G13),IFERROR($F14*$E14,""))</f>
        <v/>
      </c>
      <c r="H14" s="92" t="str">
        <f t="shared" si="1"/>
        <v/>
      </c>
      <c r="K14" s="49" t="str">
        <f>IFERROR(VLOOKUP($D14,Sheet1!$A$2:$D$98,4,0),"")</f>
        <v/>
      </c>
    </row>
    <row r="15" spans="1:13" s="46" customFormat="1" ht="24.95" customHeight="1" x14ac:dyDescent="0.25">
      <c r="A15" s="51" t="str">
        <f t="shared" si="0"/>
        <v/>
      </c>
      <c r="B15" s="52" t="str">
        <f>IFERROR(VLOOKUP($D15,Sheet1!$A$2:$B$98,2,0),"")</f>
        <v/>
      </c>
      <c r="C15" s="89" t="str">
        <f>IFERROR(VLOOKUP($D15,'Tổng Đơn'!$A$5:$E$100,5,0),"")</f>
        <v/>
      </c>
      <c r="D15" s="48" t="s">
        <v>192</v>
      </c>
      <c r="E15" s="48"/>
      <c r="F15" s="53" t="str">
        <f>IF(AND($A15="",$A14&lt;&gt;""),"Tổng Cộng",IFERROR(VLOOKUP($D15,Sheet1!$A$2:$D$98,4,0),""))</f>
        <v/>
      </c>
      <c r="G15" s="54" t="str">
        <f>IF($A14=MAX($A$2:$A$50),SUM($G$2:$G14),IFERROR($F15*$E15,""))</f>
        <v/>
      </c>
      <c r="H15" s="92" t="str">
        <f t="shared" si="1"/>
        <v/>
      </c>
      <c r="K15" s="49" t="str">
        <f>IFERROR(VLOOKUP($D15,Sheet1!$A$2:$D$98,4,0),"")</f>
        <v/>
      </c>
    </row>
    <row r="16" spans="1:13" s="46" customFormat="1" ht="24.95" customHeight="1" x14ac:dyDescent="0.25">
      <c r="A16" s="51" t="str">
        <f t="shared" si="0"/>
        <v/>
      </c>
      <c r="B16" s="52" t="str">
        <f>IFERROR(VLOOKUP($D16,Sheet1!$A$2:$B$98,2,0),"")</f>
        <v/>
      </c>
      <c r="C16" s="89" t="str">
        <f>IFERROR(VLOOKUP($D16,'Tổng Đơn'!$A$5:$E$100,5,0),"")</f>
        <v/>
      </c>
      <c r="D16" s="48" t="s">
        <v>192</v>
      </c>
      <c r="E16" s="48"/>
      <c r="F16" s="53" t="str">
        <f>IF(AND($A16="",$A15&lt;&gt;""),"Tổng Cộng",IFERROR(VLOOKUP($D16,Sheet1!$A$2:$D$98,4,0),""))</f>
        <v/>
      </c>
      <c r="G16" s="54" t="str">
        <f>IF($A15=MAX($A$2:$A$50),SUM($G$2:$G15),IFERROR($F16*$E16,""))</f>
        <v/>
      </c>
      <c r="H16" s="92" t="str">
        <f t="shared" si="1"/>
        <v/>
      </c>
      <c r="K16" s="49" t="str">
        <f>IFERROR(VLOOKUP($D16,Sheet1!$A$2:$D$98,4,0),"")</f>
        <v/>
      </c>
    </row>
    <row r="17" spans="1:11" s="46" customFormat="1" ht="24.95" customHeight="1" x14ac:dyDescent="0.25">
      <c r="A17" s="51" t="str">
        <f t="shared" si="0"/>
        <v/>
      </c>
      <c r="B17" s="52" t="str">
        <f>IFERROR(VLOOKUP($D17,Sheet1!$A$2:$B$98,2,0),"")</f>
        <v/>
      </c>
      <c r="C17" s="89" t="str">
        <f>IFERROR(VLOOKUP($D17,'Tổng Đơn'!$A$5:$E$100,5,0),"")</f>
        <v/>
      </c>
      <c r="D17" s="48" t="s">
        <v>192</v>
      </c>
      <c r="E17" s="48"/>
      <c r="F17" s="53" t="str">
        <f>IF(AND($A17="",$A16&lt;&gt;""),"Tổng Cộng",IFERROR(VLOOKUP($D17,Sheet1!$A$2:$D$98,4,0),""))</f>
        <v/>
      </c>
      <c r="G17" s="54" t="str">
        <f>IF($A16=MAX($A$2:$A$50),SUM($G$2:$G16),IFERROR($F17*$E17,""))</f>
        <v/>
      </c>
      <c r="H17" s="92" t="str">
        <f t="shared" si="1"/>
        <v/>
      </c>
      <c r="K17" s="49" t="str">
        <f>IFERROR(VLOOKUP($D17,Sheet1!$A$2:$D$98,4,0),"")</f>
        <v/>
      </c>
    </row>
    <row r="18" spans="1:11" s="46" customFormat="1" ht="24.95" customHeight="1" x14ac:dyDescent="0.25">
      <c r="A18" s="51" t="str">
        <f t="shared" si="0"/>
        <v/>
      </c>
      <c r="B18" s="52" t="str">
        <f>IFERROR(VLOOKUP($D18,Sheet1!$A$2:$B$98,2,0),"")</f>
        <v/>
      </c>
      <c r="C18" s="89" t="str">
        <f>IFERROR(VLOOKUP($D18,'Tổng Đơn'!$A$5:$E$100,5,0),"")</f>
        <v/>
      </c>
      <c r="D18" s="48" t="s">
        <v>192</v>
      </c>
      <c r="E18" s="48"/>
      <c r="F18" s="53" t="str">
        <f>IF(AND($A18="",$A17&lt;&gt;""),"Tổng Cộng",IFERROR(VLOOKUP($D18,Sheet1!$A$2:$D$98,4,0),""))</f>
        <v/>
      </c>
      <c r="G18" s="54" t="str">
        <f>IF($A17=MAX($A$2:$A$50),SUM($G$2:$G17),IFERROR($F18*$E18,""))</f>
        <v/>
      </c>
      <c r="H18" s="92" t="str">
        <f t="shared" si="1"/>
        <v/>
      </c>
      <c r="K18" s="49" t="str">
        <f>IFERROR(VLOOKUP($D18,Sheet1!$A$2:$D$98,4,0),"")</f>
        <v/>
      </c>
    </row>
    <row r="19" spans="1:11" s="46" customFormat="1" ht="24.95" customHeight="1" x14ac:dyDescent="0.25">
      <c r="A19" s="51" t="str">
        <f t="shared" si="0"/>
        <v/>
      </c>
      <c r="B19" s="52" t="str">
        <f>IFERROR(VLOOKUP($D19,Sheet1!$A$2:$B$98,2,0),"")</f>
        <v/>
      </c>
      <c r="C19" s="89" t="str">
        <f>IFERROR(VLOOKUP($D19,'Tổng Đơn'!$A$5:$E$100,5,0),"")</f>
        <v/>
      </c>
      <c r="D19" s="48" t="s">
        <v>192</v>
      </c>
      <c r="E19" s="48"/>
      <c r="F19" s="53" t="str">
        <f>IF(AND($A19="",$A18&lt;&gt;""),"Tổng Cộng",IFERROR(VLOOKUP($D19,Sheet1!$A$2:$D$98,4,0),""))</f>
        <v/>
      </c>
      <c r="G19" s="54" t="str">
        <f>IF($A18=MAX($A$2:$A$50),SUM($G$2:$G18),IFERROR($F19*$E19,""))</f>
        <v/>
      </c>
      <c r="H19" s="92" t="str">
        <f t="shared" si="1"/>
        <v/>
      </c>
      <c r="K19" s="49" t="str">
        <f>IFERROR(VLOOKUP($D19,Sheet1!$A$2:$D$98,4,0),"")</f>
        <v/>
      </c>
    </row>
    <row r="20" spans="1:11" s="46" customFormat="1" ht="24.95" customHeight="1" x14ac:dyDescent="0.25">
      <c r="A20" s="51" t="str">
        <f t="shared" si="0"/>
        <v/>
      </c>
      <c r="B20" s="52" t="str">
        <f>IFERROR(VLOOKUP($D20,Sheet1!$A$2:$B$98,2,0),"")</f>
        <v/>
      </c>
      <c r="C20" s="89" t="str">
        <f>IFERROR(VLOOKUP($D20,'Tổng Đơn'!$A$5:$E$100,5,0),"")</f>
        <v/>
      </c>
      <c r="D20" s="48" t="s">
        <v>192</v>
      </c>
      <c r="E20" s="48"/>
      <c r="F20" s="53" t="str">
        <f>IF(AND($A20="",$A19&lt;&gt;""),"Tổng Cộng",IFERROR(VLOOKUP($D20,Sheet1!$A$2:$D$98,4,0),""))</f>
        <v/>
      </c>
      <c r="G20" s="54" t="str">
        <f>IF($A19=MAX($A$2:$A$50),SUM($G$2:$G19),IFERROR($F20*$E20,""))</f>
        <v/>
      </c>
      <c r="H20" s="92" t="str">
        <f t="shared" si="1"/>
        <v/>
      </c>
      <c r="K20" s="49" t="str">
        <f>IFERROR(VLOOKUP($D20,Sheet1!$A$2:$D$98,4,0),"")</f>
        <v/>
      </c>
    </row>
    <row r="21" spans="1:11" s="46" customFormat="1" ht="24.95" customHeight="1" x14ac:dyDescent="0.25">
      <c r="A21" s="51" t="str">
        <f t="shared" si="0"/>
        <v/>
      </c>
      <c r="B21" s="52" t="str">
        <f>IFERROR(VLOOKUP($D21,Sheet1!$A$2:$B$98,2,0),"")</f>
        <v/>
      </c>
      <c r="C21" s="89" t="str">
        <f>IFERROR(VLOOKUP($D21,'Tổng Đơn'!$A$5:$E$100,5,0),"")</f>
        <v/>
      </c>
      <c r="D21" s="48" t="s">
        <v>192</v>
      </c>
      <c r="E21" s="48"/>
      <c r="F21" s="53" t="str">
        <f>IF(AND($A21="",$A20&lt;&gt;""),"Tổng Cộng",IFERROR(VLOOKUP($D21,Sheet1!$A$2:$D$98,4,0),""))</f>
        <v/>
      </c>
      <c r="G21" s="54" t="str">
        <f>IF($A20=MAX($A$2:$A$50),SUM($G$2:$G20),IFERROR($F21*$E21,""))</f>
        <v/>
      </c>
      <c r="H21" s="92" t="str">
        <f t="shared" si="1"/>
        <v/>
      </c>
      <c r="K21" s="49"/>
    </row>
    <row r="22" spans="1:11" s="46" customFormat="1" ht="24.95" customHeight="1" x14ac:dyDescent="0.25">
      <c r="A22" s="51" t="str">
        <f t="shared" si="0"/>
        <v/>
      </c>
      <c r="B22" s="52" t="str">
        <f>IFERROR(VLOOKUP($D22,Sheet1!$A$2:$B$98,2,0),"")</f>
        <v/>
      </c>
      <c r="C22" s="89" t="str">
        <f>IFERROR(VLOOKUP($D22,'Tổng Đơn'!$A$5:$E$100,5,0),"")</f>
        <v/>
      </c>
      <c r="D22" s="48" t="s">
        <v>192</v>
      </c>
      <c r="E22" s="48"/>
      <c r="F22" s="53" t="str">
        <f>IF(AND($A22="",$A21&lt;&gt;""),"Tổng Cộng",IFERROR(VLOOKUP($D22,Sheet1!$A$2:$D$98,4,0),""))</f>
        <v/>
      </c>
      <c r="G22" s="54" t="str">
        <f>IF($A21=MAX($A$2:$A$50),SUM($G$2:$G21),IFERROR($F22*$E22,""))</f>
        <v/>
      </c>
      <c r="H22" s="92" t="str">
        <f t="shared" si="1"/>
        <v/>
      </c>
      <c r="K22" s="49"/>
    </row>
    <row r="23" spans="1:11" s="46" customFormat="1" ht="24.95" customHeight="1" x14ac:dyDescent="0.25">
      <c r="A23" s="51" t="str">
        <f t="shared" si="0"/>
        <v/>
      </c>
      <c r="B23" s="52" t="str">
        <f>IFERROR(VLOOKUP($D23,Sheet1!$A$2:$B$98,2,0),"")</f>
        <v/>
      </c>
      <c r="C23" s="89" t="str">
        <f>IFERROR(VLOOKUP($D23,'Tổng Đơn'!$A$5:$E$100,5,0),"")</f>
        <v/>
      </c>
      <c r="D23" s="48" t="s">
        <v>192</v>
      </c>
      <c r="E23" s="48"/>
      <c r="F23" s="53" t="str">
        <f>IF(AND($A23="",$A22&lt;&gt;""),"Tổng Cộng",IFERROR(VLOOKUP($D23,Sheet1!$A$2:$D$98,4,0),""))</f>
        <v/>
      </c>
      <c r="G23" s="54" t="str">
        <f>IF($A22=MAX($A$2:$A$50),SUM($G$2:$G22),IFERROR($F23*$E23,""))</f>
        <v/>
      </c>
      <c r="H23" s="92" t="str">
        <f t="shared" si="1"/>
        <v/>
      </c>
      <c r="K23" s="49">
        <v>1</v>
      </c>
    </row>
    <row r="24" spans="1:11" s="46" customFormat="1" ht="24.95" customHeight="1" x14ac:dyDescent="0.25">
      <c r="A24" s="51" t="str">
        <f t="shared" si="0"/>
        <v/>
      </c>
      <c r="B24" s="52" t="str">
        <f>IFERROR(VLOOKUP($D24,Sheet1!$A$2:$B$98,2,0),"")</f>
        <v/>
      </c>
      <c r="C24" s="89" t="str">
        <f>IFERROR(VLOOKUP($D24,'Tổng Đơn'!$A$5:$E$100,5,0),"")</f>
        <v/>
      </c>
      <c r="D24" s="48" t="s">
        <v>192</v>
      </c>
      <c r="E24" s="48"/>
      <c r="F24" s="53" t="str">
        <f>IF(AND($A24="",$A23&lt;&gt;""),"Tổng Cộng",IFERROR(VLOOKUP($D24,Sheet1!$A$2:$D$98,4,0),""))</f>
        <v/>
      </c>
      <c r="G24" s="54" t="str">
        <f>IF($A23=MAX($A$2:$A$50),SUM($G$2:$G23),IFERROR($F24*$E24,""))</f>
        <v/>
      </c>
      <c r="H24" s="92" t="str">
        <f t="shared" si="1"/>
        <v/>
      </c>
      <c r="K24" s="49">
        <v>1</v>
      </c>
    </row>
    <row r="25" spans="1:11" s="46" customFormat="1" ht="24.95" customHeight="1" x14ac:dyDescent="0.25">
      <c r="A25" s="51" t="str">
        <f t="shared" si="0"/>
        <v/>
      </c>
      <c r="B25" s="52" t="str">
        <f>IFERROR(VLOOKUP($D25,Sheet1!$A$2:$B$98,2,0),"")</f>
        <v/>
      </c>
      <c r="C25" s="89" t="str">
        <f>IFERROR(VLOOKUP($D25,'Tổng Đơn'!$A$5:$E$100,5,0),"")</f>
        <v/>
      </c>
      <c r="D25" s="48" t="s">
        <v>192</v>
      </c>
      <c r="E25" s="48"/>
      <c r="F25" s="53" t="str">
        <f>IF(AND($A25="",$A24&lt;&gt;""),"Tổng Cộng",IFERROR(VLOOKUP($D25,Sheet1!$A$2:$D$98,4,0),""))</f>
        <v/>
      </c>
      <c r="G25" s="54" t="str">
        <f>IF($A24=MAX($A$2:$A$50),SUM($G$2:$G24),IFERROR($F25*$E25,""))</f>
        <v/>
      </c>
      <c r="H25" s="92" t="str">
        <f t="shared" si="1"/>
        <v/>
      </c>
      <c r="K25" s="49">
        <v>1</v>
      </c>
    </row>
    <row r="26" spans="1:11" s="46" customFormat="1" ht="24.95" customHeight="1" x14ac:dyDescent="0.25">
      <c r="A26" s="51" t="str">
        <f t="shared" si="0"/>
        <v/>
      </c>
      <c r="B26" s="52" t="str">
        <f>IFERROR(VLOOKUP($D26,Sheet1!$A$2:$B$98,2,0),"")</f>
        <v/>
      </c>
      <c r="C26" s="89" t="str">
        <f>IFERROR(VLOOKUP($D26,'Tổng Đơn'!$A$5:$E$100,5,0),"")</f>
        <v/>
      </c>
      <c r="D26" s="48" t="s">
        <v>192</v>
      </c>
      <c r="E26" s="48"/>
      <c r="F26" s="53" t="str">
        <f>IF(AND($A26="",$A25&lt;&gt;""),"Tổng Cộng",IFERROR(VLOOKUP($D26,Sheet1!$A$2:$D$98,4,0),""))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IFERROR(VLOOKUP($D27,Sheet1!$A$2:$B$98,2,0),"")</f>
        <v/>
      </c>
      <c r="C27" s="89" t="str">
        <f>IFERROR(VLOOKUP($D27,'Tổng Đơn'!$A$5:$E$100,5,0),"")</f>
        <v/>
      </c>
      <c r="D27" s="48" t="s">
        <v>192</v>
      </c>
      <c r="E27" s="48"/>
      <c r="F27" s="53" t="str">
        <f>IF(AND($A27="",$A26&lt;&gt;""),"Tổng Cộng",IFERROR(VLOOKUP($D27,Sheet1!$A$2:$D$98,4,0),""))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IFERROR(VLOOKUP($D28,Sheet1!$A$2:$B$98,2,0),"")</f>
        <v/>
      </c>
      <c r="C28" s="89" t="str">
        <f>IFERROR(VLOOKUP($D28,'Tổng Đơn'!$A$5:$E$100,5,0),"")</f>
        <v/>
      </c>
      <c r="D28" s="48" t="s">
        <v>192</v>
      </c>
      <c r="E28" s="48"/>
      <c r="F28" s="53" t="str">
        <f>IF(AND($A28="",$A27&lt;&gt;""),"Tổng Cộng",IFERROR(VLOOKUP($D28,Sheet1!$A$2:$D$98,4,0),""))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IFERROR(VLOOKUP($D29,Sheet1!$A$2:$B$98,2,0),"")</f>
        <v/>
      </c>
      <c r="C29" s="89" t="str">
        <f>IFERROR(VLOOKUP($D29,'Tổng Đơn'!$A$5:$E$100,5,0),"")</f>
        <v/>
      </c>
      <c r="D29" s="48" t="s">
        <v>192</v>
      </c>
      <c r="E29" s="48"/>
      <c r="F29" s="53" t="str">
        <f>IF(AND($A29="",$A28&lt;&gt;""),"Tổng Cộng",IFERROR(VLOOKUP($D29,Sheet1!$A$2:$D$98,4,0),""))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IFERROR(VLOOKUP($D30,Sheet1!$A$2:$B$98,2,0),"")</f>
        <v/>
      </c>
      <c r="C30" s="89" t="str">
        <f>IFERROR(VLOOKUP($D30,'Tổng Đơn'!$A$5:$E$100,5,0),"")</f>
        <v/>
      </c>
      <c r="D30" s="48" t="s">
        <v>192</v>
      </c>
      <c r="E30" s="48"/>
      <c r="F30" s="53" t="str">
        <f>IF(AND($A30="",$A29&lt;&gt;""),"Tổng Cộng",IFERROR(VLOOKUP($D30,Sheet1!$A$2:$D$98,4,0),""))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IFERROR(VLOOKUP($D31,Sheet1!$A$2:$B$98,2,0),"")</f>
        <v/>
      </c>
      <c r="C31" s="89" t="str">
        <f>IFERROR(VLOOKUP($D31,'Tổng Đơn'!$A$5:$E$100,5,0),"")</f>
        <v/>
      </c>
      <c r="D31" s="48" t="s">
        <v>192</v>
      </c>
      <c r="E31" s="48"/>
      <c r="F31" s="53" t="str">
        <f>IF(AND($A31="",$A30&lt;&gt;""),"Tổng Cộng",IFERROR(VLOOKUP($D31,Sheet1!$A$2:$D$98,4,0),""))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Cộng",IFERROR(VLOOKUP($D32,Sheet1!$A$2:$D$98,4,0),""))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F3">
    <cfRule type="expression" dxfId="35" priority="12">
      <formula>$A2=MAX($A$2:$A$31)</formula>
    </cfRule>
  </conditionalFormatting>
  <conditionalFormatting sqref="D2:D3">
    <cfRule type="expression" dxfId="34" priority="11">
      <formula>AND($D2="",$E2&lt;&gt;"")</formula>
    </cfRule>
  </conditionalFormatting>
  <conditionalFormatting sqref="E2:E3">
    <cfRule type="expression" dxfId="33" priority="10">
      <formula>AND($E2="",$D2&lt;&gt;"")</formula>
    </cfRule>
  </conditionalFormatting>
  <conditionalFormatting sqref="C2:C3">
    <cfRule type="expression" dxfId="32" priority="9">
      <formula>AND($D2="",$E2&lt;&gt;"")</formula>
    </cfRule>
  </conditionalFormatting>
  <conditionalFormatting sqref="A10:G31 A4:F9 G2:G9">
    <cfRule type="expression" dxfId="31" priority="8">
      <formula>$A1=MAX($A$2:$A$31)</formula>
    </cfRule>
  </conditionalFormatting>
  <conditionalFormatting sqref="D4:D31">
    <cfRule type="expression" dxfId="30" priority="7">
      <formula>AND($D4="",$E4&lt;&gt;"")</formula>
    </cfRule>
  </conditionalFormatting>
  <conditionalFormatting sqref="E4:E31">
    <cfRule type="expression" dxfId="29" priority="6">
      <formula>AND($E4="",$D4&lt;&gt;"")</formula>
    </cfRule>
  </conditionalFormatting>
  <conditionalFormatting sqref="C4:C31">
    <cfRule type="expression" dxfId="28" priority="5">
      <formula>AND($D4="",$E4&lt;&gt;"")</formula>
    </cfRule>
  </conditionalFormatting>
  <conditionalFormatting sqref="A32:G32">
    <cfRule type="expression" dxfId="27" priority="4">
      <formula>$A31=MAX($A$2:$A$31)</formula>
    </cfRule>
  </conditionalFormatting>
  <conditionalFormatting sqref="D32">
    <cfRule type="expression" dxfId="26" priority="3">
      <formula>AND($D32="",$E32&lt;&gt;"")</formula>
    </cfRule>
  </conditionalFormatting>
  <conditionalFormatting sqref="E32">
    <cfRule type="expression" dxfId="25" priority="2">
      <formula>AND($E32="",$D32&lt;&gt;"")</formula>
    </cfRule>
  </conditionalFormatting>
  <conditionalFormatting sqref="C32">
    <cfRule type="expression" dxfId="24"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tabColor theme="1"/>
  </sheetPr>
  <dimension ref="A1:M52"/>
  <sheetViews>
    <sheetView zoomScaleNormal="100" workbookViewId="0">
      <pane ySplit="1" topLeftCell="A2" activePane="bottomLeft" state="frozen"/>
      <selection activeCell="H16" sqref="H16"/>
      <selection pane="bottomLeft" activeCell="H2" sqref="H2"/>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3" width="10.140625" style="14" bestFit="1" customWidth="1"/>
    <col min="14" max="16384" width="9.140625" style="14"/>
  </cols>
  <sheetData>
    <row r="1" spans="1:13" s="45" customFormat="1" ht="39" customHeight="1" x14ac:dyDescent="0.25">
      <c r="A1" s="47" t="s">
        <v>0</v>
      </c>
      <c r="B1" s="47" t="s">
        <v>17</v>
      </c>
      <c r="C1" s="87" t="s">
        <v>55</v>
      </c>
      <c r="D1" s="91" t="s">
        <v>118</v>
      </c>
      <c r="E1" s="91" t="s">
        <v>16</v>
      </c>
      <c r="F1" s="47" t="s">
        <v>18</v>
      </c>
      <c r="G1" s="47" t="s">
        <v>19</v>
      </c>
      <c r="H1" s="157" t="s">
        <v>222</v>
      </c>
      <c r="I1" s="55">
        <f>SUBTOTAL(9,H2:H31)</f>
        <v>3</v>
      </c>
      <c r="K1" s="47" t="s">
        <v>18</v>
      </c>
    </row>
    <row r="2" spans="1:13" s="46" customFormat="1" ht="24.95" customHeight="1" x14ac:dyDescent="0.25">
      <c r="A2" s="51">
        <f>IF(OR(SUM($A1,$D2&lt;&gt;"")=0,$D2=""),"",SUM($A1,$D2&lt;&gt;""))</f>
        <v>1</v>
      </c>
      <c r="B2" s="52" t="str">
        <f>IFERROR(VLOOKUP($D2,Sheet1!$A$2:$B$98,2,0),"")</f>
        <v>Cá viên HM</v>
      </c>
      <c r="C2" s="88">
        <f>IFERROR(VLOOKUP($D2,'Tổng Đơn'!$A$5:$E$100,5,0),"")</f>
        <v>0.5</v>
      </c>
      <c r="D2" s="48">
        <v>2</v>
      </c>
      <c r="E2" s="48">
        <v>2</v>
      </c>
      <c r="F2" s="53">
        <f>IFERROR(VLOOKUP($D2,Sheet1!$A$2:$D$98,4,0),"")</f>
        <v>25000</v>
      </c>
      <c r="G2" s="54">
        <f>IF($A1=MAX($A$2:$A$50),SUM($G1:$G$2),IFERROR($F2*$E2,""))</f>
        <v>50000</v>
      </c>
      <c r="H2" s="92">
        <f>IFERROR(E2*C2,"")</f>
        <v>1</v>
      </c>
      <c r="I2" s="46" t="str">
        <f>IF(SUMPRODUCT(($E$2:$E$12),($K$2:$K$12))&gt;=200000,"KM 15%",IF(SUMPRODUCT(($E$2:$E$12),($K$2:$K$12))&gt;=100000,"KM 10%",""))</f>
        <v>KM 10%</v>
      </c>
      <c r="K2" s="50">
        <f>IFERROR(VLOOKUP($D2,Sheet1!$A$2:$D$98,4,0),"")</f>
        <v>25000</v>
      </c>
    </row>
    <row r="3" spans="1:13" s="46" customFormat="1" ht="24.95" customHeight="1" x14ac:dyDescent="0.25">
      <c r="A3" s="51">
        <f t="shared" ref="A3:A31" si="0">IF(OR(SUM($A2,$D3&lt;&gt;"")=0,$D3=""),"",SUM($A2,$D3&lt;&gt;""))</f>
        <v>2</v>
      </c>
      <c r="B3" s="52" t="str">
        <f>IFERROR(VLOOKUP($D3,Sheet1!$A$2:$B$98,2,0),"")</f>
        <v>Tôm viên HM</v>
      </c>
      <c r="C3" s="89">
        <f>IFERROR(VLOOKUP($D3,'Tổng Đơn'!$A$5:$E$100,5,0),"")</f>
        <v>0.5</v>
      </c>
      <c r="D3" s="48">
        <v>4</v>
      </c>
      <c r="E3" s="48">
        <v>1</v>
      </c>
      <c r="F3" s="53">
        <f>IF(AND($A3="",$A2&lt;&gt;""),"Tổng Cộng",IFERROR(VLOOKUP($D3,Sheet1!$A$2:$D$98,4,0),""))</f>
        <v>30000</v>
      </c>
      <c r="G3" s="54">
        <f>IF($A2=MAX($A$2:$A$50),SUM($G$2:$G2),IFERROR($F3*$E3,""))</f>
        <v>30000</v>
      </c>
      <c r="H3" s="92">
        <f t="shared" ref="H3:H31" si="1">IFERROR(E3*C3,"")</f>
        <v>0.5</v>
      </c>
      <c r="K3" s="49">
        <f>IFERROR(VLOOKUP($D3,Sheet1!$A$2:$D$98,4,0),"")</f>
        <v>30000</v>
      </c>
    </row>
    <row r="4" spans="1:13" s="46" customFormat="1" ht="24.95" customHeight="1" x14ac:dyDescent="0.25">
      <c r="A4" s="51">
        <f t="shared" si="0"/>
        <v>3</v>
      </c>
      <c r="B4" s="52" t="str">
        <f>IFERROR(VLOOKUP($D4,Sheet1!$A$2:$B$98,2,0),"")</f>
        <v>Viên thả lẩu 3 màu</v>
      </c>
      <c r="C4" s="89">
        <f>IFERROR(VLOOKUP($D4,'Tổng Đơn'!$A$5:$E$100,5,0),"")</f>
        <v>0.5</v>
      </c>
      <c r="D4" s="48">
        <v>10</v>
      </c>
      <c r="E4" s="48">
        <v>1</v>
      </c>
      <c r="F4" s="53">
        <f>IF(AND($A4="",$A3&lt;&gt;""),"Tổng Cộng",IFERROR(VLOOKUP($D4,Sheet1!$A$2:$D$98,4,0),""))</f>
        <v>50000</v>
      </c>
      <c r="G4" s="54">
        <f>IF($A3=MAX($A$2:$A$50),SUM($G$2:$G3),IFERROR($F4*$E4,""))</f>
        <v>50000</v>
      </c>
      <c r="H4" s="92">
        <f t="shared" si="1"/>
        <v>0.5</v>
      </c>
      <c r="K4" s="49">
        <f>IFERROR(VLOOKUP($D4,Sheet1!$A$2:$D$98,4,0),"")</f>
        <v>50000</v>
      </c>
    </row>
    <row r="5" spans="1:13" s="46" customFormat="1" ht="24.95" customHeight="1" x14ac:dyDescent="0.25">
      <c r="A5" s="51">
        <f t="shared" si="0"/>
        <v>4</v>
      </c>
      <c r="B5" s="52" t="str">
        <f>IFERROR(VLOOKUP($D5,Sheet1!$A$2:$B$98,2,0),"")</f>
        <v>XX Đỏ ĐNA (bao đỏ)</v>
      </c>
      <c r="C5" s="89">
        <f>IFERROR(VLOOKUP($D5,'Tổng Đơn'!$A$5:$E$100,5,0),"")</f>
        <v>0.5</v>
      </c>
      <c r="D5" s="48">
        <v>19</v>
      </c>
      <c r="E5" s="48">
        <v>1</v>
      </c>
      <c r="F5" s="53">
        <f>IF(AND($A5="",$A4&lt;&gt;""),"Tổng Cộng",IFERROR(VLOOKUP($D5,Sheet1!$A$2:$D$98,4,0),""))</f>
        <v>28000</v>
      </c>
      <c r="G5" s="54">
        <f>IF($A4=MAX($A$2:$A$50),SUM($G$2:$G4),IFERROR($F5*$E5,""))</f>
        <v>28000</v>
      </c>
      <c r="H5" s="92">
        <f t="shared" si="1"/>
        <v>0.5</v>
      </c>
      <c r="K5" s="49">
        <f>IFERROR(VLOOKUP($D5,Sheet1!$A$2:$D$98,4,0),"")</f>
        <v>28000</v>
      </c>
    </row>
    <row r="6" spans="1:13" s="46" customFormat="1" ht="24.95" customHeight="1" x14ac:dyDescent="0.25">
      <c r="A6" s="51">
        <f t="shared" si="0"/>
        <v>5</v>
      </c>
      <c r="B6" s="52" t="str">
        <f>IFERROR(VLOOKUP($D6,Sheet1!$A$2:$B$98,2,0),"")</f>
        <v>Bò viên HM</v>
      </c>
      <c r="C6" s="89">
        <f>IFERROR(VLOOKUP($D6,'Tổng Đơn'!$A$5:$E$100,5,0),"")</f>
        <v>0.5</v>
      </c>
      <c r="D6" s="48">
        <v>54</v>
      </c>
      <c r="E6" s="48">
        <v>1</v>
      </c>
      <c r="F6" s="53">
        <f>IF(AND($A6="",$A5&lt;&gt;""),"Tổng Cộng",IFERROR(VLOOKUP($D6,Sheet1!$A$2:$D$98,4,0),""))</f>
        <v>30000</v>
      </c>
      <c r="G6" s="54">
        <f>IF($A5=MAX($A$2:$A$50),SUM($G$2:$G5),IFERROR($F6*$E6,""))</f>
        <v>30000</v>
      </c>
      <c r="H6" s="92">
        <f t="shared" si="1"/>
        <v>0.5</v>
      </c>
      <c r="I6" s="175"/>
      <c r="K6" s="49"/>
      <c r="L6" s="184"/>
      <c r="M6" s="176"/>
    </row>
    <row r="7" spans="1:13" s="46" customFormat="1" ht="24.95" customHeight="1" x14ac:dyDescent="0.25">
      <c r="A7" s="51" t="str">
        <f t="shared" si="0"/>
        <v/>
      </c>
      <c r="B7" s="52" t="str">
        <f>IFERROR(VLOOKUP($D7,Sheet1!$A$2:$B$98,2,0),"")</f>
        <v/>
      </c>
      <c r="C7" s="89" t="str">
        <f>IFERROR(VLOOKUP($D7,'Tổng Đơn'!$A$5:$E$100,5,0),"")</f>
        <v/>
      </c>
      <c r="D7" s="48" t="s">
        <v>192</v>
      </c>
      <c r="E7" s="48"/>
      <c r="F7" s="53" t="str">
        <f>IF(AND($A7="",$A6&lt;&gt;""),"Tổng Cộng",IFERROR(VLOOKUP($D7,Sheet1!$A$2:$D$98,4,0),""))</f>
        <v>Tổng Cộng</v>
      </c>
      <c r="G7" s="54">
        <f>IF($A6=MAX($A$2:$A$50),SUM($G$2:$G6),IFERROR($F7*$E7,""))</f>
        <v>188000</v>
      </c>
      <c r="H7" s="92" t="str">
        <f t="shared" si="1"/>
        <v/>
      </c>
      <c r="K7" s="49"/>
    </row>
    <row r="8" spans="1:13" s="46" customFormat="1" ht="24.95" customHeight="1" x14ac:dyDescent="0.25">
      <c r="A8" s="51" t="str">
        <f t="shared" si="0"/>
        <v/>
      </c>
      <c r="B8" s="52" t="str">
        <f>IFERROR(VLOOKUP($D8,Sheet1!$A$2:$B$98,2,0),"")</f>
        <v/>
      </c>
      <c r="C8" s="89" t="str">
        <f>IFERROR(VLOOKUP($D8,'Tổng Đơn'!$A$5:$E$100,5,0),"")</f>
        <v/>
      </c>
      <c r="D8" s="48" t="s">
        <v>192</v>
      </c>
      <c r="E8" s="48"/>
      <c r="F8" s="53" t="str">
        <f>IF(AND($A8="",$A7&lt;&gt;""),"Tổng Cộng",IFERROR(VLOOKUP($D8,Sheet1!$A$2:$D$98,4,0),""))</f>
        <v/>
      </c>
      <c r="G8" s="54" t="str">
        <f>IF($A7=MAX($A$2:$A$50),SUM($G$2:$G7),IFERROR($F8*$E8,""))</f>
        <v/>
      </c>
      <c r="H8" s="92" t="str">
        <f t="shared" si="1"/>
        <v/>
      </c>
      <c r="K8" s="49" t="str">
        <f>IFERROR(VLOOKUP($D8,Sheet1!$A$2:$D$98,4,0),"")</f>
        <v/>
      </c>
      <c r="L8" s="185"/>
    </row>
    <row r="9" spans="1:13" s="46" customFormat="1" ht="24.95" customHeight="1" x14ac:dyDescent="0.25">
      <c r="A9" s="51" t="str">
        <f t="shared" si="0"/>
        <v/>
      </c>
      <c r="B9" s="52" t="str">
        <f>IFERROR(VLOOKUP($D9,Sheet1!$A$2:$B$98,2,0),"")</f>
        <v/>
      </c>
      <c r="C9" s="89" t="str">
        <f>IFERROR(VLOOKUP($D9,'Tổng Đơn'!$A$5:$E$100,5,0),"")</f>
        <v/>
      </c>
      <c r="D9" s="48" t="s">
        <v>192</v>
      </c>
      <c r="E9" s="48"/>
      <c r="F9" s="53" t="str">
        <f>IF(AND($A9="",$A8&lt;&gt;""),"Tổng Cộng",IFERROR(VLOOKUP($D9,Sheet1!$A$2:$D$98,4,0),""))</f>
        <v/>
      </c>
      <c r="G9" s="54" t="str">
        <f>IF($A8=MAX($A$2:$A$50),SUM($G$2:$G8),IFERROR($F9*$E9,""))</f>
        <v/>
      </c>
      <c r="H9" s="92" t="str">
        <f t="shared" si="1"/>
        <v/>
      </c>
      <c r="K9" s="49" t="str">
        <f>IFERROR(VLOOKUP($D9,Sheet1!$A$2:$D$98,4,0),"")</f>
        <v/>
      </c>
    </row>
    <row r="10" spans="1:13" s="46" customFormat="1" ht="24.95" customHeight="1" x14ac:dyDescent="0.25">
      <c r="A10" s="51" t="str">
        <f t="shared" si="0"/>
        <v/>
      </c>
      <c r="B10" s="52" t="str">
        <f>IFERROR(VLOOKUP($D10,Sheet1!$A$2:$B$98,2,0),"")</f>
        <v/>
      </c>
      <c r="C10" s="89" t="str">
        <f>IFERROR(VLOOKUP($D10,'Tổng Đơn'!$A$5:$E$100,5,0),"")</f>
        <v/>
      </c>
      <c r="D10" s="48" t="s">
        <v>192</v>
      </c>
      <c r="E10" s="48"/>
      <c r="F10" s="53" t="str">
        <f>IF(AND($A10="",$A9&lt;&gt;""),"Tổng Cộng",IFERROR(VLOOKUP($D10,Sheet1!$A$2:$D$98,4,0),""))</f>
        <v/>
      </c>
      <c r="G10" s="54" t="str">
        <f>IF($A9=MAX($A$2:$A$50),SUM($G$2:$G9),IFERROR($F10*$E10,""))</f>
        <v/>
      </c>
      <c r="H10" s="92" t="str">
        <f t="shared" si="1"/>
        <v/>
      </c>
      <c r="K10" s="49" t="str">
        <f>IFERROR(VLOOKUP($D10,Sheet1!$A$2:$D$98,4,0),"")</f>
        <v/>
      </c>
    </row>
    <row r="11" spans="1:13" s="46" customFormat="1" ht="24.95" customHeight="1" x14ac:dyDescent="0.25">
      <c r="A11" s="51" t="str">
        <f t="shared" si="0"/>
        <v/>
      </c>
      <c r="B11" s="52" t="str">
        <f>IFERROR(VLOOKUP($D11,Sheet1!$A$2:$B$98,2,0),"")</f>
        <v/>
      </c>
      <c r="C11" s="89" t="str">
        <f>IFERROR(VLOOKUP($D11,'Tổng Đơn'!$A$5:$E$100,5,0),"")</f>
        <v/>
      </c>
      <c r="D11" s="48" t="s">
        <v>192</v>
      </c>
      <c r="E11" s="48"/>
      <c r="F11" s="53" t="str">
        <f>IF(AND($A11="",$A10&lt;&gt;""),"Tổng Cộng",IFERROR(VLOOKUP($D11,Sheet1!$A$2:$D$98,4,0),""))</f>
        <v/>
      </c>
      <c r="G11" s="54" t="str">
        <f>IF($A10=MAX($A$2:$A$50),SUM($G$2:$G10),IFERROR($F11*$E11,""))</f>
        <v/>
      </c>
      <c r="H11" s="92" t="str">
        <f t="shared" si="1"/>
        <v/>
      </c>
      <c r="K11" s="49" t="str">
        <f>IFERROR(VLOOKUP($D11,Sheet1!$A$2:$D$98,4,0),"")</f>
        <v/>
      </c>
    </row>
    <row r="12" spans="1:13" s="46" customFormat="1" ht="24.95" customHeight="1" x14ac:dyDescent="0.25">
      <c r="A12" s="51" t="str">
        <f t="shared" si="0"/>
        <v/>
      </c>
      <c r="B12" s="52" t="str">
        <f>IFERROR(VLOOKUP($D12,Sheet1!$A$2:$B$98,2,0),"")</f>
        <v/>
      </c>
      <c r="C12" s="89" t="str">
        <f>IFERROR(VLOOKUP($D12,'Tổng Đơn'!$A$5:$E$100,5,0),"")</f>
        <v/>
      </c>
      <c r="D12" s="48" t="s">
        <v>192</v>
      </c>
      <c r="E12" s="48"/>
      <c r="F12" s="53" t="str">
        <f>IF(AND($A12="",$A11&lt;&gt;""),"Tổng Cộng",IFERROR(VLOOKUP($D12,Sheet1!$A$2:$D$98,4,0),""))</f>
        <v/>
      </c>
      <c r="G12" s="54" t="str">
        <f>IF($A11=MAX($A$2:$A$50),SUM($G$2:$G11),IFERROR($F12*$E12,""))</f>
        <v/>
      </c>
      <c r="H12" s="92" t="str">
        <f t="shared" si="1"/>
        <v/>
      </c>
      <c r="K12" s="49" t="str">
        <f>IFERROR(VLOOKUP($D12,Sheet1!$A$2:$D$98,4,0),"")</f>
        <v/>
      </c>
    </row>
    <row r="13" spans="1:13" s="46" customFormat="1" ht="24.95" customHeight="1" x14ac:dyDescent="0.25">
      <c r="A13" s="51" t="str">
        <f t="shared" si="0"/>
        <v/>
      </c>
      <c r="B13" s="52" t="str">
        <f>IFERROR(VLOOKUP($D13,Sheet1!$A$2:$B$98,2,0),"")</f>
        <v/>
      </c>
      <c r="C13" s="89" t="str">
        <f>IFERROR(VLOOKUP($D13,'Tổng Đơn'!$A$5:$E$100,5,0),"")</f>
        <v/>
      </c>
      <c r="D13" s="48" t="s">
        <v>192</v>
      </c>
      <c r="E13" s="48"/>
      <c r="F13" s="53" t="str">
        <f>IF(AND($A13="",$A12&lt;&gt;""),"Tổng Cộng",IFERROR(VLOOKUP($D13,Sheet1!$A$2:$D$98,4,0),""))</f>
        <v/>
      </c>
      <c r="G13" s="54" t="str">
        <f>IF($A12=MAX($A$2:$A$50),SUM($G$2:$G12),IFERROR($F13*$E13,""))</f>
        <v/>
      </c>
      <c r="H13" s="92" t="str">
        <f t="shared" si="1"/>
        <v/>
      </c>
      <c r="K13" s="49" t="str">
        <f>IFERROR(VLOOKUP($D13,Sheet1!$A$2:$D$98,4,0),"")</f>
        <v/>
      </c>
    </row>
    <row r="14" spans="1:13" s="46" customFormat="1" ht="24.95" customHeight="1" x14ac:dyDescent="0.25">
      <c r="A14" s="51" t="str">
        <f t="shared" si="0"/>
        <v/>
      </c>
      <c r="B14" s="52" t="str">
        <f>IFERROR(VLOOKUP($D14,Sheet1!$A$2:$B$98,2,0),"")</f>
        <v/>
      </c>
      <c r="C14" s="89" t="str">
        <f>IFERROR(VLOOKUP($D14,'Tổng Đơn'!$A$5:$E$100,5,0),"")</f>
        <v/>
      </c>
      <c r="D14" s="48" t="s">
        <v>192</v>
      </c>
      <c r="E14" s="48"/>
      <c r="F14" s="53" t="str">
        <f>IF(AND($A14="",$A13&lt;&gt;""),"Tổng Cộng",IFERROR(VLOOKUP($D14,Sheet1!$A$2:$D$98,4,0),""))</f>
        <v/>
      </c>
      <c r="G14" s="54" t="str">
        <f>IF($A13=MAX($A$2:$A$50),SUM($G$2:$G13),IFERROR($F14*$E14,""))</f>
        <v/>
      </c>
      <c r="H14" s="92" t="str">
        <f t="shared" si="1"/>
        <v/>
      </c>
      <c r="K14" s="49" t="str">
        <f>IFERROR(VLOOKUP($D14,Sheet1!$A$2:$D$98,4,0),"")</f>
        <v/>
      </c>
    </row>
    <row r="15" spans="1:13" s="46" customFormat="1" ht="24.95" customHeight="1" x14ac:dyDescent="0.25">
      <c r="A15" s="51" t="str">
        <f t="shared" si="0"/>
        <v/>
      </c>
      <c r="B15" s="52" t="str">
        <f>IFERROR(VLOOKUP($D15,Sheet1!$A$2:$B$98,2,0),"")</f>
        <v/>
      </c>
      <c r="C15" s="89" t="str">
        <f>IFERROR(VLOOKUP($D15,'Tổng Đơn'!$A$5:$E$100,5,0),"")</f>
        <v/>
      </c>
      <c r="D15" s="48" t="s">
        <v>192</v>
      </c>
      <c r="E15" s="48"/>
      <c r="F15" s="53" t="str">
        <f>IF(AND($A15="",$A14&lt;&gt;""),"Tổng Cộng",IFERROR(VLOOKUP($D15,Sheet1!$A$2:$D$98,4,0),""))</f>
        <v/>
      </c>
      <c r="G15" s="54" t="str">
        <f>IF($A14=MAX($A$2:$A$50),SUM($G$2:$G14),IFERROR($F15*$E15,""))</f>
        <v/>
      </c>
      <c r="H15" s="92" t="str">
        <f t="shared" si="1"/>
        <v/>
      </c>
      <c r="K15" s="49" t="str">
        <f>IFERROR(VLOOKUP($D15,Sheet1!$A$2:$D$98,4,0),"")</f>
        <v/>
      </c>
    </row>
    <row r="16" spans="1:13" s="46" customFormat="1" ht="24.95" customHeight="1" x14ac:dyDescent="0.25">
      <c r="A16" s="51" t="str">
        <f t="shared" si="0"/>
        <v/>
      </c>
      <c r="B16" s="52" t="str">
        <f>IFERROR(VLOOKUP($D16,Sheet1!$A$2:$B$98,2,0),"")</f>
        <v/>
      </c>
      <c r="C16" s="89" t="str">
        <f>IFERROR(VLOOKUP($D16,'Tổng Đơn'!$A$5:$E$100,5,0),"")</f>
        <v/>
      </c>
      <c r="D16" s="48" t="s">
        <v>192</v>
      </c>
      <c r="E16" s="48"/>
      <c r="F16" s="53" t="str">
        <f>IF(AND($A16="",$A15&lt;&gt;""),"Tổng Cộng",IFERROR(VLOOKUP($D16,Sheet1!$A$2:$D$98,4,0),""))</f>
        <v/>
      </c>
      <c r="G16" s="54" t="str">
        <f>IF($A15=MAX($A$2:$A$50),SUM($G$2:$G15),IFERROR($F16*$E16,""))</f>
        <v/>
      </c>
      <c r="H16" s="92" t="str">
        <f t="shared" si="1"/>
        <v/>
      </c>
      <c r="K16" s="49" t="str">
        <f>IFERROR(VLOOKUP($D16,Sheet1!$A$2:$D$98,4,0),"")</f>
        <v/>
      </c>
    </row>
    <row r="17" spans="1:11" s="46" customFormat="1" ht="24.95" customHeight="1" x14ac:dyDescent="0.25">
      <c r="A17" s="51" t="str">
        <f t="shared" si="0"/>
        <v/>
      </c>
      <c r="B17" s="52" t="str">
        <f>IFERROR(VLOOKUP($D17,Sheet1!$A$2:$B$98,2,0),"")</f>
        <v/>
      </c>
      <c r="C17" s="89" t="str">
        <f>IFERROR(VLOOKUP($D17,'Tổng Đơn'!$A$5:$E$100,5,0),"")</f>
        <v/>
      </c>
      <c r="D17" s="48" t="s">
        <v>192</v>
      </c>
      <c r="E17" s="48"/>
      <c r="F17" s="53" t="str">
        <f>IF(AND($A17="",$A16&lt;&gt;""),"Tổng Cộng",IFERROR(VLOOKUP($D17,Sheet1!$A$2:$D$98,4,0),""))</f>
        <v/>
      </c>
      <c r="G17" s="54" t="str">
        <f>IF($A16=MAX($A$2:$A$50),SUM($G$2:$G16),IFERROR($F17*$E17,""))</f>
        <v/>
      </c>
      <c r="H17" s="92" t="str">
        <f t="shared" si="1"/>
        <v/>
      </c>
      <c r="K17" s="49" t="str">
        <f>IFERROR(VLOOKUP($D17,Sheet1!$A$2:$D$98,4,0),"")</f>
        <v/>
      </c>
    </row>
    <row r="18" spans="1:11" s="46" customFormat="1" ht="24.95" customHeight="1" x14ac:dyDescent="0.25">
      <c r="A18" s="51" t="str">
        <f t="shared" si="0"/>
        <v/>
      </c>
      <c r="B18" s="52" t="str">
        <f>IFERROR(VLOOKUP($D18,Sheet1!$A$2:$B$98,2,0),"")</f>
        <v/>
      </c>
      <c r="C18" s="89" t="str">
        <f>IFERROR(VLOOKUP($D18,'Tổng Đơn'!$A$5:$E$100,5,0),"")</f>
        <v/>
      </c>
      <c r="D18" s="48" t="s">
        <v>192</v>
      </c>
      <c r="E18" s="48"/>
      <c r="F18" s="53" t="str">
        <f>IF(AND($A18="",$A17&lt;&gt;""),"Tổng Cộng",IFERROR(VLOOKUP($D18,Sheet1!$A$2:$D$98,4,0),""))</f>
        <v/>
      </c>
      <c r="G18" s="54" t="str">
        <f>IF($A17=MAX($A$2:$A$50),SUM($G$2:$G17),IFERROR($F18*$E18,""))</f>
        <v/>
      </c>
      <c r="H18" s="92" t="str">
        <f t="shared" si="1"/>
        <v/>
      </c>
      <c r="K18" s="49" t="str">
        <f>IFERROR(VLOOKUP($D18,Sheet1!$A$2:$D$98,4,0),"")</f>
        <v/>
      </c>
    </row>
    <row r="19" spans="1:11" s="46" customFormat="1" ht="24.95" customHeight="1" x14ac:dyDescent="0.25">
      <c r="A19" s="51" t="str">
        <f t="shared" si="0"/>
        <v/>
      </c>
      <c r="B19" s="52" t="str">
        <f>IFERROR(VLOOKUP($D19,Sheet1!$A$2:$B$98,2,0),"")</f>
        <v/>
      </c>
      <c r="C19" s="89" t="str">
        <f>IFERROR(VLOOKUP($D19,'Tổng Đơn'!$A$5:$E$100,5,0),"")</f>
        <v/>
      </c>
      <c r="D19" s="48" t="s">
        <v>192</v>
      </c>
      <c r="E19" s="48"/>
      <c r="F19" s="53" t="str">
        <f>IF(AND($A19="",$A18&lt;&gt;""),"Tổng Cộng",IFERROR(VLOOKUP($D19,Sheet1!$A$2:$D$98,4,0),""))</f>
        <v/>
      </c>
      <c r="G19" s="54" t="str">
        <f>IF($A18=MAX($A$2:$A$50),SUM($G$2:$G18),IFERROR($F19*$E19,""))</f>
        <v/>
      </c>
      <c r="H19" s="92" t="str">
        <f t="shared" si="1"/>
        <v/>
      </c>
      <c r="K19" s="49" t="str">
        <f>IFERROR(VLOOKUP($D19,Sheet1!$A$2:$D$98,4,0),"")</f>
        <v/>
      </c>
    </row>
    <row r="20" spans="1:11" s="46" customFormat="1" ht="24.95" customHeight="1" x14ac:dyDescent="0.25">
      <c r="A20" s="51" t="str">
        <f t="shared" si="0"/>
        <v/>
      </c>
      <c r="B20" s="52" t="str">
        <f>IFERROR(VLOOKUP($D20,Sheet1!$A$2:$B$98,2,0),"")</f>
        <v/>
      </c>
      <c r="C20" s="89" t="str">
        <f>IFERROR(VLOOKUP($D20,'Tổng Đơn'!$A$5:$E$100,5,0),"")</f>
        <v/>
      </c>
      <c r="D20" s="48" t="s">
        <v>192</v>
      </c>
      <c r="E20" s="48"/>
      <c r="F20" s="53" t="str">
        <f>IF(AND($A20="",$A19&lt;&gt;""),"Tổng Cộng",IFERROR(VLOOKUP($D20,Sheet1!$A$2:$D$98,4,0),""))</f>
        <v/>
      </c>
      <c r="G20" s="54" t="str">
        <f>IF($A19=MAX($A$2:$A$50),SUM($G$2:$G19),IFERROR($F20*$E20,""))</f>
        <v/>
      </c>
      <c r="H20" s="92" t="str">
        <f t="shared" si="1"/>
        <v/>
      </c>
      <c r="K20" s="49" t="str">
        <f>IFERROR(VLOOKUP($D20,Sheet1!$A$2:$D$98,4,0),"")</f>
        <v/>
      </c>
    </row>
    <row r="21" spans="1:11" s="46" customFormat="1" ht="24.95" customHeight="1" x14ac:dyDescent="0.25">
      <c r="A21" s="51" t="str">
        <f t="shared" si="0"/>
        <v/>
      </c>
      <c r="B21" s="52" t="str">
        <f>IFERROR(VLOOKUP($D21,Sheet1!$A$2:$B$98,2,0),"")</f>
        <v/>
      </c>
      <c r="C21" s="89" t="str">
        <f>IFERROR(VLOOKUP($D21,'Tổng Đơn'!$A$5:$E$100,5,0),"")</f>
        <v/>
      </c>
      <c r="D21" s="48" t="s">
        <v>192</v>
      </c>
      <c r="E21" s="48"/>
      <c r="F21" s="53" t="str">
        <f>IF(AND($A21="",$A20&lt;&gt;""),"Tổng Cộng",IFERROR(VLOOKUP($D21,Sheet1!$A$2:$D$98,4,0),""))</f>
        <v/>
      </c>
      <c r="G21" s="54" t="str">
        <f>IF($A20=MAX($A$2:$A$50),SUM($G$2:$G20),IFERROR($F21*$E21,""))</f>
        <v/>
      </c>
      <c r="H21" s="92" t="str">
        <f t="shared" si="1"/>
        <v/>
      </c>
      <c r="K21" s="49"/>
    </row>
    <row r="22" spans="1:11" s="46" customFormat="1" ht="24.95" customHeight="1" x14ac:dyDescent="0.25">
      <c r="A22" s="51" t="str">
        <f t="shared" si="0"/>
        <v/>
      </c>
      <c r="B22" s="52" t="str">
        <f>IFERROR(VLOOKUP($D22,Sheet1!$A$2:$B$98,2,0),"")</f>
        <v/>
      </c>
      <c r="C22" s="89" t="str">
        <f>IFERROR(VLOOKUP($D22,'Tổng Đơn'!$A$5:$E$100,5,0),"")</f>
        <v/>
      </c>
      <c r="D22" s="48" t="s">
        <v>192</v>
      </c>
      <c r="E22" s="48"/>
      <c r="F22" s="53" t="str">
        <f>IF(AND($A22="",$A21&lt;&gt;""),"Tổng Cộng",IFERROR(VLOOKUP($D22,Sheet1!$A$2:$D$98,4,0),""))</f>
        <v/>
      </c>
      <c r="G22" s="54" t="str">
        <f>IF($A21=MAX($A$2:$A$50),SUM($G$2:$G21),IFERROR($F22*$E22,""))</f>
        <v/>
      </c>
      <c r="H22" s="92" t="str">
        <f t="shared" si="1"/>
        <v/>
      </c>
      <c r="K22" s="49"/>
    </row>
    <row r="23" spans="1:11" s="46" customFormat="1" ht="24.95" customHeight="1" x14ac:dyDescent="0.25">
      <c r="A23" s="51" t="str">
        <f t="shared" si="0"/>
        <v/>
      </c>
      <c r="B23" s="52" t="str">
        <f>IFERROR(VLOOKUP($D23,Sheet1!$A$2:$B$98,2,0),"")</f>
        <v/>
      </c>
      <c r="C23" s="89" t="str">
        <f>IFERROR(VLOOKUP($D23,'Tổng Đơn'!$A$5:$E$100,5,0),"")</f>
        <v/>
      </c>
      <c r="D23" s="48" t="s">
        <v>192</v>
      </c>
      <c r="E23" s="48"/>
      <c r="F23" s="53" t="str">
        <f>IF(AND($A23="",$A22&lt;&gt;""),"Tổng Cộng",IFERROR(VLOOKUP($D23,Sheet1!$A$2:$D$98,4,0),""))</f>
        <v/>
      </c>
      <c r="G23" s="54" t="str">
        <f>IF($A22=MAX($A$2:$A$50),SUM($G$2:$G22),IFERROR($F23*$E23,""))</f>
        <v/>
      </c>
      <c r="H23" s="92" t="str">
        <f t="shared" si="1"/>
        <v/>
      </c>
      <c r="K23" s="49">
        <v>1</v>
      </c>
    </row>
    <row r="24" spans="1:11" s="46" customFormat="1" ht="24.95" customHeight="1" x14ac:dyDescent="0.25">
      <c r="A24" s="51" t="str">
        <f t="shared" si="0"/>
        <v/>
      </c>
      <c r="B24" s="52" t="str">
        <f>IFERROR(VLOOKUP($D24,Sheet1!$A$2:$B$98,2,0),"")</f>
        <v/>
      </c>
      <c r="C24" s="89" t="str">
        <f>IFERROR(VLOOKUP($D24,'Tổng Đơn'!$A$5:$E$100,5,0),"")</f>
        <v/>
      </c>
      <c r="D24" s="48" t="s">
        <v>192</v>
      </c>
      <c r="E24" s="48"/>
      <c r="F24" s="53" t="str">
        <f>IF(AND($A24="",$A23&lt;&gt;""),"Tổng Cộng",IFERROR(VLOOKUP($D24,Sheet1!$A$2:$D$98,4,0),""))</f>
        <v/>
      </c>
      <c r="G24" s="54" t="str">
        <f>IF($A23=MAX($A$2:$A$50),SUM($G$2:$G23),IFERROR($F24*$E24,""))</f>
        <v/>
      </c>
      <c r="H24" s="92" t="str">
        <f t="shared" si="1"/>
        <v/>
      </c>
      <c r="K24" s="49">
        <v>1</v>
      </c>
    </row>
    <row r="25" spans="1:11" s="46" customFormat="1" ht="24.95" customHeight="1" x14ac:dyDescent="0.25">
      <c r="A25" s="51" t="str">
        <f t="shared" si="0"/>
        <v/>
      </c>
      <c r="B25" s="52" t="str">
        <f>IFERROR(VLOOKUP($D25,Sheet1!$A$2:$B$98,2,0),"")</f>
        <v/>
      </c>
      <c r="C25" s="89" t="str">
        <f>IFERROR(VLOOKUP($D25,'Tổng Đơn'!$A$5:$E$100,5,0),"")</f>
        <v/>
      </c>
      <c r="D25" s="48" t="s">
        <v>192</v>
      </c>
      <c r="E25" s="48"/>
      <c r="F25" s="53" t="str">
        <f>IF(AND($A25="",$A24&lt;&gt;""),"Tổng Cộng",IFERROR(VLOOKUP($D25,Sheet1!$A$2:$D$98,4,0),""))</f>
        <v/>
      </c>
      <c r="G25" s="54" t="str">
        <f>IF($A24=MAX($A$2:$A$50),SUM($G$2:$G24),IFERROR($F25*$E25,""))</f>
        <v/>
      </c>
      <c r="H25" s="92" t="str">
        <f t="shared" si="1"/>
        <v/>
      </c>
      <c r="K25" s="49">
        <v>1</v>
      </c>
    </row>
    <row r="26" spans="1:11" s="46" customFormat="1" ht="24.95" customHeight="1" x14ac:dyDescent="0.25">
      <c r="A26" s="51" t="str">
        <f t="shared" si="0"/>
        <v/>
      </c>
      <c r="B26" s="52" t="str">
        <f>IFERROR(VLOOKUP($D26,Sheet1!$A$2:$B$98,2,0),"")</f>
        <v/>
      </c>
      <c r="C26" s="89" t="str">
        <f>IFERROR(VLOOKUP($D26,'Tổng Đơn'!$A$5:$E$100,5,0),"")</f>
        <v/>
      </c>
      <c r="D26" s="48" t="s">
        <v>192</v>
      </c>
      <c r="E26" s="48"/>
      <c r="F26" s="53" t="str">
        <f>IF(AND($A26="",$A25&lt;&gt;""),"Tổng Cộng",IFERROR(VLOOKUP($D26,Sheet1!$A$2:$D$98,4,0),""))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IFERROR(VLOOKUP($D27,Sheet1!$A$2:$B$98,2,0),"")</f>
        <v/>
      </c>
      <c r="C27" s="89" t="str">
        <f>IFERROR(VLOOKUP($D27,'Tổng Đơn'!$A$5:$E$100,5,0),"")</f>
        <v/>
      </c>
      <c r="D27" s="48" t="s">
        <v>192</v>
      </c>
      <c r="E27" s="48"/>
      <c r="F27" s="53" t="str">
        <f>IF(AND($A27="",$A26&lt;&gt;""),"Tổng Cộng",IFERROR(VLOOKUP($D27,Sheet1!$A$2:$D$98,4,0),""))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IFERROR(VLOOKUP($D28,Sheet1!$A$2:$B$98,2,0),"")</f>
        <v/>
      </c>
      <c r="C28" s="89" t="str">
        <f>IFERROR(VLOOKUP($D28,'Tổng Đơn'!$A$5:$E$100,5,0),"")</f>
        <v/>
      </c>
      <c r="D28" s="48" t="s">
        <v>192</v>
      </c>
      <c r="E28" s="48"/>
      <c r="F28" s="53" t="str">
        <f>IF(AND($A28="",$A27&lt;&gt;""),"Tổng Cộng",IFERROR(VLOOKUP($D28,Sheet1!$A$2:$D$98,4,0),""))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IFERROR(VLOOKUP($D29,Sheet1!$A$2:$B$98,2,0),"")</f>
        <v/>
      </c>
      <c r="C29" s="89" t="str">
        <f>IFERROR(VLOOKUP($D29,'Tổng Đơn'!$A$5:$E$100,5,0),"")</f>
        <v/>
      </c>
      <c r="D29" s="48" t="s">
        <v>192</v>
      </c>
      <c r="E29" s="48"/>
      <c r="F29" s="53" t="str">
        <f>IF(AND($A29="",$A28&lt;&gt;""),"Tổng Cộng",IFERROR(VLOOKUP($D29,Sheet1!$A$2:$D$98,4,0),""))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IFERROR(VLOOKUP($D30,Sheet1!$A$2:$B$98,2,0),"")</f>
        <v/>
      </c>
      <c r="C30" s="89" t="str">
        <f>IFERROR(VLOOKUP($D30,'Tổng Đơn'!$A$5:$E$100,5,0),"")</f>
        <v/>
      </c>
      <c r="D30" s="48" t="s">
        <v>192</v>
      </c>
      <c r="E30" s="48"/>
      <c r="F30" s="53" t="str">
        <f>IF(AND($A30="",$A29&lt;&gt;""),"Tổng Cộng",IFERROR(VLOOKUP($D30,Sheet1!$A$2:$D$98,4,0),""))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IFERROR(VLOOKUP($D31,Sheet1!$A$2:$B$98,2,0),"")</f>
        <v/>
      </c>
      <c r="C31" s="89" t="str">
        <f>IFERROR(VLOOKUP($D31,'Tổng Đơn'!$A$5:$E$100,5,0),"")</f>
        <v/>
      </c>
      <c r="D31" s="48" t="s">
        <v>192</v>
      </c>
      <c r="E31" s="48"/>
      <c r="F31" s="53" t="str">
        <f>IF(AND($A31="",$A30&lt;&gt;""),"Tổng Cộng",IFERROR(VLOOKUP($D31,Sheet1!$A$2:$D$98,4,0),""))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Cộng",IFERROR(VLOOKUP($D32,Sheet1!$A$2:$D$98,4,0),""))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F3">
    <cfRule type="expression" dxfId="23" priority="12">
      <formula>$A2=MAX($A$2:$A$31)</formula>
    </cfRule>
  </conditionalFormatting>
  <conditionalFormatting sqref="D2:D3">
    <cfRule type="expression" dxfId="22" priority="11">
      <formula>AND($D2="",$E2&lt;&gt;"")</formula>
    </cfRule>
  </conditionalFormatting>
  <conditionalFormatting sqref="E2:E3">
    <cfRule type="expression" dxfId="21" priority="10">
      <formula>AND($E2="",$D2&lt;&gt;"")</formula>
    </cfRule>
  </conditionalFormatting>
  <conditionalFormatting sqref="C2:C3">
    <cfRule type="expression" dxfId="20" priority="9">
      <formula>AND($D2="",$E2&lt;&gt;"")</formula>
    </cfRule>
  </conditionalFormatting>
  <conditionalFormatting sqref="A10:G31 A4:F9 G2:G9">
    <cfRule type="expression" dxfId="19" priority="8">
      <formula>$A1=MAX($A$2:$A$31)</formula>
    </cfRule>
  </conditionalFormatting>
  <conditionalFormatting sqref="D4:D31">
    <cfRule type="expression" dxfId="18" priority="7">
      <formula>AND($D4="",$E4&lt;&gt;"")</formula>
    </cfRule>
  </conditionalFormatting>
  <conditionalFormatting sqref="E4:E31">
    <cfRule type="expression" dxfId="17" priority="6">
      <formula>AND($E4="",$D4&lt;&gt;"")</formula>
    </cfRule>
  </conditionalFormatting>
  <conditionalFormatting sqref="C4:C31">
    <cfRule type="expression" dxfId="16" priority="5">
      <formula>AND($D4="",$E4&lt;&gt;"")</formula>
    </cfRule>
  </conditionalFormatting>
  <conditionalFormatting sqref="A32:G32">
    <cfRule type="expression" dxfId="15" priority="4">
      <formula>$A31=MAX($A$2:$A$31)</formula>
    </cfRule>
  </conditionalFormatting>
  <conditionalFormatting sqref="D32">
    <cfRule type="expression" dxfId="14" priority="3">
      <formula>AND($D32="",$E32&lt;&gt;"")</formula>
    </cfRule>
  </conditionalFormatting>
  <conditionalFormatting sqref="E32">
    <cfRule type="expression" dxfId="13" priority="2">
      <formula>AND($E32="",$D32&lt;&gt;"")</formula>
    </cfRule>
  </conditionalFormatting>
  <conditionalFormatting sqref="C32">
    <cfRule type="expression" dxfId="12"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theme="1"/>
  </sheetPr>
  <dimension ref="A1:M52"/>
  <sheetViews>
    <sheetView zoomScaleNormal="100" workbookViewId="0">
      <pane ySplit="1" topLeftCell="A2" activePane="bottomLeft" state="frozen"/>
      <selection activeCell="H16" sqref="H16"/>
      <selection pane="bottomLeft" activeCell="H2" sqref="H2"/>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3" width="10.140625" style="14" bestFit="1" customWidth="1"/>
    <col min="14" max="16384" width="9.140625" style="14"/>
  </cols>
  <sheetData>
    <row r="1" spans="1:13" s="45" customFormat="1" ht="39" customHeight="1" x14ac:dyDescent="0.25">
      <c r="A1" s="47" t="s">
        <v>0</v>
      </c>
      <c r="B1" s="47" t="s">
        <v>17</v>
      </c>
      <c r="C1" s="87" t="s">
        <v>55</v>
      </c>
      <c r="D1" s="91" t="s">
        <v>118</v>
      </c>
      <c r="E1" s="91" t="s">
        <v>16</v>
      </c>
      <c r="F1" s="47" t="s">
        <v>18</v>
      </c>
      <c r="G1" s="47" t="s">
        <v>19</v>
      </c>
      <c r="H1" s="157" t="s">
        <v>221</v>
      </c>
      <c r="I1" s="55">
        <f>SUBTOTAL(9,H2:H31)</f>
        <v>0.4</v>
      </c>
      <c r="K1" s="47" t="s">
        <v>18</v>
      </c>
    </row>
    <row r="2" spans="1:13" s="46" customFormat="1" ht="24.95" customHeight="1" x14ac:dyDescent="0.25">
      <c r="A2" s="51">
        <f>IF(OR(SUM($A1,$D2&lt;&gt;"")=0,$D2=""),"",SUM($A1,$D2&lt;&gt;""))</f>
        <v>1</v>
      </c>
      <c r="B2" s="52" t="str">
        <f>IFERROR(VLOOKUP($D2,Sheet1!$A$2:$B$98,2,0),"")</f>
        <v>Cá Viên TVP nhỏ</v>
      </c>
      <c r="C2" s="88">
        <f>IFERROR(VLOOKUP($D2,'Tổng Đơn'!$A$5:$E$100,5,0),"")</f>
        <v>0.2</v>
      </c>
      <c r="D2" s="48">
        <v>30</v>
      </c>
      <c r="E2" s="48">
        <v>1</v>
      </c>
      <c r="F2" s="53">
        <f>IFERROR(VLOOKUP($D2,Sheet1!$A$2:$D$98,4,0),"")</f>
        <v>14000</v>
      </c>
      <c r="G2" s="54">
        <f>IF($A1=MAX($A$2:$A$50),SUM($G1:$G$2),IFERROR($F2*$E2,""))</f>
        <v>14000</v>
      </c>
      <c r="H2" s="92">
        <f>IFERROR(E2*C2,"")</f>
        <v>0.2</v>
      </c>
      <c r="I2" s="46" t="str">
        <f>IF(SUMPRODUCT(($E$2:$E$12),($K$2:$K$12))&gt;=200000,"KM 15%",IF(SUMPRODUCT(($E$2:$E$12),($K$2:$K$12))&gt;=100000,"KM 10%",""))</f>
        <v/>
      </c>
      <c r="K2" s="50">
        <f>IFERROR(VLOOKUP($D2,Sheet1!$A$2:$D$98,4,0),"")</f>
        <v>14000</v>
      </c>
    </row>
    <row r="3" spans="1:13" s="46" customFormat="1" ht="24.95" customHeight="1" x14ac:dyDescent="0.25">
      <c r="A3" s="51">
        <f t="shared" ref="A3:A31" si="0">IF(OR(SUM($A2,$D3&lt;&gt;"")=0,$D3=""),"",SUM($A2,$D3&lt;&gt;""))</f>
        <v>2</v>
      </c>
      <c r="B3" s="52" t="str">
        <f>IFERROR(VLOOKUP($D3,Sheet1!$A$2:$B$98,2,0),"")</f>
        <v>Tôm viên TVP nhỏ</v>
      </c>
      <c r="C3" s="89">
        <f>IFERROR(VLOOKUP($D3,'Tổng Đơn'!$A$5:$E$100,5,0),"")</f>
        <v>0.2</v>
      </c>
      <c r="D3" s="48">
        <v>33</v>
      </c>
      <c r="E3" s="48">
        <v>1</v>
      </c>
      <c r="F3" s="53">
        <f>IF(AND($A3="",$A2&lt;&gt;""),"Tổng Cộng",IFERROR(VLOOKUP($D3,Sheet1!$A$2:$D$98,4,0),""))</f>
        <v>14000</v>
      </c>
      <c r="G3" s="54">
        <f>IF($A2=MAX($A$2:$A$50),SUM($G$2:$G2),IFERROR($F3*$E3,""))</f>
        <v>14000</v>
      </c>
      <c r="H3" s="92">
        <f t="shared" ref="H3:H31" si="1">IFERROR(E3*C3,"")</f>
        <v>0.2</v>
      </c>
      <c r="K3" s="49">
        <f>IFERROR(VLOOKUP($D3,Sheet1!$A$2:$D$98,4,0),"")</f>
        <v>14000</v>
      </c>
    </row>
    <row r="4" spans="1:13" s="46" customFormat="1" ht="24.95" customHeight="1" x14ac:dyDescent="0.25">
      <c r="A4" s="51" t="str">
        <f t="shared" si="0"/>
        <v/>
      </c>
      <c r="B4" s="52" t="str">
        <f>IFERROR(VLOOKUP($D4,Sheet1!$A$2:$B$98,2,0),"")</f>
        <v/>
      </c>
      <c r="C4" s="89" t="str">
        <f>IFERROR(VLOOKUP($D4,'Tổng Đơn'!$A$5:$E$100,5,0),"")</f>
        <v/>
      </c>
      <c r="D4" s="48" t="s">
        <v>192</v>
      </c>
      <c r="E4" s="48"/>
      <c r="F4" s="53" t="str">
        <f>IF(AND($A4="",$A3&lt;&gt;""),"Tổng Cộng",IFERROR(VLOOKUP($D4,Sheet1!$A$2:$D$98,4,0),""))</f>
        <v>Tổng Cộng</v>
      </c>
      <c r="G4" s="54">
        <f>IF($A3=MAX($A$2:$A$50),SUM($G$2:$G3),IFERROR($F4*$E4,""))</f>
        <v>28000</v>
      </c>
      <c r="H4" s="92" t="str">
        <f t="shared" si="1"/>
        <v/>
      </c>
      <c r="K4" s="49" t="str">
        <f>IFERROR(VLOOKUP($D4,Sheet1!$A$2:$D$98,4,0),"")</f>
        <v/>
      </c>
    </row>
    <row r="5" spans="1:13" s="46" customFormat="1" ht="24.95" customHeight="1" x14ac:dyDescent="0.25">
      <c r="A5" s="51" t="str">
        <f t="shared" si="0"/>
        <v/>
      </c>
      <c r="B5" s="52" t="str">
        <f>IFERROR(VLOOKUP($D5,Sheet1!$A$2:$B$98,2,0),"")</f>
        <v/>
      </c>
      <c r="C5" s="89" t="str">
        <f>IFERROR(VLOOKUP($D5,'Tổng Đơn'!$A$5:$E$100,5,0),"")</f>
        <v/>
      </c>
      <c r="D5" s="48" t="s">
        <v>192</v>
      </c>
      <c r="E5" s="48"/>
      <c r="F5" s="53" t="str">
        <f>IF(AND($A5="",$A4&lt;&gt;""),"Tổng Cộng",IFERROR(VLOOKUP($D5,Sheet1!$A$2:$D$98,4,0),""))</f>
        <v/>
      </c>
      <c r="G5" s="54" t="str">
        <f>IF($A4=MAX($A$2:$A$50),SUM($G$2:$G4),IFERROR($F5*$E5,""))</f>
        <v/>
      </c>
      <c r="H5" s="92" t="str">
        <f t="shared" si="1"/>
        <v/>
      </c>
      <c r="K5" s="49" t="str">
        <f>IFERROR(VLOOKUP($D5,Sheet1!$A$2:$D$98,4,0),"")</f>
        <v/>
      </c>
    </row>
    <row r="6" spans="1:13" s="46" customFormat="1" ht="24.95" customHeight="1" x14ac:dyDescent="0.25">
      <c r="A6" s="51" t="str">
        <f t="shared" si="0"/>
        <v/>
      </c>
      <c r="B6" s="52" t="str">
        <f>IFERROR(VLOOKUP($D6,Sheet1!$A$2:$B$98,2,0),"")</f>
        <v/>
      </c>
      <c r="C6" s="89" t="str">
        <f>IFERROR(VLOOKUP($D6,'Tổng Đơn'!$A$5:$E$100,5,0),"")</f>
        <v/>
      </c>
      <c r="D6" s="48" t="s">
        <v>192</v>
      </c>
      <c r="E6" s="48"/>
      <c r="F6" s="53" t="str">
        <f>IF(AND($A6="",$A5&lt;&gt;""),"Tổng Cộng",IFERROR(VLOOKUP($D6,Sheet1!$A$2:$D$98,4,0),""))</f>
        <v/>
      </c>
      <c r="G6" s="54" t="str">
        <f>IF($A5=MAX($A$2:$A$50),SUM($G$2:$G5),IFERROR($F6*$E6,""))</f>
        <v/>
      </c>
      <c r="H6" s="92" t="str">
        <f t="shared" si="1"/>
        <v/>
      </c>
      <c r="I6" s="175"/>
      <c r="K6" s="49"/>
      <c r="L6" s="184"/>
      <c r="M6" s="176"/>
    </row>
    <row r="7" spans="1:13" s="46" customFormat="1" ht="24.95" customHeight="1" x14ac:dyDescent="0.25">
      <c r="A7" s="51" t="str">
        <f t="shared" si="0"/>
        <v/>
      </c>
      <c r="B7" s="52" t="str">
        <f>IFERROR(VLOOKUP($D7,Sheet1!$A$2:$B$98,2,0),"")</f>
        <v/>
      </c>
      <c r="C7" s="89" t="str">
        <f>IFERROR(VLOOKUP($D7,'Tổng Đơn'!$A$5:$E$100,5,0),"")</f>
        <v/>
      </c>
      <c r="D7" s="48" t="s">
        <v>192</v>
      </c>
      <c r="E7" s="48"/>
      <c r="F7" s="53" t="str">
        <f>IF(AND($A7="",$A6&lt;&gt;""),"Tổng Cộng",IFERROR(VLOOKUP($D7,Sheet1!$A$2:$D$98,4,0),""))</f>
        <v/>
      </c>
      <c r="G7" s="54" t="str">
        <f>IF($A6=MAX($A$2:$A$50),SUM($G$2:$G6),IFERROR($F7*$E7,""))</f>
        <v/>
      </c>
      <c r="H7" s="92" t="str">
        <f t="shared" si="1"/>
        <v/>
      </c>
      <c r="K7" s="49"/>
    </row>
    <row r="8" spans="1:13" s="46" customFormat="1" ht="24.95" customHeight="1" x14ac:dyDescent="0.25">
      <c r="A8" s="51" t="str">
        <f t="shared" si="0"/>
        <v/>
      </c>
      <c r="B8" s="52" t="str">
        <f>IFERROR(VLOOKUP($D8,Sheet1!$A$2:$B$98,2,0),"")</f>
        <v/>
      </c>
      <c r="C8" s="89" t="str">
        <f>IFERROR(VLOOKUP($D8,'Tổng Đơn'!$A$5:$E$100,5,0),"")</f>
        <v/>
      </c>
      <c r="D8" s="48" t="s">
        <v>192</v>
      </c>
      <c r="E8" s="48"/>
      <c r="F8" s="53" t="str">
        <f>IF(AND($A8="",$A7&lt;&gt;""),"Tổng Cộng",IFERROR(VLOOKUP($D8,Sheet1!$A$2:$D$98,4,0),""))</f>
        <v/>
      </c>
      <c r="G8" s="54" t="str">
        <f>IF($A7=MAX($A$2:$A$50),SUM($G$2:$G7),IFERROR($F8*$E8,""))</f>
        <v/>
      </c>
      <c r="H8" s="92" t="str">
        <f t="shared" si="1"/>
        <v/>
      </c>
      <c r="K8" s="49" t="str">
        <f>IFERROR(VLOOKUP($D8,Sheet1!$A$2:$D$98,4,0),"")</f>
        <v/>
      </c>
      <c r="L8" s="185"/>
    </row>
    <row r="9" spans="1:13" s="46" customFormat="1" ht="24.95" customHeight="1" x14ac:dyDescent="0.25">
      <c r="A9" s="51" t="str">
        <f t="shared" si="0"/>
        <v/>
      </c>
      <c r="B9" s="52" t="str">
        <f>IFERROR(VLOOKUP($D9,Sheet1!$A$2:$B$98,2,0),"")</f>
        <v/>
      </c>
      <c r="C9" s="89" t="str">
        <f>IFERROR(VLOOKUP($D9,'Tổng Đơn'!$A$5:$E$100,5,0),"")</f>
        <v/>
      </c>
      <c r="D9" s="48" t="s">
        <v>192</v>
      </c>
      <c r="E9" s="48"/>
      <c r="F9" s="53" t="str">
        <f>IF(AND($A9="",$A8&lt;&gt;""),"Tổng Cộng",IFERROR(VLOOKUP($D9,Sheet1!$A$2:$D$98,4,0),""))</f>
        <v/>
      </c>
      <c r="G9" s="54" t="str">
        <f>IF($A8=MAX($A$2:$A$50),SUM($G$2:$G8),IFERROR($F9*$E9,""))</f>
        <v/>
      </c>
      <c r="H9" s="92" t="str">
        <f t="shared" si="1"/>
        <v/>
      </c>
      <c r="K9" s="49" t="str">
        <f>IFERROR(VLOOKUP($D9,Sheet1!$A$2:$D$98,4,0),"")</f>
        <v/>
      </c>
    </row>
    <row r="10" spans="1:13" s="46" customFormat="1" ht="24.95" customHeight="1" x14ac:dyDescent="0.25">
      <c r="A10" s="51" t="str">
        <f t="shared" si="0"/>
        <v/>
      </c>
      <c r="B10" s="52" t="str">
        <f>IFERROR(VLOOKUP($D10,Sheet1!$A$2:$B$98,2,0),"")</f>
        <v/>
      </c>
      <c r="C10" s="89" t="str">
        <f>IFERROR(VLOOKUP($D10,'Tổng Đơn'!$A$5:$E$100,5,0),"")</f>
        <v/>
      </c>
      <c r="D10" s="48" t="s">
        <v>192</v>
      </c>
      <c r="E10" s="48"/>
      <c r="F10" s="53" t="str">
        <f>IF(AND($A10="",$A9&lt;&gt;""),"Tổng Cộng",IFERROR(VLOOKUP($D10,Sheet1!$A$2:$D$98,4,0),""))</f>
        <v/>
      </c>
      <c r="G10" s="54" t="str">
        <f>IF($A9=MAX($A$2:$A$50),SUM($G$2:$G9),IFERROR($F10*$E10,""))</f>
        <v/>
      </c>
      <c r="H10" s="92" t="str">
        <f t="shared" si="1"/>
        <v/>
      </c>
      <c r="K10" s="49" t="str">
        <f>IFERROR(VLOOKUP($D10,Sheet1!$A$2:$D$98,4,0),"")</f>
        <v/>
      </c>
    </row>
    <row r="11" spans="1:13" s="46" customFormat="1" ht="24.95" customHeight="1" x14ac:dyDescent="0.25">
      <c r="A11" s="51" t="str">
        <f t="shared" si="0"/>
        <v/>
      </c>
      <c r="B11" s="52" t="str">
        <f>IFERROR(VLOOKUP($D11,Sheet1!$A$2:$B$98,2,0),"")</f>
        <v/>
      </c>
      <c r="C11" s="89" t="str">
        <f>IFERROR(VLOOKUP($D11,'Tổng Đơn'!$A$5:$E$100,5,0),"")</f>
        <v/>
      </c>
      <c r="D11" s="48" t="s">
        <v>192</v>
      </c>
      <c r="E11" s="48"/>
      <c r="F11" s="53" t="str">
        <f>IF(AND($A11="",$A10&lt;&gt;""),"Tổng Cộng",IFERROR(VLOOKUP($D11,Sheet1!$A$2:$D$98,4,0),""))</f>
        <v/>
      </c>
      <c r="G11" s="54" t="str">
        <f>IF($A10=MAX($A$2:$A$50),SUM($G$2:$G10),IFERROR($F11*$E11,""))</f>
        <v/>
      </c>
      <c r="H11" s="92" t="str">
        <f t="shared" si="1"/>
        <v/>
      </c>
      <c r="K11" s="49" t="str">
        <f>IFERROR(VLOOKUP($D11,Sheet1!$A$2:$D$98,4,0),"")</f>
        <v/>
      </c>
    </row>
    <row r="12" spans="1:13" s="46" customFormat="1" ht="24.95" customHeight="1" x14ac:dyDescent="0.25">
      <c r="A12" s="51" t="str">
        <f t="shared" si="0"/>
        <v/>
      </c>
      <c r="B12" s="52" t="str">
        <f>IFERROR(VLOOKUP($D12,Sheet1!$A$2:$B$98,2,0),"")</f>
        <v/>
      </c>
      <c r="C12" s="89" t="str">
        <f>IFERROR(VLOOKUP($D12,'Tổng Đơn'!$A$5:$E$100,5,0),"")</f>
        <v/>
      </c>
      <c r="D12" s="48" t="s">
        <v>192</v>
      </c>
      <c r="E12" s="48"/>
      <c r="F12" s="53" t="str">
        <f>IF(AND($A12="",$A11&lt;&gt;""),"Tổng Cộng",IFERROR(VLOOKUP($D12,Sheet1!$A$2:$D$98,4,0),""))</f>
        <v/>
      </c>
      <c r="G12" s="54" t="str">
        <f>IF($A11=MAX($A$2:$A$50),SUM($G$2:$G11),IFERROR($F12*$E12,""))</f>
        <v/>
      </c>
      <c r="H12" s="92" t="str">
        <f t="shared" si="1"/>
        <v/>
      </c>
      <c r="K12" s="49" t="str">
        <f>IFERROR(VLOOKUP($D12,Sheet1!$A$2:$D$98,4,0),"")</f>
        <v/>
      </c>
    </row>
    <row r="13" spans="1:13" s="46" customFormat="1" ht="24.95" customHeight="1" x14ac:dyDescent="0.25">
      <c r="A13" s="51" t="str">
        <f t="shared" si="0"/>
        <v/>
      </c>
      <c r="B13" s="52" t="str">
        <f>IFERROR(VLOOKUP($D13,Sheet1!$A$2:$B$98,2,0),"")</f>
        <v/>
      </c>
      <c r="C13" s="89" t="str">
        <f>IFERROR(VLOOKUP($D13,'Tổng Đơn'!$A$5:$E$100,5,0),"")</f>
        <v/>
      </c>
      <c r="D13" s="48" t="s">
        <v>192</v>
      </c>
      <c r="E13" s="48"/>
      <c r="F13" s="53" t="str">
        <f>IF(AND($A13="",$A12&lt;&gt;""),"Tổng Cộng",IFERROR(VLOOKUP($D13,Sheet1!$A$2:$D$98,4,0),""))</f>
        <v/>
      </c>
      <c r="G13" s="54" t="str">
        <f>IF($A12=MAX($A$2:$A$50),SUM($G$2:$G12),IFERROR($F13*$E13,""))</f>
        <v/>
      </c>
      <c r="H13" s="92" t="str">
        <f t="shared" si="1"/>
        <v/>
      </c>
      <c r="K13" s="49" t="str">
        <f>IFERROR(VLOOKUP($D13,Sheet1!$A$2:$D$98,4,0),"")</f>
        <v/>
      </c>
    </row>
    <row r="14" spans="1:13" s="46" customFormat="1" ht="24.95" customHeight="1" x14ac:dyDescent="0.25">
      <c r="A14" s="51" t="str">
        <f t="shared" si="0"/>
        <v/>
      </c>
      <c r="B14" s="52" t="str">
        <f>IFERROR(VLOOKUP($D14,Sheet1!$A$2:$B$98,2,0),"")</f>
        <v/>
      </c>
      <c r="C14" s="89" t="str">
        <f>IFERROR(VLOOKUP($D14,'Tổng Đơn'!$A$5:$E$100,5,0),"")</f>
        <v/>
      </c>
      <c r="D14" s="48" t="s">
        <v>192</v>
      </c>
      <c r="E14" s="48"/>
      <c r="F14" s="53" t="str">
        <f>IF(AND($A14="",$A13&lt;&gt;""),"Tổng Cộng",IFERROR(VLOOKUP($D14,Sheet1!$A$2:$D$98,4,0),""))</f>
        <v/>
      </c>
      <c r="G14" s="54" t="str">
        <f>IF($A13=MAX($A$2:$A$50),SUM($G$2:$G13),IFERROR($F14*$E14,""))</f>
        <v/>
      </c>
      <c r="H14" s="92" t="str">
        <f t="shared" si="1"/>
        <v/>
      </c>
      <c r="K14" s="49" t="str">
        <f>IFERROR(VLOOKUP($D14,Sheet1!$A$2:$D$98,4,0),"")</f>
        <v/>
      </c>
    </row>
    <row r="15" spans="1:13" s="46" customFormat="1" ht="24.95" customHeight="1" x14ac:dyDescent="0.25">
      <c r="A15" s="51" t="str">
        <f t="shared" si="0"/>
        <v/>
      </c>
      <c r="B15" s="52" t="str">
        <f>IFERROR(VLOOKUP($D15,Sheet1!$A$2:$B$98,2,0),"")</f>
        <v/>
      </c>
      <c r="C15" s="89" t="str">
        <f>IFERROR(VLOOKUP($D15,'Tổng Đơn'!$A$5:$E$100,5,0),"")</f>
        <v/>
      </c>
      <c r="D15" s="48" t="s">
        <v>192</v>
      </c>
      <c r="E15" s="48"/>
      <c r="F15" s="53" t="str">
        <f>IF(AND($A15="",$A14&lt;&gt;""),"Tổng Cộng",IFERROR(VLOOKUP($D15,Sheet1!$A$2:$D$98,4,0),""))</f>
        <v/>
      </c>
      <c r="G15" s="54" t="str">
        <f>IF($A14=MAX($A$2:$A$50),SUM($G$2:$G14),IFERROR($F15*$E15,""))</f>
        <v/>
      </c>
      <c r="H15" s="92" t="str">
        <f t="shared" si="1"/>
        <v/>
      </c>
      <c r="K15" s="49" t="str">
        <f>IFERROR(VLOOKUP($D15,Sheet1!$A$2:$D$98,4,0),"")</f>
        <v/>
      </c>
    </row>
    <row r="16" spans="1:13" s="46" customFormat="1" ht="24.95" customHeight="1" x14ac:dyDescent="0.25">
      <c r="A16" s="51" t="str">
        <f t="shared" si="0"/>
        <v/>
      </c>
      <c r="B16" s="52" t="str">
        <f>IFERROR(VLOOKUP($D16,Sheet1!$A$2:$B$98,2,0),"")</f>
        <v/>
      </c>
      <c r="C16" s="89" t="str">
        <f>IFERROR(VLOOKUP($D16,'Tổng Đơn'!$A$5:$E$100,5,0),"")</f>
        <v/>
      </c>
      <c r="D16" s="48" t="s">
        <v>192</v>
      </c>
      <c r="E16" s="48"/>
      <c r="F16" s="53" t="str">
        <f>IF(AND($A16="",$A15&lt;&gt;""),"Tổng Cộng",IFERROR(VLOOKUP($D16,Sheet1!$A$2:$D$98,4,0),""))</f>
        <v/>
      </c>
      <c r="G16" s="54" t="str">
        <f>IF($A15=MAX($A$2:$A$50),SUM($G$2:$G15),IFERROR($F16*$E16,""))</f>
        <v/>
      </c>
      <c r="H16" s="92" t="str">
        <f t="shared" si="1"/>
        <v/>
      </c>
      <c r="K16" s="49" t="str">
        <f>IFERROR(VLOOKUP($D16,Sheet1!$A$2:$D$98,4,0),"")</f>
        <v/>
      </c>
    </row>
    <row r="17" spans="1:11" s="46" customFormat="1" ht="24.95" customHeight="1" x14ac:dyDescent="0.25">
      <c r="A17" s="51" t="str">
        <f t="shared" si="0"/>
        <v/>
      </c>
      <c r="B17" s="52" t="str">
        <f>IFERROR(VLOOKUP($D17,Sheet1!$A$2:$B$98,2,0),"")</f>
        <v/>
      </c>
      <c r="C17" s="89" t="str">
        <f>IFERROR(VLOOKUP($D17,'Tổng Đơn'!$A$5:$E$100,5,0),"")</f>
        <v/>
      </c>
      <c r="D17" s="48" t="s">
        <v>192</v>
      </c>
      <c r="E17" s="48"/>
      <c r="F17" s="53" t="str">
        <f>IF(AND($A17="",$A16&lt;&gt;""),"Tổng Cộng",IFERROR(VLOOKUP($D17,Sheet1!$A$2:$D$98,4,0),""))</f>
        <v/>
      </c>
      <c r="G17" s="54" t="str">
        <f>IF($A16=MAX($A$2:$A$50),SUM($G$2:$G16),IFERROR($F17*$E17,""))</f>
        <v/>
      </c>
      <c r="H17" s="92" t="str">
        <f t="shared" si="1"/>
        <v/>
      </c>
      <c r="K17" s="49" t="str">
        <f>IFERROR(VLOOKUP($D17,Sheet1!$A$2:$D$98,4,0),"")</f>
        <v/>
      </c>
    </row>
    <row r="18" spans="1:11" s="46" customFormat="1" ht="24.95" customHeight="1" x14ac:dyDescent="0.25">
      <c r="A18" s="51" t="str">
        <f t="shared" si="0"/>
        <v/>
      </c>
      <c r="B18" s="52" t="str">
        <f>IFERROR(VLOOKUP($D18,Sheet1!$A$2:$B$98,2,0),"")</f>
        <v/>
      </c>
      <c r="C18" s="89" t="str">
        <f>IFERROR(VLOOKUP($D18,'Tổng Đơn'!$A$5:$E$100,5,0),"")</f>
        <v/>
      </c>
      <c r="D18" s="48" t="s">
        <v>192</v>
      </c>
      <c r="E18" s="48"/>
      <c r="F18" s="53" t="str">
        <f>IF(AND($A18="",$A17&lt;&gt;""),"Tổng Cộng",IFERROR(VLOOKUP($D18,Sheet1!$A$2:$D$98,4,0),""))</f>
        <v/>
      </c>
      <c r="G18" s="54" t="str">
        <f>IF($A17=MAX($A$2:$A$50),SUM($G$2:$G17),IFERROR($F18*$E18,""))</f>
        <v/>
      </c>
      <c r="H18" s="92" t="str">
        <f t="shared" si="1"/>
        <v/>
      </c>
      <c r="K18" s="49" t="str">
        <f>IFERROR(VLOOKUP($D18,Sheet1!$A$2:$D$98,4,0),"")</f>
        <v/>
      </c>
    </row>
    <row r="19" spans="1:11" s="46" customFormat="1" ht="24.95" customHeight="1" x14ac:dyDescent="0.25">
      <c r="A19" s="51" t="str">
        <f t="shared" si="0"/>
        <v/>
      </c>
      <c r="B19" s="52" t="str">
        <f>IFERROR(VLOOKUP($D19,Sheet1!$A$2:$B$98,2,0),"")</f>
        <v/>
      </c>
      <c r="C19" s="89" t="str">
        <f>IFERROR(VLOOKUP($D19,'Tổng Đơn'!$A$5:$E$100,5,0),"")</f>
        <v/>
      </c>
      <c r="D19" s="48" t="s">
        <v>192</v>
      </c>
      <c r="E19" s="48"/>
      <c r="F19" s="53" t="str">
        <f>IF(AND($A19="",$A18&lt;&gt;""),"Tổng Cộng",IFERROR(VLOOKUP($D19,Sheet1!$A$2:$D$98,4,0),""))</f>
        <v/>
      </c>
      <c r="G19" s="54" t="str">
        <f>IF($A18=MAX($A$2:$A$50),SUM($G$2:$G18),IFERROR($F19*$E19,""))</f>
        <v/>
      </c>
      <c r="H19" s="92" t="str">
        <f t="shared" si="1"/>
        <v/>
      </c>
      <c r="K19" s="49" t="str">
        <f>IFERROR(VLOOKUP($D19,Sheet1!$A$2:$D$98,4,0),"")</f>
        <v/>
      </c>
    </row>
    <row r="20" spans="1:11" s="46" customFormat="1" ht="24.95" customHeight="1" x14ac:dyDescent="0.25">
      <c r="A20" s="51" t="str">
        <f t="shared" si="0"/>
        <v/>
      </c>
      <c r="B20" s="52" t="str">
        <f>IFERROR(VLOOKUP($D20,Sheet1!$A$2:$B$98,2,0),"")</f>
        <v/>
      </c>
      <c r="C20" s="89" t="str">
        <f>IFERROR(VLOOKUP($D20,'Tổng Đơn'!$A$5:$E$100,5,0),"")</f>
        <v/>
      </c>
      <c r="D20" s="48" t="s">
        <v>192</v>
      </c>
      <c r="E20" s="48"/>
      <c r="F20" s="53" t="str">
        <f>IF(AND($A20="",$A19&lt;&gt;""),"Tổng Cộng",IFERROR(VLOOKUP($D20,Sheet1!$A$2:$D$98,4,0),""))</f>
        <v/>
      </c>
      <c r="G20" s="54" t="str">
        <f>IF($A19=MAX($A$2:$A$50),SUM($G$2:$G19),IFERROR($F20*$E20,""))</f>
        <v/>
      </c>
      <c r="H20" s="92" t="str">
        <f t="shared" si="1"/>
        <v/>
      </c>
      <c r="K20" s="49" t="str">
        <f>IFERROR(VLOOKUP($D20,Sheet1!$A$2:$D$98,4,0),"")</f>
        <v/>
      </c>
    </row>
    <row r="21" spans="1:11" s="46" customFormat="1" ht="24.95" customHeight="1" x14ac:dyDescent="0.25">
      <c r="A21" s="51" t="str">
        <f t="shared" si="0"/>
        <v/>
      </c>
      <c r="B21" s="52" t="str">
        <f>IFERROR(VLOOKUP($D21,Sheet1!$A$2:$B$98,2,0),"")</f>
        <v/>
      </c>
      <c r="C21" s="89" t="str">
        <f>IFERROR(VLOOKUP($D21,'Tổng Đơn'!$A$5:$E$100,5,0),"")</f>
        <v/>
      </c>
      <c r="D21" s="48" t="s">
        <v>192</v>
      </c>
      <c r="E21" s="48"/>
      <c r="F21" s="53" t="str">
        <f>IF(AND($A21="",$A20&lt;&gt;""),"Tổng Cộng",IFERROR(VLOOKUP($D21,Sheet1!$A$2:$D$98,4,0),""))</f>
        <v/>
      </c>
      <c r="G21" s="54" t="str">
        <f>IF($A20=MAX($A$2:$A$50),SUM($G$2:$G20),IFERROR($F21*$E21,""))</f>
        <v/>
      </c>
      <c r="H21" s="92" t="str">
        <f t="shared" si="1"/>
        <v/>
      </c>
      <c r="K21" s="49"/>
    </row>
    <row r="22" spans="1:11" s="46" customFormat="1" ht="24.95" customHeight="1" x14ac:dyDescent="0.25">
      <c r="A22" s="51" t="str">
        <f t="shared" si="0"/>
        <v/>
      </c>
      <c r="B22" s="52" t="str">
        <f>IFERROR(VLOOKUP($D22,Sheet1!$A$2:$B$98,2,0),"")</f>
        <v/>
      </c>
      <c r="C22" s="89" t="str">
        <f>IFERROR(VLOOKUP($D22,'Tổng Đơn'!$A$5:$E$100,5,0),"")</f>
        <v/>
      </c>
      <c r="D22" s="48" t="s">
        <v>192</v>
      </c>
      <c r="E22" s="48"/>
      <c r="F22" s="53" t="str">
        <f>IF(AND($A22="",$A21&lt;&gt;""),"Tổng Cộng",IFERROR(VLOOKUP($D22,Sheet1!$A$2:$D$98,4,0),""))</f>
        <v/>
      </c>
      <c r="G22" s="54" t="str">
        <f>IF($A21=MAX($A$2:$A$50),SUM($G$2:$G21),IFERROR($F22*$E22,""))</f>
        <v/>
      </c>
      <c r="H22" s="92" t="str">
        <f t="shared" si="1"/>
        <v/>
      </c>
      <c r="K22" s="49"/>
    </row>
    <row r="23" spans="1:11" s="46" customFormat="1" ht="24.95" customHeight="1" x14ac:dyDescent="0.25">
      <c r="A23" s="51" t="str">
        <f t="shared" si="0"/>
        <v/>
      </c>
      <c r="B23" s="52" t="str">
        <f>IFERROR(VLOOKUP($D23,Sheet1!$A$2:$B$98,2,0),"")</f>
        <v/>
      </c>
      <c r="C23" s="89" t="str">
        <f>IFERROR(VLOOKUP($D23,'Tổng Đơn'!$A$5:$E$100,5,0),"")</f>
        <v/>
      </c>
      <c r="D23" s="48" t="s">
        <v>192</v>
      </c>
      <c r="E23" s="48"/>
      <c r="F23" s="53" t="str">
        <f>IF(AND($A23="",$A22&lt;&gt;""),"Tổng Cộng",IFERROR(VLOOKUP($D23,Sheet1!$A$2:$D$98,4,0),""))</f>
        <v/>
      </c>
      <c r="G23" s="54" t="str">
        <f>IF($A22=MAX($A$2:$A$50),SUM($G$2:$G22),IFERROR($F23*$E23,""))</f>
        <v/>
      </c>
      <c r="H23" s="92" t="str">
        <f t="shared" si="1"/>
        <v/>
      </c>
      <c r="K23" s="49">
        <v>1</v>
      </c>
    </row>
    <row r="24" spans="1:11" s="46" customFormat="1" ht="24.95" customHeight="1" x14ac:dyDescent="0.25">
      <c r="A24" s="51" t="str">
        <f t="shared" si="0"/>
        <v/>
      </c>
      <c r="B24" s="52" t="str">
        <f>IFERROR(VLOOKUP($D24,Sheet1!$A$2:$B$98,2,0),"")</f>
        <v/>
      </c>
      <c r="C24" s="89" t="str">
        <f>IFERROR(VLOOKUP($D24,'Tổng Đơn'!$A$5:$E$100,5,0),"")</f>
        <v/>
      </c>
      <c r="D24" s="48" t="s">
        <v>192</v>
      </c>
      <c r="E24" s="48"/>
      <c r="F24" s="53" t="str">
        <f>IF(AND($A24="",$A23&lt;&gt;""),"Tổng Cộng",IFERROR(VLOOKUP($D24,Sheet1!$A$2:$D$98,4,0),""))</f>
        <v/>
      </c>
      <c r="G24" s="54" t="str">
        <f>IF($A23=MAX($A$2:$A$50),SUM($G$2:$G23),IFERROR($F24*$E24,""))</f>
        <v/>
      </c>
      <c r="H24" s="92" t="str">
        <f t="shared" si="1"/>
        <v/>
      </c>
      <c r="K24" s="49">
        <v>1</v>
      </c>
    </row>
    <row r="25" spans="1:11" s="46" customFormat="1" ht="24.95" customHeight="1" x14ac:dyDescent="0.25">
      <c r="A25" s="51" t="str">
        <f t="shared" si="0"/>
        <v/>
      </c>
      <c r="B25" s="52" t="str">
        <f>IFERROR(VLOOKUP($D25,Sheet1!$A$2:$B$98,2,0),"")</f>
        <v/>
      </c>
      <c r="C25" s="89" t="str">
        <f>IFERROR(VLOOKUP($D25,'Tổng Đơn'!$A$5:$E$100,5,0),"")</f>
        <v/>
      </c>
      <c r="D25" s="48" t="s">
        <v>192</v>
      </c>
      <c r="E25" s="48"/>
      <c r="F25" s="53" t="str">
        <f>IF(AND($A25="",$A24&lt;&gt;""),"Tổng Cộng",IFERROR(VLOOKUP($D25,Sheet1!$A$2:$D$98,4,0),""))</f>
        <v/>
      </c>
      <c r="G25" s="54" t="str">
        <f>IF($A24=MAX($A$2:$A$50),SUM($G$2:$G24),IFERROR($F25*$E25,""))</f>
        <v/>
      </c>
      <c r="H25" s="92" t="str">
        <f t="shared" si="1"/>
        <v/>
      </c>
      <c r="K25" s="49">
        <v>1</v>
      </c>
    </row>
    <row r="26" spans="1:11" s="46" customFormat="1" ht="24.95" customHeight="1" x14ac:dyDescent="0.25">
      <c r="A26" s="51" t="str">
        <f t="shared" si="0"/>
        <v/>
      </c>
      <c r="B26" s="52" t="str">
        <f>IFERROR(VLOOKUP($D26,Sheet1!$A$2:$B$98,2,0),"")</f>
        <v/>
      </c>
      <c r="C26" s="89" t="str">
        <f>IFERROR(VLOOKUP($D26,'Tổng Đơn'!$A$5:$E$100,5,0),"")</f>
        <v/>
      </c>
      <c r="D26" s="48" t="s">
        <v>192</v>
      </c>
      <c r="E26" s="48"/>
      <c r="F26" s="53" t="str">
        <f>IF(AND($A26="",$A25&lt;&gt;""),"Tổng Cộng",IFERROR(VLOOKUP($D26,Sheet1!$A$2:$D$98,4,0),""))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IFERROR(VLOOKUP($D27,Sheet1!$A$2:$B$98,2,0),"")</f>
        <v/>
      </c>
      <c r="C27" s="89" t="str">
        <f>IFERROR(VLOOKUP($D27,'Tổng Đơn'!$A$5:$E$100,5,0),"")</f>
        <v/>
      </c>
      <c r="D27" s="48" t="s">
        <v>192</v>
      </c>
      <c r="E27" s="48"/>
      <c r="F27" s="53" t="str">
        <f>IF(AND($A27="",$A26&lt;&gt;""),"Tổng Cộng",IFERROR(VLOOKUP($D27,Sheet1!$A$2:$D$98,4,0),""))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IFERROR(VLOOKUP($D28,Sheet1!$A$2:$B$98,2,0),"")</f>
        <v/>
      </c>
      <c r="C28" s="89" t="str">
        <f>IFERROR(VLOOKUP($D28,'Tổng Đơn'!$A$5:$E$100,5,0),"")</f>
        <v/>
      </c>
      <c r="D28" s="48" t="s">
        <v>192</v>
      </c>
      <c r="E28" s="48"/>
      <c r="F28" s="53" t="str">
        <f>IF(AND($A28="",$A27&lt;&gt;""),"Tổng Cộng",IFERROR(VLOOKUP($D28,Sheet1!$A$2:$D$98,4,0),""))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IFERROR(VLOOKUP($D29,Sheet1!$A$2:$B$98,2,0),"")</f>
        <v/>
      </c>
      <c r="C29" s="89" t="str">
        <f>IFERROR(VLOOKUP($D29,'Tổng Đơn'!$A$5:$E$100,5,0),"")</f>
        <v/>
      </c>
      <c r="D29" s="48" t="s">
        <v>192</v>
      </c>
      <c r="E29" s="48"/>
      <c r="F29" s="53" t="str">
        <f>IF(AND($A29="",$A28&lt;&gt;""),"Tổng Cộng",IFERROR(VLOOKUP($D29,Sheet1!$A$2:$D$98,4,0),""))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IFERROR(VLOOKUP($D30,Sheet1!$A$2:$B$98,2,0),"")</f>
        <v/>
      </c>
      <c r="C30" s="89" t="str">
        <f>IFERROR(VLOOKUP($D30,'Tổng Đơn'!$A$5:$E$100,5,0),"")</f>
        <v/>
      </c>
      <c r="D30" s="48" t="s">
        <v>192</v>
      </c>
      <c r="E30" s="48"/>
      <c r="F30" s="53" t="str">
        <f>IF(AND($A30="",$A29&lt;&gt;""),"Tổng Cộng",IFERROR(VLOOKUP($D30,Sheet1!$A$2:$D$98,4,0),""))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IFERROR(VLOOKUP($D31,Sheet1!$A$2:$B$98,2,0),"")</f>
        <v/>
      </c>
      <c r="C31" s="89" t="str">
        <f>IFERROR(VLOOKUP($D31,'Tổng Đơn'!$A$5:$E$100,5,0),"")</f>
        <v/>
      </c>
      <c r="D31" s="48" t="s">
        <v>192</v>
      </c>
      <c r="E31" s="48"/>
      <c r="F31" s="53" t="str">
        <f>IF(AND($A31="",$A30&lt;&gt;""),"Tổng Cộng",IFERROR(VLOOKUP($D31,Sheet1!$A$2:$D$98,4,0),""))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Cộng",IFERROR(VLOOKUP($D32,Sheet1!$A$2:$D$98,4,0),""))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F3">
    <cfRule type="expression" dxfId="11" priority="12">
      <formula>$A2=MAX($A$2:$A$31)</formula>
    </cfRule>
  </conditionalFormatting>
  <conditionalFormatting sqref="D2:D3">
    <cfRule type="expression" dxfId="10" priority="11">
      <formula>AND($D2="",$E2&lt;&gt;"")</formula>
    </cfRule>
  </conditionalFormatting>
  <conditionalFormatting sqref="E2:E3">
    <cfRule type="expression" dxfId="9" priority="10">
      <formula>AND($E2="",$D2&lt;&gt;"")</formula>
    </cfRule>
  </conditionalFormatting>
  <conditionalFormatting sqref="C2:C3">
    <cfRule type="expression" dxfId="8" priority="9">
      <formula>AND($D2="",$E2&lt;&gt;"")</formula>
    </cfRule>
  </conditionalFormatting>
  <conditionalFormatting sqref="A10:G31 A4:F9 G2:G9">
    <cfRule type="expression" dxfId="7" priority="8">
      <formula>$A1=MAX($A$2:$A$31)</formula>
    </cfRule>
  </conditionalFormatting>
  <conditionalFormatting sqref="D4:D31">
    <cfRule type="expression" dxfId="6" priority="7">
      <formula>AND($D4="",$E4&lt;&gt;"")</formula>
    </cfRule>
  </conditionalFormatting>
  <conditionalFormatting sqref="E4:E31">
    <cfRule type="expression" dxfId="5" priority="6">
      <formula>AND($E4="",$D4&lt;&gt;"")</formula>
    </cfRule>
  </conditionalFormatting>
  <conditionalFormatting sqref="C4:C31">
    <cfRule type="expression" dxfId="4" priority="5">
      <formula>AND($D4="",$E4&lt;&gt;"")</formula>
    </cfRule>
  </conditionalFormatting>
  <conditionalFormatting sqref="A32:G32">
    <cfRule type="expression" dxfId="3" priority="4">
      <formula>$A31=MAX($A$2:$A$31)</formula>
    </cfRule>
  </conditionalFormatting>
  <conditionalFormatting sqref="D32">
    <cfRule type="expression" dxfId="2" priority="3">
      <formula>AND($D32="",$E32&lt;&gt;"")</formula>
    </cfRule>
  </conditionalFormatting>
  <conditionalFormatting sqref="E32">
    <cfRule type="expression" dxfId="1" priority="2">
      <formula>AND($E32="",$D32&lt;&gt;"")</formula>
    </cfRule>
  </conditionalFormatting>
  <conditionalFormatting sqref="C32">
    <cfRule type="expression" dxfId="0"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K36"/>
  <sheetViews>
    <sheetView workbookViewId="0">
      <pane ySplit="2" topLeftCell="A3" activePane="bottomLeft" state="frozen"/>
      <selection activeCell="Q5" sqref="Q5:Q22"/>
      <selection pane="bottomLeft" activeCell="H13" sqref="H13"/>
    </sheetView>
  </sheetViews>
  <sheetFormatPr defaultRowHeight="15" x14ac:dyDescent="0.25"/>
  <cols>
    <col min="1" max="1" width="7.140625" style="57" customWidth="1"/>
    <col min="2" max="2" width="37" style="57" customWidth="1"/>
    <col min="3" max="3" width="10.5703125" style="15" customWidth="1"/>
    <col min="4" max="4" width="13.140625" style="15" bestFit="1" customWidth="1"/>
    <col min="5" max="5" width="17.7109375" style="15" bestFit="1" customWidth="1"/>
    <col min="6" max="6" width="19.140625" style="57" bestFit="1" customWidth="1"/>
    <col min="7" max="7" width="14.7109375" style="57" customWidth="1"/>
    <col min="8" max="10" width="9.140625" style="57"/>
    <col min="11" max="11" width="10.5703125" style="57" bestFit="1" customWidth="1"/>
    <col min="12" max="16384" width="9.140625" style="57"/>
  </cols>
  <sheetData>
    <row r="1" spans="1:11" ht="18" customHeight="1" x14ac:dyDescent="0.25">
      <c r="D1" s="56" t="s">
        <v>119</v>
      </c>
      <c r="E1" s="56" t="s">
        <v>123</v>
      </c>
      <c r="F1" s="74" t="s">
        <v>120</v>
      </c>
      <c r="G1" s="74" t="s">
        <v>124</v>
      </c>
    </row>
    <row r="2" spans="1:11" s="76" customFormat="1" ht="26.25" customHeight="1" x14ac:dyDescent="0.25">
      <c r="C2" s="77"/>
      <c r="D2" s="78">
        <f>SUBTOTAL(9,D3:D35)</f>
        <v>0</v>
      </c>
      <c r="E2" s="78">
        <f t="shared" ref="E2:G2" si="0">SUBTOTAL(9,E3:E35)</f>
        <v>0</v>
      </c>
      <c r="F2" s="78">
        <f t="shared" si="0"/>
        <v>0</v>
      </c>
      <c r="G2" s="78">
        <f t="shared" si="0"/>
        <v>0</v>
      </c>
      <c r="I2" s="79" t="e">
        <f>G2/F2*100</f>
        <v>#DIV/0!</v>
      </c>
      <c r="K2" s="80">
        <f>F2-450000</f>
        <v>-450000</v>
      </c>
    </row>
    <row r="3" spans="1:11" s="15" customFormat="1" x14ac:dyDescent="0.25">
      <c r="A3" s="57">
        <v>1</v>
      </c>
      <c r="B3" s="57" t="s">
        <v>25</v>
      </c>
      <c r="C3" s="15" t="s">
        <v>108</v>
      </c>
      <c r="E3" s="63"/>
      <c r="F3" s="73"/>
      <c r="G3" s="75"/>
    </row>
    <row r="4" spans="1:11" x14ac:dyDescent="0.25">
      <c r="A4" s="57">
        <v>2</v>
      </c>
      <c r="B4" s="57" t="s">
        <v>1</v>
      </c>
      <c r="C4" s="15" t="s">
        <v>109</v>
      </c>
      <c r="E4" s="63"/>
      <c r="F4" s="73"/>
      <c r="G4" s="75"/>
    </row>
    <row r="5" spans="1:11" x14ac:dyDescent="0.25">
      <c r="A5" s="57">
        <v>3</v>
      </c>
      <c r="B5" s="57" t="s">
        <v>2</v>
      </c>
      <c r="C5" s="15" t="s">
        <v>110</v>
      </c>
      <c r="E5" s="63"/>
      <c r="F5" s="73"/>
      <c r="G5" s="75"/>
    </row>
    <row r="6" spans="1:11" x14ac:dyDescent="0.25">
      <c r="A6" s="57">
        <v>5</v>
      </c>
      <c r="B6" s="57" t="s">
        <v>30</v>
      </c>
      <c r="C6" s="15" t="s">
        <v>112</v>
      </c>
      <c r="E6" s="63"/>
      <c r="F6" s="73"/>
      <c r="G6" s="75"/>
    </row>
    <row r="7" spans="1:11" x14ac:dyDescent="0.25">
      <c r="A7" s="57">
        <v>7</v>
      </c>
      <c r="B7" s="57" t="s">
        <v>26</v>
      </c>
      <c r="C7" s="15" t="s">
        <v>114</v>
      </c>
      <c r="E7" s="63"/>
      <c r="F7" s="73"/>
      <c r="G7" s="75"/>
    </row>
    <row r="8" spans="1:11" x14ac:dyDescent="0.25">
      <c r="A8" s="57">
        <v>8</v>
      </c>
      <c r="B8" s="57" t="s">
        <v>61</v>
      </c>
      <c r="C8" s="15" t="s">
        <v>115</v>
      </c>
      <c r="E8" s="63"/>
      <c r="F8" s="73"/>
      <c r="G8" s="75"/>
    </row>
    <row r="9" spans="1:11" x14ac:dyDescent="0.25">
      <c r="A9" s="57">
        <v>9</v>
      </c>
      <c r="B9" s="57" t="s">
        <v>31</v>
      </c>
      <c r="C9" s="15" t="s">
        <v>116</v>
      </c>
      <c r="E9" s="63"/>
      <c r="F9" s="73"/>
      <c r="G9" s="75"/>
    </row>
    <row r="10" spans="1:11" x14ac:dyDescent="0.25">
      <c r="A10" s="57">
        <v>10</v>
      </c>
      <c r="B10" s="57" t="s">
        <v>6</v>
      </c>
      <c r="C10" s="15" t="s">
        <v>69</v>
      </c>
      <c r="E10" s="63"/>
      <c r="F10" s="73"/>
      <c r="G10" s="75"/>
    </row>
    <row r="11" spans="1:11" x14ac:dyDescent="0.25">
      <c r="A11" s="57">
        <v>11</v>
      </c>
      <c r="B11" s="57" t="s">
        <v>58</v>
      </c>
      <c r="C11" s="15" t="s">
        <v>70</v>
      </c>
      <c r="E11" s="63"/>
      <c r="F11" s="73"/>
      <c r="G11" s="75"/>
    </row>
    <row r="12" spans="1:11" x14ac:dyDescent="0.25">
      <c r="A12" s="57">
        <v>16</v>
      </c>
      <c r="B12" s="57" t="s">
        <v>5</v>
      </c>
      <c r="C12" s="15" t="s">
        <v>75</v>
      </c>
      <c r="E12" s="63"/>
      <c r="F12" s="73"/>
      <c r="G12" s="75"/>
    </row>
    <row r="13" spans="1:11" x14ac:dyDescent="0.25">
      <c r="A13" s="57">
        <v>17</v>
      </c>
      <c r="B13" s="57" t="s">
        <v>4</v>
      </c>
      <c r="C13" s="15" t="s">
        <v>76</v>
      </c>
      <c r="E13" s="63"/>
      <c r="F13" s="73"/>
      <c r="G13" s="75"/>
    </row>
    <row r="14" spans="1:11" x14ac:dyDescent="0.25">
      <c r="A14" s="57">
        <v>18</v>
      </c>
      <c r="B14" s="57" t="s">
        <v>9</v>
      </c>
      <c r="C14" s="15" t="s">
        <v>77</v>
      </c>
      <c r="E14" s="63"/>
      <c r="F14" s="73"/>
      <c r="G14" s="75"/>
    </row>
    <row r="15" spans="1:11" x14ac:dyDescent="0.25">
      <c r="A15" s="57">
        <v>19</v>
      </c>
      <c r="B15" s="57" t="s">
        <v>13</v>
      </c>
      <c r="C15" s="15" t="s">
        <v>78</v>
      </c>
      <c r="E15" s="63"/>
      <c r="F15" s="73"/>
      <c r="G15" s="75"/>
    </row>
    <row r="16" spans="1:11" x14ac:dyDescent="0.25">
      <c r="A16" s="57">
        <v>20</v>
      </c>
      <c r="B16" s="57" t="s">
        <v>12</v>
      </c>
      <c r="C16" s="15" t="s">
        <v>79</v>
      </c>
      <c r="E16" s="63"/>
      <c r="F16" s="73"/>
      <c r="G16" s="75"/>
    </row>
    <row r="17" spans="1:7" x14ac:dyDescent="0.25">
      <c r="A17" s="57">
        <v>21</v>
      </c>
      <c r="B17" s="57" t="s">
        <v>14</v>
      </c>
      <c r="C17" s="15" t="s">
        <v>80</v>
      </c>
      <c r="E17" s="63"/>
      <c r="F17" s="73"/>
      <c r="G17" s="75"/>
    </row>
    <row r="18" spans="1:7" x14ac:dyDescent="0.25">
      <c r="A18" s="57">
        <v>22</v>
      </c>
      <c r="B18" s="57" t="s">
        <v>7</v>
      </c>
      <c r="C18" s="15" t="s">
        <v>81</v>
      </c>
      <c r="E18" s="63"/>
      <c r="F18" s="73"/>
      <c r="G18" s="75"/>
    </row>
    <row r="19" spans="1:7" x14ac:dyDescent="0.25">
      <c r="A19" s="57">
        <v>23</v>
      </c>
      <c r="B19" s="57" t="s">
        <v>8</v>
      </c>
      <c r="C19" s="15" t="s">
        <v>82</v>
      </c>
      <c r="E19" s="63"/>
      <c r="F19" s="73"/>
      <c r="G19" s="75"/>
    </row>
    <row r="20" spans="1:7" x14ac:dyDescent="0.25">
      <c r="A20" s="57">
        <v>24</v>
      </c>
      <c r="B20" s="57" t="s">
        <v>27</v>
      </c>
      <c r="C20" s="15" t="s">
        <v>83</v>
      </c>
      <c r="E20" s="63"/>
      <c r="F20" s="73"/>
      <c r="G20" s="75"/>
    </row>
    <row r="21" spans="1:7" x14ac:dyDescent="0.25">
      <c r="A21" s="57">
        <v>26</v>
      </c>
      <c r="B21" s="57" t="s">
        <v>29</v>
      </c>
      <c r="C21" s="15" t="s">
        <v>85</v>
      </c>
      <c r="E21" s="63"/>
      <c r="F21" s="73"/>
      <c r="G21" s="75"/>
    </row>
    <row r="22" spans="1:7" x14ac:dyDescent="0.25">
      <c r="A22" s="57">
        <v>29</v>
      </c>
      <c r="B22" s="57" t="s">
        <v>38</v>
      </c>
      <c r="C22" s="15" t="s">
        <v>88</v>
      </c>
      <c r="E22" s="63"/>
      <c r="F22" s="73"/>
      <c r="G22" s="75"/>
    </row>
    <row r="23" spans="1:7" x14ac:dyDescent="0.25">
      <c r="A23" s="57">
        <v>30</v>
      </c>
      <c r="B23" s="57" t="s">
        <v>39</v>
      </c>
      <c r="C23" s="15" t="s">
        <v>89</v>
      </c>
      <c r="E23" s="63"/>
      <c r="F23" s="73"/>
      <c r="G23" s="75"/>
    </row>
    <row r="24" spans="1:7" x14ac:dyDescent="0.25">
      <c r="A24" s="57">
        <v>31</v>
      </c>
      <c r="B24" s="57" t="s">
        <v>67</v>
      </c>
      <c r="C24" s="15" t="s">
        <v>90</v>
      </c>
      <c r="E24" s="63"/>
      <c r="F24" s="73"/>
      <c r="G24" s="75"/>
    </row>
    <row r="25" spans="1:7" x14ac:dyDescent="0.25">
      <c r="A25" s="57">
        <v>32</v>
      </c>
      <c r="B25" s="57" t="s">
        <v>40</v>
      </c>
      <c r="C25" s="15" t="s">
        <v>91</v>
      </c>
      <c r="E25" s="63"/>
      <c r="F25" s="73"/>
      <c r="G25" s="75"/>
    </row>
    <row r="26" spans="1:7" x14ac:dyDescent="0.25">
      <c r="A26" s="57">
        <v>33</v>
      </c>
      <c r="B26" s="57" t="s">
        <v>41</v>
      </c>
      <c r="C26" s="15" t="s">
        <v>92</v>
      </c>
      <c r="E26" s="63"/>
      <c r="F26" s="73"/>
      <c r="G26" s="75"/>
    </row>
    <row r="27" spans="1:7" x14ac:dyDescent="0.25">
      <c r="A27" s="57">
        <v>34</v>
      </c>
      <c r="B27" s="57" t="s">
        <v>42</v>
      </c>
      <c r="C27" s="15" t="s">
        <v>93</v>
      </c>
      <c r="E27" s="63"/>
      <c r="F27" s="73"/>
      <c r="G27" s="75"/>
    </row>
    <row r="28" spans="1:7" x14ac:dyDescent="0.25">
      <c r="A28" s="57">
        <v>35</v>
      </c>
      <c r="B28" s="57" t="s">
        <v>43</v>
      </c>
      <c r="C28" s="15" t="s">
        <v>94</v>
      </c>
      <c r="E28" s="63"/>
      <c r="F28" s="73"/>
      <c r="G28" s="75"/>
    </row>
    <row r="29" spans="1:7" x14ac:dyDescent="0.25">
      <c r="A29" s="57">
        <v>37</v>
      </c>
      <c r="B29" s="57" t="s">
        <v>49</v>
      </c>
      <c r="C29" s="15" t="s">
        <v>96</v>
      </c>
      <c r="E29" s="63"/>
      <c r="F29" s="73"/>
      <c r="G29" s="75"/>
    </row>
    <row r="30" spans="1:7" x14ac:dyDescent="0.25">
      <c r="A30" s="57">
        <v>38</v>
      </c>
      <c r="B30" s="57" t="s">
        <v>45</v>
      </c>
      <c r="C30" s="15" t="s">
        <v>97</v>
      </c>
      <c r="E30" s="63"/>
      <c r="F30" s="73"/>
      <c r="G30" s="75"/>
    </row>
    <row r="31" spans="1:7" x14ac:dyDescent="0.25">
      <c r="A31" s="57">
        <v>40</v>
      </c>
      <c r="B31" s="57" t="s">
        <v>47</v>
      </c>
      <c r="C31" s="15" t="s">
        <v>99</v>
      </c>
      <c r="E31" s="63"/>
      <c r="F31" s="73"/>
      <c r="G31" s="75"/>
    </row>
    <row r="32" spans="1:7" x14ac:dyDescent="0.25">
      <c r="A32" s="57">
        <v>41</v>
      </c>
      <c r="B32" s="57" t="s">
        <v>37</v>
      </c>
      <c r="C32" s="15" t="s">
        <v>100</v>
      </c>
      <c r="E32" s="63"/>
      <c r="F32" s="73"/>
      <c r="G32" s="75"/>
    </row>
    <row r="33" spans="1:7" x14ac:dyDescent="0.25">
      <c r="A33" s="57">
        <v>42</v>
      </c>
      <c r="B33" s="57" t="s">
        <v>50</v>
      </c>
      <c r="C33" s="15" t="s">
        <v>101</v>
      </c>
      <c r="E33" s="63"/>
      <c r="F33" s="73"/>
      <c r="G33" s="75"/>
    </row>
    <row r="34" spans="1:7" x14ac:dyDescent="0.25">
      <c r="A34" s="57">
        <v>43</v>
      </c>
      <c r="B34" s="57" t="s">
        <v>36</v>
      </c>
      <c r="C34" s="15" t="s">
        <v>102</v>
      </c>
      <c r="E34" s="63"/>
      <c r="F34" s="73"/>
      <c r="G34" s="75"/>
    </row>
    <row r="35" spans="1:7" x14ac:dyDescent="0.25">
      <c r="A35" s="57">
        <v>46</v>
      </c>
      <c r="B35" s="57" t="s">
        <v>46</v>
      </c>
      <c r="C35" s="15" t="s">
        <v>105</v>
      </c>
      <c r="E35" s="63"/>
      <c r="F35" s="73"/>
      <c r="G35" s="75"/>
    </row>
    <row r="36" spans="1:7" x14ac:dyDescent="0.25">
      <c r="A36" s="57">
        <v>47</v>
      </c>
      <c r="B36" s="57" t="s">
        <v>125</v>
      </c>
      <c r="C36" s="15" t="s">
        <v>126</v>
      </c>
    </row>
  </sheetData>
  <autoFilter ref="A2:G35"/>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25</vt:i4>
      </vt:variant>
      <vt:variant>
        <vt:lpstr>Named Ranges</vt:lpstr>
      </vt:variant>
      <vt:variant>
        <vt:i4>2</vt:i4>
      </vt:variant>
    </vt:vector>
  </HeadingPairs>
  <TitlesOfParts>
    <vt:vector size="27" baseType="lpstr">
      <vt:lpstr>Hàng tặng TVP</vt:lpstr>
      <vt:lpstr>TVP</vt:lpstr>
      <vt:lpstr>La Cusina</vt:lpstr>
      <vt:lpstr>Quốc Nhân</vt:lpstr>
      <vt:lpstr>Sheet3</vt:lpstr>
      <vt:lpstr>Giá TVP</vt:lpstr>
      <vt:lpstr>Chi phí</vt:lpstr>
      <vt:lpstr>Tổng Đơn</vt:lpstr>
      <vt:lpstr>Sheet1</vt:lpstr>
      <vt:lpstr>Thanh Toán</vt:lpstr>
      <vt:lpstr>Thanh Toán (15)</vt:lpstr>
      <vt:lpstr>Thanh Toán (14)</vt:lpstr>
      <vt:lpstr>Thanh Toán (13)</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DS KHÁCH HÀNG KM (2)</vt:lpstr>
      <vt:lpstr>'Giá TVP'!Print_Area</vt:lpstr>
      <vt:lpstr>Sheet3!Print_Area</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2021-12-30T01:36:32Z</cp:lastPrinted>
  <dcterms:created xsi:type="dcterms:W3CDTF">2021-12-17T01:18:08Z</dcterms:created>
  <dcterms:modified xsi:type="dcterms:W3CDTF">2022-01-16T00:58:12Z</dcterms:modified>
</cp:coreProperties>
</file>