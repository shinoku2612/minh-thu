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4"/>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Tổng Đơn" sheetId="50" r:id="rId10"/>
    <sheet name="Sheet1" sheetId="8" r:id="rId11"/>
    <sheet name="Thanh Toán" sheetId="9" r:id="rId12"/>
    <sheet name="Thanh Toán (18)" sheetId="168" r:id="rId13"/>
    <sheet name="Thanh Toán (17)" sheetId="167" r:id="rId14"/>
    <sheet name="Thanh Toán (16)" sheetId="166" r:id="rId15"/>
    <sheet name="Thanh Toán (15)" sheetId="165" r:id="rId16"/>
    <sheet name="Thanh Toán (14)" sheetId="164" r:id="rId17"/>
    <sheet name="Thanh Toán (13)" sheetId="163" r:id="rId18"/>
    <sheet name="Thanh Toán (12)" sheetId="162" r:id="rId19"/>
    <sheet name="Thanh Toán (11)" sheetId="161" r:id="rId20"/>
    <sheet name="Thanh Toán (10)" sheetId="160" r:id="rId21"/>
    <sheet name="Thanh Toán (9)" sheetId="159" r:id="rId22"/>
    <sheet name="Thanh Toán (8)" sheetId="158" r:id="rId23"/>
    <sheet name="Thanh Toán (7)" sheetId="157" r:id="rId24"/>
    <sheet name="Thanh Toán (6)" sheetId="156" r:id="rId25"/>
    <sheet name="Thanh Toán (5)" sheetId="155" r:id="rId26"/>
    <sheet name="Thanh Toán (4)" sheetId="154" r:id="rId27"/>
    <sheet name="Thanh Toán (3)" sheetId="153" r:id="rId28"/>
    <sheet name="Thanh Toán (2)" sheetId="151" r:id="rId29"/>
    <sheet name="DS KHÁCH HÀNG KM (2)" sheetId="76" state="hidden" r:id="rId30"/>
  </sheets>
  <definedNames>
    <definedName name="_xlnm._FilterDatabase" localSheetId="29" hidden="1">'DS KHÁCH HÀNG KM (2)'!$A$2:$G$35</definedName>
    <definedName name="_xlnm._FilterDatabase" localSheetId="1" hidden="1">Gà!$B$4:$M$4</definedName>
    <definedName name="_xlnm._FilterDatabase" localSheetId="7" hidden="1">'Giá TVP'!$A$2:$C$2</definedName>
    <definedName name="_xlnm._FilterDatabase" localSheetId="4" hidden="1">Kitkool!$B$4:$M$4</definedName>
    <definedName name="_xlnm._FilterDatabase" localSheetId="3" hidden="1">'La Cusina'!$B$4:$M$4</definedName>
    <definedName name="_xlnm._FilterDatabase" localSheetId="5" hidden="1">'Quốc Nhân'!$B$4:$AW$32</definedName>
    <definedName name="_xlnm._FilterDatabase" localSheetId="10" hidden="1">Sheet1!$A$1:$D$1</definedName>
    <definedName name="_xlnm._FilterDatabase" localSheetId="6" hidden="1">Sheet3!$A$2:$C$2</definedName>
    <definedName name="_xlnm._FilterDatabase" localSheetId="9" hidden="1">'Tổng Đơn'!$A$4:$AO$71</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45621"/>
  <pivotCaches>
    <pivotCache cacheId="6"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8" l="1"/>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I11" i="168"/>
  <c r="F11" i="168"/>
  <c r="E11" i="168"/>
  <c r="D11" i="168"/>
  <c r="L10" i="168"/>
  <c r="I10" i="168"/>
  <c r="F10" i="168"/>
  <c r="E10" i="168"/>
  <c r="D10" i="168"/>
  <c r="L9" i="168"/>
  <c r="I9" i="168"/>
  <c r="F9" i="168"/>
  <c r="E9" i="168"/>
  <c r="D9" i="168"/>
  <c r="C9" i="168"/>
  <c r="C10" i="168" s="1"/>
  <c r="L8" i="168"/>
  <c r="G8" i="168"/>
  <c r="F8" i="168"/>
  <c r="J8" i="168" s="1"/>
  <c r="E8" i="168"/>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I11" i="167"/>
  <c r="F11" i="167"/>
  <c r="E11" i="167"/>
  <c r="D11" i="167"/>
  <c r="L10" i="167"/>
  <c r="I10" i="167"/>
  <c r="F10" i="167"/>
  <c r="E10" i="167"/>
  <c r="D10" i="167"/>
  <c r="L9" i="167"/>
  <c r="F9" i="167"/>
  <c r="I9" i="167" s="1"/>
  <c r="E9" i="167"/>
  <c r="D9" i="167"/>
  <c r="C9" i="167"/>
  <c r="C10" i="167" s="1"/>
  <c r="L8" i="167"/>
  <c r="G8" i="167"/>
  <c r="F8" i="167"/>
  <c r="J8" i="167" s="1"/>
  <c r="E8" i="167"/>
  <c r="I8" i="167" s="1"/>
  <c r="D8" i="167"/>
  <c r="C8" i="167"/>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F13" i="166"/>
  <c r="E13" i="166"/>
  <c r="I13" i="166" s="1"/>
  <c r="D13" i="166"/>
  <c r="F12" i="166"/>
  <c r="I12" i="166" s="1"/>
  <c r="E12" i="166"/>
  <c r="D12" i="166"/>
  <c r="L11" i="166"/>
  <c r="F11" i="166"/>
  <c r="I11" i="166" s="1"/>
  <c r="E11" i="166"/>
  <c r="D11" i="166"/>
  <c r="L10" i="166"/>
  <c r="F10" i="166"/>
  <c r="I10" i="166" s="1"/>
  <c r="E10" i="166"/>
  <c r="D10" i="166"/>
  <c r="L9" i="166"/>
  <c r="F9" i="166"/>
  <c r="I9" i="166" s="1"/>
  <c r="E9" i="166"/>
  <c r="D9" i="166"/>
  <c r="C9" i="166"/>
  <c r="C10" i="166" s="1"/>
  <c r="L8" i="166"/>
  <c r="G8" i="166"/>
  <c r="F8" i="166"/>
  <c r="J8" i="166" s="1"/>
  <c r="E8" i="166"/>
  <c r="I8" i="166" s="1"/>
  <c r="D8" i="166"/>
  <c r="C8" i="166"/>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F10" i="165"/>
  <c r="E10" i="165"/>
  <c r="D10" i="165"/>
  <c r="L9" i="165"/>
  <c r="F9" i="165"/>
  <c r="I9" i="165" s="1"/>
  <c r="E9" i="165"/>
  <c r="D9" i="165"/>
  <c r="C9" i="165"/>
  <c r="C10" i="165" s="1"/>
  <c r="L8" i="165"/>
  <c r="G8" i="165"/>
  <c r="F8" i="165"/>
  <c r="J8" i="165" s="1"/>
  <c r="E8" i="165"/>
  <c r="I8" i="165" s="1"/>
  <c r="D8" i="165"/>
  <c r="C8" i="165"/>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F11" i="164"/>
  <c r="I11" i="164" s="1"/>
  <c r="E11" i="164"/>
  <c r="D11" i="164"/>
  <c r="L10" i="164"/>
  <c r="F10" i="164"/>
  <c r="I10" i="164" s="1"/>
  <c r="E10" i="164"/>
  <c r="D10" i="164"/>
  <c r="L9" i="164"/>
  <c r="F9" i="164"/>
  <c r="I9" i="164" s="1"/>
  <c r="E9" i="164"/>
  <c r="D9" i="164"/>
  <c r="L8" i="164"/>
  <c r="G8" i="164"/>
  <c r="F8" i="164"/>
  <c r="J8" i="164" s="1"/>
  <c r="E8" i="164"/>
  <c r="I8"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I11" i="163"/>
  <c r="F11" i="163"/>
  <c r="E11" i="163"/>
  <c r="D11" i="163"/>
  <c r="L10" i="163"/>
  <c r="I10" i="163"/>
  <c r="F10" i="163"/>
  <c r="E10" i="163"/>
  <c r="D10" i="163"/>
  <c r="L9" i="163"/>
  <c r="I9" i="163"/>
  <c r="F9" i="163"/>
  <c r="E9" i="163"/>
  <c r="D9" i="163"/>
  <c r="C9" i="163"/>
  <c r="C10" i="163" s="1"/>
  <c r="L8" i="163"/>
  <c r="G8" i="163"/>
  <c r="F8" i="163"/>
  <c r="J8" i="163" s="1"/>
  <c r="E8" i="163"/>
  <c r="I8" i="163" s="1"/>
  <c r="I7" i="163" s="1"/>
  <c r="D8" i="163"/>
  <c r="C8" i="163"/>
  <c r="E7" i="163"/>
  <c r="G6" i="163"/>
  <c r="G1" i="50"/>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F13" i="162"/>
  <c r="E13" i="162"/>
  <c r="I13" i="162" s="1"/>
  <c r="D13" i="162"/>
  <c r="F12" i="162"/>
  <c r="I12" i="162" s="1"/>
  <c r="E12" i="162"/>
  <c r="D12" i="162"/>
  <c r="L11" i="162"/>
  <c r="F11" i="162"/>
  <c r="I11" i="162" s="1"/>
  <c r="E11" i="162"/>
  <c r="D11" i="162"/>
  <c r="L10" i="162"/>
  <c r="I10" i="162"/>
  <c r="F10" i="162"/>
  <c r="E10" i="162"/>
  <c r="D10" i="162"/>
  <c r="L9" i="162"/>
  <c r="F9" i="162"/>
  <c r="I9" i="162" s="1"/>
  <c r="E9" i="162"/>
  <c r="D9" i="162"/>
  <c r="C9" i="162"/>
  <c r="C10" i="162" s="1"/>
  <c r="L8" i="162"/>
  <c r="G8" i="162"/>
  <c r="F8" i="162"/>
  <c r="J8" i="162" s="1"/>
  <c r="E8" i="162"/>
  <c r="I8" i="162" s="1"/>
  <c r="I7" i="162" s="1"/>
  <c r="D8" i="162"/>
  <c r="C8" i="162"/>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F13" i="161"/>
  <c r="E13" i="161"/>
  <c r="I13" i="161" s="1"/>
  <c r="D13" i="161"/>
  <c r="F12" i="161"/>
  <c r="I12" i="161" s="1"/>
  <c r="E12" i="161"/>
  <c r="D12" i="161"/>
  <c r="L11" i="161"/>
  <c r="F11" i="161"/>
  <c r="I11" i="161" s="1"/>
  <c r="E11" i="161"/>
  <c r="D11" i="161"/>
  <c r="L10" i="161"/>
  <c r="F10" i="161"/>
  <c r="I10" i="161" s="1"/>
  <c r="E10" i="161"/>
  <c r="D10" i="161"/>
  <c r="L9" i="161"/>
  <c r="F9" i="161"/>
  <c r="I9" i="161" s="1"/>
  <c r="E9" i="161"/>
  <c r="D9" i="161"/>
  <c r="C9" i="161"/>
  <c r="C10" i="161" s="1"/>
  <c r="L8" i="161"/>
  <c r="G8" i="161"/>
  <c r="F8" i="161"/>
  <c r="J8" i="161" s="1"/>
  <c r="E8" i="161"/>
  <c r="I8" i="161" s="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I11" i="160"/>
  <c r="F11" i="160"/>
  <c r="E11" i="160"/>
  <c r="D11" i="160"/>
  <c r="L10" i="160"/>
  <c r="I10" i="160"/>
  <c r="F10" i="160"/>
  <c r="E10" i="160"/>
  <c r="D10" i="160"/>
  <c r="L9" i="160"/>
  <c r="I9" i="160"/>
  <c r="F9" i="160"/>
  <c r="E9" i="160"/>
  <c r="D9" i="160"/>
  <c r="C9" i="160"/>
  <c r="C10" i="160" s="1"/>
  <c r="L8" i="160"/>
  <c r="G8" i="160"/>
  <c r="F8" i="160"/>
  <c r="J8" i="160" s="1"/>
  <c r="E8" i="160"/>
  <c r="I8" i="160" s="1"/>
  <c r="I7" i="160" s="1"/>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I12" i="159"/>
  <c r="F12" i="159"/>
  <c r="E12" i="159"/>
  <c r="D12" i="159"/>
  <c r="L11" i="159"/>
  <c r="F11" i="159"/>
  <c r="I11" i="159" s="1"/>
  <c r="E11" i="159"/>
  <c r="D11" i="159"/>
  <c r="L10" i="159"/>
  <c r="F10" i="159"/>
  <c r="I10" i="159" s="1"/>
  <c r="E10" i="159"/>
  <c r="D10" i="159"/>
  <c r="L9" i="159"/>
  <c r="F9" i="159"/>
  <c r="I9" i="159" s="1"/>
  <c r="E9" i="159"/>
  <c r="D9" i="159"/>
  <c r="L8" i="159"/>
  <c r="G8" i="159"/>
  <c r="F8" i="159"/>
  <c r="J8" i="159" s="1"/>
  <c r="E8" i="159"/>
  <c r="I8" i="159" s="1"/>
  <c r="I7" i="159" s="1"/>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I12" i="158"/>
  <c r="F12" i="158"/>
  <c r="E12" i="158"/>
  <c r="D12" i="158"/>
  <c r="L11" i="158"/>
  <c r="I11" i="158"/>
  <c r="F11" i="158"/>
  <c r="E11" i="158"/>
  <c r="D11" i="158"/>
  <c r="L10" i="158"/>
  <c r="I10" i="158"/>
  <c r="F10" i="158"/>
  <c r="E10" i="158"/>
  <c r="D10" i="158"/>
  <c r="L9" i="158"/>
  <c r="I9" i="158"/>
  <c r="F9" i="158"/>
  <c r="E9" i="158"/>
  <c r="D9" i="158"/>
  <c r="C9" i="158"/>
  <c r="G9" i="158" s="1"/>
  <c r="L8" i="158"/>
  <c r="G8" i="158"/>
  <c r="F8" i="158"/>
  <c r="J8" i="158" s="1"/>
  <c r="E8" i="158"/>
  <c r="D8" i="158"/>
  <c r="C8" i="158"/>
  <c r="E7" i="158"/>
  <c r="G6" i="158"/>
  <c r="C11" i="168" l="1"/>
  <c r="G10" i="168"/>
  <c r="I8" i="168"/>
  <c r="I7" i="168" s="1"/>
  <c r="G9" i="168"/>
  <c r="I7" i="167"/>
  <c r="C11" i="167"/>
  <c r="G10" i="167"/>
  <c r="G9" i="167"/>
  <c r="I7" i="166"/>
  <c r="C11" i="166"/>
  <c r="G10" i="166"/>
  <c r="G9" i="166"/>
  <c r="I7" i="165"/>
  <c r="C11" i="165"/>
  <c r="G10" i="165"/>
  <c r="G9" i="165"/>
  <c r="C10" i="164"/>
  <c r="G9" i="164"/>
  <c r="I7" i="164"/>
  <c r="C11" i="163"/>
  <c r="G10" i="163"/>
  <c r="G9" i="163"/>
  <c r="C11" i="162"/>
  <c r="G10" i="162"/>
  <c r="G9" i="162"/>
  <c r="I7" i="161"/>
  <c r="C11" i="161"/>
  <c r="G10" i="161"/>
  <c r="G9" i="161"/>
  <c r="C11" i="160"/>
  <c r="G10" i="160"/>
  <c r="G9" i="160"/>
  <c r="C10" i="159"/>
  <c r="G9" i="159"/>
  <c r="I8" i="158"/>
  <c r="I7" i="158" s="1"/>
  <c r="C10"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I11" i="157"/>
  <c r="F11" i="157"/>
  <c r="E11" i="157"/>
  <c r="D11" i="157"/>
  <c r="L10" i="157"/>
  <c r="I10" i="157"/>
  <c r="F10" i="157"/>
  <c r="E10" i="157"/>
  <c r="D10" i="157"/>
  <c r="L9" i="157"/>
  <c r="I9" i="157"/>
  <c r="F9" i="157"/>
  <c r="E9" i="157"/>
  <c r="D9" i="157"/>
  <c r="C9" i="157"/>
  <c r="L8" i="157"/>
  <c r="G8" i="157"/>
  <c r="F8" i="157"/>
  <c r="J8" i="157" s="1"/>
  <c r="E8" i="157"/>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F12" i="156"/>
  <c r="I12" i="156" s="1"/>
  <c r="E12" i="156"/>
  <c r="D12" i="156"/>
  <c r="L11" i="156"/>
  <c r="F11" i="156"/>
  <c r="I11" i="156" s="1"/>
  <c r="E11" i="156"/>
  <c r="D11" i="156"/>
  <c r="L10" i="156"/>
  <c r="F10" i="156"/>
  <c r="I10" i="156" s="1"/>
  <c r="E10" i="156"/>
  <c r="D10" i="156"/>
  <c r="L9" i="156"/>
  <c r="F9" i="156"/>
  <c r="I9" i="156" s="1"/>
  <c r="E9" i="156"/>
  <c r="D9" i="156"/>
  <c r="C9" i="156"/>
  <c r="L8" i="156"/>
  <c r="G8" i="156"/>
  <c r="F8" i="156"/>
  <c r="J8" i="156" s="1"/>
  <c r="E8" i="156"/>
  <c r="I8" i="156" s="1"/>
  <c r="I7" i="156" s="1"/>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F10" i="155"/>
  <c r="I10" i="155" s="1"/>
  <c r="E10" i="155"/>
  <c r="D10" i="155"/>
  <c r="L9" i="155"/>
  <c r="F9" i="155"/>
  <c r="I9" i="155" s="1"/>
  <c r="E9" i="155"/>
  <c r="D9" i="155"/>
  <c r="C9" i="155"/>
  <c r="L8" i="155"/>
  <c r="G8" i="155"/>
  <c r="F8" i="155"/>
  <c r="J8" i="155" s="1"/>
  <c r="E8" i="155"/>
  <c r="D8" i="155"/>
  <c r="C8" i="155"/>
  <c r="E7" i="155"/>
  <c r="G6" i="155"/>
  <c r="C12" i="168" l="1"/>
  <c r="G11" i="168"/>
  <c r="C12" i="167"/>
  <c r="G11" i="167"/>
  <c r="C12" i="166"/>
  <c r="G11" i="166"/>
  <c r="C12" i="165"/>
  <c r="G11" i="165"/>
  <c r="C11" i="164"/>
  <c r="G10" i="164"/>
  <c r="C12" i="163"/>
  <c r="G11" i="163"/>
  <c r="C12" i="162"/>
  <c r="G11" i="162"/>
  <c r="C12" i="161"/>
  <c r="G11" i="161"/>
  <c r="C12" i="160"/>
  <c r="G11" i="160"/>
  <c r="C11" i="159"/>
  <c r="G10" i="159"/>
  <c r="C11" i="158"/>
  <c r="G10" i="158"/>
  <c r="G9" i="157"/>
  <c r="I8" i="157"/>
  <c r="I7" i="157" s="1"/>
  <c r="C10" i="157"/>
  <c r="G9" i="156"/>
  <c r="C10" i="156"/>
  <c r="G9" i="155"/>
  <c r="I8" i="155"/>
  <c r="I7" i="155" s="1"/>
  <c r="C10" i="155"/>
  <c r="A2" i="137"/>
  <c r="G12" i="168" l="1"/>
  <c r="C13" i="168"/>
  <c r="G12" i="167"/>
  <c r="C13" i="167"/>
  <c r="G12" i="166"/>
  <c r="C13" i="166"/>
  <c r="G12" i="165"/>
  <c r="C13" i="165"/>
  <c r="C12" i="164"/>
  <c r="G11" i="164"/>
  <c r="G12" i="163"/>
  <c r="C13" i="163"/>
  <c r="G12" i="162"/>
  <c r="C13" i="162"/>
  <c r="G12" i="161"/>
  <c r="C13" i="161"/>
  <c r="G12" i="160"/>
  <c r="C13" i="160"/>
  <c r="C12" i="159"/>
  <c r="G11" i="159"/>
  <c r="G11" i="158"/>
  <c r="C12" i="158"/>
  <c r="C11" i="157"/>
  <c r="G10" i="157"/>
  <c r="C11" i="156"/>
  <c r="G10" i="156"/>
  <c r="C11" i="155"/>
  <c r="G10"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F14" i="154"/>
  <c r="E14" i="154"/>
  <c r="I14" i="154" s="1"/>
  <c r="D14" i="154"/>
  <c r="F13" i="154"/>
  <c r="E13" i="154"/>
  <c r="I13" i="154" s="1"/>
  <c r="D13" i="154"/>
  <c r="F12" i="154"/>
  <c r="I12" i="154" s="1"/>
  <c r="E12" i="154"/>
  <c r="D12" i="154"/>
  <c r="L11" i="154"/>
  <c r="F11" i="154"/>
  <c r="I11" i="154" s="1"/>
  <c r="E11" i="154"/>
  <c r="D11" i="154"/>
  <c r="L10" i="154"/>
  <c r="F10" i="154"/>
  <c r="I10" i="154" s="1"/>
  <c r="E10" i="154"/>
  <c r="D10" i="154"/>
  <c r="L9" i="154"/>
  <c r="F9" i="154"/>
  <c r="I9" i="154" s="1"/>
  <c r="E9" i="154"/>
  <c r="D9" i="154"/>
  <c r="C9" i="154"/>
  <c r="G9" i="154" s="1"/>
  <c r="L8" i="154"/>
  <c r="G8" i="154"/>
  <c r="F8" i="154"/>
  <c r="J8" i="154" s="1"/>
  <c r="E8" i="154"/>
  <c r="I8" i="154" s="1"/>
  <c r="I7" i="154" s="1"/>
  <c r="D8" i="154"/>
  <c r="C8" i="154"/>
  <c r="E7" i="154"/>
  <c r="G6" i="154"/>
  <c r="G13" i="168" l="1"/>
  <c r="C14" i="168"/>
  <c r="G13" i="167"/>
  <c r="C14" i="167"/>
  <c r="G13" i="166"/>
  <c r="C14" i="166"/>
  <c r="G13" i="165"/>
  <c r="C14" i="165"/>
  <c r="G12" i="164"/>
  <c r="C13" i="164"/>
  <c r="G13" i="163"/>
  <c r="C14" i="163"/>
  <c r="G13" i="162"/>
  <c r="C14" i="162"/>
  <c r="G13" i="161"/>
  <c r="C14" i="161"/>
  <c r="G13" i="160"/>
  <c r="C14" i="160"/>
  <c r="G12" i="159"/>
  <c r="C13" i="159"/>
  <c r="C13" i="158"/>
  <c r="G12" i="158"/>
  <c r="C12" i="157"/>
  <c r="G11" i="157"/>
  <c r="G11" i="156"/>
  <c r="C12" i="156"/>
  <c r="C12" i="155"/>
  <c r="G11" i="155"/>
  <c r="C10" i="154"/>
  <c r="F37" i="153"/>
  <c r="E37" i="153"/>
  <c r="I37" i="153" s="1"/>
  <c r="D37" i="153"/>
  <c r="F36" i="153"/>
  <c r="I36" i="153" s="1"/>
  <c r="E36" i="153"/>
  <c r="D36" i="153"/>
  <c r="F35" i="153"/>
  <c r="E35" i="153"/>
  <c r="I35" i="153" s="1"/>
  <c r="D35" i="153"/>
  <c r="F34" i="153"/>
  <c r="I34" i="153" s="1"/>
  <c r="E34" i="153"/>
  <c r="D34" i="153"/>
  <c r="F33" i="153"/>
  <c r="E33" i="153"/>
  <c r="I33" i="153" s="1"/>
  <c r="D33" i="153"/>
  <c r="F32" i="153"/>
  <c r="I32" i="153" s="1"/>
  <c r="E32" i="153"/>
  <c r="D32" i="153"/>
  <c r="F31" i="153"/>
  <c r="E31" i="153"/>
  <c r="I31" i="153" s="1"/>
  <c r="D31" i="153"/>
  <c r="F30" i="153"/>
  <c r="I30" i="153" s="1"/>
  <c r="E30" i="153"/>
  <c r="D30" i="153"/>
  <c r="F29" i="153"/>
  <c r="E29" i="153"/>
  <c r="I29" i="153" s="1"/>
  <c r="D29" i="153"/>
  <c r="F28" i="153"/>
  <c r="I28" i="153" s="1"/>
  <c r="E28" i="153"/>
  <c r="D28" i="153"/>
  <c r="F27" i="153"/>
  <c r="E27" i="153"/>
  <c r="I27" i="153" s="1"/>
  <c r="D27" i="153"/>
  <c r="L26" i="153"/>
  <c r="F26" i="153"/>
  <c r="E26" i="153"/>
  <c r="I26" i="153" s="1"/>
  <c r="D26" i="153"/>
  <c r="L25" i="153"/>
  <c r="F25" i="153"/>
  <c r="E25" i="153"/>
  <c r="I25" i="153" s="1"/>
  <c r="D25" i="153"/>
  <c r="L24" i="153"/>
  <c r="F24" i="153"/>
  <c r="E24" i="153"/>
  <c r="I24" i="153" s="1"/>
  <c r="D24" i="153"/>
  <c r="L23" i="153"/>
  <c r="F23" i="153"/>
  <c r="E23" i="153"/>
  <c r="I23" i="153" s="1"/>
  <c r="D23" i="153"/>
  <c r="L22" i="153"/>
  <c r="F22" i="153"/>
  <c r="E22" i="153"/>
  <c r="I22" i="153" s="1"/>
  <c r="D22" i="153"/>
  <c r="L21" i="153"/>
  <c r="F21" i="153"/>
  <c r="E21" i="153"/>
  <c r="I21" i="153" s="1"/>
  <c r="D21" i="153"/>
  <c r="L20" i="153"/>
  <c r="F20" i="153"/>
  <c r="E20" i="153"/>
  <c r="I20" i="153" s="1"/>
  <c r="D20" i="153"/>
  <c r="L19" i="153"/>
  <c r="F19" i="153"/>
  <c r="E19" i="153"/>
  <c r="I19" i="153" s="1"/>
  <c r="D19" i="153"/>
  <c r="L18" i="153"/>
  <c r="F18" i="153"/>
  <c r="E18" i="153"/>
  <c r="I18" i="153" s="1"/>
  <c r="D18" i="153"/>
  <c r="L17" i="153"/>
  <c r="F17" i="153"/>
  <c r="E17" i="153"/>
  <c r="I17" i="153" s="1"/>
  <c r="D17" i="153"/>
  <c r="L16" i="153"/>
  <c r="F16" i="153"/>
  <c r="E16" i="153"/>
  <c r="I16" i="153" s="1"/>
  <c r="D16" i="153"/>
  <c r="L15" i="153"/>
  <c r="F15" i="153"/>
  <c r="E15" i="153"/>
  <c r="I15" i="153" s="1"/>
  <c r="D15" i="153"/>
  <c r="L14" i="153"/>
  <c r="F14" i="153"/>
  <c r="E14" i="153"/>
  <c r="I14" i="153" s="1"/>
  <c r="D14" i="153"/>
  <c r="F13" i="153"/>
  <c r="E13" i="153"/>
  <c r="I13" i="153" s="1"/>
  <c r="D13" i="153"/>
  <c r="F12" i="153"/>
  <c r="I12" i="153" s="1"/>
  <c r="E12" i="153"/>
  <c r="D12" i="153"/>
  <c r="L11" i="153"/>
  <c r="F11" i="153"/>
  <c r="I11" i="153" s="1"/>
  <c r="E11" i="153"/>
  <c r="D11" i="153"/>
  <c r="L10" i="153"/>
  <c r="F10" i="153"/>
  <c r="I10" i="153" s="1"/>
  <c r="E10" i="153"/>
  <c r="D10" i="153"/>
  <c r="L9" i="153"/>
  <c r="F9" i="153"/>
  <c r="I9" i="153" s="1"/>
  <c r="E9" i="153"/>
  <c r="D9" i="153"/>
  <c r="C9" i="153"/>
  <c r="G9" i="153" s="1"/>
  <c r="L8" i="153"/>
  <c r="G8" i="153"/>
  <c r="F8" i="153"/>
  <c r="J8" i="153" s="1"/>
  <c r="E8" i="153"/>
  <c r="I8" i="153" s="1"/>
  <c r="I7" i="153" s="1"/>
  <c r="D8" i="153"/>
  <c r="C8" i="153"/>
  <c r="E7" i="153"/>
  <c r="G6" i="153"/>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F12" i="151"/>
  <c r="E12" i="151"/>
  <c r="I12" i="151" s="1"/>
  <c r="D12" i="151"/>
  <c r="L11" i="151"/>
  <c r="F11" i="151"/>
  <c r="E11" i="151"/>
  <c r="I11" i="151" s="1"/>
  <c r="D11" i="151"/>
  <c r="L10" i="151"/>
  <c r="I10" i="151"/>
  <c r="F10" i="151"/>
  <c r="E10" i="151"/>
  <c r="D10" i="151"/>
  <c r="L9" i="151"/>
  <c r="I9" i="151"/>
  <c r="F9" i="151"/>
  <c r="E9" i="151"/>
  <c r="D9" i="151"/>
  <c r="L8" i="151"/>
  <c r="I8" i="151"/>
  <c r="G8" i="151"/>
  <c r="F8" i="151"/>
  <c r="J8" i="151" s="1"/>
  <c r="E8" i="151"/>
  <c r="D8" i="151"/>
  <c r="C8" i="151"/>
  <c r="C9" i="151" s="1"/>
  <c r="E7" i="151"/>
  <c r="G6" i="151"/>
  <c r="C15" i="168" l="1"/>
  <c r="G14" i="168"/>
  <c r="C15" i="167"/>
  <c r="G14" i="167"/>
  <c r="C15" i="166"/>
  <c r="G14" i="166"/>
  <c r="C15" i="165"/>
  <c r="G14" i="165"/>
  <c r="G13" i="164"/>
  <c r="C14" i="164"/>
  <c r="C15" i="163"/>
  <c r="G14" i="163"/>
  <c r="C15" i="162"/>
  <c r="G14" i="162"/>
  <c r="C15" i="161"/>
  <c r="G14" i="161"/>
  <c r="C15" i="160"/>
  <c r="G14" i="160"/>
  <c r="G13" i="159"/>
  <c r="C14" i="159"/>
  <c r="G13" i="158"/>
  <c r="C14" i="158"/>
  <c r="C13" i="157"/>
  <c r="G12" i="157"/>
  <c r="C13" i="156"/>
  <c r="G12" i="156"/>
  <c r="C13" i="155"/>
  <c r="G12" i="155"/>
  <c r="C11" i="154"/>
  <c r="G10" i="154"/>
  <c r="C10" i="153"/>
  <c r="I7" i="151"/>
  <c r="G9" i="151"/>
  <c r="C10" i="151"/>
  <c r="F7" i="137"/>
  <c r="F6" i="137"/>
  <c r="C16" i="168" l="1"/>
  <c r="G15" i="168"/>
  <c r="C16" i="167"/>
  <c r="G15" i="167"/>
  <c r="C16" i="166"/>
  <c r="G15" i="166"/>
  <c r="C16" i="165"/>
  <c r="G15" i="165"/>
  <c r="C15" i="164"/>
  <c r="G14" i="164"/>
  <c r="C16" i="163"/>
  <c r="G15" i="163"/>
  <c r="C16" i="162"/>
  <c r="G15" i="162"/>
  <c r="C16" i="161"/>
  <c r="G15" i="161"/>
  <c r="C16" i="160"/>
  <c r="G15" i="160"/>
  <c r="C15" i="159"/>
  <c r="G14" i="159"/>
  <c r="C15" i="158"/>
  <c r="G14" i="158"/>
  <c r="G13" i="157"/>
  <c r="C14" i="157"/>
  <c r="G13" i="156"/>
  <c r="C14" i="156"/>
  <c r="G13" i="155"/>
  <c r="C14" i="155"/>
  <c r="G11" i="154"/>
  <c r="C12" i="154"/>
  <c r="C11" i="153"/>
  <c r="G10" i="153"/>
  <c r="C11" i="151"/>
  <c r="G10" i="151"/>
  <c r="K2" i="137"/>
  <c r="C17" i="168" l="1"/>
  <c r="G16" i="168"/>
  <c r="C17" i="167"/>
  <c r="G16" i="167"/>
  <c r="C17" i="166"/>
  <c r="G16" i="166"/>
  <c r="C17" i="165"/>
  <c r="G16" i="165"/>
  <c r="C16" i="164"/>
  <c r="G15" i="164"/>
  <c r="C17" i="163"/>
  <c r="G16" i="163"/>
  <c r="C17" i="162"/>
  <c r="G16" i="162"/>
  <c r="C17" i="161"/>
  <c r="G16" i="161"/>
  <c r="C17" i="160"/>
  <c r="G16" i="160"/>
  <c r="C16" i="159"/>
  <c r="G15" i="159"/>
  <c r="C16" i="158"/>
  <c r="G15" i="158"/>
  <c r="C15" i="157"/>
  <c r="G14" i="157"/>
  <c r="C15" i="156"/>
  <c r="G14" i="156"/>
  <c r="C15" i="155"/>
  <c r="G14" i="155"/>
  <c r="C13" i="154"/>
  <c r="G12" i="154"/>
  <c r="C12" i="153"/>
  <c r="G11" i="153"/>
  <c r="C12" i="151"/>
  <c r="G11" i="151"/>
  <c r="A2" i="150"/>
  <c r="G8" i="50"/>
  <c r="G9" i="50"/>
  <c r="G10" i="50"/>
  <c r="G11" i="50"/>
  <c r="G12" i="50"/>
  <c r="G13" i="50"/>
  <c r="G14" i="50"/>
  <c r="G15" i="50"/>
  <c r="G16" i="50"/>
  <c r="G17" i="50"/>
  <c r="G18" i="50"/>
  <c r="G19" i="50"/>
  <c r="G20" i="50"/>
  <c r="G21" i="50"/>
  <c r="G22" i="50"/>
  <c r="G23" i="50"/>
  <c r="G24" i="50"/>
  <c r="G25" i="50"/>
  <c r="G26" i="50"/>
  <c r="G27" i="50"/>
  <c r="G28" i="50"/>
  <c r="G29" i="50"/>
  <c r="G30" i="50"/>
  <c r="G31" i="50"/>
  <c r="G32" i="50"/>
  <c r="G33" i="50"/>
  <c r="G34" i="50"/>
  <c r="G35" i="50"/>
  <c r="G36" i="50"/>
  <c r="G37" i="50"/>
  <c r="G38" i="50"/>
  <c r="G39" i="50"/>
  <c r="G40" i="50"/>
  <c r="G41" i="50"/>
  <c r="G42" i="50"/>
  <c r="G43" i="50"/>
  <c r="G44" i="50"/>
  <c r="G45" i="50"/>
  <c r="G46" i="50"/>
  <c r="G47" i="50"/>
  <c r="G48" i="50"/>
  <c r="G49" i="50"/>
  <c r="G50" i="50"/>
  <c r="G51" i="50"/>
  <c r="G52" i="50"/>
  <c r="G53" i="50"/>
  <c r="G54" i="50"/>
  <c r="G55" i="50"/>
  <c r="G56" i="50"/>
  <c r="G57" i="50"/>
  <c r="G58" i="50"/>
  <c r="G59" i="50"/>
  <c r="G60" i="50"/>
  <c r="G61" i="50"/>
  <c r="G62" i="50"/>
  <c r="G63" i="50"/>
  <c r="G64" i="50"/>
  <c r="G65" i="50"/>
  <c r="G66" i="50"/>
  <c r="G67" i="50"/>
  <c r="G68" i="50"/>
  <c r="G69" i="50"/>
  <c r="G70" i="50"/>
  <c r="G71" i="50"/>
  <c r="G72" i="50"/>
  <c r="C18" i="168" l="1"/>
  <c r="G17" i="168"/>
  <c r="C18" i="167"/>
  <c r="G17" i="167"/>
  <c r="C18" i="166"/>
  <c r="G17" i="166"/>
  <c r="C18" i="165"/>
  <c r="G17" i="165"/>
  <c r="C17" i="164"/>
  <c r="G16" i="164"/>
  <c r="C18" i="163"/>
  <c r="G17" i="163"/>
  <c r="C18" i="162"/>
  <c r="G17" i="162"/>
  <c r="C18" i="161"/>
  <c r="G17" i="161"/>
  <c r="C18" i="160"/>
  <c r="G17" i="160"/>
  <c r="C17" i="159"/>
  <c r="G16" i="159"/>
  <c r="C17" i="158"/>
  <c r="G16" i="158"/>
  <c r="C16" i="157"/>
  <c r="G15" i="157"/>
  <c r="C16" i="156"/>
  <c r="G15" i="156"/>
  <c r="C16" i="155"/>
  <c r="G15" i="155"/>
  <c r="G13" i="154"/>
  <c r="C14" i="154"/>
  <c r="G12" i="153"/>
  <c r="C13" i="153"/>
  <c r="G12" i="151"/>
  <c r="C13" i="151"/>
  <c r="AX6" i="137"/>
  <c r="C19" i="168" l="1"/>
  <c r="G18" i="168"/>
  <c r="C19" i="167"/>
  <c r="G18" i="167"/>
  <c r="C19" i="166"/>
  <c r="G18" i="166"/>
  <c r="C19" i="165"/>
  <c r="G18" i="165"/>
  <c r="C18" i="164"/>
  <c r="G17" i="164"/>
  <c r="C19" i="163"/>
  <c r="G18" i="163"/>
  <c r="C19" i="162"/>
  <c r="G18" i="162"/>
  <c r="C19" i="161"/>
  <c r="G18" i="161"/>
  <c r="C19" i="160"/>
  <c r="G18" i="160"/>
  <c r="C18" i="159"/>
  <c r="G17" i="159"/>
  <c r="C18" i="158"/>
  <c r="G17" i="158"/>
  <c r="C17" i="157"/>
  <c r="G16" i="157"/>
  <c r="C17" i="156"/>
  <c r="G16" i="156"/>
  <c r="C17" i="155"/>
  <c r="G16" i="155"/>
  <c r="C15" i="154"/>
  <c r="G14" i="154"/>
  <c r="G13" i="153"/>
  <c r="C14" i="153"/>
  <c r="G13" i="151"/>
  <c r="C14" i="151"/>
  <c r="A2" i="4"/>
  <c r="C20" i="168" l="1"/>
  <c r="G19" i="168"/>
  <c r="C20" i="167"/>
  <c r="G19" i="167"/>
  <c r="C20" i="166"/>
  <c r="G19" i="166"/>
  <c r="C20" i="165"/>
  <c r="G19" i="165"/>
  <c r="C19" i="164"/>
  <c r="G18" i="164"/>
  <c r="C20" i="163"/>
  <c r="G19" i="163"/>
  <c r="C20" i="162"/>
  <c r="G19" i="162"/>
  <c r="C20" i="161"/>
  <c r="G19" i="161"/>
  <c r="C20" i="160"/>
  <c r="G19" i="160"/>
  <c r="C19" i="159"/>
  <c r="G18" i="159"/>
  <c r="C19" i="158"/>
  <c r="G18" i="158"/>
  <c r="C18" i="157"/>
  <c r="G17" i="157"/>
  <c r="C18" i="156"/>
  <c r="G17" i="156"/>
  <c r="C18" i="155"/>
  <c r="G17" i="155"/>
  <c r="C16" i="154"/>
  <c r="G15" i="154"/>
  <c r="C15" i="153"/>
  <c r="G14" i="153"/>
  <c r="C15" i="151"/>
  <c r="G14" i="151"/>
  <c r="P69" i="8"/>
  <c r="P70" i="8"/>
  <c r="P71" i="8"/>
  <c r="P72" i="8"/>
  <c r="P73" i="8"/>
  <c r="P74" i="8"/>
  <c r="P75" i="8"/>
  <c r="P76" i="8"/>
  <c r="P77" i="8"/>
  <c r="D73" i="50"/>
  <c r="D74" i="50"/>
  <c r="D75" i="50"/>
  <c r="D76" i="50"/>
  <c r="D77" i="50"/>
  <c r="D78" i="50"/>
  <c r="D79" i="50"/>
  <c r="D80" i="50"/>
  <c r="D72" i="50"/>
  <c r="M23" i="4"/>
  <c r="H23" i="4"/>
  <c r="AG79" i="50"/>
  <c r="AD77" i="50"/>
  <c r="AN79" i="50"/>
  <c r="AI76" i="50"/>
  <c r="AO73" i="50"/>
  <c r="AO77" i="50"/>
  <c r="AA75" i="50"/>
  <c r="AM79" i="50"/>
  <c r="AM73" i="50"/>
  <c r="AA74" i="50"/>
  <c r="AG75" i="50"/>
  <c r="AB72" i="50"/>
  <c r="AE80" i="50"/>
  <c r="AB74" i="50"/>
  <c r="AJ80" i="50"/>
  <c r="AO79" i="50"/>
  <c r="AC80" i="50"/>
  <c r="AF77" i="50"/>
  <c r="AK80" i="50"/>
  <c r="AI77" i="50"/>
  <c r="AL72" i="50"/>
  <c r="AM80" i="50"/>
  <c r="AN73" i="50"/>
  <c r="AB76" i="50"/>
  <c r="AO72" i="50"/>
  <c r="AL79" i="50"/>
  <c r="AN78" i="50"/>
  <c r="AN80" i="50"/>
  <c r="AI75" i="50"/>
  <c r="Z78" i="50"/>
  <c r="AF76" i="50"/>
  <c r="Z77" i="50"/>
  <c r="AM76" i="50"/>
  <c r="AH72" i="50"/>
  <c r="AA80" i="50"/>
  <c r="AH77" i="50"/>
  <c r="AJ78" i="50"/>
  <c r="AJ74" i="50"/>
  <c r="AL73" i="50"/>
  <c r="AF74" i="50"/>
  <c r="AO74" i="50"/>
  <c r="AB73" i="50"/>
  <c r="Z76" i="50"/>
  <c r="AC72" i="50"/>
  <c r="AG73" i="50"/>
  <c r="AG77" i="50"/>
  <c r="AI80" i="50"/>
  <c r="AG74" i="50"/>
  <c r="AI79" i="50"/>
  <c r="AD74" i="50"/>
  <c r="AI74" i="50"/>
  <c r="AD78" i="50"/>
  <c r="AL75" i="50"/>
  <c r="AH75" i="50"/>
  <c r="AK72" i="50"/>
  <c r="AE79" i="50"/>
  <c r="AD80" i="50"/>
  <c r="AG72" i="50"/>
  <c r="AB80" i="50"/>
  <c r="AA79" i="50"/>
  <c r="Z74" i="50"/>
  <c r="AN77" i="50"/>
  <c r="AJ79" i="50"/>
  <c r="AL76" i="50"/>
  <c r="AC76" i="50"/>
  <c r="AC75" i="50"/>
  <c r="AH80" i="50"/>
  <c r="AA77" i="50"/>
  <c r="AN75" i="50"/>
  <c r="AD76" i="50"/>
  <c r="Z73" i="50"/>
  <c r="AE75" i="50"/>
  <c r="AJ75" i="50"/>
  <c r="AF80" i="50"/>
  <c r="AE77" i="50"/>
  <c r="AM78" i="50"/>
  <c r="AF78" i="50"/>
  <c r="AK75" i="50"/>
  <c r="AJ73" i="50"/>
  <c r="AC73" i="50"/>
  <c r="AL80" i="50"/>
  <c r="AK76" i="50"/>
  <c r="AF79" i="50"/>
  <c r="AN72" i="50"/>
  <c r="AG76" i="50"/>
  <c r="AM77" i="50"/>
  <c r="AK78" i="50"/>
  <c r="AH79" i="50"/>
  <c r="AC77" i="50"/>
  <c r="AO80" i="50"/>
  <c r="AH76" i="50"/>
  <c r="AJ77" i="50"/>
  <c r="AF73" i="50"/>
  <c r="AF72" i="50"/>
  <c r="AO76" i="50"/>
  <c r="AM72" i="50"/>
  <c r="AB78" i="50"/>
  <c r="AO78" i="50"/>
  <c r="Z80" i="50"/>
  <c r="AN76" i="50"/>
  <c r="AH73" i="50"/>
  <c r="AE73" i="50"/>
  <c r="AL77" i="50"/>
  <c r="AC74" i="50"/>
  <c r="AA78" i="50"/>
  <c r="Z75" i="50"/>
  <c r="AC79" i="50"/>
  <c r="AN74" i="50"/>
  <c r="AG80" i="50"/>
  <c r="AK74" i="50"/>
  <c r="AH78" i="50"/>
  <c r="AD79" i="50"/>
  <c r="AL78" i="50"/>
  <c r="AM75" i="50"/>
  <c r="AE74" i="50"/>
  <c r="AA72" i="50"/>
  <c r="AE78" i="50"/>
  <c r="AB75" i="50"/>
  <c r="AH74" i="50"/>
  <c r="AK77" i="50"/>
  <c r="AA76" i="50"/>
  <c r="AA73" i="50"/>
  <c r="Z79" i="50"/>
  <c r="AD72" i="50"/>
  <c r="AG78" i="50"/>
  <c r="AM74" i="50"/>
  <c r="AI72" i="50"/>
  <c r="AE72" i="50"/>
  <c r="AL74" i="50"/>
  <c r="AC78" i="50"/>
  <c r="AJ72" i="50"/>
  <c r="AI78" i="50"/>
  <c r="AK79" i="50"/>
  <c r="AO75" i="50"/>
  <c r="Z72" i="50"/>
  <c r="AE76" i="50"/>
  <c r="AI73" i="50"/>
  <c r="AK73" i="50"/>
  <c r="AF75" i="50"/>
  <c r="AB79" i="50"/>
  <c r="AJ76" i="50"/>
  <c r="AB77" i="50"/>
  <c r="AD75" i="50"/>
  <c r="AD73" i="50"/>
  <c r="C21" i="168" l="1"/>
  <c r="G20" i="168"/>
  <c r="C21" i="167"/>
  <c r="G20" i="167"/>
  <c r="C21" i="166"/>
  <c r="G20" i="166"/>
  <c r="C21" i="165"/>
  <c r="G20" i="165"/>
  <c r="C20" i="164"/>
  <c r="G19" i="164"/>
  <c r="C21" i="163"/>
  <c r="G20" i="163"/>
  <c r="C21" i="162"/>
  <c r="G20" i="162"/>
  <c r="C21" i="161"/>
  <c r="G20" i="161"/>
  <c r="C21" i="160"/>
  <c r="G20" i="160"/>
  <c r="C20" i="159"/>
  <c r="G19" i="159"/>
  <c r="C20" i="158"/>
  <c r="G19" i="158"/>
  <c r="C19" i="157"/>
  <c r="G18" i="157"/>
  <c r="C19" i="156"/>
  <c r="G18" i="156"/>
  <c r="C19" i="155"/>
  <c r="G18" i="155"/>
  <c r="C17" i="154"/>
  <c r="G16" i="154"/>
  <c r="C16" i="153"/>
  <c r="G15" i="153"/>
  <c r="C16" i="151"/>
  <c r="G15" i="151"/>
  <c r="D11" i="150"/>
  <c r="G11" i="150" s="1"/>
  <c r="AW11" i="150" s="1"/>
  <c r="D9" i="150"/>
  <c r="G9" i="150" s="1"/>
  <c r="H9" i="150" s="1"/>
  <c r="D10" i="150"/>
  <c r="G10" i="150" s="1"/>
  <c r="H10" i="150" s="1"/>
  <c r="G6" i="150"/>
  <c r="H6" i="150" s="1"/>
  <c r="G7" i="150"/>
  <c r="G8" i="150"/>
  <c r="AW8" i="150" s="1"/>
  <c r="G12" i="150"/>
  <c r="M12" i="150"/>
  <c r="AW12" i="150"/>
  <c r="M11" i="150"/>
  <c r="M10" i="150"/>
  <c r="M9" i="150"/>
  <c r="M8" i="150"/>
  <c r="AW7" i="150"/>
  <c r="M7" i="150"/>
  <c r="H7" i="150"/>
  <c r="M6" i="150"/>
  <c r="M5" i="150"/>
  <c r="AV4" i="150"/>
  <c r="AU4" i="150"/>
  <c r="AT4" i="150"/>
  <c r="AS4" i="150"/>
  <c r="AR4" i="150"/>
  <c r="AQ4" i="150"/>
  <c r="AP4" i="150"/>
  <c r="AO4" i="150"/>
  <c r="AN4" i="150"/>
  <c r="AM4" i="150"/>
  <c r="AL4" i="150"/>
  <c r="AG4" i="150"/>
  <c r="AF4" i="150"/>
  <c r="AE4" i="150"/>
  <c r="AD4" i="150"/>
  <c r="AC4" i="150"/>
  <c r="AB4" i="150"/>
  <c r="AA4" i="150"/>
  <c r="Z4" i="150"/>
  <c r="Y4" i="150"/>
  <c r="X4" i="150"/>
  <c r="W4" i="150"/>
  <c r="V4" i="150"/>
  <c r="U4" i="150"/>
  <c r="T4" i="150"/>
  <c r="S4" i="150"/>
  <c r="R4" i="150"/>
  <c r="Q4" i="150"/>
  <c r="P4" i="150"/>
  <c r="F4" i="150"/>
  <c r="E4" i="150"/>
  <c r="K2" i="150"/>
  <c r="V75" i="50"/>
  <c r="X75" i="50"/>
  <c r="W77" i="50"/>
  <c r="Y75" i="50"/>
  <c r="X76" i="50"/>
  <c r="T74" i="50"/>
  <c r="Y77" i="50"/>
  <c r="U72" i="50"/>
  <c r="X78" i="50"/>
  <c r="X79" i="50"/>
  <c r="U80" i="50"/>
  <c r="X80" i="50"/>
  <c r="U76" i="50"/>
  <c r="V76" i="50"/>
  <c r="O79" i="50"/>
  <c r="W73" i="50"/>
  <c r="U77" i="50"/>
  <c r="T80" i="50"/>
  <c r="X77" i="50"/>
  <c r="X72" i="50"/>
  <c r="Y79" i="50"/>
  <c r="Y78" i="50"/>
  <c r="O80" i="50"/>
  <c r="Y73" i="50"/>
  <c r="V80" i="50"/>
  <c r="T75" i="50"/>
  <c r="Y80" i="50"/>
  <c r="V74" i="50"/>
  <c r="T76" i="50"/>
  <c r="X74" i="50"/>
  <c r="W80" i="50"/>
  <c r="T72" i="50"/>
  <c r="V79" i="50"/>
  <c r="U75" i="50"/>
  <c r="V78" i="50"/>
  <c r="T79" i="50"/>
  <c r="W75" i="50"/>
  <c r="O77" i="50"/>
  <c r="O78" i="50"/>
  <c r="U79" i="50"/>
  <c r="W72" i="50"/>
  <c r="U74" i="50"/>
  <c r="T77" i="50"/>
  <c r="V73" i="50"/>
  <c r="W79" i="50"/>
  <c r="V77" i="50"/>
  <c r="W74" i="50"/>
  <c r="O76" i="50"/>
  <c r="O75" i="50"/>
  <c r="Y74" i="50"/>
  <c r="O74" i="50"/>
  <c r="O73" i="50"/>
  <c r="U73" i="50"/>
  <c r="U78" i="50"/>
  <c r="O72" i="50"/>
  <c r="V72" i="50"/>
  <c r="X73" i="50"/>
  <c r="T73" i="50"/>
  <c r="Y72" i="50"/>
  <c r="W78" i="50"/>
  <c r="Y76" i="50"/>
  <c r="W76" i="50"/>
  <c r="T78" i="50"/>
  <c r="C22" i="168" l="1"/>
  <c r="G21" i="168"/>
  <c r="C22" i="167"/>
  <c r="G21" i="167"/>
  <c r="C22" i="166"/>
  <c r="G21" i="166"/>
  <c r="C22" i="165"/>
  <c r="G21" i="165"/>
  <c r="C21" i="164"/>
  <c r="G20" i="164"/>
  <c r="C22" i="163"/>
  <c r="G21" i="163"/>
  <c r="C22" i="162"/>
  <c r="G21" i="162"/>
  <c r="C22" i="161"/>
  <c r="G21" i="161"/>
  <c r="C22" i="160"/>
  <c r="G21" i="160"/>
  <c r="C21" i="159"/>
  <c r="G20" i="159"/>
  <c r="C21" i="158"/>
  <c r="G20" i="158"/>
  <c r="C20" i="157"/>
  <c r="G19" i="157"/>
  <c r="C20" i="156"/>
  <c r="G19" i="156"/>
  <c r="C20" i="155"/>
  <c r="G19" i="155"/>
  <c r="C18" i="154"/>
  <c r="G17" i="154"/>
  <c r="C17" i="153"/>
  <c r="G16" i="153"/>
  <c r="C17" i="151"/>
  <c r="G16" i="151"/>
  <c r="M4" i="150"/>
  <c r="AW6" i="150"/>
  <c r="H8" i="150"/>
  <c r="AW10" i="150"/>
  <c r="AW9" i="150"/>
  <c r="H11" i="150"/>
  <c r="H12" i="150"/>
  <c r="B1" i="95"/>
  <c r="A2" i="1"/>
  <c r="L77" i="50"/>
  <c r="Q80" i="50"/>
  <c r="L78" i="50"/>
  <c r="S75" i="50"/>
  <c r="Q78" i="50"/>
  <c r="R74" i="50"/>
  <c r="R78" i="50"/>
  <c r="N77" i="50"/>
  <c r="L72" i="50"/>
  <c r="Q73" i="50"/>
  <c r="P80" i="50"/>
  <c r="M80" i="50"/>
  <c r="P74" i="50"/>
  <c r="L73" i="50"/>
  <c r="L74" i="50"/>
  <c r="N73" i="50"/>
  <c r="M75" i="50"/>
  <c r="S74" i="50"/>
  <c r="N75" i="50"/>
  <c r="P79" i="50"/>
  <c r="S76" i="50"/>
  <c r="R77" i="50"/>
  <c r="Q79" i="50"/>
  <c r="M74" i="50"/>
  <c r="M72" i="50"/>
  <c r="N72" i="50"/>
  <c r="R73" i="50"/>
  <c r="M73" i="50"/>
  <c r="S77" i="50"/>
  <c r="N78" i="50"/>
  <c r="P78" i="50"/>
  <c r="R75" i="50"/>
  <c r="R72" i="50"/>
  <c r="N79" i="50"/>
  <c r="P75" i="50"/>
  <c r="P73" i="50"/>
  <c r="S79" i="50"/>
  <c r="P72" i="50"/>
  <c r="M78" i="50"/>
  <c r="Q75" i="50"/>
  <c r="Q77" i="50"/>
  <c r="Q72" i="50"/>
  <c r="R76" i="50"/>
  <c r="L76" i="50"/>
  <c r="N74" i="50"/>
  <c r="Q76" i="50"/>
  <c r="S72" i="50"/>
  <c r="N80" i="50"/>
  <c r="R80" i="50"/>
  <c r="R79" i="50"/>
  <c r="M77" i="50"/>
  <c r="P77" i="50"/>
  <c r="S78" i="50"/>
  <c r="L79" i="50"/>
  <c r="L75" i="50"/>
  <c r="Q74" i="50"/>
  <c r="M79" i="50"/>
  <c r="P76" i="50"/>
  <c r="S73" i="50"/>
  <c r="N76" i="50"/>
  <c r="L80" i="50"/>
  <c r="S80" i="50"/>
  <c r="M76" i="50"/>
  <c r="C23" i="168" l="1"/>
  <c r="G22" i="168"/>
  <c r="C23" i="167"/>
  <c r="G22" i="167"/>
  <c r="C23" i="166"/>
  <c r="G22" i="166"/>
  <c r="C23" i="165"/>
  <c r="G22" i="165"/>
  <c r="C22" i="164"/>
  <c r="G21" i="164"/>
  <c r="C23" i="163"/>
  <c r="G22" i="163"/>
  <c r="C23" i="162"/>
  <c r="G22" i="162"/>
  <c r="C23" i="161"/>
  <c r="G22" i="161"/>
  <c r="C23" i="160"/>
  <c r="G22" i="160"/>
  <c r="C22" i="159"/>
  <c r="G21" i="159"/>
  <c r="C22" i="158"/>
  <c r="G21" i="158"/>
  <c r="C21" i="157"/>
  <c r="G20" i="157"/>
  <c r="C21" i="156"/>
  <c r="G20" i="156"/>
  <c r="C21" i="155"/>
  <c r="G20" i="155"/>
  <c r="C19" i="154"/>
  <c r="G18" i="154"/>
  <c r="C18" i="153"/>
  <c r="G17" i="153"/>
  <c r="C18" i="151"/>
  <c r="G17" i="151"/>
  <c r="F74" i="50"/>
  <c r="F78" i="50"/>
  <c r="F75" i="50"/>
  <c r="F79" i="50"/>
  <c r="F76" i="50"/>
  <c r="F80" i="50"/>
  <c r="F73" i="50"/>
  <c r="F77" i="50"/>
  <c r="F72" i="50"/>
  <c r="C24" i="168" l="1"/>
  <c r="G23" i="168"/>
  <c r="C24" i="167"/>
  <c r="G23" i="167"/>
  <c r="C24" i="166"/>
  <c r="G23" i="166"/>
  <c r="C24" i="165"/>
  <c r="G23" i="165"/>
  <c r="C23" i="164"/>
  <c r="G22" i="164"/>
  <c r="C24" i="163"/>
  <c r="G23" i="163"/>
  <c r="C24" i="162"/>
  <c r="G23" i="162"/>
  <c r="C24" i="161"/>
  <c r="G23" i="161"/>
  <c r="C24" i="160"/>
  <c r="G23" i="160"/>
  <c r="C23" i="159"/>
  <c r="G22" i="159"/>
  <c r="C23" i="158"/>
  <c r="G22" i="158"/>
  <c r="C22" i="157"/>
  <c r="G21" i="157"/>
  <c r="C22" i="156"/>
  <c r="G21" i="156"/>
  <c r="C22" i="155"/>
  <c r="G21" i="155"/>
  <c r="C20" i="154"/>
  <c r="G19" i="154"/>
  <c r="C19" i="153"/>
  <c r="G18" i="153"/>
  <c r="C19" i="151"/>
  <c r="G18" i="151"/>
  <c r="H72" i="50"/>
  <c r="J72" i="50"/>
  <c r="G6"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C25" i="168" l="1"/>
  <c r="G24" i="168"/>
  <c r="C25" i="167"/>
  <c r="G24" i="167"/>
  <c r="C25" i="166"/>
  <c r="G24" i="166"/>
  <c r="C25" i="165"/>
  <c r="G24" i="165"/>
  <c r="C24" i="164"/>
  <c r="G23" i="164"/>
  <c r="C25" i="163"/>
  <c r="G24" i="163"/>
  <c r="C25" i="162"/>
  <c r="G24" i="162"/>
  <c r="C25" i="161"/>
  <c r="G24" i="161"/>
  <c r="C25" i="160"/>
  <c r="G24" i="160"/>
  <c r="C24" i="159"/>
  <c r="G23" i="159"/>
  <c r="C24" i="158"/>
  <c r="G23" i="158"/>
  <c r="C23" i="157"/>
  <c r="G22" i="157"/>
  <c r="C23" i="156"/>
  <c r="G22" i="156"/>
  <c r="C23" i="155"/>
  <c r="G22" i="155"/>
  <c r="C21" i="154"/>
  <c r="G20" i="154"/>
  <c r="C20" i="153"/>
  <c r="G19" i="153"/>
  <c r="C20" i="151"/>
  <c r="G19" i="151"/>
  <c r="D17" i="95"/>
  <c r="C26" i="168" l="1"/>
  <c r="G25" i="168"/>
  <c r="C26" i="167"/>
  <c r="G25" i="167"/>
  <c r="C26" i="166"/>
  <c r="G25" i="166"/>
  <c r="C26" i="165"/>
  <c r="G25" i="165"/>
  <c r="C25" i="164"/>
  <c r="G24" i="164"/>
  <c r="C26" i="163"/>
  <c r="G25" i="163"/>
  <c r="C26" i="162"/>
  <c r="G25" i="162"/>
  <c r="C26" i="161"/>
  <c r="G25" i="161"/>
  <c r="C26" i="160"/>
  <c r="G25" i="160"/>
  <c r="C25" i="159"/>
  <c r="G24" i="159"/>
  <c r="C25" i="158"/>
  <c r="G24" i="158"/>
  <c r="C24" i="157"/>
  <c r="G23" i="157"/>
  <c r="C24" i="156"/>
  <c r="G23" i="156"/>
  <c r="C24" i="155"/>
  <c r="G23" i="155"/>
  <c r="C22" i="154"/>
  <c r="G21" i="154"/>
  <c r="C21" i="153"/>
  <c r="G20" i="153"/>
  <c r="C21" i="151"/>
  <c r="G20" i="151"/>
  <c r="AW4" i="4"/>
  <c r="C27" i="168" l="1"/>
  <c r="G26" i="168"/>
  <c r="C27" i="167"/>
  <c r="G26" i="167"/>
  <c r="C27" i="166"/>
  <c r="G26" i="166"/>
  <c r="C27" i="165"/>
  <c r="G26" i="165"/>
  <c r="C26" i="164"/>
  <c r="G25" i="164"/>
  <c r="C27" i="163"/>
  <c r="G26" i="163"/>
  <c r="C27" i="162"/>
  <c r="G26" i="162"/>
  <c r="C27" i="161"/>
  <c r="G26" i="161"/>
  <c r="C27" i="160"/>
  <c r="G26" i="160"/>
  <c r="C26" i="159"/>
  <c r="G25" i="159"/>
  <c r="C26" i="158"/>
  <c r="G25" i="158"/>
  <c r="C25" i="157"/>
  <c r="G24" i="157"/>
  <c r="C25" i="156"/>
  <c r="G24" i="156"/>
  <c r="C25" i="155"/>
  <c r="G24" i="155"/>
  <c r="C23" i="154"/>
  <c r="G22" i="154"/>
  <c r="C22" i="153"/>
  <c r="G21" i="153"/>
  <c r="C22" i="151"/>
  <c r="G21"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G27" i="168" l="1"/>
  <c r="C28" i="168"/>
  <c r="G27" i="167"/>
  <c r="C28" i="167"/>
  <c r="G27" i="166"/>
  <c r="C28" i="166"/>
  <c r="G27" i="165"/>
  <c r="C28" i="165"/>
  <c r="C27" i="164"/>
  <c r="G26" i="164"/>
  <c r="G27" i="163"/>
  <c r="C28" i="163"/>
  <c r="G27" i="162"/>
  <c r="C28" i="162"/>
  <c r="G27" i="161"/>
  <c r="C28" i="161"/>
  <c r="G27" i="160"/>
  <c r="C28" i="160"/>
  <c r="C27" i="159"/>
  <c r="G26" i="159"/>
  <c r="C27" i="158"/>
  <c r="G26" i="158"/>
  <c r="C26" i="157"/>
  <c r="G25" i="157"/>
  <c r="C26" i="156"/>
  <c r="G25" i="156"/>
  <c r="C26" i="155"/>
  <c r="G25" i="155"/>
  <c r="C24" i="154"/>
  <c r="G23" i="154"/>
  <c r="C23" i="153"/>
  <c r="G22" i="153"/>
  <c r="C23" i="151"/>
  <c r="G22" i="151"/>
  <c r="D10" i="9"/>
  <c r="E10" i="9"/>
  <c r="I10" i="9" s="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H7" i="137"/>
  <c r="M6" i="137"/>
  <c r="H6" i="137"/>
  <c r="AX5" i="137"/>
  <c r="M5" i="137"/>
  <c r="H5" i="137"/>
  <c r="AV4" i="137"/>
  <c r="AU4" i="137"/>
  <c r="AT4" i="137"/>
  <c r="AS4" i="137"/>
  <c r="AR4" i="137"/>
  <c r="AQ4" i="137"/>
  <c r="AP4" i="137"/>
  <c r="AO4" i="137"/>
  <c r="AN4" i="137"/>
  <c r="AM4" i="137"/>
  <c r="AF4" i="137"/>
  <c r="AE4" i="137"/>
  <c r="AD4" i="137"/>
  <c r="AC4" i="137"/>
  <c r="AB4" i="137"/>
  <c r="AA4" i="137"/>
  <c r="Z4" i="137"/>
  <c r="Y4" i="137"/>
  <c r="X4" i="137"/>
  <c r="W4" i="137"/>
  <c r="V4" i="137"/>
  <c r="U4" i="137"/>
  <c r="T4" i="137"/>
  <c r="S4" i="137"/>
  <c r="R4" i="137"/>
  <c r="Q4" i="137"/>
  <c r="P4" i="137"/>
  <c r="F4" i="137"/>
  <c r="E4" i="137"/>
  <c r="C29" i="168" l="1"/>
  <c r="G28" i="168"/>
  <c r="C29" i="167"/>
  <c r="G28" i="167"/>
  <c r="C29" i="166"/>
  <c r="G28" i="166"/>
  <c r="C29" i="165"/>
  <c r="G28" i="165"/>
  <c r="G27" i="164"/>
  <c r="C28" i="164"/>
  <c r="C29" i="163"/>
  <c r="G28" i="163"/>
  <c r="C29" i="162"/>
  <c r="G28" i="162"/>
  <c r="C29" i="161"/>
  <c r="G28" i="161"/>
  <c r="C29" i="160"/>
  <c r="G28" i="160"/>
  <c r="G27" i="159"/>
  <c r="C28" i="159"/>
  <c r="G27" i="158"/>
  <c r="C28" i="158"/>
  <c r="C27" i="157"/>
  <c r="G26" i="157"/>
  <c r="C27" i="156"/>
  <c r="G26" i="156"/>
  <c r="C27" i="155"/>
  <c r="G26" i="155"/>
  <c r="C25" i="154"/>
  <c r="G24" i="154"/>
  <c r="C24" i="153"/>
  <c r="G23" i="153"/>
  <c r="C24" i="151"/>
  <c r="G23" i="151"/>
  <c r="M4" i="137"/>
  <c r="AX4" i="137"/>
  <c r="G29" i="168" l="1"/>
  <c r="C30" i="168"/>
  <c r="G29" i="167"/>
  <c r="C30" i="167"/>
  <c r="G29" i="166"/>
  <c r="C30" i="166"/>
  <c r="G29" i="165"/>
  <c r="C30" i="165"/>
  <c r="C29" i="164"/>
  <c r="G28" i="164"/>
  <c r="G29" i="163"/>
  <c r="C30" i="163"/>
  <c r="G29" i="162"/>
  <c r="C30" i="162"/>
  <c r="G29" i="161"/>
  <c r="C30" i="161"/>
  <c r="G29" i="160"/>
  <c r="C30" i="160"/>
  <c r="C29" i="159"/>
  <c r="G28" i="159"/>
  <c r="C29" i="158"/>
  <c r="G28" i="158"/>
  <c r="G27" i="157"/>
  <c r="C28" i="157"/>
  <c r="G27" i="156"/>
  <c r="C28" i="156"/>
  <c r="G27" i="155"/>
  <c r="C28" i="155"/>
  <c r="C26" i="154"/>
  <c r="G25" i="154"/>
  <c r="C25" i="153"/>
  <c r="G24" i="153"/>
  <c r="C25" i="151"/>
  <c r="G24" i="151"/>
  <c r="H4" i="137"/>
  <c r="AX3" i="5"/>
  <c r="O4" i="95"/>
  <c r="O1" i="95"/>
  <c r="P5" i="95"/>
  <c r="P3" i="95"/>
  <c r="P2" i="95"/>
  <c r="P1" i="95"/>
  <c r="G30" i="168" l="1"/>
  <c r="C31" i="168"/>
  <c r="G30" i="167"/>
  <c r="C31" i="167"/>
  <c r="G30" i="166"/>
  <c r="C31" i="166"/>
  <c r="G30" i="165"/>
  <c r="C31" i="165"/>
  <c r="G29" i="164"/>
  <c r="C30" i="164"/>
  <c r="G30" i="163"/>
  <c r="C31" i="163"/>
  <c r="G30" i="162"/>
  <c r="C31" i="162"/>
  <c r="G30" i="161"/>
  <c r="C31" i="161"/>
  <c r="G30" i="160"/>
  <c r="C31" i="160"/>
  <c r="G29" i="159"/>
  <c r="C30" i="159"/>
  <c r="G29" i="158"/>
  <c r="C30" i="158"/>
  <c r="C29" i="157"/>
  <c r="G28" i="157"/>
  <c r="C29" i="156"/>
  <c r="G28" i="156"/>
  <c r="C29" i="155"/>
  <c r="G28" i="155"/>
  <c r="C27" i="154"/>
  <c r="G26" i="154"/>
  <c r="C26" i="153"/>
  <c r="G25" i="153"/>
  <c r="C26" i="151"/>
  <c r="G25" i="151"/>
  <c r="I6" i="137"/>
  <c r="J6" i="137" s="1"/>
  <c r="G6" i="50" s="1"/>
  <c r="I7" i="137"/>
  <c r="J7" i="137" s="1"/>
  <c r="G7" i="50" s="1"/>
  <c r="I5" i="137"/>
  <c r="J5" i="137" s="1"/>
  <c r="G5" i="50" s="1"/>
  <c r="G31" i="168" l="1"/>
  <c r="C32" i="168"/>
  <c r="G31" i="167"/>
  <c r="C32" i="167"/>
  <c r="G31" i="166"/>
  <c r="C32" i="166"/>
  <c r="G31" i="165"/>
  <c r="C32" i="165"/>
  <c r="G30" i="164"/>
  <c r="C31" i="164"/>
  <c r="G31" i="163"/>
  <c r="C32" i="163"/>
  <c r="G31" i="162"/>
  <c r="C32" i="162"/>
  <c r="G31" i="161"/>
  <c r="C32" i="161"/>
  <c r="G31" i="160"/>
  <c r="C32" i="160"/>
  <c r="G30" i="159"/>
  <c r="C31" i="159"/>
  <c r="G30" i="158"/>
  <c r="C31" i="158"/>
  <c r="G29" i="157"/>
  <c r="C30" i="157"/>
  <c r="G29" i="156"/>
  <c r="C30" i="156"/>
  <c r="G29" i="155"/>
  <c r="C30" i="155"/>
  <c r="G27" i="154"/>
  <c r="C28" i="154"/>
  <c r="C27" i="153"/>
  <c r="G26" i="153"/>
  <c r="C27" i="151"/>
  <c r="G26" i="151"/>
  <c r="K7" i="137"/>
  <c r="K6" i="137"/>
  <c r="K5" i="137"/>
  <c r="K4" i="137" s="1"/>
  <c r="O2" i="95"/>
  <c r="O3" i="95"/>
  <c r="C33" i="168" l="1"/>
  <c r="G32" i="168"/>
  <c r="C33" i="167"/>
  <c r="G32" i="167"/>
  <c r="C33" i="166"/>
  <c r="G32" i="166"/>
  <c r="C33" i="165"/>
  <c r="G32" i="165"/>
  <c r="G31" i="164"/>
  <c r="C32" i="164"/>
  <c r="C33" i="163"/>
  <c r="G32" i="163"/>
  <c r="C33" i="162"/>
  <c r="G32" i="162"/>
  <c r="C33" i="161"/>
  <c r="G32" i="161"/>
  <c r="C33" i="160"/>
  <c r="G32" i="160"/>
  <c r="G31" i="159"/>
  <c r="C32" i="159"/>
  <c r="G31" i="158"/>
  <c r="C32" i="158"/>
  <c r="G30" i="157"/>
  <c r="C31" i="157"/>
  <c r="G30" i="156"/>
  <c r="C31" i="156"/>
  <c r="G30" i="155"/>
  <c r="C31" i="155"/>
  <c r="C29" i="154"/>
  <c r="G28" i="154"/>
  <c r="G27" i="153"/>
  <c r="C28" i="153"/>
  <c r="G27" i="151"/>
  <c r="C28" i="151"/>
  <c r="L2" i="137"/>
  <c r="M2" i="137"/>
  <c r="K1" i="120"/>
  <c r="M22" i="4"/>
  <c r="H22" i="4"/>
  <c r="O31" i="1"/>
  <c r="O32" i="1"/>
  <c r="M30" i="1"/>
  <c r="G33" i="168" l="1"/>
  <c r="C34" i="168"/>
  <c r="G33" i="167"/>
  <c r="C34" i="167"/>
  <c r="G33" i="166"/>
  <c r="C34" i="166"/>
  <c r="G33" i="165"/>
  <c r="C34" i="165"/>
  <c r="C33" i="164"/>
  <c r="G32" i="164"/>
  <c r="G33" i="163"/>
  <c r="C34" i="163"/>
  <c r="G33" i="162"/>
  <c r="C34" i="162"/>
  <c r="G33" i="161"/>
  <c r="C34" i="161"/>
  <c r="G33" i="160"/>
  <c r="C34" i="160"/>
  <c r="C33" i="159"/>
  <c r="G32" i="159"/>
  <c r="C33" i="158"/>
  <c r="G32" i="158"/>
  <c r="G31" i="157"/>
  <c r="C32" i="157"/>
  <c r="G31" i="156"/>
  <c r="C32" i="156"/>
  <c r="G31" i="155"/>
  <c r="C32" i="155"/>
  <c r="G29" i="154"/>
  <c r="C30" i="154"/>
  <c r="C29" i="153"/>
  <c r="G28" i="153"/>
  <c r="C29" i="151"/>
  <c r="G28" i="151"/>
  <c r="G34" i="168" l="1"/>
  <c r="C35" i="168"/>
  <c r="G34" i="167"/>
  <c r="C35" i="167"/>
  <c r="G34" i="166"/>
  <c r="C35" i="166"/>
  <c r="G34" i="165"/>
  <c r="C35" i="165"/>
  <c r="G33" i="164"/>
  <c r="C34" i="164"/>
  <c r="G34" i="163"/>
  <c r="C35" i="163"/>
  <c r="G34" i="162"/>
  <c r="C35" i="162"/>
  <c r="G34" i="161"/>
  <c r="C35" i="161"/>
  <c r="G34" i="160"/>
  <c r="C35" i="160"/>
  <c r="G33" i="159"/>
  <c r="C34" i="159"/>
  <c r="G33" i="158"/>
  <c r="C34" i="158"/>
  <c r="C33" i="157"/>
  <c r="G32" i="157"/>
  <c r="C33" i="156"/>
  <c r="G32" i="156"/>
  <c r="C33" i="155"/>
  <c r="G32" i="155"/>
  <c r="G30" i="154"/>
  <c r="C31" i="154"/>
  <c r="G29" i="153"/>
  <c r="C30" i="153"/>
  <c r="G29" i="151"/>
  <c r="C30" i="151"/>
  <c r="AX6" i="5"/>
  <c r="AX7" i="5"/>
  <c r="AX8" i="5"/>
  <c r="AX9" i="5"/>
  <c r="AX10" i="5"/>
  <c r="AX11" i="5"/>
  <c r="AX12" i="5"/>
  <c r="AX13" i="5"/>
  <c r="AX14" i="5"/>
  <c r="AX15" i="5"/>
  <c r="AX16" i="5"/>
  <c r="AX17" i="5"/>
  <c r="AX18" i="5"/>
  <c r="AX19" i="5"/>
  <c r="AX20" i="5"/>
  <c r="AX21" i="5"/>
  <c r="AX22" i="5"/>
  <c r="AX23" i="5"/>
  <c r="AX24" i="5"/>
  <c r="AX5" i="5"/>
  <c r="M24" i="50"/>
  <c r="R8" i="50"/>
  <c r="AG15" i="50"/>
  <c r="AG21" i="50"/>
  <c r="W30" i="50"/>
  <c r="U9" i="50"/>
  <c r="R27" i="50"/>
  <c r="N66" i="50"/>
  <c r="U10" i="50"/>
  <c r="U11" i="50"/>
  <c r="AK6" i="50"/>
  <c r="U40" i="50"/>
  <c r="P47" i="50"/>
  <c r="AA19" i="50"/>
  <c r="AE16" i="50"/>
  <c r="X70" i="50"/>
  <c r="Y27" i="50"/>
  <c r="Q36" i="50"/>
  <c r="AI15" i="50"/>
  <c r="O14" i="50"/>
  <c r="AJ33" i="50"/>
  <c r="X27" i="50"/>
  <c r="AM17" i="50"/>
  <c r="Z53" i="50"/>
  <c r="S45" i="50"/>
  <c r="AG10" i="50"/>
  <c r="AI11" i="50"/>
  <c r="AJ26" i="50"/>
  <c r="AH66" i="50"/>
  <c r="AG43" i="50"/>
  <c r="P11" i="50"/>
  <c r="AO61" i="50"/>
  <c r="Z25" i="50"/>
  <c r="AB34" i="50"/>
  <c r="M7" i="50"/>
  <c r="AI66" i="50"/>
  <c r="T16" i="50"/>
  <c r="AJ22" i="50"/>
  <c r="AJ5" i="50"/>
  <c r="AA33" i="50"/>
  <c r="N14" i="50"/>
  <c r="AE12" i="50"/>
  <c r="Z18" i="50"/>
  <c r="X25" i="50"/>
  <c r="X36" i="50"/>
  <c r="AM59" i="50"/>
  <c r="S56" i="50"/>
  <c r="AN19" i="50"/>
  <c r="AK10" i="50"/>
  <c r="AA15" i="50"/>
  <c r="AE37" i="50"/>
  <c r="O31" i="50"/>
  <c r="AO8" i="50"/>
  <c r="R20" i="50"/>
  <c r="AB14" i="50"/>
  <c r="AG47" i="50"/>
  <c r="AH53" i="50"/>
  <c r="X45" i="50"/>
  <c r="AO35" i="50"/>
  <c r="T15" i="50"/>
  <c r="P29" i="50"/>
  <c r="X28" i="50"/>
  <c r="L63" i="50"/>
  <c r="AJ28" i="50"/>
  <c r="AK20" i="50"/>
  <c r="AA7" i="50"/>
  <c r="AB42" i="50"/>
  <c r="S18" i="50"/>
  <c r="AM50" i="50"/>
  <c r="AG19" i="50"/>
  <c r="U71" i="50"/>
  <c r="T59" i="50"/>
  <c r="V8" i="50"/>
  <c r="AL15" i="50"/>
  <c r="S11" i="50"/>
  <c r="X10" i="50"/>
  <c r="AC8" i="50"/>
  <c r="AE41" i="50"/>
  <c r="P24" i="50"/>
  <c r="W10" i="50"/>
  <c r="Y37" i="50"/>
  <c r="O32" i="50"/>
  <c r="X56" i="50"/>
  <c r="AL4" i="50"/>
  <c r="Y40" i="50"/>
  <c r="T6" i="50"/>
  <c r="R31" i="50"/>
  <c r="AA47" i="50"/>
  <c r="Q66" i="50"/>
  <c r="T71" i="50"/>
  <c r="AI24" i="50"/>
  <c r="AD56" i="50"/>
  <c r="AL53" i="50"/>
  <c r="V23" i="50"/>
  <c r="AG25" i="50"/>
  <c r="AF70" i="50"/>
  <c r="AN29" i="50"/>
  <c r="O11" i="50"/>
  <c r="AJ45" i="50"/>
  <c r="AF36" i="50"/>
  <c r="V54" i="50"/>
  <c r="AI5" i="50"/>
  <c r="M13" i="50"/>
  <c r="AB9" i="50"/>
  <c r="X14" i="50"/>
  <c r="X30" i="50"/>
  <c r="AC23" i="50"/>
  <c r="AB7" i="50"/>
  <c r="Z11" i="50"/>
  <c r="AI17" i="50"/>
  <c r="L18" i="50"/>
  <c r="AK13" i="50"/>
  <c r="R30" i="50"/>
  <c r="AI60" i="50"/>
  <c r="AD29" i="50"/>
  <c r="AJ54" i="50"/>
  <c r="AK44" i="50"/>
  <c r="AG7" i="50"/>
  <c r="L19" i="50"/>
  <c r="W11" i="50"/>
  <c r="AG34" i="50"/>
  <c r="AF26" i="50"/>
  <c r="X12" i="50"/>
  <c r="X23" i="50"/>
  <c r="AF20" i="50"/>
  <c r="AF54" i="50"/>
  <c r="N10" i="50"/>
  <c r="R47" i="50"/>
  <c r="AH6" i="50"/>
  <c r="N11" i="50"/>
  <c r="AG8" i="50"/>
  <c r="AN22" i="50"/>
  <c r="L44" i="50"/>
  <c r="AC58" i="50"/>
  <c r="AC31" i="50"/>
  <c r="M32" i="50"/>
  <c r="O16" i="50"/>
  <c r="AA49" i="50"/>
  <c r="V24" i="50"/>
  <c r="AD10" i="50"/>
  <c r="AD12" i="50"/>
  <c r="AJ17" i="50"/>
  <c r="AA26" i="50"/>
  <c r="Y26" i="50"/>
  <c r="U16" i="50"/>
  <c r="AJ38" i="50"/>
  <c r="AD43" i="50"/>
  <c r="X63" i="50"/>
  <c r="AG61" i="50"/>
  <c r="X22" i="50"/>
  <c r="Z20" i="50"/>
  <c r="L50" i="50"/>
  <c r="Y33" i="50"/>
  <c r="AL21" i="50"/>
  <c r="AA44" i="50"/>
  <c r="AG65" i="50"/>
  <c r="X11" i="50"/>
  <c r="AH68" i="50"/>
  <c r="AB18" i="50"/>
  <c r="W50" i="50"/>
  <c r="Y39" i="50"/>
  <c r="AF19" i="50"/>
  <c r="S29" i="50"/>
  <c r="AJ24" i="50"/>
  <c r="M17" i="50"/>
  <c r="M31" i="50"/>
  <c r="R10" i="50"/>
  <c r="AK7" i="50"/>
  <c r="V32" i="50"/>
  <c r="AJ15" i="50"/>
  <c r="Z55" i="50"/>
  <c r="Q42" i="50"/>
  <c r="T50" i="50"/>
  <c r="AF18" i="50"/>
  <c r="S66" i="50"/>
  <c r="AB48" i="50"/>
  <c r="AD51" i="50"/>
  <c r="AL14" i="50"/>
  <c r="Z71" i="50"/>
  <c r="S20" i="50"/>
  <c r="N28" i="50"/>
  <c r="V14" i="50"/>
  <c r="AE53" i="50"/>
  <c r="AB41" i="50"/>
  <c r="AD5" i="50"/>
  <c r="S17" i="50"/>
  <c r="AD16" i="50"/>
  <c r="N64" i="50"/>
  <c r="N7" i="50"/>
  <c r="Z59" i="50"/>
  <c r="V62" i="50"/>
  <c r="R14" i="50"/>
  <c r="L23" i="50"/>
  <c r="S35" i="50"/>
  <c r="V15" i="50"/>
  <c r="AG30" i="50"/>
  <c r="AN5" i="50"/>
  <c r="T68" i="50"/>
  <c r="AG32" i="50"/>
  <c r="AB28" i="50"/>
  <c r="AJ36" i="50"/>
  <c r="AJ6" i="50"/>
  <c r="AF51" i="50"/>
  <c r="T8" i="50"/>
  <c r="T19" i="50"/>
  <c r="L7" i="50"/>
  <c r="X29" i="50"/>
  <c r="W38" i="50"/>
  <c r="AE6" i="50"/>
  <c r="Z37" i="50"/>
  <c r="AF24" i="50"/>
  <c r="AM22" i="50"/>
  <c r="AI56" i="50"/>
  <c r="AF65" i="50"/>
  <c r="N9" i="50"/>
  <c r="AN38" i="50"/>
  <c r="Z32" i="50"/>
  <c r="AB20" i="50"/>
  <c r="L45" i="50"/>
  <c r="AD60" i="50"/>
  <c r="AA35" i="50"/>
  <c r="AE10" i="50"/>
  <c r="AB17" i="50"/>
  <c r="AJ37" i="50"/>
  <c r="AA12" i="50"/>
  <c r="N35" i="50"/>
  <c r="X13" i="50"/>
  <c r="AE9" i="50"/>
  <c r="AD25" i="50"/>
  <c r="Y19" i="50"/>
  <c r="AM5" i="50"/>
  <c r="AN17" i="50"/>
  <c r="AC11" i="50"/>
  <c r="AH42" i="50"/>
  <c r="AE34" i="50"/>
  <c r="O23" i="50"/>
  <c r="Y41" i="50"/>
  <c r="U35" i="50"/>
  <c r="Z17" i="50"/>
  <c r="M12" i="50"/>
  <c r="M16" i="50"/>
  <c r="AG6" i="50"/>
  <c r="AE44" i="50"/>
  <c r="AJ9" i="50"/>
  <c r="Y28" i="50"/>
  <c r="Y56" i="50"/>
  <c r="AM9" i="50"/>
  <c r="W27" i="50"/>
  <c r="L35" i="50"/>
  <c r="O24" i="50"/>
  <c r="AI46" i="50"/>
  <c r="Y23" i="50"/>
  <c r="X8" i="50"/>
  <c r="S41" i="50"/>
  <c r="V9" i="50"/>
  <c r="AL11" i="50"/>
  <c r="AI9" i="50"/>
  <c r="Z50" i="50"/>
  <c r="AN12" i="50"/>
  <c r="AI55" i="50"/>
  <c r="Z29" i="50"/>
  <c r="U49" i="50"/>
  <c r="M9" i="50"/>
  <c r="P60" i="50"/>
  <c r="AJ40" i="50"/>
  <c r="AH7" i="50"/>
  <c r="AN36" i="50"/>
  <c r="AN25" i="50"/>
  <c r="AE14" i="50"/>
  <c r="S38" i="50"/>
  <c r="AE45" i="50"/>
  <c r="T5" i="50"/>
  <c r="M58" i="50"/>
  <c r="N60" i="50"/>
  <c r="AN28" i="50"/>
  <c r="M66" i="50"/>
  <c r="AH52" i="50"/>
  <c r="Z7" i="50"/>
  <c r="O65" i="50"/>
  <c r="AB53" i="50"/>
  <c r="R13" i="50"/>
  <c r="AH19" i="50"/>
  <c r="AB43" i="50"/>
  <c r="V52" i="50"/>
  <c r="AG53" i="50"/>
  <c r="Q15" i="50"/>
  <c r="AG12" i="50"/>
  <c r="N34" i="50"/>
  <c r="W29" i="50"/>
  <c r="AG23" i="50"/>
  <c r="L30" i="50"/>
  <c r="R5" i="50"/>
  <c r="AL61" i="50"/>
  <c r="AF10" i="50"/>
  <c r="AH45" i="50"/>
  <c r="AK21" i="50"/>
  <c r="AF13" i="50"/>
  <c r="AG27" i="50"/>
  <c r="Z28" i="50"/>
  <c r="Q6" i="50"/>
  <c r="AG33" i="50"/>
  <c r="AL56" i="50"/>
  <c r="AF17" i="50"/>
  <c r="AC27" i="50"/>
  <c r="W8" i="50"/>
  <c r="O50" i="50"/>
  <c r="Z40" i="50"/>
  <c r="AG28" i="50"/>
  <c r="AN24" i="50"/>
  <c r="AK15" i="50"/>
  <c r="AK23" i="50"/>
  <c r="W16" i="50"/>
  <c r="Y25" i="50"/>
  <c r="T10" i="50"/>
  <c r="AB27" i="50"/>
  <c r="AJ21" i="50"/>
  <c r="P33" i="50"/>
  <c r="Q41" i="50"/>
  <c r="AJ19" i="50"/>
  <c r="X7" i="50"/>
  <c r="T9" i="50"/>
  <c r="AI22" i="50"/>
  <c r="AC26" i="50"/>
  <c r="AI33" i="50"/>
  <c r="X59" i="50"/>
  <c r="R63" i="50"/>
  <c r="AD35" i="50"/>
  <c r="V10" i="50"/>
  <c r="N5" i="50"/>
  <c r="AH33" i="50"/>
  <c r="AK8" i="50"/>
  <c r="R37" i="50"/>
  <c r="Q27" i="50"/>
  <c r="O34" i="50"/>
  <c r="AD31" i="50"/>
  <c r="N17" i="50"/>
  <c r="U5" i="50"/>
  <c r="N38" i="50"/>
  <c r="P45" i="50"/>
  <c r="AA6" i="50"/>
  <c r="Q23" i="50"/>
  <c r="Q5" i="50"/>
  <c r="O30" i="50"/>
  <c r="AL35" i="50"/>
  <c r="S50" i="50"/>
  <c r="AC22" i="50"/>
  <c r="AF47" i="50"/>
  <c r="AD30" i="50"/>
  <c r="AI37" i="50"/>
  <c r="U47" i="50"/>
  <c r="W19" i="50"/>
  <c r="AK11" i="50"/>
  <c r="AI18" i="50"/>
  <c r="AA43" i="50"/>
  <c r="M19" i="50"/>
  <c r="AE19" i="50"/>
  <c r="Y47" i="50"/>
  <c r="AK50" i="50"/>
  <c r="AC38" i="50"/>
  <c r="T7" i="50"/>
  <c r="AJ16" i="50"/>
  <c r="AC66" i="50"/>
  <c r="M5" i="50"/>
  <c r="Q48" i="50"/>
  <c r="Z47" i="50"/>
  <c r="P36" i="50"/>
  <c r="AH17" i="50"/>
  <c r="AA8" i="50"/>
  <c r="N18" i="50"/>
  <c r="S57" i="50"/>
  <c r="L42" i="50"/>
  <c r="L15" i="50"/>
  <c r="O18" i="50"/>
  <c r="AD67" i="50"/>
  <c r="O13" i="50"/>
  <c r="AM21" i="50"/>
  <c r="V40" i="50"/>
  <c r="AH51" i="50"/>
  <c r="AC18" i="50"/>
  <c r="AL47" i="50"/>
  <c r="AJ44" i="50"/>
  <c r="X41" i="50"/>
  <c r="O6" i="50"/>
  <c r="AB19" i="50"/>
  <c r="Y18" i="50"/>
  <c r="S54" i="50"/>
  <c r="AJ8" i="50"/>
  <c r="AA69" i="50"/>
  <c r="AM8" i="50"/>
  <c r="Q29" i="50"/>
  <c r="AA52" i="50"/>
  <c r="AJ52" i="50"/>
  <c r="O40" i="50"/>
  <c r="AF50" i="50"/>
  <c r="AE18" i="50"/>
  <c r="M65" i="50"/>
  <c r="AJ56" i="50"/>
  <c r="AH71" i="50"/>
  <c r="AI54" i="50"/>
  <c r="O47" i="50"/>
  <c r="AA70" i="50"/>
  <c r="N12" i="50"/>
  <c r="AF61" i="50"/>
  <c r="T30" i="50"/>
  <c r="X17" i="50"/>
  <c r="R67" i="50"/>
  <c r="M46" i="50"/>
  <c r="AF64" i="50"/>
  <c r="AM7" i="50"/>
  <c r="T46" i="50"/>
  <c r="M39" i="50"/>
  <c r="AO63" i="50"/>
  <c r="Z43" i="50"/>
  <c r="AA66" i="50"/>
  <c r="P19" i="50"/>
  <c r="L62" i="50"/>
  <c r="AC16" i="50"/>
  <c r="M69" i="50"/>
  <c r="AK42" i="50"/>
  <c r="AC57" i="50"/>
  <c r="L13" i="50"/>
  <c r="U56" i="50"/>
  <c r="AA54" i="50"/>
  <c r="AO40" i="50"/>
  <c r="M42" i="50"/>
  <c r="Z61" i="50"/>
  <c r="AE31" i="50"/>
  <c r="V33" i="50"/>
  <c r="AM41" i="50"/>
  <c r="AJ12" i="50"/>
  <c r="N15" i="50"/>
  <c r="AE24" i="50"/>
  <c r="X50" i="50"/>
  <c r="Q17" i="50"/>
  <c r="AO17" i="50"/>
  <c r="AI23" i="50"/>
  <c r="AN6" i="50"/>
  <c r="AF21" i="50"/>
  <c r="P53" i="50"/>
  <c r="R40" i="50"/>
  <c r="AL46" i="50"/>
  <c r="AG50" i="50"/>
  <c r="S62" i="50"/>
  <c r="AN52" i="50"/>
  <c r="AB37" i="50"/>
  <c r="L57" i="50"/>
  <c r="X6" i="50"/>
  <c r="AI43" i="50"/>
  <c r="Q51" i="50"/>
  <c r="AF16" i="50"/>
  <c r="T11" i="50"/>
  <c r="AL7" i="50"/>
  <c r="R48" i="50"/>
  <c r="W17" i="50"/>
  <c r="P10" i="50"/>
  <c r="Q32" i="50"/>
  <c r="AC64" i="50"/>
  <c r="X15" i="50"/>
  <c r="R19" i="50"/>
  <c r="N19" i="50"/>
  <c r="N55" i="50"/>
  <c r="AH9" i="50"/>
  <c r="AH28" i="50"/>
  <c r="AF8" i="50"/>
  <c r="AL33" i="50"/>
  <c r="AI65" i="50"/>
  <c r="V35" i="50"/>
  <c r="AD27" i="50"/>
  <c r="S9" i="50"/>
  <c r="L70" i="50"/>
  <c r="AN54" i="50"/>
  <c r="AE28" i="50"/>
  <c r="Y16" i="50"/>
  <c r="AC55" i="50"/>
  <c r="M36" i="50"/>
  <c r="AH37" i="50"/>
  <c r="S12" i="50"/>
  <c r="R38" i="50"/>
  <c r="AM11" i="50"/>
  <c r="AN7" i="50"/>
  <c r="AH48" i="50"/>
  <c r="AL52" i="50"/>
  <c r="U18" i="50"/>
  <c r="T13" i="50"/>
  <c r="Q8" i="50"/>
  <c r="AI28" i="50"/>
  <c r="P15" i="50"/>
  <c r="M40" i="50"/>
  <c r="AM15" i="50"/>
  <c r="Z44" i="50"/>
  <c r="AH8" i="50"/>
  <c r="AJ64" i="50"/>
  <c r="N41" i="50"/>
  <c r="AG39" i="50"/>
  <c r="AO70" i="50"/>
  <c r="M37" i="50"/>
  <c r="S33" i="50"/>
  <c r="AF41" i="50"/>
  <c r="M26" i="50"/>
  <c r="AG17" i="50"/>
  <c r="AF12" i="50"/>
  <c r="Q9" i="50"/>
  <c r="AF49" i="50"/>
  <c r="AD17" i="50"/>
  <c r="X68" i="50"/>
  <c r="AF22" i="50"/>
  <c r="O68" i="50"/>
  <c r="AO19" i="50"/>
  <c r="AN9" i="50"/>
  <c r="AK57" i="50"/>
  <c r="AC42" i="50"/>
  <c r="R33" i="50"/>
  <c r="AN61" i="50"/>
  <c r="Y53" i="50"/>
  <c r="Y49" i="50"/>
  <c r="M35" i="50"/>
  <c r="AL60" i="50"/>
  <c r="N44" i="50"/>
  <c r="AH31" i="50"/>
  <c r="R64" i="50"/>
  <c r="O5" i="50"/>
  <c r="AD20" i="50"/>
  <c r="V44" i="50"/>
  <c r="Y52" i="50"/>
  <c r="N59" i="50"/>
  <c r="AH67" i="50"/>
  <c r="M68" i="50"/>
  <c r="AH62" i="50"/>
  <c r="AD15" i="50"/>
  <c r="AD48" i="50"/>
  <c r="AC29" i="50"/>
  <c r="AH32" i="50"/>
  <c r="AN16" i="50"/>
  <c r="N45" i="50"/>
  <c r="AD6" i="50"/>
  <c r="R23" i="50"/>
  <c r="AA38" i="50"/>
  <c r="X62" i="50"/>
  <c r="AO57" i="50"/>
  <c r="AH18" i="50"/>
  <c r="L47" i="50"/>
  <c r="Z65" i="50"/>
  <c r="AK68" i="50"/>
  <c r="AK48" i="50"/>
  <c r="L28" i="50"/>
  <c r="AD61" i="50"/>
  <c r="Z60" i="50"/>
  <c r="AE69" i="50"/>
  <c r="P8" i="50"/>
  <c r="T22" i="50"/>
  <c r="AA9" i="50"/>
  <c r="L21" i="50"/>
  <c r="R39" i="50"/>
  <c r="U62" i="50"/>
  <c r="P9" i="50"/>
  <c r="AA67" i="50"/>
  <c r="AK63" i="50"/>
  <c r="AC54" i="50"/>
  <c r="V38" i="50"/>
  <c r="W18" i="50"/>
  <c r="Y24" i="50"/>
  <c r="AO5" i="50"/>
  <c r="AK32" i="50"/>
  <c r="AD39" i="50"/>
  <c r="Z26" i="50"/>
  <c r="N27" i="50"/>
  <c r="AJ71" i="50"/>
  <c r="AM68" i="50"/>
  <c r="O37" i="50"/>
  <c r="AB23" i="50"/>
  <c r="Y59" i="50"/>
  <c r="AA50" i="50"/>
  <c r="R35" i="50"/>
  <c r="V16" i="50"/>
  <c r="V69" i="50"/>
  <c r="M18" i="50"/>
  <c r="P6" i="50"/>
  <c r="AD19" i="50"/>
  <c r="Z5" i="50"/>
  <c r="T58" i="50"/>
  <c r="AL71" i="50"/>
  <c r="AD26" i="50"/>
  <c r="Z58" i="50"/>
  <c r="AK34" i="50"/>
  <c r="AI20" i="50"/>
  <c r="AD55" i="50"/>
  <c r="AM60" i="50"/>
  <c r="V51" i="50"/>
  <c r="O51" i="50"/>
  <c r="AE5" i="50"/>
  <c r="AL38" i="50"/>
  <c r="AI48" i="50"/>
  <c r="AL30" i="50"/>
  <c r="U7" i="50"/>
  <c r="AF30" i="50"/>
  <c r="AJ31" i="50"/>
  <c r="AC67" i="50"/>
  <c r="AB22" i="50"/>
  <c r="AG26" i="50"/>
  <c r="AG16" i="50"/>
  <c r="U25" i="50"/>
  <c r="U46" i="50"/>
  <c r="AO50" i="50"/>
  <c r="R12" i="50"/>
  <c r="N8" i="50"/>
  <c r="O66" i="50"/>
  <c r="AB40" i="50"/>
  <c r="N61" i="50"/>
  <c r="O15" i="50"/>
  <c r="AC6" i="50"/>
  <c r="AB35" i="50"/>
  <c r="AM32" i="50"/>
  <c r="O38" i="50"/>
  <c r="W55" i="50"/>
  <c r="V12" i="50"/>
  <c r="L39" i="50"/>
  <c r="AN44" i="50"/>
  <c r="T31" i="50"/>
  <c r="AE22" i="50"/>
  <c r="AJ42" i="50"/>
  <c r="Z13" i="50"/>
  <c r="M50" i="50"/>
  <c r="AI71" i="50"/>
  <c r="M25" i="50"/>
  <c r="AK55" i="50"/>
  <c r="V36" i="50"/>
  <c r="W62" i="50"/>
  <c r="X21" i="50"/>
  <c r="AA63" i="50"/>
  <c r="Q47" i="50"/>
  <c r="Z41" i="50"/>
  <c r="Y69" i="50"/>
  <c r="AF68" i="50"/>
  <c r="AK65" i="50"/>
  <c r="V49" i="50"/>
  <c r="T61" i="50"/>
  <c r="AD38" i="50"/>
  <c r="S43" i="50"/>
  <c r="AI25" i="50"/>
  <c r="AJ48" i="50"/>
  <c r="P65" i="50"/>
  <c r="AC12" i="50"/>
  <c r="T51" i="50"/>
  <c r="L11" i="50"/>
  <c r="Z24" i="50"/>
  <c r="AA13" i="50"/>
  <c r="Y51" i="50"/>
  <c r="W21" i="50"/>
  <c r="Q26" i="50"/>
  <c r="V21" i="50"/>
  <c r="V48" i="50"/>
  <c r="X16" i="50"/>
  <c r="X61" i="50"/>
  <c r="AB59" i="50"/>
  <c r="AE26" i="50"/>
  <c r="O53" i="50"/>
  <c r="AL58" i="50"/>
  <c r="AE36" i="50"/>
  <c r="AB57" i="50"/>
  <c r="T55" i="50"/>
  <c r="AB66" i="50"/>
  <c r="T63" i="50"/>
  <c r="AJ50" i="50"/>
  <c r="AJ60" i="50"/>
  <c r="AK59" i="50"/>
  <c r="T62" i="50"/>
  <c r="P44" i="50"/>
  <c r="AD71" i="50"/>
  <c r="AG9" i="50"/>
  <c r="AA30" i="50"/>
  <c r="L25" i="50"/>
  <c r="O10" i="50"/>
  <c r="W47" i="50"/>
  <c r="AK29" i="50"/>
  <c r="AB47" i="50"/>
  <c r="S30" i="50"/>
  <c r="AH16" i="50"/>
  <c r="AC47" i="50"/>
  <c r="S8" i="50"/>
  <c r="M21" i="50"/>
  <c r="AO32" i="50"/>
  <c r="AM35" i="50"/>
  <c r="AM28" i="50"/>
  <c r="AK66" i="50"/>
  <c r="O49" i="50"/>
  <c r="AC50" i="50"/>
  <c r="AL25" i="50"/>
  <c r="AD46" i="50"/>
  <c r="AE51" i="50"/>
  <c r="AJ29" i="50"/>
  <c r="AL31" i="50"/>
  <c r="AN58" i="50"/>
  <c r="AJ68" i="50"/>
  <c r="W39" i="50"/>
  <c r="O28" i="50"/>
  <c r="AG38" i="50"/>
  <c r="S26" i="50"/>
  <c r="T25" i="50"/>
  <c r="AA36" i="50"/>
  <c r="W61" i="50"/>
  <c r="P12" i="50"/>
  <c r="AE8" i="50"/>
  <c r="P38" i="50"/>
  <c r="AI19" i="50"/>
  <c r="AI30" i="50"/>
  <c r="AF46" i="50"/>
  <c r="AL49" i="50"/>
  <c r="Z19" i="50"/>
  <c r="AI38" i="50"/>
  <c r="AI29" i="50"/>
  <c r="AB38" i="50"/>
  <c r="AF33" i="50"/>
  <c r="S32" i="50"/>
  <c r="Q18" i="50"/>
  <c r="P58" i="50"/>
  <c r="AN59" i="50"/>
  <c r="AE13" i="50"/>
  <c r="AG13" i="50"/>
  <c r="AF6" i="50"/>
  <c r="V46" i="50"/>
  <c r="S53" i="50"/>
  <c r="N6" i="50"/>
  <c r="AK36" i="50"/>
  <c r="Z15" i="50"/>
  <c r="L69" i="50"/>
  <c r="R53" i="50"/>
  <c r="AA41" i="50"/>
  <c r="AB63" i="50"/>
  <c r="L27" i="50"/>
  <c r="AB56" i="50"/>
  <c r="S19" i="50"/>
  <c r="Z21" i="50"/>
  <c r="S14" i="50"/>
  <c r="W5" i="50"/>
  <c r="AF57" i="50"/>
  <c r="AA37" i="50"/>
  <c r="AN31" i="50"/>
  <c r="AL40" i="50"/>
  <c r="T35" i="50"/>
  <c r="L9" i="50"/>
  <c r="AC32" i="50"/>
  <c r="S22" i="50"/>
  <c r="S52" i="50"/>
  <c r="AE64" i="50"/>
  <c r="AA60" i="50"/>
  <c r="N48" i="50"/>
  <c r="S64" i="50"/>
  <c r="R69" i="50"/>
  <c r="Z35" i="50"/>
  <c r="T29" i="50"/>
  <c r="AJ11" i="50"/>
  <c r="AA24" i="50"/>
  <c r="S23" i="50"/>
  <c r="U12" i="50"/>
  <c r="S10" i="50"/>
  <c r="AL13" i="50"/>
  <c r="AI61" i="50"/>
  <c r="N40" i="50"/>
  <c r="X18" i="50"/>
  <c r="W59" i="50"/>
  <c r="AK22" i="50"/>
  <c r="Y7" i="50"/>
  <c r="AA14" i="50"/>
  <c r="S28" i="50"/>
  <c r="V67" i="50"/>
  <c r="AB21" i="50"/>
  <c r="AM61" i="50"/>
  <c r="P16" i="50"/>
  <c r="AL19" i="50"/>
  <c r="AN47" i="50"/>
  <c r="AG48" i="50"/>
  <c r="AF5" i="50"/>
  <c r="AL27" i="50"/>
  <c r="Y44" i="50"/>
  <c r="T67" i="50"/>
  <c r="AG62" i="50"/>
  <c r="Z8" i="50"/>
  <c r="AA40" i="50"/>
  <c r="L16" i="50"/>
  <c r="AI7" i="50"/>
  <c r="AC36" i="50"/>
  <c r="Q53" i="50"/>
  <c r="AL36" i="50"/>
  <c r="M43" i="50"/>
  <c r="X67" i="50"/>
  <c r="U23" i="50"/>
  <c r="Z64" i="50"/>
  <c r="AO41" i="50"/>
  <c r="L51" i="50"/>
  <c r="AN26" i="50"/>
  <c r="L61" i="50"/>
  <c r="T44" i="50"/>
  <c r="P25" i="50"/>
  <c r="AO10" i="50"/>
  <c r="AK47" i="50"/>
  <c r="S58" i="50"/>
  <c r="L24" i="50"/>
  <c r="AL29" i="50"/>
  <c r="AI41" i="50"/>
  <c r="AM67" i="50"/>
  <c r="AH12" i="50"/>
  <c r="P26" i="50"/>
  <c r="S46" i="50"/>
  <c r="Q57" i="50"/>
  <c r="AD14" i="50"/>
  <c r="Q56" i="50"/>
  <c r="AF39" i="50"/>
  <c r="X31" i="50"/>
  <c r="AE65" i="50"/>
  <c r="M53" i="50"/>
  <c r="AO7" i="50"/>
  <c r="AH13" i="50"/>
  <c r="V18" i="50"/>
  <c r="N65" i="50"/>
  <c r="M59" i="50"/>
  <c r="AO31" i="50"/>
  <c r="Y50" i="50"/>
  <c r="AB13" i="50"/>
  <c r="AN45" i="50"/>
  <c r="L5" i="50"/>
  <c r="AB24" i="50"/>
  <c r="X26" i="50"/>
  <c r="X39" i="50"/>
  <c r="AH25" i="50"/>
  <c r="AO59" i="50"/>
  <c r="AM71" i="50"/>
  <c r="AH56" i="50"/>
  <c r="W35" i="50"/>
  <c r="AN10" i="50"/>
  <c r="AJ49" i="50"/>
  <c r="M70" i="50"/>
  <c r="AD47" i="50"/>
  <c r="U68" i="50"/>
  <c r="X53" i="50"/>
  <c r="AI70" i="50"/>
  <c r="AF43" i="50"/>
  <c r="M22" i="50"/>
  <c r="AG49" i="50"/>
  <c r="AC48" i="50"/>
  <c r="Z51" i="50"/>
  <c r="AK31" i="50"/>
  <c r="AF44" i="50"/>
  <c r="P40" i="50"/>
  <c r="O57" i="50"/>
  <c r="N37" i="50"/>
  <c r="AM65" i="50"/>
  <c r="AE61" i="50"/>
  <c r="AH63" i="50"/>
  <c r="T69" i="50"/>
  <c r="P23" i="50"/>
  <c r="R22" i="50"/>
  <c r="T23" i="50"/>
  <c r="AC40" i="50"/>
  <c r="M15" i="50"/>
  <c r="AD40" i="50"/>
  <c r="AD13" i="50"/>
  <c r="W53" i="50"/>
  <c r="O52" i="50"/>
  <c r="AL43" i="50"/>
  <c r="AC65" i="50"/>
  <c r="T47" i="50"/>
  <c r="T18" i="50"/>
  <c r="X32" i="50"/>
  <c r="AE27" i="50"/>
  <c r="AO38" i="50"/>
  <c r="AF25" i="50"/>
  <c r="AC51" i="50"/>
  <c r="AJ59" i="50"/>
  <c r="AB32" i="50"/>
  <c r="AB51" i="50"/>
  <c r="AG67" i="50"/>
  <c r="AO36" i="50"/>
  <c r="AD49" i="50"/>
  <c r="U61" i="50"/>
  <c r="AO39" i="50"/>
  <c r="R62" i="50"/>
  <c r="Z45" i="50"/>
  <c r="AH64" i="50"/>
  <c r="O35" i="50"/>
  <c r="AK28" i="50"/>
  <c r="AC34" i="50"/>
  <c r="R24" i="50"/>
  <c r="U14" i="50"/>
  <c r="L10" i="50"/>
  <c r="AK19" i="50"/>
  <c r="V20" i="50"/>
  <c r="O44" i="50"/>
  <c r="AM40" i="50"/>
  <c r="AO29" i="50"/>
  <c r="AC9" i="50"/>
  <c r="S63" i="50"/>
  <c r="AN35" i="50"/>
  <c r="AB64" i="50"/>
  <c r="W48" i="50"/>
  <c r="V42" i="50"/>
  <c r="AG56" i="50"/>
  <c r="T14" i="50"/>
  <c r="N26" i="50"/>
  <c r="AB8" i="50"/>
  <c r="S25" i="50"/>
  <c r="U33" i="50"/>
  <c r="AM38" i="50"/>
  <c r="AL22" i="50"/>
  <c r="AF56" i="50"/>
  <c r="AF7" i="50"/>
  <c r="O27" i="50"/>
  <c r="R15" i="50"/>
  <c r="R41" i="50"/>
  <c r="T54" i="50"/>
  <c r="Q71" i="50"/>
  <c r="AD42" i="50"/>
  <c r="AD18" i="50"/>
  <c r="AL65" i="50"/>
  <c r="N68" i="50"/>
  <c r="N49" i="50"/>
  <c r="M44" i="50"/>
  <c r="W66" i="50"/>
  <c r="T41" i="50"/>
  <c r="Q19" i="50"/>
  <c r="N54" i="50"/>
  <c r="AG45" i="50"/>
  <c r="L53" i="50"/>
  <c r="N16" i="50"/>
  <c r="AO56" i="50"/>
  <c r="AN49" i="50"/>
  <c r="U63" i="50"/>
  <c r="L33" i="50"/>
  <c r="P59" i="50"/>
  <c r="U60" i="50"/>
  <c r="U8" i="50"/>
  <c r="W20" i="50"/>
  <c r="N36" i="50"/>
  <c r="AI6" i="50"/>
  <c r="U58" i="50"/>
  <c r="U20" i="50"/>
  <c r="R43" i="50"/>
  <c r="AJ30" i="50"/>
  <c r="S13" i="50"/>
  <c r="P20" i="50"/>
  <c r="P51" i="50"/>
  <c r="AN67" i="50"/>
  <c r="AC59" i="50"/>
  <c r="O69" i="50"/>
  <c r="AF60" i="50"/>
  <c r="AM6" i="50"/>
  <c r="Y68" i="50"/>
  <c r="AF59" i="50"/>
  <c r="T53" i="50"/>
  <c r="AA61" i="50"/>
  <c r="X37" i="50"/>
  <c r="Z36" i="50"/>
  <c r="AI68" i="50"/>
  <c r="AC63" i="50"/>
  <c r="M56" i="50"/>
  <c r="R7" i="50"/>
  <c r="AF63" i="50"/>
  <c r="V30" i="50"/>
  <c r="AJ23" i="50"/>
  <c r="M27" i="50"/>
  <c r="AL57" i="50"/>
  <c r="Q40" i="50"/>
  <c r="AH24" i="50"/>
  <c r="P31" i="50"/>
  <c r="AM39" i="50"/>
  <c r="AG68" i="50"/>
  <c r="P18" i="50"/>
  <c r="AC10" i="50"/>
  <c r="AF37" i="50"/>
  <c r="AM55" i="50"/>
  <c r="R16" i="50"/>
  <c r="AL8" i="50"/>
  <c r="Q33" i="50"/>
  <c r="AH46" i="50"/>
  <c r="O64" i="50"/>
  <c r="S24" i="50"/>
  <c r="AL54" i="50"/>
  <c r="P37" i="50"/>
  <c r="U30" i="50"/>
  <c r="T70" i="50"/>
  <c r="V64" i="50"/>
  <c r="AM13" i="50"/>
  <c r="AD53" i="50"/>
  <c r="AO22" i="50"/>
  <c r="R55" i="50"/>
  <c r="N33" i="50"/>
  <c r="AH34" i="50"/>
  <c r="AO54" i="50"/>
  <c r="AJ62" i="50"/>
  <c r="M55" i="50"/>
  <c r="AC62" i="50"/>
  <c r="AL9" i="50"/>
  <c r="R29" i="50"/>
  <c r="X46" i="50"/>
  <c r="Y71" i="50"/>
  <c r="AL42" i="50"/>
  <c r="AI69" i="50"/>
  <c r="AK51" i="50"/>
  <c r="O41" i="50"/>
  <c r="AH59" i="50"/>
  <c r="N46" i="50"/>
  <c r="T66" i="50"/>
  <c r="AO33" i="50"/>
  <c r="U69" i="50"/>
  <c r="V68" i="50"/>
  <c r="X54" i="50"/>
  <c r="Z30" i="50"/>
  <c r="AN20" i="50"/>
  <c r="L56" i="50"/>
  <c r="AH15" i="50"/>
  <c r="N29" i="50"/>
  <c r="X64" i="50"/>
  <c r="AA42" i="50"/>
  <c r="AM53" i="50"/>
  <c r="AG54" i="50"/>
  <c r="Y63" i="50"/>
  <c r="W52" i="50"/>
  <c r="W32" i="50"/>
  <c r="Y29" i="50"/>
  <c r="AO66" i="50"/>
  <c r="W68" i="50"/>
  <c r="L67" i="50"/>
  <c r="S16" i="50"/>
  <c r="AN32" i="50"/>
  <c r="X58" i="50"/>
  <c r="Z34" i="50"/>
  <c r="AA29" i="50"/>
  <c r="AI63" i="50"/>
  <c r="AI21" i="50"/>
  <c r="AH5" i="50"/>
  <c r="T38" i="50"/>
  <c r="T27" i="50"/>
  <c r="O63" i="50"/>
  <c r="O60" i="50"/>
  <c r="L71" i="50"/>
  <c r="AN13" i="50"/>
  <c r="AF42" i="50"/>
  <c r="M60" i="50"/>
  <c r="AG29" i="50"/>
  <c r="O55" i="50"/>
  <c r="AG37" i="50"/>
  <c r="AE39" i="50"/>
  <c r="AN11" i="50"/>
  <c r="T56" i="50"/>
  <c r="AO30" i="50"/>
  <c r="M34" i="50"/>
  <c r="Y30" i="50"/>
  <c r="AM43" i="50"/>
  <c r="Q31" i="50"/>
  <c r="AH40" i="50"/>
  <c r="AA59" i="50"/>
  <c r="AM44" i="50"/>
  <c r="X42" i="50"/>
  <c r="L66" i="50"/>
  <c r="AK9" i="50"/>
  <c r="AA20" i="50"/>
  <c r="V63" i="50"/>
  <c r="V66" i="50"/>
  <c r="AE68" i="50"/>
  <c r="S21" i="50"/>
  <c r="L17" i="50"/>
  <c r="AE7" i="50"/>
  <c r="AB15" i="50"/>
  <c r="AK16" i="50"/>
  <c r="P13" i="50"/>
  <c r="AC52" i="50"/>
  <c r="Q43" i="50"/>
  <c r="AL64" i="50"/>
  <c r="AG20" i="50"/>
  <c r="V11" i="50"/>
  <c r="W9" i="50"/>
  <c r="T12" i="50"/>
  <c r="V19" i="50"/>
  <c r="Z38" i="50"/>
  <c r="X65" i="50"/>
  <c r="AM10" i="50"/>
  <c r="Z9" i="50"/>
  <c r="AK58" i="50"/>
  <c r="V39" i="50"/>
  <c r="R50" i="50"/>
  <c r="V27" i="50"/>
  <c r="Y32" i="50"/>
  <c r="AG40" i="50"/>
  <c r="O33" i="50"/>
  <c r="AJ53" i="50"/>
  <c r="AM31" i="50"/>
  <c r="AE35" i="50"/>
  <c r="X44" i="50"/>
  <c r="AM63" i="50"/>
  <c r="AD68" i="50"/>
  <c r="W71" i="50"/>
  <c r="X35" i="50"/>
  <c r="T65" i="50"/>
  <c r="U57" i="50"/>
  <c r="AL23" i="50"/>
  <c r="Z12" i="50"/>
  <c r="AF35" i="50"/>
  <c r="AM49" i="50"/>
  <c r="AJ41" i="50"/>
  <c r="Z63" i="50"/>
  <c r="AD32" i="50"/>
  <c r="AF58" i="50"/>
  <c r="AH23" i="50"/>
  <c r="W37" i="50"/>
  <c r="Q7" i="50"/>
  <c r="W54" i="50"/>
  <c r="AH21" i="50"/>
  <c r="AE20" i="50"/>
  <c r="AL26" i="50"/>
  <c r="V29" i="50"/>
  <c r="AH58" i="50"/>
  <c r="O8" i="50"/>
  <c r="T57" i="50"/>
  <c r="Z68" i="50"/>
  <c r="N47" i="50"/>
  <c r="S48" i="50"/>
  <c r="O17" i="50"/>
  <c r="P35" i="50"/>
  <c r="Y21" i="50"/>
  <c r="M54" i="50"/>
  <c r="R59" i="50"/>
  <c r="Z14" i="50"/>
  <c r="S27" i="50"/>
  <c r="AB44" i="50"/>
  <c r="N69" i="50"/>
  <c r="AK69" i="50"/>
  <c r="M61" i="50"/>
  <c r="AI52" i="50"/>
  <c r="AK17" i="50"/>
  <c r="AH20" i="50"/>
  <c r="S31" i="50"/>
  <c r="Z6" i="50"/>
  <c r="AC21" i="50"/>
  <c r="AK35" i="50"/>
  <c r="AL12" i="50"/>
  <c r="AK24" i="50"/>
  <c r="AC71" i="50"/>
  <c r="W7" i="50"/>
  <c r="Q14" i="50"/>
  <c r="AO12" i="50"/>
  <c r="AN71" i="50"/>
  <c r="AE60" i="50"/>
  <c r="AO18" i="50"/>
  <c r="M6" i="50"/>
  <c r="AJ34" i="50"/>
  <c r="T43" i="50"/>
  <c r="W24" i="50"/>
  <c r="AC69" i="50"/>
  <c r="AO64" i="50"/>
  <c r="O48" i="50"/>
  <c r="O29" i="50"/>
  <c r="AK33" i="50"/>
  <c r="L20" i="50"/>
  <c r="X66" i="50"/>
  <c r="R32" i="50"/>
  <c r="AO44" i="50"/>
  <c r="T34" i="50"/>
  <c r="AN51" i="50"/>
  <c r="AB45" i="50"/>
  <c r="S37" i="50"/>
  <c r="N20" i="50"/>
  <c r="AL34" i="50"/>
  <c r="W45" i="50"/>
  <c r="N42" i="50"/>
  <c r="O22" i="50"/>
  <c r="AE48" i="50"/>
  <c r="AK60" i="50"/>
  <c r="S71" i="50"/>
  <c r="AH27" i="50"/>
  <c r="L38" i="50"/>
  <c r="AD37" i="50"/>
  <c r="AI57" i="50"/>
  <c r="AE46" i="50"/>
  <c r="AJ51" i="50"/>
  <c r="U15" i="50"/>
  <c r="P41" i="50"/>
  <c r="AO49" i="50"/>
  <c r="Y17" i="50"/>
  <c r="N53" i="50"/>
  <c r="R28" i="50"/>
  <c r="AJ20" i="50"/>
  <c r="M23" i="50"/>
  <c r="AL51" i="50"/>
  <c r="AG69" i="50"/>
  <c r="R68" i="50"/>
  <c r="V26" i="50"/>
  <c r="X69" i="50"/>
  <c r="S39" i="50"/>
  <c r="Y20" i="50"/>
  <c r="AG41" i="50"/>
  <c r="AK30" i="50"/>
  <c r="AA39" i="50"/>
  <c r="AA62" i="50"/>
  <c r="M14" i="50"/>
  <c r="O12" i="50"/>
  <c r="AL69" i="50"/>
  <c r="AI67" i="50"/>
  <c r="P34" i="50"/>
  <c r="AO34" i="50"/>
  <c r="AI53" i="50"/>
  <c r="AL20" i="50"/>
  <c r="O7" i="50"/>
  <c r="T33" i="50"/>
  <c r="R49" i="50"/>
  <c r="AA57" i="50"/>
  <c r="AD64" i="50"/>
  <c r="T37" i="50"/>
  <c r="Y70" i="50"/>
  <c r="L40" i="50"/>
  <c r="Y43" i="50"/>
  <c r="AK5" i="50"/>
  <c r="N22" i="50"/>
  <c r="R11" i="50"/>
  <c r="P22" i="50"/>
  <c r="M45" i="50"/>
  <c r="S68" i="50"/>
  <c r="U48" i="50"/>
  <c r="AH35" i="50"/>
  <c r="AH57" i="50"/>
  <c r="AO52" i="50"/>
  <c r="AM29" i="50"/>
  <c r="S51" i="50"/>
  <c r="AB29" i="50"/>
  <c r="Y42" i="50"/>
  <c r="Q45" i="50"/>
  <c r="AC37" i="50"/>
  <c r="AK46" i="50"/>
  <c r="AA18" i="50"/>
  <c r="AG42" i="50"/>
  <c r="AM46" i="50"/>
  <c r="AG55" i="50"/>
  <c r="Q35" i="50"/>
  <c r="AM24" i="50"/>
  <c r="O54" i="50"/>
  <c r="AE49" i="50"/>
  <c r="AM20" i="50"/>
  <c r="AO68" i="50"/>
  <c r="N23" i="50"/>
  <c r="AN27" i="50"/>
  <c r="L12" i="50"/>
  <c r="Y12" i="50"/>
  <c r="AC14" i="50"/>
  <c r="V70" i="50"/>
  <c r="AN53" i="50"/>
  <c r="Y14" i="50"/>
  <c r="AK27" i="50"/>
  <c r="Q58" i="50"/>
  <c r="O21" i="50"/>
  <c r="AD23" i="50"/>
  <c r="AN43" i="50"/>
  <c r="AI51" i="50"/>
  <c r="W67" i="50"/>
  <c r="R21" i="50"/>
  <c r="U34" i="50"/>
  <c r="AN63" i="50"/>
  <c r="N56" i="50"/>
  <c r="AM42" i="50"/>
  <c r="AO47" i="50"/>
  <c r="AO69" i="50"/>
  <c r="AI16" i="50"/>
  <c r="U17" i="50"/>
  <c r="L64" i="50"/>
  <c r="Q21" i="50"/>
  <c r="M28" i="50"/>
  <c r="W23" i="50"/>
  <c r="AM52" i="50"/>
  <c r="P43" i="50"/>
  <c r="AH39" i="50"/>
  <c r="M67" i="50"/>
  <c r="O59" i="50"/>
  <c r="U45" i="50"/>
  <c r="P48" i="50"/>
  <c r="AB36" i="50"/>
  <c r="P68" i="50"/>
  <c r="W40" i="50"/>
  <c r="Q46" i="50"/>
  <c r="AN62" i="50"/>
  <c r="AD54" i="50"/>
  <c r="Z33" i="50"/>
  <c r="AG31" i="50"/>
  <c r="AB39" i="50"/>
  <c r="AF62" i="50"/>
  <c r="AG64" i="50"/>
  <c r="AA68" i="50"/>
  <c r="AD24" i="50"/>
  <c r="Y35" i="50"/>
  <c r="AG57" i="50"/>
  <c r="X19" i="50"/>
  <c r="AO27" i="50"/>
  <c r="X52" i="50"/>
  <c r="Z69" i="50"/>
  <c r="AK43" i="50"/>
  <c r="AM30" i="50"/>
  <c r="AK64" i="50"/>
  <c r="AH22" i="50"/>
  <c r="P66" i="50"/>
  <c r="AL67" i="50"/>
  <c r="W43" i="50"/>
  <c r="N31" i="50"/>
  <c r="Y15" i="50"/>
  <c r="AO6" i="50"/>
  <c r="AA11" i="50"/>
  <c r="AN70" i="50"/>
  <c r="AJ65" i="50"/>
  <c r="AB16" i="50"/>
  <c r="AD44" i="50"/>
  <c r="Y60" i="50"/>
  <c r="X55" i="50"/>
  <c r="P49" i="50"/>
  <c r="S6" i="50"/>
  <c r="AA21" i="50"/>
  <c r="AI59" i="50"/>
  <c r="S55" i="50"/>
  <c r="AD50" i="50"/>
  <c r="T36" i="50"/>
  <c r="AN4" i="50"/>
  <c r="Q55" i="50"/>
  <c r="AC70" i="50"/>
  <c r="Y22" i="50"/>
  <c r="AM37" i="50"/>
  <c r="AG66" i="50"/>
  <c r="AC33" i="50"/>
  <c r="AJ13" i="50"/>
  <c r="Z54" i="50"/>
  <c r="AI49" i="50"/>
  <c r="T45" i="50"/>
  <c r="L31" i="50"/>
  <c r="Q50" i="50"/>
  <c r="AG63" i="50"/>
  <c r="AH30" i="50"/>
  <c r="X40" i="50"/>
  <c r="N32" i="50"/>
  <c r="AF23" i="50"/>
  <c r="X43" i="50"/>
  <c r="AB62" i="50"/>
  <c r="AJ66" i="50"/>
  <c r="AD22" i="50"/>
  <c r="W69" i="50"/>
  <c r="W31" i="50"/>
  <c r="AJ35" i="50"/>
  <c r="U67" i="50"/>
  <c r="AN30" i="50"/>
  <c r="AM51" i="50"/>
  <c r="AN57" i="50"/>
  <c r="AJ10" i="50"/>
  <c r="AB10" i="50"/>
  <c r="AI34" i="50"/>
  <c r="O71" i="50"/>
  <c r="AH55" i="50"/>
  <c r="AO14" i="50"/>
  <c r="W60" i="50"/>
  <c r="P30" i="50"/>
  <c r="AF11" i="50"/>
  <c r="AO46" i="50"/>
  <c r="R36" i="50"/>
  <c r="AJ25" i="50"/>
  <c r="X9" i="50"/>
  <c r="AH41" i="50"/>
  <c r="AM66" i="50"/>
  <c r="AB68" i="50"/>
  <c r="AO26" i="50"/>
  <c r="Y45" i="50"/>
  <c r="Z70" i="50"/>
  <c r="Q11" i="50"/>
  <c r="P55" i="50"/>
  <c r="R60" i="50"/>
  <c r="AE11" i="50"/>
  <c r="Q24" i="50"/>
  <c r="AO71" i="50"/>
  <c r="O19" i="50"/>
  <c r="L29" i="50"/>
  <c r="V5" i="50"/>
  <c r="W41" i="50"/>
  <c r="Z16" i="50"/>
  <c r="U22" i="50"/>
  <c r="W14" i="50"/>
  <c r="AF9" i="50"/>
  <c r="P32" i="50"/>
  <c r="Y58" i="50"/>
  <c r="N24" i="50"/>
  <c r="AN14" i="50"/>
  <c r="L32" i="50"/>
  <c r="AE21" i="50"/>
  <c r="AE66" i="50"/>
  <c r="L60" i="50"/>
  <c r="AL68" i="50"/>
  <c r="P21" i="50"/>
  <c r="AI44" i="50"/>
  <c r="AD28" i="50"/>
  <c r="Q39" i="50"/>
  <c r="AC44" i="50"/>
  <c r="W51" i="50"/>
  <c r="Q49" i="50"/>
  <c r="R17" i="50"/>
  <c r="AD45" i="50"/>
  <c r="M52" i="50"/>
  <c r="AC45" i="50"/>
  <c r="Z42" i="50"/>
  <c r="Z48" i="50"/>
  <c r="AB26" i="50"/>
  <c r="AI27" i="50"/>
  <c r="AC43" i="50"/>
  <c r="AE50" i="50"/>
  <c r="V41" i="50"/>
  <c r="O62" i="50"/>
  <c r="AN56" i="50"/>
  <c r="AD21" i="50"/>
  <c r="AK12" i="50"/>
  <c r="AB5" i="50"/>
  <c r="AI26" i="50"/>
  <c r="AO51" i="50"/>
  <c r="W42" i="50"/>
  <c r="Y5" i="50"/>
  <c r="O25" i="50"/>
  <c r="AO25" i="50"/>
  <c r="AM18" i="50"/>
  <c r="AH11" i="50"/>
  <c r="AK40" i="50"/>
  <c r="Q38" i="50"/>
  <c r="W57" i="50"/>
  <c r="W15" i="50"/>
  <c r="U39" i="50"/>
  <c r="AM23" i="50"/>
  <c r="AE55" i="50"/>
  <c r="AF27" i="50"/>
  <c r="AB69" i="50"/>
  <c r="AE17" i="50"/>
  <c r="Y8" i="50"/>
  <c r="N63" i="50"/>
  <c r="AB6" i="50"/>
  <c r="N39" i="50"/>
  <c r="Y10" i="50"/>
  <c r="U27" i="50"/>
  <c r="N21" i="50"/>
  <c r="P28" i="50"/>
  <c r="T17" i="50"/>
  <c r="AO67" i="50"/>
  <c r="AI14" i="50"/>
  <c r="W58" i="50"/>
  <c r="AI62" i="50"/>
  <c r="U36" i="50"/>
  <c r="W36" i="50"/>
  <c r="AF53" i="50"/>
  <c r="P61" i="50"/>
  <c r="O70" i="50"/>
  <c r="AH61" i="50"/>
  <c r="R44" i="50"/>
  <c r="O36" i="50"/>
  <c r="AJ57" i="50"/>
  <c r="AC35" i="50"/>
  <c r="AH14" i="50"/>
  <c r="Y38" i="50"/>
  <c r="M63" i="50"/>
  <c r="AN40" i="50"/>
  <c r="AF48" i="50"/>
  <c r="Q67" i="50"/>
  <c r="O43" i="50"/>
  <c r="AA27" i="50"/>
  <c r="Q25" i="50"/>
  <c r="AD58" i="50"/>
  <c r="P14" i="50"/>
  <c r="AO28" i="50"/>
  <c r="V61" i="50"/>
  <c r="P64" i="50"/>
  <c r="AH43" i="50"/>
  <c r="V43" i="50"/>
  <c r="AJ32" i="50"/>
  <c r="AL32" i="50"/>
  <c r="X20" i="50"/>
  <c r="U32" i="50"/>
  <c r="V6" i="50"/>
  <c r="AO11" i="50"/>
  <c r="AK38" i="50"/>
  <c r="AE71" i="50"/>
  <c r="AD34" i="50"/>
  <c r="AI58" i="50"/>
  <c r="W64" i="50"/>
  <c r="AF14" i="50"/>
  <c r="N71" i="50"/>
  <c r="N13" i="50"/>
  <c r="M8" i="50"/>
  <c r="U31" i="50"/>
  <c r="AI45" i="50"/>
  <c r="AG51" i="50"/>
  <c r="U42" i="50"/>
  <c r="AN23" i="50"/>
  <c r="T60" i="50"/>
  <c r="AN41" i="50"/>
  <c r="AL48" i="50"/>
  <c r="AE52" i="50"/>
  <c r="AM69" i="50"/>
  <c r="S34" i="50"/>
  <c r="AI39" i="50"/>
  <c r="Y36" i="50"/>
  <c r="L68" i="50"/>
  <c r="N30" i="50"/>
  <c r="W44" i="50"/>
  <c r="AM58" i="50"/>
  <c r="AD57" i="50"/>
  <c r="AK41" i="50"/>
  <c r="AJ7" i="50"/>
  <c r="AC15" i="50"/>
  <c r="AB70" i="50"/>
  <c r="Z10" i="50"/>
  <c r="AC25" i="50"/>
  <c r="AB65" i="50"/>
  <c r="AN60" i="50"/>
  <c r="N52" i="50"/>
  <c r="N62" i="50"/>
  <c r="AG24" i="50"/>
  <c r="L14" i="50"/>
  <c r="Y67" i="50"/>
  <c r="AN37" i="50"/>
  <c r="N50" i="50"/>
  <c r="Y11" i="50"/>
  <c r="AL59" i="50"/>
  <c r="U28" i="50"/>
  <c r="AL50" i="50"/>
  <c r="W49" i="50"/>
  <c r="R54" i="50"/>
  <c r="S15" i="50"/>
  <c r="M49" i="50"/>
  <c r="L37" i="50"/>
  <c r="AB61" i="50"/>
  <c r="Q13" i="50"/>
  <c r="AH54" i="50"/>
  <c r="R66" i="50"/>
  <c r="M41" i="50"/>
  <c r="AD8" i="50"/>
  <c r="AF66" i="50"/>
  <c r="AA25" i="50"/>
  <c r="Y65" i="50"/>
  <c r="L26" i="50"/>
  <c r="AD66" i="50"/>
  <c r="Z67" i="50"/>
  <c r="AB55" i="50"/>
  <c r="U13" i="50"/>
  <c r="AA23" i="50"/>
  <c r="AO55" i="50"/>
  <c r="AA71" i="50"/>
  <c r="AD63" i="50"/>
  <c r="AI50" i="50"/>
  <c r="AL45" i="50"/>
  <c r="Q69" i="50"/>
  <c r="AH38" i="50"/>
  <c r="AK70" i="50"/>
  <c r="T52" i="50"/>
  <c r="V28" i="50"/>
  <c r="L22" i="50"/>
  <c r="Q30" i="50"/>
  <c r="M11" i="50"/>
  <c r="AK54" i="50"/>
  <c r="P52" i="50"/>
  <c r="AA51" i="50"/>
  <c r="L46" i="50"/>
  <c r="W65" i="50"/>
  <c r="S60" i="50"/>
  <c r="AG46" i="50"/>
  <c r="AA64" i="50"/>
  <c r="AG35" i="50"/>
  <c r="AA16" i="50"/>
  <c r="X71" i="50"/>
  <c r="AG52" i="50"/>
  <c r="N25" i="50"/>
  <c r="W46" i="50"/>
  <c r="AM33" i="50"/>
  <c r="W12" i="50"/>
  <c r="AE47" i="50"/>
  <c r="N58" i="50"/>
  <c r="AO45" i="50"/>
  <c r="AI12" i="50"/>
  <c r="AH36" i="50"/>
  <c r="L59" i="50"/>
  <c r="AC28" i="50"/>
  <c r="R26" i="50"/>
  <c r="Q10" i="50"/>
  <c r="AA55" i="50"/>
  <c r="R6" i="50"/>
  <c r="AL10" i="50"/>
  <c r="W13" i="50"/>
  <c r="AH44" i="50"/>
  <c r="X47" i="50"/>
  <c r="X24" i="50"/>
  <c r="W34" i="50"/>
  <c r="AE67" i="50"/>
  <c r="Z62" i="50"/>
  <c r="U52" i="50"/>
  <c r="AL39" i="50"/>
  <c r="AI42" i="50"/>
  <c r="T24" i="50"/>
  <c r="R61" i="50"/>
  <c r="AA31" i="50"/>
  <c r="O67" i="50"/>
  <c r="AG58" i="50"/>
  <c r="AO23" i="50"/>
  <c r="AJ18" i="50"/>
  <c r="Y6" i="50"/>
  <c r="L58" i="50"/>
  <c r="AF29" i="50"/>
  <c r="V60" i="50"/>
  <c r="P42" i="50"/>
  <c r="AI40" i="50"/>
  <c r="AI64" i="50"/>
  <c r="AF32" i="50"/>
  <c r="AD36" i="50"/>
  <c r="Y13" i="50"/>
  <c r="Y61" i="50"/>
  <c r="AN55" i="50"/>
  <c r="P54" i="50"/>
  <c r="Z56" i="50"/>
  <c r="S70" i="50"/>
  <c r="AF31" i="50"/>
  <c r="AA32" i="50"/>
  <c r="AG71" i="50"/>
  <c r="V56" i="50"/>
  <c r="AH49" i="50"/>
  <c r="O46" i="50"/>
  <c r="AK25" i="50"/>
  <c r="AB30" i="50"/>
  <c r="O20" i="50"/>
  <c r="S65" i="50"/>
  <c r="AM14" i="50"/>
  <c r="Q60" i="50"/>
  <c r="AC7" i="50"/>
  <c r="U24" i="50"/>
  <c r="Q59" i="50"/>
  <c r="S49" i="50"/>
  <c r="M29" i="50"/>
  <c r="W22" i="50"/>
  <c r="AC24" i="50"/>
  <c r="Q37" i="50"/>
  <c r="AE29" i="50"/>
  <c r="AN21" i="50"/>
  <c r="AI31" i="50"/>
  <c r="AJ69" i="50"/>
  <c r="AD69" i="50"/>
  <c r="AG11" i="50"/>
  <c r="AE23" i="50"/>
  <c r="R42" i="50"/>
  <c r="N51" i="50"/>
  <c r="Q62" i="50"/>
  <c r="AH29" i="50"/>
  <c r="R45" i="50"/>
  <c r="AI8" i="50"/>
  <c r="Y34" i="50"/>
  <c r="L52" i="50"/>
  <c r="Q63" i="50"/>
  <c r="AF71" i="50"/>
  <c r="AJ43" i="50"/>
  <c r="AD11" i="50"/>
  <c r="L65" i="50"/>
  <c r="AM62" i="50"/>
  <c r="AB46" i="50"/>
  <c r="W26" i="50"/>
  <c r="AC46" i="50"/>
  <c r="U6" i="50"/>
  <c r="AM26" i="50"/>
  <c r="AF15" i="50"/>
  <c r="Z57" i="50"/>
  <c r="AN66" i="50"/>
  <c r="AO37" i="50"/>
  <c r="AC17" i="50"/>
  <c r="AL17" i="50"/>
  <c r="AK61" i="50"/>
  <c r="O58" i="50"/>
  <c r="AE59" i="50"/>
  <c r="AA65" i="50"/>
  <c r="AB54" i="50"/>
  <c r="AN18" i="50"/>
  <c r="V45" i="50"/>
  <c r="AH50" i="50"/>
  <c r="AJ58" i="50"/>
  <c r="AA34" i="50"/>
  <c r="AA56" i="50"/>
  <c r="AK37" i="50"/>
  <c r="AO13" i="50"/>
  <c r="V65" i="50"/>
  <c r="M48" i="50"/>
  <c r="AK26" i="50"/>
  <c r="M57" i="50"/>
  <c r="AF69" i="50"/>
  <c r="U54" i="50"/>
  <c r="Q12" i="50"/>
  <c r="V57" i="50"/>
  <c r="L43" i="50"/>
  <c r="O61" i="50"/>
  <c r="AG44" i="50"/>
  <c r="AM64" i="50"/>
  <c r="AK52" i="50"/>
  <c r="AH47" i="50"/>
  <c r="S47" i="50"/>
  <c r="AJ63" i="50"/>
  <c r="X51" i="50"/>
  <c r="S5" i="50"/>
  <c r="AM54" i="50"/>
  <c r="AD70" i="50"/>
  <c r="P57" i="50"/>
  <c r="U19" i="50"/>
  <c r="M33" i="50"/>
  <c r="AJ47" i="50"/>
  <c r="AO20" i="50"/>
  <c r="V34" i="50"/>
  <c r="AB71" i="50"/>
  <c r="AK18" i="50"/>
  <c r="Z39" i="50"/>
  <c r="X48" i="50"/>
  <c r="R58" i="50"/>
  <c r="AM47" i="50"/>
  <c r="AN46" i="50"/>
  <c r="X57" i="50"/>
  <c r="AO9" i="50"/>
  <c r="AG22" i="50"/>
  <c r="T40" i="50"/>
  <c r="Z49" i="50"/>
  <c r="AM12" i="50"/>
  <c r="O56" i="50"/>
  <c r="AJ67" i="50"/>
  <c r="AO16" i="50"/>
  <c r="AC60" i="50"/>
  <c r="R51" i="50"/>
  <c r="AO65" i="50"/>
  <c r="AD33" i="50"/>
  <c r="AH65" i="50"/>
  <c r="X49" i="50"/>
  <c r="AN50" i="50"/>
  <c r="W63" i="50"/>
  <c r="AA17" i="50"/>
  <c r="U41" i="50"/>
  <c r="AJ46" i="50"/>
  <c r="AB50" i="50"/>
  <c r="AB33" i="50"/>
  <c r="S40" i="50"/>
  <c r="AN33" i="50"/>
  <c r="S36" i="50"/>
  <c r="V71" i="50"/>
  <c r="Y66" i="50"/>
  <c r="U65" i="50"/>
  <c r="AL44" i="50"/>
  <c r="AE43" i="50"/>
  <c r="AK62" i="50"/>
  <c r="AA28" i="50"/>
  <c r="X33" i="50"/>
  <c r="AC30" i="50"/>
  <c r="P70" i="50"/>
  <c r="AJ27" i="50"/>
  <c r="AO58" i="50"/>
  <c r="Z52" i="50"/>
  <c r="AM25" i="50"/>
  <c r="L48" i="50"/>
  <c r="M10" i="50"/>
  <c r="AN68" i="50"/>
  <c r="AM36" i="50"/>
  <c r="AD65" i="50"/>
  <c r="AG70" i="50"/>
  <c r="R18" i="50"/>
  <c r="AE63" i="50"/>
  <c r="AG60" i="50"/>
  <c r="Q52" i="50"/>
  <c r="AB31" i="50"/>
  <c r="Y55" i="50"/>
  <c r="AF28" i="50"/>
  <c r="Y54" i="50"/>
  <c r="Q44" i="50"/>
  <c r="AL37" i="50"/>
  <c r="R9" i="50"/>
  <c r="P50" i="50"/>
  <c r="Q54" i="50"/>
  <c r="AO42" i="50"/>
  <c r="U21" i="50"/>
  <c r="Y57" i="50"/>
  <c r="AK67" i="50"/>
  <c r="AO60" i="50"/>
  <c r="Q70" i="50"/>
  <c r="P46" i="50"/>
  <c r="AB58" i="50"/>
  <c r="V31" i="50"/>
  <c r="AE15" i="50"/>
  <c r="U66" i="50"/>
  <c r="AD41" i="50"/>
  <c r="Q20" i="50"/>
  <c r="AF67" i="50"/>
  <c r="S44" i="50"/>
  <c r="P63" i="50"/>
  <c r="AN64" i="50"/>
  <c r="Y48" i="50"/>
  <c r="AD9" i="50"/>
  <c r="P56" i="50"/>
  <c r="S69" i="50"/>
  <c r="R34" i="50"/>
  <c r="M71" i="50"/>
  <c r="AN15" i="50"/>
  <c r="Z31" i="50"/>
  <c r="AG36" i="50"/>
  <c r="Z27" i="50"/>
  <c r="W33" i="50"/>
  <c r="R70" i="50"/>
  <c r="AC49" i="50"/>
  <c r="T64" i="50"/>
  <c r="AE33" i="50"/>
  <c r="W56" i="50"/>
  <c r="U38" i="50"/>
  <c r="Y46" i="50"/>
  <c r="P71" i="50"/>
  <c r="R56" i="50"/>
  <c r="U55" i="50"/>
  <c r="AL6" i="50"/>
  <c r="AA22" i="50"/>
  <c r="O42" i="50"/>
  <c r="AK49" i="50"/>
  <c r="AM34" i="50"/>
  <c r="AC56" i="50"/>
  <c r="AI32" i="50"/>
  <c r="V13" i="50"/>
  <c r="Q16" i="50"/>
  <c r="U53" i="50"/>
  <c r="N43" i="50"/>
  <c r="AE42" i="50"/>
  <c r="AM45" i="50"/>
  <c r="M51" i="50"/>
  <c r="W70" i="50"/>
  <c r="AL70" i="50"/>
  <c r="AO4" i="50"/>
  <c r="AC19" i="50"/>
  <c r="V22" i="50"/>
  <c r="AE57" i="50"/>
  <c r="Y62" i="50"/>
  <c r="Y9" i="50"/>
  <c r="N67" i="50"/>
  <c r="V53" i="50"/>
  <c r="AC53" i="50"/>
  <c r="AM57" i="50"/>
  <c r="L49" i="50"/>
  <c r="L55" i="50"/>
  <c r="V7" i="50"/>
  <c r="AG5" i="50"/>
  <c r="P39" i="50"/>
  <c r="T42" i="50"/>
  <c r="Y31" i="50"/>
  <c r="AC5" i="50"/>
  <c r="U26" i="50"/>
  <c r="AG18" i="50"/>
  <c r="AN34" i="50"/>
  <c r="U29" i="50"/>
  <c r="AL24" i="50"/>
  <c r="Q65" i="50"/>
  <c r="P27" i="50"/>
  <c r="AN8" i="50"/>
  <c r="AI35" i="50"/>
  <c r="AF45" i="50"/>
  <c r="W6" i="50"/>
  <c r="AJ39" i="50"/>
  <c r="M20" i="50"/>
  <c r="R46" i="50"/>
  <c r="AH60" i="50"/>
  <c r="AL28" i="50"/>
  <c r="R65" i="50"/>
  <c r="V58" i="50"/>
  <c r="AN39" i="50"/>
  <c r="AO53" i="50"/>
  <c r="AI13" i="50"/>
  <c r="AH10" i="50"/>
  <c r="AK39" i="50"/>
  <c r="L41" i="50"/>
  <c r="V59" i="50"/>
  <c r="AK14" i="50"/>
  <c r="AK56" i="50"/>
  <c r="AJ70" i="50"/>
  <c r="AO24" i="50"/>
  <c r="M38" i="50"/>
  <c r="Z22" i="50"/>
  <c r="T20" i="50"/>
  <c r="U43" i="50"/>
  <c r="Q28" i="50"/>
  <c r="AE30" i="50"/>
  <c r="V37" i="50"/>
  <c r="AI36" i="50"/>
  <c r="V47" i="50"/>
  <c r="P62" i="50"/>
  <c r="P5" i="50"/>
  <c r="U64" i="50"/>
  <c r="W28" i="50"/>
  <c r="AK71" i="50"/>
  <c r="U44" i="50"/>
  <c r="T26" i="50"/>
  <c r="AA10" i="50"/>
  <c r="AM19" i="50"/>
  <c r="P69" i="50"/>
  <c r="AO48" i="50"/>
  <c r="AL41" i="50"/>
  <c r="AL5" i="50"/>
  <c r="S7" i="50"/>
  <c r="AM4" i="50"/>
  <c r="AM56" i="50"/>
  <c r="AA45" i="50"/>
  <c r="AM70" i="50"/>
  <c r="O26" i="50"/>
  <c r="AB12" i="50"/>
  <c r="AB67" i="50"/>
  <c r="X34" i="50"/>
  <c r="AE58" i="50"/>
  <c r="U51" i="50"/>
  <c r="AI10" i="50"/>
  <c r="AB49" i="50"/>
  <c r="AE70" i="50"/>
  <c r="AF38" i="50"/>
  <c r="AL18" i="50"/>
  <c r="P7" i="50"/>
  <c r="AA58" i="50"/>
  <c r="X5" i="50"/>
  <c r="AE62" i="50"/>
  <c r="AC39" i="50"/>
  <c r="T39" i="50"/>
  <c r="R71" i="50"/>
  <c r="V50" i="50"/>
  <c r="AN65" i="50"/>
  <c r="AG14" i="50"/>
  <c r="AF34" i="50"/>
  <c r="AE32" i="50"/>
  <c r="X60" i="50"/>
  <c r="S61" i="50"/>
  <c r="O9" i="50"/>
  <c r="AA5" i="50"/>
  <c r="AJ61" i="50"/>
  <c r="AN69" i="50"/>
  <c r="AM16" i="50"/>
  <c r="V55" i="50"/>
  <c r="AB60" i="50"/>
  <c r="V17" i="50"/>
  <c r="AM27" i="50"/>
  <c r="AO62" i="50"/>
  <c r="AJ55" i="50"/>
  <c r="U70" i="50"/>
  <c r="L54" i="50"/>
  <c r="M30" i="50"/>
  <c r="AB25" i="50"/>
  <c r="U50" i="50"/>
  <c r="AF40" i="50"/>
  <c r="Z66" i="50"/>
  <c r="AE25" i="50"/>
  <c r="AE56" i="50"/>
  <c r="M64" i="50"/>
  <c r="AJ14" i="50"/>
  <c r="R25" i="50"/>
  <c r="AA53" i="50"/>
  <c r="Z23" i="50"/>
  <c r="AA46" i="50"/>
  <c r="T32" i="50"/>
  <c r="AD59" i="50"/>
  <c r="S42" i="50"/>
  <c r="AD7" i="50"/>
  <c r="T48" i="50"/>
  <c r="Q64" i="50"/>
  <c r="V25" i="50"/>
  <c r="Z46" i="50"/>
  <c r="AK53" i="50"/>
  <c r="AH70" i="50"/>
  <c r="N70" i="50"/>
  <c r="P67" i="50"/>
  <c r="AL62" i="50"/>
  <c r="R57" i="50"/>
  <c r="AL16" i="50"/>
  <c r="Q22" i="50"/>
  <c r="P17" i="50"/>
  <c r="Y64" i="50"/>
  <c r="AI47" i="50"/>
  <c r="S67" i="50"/>
  <c r="AO43" i="50"/>
  <c r="AH69" i="50"/>
  <c r="AN42" i="50"/>
  <c r="L8" i="50"/>
  <c r="O39" i="50"/>
  <c r="X38" i="50"/>
  <c r="L36" i="50"/>
  <c r="AL63" i="50"/>
  <c r="AE40" i="50"/>
  <c r="AA48" i="50"/>
  <c r="AM48" i="50"/>
  <c r="AD62" i="50"/>
  <c r="AK45" i="50"/>
  <c r="AC68" i="50"/>
  <c r="M47" i="50"/>
  <c r="U59" i="50"/>
  <c r="AC41" i="50"/>
  <c r="AE38" i="50"/>
  <c r="T28" i="50"/>
  <c r="AF52" i="50"/>
  <c r="AH26" i="50"/>
  <c r="AD52" i="50"/>
  <c r="AC13" i="50"/>
  <c r="AC20" i="50"/>
  <c r="AF55" i="50"/>
  <c r="S59" i="50"/>
  <c r="AL66" i="50"/>
  <c r="AG59" i="50"/>
  <c r="AB52" i="50"/>
  <c r="AE54" i="50"/>
  <c r="Q68" i="50"/>
  <c r="Q34" i="50"/>
  <c r="AO21" i="50"/>
  <c r="U37" i="50"/>
  <c r="AL55" i="50"/>
  <c r="AB11" i="50"/>
  <c r="N57" i="50"/>
  <c r="AO15" i="50"/>
  <c r="L6" i="50"/>
  <c r="T49" i="50"/>
  <c r="AC61" i="50"/>
  <c r="O45" i="50"/>
  <c r="R52" i="50"/>
  <c r="Q61" i="50"/>
  <c r="T21" i="50"/>
  <c r="M62" i="50"/>
  <c r="AN48" i="50"/>
  <c r="W25" i="50"/>
  <c r="L34" i="50"/>
  <c r="G35" i="168" l="1"/>
  <c r="C36" i="168"/>
  <c r="G35" i="167"/>
  <c r="C36" i="167"/>
  <c r="G35" i="166"/>
  <c r="C36" i="166"/>
  <c r="G35" i="165"/>
  <c r="C36" i="165"/>
  <c r="G34" i="164"/>
  <c r="C35" i="164"/>
  <c r="G35" i="163"/>
  <c r="C36" i="163"/>
  <c r="G35" i="162"/>
  <c r="C36" i="162"/>
  <c r="G35" i="161"/>
  <c r="C36" i="161"/>
  <c r="G35" i="160"/>
  <c r="C36" i="160"/>
  <c r="G34" i="159"/>
  <c r="C35" i="159"/>
  <c r="G34" i="158"/>
  <c r="C35" i="158"/>
  <c r="G33" i="157"/>
  <c r="C34" i="157"/>
  <c r="G33" i="156"/>
  <c r="C34" i="156"/>
  <c r="G33" i="155"/>
  <c r="C34" i="155"/>
  <c r="F6" i="50"/>
  <c r="J6" i="50" s="1"/>
  <c r="F71" i="50"/>
  <c r="J71" i="50" s="1"/>
  <c r="F5" i="50"/>
  <c r="H5" i="50" s="1"/>
  <c r="F70" i="50"/>
  <c r="J70" i="50" s="1"/>
  <c r="F7" i="50"/>
  <c r="H7" i="50" s="1"/>
  <c r="G31" i="154"/>
  <c r="C32" i="154"/>
  <c r="G30" i="153"/>
  <c r="C31" i="153"/>
  <c r="G30" i="151"/>
  <c r="C31" i="151"/>
  <c r="AX4" i="5"/>
  <c r="C37" i="168" l="1"/>
  <c r="G36" i="168"/>
  <c r="C37" i="167"/>
  <c r="G36" i="167"/>
  <c r="H36" i="167" s="1"/>
  <c r="H33" i="167"/>
  <c r="C37" i="166"/>
  <c r="G36" i="166"/>
  <c r="C37" i="165"/>
  <c r="G36" i="165"/>
  <c r="G35" i="164"/>
  <c r="C36" i="164"/>
  <c r="C37" i="163"/>
  <c r="G36" i="163"/>
  <c r="H35" i="163"/>
  <c r="C37" i="162"/>
  <c r="G36" i="162"/>
  <c r="H33" i="162"/>
  <c r="H35" i="162"/>
  <c r="C37" i="161"/>
  <c r="G36" i="161"/>
  <c r="H32" i="161"/>
  <c r="C37" i="160"/>
  <c r="G36" i="160"/>
  <c r="H32" i="160"/>
  <c r="G35" i="159"/>
  <c r="C36" i="159"/>
  <c r="G35" i="158"/>
  <c r="C36" i="158"/>
  <c r="G34" i="157"/>
  <c r="C35" i="157"/>
  <c r="G34" i="156"/>
  <c r="C35" i="156"/>
  <c r="G34" i="155"/>
  <c r="C35" i="155"/>
  <c r="H71" i="50"/>
  <c r="J7" i="50"/>
  <c r="H6" i="50"/>
  <c r="H70" i="50"/>
  <c r="C33" i="154"/>
  <c r="G32" i="154"/>
  <c r="G31" i="153"/>
  <c r="C32" i="153"/>
  <c r="G31" i="151"/>
  <c r="C32" i="151"/>
  <c r="H5" i="95"/>
  <c r="H36" i="168" l="1"/>
  <c r="G37" i="168"/>
  <c r="H37" i="168" s="1"/>
  <c r="G38" i="168"/>
  <c r="H38" i="168" s="1"/>
  <c r="H12" i="168"/>
  <c r="H8" i="168"/>
  <c r="H9" i="168" s="1"/>
  <c r="H10" i="168"/>
  <c r="H11" i="168"/>
  <c r="H13" i="168"/>
  <c r="H16" i="168"/>
  <c r="H14" i="168"/>
  <c r="H17" i="168"/>
  <c r="H15" i="168"/>
  <c r="H18" i="168"/>
  <c r="H19" i="168"/>
  <c r="H22" i="168"/>
  <c r="H20" i="168"/>
  <c r="H21" i="168"/>
  <c r="H23" i="168"/>
  <c r="H24" i="168"/>
  <c r="H25" i="168"/>
  <c r="H28" i="168"/>
  <c r="H26" i="168"/>
  <c r="H27" i="168"/>
  <c r="H30" i="168"/>
  <c r="H31" i="168"/>
  <c r="H29" i="168"/>
  <c r="H35" i="168"/>
  <c r="H34" i="168"/>
  <c r="H33" i="168"/>
  <c r="H32" i="168"/>
  <c r="H31" i="167"/>
  <c r="H35" i="167"/>
  <c r="G37" i="167"/>
  <c r="H37" i="167" s="1"/>
  <c r="G38" i="167"/>
  <c r="H38" i="167" s="1"/>
  <c r="H9" i="167"/>
  <c r="H8" i="167"/>
  <c r="H12" i="167"/>
  <c r="H10" i="167"/>
  <c r="H11" i="167"/>
  <c r="H13" i="167"/>
  <c r="H16" i="167"/>
  <c r="H15" i="167"/>
  <c r="H14" i="167"/>
  <c r="H18" i="167"/>
  <c r="H17" i="167"/>
  <c r="H19" i="167"/>
  <c r="H21" i="167"/>
  <c r="H20" i="167"/>
  <c r="H22" i="167"/>
  <c r="H23" i="167"/>
  <c r="H25" i="167"/>
  <c r="H26" i="167"/>
  <c r="H24" i="167"/>
  <c r="H29" i="167"/>
  <c r="H28" i="167"/>
  <c r="H27" i="167"/>
  <c r="H30" i="167"/>
  <c r="H32" i="167"/>
  <c r="H34" i="167"/>
  <c r="H35" i="166"/>
  <c r="G37" i="166"/>
  <c r="H37" i="166" s="1"/>
  <c r="G38" i="166"/>
  <c r="H38" i="166" s="1"/>
  <c r="H9" i="166"/>
  <c r="H10" i="166"/>
  <c r="H11" i="166"/>
  <c r="H8" i="166"/>
  <c r="H15" i="166"/>
  <c r="H12" i="166"/>
  <c r="H13" i="166"/>
  <c r="H14" i="166"/>
  <c r="H17" i="166"/>
  <c r="H16" i="166"/>
  <c r="H18" i="166"/>
  <c r="H19" i="166"/>
  <c r="H20" i="166"/>
  <c r="H24" i="166"/>
  <c r="H21" i="166"/>
  <c r="H23" i="166"/>
  <c r="H22" i="166"/>
  <c r="H27" i="166"/>
  <c r="H26" i="166"/>
  <c r="H25" i="166"/>
  <c r="H28" i="166"/>
  <c r="H31" i="166"/>
  <c r="H30" i="166"/>
  <c r="H29" i="166"/>
  <c r="H33" i="166"/>
  <c r="H32" i="166"/>
  <c r="H36" i="166"/>
  <c r="H34" i="166"/>
  <c r="H35" i="165"/>
  <c r="H34" i="165"/>
  <c r="H32" i="165"/>
  <c r="H36" i="165"/>
  <c r="G37" i="165"/>
  <c r="H37" i="165" s="1"/>
  <c r="G38" i="165"/>
  <c r="H38" i="165" s="1"/>
  <c r="H9" i="165"/>
  <c r="H8" i="165"/>
  <c r="H10" i="165" s="1"/>
  <c r="H11" i="165"/>
  <c r="H13" i="165"/>
  <c r="H12" i="165"/>
  <c r="H17" i="165"/>
  <c r="H16" i="165"/>
  <c r="H14" i="165"/>
  <c r="H15" i="165"/>
  <c r="H18" i="165"/>
  <c r="H20" i="165"/>
  <c r="H19" i="165"/>
  <c r="H21" i="165"/>
  <c r="H24" i="165"/>
  <c r="H23" i="165"/>
  <c r="H22" i="165"/>
  <c r="H25" i="165"/>
  <c r="H27" i="165"/>
  <c r="H26" i="165"/>
  <c r="H28" i="165"/>
  <c r="H29" i="165"/>
  <c r="H30" i="165"/>
  <c r="H33" i="165"/>
  <c r="H31" i="165"/>
  <c r="C37" i="164"/>
  <c r="H35" i="164" s="1"/>
  <c r="G36" i="164"/>
  <c r="H33" i="163"/>
  <c r="H36" i="163"/>
  <c r="G37" i="163"/>
  <c r="H37" i="163" s="1"/>
  <c r="G38" i="163"/>
  <c r="H38" i="163" s="1"/>
  <c r="H8" i="163"/>
  <c r="H9" i="163" s="1"/>
  <c r="H11" i="163"/>
  <c r="H13" i="163"/>
  <c r="H10" i="163"/>
  <c r="H12" i="163"/>
  <c r="H15" i="163"/>
  <c r="H16" i="163"/>
  <c r="H14" i="163"/>
  <c r="H18" i="163"/>
  <c r="H17" i="163"/>
  <c r="H19" i="163"/>
  <c r="H21" i="163"/>
  <c r="H20" i="163"/>
  <c r="H22" i="163"/>
  <c r="H23" i="163"/>
  <c r="H25" i="163"/>
  <c r="H24" i="163"/>
  <c r="H26" i="163"/>
  <c r="H30" i="163"/>
  <c r="H27" i="163"/>
  <c r="H31" i="163"/>
  <c r="H28" i="163"/>
  <c r="H29" i="163"/>
  <c r="H32" i="163"/>
  <c r="H34" i="163"/>
  <c r="H36" i="162"/>
  <c r="G37" i="162"/>
  <c r="H37" i="162" s="1"/>
  <c r="G38" i="162"/>
  <c r="H38" i="162" s="1"/>
  <c r="H9" i="162"/>
  <c r="H12" i="162"/>
  <c r="H8" i="162"/>
  <c r="H14" i="162" s="1"/>
  <c r="H10" i="162"/>
  <c r="H11" i="162"/>
  <c r="H13" i="162"/>
  <c r="H15" i="162"/>
  <c r="H16" i="162"/>
  <c r="H17" i="162"/>
  <c r="H18" i="162"/>
  <c r="H21" i="162"/>
  <c r="H19" i="162"/>
  <c r="H23" i="162"/>
  <c r="H20" i="162"/>
  <c r="H22" i="162"/>
  <c r="H24" i="162"/>
  <c r="H27" i="162"/>
  <c r="H28" i="162"/>
  <c r="H25" i="162"/>
  <c r="H29" i="162"/>
  <c r="H26" i="162"/>
  <c r="H30" i="162"/>
  <c r="H31" i="162"/>
  <c r="H32" i="162"/>
  <c r="H34" i="162"/>
  <c r="H36" i="161"/>
  <c r="H35" i="161"/>
  <c r="H34" i="161"/>
  <c r="G37" i="161"/>
  <c r="H37" i="161" s="1"/>
  <c r="G38" i="161"/>
  <c r="H38" i="161" s="1"/>
  <c r="H9" i="161"/>
  <c r="H13" i="161"/>
  <c r="H12" i="161"/>
  <c r="H11" i="161"/>
  <c r="H8" i="161"/>
  <c r="H10" i="161"/>
  <c r="H14" i="161"/>
  <c r="H17" i="161"/>
  <c r="H16" i="161"/>
  <c r="H15" i="161"/>
  <c r="H18" i="161"/>
  <c r="H19" i="161"/>
  <c r="H20" i="161"/>
  <c r="H21" i="161"/>
  <c r="H22" i="161"/>
  <c r="H23" i="161"/>
  <c r="H24" i="161"/>
  <c r="H25" i="161"/>
  <c r="H27" i="161"/>
  <c r="H26" i="161"/>
  <c r="H29" i="161"/>
  <c r="H28" i="161"/>
  <c r="H31" i="161"/>
  <c r="H30" i="161"/>
  <c r="H33" i="161"/>
  <c r="G37" i="160"/>
  <c r="H37" i="160" s="1"/>
  <c r="G38" i="160"/>
  <c r="H38" i="160" s="1"/>
  <c r="H11" i="160"/>
  <c r="H12" i="160"/>
  <c r="H10" i="160"/>
  <c r="H8" i="160"/>
  <c r="H9" i="160" s="1"/>
  <c r="H13" i="160"/>
  <c r="H14" i="160"/>
  <c r="H16" i="160"/>
  <c r="H15" i="160"/>
  <c r="H18" i="160"/>
  <c r="H17" i="160"/>
  <c r="H20" i="160"/>
  <c r="H19" i="160"/>
  <c r="H21" i="160"/>
  <c r="H23" i="160"/>
  <c r="H22" i="160"/>
  <c r="H24" i="160"/>
  <c r="H26" i="160"/>
  <c r="H25" i="160"/>
  <c r="H29" i="160"/>
  <c r="H28" i="160"/>
  <c r="H27" i="160"/>
  <c r="H30" i="160"/>
  <c r="H31" i="160"/>
  <c r="H34" i="160"/>
  <c r="H36" i="160"/>
  <c r="H35" i="160"/>
  <c r="H33" i="160"/>
  <c r="C37" i="159"/>
  <c r="G36" i="159"/>
  <c r="C37" i="158"/>
  <c r="G36" i="158"/>
  <c r="G35" i="157"/>
  <c r="C36" i="157"/>
  <c r="G35" i="156"/>
  <c r="C36" i="156"/>
  <c r="G35" i="155"/>
  <c r="C36" i="155"/>
  <c r="G33" i="154"/>
  <c r="C34" i="154"/>
  <c r="C33" i="153"/>
  <c r="G32" i="153"/>
  <c r="C33" i="151"/>
  <c r="G32" i="151"/>
  <c r="G31" i="1"/>
  <c r="AX31" i="1" s="1"/>
  <c r="G32" i="1"/>
  <c r="AX32" i="1" s="1"/>
  <c r="G30" i="1"/>
  <c r="A31" i="1"/>
  <c r="A32" i="1"/>
  <c r="G23" i="4"/>
  <c r="AX23" i="4" s="1"/>
  <c r="G22" i="4"/>
  <c r="AX22" i="4"/>
  <c r="H33" i="164" l="1"/>
  <c r="H36" i="164"/>
  <c r="G37" i="164"/>
  <c r="H37" i="164" s="1"/>
  <c r="G38" i="164"/>
  <c r="H38" i="164" s="1"/>
  <c r="H8" i="164"/>
  <c r="H12" i="164" s="1"/>
  <c r="H11" i="164"/>
  <c r="H10" i="164"/>
  <c r="H9" i="164"/>
  <c r="H13" i="164" s="1"/>
  <c r="H15" i="164"/>
  <c r="H14" i="164"/>
  <c r="H17" i="164"/>
  <c r="H16" i="164"/>
  <c r="H20" i="164"/>
  <c r="H19" i="164"/>
  <c r="H18" i="164"/>
  <c r="H23" i="164"/>
  <c r="H21" i="164"/>
  <c r="H22" i="164"/>
  <c r="H24" i="164"/>
  <c r="H25" i="164"/>
  <c r="H27" i="164"/>
  <c r="H28" i="164"/>
  <c r="H26" i="164"/>
  <c r="H29" i="164"/>
  <c r="H30" i="164"/>
  <c r="H31" i="164"/>
  <c r="H34" i="164"/>
  <c r="H32" i="164"/>
  <c r="G37" i="159"/>
  <c r="H37" i="159" s="1"/>
  <c r="G38" i="159"/>
  <c r="H38" i="159" s="1"/>
  <c r="H10" i="159"/>
  <c r="H9" i="159"/>
  <c r="H8" i="159"/>
  <c r="H12" i="159" s="1"/>
  <c r="H13" i="159"/>
  <c r="H14" i="159"/>
  <c r="H11" i="159"/>
  <c r="H15" i="159"/>
  <c r="H16" i="159"/>
  <c r="H18" i="159"/>
  <c r="H17" i="159"/>
  <c r="H19" i="159"/>
  <c r="H21" i="159"/>
  <c r="H20" i="159"/>
  <c r="H22" i="159"/>
  <c r="H23" i="159"/>
  <c r="H24" i="159"/>
  <c r="H26" i="159"/>
  <c r="H25" i="159"/>
  <c r="H27" i="159"/>
  <c r="H29" i="159"/>
  <c r="H28" i="159"/>
  <c r="H30" i="159"/>
  <c r="H32" i="159"/>
  <c r="H36" i="159"/>
  <c r="H34" i="159"/>
  <c r="H33" i="159"/>
  <c r="H31" i="159"/>
  <c r="H35" i="159"/>
  <c r="H36" i="158"/>
  <c r="G37" i="158"/>
  <c r="H37" i="158" s="1"/>
  <c r="G38" i="158"/>
  <c r="H38" i="158" s="1"/>
  <c r="H10" i="158"/>
  <c r="H11" i="158"/>
  <c r="H8" i="158"/>
  <c r="H9" i="158" s="1"/>
  <c r="H12" i="158"/>
  <c r="H13" i="158"/>
  <c r="H16" i="158"/>
  <c r="H15" i="158"/>
  <c r="H14" i="158"/>
  <c r="H17" i="158"/>
  <c r="H18" i="158"/>
  <c r="H19" i="158"/>
  <c r="H20" i="158"/>
  <c r="H21" i="158"/>
  <c r="H22" i="158"/>
  <c r="H23" i="158"/>
  <c r="H24" i="158"/>
  <c r="H25" i="158"/>
  <c r="H26" i="158"/>
  <c r="H27" i="158"/>
  <c r="H28" i="158"/>
  <c r="H29" i="158"/>
  <c r="H31" i="158"/>
  <c r="H30" i="158"/>
  <c r="H34" i="158"/>
  <c r="H33" i="158"/>
  <c r="H35" i="158"/>
  <c r="H32" i="158"/>
  <c r="C37" i="157"/>
  <c r="G36" i="157"/>
  <c r="H36" i="157" s="1"/>
  <c r="H33" i="157"/>
  <c r="H35" i="157"/>
  <c r="H34" i="157"/>
  <c r="C37" i="156"/>
  <c r="G36" i="156"/>
  <c r="H36" i="156" s="1"/>
  <c r="H33" i="156"/>
  <c r="H34" i="156"/>
  <c r="H35" i="155"/>
  <c r="C37" i="155"/>
  <c r="G36" i="155"/>
  <c r="H36" i="155" s="1"/>
  <c r="G34" i="154"/>
  <c r="C35" i="154"/>
  <c r="G33" i="153"/>
  <c r="C34" i="153"/>
  <c r="G33" i="151"/>
  <c r="C34" i="151"/>
  <c r="AX30" i="1"/>
  <c r="H30" i="1"/>
  <c r="M29" i="1"/>
  <c r="G29" i="1"/>
  <c r="AX29" i="1" s="1"/>
  <c r="G37" i="157" l="1"/>
  <c r="H37" i="157" s="1"/>
  <c r="G38" i="157"/>
  <c r="H38" i="157" s="1"/>
  <c r="H9" i="157"/>
  <c r="H8" i="157"/>
  <c r="H11" i="157"/>
  <c r="H10" i="157"/>
  <c r="H13" i="157"/>
  <c r="H12" i="157"/>
  <c r="H15" i="157"/>
  <c r="H14" i="157"/>
  <c r="H16" i="157"/>
  <c r="H17" i="157"/>
  <c r="H19" i="157"/>
  <c r="H21" i="157"/>
  <c r="H18" i="157"/>
  <c r="H22" i="157"/>
  <c r="H20" i="157"/>
  <c r="H23" i="157"/>
  <c r="H25" i="157"/>
  <c r="H24" i="157"/>
  <c r="H26" i="157"/>
  <c r="H27" i="157"/>
  <c r="H29" i="157"/>
  <c r="H28" i="157"/>
  <c r="H30" i="157"/>
  <c r="H32" i="157"/>
  <c r="H31" i="157"/>
  <c r="G37" i="156"/>
  <c r="H37" i="156" s="1"/>
  <c r="G38" i="156"/>
  <c r="H38" i="156" s="1"/>
  <c r="H8" i="156"/>
  <c r="H13" i="156" s="1"/>
  <c r="H9" i="156"/>
  <c r="H10" i="156"/>
  <c r="H11" i="156"/>
  <c r="H12" i="156"/>
  <c r="H15" i="156"/>
  <c r="H14" i="156"/>
  <c r="H16" i="156"/>
  <c r="H18" i="156"/>
  <c r="H17" i="156"/>
  <c r="H19" i="156"/>
  <c r="H22" i="156"/>
  <c r="H21" i="156"/>
  <c r="H20" i="156"/>
  <c r="H26" i="156"/>
  <c r="H25" i="156"/>
  <c r="H23" i="156"/>
  <c r="H24" i="156"/>
  <c r="H27" i="156"/>
  <c r="H29" i="156"/>
  <c r="H28" i="156"/>
  <c r="H30" i="156"/>
  <c r="H31" i="156"/>
  <c r="H35" i="156"/>
  <c r="H32" i="156"/>
  <c r="H38" i="155"/>
  <c r="G37" i="155"/>
  <c r="H37" i="155" s="1"/>
  <c r="G38" i="155"/>
  <c r="H9" i="155"/>
  <c r="H8" i="155"/>
  <c r="H11" i="155" s="1"/>
  <c r="H12" i="155"/>
  <c r="H10" i="155"/>
  <c r="H13" i="155"/>
  <c r="H14" i="155"/>
  <c r="H17" i="155"/>
  <c r="H15" i="155"/>
  <c r="H16" i="155"/>
  <c r="H19" i="155"/>
  <c r="H20" i="155"/>
  <c r="H18" i="155"/>
  <c r="H22" i="155"/>
  <c r="H21" i="155"/>
  <c r="H23" i="155"/>
  <c r="H24" i="155"/>
  <c r="H25" i="155"/>
  <c r="H26" i="155"/>
  <c r="H27" i="155"/>
  <c r="H29" i="155"/>
  <c r="H28" i="155"/>
  <c r="H30" i="155"/>
  <c r="H31" i="155"/>
  <c r="H32" i="155"/>
  <c r="H34" i="155"/>
  <c r="H33" i="155"/>
  <c r="G35" i="154"/>
  <c r="C36" i="154"/>
  <c r="G34" i="153"/>
  <c r="C35" i="153"/>
  <c r="G34" i="151"/>
  <c r="C35" i="151"/>
  <c r="H29" i="1"/>
  <c r="F69" i="50"/>
  <c r="AW4" i="1"/>
  <c r="C37" i="154" l="1"/>
  <c r="G36" i="154"/>
  <c r="H32" i="154"/>
  <c r="G35" i="153"/>
  <c r="C36" i="153"/>
  <c r="G35" i="151"/>
  <c r="C36" i="151"/>
  <c r="H69" i="50"/>
  <c r="J69" i="50"/>
  <c r="D4" i="5"/>
  <c r="G37" i="154" l="1"/>
  <c r="H37" i="154" s="1"/>
  <c r="G38" i="154"/>
  <c r="H38" i="154" s="1"/>
  <c r="H8" i="154"/>
  <c r="H9" i="154"/>
  <c r="H10" i="154"/>
  <c r="H15" i="154" s="1"/>
  <c r="H13" i="154"/>
  <c r="H14" i="154"/>
  <c r="H11" i="154"/>
  <c r="H12" i="154"/>
  <c r="H16" i="154"/>
  <c r="H17" i="154"/>
  <c r="H21" i="154"/>
  <c r="H20" i="154"/>
  <c r="H18" i="154"/>
  <c r="H19" i="154"/>
  <c r="H23" i="154"/>
  <c r="H22" i="154"/>
  <c r="H25" i="154"/>
  <c r="H24" i="154"/>
  <c r="H27" i="154"/>
  <c r="H26" i="154"/>
  <c r="H28" i="154"/>
  <c r="H29" i="154"/>
  <c r="H31" i="154"/>
  <c r="H30" i="154"/>
  <c r="H33" i="154"/>
  <c r="H35" i="154"/>
  <c r="H34" i="154"/>
  <c r="H36" i="154"/>
  <c r="C37" i="153"/>
  <c r="G36" i="153"/>
  <c r="H36" i="153" s="1"/>
  <c r="H35" i="153"/>
  <c r="C37" i="151"/>
  <c r="G36" i="151"/>
  <c r="H1" i="95"/>
  <c r="G37" i="153" l="1"/>
  <c r="H37" i="153" s="1"/>
  <c r="G38" i="153"/>
  <c r="H38" i="153" s="1"/>
  <c r="H10" i="153"/>
  <c r="H9" i="153"/>
  <c r="H12" i="153"/>
  <c r="H11" i="153"/>
  <c r="H14" i="153" s="1"/>
  <c r="H8" i="153"/>
  <c r="H15" i="153"/>
  <c r="H13" i="153"/>
  <c r="H18" i="153"/>
  <c r="H16" i="153"/>
  <c r="H17" i="153"/>
  <c r="H19" i="153"/>
  <c r="H20" i="153"/>
  <c r="H22" i="153"/>
  <c r="H21" i="153"/>
  <c r="H23" i="153"/>
  <c r="H24" i="153"/>
  <c r="H26" i="153"/>
  <c r="H25" i="153"/>
  <c r="H28" i="153"/>
  <c r="H27" i="153"/>
  <c r="H29" i="153"/>
  <c r="H30" i="153"/>
  <c r="H33" i="153"/>
  <c r="H31" i="153"/>
  <c r="H34" i="153"/>
  <c r="H32" i="153"/>
  <c r="H33" i="151"/>
  <c r="H36" i="151"/>
  <c r="G37" i="151"/>
  <c r="H37" i="151" s="1"/>
  <c r="G38" i="151"/>
  <c r="H38" i="151" s="1"/>
  <c r="H10" i="151"/>
  <c r="H9" i="151"/>
  <c r="H8" i="151"/>
  <c r="H11" i="151" s="1"/>
  <c r="H16" i="151"/>
  <c r="H15" i="151"/>
  <c r="H14" i="151"/>
  <c r="H17" i="151"/>
  <c r="H20" i="151"/>
  <c r="H18" i="151"/>
  <c r="H19" i="151"/>
  <c r="H21" i="151"/>
  <c r="H22" i="151"/>
  <c r="H23" i="151"/>
  <c r="H24" i="151"/>
  <c r="H25" i="151"/>
  <c r="H26" i="151"/>
  <c r="H28" i="151"/>
  <c r="H29" i="151"/>
  <c r="H27" i="151"/>
  <c r="H31" i="151"/>
  <c r="H30" i="151"/>
  <c r="H32" i="151"/>
  <c r="H34" i="151"/>
  <c r="H35" i="151"/>
  <c r="AX21" i="4"/>
  <c r="D57" i="50"/>
  <c r="AI4" i="50"/>
  <c r="AJ4" i="50"/>
  <c r="H13" i="151" l="1"/>
  <c r="H12" i="151"/>
  <c r="F57" i="50"/>
  <c r="AX20" i="4"/>
  <c r="H20" i="4"/>
  <c r="H21" i="4"/>
  <c r="M20" i="4"/>
  <c r="M21" i="4"/>
  <c r="AG4" i="50"/>
  <c r="AF4" i="50"/>
  <c r="AK4" i="50"/>
  <c r="J57" i="50" l="1"/>
  <c r="H57" i="50"/>
  <c r="F68" i="50"/>
  <c r="AC4" i="50"/>
  <c r="AH4" i="50"/>
  <c r="AB4" i="50"/>
  <c r="AE4" i="50"/>
  <c r="H68" i="50" l="1"/>
  <c r="J68" i="50"/>
  <c r="AD4" i="50"/>
  <c r="W4" i="50"/>
  <c r="AA4" i="50"/>
  <c r="AM4" i="5" l="1"/>
  <c r="AN4" i="5"/>
  <c r="AO4" i="5"/>
  <c r="AP4" i="5"/>
  <c r="AQ4" i="5"/>
  <c r="Z4" i="50"/>
  <c r="U4" i="50"/>
  <c r="R4" i="50"/>
  <c r="X4" i="50"/>
  <c r="Q4" i="4" l="1"/>
  <c r="Q4" i="5"/>
  <c r="Y4" i="50"/>
  <c r="Q4" i="50"/>
  <c r="T4" i="50"/>
  <c r="S4" i="50"/>
  <c r="AV4" i="5" l="1"/>
  <c r="V4" i="50"/>
  <c r="P4" i="50"/>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M4" i="50"/>
  <c r="N4" i="50"/>
  <c r="O4" i="50"/>
  <c r="R1" i="8" l="1"/>
  <c r="L4" i="50"/>
  <c r="AX19" i="4" l="1"/>
  <c r="H19" i="4"/>
  <c r="G18" i="4"/>
  <c r="M19" i="4"/>
  <c r="F67" i="50" l="1"/>
  <c r="H67" i="50" l="1"/>
  <c r="J67" i="50"/>
  <c r="D1" i="95" l="1"/>
  <c r="AX6" i="4"/>
  <c r="AX7" i="4"/>
  <c r="AX8" i="4"/>
  <c r="AX9" i="4"/>
  <c r="AX10" i="4"/>
  <c r="AX13" i="4"/>
  <c r="AX14" i="4"/>
  <c r="AX15" i="4"/>
  <c r="AX16" i="4"/>
  <c r="AX17" i="4"/>
  <c r="AX5" i="4"/>
  <c r="B4" i="50" l="1"/>
  <c r="AX18" i="4" l="1"/>
  <c r="G12" i="4"/>
  <c r="AX12" i="4" s="1"/>
  <c r="G11" i="4"/>
  <c r="AX11" i="4" s="1"/>
  <c r="AX4"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63" i="50" l="1"/>
  <c r="F62" i="50"/>
  <c r="F61" i="50"/>
  <c r="F65" i="50"/>
  <c r="F66" i="50"/>
  <c r="F64" i="50"/>
  <c r="C2" i="120"/>
  <c r="H3" i="120"/>
  <c r="H2" i="120" s="1"/>
  <c r="F2" i="120"/>
  <c r="L24" i="5"/>
  <c r="L23" i="5"/>
  <c r="G23" i="5"/>
  <c r="H65" i="50" l="1"/>
  <c r="J65" i="50"/>
  <c r="H61" i="50"/>
  <c r="J61" i="50"/>
  <c r="J64" i="50"/>
  <c r="H64" i="50"/>
  <c r="J62" i="50"/>
  <c r="H62" i="50"/>
  <c r="J66" i="50"/>
  <c r="H66" i="50"/>
  <c r="J63" i="50"/>
  <c r="H63" i="50"/>
  <c r="G24" i="5"/>
  <c r="F60" i="50"/>
  <c r="J60" i="50" l="1"/>
  <c r="H60" i="50"/>
  <c r="F59"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J59" i="50" l="1"/>
  <c r="H59" i="50"/>
  <c r="F58" i="50"/>
  <c r="J58" i="50" l="1"/>
  <c r="H58" i="50"/>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M4" i="4"/>
  <c r="C13" i="9"/>
  <c r="G13" i="9" s="1"/>
  <c r="L4" i="5"/>
  <c r="G4" i="5"/>
  <c r="H24" i="5" s="1"/>
  <c r="I24" i="5" s="1"/>
  <c r="J24" i="5" s="1"/>
  <c r="I5" i="1"/>
  <c r="K30" i="1" l="1"/>
  <c r="H16" i="5"/>
  <c r="I16" i="5" s="1"/>
  <c r="J16" i="5" s="1"/>
  <c r="H23" i="5"/>
  <c r="I23" i="5" s="1"/>
  <c r="J23" i="5" s="1"/>
  <c r="C14" i="9"/>
  <c r="G14"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C15" i="9"/>
  <c r="G15" i="9" s="1"/>
  <c r="J4" i="5"/>
  <c r="K2" i="5" s="1"/>
  <c r="C16" i="9" l="1"/>
  <c r="G16" i="9" s="1"/>
  <c r="L2" i="1"/>
  <c r="L2" i="5"/>
  <c r="M2" i="1"/>
  <c r="C17" i="9" l="1"/>
  <c r="G17" i="9" s="1"/>
  <c r="H12" i="4"/>
  <c r="H4" i="4" l="1"/>
  <c r="C18" i="9"/>
  <c r="G18" i="9" s="1"/>
  <c r="I23" i="4" l="1"/>
  <c r="J23" i="4" s="1"/>
  <c r="K23" i="4" s="1"/>
  <c r="I22" i="4"/>
  <c r="J22" i="4" s="1"/>
  <c r="K22" i="4" s="1"/>
  <c r="I20" i="4"/>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C19" i="9"/>
  <c r="G19" i="9" s="1"/>
  <c r="K18" i="4" l="1"/>
  <c r="K4" i="4" s="1"/>
  <c r="C20" i="9"/>
  <c r="G20" i="9" s="1"/>
  <c r="L2" i="4" l="1"/>
  <c r="M2" i="4"/>
  <c r="AM4" i="1"/>
  <c r="AM4" i="4"/>
  <c r="C21" i="9"/>
  <c r="G21" i="9" s="1"/>
  <c r="AO4" i="4" l="1"/>
  <c r="AO4" i="1"/>
  <c r="AN4" i="4"/>
  <c r="AN4" i="1"/>
  <c r="C22" i="9"/>
  <c r="G22" i="9" s="1"/>
  <c r="AI4" i="137" l="1"/>
  <c r="AH4" i="137"/>
  <c r="AP4" i="1"/>
  <c r="AP4" i="4"/>
  <c r="C23" i="9"/>
  <c r="G23" i="9" s="1"/>
  <c r="C24" i="9" l="1"/>
  <c r="G24" i="9" s="1"/>
  <c r="C25" i="9" l="1"/>
  <c r="G25" i="9" s="1"/>
  <c r="C26" i="9" l="1"/>
  <c r="G26" i="9" s="1"/>
  <c r="C27" i="9" l="1"/>
  <c r="G27" i="9" s="1"/>
  <c r="C28" i="9" l="1"/>
  <c r="G28" i="9" s="1"/>
  <c r="AQ4" i="4"/>
  <c r="AQ4" i="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H22" i="9"/>
  <c r="AU4" i="4"/>
  <c r="H32" i="9"/>
  <c r="H14" i="9" l="1"/>
  <c r="H15" i="9" s="1"/>
  <c r="Q4" i="1"/>
  <c r="AV4" i="4"/>
  <c r="AU4" i="5"/>
  <c r="AV4" i="1"/>
  <c r="H16" i="9" l="1"/>
  <c r="H17" i="9"/>
  <c r="H20" i="9" s="1"/>
  <c r="R4" i="5"/>
  <c r="R4" i="4"/>
  <c r="R4" i="1"/>
  <c r="H19" i="9" l="1"/>
  <c r="H18" i="9"/>
  <c r="H21" i="9" s="1"/>
  <c r="H38" i="9"/>
  <c r="S4" i="4"/>
  <c r="S4" i="5"/>
  <c r="S4" i="1"/>
  <c r="H23" i="9" l="1"/>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G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H4" i="150" l="1"/>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F4" i="50"/>
  <c r="J8" i="50"/>
  <c r="H8" i="50"/>
  <c r="H51" i="50"/>
  <c r="J51" i="50"/>
  <c r="H30" i="50"/>
  <c r="J30" i="50"/>
  <c r="J14" i="50"/>
  <c r="H14" i="50"/>
  <c r="J48" i="50"/>
  <c r="H48" i="50"/>
  <c r="J21" i="50"/>
  <c r="H21" i="50"/>
  <c r="J20" i="50"/>
  <c r="H20" i="50"/>
  <c r="J56" i="50"/>
  <c r="H56" i="50"/>
  <c r="AI4" i="5" l="1"/>
  <c r="AI4" i="1"/>
  <c r="AI4" i="4"/>
  <c r="G5" i="150" l="1"/>
  <c r="AW5" i="150" s="1"/>
  <c r="AW4" i="150" s="1"/>
  <c r="H5" i="150" l="1"/>
  <c r="H4" i="150" s="1"/>
  <c r="I6" i="150" l="1"/>
  <c r="J6" i="150" s="1"/>
  <c r="G74" i="50" s="1"/>
  <c r="I8" i="150"/>
  <c r="J8" i="150" s="1"/>
  <c r="G76" i="50" s="1"/>
  <c r="I9" i="150"/>
  <c r="J9" i="150" s="1"/>
  <c r="G77" i="50" s="1"/>
  <c r="I11" i="150"/>
  <c r="J11" i="150" s="1"/>
  <c r="G79" i="50" s="1"/>
  <c r="I12" i="150"/>
  <c r="J12" i="150" s="1"/>
  <c r="G80" i="50" s="1"/>
  <c r="I10" i="150"/>
  <c r="J10" i="150" s="1"/>
  <c r="G78" i="50" s="1"/>
  <c r="I7" i="150"/>
  <c r="J7" i="150" s="1"/>
  <c r="G75" i="50" s="1"/>
  <c r="I5" i="150"/>
  <c r="J5" i="150" s="1"/>
  <c r="G73" i="50" s="1"/>
  <c r="H73" i="50" l="1"/>
  <c r="J73" i="50"/>
  <c r="J79" i="50"/>
  <c r="H79" i="50"/>
  <c r="J75" i="50"/>
  <c r="H75" i="50"/>
  <c r="H77" i="50"/>
  <c r="J77" i="50"/>
  <c r="H78" i="50"/>
  <c r="J78" i="50"/>
  <c r="H76" i="50"/>
  <c r="J76" i="50"/>
  <c r="H80" i="50"/>
  <c r="J80" i="50"/>
  <c r="H74" i="50"/>
  <c r="J74" i="50"/>
  <c r="K7" i="150"/>
  <c r="K12" i="150"/>
  <c r="K9" i="150"/>
  <c r="K8" i="150"/>
  <c r="K5" i="150"/>
  <c r="K11" i="150"/>
  <c r="K10" i="150"/>
  <c r="K6" i="150"/>
  <c r="K4" i="150" l="1"/>
  <c r="B1" i="50" s="1"/>
  <c r="AL23" i="4" l="1"/>
  <c r="AK10" i="150"/>
  <c r="AK11" i="150"/>
  <c r="AK5" i="150"/>
  <c r="AK8" i="150"/>
  <c r="AK7" i="150"/>
  <c r="AK6" i="150"/>
  <c r="AK12" i="150"/>
  <c r="AK9" i="150"/>
  <c r="AL30" i="1"/>
  <c r="AL5" i="137"/>
  <c r="AL22" i="4"/>
  <c r="AL7" i="137"/>
  <c r="AL6" i="137"/>
  <c r="AL29" i="1"/>
  <c r="AL20" i="4"/>
  <c r="AL21" i="4"/>
  <c r="AL19" i="4"/>
  <c r="AL28" i="1"/>
  <c r="AL24" i="1"/>
  <c r="AL27" i="1"/>
  <c r="AL25" i="1"/>
  <c r="AL23" i="1"/>
  <c r="AL26" i="1"/>
  <c r="AL24" i="5"/>
  <c r="AL23" i="5"/>
  <c r="AL18" i="4"/>
  <c r="AL10" i="4"/>
  <c r="AL10" i="1"/>
  <c r="AL5" i="5"/>
  <c r="AL21" i="5"/>
  <c r="AL17" i="5"/>
  <c r="AL20" i="5"/>
  <c r="AL18" i="5"/>
  <c r="AL11" i="4"/>
  <c r="AL13" i="5"/>
  <c r="AL7" i="1"/>
  <c r="AL6" i="1"/>
  <c r="AL9" i="1"/>
  <c r="AL20" i="1"/>
  <c r="AL22" i="5"/>
  <c r="AL16" i="1"/>
  <c r="AL14" i="5"/>
  <c r="AL8" i="1"/>
  <c r="AL9" i="5"/>
  <c r="AL14" i="1"/>
  <c r="AL10" i="5"/>
  <c r="AL18" i="1"/>
  <c r="AL15" i="1"/>
  <c r="AL19" i="1"/>
  <c r="AL11" i="1"/>
  <c r="AL22" i="1"/>
  <c r="AL13" i="4"/>
  <c r="AL6" i="4"/>
  <c r="AL12" i="1"/>
  <c r="AL8" i="5"/>
  <c r="AL11" i="5"/>
  <c r="AL16" i="5"/>
  <c r="AL6" i="5"/>
  <c r="AL16" i="4"/>
  <c r="AL21" i="1"/>
  <c r="AL5" i="4"/>
  <c r="AL5" i="1"/>
  <c r="AL7" i="4"/>
  <c r="AL17" i="1"/>
  <c r="AL8" i="4"/>
  <c r="AL15" i="4"/>
  <c r="AL17" i="4"/>
  <c r="AL12" i="5"/>
  <c r="AL15" i="5"/>
  <c r="AL7" i="5"/>
  <c r="AL14" i="4"/>
  <c r="AL19" i="5"/>
  <c r="AL13" i="1"/>
  <c r="AL9" i="4"/>
  <c r="AL12" i="4"/>
  <c r="M2" i="150"/>
  <c r="H3" i="95"/>
  <c r="I1" i="95" s="1"/>
  <c r="I3" i="95" s="1"/>
  <c r="L2" i="150"/>
  <c r="AK4" i="150" l="1"/>
  <c r="AL4" i="1"/>
  <c r="AL4" i="137"/>
  <c r="AL4" i="4"/>
  <c r="AL4" i="5"/>
  <c r="AK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N5" i="137"/>
  <c r="O5" i="137"/>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J4" i="50" s="1"/>
  <c r="M4" i="5" l="1"/>
  <c r="N4" i="150"/>
  <c r="O4" i="137"/>
  <c r="A5" i="137"/>
  <c r="A4" i="137" s="1"/>
  <c r="O4" i="150"/>
  <c r="A5" i="150"/>
  <c r="A4" i="150" s="1"/>
  <c r="A5" i="4"/>
  <c r="A4" i="4" s="1"/>
  <c r="O4" i="4"/>
  <c r="N4" i="137"/>
  <c r="N4" i="1"/>
  <c r="N4" i="4"/>
  <c r="A5" i="1"/>
  <c r="A4" i="1" s="1"/>
  <c r="O4" i="1"/>
  <c r="N4" i="5"/>
  <c r="A5" i="5"/>
  <c r="A4" i="5" s="1"/>
  <c r="I4" i="50"/>
  <c r="K11" i="50"/>
  <c r="C1" i="50" l="1"/>
  <c r="I4" i="95"/>
  <c r="I5" i="95" s="1"/>
  <c r="D1" i="50"/>
  <c r="E1" i="50"/>
  <c r="A1" i="50"/>
</calcChain>
</file>

<file path=xl/comments1.xml><?xml version="1.0" encoding="utf-8"?>
<comments xmlns="http://schemas.openxmlformats.org/spreadsheetml/2006/main">
  <authors>
    <author>Windows User</author>
  </authors>
  <commentList>
    <comment ref="P9" authorId="0">
      <text>
        <r>
          <rPr>
            <b/>
            <sz val="9"/>
            <color indexed="81"/>
            <rFont val="Tahoma"/>
            <family val="2"/>
          </rPr>
          <t>Windows User:</t>
        </r>
        <r>
          <rPr>
            <sz val="9"/>
            <color indexed="81"/>
            <rFont val="Tahoma"/>
            <family val="2"/>
          </rPr>
          <t xml:space="preserve">
Quà Tết Móm
</t>
        </r>
      </text>
    </commen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<sst xmlns="http://schemas.openxmlformats.org/spreadsheetml/2006/main" count="2148" uniqueCount="274">
  <si>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</si>
  <si>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</si>
  <si>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</si>
  <si>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</si>
  <si>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</si>
  <si>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</si>
  <si>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</si>
  <si>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</si>
  <si>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</si>
  <si>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</si>
  <si>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</si>
  <si>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</si>
  <si>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</si>
  <si>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</si>
  <si>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</si>
  <si>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</si>
  <si>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</si>
  <si>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</si>
  <si>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</si>
  <si>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</si>
  <si>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</si>
  <si>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</si>
  <si>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</si>
  <si>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</si>
  <si>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</si>
  <si>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</si>
  <si>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</si>
  <si>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</si>
  <si>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</si>
  <si>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</si>
  <si>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</si>
  <si>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</si>
  <si>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</si>
  <si>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</si>
  <si>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</si>
  <si>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</si>
  <si>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</si>
  <si>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</si>
  <si>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</si>
  <si>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</si>
  <si>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</si>
  <si>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</si>
  <si>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</si>
  <si>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</si>
  <si>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</si>
  <si>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</si>
  <si>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</si>
  <si>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</si>
  <si>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</si>
  <si>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</si>
  <si>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</si>
  <si>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</si>
  <si>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</si>
  <si>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</si>
  <si>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</si>
  <si>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</si>
  <si>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</si>
  <si>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</si>
  <si>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</si>
  <si>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</si>
  <si>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</si>
  <si>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</si>
  <si>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</si>
  <si>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</si>
  <si>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</si>
  <si>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</si>
  <si>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</si>
  <si>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</si>
  <si>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</si>
  <si>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</si>
  <si>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</si>
  <si>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</si>
  <si>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</si>
  <si>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</si>
  <si>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</si>
  <si>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</si>
  <si>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</si>
  <si>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</si>
  <si>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</si>
  <si>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</si>
  <si>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</si>
  <si>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</si>
  <si>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</si>
  <si>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</si>
  <si>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</si>
  <si>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</si>
  <si>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</si>
  <si>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</si>
  <si>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</si>
  <si>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</si>
  <si>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</si>
  <si>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</si>
  <si>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</si>
  <si>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</si>
  <si>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</si>
  <si>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</si>
  <si>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</si>
  <si>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</si>
  <si>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</si>
  <si>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</si>
  <si>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</si>
  <si>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</si>
  <si>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</si>
  <si>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</si>
  <si>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</si>
  <si>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</si>
  <si>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</si>
  <si>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</si>
  <si>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</si>
  <si>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</si>
  <si>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</si>
  <si>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</si>
  <si>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</si>
  <si>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</si>
  <si>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</si>
  <si>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</si>
  <si>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</si>
  <si>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</si>
  <si>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</si>
  <si>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</si>
  <si>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</si>
  <si>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</si>
  <si>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</si>
  <si>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</si>
  <si>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</si>
  <si>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</si>
  <si>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</si>
  <si>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</si>
  <si>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</si>
  <si>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</si>
  <si>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</si>
  <si>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</si>
  <si>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</si>
  <si>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</si>
  <si>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</si>
  <si>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</si>
  <si>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</si>
  <si>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</si>
  <si>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</si>
  <si>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</si>
  <si>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</si>
  <si>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</si>
  <si>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</si>
  <si>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</si>
  <si>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</si>
  <si>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</si>
  <si>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</si>
  <si>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</si>
  <si>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</si>
  <si>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</si>
  <si>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</si>
  <si>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</si>
  <si>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</si>
  <si>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</si>
  <si>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</si>
  <si>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</si>
  <si>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</si>
  <si>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</si>
  <si>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</si>
  <si>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</si>
  <si>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</si>
  <si>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</si>
  <si>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</si>
  <si>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</si>
  <si>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</si>
  <si>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</si>
  <si>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</si>
  <si>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</si>
  <si>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</si>
  <si>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</si>
  <si>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</si>
  <si>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</si>
  <si>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</si>
  <si>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</si>
  <si>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</si>
  <si>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</si>
  <si>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</si>
  <si>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</si>
  <si>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</si>
  <si>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</si>
  <si>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</si>
  <si>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</si>
  <si>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</si>
  <si>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</si>
  <si>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</si>
  <si>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</si>
  <si>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</si>
  <si>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</si>
  <si>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</si>
  <si>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</si>
  <si>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</si>
  <si>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</si>
  <si>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</si>
  <si>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</si>
  <si>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</si>
  <si>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</si>
  <si>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</si>
  <si>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</si>
  <si>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</si>
  <si>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</si>
  <si>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</si>
  <si>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</si>
  <si>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</si>
  <si>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</si>
  <si>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</si>
  <si>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</si>
  <si>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</si>
  <si>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</si>
  <si>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</si>
  <si>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</si>
  <si>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</si>
  <si>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</si>
  <si>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</si>
  <si>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</si>
  <si>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</si>
  <si>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</si>
  <si>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</si>
  <si>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</si>
  <si>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</si>
  <si>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</si>
  <si>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</si>
  <si>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</si>
  <si>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</si>
  <si>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</si>
  <si>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</si>
  <si>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</si>
  <si>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</si>
  <si>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</si>
  <si>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</si>
  <si>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</si>
  <si>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</si>
  <si>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</si>
  <si>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</si>
  <si>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</si>
  <si>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</si>
  <si>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</si>
  <si>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</si>
  <si>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</si>
  <si>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</si>
  <si>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</si>
  <si>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</si>
  <si>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</si>
  <si>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</si>
  <si>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</si>
  <si>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</si>
  <si>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</si>
  <si>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</si>
  <si>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</si>
  <si>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</si>
  <si>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</si>
  <si>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</si>
  <si>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</si>
  <si>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</si>
  <si>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</si>
  <si>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</si>
  <si>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</si>
  <si>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</si>
  <si>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Cô Bé Ken</t>
  </si>
  <si>
    <t>Chủ trả Ưu đãi Cô Bé</t>
  </si>
  <si>
    <t>Dì Út</t>
  </si>
  <si>
    <t>Tiền Ưu đãi tháng 01</t>
  </si>
  <si>
    <t>Chị Út</t>
  </si>
  <si>
    <t>Chị Tuyền</t>
  </si>
  <si>
    <t>Dì Luận</t>
  </si>
  <si>
    <t>Chị Trang</t>
  </si>
  <si>
    <t>Chị Trân</t>
  </si>
  <si>
    <t>Bé Mỹ</t>
  </si>
  <si>
    <t>C. Lào</t>
  </si>
  <si>
    <t>Cô Tiền</t>
  </si>
  <si>
    <t>KH lẻ</t>
  </si>
  <si>
    <t>Kim Vân</t>
  </si>
  <si>
    <t>KH Lẻ</t>
  </si>
  <si>
    <t>Thím Gái</t>
  </si>
  <si>
    <t>Dì Phượng 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</si>
</sst>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1">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vertical="center"/>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164" fontId="8" fillId="0" borderId="0" xfId="1" applyNumberFormat="1" applyFont="1" applyBorder="1" applyAlignment="1">
      <alignment horizontal="center" vertical="center"/>
    </xf>
    <xf numFmtId="41" fontId="9" fillId="0" borderId="0" xfId="0" applyNumberFormat="1" applyFont="1" applyAlignment="1">
      <alignment horizontal="center" vertical="center"/>
    </xf>
    <xf numFmtId="0" fontId="33" fillId="0" borderId="2" xfId="0" applyFont="1" applyBorder="1" applyAlignment="1" applyProtection="1">
      <alignment vertical="center"/>
      <protection locked="0"/>
    </xf>
    <xf numFmtId="41" fontId="4" fillId="0" borderId="0" xfId="0" quotePrefix="1" applyNumberFormat="1" applyFont="1" applyAlignment="1">
      <alignment horizontal="center" vertical="center"/>
    </xf>
    <xf numFmtId="0" fontId="33" fillId="7" borderId="2" xfId="0" applyFont="1" applyFill="1" applyBorder="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6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2"/>
      <tableStyleElement type="headerRow" dxfId="56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112060</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54354" cy="620805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4033" name="Button 1" hidden="1">
              <a:extLst>
                <a:ext uri="{63B3BB69-23CF-44E3-9099-C40C66FF867C}">
                  <a14:compatExt spid="_x0000_s440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3009" name="Button 1" hidden="1">
              <a:extLst>
                <a:ext uri="{63B3BB69-23CF-44E3-9099-C40C66FF867C}">
                  <a14:compatExt spid="_x0000_s430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2.414525"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6">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4">
        <n v="60000"/>
        <n v="70000"/>
        <n v="45000"/>
        <n v="27000"/>
        <n v="25000"/>
        <n v="28000"/>
        <n v="30000"/>
        <n v="38000"/>
        <n v="42000"/>
        <n v="34000"/>
        <n v="35000"/>
        <n v="50000"/>
        <n v="40000"/>
        <n v="55000"/>
        <n v="26000"/>
        <n v="33000"/>
        <n v="69000"/>
        <n v="32000"/>
        <n v="14000"/>
        <n v="59000"/>
        <n v="52000"/>
        <n v="65000"/>
        <n v="44000"/>
        <n v="79000"/>
        <n v="66000"/>
        <n v="122000"/>
        <n v="54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
  </r>
  <r>
    <x v="52"/>
    <x v="52"/>
    <x v="52"/>
    <x v="22"/>
  </r>
  <r>
    <x v="53"/>
    <x v="53"/>
    <x v="53"/>
    <x v="10"/>
  </r>
  <r>
    <x v="54"/>
    <x v="54"/>
    <x v="54"/>
    <x v="16"/>
  </r>
  <r>
    <x v="55"/>
    <x v="55"/>
    <x v="55"/>
    <x v="27"/>
  </r>
  <r>
    <x v="56"/>
    <x v="56"/>
    <x v="56"/>
    <x v="6"/>
  </r>
  <r>
    <x v="57"/>
    <x v="57"/>
    <x v="57"/>
    <x v="2"/>
  </r>
  <r>
    <x v="58"/>
    <x v="58"/>
    <x v="58"/>
    <x v="28"/>
  </r>
  <r>
    <x v="59"/>
    <x v="59"/>
    <x v="59"/>
    <x v="8"/>
  </r>
  <r>
    <x v="60"/>
    <x v="60"/>
    <x v="60"/>
    <x v="10"/>
  </r>
  <r>
    <x v="61"/>
    <x v="61"/>
    <x v="61"/>
    <x v="7"/>
  </r>
  <r>
    <x v="62"/>
    <x v="62"/>
    <x v="62"/>
    <x v="1"/>
  </r>
  <r>
    <x v="63"/>
    <x v="63"/>
    <x v="63"/>
    <x v="26"/>
  </r>
  <r>
    <x v="64"/>
    <x v="64"/>
    <x v="64"/>
    <x v="29"/>
  </r>
  <r>
    <x v="65"/>
    <x v="65"/>
    <x v="65"/>
    <x v="11"/>
  </r>
  <r>
    <x v="66"/>
    <x v="66"/>
    <x v="66"/>
    <x v="2"/>
  </r>
  <r>
    <x v="67"/>
    <x v="67"/>
    <x v="67"/>
    <x v="30"/>
  </r>
  <r>
    <x v="68"/>
    <x v="68"/>
    <x v="68"/>
    <x v="31"/>
  </r>
  <r>
    <x v="69"/>
    <x v="69"/>
    <x v="69"/>
    <x v="14"/>
  </r>
  <r>
    <x v="70"/>
    <x v="70"/>
    <x v="70"/>
    <x v="14"/>
  </r>
  <r>
    <x v="71"/>
    <x v="71"/>
    <x v="71"/>
    <x v="14"/>
  </r>
  <r>
    <x v="72"/>
    <x v="72"/>
    <x v="72"/>
    <x v="14"/>
  </r>
  <r>
    <x v="73"/>
    <x v="73"/>
    <x v="73"/>
    <x v="10"/>
  </r>
  <r>
    <x v="74"/>
    <x v="74"/>
    <x v="74"/>
    <x v="12"/>
  </r>
  <r>
    <x v="75"/>
    <x v="75"/>
    <x v="75"/>
    <x v="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6">
        <item x="52"/>
        <item x="56"/>
        <item x="55"/>
        <item x="36"/>
        <item x="37"/>
        <item x="4"/>
        <item x="3"/>
        <item x="5"/>
        <item x="33"/>
        <item x="31"/>
        <item x="32"/>
        <item x="27"/>
        <item x="28"/>
        <item x="29"/>
        <item x="30"/>
        <item x="54"/>
        <item x="7"/>
        <item x="50"/>
        <item x="20"/>
        <item x="58"/>
        <item x="46"/>
        <item x="47"/>
        <item x="48"/>
        <item x="60"/>
        <item x="61"/>
        <item x="11"/>
        <item x="51"/>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4">
        <item x="18"/>
        <item x="4"/>
        <item x="14"/>
        <item x="3"/>
        <item x="5"/>
        <item x="6"/>
        <item x="17"/>
        <item x="15"/>
        <item x="9"/>
        <item x="10"/>
        <item x="7"/>
        <item x="12"/>
        <item x="8"/>
        <item x="22"/>
        <item x="2"/>
        <item m="1" x="33"/>
        <item x="11"/>
        <item x="20"/>
        <item x="26"/>
        <item x="13"/>
        <item x="19"/>
        <item x="21"/>
        <item x="24"/>
        <item x="16"/>
        <item x="1"/>
        <item x="27"/>
        <item x="23"/>
        <item x="28"/>
        <item x="25"/>
        <item x="0"/>
        <item x="29"/>
        <item x="30"/>
        <item x="31"/>
        <item x="32"/>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9"/>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4"/>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33">
      <pivotArea field="3" type="button" dataOnly="0" labelOnly="1" outline="0" axis="axisRow" fieldPosition="3"/>
    </format>
    <format dxfId="53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2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2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2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2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2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2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2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1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1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1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1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1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1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0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0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0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0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0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0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0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9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9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9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9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8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8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8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8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8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8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8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7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7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6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6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6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6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6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6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6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6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6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6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5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5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5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5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5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5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5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5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5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5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4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4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4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4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4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4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4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4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4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3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3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3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3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3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3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3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2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2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2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2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2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2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2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2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2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2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1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1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1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1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1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1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1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12">
      <pivotArea field="1" type="button" dataOnly="0" labelOnly="1" outline="0" axis="axisRow" fieldPosition="2"/>
    </format>
    <format dxfId="411">
      <pivotArea dataOnly="0" labelOnly="1" outline="0" fieldPosition="0">
        <references count="1">
          <reference field="1" count="0"/>
        </references>
      </pivotArea>
    </format>
    <format dxfId="410">
      <pivotArea field="0" type="button" dataOnly="0" labelOnly="1" outline="0" axis="axisRow" fieldPosition="0"/>
    </format>
    <format dxfId="40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8">
      <pivotArea dataOnly="0" labelOnly="1" outline="0" fieldPosition="0">
        <references count="1">
          <reference field="0" count="10">
            <x v="50"/>
            <x v="51"/>
            <x v="52"/>
            <x v="53"/>
            <x v="54"/>
            <x v="55"/>
            <x v="56"/>
            <x v="57"/>
            <x v="58"/>
            <x v="59"/>
          </reference>
        </references>
      </pivotArea>
    </format>
    <format dxfId="407">
      <pivotArea dataOnly="0" labelOnly="1" grandRow="1" outline="0" fieldPosition="0"/>
    </format>
    <format dxfId="40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5">
      <pivotArea dataOnly="0" labelOnly="1" outline="0" fieldPosition="0">
        <references count="1">
          <reference field="0" count="10">
            <x v="50"/>
            <x v="51"/>
            <x v="52"/>
            <x v="53"/>
            <x v="54"/>
            <x v="55"/>
            <x v="56"/>
            <x v="57"/>
            <x v="58"/>
            <x v="59"/>
          </reference>
        </references>
      </pivotArea>
    </format>
    <format dxfId="404">
      <pivotArea dataOnly="0" labelOnly="1" grandRow="1" outline="0" fieldPosition="0"/>
    </format>
    <format dxfId="403">
      <pivotArea field="2" type="button" dataOnly="0" labelOnly="1" outline="0" axis="axisRow" fieldPosition="1"/>
    </format>
    <format dxfId="402">
      <pivotArea type="all" dataOnly="0" outline="0" fieldPosition="0"/>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dataOnly="0" labelOnly="1" outline="0" fieldPosition="0">
        <references count="3">
          <reference field="0" count="1" selected="0">
            <x v="0"/>
          </reference>
          <reference field="1" count="1">
            <x v="6"/>
          </reference>
          <reference field="2" count="1" selected="0">
            <x v="0"/>
          </reference>
        </references>
      </pivotArea>
    </format>
    <format dxfId="390">
      <pivotArea dataOnly="0" labelOnly="1" outline="0" fieldPosition="0">
        <references count="3">
          <reference field="0" count="1" selected="0">
            <x v="1"/>
          </reference>
          <reference field="1" count="1">
            <x v="5"/>
          </reference>
          <reference field="2" count="1" selected="0">
            <x v="1"/>
          </reference>
        </references>
      </pivotArea>
    </format>
    <format dxfId="389">
      <pivotArea dataOnly="0" labelOnly="1" outline="0" fieldPosition="0">
        <references count="3">
          <reference field="0" count="1" selected="0">
            <x v="2"/>
          </reference>
          <reference field="1" count="1">
            <x v="7"/>
          </reference>
          <reference field="2" count="1" selected="0">
            <x v="2"/>
          </reference>
        </references>
      </pivotArea>
    </format>
    <format dxfId="388">
      <pivotArea dataOnly="0" labelOnly="1" outline="0" fieldPosition="0">
        <references count="3">
          <reference field="0" count="1" selected="0">
            <x v="3"/>
          </reference>
          <reference field="1" count="1">
            <x v="40"/>
          </reference>
          <reference field="2" count="1" selected="0">
            <x v="3"/>
          </reference>
        </references>
      </pivotArea>
    </format>
    <format dxfId="387">
      <pivotArea dataOnly="0" labelOnly="1" outline="0" fieldPosition="0">
        <references count="3">
          <reference field="0" count="1" selected="0">
            <x v="4"/>
          </reference>
          <reference field="1" count="1">
            <x v="16"/>
          </reference>
          <reference field="2" count="1" selected="0">
            <x v="4"/>
          </reference>
        </references>
      </pivotArea>
    </format>
    <format dxfId="386">
      <pivotArea dataOnly="0" labelOnly="1" outline="0" fieldPosition="0">
        <references count="3">
          <reference field="0" count="1" selected="0">
            <x v="5"/>
          </reference>
          <reference field="1" count="1">
            <x v="33"/>
          </reference>
          <reference field="2" count="1" selected="0">
            <x v="5"/>
          </reference>
        </references>
      </pivotArea>
    </format>
    <format dxfId="385">
      <pivotArea dataOnly="0" labelOnly="1" outline="0" fieldPosition="0">
        <references count="3">
          <reference field="0" count="1" selected="0">
            <x v="6"/>
          </reference>
          <reference field="1" count="1">
            <x v="39"/>
          </reference>
          <reference field="2" count="1" selected="0">
            <x v="6"/>
          </reference>
        </references>
      </pivotArea>
    </format>
    <format dxfId="384">
      <pivotArea dataOnly="0" labelOnly="1" outline="0" fieldPosition="0">
        <references count="3">
          <reference field="0" count="1" selected="0">
            <x v="7"/>
          </reference>
          <reference field="1" count="1">
            <x v="28"/>
          </reference>
          <reference field="2" count="1" selected="0">
            <x v="7"/>
          </reference>
        </references>
      </pivotArea>
    </format>
    <format dxfId="383">
      <pivotArea dataOnly="0" labelOnly="1" outline="0" fieldPosition="0">
        <references count="3">
          <reference field="0" count="1" selected="0">
            <x v="8"/>
          </reference>
          <reference field="1" count="1">
            <x v="25"/>
          </reference>
          <reference field="2" count="1" selected="0">
            <x v="8"/>
          </reference>
        </references>
      </pivotArea>
    </format>
    <format dxfId="382">
      <pivotArea dataOnly="0" labelOnly="1" outline="0" fieldPosition="0">
        <references count="3">
          <reference field="0" count="1" selected="0">
            <x v="9"/>
          </reference>
          <reference field="1" count="1">
            <x v="43"/>
          </reference>
          <reference field="2" count="1" selected="0">
            <x v="9"/>
          </reference>
        </references>
      </pivotArea>
    </format>
    <format dxfId="381">
      <pivotArea dataOnly="0" labelOnly="1" outline="0" fieldPosition="0">
        <references count="3">
          <reference field="0" count="1" selected="0">
            <x v="10"/>
          </reference>
          <reference field="1" count="1">
            <x v="44"/>
          </reference>
          <reference field="2" count="1" selected="0">
            <x v="10"/>
          </reference>
        </references>
      </pivotArea>
    </format>
    <format dxfId="380">
      <pivotArea dataOnly="0" labelOnly="1" outline="0" fieldPosition="0">
        <references count="3">
          <reference field="0" count="1" selected="0">
            <x v="11"/>
          </reference>
          <reference field="1" count="1">
            <x v="45"/>
          </reference>
          <reference field="2" count="1" selected="0">
            <x v="11"/>
          </reference>
        </references>
      </pivotArea>
    </format>
    <format dxfId="379">
      <pivotArea dataOnly="0" labelOnly="1" outline="0" fieldPosition="0">
        <references count="3">
          <reference field="0" count="1" selected="0">
            <x v="12"/>
          </reference>
          <reference field="1" count="1">
            <x v="46"/>
          </reference>
          <reference field="2" count="1" selected="0">
            <x v="12"/>
          </reference>
        </references>
      </pivotArea>
    </format>
    <format dxfId="378">
      <pivotArea dataOnly="0" labelOnly="1" outline="0" fieldPosition="0">
        <references count="3">
          <reference field="0" count="1" selected="0">
            <x v="13"/>
          </reference>
          <reference field="1" count="1">
            <x v="47"/>
          </reference>
          <reference field="2" count="1" selected="0">
            <x v="13"/>
          </reference>
        </references>
      </pivotArea>
    </format>
    <format dxfId="377">
      <pivotArea dataOnly="0" labelOnly="1" outline="0" fieldPosition="0">
        <references count="3">
          <reference field="0" count="1" selected="0">
            <x v="14"/>
          </reference>
          <reference field="1" count="1">
            <x v="48"/>
          </reference>
          <reference field="2" count="1" selected="0">
            <x v="14"/>
          </reference>
        </references>
      </pivotArea>
    </format>
    <format dxfId="376">
      <pivotArea dataOnly="0" labelOnly="1" outline="0" fieldPosition="0">
        <references count="3">
          <reference field="0" count="1" selected="0">
            <x v="15"/>
          </reference>
          <reference field="1" count="1">
            <x v="36"/>
          </reference>
          <reference field="2" count="1" selected="0">
            <x v="15"/>
          </reference>
        </references>
      </pivotArea>
    </format>
    <format dxfId="375">
      <pivotArea dataOnly="0" labelOnly="1" outline="0" fieldPosition="0">
        <references count="3">
          <reference field="0" count="1" selected="0">
            <x v="16"/>
          </reference>
          <reference field="1" count="1">
            <x v="37"/>
          </reference>
          <reference field="2" count="1" selected="0">
            <x v="16"/>
          </reference>
        </references>
      </pivotArea>
    </format>
    <format dxfId="374">
      <pivotArea dataOnly="0" labelOnly="1" outline="0" fieldPosition="0">
        <references count="3">
          <reference field="0" count="1" selected="0">
            <x v="17"/>
          </reference>
          <reference field="1" count="1">
            <x v="18"/>
          </reference>
          <reference field="2" count="1" selected="0">
            <x v="17"/>
          </reference>
        </references>
      </pivotArea>
    </format>
    <format dxfId="373">
      <pivotArea dataOnly="0" labelOnly="1" outline="0" fieldPosition="0">
        <references count="3">
          <reference field="0" count="1" selected="0">
            <x v="18"/>
          </reference>
          <reference field="1" count="1">
            <x v="51"/>
          </reference>
          <reference field="2" count="1" selected="0">
            <x v="18"/>
          </reference>
        </references>
      </pivotArea>
    </format>
    <format dxfId="372">
      <pivotArea dataOnly="0" labelOnly="1" outline="0" fieldPosition="0">
        <references count="3">
          <reference field="0" count="1" selected="0">
            <x v="19"/>
          </reference>
          <reference field="1" count="1">
            <x v="52"/>
          </reference>
          <reference field="2" count="1" selected="0">
            <x v="19"/>
          </reference>
        </references>
      </pivotArea>
    </format>
    <format dxfId="371">
      <pivotArea dataOnly="0" labelOnly="1" outline="0" fieldPosition="0">
        <references count="3">
          <reference field="0" count="1" selected="0">
            <x v="20"/>
          </reference>
          <reference field="1" count="1">
            <x v="53"/>
          </reference>
          <reference field="2" count="1" selected="0">
            <x v="20"/>
          </reference>
        </references>
      </pivotArea>
    </format>
    <format dxfId="370">
      <pivotArea dataOnly="0" labelOnly="1" outline="0" fieldPosition="0">
        <references count="3">
          <reference field="0" count="1" selected="0">
            <x v="21"/>
          </reference>
          <reference field="1" count="1">
            <x v="55"/>
          </reference>
          <reference field="2" count="1" selected="0">
            <x v="21"/>
          </reference>
        </references>
      </pivotArea>
    </format>
    <format dxfId="369">
      <pivotArea dataOnly="0" labelOnly="1" outline="0" fieldPosition="0">
        <references count="3">
          <reference field="0" count="1" selected="0">
            <x v="22"/>
          </reference>
          <reference field="1" count="1">
            <x v="58"/>
          </reference>
          <reference field="2" count="1" selected="0">
            <x v="22"/>
          </reference>
        </references>
      </pivotArea>
    </format>
    <format dxfId="368">
      <pivotArea dataOnly="0" labelOnly="1" outline="0" fieldPosition="0">
        <references count="3">
          <reference field="0" count="1" selected="0">
            <x v="23"/>
          </reference>
          <reference field="1" count="1">
            <x v="59"/>
          </reference>
          <reference field="2" count="1" selected="0">
            <x v="23"/>
          </reference>
        </references>
      </pivotArea>
    </format>
    <format dxfId="367">
      <pivotArea dataOnly="0" labelOnly="1" outline="0" fieldPosition="0">
        <references count="3">
          <reference field="0" count="1" selected="0">
            <x v="24"/>
          </reference>
          <reference field="1" count="1">
            <x v="11"/>
          </reference>
          <reference field="2" count="1" selected="0">
            <x v="24"/>
          </reference>
        </references>
      </pivotArea>
    </format>
    <format dxfId="366">
      <pivotArea dataOnly="0" labelOnly="1" outline="0" fieldPosition="0">
        <references count="3">
          <reference field="0" count="1" selected="0">
            <x v="25"/>
          </reference>
          <reference field="1" count="1">
            <x v="12"/>
          </reference>
          <reference field="2" count="1" selected="0">
            <x v="25"/>
          </reference>
        </references>
      </pivotArea>
    </format>
    <format dxfId="365">
      <pivotArea dataOnly="0" labelOnly="1" outline="0" fieldPosition="0">
        <references count="3">
          <reference field="0" count="1" selected="0">
            <x v="26"/>
          </reference>
          <reference field="1" count="1">
            <x v="13"/>
          </reference>
          <reference field="2" count="1" selected="0">
            <x v="26"/>
          </reference>
        </references>
      </pivotArea>
    </format>
    <format dxfId="364">
      <pivotArea dataOnly="0" labelOnly="1" outline="0" fieldPosition="0">
        <references count="3">
          <reference field="0" count="1" selected="0">
            <x v="27"/>
          </reference>
          <reference field="1" count="1">
            <x v="14"/>
          </reference>
          <reference field="2" count="1" selected="0">
            <x v="27"/>
          </reference>
        </references>
      </pivotArea>
    </format>
    <format dxfId="363">
      <pivotArea dataOnly="0" labelOnly="1" outline="0" fieldPosition="0">
        <references count="3">
          <reference field="0" count="1" selected="0">
            <x v="28"/>
          </reference>
          <reference field="1" count="1">
            <x v="9"/>
          </reference>
          <reference field="2" count="1" selected="0">
            <x v="28"/>
          </reference>
        </references>
      </pivotArea>
    </format>
    <format dxfId="362">
      <pivotArea dataOnly="0" labelOnly="1" outline="0" fieldPosition="0">
        <references count="3">
          <reference field="0" count="1" selected="0">
            <x v="29"/>
          </reference>
          <reference field="1" count="1">
            <x v="10"/>
          </reference>
          <reference field="2" count="1" selected="0">
            <x v="29"/>
          </reference>
        </references>
      </pivotArea>
    </format>
    <format dxfId="361">
      <pivotArea dataOnly="0" labelOnly="1" outline="0" fieldPosition="0">
        <references count="3">
          <reference field="0" count="1" selected="0">
            <x v="30"/>
          </reference>
          <reference field="1" count="1">
            <x v="8"/>
          </reference>
          <reference field="2" count="1" selected="0">
            <x v="30"/>
          </reference>
        </references>
      </pivotArea>
    </format>
    <format dxfId="360">
      <pivotArea dataOnly="0" labelOnly="1" outline="0" fieldPosition="0">
        <references count="3">
          <reference field="0" count="1" selected="0">
            <x v="31"/>
          </reference>
          <reference field="1" count="1">
            <x v="41"/>
          </reference>
          <reference field="2" count="1" selected="0">
            <x v="31"/>
          </reference>
        </references>
      </pivotArea>
    </format>
    <format dxfId="359">
      <pivotArea dataOnly="0" labelOnly="1" outline="0" fieldPosition="0">
        <references count="3">
          <reference field="0" count="1" selected="0">
            <x v="32"/>
          </reference>
          <reference field="1" count="1">
            <x v="42"/>
          </reference>
          <reference field="2" count="1" selected="0">
            <x v="32"/>
          </reference>
        </references>
      </pivotArea>
    </format>
    <format dxfId="358">
      <pivotArea dataOnly="0" labelOnly="1" outline="0" fieldPosition="0">
        <references count="3">
          <reference field="0" count="1" selected="0">
            <x v="33"/>
          </reference>
          <reference field="1" count="1">
            <x v="3"/>
          </reference>
          <reference field="2" count="1" selected="0">
            <x v="33"/>
          </reference>
        </references>
      </pivotArea>
    </format>
    <format dxfId="357">
      <pivotArea dataOnly="0" labelOnly="1" outline="0" fieldPosition="0">
        <references count="3">
          <reference field="0" count="1" selected="0">
            <x v="34"/>
          </reference>
          <reference field="1" count="1">
            <x v="4"/>
          </reference>
          <reference field="2" count="1" selected="0">
            <x v="34"/>
          </reference>
        </references>
      </pivotArea>
    </format>
    <format dxfId="356">
      <pivotArea dataOnly="0" labelOnly="1" outline="0" fieldPosition="0">
        <references count="3">
          <reference field="0" count="1" selected="0">
            <x v="35"/>
          </reference>
          <reference field="1" count="1">
            <x v="49"/>
          </reference>
          <reference field="2" count="1" selected="0">
            <x v="35"/>
          </reference>
        </references>
      </pivotArea>
    </format>
    <format dxfId="355">
      <pivotArea dataOnly="0" labelOnly="1" outline="0" fieldPosition="0">
        <references count="3">
          <reference field="0" count="1" selected="0">
            <x v="36"/>
          </reference>
          <reference field="1" count="1">
            <x v="50"/>
          </reference>
          <reference field="2" count="1" selected="0">
            <x v="36"/>
          </reference>
        </references>
      </pivotArea>
    </format>
    <format dxfId="354">
      <pivotArea dataOnly="0" labelOnly="1" outline="0" fieldPosition="0">
        <references count="3">
          <reference field="0" count="1" selected="0">
            <x v="37"/>
          </reference>
          <reference field="1" count="1">
            <x v="54"/>
          </reference>
          <reference field="2" count="1" selected="0">
            <x v="37"/>
          </reference>
        </references>
      </pivotArea>
    </format>
    <format dxfId="353">
      <pivotArea dataOnly="0" labelOnly="1" outline="0" fieldPosition="0">
        <references count="3">
          <reference field="0" count="1" selected="0">
            <x v="38"/>
          </reference>
          <reference field="1" count="1">
            <x v="56"/>
          </reference>
          <reference field="2" count="1" selected="0">
            <x v="38"/>
          </reference>
        </references>
      </pivotArea>
    </format>
    <format dxfId="352">
      <pivotArea dataOnly="0" labelOnly="1" outline="0" fieldPosition="0">
        <references count="3">
          <reference field="0" count="1" selected="0">
            <x v="39"/>
          </reference>
          <reference field="1" count="1">
            <x v="34"/>
          </reference>
          <reference field="2" count="1" selected="0">
            <x v="39"/>
          </reference>
        </references>
      </pivotArea>
    </format>
    <format dxfId="351">
      <pivotArea dataOnly="0" labelOnly="1" outline="0" fieldPosition="0">
        <references count="3">
          <reference field="0" count="1" selected="0">
            <x v="40"/>
          </reference>
          <reference field="1" count="1">
            <x v="29"/>
          </reference>
          <reference field="2" count="1" selected="0">
            <x v="40"/>
          </reference>
        </references>
      </pivotArea>
    </format>
    <format dxfId="350">
      <pivotArea dataOnly="0" labelOnly="1" outline="0" fieldPosition="0">
        <references count="3">
          <reference field="0" count="1" selected="0">
            <x v="41"/>
          </reference>
          <reference field="1" count="1">
            <x v="30"/>
          </reference>
          <reference field="2" count="1" selected="0">
            <x v="41"/>
          </reference>
        </references>
      </pivotArea>
    </format>
    <format dxfId="349">
      <pivotArea dataOnly="0" labelOnly="1" outline="0" fieldPosition="0">
        <references count="3">
          <reference field="0" count="1" selected="0">
            <x v="42"/>
          </reference>
          <reference field="1" count="1">
            <x v="31"/>
          </reference>
          <reference field="2" count="1" selected="0">
            <x v="42"/>
          </reference>
        </references>
      </pivotArea>
    </format>
    <format dxfId="348">
      <pivotArea dataOnly="0" labelOnly="1" outline="0" fieldPosition="0">
        <references count="3">
          <reference field="0" count="1" selected="0">
            <x v="43"/>
          </reference>
          <reference field="1" count="1">
            <x v="20"/>
          </reference>
          <reference field="2" count="1" selected="0">
            <x v="43"/>
          </reference>
        </references>
      </pivotArea>
    </format>
    <format dxfId="347">
      <pivotArea dataOnly="0" labelOnly="1" outline="0" fieldPosition="0">
        <references count="3">
          <reference field="0" count="1" selected="0">
            <x v="44"/>
          </reference>
          <reference field="1" count="1">
            <x v="21"/>
          </reference>
          <reference field="2" count="1" selected="0">
            <x v="44"/>
          </reference>
        </references>
      </pivotArea>
    </format>
    <format dxfId="346">
      <pivotArea dataOnly="0" labelOnly="1" outline="0" fieldPosition="0">
        <references count="3">
          <reference field="0" count="1" selected="0">
            <x v="45"/>
          </reference>
          <reference field="1" count="1">
            <x v="22"/>
          </reference>
          <reference field="2" count="1" selected="0">
            <x v="45"/>
          </reference>
        </references>
      </pivotArea>
    </format>
    <format dxfId="345">
      <pivotArea dataOnly="0" labelOnly="1" outline="0" fieldPosition="0">
        <references count="3">
          <reference field="0" count="1" selected="0">
            <x v="46"/>
          </reference>
          <reference field="1" count="1">
            <x v="57"/>
          </reference>
          <reference field="2" count="1" selected="0">
            <x v="46"/>
          </reference>
        </references>
      </pivotArea>
    </format>
    <format dxfId="344">
      <pivotArea dataOnly="0" labelOnly="1" outline="0" fieldPosition="0">
        <references count="3">
          <reference field="0" count="1" selected="0">
            <x v="47"/>
          </reference>
          <reference field="1" count="1">
            <x v="17"/>
          </reference>
          <reference field="2" count="1" selected="0">
            <x v="47"/>
          </reference>
        </references>
      </pivotArea>
    </format>
    <format dxfId="343">
      <pivotArea dataOnly="0" labelOnly="1" outline="0" fieldPosition="0">
        <references count="3">
          <reference field="0" count="1" selected="0">
            <x v="48"/>
          </reference>
          <reference field="1" count="1">
            <x v="26"/>
          </reference>
          <reference field="2" count="1" selected="0">
            <x v="48"/>
          </reference>
        </references>
      </pivotArea>
    </format>
    <format dxfId="342">
      <pivotArea dataOnly="0" labelOnly="1" outline="0" fieldPosition="0">
        <references count="3">
          <reference field="0" count="1" selected="0">
            <x v="49"/>
          </reference>
          <reference field="1" count="1">
            <x v="0"/>
          </reference>
          <reference field="2" count="1" selected="0">
            <x v="49"/>
          </reference>
        </references>
      </pivotArea>
    </format>
    <format dxfId="341">
      <pivotArea dataOnly="0" labelOnly="1" outline="0" fieldPosition="0">
        <references count="3">
          <reference field="0" count="1" selected="0">
            <x v="50"/>
          </reference>
          <reference field="1" count="1">
            <x v="35"/>
          </reference>
          <reference field="2" count="1" selected="0">
            <x v="50"/>
          </reference>
        </references>
      </pivotArea>
    </format>
    <format dxfId="340">
      <pivotArea dataOnly="0" labelOnly="1" outline="0" fieldPosition="0">
        <references count="3">
          <reference field="0" count="1" selected="0">
            <x v="51"/>
          </reference>
          <reference field="1" count="1">
            <x v="15"/>
          </reference>
          <reference field="2" count="1" selected="0">
            <x v="51"/>
          </reference>
        </references>
      </pivotArea>
    </format>
    <format dxfId="339">
      <pivotArea dataOnly="0" labelOnly="1" outline="0" fieldPosition="0">
        <references count="3">
          <reference field="0" count="1" selected="0">
            <x v="52"/>
          </reference>
          <reference field="1" count="1">
            <x v="2"/>
          </reference>
          <reference field="2" count="1" selected="0">
            <x v="52"/>
          </reference>
        </references>
      </pivotArea>
    </format>
    <format dxfId="338">
      <pivotArea dataOnly="0" labelOnly="1" outline="0" fieldPosition="0">
        <references count="3">
          <reference field="0" count="1" selected="0">
            <x v="53"/>
          </reference>
          <reference field="1" count="1">
            <x v="1"/>
          </reference>
          <reference field="2" count="1" selected="0">
            <x v="53"/>
          </reference>
        </references>
      </pivotArea>
    </format>
    <format dxfId="337">
      <pivotArea dataOnly="0" labelOnly="1" outline="0" fieldPosition="0">
        <references count="3">
          <reference field="0" count="1" selected="0">
            <x v="54"/>
          </reference>
          <reference field="1" count="1">
            <x v="32"/>
          </reference>
          <reference field="2" count="1" selected="0">
            <x v="54"/>
          </reference>
        </references>
      </pivotArea>
    </format>
    <format dxfId="336">
      <pivotArea dataOnly="0" labelOnly="1" outline="0" fieldPosition="0">
        <references count="3">
          <reference field="0" count="1" selected="0">
            <x v="55"/>
          </reference>
          <reference field="1" count="1">
            <x v="19"/>
          </reference>
          <reference field="2" count="1" selected="0">
            <x v="55"/>
          </reference>
        </references>
      </pivotArea>
    </format>
    <format dxfId="335">
      <pivotArea dataOnly="0" labelOnly="1" outline="0" fieldPosition="0">
        <references count="3">
          <reference field="0" count="1" selected="0">
            <x v="56"/>
          </reference>
          <reference field="1" count="1">
            <x v="27"/>
          </reference>
          <reference field="2" count="1" selected="0">
            <x v="56"/>
          </reference>
        </references>
      </pivotArea>
    </format>
    <format dxfId="334">
      <pivotArea dataOnly="0" labelOnly="1" outline="0" fieldPosition="0">
        <references count="3">
          <reference field="0" count="1" selected="0">
            <x v="57"/>
          </reference>
          <reference field="1" count="1">
            <x v="23"/>
          </reference>
          <reference field="2" count="1" selected="0">
            <x v="57"/>
          </reference>
        </references>
      </pivotArea>
    </format>
    <format dxfId="333">
      <pivotArea dataOnly="0" labelOnly="1" outline="0" fieldPosition="0">
        <references count="3">
          <reference field="0" count="1" selected="0">
            <x v="58"/>
          </reference>
          <reference field="1" count="1">
            <x v="24"/>
          </reference>
          <reference field="2" count="1" selected="0">
            <x v="58"/>
          </reference>
        </references>
      </pivotArea>
    </format>
    <format dxfId="332">
      <pivotArea dataOnly="0" labelOnly="1" outline="0" fieldPosition="0">
        <references count="3">
          <reference field="0" count="1" selected="0">
            <x v="59"/>
          </reference>
          <reference field="1" count="1">
            <x v="38"/>
          </reference>
          <reference field="2" count="1" selected="0">
            <x v="59"/>
          </reference>
        </references>
      </pivotArea>
    </format>
    <format dxfId="33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2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2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2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2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2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2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2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2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2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1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1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1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1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1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1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1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1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1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1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0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0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0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0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0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0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0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0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0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0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9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9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9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9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9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9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9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9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8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8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8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8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8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8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8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8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8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8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7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7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7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7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7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7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7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7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7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0">
      <pivotArea dataOnly="0" labelOnly="1" outline="0" fieldPosition="0">
        <references count="1">
          <reference field="0" count="10">
            <x v="50"/>
            <x v="51"/>
            <x v="52"/>
            <x v="53"/>
            <x v="54"/>
            <x v="55"/>
            <x v="56"/>
            <x v="57"/>
            <x v="58"/>
            <x v="59"/>
          </reference>
        </references>
      </pivotArea>
    </format>
    <format dxfId="269">
      <pivotArea dataOnly="0" labelOnly="1" outline="0" fieldPosition="0">
        <references count="2">
          <reference field="0" count="1" selected="0">
            <x v="0"/>
          </reference>
          <reference field="2" count="1">
            <x v="0"/>
          </reference>
        </references>
      </pivotArea>
    </format>
    <format dxfId="268">
      <pivotArea dataOnly="0" labelOnly="1" outline="0" fieldPosition="0">
        <references count="2">
          <reference field="0" count="1" selected="0">
            <x v="1"/>
          </reference>
          <reference field="2" count="1">
            <x v="1"/>
          </reference>
        </references>
      </pivotArea>
    </format>
    <format dxfId="267">
      <pivotArea dataOnly="0" labelOnly="1" outline="0" fieldPosition="0">
        <references count="2">
          <reference field="0" count="1" selected="0">
            <x v="2"/>
          </reference>
          <reference field="2" count="1">
            <x v="2"/>
          </reference>
        </references>
      </pivotArea>
    </format>
    <format dxfId="266">
      <pivotArea dataOnly="0" labelOnly="1" outline="0" fieldPosition="0">
        <references count="2">
          <reference field="0" count="1" selected="0">
            <x v="3"/>
          </reference>
          <reference field="2" count="1">
            <x v="3"/>
          </reference>
        </references>
      </pivotArea>
    </format>
    <format dxfId="265">
      <pivotArea dataOnly="0" labelOnly="1" outline="0" fieldPosition="0">
        <references count="2">
          <reference field="0" count="1" selected="0">
            <x v="4"/>
          </reference>
          <reference field="2" count="1">
            <x v="4"/>
          </reference>
        </references>
      </pivotArea>
    </format>
    <format dxfId="264">
      <pivotArea dataOnly="0" labelOnly="1" outline="0" fieldPosition="0">
        <references count="2">
          <reference field="0" count="1" selected="0">
            <x v="5"/>
          </reference>
          <reference field="2" count="1">
            <x v="5"/>
          </reference>
        </references>
      </pivotArea>
    </format>
    <format dxfId="263">
      <pivotArea dataOnly="0" labelOnly="1" outline="0" fieldPosition="0">
        <references count="2">
          <reference field="0" count="1" selected="0">
            <x v="6"/>
          </reference>
          <reference field="2" count="1">
            <x v="6"/>
          </reference>
        </references>
      </pivotArea>
    </format>
    <format dxfId="262">
      <pivotArea dataOnly="0" labelOnly="1" outline="0" fieldPosition="0">
        <references count="2">
          <reference field="0" count="1" selected="0">
            <x v="7"/>
          </reference>
          <reference field="2" count="1">
            <x v="7"/>
          </reference>
        </references>
      </pivotArea>
    </format>
    <format dxfId="261">
      <pivotArea dataOnly="0" labelOnly="1" outline="0" fieldPosition="0">
        <references count="2">
          <reference field="0" count="1" selected="0">
            <x v="8"/>
          </reference>
          <reference field="2" count="1">
            <x v="8"/>
          </reference>
        </references>
      </pivotArea>
    </format>
    <format dxfId="260">
      <pivotArea dataOnly="0" labelOnly="1" outline="0" fieldPosition="0">
        <references count="2">
          <reference field="0" count="1" selected="0">
            <x v="9"/>
          </reference>
          <reference field="2" count="1">
            <x v="9"/>
          </reference>
        </references>
      </pivotArea>
    </format>
    <format dxfId="259">
      <pivotArea dataOnly="0" labelOnly="1" outline="0" fieldPosition="0">
        <references count="2">
          <reference field="0" count="1" selected="0">
            <x v="10"/>
          </reference>
          <reference field="2" count="1">
            <x v="10"/>
          </reference>
        </references>
      </pivotArea>
    </format>
    <format dxfId="258">
      <pivotArea dataOnly="0" labelOnly="1" outline="0" fieldPosition="0">
        <references count="2">
          <reference field="0" count="1" selected="0">
            <x v="11"/>
          </reference>
          <reference field="2" count="1">
            <x v="11"/>
          </reference>
        </references>
      </pivotArea>
    </format>
    <format dxfId="257">
      <pivotArea dataOnly="0" labelOnly="1" outline="0" fieldPosition="0">
        <references count="2">
          <reference field="0" count="1" selected="0">
            <x v="12"/>
          </reference>
          <reference field="2" count="1">
            <x v="12"/>
          </reference>
        </references>
      </pivotArea>
    </format>
    <format dxfId="256">
      <pivotArea dataOnly="0" labelOnly="1" outline="0" fieldPosition="0">
        <references count="2">
          <reference field="0" count="1" selected="0">
            <x v="13"/>
          </reference>
          <reference field="2" count="1">
            <x v="13"/>
          </reference>
        </references>
      </pivotArea>
    </format>
    <format dxfId="255">
      <pivotArea dataOnly="0" labelOnly="1" outline="0" fieldPosition="0">
        <references count="2">
          <reference field="0" count="1" selected="0">
            <x v="14"/>
          </reference>
          <reference field="2" count="1">
            <x v="14"/>
          </reference>
        </references>
      </pivotArea>
    </format>
    <format dxfId="254">
      <pivotArea dataOnly="0" labelOnly="1" outline="0" fieldPosition="0">
        <references count="2">
          <reference field="0" count="1" selected="0">
            <x v="15"/>
          </reference>
          <reference field="2" count="1">
            <x v="15"/>
          </reference>
        </references>
      </pivotArea>
    </format>
    <format dxfId="253">
      <pivotArea dataOnly="0" labelOnly="1" outline="0" fieldPosition="0">
        <references count="2">
          <reference field="0" count="1" selected="0">
            <x v="16"/>
          </reference>
          <reference field="2" count="1">
            <x v="16"/>
          </reference>
        </references>
      </pivotArea>
    </format>
    <format dxfId="252">
      <pivotArea dataOnly="0" labelOnly="1" outline="0" fieldPosition="0">
        <references count="2">
          <reference field="0" count="1" selected="0">
            <x v="17"/>
          </reference>
          <reference field="2" count="1">
            <x v="17"/>
          </reference>
        </references>
      </pivotArea>
    </format>
    <format dxfId="251">
      <pivotArea dataOnly="0" labelOnly="1" outline="0" fieldPosition="0">
        <references count="2">
          <reference field="0" count="1" selected="0">
            <x v="18"/>
          </reference>
          <reference field="2" count="1">
            <x v="18"/>
          </reference>
        </references>
      </pivotArea>
    </format>
    <format dxfId="250">
      <pivotArea dataOnly="0" labelOnly="1" outline="0" fieldPosition="0">
        <references count="2">
          <reference field="0" count="1" selected="0">
            <x v="19"/>
          </reference>
          <reference field="2" count="1">
            <x v="19"/>
          </reference>
        </references>
      </pivotArea>
    </format>
    <format dxfId="249">
      <pivotArea dataOnly="0" labelOnly="1" outline="0" fieldPosition="0">
        <references count="2">
          <reference field="0" count="1" selected="0">
            <x v="20"/>
          </reference>
          <reference field="2" count="1">
            <x v="20"/>
          </reference>
        </references>
      </pivotArea>
    </format>
    <format dxfId="248">
      <pivotArea dataOnly="0" labelOnly="1" outline="0" fieldPosition="0">
        <references count="2">
          <reference field="0" count="1" selected="0">
            <x v="21"/>
          </reference>
          <reference field="2" count="1">
            <x v="21"/>
          </reference>
        </references>
      </pivotArea>
    </format>
    <format dxfId="247">
      <pivotArea dataOnly="0" labelOnly="1" outline="0" fieldPosition="0">
        <references count="2">
          <reference field="0" count="1" selected="0">
            <x v="22"/>
          </reference>
          <reference field="2" count="1">
            <x v="22"/>
          </reference>
        </references>
      </pivotArea>
    </format>
    <format dxfId="246">
      <pivotArea dataOnly="0" labelOnly="1" outline="0" fieldPosition="0">
        <references count="2">
          <reference field="0" count="1" selected="0">
            <x v="23"/>
          </reference>
          <reference field="2" count="1">
            <x v="23"/>
          </reference>
        </references>
      </pivotArea>
    </format>
    <format dxfId="245">
      <pivotArea dataOnly="0" labelOnly="1" outline="0" fieldPosition="0">
        <references count="2">
          <reference field="0" count="1" selected="0">
            <x v="24"/>
          </reference>
          <reference field="2" count="1">
            <x v="24"/>
          </reference>
        </references>
      </pivotArea>
    </format>
    <format dxfId="244">
      <pivotArea dataOnly="0" labelOnly="1" outline="0" fieldPosition="0">
        <references count="2">
          <reference field="0" count="1" selected="0">
            <x v="25"/>
          </reference>
          <reference field="2" count="1">
            <x v="25"/>
          </reference>
        </references>
      </pivotArea>
    </format>
    <format dxfId="243">
      <pivotArea dataOnly="0" labelOnly="1" outline="0" fieldPosition="0">
        <references count="2">
          <reference field="0" count="1" selected="0">
            <x v="26"/>
          </reference>
          <reference field="2" count="1">
            <x v="26"/>
          </reference>
        </references>
      </pivotArea>
    </format>
    <format dxfId="242">
      <pivotArea dataOnly="0" labelOnly="1" outline="0" fieldPosition="0">
        <references count="2">
          <reference field="0" count="1" selected="0">
            <x v="27"/>
          </reference>
          <reference field="2" count="1">
            <x v="27"/>
          </reference>
        </references>
      </pivotArea>
    </format>
    <format dxfId="241">
      <pivotArea dataOnly="0" labelOnly="1" outline="0" fieldPosition="0">
        <references count="2">
          <reference field="0" count="1" selected="0">
            <x v="28"/>
          </reference>
          <reference field="2" count="1">
            <x v="28"/>
          </reference>
        </references>
      </pivotArea>
    </format>
    <format dxfId="240">
      <pivotArea dataOnly="0" labelOnly="1" outline="0" fieldPosition="0">
        <references count="2">
          <reference field="0" count="1" selected="0">
            <x v="29"/>
          </reference>
          <reference field="2" count="1">
            <x v="29"/>
          </reference>
        </references>
      </pivotArea>
    </format>
    <format dxfId="239">
      <pivotArea dataOnly="0" labelOnly="1" outline="0" fieldPosition="0">
        <references count="2">
          <reference field="0" count="1" selected="0">
            <x v="30"/>
          </reference>
          <reference field="2" count="1">
            <x v="30"/>
          </reference>
        </references>
      </pivotArea>
    </format>
    <format dxfId="238">
      <pivotArea dataOnly="0" labelOnly="1" outline="0" fieldPosition="0">
        <references count="2">
          <reference field="0" count="1" selected="0">
            <x v="31"/>
          </reference>
          <reference field="2" count="1">
            <x v="31"/>
          </reference>
        </references>
      </pivotArea>
    </format>
    <format dxfId="237">
      <pivotArea dataOnly="0" labelOnly="1" outline="0" fieldPosition="0">
        <references count="2">
          <reference field="0" count="1" selected="0">
            <x v="32"/>
          </reference>
          <reference field="2" count="1">
            <x v="32"/>
          </reference>
        </references>
      </pivotArea>
    </format>
    <format dxfId="236">
      <pivotArea dataOnly="0" labelOnly="1" outline="0" fieldPosition="0">
        <references count="2">
          <reference field="0" count="1" selected="0">
            <x v="33"/>
          </reference>
          <reference field="2" count="1">
            <x v="33"/>
          </reference>
        </references>
      </pivotArea>
    </format>
    <format dxfId="235">
      <pivotArea dataOnly="0" labelOnly="1" outline="0" fieldPosition="0">
        <references count="2">
          <reference field="0" count="1" selected="0">
            <x v="34"/>
          </reference>
          <reference field="2" count="1">
            <x v="34"/>
          </reference>
        </references>
      </pivotArea>
    </format>
    <format dxfId="234">
      <pivotArea dataOnly="0" labelOnly="1" outline="0" fieldPosition="0">
        <references count="2">
          <reference field="0" count="1" selected="0">
            <x v="35"/>
          </reference>
          <reference field="2" count="1">
            <x v="35"/>
          </reference>
        </references>
      </pivotArea>
    </format>
    <format dxfId="233">
      <pivotArea dataOnly="0" labelOnly="1" outline="0" fieldPosition="0">
        <references count="2">
          <reference field="0" count="1" selected="0">
            <x v="36"/>
          </reference>
          <reference field="2" count="1">
            <x v="36"/>
          </reference>
        </references>
      </pivotArea>
    </format>
    <format dxfId="232">
      <pivotArea dataOnly="0" labelOnly="1" outline="0" fieldPosition="0">
        <references count="2">
          <reference field="0" count="1" selected="0">
            <x v="37"/>
          </reference>
          <reference field="2" count="1">
            <x v="37"/>
          </reference>
        </references>
      </pivotArea>
    </format>
    <format dxfId="231">
      <pivotArea dataOnly="0" labelOnly="1" outline="0" fieldPosition="0">
        <references count="2">
          <reference field="0" count="1" selected="0">
            <x v="38"/>
          </reference>
          <reference field="2" count="1">
            <x v="38"/>
          </reference>
        </references>
      </pivotArea>
    </format>
    <format dxfId="230">
      <pivotArea dataOnly="0" labelOnly="1" outline="0" fieldPosition="0">
        <references count="2">
          <reference field="0" count="1" selected="0">
            <x v="39"/>
          </reference>
          <reference field="2" count="1">
            <x v="39"/>
          </reference>
        </references>
      </pivotArea>
    </format>
    <format dxfId="229">
      <pivotArea dataOnly="0" labelOnly="1" outline="0" fieldPosition="0">
        <references count="2">
          <reference field="0" count="1" selected="0">
            <x v="40"/>
          </reference>
          <reference field="2" count="1">
            <x v="40"/>
          </reference>
        </references>
      </pivotArea>
    </format>
    <format dxfId="228">
      <pivotArea dataOnly="0" labelOnly="1" outline="0" fieldPosition="0">
        <references count="2">
          <reference field="0" count="1" selected="0">
            <x v="41"/>
          </reference>
          <reference field="2" count="1">
            <x v="41"/>
          </reference>
        </references>
      </pivotArea>
    </format>
    <format dxfId="227">
      <pivotArea dataOnly="0" labelOnly="1" outline="0" fieldPosition="0">
        <references count="2">
          <reference field="0" count="1" selected="0">
            <x v="42"/>
          </reference>
          <reference field="2" count="1">
            <x v="42"/>
          </reference>
        </references>
      </pivotArea>
    </format>
    <format dxfId="226">
      <pivotArea dataOnly="0" labelOnly="1" outline="0" fieldPosition="0">
        <references count="2">
          <reference field="0" count="1" selected="0">
            <x v="43"/>
          </reference>
          <reference field="2" count="1">
            <x v="43"/>
          </reference>
        </references>
      </pivotArea>
    </format>
    <format dxfId="225">
      <pivotArea dataOnly="0" labelOnly="1" outline="0" fieldPosition="0">
        <references count="2">
          <reference field="0" count="1" selected="0">
            <x v="44"/>
          </reference>
          <reference field="2" count="1">
            <x v="44"/>
          </reference>
        </references>
      </pivotArea>
    </format>
    <format dxfId="224">
      <pivotArea dataOnly="0" labelOnly="1" outline="0" fieldPosition="0">
        <references count="2">
          <reference field="0" count="1" selected="0">
            <x v="45"/>
          </reference>
          <reference field="2" count="1">
            <x v="45"/>
          </reference>
        </references>
      </pivotArea>
    </format>
    <format dxfId="223">
      <pivotArea dataOnly="0" labelOnly="1" outline="0" fieldPosition="0">
        <references count="2">
          <reference field="0" count="1" selected="0">
            <x v="46"/>
          </reference>
          <reference field="2" count="1">
            <x v="46"/>
          </reference>
        </references>
      </pivotArea>
    </format>
    <format dxfId="222">
      <pivotArea dataOnly="0" labelOnly="1" outline="0" fieldPosition="0">
        <references count="2">
          <reference field="0" count="1" selected="0">
            <x v="47"/>
          </reference>
          <reference field="2" count="1">
            <x v="47"/>
          </reference>
        </references>
      </pivotArea>
    </format>
    <format dxfId="221">
      <pivotArea dataOnly="0" labelOnly="1" outline="0" fieldPosition="0">
        <references count="2">
          <reference field="0" count="1" selected="0">
            <x v="48"/>
          </reference>
          <reference field="2" count="1">
            <x v="48"/>
          </reference>
        </references>
      </pivotArea>
    </format>
    <format dxfId="220">
      <pivotArea dataOnly="0" labelOnly="1" outline="0" fieldPosition="0">
        <references count="2">
          <reference field="0" count="1" selected="0">
            <x v="49"/>
          </reference>
          <reference field="2" count="1">
            <x v="49"/>
          </reference>
        </references>
      </pivotArea>
    </format>
    <format dxfId="219">
      <pivotArea dataOnly="0" labelOnly="1" outline="0" fieldPosition="0">
        <references count="2">
          <reference field="0" count="1" selected="0">
            <x v="50"/>
          </reference>
          <reference field="2" count="1">
            <x v="50"/>
          </reference>
        </references>
      </pivotArea>
    </format>
    <format dxfId="218">
      <pivotArea dataOnly="0" labelOnly="1" outline="0" fieldPosition="0">
        <references count="2">
          <reference field="0" count="1" selected="0">
            <x v="51"/>
          </reference>
          <reference field="2" count="1">
            <x v="51"/>
          </reference>
        </references>
      </pivotArea>
    </format>
    <format dxfId="217">
      <pivotArea dataOnly="0" labelOnly="1" outline="0" fieldPosition="0">
        <references count="2">
          <reference field="0" count="1" selected="0">
            <x v="52"/>
          </reference>
          <reference field="2" count="1">
            <x v="52"/>
          </reference>
        </references>
      </pivotArea>
    </format>
    <format dxfId="216">
      <pivotArea dataOnly="0" labelOnly="1" outline="0" fieldPosition="0">
        <references count="2">
          <reference field="0" count="1" selected="0">
            <x v="53"/>
          </reference>
          <reference field="2" count="1">
            <x v="53"/>
          </reference>
        </references>
      </pivotArea>
    </format>
    <format dxfId="215">
      <pivotArea dataOnly="0" labelOnly="1" outline="0" fieldPosition="0">
        <references count="2">
          <reference field="0" count="1" selected="0">
            <x v="54"/>
          </reference>
          <reference field="2" count="1">
            <x v="54"/>
          </reference>
        </references>
      </pivotArea>
    </format>
    <format dxfId="214">
      <pivotArea dataOnly="0" labelOnly="1" outline="0" fieldPosition="0">
        <references count="2">
          <reference field="0" count="1" selected="0">
            <x v="55"/>
          </reference>
          <reference field="2" count="1">
            <x v="55"/>
          </reference>
        </references>
      </pivotArea>
    </format>
    <format dxfId="213">
      <pivotArea dataOnly="0" labelOnly="1" outline="0" fieldPosition="0">
        <references count="2">
          <reference field="0" count="1" selected="0">
            <x v="56"/>
          </reference>
          <reference field="2" count="1">
            <x v="56"/>
          </reference>
        </references>
      </pivotArea>
    </format>
    <format dxfId="212">
      <pivotArea dataOnly="0" labelOnly="1" outline="0" fieldPosition="0">
        <references count="2">
          <reference field="0" count="1" selected="0">
            <x v="57"/>
          </reference>
          <reference field="2" count="1">
            <x v="57"/>
          </reference>
        </references>
      </pivotArea>
    </format>
    <format dxfId="211">
      <pivotArea dataOnly="0" labelOnly="1" outline="0" fieldPosition="0">
        <references count="2">
          <reference field="0" count="1" selected="0">
            <x v="58"/>
          </reference>
          <reference field="2" count="1">
            <x v="58"/>
          </reference>
        </references>
      </pivotArea>
    </format>
    <format dxfId="210">
      <pivotArea dataOnly="0" labelOnly="1" outline="0" fieldPosition="0">
        <references count="2">
          <reference field="0" count="1" selected="0">
            <x v="59"/>
          </reference>
          <reference field="2" count="1">
            <x v="59"/>
          </reference>
        </references>
      </pivotArea>
    </format>
    <format dxfId="209">
      <pivotArea dataOnly="0" labelOnly="1" outline="0" fieldPosition="0">
        <references count="3">
          <reference field="0" count="1" selected="0">
            <x v="0"/>
          </reference>
          <reference field="1" count="1">
            <x v="6"/>
          </reference>
          <reference field="2" count="1" selected="0">
            <x v="0"/>
          </reference>
        </references>
      </pivotArea>
    </format>
    <format dxfId="208">
      <pivotArea dataOnly="0" labelOnly="1" outline="0" fieldPosition="0">
        <references count="3">
          <reference field="0" count="1" selected="0">
            <x v="1"/>
          </reference>
          <reference field="1" count="1">
            <x v="5"/>
          </reference>
          <reference field="2" count="1" selected="0">
            <x v="1"/>
          </reference>
        </references>
      </pivotArea>
    </format>
    <format dxfId="207">
      <pivotArea dataOnly="0" labelOnly="1" outline="0" fieldPosition="0">
        <references count="3">
          <reference field="0" count="1" selected="0">
            <x v="2"/>
          </reference>
          <reference field="1" count="1">
            <x v="7"/>
          </reference>
          <reference field="2" count="1" selected="0">
            <x v="2"/>
          </reference>
        </references>
      </pivotArea>
    </format>
    <format dxfId="206">
      <pivotArea dataOnly="0" labelOnly="1" outline="0" fieldPosition="0">
        <references count="3">
          <reference field="0" count="1" selected="0">
            <x v="3"/>
          </reference>
          <reference field="1" count="1">
            <x v="40"/>
          </reference>
          <reference field="2" count="1" selected="0">
            <x v="3"/>
          </reference>
        </references>
      </pivotArea>
    </format>
    <format dxfId="205">
      <pivotArea dataOnly="0" labelOnly="1" outline="0" fieldPosition="0">
        <references count="3">
          <reference field="0" count="1" selected="0">
            <x v="4"/>
          </reference>
          <reference field="1" count="1">
            <x v="16"/>
          </reference>
          <reference field="2" count="1" selected="0">
            <x v="4"/>
          </reference>
        </references>
      </pivotArea>
    </format>
    <format dxfId="204">
      <pivotArea dataOnly="0" labelOnly="1" outline="0" fieldPosition="0">
        <references count="3">
          <reference field="0" count="1" selected="0">
            <x v="5"/>
          </reference>
          <reference field="1" count="1">
            <x v="33"/>
          </reference>
          <reference field="2" count="1" selected="0">
            <x v="5"/>
          </reference>
        </references>
      </pivotArea>
    </format>
    <format dxfId="203">
      <pivotArea dataOnly="0" labelOnly="1" outline="0" fieldPosition="0">
        <references count="3">
          <reference field="0" count="1" selected="0">
            <x v="6"/>
          </reference>
          <reference field="1" count="1">
            <x v="39"/>
          </reference>
          <reference field="2" count="1" selected="0">
            <x v="6"/>
          </reference>
        </references>
      </pivotArea>
    </format>
    <format dxfId="202">
      <pivotArea dataOnly="0" labelOnly="1" outline="0" fieldPosition="0">
        <references count="3">
          <reference field="0" count="1" selected="0">
            <x v="7"/>
          </reference>
          <reference field="1" count="1">
            <x v="28"/>
          </reference>
          <reference field="2" count="1" selected="0">
            <x v="7"/>
          </reference>
        </references>
      </pivotArea>
    </format>
    <format dxfId="201">
      <pivotArea dataOnly="0" labelOnly="1" outline="0" fieldPosition="0">
        <references count="3">
          <reference field="0" count="1" selected="0">
            <x v="8"/>
          </reference>
          <reference field="1" count="1">
            <x v="25"/>
          </reference>
          <reference field="2" count="1" selected="0">
            <x v="8"/>
          </reference>
        </references>
      </pivotArea>
    </format>
    <format dxfId="200">
      <pivotArea dataOnly="0" labelOnly="1" outline="0" fieldPosition="0">
        <references count="3">
          <reference field="0" count="1" selected="0">
            <x v="9"/>
          </reference>
          <reference field="1" count="1">
            <x v="43"/>
          </reference>
          <reference field="2" count="1" selected="0">
            <x v="9"/>
          </reference>
        </references>
      </pivotArea>
    </format>
    <format dxfId="199">
      <pivotArea dataOnly="0" labelOnly="1" outline="0" fieldPosition="0">
        <references count="3">
          <reference field="0" count="1" selected="0">
            <x v="10"/>
          </reference>
          <reference field="1" count="1">
            <x v="44"/>
          </reference>
          <reference field="2" count="1" selected="0">
            <x v="10"/>
          </reference>
        </references>
      </pivotArea>
    </format>
    <format dxfId="198">
      <pivotArea dataOnly="0" labelOnly="1" outline="0" fieldPosition="0">
        <references count="3">
          <reference field="0" count="1" selected="0">
            <x v="11"/>
          </reference>
          <reference field="1" count="1">
            <x v="45"/>
          </reference>
          <reference field="2" count="1" selected="0">
            <x v="11"/>
          </reference>
        </references>
      </pivotArea>
    </format>
    <format dxfId="197">
      <pivotArea dataOnly="0" labelOnly="1" outline="0" fieldPosition="0">
        <references count="3">
          <reference field="0" count="1" selected="0">
            <x v="12"/>
          </reference>
          <reference field="1" count="1">
            <x v="46"/>
          </reference>
          <reference field="2" count="1" selected="0">
            <x v="12"/>
          </reference>
        </references>
      </pivotArea>
    </format>
    <format dxfId="196">
      <pivotArea dataOnly="0" labelOnly="1" outline="0" fieldPosition="0">
        <references count="3">
          <reference field="0" count="1" selected="0">
            <x v="13"/>
          </reference>
          <reference field="1" count="1">
            <x v="47"/>
          </reference>
          <reference field="2" count="1" selected="0">
            <x v="13"/>
          </reference>
        </references>
      </pivotArea>
    </format>
    <format dxfId="195">
      <pivotArea dataOnly="0" labelOnly="1" outline="0" fieldPosition="0">
        <references count="3">
          <reference field="0" count="1" selected="0">
            <x v="14"/>
          </reference>
          <reference field="1" count="1">
            <x v="48"/>
          </reference>
          <reference field="2" count="1" selected="0">
            <x v="14"/>
          </reference>
        </references>
      </pivotArea>
    </format>
    <format dxfId="194">
      <pivotArea dataOnly="0" labelOnly="1" outline="0" fieldPosition="0">
        <references count="3">
          <reference field="0" count="1" selected="0">
            <x v="15"/>
          </reference>
          <reference field="1" count="1">
            <x v="36"/>
          </reference>
          <reference field="2" count="1" selected="0">
            <x v="15"/>
          </reference>
        </references>
      </pivotArea>
    </format>
    <format dxfId="193">
      <pivotArea dataOnly="0" labelOnly="1" outline="0" fieldPosition="0">
        <references count="3">
          <reference field="0" count="1" selected="0">
            <x v="16"/>
          </reference>
          <reference field="1" count="1">
            <x v="37"/>
          </reference>
          <reference field="2" count="1" selected="0">
            <x v="16"/>
          </reference>
        </references>
      </pivotArea>
    </format>
    <format dxfId="192">
      <pivotArea dataOnly="0" labelOnly="1" outline="0" fieldPosition="0">
        <references count="3">
          <reference field="0" count="1" selected="0">
            <x v="17"/>
          </reference>
          <reference field="1" count="1">
            <x v="18"/>
          </reference>
          <reference field="2" count="1" selected="0">
            <x v="17"/>
          </reference>
        </references>
      </pivotArea>
    </format>
    <format dxfId="191">
      <pivotArea dataOnly="0" labelOnly="1" outline="0" fieldPosition="0">
        <references count="3">
          <reference field="0" count="1" selected="0">
            <x v="18"/>
          </reference>
          <reference field="1" count="1">
            <x v="51"/>
          </reference>
          <reference field="2" count="1" selected="0">
            <x v="18"/>
          </reference>
        </references>
      </pivotArea>
    </format>
    <format dxfId="190">
      <pivotArea dataOnly="0" labelOnly="1" outline="0" fieldPosition="0">
        <references count="3">
          <reference field="0" count="1" selected="0">
            <x v="19"/>
          </reference>
          <reference field="1" count="1">
            <x v="52"/>
          </reference>
          <reference field="2" count="1" selected="0">
            <x v="19"/>
          </reference>
        </references>
      </pivotArea>
    </format>
    <format dxfId="189">
      <pivotArea dataOnly="0" labelOnly="1" outline="0" fieldPosition="0">
        <references count="3">
          <reference field="0" count="1" selected="0">
            <x v="20"/>
          </reference>
          <reference field="1" count="1">
            <x v="53"/>
          </reference>
          <reference field="2" count="1" selected="0">
            <x v="20"/>
          </reference>
        </references>
      </pivotArea>
    </format>
    <format dxfId="188">
      <pivotArea dataOnly="0" labelOnly="1" outline="0" fieldPosition="0">
        <references count="3">
          <reference field="0" count="1" selected="0">
            <x v="21"/>
          </reference>
          <reference field="1" count="1">
            <x v="55"/>
          </reference>
          <reference field="2" count="1" selected="0">
            <x v="21"/>
          </reference>
        </references>
      </pivotArea>
    </format>
    <format dxfId="187">
      <pivotArea dataOnly="0" labelOnly="1" outline="0" fieldPosition="0">
        <references count="3">
          <reference field="0" count="1" selected="0">
            <x v="22"/>
          </reference>
          <reference field="1" count="1">
            <x v="58"/>
          </reference>
          <reference field="2" count="1" selected="0">
            <x v="22"/>
          </reference>
        </references>
      </pivotArea>
    </format>
    <format dxfId="186">
      <pivotArea dataOnly="0" labelOnly="1" outline="0" fieldPosition="0">
        <references count="3">
          <reference field="0" count="1" selected="0">
            <x v="23"/>
          </reference>
          <reference field="1" count="1">
            <x v="59"/>
          </reference>
          <reference field="2" count="1" selected="0">
            <x v="23"/>
          </reference>
        </references>
      </pivotArea>
    </format>
    <format dxfId="185">
      <pivotArea dataOnly="0" labelOnly="1" outline="0" fieldPosition="0">
        <references count="3">
          <reference field="0" count="1" selected="0">
            <x v="24"/>
          </reference>
          <reference field="1" count="1">
            <x v="11"/>
          </reference>
          <reference field="2" count="1" selected="0">
            <x v="24"/>
          </reference>
        </references>
      </pivotArea>
    </format>
    <format dxfId="184">
      <pivotArea dataOnly="0" labelOnly="1" outline="0" fieldPosition="0">
        <references count="3">
          <reference field="0" count="1" selected="0">
            <x v="25"/>
          </reference>
          <reference field="1" count="1">
            <x v="12"/>
          </reference>
          <reference field="2" count="1" selected="0">
            <x v="25"/>
          </reference>
        </references>
      </pivotArea>
    </format>
    <format dxfId="183">
      <pivotArea dataOnly="0" labelOnly="1" outline="0" fieldPosition="0">
        <references count="3">
          <reference field="0" count="1" selected="0">
            <x v="26"/>
          </reference>
          <reference field="1" count="1">
            <x v="13"/>
          </reference>
          <reference field="2" count="1" selected="0">
            <x v="26"/>
          </reference>
        </references>
      </pivotArea>
    </format>
    <format dxfId="182">
      <pivotArea dataOnly="0" labelOnly="1" outline="0" fieldPosition="0">
        <references count="3">
          <reference field="0" count="1" selected="0">
            <x v="27"/>
          </reference>
          <reference field="1" count="1">
            <x v="14"/>
          </reference>
          <reference field="2" count="1" selected="0">
            <x v="27"/>
          </reference>
        </references>
      </pivotArea>
    </format>
    <format dxfId="181">
      <pivotArea dataOnly="0" labelOnly="1" outline="0" fieldPosition="0">
        <references count="3">
          <reference field="0" count="1" selected="0">
            <x v="28"/>
          </reference>
          <reference field="1" count="1">
            <x v="9"/>
          </reference>
          <reference field="2" count="1" selected="0">
            <x v="28"/>
          </reference>
        </references>
      </pivotArea>
    </format>
    <format dxfId="180">
      <pivotArea dataOnly="0" labelOnly="1" outline="0" fieldPosition="0">
        <references count="3">
          <reference field="0" count="1" selected="0">
            <x v="29"/>
          </reference>
          <reference field="1" count="1">
            <x v="10"/>
          </reference>
          <reference field="2" count="1" selected="0">
            <x v="29"/>
          </reference>
        </references>
      </pivotArea>
    </format>
    <format dxfId="179">
      <pivotArea dataOnly="0" labelOnly="1" outline="0" fieldPosition="0">
        <references count="3">
          <reference field="0" count="1" selected="0">
            <x v="30"/>
          </reference>
          <reference field="1" count="1">
            <x v="8"/>
          </reference>
          <reference field="2" count="1" selected="0">
            <x v="30"/>
          </reference>
        </references>
      </pivotArea>
    </format>
    <format dxfId="178">
      <pivotArea dataOnly="0" labelOnly="1" outline="0" fieldPosition="0">
        <references count="3">
          <reference field="0" count="1" selected="0">
            <x v="31"/>
          </reference>
          <reference field="1" count="1">
            <x v="41"/>
          </reference>
          <reference field="2" count="1" selected="0">
            <x v="31"/>
          </reference>
        </references>
      </pivotArea>
    </format>
    <format dxfId="177">
      <pivotArea dataOnly="0" labelOnly="1" outline="0" fieldPosition="0">
        <references count="3">
          <reference field="0" count="1" selected="0">
            <x v="32"/>
          </reference>
          <reference field="1" count="1">
            <x v="42"/>
          </reference>
          <reference field="2" count="1" selected="0">
            <x v="32"/>
          </reference>
        </references>
      </pivotArea>
    </format>
    <format dxfId="176">
      <pivotArea dataOnly="0" labelOnly="1" outline="0" fieldPosition="0">
        <references count="3">
          <reference field="0" count="1" selected="0">
            <x v="33"/>
          </reference>
          <reference field="1" count="1">
            <x v="3"/>
          </reference>
          <reference field="2" count="1" selected="0">
            <x v="33"/>
          </reference>
        </references>
      </pivotArea>
    </format>
    <format dxfId="175">
      <pivotArea dataOnly="0" labelOnly="1" outline="0" fieldPosition="0">
        <references count="3">
          <reference field="0" count="1" selected="0">
            <x v="34"/>
          </reference>
          <reference field="1" count="1">
            <x v="4"/>
          </reference>
          <reference field="2" count="1" selected="0">
            <x v="34"/>
          </reference>
        </references>
      </pivotArea>
    </format>
    <format dxfId="174">
      <pivotArea dataOnly="0" labelOnly="1" outline="0" fieldPosition="0">
        <references count="3">
          <reference field="0" count="1" selected="0">
            <x v="35"/>
          </reference>
          <reference field="1" count="1">
            <x v="49"/>
          </reference>
          <reference field="2" count="1" selected="0">
            <x v="35"/>
          </reference>
        </references>
      </pivotArea>
    </format>
    <format dxfId="173">
      <pivotArea dataOnly="0" labelOnly="1" outline="0" fieldPosition="0">
        <references count="3">
          <reference field="0" count="1" selected="0">
            <x v="36"/>
          </reference>
          <reference field="1" count="1">
            <x v="50"/>
          </reference>
          <reference field="2" count="1" selected="0">
            <x v="36"/>
          </reference>
        </references>
      </pivotArea>
    </format>
    <format dxfId="172">
      <pivotArea dataOnly="0" labelOnly="1" outline="0" fieldPosition="0">
        <references count="3">
          <reference field="0" count="1" selected="0">
            <x v="37"/>
          </reference>
          <reference field="1" count="1">
            <x v="54"/>
          </reference>
          <reference field="2" count="1" selected="0">
            <x v="37"/>
          </reference>
        </references>
      </pivotArea>
    </format>
    <format dxfId="171">
      <pivotArea dataOnly="0" labelOnly="1" outline="0" fieldPosition="0">
        <references count="3">
          <reference field="0" count="1" selected="0">
            <x v="38"/>
          </reference>
          <reference field="1" count="1">
            <x v="56"/>
          </reference>
          <reference field="2" count="1" selected="0">
            <x v="38"/>
          </reference>
        </references>
      </pivotArea>
    </format>
    <format dxfId="170">
      <pivotArea dataOnly="0" labelOnly="1" outline="0" fieldPosition="0">
        <references count="3">
          <reference field="0" count="1" selected="0">
            <x v="39"/>
          </reference>
          <reference field="1" count="1">
            <x v="34"/>
          </reference>
          <reference field="2" count="1" selected="0">
            <x v="39"/>
          </reference>
        </references>
      </pivotArea>
    </format>
    <format dxfId="169">
      <pivotArea dataOnly="0" labelOnly="1" outline="0" fieldPosition="0">
        <references count="3">
          <reference field="0" count="1" selected="0">
            <x v="40"/>
          </reference>
          <reference field="1" count="1">
            <x v="29"/>
          </reference>
          <reference field="2" count="1" selected="0">
            <x v="40"/>
          </reference>
        </references>
      </pivotArea>
    </format>
    <format dxfId="168">
      <pivotArea dataOnly="0" labelOnly="1" outline="0" fieldPosition="0">
        <references count="3">
          <reference field="0" count="1" selected="0">
            <x v="41"/>
          </reference>
          <reference field="1" count="1">
            <x v="30"/>
          </reference>
          <reference field="2" count="1" selected="0">
            <x v="41"/>
          </reference>
        </references>
      </pivotArea>
    </format>
    <format dxfId="167">
      <pivotArea dataOnly="0" labelOnly="1" outline="0" fieldPosition="0">
        <references count="3">
          <reference field="0" count="1" selected="0">
            <x v="42"/>
          </reference>
          <reference field="1" count="1">
            <x v="31"/>
          </reference>
          <reference field="2" count="1" selected="0">
            <x v="42"/>
          </reference>
        </references>
      </pivotArea>
    </format>
    <format dxfId="166">
      <pivotArea dataOnly="0" labelOnly="1" outline="0" fieldPosition="0">
        <references count="3">
          <reference field="0" count="1" selected="0">
            <x v="43"/>
          </reference>
          <reference field="1" count="1">
            <x v="20"/>
          </reference>
          <reference field="2" count="1" selected="0">
            <x v="43"/>
          </reference>
        </references>
      </pivotArea>
    </format>
    <format dxfId="165">
      <pivotArea dataOnly="0" labelOnly="1" outline="0" fieldPosition="0">
        <references count="3">
          <reference field="0" count="1" selected="0">
            <x v="44"/>
          </reference>
          <reference field="1" count="1">
            <x v="21"/>
          </reference>
          <reference field="2" count="1" selected="0">
            <x v="44"/>
          </reference>
        </references>
      </pivotArea>
    </format>
    <format dxfId="164">
      <pivotArea dataOnly="0" labelOnly="1" outline="0" fieldPosition="0">
        <references count="3">
          <reference field="0" count="1" selected="0">
            <x v="45"/>
          </reference>
          <reference field="1" count="1">
            <x v="22"/>
          </reference>
          <reference field="2" count="1" selected="0">
            <x v="45"/>
          </reference>
        </references>
      </pivotArea>
    </format>
    <format dxfId="163">
      <pivotArea dataOnly="0" labelOnly="1" outline="0" fieldPosition="0">
        <references count="3">
          <reference field="0" count="1" selected="0">
            <x v="46"/>
          </reference>
          <reference field="1" count="1">
            <x v="57"/>
          </reference>
          <reference field="2" count="1" selected="0">
            <x v="46"/>
          </reference>
        </references>
      </pivotArea>
    </format>
    <format dxfId="162">
      <pivotArea dataOnly="0" labelOnly="1" outline="0" fieldPosition="0">
        <references count="3">
          <reference field="0" count="1" selected="0">
            <x v="47"/>
          </reference>
          <reference field="1" count="1">
            <x v="17"/>
          </reference>
          <reference field="2" count="1" selected="0">
            <x v="47"/>
          </reference>
        </references>
      </pivotArea>
    </format>
    <format dxfId="161">
      <pivotArea dataOnly="0" labelOnly="1" outline="0" fieldPosition="0">
        <references count="3">
          <reference field="0" count="1" selected="0">
            <x v="48"/>
          </reference>
          <reference field="1" count="1">
            <x v="26"/>
          </reference>
          <reference field="2" count="1" selected="0">
            <x v="48"/>
          </reference>
        </references>
      </pivotArea>
    </format>
    <format dxfId="160">
      <pivotArea dataOnly="0" labelOnly="1" outline="0" fieldPosition="0">
        <references count="3">
          <reference field="0" count="1" selected="0">
            <x v="49"/>
          </reference>
          <reference field="1" count="1">
            <x v="0"/>
          </reference>
          <reference field="2" count="1" selected="0">
            <x v="49"/>
          </reference>
        </references>
      </pivotArea>
    </format>
    <format dxfId="159">
      <pivotArea dataOnly="0" labelOnly="1" outline="0" fieldPosition="0">
        <references count="3">
          <reference field="0" count="1" selected="0">
            <x v="50"/>
          </reference>
          <reference field="1" count="1">
            <x v="35"/>
          </reference>
          <reference field="2" count="1" selected="0">
            <x v="50"/>
          </reference>
        </references>
      </pivotArea>
    </format>
    <format dxfId="158">
      <pivotArea dataOnly="0" labelOnly="1" outline="0" fieldPosition="0">
        <references count="3">
          <reference field="0" count="1" selected="0">
            <x v="51"/>
          </reference>
          <reference field="1" count="1">
            <x v="15"/>
          </reference>
          <reference field="2" count="1" selected="0">
            <x v="51"/>
          </reference>
        </references>
      </pivotArea>
    </format>
    <format dxfId="157">
      <pivotArea dataOnly="0" labelOnly="1" outline="0" fieldPosition="0">
        <references count="3">
          <reference field="0" count="1" selected="0">
            <x v="52"/>
          </reference>
          <reference field="1" count="1">
            <x v="2"/>
          </reference>
          <reference field="2" count="1" selected="0">
            <x v="52"/>
          </reference>
        </references>
      </pivotArea>
    </format>
    <format dxfId="156">
      <pivotArea dataOnly="0" labelOnly="1" outline="0" fieldPosition="0">
        <references count="3">
          <reference field="0" count="1" selected="0">
            <x v="53"/>
          </reference>
          <reference field="1" count="1">
            <x v="1"/>
          </reference>
          <reference field="2" count="1" selected="0">
            <x v="53"/>
          </reference>
        </references>
      </pivotArea>
    </format>
    <format dxfId="155">
      <pivotArea dataOnly="0" labelOnly="1" outline="0" fieldPosition="0">
        <references count="3">
          <reference field="0" count="1" selected="0">
            <x v="54"/>
          </reference>
          <reference field="1" count="1">
            <x v="32"/>
          </reference>
          <reference field="2" count="1" selected="0">
            <x v="54"/>
          </reference>
        </references>
      </pivotArea>
    </format>
    <format dxfId="154">
      <pivotArea dataOnly="0" labelOnly="1" outline="0" fieldPosition="0">
        <references count="3">
          <reference field="0" count="1" selected="0">
            <x v="55"/>
          </reference>
          <reference field="1" count="1">
            <x v="19"/>
          </reference>
          <reference field="2" count="1" selected="0">
            <x v="55"/>
          </reference>
        </references>
      </pivotArea>
    </format>
    <format dxfId="153">
      <pivotArea dataOnly="0" labelOnly="1" outline="0" fieldPosition="0">
        <references count="3">
          <reference field="0" count="1" selected="0">
            <x v="56"/>
          </reference>
          <reference field="1" count="1">
            <x v="27"/>
          </reference>
          <reference field="2" count="1" selected="0">
            <x v="56"/>
          </reference>
        </references>
      </pivotArea>
    </format>
    <format dxfId="152">
      <pivotArea dataOnly="0" labelOnly="1" outline="0" fieldPosition="0">
        <references count="3">
          <reference field="0" count="1" selected="0">
            <x v="57"/>
          </reference>
          <reference field="1" count="1">
            <x v="23"/>
          </reference>
          <reference field="2" count="1" selected="0">
            <x v="57"/>
          </reference>
        </references>
      </pivotArea>
    </format>
    <format dxfId="151">
      <pivotArea dataOnly="0" labelOnly="1" outline="0" fieldPosition="0">
        <references count="3">
          <reference field="0" count="1" selected="0">
            <x v="58"/>
          </reference>
          <reference field="1" count="1">
            <x v="24"/>
          </reference>
          <reference field="2" count="1" selected="0">
            <x v="58"/>
          </reference>
        </references>
      </pivotArea>
    </format>
    <format dxfId="150">
      <pivotArea dataOnly="0" labelOnly="1" outline="0" fieldPosition="0">
        <references count="3">
          <reference field="0" count="1" selected="0">
            <x v="59"/>
          </reference>
          <reference field="1" count="1">
            <x v="38"/>
          </reference>
          <reference field="2" count="1" selected="0">
            <x v="59"/>
          </reference>
        </references>
      </pivotArea>
    </format>
    <format dxfId="14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4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4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4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4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4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4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4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3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3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3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3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3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3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3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3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3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3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2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2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2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2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2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2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2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2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2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2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1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1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1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1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1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1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1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1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0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0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0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0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0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0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0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0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0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0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9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9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9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9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9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9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9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9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9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9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89">
      <pivotArea dataOnly="0" outline="0" fieldPosition="0">
        <references count="1">
          <reference field="0" count="1">
            <x v="60"/>
          </reference>
        </references>
      </pivotArea>
    </format>
    <format dxfId="88">
      <pivotArea dataOnly="0" outline="0" fieldPosition="0">
        <references count="1">
          <reference field="0" count="1">
            <x v="60"/>
          </reference>
        </references>
      </pivotArea>
    </format>
    <format dxfId="87">
      <pivotArea type="all" dataOnly="0" outline="0" fieldPosition="0"/>
    </format>
    <format dxfId="86">
      <pivotArea type="all" dataOnly="0" outline="0" fieldPosition="0"/>
    </format>
    <format dxfId="85">
      <pivotArea type="all" dataOnly="0" outline="0" fieldPosition="0"/>
    </format>
    <format dxfId="84">
      <pivotArea dataOnly="0" labelOnly="1" outline="0" fieldPosition="0">
        <references count="1">
          <reference field="0" count="3">
            <x v="61"/>
            <x v="62"/>
            <x v="63"/>
          </reference>
        </references>
      </pivotArea>
    </format>
    <format dxfId="83">
      <pivotArea dataOnly="0" labelOnly="1" outline="0" fieldPosition="0">
        <references count="1">
          <reference field="0" count="3">
            <x v="0"/>
            <x v="1"/>
            <x v="2"/>
          </reference>
        </references>
      </pivotArea>
    </format>
    <format dxfId="82">
      <pivotArea dataOnly="0" labelOnly="1" outline="0" fieldPosition="0">
        <references count="2">
          <reference field="0" count="1" selected="0">
            <x v="0"/>
          </reference>
          <reference field="2" count="1">
            <x v="0"/>
          </reference>
        </references>
      </pivotArea>
    </format>
    <format dxfId="81">
      <pivotArea dataOnly="0" labelOnly="1" outline="0" fieldPosition="0">
        <references count="2">
          <reference field="0" count="1" selected="0">
            <x v="1"/>
          </reference>
          <reference field="2" count="1">
            <x v="1"/>
          </reference>
        </references>
      </pivotArea>
    </format>
    <format dxfId="80">
      <pivotArea dataOnly="0" labelOnly="1" outline="0" fieldPosition="0">
        <references count="2">
          <reference field="0" count="1" selected="0">
            <x v="2"/>
          </reference>
          <reference field="2" count="1">
            <x v="2"/>
          </reference>
        </references>
      </pivotArea>
    </format>
    <format dxfId="79">
      <pivotArea dataOnly="0" labelOnly="1" outline="0" fieldPosition="0">
        <references count="3">
          <reference field="0" count="1" selected="0">
            <x v="0"/>
          </reference>
          <reference field="1" count="1">
            <x v="6"/>
          </reference>
          <reference field="2" count="1" selected="0">
            <x v="0"/>
          </reference>
        </references>
      </pivotArea>
    </format>
    <format dxfId="78">
      <pivotArea dataOnly="0" labelOnly="1" outline="0" fieldPosition="0">
        <references count="3">
          <reference field="0" count="1" selected="0">
            <x v="1"/>
          </reference>
          <reference field="1" count="1">
            <x v="5"/>
          </reference>
          <reference field="2" count="1" selected="0">
            <x v="1"/>
          </reference>
        </references>
      </pivotArea>
    </format>
    <format dxfId="77">
      <pivotArea dataOnly="0" labelOnly="1" outline="0" fieldPosition="0">
        <references count="3">
          <reference field="0" count="1" selected="0">
            <x v="2"/>
          </reference>
          <reference field="1" count="1">
            <x v="7"/>
          </reference>
          <reference field="2" count="1" selected="0">
            <x v="2"/>
          </reference>
        </references>
      </pivotArea>
    </format>
    <format dxfId="7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73">
      <pivotArea dataOnly="0" labelOnly="1" outline="0" fieldPosition="0">
        <references count="1">
          <reference field="1" count="0"/>
        </references>
      </pivotArea>
    </format>
    <format dxfId="72">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6">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3" customFormat="1" ht="30" customHeight="1" x14ac:dyDescent="0.25">
      <c r="A1" s="131" t="s">
        <v>0</v>
      </c>
      <c r="B1" s="131" t="s">
        <v>17</v>
      </c>
      <c r="C1" s="131" t="s">
        <v>167</v>
      </c>
      <c r="D1" s="131" t="s">
        <v>16</v>
      </c>
      <c r="E1" s="131" t="s">
        <v>18</v>
      </c>
      <c r="F1" s="131" t="s">
        <v>19</v>
      </c>
      <c r="G1" s="131" t="s">
        <v>168</v>
      </c>
      <c r="H1" s="141" t="s">
        <v>169</v>
      </c>
      <c r="K1" s="53">
        <f>50+30+33+35+45+42</f>
        <v>235</v>
      </c>
    </row>
    <row r="2" spans="1:11" s="130" customFormat="1" ht="24" customHeight="1" x14ac:dyDescent="0.2">
      <c r="A2" s="136"/>
      <c r="B2" s="132"/>
      <c r="C2" s="139">
        <f>SUBTOTAL(9,C3:C20)</f>
        <v>8.6000000000000014</v>
      </c>
      <c r="D2" s="139">
        <f>SUBTOTAL(9,$D$3:$D$20)</f>
        <v>36</v>
      </c>
      <c r="E2" s="139"/>
      <c r="F2" s="133">
        <f>SUBTOTAL(9,$F$3:$F$20)</f>
        <v>1509.4</v>
      </c>
      <c r="G2" s="133">
        <f t="shared" ref="G2:H2" si="0">SUBTOTAL(9,G3:G20)</f>
        <v>0</v>
      </c>
      <c r="H2" s="133">
        <f t="shared" si="0"/>
        <v>1509.4</v>
      </c>
    </row>
    <row r="3" spans="1:11" x14ac:dyDescent="0.25">
      <c r="A3" s="137">
        <v>1</v>
      </c>
      <c r="B3" s="134" t="s">
        <v>52</v>
      </c>
      <c r="C3" s="135">
        <f>VLOOKUP($B3,TVP!$C$5:$F$24,2,0)</f>
        <v>0.5</v>
      </c>
      <c r="D3" s="135">
        <v>2</v>
      </c>
      <c r="E3" s="135">
        <f>VLOOKUP($B3,TVP!$C$5:$F$24,4,0)</f>
        <v>45</v>
      </c>
      <c r="F3" s="140">
        <f>D3*E3</f>
        <v>90</v>
      </c>
      <c r="G3" s="41">
        <v>0</v>
      </c>
      <c r="H3" s="140">
        <f>F3-(G3*E3)</f>
        <v>90</v>
      </c>
    </row>
    <row r="4" spans="1:11" x14ac:dyDescent="0.25">
      <c r="A4" s="137">
        <v>2</v>
      </c>
      <c r="B4" s="134" t="s">
        <v>51</v>
      </c>
      <c r="C4" s="135">
        <f>VLOOKUP($B4,TVP!$C$5:$F$24,2,0)</f>
        <v>0.5</v>
      </c>
      <c r="D4" s="135">
        <v>2</v>
      </c>
      <c r="E4" s="135">
        <f>VLOOKUP($B4,TVP!$C$5:$F$24,4,0)</f>
        <v>54</v>
      </c>
      <c r="F4" s="140">
        <f t="shared" ref="F4:F20" si="1">D4*E4</f>
        <v>108</v>
      </c>
      <c r="G4" s="41">
        <v>0</v>
      </c>
      <c r="H4" s="140">
        <f t="shared" ref="H4:H20" si="2">F4-(G4*E4)</f>
        <v>108</v>
      </c>
    </row>
    <row r="5" spans="1:11" x14ac:dyDescent="0.25">
      <c r="A5" s="137">
        <v>3</v>
      </c>
      <c r="B5" s="134" t="s">
        <v>36</v>
      </c>
      <c r="C5" s="135">
        <f>VLOOKUP($B5,TVP!$C$5:$F$24,2,0)</f>
        <v>0.5</v>
      </c>
      <c r="D5" s="135">
        <v>2</v>
      </c>
      <c r="E5" s="135">
        <f>VLOOKUP($B5,TVP!$C$5:$F$24,4,0)</f>
        <v>55.5</v>
      </c>
      <c r="F5" s="140">
        <f t="shared" si="1"/>
        <v>111</v>
      </c>
      <c r="G5" s="41">
        <v>0</v>
      </c>
      <c r="H5" s="140">
        <f t="shared" si="2"/>
        <v>111</v>
      </c>
    </row>
    <row r="6" spans="1:11" x14ac:dyDescent="0.25">
      <c r="A6" s="137">
        <v>4</v>
      </c>
      <c r="B6" s="134" t="s">
        <v>37</v>
      </c>
      <c r="C6" s="135">
        <f>VLOOKUP($B6,TVP!$C$5:$F$24,2,0)</f>
        <v>0.5</v>
      </c>
      <c r="D6" s="135">
        <v>2</v>
      </c>
      <c r="E6" s="135">
        <f>VLOOKUP($B6,TVP!$C$5:$F$24,4,0)</f>
        <v>55.5</v>
      </c>
      <c r="F6" s="140">
        <f t="shared" si="1"/>
        <v>111</v>
      </c>
      <c r="G6" s="41">
        <v>0</v>
      </c>
      <c r="H6" s="140">
        <f t="shared" si="2"/>
        <v>111</v>
      </c>
    </row>
    <row r="7" spans="1:11" x14ac:dyDescent="0.25">
      <c r="A7" s="137">
        <v>5</v>
      </c>
      <c r="B7" s="134" t="s">
        <v>50</v>
      </c>
      <c r="C7" s="135">
        <f>VLOOKUP($B7,TVP!$C$5:$F$24,2,0)</f>
        <v>1</v>
      </c>
      <c r="D7" s="135">
        <v>2</v>
      </c>
      <c r="E7" s="135">
        <f>VLOOKUP($B7,TVP!$C$5:$F$24,4,0)</f>
        <v>102</v>
      </c>
      <c r="F7" s="140">
        <f t="shared" si="1"/>
        <v>204</v>
      </c>
      <c r="G7" s="41">
        <v>0</v>
      </c>
      <c r="H7" s="140">
        <f t="shared" si="2"/>
        <v>204</v>
      </c>
    </row>
    <row r="8" spans="1:11" x14ac:dyDescent="0.25">
      <c r="A8" s="137">
        <v>6</v>
      </c>
      <c r="B8" s="134" t="s">
        <v>38</v>
      </c>
      <c r="C8" s="135">
        <f>VLOOKUP($B8,TVP!$C$5:$F$24,2,0)</f>
        <v>0.5</v>
      </c>
      <c r="D8" s="135">
        <v>2</v>
      </c>
      <c r="E8" s="135">
        <f>VLOOKUP($B8,TVP!$C$5:$F$24,4,0)</f>
        <v>26.5</v>
      </c>
      <c r="F8" s="140">
        <f t="shared" si="1"/>
        <v>53</v>
      </c>
      <c r="G8" s="41">
        <v>0</v>
      </c>
      <c r="H8" s="140">
        <f t="shared" si="2"/>
        <v>53</v>
      </c>
    </row>
    <row r="9" spans="1:11" x14ac:dyDescent="0.25">
      <c r="A9" s="137">
        <v>7</v>
      </c>
      <c r="B9" s="134" t="s">
        <v>39</v>
      </c>
      <c r="C9" s="135">
        <f>VLOOKUP($B9,TVP!$C$5:$F$24,2,0)</f>
        <v>0.2</v>
      </c>
      <c r="D9" s="135">
        <v>2</v>
      </c>
      <c r="E9" s="135">
        <f>VLOOKUP($B9,TVP!$C$5:$F$24,4,0)</f>
        <v>11.2</v>
      </c>
      <c r="F9" s="140">
        <f t="shared" si="1"/>
        <v>22.4</v>
      </c>
      <c r="G9" s="41">
        <v>0</v>
      </c>
      <c r="H9" s="140">
        <f t="shared" si="2"/>
        <v>22.4</v>
      </c>
    </row>
    <row r="10" spans="1:11" x14ac:dyDescent="0.25">
      <c r="A10" s="137">
        <v>8</v>
      </c>
      <c r="B10" s="134" t="s">
        <v>40</v>
      </c>
      <c r="C10" s="135">
        <f>VLOOKUP($B10,TVP!$C$5:$F$24,2,0)</f>
        <v>0.5</v>
      </c>
      <c r="D10" s="135">
        <v>2</v>
      </c>
      <c r="E10" s="135">
        <f>VLOOKUP($B10,TVP!$C$5:$F$24,4,0)</f>
        <v>28.5</v>
      </c>
      <c r="F10" s="140">
        <f t="shared" si="1"/>
        <v>57</v>
      </c>
      <c r="G10" s="41">
        <v>0</v>
      </c>
      <c r="H10" s="140">
        <f t="shared" si="2"/>
        <v>57</v>
      </c>
    </row>
    <row r="11" spans="1:11" x14ac:dyDescent="0.25">
      <c r="A11" s="137">
        <v>9</v>
      </c>
      <c r="B11" s="134" t="s">
        <v>41</v>
      </c>
      <c r="C11" s="135">
        <f>VLOOKUP($B11,TVP!$C$5:$F$24,2,0)</f>
        <v>0.2</v>
      </c>
      <c r="D11" s="135">
        <v>2</v>
      </c>
      <c r="E11" s="135">
        <f>VLOOKUP($B11,TVP!$C$5:$F$24,4,0)</f>
        <v>12</v>
      </c>
      <c r="F11" s="140">
        <f t="shared" si="1"/>
        <v>24</v>
      </c>
      <c r="G11" s="41">
        <v>0</v>
      </c>
      <c r="H11" s="140">
        <f t="shared" si="2"/>
        <v>24</v>
      </c>
    </row>
    <row r="12" spans="1:11" x14ac:dyDescent="0.25">
      <c r="A12" s="137">
        <v>10</v>
      </c>
      <c r="B12" s="134" t="s">
        <v>42</v>
      </c>
      <c r="C12" s="135">
        <f>VLOOKUP($B12,TVP!$C$5:$F$24,2,0)</f>
        <v>0.5</v>
      </c>
      <c r="D12" s="135">
        <v>2</v>
      </c>
      <c r="E12" s="135">
        <f>VLOOKUP($B12,TVP!$C$5:$F$24,4,0)</f>
        <v>28.5</v>
      </c>
      <c r="F12" s="140">
        <f t="shared" si="1"/>
        <v>57</v>
      </c>
      <c r="G12" s="41">
        <v>0</v>
      </c>
      <c r="H12" s="140">
        <f t="shared" si="2"/>
        <v>57</v>
      </c>
    </row>
    <row r="13" spans="1:11" x14ac:dyDescent="0.25">
      <c r="A13" s="137">
        <v>11</v>
      </c>
      <c r="B13" s="134" t="s">
        <v>43</v>
      </c>
      <c r="C13" s="135">
        <f>VLOOKUP($B13,TVP!$C$5:$F$24,2,0)</f>
        <v>0.2</v>
      </c>
      <c r="D13" s="135">
        <v>2</v>
      </c>
      <c r="E13" s="135">
        <f>VLOOKUP($B13,TVP!$C$5:$F$24,4,0)</f>
        <v>12</v>
      </c>
      <c r="F13" s="140">
        <f t="shared" si="1"/>
        <v>24</v>
      </c>
      <c r="G13" s="41">
        <v>0</v>
      </c>
      <c r="H13" s="140">
        <f t="shared" si="2"/>
        <v>24</v>
      </c>
    </row>
    <row r="14" spans="1:11" x14ac:dyDescent="0.25">
      <c r="A14" s="137">
        <v>12</v>
      </c>
      <c r="B14" s="134" t="s">
        <v>67</v>
      </c>
      <c r="C14" s="135">
        <f>VLOOKUP($B14,TVP!$C$5:$F$24,2,0)</f>
        <v>0.5</v>
      </c>
      <c r="D14" s="135">
        <v>2</v>
      </c>
      <c r="E14" s="135">
        <f>VLOOKUP($B14,TVP!$C$5:$F$24,4,0)</f>
        <v>26.5</v>
      </c>
      <c r="F14" s="140">
        <f t="shared" si="1"/>
        <v>53</v>
      </c>
      <c r="G14" s="41">
        <v>0</v>
      </c>
      <c r="H14" s="140">
        <f t="shared" si="2"/>
        <v>53</v>
      </c>
    </row>
    <row r="15" spans="1:11" x14ac:dyDescent="0.25">
      <c r="A15" s="137">
        <v>13</v>
      </c>
      <c r="B15" s="134" t="s">
        <v>44</v>
      </c>
      <c r="C15" s="135">
        <f>VLOOKUP($B15,TVP!$C$5:$F$24,2,0)</f>
        <v>0.5</v>
      </c>
      <c r="D15" s="135">
        <v>2</v>
      </c>
      <c r="E15" s="135">
        <f>VLOOKUP($B15,TVP!$C$5:$F$24,4,0)</f>
        <v>36.5</v>
      </c>
      <c r="F15" s="140">
        <f t="shared" si="1"/>
        <v>73</v>
      </c>
      <c r="G15" s="41">
        <v>0</v>
      </c>
      <c r="H15" s="140">
        <f t="shared" si="2"/>
        <v>73</v>
      </c>
    </row>
    <row r="16" spans="1:11" x14ac:dyDescent="0.25">
      <c r="A16" s="137">
        <v>14</v>
      </c>
      <c r="B16" s="134" t="s">
        <v>48</v>
      </c>
      <c r="C16" s="135">
        <f>VLOOKUP($B16,TVP!$C$5:$F$24,2,0)</f>
        <v>0.5</v>
      </c>
      <c r="D16" s="135">
        <v>2</v>
      </c>
      <c r="E16" s="135">
        <f>VLOOKUP($B16,TVP!$C$5:$F$24,4,0)</f>
        <v>49</v>
      </c>
      <c r="F16" s="140">
        <f t="shared" si="1"/>
        <v>98</v>
      </c>
      <c r="G16" s="41">
        <v>0</v>
      </c>
      <c r="H16" s="140">
        <f t="shared" si="2"/>
        <v>98</v>
      </c>
    </row>
    <row r="17" spans="1:8" x14ac:dyDescent="0.25">
      <c r="A17" s="137">
        <v>15</v>
      </c>
      <c r="B17" s="134" t="s">
        <v>49</v>
      </c>
      <c r="C17" s="135">
        <f>VLOOKUP($B17,TVP!$C$5:$F$24,2,0)</f>
        <v>0.5</v>
      </c>
      <c r="D17" s="135">
        <v>2</v>
      </c>
      <c r="E17" s="135">
        <f>VLOOKUP($B17,TVP!$C$5:$F$24,4,0)</f>
        <v>43</v>
      </c>
      <c r="F17" s="140">
        <f t="shared" si="1"/>
        <v>86</v>
      </c>
      <c r="G17" s="41">
        <v>0</v>
      </c>
      <c r="H17" s="140">
        <f t="shared" si="2"/>
        <v>86</v>
      </c>
    </row>
    <row r="18" spans="1:8" x14ac:dyDescent="0.25">
      <c r="A18" s="137">
        <v>16</v>
      </c>
      <c r="B18" s="134" t="s">
        <v>45</v>
      </c>
      <c r="C18" s="135">
        <f>VLOOKUP($B18,TVP!$C$5:$F$24,2,0)</f>
        <v>0.5</v>
      </c>
      <c r="D18" s="135">
        <v>2</v>
      </c>
      <c r="E18" s="135">
        <f>VLOOKUP($B18,TVP!$C$5:$F$24,4,0)</f>
        <v>54</v>
      </c>
      <c r="F18" s="140">
        <f t="shared" si="1"/>
        <v>108</v>
      </c>
      <c r="G18" s="41">
        <v>0</v>
      </c>
      <c r="H18" s="140">
        <f t="shared" si="2"/>
        <v>108</v>
      </c>
    </row>
    <row r="19" spans="1:8" x14ac:dyDescent="0.25">
      <c r="A19" s="137">
        <v>17</v>
      </c>
      <c r="B19" s="134" t="s">
        <v>46</v>
      </c>
      <c r="C19" s="135">
        <f>VLOOKUP($B19,TVP!$C$5:$F$24,2,0)</f>
        <v>0.5</v>
      </c>
      <c r="D19" s="135">
        <v>2</v>
      </c>
      <c r="E19" s="135">
        <f>VLOOKUP($B19,TVP!$C$5:$F$24,4,0)</f>
        <v>49</v>
      </c>
      <c r="F19" s="140">
        <f t="shared" si="1"/>
        <v>98</v>
      </c>
      <c r="G19" s="41">
        <v>0</v>
      </c>
      <c r="H19" s="140">
        <f t="shared" si="2"/>
        <v>98</v>
      </c>
    </row>
    <row r="20" spans="1:8" x14ac:dyDescent="0.25">
      <c r="A20" s="137">
        <v>18</v>
      </c>
      <c r="B20" s="134" t="s">
        <v>47</v>
      </c>
      <c r="C20" s="135">
        <f>VLOOKUP($B20,TVP!$C$5:$F$24,2,0)</f>
        <v>0.5</v>
      </c>
      <c r="D20" s="135">
        <v>2</v>
      </c>
      <c r="E20" s="135">
        <f>VLOOKUP($B20,TVP!$C$5:$F$24,4,0)</f>
        <v>66</v>
      </c>
      <c r="F20" s="140">
        <f t="shared" si="1"/>
        <v>132</v>
      </c>
      <c r="G20" s="41">
        <v>0</v>
      </c>
      <c r="H20" s="140">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7"/>
  <sheetViews>
    <sheetView topLeftCell="A2" zoomScale="85" zoomScaleNormal="85" workbookViewId="0">
      <pane xSplit="17" ySplit="3" topLeftCell="AK5" activePane="bottomRight" state="frozen"/>
      <selection activeCell="A2" sqref="A2"/>
      <selection pane="topRight" activeCell="R2" sqref="R2"/>
      <selection pane="bottomLeft" activeCell="A5" sqref="A5"/>
      <selection pane="bottomRight" activeCell="AL9" sqref="AL9"/>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28515625" style="89" customWidth="1"/>
    <col min="17" max="17" width="9.140625" style="89" customWidth="1"/>
    <col min="18" max="48" width="5.28515625" style="89" customWidth="1"/>
    <col min="49" max="49" width="9.140625" style="89"/>
    <col min="50" max="50" width="12" style="89" bestFit="1" customWidth="1"/>
    <col min="51" max="16384" width="9.140625" style="89"/>
  </cols>
  <sheetData>
    <row r="1" spans="1:50" hidden="1" x14ac:dyDescent="0.25">
      <c r="B1" s="215" t="s">
        <v>59</v>
      </c>
      <c r="C1" s="215"/>
      <c r="D1" s="215"/>
      <c r="E1" s="215"/>
      <c r="F1" s="215"/>
      <c r="G1" s="215"/>
      <c r="H1" s="215"/>
      <c r="I1" s="215"/>
      <c r="J1" s="215"/>
      <c r="K1" s="215"/>
      <c r="L1" s="215"/>
      <c r="M1" s="215"/>
      <c r="N1" s="178"/>
    </row>
    <row r="2" spans="1:50" ht="34.5" customHeight="1" x14ac:dyDescent="0.25">
      <c r="A2" s="1">
        <f>221+120+60+130-(165+219)</f>
        <v>147</v>
      </c>
      <c r="K2" s="13">
        <f>SUMPRODUCT((E5:E7)*(F5:F7))</f>
        <v>148.75</v>
      </c>
      <c r="L2" s="13">
        <f>M4-K4</f>
        <v>1408</v>
      </c>
      <c r="M2" s="8">
        <f>M4/K4-1</f>
        <v>0.19458936530421855</v>
      </c>
      <c r="N2" s="8"/>
      <c r="AX2" s="174"/>
    </row>
    <row r="3" spans="1:50"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SUBTOTAL(9,A5:A202)</f>
        <v>4225.0349356374536</v>
      </c>
      <c r="B4" s="19"/>
      <c r="C4" s="19"/>
      <c r="D4" s="67"/>
      <c r="E4" s="19">
        <f>SUMPRODUCT((E5:E162)*(F5:F162))</f>
        <v>148.75</v>
      </c>
      <c r="F4" s="19">
        <f>SUBTOTAL(9,F5:F152)</f>
        <v>148.75</v>
      </c>
      <c r="G4" s="7"/>
      <c r="H4" s="7">
        <f>SUBTOTAL(9,H5:H152)</f>
        <v>7088.75</v>
      </c>
      <c r="I4" s="12"/>
      <c r="J4" s="12"/>
      <c r="K4" s="12">
        <f>SUBTOTAL(9,K5:K152)</f>
        <v>7235.75</v>
      </c>
      <c r="L4" s="68"/>
      <c r="M4" s="7">
        <f>SUBTOTAL(9,M5:M152)</f>
        <v>8643.75</v>
      </c>
      <c r="N4" s="7">
        <f ca="1">SUBTOTAL(9,N5:N152)</f>
        <v>3541.25</v>
      </c>
      <c r="O4" s="69">
        <f ca="1">SUBTOTAL(9,O5:O152)</f>
        <v>85</v>
      </c>
      <c r="P4" s="106">
        <f>SUBTOTAL(9,P5:P202)</f>
        <v>0</v>
      </c>
      <c r="Q4" s="106">
        <f>SUBTOTAL(9,Q5:Q202)</f>
        <v>0</v>
      </c>
      <c r="R4" s="40">
        <f t="shared" ref="R4:AV4" si="0">SUBTOTAL(9,R5:R152)</f>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80">
        <f t="shared" si="0"/>
        <v>15</v>
      </c>
      <c r="AH4" s="40">
        <f t="shared" si="0"/>
        <v>11.899999999999999</v>
      </c>
      <c r="AI4" s="40">
        <f t="shared" si="0"/>
        <v>9.15</v>
      </c>
      <c r="AJ4" s="40">
        <f t="shared" si="0"/>
        <v>11.85</v>
      </c>
      <c r="AK4" s="40">
        <f t="shared" si="0"/>
        <v>7.0500000000000007</v>
      </c>
      <c r="AL4" s="40">
        <f t="shared" ca="1" si="0"/>
        <v>8.8000000000000007</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9">
        <f>SUBTOTAL(9,AX5:AX162)</f>
        <v>2715</v>
      </c>
    </row>
    <row r="5" spans="1:50" ht="35.25" customHeight="1" x14ac:dyDescent="0.25">
      <c r="A5" s="89">
        <f t="shared" ref="A5:A7" ca="1" si="1">J5*O5</f>
        <v>845.17030506083586</v>
      </c>
      <c r="B5" s="6">
        <v>1</v>
      </c>
      <c r="C5" s="91" t="s">
        <v>225</v>
      </c>
      <c r="D5" s="99">
        <v>46</v>
      </c>
      <c r="E5" s="92">
        <v>1</v>
      </c>
      <c r="F5" s="92">
        <v>30</v>
      </c>
      <c r="G5" s="184">
        <v>46</v>
      </c>
      <c r="H5" s="185">
        <f t="shared" ref="H5:H7" si="2">G5*F5</f>
        <v>1380</v>
      </c>
      <c r="I5" s="186">
        <f t="shared" ref="I5:I7" si="3">((H5/$H$4)*$A$2)/F5</f>
        <v>0.9539058367131017</v>
      </c>
      <c r="J5" s="186">
        <f t="shared" ref="J5:J7" si="4">G5+I5</f>
        <v>46.953905836713105</v>
      </c>
      <c r="K5" s="96">
        <f>J5*F5</f>
        <v>1408.6171751013931</v>
      </c>
      <c r="L5" s="100">
        <v>60</v>
      </c>
      <c r="M5" s="94">
        <f t="shared" ref="M5:M7" si="5">L5*F5</f>
        <v>1800</v>
      </c>
      <c r="N5" s="94">
        <f ca="1">SUMPRODUCT(($Q5:$AV5)*$L5)</f>
        <v>720</v>
      </c>
      <c r="O5" s="181">
        <f ca="1">F5-SUM(Q5:AV5)-P5</f>
        <v>18</v>
      </c>
      <c r="P5" s="88">
        <v>0</v>
      </c>
      <c r="Q5" s="164">
        <v>0</v>
      </c>
      <c r="R5" s="6">
        <v>0</v>
      </c>
      <c r="S5" s="6">
        <v>0</v>
      </c>
      <c r="T5" s="6">
        <v>0</v>
      </c>
      <c r="U5" s="6">
        <v>0</v>
      </c>
      <c r="V5" s="6">
        <v>0</v>
      </c>
      <c r="W5" s="6">
        <v>0</v>
      </c>
      <c r="X5" s="6">
        <v>0</v>
      </c>
      <c r="Y5" s="6">
        <v>0</v>
      </c>
      <c r="Z5" s="6">
        <v>0</v>
      </c>
      <c r="AA5" s="6">
        <v>0</v>
      </c>
      <c r="AB5" s="6">
        <v>0</v>
      </c>
      <c r="AC5" s="6">
        <v>0</v>
      </c>
      <c r="AD5" s="6">
        <v>0</v>
      </c>
      <c r="AE5" s="6">
        <v>0</v>
      </c>
      <c r="AF5" s="6">
        <v>0</v>
      </c>
      <c r="AG5" s="6">
        <v>3</v>
      </c>
      <c r="AH5" s="6">
        <v>2</v>
      </c>
      <c r="AI5" s="6">
        <v>2</v>
      </c>
      <c r="AJ5" s="6">
        <v>2</v>
      </c>
      <c r="AK5" s="6">
        <v>1</v>
      </c>
      <c r="AL5" s="6">
        <f ca="1">SUMIFS('Tổng Đơn'!$F:$F,'Tổng Đơn'!$B:$B,$C5)</f>
        <v>2</v>
      </c>
      <c r="AM5" s="179">
        <v>0</v>
      </c>
      <c r="AN5" s="179">
        <v>0</v>
      </c>
      <c r="AO5" s="179">
        <v>0</v>
      </c>
      <c r="AP5" s="179">
        <v>0</v>
      </c>
      <c r="AQ5" s="179">
        <v>0</v>
      </c>
      <c r="AR5" s="179">
        <v>0</v>
      </c>
      <c r="AS5" s="179">
        <v>0</v>
      </c>
      <c r="AT5" s="179">
        <v>0</v>
      </c>
      <c r="AU5" s="179">
        <v>0</v>
      </c>
      <c r="AV5" s="179">
        <v>0</v>
      </c>
      <c r="AX5" s="89">
        <f t="shared" ref="AX5:AX7" si="6">AW5*G5</f>
        <v>0</v>
      </c>
    </row>
    <row r="6" spans="1:50" ht="35.25" customHeight="1" x14ac:dyDescent="0.25">
      <c r="A6" s="89">
        <f t="shared" ca="1" si="1"/>
        <v>2262.4637453711866</v>
      </c>
      <c r="B6" s="6">
        <v>2</v>
      </c>
      <c r="C6" s="91" t="s">
        <v>226</v>
      </c>
      <c r="D6" s="99">
        <v>55</v>
      </c>
      <c r="E6" s="92">
        <v>1</v>
      </c>
      <c r="F6" s="92">
        <f>30+30</f>
        <v>60</v>
      </c>
      <c r="G6" s="184">
        <v>55</v>
      </c>
      <c r="H6" s="185">
        <f t="shared" si="2"/>
        <v>3300</v>
      </c>
      <c r="I6" s="186">
        <f t="shared" si="3"/>
        <v>1.1405395873743607</v>
      </c>
      <c r="J6" s="186">
        <f t="shared" si="4"/>
        <v>56.140539587374363</v>
      </c>
      <c r="K6" s="96">
        <f t="shared" ref="K6:K7" si="7">J6*F6</f>
        <v>3368.4323752424616</v>
      </c>
      <c r="L6" s="100">
        <v>70</v>
      </c>
      <c r="M6" s="94">
        <f t="shared" si="5"/>
        <v>4200</v>
      </c>
      <c r="N6" s="94">
        <f t="shared" ref="N6:N7" ca="1" si="8">SUMPRODUCT(($Q6:$AV6)*$L6)</f>
        <v>1379</v>
      </c>
      <c r="O6" s="181">
        <f t="shared" ref="O6:O7" ca="1" si="9">F6-SUM(Q6:AV6)-P6</f>
        <v>40.299999999999997</v>
      </c>
      <c r="P6" s="88">
        <v>0</v>
      </c>
      <c r="Q6" s="164">
        <v>0</v>
      </c>
      <c r="R6" s="6">
        <v>0</v>
      </c>
      <c r="S6" s="6">
        <v>0</v>
      </c>
      <c r="T6" s="6">
        <v>0</v>
      </c>
      <c r="U6" s="6">
        <v>0</v>
      </c>
      <c r="V6" s="6">
        <v>0</v>
      </c>
      <c r="W6" s="6">
        <v>0</v>
      </c>
      <c r="X6" s="6">
        <v>0</v>
      </c>
      <c r="Y6" s="6">
        <v>0</v>
      </c>
      <c r="Z6" s="6">
        <v>0</v>
      </c>
      <c r="AA6" s="6">
        <v>0</v>
      </c>
      <c r="AB6" s="6">
        <v>0</v>
      </c>
      <c r="AC6" s="6">
        <v>0</v>
      </c>
      <c r="AD6" s="6">
        <v>0</v>
      </c>
      <c r="AE6" s="6">
        <v>0</v>
      </c>
      <c r="AF6" s="6">
        <v>0</v>
      </c>
      <c r="AG6" s="6">
        <v>5.3</v>
      </c>
      <c r="AH6" s="6">
        <v>2.6</v>
      </c>
      <c r="AI6" s="6">
        <v>2.2999999999999998</v>
      </c>
      <c r="AJ6" s="6">
        <v>2.35</v>
      </c>
      <c r="AK6" s="6">
        <v>3.65</v>
      </c>
      <c r="AL6" s="6">
        <f ca="1">SUMIFS('Tổng Đơn'!$F:$F,'Tổng Đơn'!$B:$B,$C6)</f>
        <v>3.5</v>
      </c>
      <c r="AM6" s="179">
        <v>0</v>
      </c>
      <c r="AN6" s="179">
        <v>0</v>
      </c>
      <c r="AO6" s="179">
        <v>0</v>
      </c>
      <c r="AP6" s="179">
        <v>0</v>
      </c>
      <c r="AQ6" s="179">
        <v>0</v>
      </c>
      <c r="AR6" s="179">
        <v>0</v>
      </c>
      <c r="AS6" s="179">
        <v>0</v>
      </c>
      <c r="AT6" s="179">
        <v>0</v>
      </c>
      <c r="AU6" s="179">
        <v>0</v>
      </c>
      <c r="AV6" s="179">
        <v>0</v>
      </c>
      <c r="AW6" s="89">
        <v>30</v>
      </c>
      <c r="AX6" s="89">
        <f>AW6*G6*0.9</f>
        <v>1485</v>
      </c>
    </row>
    <row r="7" spans="1:50" ht="35.25" customHeight="1" x14ac:dyDescent="0.25">
      <c r="A7" s="89">
        <f t="shared" ca="1" si="1"/>
        <v>1117.4008852054312</v>
      </c>
      <c r="B7" s="6">
        <v>3</v>
      </c>
      <c r="C7" s="91" t="s">
        <v>227</v>
      </c>
      <c r="D7" s="99">
        <v>41</v>
      </c>
      <c r="E7" s="92">
        <v>1</v>
      </c>
      <c r="F7" s="92">
        <f>28.75+30</f>
        <v>58.75</v>
      </c>
      <c r="G7" s="184">
        <v>41</v>
      </c>
      <c r="H7" s="185">
        <f t="shared" si="2"/>
        <v>2408.75</v>
      </c>
      <c r="I7" s="186">
        <f t="shared" si="3"/>
        <v>0.85022041967906881</v>
      </c>
      <c r="J7" s="186">
        <f t="shared" si="4"/>
        <v>41.850220419679069</v>
      </c>
      <c r="K7" s="96">
        <f t="shared" si="7"/>
        <v>2458.7004496561453</v>
      </c>
      <c r="L7" s="100">
        <v>45</v>
      </c>
      <c r="M7" s="94">
        <f t="shared" si="5"/>
        <v>2643.75</v>
      </c>
      <c r="N7" s="94">
        <f t="shared" ca="1" si="8"/>
        <v>1442.25</v>
      </c>
      <c r="O7" s="181">
        <f t="shared" ca="1" si="9"/>
        <v>26.700000000000003</v>
      </c>
      <c r="P7" s="88">
        <v>0</v>
      </c>
      <c r="Q7" s="164">
        <v>0</v>
      </c>
      <c r="R7" s="6">
        <v>0</v>
      </c>
      <c r="S7" s="6">
        <v>0</v>
      </c>
      <c r="T7" s="6">
        <v>0</v>
      </c>
      <c r="U7" s="6">
        <v>0</v>
      </c>
      <c r="V7" s="6">
        <v>0</v>
      </c>
      <c r="W7" s="6">
        <v>0</v>
      </c>
      <c r="X7" s="6">
        <v>0</v>
      </c>
      <c r="Y7" s="6">
        <v>0</v>
      </c>
      <c r="Z7" s="6">
        <v>0</v>
      </c>
      <c r="AA7" s="6">
        <v>0</v>
      </c>
      <c r="AB7" s="6">
        <v>0</v>
      </c>
      <c r="AC7" s="6">
        <v>0</v>
      </c>
      <c r="AD7" s="6">
        <v>0</v>
      </c>
      <c r="AE7" s="6">
        <v>0</v>
      </c>
      <c r="AF7" s="6">
        <v>0</v>
      </c>
      <c r="AG7" s="6">
        <v>6.7</v>
      </c>
      <c r="AH7" s="6">
        <v>7.3</v>
      </c>
      <c r="AI7" s="6">
        <v>4.8500000000000005</v>
      </c>
      <c r="AJ7" s="6">
        <v>7.5</v>
      </c>
      <c r="AK7" s="6">
        <v>2.4</v>
      </c>
      <c r="AL7" s="6">
        <f ca="1">SUMIFS('Tổng Đơn'!$F:$F,'Tổng Đơn'!$B:$B,$C7)</f>
        <v>3.3</v>
      </c>
      <c r="AM7" s="179">
        <v>0</v>
      </c>
      <c r="AN7" s="179">
        <v>0</v>
      </c>
      <c r="AO7" s="179">
        <v>0</v>
      </c>
      <c r="AP7" s="179">
        <v>0</v>
      </c>
      <c r="AQ7" s="179">
        <v>0</v>
      </c>
      <c r="AR7" s="179">
        <v>0</v>
      </c>
      <c r="AS7" s="179">
        <v>0</v>
      </c>
      <c r="AT7" s="179">
        <v>0</v>
      </c>
      <c r="AU7" s="179">
        <v>0</v>
      </c>
      <c r="AV7" s="179">
        <v>0</v>
      </c>
      <c r="AW7" s="89">
        <v>30</v>
      </c>
      <c r="AX7" s="89">
        <f t="shared" si="6"/>
        <v>1230</v>
      </c>
    </row>
  </sheetData>
  <autoFilter ref="B4:M4"/>
  <mergeCells count="1">
    <mergeCell ref="B1:M1"/>
  </mergeCells>
  <conditionalFormatting sqref="C6:C7">
    <cfRule type="expression" dxfId="560" priority="8">
      <formula>($O6/$O6)&lt;=1/4</formula>
    </cfRule>
  </conditionalFormatting>
  <conditionalFormatting sqref="C5:C7">
    <cfRule type="expression" dxfId="559" priority="9">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N8" activePane="bottomRight" state="frozen"/>
      <selection activeCell="A2" sqref="A2"/>
      <selection pane="topRight" activeCell="R2" sqref="R2"/>
      <selection pane="bottomLeft" activeCell="A5" sqref="A5"/>
      <selection pane="bottomRight" activeCell="P28" sqref="P28"/>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hidden="1" customWidth="1"/>
    <col min="8" max="8" width="14.85546875" style="89" hidden="1" customWidth="1"/>
    <col min="9" max="9" width="13.42578125" style="89" customWidth="1"/>
    <col min="10" max="10" width="16.85546875" style="89" hidden="1" customWidth="1"/>
    <col min="11" max="11" width="11.42578125" style="89" customWidth="1"/>
    <col min="12" max="13" width="16.28515625" style="89" hidden="1"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15" t="s">
        <v>59</v>
      </c>
      <c r="C1" s="215"/>
      <c r="D1" s="215"/>
      <c r="E1" s="215"/>
      <c r="F1" s="215"/>
      <c r="G1" s="215"/>
      <c r="H1" s="215"/>
      <c r="I1" s="215"/>
      <c r="J1" s="215"/>
      <c r="K1" s="215"/>
      <c r="L1" s="215"/>
      <c r="M1" s="90"/>
    </row>
    <row r="2" spans="1:50" ht="18.75" customHeight="1" x14ac:dyDescent="0.25">
      <c r="A2" s="1">
        <v>210</v>
      </c>
      <c r="J2" s="13">
        <f>SUMPRODUCT((D5:D19)*(E5:E19))</f>
        <v>251.5</v>
      </c>
      <c r="K2" s="13">
        <f>L4-J4</f>
        <v>5531.5</v>
      </c>
      <c r="L2" s="8">
        <f>L4/J4-1</f>
        <v>0.19408431431027529</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c r="AX3" s="89">
        <f>3841-580</f>
        <v>3261</v>
      </c>
    </row>
    <row r="4" spans="1:50" s="66" customFormat="1" ht="27" customHeight="1" x14ac:dyDescent="0.25">
      <c r="A4" s="75">
        <f ca="1">SUBTOTAL(9,A5:A220)</f>
        <v>13420.788284052949</v>
      </c>
      <c r="B4" s="19"/>
      <c r="C4" s="19"/>
      <c r="D4" s="19">
        <f>SUMPRODUCT((D5:D178)*(E5:E178))</f>
        <v>342.5</v>
      </c>
      <c r="E4" s="19">
        <f>SUBTOTAL(9,E5:E220)</f>
        <v>787</v>
      </c>
      <c r="F4" s="7"/>
      <c r="G4" s="7">
        <f>SUBTOTAL(9,G5:G181)</f>
        <v>28290.5</v>
      </c>
      <c r="H4" s="12"/>
      <c r="I4" s="12"/>
      <c r="J4" s="12">
        <f>SUBTOTAL(9,J5:J181)</f>
        <v>28500.5</v>
      </c>
      <c r="K4" s="107"/>
      <c r="L4" s="7">
        <f>SUBTOTAL(9,L5:L181)</f>
        <v>34032</v>
      </c>
      <c r="M4" s="7">
        <f ca="1">SUBTOTAL(9,M5:M181)</f>
        <v>17868</v>
      </c>
      <c r="N4" s="39">
        <f ca="1">SUBTOTAL(9,N5:N220)</f>
        <v>426</v>
      </c>
      <c r="O4" s="106"/>
      <c r="P4" s="106">
        <f>SUBTOTAL(9,P5:P220)</f>
        <v>6</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ca="1" si="0"/>
        <v>0</v>
      </c>
      <c r="AM4" s="40">
        <f t="shared" si="0"/>
        <v>0</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181.33613757268341</v>
      </c>
      <c r="B5" s="6">
        <v>1</v>
      </c>
      <c r="C5" s="91" t="s">
        <v>52</v>
      </c>
      <c r="D5" s="92">
        <v>0.5</v>
      </c>
      <c r="E5" s="24">
        <v>16</v>
      </c>
      <c r="F5" s="93">
        <v>45</v>
      </c>
      <c r="G5" s="94">
        <f t="shared" ref="G5:G19" si="3">F5*E5</f>
        <v>720</v>
      </c>
      <c r="H5" s="95">
        <f t="shared" ref="H5:H24" si="4">((G5/$G$4)*$A$2)/E5</f>
        <v>0.33403439317085243</v>
      </c>
      <c r="I5" s="182">
        <f t="shared" ref="I5:I19" si="5">F5+H5</f>
        <v>45.334034393170853</v>
      </c>
      <c r="J5" s="96">
        <f>I5*E5</f>
        <v>725.34455029073365</v>
      </c>
      <c r="K5" s="97">
        <v>54</v>
      </c>
      <c r="L5" s="94">
        <f t="shared" ref="L5" si="6">K5*E5</f>
        <v>864</v>
      </c>
      <c r="M5" s="94">
        <f ca="1">SUMPRODUCT($K5*($Q5:$AV5))</f>
        <v>648</v>
      </c>
      <c r="N5" s="98">
        <f ca="1">E5-SUM(Q5:AV5)-P5-O5</f>
        <v>4</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f ca="1">SUMIFS('Tổng Đơn'!$F:$F,'Tổng Đơn'!$B:$B,$C5)</f>
        <v>0</v>
      </c>
      <c r="AM5" s="165">
        <v>0</v>
      </c>
      <c r="AN5" s="165">
        <v>0</v>
      </c>
      <c r="AO5" s="165">
        <v>0</v>
      </c>
      <c r="AP5" s="165">
        <v>0</v>
      </c>
      <c r="AQ5" s="165">
        <v>0</v>
      </c>
      <c r="AR5" s="165">
        <v>0</v>
      </c>
      <c r="AS5" s="165">
        <v>0</v>
      </c>
      <c r="AT5" s="165">
        <v>0</v>
      </c>
      <c r="AU5" s="165">
        <v>0</v>
      </c>
      <c r="AV5" s="165">
        <v>0</v>
      </c>
      <c r="AX5" s="89">
        <f>AW5*F5</f>
        <v>0</v>
      </c>
    </row>
    <row r="6" spans="1:50" ht="18.75" x14ac:dyDescent="0.25">
      <c r="A6" s="89">
        <f t="shared" ca="1" si="2"/>
        <v>816.01261907707533</v>
      </c>
      <c r="B6" s="6">
        <v>2</v>
      </c>
      <c r="C6" s="91" t="s">
        <v>51</v>
      </c>
      <c r="D6" s="92">
        <v>0.5</v>
      </c>
      <c r="E6" s="24">
        <v>26</v>
      </c>
      <c r="F6" s="93">
        <v>54</v>
      </c>
      <c r="G6" s="94">
        <f t="shared" si="3"/>
        <v>1404</v>
      </c>
      <c r="H6" s="95">
        <f t="shared" si="4"/>
        <v>0.40084127180502283</v>
      </c>
      <c r="I6" s="182">
        <f t="shared" si="5"/>
        <v>54.400841271805021</v>
      </c>
      <c r="J6" s="96">
        <f>I6*E6</f>
        <v>1414.4218730669306</v>
      </c>
      <c r="K6" s="97">
        <v>65</v>
      </c>
      <c r="L6" s="94">
        <f t="shared" ref="L6:L24" si="7">K6*E6</f>
        <v>1690</v>
      </c>
      <c r="M6" s="94">
        <f t="shared" ref="M6:M24" ca="1" si="8">SUMPRODUCT($K6*($Q6:$AV6))</f>
        <v>715</v>
      </c>
      <c r="N6" s="98">
        <f t="shared" ref="N6:N24" ca="1" si="9">E6-SUM(Q6:AV6)-P6-O6</f>
        <v>15</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f ca="1">SUMIFS('Tổng Đơn'!$F:$F,'Tổng Đơn'!$B:$B,$C6)</f>
        <v>0</v>
      </c>
      <c r="AM6" s="165">
        <v>0</v>
      </c>
      <c r="AN6" s="165">
        <v>0</v>
      </c>
      <c r="AO6" s="165">
        <v>0</v>
      </c>
      <c r="AP6" s="165">
        <v>0</v>
      </c>
      <c r="AQ6" s="165">
        <v>0</v>
      </c>
      <c r="AR6" s="165">
        <v>0</v>
      </c>
      <c r="AS6" s="165">
        <v>0</v>
      </c>
      <c r="AT6" s="165">
        <v>0</v>
      </c>
      <c r="AU6" s="165">
        <v>0</v>
      </c>
      <c r="AV6" s="165">
        <v>0</v>
      </c>
      <c r="AX6" s="89">
        <f t="shared" ref="AX6:AX24" si="10">AW6*F6</f>
        <v>0</v>
      </c>
    </row>
    <row r="7" spans="1:50" ht="18.75" x14ac:dyDescent="0.25">
      <c r="A7" s="89">
        <f t="shared" ca="1" si="2"/>
        <v>223.64790300630955</v>
      </c>
      <c r="B7" s="6">
        <v>3</v>
      </c>
      <c r="C7" s="91" t="s">
        <v>36</v>
      </c>
      <c r="D7" s="92">
        <v>0.5</v>
      </c>
      <c r="E7" s="24">
        <v>6</v>
      </c>
      <c r="F7" s="93">
        <v>55.5</v>
      </c>
      <c r="G7" s="94">
        <f t="shared" si="3"/>
        <v>333</v>
      </c>
      <c r="H7" s="95">
        <f t="shared" si="4"/>
        <v>0.41197575157738459</v>
      </c>
      <c r="I7" s="182">
        <f t="shared" si="5"/>
        <v>55.911975751577387</v>
      </c>
      <c r="J7" s="96">
        <f t="shared" ref="J7:J19" si="11">I7*E7</f>
        <v>335.47185450946432</v>
      </c>
      <c r="K7" s="97">
        <v>66</v>
      </c>
      <c r="L7" s="94">
        <f t="shared" si="7"/>
        <v>396</v>
      </c>
      <c r="M7" s="94">
        <f t="shared" ca="1" si="8"/>
        <v>132</v>
      </c>
      <c r="N7" s="98">
        <f t="shared" ca="1" si="9"/>
        <v>4</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f ca="1">SUMIFS('Tổng Đơn'!$F:$F,'Tổng Đơn'!$B:$B,$C7)</f>
        <v>0</v>
      </c>
      <c r="AM7" s="165">
        <v>0</v>
      </c>
      <c r="AN7" s="165">
        <v>0</v>
      </c>
      <c r="AO7" s="165">
        <v>0</v>
      </c>
      <c r="AP7" s="165">
        <v>0</v>
      </c>
      <c r="AQ7" s="165">
        <v>0</v>
      </c>
      <c r="AR7" s="165">
        <v>0</v>
      </c>
      <c r="AS7" s="165">
        <v>0</v>
      </c>
      <c r="AT7" s="165">
        <v>0</v>
      </c>
      <c r="AU7" s="165">
        <v>0</v>
      </c>
      <c r="AV7" s="165">
        <v>0</v>
      </c>
      <c r="AX7" s="89">
        <f t="shared" si="10"/>
        <v>0</v>
      </c>
    </row>
    <row r="8" spans="1:50" ht="18.75" x14ac:dyDescent="0.25">
      <c r="A8" s="89">
        <f t="shared" ca="1" si="2"/>
        <v>503.20778176419651</v>
      </c>
      <c r="B8" s="6">
        <v>4</v>
      </c>
      <c r="C8" s="91" t="s">
        <v>37</v>
      </c>
      <c r="D8" s="92">
        <v>0.5</v>
      </c>
      <c r="E8" s="24">
        <v>30</v>
      </c>
      <c r="F8" s="93">
        <v>55.5</v>
      </c>
      <c r="G8" s="94">
        <f t="shared" si="3"/>
        <v>1665</v>
      </c>
      <c r="H8" s="95">
        <f t="shared" si="4"/>
        <v>0.41197575157738464</v>
      </c>
      <c r="I8" s="182">
        <f t="shared" si="5"/>
        <v>55.911975751577387</v>
      </c>
      <c r="J8" s="96">
        <f t="shared" si="11"/>
        <v>1677.3592725473216</v>
      </c>
      <c r="K8" s="97">
        <v>66</v>
      </c>
      <c r="L8" s="94">
        <f t="shared" si="7"/>
        <v>1980</v>
      </c>
      <c r="M8" s="94">
        <f t="shared" ca="1" si="8"/>
        <v>1320</v>
      </c>
      <c r="N8" s="98">
        <f t="shared" ca="1" si="9"/>
        <v>9</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f ca="1">SUMIFS('Tổng Đơn'!$F:$F,'Tổng Đơn'!$B:$B,$C8)</f>
        <v>0</v>
      </c>
      <c r="AM8" s="165">
        <v>0</v>
      </c>
      <c r="AN8" s="165">
        <v>0</v>
      </c>
      <c r="AO8" s="165">
        <v>0</v>
      </c>
      <c r="AP8" s="165">
        <v>0</v>
      </c>
      <c r="AQ8" s="165">
        <v>0</v>
      </c>
      <c r="AR8" s="165">
        <v>0</v>
      </c>
      <c r="AS8" s="165">
        <v>0</v>
      </c>
      <c r="AT8" s="165">
        <v>0</v>
      </c>
      <c r="AU8" s="165">
        <v>0</v>
      </c>
      <c r="AV8" s="165">
        <v>0</v>
      </c>
      <c r="AX8" s="89">
        <f t="shared" si="10"/>
        <v>0</v>
      </c>
    </row>
    <row r="9" spans="1:50" ht="18.75" x14ac:dyDescent="0.25">
      <c r="A9" s="89">
        <f t="shared" ca="1" si="2"/>
        <v>1438.6000247432883</v>
      </c>
      <c r="B9" s="6">
        <v>5</v>
      </c>
      <c r="C9" s="91" t="s">
        <v>50</v>
      </c>
      <c r="D9" s="92">
        <v>1</v>
      </c>
      <c r="E9" s="24">
        <v>15</v>
      </c>
      <c r="F9" s="93">
        <v>102</v>
      </c>
      <c r="G9" s="94">
        <f t="shared" si="3"/>
        <v>1530</v>
      </c>
      <c r="H9" s="95">
        <f t="shared" si="4"/>
        <v>0.75714462452059883</v>
      </c>
      <c r="I9" s="182">
        <f t="shared" si="5"/>
        <v>102.75714462452059</v>
      </c>
      <c r="J9" s="96">
        <f>I9*E9</f>
        <v>1541.3571693678089</v>
      </c>
      <c r="K9" s="97">
        <v>122</v>
      </c>
      <c r="L9" s="94">
        <f t="shared" si="7"/>
        <v>1830</v>
      </c>
      <c r="M9" s="94">
        <f t="shared" ca="1" si="8"/>
        <v>122</v>
      </c>
      <c r="N9" s="98">
        <f t="shared" ca="1" si="9"/>
        <v>14</v>
      </c>
      <c r="O9" s="88">
        <v>-1</v>
      </c>
      <c r="P9" s="88">
        <v>1</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f ca="1">SUMIFS('Tổng Đơn'!$F:$F,'Tổng Đơn'!$B:$B,$C9)</f>
        <v>0</v>
      </c>
      <c r="AM9" s="165">
        <v>0</v>
      </c>
      <c r="AN9" s="165">
        <v>0</v>
      </c>
      <c r="AO9" s="165">
        <v>0</v>
      </c>
      <c r="AP9" s="165">
        <v>0</v>
      </c>
      <c r="AQ9" s="165">
        <v>0</v>
      </c>
      <c r="AR9" s="165">
        <v>0</v>
      </c>
      <c r="AS9" s="165">
        <v>0</v>
      </c>
      <c r="AT9" s="165">
        <v>0</v>
      </c>
      <c r="AU9" s="165">
        <v>0</v>
      </c>
      <c r="AV9" s="165">
        <v>0</v>
      </c>
      <c r="AX9" s="89">
        <f t="shared" si="10"/>
        <v>0</v>
      </c>
    </row>
    <row r="10" spans="1:50" ht="18.75" x14ac:dyDescent="0.25">
      <c r="A10" s="89">
        <f t="shared" ca="1" si="2"/>
        <v>1041.1716565631573</v>
      </c>
      <c r="B10" s="6">
        <v>6</v>
      </c>
      <c r="C10" s="91" t="s">
        <v>38</v>
      </c>
      <c r="D10" s="92">
        <v>0.5</v>
      </c>
      <c r="E10" s="24">
        <v>80</v>
      </c>
      <c r="F10" s="93">
        <v>26.5</v>
      </c>
      <c r="G10" s="94">
        <f t="shared" si="3"/>
        <v>2120</v>
      </c>
      <c r="H10" s="95">
        <f t="shared" si="4"/>
        <v>0.19670914264505751</v>
      </c>
      <c r="I10" s="182">
        <f t="shared" si="5"/>
        <v>26.696709142645059</v>
      </c>
      <c r="J10" s="96">
        <f t="shared" si="11"/>
        <v>2135.7367314116045</v>
      </c>
      <c r="K10" s="97">
        <v>32</v>
      </c>
      <c r="L10" s="94">
        <f t="shared" si="7"/>
        <v>2560</v>
      </c>
      <c r="M10" s="94">
        <f t="shared" ca="1" si="8"/>
        <v>1312</v>
      </c>
      <c r="N10" s="98">
        <f t="shared" ca="1" si="9"/>
        <v>39</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f ca="1">SUMIFS('Tổng Đơn'!$F:$F,'Tổng Đơn'!$B:$B,$C10)</f>
        <v>0</v>
      </c>
      <c r="AM10" s="165">
        <v>0</v>
      </c>
      <c r="AN10" s="165">
        <v>0</v>
      </c>
      <c r="AO10" s="165">
        <v>0</v>
      </c>
      <c r="AP10" s="165">
        <v>0</v>
      </c>
      <c r="AQ10" s="165">
        <v>0</v>
      </c>
      <c r="AR10" s="165">
        <v>0</v>
      </c>
      <c r="AS10" s="165">
        <v>0</v>
      </c>
      <c r="AT10" s="165">
        <v>0</v>
      </c>
      <c r="AU10" s="165">
        <v>0</v>
      </c>
      <c r="AV10" s="165">
        <v>0</v>
      </c>
      <c r="AX10" s="89">
        <f t="shared" si="10"/>
        <v>0</v>
      </c>
    </row>
    <row r="11" spans="1:50" ht="18.75" x14ac:dyDescent="0.25">
      <c r="A11" s="89">
        <f t="shared" ca="1" si="2"/>
        <v>755.97020908078673</v>
      </c>
      <c r="B11" s="6">
        <v>7</v>
      </c>
      <c r="C11" s="91" t="s">
        <v>39</v>
      </c>
      <c r="D11" s="92">
        <v>0.2</v>
      </c>
      <c r="E11" s="24">
        <v>90</v>
      </c>
      <c r="F11" s="93">
        <v>11.2</v>
      </c>
      <c r="G11" s="94">
        <f t="shared" si="3"/>
        <v>1007.9999999999999</v>
      </c>
      <c r="H11" s="95">
        <f t="shared" si="4"/>
        <v>8.3137448966967703E-2</v>
      </c>
      <c r="I11" s="182">
        <f t="shared" si="5"/>
        <v>11.283137448966967</v>
      </c>
      <c r="J11" s="96">
        <f t="shared" si="11"/>
        <v>1015.482370407027</v>
      </c>
      <c r="K11" s="97">
        <v>14</v>
      </c>
      <c r="L11" s="94">
        <f t="shared" si="7"/>
        <v>1260</v>
      </c>
      <c r="M11" s="94">
        <f t="shared" ca="1" si="8"/>
        <v>294</v>
      </c>
      <c r="N11" s="98">
        <f t="shared" ca="1" si="9"/>
        <v>67</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f ca="1">SUMIFS('Tổng Đơn'!$F:$F,'Tổng Đơn'!$B:$B,$C11)</f>
        <v>0</v>
      </c>
      <c r="AM11" s="165">
        <v>0</v>
      </c>
      <c r="AN11" s="165">
        <v>0</v>
      </c>
      <c r="AO11" s="165">
        <v>0</v>
      </c>
      <c r="AP11" s="165">
        <v>0</v>
      </c>
      <c r="AQ11" s="165">
        <v>0</v>
      </c>
      <c r="AR11" s="165">
        <v>0</v>
      </c>
      <c r="AS11" s="165">
        <v>0</v>
      </c>
      <c r="AT11" s="165">
        <v>0</v>
      </c>
      <c r="AU11" s="165">
        <v>0</v>
      </c>
      <c r="AV11" s="165">
        <v>0</v>
      </c>
      <c r="AX11" s="89">
        <f t="shared" si="10"/>
        <v>0</v>
      </c>
    </row>
    <row r="12" spans="1:50" ht="18.75" x14ac:dyDescent="0.25">
      <c r="A12" s="89">
        <f t="shared" ca="1" si="2"/>
        <v>1177.1737597426697</v>
      </c>
      <c r="B12" s="6">
        <v>8</v>
      </c>
      <c r="C12" s="91" t="s">
        <v>40</v>
      </c>
      <c r="D12" s="92">
        <v>0.5</v>
      </c>
      <c r="E12" s="24">
        <v>56</v>
      </c>
      <c r="F12" s="93">
        <v>28.5</v>
      </c>
      <c r="G12" s="94">
        <f t="shared" si="3"/>
        <v>1596</v>
      </c>
      <c r="H12" s="95">
        <f t="shared" si="4"/>
        <v>0.2115551156748732</v>
      </c>
      <c r="I12" s="182">
        <f t="shared" si="5"/>
        <v>28.711555115674873</v>
      </c>
      <c r="J12" s="96">
        <f t="shared" si="11"/>
        <v>1607.8470864777928</v>
      </c>
      <c r="K12" s="97">
        <v>35</v>
      </c>
      <c r="L12" s="94">
        <f t="shared" si="7"/>
        <v>1960</v>
      </c>
      <c r="M12" s="94">
        <f t="shared" ca="1" si="8"/>
        <v>525</v>
      </c>
      <c r="N12" s="98">
        <f t="shared" ca="1" si="9"/>
        <v>41</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f ca="1">SUMIFS('Tổng Đơn'!$F:$F,'Tổng Đơn'!$B:$B,$C12)</f>
        <v>0</v>
      </c>
      <c r="AM12" s="165">
        <v>0</v>
      </c>
      <c r="AN12" s="165">
        <v>0</v>
      </c>
      <c r="AO12" s="165">
        <v>0</v>
      </c>
      <c r="AP12" s="165">
        <v>0</v>
      </c>
      <c r="AQ12" s="165">
        <v>0</v>
      </c>
      <c r="AR12" s="165">
        <v>0</v>
      </c>
      <c r="AS12" s="165">
        <v>0</v>
      </c>
      <c r="AT12" s="165">
        <v>0</v>
      </c>
      <c r="AU12" s="165">
        <v>0</v>
      </c>
      <c r="AV12" s="165">
        <v>0</v>
      </c>
      <c r="AX12" s="89">
        <f t="shared" si="10"/>
        <v>0</v>
      </c>
    </row>
    <row r="13" spans="1:50" ht="18.75" x14ac:dyDescent="0.25">
      <c r="A13" s="89">
        <f t="shared" ca="1" si="2"/>
        <v>967.12606705431153</v>
      </c>
      <c r="B13" s="6">
        <v>9</v>
      </c>
      <c r="C13" s="91" t="s">
        <v>41</v>
      </c>
      <c r="D13" s="92">
        <v>0.2</v>
      </c>
      <c r="E13" s="24">
        <v>90</v>
      </c>
      <c r="F13" s="93">
        <v>12</v>
      </c>
      <c r="G13" s="94">
        <f t="shared" si="3"/>
        <v>1080</v>
      </c>
      <c r="H13" s="95">
        <f t="shared" si="4"/>
        <v>8.9075838178893973E-2</v>
      </c>
      <c r="I13" s="182">
        <f t="shared" si="5"/>
        <v>12.089075838178895</v>
      </c>
      <c r="J13" s="96">
        <f t="shared" si="11"/>
        <v>1088.0168254361006</v>
      </c>
      <c r="K13" s="97">
        <v>14</v>
      </c>
      <c r="L13" s="94">
        <f t="shared" si="7"/>
        <v>1260</v>
      </c>
      <c r="M13" s="94">
        <f t="shared" ca="1" si="8"/>
        <v>140</v>
      </c>
      <c r="N13" s="98">
        <f t="shared" ca="1" si="9"/>
        <v>80</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f ca="1">SUMIFS('Tổng Đơn'!$F:$F,'Tổng Đơn'!$B:$B,$C13)</f>
        <v>0</v>
      </c>
      <c r="AM13" s="165">
        <v>0</v>
      </c>
      <c r="AN13" s="165">
        <v>0</v>
      </c>
      <c r="AO13" s="165">
        <v>0</v>
      </c>
      <c r="AP13" s="165">
        <v>0</v>
      </c>
      <c r="AQ13" s="165">
        <v>0</v>
      </c>
      <c r="AR13" s="165">
        <v>0</v>
      </c>
      <c r="AS13" s="165">
        <v>0</v>
      </c>
      <c r="AT13" s="165">
        <v>0</v>
      </c>
      <c r="AU13" s="165">
        <v>0</v>
      </c>
      <c r="AV13" s="165">
        <v>0</v>
      </c>
      <c r="AX13" s="89">
        <f t="shared" si="10"/>
        <v>0</v>
      </c>
    </row>
    <row r="14" spans="1:50" ht="18.75" x14ac:dyDescent="0.25">
      <c r="A14" s="89">
        <f t="shared" ca="1" si="2"/>
        <v>1234.5968699740195</v>
      </c>
      <c r="B14" s="6">
        <v>10</v>
      </c>
      <c r="C14" s="91" t="s">
        <v>42</v>
      </c>
      <c r="D14" s="92">
        <v>0.5</v>
      </c>
      <c r="E14" s="24">
        <v>66</v>
      </c>
      <c r="F14" s="93">
        <v>28.5</v>
      </c>
      <c r="G14" s="94">
        <f t="shared" si="3"/>
        <v>1881</v>
      </c>
      <c r="H14" s="95">
        <f t="shared" si="4"/>
        <v>0.2115551156748732</v>
      </c>
      <c r="I14" s="182">
        <f t="shared" si="5"/>
        <v>28.711555115674873</v>
      </c>
      <c r="J14" s="96">
        <f t="shared" si="11"/>
        <v>1894.9626376345416</v>
      </c>
      <c r="K14" s="97">
        <v>35</v>
      </c>
      <c r="L14" s="94">
        <f t="shared" si="7"/>
        <v>2310</v>
      </c>
      <c r="M14" s="94">
        <f t="shared" ca="1" si="8"/>
        <v>805</v>
      </c>
      <c r="N14" s="98">
        <f t="shared" ca="1" si="9"/>
        <v>43</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f ca="1">SUMIFS('Tổng Đơn'!$F:$F,'Tổng Đơn'!$B:$B,$C14)</f>
        <v>0</v>
      </c>
      <c r="AM14" s="165">
        <v>0</v>
      </c>
      <c r="AN14" s="165">
        <v>0</v>
      </c>
      <c r="AO14" s="165">
        <v>0</v>
      </c>
      <c r="AP14" s="165">
        <v>0</v>
      </c>
      <c r="AQ14" s="165">
        <v>0</v>
      </c>
      <c r="AR14" s="165">
        <v>0</v>
      </c>
      <c r="AS14" s="165">
        <v>0</v>
      </c>
      <c r="AT14" s="165">
        <v>0</v>
      </c>
      <c r="AU14" s="165">
        <v>0</v>
      </c>
      <c r="AV14" s="165">
        <v>0</v>
      </c>
      <c r="AX14" s="89">
        <f t="shared" si="10"/>
        <v>0</v>
      </c>
    </row>
    <row r="15" spans="1:50" ht="18.75" x14ac:dyDescent="0.25">
      <c r="A15" s="89">
        <f t="shared" ca="1" si="2"/>
        <v>60.445379190894471</v>
      </c>
      <c r="B15" s="6">
        <v>11</v>
      </c>
      <c r="C15" s="91" t="s">
        <v>43</v>
      </c>
      <c r="D15" s="92">
        <v>0.2</v>
      </c>
      <c r="E15" s="24">
        <v>15</v>
      </c>
      <c r="F15" s="93">
        <v>12</v>
      </c>
      <c r="G15" s="94">
        <f t="shared" si="3"/>
        <v>180</v>
      </c>
      <c r="H15" s="95">
        <f t="shared" si="4"/>
        <v>8.9075838178893987E-2</v>
      </c>
      <c r="I15" s="182">
        <f t="shared" si="5"/>
        <v>12.089075838178895</v>
      </c>
      <c r="J15" s="96">
        <f t="shared" si="11"/>
        <v>181.33613757268341</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f ca="1">SUMIFS('Tổng Đơn'!$F:$F,'Tổng Đơn'!$B:$B,$C15)</f>
        <v>0</v>
      </c>
      <c r="AM15" s="165">
        <v>0</v>
      </c>
      <c r="AN15" s="165">
        <v>0</v>
      </c>
      <c r="AO15" s="165">
        <v>0</v>
      </c>
      <c r="AP15" s="165">
        <v>0</v>
      </c>
      <c r="AQ15" s="165">
        <v>0</v>
      </c>
      <c r="AR15" s="165">
        <v>0</v>
      </c>
      <c r="AS15" s="165">
        <v>0</v>
      </c>
      <c r="AT15" s="165">
        <v>0</v>
      </c>
      <c r="AU15" s="165">
        <v>0</v>
      </c>
      <c r="AV15" s="165">
        <v>0</v>
      </c>
      <c r="AX15" s="89">
        <f t="shared" si="10"/>
        <v>0</v>
      </c>
    </row>
    <row r="16" spans="1:50" ht="18.75" x14ac:dyDescent="0.25">
      <c r="A16" s="89">
        <f t="shared" ca="1" si="2"/>
        <v>560.63089199554622</v>
      </c>
      <c r="B16" s="6">
        <v>12</v>
      </c>
      <c r="C16" s="91" t="s">
        <v>67</v>
      </c>
      <c r="D16" s="92">
        <v>0.5</v>
      </c>
      <c r="E16" s="24">
        <v>40</v>
      </c>
      <c r="F16" s="93">
        <v>26.5</v>
      </c>
      <c r="G16" s="94">
        <f t="shared" si="3"/>
        <v>1060</v>
      </c>
      <c r="H16" s="95">
        <f t="shared" si="4"/>
        <v>0.19670914264505751</v>
      </c>
      <c r="I16" s="182">
        <f t="shared" si="5"/>
        <v>26.696709142645059</v>
      </c>
      <c r="J16" s="96">
        <f t="shared" si="11"/>
        <v>1067.8683657058023</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f ca="1">SUMIFS('Tổng Đơn'!$F:$F,'Tổng Đơn'!$B:$B,$C16)</f>
        <v>0</v>
      </c>
      <c r="AM16" s="165">
        <v>0</v>
      </c>
      <c r="AN16" s="165">
        <v>0</v>
      </c>
      <c r="AO16" s="165">
        <v>0</v>
      </c>
      <c r="AP16" s="165">
        <v>0</v>
      </c>
      <c r="AQ16" s="165">
        <v>0</v>
      </c>
      <c r="AR16" s="165">
        <v>0</v>
      </c>
      <c r="AS16" s="165">
        <v>0</v>
      </c>
      <c r="AT16" s="165">
        <v>0</v>
      </c>
      <c r="AU16" s="165">
        <v>0</v>
      </c>
      <c r="AV16" s="165">
        <v>0</v>
      </c>
      <c r="AX16" s="89">
        <f t="shared" si="10"/>
        <v>0</v>
      </c>
    </row>
    <row r="17" spans="1:50" ht="18.75" x14ac:dyDescent="0.25">
      <c r="A17" s="89">
        <f t="shared" ca="1" si="2"/>
        <v>514.79314610911786</v>
      </c>
      <c r="B17" s="6">
        <v>13</v>
      </c>
      <c r="C17" s="91" t="s">
        <v>44</v>
      </c>
      <c r="D17" s="92">
        <v>0.5</v>
      </c>
      <c r="E17" s="24">
        <v>25</v>
      </c>
      <c r="F17" s="93">
        <v>36.5</v>
      </c>
      <c r="G17" s="94">
        <f t="shared" si="3"/>
        <v>912.5</v>
      </c>
      <c r="H17" s="95">
        <f t="shared" si="4"/>
        <v>0.27093900779413582</v>
      </c>
      <c r="I17" s="182">
        <f t="shared" si="5"/>
        <v>36.770939007794134</v>
      </c>
      <c r="J17" s="96">
        <f t="shared" si="11"/>
        <v>919.27347519485329</v>
      </c>
      <c r="K17" s="97">
        <v>44</v>
      </c>
      <c r="L17" s="94">
        <f t="shared" si="7"/>
        <v>1100</v>
      </c>
      <c r="M17" s="94">
        <f t="shared" ca="1" si="8"/>
        <v>484</v>
      </c>
      <c r="N17" s="98">
        <f t="shared" ca="1" si="9"/>
        <v>14</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f ca="1">SUMIFS('Tổng Đơn'!$F:$F,'Tổng Đơn'!$B:$B,$C17)</f>
        <v>0</v>
      </c>
      <c r="AM17" s="165">
        <v>0</v>
      </c>
      <c r="AN17" s="165">
        <v>0</v>
      </c>
      <c r="AO17" s="165">
        <v>0</v>
      </c>
      <c r="AP17" s="165">
        <v>0</v>
      </c>
      <c r="AQ17" s="165">
        <v>0</v>
      </c>
      <c r="AR17" s="165">
        <v>0</v>
      </c>
      <c r="AS17" s="165">
        <v>0</v>
      </c>
      <c r="AT17" s="165">
        <v>0</v>
      </c>
      <c r="AU17" s="165">
        <v>0</v>
      </c>
      <c r="AV17" s="165">
        <v>0</v>
      </c>
      <c r="AX17" s="89">
        <f t="shared" si="10"/>
        <v>0</v>
      </c>
    </row>
    <row r="18" spans="1:50" ht="18.75" x14ac:dyDescent="0.25">
      <c r="A18" s="89">
        <f t="shared" ca="1" si="2"/>
        <v>592.36471607076578</v>
      </c>
      <c r="B18" s="6">
        <v>14</v>
      </c>
      <c r="C18" s="91" t="s">
        <v>48</v>
      </c>
      <c r="D18" s="92">
        <v>0.5</v>
      </c>
      <c r="E18" s="24">
        <v>25</v>
      </c>
      <c r="F18" s="93">
        <v>49</v>
      </c>
      <c r="G18" s="94">
        <f t="shared" si="3"/>
        <v>1225</v>
      </c>
      <c r="H18" s="95">
        <f t="shared" si="4"/>
        <v>0.36372633923048375</v>
      </c>
      <c r="I18" s="182">
        <f t="shared" si="5"/>
        <v>49.363726339230482</v>
      </c>
      <c r="J18" s="96">
        <f t="shared" si="11"/>
        <v>1234.093158480762</v>
      </c>
      <c r="K18" s="97">
        <v>59</v>
      </c>
      <c r="L18" s="94">
        <f t="shared" si="7"/>
        <v>1475</v>
      </c>
      <c r="M18" s="94">
        <f t="shared" ca="1" si="8"/>
        <v>767</v>
      </c>
      <c r="N18" s="98">
        <f t="shared" ca="1" si="9"/>
        <v>12</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f ca="1">SUMIFS('Tổng Đơn'!$F:$F,'Tổng Đơn'!$B:$B,$C18)</f>
        <v>0</v>
      </c>
      <c r="AM18" s="165">
        <v>0</v>
      </c>
      <c r="AN18" s="165">
        <v>0</v>
      </c>
      <c r="AO18" s="165">
        <v>0</v>
      </c>
      <c r="AP18" s="165">
        <v>0</v>
      </c>
      <c r="AQ18" s="165">
        <v>0</v>
      </c>
      <c r="AR18" s="165">
        <v>0</v>
      </c>
      <c r="AS18" s="165">
        <v>0</v>
      </c>
      <c r="AT18" s="165">
        <v>0</v>
      </c>
      <c r="AU18" s="165">
        <v>0</v>
      </c>
      <c r="AV18" s="165">
        <v>0</v>
      </c>
      <c r="AX18" s="89">
        <f t="shared" si="10"/>
        <v>0</v>
      </c>
    </row>
    <row r="19" spans="1:50" ht="18.75" x14ac:dyDescent="0.25">
      <c r="A19" s="89">
        <f t="shared" ca="1" si="2"/>
        <v>173.27675368056416</v>
      </c>
      <c r="B19" s="6">
        <v>15</v>
      </c>
      <c r="C19" s="91" t="s">
        <v>49</v>
      </c>
      <c r="D19" s="92">
        <v>0.5</v>
      </c>
      <c r="E19" s="24">
        <v>25</v>
      </c>
      <c r="F19" s="93">
        <v>43</v>
      </c>
      <c r="G19" s="94">
        <f t="shared" si="3"/>
        <v>1075</v>
      </c>
      <c r="H19" s="95">
        <f t="shared" si="4"/>
        <v>0.31918842014103671</v>
      </c>
      <c r="I19" s="182">
        <f t="shared" si="5"/>
        <v>43.319188420141039</v>
      </c>
      <c r="J19" s="96">
        <f t="shared" si="11"/>
        <v>1082.9797105035259</v>
      </c>
      <c r="K19" s="97">
        <v>52</v>
      </c>
      <c r="L19" s="94">
        <f t="shared" si="7"/>
        <v>1300</v>
      </c>
      <c r="M19" s="94">
        <f t="shared" ca="1" si="8"/>
        <v>1092</v>
      </c>
      <c r="N19" s="98">
        <f t="shared" ca="1" si="9"/>
        <v>4</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f ca="1">SUMIFS('Tổng Đơn'!$F:$F,'Tổng Đơn'!$B:$B,$C19)</f>
        <v>0</v>
      </c>
      <c r="AM19" s="165">
        <v>0</v>
      </c>
      <c r="AN19" s="165">
        <v>0</v>
      </c>
      <c r="AO19" s="165">
        <v>0</v>
      </c>
      <c r="AP19" s="165">
        <v>0</v>
      </c>
      <c r="AQ19" s="165">
        <v>0</v>
      </c>
      <c r="AR19" s="165">
        <v>0</v>
      </c>
      <c r="AS19" s="165">
        <v>0</v>
      </c>
      <c r="AT19" s="165">
        <v>0</v>
      </c>
      <c r="AU19" s="165">
        <v>0</v>
      </c>
      <c r="AV19" s="165">
        <v>0</v>
      </c>
      <c r="AX19" s="89">
        <f t="shared" si="10"/>
        <v>0</v>
      </c>
    </row>
    <row r="20" spans="1:50" ht="18.75" x14ac:dyDescent="0.25">
      <c r="A20" s="89">
        <f t="shared" ca="1" si="2"/>
        <v>108.80168254361004</v>
      </c>
      <c r="B20" s="6">
        <v>16</v>
      </c>
      <c r="C20" s="91" t="s">
        <v>45</v>
      </c>
      <c r="D20" s="92">
        <v>0.5</v>
      </c>
      <c r="E20" s="24">
        <v>10</v>
      </c>
      <c r="F20" s="93">
        <v>54</v>
      </c>
      <c r="G20" s="94">
        <f>F20*E20</f>
        <v>540</v>
      </c>
      <c r="H20" s="95">
        <f t="shared" si="4"/>
        <v>0.40084127180502288</v>
      </c>
      <c r="I20" s="182">
        <f>F20+H20</f>
        <v>54.400841271805021</v>
      </c>
      <c r="J20" s="96">
        <f>I20*E20</f>
        <v>544.00841271805018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f ca="1">SUMIFS('Tổng Đơn'!$F:$F,'Tổng Đơn'!$B:$B,$C20)</f>
        <v>0</v>
      </c>
      <c r="AM20" s="165">
        <v>0</v>
      </c>
      <c r="AN20" s="165">
        <v>0</v>
      </c>
      <c r="AO20" s="165">
        <v>0</v>
      </c>
      <c r="AP20" s="165">
        <v>0</v>
      </c>
      <c r="AQ20" s="165">
        <v>0</v>
      </c>
      <c r="AR20" s="165">
        <v>0</v>
      </c>
      <c r="AS20" s="165">
        <v>0</v>
      </c>
      <c r="AT20" s="165">
        <v>0</v>
      </c>
      <c r="AU20" s="165">
        <v>0</v>
      </c>
      <c r="AV20" s="165">
        <v>0</v>
      </c>
      <c r="AX20" s="89">
        <f t="shared" si="10"/>
        <v>0</v>
      </c>
    </row>
    <row r="21" spans="1:50" ht="18.75" x14ac:dyDescent="0.25">
      <c r="A21" s="89">
        <f t="shared" ca="1" si="2"/>
        <v>296.18235803538289</v>
      </c>
      <c r="B21" s="6">
        <v>17</v>
      </c>
      <c r="C21" s="91" t="s">
        <v>46</v>
      </c>
      <c r="D21" s="92">
        <v>0.5</v>
      </c>
      <c r="E21" s="24">
        <v>30</v>
      </c>
      <c r="F21" s="93">
        <v>49</v>
      </c>
      <c r="G21" s="94">
        <f>F21*E21</f>
        <v>1470</v>
      </c>
      <c r="H21" s="95">
        <f t="shared" si="4"/>
        <v>0.3637263392304837</v>
      </c>
      <c r="I21" s="182">
        <f>F21+H21</f>
        <v>49.363726339230482</v>
      </c>
      <c r="J21" s="96">
        <f>I21*E21</f>
        <v>1480.9117901769146</v>
      </c>
      <c r="K21" s="97">
        <v>59</v>
      </c>
      <c r="L21" s="94">
        <f t="shared" si="7"/>
        <v>1770</v>
      </c>
      <c r="M21" s="94">
        <f t="shared" ca="1" si="8"/>
        <v>1416</v>
      </c>
      <c r="N21" s="98">
        <f t="shared" ca="1" si="9"/>
        <v>6</v>
      </c>
      <c r="O21" s="88">
        <v>0</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f ca="1">SUMIFS('Tổng Đơn'!$F:$F,'Tổng Đơn'!$B:$B,$C21)</f>
        <v>0</v>
      </c>
      <c r="AM21" s="165">
        <v>0</v>
      </c>
      <c r="AN21" s="165">
        <v>0</v>
      </c>
      <c r="AO21" s="165">
        <v>0</v>
      </c>
      <c r="AP21" s="165">
        <v>0</v>
      </c>
      <c r="AQ21" s="165">
        <v>0</v>
      </c>
      <c r="AR21" s="165">
        <v>0</v>
      </c>
      <c r="AS21" s="165">
        <v>0</v>
      </c>
      <c r="AT21" s="165">
        <v>0</v>
      </c>
      <c r="AU21" s="165">
        <v>0</v>
      </c>
      <c r="AV21" s="165">
        <v>0</v>
      </c>
      <c r="AX21" s="89">
        <f t="shared" si="10"/>
        <v>0</v>
      </c>
    </row>
    <row r="22" spans="1:50" ht="18.75" x14ac:dyDescent="0.25">
      <c r="A22" s="89">
        <f t="shared" ca="1" si="2"/>
        <v>265.95966843993568</v>
      </c>
      <c r="B22" s="6">
        <v>18</v>
      </c>
      <c r="C22" s="91" t="s">
        <v>47</v>
      </c>
      <c r="D22" s="92">
        <v>0.5</v>
      </c>
      <c r="E22" s="24">
        <v>15</v>
      </c>
      <c r="F22" s="93">
        <v>66</v>
      </c>
      <c r="G22" s="94">
        <f>F22*E22</f>
        <v>990</v>
      </c>
      <c r="H22" s="95">
        <f t="shared" si="4"/>
        <v>0.48991710998391691</v>
      </c>
      <c r="I22" s="182">
        <f>F22+H22</f>
        <v>66.489917109983921</v>
      </c>
      <c r="J22" s="96">
        <f>I22*E22</f>
        <v>997.3487566497588</v>
      </c>
      <c r="K22" s="97">
        <v>79</v>
      </c>
      <c r="L22" s="94">
        <f t="shared" si="7"/>
        <v>1185</v>
      </c>
      <c r="M22" s="94">
        <f t="shared" ca="1" si="8"/>
        <v>869</v>
      </c>
      <c r="N22" s="98">
        <f t="shared" ca="1" si="9"/>
        <v>4</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f ca="1">SUMIFS('Tổng Đơn'!$F:$F,'Tổng Đơn'!$B:$B,$C22)</f>
        <v>0</v>
      </c>
      <c r="AM22" s="165">
        <v>0</v>
      </c>
      <c r="AN22" s="165">
        <v>0</v>
      </c>
      <c r="AO22" s="165">
        <v>0</v>
      </c>
      <c r="AP22" s="165">
        <v>0</v>
      </c>
      <c r="AQ22" s="165">
        <v>0</v>
      </c>
      <c r="AR22" s="165">
        <v>0</v>
      </c>
      <c r="AS22" s="165">
        <v>0</v>
      </c>
      <c r="AT22" s="165">
        <v>0</v>
      </c>
      <c r="AU22" s="165">
        <v>0</v>
      </c>
      <c r="AV22" s="165">
        <v>0</v>
      </c>
      <c r="AX22" s="89">
        <f t="shared" si="10"/>
        <v>0</v>
      </c>
    </row>
    <row r="23" spans="1:50" ht="18.75" x14ac:dyDescent="0.25">
      <c r="A23" s="89">
        <f t="shared" ca="1" si="2"/>
        <v>1811.3465297538044</v>
      </c>
      <c r="B23" s="6">
        <v>19</v>
      </c>
      <c r="C23" s="91" t="s">
        <v>163</v>
      </c>
      <c r="D23" s="92">
        <v>0.5</v>
      </c>
      <c r="E23" s="24">
        <v>100</v>
      </c>
      <c r="F23" s="93">
        <v>58</v>
      </c>
      <c r="G23" s="94">
        <f>F23*E23</f>
        <v>5800</v>
      </c>
      <c r="H23" s="95">
        <f t="shared" si="4"/>
        <v>0.43053321786465426</v>
      </c>
      <c r="I23" s="182">
        <f>F23+H23</f>
        <v>58.430533217864657</v>
      </c>
      <c r="J23" s="96">
        <f>I23*E23</f>
        <v>5843.0533217864659</v>
      </c>
      <c r="K23" s="97">
        <v>69</v>
      </c>
      <c r="L23" s="94">
        <f t="shared" si="7"/>
        <v>6900</v>
      </c>
      <c r="M23" s="94">
        <f t="shared" ca="1" si="8"/>
        <v>4692</v>
      </c>
      <c r="N23" s="98">
        <f t="shared" ca="1" si="9"/>
        <v>31</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f ca="1">SUMIFS('Tổng Đơn'!$F:$F,'Tổng Đơn'!$B:$B,$C23)</f>
        <v>0</v>
      </c>
      <c r="AM23" s="165">
        <v>0</v>
      </c>
      <c r="AN23" s="165">
        <v>0</v>
      </c>
      <c r="AO23" s="165">
        <v>0</v>
      </c>
      <c r="AP23" s="165">
        <v>0</v>
      </c>
      <c r="AQ23" s="165">
        <v>0</v>
      </c>
      <c r="AR23" s="165">
        <v>0</v>
      </c>
      <c r="AS23" s="165">
        <v>0</v>
      </c>
      <c r="AT23" s="165">
        <v>0</v>
      </c>
      <c r="AU23" s="165">
        <v>0</v>
      </c>
      <c r="AV23" s="165">
        <v>0</v>
      </c>
      <c r="AX23" s="89">
        <f t="shared" si="10"/>
        <v>0</v>
      </c>
    </row>
    <row r="24" spans="1:50" ht="18.75" x14ac:dyDescent="0.25">
      <c r="A24" s="89">
        <f t="shared" ca="1" si="2"/>
        <v>698.1441296548312</v>
      </c>
      <c r="B24" s="6">
        <v>20</v>
      </c>
      <c r="C24" s="91" t="s">
        <v>165</v>
      </c>
      <c r="D24" s="92">
        <v>0.5</v>
      </c>
      <c r="E24" s="24">
        <v>27</v>
      </c>
      <c r="F24" s="93">
        <v>63</v>
      </c>
      <c r="G24" s="94">
        <f>F24*E24</f>
        <v>1701</v>
      </c>
      <c r="H24" s="95">
        <f t="shared" si="4"/>
        <v>0.46764815043919339</v>
      </c>
      <c r="I24" s="182">
        <f>F24+H24</f>
        <v>63.467648150439196</v>
      </c>
      <c r="J24" s="96">
        <f>I24*E24</f>
        <v>1713.6265000618582</v>
      </c>
      <c r="K24" s="97">
        <v>76</v>
      </c>
      <c r="L24" s="94">
        <f t="shared" si="7"/>
        <v>2052</v>
      </c>
      <c r="M24" s="94">
        <f t="shared" ca="1" si="8"/>
        <v>1216</v>
      </c>
      <c r="N24" s="98">
        <f t="shared" ca="1" si="9"/>
        <v>11</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f ca="1">SUMIFS('Tổng Đơn'!$F:$F,'Tổng Đơn'!$B:$B,$C24)</f>
        <v>0</v>
      </c>
      <c r="AM24" s="165">
        <v>0</v>
      </c>
      <c r="AN24" s="165">
        <v>0</v>
      </c>
      <c r="AO24" s="165">
        <v>0</v>
      </c>
      <c r="AP24" s="165">
        <v>0</v>
      </c>
      <c r="AQ24" s="165">
        <v>0</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55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4" sqref="AW24"/>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9.85546875" style="89"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15" t="s">
        <v>59</v>
      </c>
      <c r="C1" s="215"/>
      <c r="D1" s="215"/>
      <c r="E1" s="215"/>
      <c r="F1" s="215"/>
      <c r="G1" s="215"/>
      <c r="H1" s="215"/>
      <c r="I1" s="215"/>
      <c r="J1" s="215"/>
      <c r="K1" s="215"/>
      <c r="L1" s="215"/>
      <c r="M1" s="215"/>
      <c r="N1" s="90"/>
    </row>
    <row r="2" spans="1:50" ht="34.5" customHeight="1" x14ac:dyDescent="0.25">
      <c r="A2" s="1">
        <f>370+100+80+150+170+60</f>
        <v>930</v>
      </c>
      <c r="K2" s="13">
        <f>SUMPRODUCT((E5:E18)*(F5:F18))</f>
        <v>412</v>
      </c>
      <c r="L2" s="13">
        <f>M4-K4</f>
        <v>7512.710526315801</v>
      </c>
      <c r="M2" s="8">
        <f>M4/K4-1</f>
        <v>0.1889643541038819</v>
      </c>
      <c r="N2" s="8"/>
      <c r="AX2" s="174"/>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19323.546762245602</v>
      </c>
      <c r="B4" s="19"/>
      <c r="C4" s="19"/>
      <c r="D4" s="67"/>
      <c r="E4" s="19">
        <f>SUMPRODUCT((E5:E178)*(F5:F178))</f>
        <v>546.5</v>
      </c>
      <c r="F4" s="19">
        <f>SUBTOTAL(9,F5:F168)</f>
        <v>1143</v>
      </c>
      <c r="G4" s="7"/>
      <c r="H4" s="7">
        <f>SUBTOTAL(9,H5:H168)</f>
        <v>38827.289473684214</v>
      </c>
      <c r="I4" s="12"/>
      <c r="J4" s="12"/>
      <c r="K4" s="12">
        <f>SUBTOTAL(9,K5:K168)</f>
        <v>39757.289473684199</v>
      </c>
      <c r="L4" s="68"/>
      <c r="M4" s="7">
        <f>SUBTOTAL(9,M5:M168)</f>
        <v>47270</v>
      </c>
      <c r="N4" s="7">
        <f ca="1">SUBTOTAL(9,N5:N168)</f>
        <v>24322</v>
      </c>
      <c r="O4" s="69">
        <f ca="1">SUBTOTAL(9,O5:O168)</f>
        <v>527</v>
      </c>
      <c r="P4" s="106">
        <f>SUBTOTAL(9,P5:P218)</f>
        <v>3</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ca="1" si="0"/>
        <v>26</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1" t="str">
        <f>SUMPRODUCT(($AW$5:$AW$23)*($E$5:$E$23))&amp;" Kg"</f>
        <v>130 Kg</v>
      </c>
      <c r="AX4" s="109">
        <f>SUBTOTAL(9,AX5:AX178)</f>
        <v>8592</v>
      </c>
    </row>
    <row r="5" spans="1:50" ht="18.75" x14ac:dyDescent="0.25">
      <c r="A5" s="89">
        <f t="shared" ref="A5:A23" ca="1" si="1">J5*O5</f>
        <v>2128.7966771878432</v>
      </c>
      <c r="B5" s="6">
        <v>1</v>
      </c>
      <c r="C5" s="91" t="s">
        <v>161</v>
      </c>
      <c r="D5" s="99">
        <f>G5*2</f>
        <v>63</v>
      </c>
      <c r="E5" s="92">
        <v>0.5</v>
      </c>
      <c r="F5" s="150">
        <v>160</v>
      </c>
      <c r="G5" s="93">
        <v>31.5</v>
      </c>
      <c r="H5" s="94">
        <f t="shared" ref="H5:H19" si="2">G5*F5</f>
        <v>5040</v>
      </c>
      <c r="I5" s="95">
        <f t="shared" ref="I5:I19" si="3">((H5/$H$4)*$A$2)/F5</f>
        <v>0.75449510890671712</v>
      </c>
      <c r="J5" s="182">
        <f t="shared" ref="J5:J17" si="4">G5+I5</f>
        <v>32.254495108906717</v>
      </c>
      <c r="K5" s="96">
        <f>J5*F5</f>
        <v>5160.7192174250749</v>
      </c>
      <c r="L5" s="100">
        <v>45</v>
      </c>
      <c r="M5" s="94">
        <f t="shared" ref="M5:M18" si="5">L5*F5</f>
        <v>7200</v>
      </c>
      <c r="N5" s="94">
        <f ca="1">SUMPRODUCT(($Q5:$AV5)*$L5)</f>
        <v>4185</v>
      </c>
      <c r="O5" s="101">
        <f ca="1">F5-SUM(Q5:AV5)-P5</f>
        <v>66</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f ca="1">SUMIFS('Tổng Đơn'!$F:$F,'Tổng Đơn'!$B:$B,$C5)</f>
        <v>1</v>
      </c>
      <c r="AM5" s="41">
        <v>0</v>
      </c>
      <c r="AN5" s="41">
        <v>0</v>
      </c>
      <c r="AO5" s="41">
        <v>0</v>
      </c>
      <c r="AP5" s="41">
        <v>0</v>
      </c>
      <c r="AQ5" s="41">
        <v>0</v>
      </c>
      <c r="AR5" s="41">
        <v>0</v>
      </c>
      <c r="AS5" s="41">
        <v>0</v>
      </c>
      <c r="AT5" s="41">
        <v>0</v>
      </c>
      <c r="AU5" s="41">
        <v>0</v>
      </c>
      <c r="AV5" s="41">
        <v>0</v>
      </c>
      <c r="AX5" s="89">
        <f t="shared" ref="AX5:AX21" si="6">AW5*G5</f>
        <v>0</v>
      </c>
    </row>
    <row r="6" spans="1:50" ht="18.75" x14ac:dyDescent="0.25">
      <c r="A6" s="89">
        <f t="shared" ca="1" si="1"/>
        <v>202.7425406845565</v>
      </c>
      <c r="B6" s="6">
        <v>2</v>
      </c>
      <c r="C6" s="91" t="s">
        <v>25</v>
      </c>
      <c r="D6" s="99">
        <f t="shared" ref="D6:D17" si="7">G6*2</f>
        <v>44</v>
      </c>
      <c r="E6" s="92">
        <v>0.5</v>
      </c>
      <c r="F6" s="150">
        <v>40</v>
      </c>
      <c r="G6" s="93">
        <v>22</v>
      </c>
      <c r="H6" s="94">
        <f t="shared" si="2"/>
        <v>880</v>
      </c>
      <c r="I6" s="95">
        <f t="shared" si="3"/>
        <v>0.52694896495072308</v>
      </c>
      <c r="J6" s="182">
        <f t="shared" si="4"/>
        <v>22.526948964950723</v>
      </c>
      <c r="K6" s="96">
        <f t="shared" ref="K6:K17" si="8">J6*F6</f>
        <v>901.07795859802889</v>
      </c>
      <c r="L6" s="100">
        <v>27</v>
      </c>
      <c r="M6" s="94">
        <f t="shared" si="5"/>
        <v>1080</v>
      </c>
      <c r="N6" s="94">
        <f t="shared" ref="N6:N23" ca="1" si="9">SUMPRODUCT(($Q6:$AV6)*$L6)</f>
        <v>837</v>
      </c>
      <c r="O6" s="101">
        <f t="shared" ref="O6:O23" ca="1" si="10">F6-SUM(Q6:AV6)-P6</f>
        <v>9</v>
      </c>
      <c r="P6" s="88"/>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f ca="1">SUMIFS('Tổng Đơn'!$F:$F,'Tổng Đơn'!$B:$B,$C6)</f>
        <v>0</v>
      </c>
      <c r="AM6" s="41">
        <v>0</v>
      </c>
      <c r="AN6" s="41">
        <v>0</v>
      </c>
      <c r="AO6" s="41">
        <v>0</v>
      </c>
      <c r="AP6" s="41">
        <v>0</v>
      </c>
      <c r="AQ6" s="41">
        <v>0</v>
      </c>
      <c r="AR6" s="41">
        <v>0</v>
      </c>
      <c r="AS6" s="41">
        <v>0</v>
      </c>
      <c r="AT6" s="41">
        <v>0</v>
      </c>
      <c r="AU6" s="41">
        <v>0</v>
      </c>
      <c r="AV6" s="41">
        <v>0</v>
      </c>
      <c r="AX6" s="89">
        <f t="shared" si="6"/>
        <v>0</v>
      </c>
    </row>
    <row r="7" spans="1:50" ht="18.75" x14ac:dyDescent="0.25">
      <c r="A7" s="89">
        <f t="shared" ca="1" si="1"/>
        <v>327.66471221746508</v>
      </c>
      <c r="B7" s="6">
        <v>3</v>
      </c>
      <c r="C7" s="91" t="s">
        <v>30</v>
      </c>
      <c r="D7" s="99">
        <f t="shared" si="7"/>
        <v>64</v>
      </c>
      <c r="E7" s="92">
        <v>0.5</v>
      </c>
      <c r="F7" s="150">
        <v>80</v>
      </c>
      <c r="G7" s="93">
        <v>32</v>
      </c>
      <c r="H7" s="94">
        <f t="shared" si="2"/>
        <v>2560</v>
      </c>
      <c r="I7" s="95">
        <f t="shared" si="3"/>
        <v>0.76647122174650628</v>
      </c>
      <c r="J7" s="182">
        <f t="shared" si="4"/>
        <v>32.766471221746507</v>
      </c>
      <c r="K7" s="96">
        <f t="shared" si="8"/>
        <v>2621.3176977397206</v>
      </c>
      <c r="L7" s="100">
        <v>38</v>
      </c>
      <c r="M7" s="94">
        <f t="shared" si="5"/>
        <v>3040</v>
      </c>
      <c r="N7" s="94">
        <f t="shared" ca="1" si="9"/>
        <v>2622</v>
      </c>
      <c r="O7" s="101">
        <f t="shared" ca="1" si="10"/>
        <v>10</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f ca="1">SUMIFS('Tổng Đơn'!$F:$F,'Tổng Đơn'!$B:$B,$C7)</f>
        <v>1</v>
      </c>
      <c r="AM7" s="41">
        <v>0</v>
      </c>
      <c r="AN7" s="41">
        <v>0</v>
      </c>
      <c r="AO7" s="41">
        <v>0</v>
      </c>
      <c r="AP7" s="41">
        <v>0</v>
      </c>
      <c r="AQ7" s="41">
        <v>0</v>
      </c>
      <c r="AR7" s="41">
        <v>0</v>
      </c>
      <c r="AS7" s="41">
        <v>0</v>
      </c>
      <c r="AT7" s="41">
        <v>0</v>
      </c>
      <c r="AU7" s="41">
        <v>0</v>
      </c>
      <c r="AV7" s="41">
        <v>0</v>
      </c>
      <c r="AW7" s="89">
        <v>40</v>
      </c>
      <c r="AX7" s="89">
        <f t="shared" si="6"/>
        <v>1280</v>
      </c>
    </row>
    <row r="8" spans="1:50" ht="18.75" x14ac:dyDescent="0.25">
      <c r="A8" s="89">
        <f t="shared" ca="1" si="1"/>
        <v>696.28751346211334</v>
      </c>
      <c r="B8" s="6">
        <v>4</v>
      </c>
      <c r="C8" s="91" t="s">
        <v>29</v>
      </c>
      <c r="D8" s="99">
        <f t="shared" si="7"/>
        <v>80</v>
      </c>
      <c r="E8" s="92">
        <v>0.5</v>
      </c>
      <c r="F8" s="150">
        <v>50</v>
      </c>
      <c r="G8" s="93">
        <v>40</v>
      </c>
      <c r="H8" s="94">
        <f t="shared" si="2"/>
        <v>2000</v>
      </c>
      <c r="I8" s="95">
        <f t="shared" si="3"/>
        <v>0.95808902718313282</v>
      </c>
      <c r="J8" s="182">
        <f t="shared" si="4"/>
        <v>40.958089027183135</v>
      </c>
      <c r="K8" s="96">
        <f t="shared" si="8"/>
        <v>2047.9044513591568</v>
      </c>
      <c r="L8" s="100">
        <v>45</v>
      </c>
      <c r="M8" s="94">
        <f t="shared" si="5"/>
        <v>2250</v>
      </c>
      <c r="N8" s="94">
        <f t="shared" ca="1" si="9"/>
        <v>1530</v>
      </c>
      <c r="O8" s="101">
        <f t="shared" ca="1" si="10"/>
        <v>17</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f ca="1">SUMIFS('Tổng Đơn'!$F:$F,'Tổng Đơn'!$B:$B,$C8)</f>
        <v>0</v>
      </c>
      <c r="AM8" s="41">
        <v>0</v>
      </c>
      <c r="AN8" s="41">
        <v>0</v>
      </c>
      <c r="AO8" s="41">
        <v>0</v>
      </c>
      <c r="AP8" s="41">
        <v>0</v>
      </c>
      <c r="AQ8" s="41">
        <v>0</v>
      </c>
      <c r="AR8" s="41">
        <v>0</v>
      </c>
      <c r="AS8" s="41">
        <v>0</v>
      </c>
      <c r="AT8" s="41">
        <v>0</v>
      </c>
      <c r="AU8" s="41">
        <v>0</v>
      </c>
      <c r="AV8" s="41">
        <v>0</v>
      </c>
      <c r="AX8" s="89">
        <f t="shared" si="6"/>
        <v>0</v>
      </c>
    </row>
    <row r="9" spans="1:50" ht="18.75" x14ac:dyDescent="0.25">
      <c r="A9" s="89">
        <f t="shared" ca="1" si="1"/>
        <v>261.61979366113223</v>
      </c>
      <c r="B9" s="6">
        <v>5</v>
      </c>
      <c r="C9" s="91" t="s">
        <v>28</v>
      </c>
      <c r="D9" s="99">
        <f t="shared" si="7"/>
        <v>73</v>
      </c>
      <c r="E9" s="92">
        <v>0.5</v>
      </c>
      <c r="F9" s="150">
        <v>96</v>
      </c>
      <c r="G9" s="93">
        <v>36.5</v>
      </c>
      <c r="H9" s="94">
        <f t="shared" si="2"/>
        <v>3504</v>
      </c>
      <c r="I9" s="95">
        <f t="shared" si="3"/>
        <v>0.87425623730460866</v>
      </c>
      <c r="J9" s="182">
        <f t="shared" si="4"/>
        <v>37.374256237304607</v>
      </c>
      <c r="K9" s="96">
        <f t="shared" si="8"/>
        <v>3587.9285987812423</v>
      </c>
      <c r="L9" s="100">
        <v>42</v>
      </c>
      <c r="M9" s="94">
        <f t="shared" si="5"/>
        <v>4032</v>
      </c>
      <c r="N9" s="94">
        <f t="shared" ca="1" si="9"/>
        <v>3696</v>
      </c>
      <c r="O9" s="101">
        <f t="shared" ca="1" si="10"/>
        <v>7</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f ca="1">SUMIFS('Tổng Đơn'!$F:$F,'Tổng Đơn'!$B:$B,$C9)</f>
        <v>6</v>
      </c>
      <c r="AM9" s="41">
        <v>0</v>
      </c>
      <c r="AN9" s="41">
        <v>0</v>
      </c>
      <c r="AO9" s="41">
        <v>0</v>
      </c>
      <c r="AP9" s="41">
        <v>0</v>
      </c>
      <c r="AQ9" s="41">
        <v>0</v>
      </c>
      <c r="AR9" s="41">
        <v>0</v>
      </c>
      <c r="AS9" s="41">
        <v>0</v>
      </c>
      <c r="AT9" s="41">
        <v>0</v>
      </c>
      <c r="AU9" s="41">
        <v>0</v>
      </c>
      <c r="AV9" s="41">
        <v>0</v>
      </c>
      <c r="AW9" s="89">
        <v>48</v>
      </c>
      <c r="AX9" s="89">
        <f t="shared" si="6"/>
        <v>1752</v>
      </c>
    </row>
    <row r="10" spans="1:50" ht="18.75" x14ac:dyDescent="0.25">
      <c r="A10" s="89">
        <f t="shared" ca="1" si="1"/>
        <v>755.16476643868907</v>
      </c>
      <c r="B10" s="6">
        <v>6</v>
      </c>
      <c r="C10" s="91" t="s">
        <v>61</v>
      </c>
      <c r="D10" s="99">
        <f t="shared" si="7"/>
        <v>59</v>
      </c>
      <c r="E10" s="92">
        <v>0.5</v>
      </c>
      <c r="F10" s="150">
        <v>60</v>
      </c>
      <c r="G10" s="93">
        <v>29.5</v>
      </c>
      <c r="H10" s="94">
        <f t="shared" si="2"/>
        <v>1770</v>
      </c>
      <c r="I10" s="95">
        <f t="shared" si="3"/>
        <v>0.70659065754756034</v>
      </c>
      <c r="J10" s="182">
        <f t="shared" si="4"/>
        <v>30.206590657547562</v>
      </c>
      <c r="K10" s="96">
        <f t="shared" si="8"/>
        <v>1812.3954394528537</v>
      </c>
      <c r="L10" s="100">
        <v>35</v>
      </c>
      <c r="M10" s="94">
        <f t="shared" si="5"/>
        <v>2100</v>
      </c>
      <c r="N10" s="94">
        <f t="shared" ca="1" si="9"/>
        <v>1225</v>
      </c>
      <c r="O10" s="101">
        <f t="shared" ca="1" si="10"/>
        <v>25</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f ca="1">SUMIFS('Tổng Đơn'!$F:$F,'Tổng Đơn'!$B:$B,$C10)</f>
        <v>1</v>
      </c>
      <c r="AM10" s="41">
        <v>0</v>
      </c>
      <c r="AN10" s="41">
        <v>0</v>
      </c>
      <c r="AO10" s="41">
        <v>0</v>
      </c>
      <c r="AP10" s="41">
        <v>0</v>
      </c>
      <c r="AQ10" s="41">
        <v>0</v>
      </c>
      <c r="AR10" s="41">
        <v>0</v>
      </c>
      <c r="AS10" s="41">
        <v>0</v>
      </c>
      <c r="AT10" s="41">
        <v>0</v>
      </c>
      <c r="AU10" s="41">
        <v>0</v>
      </c>
      <c r="AV10" s="41">
        <v>0</v>
      </c>
      <c r="AX10" s="89">
        <f t="shared" si="6"/>
        <v>0</v>
      </c>
    </row>
    <row r="11" spans="1:50" ht="18.75" x14ac:dyDescent="0.25">
      <c r="A11" s="89">
        <f t="shared" ca="1" si="1"/>
        <v>201.36020517988905</v>
      </c>
      <c r="B11" s="6">
        <v>7</v>
      </c>
      <c r="C11" s="91" t="s">
        <v>27</v>
      </c>
      <c r="D11" s="99">
        <f t="shared" si="7"/>
        <v>65.55</v>
      </c>
      <c r="E11" s="92">
        <v>0.5</v>
      </c>
      <c r="F11" s="150">
        <v>40</v>
      </c>
      <c r="G11" s="93">
        <f>1311/40</f>
        <v>32.774999999999999</v>
      </c>
      <c r="H11" s="94">
        <f t="shared" si="2"/>
        <v>1311</v>
      </c>
      <c r="I11" s="95">
        <f t="shared" si="3"/>
        <v>0.78503419664817942</v>
      </c>
      <c r="J11" s="182">
        <f t="shared" si="4"/>
        <v>33.560034196648175</v>
      </c>
      <c r="K11" s="96">
        <f t="shared" si="8"/>
        <v>1342.4013678659271</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f ca="1">SUMIFS('Tổng Đơn'!$F:$F,'Tổng Đơn'!$B:$B,$C11)</f>
        <v>0</v>
      </c>
      <c r="AM11" s="41">
        <v>0</v>
      </c>
      <c r="AN11" s="41">
        <v>0</v>
      </c>
      <c r="AO11" s="41">
        <v>0</v>
      </c>
      <c r="AP11" s="41">
        <v>0</v>
      </c>
      <c r="AQ11" s="41">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0.67864639425471907</v>
      </c>
      <c r="J12" s="182">
        <f t="shared" si="4"/>
        <v>29.011979727588052</v>
      </c>
      <c r="K12" s="96">
        <f t="shared" si="8"/>
        <v>1044.4312701931699</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f ca="1">SUMIFS('Tổng Đơn'!$F:$F,'Tổng Đơn'!$B:$B,$C12)</f>
        <v>0</v>
      </c>
      <c r="AM12" s="41">
        <v>0</v>
      </c>
      <c r="AN12" s="41">
        <v>0</v>
      </c>
      <c r="AO12" s="41">
        <v>0</v>
      </c>
      <c r="AP12" s="41">
        <v>0</v>
      </c>
      <c r="AQ12" s="41">
        <v>0</v>
      </c>
      <c r="AR12" s="41">
        <v>0</v>
      </c>
      <c r="AS12" s="41">
        <v>0</v>
      </c>
      <c r="AT12" s="41">
        <v>0</v>
      </c>
      <c r="AU12" s="41">
        <v>0</v>
      </c>
      <c r="AV12" s="41">
        <v>0</v>
      </c>
      <c r="AX12" s="89">
        <f t="shared" si="6"/>
        <v>0</v>
      </c>
    </row>
    <row r="13" spans="1:50" ht="18.75" x14ac:dyDescent="0.25">
      <c r="A13" s="89">
        <f t="shared" ca="1" si="1"/>
        <v>1515.449294005776</v>
      </c>
      <c r="B13" s="6">
        <v>9</v>
      </c>
      <c r="C13" s="91" t="s">
        <v>35</v>
      </c>
      <c r="D13" s="99">
        <f t="shared" si="7"/>
        <v>80</v>
      </c>
      <c r="E13" s="92">
        <v>0.5</v>
      </c>
      <c r="F13" s="150">
        <v>40</v>
      </c>
      <c r="G13" s="93">
        <v>40</v>
      </c>
      <c r="H13" s="94">
        <f t="shared" si="2"/>
        <v>1600</v>
      </c>
      <c r="I13" s="95">
        <f t="shared" si="3"/>
        <v>0.95808902718313271</v>
      </c>
      <c r="J13" s="182">
        <f t="shared" si="4"/>
        <v>40.958089027183135</v>
      </c>
      <c r="K13" s="96">
        <f t="shared" si="8"/>
        <v>1638.3235610873253</v>
      </c>
      <c r="L13" s="100">
        <v>45</v>
      </c>
      <c r="M13" s="94">
        <f t="shared" si="5"/>
        <v>1800</v>
      </c>
      <c r="N13" s="94">
        <f t="shared" ca="1" si="9"/>
        <v>135</v>
      </c>
      <c r="O13" s="101">
        <f t="shared" ca="1" si="10"/>
        <v>37</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f ca="1">SUMIFS('Tổng Đơn'!$F:$F,'Tổng Đơn'!$B:$B,$C13)</f>
        <v>0</v>
      </c>
      <c r="AM13" s="41">
        <v>0</v>
      </c>
      <c r="AN13" s="41">
        <v>0</v>
      </c>
      <c r="AO13" s="41">
        <v>0</v>
      </c>
      <c r="AP13" s="41">
        <v>0</v>
      </c>
      <c r="AQ13" s="41">
        <v>0</v>
      </c>
      <c r="AR13" s="41">
        <v>0</v>
      </c>
      <c r="AS13" s="41">
        <v>0</v>
      </c>
      <c r="AT13" s="41">
        <v>0</v>
      </c>
      <c r="AU13" s="41">
        <v>0</v>
      </c>
      <c r="AV13" s="41">
        <v>0</v>
      </c>
      <c r="AX13" s="89">
        <f t="shared" si="6"/>
        <v>0</v>
      </c>
    </row>
    <row r="14" spans="1:50" ht="18.75" x14ac:dyDescent="0.25">
      <c r="A14" s="89">
        <f t="shared" ca="1" si="1"/>
        <v>1556.4073830329592</v>
      </c>
      <c r="B14" s="6">
        <v>10</v>
      </c>
      <c r="C14" s="91" t="s">
        <v>34</v>
      </c>
      <c r="D14" s="99">
        <f t="shared" si="7"/>
        <v>80</v>
      </c>
      <c r="E14" s="92">
        <v>0.5</v>
      </c>
      <c r="F14" s="150">
        <v>40</v>
      </c>
      <c r="G14" s="93">
        <v>40</v>
      </c>
      <c r="H14" s="94">
        <f t="shared" si="2"/>
        <v>1600</v>
      </c>
      <c r="I14" s="95">
        <f t="shared" si="3"/>
        <v>0.95808902718313271</v>
      </c>
      <c r="J14" s="182">
        <f t="shared" si="4"/>
        <v>40.958089027183135</v>
      </c>
      <c r="K14" s="96">
        <f t="shared" si="8"/>
        <v>1638.3235610873253</v>
      </c>
      <c r="L14" s="100">
        <v>45</v>
      </c>
      <c r="M14" s="94">
        <f t="shared" si="5"/>
        <v>1800</v>
      </c>
      <c r="N14" s="94">
        <f t="shared" ca="1" si="9"/>
        <v>90</v>
      </c>
      <c r="O14" s="101">
        <f t="shared" ca="1" si="10"/>
        <v>38</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f ca="1">SUMIFS('Tổng Đơn'!$F:$F,'Tổng Đơn'!$B:$B,$C14)</f>
        <v>0</v>
      </c>
      <c r="AM14" s="41">
        <v>0</v>
      </c>
      <c r="AN14" s="41">
        <v>0</v>
      </c>
      <c r="AO14" s="41">
        <v>0</v>
      </c>
      <c r="AP14" s="41">
        <v>0</v>
      </c>
      <c r="AQ14" s="41">
        <v>0</v>
      </c>
      <c r="AR14" s="41">
        <v>0</v>
      </c>
      <c r="AS14" s="41">
        <v>0</v>
      </c>
      <c r="AT14" s="41">
        <v>0</v>
      </c>
      <c r="AU14" s="41">
        <v>0</v>
      </c>
      <c r="AV14" s="41">
        <v>0</v>
      </c>
      <c r="AX14" s="89">
        <f t="shared" si="6"/>
        <v>0</v>
      </c>
    </row>
    <row r="15" spans="1:50" ht="18.75" x14ac:dyDescent="0.25">
      <c r="A15" s="89">
        <f t="shared" ca="1" si="1"/>
        <v>1433.5331159514096</v>
      </c>
      <c r="B15" s="6">
        <v>11</v>
      </c>
      <c r="C15" s="91" t="s">
        <v>33</v>
      </c>
      <c r="D15" s="99">
        <f t="shared" si="7"/>
        <v>80</v>
      </c>
      <c r="E15" s="92">
        <v>0.5</v>
      </c>
      <c r="F15" s="150">
        <v>40</v>
      </c>
      <c r="G15" s="93">
        <v>40</v>
      </c>
      <c r="H15" s="94">
        <f t="shared" si="2"/>
        <v>1600</v>
      </c>
      <c r="I15" s="95">
        <f t="shared" si="3"/>
        <v>0.95808902718313271</v>
      </c>
      <c r="J15" s="182">
        <f t="shared" si="4"/>
        <v>40.958089027183135</v>
      </c>
      <c r="K15" s="96">
        <f t="shared" si="8"/>
        <v>1638.3235610873253</v>
      </c>
      <c r="L15" s="100">
        <v>45</v>
      </c>
      <c r="M15" s="94">
        <f t="shared" si="5"/>
        <v>1800</v>
      </c>
      <c r="N15" s="94">
        <f t="shared" ca="1" si="9"/>
        <v>225</v>
      </c>
      <c r="O15" s="101">
        <f t="shared" ca="1" si="10"/>
        <v>35</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f ca="1">SUMIFS('Tổng Đơn'!$F:$F,'Tổng Đơn'!$B:$B,$C15)</f>
        <v>0</v>
      </c>
      <c r="AM15" s="41">
        <v>0</v>
      </c>
      <c r="AN15" s="41">
        <v>0</v>
      </c>
      <c r="AO15" s="41">
        <v>0</v>
      </c>
      <c r="AP15" s="41">
        <v>0</v>
      </c>
      <c r="AQ15" s="41">
        <v>0</v>
      </c>
      <c r="AR15" s="41">
        <v>0</v>
      </c>
      <c r="AS15" s="41">
        <v>0</v>
      </c>
      <c r="AT15" s="41">
        <v>0</v>
      </c>
      <c r="AU15" s="41">
        <v>0</v>
      </c>
      <c r="AV15" s="41">
        <v>0</v>
      </c>
      <c r="AX15" s="89">
        <f t="shared" si="6"/>
        <v>0</v>
      </c>
    </row>
    <row r="16" spans="1:50" ht="18.75" x14ac:dyDescent="0.25">
      <c r="A16" s="89">
        <f t="shared" ca="1" si="1"/>
        <v>1433.5331159514096</v>
      </c>
      <c r="B16" s="6">
        <v>12</v>
      </c>
      <c r="C16" s="91" t="s">
        <v>32</v>
      </c>
      <c r="D16" s="99">
        <f t="shared" si="7"/>
        <v>80</v>
      </c>
      <c r="E16" s="92">
        <v>0.5</v>
      </c>
      <c r="F16" s="150">
        <v>40</v>
      </c>
      <c r="G16" s="93">
        <v>40</v>
      </c>
      <c r="H16" s="94">
        <f t="shared" si="2"/>
        <v>1600</v>
      </c>
      <c r="I16" s="95">
        <f t="shared" si="3"/>
        <v>0.95808902718313271</v>
      </c>
      <c r="J16" s="182">
        <f t="shared" si="4"/>
        <v>40.958089027183135</v>
      </c>
      <c r="K16" s="96">
        <f t="shared" si="8"/>
        <v>1638.3235610873253</v>
      </c>
      <c r="L16" s="100">
        <v>45</v>
      </c>
      <c r="M16" s="94">
        <f t="shared" si="5"/>
        <v>1800</v>
      </c>
      <c r="N16" s="94">
        <f t="shared" ca="1" si="9"/>
        <v>225</v>
      </c>
      <c r="O16" s="101">
        <f t="shared" ca="1" si="10"/>
        <v>35</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f ca="1">SUMIFS('Tổng Đơn'!$F:$F,'Tổng Đơn'!$B:$B,$C16)</f>
        <v>0</v>
      </c>
      <c r="AM16" s="41">
        <v>0</v>
      </c>
      <c r="AN16" s="41">
        <v>0</v>
      </c>
      <c r="AO16" s="41">
        <v>0</v>
      </c>
      <c r="AP16" s="41">
        <v>0</v>
      </c>
      <c r="AQ16" s="41">
        <v>0</v>
      </c>
      <c r="AR16" s="41">
        <v>0</v>
      </c>
      <c r="AS16" s="41">
        <v>0</v>
      </c>
      <c r="AT16" s="41">
        <v>0</v>
      </c>
      <c r="AU16" s="41">
        <v>0</v>
      </c>
      <c r="AV16" s="41">
        <v>0</v>
      </c>
      <c r="AX16" s="89">
        <f t="shared" si="6"/>
        <v>0</v>
      </c>
    </row>
    <row r="17" spans="1:50" ht="18.75" x14ac:dyDescent="0.25">
      <c r="A17" s="89">
        <f t="shared" ca="1" si="1"/>
        <v>982.99413665239524</v>
      </c>
      <c r="B17" s="6">
        <v>13</v>
      </c>
      <c r="C17" s="91" t="s">
        <v>58</v>
      </c>
      <c r="D17" s="99">
        <f t="shared" si="7"/>
        <v>80</v>
      </c>
      <c r="E17" s="92">
        <v>0.5</v>
      </c>
      <c r="F17" s="150">
        <v>40</v>
      </c>
      <c r="G17" s="93">
        <v>40</v>
      </c>
      <c r="H17" s="94">
        <f t="shared" si="2"/>
        <v>1600</v>
      </c>
      <c r="I17" s="95">
        <f t="shared" si="3"/>
        <v>0.95808902718313271</v>
      </c>
      <c r="J17" s="182">
        <f t="shared" si="4"/>
        <v>40.958089027183135</v>
      </c>
      <c r="K17" s="96">
        <f t="shared" si="8"/>
        <v>1638.3235610873253</v>
      </c>
      <c r="L17" s="100">
        <v>45</v>
      </c>
      <c r="M17" s="94">
        <f t="shared" si="5"/>
        <v>1800</v>
      </c>
      <c r="N17" s="94">
        <f t="shared" ca="1" si="9"/>
        <v>720</v>
      </c>
      <c r="O17" s="101">
        <f t="shared" ca="1" si="10"/>
        <v>24</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f ca="1">SUMIFS('Tổng Đơn'!$F:$F,'Tổng Đơn'!$B:$B,$C17)</f>
        <v>0</v>
      </c>
      <c r="AM17" s="41">
        <v>0</v>
      </c>
      <c r="AN17" s="41">
        <v>0</v>
      </c>
      <c r="AO17" s="41">
        <v>0</v>
      </c>
      <c r="AP17" s="41">
        <v>0</v>
      </c>
      <c r="AQ17" s="41">
        <v>0</v>
      </c>
      <c r="AR17" s="41">
        <v>0</v>
      </c>
      <c r="AS17" s="41">
        <v>0</v>
      </c>
      <c r="AT17" s="41">
        <v>0</v>
      </c>
      <c r="AU17" s="41">
        <v>0</v>
      </c>
      <c r="AV17" s="41">
        <v>0</v>
      </c>
      <c r="AX17" s="89">
        <f t="shared" si="6"/>
        <v>0</v>
      </c>
    </row>
    <row r="18" spans="1:50" ht="18.75" x14ac:dyDescent="0.25">
      <c r="A18" s="89">
        <f t="shared" ca="1" si="1"/>
        <v>1253.1962667313944</v>
      </c>
      <c r="B18" s="6">
        <v>14</v>
      </c>
      <c r="C18" s="91" t="s">
        <v>147</v>
      </c>
      <c r="D18" s="99">
        <v>53</v>
      </c>
      <c r="E18" s="92">
        <v>0.5</v>
      </c>
      <c r="F18" s="150">
        <v>80</v>
      </c>
      <c r="G18" s="93">
        <f>1033.5/38</f>
        <v>27.19736842105263</v>
      </c>
      <c r="H18" s="94">
        <f t="shared" si="2"/>
        <v>2175.7894736842104</v>
      </c>
      <c r="I18" s="95">
        <f t="shared" si="3"/>
        <v>0.65143750631168928</v>
      </c>
      <c r="J18" s="182">
        <f t="shared" ref="J18" si="11">G18+I18</f>
        <v>27.848805927364321</v>
      </c>
      <c r="K18" s="96">
        <f t="shared" ref="K18" si="12">J18*F18</f>
        <v>2227.9044741891457</v>
      </c>
      <c r="L18" s="100">
        <v>35</v>
      </c>
      <c r="M18" s="94">
        <f t="shared" si="5"/>
        <v>2800</v>
      </c>
      <c r="N18" s="94">
        <f t="shared" ca="1" si="9"/>
        <v>1225</v>
      </c>
      <c r="O18" s="101">
        <f t="shared" ca="1" si="10"/>
        <v>45</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f ca="1">SUMIFS('Tổng Đơn'!$F:$F,'Tổng Đơn'!$B:$B,$C18)</f>
        <v>0</v>
      </c>
      <c r="AM18" s="41">
        <v>0</v>
      </c>
      <c r="AN18" s="41">
        <v>0</v>
      </c>
      <c r="AO18" s="41">
        <v>0</v>
      </c>
      <c r="AP18" s="41">
        <v>0</v>
      </c>
      <c r="AQ18" s="41">
        <v>0</v>
      </c>
      <c r="AR18" s="41">
        <v>0</v>
      </c>
      <c r="AS18" s="41">
        <v>0</v>
      </c>
      <c r="AT18" s="41">
        <v>0</v>
      </c>
      <c r="AU18" s="41">
        <v>0</v>
      </c>
      <c r="AV18" s="41">
        <v>0</v>
      </c>
      <c r="AX18" s="89">
        <f t="shared" si="6"/>
        <v>0</v>
      </c>
    </row>
    <row r="19" spans="1:50" ht="18.75" x14ac:dyDescent="0.25">
      <c r="A19" s="89">
        <f ca="1">J19*O19</f>
        <v>1167.3055372747194</v>
      </c>
      <c r="B19" s="6">
        <v>15</v>
      </c>
      <c r="C19" s="91" t="s">
        <v>186</v>
      </c>
      <c r="D19" s="99">
        <v>120</v>
      </c>
      <c r="E19" s="92">
        <v>0.5</v>
      </c>
      <c r="F19" s="150">
        <v>40</v>
      </c>
      <c r="G19" s="93">
        <v>60</v>
      </c>
      <c r="H19" s="94">
        <f t="shared" si="2"/>
        <v>2400</v>
      </c>
      <c r="I19" s="95">
        <f t="shared" si="3"/>
        <v>1.4371335407746992</v>
      </c>
      <c r="J19" s="182">
        <f t="shared" ref="J19" si="13">G19+I19</f>
        <v>61.437133540774703</v>
      </c>
      <c r="K19" s="96">
        <f t="shared" ref="K19" si="14">J19*F19</f>
        <v>2457.4853416309879</v>
      </c>
      <c r="L19" s="100">
        <v>70</v>
      </c>
      <c r="M19" s="94">
        <f t="shared" ref="M19" si="15">L19*F19</f>
        <v>2800</v>
      </c>
      <c r="N19" s="94">
        <f t="shared" ca="1" si="9"/>
        <v>1470</v>
      </c>
      <c r="O19" s="101">
        <f t="shared" ca="1" si="10"/>
        <v>19</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f ca="1">SUMIFS('Tổng Đơn'!$F:$F,'Tổng Đơn'!$B:$B,$C19)</f>
        <v>1</v>
      </c>
      <c r="AM19" s="41">
        <v>0</v>
      </c>
      <c r="AN19" s="41">
        <v>0</v>
      </c>
      <c r="AO19" s="41">
        <v>0</v>
      </c>
      <c r="AP19" s="41">
        <v>0</v>
      </c>
      <c r="AQ19" s="41">
        <v>0</v>
      </c>
      <c r="AR19" s="41">
        <v>0</v>
      </c>
      <c r="AS19" s="41">
        <v>0</v>
      </c>
      <c r="AT19" s="41">
        <v>0</v>
      </c>
      <c r="AU19" s="41">
        <v>0</v>
      </c>
      <c r="AV19" s="41">
        <v>0</v>
      </c>
      <c r="AW19" s="89">
        <v>20</v>
      </c>
      <c r="AX19" s="89">
        <f t="shared" si="6"/>
        <v>1200</v>
      </c>
    </row>
    <row r="20" spans="1:50" ht="18.75" x14ac:dyDescent="0.25">
      <c r="A20" s="89">
        <f t="shared" ca="1" si="1"/>
        <v>1382.8474807802704</v>
      </c>
      <c r="B20" s="6">
        <v>16</v>
      </c>
      <c r="C20" s="91" t="s">
        <v>144</v>
      </c>
      <c r="D20" s="99">
        <v>73</v>
      </c>
      <c r="E20" s="92">
        <v>0.5</v>
      </c>
      <c r="F20" s="150">
        <v>81</v>
      </c>
      <c r="G20" s="93">
        <v>36.5</v>
      </c>
      <c r="H20" s="94">
        <f t="shared" ref="H20:H23" si="16">G20*F20</f>
        <v>2956.5</v>
      </c>
      <c r="I20" s="95">
        <f t="shared" ref="I20:I21" si="17">((H20/$H$4)*$A$2)/F20</f>
        <v>0.87425623730460855</v>
      </c>
      <c r="J20" s="182">
        <f t="shared" ref="J20:J21" si="18">G20+I20</f>
        <v>37.374256237304607</v>
      </c>
      <c r="K20" s="96">
        <f t="shared" ref="K20:K21" si="19">J20*F20</f>
        <v>3027.3147552216733</v>
      </c>
      <c r="L20" s="100">
        <v>44</v>
      </c>
      <c r="M20" s="94">
        <f t="shared" ref="M20:M21" si="20">L20*F20</f>
        <v>3564</v>
      </c>
      <c r="N20" s="94">
        <f t="shared" ca="1" si="9"/>
        <v>1936</v>
      </c>
      <c r="O20" s="101">
        <f t="shared" ca="1" si="10"/>
        <v>37</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f ca="1">SUMIFS('Tổng Đơn'!$F:$F,'Tổng Đơn'!$B:$B,$C20)</f>
        <v>2</v>
      </c>
      <c r="AM20" s="41">
        <v>0</v>
      </c>
      <c r="AN20" s="41">
        <v>0</v>
      </c>
      <c r="AO20" s="41">
        <v>0</v>
      </c>
      <c r="AP20" s="41">
        <v>0</v>
      </c>
      <c r="AQ20" s="41">
        <v>0</v>
      </c>
      <c r="AR20" s="41">
        <v>0</v>
      </c>
      <c r="AS20" s="41">
        <v>0</v>
      </c>
      <c r="AT20" s="41">
        <v>0</v>
      </c>
      <c r="AU20" s="41">
        <v>0</v>
      </c>
      <c r="AV20" s="41">
        <v>0</v>
      </c>
      <c r="AW20" s="89">
        <v>80</v>
      </c>
      <c r="AX20" s="89">
        <f t="shared" si="6"/>
        <v>2920</v>
      </c>
    </row>
    <row r="21" spans="1:50" ht="18.75" x14ac:dyDescent="0.25">
      <c r="A21" s="89">
        <f t="shared" ca="1" si="1"/>
        <v>3108.7189571631998</v>
      </c>
      <c r="B21" s="6">
        <v>17</v>
      </c>
      <c r="C21" s="91" t="s">
        <v>202</v>
      </c>
      <c r="D21" s="99">
        <v>88</v>
      </c>
      <c r="E21" s="92">
        <v>0.5</v>
      </c>
      <c r="F21" s="150">
        <v>80</v>
      </c>
      <c r="G21" s="93">
        <v>44</v>
      </c>
      <c r="H21" s="94">
        <f t="shared" si="16"/>
        <v>3520</v>
      </c>
      <c r="I21" s="95">
        <f t="shared" si="17"/>
        <v>1.0538979299014462</v>
      </c>
      <c r="J21" s="182">
        <f t="shared" si="18"/>
        <v>45.053897929901446</v>
      </c>
      <c r="K21" s="96">
        <f t="shared" si="19"/>
        <v>3604.3118343921155</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f ca="1">SUMIFS('Tổng Đơn'!$F:$F,'Tổng Đơn'!$B:$B,$C21)</f>
        <v>0</v>
      </c>
      <c r="AM21" s="41">
        <v>0</v>
      </c>
      <c r="AN21" s="41">
        <v>0</v>
      </c>
      <c r="AO21" s="41">
        <v>0</v>
      </c>
      <c r="AP21" s="41">
        <v>0</v>
      </c>
      <c r="AQ21" s="41">
        <v>0</v>
      </c>
      <c r="AR21" s="41">
        <v>0</v>
      </c>
      <c r="AS21" s="41">
        <v>0</v>
      </c>
      <c r="AT21" s="41">
        <v>0</v>
      </c>
      <c r="AU21" s="41">
        <v>0</v>
      </c>
      <c r="AV21" s="41">
        <v>0</v>
      </c>
      <c r="AX21" s="89">
        <f t="shared" si="6"/>
        <v>0</v>
      </c>
    </row>
    <row r="22" spans="1:50" ht="18.75" x14ac:dyDescent="0.25">
      <c r="A22" s="89">
        <f t="shared" ca="1" si="1"/>
        <v>485.86533108495991</v>
      </c>
      <c r="B22" s="6">
        <v>18</v>
      </c>
      <c r="C22" s="91" t="s">
        <v>207</v>
      </c>
      <c r="D22" s="99">
        <v>73</v>
      </c>
      <c r="E22" s="92">
        <v>0.5</v>
      </c>
      <c r="F22" s="150">
        <v>20</v>
      </c>
      <c r="G22" s="93">
        <f>D22/2</f>
        <v>36.5</v>
      </c>
      <c r="H22" s="94">
        <f t="shared" si="16"/>
        <v>730</v>
      </c>
      <c r="I22" s="95">
        <f t="shared" ref="I22:I23" si="21">((H22/$H$4)*$A$2)/F22</f>
        <v>0.87425623730460855</v>
      </c>
      <c r="J22" s="182">
        <f t="shared" ref="J22:J23" si="22">G22+I22</f>
        <v>37.374256237304607</v>
      </c>
      <c r="K22" s="96">
        <f t="shared" ref="K22:K23" si="23">J22*F22</f>
        <v>747.4851247460922</v>
      </c>
      <c r="L22" s="100">
        <v>45</v>
      </c>
      <c r="M22" s="94">
        <f t="shared" ref="M22:M23" si="24">L22*F22</f>
        <v>900</v>
      </c>
      <c r="N22" s="94">
        <f t="shared" ca="1" si="9"/>
        <v>315</v>
      </c>
      <c r="O22" s="101">
        <f t="shared" ca="1" si="10"/>
        <v>13</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f ca="1">SUMIFS('Tổng Đơn'!$F:$F,'Tổng Đơn'!$B:$B,$C22)</f>
        <v>2</v>
      </c>
      <c r="AM22" s="41">
        <v>0</v>
      </c>
      <c r="AN22" s="41">
        <v>0</v>
      </c>
      <c r="AO22" s="41">
        <v>0</v>
      </c>
      <c r="AP22" s="41">
        <v>0</v>
      </c>
      <c r="AQ22" s="41">
        <v>0</v>
      </c>
      <c r="AR22" s="41">
        <v>0</v>
      </c>
      <c r="AS22" s="41">
        <v>0</v>
      </c>
      <c r="AT22" s="41">
        <v>0</v>
      </c>
      <c r="AU22" s="41">
        <v>0</v>
      </c>
      <c r="AV22" s="41">
        <v>0</v>
      </c>
      <c r="AX22" s="89">
        <f t="shared" ref="AX22:AX23" si="25">AW22*G22</f>
        <v>0</v>
      </c>
    </row>
    <row r="23" spans="1:50" ht="18.75" x14ac:dyDescent="0.25">
      <c r="A23" s="89">
        <f t="shared" ca="1" si="1"/>
        <v>430.05993478542285</v>
      </c>
      <c r="B23" s="6">
        <v>19</v>
      </c>
      <c r="C23" s="91" t="s">
        <v>247</v>
      </c>
      <c r="D23" s="99">
        <v>24</v>
      </c>
      <c r="E23" s="92">
        <v>0.3</v>
      </c>
      <c r="F23" s="150">
        <v>80</v>
      </c>
      <c r="G23" s="93">
        <f>D23/2</f>
        <v>12</v>
      </c>
      <c r="H23" s="94">
        <f t="shared" si="16"/>
        <v>960</v>
      </c>
      <c r="I23" s="95">
        <f t="shared" si="21"/>
        <v>0.28742670815493987</v>
      </c>
      <c r="J23" s="182">
        <f t="shared" si="22"/>
        <v>12.287426708154939</v>
      </c>
      <c r="K23" s="96">
        <f t="shared" si="23"/>
        <v>982.99413665239513</v>
      </c>
      <c r="L23" s="100">
        <v>18</v>
      </c>
      <c r="M23" s="94">
        <f t="shared" si="24"/>
        <v>1440</v>
      </c>
      <c r="N23" s="94">
        <f t="shared" ca="1" si="9"/>
        <v>810</v>
      </c>
      <c r="O23" s="101">
        <f t="shared" ca="1" si="10"/>
        <v>35</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f ca="1">SUMIFS('Tổng Đơn'!$F:$F,'Tổng Đơn'!$B:$B,$C23)</f>
        <v>12</v>
      </c>
      <c r="AM23" s="41">
        <v>0</v>
      </c>
      <c r="AN23" s="41">
        <v>0</v>
      </c>
      <c r="AO23" s="41">
        <v>0</v>
      </c>
      <c r="AP23" s="41">
        <v>0</v>
      </c>
      <c r="AQ23" s="41">
        <v>0</v>
      </c>
      <c r="AR23" s="41">
        <v>0</v>
      </c>
      <c r="AS23" s="41">
        <v>0</v>
      </c>
      <c r="AT23" s="41">
        <v>0</v>
      </c>
      <c r="AU23" s="41">
        <v>0</v>
      </c>
      <c r="AV23" s="41">
        <v>0</v>
      </c>
      <c r="AW23" s="89">
        <v>120</v>
      </c>
      <c r="AX23" s="89">
        <f t="shared" si="25"/>
        <v>1440</v>
      </c>
    </row>
  </sheetData>
  <autoFilter ref="B4:M4"/>
  <mergeCells count="1">
    <mergeCell ref="B1:M1"/>
  </mergeCells>
  <conditionalFormatting sqref="C6:C17">
    <cfRule type="expression" dxfId="557" priority="17">
      <formula>($O6/$O6)&lt;=1/4</formula>
    </cfRule>
  </conditionalFormatting>
  <conditionalFormatting sqref="C18">
    <cfRule type="expression" dxfId="556" priority="14">
      <formula>($O18/$O18)&lt;=1/4</formula>
    </cfRule>
  </conditionalFormatting>
  <conditionalFormatting sqref="C5:C18">
    <cfRule type="expression" dxfId="555" priority="25">
      <formula>($O5/$F5)&lt;=1/4</formula>
    </cfRule>
  </conditionalFormatting>
  <conditionalFormatting sqref="C19">
    <cfRule type="expression" dxfId="554" priority="5">
      <formula>($O19/$O19)&lt;=1/4</formula>
    </cfRule>
  </conditionalFormatting>
  <conditionalFormatting sqref="C19">
    <cfRule type="expression" dxfId="553" priority="6">
      <formula>($O19/$F19)&lt;=1/4</formula>
    </cfRule>
  </conditionalFormatting>
  <conditionalFormatting sqref="C20:C21">
    <cfRule type="expression" dxfId="552" priority="3">
      <formula>($O20/$O20)&lt;=1/4</formula>
    </cfRule>
  </conditionalFormatting>
  <conditionalFormatting sqref="C20:C21">
    <cfRule type="expression" dxfId="551" priority="4">
      <formula>($O20/$F20)&lt;=1/4</formula>
    </cfRule>
  </conditionalFormatting>
  <conditionalFormatting sqref="C22:C23">
    <cfRule type="expression" dxfId="550" priority="1">
      <formula>($O22/$O22)&lt;=1/4</formula>
    </cfRule>
  </conditionalFormatting>
  <conditionalFormatting sqref="C22:C23">
    <cfRule type="expression" dxfId="549"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W12"/>
  <sheetViews>
    <sheetView tabSelected="1" topLeftCell="A2" zoomScale="90" zoomScaleNormal="90" workbookViewId="0">
      <pane xSplit="16" ySplit="3" topLeftCell="AG5" activePane="bottomRight" state="frozen"/>
      <selection activeCell="A2" sqref="A2"/>
      <selection pane="topRight" activeCell="Q2" sqref="Q2"/>
      <selection pane="bottomLeft" activeCell="A5" sqref="A5"/>
      <selection pane="bottomRight" activeCell="J18" sqref="J18"/>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49" hidden="1" x14ac:dyDescent="0.25">
      <c r="B1" s="215" t="s">
        <v>59</v>
      </c>
      <c r="C1" s="215"/>
      <c r="D1" s="215"/>
      <c r="E1" s="215"/>
      <c r="F1" s="215"/>
      <c r="G1" s="215"/>
      <c r="H1" s="215"/>
      <c r="I1" s="215"/>
      <c r="J1" s="215"/>
      <c r="K1" s="215"/>
      <c r="L1" s="215"/>
      <c r="M1" s="215"/>
      <c r="N1" s="203"/>
    </row>
    <row r="2" spans="1:49" ht="34.5" customHeight="1" x14ac:dyDescent="0.25">
      <c r="A2" s="1">
        <f>300</f>
        <v>300</v>
      </c>
      <c r="K2" s="13">
        <f>SUMPRODUCT((E5:E12)*(F5:F12))</f>
        <v>272.00000000005002</v>
      </c>
      <c r="L2" s="13">
        <f>M4-K4</f>
        <v>2628.0000000004966</v>
      </c>
      <c r="M2" s="8">
        <f>M4/K4-1</f>
        <v>0.18351955307263346</v>
      </c>
      <c r="N2" s="8"/>
      <c r="AW2" s="174"/>
    </row>
    <row r="3" spans="1:49"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 ca="1">SUBTOTAL(9,A5:A207)</f>
        <v>12006.7192322677</v>
      </c>
      <c r="B4" s="19"/>
      <c r="C4" s="19"/>
      <c r="D4" s="67"/>
      <c r="E4" s="19">
        <f>SUMPRODUCT((E5:E167)*(F5:F167))</f>
        <v>272.00000000005002</v>
      </c>
      <c r="F4" s="19">
        <f>SUBTOTAL(9,F5:F157)</f>
        <v>544.00000000010004</v>
      </c>
      <c r="G4" s="7"/>
      <c r="H4" s="7">
        <f>SUBTOTAL(9,H5:H157)</f>
        <v>14020.000000002099</v>
      </c>
      <c r="I4" s="12"/>
      <c r="J4" s="12"/>
      <c r="K4" s="12">
        <f>SUBTOTAL(9,K5:K157)</f>
        <v>14320.000000002101</v>
      </c>
      <c r="L4" s="68"/>
      <c r="M4" s="7">
        <f>SUBTOTAL(9,M5:M157)</f>
        <v>16948.000000002598</v>
      </c>
      <c r="N4" s="7">
        <f ca="1">SUBTOTAL(9,N5:N157)</f>
        <v>2732</v>
      </c>
      <c r="O4" s="69">
        <f ca="1">SUBTOTAL(9,O5:O157)</f>
        <v>447.00000000009999</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18</v>
      </c>
      <c r="AK4" s="40">
        <f t="shared" ca="1" si="0"/>
        <v>42</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61" t="str">
        <f>SUMPRODUCT(($AV$5:$AV$12)*($E$5:$E$12))&amp;" Kg"</f>
        <v>0 Kg</v>
      </c>
      <c r="AW4" s="109">
        <f>SUBTOTAL(9,AW5:AW167)</f>
        <v>0</v>
      </c>
    </row>
    <row r="5" spans="1:49" ht="18.75" x14ac:dyDescent="0.25">
      <c r="A5" s="89">
        <f t="shared" ref="A5:A12" ca="1" si="1">J5*O5</f>
        <v>1610.7446504992815</v>
      </c>
      <c r="B5" s="6">
        <v>1</v>
      </c>
      <c r="C5" s="91" t="s">
        <v>239</v>
      </c>
      <c r="D5" s="99">
        <v>38</v>
      </c>
      <c r="E5" s="6">
        <v>0.5</v>
      </c>
      <c r="F5" s="150">
        <v>120</v>
      </c>
      <c r="G5" s="93">
        <f>D5/(1/E5)</f>
        <v>19</v>
      </c>
      <c r="H5" s="94">
        <f t="shared" ref="H5:H12" si="2">G5*F5</f>
        <v>2280</v>
      </c>
      <c r="I5" s="95">
        <f t="shared" ref="I5:I12" si="3">((H5/$H$4)*$A$2)/F5</f>
        <v>0.40656205420821301</v>
      </c>
      <c r="J5" s="182">
        <f t="shared" ref="J5:J12" si="4">G5+I5</f>
        <v>19.406562054208212</v>
      </c>
      <c r="K5" s="96">
        <f>J5*F5</f>
        <v>2328.7874465049854</v>
      </c>
      <c r="L5" s="100">
        <v>23</v>
      </c>
      <c r="M5" s="94">
        <f t="shared" ref="M5:M12" si="5">L5*F5</f>
        <v>2760</v>
      </c>
      <c r="N5" s="94">
        <f t="shared" ref="N5:N12" ca="1" si="6">SUMPRODUCT(($Q5:$AU5)*$L5)</f>
        <v>828</v>
      </c>
      <c r="O5" s="101">
        <f t="shared" ref="O5:O12" ca="1" si="7">F5-SUM(Q5:AU5)-P5</f>
        <v>83</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f ca="1">SUMIFS('Tổng Đơn'!$F:$F,'Tổng Đơn'!$B:$B,$C5)</f>
        <v>16</v>
      </c>
      <c r="AL5" s="41">
        <v>0</v>
      </c>
      <c r="AM5" s="41">
        <v>0</v>
      </c>
      <c r="AN5" s="41">
        <v>0</v>
      </c>
      <c r="AO5" s="41">
        <v>0</v>
      </c>
      <c r="AP5" s="41">
        <v>0</v>
      </c>
      <c r="AQ5" s="41">
        <v>0</v>
      </c>
      <c r="AR5" s="41">
        <v>0</v>
      </c>
      <c r="AS5" s="41">
        <v>0</v>
      </c>
      <c r="AT5" s="41">
        <v>0</v>
      </c>
      <c r="AU5" s="41">
        <v>0</v>
      </c>
      <c r="AW5" s="89">
        <f t="shared" ref="AW5:AW12" si="8">AV5*G5</f>
        <v>0</v>
      </c>
    </row>
    <row r="6" spans="1:49" ht="18.75" x14ac:dyDescent="0.25">
      <c r="A6" s="89">
        <f t="shared" ca="1" si="1"/>
        <v>2.1449358059914343E-9</v>
      </c>
      <c r="B6" s="6">
        <v>2</v>
      </c>
      <c r="C6" s="91" t="s">
        <v>240</v>
      </c>
      <c r="D6" s="99">
        <v>42</v>
      </c>
      <c r="E6" s="6">
        <v>0.5</v>
      </c>
      <c r="F6" s="150">
        <v>1E-10</v>
      </c>
      <c r="G6" s="93">
        <f t="shared" ref="G6:G12" si="9">D6/(1/E6)</f>
        <v>21</v>
      </c>
      <c r="H6" s="94">
        <f t="shared" si="2"/>
        <v>2.1000000000000002E-9</v>
      </c>
      <c r="I6" s="95">
        <f t="shared" si="3"/>
        <v>0.44935805991434075</v>
      </c>
      <c r="J6" s="182">
        <f t="shared" si="4"/>
        <v>21.449358059914342</v>
      </c>
      <c r="K6" s="96">
        <f t="shared" ref="K6:K12" si="10">J6*F6</f>
        <v>2.1449358059914343E-9</v>
      </c>
      <c r="L6" s="100">
        <v>26</v>
      </c>
      <c r="M6" s="94">
        <f t="shared" si="5"/>
        <v>2.6000000000000001E-9</v>
      </c>
      <c r="N6" s="94">
        <f t="shared" ca="1" si="6"/>
        <v>0</v>
      </c>
      <c r="O6" s="101">
        <f t="shared" ca="1" si="7"/>
        <v>1E-10</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f ca="1">SUMIFS('Tổng Đơn'!$F:$F,'Tổng Đơn'!$B:$B,$C6)</f>
        <v>0</v>
      </c>
      <c r="AL6" s="41">
        <v>0</v>
      </c>
      <c r="AM6" s="41">
        <v>0</v>
      </c>
      <c r="AN6" s="41">
        <v>0</v>
      </c>
      <c r="AO6" s="41">
        <v>0</v>
      </c>
      <c r="AP6" s="41">
        <v>0</v>
      </c>
      <c r="AQ6" s="41">
        <v>0</v>
      </c>
      <c r="AR6" s="41">
        <v>0</v>
      </c>
      <c r="AS6" s="41">
        <v>0</v>
      </c>
      <c r="AT6" s="41">
        <v>0</v>
      </c>
      <c r="AU6" s="41">
        <v>0</v>
      </c>
      <c r="AW6" s="89">
        <f t="shared" si="8"/>
        <v>0</v>
      </c>
    </row>
    <row r="7" spans="1:49" ht="18.75" x14ac:dyDescent="0.25">
      <c r="A7" s="89">
        <f t="shared" ca="1" si="1"/>
        <v>729.27817403708764</v>
      </c>
      <c r="B7" s="6">
        <v>3</v>
      </c>
      <c r="C7" s="91" t="s">
        <v>241</v>
      </c>
      <c r="D7" s="99">
        <v>42</v>
      </c>
      <c r="E7" s="6">
        <v>0.5</v>
      </c>
      <c r="F7" s="150">
        <v>40</v>
      </c>
      <c r="G7" s="93">
        <f t="shared" si="9"/>
        <v>21</v>
      </c>
      <c r="H7" s="94">
        <f t="shared" si="2"/>
        <v>840</v>
      </c>
      <c r="I7" s="95">
        <f t="shared" si="3"/>
        <v>0.44935805991434075</v>
      </c>
      <c r="J7" s="182">
        <f t="shared" si="4"/>
        <v>21.449358059914342</v>
      </c>
      <c r="K7" s="96">
        <f t="shared" si="10"/>
        <v>857.97432239657371</v>
      </c>
      <c r="L7" s="100">
        <v>26</v>
      </c>
      <c r="M7" s="94">
        <f t="shared" si="5"/>
        <v>1040</v>
      </c>
      <c r="N7" s="94">
        <f t="shared" ca="1" si="6"/>
        <v>156</v>
      </c>
      <c r="O7" s="101">
        <f t="shared" ca="1" si="7"/>
        <v>34</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f ca="1">SUMIFS('Tổng Đơn'!$F:$F,'Tổng Đơn'!$B:$B,$C7)</f>
        <v>2</v>
      </c>
      <c r="AL7" s="41">
        <v>0</v>
      </c>
      <c r="AM7" s="41">
        <v>0</v>
      </c>
      <c r="AN7" s="41">
        <v>0</v>
      </c>
      <c r="AO7" s="41">
        <v>0</v>
      </c>
      <c r="AP7" s="41">
        <v>0</v>
      </c>
      <c r="AQ7" s="41">
        <v>0</v>
      </c>
      <c r="AR7" s="41">
        <v>0</v>
      </c>
      <c r="AS7" s="41">
        <v>0</v>
      </c>
      <c r="AT7" s="41">
        <v>0</v>
      </c>
      <c r="AU7" s="41">
        <v>0</v>
      </c>
      <c r="AW7" s="89">
        <f t="shared" si="8"/>
        <v>0</v>
      </c>
    </row>
    <row r="8" spans="1:49" ht="18.75" x14ac:dyDescent="0.25">
      <c r="A8" s="89">
        <f t="shared" ca="1" si="1"/>
        <v>776.26248216832857</v>
      </c>
      <c r="B8" s="6">
        <v>4</v>
      </c>
      <c r="C8" s="91" t="s">
        <v>242</v>
      </c>
      <c r="D8" s="99">
        <v>40</v>
      </c>
      <c r="E8" s="6">
        <v>0.5</v>
      </c>
      <c r="F8" s="150">
        <v>40</v>
      </c>
      <c r="G8" s="93">
        <f t="shared" si="9"/>
        <v>20</v>
      </c>
      <c r="H8" s="94">
        <f t="shared" si="2"/>
        <v>800</v>
      </c>
      <c r="I8" s="95">
        <f t="shared" si="3"/>
        <v>0.42796005706127688</v>
      </c>
      <c r="J8" s="182">
        <f t="shared" si="4"/>
        <v>20.427960057061277</v>
      </c>
      <c r="K8" s="96">
        <f t="shared" si="10"/>
        <v>817.11840228245114</v>
      </c>
      <c r="L8" s="100">
        <v>26</v>
      </c>
      <c r="M8" s="94">
        <f t="shared" si="5"/>
        <v>1040</v>
      </c>
      <c r="N8" s="94">
        <f t="shared" ca="1" si="6"/>
        <v>52</v>
      </c>
      <c r="O8" s="101">
        <f t="shared" ca="1" si="7"/>
        <v>38</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f ca="1">SUMIFS('Tổng Đơn'!$F:$F,'Tổng Đơn'!$B:$B,$C8)</f>
        <v>1</v>
      </c>
      <c r="AL8" s="41">
        <v>0</v>
      </c>
      <c r="AM8" s="41">
        <v>0</v>
      </c>
      <c r="AN8" s="41">
        <v>0</v>
      </c>
      <c r="AO8" s="41">
        <v>0</v>
      </c>
      <c r="AP8" s="41">
        <v>0</v>
      </c>
      <c r="AQ8" s="41">
        <v>0</v>
      </c>
      <c r="AR8" s="41">
        <v>0</v>
      </c>
      <c r="AS8" s="41">
        <v>0</v>
      </c>
      <c r="AT8" s="41">
        <v>0</v>
      </c>
      <c r="AU8" s="41">
        <v>0</v>
      </c>
      <c r="AW8" s="89">
        <f t="shared" si="8"/>
        <v>0</v>
      </c>
    </row>
    <row r="9" spans="1:49" ht="18.75" x14ac:dyDescent="0.25">
      <c r="A9" s="89">
        <f t="shared" ca="1" si="1"/>
        <v>1420.671767604716</v>
      </c>
      <c r="B9" s="6">
        <v>5</v>
      </c>
      <c r="C9" s="91" t="s">
        <v>243</v>
      </c>
      <c r="D9" s="99">
        <f>(45*20)/22</f>
        <v>40.909090909090907</v>
      </c>
      <c r="E9" s="6">
        <v>0.5</v>
      </c>
      <c r="F9" s="150">
        <v>88</v>
      </c>
      <c r="G9" s="93">
        <f t="shared" si="9"/>
        <v>20.454545454545453</v>
      </c>
      <c r="H9" s="94">
        <f t="shared" si="2"/>
        <v>1800</v>
      </c>
      <c r="I9" s="95">
        <f t="shared" si="3"/>
        <v>0.43768642199448765</v>
      </c>
      <c r="J9" s="182">
        <f t="shared" si="4"/>
        <v>20.892231876539942</v>
      </c>
      <c r="K9" s="96">
        <f t="shared" si="10"/>
        <v>1838.5164051355148</v>
      </c>
      <c r="L9" s="100">
        <v>26</v>
      </c>
      <c r="M9" s="94">
        <f t="shared" si="5"/>
        <v>2288</v>
      </c>
      <c r="N9" s="94">
        <f t="shared" ca="1" si="6"/>
        <v>520</v>
      </c>
      <c r="O9" s="101">
        <f t="shared" ca="1" si="7"/>
        <v>68</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f ca="1">SUMIFS('Tổng Đơn'!$F:$F,'Tổng Đơn'!$B:$B,$C9)</f>
        <v>5</v>
      </c>
      <c r="AL9" s="41">
        <v>0</v>
      </c>
      <c r="AM9" s="41">
        <v>0</v>
      </c>
      <c r="AN9" s="41">
        <v>0</v>
      </c>
      <c r="AO9" s="41">
        <v>0</v>
      </c>
      <c r="AP9" s="41">
        <v>0</v>
      </c>
      <c r="AQ9" s="41">
        <v>0</v>
      </c>
      <c r="AR9" s="41">
        <v>0</v>
      </c>
      <c r="AS9" s="41">
        <v>0</v>
      </c>
      <c r="AT9" s="41">
        <v>0</v>
      </c>
      <c r="AU9" s="41">
        <v>0</v>
      </c>
      <c r="AW9" s="89">
        <f t="shared" si="8"/>
        <v>0</v>
      </c>
    </row>
    <row r="10" spans="1:49" ht="18.75" x14ac:dyDescent="0.25">
      <c r="A10" s="89">
        <f t="shared" ca="1" si="1"/>
        <v>3268.4736091298041</v>
      </c>
      <c r="B10" s="6">
        <v>6</v>
      </c>
      <c r="C10" s="91" t="s">
        <v>244</v>
      </c>
      <c r="D10" s="99">
        <f>(64*20)/22</f>
        <v>58.18181818181818</v>
      </c>
      <c r="E10" s="6">
        <v>0.5</v>
      </c>
      <c r="F10" s="150">
        <v>132</v>
      </c>
      <c r="G10" s="93">
        <f t="shared" si="9"/>
        <v>29.09090909090909</v>
      </c>
      <c r="H10" s="94">
        <f t="shared" si="2"/>
        <v>3840</v>
      </c>
      <c r="I10" s="95">
        <f t="shared" si="3"/>
        <v>0.62248735572549363</v>
      </c>
      <c r="J10" s="182">
        <f t="shared" si="4"/>
        <v>29.713396446634583</v>
      </c>
      <c r="K10" s="96">
        <f t="shared" si="10"/>
        <v>3922.1683309557648</v>
      </c>
      <c r="L10" s="100">
        <v>35</v>
      </c>
      <c r="M10" s="94">
        <f t="shared" si="5"/>
        <v>4620</v>
      </c>
      <c r="N10" s="94">
        <f t="shared" ca="1" si="6"/>
        <v>770</v>
      </c>
      <c r="O10" s="101">
        <f t="shared" ca="1" si="7"/>
        <v>110</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3</v>
      </c>
      <c r="AK10" s="37">
        <f ca="1">SUMIFS('Tổng Đơn'!$F:$F,'Tổng Đơn'!$B:$B,$C10)</f>
        <v>13</v>
      </c>
      <c r="AL10" s="41">
        <v>0</v>
      </c>
      <c r="AM10" s="41">
        <v>0</v>
      </c>
      <c r="AN10" s="41">
        <v>0</v>
      </c>
      <c r="AO10" s="41">
        <v>0</v>
      </c>
      <c r="AP10" s="41">
        <v>0</v>
      </c>
      <c r="AQ10" s="41">
        <v>0</v>
      </c>
      <c r="AR10" s="41">
        <v>0</v>
      </c>
      <c r="AS10" s="41">
        <v>0</v>
      </c>
      <c r="AT10" s="41">
        <v>0</v>
      </c>
      <c r="AU10" s="41">
        <v>0</v>
      </c>
      <c r="AW10" s="89">
        <f t="shared" si="8"/>
        <v>0</v>
      </c>
    </row>
    <row r="11" spans="1:49" ht="18.75" x14ac:dyDescent="0.25">
      <c r="A11" s="89">
        <f t="shared" ca="1" si="1"/>
        <v>1253.5339125923965</v>
      </c>
      <c r="B11" s="6">
        <v>7</v>
      </c>
      <c r="C11" s="91" t="s">
        <v>245</v>
      </c>
      <c r="D11" s="99">
        <f>(75*20)/22</f>
        <v>68.181818181818187</v>
      </c>
      <c r="E11" s="6">
        <v>0.5</v>
      </c>
      <c r="F11" s="150">
        <v>44</v>
      </c>
      <c r="G11" s="93">
        <f t="shared" si="9"/>
        <v>34.090909090909093</v>
      </c>
      <c r="H11" s="94">
        <f t="shared" si="2"/>
        <v>1500</v>
      </c>
      <c r="I11" s="95">
        <f t="shared" si="3"/>
        <v>0.72947736999081281</v>
      </c>
      <c r="J11" s="182">
        <f t="shared" si="4"/>
        <v>34.820386460899904</v>
      </c>
      <c r="K11" s="96">
        <f t="shared" si="10"/>
        <v>1532.0970042795957</v>
      </c>
      <c r="L11" s="100">
        <v>40</v>
      </c>
      <c r="M11" s="94">
        <f t="shared" si="5"/>
        <v>1760</v>
      </c>
      <c r="N11" s="94">
        <f t="shared" ca="1" si="6"/>
        <v>320</v>
      </c>
      <c r="O11" s="101">
        <f t="shared" ca="1" si="7"/>
        <v>36</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f ca="1">SUMIFS('Tổng Đơn'!$F:$F,'Tổng Đơn'!$B:$B,$C11)</f>
        <v>3</v>
      </c>
      <c r="AL11" s="41">
        <v>0</v>
      </c>
      <c r="AM11" s="41">
        <v>0</v>
      </c>
      <c r="AN11" s="41">
        <v>0</v>
      </c>
      <c r="AO11" s="41">
        <v>0</v>
      </c>
      <c r="AP11" s="41">
        <v>0</v>
      </c>
      <c r="AQ11" s="41">
        <v>0</v>
      </c>
      <c r="AR11" s="41">
        <v>0</v>
      </c>
      <c r="AS11" s="41">
        <v>0</v>
      </c>
      <c r="AT11" s="41">
        <v>0</v>
      </c>
      <c r="AU11" s="41">
        <v>0</v>
      </c>
      <c r="AW11" s="89">
        <f t="shared" si="8"/>
        <v>0</v>
      </c>
    </row>
    <row r="12" spans="1:49" ht="18.75" x14ac:dyDescent="0.25">
      <c r="A12" s="89">
        <f t="shared" ca="1" si="1"/>
        <v>2947.7546362339422</v>
      </c>
      <c r="B12" s="6">
        <v>8</v>
      </c>
      <c r="C12" s="91" t="s">
        <v>246</v>
      </c>
      <c r="D12" s="99">
        <v>74</v>
      </c>
      <c r="E12" s="6">
        <v>0.5</v>
      </c>
      <c r="F12" s="150">
        <v>80</v>
      </c>
      <c r="G12" s="93">
        <f t="shared" si="9"/>
        <v>37</v>
      </c>
      <c r="H12" s="94">
        <f t="shared" si="2"/>
        <v>2960</v>
      </c>
      <c r="I12" s="95">
        <f t="shared" si="3"/>
        <v>0.7917261055633622</v>
      </c>
      <c r="J12" s="182">
        <f t="shared" si="4"/>
        <v>37.791726105563363</v>
      </c>
      <c r="K12" s="96">
        <f t="shared" si="10"/>
        <v>3023.3380884450689</v>
      </c>
      <c r="L12" s="100">
        <v>43</v>
      </c>
      <c r="M12" s="94">
        <f t="shared" si="5"/>
        <v>3440</v>
      </c>
      <c r="N12" s="94">
        <f t="shared" ca="1" si="6"/>
        <v>86</v>
      </c>
      <c r="O12" s="101">
        <f t="shared" ca="1" si="7"/>
        <v>78</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f ca="1">SUMIFS('Tổng Đơn'!$F:$F,'Tổng Đơn'!$B:$B,$C12)</f>
        <v>2</v>
      </c>
      <c r="AL12" s="41">
        <v>0</v>
      </c>
      <c r="AM12" s="41">
        <v>0</v>
      </c>
      <c r="AN12" s="41">
        <v>0</v>
      </c>
      <c r="AO12" s="41">
        <v>0</v>
      </c>
      <c r="AP12" s="41">
        <v>0</v>
      </c>
      <c r="AQ12" s="41">
        <v>0</v>
      </c>
      <c r="AR12" s="41">
        <v>0</v>
      </c>
      <c r="AS12" s="41">
        <v>0</v>
      </c>
      <c r="AT12" s="41">
        <v>0</v>
      </c>
      <c r="AU12" s="41">
        <v>0</v>
      </c>
      <c r="AW12" s="89">
        <f t="shared" si="8"/>
        <v>0</v>
      </c>
    </row>
  </sheetData>
  <autoFilter ref="B4:M4"/>
  <mergeCells count="1">
    <mergeCell ref="B1:M1"/>
  </mergeCells>
  <conditionalFormatting sqref="C6:C12">
    <cfRule type="expression" dxfId="548" priority="8">
      <formula>($O6/$O6)&lt;=1/4</formula>
    </cfRule>
  </conditionalFormatting>
  <conditionalFormatting sqref="C5:C12">
    <cfRule type="expression" dxfId="54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18" sqref="A18:XFD18"/>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0.28515625" style="89" bestFit="1" customWidth="1"/>
    <col min="51" max="16384" width="9.140625" style="89"/>
  </cols>
  <sheetData>
    <row r="1" spans="1:50" hidden="1" x14ac:dyDescent="0.25">
      <c r="B1" s="215" t="s">
        <v>59</v>
      </c>
      <c r="C1" s="215"/>
      <c r="D1" s="215"/>
      <c r="E1" s="215"/>
      <c r="F1" s="215"/>
      <c r="G1" s="215"/>
      <c r="H1" s="215"/>
      <c r="I1" s="215"/>
      <c r="J1" s="215"/>
      <c r="K1" s="215"/>
      <c r="L1" s="215"/>
      <c r="M1" s="215"/>
      <c r="N1" s="90"/>
    </row>
    <row r="2" spans="1:50" ht="24" customHeight="1" x14ac:dyDescent="0.25">
      <c r="A2" s="1">
        <f>150+160+120+70+30+100+30+150+120+30+140+30+70+120+30+30+120+60+120</f>
        <v>1680</v>
      </c>
      <c r="K2" s="13">
        <f>SUMPRODUCT((E5:E19)*(F5:F19))</f>
        <v>834.5</v>
      </c>
      <c r="L2" s="13">
        <f>M4-K4</f>
        <v>13104.000000000015</v>
      </c>
      <c r="M2" s="8">
        <f>M4/K4-1</f>
        <v>0.19373724829238026</v>
      </c>
      <c r="N2" s="8"/>
      <c r="AI2" s="61"/>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SUBTOTAL(9,A5:A220)</f>
        <v>16458.292868188848</v>
      </c>
      <c r="B4" s="19"/>
      <c r="C4" s="19"/>
      <c r="D4" s="67"/>
      <c r="E4" s="19">
        <f>SUMPRODUCT((E5:E25)*(F5:F25))</f>
        <v>1047.5</v>
      </c>
      <c r="F4" s="19">
        <f>SUBTOTAL(9,F5:F190)</f>
        <v>2200</v>
      </c>
      <c r="G4" s="7"/>
      <c r="H4" s="7">
        <f>SUBTOTAL(9,H5:H100)</f>
        <v>65958</v>
      </c>
      <c r="I4" s="12"/>
      <c r="J4" s="12"/>
      <c r="K4" s="12">
        <f>SUBTOTAL(9,K5:K190)</f>
        <v>67637.999999999985</v>
      </c>
      <c r="L4" s="68"/>
      <c r="M4" s="7">
        <f>SUBTOTAL(9,M5:M190)</f>
        <v>80742</v>
      </c>
      <c r="N4" s="7">
        <f ca="1">SUBTOTAL(9,N5:N190)</f>
        <v>60520</v>
      </c>
      <c r="O4" s="39">
        <f ca="1">SUBTOTAL(9,O5:O190)</f>
        <v>486</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20</v>
      </c>
      <c r="AL4" s="40">
        <f t="shared" ca="1" si="1"/>
        <v>43</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73" t="str">
        <f>SUMPRODUCT(($AW$5:$AW$28)*($E$5:$E$28))&amp;" Kg"</f>
        <v>125 Kg</v>
      </c>
      <c r="AX4" s="109">
        <f t="shared" si="1"/>
        <v>8255</v>
      </c>
    </row>
    <row r="5" spans="1:50" ht="18.75" x14ac:dyDescent="0.25">
      <c r="A5" s="89">
        <f t="shared" ref="A5:A32" ca="1" si="2">IFERROR(J5*O5,"")</f>
        <v>43.582507049940872</v>
      </c>
      <c r="B5" s="6">
        <v>1</v>
      </c>
      <c r="C5" s="91" t="s">
        <v>1</v>
      </c>
      <c r="D5" s="99">
        <v>42.5</v>
      </c>
      <c r="E5" s="6">
        <v>0.5</v>
      </c>
      <c r="F5" s="6">
        <v>370</v>
      </c>
      <c r="G5" s="102">
        <f t="shared" ref="G5:G29" si="3">D5/(1/E5)</f>
        <v>21.25</v>
      </c>
      <c r="H5" s="94">
        <f>G5*F5</f>
        <v>7862.5</v>
      </c>
      <c r="I5" s="95">
        <f t="shared" ref="I5:I28" si="4">((H5/$H$4)*$A$2)/F5</f>
        <v>0.54125352497043577</v>
      </c>
      <c r="J5" s="96">
        <f t="shared" ref="J5:J19" si="5">G5+I5</f>
        <v>21.791253524970436</v>
      </c>
      <c r="K5" s="96">
        <f>J5*F5</f>
        <v>8062.7638042390618</v>
      </c>
      <c r="L5" s="103">
        <v>25</v>
      </c>
      <c r="M5" s="94">
        <f>L5*F5</f>
        <v>9250</v>
      </c>
      <c r="N5" s="94">
        <f ca="1">SUMPRODUCT($L5*($Q5:$AV5))</f>
        <v>9150</v>
      </c>
      <c r="O5" s="98">
        <f ca="1">F5-SUM(Q5:AV5)-P5</f>
        <v>2</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v>6</v>
      </c>
      <c r="AK5" s="91">
        <v>2</v>
      </c>
      <c r="AL5" s="91">
        <f ca="1">SUMIFS('Tổng Đơn'!$F:$F,'Tổng Đơn'!$B:$B,$C5)</f>
        <v>3</v>
      </c>
      <c r="AM5" s="104">
        <v>0</v>
      </c>
      <c r="AN5" s="104">
        <v>0</v>
      </c>
      <c r="AO5" s="104">
        <v>0</v>
      </c>
      <c r="AP5" s="104">
        <v>0</v>
      </c>
      <c r="AQ5" s="104">
        <v>0</v>
      </c>
      <c r="AR5" s="104">
        <v>0</v>
      </c>
      <c r="AS5" s="104">
        <v>0</v>
      </c>
      <c r="AT5" s="104">
        <v>0</v>
      </c>
      <c r="AU5" s="104">
        <v>0</v>
      </c>
      <c r="AV5" s="104">
        <v>0</v>
      </c>
      <c r="AX5" s="89">
        <f t="shared" ref="AX5:AX32" si="6">AW5*G5</f>
        <v>0</v>
      </c>
    </row>
    <row r="6" spans="1:50" ht="18.75" x14ac:dyDescent="0.25">
      <c r="A6" s="89">
        <f t="shared" ca="1" si="2"/>
        <v>541.44855817338305</v>
      </c>
      <c r="B6" s="6">
        <v>2</v>
      </c>
      <c r="C6" s="91" t="s">
        <v>2</v>
      </c>
      <c r="D6" s="99">
        <v>44</v>
      </c>
      <c r="E6" s="6">
        <v>0.5</v>
      </c>
      <c r="F6" s="6">
        <v>80</v>
      </c>
      <c r="G6" s="102">
        <f t="shared" si="3"/>
        <v>22</v>
      </c>
      <c r="H6" s="94">
        <f t="shared" ref="H6:H19" si="7">G6*F6</f>
        <v>1760</v>
      </c>
      <c r="I6" s="95">
        <f t="shared" si="4"/>
        <v>0.56035659055762754</v>
      </c>
      <c r="J6" s="96">
        <f t="shared" si="5"/>
        <v>22.560356590557628</v>
      </c>
      <c r="K6" s="96">
        <f t="shared" ref="K6:K19" si="8">J6*F6</f>
        <v>1804.8285272446103</v>
      </c>
      <c r="L6" s="103">
        <v>28</v>
      </c>
      <c r="M6" s="94">
        <f t="shared" ref="M6:M19" si="9">L6*F6</f>
        <v>2240</v>
      </c>
      <c r="N6" s="94">
        <f t="shared" ref="N6:N30" ca="1" si="10">SUMPRODUCT($L6*($Q6:$AV6))</f>
        <v>1568</v>
      </c>
      <c r="O6" s="98">
        <f t="shared" ref="O6:O28" ca="1" si="11">F6-SUM(Q6:AV6)-P6</f>
        <v>24</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v>1</v>
      </c>
      <c r="AK6" s="91">
        <v>0</v>
      </c>
      <c r="AL6" s="91">
        <f ca="1">SUMIFS('Tổng Đơn'!$F:$F,'Tổng Đơn'!$B:$B,$C6)</f>
        <v>1</v>
      </c>
      <c r="AM6" s="104">
        <v>0</v>
      </c>
      <c r="AN6" s="104">
        <v>0</v>
      </c>
      <c r="AO6" s="104">
        <v>0</v>
      </c>
      <c r="AP6" s="104">
        <v>0</v>
      </c>
      <c r="AQ6" s="104">
        <v>0</v>
      </c>
      <c r="AR6" s="104">
        <v>0</v>
      </c>
      <c r="AS6" s="104">
        <v>0</v>
      </c>
      <c r="AT6" s="104">
        <v>0</v>
      </c>
      <c r="AU6" s="104">
        <v>0</v>
      </c>
      <c r="AV6" s="104">
        <v>0</v>
      </c>
      <c r="AX6" s="89">
        <f t="shared" si="6"/>
        <v>0</v>
      </c>
    </row>
    <row r="7" spans="1:50" ht="18.75" x14ac:dyDescent="0.25">
      <c r="A7" s="89">
        <f t="shared" ca="1" si="2"/>
        <v>557.59972255071409</v>
      </c>
      <c r="B7" s="6">
        <v>3</v>
      </c>
      <c r="C7" s="91" t="s">
        <v>3</v>
      </c>
      <c r="D7" s="99">
        <v>43.5</v>
      </c>
      <c r="E7" s="6">
        <v>0.5</v>
      </c>
      <c r="F7" s="6">
        <v>70</v>
      </c>
      <c r="G7" s="102">
        <f t="shared" si="3"/>
        <v>21.75</v>
      </c>
      <c r="H7" s="94">
        <f t="shared" si="7"/>
        <v>1522.5</v>
      </c>
      <c r="I7" s="95">
        <f t="shared" si="4"/>
        <v>0.55398890202856366</v>
      </c>
      <c r="J7" s="96">
        <f t="shared" si="5"/>
        <v>22.303988902028564</v>
      </c>
      <c r="K7" s="96">
        <f t="shared" si="8"/>
        <v>1561.2792231419994</v>
      </c>
      <c r="L7" s="103">
        <v>30</v>
      </c>
      <c r="M7" s="94">
        <f t="shared" si="9"/>
        <v>2100</v>
      </c>
      <c r="N7" s="94">
        <f t="shared" ca="1" si="10"/>
        <v>1350</v>
      </c>
      <c r="O7" s="98">
        <f t="shared" ca="1" si="11"/>
        <v>25</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v>1</v>
      </c>
      <c r="AK7" s="91">
        <v>0</v>
      </c>
      <c r="AL7" s="91">
        <f ca="1">SUMIFS('Tổng Đơn'!$F:$F,'Tổng Đơn'!$B:$B,$C7)</f>
        <v>1</v>
      </c>
      <c r="AM7" s="104">
        <v>0</v>
      </c>
      <c r="AN7" s="104">
        <v>0</v>
      </c>
      <c r="AO7" s="104">
        <v>0</v>
      </c>
      <c r="AP7" s="104">
        <v>0</v>
      </c>
      <c r="AQ7" s="104">
        <v>0</v>
      </c>
      <c r="AR7" s="104">
        <v>0</v>
      </c>
      <c r="AS7" s="104">
        <v>0</v>
      </c>
      <c r="AT7" s="104">
        <v>0</v>
      </c>
      <c r="AU7" s="104">
        <v>0</v>
      </c>
      <c r="AV7" s="104">
        <v>0</v>
      </c>
      <c r="AX7" s="89">
        <f t="shared" si="6"/>
        <v>0</v>
      </c>
    </row>
    <row r="8" spans="1:50" ht="18.75" x14ac:dyDescent="0.25">
      <c r="A8" s="89">
        <f t="shared" ca="1" si="2"/>
        <v>1076.7442918220686</v>
      </c>
      <c r="B8" s="6">
        <v>4</v>
      </c>
      <c r="C8" s="91" t="s">
        <v>4</v>
      </c>
      <c r="D8" s="99">
        <v>60</v>
      </c>
      <c r="E8" s="6">
        <v>0.5</v>
      </c>
      <c r="F8" s="6">
        <v>120</v>
      </c>
      <c r="G8" s="102">
        <f t="shared" si="3"/>
        <v>30</v>
      </c>
      <c r="H8" s="105">
        <f t="shared" si="7"/>
        <v>3600</v>
      </c>
      <c r="I8" s="95">
        <f t="shared" si="4"/>
        <v>0.76412262348767401</v>
      </c>
      <c r="J8" s="96">
        <f t="shared" si="5"/>
        <v>30.764122623487673</v>
      </c>
      <c r="K8" s="96">
        <f t="shared" si="8"/>
        <v>3691.6947148185209</v>
      </c>
      <c r="L8" s="103">
        <v>40</v>
      </c>
      <c r="M8" s="94">
        <f t="shared" si="9"/>
        <v>4800</v>
      </c>
      <c r="N8" s="94">
        <f t="shared" ca="1" si="10"/>
        <v>3360</v>
      </c>
      <c r="O8" s="98">
        <f t="shared" ca="1" si="11"/>
        <v>35</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0</v>
      </c>
      <c r="AI8" s="91">
        <v>1</v>
      </c>
      <c r="AJ8" s="91">
        <v>5</v>
      </c>
      <c r="AK8" s="91">
        <v>0</v>
      </c>
      <c r="AL8" s="91">
        <f ca="1">SUMIFS('Tổng Đơn'!$F:$F,'Tổng Đơn'!$B:$B,$C8)</f>
        <v>6</v>
      </c>
      <c r="AM8" s="104">
        <v>0</v>
      </c>
      <c r="AN8" s="104">
        <v>0</v>
      </c>
      <c r="AO8" s="104">
        <v>0</v>
      </c>
      <c r="AP8" s="104">
        <v>0</v>
      </c>
      <c r="AQ8" s="104">
        <v>0</v>
      </c>
      <c r="AR8" s="104">
        <v>0</v>
      </c>
      <c r="AS8" s="104">
        <v>0</v>
      </c>
      <c r="AT8" s="104">
        <v>0</v>
      </c>
      <c r="AU8" s="104">
        <v>0</v>
      </c>
      <c r="AV8" s="104">
        <v>0</v>
      </c>
      <c r="AW8" s="89">
        <v>40</v>
      </c>
      <c r="AX8" s="89">
        <f t="shared" si="6"/>
        <v>1200</v>
      </c>
    </row>
    <row r="9" spans="1:50" ht="18.75" x14ac:dyDescent="0.25">
      <c r="A9" s="89">
        <f t="shared" ca="1" si="2"/>
        <v>1011.1141635586282</v>
      </c>
      <c r="B9" s="6">
        <v>5</v>
      </c>
      <c r="C9" s="91" t="s">
        <v>5</v>
      </c>
      <c r="D9" s="99">
        <v>68</v>
      </c>
      <c r="E9" s="6">
        <v>0.5</v>
      </c>
      <c r="F9" s="6">
        <v>195</v>
      </c>
      <c r="G9" s="102">
        <f t="shared" si="3"/>
        <v>34</v>
      </c>
      <c r="H9" s="105">
        <f t="shared" si="7"/>
        <v>6630</v>
      </c>
      <c r="I9" s="95">
        <f t="shared" si="4"/>
        <v>0.86600563995269719</v>
      </c>
      <c r="J9" s="96">
        <f t="shared" si="5"/>
        <v>34.866005639952697</v>
      </c>
      <c r="K9" s="96">
        <f t="shared" si="8"/>
        <v>6798.8710997907756</v>
      </c>
      <c r="L9" s="103">
        <v>40</v>
      </c>
      <c r="M9" s="94">
        <f t="shared" si="9"/>
        <v>7800</v>
      </c>
      <c r="N9" s="94">
        <f t="shared" ca="1" si="10"/>
        <v>6680</v>
      </c>
      <c r="O9" s="98">
        <f t="shared" ca="1" si="11"/>
        <v>29</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1</v>
      </c>
      <c r="AI9" s="91">
        <v>2</v>
      </c>
      <c r="AJ9" s="91">
        <v>8</v>
      </c>
      <c r="AK9" s="91">
        <v>8</v>
      </c>
      <c r="AL9" s="91">
        <f ca="1">SUMIFS('Tổng Đơn'!$F:$F,'Tổng Đơn'!$B:$B,$C9)</f>
        <v>1</v>
      </c>
      <c r="AM9" s="104">
        <v>0</v>
      </c>
      <c r="AN9" s="104">
        <v>0</v>
      </c>
      <c r="AO9" s="104">
        <v>0</v>
      </c>
      <c r="AP9" s="104">
        <v>0</v>
      </c>
      <c r="AQ9" s="104">
        <v>0</v>
      </c>
      <c r="AR9" s="104">
        <v>0</v>
      </c>
      <c r="AS9" s="104">
        <v>0</v>
      </c>
      <c r="AT9" s="104">
        <v>0</v>
      </c>
      <c r="AU9" s="104">
        <v>0</v>
      </c>
      <c r="AV9" s="104">
        <v>0</v>
      </c>
      <c r="AW9" s="89">
        <v>40</v>
      </c>
      <c r="AX9" s="89">
        <f t="shared" si="6"/>
        <v>1360</v>
      </c>
    </row>
    <row r="10" spans="1:50" ht="18.75" x14ac:dyDescent="0.25">
      <c r="A10" s="89">
        <f t="shared" ca="1" si="2"/>
        <v>881.90484853997998</v>
      </c>
      <c r="B10" s="6">
        <v>6</v>
      </c>
      <c r="C10" s="91" t="s">
        <v>6</v>
      </c>
      <c r="D10" s="99">
        <v>86</v>
      </c>
      <c r="E10" s="6">
        <v>0.5</v>
      </c>
      <c r="F10" s="6">
        <v>76</v>
      </c>
      <c r="G10" s="102">
        <f t="shared" si="3"/>
        <v>43</v>
      </c>
      <c r="H10" s="105">
        <f t="shared" si="7"/>
        <v>3268</v>
      </c>
      <c r="I10" s="95">
        <f t="shared" si="4"/>
        <v>1.0952424269989993</v>
      </c>
      <c r="J10" s="96">
        <f t="shared" si="5"/>
        <v>44.095242426999</v>
      </c>
      <c r="K10" s="96">
        <f t="shared" si="8"/>
        <v>3351.2384244519239</v>
      </c>
      <c r="L10" s="103">
        <v>50</v>
      </c>
      <c r="M10" s="94">
        <f t="shared" si="9"/>
        <v>3800</v>
      </c>
      <c r="N10" s="94">
        <f t="shared" ca="1" si="10"/>
        <v>2750</v>
      </c>
      <c r="O10" s="98">
        <f t="shared" ca="1" si="11"/>
        <v>20</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v>0</v>
      </c>
      <c r="AK10" s="91">
        <v>1</v>
      </c>
      <c r="AL10" s="91">
        <f ca="1">SUMIFS('Tổng Đơn'!$F:$F,'Tổng Đơn'!$B:$B,$C10)</f>
        <v>0</v>
      </c>
      <c r="AM10" s="104">
        <v>0</v>
      </c>
      <c r="AN10" s="104">
        <v>0</v>
      </c>
      <c r="AO10" s="104">
        <v>0</v>
      </c>
      <c r="AP10" s="104">
        <v>0</v>
      </c>
      <c r="AQ10" s="104">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0.70044573819703437</v>
      </c>
      <c r="J11" s="96">
        <f t="shared" si="5"/>
        <v>28.200445738197033</v>
      </c>
      <c r="K11" s="96">
        <f t="shared" si="8"/>
        <v>564.00891476394065</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v>0</v>
      </c>
      <c r="AK11" s="91">
        <v>0</v>
      </c>
      <c r="AL11" s="91">
        <f ca="1">SUMIFS('Tổng Đơn'!$F:$F,'Tổng Đơn'!$B:$B,$C11)</f>
        <v>0</v>
      </c>
      <c r="AM11" s="104">
        <v>0</v>
      </c>
      <c r="AN11" s="104">
        <v>0</v>
      </c>
      <c r="AO11" s="104">
        <v>0</v>
      </c>
      <c r="AP11" s="104">
        <v>0</v>
      </c>
      <c r="AQ11" s="104">
        <v>0</v>
      </c>
      <c r="AR11" s="104">
        <v>0</v>
      </c>
      <c r="AS11" s="104">
        <v>0</v>
      </c>
      <c r="AT11" s="104">
        <v>0</v>
      </c>
      <c r="AU11" s="104">
        <v>0</v>
      </c>
      <c r="AV11" s="104">
        <v>0</v>
      </c>
      <c r="AX11" s="89">
        <f t="shared" si="6"/>
        <v>0</v>
      </c>
    </row>
    <row r="12" spans="1:50" ht="18.75" x14ac:dyDescent="0.25">
      <c r="A12" s="89">
        <f t="shared" ca="1" si="2"/>
        <v>943.43309378695528</v>
      </c>
      <c r="B12" s="6">
        <v>8</v>
      </c>
      <c r="C12" s="91" t="s">
        <v>8</v>
      </c>
      <c r="D12" s="99">
        <v>115</v>
      </c>
      <c r="E12" s="6">
        <v>0.5</v>
      </c>
      <c r="F12" s="6">
        <v>38</v>
      </c>
      <c r="G12" s="102">
        <f t="shared" si="3"/>
        <v>57.5</v>
      </c>
      <c r="H12" s="105">
        <f t="shared" si="7"/>
        <v>2185</v>
      </c>
      <c r="I12" s="95">
        <f t="shared" si="4"/>
        <v>1.4645683616847085</v>
      </c>
      <c r="J12" s="96">
        <f t="shared" si="5"/>
        <v>58.964568361684705</v>
      </c>
      <c r="K12" s="96">
        <f t="shared" si="8"/>
        <v>2240.653597744019</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v>0</v>
      </c>
      <c r="AK12" s="91">
        <v>0</v>
      </c>
      <c r="AL12" s="91">
        <f ca="1">SUMIFS('Tổng Đơn'!$F:$F,'Tổng Đơn'!$B:$B,$C12)</f>
        <v>0</v>
      </c>
      <c r="AM12" s="104">
        <v>0</v>
      </c>
      <c r="AN12" s="104">
        <v>0</v>
      </c>
      <c r="AO12" s="104">
        <v>0</v>
      </c>
      <c r="AP12" s="104">
        <v>0</v>
      </c>
      <c r="AQ12" s="104">
        <v>0</v>
      </c>
      <c r="AR12" s="104">
        <v>0</v>
      </c>
      <c r="AS12" s="104">
        <v>0</v>
      </c>
      <c r="AT12" s="104">
        <v>0</v>
      </c>
      <c r="AU12" s="104">
        <v>0</v>
      </c>
      <c r="AV12" s="104">
        <v>0</v>
      </c>
      <c r="AX12" s="89">
        <f t="shared" si="6"/>
        <v>0</v>
      </c>
    </row>
    <row r="13" spans="1:50" ht="18.75" x14ac:dyDescent="0.25">
      <c r="A13" s="89">
        <f t="shared" ca="1" si="2"/>
        <v>958.81515509869917</v>
      </c>
      <c r="B13" s="6">
        <v>9</v>
      </c>
      <c r="C13" s="91" t="s">
        <v>9</v>
      </c>
      <c r="D13" s="99">
        <v>85</v>
      </c>
      <c r="E13" s="6">
        <v>0.5</v>
      </c>
      <c r="F13" s="6">
        <v>110</v>
      </c>
      <c r="G13" s="102">
        <f t="shared" si="3"/>
        <v>42.5</v>
      </c>
      <c r="H13" s="105">
        <f t="shared" si="7"/>
        <v>4675</v>
      </c>
      <c r="I13" s="95">
        <f t="shared" si="4"/>
        <v>1.0825070499408715</v>
      </c>
      <c r="J13" s="96">
        <f t="shared" si="5"/>
        <v>43.582507049940872</v>
      </c>
      <c r="K13" s="96">
        <f t="shared" si="8"/>
        <v>4794.0757754934957</v>
      </c>
      <c r="L13" s="103">
        <v>55</v>
      </c>
      <c r="M13" s="94">
        <f t="shared" si="9"/>
        <v>6050</v>
      </c>
      <c r="N13" s="94">
        <f t="shared" ca="1" si="10"/>
        <v>4730</v>
      </c>
      <c r="O13" s="98">
        <f t="shared" ca="1" si="11"/>
        <v>22</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v>1</v>
      </c>
      <c r="AK13" s="91">
        <v>0</v>
      </c>
      <c r="AL13" s="91">
        <f ca="1">SUMIFS('Tổng Đơn'!$F:$F,'Tổng Đơn'!$B:$B,$C13)</f>
        <v>17</v>
      </c>
      <c r="AM13" s="104">
        <v>0</v>
      </c>
      <c r="AN13" s="104">
        <v>0</v>
      </c>
      <c r="AO13" s="104">
        <v>0</v>
      </c>
      <c r="AP13" s="104">
        <v>0</v>
      </c>
      <c r="AQ13" s="104">
        <v>0</v>
      </c>
      <c r="AR13" s="104">
        <v>0</v>
      </c>
      <c r="AS13" s="104">
        <v>0</v>
      </c>
      <c r="AT13" s="104">
        <v>0</v>
      </c>
      <c r="AU13" s="104">
        <v>0</v>
      </c>
      <c r="AV13" s="104">
        <v>0</v>
      </c>
      <c r="AW13" s="89">
        <v>40</v>
      </c>
      <c r="AX13" s="89">
        <f t="shared" si="6"/>
        <v>1700</v>
      </c>
    </row>
    <row r="14" spans="1:50" ht="18.75" x14ac:dyDescent="0.25">
      <c r="A14" s="89">
        <f t="shared" ca="1" si="2"/>
        <v>581.44191758391707</v>
      </c>
      <c r="B14" s="6">
        <v>10</v>
      </c>
      <c r="C14" s="91" t="s">
        <v>10</v>
      </c>
      <c r="D14" s="99">
        <v>54</v>
      </c>
      <c r="E14" s="6">
        <v>0.5</v>
      </c>
      <c r="F14" s="6">
        <v>30</v>
      </c>
      <c r="G14" s="102">
        <f t="shared" si="3"/>
        <v>27</v>
      </c>
      <c r="H14" s="105">
        <f t="shared" si="7"/>
        <v>810</v>
      </c>
      <c r="I14" s="95">
        <f t="shared" si="4"/>
        <v>0.6877103611389066</v>
      </c>
      <c r="J14" s="96">
        <f t="shared" si="5"/>
        <v>27.687710361138908</v>
      </c>
      <c r="K14" s="96">
        <f t="shared" si="8"/>
        <v>830.63131083416727</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v>0</v>
      </c>
      <c r="AK14" s="91">
        <v>0</v>
      </c>
      <c r="AL14" s="91">
        <f ca="1">SUMIFS('Tổng Đơn'!$F:$F,'Tổng Đơn'!$B:$B,$C14)</f>
        <v>0</v>
      </c>
      <c r="AM14" s="104">
        <v>0</v>
      </c>
      <c r="AN14" s="104">
        <v>0</v>
      </c>
      <c r="AO14" s="104">
        <v>0</v>
      </c>
      <c r="AP14" s="104">
        <v>0</v>
      </c>
      <c r="AQ14" s="104">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0.6877103611389066</v>
      </c>
      <c r="J15" s="96">
        <f t="shared" si="5"/>
        <v>27.687710361138908</v>
      </c>
      <c r="K15" s="96">
        <f t="shared" si="8"/>
        <v>276.87710361138909</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v>0</v>
      </c>
      <c r="AK15" s="91">
        <v>0</v>
      </c>
      <c r="AL15" s="91">
        <f ca="1">SUMIFS('Tổng Đơn'!$F:$F,'Tổng Đơn'!$B:$B,$C15)</f>
        <v>0</v>
      </c>
      <c r="AM15" s="104">
        <v>0</v>
      </c>
      <c r="AN15" s="104">
        <v>0</v>
      </c>
      <c r="AO15" s="104">
        <v>0</v>
      </c>
      <c r="AP15" s="104">
        <v>0</v>
      </c>
      <c r="AQ15" s="104">
        <v>0</v>
      </c>
      <c r="AR15" s="104">
        <v>0</v>
      </c>
      <c r="AS15" s="104">
        <v>0</v>
      </c>
      <c r="AT15" s="104">
        <v>0</v>
      </c>
      <c r="AU15" s="104">
        <v>0</v>
      </c>
      <c r="AV15" s="104">
        <v>0</v>
      </c>
      <c r="AX15" s="89">
        <f t="shared" si="6"/>
        <v>0</v>
      </c>
    </row>
    <row r="16" spans="1:50" ht="18.75" x14ac:dyDescent="0.25">
      <c r="A16" s="89">
        <f t="shared" ca="1" si="2"/>
        <v>609.64236332211408</v>
      </c>
      <c r="B16" s="6">
        <v>12</v>
      </c>
      <c r="C16" s="91" t="s">
        <v>12</v>
      </c>
      <c r="D16" s="99">
        <v>41</v>
      </c>
      <c r="E16" s="6">
        <v>0.5</v>
      </c>
      <c r="F16" s="6">
        <v>160</v>
      </c>
      <c r="G16" s="102">
        <f t="shared" si="3"/>
        <v>20.5</v>
      </c>
      <c r="H16" s="105">
        <f t="shared" si="7"/>
        <v>3280</v>
      </c>
      <c r="I16" s="95">
        <f t="shared" si="4"/>
        <v>0.52215045938324389</v>
      </c>
      <c r="J16" s="96">
        <f t="shared" si="5"/>
        <v>21.022150459383244</v>
      </c>
      <c r="K16" s="96">
        <f t="shared" si="8"/>
        <v>3363.544073501319</v>
      </c>
      <c r="L16" s="103">
        <v>26</v>
      </c>
      <c r="M16" s="94">
        <f t="shared" si="9"/>
        <v>4160</v>
      </c>
      <c r="N16" s="94">
        <f t="shared" ca="1" si="10"/>
        <v>3406</v>
      </c>
      <c r="O16" s="98">
        <f t="shared" ca="1" si="11"/>
        <v>29</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v>1</v>
      </c>
      <c r="AK16" s="91">
        <v>2</v>
      </c>
      <c r="AL16" s="91">
        <f ca="1">SUMIFS('Tổng Đơn'!$F:$F,'Tổng Đơn'!$B:$B,$C16)</f>
        <v>2</v>
      </c>
      <c r="AM16" s="104">
        <v>0</v>
      </c>
      <c r="AN16" s="104">
        <v>0</v>
      </c>
      <c r="AO16" s="104">
        <v>0</v>
      </c>
      <c r="AP16" s="104">
        <v>0</v>
      </c>
      <c r="AQ16" s="104">
        <v>0</v>
      </c>
      <c r="AR16" s="104">
        <v>0</v>
      </c>
      <c r="AS16" s="104">
        <v>0</v>
      </c>
      <c r="AT16" s="104">
        <v>0</v>
      </c>
      <c r="AU16" s="104">
        <v>0</v>
      </c>
      <c r="AV16" s="104">
        <v>0</v>
      </c>
      <c r="AX16" s="89">
        <f t="shared" si="6"/>
        <v>0</v>
      </c>
    </row>
    <row r="17" spans="1:50" ht="18.75" x14ac:dyDescent="0.25">
      <c r="A17" s="89">
        <f t="shared" ca="1" si="2"/>
        <v>840.88601837532974</v>
      </c>
      <c r="B17" s="6">
        <v>13</v>
      </c>
      <c r="C17" s="91" t="s">
        <v>13</v>
      </c>
      <c r="D17" s="99">
        <v>41</v>
      </c>
      <c r="E17" s="6">
        <v>0.5</v>
      </c>
      <c r="F17" s="6">
        <v>110</v>
      </c>
      <c r="G17" s="102">
        <f t="shared" si="3"/>
        <v>20.5</v>
      </c>
      <c r="H17" s="105">
        <f t="shared" si="7"/>
        <v>2255</v>
      </c>
      <c r="I17" s="95">
        <f t="shared" si="4"/>
        <v>0.52215045938324389</v>
      </c>
      <c r="J17" s="96">
        <f t="shared" si="5"/>
        <v>21.022150459383244</v>
      </c>
      <c r="K17" s="96">
        <f t="shared" si="8"/>
        <v>2312.4365505321571</v>
      </c>
      <c r="L17" s="103">
        <v>28</v>
      </c>
      <c r="M17" s="94">
        <f t="shared" si="9"/>
        <v>3080</v>
      </c>
      <c r="N17" s="94">
        <f t="shared" ca="1" si="10"/>
        <v>1960</v>
      </c>
      <c r="O17" s="98">
        <f t="shared" ca="1" si="11"/>
        <v>40</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v>1</v>
      </c>
      <c r="AK17" s="91">
        <v>0</v>
      </c>
      <c r="AL17" s="91">
        <f ca="1">SUMIFS('Tổng Đơn'!$F:$F,'Tổng Đơn'!$B:$B,$C17)</f>
        <v>0</v>
      </c>
      <c r="AM17" s="104">
        <v>0</v>
      </c>
      <c r="AN17" s="104">
        <v>0</v>
      </c>
      <c r="AO17" s="104">
        <v>0</v>
      </c>
      <c r="AP17" s="104">
        <v>0</v>
      </c>
      <c r="AQ17" s="104">
        <v>0</v>
      </c>
      <c r="AR17" s="104">
        <v>0</v>
      </c>
      <c r="AS17" s="104">
        <v>0</v>
      </c>
      <c r="AT17" s="104">
        <v>0</v>
      </c>
      <c r="AU17" s="104">
        <v>0</v>
      </c>
      <c r="AV17" s="104">
        <v>0</v>
      </c>
      <c r="AX17" s="89">
        <f t="shared" si="6"/>
        <v>0</v>
      </c>
    </row>
    <row r="18" spans="1:50" ht="18.75" x14ac:dyDescent="0.25">
      <c r="A18" s="89">
        <f t="shared" ca="1" si="2"/>
        <v>225.60356590557626</v>
      </c>
      <c r="B18" s="6">
        <v>14</v>
      </c>
      <c r="C18" s="91" t="s">
        <v>14</v>
      </c>
      <c r="D18" s="99">
        <v>55</v>
      </c>
      <c r="E18" s="6">
        <v>0.5</v>
      </c>
      <c r="F18" s="6">
        <v>270</v>
      </c>
      <c r="G18" s="102">
        <f t="shared" si="3"/>
        <v>27.5</v>
      </c>
      <c r="H18" s="105">
        <f t="shared" si="7"/>
        <v>7425</v>
      </c>
      <c r="I18" s="95">
        <f t="shared" si="4"/>
        <v>0.70044573819703437</v>
      </c>
      <c r="J18" s="96">
        <f t="shared" si="5"/>
        <v>28.200445738197033</v>
      </c>
      <c r="K18" s="96">
        <f t="shared" si="8"/>
        <v>7614.1203493131989</v>
      </c>
      <c r="L18" s="103">
        <v>33</v>
      </c>
      <c r="M18" s="94">
        <f t="shared" si="9"/>
        <v>8910</v>
      </c>
      <c r="N18" s="94">
        <f t="shared" ca="1" si="10"/>
        <v>8646</v>
      </c>
      <c r="O18" s="98">
        <f t="shared" ca="1" si="11"/>
        <v>8</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v>6</v>
      </c>
      <c r="AK18" s="91">
        <v>2</v>
      </c>
      <c r="AL18" s="91">
        <f ca="1">SUMIFS('Tổng Đơn'!$F:$F,'Tổng Đơn'!$B:$B,$C18)</f>
        <v>1</v>
      </c>
      <c r="AM18" s="104">
        <v>0</v>
      </c>
      <c r="AN18" s="104">
        <v>0</v>
      </c>
      <c r="AO18" s="104">
        <v>0</v>
      </c>
      <c r="AP18" s="104">
        <v>0</v>
      </c>
      <c r="AQ18" s="104">
        <v>0</v>
      </c>
      <c r="AR18" s="104">
        <v>0</v>
      </c>
      <c r="AS18" s="104">
        <v>0</v>
      </c>
      <c r="AT18" s="104">
        <v>0</v>
      </c>
      <c r="AU18" s="104">
        <v>0</v>
      </c>
      <c r="AV18" s="104">
        <v>0</v>
      </c>
      <c r="AW18" s="89">
        <v>50</v>
      </c>
      <c r="AX18" s="89">
        <f t="shared" si="6"/>
        <v>1375</v>
      </c>
    </row>
    <row r="19" spans="1:50" ht="18.75" x14ac:dyDescent="0.25">
      <c r="A19" s="89">
        <f t="shared" ca="1" si="2"/>
        <v>153.82061311743837</v>
      </c>
      <c r="B19" s="6">
        <v>15</v>
      </c>
      <c r="C19" s="91" t="s">
        <v>15</v>
      </c>
      <c r="D19" s="99">
        <v>60</v>
      </c>
      <c r="E19" s="6">
        <v>0.5</v>
      </c>
      <c r="F19" s="6">
        <v>10</v>
      </c>
      <c r="G19" s="102">
        <f t="shared" si="3"/>
        <v>30</v>
      </c>
      <c r="H19" s="105">
        <f t="shared" si="7"/>
        <v>300</v>
      </c>
      <c r="I19" s="95">
        <f t="shared" si="4"/>
        <v>0.76412262348767401</v>
      </c>
      <c r="J19" s="96">
        <f t="shared" si="5"/>
        <v>30.764122623487673</v>
      </c>
      <c r="K19" s="96">
        <f t="shared" si="8"/>
        <v>307.64122623487674</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v>0</v>
      </c>
      <c r="AK19" s="91">
        <v>0</v>
      </c>
      <c r="AL19" s="91">
        <f ca="1">SUMIFS('Tổng Đơn'!$F:$F,'Tổng Đơn'!$B:$B,$C19)</f>
        <v>0</v>
      </c>
      <c r="AM19" s="104">
        <v>0</v>
      </c>
      <c r="AN19" s="104">
        <v>0</v>
      </c>
      <c r="AO19" s="104">
        <v>0</v>
      </c>
      <c r="AP19" s="104">
        <v>0</v>
      </c>
      <c r="AQ19" s="104">
        <v>0</v>
      </c>
      <c r="AR19" s="104">
        <v>0</v>
      </c>
      <c r="AS19" s="104">
        <v>0</v>
      </c>
      <c r="AT19" s="104">
        <v>0</v>
      </c>
      <c r="AU19" s="104">
        <v>0</v>
      </c>
      <c r="AV19" s="104">
        <v>0</v>
      </c>
      <c r="AX19" s="89">
        <f t="shared" si="6"/>
        <v>0</v>
      </c>
    </row>
    <row r="20" spans="1:50" ht="18.75" x14ac:dyDescent="0.25">
      <c r="A20" s="89">
        <f t="shared" ca="1" si="2"/>
        <v>55.375420722277816</v>
      </c>
      <c r="B20" s="6">
        <v>16</v>
      </c>
      <c r="C20" s="91" t="s">
        <v>162</v>
      </c>
      <c r="D20" s="99">
        <v>54</v>
      </c>
      <c r="E20" s="6">
        <v>0.5</v>
      </c>
      <c r="F20" s="6">
        <v>10</v>
      </c>
      <c r="G20" s="102">
        <f t="shared" si="3"/>
        <v>27</v>
      </c>
      <c r="H20" s="105">
        <f t="shared" ref="H20:H25" si="12">G20*F20</f>
        <v>270</v>
      </c>
      <c r="I20" s="95">
        <f t="shared" si="4"/>
        <v>0.6877103611389066</v>
      </c>
      <c r="J20" s="96">
        <f t="shared" ref="J20:J25" si="13">G20+I20</f>
        <v>27.687710361138908</v>
      </c>
      <c r="K20" s="96">
        <f t="shared" ref="K20:K25" si="14">J20*F20</f>
        <v>276.87710361138909</v>
      </c>
      <c r="L20" s="103">
        <v>45</v>
      </c>
      <c r="M20" s="94">
        <f t="shared" ref="M20:M25" si="15">L20*F20</f>
        <v>450</v>
      </c>
      <c r="N20" s="94">
        <f t="shared" ca="1" si="10"/>
        <v>405</v>
      </c>
      <c r="O20" s="98">
        <f t="shared" ca="1"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v>0</v>
      </c>
      <c r="AK20" s="91">
        <v>0</v>
      </c>
      <c r="AL20" s="91">
        <f ca="1">SUMIFS('Tổng Đơn'!$F:$F,'Tổng Đơn'!$B:$B,$C20)</f>
        <v>0</v>
      </c>
      <c r="AM20" s="104">
        <v>0</v>
      </c>
      <c r="AN20" s="104">
        <v>0</v>
      </c>
      <c r="AO20" s="104">
        <v>0</v>
      </c>
      <c r="AP20" s="104">
        <v>0</v>
      </c>
      <c r="AQ20" s="104">
        <v>0</v>
      </c>
      <c r="AR20" s="104">
        <v>0</v>
      </c>
      <c r="AS20" s="104">
        <v>0</v>
      </c>
      <c r="AT20" s="104">
        <v>0</v>
      </c>
      <c r="AU20" s="104">
        <v>0</v>
      </c>
      <c r="AV20" s="104">
        <v>0</v>
      </c>
      <c r="AX20" s="89">
        <f t="shared" si="6"/>
        <v>0</v>
      </c>
    </row>
    <row r="21" spans="1:50" ht="18.75" x14ac:dyDescent="0.25">
      <c r="A21" s="89">
        <f t="shared" ca="1" si="2"/>
        <v>1684.8484490130081</v>
      </c>
      <c r="B21" s="6">
        <v>17</v>
      </c>
      <c r="C21" s="91" t="s">
        <v>139</v>
      </c>
      <c r="D21" s="99">
        <v>62</v>
      </c>
      <c r="E21" s="6">
        <v>0.5</v>
      </c>
      <c r="F21" s="6">
        <v>135</v>
      </c>
      <c r="G21" s="102">
        <f t="shared" si="3"/>
        <v>31</v>
      </c>
      <c r="H21" s="105">
        <f t="shared" si="12"/>
        <v>4185</v>
      </c>
      <c r="I21" s="95">
        <f t="shared" si="4"/>
        <v>0.78959337760392978</v>
      </c>
      <c r="J21" s="96">
        <f t="shared" si="13"/>
        <v>31.789593377603929</v>
      </c>
      <c r="K21" s="96">
        <f t="shared" si="14"/>
        <v>4291.5951059765302</v>
      </c>
      <c r="L21" s="103">
        <v>40</v>
      </c>
      <c r="M21" s="94">
        <f t="shared" si="15"/>
        <v>5400</v>
      </c>
      <c r="N21" s="94">
        <f t="shared" ca="1" si="10"/>
        <v>3280</v>
      </c>
      <c r="O21" s="98">
        <f t="shared" ca="1" si="11"/>
        <v>53</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v>4</v>
      </c>
      <c r="AK21" s="91">
        <v>1</v>
      </c>
      <c r="AL21" s="91">
        <f ca="1">SUMIFS('Tổng Đơn'!$F:$F,'Tổng Đơn'!$B:$B,$C21)</f>
        <v>0</v>
      </c>
      <c r="AM21" s="104">
        <v>0</v>
      </c>
      <c r="AN21" s="104">
        <v>0</v>
      </c>
      <c r="AO21" s="104">
        <v>0</v>
      </c>
      <c r="AP21" s="104">
        <v>0</v>
      </c>
      <c r="AQ21" s="104">
        <v>0</v>
      </c>
      <c r="AR21" s="104">
        <v>0</v>
      </c>
      <c r="AS21" s="104">
        <v>0</v>
      </c>
      <c r="AT21" s="104">
        <v>0</v>
      </c>
      <c r="AU21" s="104">
        <v>0</v>
      </c>
      <c r="AV21" s="104">
        <v>0</v>
      </c>
      <c r="AX21" s="89">
        <f t="shared" si="6"/>
        <v>0</v>
      </c>
    </row>
    <row r="22" spans="1:50" ht="18.75" x14ac:dyDescent="0.25">
      <c r="A22" s="89">
        <f t="shared" ca="1" si="2"/>
        <v>242.52383334849449</v>
      </c>
      <c r="B22" s="6">
        <v>18</v>
      </c>
      <c r="C22" s="91" t="s">
        <v>140</v>
      </c>
      <c r="D22" s="99">
        <v>43</v>
      </c>
      <c r="E22" s="6">
        <v>0.5</v>
      </c>
      <c r="F22" s="6">
        <v>25</v>
      </c>
      <c r="G22" s="102">
        <f t="shared" si="3"/>
        <v>21.5</v>
      </c>
      <c r="H22" s="105">
        <f t="shared" si="12"/>
        <v>537.5</v>
      </c>
      <c r="I22" s="95">
        <f t="shared" si="4"/>
        <v>0.54762121349949977</v>
      </c>
      <c r="J22" s="96">
        <f t="shared" si="13"/>
        <v>22.0476212134995</v>
      </c>
      <c r="K22" s="96">
        <f t="shared" si="14"/>
        <v>551.19053033748753</v>
      </c>
      <c r="L22" s="103">
        <v>35</v>
      </c>
      <c r="M22" s="94">
        <f t="shared" si="15"/>
        <v>875</v>
      </c>
      <c r="N22" s="94">
        <f t="shared" ca="1" si="10"/>
        <v>490</v>
      </c>
      <c r="O22" s="98">
        <f t="shared" ca="1" si="11"/>
        <v>11</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v>0</v>
      </c>
      <c r="AK22" s="91">
        <v>0</v>
      </c>
      <c r="AL22" s="91">
        <f ca="1">SUMIFS('Tổng Đơn'!$F:$F,'Tổng Đơn'!$B:$B,$C22)</f>
        <v>0</v>
      </c>
      <c r="AM22" s="104">
        <v>0</v>
      </c>
      <c r="AN22" s="104">
        <v>0</v>
      </c>
      <c r="AO22" s="104">
        <v>0</v>
      </c>
      <c r="AP22" s="104">
        <v>0</v>
      </c>
      <c r="AQ22" s="104">
        <v>0</v>
      </c>
      <c r="AR22" s="104">
        <v>0</v>
      </c>
      <c r="AS22" s="104">
        <v>0</v>
      </c>
      <c r="AT22" s="104">
        <v>0</v>
      </c>
      <c r="AU22" s="104">
        <v>0</v>
      </c>
      <c r="AV22" s="104">
        <v>0</v>
      </c>
      <c r="AX22" s="89">
        <f t="shared" si="6"/>
        <v>0</v>
      </c>
    </row>
    <row r="23" spans="1:50" ht="18.75" x14ac:dyDescent="0.25">
      <c r="A23" s="89">
        <f t="shared" ca="1" si="2"/>
        <v>602.20770035477119</v>
      </c>
      <c r="B23" s="6">
        <v>19</v>
      </c>
      <c r="C23" s="91" t="s">
        <v>175</v>
      </c>
      <c r="D23" s="99">
        <v>43.5</v>
      </c>
      <c r="E23" s="6">
        <v>0.5</v>
      </c>
      <c r="F23" s="6">
        <v>70</v>
      </c>
      <c r="G23" s="102">
        <f t="shared" si="3"/>
        <v>21.75</v>
      </c>
      <c r="H23" s="105">
        <f t="shared" si="12"/>
        <v>1522.5</v>
      </c>
      <c r="I23" s="95">
        <f t="shared" si="4"/>
        <v>0.55398890202856366</v>
      </c>
      <c r="J23" s="96">
        <f t="shared" si="13"/>
        <v>22.303988902028564</v>
      </c>
      <c r="K23" s="96">
        <f t="shared" si="14"/>
        <v>1561.2792231419994</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v>1</v>
      </c>
      <c r="AK23" s="91">
        <v>0</v>
      </c>
      <c r="AL23" s="91">
        <f ca="1">SUMIFS('Tổng Đơn'!$F:$F,'Tổng Đơn'!$B:$B,$C23)</f>
        <v>0</v>
      </c>
      <c r="AM23" s="104">
        <v>0</v>
      </c>
      <c r="AN23" s="104">
        <v>0</v>
      </c>
      <c r="AO23" s="104">
        <v>0</v>
      </c>
      <c r="AP23" s="104">
        <v>0</v>
      </c>
      <c r="AQ23" s="104">
        <v>0</v>
      </c>
      <c r="AR23" s="104">
        <v>0</v>
      </c>
      <c r="AS23" s="104">
        <v>0</v>
      </c>
      <c r="AT23" s="104">
        <v>0</v>
      </c>
      <c r="AU23" s="104">
        <v>0</v>
      </c>
      <c r="AV23" s="104">
        <v>0</v>
      </c>
      <c r="AX23" s="89">
        <f t="shared" si="6"/>
        <v>0</v>
      </c>
    </row>
    <row r="24" spans="1:50" ht="18.75" x14ac:dyDescent="0.25">
      <c r="A24" s="89">
        <f t="shared" ca="1" si="2"/>
        <v>479.92031292640775</v>
      </c>
      <c r="B24" s="6">
        <v>20</v>
      </c>
      <c r="C24" s="91" t="s">
        <v>173</v>
      </c>
      <c r="D24" s="99">
        <v>39</v>
      </c>
      <c r="E24" s="6">
        <v>1</v>
      </c>
      <c r="F24" s="6">
        <v>65</v>
      </c>
      <c r="G24" s="102">
        <f t="shared" si="3"/>
        <v>39</v>
      </c>
      <c r="H24" s="105">
        <f t="shared" si="12"/>
        <v>2535</v>
      </c>
      <c r="I24" s="95">
        <f t="shared" si="4"/>
        <v>0.99335941053397614</v>
      </c>
      <c r="J24" s="96">
        <f t="shared" si="13"/>
        <v>39.993359410533976</v>
      </c>
      <c r="K24" s="96">
        <f t="shared" si="14"/>
        <v>2599.5683616847086</v>
      </c>
      <c r="L24" s="103">
        <v>45</v>
      </c>
      <c r="M24" s="94">
        <f t="shared" si="15"/>
        <v>2925</v>
      </c>
      <c r="N24" s="94">
        <f t="shared" ca="1" si="10"/>
        <v>2385</v>
      </c>
      <c r="O24" s="98">
        <f t="shared" ca="1" si="11"/>
        <v>12</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v>2</v>
      </c>
      <c r="AK24" s="91">
        <v>3</v>
      </c>
      <c r="AL24" s="91">
        <f ca="1">SUMIFS('Tổng Đơn'!$F:$F,'Tổng Đơn'!$B:$B,$C24)</f>
        <v>4</v>
      </c>
      <c r="AM24" s="104">
        <v>0</v>
      </c>
      <c r="AN24" s="104">
        <v>0</v>
      </c>
      <c r="AO24" s="104">
        <v>0</v>
      </c>
      <c r="AP24" s="104">
        <v>0</v>
      </c>
      <c r="AQ24" s="104">
        <v>0</v>
      </c>
      <c r="AR24" s="104">
        <v>0</v>
      </c>
      <c r="AS24" s="104">
        <v>0</v>
      </c>
      <c r="AT24" s="104">
        <v>0</v>
      </c>
      <c r="AU24" s="104">
        <v>0</v>
      </c>
      <c r="AV24" s="104">
        <v>0</v>
      </c>
      <c r="AW24" s="89">
        <v>30</v>
      </c>
      <c r="AX24" s="89">
        <f t="shared" si="6"/>
        <v>1170</v>
      </c>
    </row>
    <row r="25" spans="1:50" ht="18.75" x14ac:dyDescent="0.25">
      <c r="A25" s="89">
        <f t="shared" ca="1" si="2"/>
        <v>1635.6258528154281</v>
      </c>
      <c r="B25" s="6">
        <v>21</v>
      </c>
      <c r="C25" s="91" t="s">
        <v>171</v>
      </c>
      <c r="D25" s="99">
        <v>145</v>
      </c>
      <c r="E25" s="6">
        <v>0.5</v>
      </c>
      <c r="F25" s="6">
        <v>56</v>
      </c>
      <c r="G25" s="102">
        <f t="shared" si="3"/>
        <v>72.5</v>
      </c>
      <c r="H25" s="105">
        <f t="shared" si="12"/>
        <v>4060</v>
      </c>
      <c r="I25" s="95">
        <f t="shared" si="4"/>
        <v>1.8466296734285454</v>
      </c>
      <c r="J25" s="96">
        <f t="shared" si="13"/>
        <v>74.346629673428552</v>
      </c>
      <c r="K25" s="96">
        <f t="shared" si="14"/>
        <v>4163.411261711999</v>
      </c>
      <c r="L25" s="103">
        <v>80</v>
      </c>
      <c r="M25" s="94">
        <f t="shared" si="15"/>
        <v>4480</v>
      </c>
      <c r="N25" s="94">
        <f t="shared" ca="1" si="10"/>
        <v>2720</v>
      </c>
      <c r="O25" s="98">
        <f t="shared" ca="1" si="11"/>
        <v>22</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v>0</v>
      </c>
      <c r="AK25" s="91">
        <v>0</v>
      </c>
      <c r="AL25" s="91">
        <f ca="1">SUMIFS('Tổng Đơn'!$F:$F,'Tổng Đơn'!$B:$B,$C25)</f>
        <v>2</v>
      </c>
      <c r="AM25" s="104">
        <v>0</v>
      </c>
      <c r="AN25" s="104">
        <v>0</v>
      </c>
      <c r="AO25" s="104">
        <v>0</v>
      </c>
      <c r="AP25" s="104">
        <v>0</v>
      </c>
      <c r="AQ25" s="104">
        <v>0</v>
      </c>
      <c r="AR25" s="104">
        <v>0</v>
      </c>
      <c r="AS25" s="104">
        <v>0</v>
      </c>
      <c r="AT25" s="104">
        <v>0</v>
      </c>
      <c r="AU25" s="104">
        <v>0</v>
      </c>
      <c r="AV25" s="104">
        <v>0</v>
      </c>
      <c r="AW25" s="89">
        <v>20</v>
      </c>
      <c r="AX25" s="89">
        <f t="shared" si="6"/>
        <v>1450</v>
      </c>
    </row>
    <row r="26" spans="1:50" ht="18.75" x14ac:dyDescent="0.25">
      <c r="A26" s="89">
        <f t="shared" ca="1" si="2"/>
        <v>569.13626853452195</v>
      </c>
      <c r="B26" s="6">
        <v>22</v>
      </c>
      <c r="C26" s="91" t="s">
        <v>177</v>
      </c>
      <c r="D26" s="99">
        <v>74</v>
      </c>
      <c r="E26" s="6">
        <v>0.5</v>
      </c>
      <c r="F26" s="6">
        <v>60</v>
      </c>
      <c r="G26" s="102">
        <f t="shared" si="3"/>
        <v>37</v>
      </c>
      <c r="H26" s="105">
        <f t="shared" ref="H26" si="16">G26*F26</f>
        <v>2220</v>
      </c>
      <c r="I26" s="95">
        <f t="shared" si="4"/>
        <v>0.94241790230146461</v>
      </c>
      <c r="J26" s="96">
        <f t="shared" ref="J26" si="17">G26+I26</f>
        <v>37.942417902301464</v>
      </c>
      <c r="K26" s="96">
        <f t="shared" ref="K26" si="18">J26*F26</f>
        <v>2276.5450741380878</v>
      </c>
      <c r="L26" s="103">
        <v>42</v>
      </c>
      <c r="M26" s="94">
        <f t="shared" ref="M26" si="19">L26*F26</f>
        <v>2520</v>
      </c>
      <c r="N26" s="94">
        <f t="shared" ca="1" si="10"/>
        <v>1848</v>
      </c>
      <c r="O26" s="98">
        <f t="shared" ca="1" si="11"/>
        <v>15</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v>2</v>
      </c>
      <c r="AK26" s="91">
        <v>1</v>
      </c>
      <c r="AL26" s="91">
        <f ca="1">SUMIFS('Tổng Đơn'!$F:$F,'Tổng Đơn'!$B:$B,$C26)</f>
        <v>1</v>
      </c>
      <c r="AM26" s="104">
        <v>0</v>
      </c>
      <c r="AN26" s="104">
        <v>0</v>
      </c>
      <c r="AO26" s="104">
        <v>0</v>
      </c>
      <c r="AP26" s="104">
        <v>0</v>
      </c>
      <c r="AQ26" s="104">
        <v>0</v>
      </c>
      <c r="AR26" s="104">
        <v>0</v>
      </c>
      <c r="AS26" s="104">
        <v>0</v>
      </c>
      <c r="AT26" s="104">
        <v>0</v>
      </c>
      <c r="AU26" s="104">
        <v>0</v>
      </c>
      <c r="AV26" s="104">
        <v>0</v>
      </c>
      <c r="AX26" s="89">
        <f t="shared" si="6"/>
        <v>0</v>
      </c>
    </row>
    <row r="27" spans="1:50" ht="18.75" x14ac:dyDescent="0.25">
      <c r="A27" s="89">
        <f t="shared" ca="1" si="2"/>
        <v>60.502774492859089</v>
      </c>
      <c r="B27" s="6">
        <v>23</v>
      </c>
      <c r="C27" s="91" t="s">
        <v>179</v>
      </c>
      <c r="D27" s="99">
        <v>59</v>
      </c>
      <c r="E27" s="6">
        <v>0.5</v>
      </c>
      <c r="F27" s="6">
        <v>10</v>
      </c>
      <c r="G27" s="102">
        <f t="shared" si="3"/>
        <v>29.5</v>
      </c>
      <c r="H27" s="105">
        <f t="shared" ref="H27:H30" si="20">G27*F27</f>
        <v>295</v>
      </c>
      <c r="I27" s="95">
        <f t="shared" si="4"/>
        <v>0.75138724642954613</v>
      </c>
      <c r="J27" s="96">
        <f t="shared" ref="J27:J28" si="21">G27+I27</f>
        <v>30.251387246429545</v>
      </c>
      <c r="K27" s="96">
        <f t="shared" ref="K27:K28" si="22">J27*F27</f>
        <v>302.51387246429545</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v>0</v>
      </c>
      <c r="AK27" s="91">
        <v>0</v>
      </c>
      <c r="AL27" s="91">
        <f ca="1">SUMIFS('Tổng Đơn'!$F:$F,'Tổng Đơn'!$B:$B,$C27)</f>
        <v>0</v>
      </c>
      <c r="AM27" s="104">
        <v>0</v>
      </c>
      <c r="AN27" s="104">
        <v>0</v>
      </c>
      <c r="AO27" s="104">
        <v>0</v>
      </c>
      <c r="AP27" s="104">
        <v>0</v>
      </c>
      <c r="AQ27" s="104">
        <v>0</v>
      </c>
      <c r="AR27" s="104">
        <v>0</v>
      </c>
      <c r="AS27" s="104">
        <v>0</v>
      </c>
      <c r="AT27" s="104">
        <v>0</v>
      </c>
      <c r="AU27" s="104">
        <v>0</v>
      </c>
      <c r="AV27" s="104">
        <v>0</v>
      </c>
      <c r="AX27" s="89">
        <f t="shared" si="6"/>
        <v>0</v>
      </c>
    </row>
    <row r="28" spans="1:50" ht="18.75" x14ac:dyDescent="0.25">
      <c r="A28" s="89">
        <f t="shared" ca="1" si="2"/>
        <v>549.13958882925499</v>
      </c>
      <c r="B28" s="6">
        <v>24</v>
      </c>
      <c r="C28" s="91" t="s">
        <v>180</v>
      </c>
      <c r="D28" s="99">
        <v>63</v>
      </c>
      <c r="E28" s="6">
        <v>0.5</v>
      </c>
      <c r="F28" s="6">
        <v>30</v>
      </c>
      <c r="G28" s="102">
        <f t="shared" si="3"/>
        <v>31.5</v>
      </c>
      <c r="H28" s="105">
        <f t="shared" si="20"/>
        <v>945</v>
      </c>
      <c r="I28" s="95">
        <f t="shared" si="4"/>
        <v>0.80232875466205766</v>
      </c>
      <c r="J28" s="96">
        <f t="shared" si="21"/>
        <v>32.302328754662057</v>
      </c>
      <c r="K28" s="96">
        <f t="shared" si="22"/>
        <v>969.06986263986164</v>
      </c>
      <c r="L28" s="103">
        <v>38</v>
      </c>
      <c r="M28" s="94">
        <f t="shared" si="23"/>
        <v>1140</v>
      </c>
      <c r="N28" s="94">
        <f t="shared" ca="1" si="10"/>
        <v>494</v>
      </c>
      <c r="O28" s="98">
        <f t="shared" ca="1" si="11"/>
        <v>17</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v>0</v>
      </c>
      <c r="AK28" s="91">
        <v>0</v>
      </c>
      <c r="AL28" s="91">
        <f ca="1">SUMIFS('Tổng Đơn'!$F:$F,'Tổng Đơn'!$B:$B,$C28)</f>
        <v>0</v>
      </c>
      <c r="AM28" s="104">
        <v>0</v>
      </c>
      <c r="AN28" s="104">
        <v>0</v>
      </c>
      <c r="AO28" s="104">
        <v>0</v>
      </c>
      <c r="AP28" s="104">
        <v>0</v>
      </c>
      <c r="AQ28" s="104">
        <v>0</v>
      </c>
      <c r="AR28" s="104">
        <v>0</v>
      </c>
      <c r="AS28" s="104">
        <v>0</v>
      </c>
      <c r="AT28" s="104">
        <v>0</v>
      </c>
      <c r="AU28" s="104">
        <v>0</v>
      </c>
      <c r="AV28" s="104">
        <v>0</v>
      </c>
      <c r="AX28" s="89">
        <f t="shared" si="6"/>
        <v>0</v>
      </c>
    </row>
    <row r="29" spans="1:50" ht="18.75" x14ac:dyDescent="0.25">
      <c r="A29" s="89">
        <f t="shared" ca="1" si="2"/>
        <v>1394.6402255981079</v>
      </c>
      <c r="B29" s="6">
        <v>25</v>
      </c>
      <c r="C29" s="91" t="s">
        <v>205</v>
      </c>
      <c r="D29" s="99">
        <v>85</v>
      </c>
      <c r="E29" s="6">
        <v>0.5</v>
      </c>
      <c r="F29" s="6">
        <v>50</v>
      </c>
      <c r="G29" s="102">
        <f t="shared" si="3"/>
        <v>42.5</v>
      </c>
      <c r="H29" s="105">
        <f t="shared" si="20"/>
        <v>2125</v>
      </c>
      <c r="I29" s="95">
        <f t="shared" ref="I29:I30" si="24">((H29/$H$4)*$A$2)/F29</f>
        <v>1.0825070499408715</v>
      </c>
      <c r="J29" s="96">
        <f t="shared" ref="J29:J30" si="25">G29+I29</f>
        <v>43.582507049940872</v>
      </c>
      <c r="K29" s="96">
        <f t="shared" ref="K29:K30" si="26">J29*F29</f>
        <v>2179.1253524970434</v>
      </c>
      <c r="L29" s="103">
        <v>47</v>
      </c>
      <c r="M29" s="94">
        <f t="shared" ref="M29:M30" si="27">L29*F29</f>
        <v>2350</v>
      </c>
      <c r="N29" s="94">
        <f t="shared" ca="1" si="10"/>
        <v>846</v>
      </c>
      <c r="O29" s="98">
        <f t="shared" ref="O29:O32" ca="1" si="28">F29-SUM(Q29:AV29)-P29</f>
        <v>32</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v>0</v>
      </c>
      <c r="AK29" s="91">
        <v>0</v>
      </c>
      <c r="AL29" s="91">
        <f ca="1">SUMIFS('Tổng Đơn'!$F:$F,'Tổng Đơn'!$B:$B,$C29)</f>
        <v>2</v>
      </c>
      <c r="AM29" s="104">
        <v>0</v>
      </c>
      <c r="AN29" s="104">
        <v>0</v>
      </c>
      <c r="AO29" s="104">
        <v>0</v>
      </c>
      <c r="AP29" s="104">
        <v>0</v>
      </c>
      <c r="AQ29" s="104">
        <v>0</v>
      </c>
      <c r="AR29" s="104">
        <v>0</v>
      </c>
      <c r="AS29" s="104">
        <v>0</v>
      </c>
      <c r="AT29" s="104">
        <v>0</v>
      </c>
      <c r="AU29" s="104">
        <v>0</v>
      </c>
      <c r="AV29" s="104">
        <v>0</v>
      </c>
      <c r="AX29" s="89">
        <f t="shared" si="6"/>
        <v>0</v>
      </c>
    </row>
    <row r="30" spans="1:50" ht="18.75" x14ac:dyDescent="0.25">
      <c r="A30" s="89">
        <f t="shared" ca="1" si="2"/>
        <v>758.33562266897115</v>
      </c>
      <c r="B30" s="6">
        <v>26</v>
      </c>
      <c r="C30" s="91" t="s">
        <v>208</v>
      </c>
      <c r="D30" s="99">
        <v>87</v>
      </c>
      <c r="E30" s="6">
        <v>0.5</v>
      </c>
      <c r="F30" s="6">
        <v>20</v>
      </c>
      <c r="G30" s="102">
        <f>D30/2</f>
        <v>43.5</v>
      </c>
      <c r="H30" s="105">
        <f t="shared" si="20"/>
        <v>870</v>
      </c>
      <c r="I30" s="95">
        <f t="shared" si="24"/>
        <v>1.1079778040571271</v>
      </c>
      <c r="J30" s="96">
        <f t="shared" si="25"/>
        <v>44.607977804057128</v>
      </c>
      <c r="K30" s="96">
        <f t="shared" si="26"/>
        <v>892.15955608114257</v>
      </c>
      <c r="L30" s="103">
        <v>50</v>
      </c>
      <c r="M30" s="94">
        <f t="shared" si="27"/>
        <v>1000</v>
      </c>
      <c r="N30" s="94">
        <f t="shared" ca="1" si="10"/>
        <v>150</v>
      </c>
      <c r="O30" s="98">
        <f t="shared" ca="1" si="28"/>
        <v>17</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v>0</v>
      </c>
      <c r="AK30" s="91">
        <v>0</v>
      </c>
      <c r="AL30" s="91">
        <f ca="1">SUMIFS('Tổng Đơn'!$F:$F,'Tổng Đơn'!$B:$B,$C30)</f>
        <v>2</v>
      </c>
      <c r="AM30" s="104">
        <v>0</v>
      </c>
      <c r="AN30" s="104">
        <v>0</v>
      </c>
      <c r="AO30" s="104">
        <v>0</v>
      </c>
      <c r="AP30" s="104">
        <v>0</v>
      </c>
      <c r="AQ30" s="104">
        <v>0</v>
      </c>
      <c r="AR30" s="104">
        <v>0</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91"/>
      <c r="AL31" s="91"/>
      <c r="AM31" s="104"/>
      <c r="AN31" s="104"/>
      <c r="AO31" s="104"/>
      <c r="AP31" s="104"/>
      <c r="AQ31" s="104"/>
      <c r="AR31" s="104"/>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91"/>
      <c r="AL32" s="91"/>
      <c r="AM32" s="104"/>
      <c r="AN32" s="104"/>
      <c r="AO32" s="104"/>
      <c r="AP32" s="104"/>
      <c r="AQ32" s="104"/>
      <c r="AR32" s="104"/>
      <c r="AS32" s="104"/>
      <c r="AT32" s="104"/>
      <c r="AU32" s="104"/>
      <c r="AV32" s="104"/>
      <c r="AX32" s="89">
        <f t="shared" si="6"/>
        <v>0</v>
      </c>
    </row>
  </sheetData>
  <autoFilter ref="B4:AW32"/>
  <mergeCells count="1">
    <mergeCell ref="B1:M1"/>
  </mergeCells>
  <conditionalFormatting sqref="C6:C19">
    <cfRule type="expression" dxfId="546" priority="19">
      <formula>($O6/$O6)&lt;=1/4</formula>
    </cfRule>
  </conditionalFormatting>
  <conditionalFormatting sqref="C20">
    <cfRule type="expression" dxfId="545" priority="18">
      <formula>($O20/$O20)&lt;=1/4</formula>
    </cfRule>
  </conditionalFormatting>
  <conditionalFormatting sqref="C21">
    <cfRule type="expression" dxfId="544" priority="16">
      <formula>($O21/$O21)&lt;=1/4</formula>
    </cfRule>
  </conditionalFormatting>
  <conditionalFormatting sqref="C22">
    <cfRule type="expression" dxfId="543" priority="14">
      <formula>($O22/$O22)&lt;=1/4</formula>
    </cfRule>
  </conditionalFormatting>
  <conditionalFormatting sqref="C23">
    <cfRule type="expression" dxfId="542" priority="12">
      <formula>($O23/$O23)&lt;=1/4</formula>
    </cfRule>
  </conditionalFormatting>
  <conditionalFormatting sqref="C24:C25">
    <cfRule type="expression" dxfId="541" priority="10">
      <formula>($O24/$O24)&lt;=1/4</formula>
    </cfRule>
  </conditionalFormatting>
  <conditionalFormatting sqref="C26">
    <cfRule type="expression" dxfId="540" priority="8">
      <formula>($O26/$O26)&lt;=1/4</formula>
    </cfRule>
  </conditionalFormatting>
  <conditionalFormatting sqref="C27:C28">
    <cfRule type="expression" dxfId="539" priority="6">
      <formula>($O27/$O27)&lt;=1/4</formula>
    </cfRule>
  </conditionalFormatting>
  <conditionalFormatting sqref="C5:C28">
    <cfRule type="expression" dxfId="538" priority="20">
      <formula>($O5/$F5)&lt;=1/4</formula>
    </cfRule>
  </conditionalFormatting>
  <conditionalFormatting sqref="C29">
    <cfRule type="expression" dxfId="537" priority="3">
      <formula>($O29/$O29)&lt;=1/4</formula>
    </cfRule>
  </conditionalFormatting>
  <conditionalFormatting sqref="C29">
    <cfRule type="expression" dxfId="536" priority="4">
      <formula>($O29/$F29)&lt;=1/4</formula>
    </cfRule>
  </conditionalFormatting>
  <conditionalFormatting sqref="C30:C32">
    <cfRule type="expression" dxfId="535" priority="1">
      <formula>($O30/$O30)&lt;=1/4</formula>
    </cfRule>
  </conditionalFormatting>
  <conditionalFormatting sqref="C30:C32">
    <cfRule type="expression" dxfId="534"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16" t="s">
        <v>66</v>
      </c>
      <c r="B1" s="216"/>
      <c r="C1" s="216"/>
      <c r="E1" s="216" t="s">
        <v>66</v>
      </c>
      <c r="F1" s="216"/>
      <c r="G1" s="21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0"/>
  <sheetViews>
    <sheetView topLeftCell="D1" workbookViewId="0">
      <selection activeCell="I12" sqref="I12"/>
    </sheetView>
  </sheetViews>
  <sheetFormatPr defaultRowHeight="15" x14ac:dyDescent="0.25"/>
  <cols>
    <col min="1" max="1" width="19" customWidth="1"/>
    <col min="3" max="3" width="25.7109375" customWidth="1"/>
    <col min="4" max="4" width="16" customWidth="1"/>
    <col min="7" max="7" width="25.85546875" customWidth="1"/>
    <col min="8" max="8" width="18.28515625" customWidth="1"/>
    <col min="9" max="9" width="17.7109375" customWidth="1"/>
    <col min="10" max="10" width="49.85546875" customWidth="1"/>
    <col min="12" max="12" width="14.85546875" bestFit="1" customWidth="1"/>
  </cols>
  <sheetData>
    <row r="1" spans="1:17" ht="27.75" customHeight="1" x14ac:dyDescent="0.25">
      <c r="B1" s="53">
        <f>SUBTOTAL(9,B2:B182)</f>
        <v>500</v>
      </c>
      <c r="C1" s="53"/>
      <c r="D1" s="204">
        <f>SUBTOTAL(9,D2:D182)</f>
        <v>28201</v>
      </c>
      <c r="G1" s="113" t="s">
        <v>153</v>
      </c>
      <c r="H1" s="169">
        <f>60000+6217+H4+H5</f>
        <v>111017</v>
      </c>
      <c r="I1" s="114">
        <f>H1-H2-H3</f>
        <v>-74635</v>
      </c>
      <c r="J1" s="121" t="s">
        <v>151</v>
      </c>
      <c r="L1" s="15" t="s">
        <v>214</v>
      </c>
      <c r="M1" s="15">
        <v>55</v>
      </c>
      <c r="N1" s="15">
        <v>30</v>
      </c>
      <c r="O1" s="15">
        <f>M1*N1*0.9</f>
        <v>1485</v>
      </c>
      <c r="P1" s="15">
        <f>N1*70</f>
        <v>2100</v>
      </c>
      <c r="Q1" s="14"/>
    </row>
    <row r="2" spans="1:17" ht="27.75" customHeight="1" x14ac:dyDescent="0.25">
      <c r="G2" s="124" t="s">
        <v>150</v>
      </c>
      <c r="H2" s="115">
        <f>D1</f>
        <v>28201</v>
      </c>
      <c r="I2" s="116">
        <v>-9160</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157451</v>
      </c>
      <c r="I3" s="118">
        <f>I1+I2</f>
        <v>-83795</v>
      </c>
      <c r="J3" s="122" t="s">
        <v>149</v>
      </c>
      <c r="L3" s="15" t="s">
        <v>216</v>
      </c>
      <c r="M3" s="15">
        <v>46</v>
      </c>
      <c r="N3" s="15">
        <v>30</v>
      </c>
      <c r="O3" s="15">
        <f t="shared" si="0"/>
        <v>1380</v>
      </c>
      <c r="P3" s="15">
        <f>N3*60</f>
        <v>1800</v>
      </c>
      <c r="Q3" s="14"/>
    </row>
    <row r="4" spans="1:17" ht="27.75" customHeight="1" x14ac:dyDescent="0.25">
      <c r="G4" s="119" t="s">
        <v>204</v>
      </c>
      <c r="H4" s="163">
        <v>35000</v>
      </c>
      <c r="I4" s="120">
        <f ca="1">INT('Quốc Nhân'!K4+'La Cusina'!K4+TVP!J4+Gà!K4+Kitkool!K4-('Quốc Nhân'!A4+'La Cusina'!A4+TVP!A4+Gà!A4+Kitkool!A4))</f>
        <v>92017</v>
      </c>
      <c r="J4" s="123" t="s">
        <v>159</v>
      </c>
      <c r="L4" s="15" t="s">
        <v>217</v>
      </c>
      <c r="M4" s="15"/>
      <c r="N4" s="15"/>
      <c r="O4" s="15">
        <f>221+140</f>
        <v>361</v>
      </c>
      <c r="P4" s="15"/>
      <c r="Q4" s="14"/>
    </row>
    <row r="5" spans="1:17" ht="27.75" customHeight="1" x14ac:dyDescent="0.25">
      <c r="G5" s="119" t="s">
        <v>201</v>
      </c>
      <c r="H5" s="163">
        <f>7400+2400</f>
        <v>9800</v>
      </c>
      <c r="I5" s="125">
        <f ca="1">I4+I3</f>
        <v>8222</v>
      </c>
      <c r="J5" s="126" t="s">
        <v>160</v>
      </c>
      <c r="L5" s="15"/>
      <c r="M5" s="15"/>
      <c r="N5" s="15"/>
      <c r="O5" s="15">
        <f>SUM(O1:O4)</f>
        <v>3841</v>
      </c>
      <c r="P5" s="15">
        <f>SUM(P1:P3)</f>
        <v>4575</v>
      </c>
      <c r="Q5" s="177">
        <f>P5-O5</f>
        <v>734</v>
      </c>
    </row>
    <row r="6" spans="1:17" x14ac:dyDescent="0.25">
      <c r="A6" t="s">
        <v>236</v>
      </c>
      <c r="B6">
        <v>200</v>
      </c>
      <c r="C6" t="s">
        <v>128</v>
      </c>
      <c r="D6">
        <v>400</v>
      </c>
      <c r="E6" t="s">
        <v>129</v>
      </c>
      <c r="H6" s="168"/>
      <c r="L6" s="14"/>
      <c r="M6" s="14"/>
      <c r="N6" s="14"/>
      <c r="O6" s="14"/>
      <c r="P6" s="14"/>
      <c r="Q6" s="14"/>
    </row>
    <row r="7" spans="1:17" x14ac:dyDescent="0.25">
      <c r="A7" t="s">
        <v>237</v>
      </c>
      <c r="C7" t="s">
        <v>130</v>
      </c>
      <c r="D7">
        <v>1000</v>
      </c>
      <c r="E7" t="s">
        <v>129</v>
      </c>
      <c r="I7" s="127"/>
      <c r="J7" s="127"/>
      <c r="L7" s="14"/>
      <c r="M7" s="14"/>
      <c r="N7" s="14"/>
      <c r="O7" s="14"/>
      <c r="P7" s="14"/>
      <c r="Q7" s="14"/>
    </row>
    <row r="8" spans="1:17" x14ac:dyDescent="0.25">
      <c r="A8" t="s">
        <v>238</v>
      </c>
      <c r="C8" t="s">
        <v>131</v>
      </c>
      <c r="D8">
        <v>80</v>
      </c>
      <c r="E8" t="s">
        <v>129</v>
      </c>
      <c r="H8" s="127"/>
      <c r="I8" s="127"/>
      <c r="J8" s="127"/>
      <c r="L8" s="14"/>
      <c r="M8" s="14"/>
      <c r="N8" s="14"/>
      <c r="O8" s="14"/>
      <c r="P8" s="14"/>
      <c r="Q8" s="14"/>
    </row>
    <row r="9" spans="1:17" x14ac:dyDescent="0.25">
      <c r="A9" t="s">
        <v>260</v>
      </c>
      <c r="B9">
        <v>300</v>
      </c>
      <c r="C9" t="s">
        <v>132</v>
      </c>
      <c r="D9">
        <v>145</v>
      </c>
      <c r="E9" t="s">
        <v>133</v>
      </c>
      <c r="G9" s="127"/>
      <c r="H9" s="127"/>
      <c r="I9" s="127"/>
      <c r="J9" s="127"/>
    </row>
    <row r="10" spans="1:17" x14ac:dyDescent="0.25">
      <c r="C10" t="s">
        <v>134</v>
      </c>
      <c r="D10">
        <v>800</v>
      </c>
      <c r="E10" t="s">
        <v>133</v>
      </c>
      <c r="I10" s="127"/>
      <c r="J10" s="127"/>
    </row>
    <row r="11" spans="1:17" x14ac:dyDescent="0.25">
      <c r="C11" t="s">
        <v>135</v>
      </c>
      <c r="D11">
        <v>1500</v>
      </c>
      <c r="E11" t="s">
        <v>133</v>
      </c>
      <c r="I11" s="127"/>
      <c r="J11" s="127"/>
    </row>
    <row r="12" spans="1:17" x14ac:dyDescent="0.25">
      <c r="C12" t="s">
        <v>155</v>
      </c>
      <c r="D12">
        <v>160</v>
      </c>
      <c r="E12" t="s">
        <v>133</v>
      </c>
      <c r="I12" s="127"/>
      <c r="J12" s="127"/>
    </row>
    <row r="13" spans="1:17" x14ac:dyDescent="0.25">
      <c r="C13" t="s">
        <v>170</v>
      </c>
      <c r="D13">
        <v>42</v>
      </c>
      <c r="E13" t="s">
        <v>133</v>
      </c>
      <c r="J13" s="127"/>
    </row>
    <row r="14" spans="1:17" x14ac:dyDescent="0.25">
      <c r="C14" s="148" t="s">
        <v>183</v>
      </c>
      <c r="D14" s="148">
        <v>7500</v>
      </c>
      <c r="E14" s="148" t="s">
        <v>133</v>
      </c>
      <c r="I14" s="127"/>
      <c r="J14" s="127"/>
    </row>
    <row r="15" spans="1:17" x14ac:dyDescent="0.25">
      <c r="C15" t="s">
        <v>184</v>
      </c>
      <c r="D15">
        <v>160</v>
      </c>
      <c r="E15" t="s">
        <v>133</v>
      </c>
      <c r="H15" s="127"/>
      <c r="I15" s="127"/>
    </row>
    <row r="16" spans="1:17" x14ac:dyDescent="0.25">
      <c r="C16" t="s">
        <v>190</v>
      </c>
      <c r="D16">
        <v>50</v>
      </c>
      <c r="E16" t="s">
        <v>133</v>
      </c>
      <c r="I16" s="127"/>
    </row>
    <row r="17" spans="3:5" x14ac:dyDescent="0.25">
      <c r="C17" t="s">
        <v>170</v>
      </c>
      <c r="D17">
        <f>45+65+130</f>
        <v>240</v>
      </c>
      <c r="E17" t="s">
        <v>133</v>
      </c>
    </row>
    <row r="18" spans="3:5" x14ac:dyDescent="0.25">
      <c r="C18" s="148" t="s">
        <v>218</v>
      </c>
      <c r="D18" s="148">
        <v>15300</v>
      </c>
      <c r="E18" t="s">
        <v>204</v>
      </c>
    </row>
    <row r="19" spans="3:5" x14ac:dyDescent="0.25">
      <c r="C19" t="s">
        <v>228</v>
      </c>
      <c r="D19">
        <v>50</v>
      </c>
      <c r="E19" t="s">
        <v>133</v>
      </c>
    </row>
    <row r="20" spans="3:5" x14ac:dyDescent="0.25">
      <c r="C20" t="s">
        <v>211</v>
      </c>
      <c r="D20">
        <v>774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80"/>
  <sheetViews>
    <sheetView zoomScale="85" zoomScaleNormal="85" workbookViewId="0">
      <pane ySplit="4" topLeftCell="A71" activePane="bottomLeft" state="frozen"/>
      <selection pane="bottomLeft" activeCell="A73" sqref="A73:XFD73"/>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17">
        <f ca="1">'Quốc Nhân'!N4+'La Cusina'!N4+TVP!M4+Gà!N4+Kitkool!N4-('Quốc Nhân'!K4+'La Cusina'!K4+TVP!J4+Gà!K4+Kitkool!K4-('Quốc Nhân'!A4+'La Cusina'!A4+TVP!A4+Gà!A4+Kitkool!A4))</f>
        <v>16966.092608706269</v>
      </c>
      <c r="B1" s="223" t="str">
        <f>"Tiền Hàng: "&amp;INT('Quốc Nhân'!K4+'La Cusina'!K4+TVP!J4+Gà!K4+Kitkool!K4)</f>
        <v>Tiền Hàng: 157451</v>
      </c>
      <c r="C1" s="222" t="str">
        <f ca="1">"Giá trị hàng Tồn: "&amp;INT('Quốc Nhân'!A4+'La Cusina'!A4+TVP!A4+Gà!A4+Kitkool!A4)</f>
        <v>Giá trị hàng Tồn: 65434</v>
      </c>
      <c r="D1" s="221" t="str">
        <f ca="1">"Giá trị Hàng xuất: "&amp;CHAR(10)&amp;INT('Quốc Nhân'!K4+'La Cusina'!K4+TVP!J4+Gà!K4+Kitkool!K4-('Quốc Nhân'!A4+'La Cusina'!A4+TVP!A4+Gà!A4+Kitkool!A4))</f>
        <v>Giá trị Hàng xuất: 
92017</v>
      </c>
      <c r="E1" s="221" t="str">
        <f ca="1">"Doanh Thu Tích Lũy: "&amp;INT('Quốc Nhân'!N4+'La Cusina'!N4+TVP!M4+Gà!N4+Kitkool!N4)</f>
        <v>Doanh Thu Tích Lũy: 108983</v>
      </c>
      <c r="F1" s="219">
        <v>4488</v>
      </c>
      <c r="G1" s="110">
        <f>-774-503</f>
        <v>-1277</v>
      </c>
      <c r="H1" s="213"/>
      <c r="I1" s="78"/>
      <c r="J1" s="170"/>
      <c r="K1" s="170"/>
      <c r="L1" s="111"/>
      <c r="N1" s="111"/>
    </row>
    <row r="2" spans="1:41" ht="28.5" customHeight="1" x14ac:dyDescent="0.25">
      <c r="A2" s="218"/>
      <c r="B2" s="223"/>
      <c r="C2" s="222"/>
      <c r="D2" s="221"/>
      <c r="E2" s="221"/>
      <c r="F2" s="220"/>
      <c r="G2" s="80"/>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73</v>
      </c>
      <c r="C4" s="58"/>
      <c r="D4" s="58"/>
      <c r="E4" s="58"/>
      <c r="F4" s="58">
        <f ca="1">SUMPRODUCT(($E$8:$E$69)*($F$8:$F$69))</f>
        <v>28.5</v>
      </c>
      <c r="G4" s="58"/>
      <c r="H4" s="81">
        <f ca="1">SUBTOTAL(9,H5:H502)</f>
        <v>778700.30660531949</v>
      </c>
      <c r="I4" s="81">
        <f ca="1">H4-K2</f>
        <v>778700.30660531949</v>
      </c>
      <c r="J4" s="40">
        <f ca="1">SUBTOTAL(9,J5:J502)</f>
        <v>3814799.69339468</v>
      </c>
      <c r="K4" s="64">
        <f ca="1">SUM(L4:AO4)</f>
        <v>4593500</v>
      </c>
      <c r="L4" s="86">
        <f t="shared" ref="L4:AN4" ca="1" si="0">IFERROR(INDIRECT("'Thanh Toán ("&amp;L$3&amp;")'!$H"&amp;SUBTOTAL(3,INDIRECT("'Thanh Toán ("&amp;L$3&amp;")'!$H$8:$H$50"))+7-COUNTIF(INDIRECT("'Thanh Toán ("&amp;L$3&amp;")'!$H$8:$H$50"),""&amp;"*")),"")</f>
        <v>453500</v>
      </c>
      <c r="M4" s="86">
        <f t="shared" ca="1" si="0"/>
        <v>300000</v>
      </c>
      <c r="N4" s="86">
        <f t="shared" ca="1" si="0"/>
        <v>705000</v>
      </c>
      <c r="O4" s="86">
        <f t="shared" ca="1" si="0"/>
        <v>119000</v>
      </c>
      <c r="P4" s="86">
        <f t="shared" ca="1" si="0"/>
        <v>220000</v>
      </c>
      <c r="Q4" s="86">
        <f t="shared" ca="1" si="0"/>
        <v>40000</v>
      </c>
      <c r="R4" s="86">
        <f t="shared" ca="1" si="0"/>
        <v>550000</v>
      </c>
      <c r="S4" s="86">
        <f t="shared" ca="1" si="0"/>
        <v>476000</v>
      </c>
      <c r="T4" s="86">
        <f t="shared" ca="1" si="0"/>
        <v>45000</v>
      </c>
      <c r="U4" s="86">
        <f t="shared" ca="1" si="0"/>
        <v>388000</v>
      </c>
      <c r="V4" s="86">
        <f t="shared" ca="1" si="0"/>
        <v>510000</v>
      </c>
      <c r="W4" s="86">
        <f t="shared" ca="1" si="0"/>
        <v>110000</v>
      </c>
      <c r="X4" s="86">
        <f t="shared" ca="1" si="0"/>
        <v>215000</v>
      </c>
      <c r="Y4" s="86">
        <f t="shared" ca="1" si="0"/>
        <v>49000</v>
      </c>
      <c r="Z4" s="86">
        <f t="shared" ca="1" si="0"/>
        <v>223000</v>
      </c>
      <c r="AA4" s="86">
        <f t="shared" ca="1" si="0"/>
        <v>150000</v>
      </c>
      <c r="AB4" s="86">
        <f t="shared" ca="1" si="0"/>
        <v>40000</v>
      </c>
      <c r="AC4" s="86" t="str">
        <f t="shared" ca="1" si="0"/>
        <v/>
      </c>
      <c r="AD4" s="86" t="str">
        <f t="shared" ca="1" si="0"/>
        <v/>
      </c>
      <c r="AE4" s="86" t="str">
        <f t="shared" ca="1" si="0"/>
        <v/>
      </c>
      <c r="AF4" s="86" t="str">
        <f t="shared" ca="1" si="0"/>
        <v/>
      </c>
      <c r="AG4" s="86" t="str">
        <f t="shared" ca="1" si="0"/>
        <v/>
      </c>
      <c r="AH4" s="86" t="str">
        <f t="shared" ca="1" si="0"/>
        <v/>
      </c>
      <c r="AI4" s="86" t="str">
        <f t="shared" ca="1" si="0"/>
        <v/>
      </c>
      <c r="AJ4" s="86" t="str">
        <f t="shared" ca="1" si="0"/>
        <v/>
      </c>
      <c r="AK4" s="86" t="str">
        <f t="shared" ca="1" si="0"/>
        <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219</v>
      </c>
      <c r="B5" s="143" t="s">
        <v>225</v>
      </c>
      <c r="C5" s="23" t="s">
        <v>222</v>
      </c>
      <c r="D5" s="44">
        <v>60000</v>
      </c>
      <c r="E5" s="57">
        <v>1</v>
      </c>
      <c r="F5" s="57">
        <f t="shared" ref="F5:F7" ca="1" si="2">SUM(L5:BW5)</f>
        <v>2</v>
      </c>
      <c r="G5" s="210">
        <f>IFERROR(VLOOKUP($B5,Gà!C:J,8,0),IFERROR(VLOOKUP($B5,TVP!C:J,7,0),IFERROR(VLOOKUP($B5,Kitkool!C:J,8,0),IFERROR(VLOOKUP($B5,'La Cusina'!C:J,8,0),VLOOKUP($B5,'Quốc Nhân'!C:J,8,0)))))</f>
        <v>46.953905836713105</v>
      </c>
      <c r="H5" s="55">
        <f ca="1">(D5-G5*1000)*$F5</f>
        <v>26092.188326573785</v>
      </c>
      <c r="I5" s="55"/>
      <c r="J5" s="55">
        <f ca="1">F5*G5*1000</f>
        <v>93907.811673426215</v>
      </c>
      <c r="K5" s="55"/>
      <c r="L5" s="202">
        <f ca="1">IFERROR(SUMIFS(INDIRECT("'Thanh Toán ("&amp;L$3&amp;")'!$F:$F"),INDIRECT("'Thanh Toán ("&amp;L$3&amp;")'!$D:$D"),'Tổng Đơn'!$B5),0)</f>
        <v>2</v>
      </c>
      <c r="M5" s="202">
        <f ca="1">IFERROR(SUMIFS(INDIRECT("'Thanh Toán ("&amp;M$3&amp;")'!$F:$F"),INDIRECT("'Thanh Toán ("&amp;M$3&amp;")'!$D:$D"),'Tổng Đơn'!$B5),0)</f>
        <v>0</v>
      </c>
      <c r="N5" s="202">
        <f ca="1">IFERROR(SUMIFS(INDIRECT("'Thanh Toán ("&amp;N$3&amp;")'!$F:$F"),INDIRECT("'Thanh Toán ("&amp;N$3&amp;")'!$D:$D"),'Tổng Đơn'!$B5),0)</f>
        <v>0</v>
      </c>
      <c r="O5" s="202">
        <f ca="1">IFERROR(SUMIFS(INDIRECT("'Thanh Toán ("&amp;O$3&amp;")'!$F:$F"),INDIRECT("'Thanh Toán ("&amp;O$3&amp;")'!$D:$D"),'Tổng Đơn'!$B5),0)</f>
        <v>0</v>
      </c>
      <c r="P5" s="202">
        <f ca="1">IFERROR(SUMIFS(INDIRECT("'Thanh Toán ("&amp;P$3&amp;")'!$F:$F"),INDIRECT("'Thanh Toán ("&amp;P$3&amp;")'!$D:$D"),'Tổng Đơn'!$B5),0)</f>
        <v>0</v>
      </c>
      <c r="Q5" s="202">
        <f ca="1">IFERROR(SUMIFS(INDIRECT("'Thanh Toán ("&amp;Q$3&amp;")'!$F:$F"),INDIRECT("'Thanh Toán ("&amp;Q$3&amp;")'!$D:$D"),'Tổng Đơn'!$B5),0)</f>
        <v>0</v>
      </c>
      <c r="R5" s="202">
        <f ca="1">IFERROR(SUMIFS(INDIRECT("'Thanh Toán ("&amp;R$3&amp;")'!$F:$F"),INDIRECT("'Thanh Toán ("&amp;R$3&amp;")'!$D:$D"),'Tổng Đơn'!$B5),0)</f>
        <v>0</v>
      </c>
      <c r="S5" s="202">
        <f ca="1">IFERROR(SUMIFS(INDIRECT("'Thanh Toán ("&amp;S$3&amp;")'!$F:$F"),INDIRECT("'Thanh Toán ("&amp;S$3&amp;")'!$D:$D"),'Tổng Đơn'!$B5),0)</f>
        <v>0</v>
      </c>
      <c r="T5" s="202">
        <f ca="1">IFERROR(SUMIFS(INDIRECT("'Thanh Toán ("&amp;T$3&amp;")'!$F:$F"),INDIRECT("'Thanh Toán ("&amp;T$3&amp;")'!$D:$D"),'Tổng Đơn'!$B5),0)</f>
        <v>0</v>
      </c>
      <c r="U5" s="202">
        <f ca="1">IFERROR(SUMIFS(INDIRECT("'Thanh Toán ("&amp;U$3&amp;")'!$F:$F"),INDIRECT("'Thanh Toán ("&amp;U$3&amp;")'!$D:$D"),'Tổng Đơn'!$B5),0)</f>
        <v>0</v>
      </c>
      <c r="V5" s="202">
        <f ca="1">IFERROR(SUMIFS(INDIRECT("'Thanh Toán ("&amp;V$3&amp;")'!$F:$F"),INDIRECT("'Thanh Toán ("&amp;V$3&amp;")'!$D:$D"),'Tổng Đơn'!$B5),0)</f>
        <v>0</v>
      </c>
      <c r="W5" s="202">
        <f ca="1">IFERROR(SUMIFS(INDIRECT("'Thanh Toán ("&amp;W$3&amp;")'!$F:$F"),INDIRECT("'Thanh Toán ("&amp;W$3&amp;")'!$D:$D"),'Tổng Đơn'!$B5),0)</f>
        <v>0</v>
      </c>
      <c r="X5" s="202">
        <f ca="1">IFERROR(SUMIFS(INDIRECT("'Thanh Toán ("&amp;X$3&amp;")'!$F:$F"),INDIRECT("'Thanh Toán ("&amp;X$3&amp;")'!$D:$D"),'Tổng Đơn'!$B5),0)</f>
        <v>0</v>
      </c>
      <c r="Y5" s="202">
        <f ca="1">IFERROR(SUMIFS(INDIRECT("'Thanh Toán ("&amp;Y$3&amp;")'!$F:$F"),INDIRECT("'Thanh Toán ("&amp;Y$3&amp;")'!$D:$D"),'Tổng Đơn'!$B5),0)</f>
        <v>0</v>
      </c>
      <c r="Z5" s="202">
        <f ca="1">IFERROR(SUMIFS(INDIRECT("'Thanh Toán ("&amp;Z$3&amp;")'!$F:$F"),INDIRECT("'Thanh Toán ("&amp;Z$3&amp;")'!$D:$D"),'Tổng Đơn'!$B5),0)</f>
        <v>0</v>
      </c>
      <c r="AA5" s="202">
        <f ca="1">IFERROR(SUMIFS(INDIRECT("'Thanh Toán ("&amp;AA$3&amp;")'!$F:$F"),INDIRECT("'Thanh Toán ("&amp;AA$3&amp;")'!$D:$D"),'Tổng Đơn'!$B5),0)</f>
        <v>0</v>
      </c>
      <c r="AB5" s="202">
        <f ca="1">IFERROR(SUMIFS(INDIRECT("'Thanh Toán ("&amp;AB$3&amp;")'!$F:$F"),INDIRECT("'Thanh Toán ("&amp;AB$3&amp;")'!$D:$D"),'Tổng Đơn'!$B5),0)</f>
        <v>0</v>
      </c>
      <c r="AC5" s="202">
        <f ca="1">IFERROR(SUMIFS(INDIRECT("'Thanh Toán ("&amp;AC$3&amp;")'!$F:$F"),INDIRECT("'Thanh Toán ("&amp;AC$3&amp;")'!$D:$D"),'Tổng Đơn'!$B5),0)</f>
        <v>0</v>
      </c>
      <c r="AD5" s="202">
        <f ca="1">IFERROR(SUMIFS(INDIRECT("'Thanh Toán ("&amp;AD$3&amp;")'!$F:$F"),INDIRECT("'Thanh Toán ("&amp;AD$3&amp;")'!$D:$D"),'Tổng Đơn'!$B5),0)</f>
        <v>0</v>
      </c>
      <c r="AE5" s="202">
        <f ca="1">IFERROR(SUMIFS(INDIRECT("'Thanh Toán ("&amp;AE$3&amp;")'!$F:$F"),INDIRECT("'Thanh Toán ("&amp;AE$3&amp;")'!$D:$D"),'Tổng Đơn'!$B5),0)</f>
        <v>0</v>
      </c>
      <c r="AF5" s="202">
        <f ca="1">IFERROR(SUMIFS(INDIRECT("'Thanh Toán ("&amp;AF$3&amp;")'!$F:$F"),INDIRECT("'Thanh Toán ("&amp;AF$3&amp;")'!$D:$D"),'Tổng Đơn'!$B5),0)</f>
        <v>0</v>
      </c>
      <c r="AG5" s="202">
        <f ca="1">IFERROR(SUMIFS(INDIRECT("'Thanh Toán ("&amp;AG$3&amp;")'!$F:$F"),INDIRECT("'Thanh Toán ("&amp;AG$3&amp;")'!$D:$D"),'Tổng Đơn'!$B5),0)</f>
        <v>0</v>
      </c>
      <c r="AH5" s="202">
        <f ca="1">IFERROR(SUMIFS(INDIRECT("'Thanh Toán ("&amp;AH$3&amp;")'!$F:$F"),INDIRECT("'Thanh Toán ("&amp;AH$3&amp;")'!$D:$D"),'Tổng Đơn'!$B5),0)</f>
        <v>0</v>
      </c>
      <c r="AI5" s="202">
        <f ca="1">IFERROR(SUMIFS(INDIRECT("'Thanh Toán ("&amp;AI$3&amp;")'!$F:$F"),INDIRECT("'Thanh Toán ("&amp;AI$3&amp;")'!$D:$D"),'Tổng Đơn'!$B5),0)</f>
        <v>0</v>
      </c>
      <c r="AJ5" s="202">
        <f ca="1">IFERROR(SUMIFS(INDIRECT("'Thanh Toán ("&amp;AJ$3&amp;")'!$F:$F"),INDIRECT("'Thanh Toán ("&amp;AJ$3&amp;")'!$D:$D"),'Tổng Đơn'!$B5),0)</f>
        <v>0</v>
      </c>
      <c r="AK5" s="202">
        <f ca="1">IFERROR(SUMIFS(INDIRECT("'Thanh Toán ("&amp;AK$3&amp;")'!$F:$F"),INDIRECT("'Thanh Toán ("&amp;AK$3&amp;")'!$D:$D"),'Tổng Đơn'!$B5),0)</f>
        <v>0</v>
      </c>
      <c r="AL5" s="202">
        <f ca="1">IFERROR(SUMIFS(INDIRECT("'Thanh Toán ("&amp;AL$3&amp;")'!$F:$F"),INDIRECT("'Thanh Toán ("&amp;AL$3&amp;")'!$D:$D"),'Tổng Đơn'!$B5),0)</f>
        <v>0</v>
      </c>
      <c r="AM5" s="202">
        <f ca="1">IFERROR(SUMIFS(INDIRECT("'Thanh Toán ("&amp;AM$3&amp;")'!$F:$F"),INDIRECT("'Thanh Toán ("&amp;AM$3&amp;")'!$D:$D"),'Tổng Đơn'!$B5),0)</f>
        <v>0</v>
      </c>
      <c r="AN5" s="202">
        <f ca="1">IFERROR(SUMIFS(INDIRECT("'Thanh Toán ("&amp;AN$3&amp;")'!$F:$F"),INDIRECT("'Thanh Toán ("&amp;AN$3&amp;")'!$D:$D"),'Tổng Đơn'!$B5),0)</f>
        <v>0</v>
      </c>
      <c r="AO5" s="202">
        <f ca="1">IFERROR(SUMIFS(INDIRECT("'Thanh Toán ("&amp;AO$3&amp;")'!$F:$F"),INDIRECT("'Thanh Toán ("&amp;AO$3&amp;")'!$D:$D"),'Tổng Đơn'!$B5),0)</f>
        <v>0</v>
      </c>
    </row>
    <row r="6" spans="1:41" x14ac:dyDescent="0.25">
      <c r="A6" s="23" t="s">
        <v>220</v>
      </c>
      <c r="B6" s="143" t="s">
        <v>226</v>
      </c>
      <c r="C6" s="23" t="s">
        <v>223</v>
      </c>
      <c r="D6" s="44">
        <v>70000</v>
      </c>
      <c r="E6" s="57">
        <v>1</v>
      </c>
      <c r="F6" s="57">
        <f t="shared" ca="1" si="2"/>
        <v>3.5</v>
      </c>
      <c r="G6" s="210">
        <f>IFERROR(VLOOKUP($B6,Gà!C:J,8,0),IFERROR(VLOOKUP($B6,TVP!C:J,7,0),IFERROR(VLOOKUP($B6,Kitkool!C:J,8,0),IFERROR(VLOOKUP($B6,'La Cusina'!C:J,8,0),VLOOKUP($B6,'Quốc Nhân'!C:J,8,0)))))</f>
        <v>56.140539587374363</v>
      </c>
      <c r="H6" s="55">
        <f t="shared" ref="H6:H7" ca="1" si="3">(D6-G6*1000)*$F6</f>
        <v>48508.111444189737</v>
      </c>
      <c r="I6" s="55"/>
      <c r="J6" s="55">
        <f t="shared" ref="J6:J7" ca="1" si="4">F6*G6*1000</f>
        <v>196491.88855581026</v>
      </c>
      <c r="K6" s="55"/>
      <c r="L6" s="202">
        <f ca="1">IFERROR(SUMIFS(INDIRECT("'Thanh Toán ("&amp;L$3&amp;")'!$F:$F"),INDIRECT("'Thanh Toán ("&amp;L$3&amp;")'!$D:$D"),'Tổng Đơn'!$B6),0)</f>
        <v>1.5</v>
      </c>
      <c r="M6" s="202">
        <f ca="1">IFERROR(SUMIFS(INDIRECT("'Thanh Toán ("&amp;M$3&amp;")'!$F:$F"),INDIRECT("'Thanh Toán ("&amp;M$3&amp;")'!$D:$D"),'Tổng Đơn'!$B6),0)</f>
        <v>0</v>
      </c>
      <c r="N6" s="202">
        <f ca="1">IFERROR(SUMIFS(INDIRECT("'Thanh Toán ("&amp;N$3&amp;")'!$F:$F"),INDIRECT("'Thanh Toán ("&amp;N$3&amp;")'!$D:$D"),'Tổng Đơn'!$B6),0)</f>
        <v>0</v>
      </c>
      <c r="O6" s="202">
        <f ca="1">IFERROR(SUMIFS(INDIRECT("'Thanh Toán ("&amp;O$3&amp;")'!$F:$F"),INDIRECT("'Thanh Toán ("&amp;O$3&amp;")'!$D:$D"),'Tổng Đơn'!$B6),0)</f>
        <v>0</v>
      </c>
      <c r="P6" s="202">
        <f ca="1">IFERROR(SUMIFS(INDIRECT("'Thanh Toán ("&amp;P$3&amp;")'!$F:$F"),INDIRECT("'Thanh Toán ("&amp;P$3&amp;")'!$D:$D"),'Tổng Đơn'!$B6),0)</f>
        <v>0</v>
      </c>
      <c r="Q6" s="202">
        <f ca="1">IFERROR(SUMIFS(INDIRECT("'Thanh Toán ("&amp;Q$3&amp;")'!$F:$F"),INDIRECT("'Thanh Toán ("&amp;Q$3&amp;")'!$D:$D"),'Tổng Đơn'!$B6),0)</f>
        <v>0</v>
      </c>
      <c r="R6" s="202">
        <f ca="1">IFERROR(SUMIFS(INDIRECT("'Thanh Toán ("&amp;R$3&amp;")'!$F:$F"),INDIRECT("'Thanh Toán ("&amp;R$3&amp;")'!$D:$D"),'Tổng Đơn'!$B6),0)</f>
        <v>0</v>
      </c>
      <c r="S6" s="202">
        <f ca="1">IFERROR(SUMIFS(INDIRECT("'Thanh Toán ("&amp;S$3&amp;")'!$F:$F"),INDIRECT("'Thanh Toán ("&amp;S$3&amp;")'!$D:$D"),'Tổng Đơn'!$B6),0)</f>
        <v>0</v>
      </c>
      <c r="T6" s="202">
        <f ca="1">IFERROR(SUMIFS(INDIRECT("'Thanh Toán ("&amp;T$3&amp;")'!$F:$F"),INDIRECT("'Thanh Toán ("&amp;T$3&amp;")'!$D:$D"),'Tổng Đơn'!$B6),0)</f>
        <v>0</v>
      </c>
      <c r="U6" s="202">
        <f ca="1">IFERROR(SUMIFS(INDIRECT("'Thanh Toán ("&amp;U$3&amp;")'!$F:$F"),INDIRECT("'Thanh Toán ("&amp;U$3&amp;")'!$D:$D"),'Tổng Đơn'!$B6),0)</f>
        <v>0</v>
      </c>
      <c r="V6" s="202">
        <f ca="1">IFERROR(SUMIFS(INDIRECT("'Thanh Toán ("&amp;V$3&amp;")'!$F:$F"),INDIRECT("'Thanh Toán ("&amp;V$3&amp;")'!$D:$D"),'Tổng Đơn'!$B6),0)</f>
        <v>2</v>
      </c>
      <c r="W6" s="202">
        <f ca="1">IFERROR(SUMIFS(INDIRECT("'Thanh Toán ("&amp;W$3&amp;")'!$F:$F"),INDIRECT("'Thanh Toán ("&amp;W$3&amp;")'!$D:$D"),'Tổng Đơn'!$B6),0)</f>
        <v>0</v>
      </c>
      <c r="X6" s="202">
        <f ca="1">IFERROR(SUMIFS(INDIRECT("'Thanh Toán ("&amp;X$3&amp;")'!$F:$F"),INDIRECT("'Thanh Toán ("&amp;X$3&amp;")'!$D:$D"),'Tổng Đơn'!$B6),0)</f>
        <v>0</v>
      </c>
      <c r="Y6" s="202">
        <f ca="1">IFERROR(SUMIFS(INDIRECT("'Thanh Toán ("&amp;Y$3&amp;")'!$F:$F"),INDIRECT("'Thanh Toán ("&amp;Y$3&amp;")'!$D:$D"),'Tổng Đơn'!$B6),0)</f>
        <v>0</v>
      </c>
      <c r="Z6" s="202">
        <f ca="1">IFERROR(SUMIFS(INDIRECT("'Thanh Toán ("&amp;Z$3&amp;")'!$F:$F"),INDIRECT("'Thanh Toán ("&amp;Z$3&amp;")'!$D:$D"),'Tổng Đơn'!$B6),0)</f>
        <v>0</v>
      </c>
      <c r="AA6" s="202">
        <f ca="1">IFERROR(SUMIFS(INDIRECT("'Thanh Toán ("&amp;AA$3&amp;")'!$F:$F"),INDIRECT("'Thanh Toán ("&amp;AA$3&amp;")'!$D:$D"),'Tổng Đơn'!$B6),0)</f>
        <v>0</v>
      </c>
      <c r="AB6" s="202">
        <f ca="1">IFERROR(SUMIFS(INDIRECT("'Thanh Toán ("&amp;AB$3&amp;")'!$F:$F"),INDIRECT("'Thanh Toán ("&amp;AB$3&amp;")'!$D:$D"),'Tổng Đơn'!$B6),0)</f>
        <v>0</v>
      </c>
      <c r="AC6" s="202">
        <f ca="1">IFERROR(SUMIFS(INDIRECT("'Thanh Toán ("&amp;AC$3&amp;")'!$F:$F"),INDIRECT("'Thanh Toán ("&amp;AC$3&amp;")'!$D:$D"),'Tổng Đơn'!$B6),0)</f>
        <v>0</v>
      </c>
      <c r="AD6" s="202">
        <f ca="1">IFERROR(SUMIFS(INDIRECT("'Thanh Toán ("&amp;AD$3&amp;")'!$F:$F"),INDIRECT("'Thanh Toán ("&amp;AD$3&amp;")'!$D:$D"),'Tổng Đơn'!$B6),0)</f>
        <v>0</v>
      </c>
      <c r="AE6" s="202">
        <f ca="1">IFERROR(SUMIFS(INDIRECT("'Thanh Toán ("&amp;AE$3&amp;")'!$F:$F"),INDIRECT("'Thanh Toán ("&amp;AE$3&amp;")'!$D:$D"),'Tổng Đơn'!$B6),0)</f>
        <v>0</v>
      </c>
      <c r="AF6" s="202">
        <f ca="1">IFERROR(SUMIFS(INDIRECT("'Thanh Toán ("&amp;AF$3&amp;")'!$F:$F"),INDIRECT("'Thanh Toán ("&amp;AF$3&amp;")'!$D:$D"),'Tổng Đơn'!$B6),0)</f>
        <v>0</v>
      </c>
      <c r="AG6" s="202">
        <f ca="1">IFERROR(SUMIFS(INDIRECT("'Thanh Toán ("&amp;AG$3&amp;")'!$F:$F"),INDIRECT("'Thanh Toán ("&amp;AG$3&amp;")'!$D:$D"),'Tổng Đơn'!$B6),0)</f>
        <v>0</v>
      </c>
      <c r="AH6" s="202">
        <f ca="1">IFERROR(SUMIFS(INDIRECT("'Thanh Toán ("&amp;AH$3&amp;")'!$F:$F"),INDIRECT("'Thanh Toán ("&amp;AH$3&amp;")'!$D:$D"),'Tổng Đơn'!$B6),0)</f>
        <v>0</v>
      </c>
      <c r="AI6" s="202">
        <f ca="1">IFERROR(SUMIFS(INDIRECT("'Thanh Toán ("&amp;AI$3&amp;")'!$F:$F"),INDIRECT("'Thanh Toán ("&amp;AI$3&amp;")'!$D:$D"),'Tổng Đơn'!$B6),0)</f>
        <v>0</v>
      </c>
      <c r="AJ6" s="202">
        <f ca="1">IFERROR(SUMIFS(INDIRECT("'Thanh Toán ("&amp;AJ$3&amp;")'!$F:$F"),INDIRECT("'Thanh Toán ("&amp;AJ$3&amp;")'!$D:$D"),'Tổng Đơn'!$B6),0)</f>
        <v>0</v>
      </c>
      <c r="AK6" s="202">
        <f ca="1">IFERROR(SUMIFS(INDIRECT("'Thanh Toán ("&amp;AK$3&amp;")'!$F:$F"),INDIRECT("'Thanh Toán ("&amp;AK$3&amp;")'!$D:$D"),'Tổng Đơn'!$B6),0)</f>
        <v>0</v>
      </c>
      <c r="AL6" s="202">
        <f ca="1">IFERROR(SUMIFS(INDIRECT("'Thanh Toán ("&amp;AL$3&amp;")'!$F:$F"),INDIRECT("'Thanh Toán ("&amp;AL$3&amp;")'!$D:$D"),'Tổng Đơn'!$B6),0)</f>
        <v>0</v>
      </c>
      <c r="AM6" s="202">
        <f ca="1">IFERROR(SUMIFS(INDIRECT("'Thanh Toán ("&amp;AM$3&amp;")'!$F:$F"),INDIRECT("'Thanh Toán ("&amp;AM$3&amp;")'!$D:$D"),'Tổng Đơn'!$B6),0)</f>
        <v>0</v>
      </c>
      <c r="AN6" s="202">
        <f ca="1">IFERROR(SUMIFS(INDIRECT("'Thanh Toán ("&amp;AN$3&amp;")'!$F:$F"),INDIRECT("'Thanh Toán ("&amp;AN$3&amp;")'!$D:$D"),'Tổng Đơn'!$B6),0)</f>
        <v>0</v>
      </c>
      <c r="AO6" s="202">
        <f ca="1">IFERROR(SUMIFS(INDIRECT("'Thanh Toán ("&amp;AO$3&amp;")'!$F:$F"),INDIRECT("'Thanh Toán ("&amp;AO$3&amp;")'!$D:$D"),'Tổng Đơn'!$B6),0)</f>
        <v>0</v>
      </c>
    </row>
    <row r="7" spans="1:41" x14ac:dyDescent="0.25">
      <c r="A7" s="23" t="s">
        <v>221</v>
      </c>
      <c r="B7" s="143" t="s">
        <v>227</v>
      </c>
      <c r="C7" s="23" t="s">
        <v>224</v>
      </c>
      <c r="D7" s="44">
        <v>45000</v>
      </c>
      <c r="E7" s="57">
        <v>1</v>
      </c>
      <c r="F7" s="57">
        <f t="shared" ca="1" si="2"/>
        <v>3.3</v>
      </c>
      <c r="G7" s="210">
        <f>IFERROR(VLOOKUP($B7,Gà!C:J,8,0),IFERROR(VLOOKUP($B7,TVP!C:J,7,0),IFERROR(VLOOKUP($B7,Kitkool!C:J,8,0),IFERROR(VLOOKUP($B7,'La Cusina'!C:J,8,0),VLOOKUP($B7,'Quốc Nhân'!C:J,8,0)))))</f>
        <v>41.850220419679069</v>
      </c>
      <c r="H7" s="55">
        <f t="shared" ca="1" si="3"/>
        <v>10394.272615059068</v>
      </c>
      <c r="I7" s="55"/>
      <c r="J7" s="55">
        <f t="shared" ca="1" si="4"/>
        <v>138105.7273849409</v>
      </c>
      <c r="K7" s="55"/>
      <c r="L7" s="202">
        <f ca="1">IFERROR(SUMIFS(INDIRECT("'Thanh Toán ("&amp;L$3&amp;")'!$F:$F"),INDIRECT("'Thanh Toán ("&amp;L$3&amp;")'!$D:$D"),'Tổng Đơn'!$B7),0)</f>
        <v>3.3</v>
      </c>
      <c r="M7" s="202">
        <f ca="1">IFERROR(SUMIFS(INDIRECT("'Thanh Toán ("&amp;M$3&amp;")'!$F:$F"),INDIRECT("'Thanh Toán ("&amp;M$3&amp;")'!$D:$D"),'Tổng Đơn'!$B7),0)</f>
        <v>0</v>
      </c>
      <c r="N7" s="202">
        <f ca="1">IFERROR(SUMIFS(INDIRECT("'Thanh Toán ("&amp;N$3&amp;")'!$F:$F"),INDIRECT("'Thanh Toán ("&amp;N$3&amp;")'!$D:$D"),'Tổng Đơn'!$B7),0)</f>
        <v>0</v>
      </c>
      <c r="O7" s="202">
        <f ca="1">IFERROR(SUMIFS(INDIRECT("'Thanh Toán ("&amp;O$3&amp;")'!$F:$F"),INDIRECT("'Thanh Toán ("&amp;O$3&amp;")'!$D:$D"),'Tổng Đơn'!$B7),0)</f>
        <v>0</v>
      </c>
      <c r="P7" s="202">
        <f ca="1">IFERROR(SUMIFS(INDIRECT("'Thanh Toán ("&amp;P$3&amp;")'!$F:$F"),INDIRECT("'Thanh Toán ("&amp;P$3&amp;")'!$D:$D"),'Tổng Đơn'!$B7),0)</f>
        <v>0</v>
      </c>
      <c r="Q7" s="202">
        <f ca="1">IFERROR(SUMIFS(INDIRECT("'Thanh Toán ("&amp;Q$3&amp;")'!$F:$F"),INDIRECT("'Thanh Toán ("&amp;Q$3&amp;")'!$D:$D"),'Tổng Đơn'!$B7),0)</f>
        <v>0</v>
      </c>
      <c r="R7" s="202">
        <f ca="1">IFERROR(SUMIFS(INDIRECT("'Thanh Toán ("&amp;R$3&amp;")'!$F:$F"),INDIRECT("'Thanh Toán ("&amp;R$3&amp;")'!$D:$D"),'Tổng Đơn'!$B7),0)</f>
        <v>0</v>
      </c>
      <c r="S7" s="202">
        <f ca="1">IFERROR(SUMIFS(INDIRECT("'Thanh Toán ("&amp;S$3&amp;")'!$F:$F"),INDIRECT("'Thanh Toán ("&amp;S$3&amp;")'!$D:$D"),'Tổng Đơn'!$B7),0)</f>
        <v>0</v>
      </c>
      <c r="T7" s="202">
        <f ca="1">IFERROR(SUMIFS(INDIRECT("'Thanh Toán ("&amp;T$3&amp;")'!$F:$F"),INDIRECT("'Thanh Toán ("&amp;T$3&amp;")'!$D:$D"),'Tổng Đơn'!$B7),0)</f>
        <v>0</v>
      </c>
      <c r="U7" s="202">
        <f ca="1">IFERROR(SUMIFS(INDIRECT("'Thanh Toán ("&amp;U$3&amp;")'!$F:$F"),INDIRECT("'Thanh Toán ("&amp;U$3&amp;")'!$D:$D"),'Tổng Đơn'!$B7),0)</f>
        <v>0</v>
      </c>
      <c r="V7" s="202">
        <f ca="1">IFERROR(SUMIFS(INDIRECT("'Thanh Toán ("&amp;V$3&amp;")'!$F:$F"),INDIRECT("'Thanh Toán ("&amp;V$3&amp;")'!$D:$D"),'Tổng Đơn'!$B7),0)</f>
        <v>0</v>
      </c>
      <c r="W7" s="202">
        <f ca="1">IFERROR(SUMIFS(INDIRECT("'Thanh Toán ("&amp;W$3&amp;")'!$F:$F"),INDIRECT("'Thanh Toán ("&amp;W$3&amp;")'!$D:$D"),'Tổng Đơn'!$B7),0)</f>
        <v>0</v>
      </c>
      <c r="X7" s="202">
        <f ca="1">IFERROR(SUMIFS(INDIRECT("'Thanh Toán ("&amp;X$3&amp;")'!$F:$F"),INDIRECT("'Thanh Toán ("&amp;X$3&amp;")'!$D:$D"),'Tổng Đơn'!$B7),0)</f>
        <v>0</v>
      </c>
      <c r="Y7" s="202">
        <f ca="1">IFERROR(SUMIFS(INDIRECT("'Thanh Toán ("&amp;Y$3&amp;")'!$F:$F"),INDIRECT("'Thanh Toán ("&amp;Y$3&amp;")'!$D:$D"),'Tổng Đơn'!$B7),0)</f>
        <v>0</v>
      </c>
      <c r="Z7" s="202">
        <f ca="1">IFERROR(SUMIFS(INDIRECT("'Thanh Toán ("&amp;Z$3&amp;")'!$F:$F"),INDIRECT("'Thanh Toán ("&amp;Z$3&amp;")'!$D:$D"),'Tổng Đơn'!$B7),0)</f>
        <v>0</v>
      </c>
      <c r="AA7" s="202">
        <f ca="1">IFERROR(SUMIFS(INDIRECT("'Thanh Toán ("&amp;AA$3&amp;")'!$F:$F"),INDIRECT("'Thanh Toán ("&amp;AA$3&amp;")'!$D:$D"),'Tổng Đơn'!$B7),0)</f>
        <v>0</v>
      </c>
      <c r="AB7" s="202">
        <f ca="1">IFERROR(SUMIFS(INDIRECT("'Thanh Toán ("&amp;AB$3&amp;")'!$F:$F"),INDIRECT("'Thanh Toán ("&amp;AB$3&amp;")'!$D:$D"),'Tổng Đơn'!$B7),0)</f>
        <v>0</v>
      </c>
      <c r="AC7" s="202">
        <f ca="1">IFERROR(SUMIFS(INDIRECT("'Thanh Toán ("&amp;AC$3&amp;")'!$F:$F"),INDIRECT("'Thanh Toán ("&amp;AC$3&amp;")'!$D:$D"),'Tổng Đơn'!$B7),0)</f>
        <v>0</v>
      </c>
      <c r="AD7" s="202">
        <f ca="1">IFERROR(SUMIFS(INDIRECT("'Thanh Toán ("&amp;AD$3&amp;")'!$F:$F"),INDIRECT("'Thanh Toán ("&amp;AD$3&amp;")'!$D:$D"),'Tổng Đơn'!$B7),0)</f>
        <v>0</v>
      </c>
      <c r="AE7" s="202">
        <f ca="1">IFERROR(SUMIFS(INDIRECT("'Thanh Toán ("&amp;AE$3&amp;")'!$F:$F"),INDIRECT("'Thanh Toán ("&amp;AE$3&amp;")'!$D:$D"),'Tổng Đơn'!$B7),0)</f>
        <v>0</v>
      </c>
      <c r="AF7" s="202">
        <f ca="1">IFERROR(SUMIFS(INDIRECT("'Thanh Toán ("&amp;AF$3&amp;")'!$F:$F"),INDIRECT("'Thanh Toán ("&amp;AF$3&amp;")'!$D:$D"),'Tổng Đơn'!$B7),0)</f>
        <v>0</v>
      </c>
      <c r="AG7" s="202">
        <f ca="1">IFERROR(SUMIFS(INDIRECT("'Thanh Toán ("&amp;AG$3&amp;")'!$F:$F"),INDIRECT("'Thanh Toán ("&amp;AG$3&amp;")'!$D:$D"),'Tổng Đơn'!$B7),0)</f>
        <v>0</v>
      </c>
      <c r="AH7" s="202">
        <f ca="1">IFERROR(SUMIFS(INDIRECT("'Thanh Toán ("&amp;AH$3&amp;")'!$F:$F"),INDIRECT("'Thanh Toán ("&amp;AH$3&amp;")'!$D:$D"),'Tổng Đơn'!$B7),0)</f>
        <v>0</v>
      </c>
      <c r="AI7" s="202">
        <f ca="1">IFERROR(SUMIFS(INDIRECT("'Thanh Toán ("&amp;AI$3&amp;")'!$F:$F"),INDIRECT("'Thanh Toán ("&amp;AI$3&amp;")'!$D:$D"),'Tổng Đơn'!$B7),0)</f>
        <v>0</v>
      </c>
      <c r="AJ7" s="202">
        <f ca="1">IFERROR(SUMIFS(INDIRECT("'Thanh Toán ("&amp;AJ$3&amp;")'!$F:$F"),INDIRECT("'Thanh Toán ("&amp;AJ$3&amp;")'!$D:$D"),'Tổng Đơn'!$B7),0)</f>
        <v>0</v>
      </c>
      <c r="AK7" s="202">
        <f ca="1">IFERROR(SUMIFS(INDIRECT("'Thanh Toán ("&amp;AK$3&amp;")'!$F:$F"),INDIRECT("'Thanh Toán ("&amp;AK$3&amp;")'!$D:$D"),'Tổng Đơn'!$B7),0)</f>
        <v>0</v>
      </c>
      <c r="AL7" s="202">
        <f ca="1">IFERROR(SUMIFS(INDIRECT("'Thanh Toán ("&amp;AL$3&amp;")'!$F:$F"),INDIRECT("'Thanh Toán ("&amp;AL$3&amp;")'!$D:$D"),'Tổng Đơn'!$B7),0)</f>
        <v>0</v>
      </c>
      <c r="AM7" s="202">
        <f ca="1">IFERROR(SUMIFS(INDIRECT("'Thanh Toán ("&amp;AM$3&amp;")'!$F:$F"),INDIRECT("'Thanh Toán ("&amp;AM$3&amp;")'!$D:$D"),'Tổng Đơn'!$B7),0)</f>
        <v>0</v>
      </c>
      <c r="AN7" s="202">
        <f ca="1">IFERROR(SUMIFS(INDIRECT("'Thanh Toán ("&amp;AN$3&amp;")'!$F:$F"),INDIRECT("'Thanh Toán ("&amp;AN$3&amp;")'!$D:$D"),'Tổng Đơn'!$B7),0)</f>
        <v>0</v>
      </c>
      <c r="AO7" s="202">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0</v>
      </c>
      <c r="G8" s="210">
        <f>IFERROR(VLOOKUP($B8,Gà!C:J,8,0),IFERROR(VLOOKUP($B8,TVP!C:J,7,0),IFERROR(VLOOKUP($B8,Kitkool!C:J,8,0),IFERROR(VLOOKUP($B8,'La Cusina'!C:J,8,0),VLOOKUP($B8,'Quốc Nhân'!C:J,8,0)))))</f>
        <v>22.526948964950723</v>
      </c>
      <c r="H8" s="55">
        <f t="shared" ref="H8:H39" ca="1" si="5">(D8-G8*1000)*$F8</f>
        <v>0</v>
      </c>
      <c r="I8" s="55"/>
      <c r="J8" s="55">
        <f ca="1">F8*G8*1000</f>
        <v>0</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3</v>
      </c>
      <c r="G9" s="210">
        <f>IFERROR(VLOOKUP($B9,Gà!C:J,8,0),IFERROR(VLOOKUP($B9,TVP!C:J,7,0),IFERROR(VLOOKUP($B9,Kitkool!C:J,8,0),IFERROR(VLOOKUP($B9,'La Cusina'!C:J,8,0),VLOOKUP($B9,'Quốc Nhân'!C:J,8,0)))))</f>
        <v>21.791253524970436</v>
      </c>
      <c r="H9" s="55">
        <f t="shared" ca="1" si="5"/>
        <v>9626.2394250886864</v>
      </c>
      <c r="I9" s="55"/>
      <c r="J9" s="55">
        <f t="shared" ref="J9:J66" ca="1" si="7">F9*G9*1000</f>
        <v>65373.760574911299</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2</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1</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1</v>
      </c>
      <c r="G10" s="210">
        <f>IFERROR(VLOOKUP($B10,Gà!C:J,8,0),IFERROR(VLOOKUP($B10,TVP!C:J,7,0),IFERROR(VLOOKUP($B10,Kitkool!C:J,8,0),IFERROR(VLOOKUP($B10,'La Cusina'!C:J,8,0),VLOOKUP($B10,'Quốc Nhân'!C:J,8,0)))))</f>
        <v>22.560356590557628</v>
      </c>
      <c r="H10" s="55">
        <f t="shared" ca="1" si="5"/>
        <v>5439.6434094423712</v>
      </c>
      <c r="I10" s="55"/>
      <c r="J10" s="55">
        <f t="shared" ca="1" si="7"/>
        <v>22560.356590557629</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1</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1</v>
      </c>
      <c r="G11" s="210">
        <f>IFERROR(VLOOKUP($B11,Gà!C:J,8,0),IFERROR(VLOOKUP($B11,TVP!C:J,7,0),IFERROR(VLOOKUP($B11,Kitkool!C:J,8,0),IFERROR(VLOOKUP($B11,'La Cusina'!C:J,8,0),VLOOKUP($B11,'Quốc Nhân'!C:J,8,0)))))</f>
        <v>22.303988902028564</v>
      </c>
      <c r="H11" s="55">
        <f t="shared" ca="1" si="5"/>
        <v>7696.0110979714373</v>
      </c>
      <c r="I11" s="55"/>
      <c r="J11" s="55">
        <f t="shared" ca="1" si="7"/>
        <v>22303.988902028563</v>
      </c>
      <c r="K11" s="151">
        <f ca="1">H4/J4</f>
        <v>0.20412613221963866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1</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1</v>
      </c>
      <c r="G12" s="210">
        <f>IFERROR(VLOOKUP($B12,Gà!C:J,8,0),IFERROR(VLOOKUP($B12,TVP!C:J,7,0),IFERROR(VLOOKUP($B12,Kitkool!C:J,8,0),IFERROR(VLOOKUP($B12,'La Cusina'!C:J,8,0),VLOOKUP($B12,'Quốc Nhân'!C:J,8,0)))))</f>
        <v>32.766471221746507</v>
      </c>
      <c r="H12" s="55">
        <f t="shared" ca="1" si="5"/>
        <v>5233.5287782534942</v>
      </c>
      <c r="I12" s="55"/>
      <c r="J12" s="55">
        <f t="shared" ca="1" si="7"/>
        <v>32766.471221746506</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1</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6</v>
      </c>
      <c r="G13" s="210">
        <f>IFERROR(VLOOKUP($B13,Gà!C:J,8,0),IFERROR(VLOOKUP($B13,TVP!C:J,7,0),IFERROR(VLOOKUP($B13,Kitkool!C:J,8,0),IFERROR(VLOOKUP($B13,'La Cusina'!C:J,8,0),VLOOKUP($B13,'Quốc Nhân'!C:J,8,0)))))</f>
        <v>37.374256237304607</v>
      </c>
      <c r="H13" s="55">
        <f t="shared" ca="1" si="5"/>
        <v>27754.462576172344</v>
      </c>
      <c r="I13" s="55"/>
      <c r="J13" s="55">
        <f t="shared" ca="1" si="7"/>
        <v>224245.53742382766</v>
      </c>
      <c r="K13" s="55"/>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5</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210">
        <f>IFERROR(VLOOKUP($B14,Gà!C:J,8,0),IFERROR(VLOOKUP($B14,TVP!C:J,7,0),IFERROR(VLOOKUP($B14,Kitkool!C:J,8,0),IFERROR(VLOOKUP($B14,'La Cusina'!C:J,8,0),VLOOKUP($B14,'Quốc Nhân'!C:J,8,0)))))</f>
        <v>29.011979727588052</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1</v>
      </c>
      <c r="G15" s="210">
        <f>IFERROR(VLOOKUP($B15,Gà!C:J,8,0),IFERROR(VLOOKUP($B15,TVP!C:J,7,0),IFERROR(VLOOKUP($B15,Kitkool!C:J,8,0),IFERROR(VLOOKUP($B15,'La Cusina'!C:J,8,0),VLOOKUP($B15,'Quốc Nhân'!C:J,8,0)))))</f>
        <v>30.206590657547562</v>
      </c>
      <c r="H15" s="55">
        <f t="shared" ca="1" si="5"/>
        <v>4793.4093424524399</v>
      </c>
      <c r="I15" s="55"/>
      <c r="J15" s="55">
        <f t="shared" ca="1" si="7"/>
        <v>30206.59065754756</v>
      </c>
      <c r="K15" s="55"/>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1</v>
      </c>
      <c r="G16" s="210">
        <f>IFERROR(VLOOKUP($B16,Gà!C:J,8,0),IFERROR(VLOOKUP($B16,TVP!C:J,7,0),IFERROR(VLOOKUP($B16,Kitkool!C:J,8,0),IFERROR(VLOOKUP($B16,'La Cusina'!C:J,8,0),VLOOKUP($B16,'Quốc Nhân'!C:J,8,0)))))</f>
        <v>32.254495108906717</v>
      </c>
      <c r="H16" s="55">
        <f t="shared" ca="1" si="5"/>
        <v>12745.504891093282</v>
      </c>
      <c r="I16" s="55"/>
      <c r="J16" s="55">
        <f t="shared" ca="1" si="7"/>
        <v>32254.495108906718</v>
      </c>
      <c r="K16" s="55"/>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0</v>
      </c>
      <c r="G17" s="210">
        <f>IFERROR(VLOOKUP($B17,Gà!C:J,8,0),IFERROR(VLOOKUP($B17,TVP!C:J,7,0),IFERROR(VLOOKUP($B17,Kitkool!C:J,8,0),IFERROR(VLOOKUP($B17,'La Cusina'!C:J,8,0),VLOOKUP($B17,'Quốc Nhân'!C:J,8,0)))))</f>
        <v>44.095242426999</v>
      </c>
      <c r="H17" s="55">
        <f t="shared" ca="1" si="5"/>
        <v>0</v>
      </c>
      <c r="I17" s="55"/>
      <c r="J17" s="55">
        <f t="shared" ca="1" si="7"/>
        <v>0</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0</v>
      </c>
      <c r="G18" s="210">
        <f>IFERROR(VLOOKUP($B18,Gà!C:J,8,0),IFERROR(VLOOKUP($B18,TVP!C:J,7,0),IFERROR(VLOOKUP($B18,Kitkool!C:J,8,0),IFERROR(VLOOKUP($B18,'La Cusina'!C:J,8,0),VLOOKUP($B18,'Quốc Nhân'!C:J,8,0)))))</f>
        <v>40.958089027183135</v>
      </c>
      <c r="H18" s="55">
        <f t="shared" ca="1" si="5"/>
        <v>0</v>
      </c>
      <c r="I18" s="55"/>
      <c r="J18" s="55">
        <f t="shared" ca="1" si="7"/>
        <v>0</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0</v>
      </c>
      <c r="G19" s="210">
        <f>IFERROR(VLOOKUP($B19,Gà!C:J,8,0),IFERROR(VLOOKUP($B19,TVP!C:J,7,0),IFERROR(VLOOKUP($B19,Kitkool!C:J,8,0),IFERROR(VLOOKUP($B19,'La Cusina'!C:J,8,0),VLOOKUP($B19,'Quốc Nhân'!C:J,8,0)))))</f>
        <v>40.958089027183135</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0</v>
      </c>
      <c r="G20" s="210">
        <f>IFERROR(VLOOKUP($B20,Gà!C:J,8,0),IFERROR(VLOOKUP($B20,TVP!C:J,7,0),IFERROR(VLOOKUP($B20,Kitkool!C:J,8,0),IFERROR(VLOOKUP($B20,'La Cusina'!C:J,8,0),VLOOKUP($B20,'Quốc Nhân'!C:J,8,0)))))</f>
        <v>40.958089027183135</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0</v>
      </c>
      <c r="G21" s="210">
        <f>IFERROR(VLOOKUP($B21,Gà!C:J,8,0),IFERROR(VLOOKUP($B21,TVP!C:J,7,0),IFERROR(VLOOKUP($B21,Kitkool!C:J,8,0),IFERROR(VLOOKUP($B21,'La Cusina'!C:J,8,0),VLOOKUP($B21,'Quốc Nhân'!C:J,8,0)))))</f>
        <v>40.958089027183135</v>
      </c>
      <c r="H21" s="55">
        <f t="shared" ca="1" si="5"/>
        <v>0</v>
      </c>
      <c r="I21" s="55"/>
      <c r="J21" s="55">
        <f t="shared" ca="1" si="7"/>
        <v>0</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0</v>
      </c>
      <c r="G22" s="210">
        <f>IFERROR(VLOOKUP($B22,Gà!C:J,8,0),IFERROR(VLOOKUP($B22,TVP!C:J,7,0),IFERROR(VLOOKUP($B22,Kitkool!C:J,8,0),IFERROR(VLOOKUP($B22,'La Cusina'!C:J,8,0),VLOOKUP($B22,'Quốc Nhân'!C:J,8,0)))))</f>
        <v>40.958089027183135</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1</v>
      </c>
      <c r="G23" s="210">
        <f>IFERROR(VLOOKUP($B23,Gà!C:J,8,0),IFERROR(VLOOKUP($B23,TVP!C:J,7,0),IFERROR(VLOOKUP($B23,Kitkool!C:J,8,0),IFERROR(VLOOKUP($B23,'La Cusina'!C:J,8,0),VLOOKUP($B23,'Quốc Nhân'!C:J,8,0)))))</f>
        <v>34.866005639952697</v>
      </c>
      <c r="H23" s="55">
        <f t="shared" ca="1" si="5"/>
        <v>5133.9943600473052</v>
      </c>
      <c r="I23" s="55"/>
      <c r="J23" s="55">
        <f t="shared" ca="1" si="7"/>
        <v>34866.005639952695</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6</v>
      </c>
      <c r="G24" s="210">
        <f>IFERROR(VLOOKUP($B24,Gà!C:J,8,0),IFERROR(VLOOKUP($B24,TVP!C:J,7,0),IFERROR(VLOOKUP($B24,Kitkool!C:J,8,0),IFERROR(VLOOKUP($B24,'La Cusina'!C:J,8,0),VLOOKUP($B24,'Quốc Nhân'!C:J,8,0)))))</f>
        <v>30.764122623487673</v>
      </c>
      <c r="H24" s="55">
        <f t="shared" ca="1" si="5"/>
        <v>55415.264259073956</v>
      </c>
      <c r="I24" s="55"/>
      <c r="J24" s="55">
        <f t="shared" ca="1" si="7"/>
        <v>184584.73574092603</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5</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17</v>
      </c>
      <c r="G25" s="210">
        <f>IFERROR(VLOOKUP($B25,Gà!C:J,8,0),IFERROR(VLOOKUP($B25,TVP!C:J,7,0),IFERROR(VLOOKUP($B25,Kitkool!C:J,8,0),IFERROR(VLOOKUP($B25,'La Cusina'!C:J,8,0),VLOOKUP($B25,'Quốc Nhân'!C:J,8,0)))))</f>
        <v>43.582507049940872</v>
      </c>
      <c r="H25" s="55">
        <f t="shared" ca="1" si="5"/>
        <v>194097.38015100511</v>
      </c>
      <c r="I25" s="55"/>
      <c r="J25" s="55">
        <f t="shared" ca="1" si="7"/>
        <v>740902.61984899489</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10</v>
      </c>
      <c r="S25" s="2">
        <f ca="1">IFERROR(SUMIFS(INDIRECT("'Thanh Toán ("&amp;S$3&amp;")'!$F:$F"),INDIRECT("'Thanh Toán ("&amp;S$3&amp;")'!$D:$D"),'Tổng Đơn'!$B25),0)</f>
        <v>4</v>
      </c>
      <c r="T25" s="2">
        <f ca="1">IFERROR(SUMIFS(INDIRECT("'Thanh Toán ("&amp;T$3&amp;")'!$F:$F"),INDIRECT("'Thanh Toán ("&amp;T$3&amp;")'!$D:$D"),'Tổng Đơn'!$B25),0)</f>
        <v>0</v>
      </c>
      <c r="U25" s="2">
        <f ca="1">IFERROR(SUMIFS(INDIRECT("'Thanh Toán ("&amp;U$3&amp;")'!$F:$F"),INDIRECT("'Thanh Toán ("&amp;U$3&amp;")'!$D:$D"),'Tổng Đơn'!$B25),0)</f>
        <v>1</v>
      </c>
      <c r="V25" s="2">
        <f ca="1">IFERROR(SUMIFS(INDIRECT("'Thanh Toán ("&amp;V$3&amp;")'!$F:$F"),INDIRECT("'Thanh Toán ("&amp;V$3&amp;")'!$D:$D"),'Tổng Đơn'!$B25),0)</f>
        <v>0</v>
      </c>
      <c r="W25" s="2">
        <f ca="1">IFERROR(SUMIFS(INDIRECT("'Thanh Toán ("&amp;W$3&amp;")'!$F:$F"),INDIRECT("'Thanh Toán ("&amp;W$3&amp;")'!$D:$D"),'Tổng Đơn'!$B25),0)</f>
        <v>2</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0</v>
      </c>
      <c r="G26" s="210">
        <f>IFERROR(VLOOKUP($B26,Gà!C:J,8,0),IFERROR(VLOOKUP($B26,TVP!C:J,7,0),IFERROR(VLOOKUP($B26,Kitkool!C:J,8,0),IFERROR(VLOOKUP($B26,'La Cusina'!C:J,8,0),VLOOKUP($B26,'Quốc Nhân'!C:J,8,0)))))</f>
        <v>21.022150459383244</v>
      </c>
      <c r="H26" s="55">
        <f t="shared" ca="1" si="5"/>
        <v>0</v>
      </c>
      <c r="I26" s="55"/>
      <c r="J26" s="55">
        <f t="shared" ca="1" si="7"/>
        <v>0</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2</v>
      </c>
      <c r="G27" s="210">
        <f>IFERROR(VLOOKUP($B27,Gà!C:J,8,0),IFERROR(VLOOKUP($B27,TVP!C:J,7,0),IFERROR(VLOOKUP($B27,Kitkool!C:J,8,0),IFERROR(VLOOKUP($B27,'La Cusina'!C:J,8,0),VLOOKUP($B27,'Quốc Nhân'!C:J,8,0)))))</f>
        <v>21.022150459383244</v>
      </c>
      <c r="H27" s="55">
        <f t="shared" ca="1" si="5"/>
        <v>9955.6990812335134</v>
      </c>
      <c r="I27" s="55"/>
      <c r="J27" s="55">
        <f t="shared" ca="1" si="7"/>
        <v>42044.300918766487</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1</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1</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1</v>
      </c>
      <c r="G28" s="210">
        <f>IFERROR(VLOOKUP($B28,Gà!C:J,8,0),IFERROR(VLOOKUP($B28,TVP!C:J,7,0),IFERROR(VLOOKUP($B28,Kitkool!C:J,8,0),IFERROR(VLOOKUP($B28,'La Cusina'!C:J,8,0),VLOOKUP($B28,'Quốc Nhân'!C:J,8,0)))))</f>
        <v>28.200445738197033</v>
      </c>
      <c r="H28" s="55">
        <f t="shared" ca="1" si="5"/>
        <v>4799.5542618029685</v>
      </c>
      <c r="I28" s="55"/>
      <c r="J28" s="55">
        <f t="shared" ca="1" si="7"/>
        <v>28200.445738197031</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1</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210">
        <f>IFERROR(VLOOKUP($B29,Gà!C:J,8,0),IFERROR(VLOOKUP($B29,TVP!C:J,7,0),IFERROR(VLOOKUP($B29,Kitkool!C:J,8,0),IFERROR(VLOOKUP($B29,'La Cusina'!C:J,8,0),VLOOKUP($B29,'Quốc Nhân'!C:J,8,0)))))</f>
        <v>28.200445738197033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210">
        <f>IFERROR(VLOOKUP($B30,Gà!C:J,8,0),IFERROR(VLOOKUP($B30,TVP!C:J,7,0),IFERROR(VLOOKUP($B30,Kitkool!C:J,8,0),IFERROR(VLOOKUP($B30,'La Cusina'!C:J,8,0),VLOOKUP($B30,'Quốc Nhân'!C:J,8,0)))))</f>
        <v>58.964568361684705</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210">
        <f>IFERROR(VLOOKUP($B31,Gà!C:J,8,0),IFERROR(VLOOKUP($B31,TVP!C:J,7,0),IFERROR(VLOOKUP($B31,Kitkool!C:J,8,0),IFERROR(VLOOKUP($B31,'La Cusina'!C:J,8,0),VLOOKUP($B31,'Quốc Nhân'!C:J,8,0)))))</f>
        <v>33.560034196648175</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210">
        <f>IFERROR(VLOOKUP($B32,Gà!C:J,8,0),IFERROR(VLOOKUP($B32,TVP!C:J,7,0),IFERROR(VLOOKUP($B32,Kitkool!C:J,8,0),IFERROR(VLOOKUP($B32,'La Cusina'!C:J,8,0),VLOOKUP($B32,'Quốc Nhân'!C:J,8,0)))))</f>
        <v>27.687710361138908</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0</v>
      </c>
      <c r="G33" s="210">
        <f>IFERROR(VLOOKUP($B33,Gà!C:J,8,0),IFERROR(VLOOKUP($B33,TVP!C:J,7,0),IFERROR(VLOOKUP($B33,Kitkool!C:J,8,0),IFERROR(VLOOKUP($B33,'La Cusina'!C:J,8,0),VLOOKUP($B33,'Quốc Nhân'!C:J,8,0)))))</f>
        <v>40.958089027183135</v>
      </c>
      <c r="H33" s="55">
        <f t="shared" ca="1" si="5"/>
        <v>0</v>
      </c>
      <c r="I33" s="55"/>
      <c r="J33" s="55">
        <f t="shared" ca="1" si="7"/>
        <v>0</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210">
        <f>IFERROR(VLOOKUP($B34,Gà!C:J,8,0),IFERROR(VLOOKUP($B34,TVP!C:J,7,0),IFERROR(VLOOKUP($B34,Kitkool!C:J,8,0),IFERROR(VLOOKUP($B34,'La Cusina'!C:J,8,0),VLOOKUP($B34,'Quốc Nhân'!C:J,8,0)))))</f>
        <v>30.764122623487673</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0</v>
      </c>
      <c r="G35" s="210">
        <f>IFERROR(VLOOKUP($B35,Gà!C:J,8,0),IFERROR(VLOOKUP($B35,TVP!C:J,7,0),IFERROR(VLOOKUP($B35,Kitkool!C:J,8,0),IFERROR(VLOOKUP($B35,'La Cusina'!C:J,8,0),VLOOKUP($B35,'Quốc Nhân'!C:J,8,0)))))</f>
        <v>27.687710361138908</v>
      </c>
      <c r="H35" s="55">
        <f t="shared" ca="1" si="5"/>
        <v>0</v>
      </c>
      <c r="I35" s="55"/>
      <c r="J35" s="55">
        <f t="shared" ca="1" si="7"/>
        <v>0</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0</v>
      </c>
      <c r="G36" s="210">
        <f>IFERROR(VLOOKUP($B36,Gà!C:J,8,0),IFERROR(VLOOKUP($B36,TVP!C:J,7,0),IFERROR(VLOOKUP($B36,Kitkool!C:J,8,0),IFERROR(VLOOKUP($B36,'La Cusina'!C:J,8,0),VLOOKUP($B36,'Quốc Nhân'!C:J,8,0)))))</f>
        <v>26.696709142645059</v>
      </c>
      <c r="H36" s="55">
        <f t="shared" ca="1" si="5"/>
        <v>0</v>
      </c>
      <c r="I36" s="55"/>
      <c r="J36" s="55">
        <f t="shared" ca="1" si="7"/>
        <v>0</v>
      </c>
      <c r="K36" s="55"/>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0</v>
      </c>
      <c r="G37" s="210">
        <f>IFERROR(VLOOKUP($B37,Gà!C:J,8,0),IFERROR(VLOOKUP($B37,TVP!C:J,7,0),IFERROR(VLOOKUP($B37,Kitkool!C:J,8,0),IFERROR(VLOOKUP($B37,'La Cusina'!C:J,8,0),VLOOKUP($B37,'Quốc Nhân'!C:J,8,0)))))</f>
        <v>11.283137448966967</v>
      </c>
      <c r="H37" s="55">
        <f t="shared" ca="1" si="5"/>
        <v>0</v>
      </c>
      <c r="I37" s="55"/>
      <c r="J37" s="55">
        <f t="shared" ca="1" si="7"/>
        <v>0</v>
      </c>
      <c r="K37" s="55"/>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0</v>
      </c>
      <c r="G38" s="210">
        <f>IFERROR(VLOOKUP($B38,Gà!C:J,8,0),IFERROR(VLOOKUP($B38,TVP!C:J,7,0),IFERROR(VLOOKUP($B38,Kitkool!C:J,8,0),IFERROR(VLOOKUP($B38,'La Cusina'!C:J,8,0),VLOOKUP($B38,'Quốc Nhân'!C:J,8,0)))))</f>
        <v>26.696709142645059</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0</v>
      </c>
      <c r="G39" s="210">
        <f>IFERROR(VLOOKUP($B39,Gà!C:J,8,0),IFERROR(VLOOKUP($B39,TVP!C:J,7,0),IFERROR(VLOOKUP($B39,Kitkool!C:J,8,0),IFERROR(VLOOKUP($B39,'La Cusina'!C:J,8,0),VLOOKUP($B39,'Quốc Nhân'!C:J,8,0)))))</f>
        <v>28.711555115674873</v>
      </c>
      <c r="H39" s="55">
        <f t="shared" ca="1" si="5"/>
        <v>0</v>
      </c>
      <c r="I39" s="55"/>
      <c r="J39" s="55">
        <f t="shared" ca="1" si="7"/>
        <v>0</v>
      </c>
      <c r="K39" s="55"/>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0</v>
      </c>
      <c r="G40" s="210">
        <f>IFERROR(VLOOKUP($B40,Gà!C:J,8,0),IFERROR(VLOOKUP($B40,TVP!C:J,7,0),IFERROR(VLOOKUP($B40,Kitkool!C:J,8,0),IFERROR(VLOOKUP($B40,'La Cusina'!C:J,8,0),VLOOKUP($B40,'Quốc Nhân'!C:J,8,0)))))</f>
        <v>12.089075838178895</v>
      </c>
      <c r="H40" s="55">
        <f t="shared" ref="H40:H66" ca="1" si="8">(D40-G40*1000)*$F40</f>
        <v>0</v>
      </c>
      <c r="I40" s="55"/>
      <c r="J40" s="55">
        <f t="shared" ca="1" si="7"/>
        <v>0</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0</v>
      </c>
      <c r="G41" s="210">
        <f>IFERROR(VLOOKUP($B41,Gà!C:J,8,0),IFERROR(VLOOKUP($B41,TVP!C:J,7,0),IFERROR(VLOOKUP($B41,Kitkool!C:J,8,0),IFERROR(VLOOKUP($B41,'La Cusina'!C:J,8,0),VLOOKUP($B41,'Quốc Nhân'!C:J,8,0)))))</f>
        <v>28.711555115674873</v>
      </c>
      <c r="H41" s="55">
        <f t="shared" ca="1" si="8"/>
        <v>0</v>
      </c>
      <c r="I41" s="55"/>
      <c r="J41" s="55">
        <f t="shared" ca="1" si="7"/>
        <v>0</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210">
        <f>IFERROR(VLOOKUP($B42,Gà!C:J,8,0),IFERROR(VLOOKUP($B42,TVP!C:J,7,0),IFERROR(VLOOKUP($B42,Kitkool!C:J,8,0),IFERROR(VLOOKUP($B42,'La Cusina'!C:J,8,0),VLOOKUP($B42,'Quốc Nhân'!C:J,8,0)))))</f>
        <v>12.089075838178895</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0</v>
      </c>
      <c r="G43" s="210">
        <f>IFERROR(VLOOKUP($B43,Gà!C:J,8,0),IFERROR(VLOOKUP($B43,TVP!C:J,7,0),IFERROR(VLOOKUP($B43,Kitkool!C:J,8,0),IFERROR(VLOOKUP($B43,'La Cusina'!C:J,8,0),VLOOKUP($B43,'Quốc Nhân'!C:J,8,0)))))</f>
        <v>49.363726339230482</v>
      </c>
      <c r="H43" s="55">
        <f t="shared" ca="1" si="8"/>
        <v>0</v>
      </c>
      <c r="I43" s="55"/>
      <c r="J43" s="55">
        <f t="shared" ca="1" si="7"/>
        <v>0</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0</v>
      </c>
      <c r="G44" s="210">
        <f>IFERROR(VLOOKUP($B44,Gà!C:J,8,0),IFERROR(VLOOKUP($B44,TVP!C:J,7,0),IFERROR(VLOOKUP($B44,Kitkool!C:J,8,0),IFERROR(VLOOKUP($B44,'La Cusina'!C:J,8,0),VLOOKUP($B44,'Quốc Nhân'!C:J,8,0)))))</f>
        <v>43.319188420141039</v>
      </c>
      <c r="H44" s="55">
        <f t="shared" ca="1" si="8"/>
        <v>0</v>
      </c>
      <c r="I44" s="55"/>
      <c r="J44" s="55">
        <f t="shared" ca="1" si="7"/>
        <v>0</v>
      </c>
      <c r="K44" s="55"/>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210">
        <f>IFERROR(VLOOKUP($B45,Gà!C:J,8,0),IFERROR(VLOOKUP($B45,TVP!C:J,7,0),IFERROR(VLOOKUP($B45,Kitkool!C:J,8,0),IFERROR(VLOOKUP($B45,'La Cusina'!C:J,8,0),VLOOKUP($B45,'Quốc Nhân'!C:J,8,0)))))</f>
        <v>54.400841271805021</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0</v>
      </c>
      <c r="G46" s="210">
        <f>IFERROR(VLOOKUP($B46,Gà!C:J,8,0),IFERROR(VLOOKUP($B46,TVP!C:J,7,0),IFERROR(VLOOKUP($B46,Kitkool!C:J,8,0),IFERROR(VLOOKUP($B46,'La Cusina'!C:J,8,0),VLOOKUP($B46,'Quốc Nhân'!C:J,8,0)))))</f>
        <v>36.770939007794134</v>
      </c>
      <c r="H46" s="55">
        <f t="shared" ca="1" si="8"/>
        <v>0</v>
      </c>
      <c r="I46" s="55"/>
      <c r="J46" s="55">
        <f t="shared" ca="1" si="7"/>
        <v>0</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0</v>
      </c>
      <c r="G47" s="210">
        <f>IFERROR(VLOOKUP($B47,Gà!C:J,8,0),IFERROR(VLOOKUP($B47,TVP!C:J,7,0),IFERROR(VLOOKUP($B47,Kitkool!C:J,8,0),IFERROR(VLOOKUP($B47,'La Cusina'!C:J,8,0),VLOOKUP($B47,'Quốc Nhân'!C:J,8,0)))))</f>
        <v>66.489917109983921</v>
      </c>
      <c r="H47" s="55">
        <f t="shared" ca="1" si="8"/>
        <v>0</v>
      </c>
      <c r="I47" s="55"/>
      <c r="J47" s="55">
        <f t="shared" ca="1" si="7"/>
        <v>0</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0</v>
      </c>
      <c r="G48" s="210">
        <f>IFERROR(VLOOKUP($B48,Gà!C:J,8,0),IFERROR(VLOOKUP($B48,TVP!C:J,7,0),IFERROR(VLOOKUP($B48,Kitkool!C:J,8,0),IFERROR(VLOOKUP($B48,'La Cusina'!C:J,8,0),VLOOKUP($B48,'Quốc Nhân'!C:J,8,0)))))</f>
        <v>55.911975751577387</v>
      </c>
      <c r="H48" s="55">
        <f t="shared" ca="1" si="8"/>
        <v>0</v>
      </c>
      <c r="I48" s="55"/>
      <c r="J48" s="55">
        <f t="shared" ca="1" si="7"/>
        <v>0</v>
      </c>
      <c r="K48" s="55"/>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0</v>
      </c>
      <c r="G49" s="210">
        <f>IFERROR(VLOOKUP($B49,Gà!C:J,8,0),IFERROR(VLOOKUP($B49,TVP!C:J,7,0),IFERROR(VLOOKUP($B49,Kitkool!C:J,8,0),IFERROR(VLOOKUP($B49,'La Cusina'!C:J,8,0),VLOOKUP($B49,'Quốc Nhân'!C:J,8,0)))))</f>
        <v>102.75714462452059</v>
      </c>
      <c r="H49" s="55">
        <f ca="1">(D49-G49*1000)*$F49</f>
        <v>0</v>
      </c>
      <c r="I49" s="55"/>
      <c r="J49" s="55">
        <f t="shared" ca="1" si="7"/>
        <v>0</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0</v>
      </c>
      <c r="G50" s="210">
        <f>IFERROR(VLOOKUP($B50,Gà!C:J,8,0),IFERROR(VLOOKUP($B50,TVP!C:J,7,0),IFERROR(VLOOKUP($B50,Kitkool!C:J,8,0),IFERROR(VLOOKUP($B50,'La Cusina'!C:J,8,0),VLOOKUP($B50,'Quốc Nhân'!C:J,8,0)))))</f>
        <v>55.911975751577387</v>
      </c>
      <c r="H50" s="55">
        <f t="shared" ca="1" si="8"/>
        <v>0</v>
      </c>
      <c r="I50" s="55"/>
      <c r="J50" s="55">
        <f t="shared" ca="1" si="7"/>
        <v>0</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0</v>
      </c>
      <c r="G51" s="210">
        <f>IFERROR(VLOOKUP($B51,Gà!C:J,8,0),IFERROR(VLOOKUP($B51,TVP!C:J,7,0),IFERROR(VLOOKUP($B51,Kitkool!C:J,8,0),IFERROR(VLOOKUP($B51,'La Cusina'!C:J,8,0),VLOOKUP($B51,'Quốc Nhân'!C:J,8,0)))))</f>
        <v>54.400841271805021</v>
      </c>
      <c r="H51" s="55">
        <f t="shared" ca="1" si="8"/>
        <v>0</v>
      </c>
      <c r="I51" s="55"/>
      <c r="J51" s="55">
        <f t="shared" ca="1" si="7"/>
        <v>0</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0</v>
      </c>
      <c r="G52" s="210">
        <f>IFERROR(VLOOKUP($B52,Gà!C:J,8,0),IFERROR(VLOOKUP($B52,TVP!C:J,7,0),IFERROR(VLOOKUP($B52,Kitkool!C:J,8,0),IFERROR(VLOOKUP($B52,'La Cusina'!C:J,8,0),VLOOKUP($B52,'Quốc Nhân'!C:J,8,0)))))</f>
        <v>45.334034393170853</v>
      </c>
      <c r="H52" s="55">
        <f t="shared" ca="1" si="8"/>
        <v>0</v>
      </c>
      <c r="I52" s="55"/>
      <c r="J52" s="55">
        <f t="shared" ca="1" si="7"/>
        <v>0</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0</v>
      </c>
      <c r="G53" s="210">
        <f>IFERROR(VLOOKUP($B53,Gà!C:J,8,0),IFERROR(VLOOKUP($B53,TVP!C:J,7,0),IFERROR(VLOOKUP($B53,Kitkool!C:J,8,0),IFERROR(VLOOKUP($B53,'La Cusina'!C:J,8,0),VLOOKUP($B53,'Quốc Nhân'!C:J,8,0)))))</f>
        <v>49.363726339230482</v>
      </c>
      <c r="H53" s="55">
        <f t="shared" ca="1" si="8"/>
        <v>0</v>
      </c>
      <c r="I53" s="55"/>
      <c r="J53" s="55">
        <f t="shared" ca="1" si="7"/>
        <v>0</v>
      </c>
      <c r="K53" s="55"/>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0</v>
      </c>
      <c r="G54" s="210">
        <f>IFERROR(VLOOKUP($B54,Gà!C:J,8,0),IFERROR(VLOOKUP($B54,TVP!C:J,7,0),IFERROR(VLOOKUP($B54,Kitkool!C:J,8,0),IFERROR(VLOOKUP($B54,'La Cusina'!C:J,8,0),VLOOKUP($B54,'Quốc Nhân'!C:J,8,0)))))</f>
        <v>31.789593377603929</v>
      </c>
      <c r="H54" s="55">
        <f t="shared" ca="1" si="8"/>
        <v>0</v>
      </c>
      <c r="I54" s="55"/>
      <c r="J54" s="55">
        <f t="shared" ca="1" si="7"/>
        <v>0</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0</v>
      </c>
      <c r="G55" s="210">
        <f>IFERROR(VLOOKUP($B55,Gà!C:J,8,0),IFERROR(VLOOKUP($B55,TVP!C:J,7,0),IFERROR(VLOOKUP($B55,Kitkool!C:J,8,0),IFERROR(VLOOKUP($B55,'La Cusina'!C:J,8,0),VLOOKUP($B55,'Quốc Nhân'!C:J,8,0)))))</f>
        <v>22.0476212134995</v>
      </c>
      <c r="H55" s="55">
        <f t="shared" ca="1" si="8"/>
        <v>0</v>
      </c>
      <c r="I55" s="55"/>
      <c r="J55" s="55">
        <f t="shared" ca="1" si="7"/>
        <v>0</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162</v>
      </c>
      <c r="C56" s="23" t="s">
        <v>143</v>
      </c>
      <c r="D56" s="44">
        <f>VLOOKUP($C56,Sheet1!$C$5:$D$98,2,0)</f>
        <v>45000</v>
      </c>
      <c r="E56" s="57">
        <v>0.5</v>
      </c>
      <c r="F56" s="57">
        <f t="shared" ca="1" si="6"/>
        <v>0</v>
      </c>
      <c r="G56" s="210">
        <f>IFERROR(VLOOKUP($B56,Gà!C:J,8,0),IFERROR(VLOOKUP($B56,TVP!C:J,7,0),IFERROR(VLOOKUP($B56,Kitkool!C:J,8,0),IFERROR(VLOOKUP($B56,'La Cusina'!C:J,8,0),VLOOKUP($B56,'Quốc Nhân'!C:J,8,0)))))</f>
        <v>27.687710361138908</v>
      </c>
      <c r="H56" s="55">
        <f t="shared" ca="1" si="8"/>
        <v>0</v>
      </c>
      <c r="I56" s="55"/>
      <c r="J56" s="55">
        <f t="shared" ca="1" si="7"/>
        <v>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44000</v>
      </c>
      <c r="E57" s="57">
        <v>0.5</v>
      </c>
      <c r="F57" s="57">
        <f t="shared" ca="1" si="6"/>
        <v>2</v>
      </c>
      <c r="G57" s="210">
        <f>IFERROR(VLOOKUP($B57,Gà!C:J,8,0),IFERROR(VLOOKUP($B57,TVP!C:J,7,0),IFERROR(VLOOKUP($B57,Kitkool!C:J,8,0),IFERROR(VLOOKUP($B57,'La Cusina'!C:J,8,0),VLOOKUP($B57,'Quốc Nhân'!C:J,8,0)))))</f>
        <v>37.374256237304607</v>
      </c>
      <c r="H57" s="55">
        <f t="shared" ca="1" si="8"/>
        <v>13251.487525390781</v>
      </c>
      <c r="I57" s="55"/>
      <c r="J57" s="55">
        <f t="shared" ca="1" si="7"/>
        <v>74748.512474609219</v>
      </c>
      <c r="K57" s="55"/>
      <c r="L57" s="2">
        <f ca="1">IFERROR(SUMIFS(INDIRECT("'Thanh Toán ("&amp;L$3&amp;")'!$F:$F"),INDIRECT("'Thanh Toán ("&amp;L$3&amp;")'!$D:$D"),'Tổng Đơn'!$B57),0)</f>
        <v>0</v>
      </c>
      <c r="M57" s="2">
        <f ca="1">IFERROR(SUMIFS(INDIRECT("'Thanh Toán ("&amp;M$3&amp;")'!$F:$F"),INDIRECT("'Thanh Toán ("&amp;M$3&amp;")'!$D:$D"),'Tổng Đơn'!$B57),0)</f>
        <v>1</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1</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0</v>
      </c>
      <c r="G58" s="210">
        <f>IFERROR(VLOOKUP($B58,Gà!C:J,8,0),IFERROR(VLOOKUP($B58,TVP!C:J,7,0),IFERROR(VLOOKUP($B58,Kitkool!C:J,8,0),IFERROR(VLOOKUP($B58,'La Cusina'!C:J,8,0),VLOOKUP($B58,'Quốc Nhân'!C:J,8,0)))))</f>
        <v>27.848805927364321</v>
      </c>
      <c r="H58" s="55">
        <f t="shared" ca="1" si="8"/>
        <v>0</v>
      </c>
      <c r="I58" s="55"/>
      <c r="J58" s="55">
        <f t="shared" ca="1" si="7"/>
        <v>0</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0</v>
      </c>
      <c r="G59" s="210">
        <f>IFERROR(VLOOKUP($B59,Gà!C:J,8,0),IFERROR(VLOOKUP($B59,TVP!C:J,7,0),IFERROR(VLOOKUP($B59,Kitkool!C:J,8,0),IFERROR(VLOOKUP($B59,'La Cusina'!C:J,8,0),VLOOKUP($B59,'Quốc Nhân'!C:J,8,0)))))</f>
        <v>58.430533217864657</v>
      </c>
      <c r="H59" s="55">
        <f ca="1">(D59-G59*1000)*$F59</f>
        <v>0</v>
      </c>
      <c r="I59" s="55"/>
      <c r="J59" s="55">
        <f t="shared" ca="1" si="7"/>
        <v>0</v>
      </c>
      <c r="K59" s="55"/>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0</v>
      </c>
      <c r="G60" s="210">
        <f>IFERROR(VLOOKUP($B60,Gà!C:J,8,0),IFERROR(VLOOKUP($B60,TVP!C:J,7,0),IFERROR(VLOOKUP($B60,Kitkool!C:J,8,0),IFERROR(VLOOKUP($B60,'La Cusina'!C:J,8,0),VLOOKUP($B60,'Quốc Nhân'!C:J,8,0)))))</f>
        <v>63.467648150439196</v>
      </c>
      <c r="H60" s="55">
        <f t="shared" ca="1" si="8"/>
        <v>0</v>
      </c>
      <c r="I60" s="55"/>
      <c r="J60" s="55">
        <f t="shared" ca="1" si="7"/>
        <v>0</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0</v>
      </c>
      <c r="G61" s="210">
        <f>IFERROR(VLOOKUP($B61,Gà!C:J,8,0),IFERROR(VLOOKUP($B61,TVP!C:J,7,0),IFERROR(VLOOKUP($B61,Kitkool!C:J,8,0),IFERROR(VLOOKUP($B61,'La Cusina'!C:J,8,0),VLOOKUP($B61,'Quốc Nhân'!C:J,8,0)))))</f>
        <v>22.303988902028564</v>
      </c>
      <c r="H61" s="55">
        <f t="shared" ca="1" si="8"/>
        <v>0</v>
      </c>
      <c r="I61" s="55"/>
      <c r="J61" s="55">
        <f t="shared" ca="1" si="7"/>
        <v>0</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45000</v>
      </c>
      <c r="E62" s="57">
        <v>1</v>
      </c>
      <c r="F62" s="57">
        <f t="shared" ca="1" si="10"/>
        <v>4</v>
      </c>
      <c r="G62" s="210">
        <f>IFERROR(VLOOKUP($B62,Gà!C:J,8,0),IFERROR(VLOOKUP($B62,TVP!C:J,7,0),IFERROR(VLOOKUP($B62,Kitkool!C:J,8,0),IFERROR(VLOOKUP($B62,'La Cusina'!C:J,8,0),VLOOKUP($B62,'Quốc Nhân'!C:J,8,0)))))</f>
        <v>39.993359410533976</v>
      </c>
      <c r="H62" s="55">
        <f t="shared" ca="1" si="8"/>
        <v>20026.562357864081</v>
      </c>
      <c r="I62" s="55"/>
      <c r="J62" s="55">
        <f t="shared" ca="1" si="7"/>
        <v>159973.43764213592</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1</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1</v>
      </c>
      <c r="U62" s="2">
        <f ca="1">IFERROR(SUMIFS(INDIRECT("'Thanh Toán ("&amp;U$3&amp;")'!$F:$F"),INDIRECT("'Thanh Toán ("&amp;U$3&amp;")'!$D:$D"),'Tổng Đơn'!$B62),0)</f>
        <v>0</v>
      </c>
      <c r="V62" s="2">
        <f ca="1">IFERROR(SUMIFS(INDIRECT("'Thanh Toán ("&amp;V$3&amp;")'!$F:$F"),INDIRECT("'Thanh Toán ("&amp;V$3&amp;")'!$D:$D"),'Tổng Đơn'!$B62),0)</f>
        <v>1</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1</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2</v>
      </c>
      <c r="G63" s="210">
        <f>IFERROR(VLOOKUP($B63,Gà!C:J,8,0),IFERROR(VLOOKUP($B63,TVP!C:J,7,0),IFERROR(VLOOKUP($B63,Kitkool!C:J,8,0),IFERROR(VLOOKUP($B63,'La Cusina'!C:J,8,0),VLOOKUP($B63,'Quốc Nhân'!C:J,8,0)))))</f>
        <v>74.346629673428552</v>
      </c>
      <c r="H63" s="55">
        <f t="shared" ca="1" si="8"/>
        <v>11306.740653142886</v>
      </c>
      <c r="I63" s="55"/>
      <c r="J63" s="55">
        <f t="shared" ca="1" si="7"/>
        <v>148693.25934685711</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1</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1</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1</v>
      </c>
      <c r="G64" s="210">
        <f>IFERROR(VLOOKUP($B64,Gà!C:J,8,0),IFERROR(VLOOKUP($B64,TVP!C:J,7,0),IFERROR(VLOOKUP($B64,Kitkool!C:J,8,0),IFERROR(VLOOKUP($B64,'La Cusina'!C:J,8,0),VLOOKUP($B64,'Quốc Nhân'!C:J,8,0)))))</f>
        <v>37.942417902301464</v>
      </c>
      <c r="H64" s="55">
        <f t="shared" ca="1" si="8"/>
        <v>4057.5820976985342</v>
      </c>
      <c r="I64" s="55"/>
      <c r="J64" s="55">
        <f t="shared" ca="1" si="7"/>
        <v>37942.417902301466</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1</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210">
        <f>IFERROR(VLOOKUP($B65,Gà!C:J,8,0),IFERROR(VLOOKUP($B65,TVP!C:J,7,0),IFERROR(VLOOKUP($B65,Kitkool!C:J,8,0),IFERROR(VLOOKUP($B65,'La Cusina'!C:J,8,0),VLOOKUP($B65,'Quốc Nhân'!C:J,8,0)))))</f>
        <v>30.251387246429545</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0</v>
      </c>
      <c r="G66" s="210">
        <f>IFERROR(VLOOKUP($B66,Gà!C:J,8,0),IFERROR(VLOOKUP($B66,TVP!C:J,7,0),IFERROR(VLOOKUP($B66,Kitkool!C:J,8,0),IFERROR(VLOOKUP($B66,'La Cusina'!C:J,8,0),VLOOKUP($B66,'Quốc Nhân'!C:J,8,0)))))</f>
        <v>32.302328754662057</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1</v>
      </c>
      <c r="G67" s="210">
        <f>IFERROR(VLOOKUP($B67,Gà!C:J,8,0),IFERROR(VLOOKUP($B67,TVP!C:J,7,0),IFERROR(VLOOKUP($B67,Kitkool!C:J,8,0),IFERROR(VLOOKUP($B67,'La Cusina'!C:J,8,0),VLOOKUP($B67,'Quốc Nhân'!C:J,8,0)))))</f>
        <v>61.437133540774703</v>
      </c>
      <c r="H67" s="55">
        <f t="shared" ref="H67" ca="1" si="12">(D67-G67*1000)*$F67</f>
        <v>8562.8664592252971</v>
      </c>
      <c r="I67" s="55"/>
      <c r="J67" s="55">
        <f t="shared" ref="J67" ca="1" si="13">F67*G67*1000</f>
        <v>61437.133540774703</v>
      </c>
      <c r="K67" s="55"/>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0</v>
      </c>
      <c r="G68" s="210">
        <f>IFERROR(VLOOKUP($B68,Gà!C:J,8,0),IFERROR(VLOOKUP($B68,TVP!C:J,7,0),IFERROR(VLOOKUP($B68,Kitkool!C:J,8,0),IFERROR(VLOOKUP($B68,'La Cusina'!C:J,8,0),VLOOKUP($B68,'Quốc Nhân'!C:J,8,0)))))</f>
        <v>45.053897929901446</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2</v>
      </c>
      <c r="G69" s="210">
        <f>IFERROR(VLOOKUP($B69,Gà!C:J,8,0),IFERROR(VLOOKUP($B69,TVP!C:J,7,0),IFERROR(VLOOKUP($B69,Kitkool!C:J,8,0),IFERROR(VLOOKUP($B69,'La Cusina'!C:J,8,0),VLOOKUP($B69,'Quốc Nhân'!C:J,8,0)))))</f>
        <v>43.582507049940872</v>
      </c>
      <c r="H69" s="55">
        <f t="shared" ca="1" si="14"/>
        <v>6834.9859001182485</v>
      </c>
      <c r="I69" s="55"/>
      <c r="J69" s="55">
        <f t="shared" ca="1" si="15"/>
        <v>87165.014099881751</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2</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208</v>
      </c>
      <c r="C70" s="23" t="s">
        <v>212</v>
      </c>
      <c r="D70" s="44">
        <f>VLOOKUP($C70,Sheet1!$C$5:$D$98,2,0)</f>
        <v>50000</v>
      </c>
      <c r="E70" s="57">
        <v>0.5</v>
      </c>
      <c r="F70" s="57">
        <f t="shared" ca="1" si="11"/>
        <v>2</v>
      </c>
      <c r="G70" s="210">
        <f>IFERROR(VLOOKUP($B70,Gà!C:J,8,0),IFERROR(VLOOKUP($B70,TVP!C:J,7,0),IFERROR(VLOOKUP($B70,Kitkool!C:J,8,0),IFERROR(VLOOKUP($B70,'La Cusina'!C:J,8,0),VLOOKUP($B70,'Quốc Nhân'!C:J,8,0)))))</f>
        <v>44.607977804057128</v>
      </c>
      <c r="H70" s="55">
        <f t="shared" ref="H70:H71" ca="1" si="16">(D70-G70*1000)*$F70</f>
        <v>10784.044391885749</v>
      </c>
      <c r="I70" s="55"/>
      <c r="J70" s="55">
        <f t="shared" ref="J70:J71" ca="1" si="17">F70*G70*1000</f>
        <v>89215.955608114251</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213</v>
      </c>
      <c r="D71" s="44">
        <f>VLOOKUP($C71,Sheet1!$C$5:$D$98,2,0)</f>
        <v>45000</v>
      </c>
      <c r="E71" s="57">
        <v>0.5</v>
      </c>
      <c r="F71" s="57">
        <f t="shared" ca="1" si="11"/>
        <v>2</v>
      </c>
      <c r="G71" s="210">
        <f>IFERROR(VLOOKUP($B71,Gà!C:J,8,0),IFERROR(VLOOKUP($B71,TVP!C:J,7,0),IFERROR(VLOOKUP($B71,Kitkool!C:J,8,0),IFERROR(VLOOKUP($B71,'La Cusina'!C:J,8,0),VLOOKUP($B71,'Quốc Nhân'!C:J,8,0)))))</f>
        <v>37.374256237304607</v>
      </c>
      <c r="H71" s="55">
        <f t="shared" ca="1" si="16"/>
        <v>15251.487525390781</v>
      </c>
      <c r="I71" s="55"/>
      <c r="J71" s="55">
        <f t="shared" ca="1" si="17"/>
        <v>74748.512474609219</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1</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row r="72" spans="1:41" x14ac:dyDescent="0.25">
      <c r="A72" s="142">
        <v>65</v>
      </c>
      <c r="B72" s="145" t="s">
        <v>247</v>
      </c>
      <c r="C72" s="23" t="s">
        <v>248</v>
      </c>
      <c r="D72" s="44">
        <f>VLOOKUP($C72,Sheet1!$C$5:$D$98,2,0)</f>
        <v>18000</v>
      </c>
      <c r="E72" s="57">
        <v>0.3</v>
      </c>
      <c r="F72" s="57">
        <f t="shared" ref="F72" ca="1" si="18">SUM(L72:BW72)</f>
        <v>12</v>
      </c>
      <c r="G72" s="210">
        <f>IFERROR(VLOOKUP($B72,Gà!C:J,8,0),IFERROR(VLOOKUP($B72,TVP!C:J,7,0),IFERROR(VLOOKUP($B72,Kitkool!C:J,8,0),IFERROR(VLOOKUP($B72,'La Cusina'!C:J,8,0),VLOOKUP($B72,'Quốc Nhân'!C:J,8,0)))))</f>
        <v>12.287426708154939</v>
      </c>
      <c r="H72" s="55">
        <f t="shared" ref="H72" ca="1" si="19">(D72-G72*1000)*$F72</f>
        <v>68550.879502140742</v>
      </c>
      <c r="I72" s="55"/>
      <c r="J72" s="55">
        <f t="shared" ref="J72" ca="1" si="20">F72*G72*1000</f>
        <v>147449.12049785926</v>
      </c>
      <c r="K72" s="55"/>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5</v>
      </c>
      <c r="O72" s="2">
        <f ca="1">IFERROR(SUMIFS(INDIRECT("'Thanh Toán ("&amp;O$3&amp;")'!$F:$F"),INDIRECT("'Thanh Toán ("&amp;O$3&amp;")'!$D:$D"),'Tổng Đơn'!$B72),0)</f>
        <v>0</v>
      </c>
      <c r="P72" s="2">
        <f ca="1">IFERROR(SUMIFS(INDIRECT("'Thanh Toán ("&amp;P$3&amp;")'!$F:$F"),INDIRECT("'Thanh Toán ("&amp;P$3&amp;")'!$D:$D"),'Tổng Đơn'!$B72),0)</f>
        <v>3</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4</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row>
    <row r="73" spans="1:41" x14ac:dyDescent="0.25">
      <c r="A73" s="142">
        <v>66</v>
      </c>
      <c r="B73" s="145" t="s">
        <v>239</v>
      </c>
      <c r="C73" s="23" t="s">
        <v>249</v>
      </c>
      <c r="D73" s="44">
        <f>VLOOKUP($C73,Sheet1!$C$5:$D$98,2,0)</f>
        <v>23000</v>
      </c>
      <c r="E73" s="57">
        <v>0.5</v>
      </c>
      <c r="F73" s="57">
        <f t="shared" ref="F73:F80" ca="1" si="21">SUM(L73:BW73)</f>
        <v>16</v>
      </c>
      <c r="G73" s="210">
        <f>IFERROR(VLOOKUP($B73,Gà!C:J,8,0),IFERROR(VLOOKUP($B73,TVP!C:J,7,0),IFERROR(VLOOKUP($B73,Kitkool!C:J,8,0),IFERROR(VLOOKUP($B73,'La Cusina'!C:J,8,0),VLOOKUP($B73,'Quốc Nhân'!C:J,8,0)))))</f>
        <v>19.406562054208212</v>
      </c>
      <c r="H73" s="55">
        <f t="shared" ref="H73:H80" ca="1" si="22">(D73-G73*1000)*$F73</f>
        <v>57495.00713266863</v>
      </c>
      <c r="I73" s="55"/>
      <c r="J73" s="55">
        <f t="shared" ref="J73:J80" ca="1" si="23">F73*G73*1000</f>
        <v>310504.99286733137</v>
      </c>
      <c r="K73" s="55"/>
      <c r="L73" s="2">
        <f ca="1">IFERROR(SUMIFS(INDIRECT("'Thanh Toán ("&amp;L$3&amp;")'!$F:$F"),INDIRECT("'Thanh Toán ("&amp;L$3&amp;")'!$D:$D"),'Tổng Đơn'!$B73),0)</f>
        <v>0</v>
      </c>
      <c r="M73" s="2">
        <f ca="1">IFERROR(SUMIFS(INDIRECT("'Thanh Toán ("&amp;M$3&amp;")'!$F:$F"),INDIRECT("'Thanh Toán ("&amp;M$3&amp;")'!$D:$D"),'Tổng Đơn'!$B73),0)</f>
        <v>3</v>
      </c>
      <c r="N73" s="2">
        <f ca="1">IFERROR(SUMIFS(INDIRECT("'Thanh Toán ("&amp;N$3&amp;")'!$F:$F"),INDIRECT("'Thanh Toán ("&amp;N$3&amp;")'!$D:$D"),'Tổng Đơn'!$B73),0)</f>
        <v>1</v>
      </c>
      <c r="O73" s="2">
        <f ca="1">IFERROR(SUMIFS(INDIRECT("'Thanh Toán ("&amp;O$3&amp;")'!$F:$F"),INDIRECT("'Thanh Toán ("&amp;O$3&amp;")'!$D:$D"),'Tổng Đơn'!$B73),0)</f>
        <v>1</v>
      </c>
      <c r="P73" s="2">
        <f ca="1">IFERROR(SUMIFS(INDIRECT("'Thanh Toán ("&amp;P$3&amp;")'!$F:$F"),INDIRECT("'Thanh Toán ("&amp;P$3&amp;")'!$D:$D"),'Tổng Đơn'!$B73),0)</f>
        <v>2</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6</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1</v>
      </c>
      <c r="Z73" s="2">
        <f ca="1">IFERROR(SUMIFS(INDIRECT("'Thanh Toán ("&amp;Z$3&amp;")'!$F:$F"),INDIRECT("'Thanh Toán ("&amp;Z$3&amp;")'!$D:$D"),'Tổng Đơn'!$B73),0)</f>
        <v>2</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row>
    <row r="74" spans="1:41" x14ac:dyDescent="0.25">
      <c r="A74" s="142">
        <v>67</v>
      </c>
      <c r="B74" s="145" t="s">
        <v>240</v>
      </c>
      <c r="C74" s="23" t="s">
        <v>250</v>
      </c>
      <c r="D74" s="44">
        <f>VLOOKUP($C74,Sheet1!$C$5:$D$98,2,0)</f>
        <v>26000</v>
      </c>
      <c r="E74" s="57">
        <v>0.5</v>
      </c>
      <c r="F74" s="57">
        <f t="shared" ca="1" si="21"/>
        <v>0</v>
      </c>
      <c r="G74" s="210">
        <f>IFERROR(VLOOKUP($B74,Gà!C:J,8,0),IFERROR(VLOOKUP($B74,TVP!C:J,7,0),IFERROR(VLOOKUP($B74,Kitkool!C:J,8,0),IFERROR(VLOOKUP($B74,'La Cusina'!C:J,8,0),VLOOKUP($B74,'Quốc Nhân'!C:J,8,0)))))</f>
        <v>21.449358059914342</v>
      </c>
      <c r="H74" s="55">
        <f t="shared" ca="1" si="22"/>
        <v>0</v>
      </c>
      <c r="I74" s="55"/>
      <c r="J74" s="55">
        <f t="shared" ca="1" si="23"/>
        <v>0</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row>
    <row r="75" spans="1:41" x14ac:dyDescent="0.25">
      <c r="A75" s="142">
        <v>68</v>
      </c>
      <c r="B75" s="145" t="s">
        <v>241</v>
      </c>
      <c r="C75" s="23" t="s">
        <v>251</v>
      </c>
      <c r="D75" s="44">
        <f>VLOOKUP($C75,Sheet1!$C$5:$D$98,2,0)</f>
        <v>26000</v>
      </c>
      <c r="E75" s="57">
        <v>0.5</v>
      </c>
      <c r="F75" s="57">
        <f t="shared" ca="1" si="21"/>
        <v>2</v>
      </c>
      <c r="G75" s="210">
        <f>IFERROR(VLOOKUP($B75,Gà!C:J,8,0),IFERROR(VLOOKUP($B75,TVP!C:J,7,0),IFERROR(VLOOKUP($B75,Kitkool!C:J,8,0),IFERROR(VLOOKUP($B75,'La Cusina'!C:J,8,0),VLOOKUP($B75,'Quốc Nhân'!C:J,8,0)))))</f>
        <v>21.449358059914342</v>
      </c>
      <c r="H75" s="55">
        <f t="shared" ca="1" si="22"/>
        <v>9101.2838801713151</v>
      </c>
      <c r="I75" s="55"/>
      <c r="J75" s="55">
        <f t="shared" ca="1" si="23"/>
        <v>42898.716119828685</v>
      </c>
      <c r="K75" s="55"/>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1</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1</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row>
    <row r="76" spans="1:41" x14ac:dyDescent="0.25">
      <c r="A76" s="142">
        <v>69</v>
      </c>
      <c r="B76" s="145" t="s">
        <v>242</v>
      </c>
      <c r="C76" s="23" t="s">
        <v>252</v>
      </c>
      <c r="D76" s="44">
        <f>VLOOKUP($C76,Sheet1!$C$5:$D$98,2,0)</f>
        <v>26000</v>
      </c>
      <c r="E76" s="57">
        <v>0.5</v>
      </c>
      <c r="F76" s="57">
        <f t="shared" ca="1" si="21"/>
        <v>1</v>
      </c>
      <c r="G76" s="210">
        <f>IFERROR(VLOOKUP($B76,Gà!C:J,8,0),IFERROR(VLOOKUP($B76,TVP!C:J,7,0),IFERROR(VLOOKUP($B76,Kitkool!C:J,8,0),IFERROR(VLOOKUP($B76,'La Cusina'!C:J,8,0),VLOOKUP($B76,'Quốc Nhân'!C:J,8,0)))))</f>
        <v>20.427960057061277</v>
      </c>
      <c r="H76" s="55">
        <f t="shared" ca="1" si="22"/>
        <v>5572.0399429387217</v>
      </c>
      <c r="I76" s="55"/>
      <c r="J76" s="55">
        <f t="shared" ca="1" si="23"/>
        <v>20427.960057061278</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row>
    <row r="77" spans="1:41" x14ac:dyDescent="0.25">
      <c r="A77" s="142">
        <v>70</v>
      </c>
      <c r="B77" s="145" t="s">
        <v>243</v>
      </c>
      <c r="C77" s="23" t="s">
        <v>253</v>
      </c>
      <c r="D77" s="44">
        <f>VLOOKUP($C77,Sheet1!$C$5:$D$98,2,0)</f>
        <v>26000</v>
      </c>
      <c r="E77" s="57">
        <v>0.5</v>
      </c>
      <c r="F77" s="57">
        <f t="shared" ca="1" si="21"/>
        <v>5</v>
      </c>
      <c r="G77" s="210">
        <f>IFERROR(VLOOKUP($B77,Gà!C:J,8,0),IFERROR(VLOOKUP($B77,TVP!C:J,7,0),IFERROR(VLOOKUP($B77,Kitkool!C:J,8,0),IFERROR(VLOOKUP($B77,'La Cusina'!C:J,8,0),VLOOKUP($B77,'Quốc Nhân'!C:J,8,0)))))</f>
        <v>20.892231876539942</v>
      </c>
      <c r="H77" s="55">
        <f t="shared" ca="1" si="22"/>
        <v>25538.840617300284</v>
      </c>
      <c r="I77" s="55"/>
      <c r="J77" s="55">
        <f t="shared" ca="1" si="23"/>
        <v>104461.15938269971</v>
      </c>
      <c r="K77" s="55"/>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5</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row>
    <row r="78" spans="1:41" x14ac:dyDescent="0.25">
      <c r="A78" s="142">
        <v>71</v>
      </c>
      <c r="B78" s="145" t="s">
        <v>244</v>
      </c>
      <c r="C78" s="23" t="s">
        <v>254</v>
      </c>
      <c r="D78" s="44">
        <f>VLOOKUP($C78,Sheet1!$C$5:$D$98,2,0)</f>
        <v>35000</v>
      </c>
      <c r="E78" s="57">
        <v>0.5</v>
      </c>
      <c r="F78" s="57">
        <f t="shared" ca="1" si="21"/>
        <v>13</v>
      </c>
      <c r="G78" s="210">
        <f>IFERROR(VLOOKUP($B78,Gà!C:J,8,0),IFERROR(VLOOKUP($B78,TVP!C:J,7,0),IFERROR(VLOOKUP($B78,Kitkool!C:J,8,0),IFERROR(VLOOKUP($B78,'La Cusina'!C:J,8,0),VLOOKUP($B78,'Quốc Nhân'!C:J,8,0)))))</f>
        <v>29.713396446634583</v>
      </c>
      <c r="H78" s="55">
        <f t="shared" ca="1" si="22"/>
        <v>68725.846193750433</v>
      </c>
      <c r="I78" s="55"/>
      <c r="J78" s="55">
        <f t="shared" ca="1" si="23"/>
        <v>386274.15380624955</v>
      </c>
      <c r="K78" s="55"/>
      <c r="L78" s="2">
        <f ca="1">IFERROR(SUMIFS(INDIRECT("'Thanh Toán ("&amp;L$3&amp;")'!$F:$F"),INDIRECT("'Thanh Toán ("&amp;L$3&amp;")'!$D:$D"),'Tổng Đơn'!$B78),0)</f>
        <v>0</v>
      </c>
      <c r="M78" s="2">
        <f ca="1">IFERROR(SUMIFS(INDIRECT("'Thanh Toán ("&amp;M$3&amp;")'!$F:$F"),INDIRECT("'Thanh Toán ("&amp;M$3&amp;")'!$D:$D"),'Tổng Đơn'!$B78),0)</f>
        <v>1</v>
      </c>
      <c r="N78" s="2">
        <f ca="1">IFERROR(SUMIFS(INDIRECT("'Thanh Toán ("&amp;N$3&amp;")'!$F:$F"),INDIRECT("'Thanh Toán ("&amp;N$3&amp;")'!$D:$D"),'Tổng Đơn'!$B78),0)</f>
        <v>0</v>
      </c>
      <c r="O78" s="2">
        <f ca="1">IFERROR(SUMIFS(INDIRECT("'Thanh Toán ("&amp;O$3&amp;")'!$F:$F"),INDIRECT("'Thanh Toán ("&amp;O$3&amp;")'!$D:$D"),'Tổng Đơn'!$B78),0)</f>
        <v>2</v>
      </c>
      <c r="P78" s="2">
        <f ca="1">IFERROR(SUMIFS(INDIRECT("'Thanh Toán ("&amp;P$3&amp;")'!$F:$F"),INDIRECT("'Thanh Toán ("&amp;P$3&amp;")'!$D:$D"),'Tổng Đơn'!$B78),0)</f>
        <v>1</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2</v>
      </c>
      <c r="T78" s="2">
        <f ca="1">IFERROR(SUMIFS(INDIRECT("'Thanh Toán ("&amp;T$3&amp;")'!$F:$F"),INDIRECT("'Thanh Toán ("&amp;T$3&amp;")'!$D:$D"),'Tổng Đơn'!$B78),0)</f>
        <v>0</v>
      </c>
      <c r="U78" s="2">
        <f ca="1">IFERROR(SUMIFS(INDIRECT("'Thanh Toán ("&amp;U$3&amp;")'!$F:$F"),INDIRECT("'Thanh Toán ("&amp;U$3&amp;")'!$D:$D"),'Tổng Đơn'!$B78),0)</f>
        <v>3</v>
      </c>
      <c r="V78" s="2">
        <f ca="1">IFERROR(SUMIFS(INDIRECT("'Thanh Toán ("&amp;V$3&amp;")'!$F:$F"),INDIRECT("'Thanh Toán ("&amp;V$3&amp;")'!$D:$D"),'Tổng Đơn'!$B78),0)</f>
        <v>2</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2</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row>
    <row r="79" spans="1:41" x14ac:dyDescent="0.25">
      <c r="A79" s="142">
        <v>72</v>
      </c>
      <c r="B79" s="145" t="s">
        <v>245</v>
      </c>
      <c r="C79" s="23" t="s">
        <v>255</v>
      </c>
      <c r="D79" s="44">
        <f>VLOOKUP($C79,Sheet1!$C$5:$D$98,2,0)</f>
        <v>40000</v>
      </c>
      <c r="E79" s="57">
        <v>0.5</v>
      </c>
      <c r="F79" s="57">
        <f t="shared" ca="1" si="21"/>
        <v>3</v>
      </c>
      <c r="G79" s="210">
        <f>IFERROR(VLOOKUP($B79,Gà!C:J,8,0),IFERROR(VLOOKUP($B79,TVP!C:J,7,0),IFERROR(VLOOKUP($B79,Kitkool!C:J,8,0),IFERROR(VLOOKUP($B79,'La Cusina'!C:J,8,0),VLOOKUP($B79,'Quốc Nhân'!C:J,8,0)))))</f>
        <v>34.820386460899904</v>
      </c>
      <c r="H79" s="55">
        <f t="shared" ca="1" si="22"/>
        <v>15538.84061730028</v>
      </c>
      <c r="I79" s="55"/>
      <c r="J79" s="55">
        <f t="shared" ca="1" si="23"/>
        <v>104461.15938269971</v>
      </c>
      <c r="K79" s="55"/>
      <c r="L79" s="2">
        <f ca="1">IFERROR(SUMIFS(INDIRECT("'Thanh Toán ("&amp;L$3&amp;")'!$F:$F"),INDIRECT("'Thanh Toán ("&amp;L$3&amp;")'!$D:$D"),'Tổng Đơn'!$B79),0)</f>
        <v>0</v>
      </c>
      <c r="M79" s="2">
        <f ca="1">IFERROR(SUMIFS(INDIRECT("'Thanh Toán ("&amp;M$3&amp;")'!$F:$F"),INDIRECT("'Thanh Toán ("&amp;M$3&amp;")'!$D:$D"),'Tổng Đơn'!$B79),0)</f>
        <v>1</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1</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1</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row>
    <row r="80" spans="1:41" x14ac:dyDescent="0.25">
      <c r="A80" s="142">
        <v>73</v>
      </c>
      <c r="B80" s="145" t="s">
        <v>246</v>
      </c>
      <c r="C80" s="23" t="s">
        <v>256</v>
      </c>
      <c r="D80" s="44">
        <f>VLOOKUP($C80,Sheet1!$C$5:$D$98,2,0)</f>
        <v>43000</v>
      </c>
      <c r="E80" s="57">
        <v>0.5</v>
      </c>
      <c r="F80" s="57">
        <f t="shared" ca="1" si="21"/>
        <v>2</v>
      </c>
      <c r="G80" s="210">
        <f>IFERROR(VLOOKUP($B80,Gà!C:J,8,0),IFERROR(VLOOKUP($B80,TVP!C:J,7,0),IFERROR(VLOOKUP($B80,Kitkool!C:J,8,0),IFERROR(VLOOKUP($B80,'La Cusina'!C:J,8,0),VLOOKUP($B80,'Quốc Nhân'!C:J,8,0)))))</f>
        <v>37.791726105563363</v>
      </c>
      <c r="H80" s="55">
        <f t="shared" ca="1" si="22"/>
        <v>10416.547788873271</v>
      </c>
      <c r="I80" s="55"/>
      <c r="J80" s="55">
        <f t="shared" ca="1" si="23"/>
        <v>75583.452211126729</v>
      </c>
      <c r="K80" s="55"/>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2</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row>
  </sheetData>
  <autoFilter ref="A4:AO71"/>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07" t="s">
        <v>106</v>
      </c>
      <c r="M1" s="207" t="s">
        <v>107</v>
      </c>
      <c r="N1" s="207" t="s">
        <v>17</v>
      </c>
      <c r="O1" s="207" t="s">
        <v>117</v>
      </c>
      <c r="P1" s="171" t="s">
        <v>107</v>
      </c>
      <c r="Q1" s="153" t="s">
        <v>188</v>
      </c>
      <c r="R1" s="154">
        <f>SUBTOTAL(9,R2:R31)</f>
        <v>0</v>
      </c>
    </row>
    <row r="2" spans="1:18" s="159" customFormat="1" ht="18.75" x14ac:dyDescent="0.3">
      <c r="A2" s="155" t="s">
        <v>219</v>
      </c>
      <c r="B2" s="156" t="s">
        <v>225</v>
      </c>
      <c r="C2" s="155" t="s">
        <v>222</v>
      </c>
      <c r="D2" s="157">
        <v>60000</v>
      </c>
      <c r="E2" s="158"/>
      <c r="F2" s="158"/>
      <c r="G2" s="158"/>
      <c r="H2" s="158"/>
      <c r="I2" s="158"/>
      <c r="J2" s="158"/>
      <c r="K2" s="158"/>
      <c r="L2" s="205">
        <v>1</v>
      </c>
      <c r="M2" s="205" t="s">
        <v>108</v>
      </c>
      <c r="N2" s="208" t="s">
        <v>25</v>
      </c>
      <c r="O2" s="211">
        <v>27000</v>
      </c>
      <c r="P2" s="172">
        <f>IF($N2="","",LOOKUP(2,1/($N2=$B$2:$B$100),$A$2:$A$100))</f>
        <v>1</v>
      </c>
      <c r="Q2" s="160"/>
      <c r="R2" s="161">
        <f>O2*Q2</f>
        <v>0</v>
      </c>
    </row>
    <row r="3" spans="1:18" s="159" customFormat="1" ht="18.75" x14ac:dyDescent="0.3">
      <c r="A3" s="155" t="s">
        <v>220</v>
      </c>
      <c r="B3" s="156" t="s">
        <v>226</v>
      </c>
      <c r="C3" s="155" t="s">
        <v>223</v>
      </c>
      <c r="D3" s="157">
        <v>70000</v>
      </c>
      <c r="E3" s="158"/>
      <c r="F3" s="158"/>
      <c r="G3" s="158"/>
      <c r="H3" s="158"/>
      <c r="I3" s="158"/>
      <c r="J3" s="158"/>
      <c r="K3" s="158"/>
      <c r="L3" s="205">
        <v>2</v>
      </c>
      <c r="M3" s="205" t="s">
        <v>109</v>
      </c>
      <c r="N3" s="208" t="s">
        <v>1</v>
      </c>
      <c r="O3" s="211">
        <v>25000</v>
      </c>
      <c r="P3" s="172">
        <f t="shared" ref="P3:P66" si="0">IF($N3="","",LOOKUP(2,1/($N3=$B$2:$B$100),$A$2:$A$100))</f>
        <v>2</v>
      </c>
      <c r="Q3" s="160"/>
      <c r="R3" s="161">
        <f t="shared" ref="R3:R31" si="1">O3*Q3</f>
        <v>0</v>
      </c>
    </row>
    <row r="4" spans="1:18" s="159" customFormat="1" ht="18.75" x14ac:dyDescent="0.3">
      <c r="A4" s="155" t="s">
        <v>221</v>
      </c>
      <c r="B4" s="156" t="s">
        <v>227</v>
      </c>
      <c r="C4" s="155" t="s">
        <v>224</v>
      </c>
      <c r="D4" s="157">
        <v>45000</v>
      </c>
      <c r="E4" s="158"/>
      <c r="F4" s="158"/>
      <c r="G4" s="158"/>
      <c r="H4" s="158"/>
      <c r="I4" s="158"/>
      <c r="J4" s="158"/>
      <c r="K4" s="158"/>
      <c r="L4" s="205">
        <v>3</v>
      </c>
      <c r="M4" s="205" t="s">
        <v>110</v>
      </c>
      <c r="N4" s="208" t="s">
        <v>2</v>
      </c>
      <c r="O4" s="211">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05">
        <v>4</v>
      </c>
      <c r="M5" s="206" t="s">
        <v>111</v>
      </c>
      <c r="N5" s="208" t="s">
        <v>3</v>
      </c>
      <c r="O5" s="211">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05">
        <v>5</v>
      </c>
      <c r="M6" s="206" t="s">
        <v>112</v>
      </c>
      <c r="N6" s="208" t="s">
        <v>30</v>
      </c>
      <c r="O6" s="211">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05">
        <v>6</v>
      </c>
      <c r="M7" s="206" t="s">
        <v>113</v>
      </c>
      <c r="N7" s="208" t="s">
        <v>28</v>
      </c>
      <c r="O7" s="211">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05">
        <v>7</v>
      </c>
      <c r="M8" s="206" t="s">
        <v>114</v>
      </c>
      <c r="N8" s="208" t="s">
        <v>26</v>
      </c>
      <c r="O8" s="211">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05">
        <v>8</v>
      </c>
      <c r="M9" s="206" t="s">
        <v>115</v>
      </c>
      <c r="N9" s="208" t="s">
        <v>61</v>
      </c>
      <c r="O9" s="211">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05">
        <v>9</v>
      </c>
      <c r="M10" s="206" t="s">
        <v>116</v>
      </c>
      <c r="N10" s="208" t="s">
        <v>161</v>
      </c>
      <c r="O10" s="211">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05">
        <v>10</v>
      </c>
      <c r="M11" s="206" t="s">
        <v>69</v>
      </c>
      <c r="N11" s="208" t="s">
        <v>6</v>
      </c>
      <c r="O11" s="211">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05">
        <v>11</v>
      </c>
      <c r="M12" s="206" t="s">
        <v>70</v>
      </c>
      <c r="N12" s="208" t="s">
        <v>58</v>
      </c>
      <c r="O12" s="211">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05">
        <v>12</v>
      </c>
      <c r="M13" s="206" t="s">
        <v>71</v>
      </c>
      <c r="N13" s="208" t="s">
        <v>35</v>
      </c>
      <c r="O13" s="211">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05">
        <v>13</v>
      </c>
      <c r="M14" s="206" t="s">
        <v>72</v>
      </c>
      <c r="N14" s="208" t="s">
        <v>32</v>
      </c>
      <c r="O14" s="211">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05">
        <v>14</v>
      </c>
      <c r="M15" s="206" t="s">
        <v>73</v>
      </c>
      <c r="N15" s="208" t="s">
        <v>34</v>
      </c>
      <c r="O15" s="211">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05">
        <v>15</v>
      </c>
      <c r="M16" s="206" t="s">
        <v>74</v>
      </c>
      <c r="N16" s="208" t="s">
        <v>33</v>
      </c>
      <c r="O16" s="211">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05">
        <v>16</v>
      </c>
      <c r="M17" s="206" t="s">
        <v>75</v>
      </c>
      <c r="N17" s="208" t="s">
        <v>5</v>
      </c>
      <c r="O17" s="211">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05">
        <v>17</v>
      </c>
      <c r="M18" s="206" t="s">
        <v>76</v>
      </c>
      <c r="N18" s="208" t="s">
        <v>4</v>
      </c>
      <c r="O18" s="211">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05">
        <v>18</v>
      </c>
      <c r="M19" s="206" t="s">
        <v>77</v>
      </c>
      <c r="N19" s="208" t="s">
        <v>9</v>
      </c>
      <c r="O19" s="211">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05">
        <v>19</v>
      </c>
      <c r="M20" s="206" t="s">
        <v>78</v>
      </c>
      <c r="N20" s="208" t="s">
        <v>13</v>
      </c>
      <c r="O20" s="211">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05">
        <v>20</v>
      </c>
      <c r="M21" s="206" t="s">
        <v>79</v>
      </c>
      <c r="N21" s="208" t="s">
        <v>12</v>
      </c>
      <c r="O21" s="211">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05">
        <v>21</v>
      </c>
      <c r="M22" s="206" t="s">
        <v>80</v>
      </c>
      <c r="N22" s="208" t="s">
        <v>14</v>
      </c>
      <c r="O22" s="211">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05">
        <v>22</v>
      </c>
      <c r="M23" s="206" t="s">
        <v>81</v>
      </c>
      <c r="N23" s="208" t="s">
        <v>7</v>
      </c>
      <c r="O23" s="211">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05">
        <v>23</v>
      </c>
      <c r="M24" s="206" t="s">
        <v>82</v>
      </c>
      <c r="N24" s="208" t="s">
        <v>8</v>
      </c>
      <c r="O24" s="211">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05">
        <v>24</v>
      </c>
      <c r="M25" s="206" t="s">
        <v>83</v>
      </c>
      <c r="N25" s="208" t="s">
        <v>27</v>
      </c>
      <c r="O25" s="211">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05">
        <v>25</v>
      </c>
      <c r="M26" s="206" t="s">
        <v>84</v>
      </c>
      <c r="N26" s="208" t="s">
        <v>68</v>
      </c>
      <c r="O26" s="211">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05">
        <v>26</v>
      </c>
      <c r="M27" s="206" t="s">
        <v>85</v>
      </c>
      <c r="N27" s="208" t="s">
        <v>29</v>
      </c>
      <c r="O27" s="211">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05">
        <v>27</v>
      </c>
      <c r="M28" s="206" t="s">
        <v>86</v>
      </c>
      <c r="N28" s="208" t="s">
        <v>15</v>
      </c>
      <c r="O28" s="211">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05">
        <v>28</v>
      </c>
      <c r="M29" s="206" t="s">
        <v>87</v>
      </c>
      <c r="N29" s="208" t="s">
        <v>10</v>
      </c>
      <c r="O29" s="211">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05">
        <v>29</v>
      </c>
      <c r="M30" s="206" t="s">
        <v>88</v>
      </c>
      <c r="N30" s="208" t="s">
        <v>38</v>
      </c>
      <c r="O30" s="211">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05">
        <v>30</v>
      </c>
      <c r="M31" s="206" t="s">
        <v>89</v>
      </c>
      <c r="N31" s="208" t="s">
        <v>39</v>
      </c>
      <c r="O31" s="211">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05">
        <v>31</v>
      </c>
      <c r="M32" s="206" t="s">
        <v>90</v>
      </c>
      <c r="N32" s="208" t="s">
        <v>67</v>
      </c>
      <c r="O32" s="211">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05">
        <v>32</v>
      </c>
      <c r="M33" s="206" t="s">
        <v>91</v>
      </c>
      <c r="N33" s="208" t="s">
        <v>40</v>
      </c>
      <c r="O33" s="211">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05">
        <v>33</v>
      </c>
      <c r="M34" s="206" t="s">
        <v>92</v>
      </c>
      <c r="N34" s="208" t="s">
        <v>41</v>
      </c>
      <c r="O34" s="211">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05">
        <v>34</v>
      </c>
      <c r="M35" s="206" t="s">
        <v>93</v>
      </c>
      <c r="N35" s="208" t="s">
        <v>42</v>
      </c>
      <c r="O35" s="211">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05">
        <v>35</v>
      </c>
      <c r="M36" s="206" t="s">
        <v>94</v>
      </c>
      <c r="N36" s="208" t="s">
        <v>43</v>
      </c>
      <c r="O36" s="211">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05">
        <v>36</v>
      </c>
      <c r="M37" s="206" t="s">
        <v>95</v>
      </c>
      <c r="N37" s="208" t="s">
        <v>48</v>
      </c>
      <c r="O37" s="211">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05">
        <v>37</v>
      </c>
      <c r="M38" s="206" t="s">
        <v>96</v>
      </c>
      <c r="N38" s="208" t="s">
        <v>49</v>
      </c>
      <c r="O38" s="211">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05">
        <v>38</v>
      </c>
      <c r="M39" s="206" t="s">
        <v>97</v>
      </c>
      <c r="N39" s="208" t="s">
        <v>45</v>
      </c>
      <c r="O39" s="211">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05">
        <v>39</v>
      </c>
      <c r="M40" s="206" t="s">
        <v>98</v>
      </c>
      <c r="N40" s="208" t="s">
        <v>44</v>
      </c>
      <c r="O40" s="211">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05">
        <v>40</v>
      </c>
      <c r="M41" s="206" t="s">
        <v>99</v>
      </c>
      <c r="N41" s="208" t="s">
        <v>47</v>
      </c>
      <c r="O41" s="211">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05">
        <v>41</v>
      </c>
      <c r="M42" s="206" t="s">
        <v>100</v>
      </c>
      <c r="N42" s="208" t="s">
        <v>37</v>
      </c>
      <c r="O42" s="211">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05">
        <v>42</v>
      </c>
      <c r="M43" s="206" t="s">
        <v>101</v>
      </c>
      <c r="N43" s="208" t="s">
        <v>50</v>
      </c>
      <c r="O43" s="211">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05">
        <v>43</v>
      </c>
      <c r="M44" s="206" t="s">
        <v>102</v>
      </c>
      <c r="N44" s="208" t="s">
        <v>36</v>
      </c>
      <c r="O44" s="211">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05">
        <v>44</v>
      </c>
      <c r="M45" s="206" t="s">
        <v>103</v>
      </c>
      <c r="N45" s="208" t="s">
        <v>51</v>
      </c>
      <c r="O45" s="211">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05">
        <v>45</v>
      </c>
      <c r="M46" s="206" t="s">
        <v>104</v>
      </c>
      <c r="N46" s="208" t="s">
        <v>52</v>
      </c>
      <c r="O46" s="211">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05">
        <v>46</v>
      </c>
      <c r="M47" s="206" t="s">
        <v>105</v>
      </c>
      <c r="N47" s="208" t="s">
        <v>46</v>
      </c>
      <c r="O47" s="211">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05">
        <v>47</v>
      </c>
      <c r="M48" s="206" t="s">
        <v>126</v>
      </c>
      <c r="N48" s="208" t="s">
        <v>139</v>
      </c>
      <c r="O48" s="211">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05">
        <v>48</v>
      </c>
      <c r="M49" s="206" t="s">
        <v>141</v>
      </c>
      <c r="N49" s="208" t="s">
        <v>140</v>
      </c>
      <c r="O49" s="211">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05">
        <v>49</v>
      </c>
      <c r="M50" s="206" t="s">
        <v>143</v>
      </c>
      <c r="N50" s="208" t="s">
        <v>162</v>
      </c>
      <c r="O50" s="211">
        <v>45000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05">
        <v>50</v>
      </c>
      <c r="M51" s="206" t="s">
        <v>145</v>
      </c>
      <c r="N51" s="208" t="s">
        <v>144</v>
      </c>
      <c r="O51" s="209">
        <v>44000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05">
        <v>51</v>
      </c>
      <c r="M52" s="206" t="s">
        <v>158</v>
      </c>
      <c r="N52" s="208" t="s">
        <v>147</v>
      </c>
      <c r="O52" s="209">
        <v>35000</v>
      </c>
      <c r="P52" s="172">
        <f t="shared" si="0"/>
        <v>51</v>
      </c>
      <c r="Q52" s="160"/>
      <c r="R52" s="160"/>
    </row>
    <row r="53" spans="1:18" s="159" customFormat="1" ht="18.75" x14ac:dyDescent="0.3">
      <c r="A53" s="155">
        <v>49</v>
      </c>
      <c r="B53" s="156" t="s">
        <v>162</v>
      </c>
      <c r="C53" s="155" t="s">
        <v>143</v>
      </c>
      <c r="D53" s="157">
        <v>45000</v>
      </c>
      <c r="E53" s="158"/>
      <c r="F53" s="158"/>
      <c r="G53" s="158"/>
      <c r="H53" s="158"/>
      <c r="I53" s="158"/>
      <c r="J53" s="158"/>
      <c r="K53" s="158"/>
      <c r="L53" s="205">
        <v>52</v>
      </c>
      <c r="M53" s="206" t="s">
        <v>164</v>
      </c>
      <c r="N53" s="208" t="s">
        <v>163</v>
      </c>
      <c r="O53" s="211">
        <v>69000</v>
      </c>
      <c r="P53" s="172">
        <f t="shared" si="0"/>
        <v>52</v>
      </c>
      <c r="Q53" s="160"/>
      <c r="R53" s="160"/>
    </row>
    <row r="54" spans="1:18" s="159" customFormat="1" ht="18.75" x14ac:dyDescent="0.3">
      <c r="A54" s="155">
        <v>50</v>
      </c>
      <c r="B54" s="156" t="s">
        <v>144</v>
      </c>
      <c r="C54" s="155" t="s">
        <v>145</v>
      </c>
      <c r="D54" s="157">
        <v>44000</v>
      </c>
      <c r="E54" s="158"/>
      <c r="F54" s="158"/>
      <c r="G54" s="158"/>
      <c r="H54" s="158"/>
      <c r="I54" s="158"/>
      <c r="J54" s="158"/>
      <c r="K54" s="158"/>
      <c r="L54" s="205">
        <v>53</v>
      </c>
      <c r="M54" s="206" t="s">
        <v>166</v>
      </c>
      <c r="N54" s="208" t="s">
        <v>165</v>
      </c>
      <c r="O54" s="211">
        <v>76000</v>
      </c>
      <c r="P54" s="172">
        <f t="shared" si="0"/>
        <v>53</v>
      </c>
      <c r="Q54" s="160"/>
      <c r="R54" s="160"/>
    </row>
    <row r="55" spans="1:18" s="159" customFormat="1" ht="18.75" x14ac:dyDescent="0.3">
      <c r="A55" s="155">
        <v>51</v>
      </c>
      <c r="B55" s="156" t="s">
        <v>147</v>
      </c>
      <c r="C55" s="155" t="s">
        <v>158</v>
      </c>
      <c r="D55" s="157">
        <v>35000</v>
      </c>
      <c r="E55" s="158"/>
      <c r="F55" s="158"/>
      <c r="G55" s="158"/>
      <c r="H55" s="158"/>
      <c r="I55" s="158"/>
      <c r="J55" s="158"/>
      <c r="K55" s="158"/>
      <c r="L55" s="205">
        <v>54</v>
      </c>
      <c r="M55" s="206" t="s">
        <v>172</v>
      </c>
      <c r="N55" s="208" t="s">
        <v>175</v>
      </c>
      <c r="O55" s="211">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05">
        <v>55</v>
      </c>
      <c r="M56" s="206" t="s">
        <v>174</v>
      </c>
      <c r="N56" s="208" t="s">
        <v>173</v>
      </c>
      <c r="O56" s="209">
        <v>45000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05">
        <v>56</v>
      </c>
      <c r="M57" s="206" t="s">
        <v>176</v>
      </c>
      <c r="N57" s="208" t="s">
        <v>171</v>
      </c>
      <c r="O57" s="211">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05">
        <v>57</v>
      </c>
      <c r="M58" s="206" t="s">
        <v>178</v>
      </c>
      <c r="N58" s="208" t="s">
        <v>177</v>
      </c>
      <c r="O58" s="211">
        <v>42000</v>
      </c>
      <c r="P58" s="172">
        <f t="shared" si="0"/>
        <v>57</v>
      </c>
      <c r="Q58" s="160"/>
      <c r="R58" s="160"/>
    </row>
    <row r="59" spans="1:18" s="159" customFormat="1" ht="18.75" x14ac:dyDescent="0.3">
      <c r="A59" s="155">
        <v>55</v>
      </c>
      <c r="B59" s="156" t="s">
        <v>173</v>
      </c>
      <c r="C59" s="155" t="s">
        <v>174</v>
      </c>
      <c r="D59" s="157">
        <v>45000</v>
      </c>
      <c r="E59" s="158"/>
      <c r="F59" s="158"/>
      <c r="G59" s="158"/>
      <c r="H59" s="158"/>
      <c r="I59" s="158"/>
      <c r="J59" s="158"/>
      <c r="K59" s="158"/>
      <c r="L59" s="205">
        <v>58</v>
      </c>
      <c r="M59" s="206" t="s">
        <v>181</v>
      </c>
      <c r="N59" s="208" t="s">
        <v>179</v>
      </c>
      <c r="O59" s="211">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05">
        <v>59</v>
      </c>
      <c r="M60" s="206" t="s">
        <v>182</v>
      </c>
      <c r="N60" s="208" t="s">
        <v>180</v>
      </c>
      <c r="O60" s="211">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05">
        <v>60</v>
      </c>
      <c r="M61" s="206" t="s">
        <v>187</v>
      </c>
      <c r="N61" s="208" t="s">
        <v>186</v>
      </c>
      <c r="O61" s="211">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05">
        <v>61</v>
      </c>
      <c r="M62" s="206" t="s">
        <v>203</v>
      </c>
      <c r="N62" s="208" t="s">
        <v>202</v>
      </c>
      <c r="O62" s="209">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05">
        <v>62</v>
      </c>
      <c r="M63" s="206" t="s">
        <v>206</v>
      </c>
      <c r="N63" s="208" t="s">
        <v>205</v>
      </c>
      <c r="O63" s="209">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05">
        <v>63</v>
      </c>
      <c r="M64" s="206" t="s">
        <v>212</v>
      </c>
      <c r="N64" s="208" t="s">
        <v>208</v>
      </c>
      <c r="O64" s="209">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05">
        <v>64</v>
      </c>
      <c r="M65" s="206" t="s">
        <v>213</v>
      </c>
      <c r="N65" s="208" t="s">
        <v>207</v>
      </c>
      <c r="O65" s="209">
        <v>45000</v>
      </c>
      <c r="P65" s="172">
        <f t="shared" si="0"/>
        <v>64</v>
      </c>
      <c r="Q65" s="160"/>
      <c r="R65" s="160"/>
    </row>
    <row r="66" spans="1:18" ht="18.75" x14ac:dyDescent="0.3">
      <c r="A66" s="155">
        <v>62</v>
      </c>
      <c r="B66" s="156" t="s">
        <v>205</v>
      </c>
      <c r="C66" s="155" t="s">
        <v>206</v>
      </c>
      <c r="D66" s="157">
        <v>47000</v>
      </c>
      <c r="L66" s="205" t="s">
        <v>219</v>
      </c>
      <c r="M66" s="206" t="s">
        <v>222</v>
      </c>
      <c r="N66" s="208" t="s">
        <v>225</v>
      </c>
      <c r="O66" s="209">
        <v>60000</v>
      </c>
      <c r="P66" s="172" t="str">
        <f t="shared" si="0"/>
        <v>G1</v>
      </c>
      <c r="Q66" s="160"/>
    </row>
    <row r="67" spans="1:18" ht="18.75" x14ac:dyDescent="0.3">
      <c r="A67" s="155">
        <v>63</v>
      </c>
      <c r="B67" s="156" t="s">
        <v>208</v>
      </c>
      <c r="C67" s="155" t="s">
        <v>212</v>
      </c>
      <c r="D67" s="157">
        <v>50000</v>
      </c>
      <c r="L67" s="205" t="s">
        <v>220</v>
      </c>
      <c r="M67" s="206" t="s">
        <v>223</v>
      </c>
      <c r="N67" s="208" t="s">
        <v>226</v>
      </c>
      <c r="O67" s="209">
        <v>70000</v>
      </c>
      <c r="P67" s="172" t="str">
        <f t="shared" ref="P67:P77" si="2">IF($N67="","",LOOKUP(2,1/($N67=$B$2:$B$100),$A$2:$A$100))</f>
        <v>G2</v>
      </c>
      <c r="Q67" s="160"/>
    </row>
    <row r="68" spans="1:18" ht="18.75" x14ac:dyDescent="0.3">
      <c r="A68" s="155">
        <v>64</v>
      </c>
      <c r="B68" s="156" t="s">
        <v>207</v>
      </c>
      <c r="C68" s="155" t="s">
        <v>213</v>
      </c>
      <c r="D68" s="157">
        <v>45000</v>
      </c>
      <c r="L68" s="205" t="s">
        <v>221</v>
      </c>
      <c r="M68" s="206" t="s">
        <v>224</v>
      </c>
      <c r="N68" s="208" t="s">
        <v>227</v>
      </c>
      <c r="O68" s="209">
        <v>45000</v>
      </c>
      <c r="P68" s="172" t="str">
        <f t="shared" si="2"/>
        <v>G3</v>
      </c>
      <c r="Q68" s="160"/>
    </row>
    <row r="69" spans="1:18" ht="18.75" x14ac:dyDescent="0.3">
      <c r="A69" s="155">
        <v>65</v>
      </c>
      <c r="B69" s="156" t="s">
        <v>247</v>
      </c>
      <c r="C69" s="155" t="s">
        <v>248</v>
      </c>
      <c r="D69" s="157">
        <v>18000</v>
      </c>
      <c r="L69" s="206">
        <v>65</v>
      </c>
      <c r="M69" s="206" t="s">
        <v>248</v>
      </c>
      <c r="N69" s="208" t="s">
        <v>247</v>
      </c>
      <c r="O69" s="209">
        <v>18000</v>
      </c>
      <c r="P69" s="172">
        <f t="shared" si="2"/>
        <v>65</v>
      </c>
      <c r="Q69" s="160"/>
    </row>
    <row r="70" spans="1:18" ht="18.75" x14ac:dyDescent="0.3">
      <c r="A70" s="155">
        <v>66</v>
      </c>
      <c r="B70" s="156" t="s">
        <v>239</v>
      </c>
      <c r="C70" s="155" t="s">
        <v>249</v>
      </c>
      <c r="D70" s="157">
        <v>23000</v>
      </c>
      <c r="L70" s="206">
        <v>66</v>
      </c>
      <c r="M70" s="206" t="s">
        <v>249</v>
      </c>
      <c r="N70" s="208" t="s">
        <v>239</v>
      </c>
      <c r="O70" s="209">
        <v>23000</v>
      </c>
      <c r="P70" s="172">
        <f t="shared" si="2"/>
        <v>66</v>
      </c>
      <c r="Q70" s="160"/>
    </row>
    <row r="71" spans="1:18" ht="18.75" x14ac:dyDescent="0.3">
      <c r="A71" s="155">
        <v>67</v>
      </c>
      <c r="B71" s="156" t="s">
        <v>240</v>
      </c>
      <c r="C71" s="155" t="s">
        <v>250</v>
      </c>
      <c r="D71" s="157">
        <v>26000</v>
      </c>
      <c r="L71" s="206">
        <v>67</v>
      </c>
      <c r="M71" s="206" t="s">
        <v>250</v>
      </c>
      <c r="N71" s="208" t="s">
        <v>240</v>
      </c>
      <c r="O71" s="209">
        <v>26000</v>
      </c>
      <c r="P71" s="172">
        <f t="shared" si="2"/>
        <v>67</v>
      </c>
      <c r="Q71" s="160"/>
    </row>
    <row r="72" spans="1:18" ht="18.75" x14ac:dyDescent="0.3">
      <c r="A72" s="155">
        <v>68</v>
      </c>
      <c r="B72" s="156" t="s">
        <v>241</v>
      </c>
      <c r="C72" s="155" t="s">
        <v>251</v>
      </c>
      <c r="D72" s="157">
        <v>26000</v>
      </c>
      <c r="L72" s="206">
        <v>68</v>
      </c>
      <c r="M72" s="206" t="s">
        <v>251</v>
      </c>
      <c r="N72" s="208" t="s">
        <v>241</v>
      </c>
      <c r="O72" s="209">
        <v>26000</v>
      </c>
      <c r="P72" s="172">
        <f t="shared" si="2"/>
        <v>68</v>
      </c>
      <c r="Q72" s="160"/>
    </row>
    <row r="73" spans="1:18" ht="18.75" x14ac:dyDescent="0.3">
      <c r="A73" s="155">
        <v>69</v>
      </c>
      <c r="B73" s="156" t="s">
        <v>242</v>
      </c>
      <c r="C73" s="155" t="s">
        <v>252</v>
      </c>
      <c r="D73" s="157">
        <v>26000</v>
      </c>
      <c r="L73" s="206">
        <v>69</v>
      </c>
      <c r="M73" s="206" t="s">
        <v>252</v>
      </c>
      <c r="N73" s="208" t="s">
        <v>242</v>
      </c>
      <c r="O73" s="209">
        <v>26000</v>
      </c>
      <c r="P73" s="172">
        <f t="shared" si="2"/>
        <v>69</v>
      </c>
      <c r="Q73" s="160"/>
    </row>
    <row r="74" spans="1:18" ht="18.75" x14ac:dyDescent="0.3">
      <c r="A74" s="155">
        <v>70</v>
      </c>
      <c r="B74" s="156" t="s">
        <v>243</v>
      </c>
      <c r="C74" s="155" t="s">
        <v>253</v>
      </c>
      <c r="D74" s="157">
        <v>26000</v>
      </c>
      <c r="L74" s="206">
        <v>70</v>
      </c>
      <c r="M74" s="206" t="s">
        <v>253</v>
      </c>
      <c r="N74" s="208" t="s">
        <v>243</v>
      </c>
      <c r="O74" s="209">
        <v>26000</v>
      </c>
      <c r="P74" s="172">
        <f t="shared" si="2"/>
        <v>70</v>
      </c>
      <c r="Q74" s="160"/>
    </row>
    <row r="75" spans="1:18" ht="18.75" x14ac:dyDescent="0.3">
      <c r="A75" s="155">
        <v>71</v>
      </c>
      <c r="B75" s="156" t="s">
        <v>244</v>
      </c>
      <c r="C75" s="155" t="s">
        <v>254</v>
      </c>
      <c r="D75" s="157">
        <v>35000</v>
      </c>
      <c r="L75" s="206">
        <v>71</v>
      </c>
      <c r="M75" s="206" t="s">
        <v>254</v>
      </c>
      <c r="N75" s="208" t="s">
        <v>244</v>
      </c>
      <c r="O75" s="209">
        <v>35000</v>
      </c>
      <c r="P75" s="172">
        <f t="shared" si="2"/>
        <v>71</v>
      </c>
      <c r="Q75" s="160"/>
    </row>
    <row r="76" spans="1:18" ht="18.75" x14ac:dyDescent="0.3">
      <c r="A76" s="155">
        <v>72</v>
      </c>
      <c r="B76" s="156" t="s">
        <v>245</v>
      </c>
      <c r="C76" s="155" t="s">
        <v>255</v>
      </c>
      <c r="D76" s="157">
        <v>40000</v>
      </c>
      <c r="L76" s="206">
        <v>72</v>
      </c>
      <c r="M76" s="206" t="s">
        <v>255</v>
      </c>
      <c r="N76" s="208" t="s">
        <v>245</v>
      </c>
      <c r="O76" s="209">
        <v>40000</v>
      </c>
      <c r="P76" s="172">
        <f t="shared" si="2"/>
        <v>72</v>
      </c>
      <c r="Q76" s="160"/>
    </row>
    <row r="77" spans="1:18" ht="18.75" x14ac:dyDescent="0.3">
      <c r="A77" s="155">
        <v>73</v>
      </c>
      <c r="B77" s="156" t="s">
        <v>246</v>
      </c>
      <c r="C77" s="155" t="s">
        <v>256</v>
      </c>
      <c r="D77" s="157">
        <v>43000</v>
      </c>
      <c r="L77" s="206">
        <v>73</v>
      </c>
      <c r="M77" s="206" t="s">
        <v>256</v>
      </c>
      <c r="N77" s="208" t="s">
        <v>246</v>
      </c>
      <c r="O77" s="209">
        <v>43000</v>
      </c>
      <c r="P77" s="172">
        <f t="shared" si="2"/>
        <v>73</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v>
      </c>
      <c r="L7" s="193" t="s">
        <v>18</v>
      </c>
    </row>
    <row r="8" spans="1:14" s="45" customFormat="1" ht="14.25" customHeight="1" x14ac:dyDescent="0.25">
      <c r="A8" s="201"/>
      <c r="B8" s="201"/>
      <c r="C8" s="46" t="str">
        <f t="shared" ref="C8:C37" si="0">IF(OR(SUM($C7,$A8&lt;&gt;"")=0,$A8=""),"",SUM($C7,$A8&lt;&gt;""))</f>
        <v/>
      </c>
      <c r="D8" s="197" t="str">
        <f>IFERROR(VLOOKUP($A8,Sheet1!$A$1:$B$98,2,0),"")</f>
        <v/>
      </c>
      <c r="E8" s="198" t="str">
        <f>IFERROR(VLOOKUP($A8,'Tổng Đơn'!$A$5:$E$103,5,0),"")</f>
        <v/>
      </c>
      <c r="F8" s="46" t="str">
        <f>IF($B8="","",B8)</f>
        <v/>
      </c>
      <c r="G8" s="48" t="str">
        <f>IFERROR(VLOOKUP($A8,Sheet1!$A1:$D$98,4,0),"")</f>
        <v/>
      </c>
      <c r="H8" s="199"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c r="B9" s="201"/>
      <c r="C9" s="46" t="str">
        <f t="shared" si="0"/>
        <v/>
      </c>
      <c r="D9" s="197" t="str">
        <f>IFERROR(VLOOKUP($A9,Sheet1!$A$1:$B$98,2,0),"")</f>
        <v/>
      </c>
      <c r="E9" s="46" t="str">
        <f>IFERROR(VLOOKUP($A9,'Tổng Đơn'!$A$5:$E$103,5,0),"")</f>
        <v/>
      </c>
      <c r="F9" s="46" t="str">
        <f>IF($B9="","",B9)</f>
        <v/>
      </c>
      <c r="G9" s="48" t="str">
        <f>IF(AND($C9="",$C8&lt;&gt;""),"Tổng Cộng",IFERROR(VLOOKUP($A9,Sheet1!$A$1:$D$98,4,0),""))</f>
        <v/>
      </c>
      <c r="H9" s="199" t="str">
        <f>IF($C8=MAX($C$8:$C$56),SUM($H$8:$H8),IFERROR($G9*$F9,""))</f>
        <v/>
      </c>
      <c r="I9" s="85" t="str">
        <f t="shared" si="1"/>
        <v/>
      </c>
      <c r="L9" s="47" t="str">
        <f>IFERROR(VLOOKUP($A9,Sheet1!$A$5:$D$98,4,0),"")</f>
        <v/>
      </c>
    </row>
    <row r="10" spans="1:14" s="45" customFormat="1" ht="14.25" customHeight="1" x14ac:dyDescent="0.25">
      <c r="A10" s="201"/>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269</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0.5</v>
      </c>
      <c r="L7" s="193" t="s">
        <v>18</v>
      </c>
    </row>
    <row r="8" spans="1:14" s="45" customFormat="1" ht="14.25" customHeight="1" x14ac:dyDescent="0.25">
      <c r="A8" s="201">
        <v>72</v>
      </c>
      <c r="B8" s="201">
        <v>1</v>
      </c>
      <c r="C8" s="46">
        <f t="shared" ref="C8:C37" si="0">IF(OR(SUM($C7,$A8&lt;&gt;"")=0,$A8=""),"",SUM($C7,$A8&lt;&gt;""))</f>
        <v>1</v>
      </c>
      <c r="D8" s="197" t="str">
        <f>IFERROR(VLOOKUP($A8,Sheet1!$A$1:$B$98,2,0),"")</f>
        <v>Hồ lô KK</v>
      </c>
      <c r="E8" s="198">
        <f>IFERROR(VLOOKUP($A8,'Tổng Đơn'!$A$5:$E$103,5,0),"")</f>
        <v>0.5</v>
      </c>
      <c r="F8" s="46">
        <f>IF($B8="","",B8)</f>
        <v>1</v>
      </c>
      <c r="G8" s="48">
        <f>IFERROR(VLOOKUP($A8,Sheet1!$A1:$D$98,4,0),"")</f>
        <v>40000</v>
      </c>
      <c r="H8" s="199">
        <f>IF($C7=MAX($C$8:$C$56),SUM($H7:$H$8),IFERROR($G8*$F8,""))</f>
        <v>40000</v>
      </c>
      <c r="I8" s="85">
        <f t="shared" ref="I8:I37" si="1">IF(TYPE($A8)&lt;&gt;1,"",IFERROR(F8*E8,""))</f>
        <v>0.5</v>
      </c>
      <c r="J8" s="45" t="str">
        <f>IF(SUMPRODUCT(($F$8:$F$18),($L$8:$L$18))&gt;=200000,"KM 15%",IF(SUMPRODUCT(($F$8:$F$18),($L$8:$L$18))&gt;=100000,"KM 10%",""))</f>
        <v/>
      </c>
      <c r="L8" s="48">
        <f>IFERROR(VLOOKUP($A8,Sheet1!$A$5:$D$98,4,0),"")</f>
        <v>40000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40000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H25" sqref="H25"/>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273</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1.5</v>
      </c>
      <c r="L7" s="193" t="s">
        <v>18</v>
      </c>
    </row>
    <row r="8" spans="1:14" s="45" customFormat="1" ht="14.25" customHeight="1" x14ac:dyDescent="0.25">
      <c r="A8" s="201">
        <v>56</v>
      </c>
      <c r="B8" s="201">
        <v>1</v>
      </c>
      <c r="C8" s="46">
        <f t="shared" ref="C8:C37" si="0">IF(OR(SUM($C7,$A8&lt;&gt;"")=0,$A8=""),"",SUM($C7,$A8&lt;&gt;""))</f>
        <v>1</v>
      </c>
      <c r="D8" s="197" t="str">
        <f>IFERROR(VLOOKUP($A8,Sheet1!$A$1:$B$98,2,0),"")</f>
        <v>Đậu hủ phô mai EB</v>
      </c>
      <c r="E8" s="198">
        <f>IFERROR(VLOOKUP($A8,'Tổng Đơn'!$A$5:$E$103,5,0),"")</f>
        <v>0.5</v>
      </c>
      <c r="F8" s="46">
        <f>IF($B8="","",B8)</f>
        <v>1</v>
      </c>
      <c r="G8" s="48">
        <f>IFERROR(VLOOKUP($A8,Sheet1!$A1:$D$98,4,0),"")</f>
        <v>80000</v>
      </c>
      <c r="H8" s="199">
        <f>IF($C7=MAX($C$8:$C$56),SUM($H7:$H$8),IFERROR($G8*$F8,""))</f>
        <v>80000</v>
      </c>
      <c r="I8" s="85">
        <f t="shared" ref="I8:I37" si="1">IF(TYPE($A8)&lt;&gt;1,"",IFERROR(F8*E8,""))</f>
        <v>0.5</v>
      </c>
      <c r="J8" s="45" t="str">
        <f>IF(SUMPRODUCT(($F$8:$F$18),($L$8:$L$18))&gt;=200000,"KM 15%",IF(SUMPRODUCT(($F$8:$F$18),($L$8:$L$18))&gt;=100000,"KM 10%",""))</f>
        <v>KM 10%</v>
      </c>
      <c r="L8" s="48">
        <f>IFERROR(VLOOKUP($A8,Sheet1!$A$5:$D$98,4,0),"")</f>
        <v>80000</v>
      </c>
    </row>
    <row r="9" spans="1:14" s="45" customFormat="1" ht="14.25" customHeight="1" x14ac:dyDescent="0.25">
      <c r="A9" s="201">
        <v>71</v>
      </c>
      <c r="B9" s="201">
        <v>2</v>
      </c>
      <c r="C9" s="46">
        <f t="shared" si="0"/>
        <v>2</v>
      </c>
      <c r="D9" s="197" t="str">
        <f>IFERROR(VLOOKUP($A9,Sheet1!$A$1:$B$98,2,0),"")</f>
        <v>XX Đức KK</v>
      </c>
      <c r="E9" s="46">
        <f>IFERROR(VLOOKUP($A9,'Tổng Đơn'!$A$5:$E$103,5,0),"")</f>
        <v>0.5</v>
      </c>
      <c r="F9" s="46">
        <f>IF($B9="","",B9)</f>
        <v>2</v>
      </c>
      <c r="G9" s="48">
        <f>IF(AND($C9="",$C8&lt;&gt;""),"Tổng Cộng",IFERROR(VLOOKUP($A9,Sheet1!$A$1:$D$98,4,0),""))</f>
        <v>35000</v>
      </c>
      <c r="H9" s="199">
        <f>IF($C8=MAX($C$8:$C$56),SUM($H$8:$H8),IFERROR($G9*$F9,""))</f>
        <v>70000</v>
      </c>
      <c r="I9" s="85">
        <f t="shared" si="1"/>
        <v>1</v>
      </c>
      <c r="L9" s="47">
        <f>IFERROR(VLOOKUP($A9,Sheet1!$A$5:$D$98,4,0),"")</f>
        <v>35000</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150000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272</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4</v>
      </c>
      <c r="L7" s="193" t="s">
        <v>18</v>
      </c>
    </row>
    <row r="8" spans="1:14" s="45" customFormat="1" ht="14.25" customHeight="1" x14ac:dyDescent="0.25">
      <c r="A8" s="201">
        <v>3</v>
      </c>
      <c r="B8" s="201">
        <v>1</v>
      </c>
      <c r="C8" s="46">
        <f t="shared" ref="C8:C37" si="0">IF(OR(SUM($C7,$A8&lt;&gt;"")=0,$A8=""),"",SUM($C7,$A8&lt;&gt;""))</f>
        <v>1</v>
      </c>
      <c r="D8" s="197" t="str">
        <f>IFERROR(VLOOKUP($A8,Sheet1!$A$1:$B$98,2,0),"")</f>
        <v>Cá viên rau củ HM</v>
      </c>
      <c r="E8" s="198">
        <f>IFERROR(VLOOKUP($A8,'Tổng Đơn'!$A$5:$E$103,5,0),"")</f>
        <v>0.5</v>
      </c>
      <c r="F8" s="46">
        <f>IF($B8="","",B8)</f>
        <v>1</v>
      </c>
      <c r="G8" s="48">
        <f>IFERROR(VLOOKUP($A8,Sheet1!$A1:$D$98,4,0),"")</f>
        <v>28000</v>
      </c>
      <c r="H8" s="199">
        <f>IF($C7=MAX($C$8:$C$56),SUM($H7:$H$8),IFERROR($G8*$F8,""))</f>
        <v>28000</v>
      </c>
      <c r="I8" s="85">
        <f t="shared" ref="I8:I37" si="1">IF(TYPE($A8)&lt;&gt;1,"",IFERROR(F8*E8,""))</f>
        <v>0.5</v>
      </c>
      <c r="J8" s="45" t="str">
        <f>IF(SUMPRODUCT(($F$8:$F$18),($L$8:$L$18))&gt;=200000,"KM 15%",IF(SUMPRODUCT(($F$8:$F$18),($L$8:$L$18))&gt;=100000,"KM 10%",""))</f>
        <v>KM 10%</v>
      </c>
      <c r="L8" s="48">
        <f>IFERROR(VLOOKUP($A8,Sheet1!$A$5:$D$98,4,0),"")</f>
        <v>28000</v>
      </c>
    </row>
    <row r="9" spans="1:14" s="45" customFormat="1" ht="14.25" customHeight="1" x14ac:dyDescent="0.25">
      <c r="A9" s="201">
        <v>20</v>
      </c>
      <c r="B9" s="201">
        <v>1</v>
      </c>
      <c r="C9" s="46">
        <f t="shared" si="0"/>
        <v>2</v>
      </c>
      <c r="D9" s="197" t="str">
        <f>IFERROR(VLOOKUP($A9,Sheet1!$A$1:$B$98,2,0),"")</f>
        <v>XX Đỏ ĐNA (bao xanh)</v>
      </c>
      <c r="E9" s="46">
        <f>IFERROR(VLOOKUP($A9,'Tổng Đơn'!$A$5:$E$103,5,0),"")</f>
        <v>0.5</v>
      </c>
      <c r="F9" s="46">
        <f>IF($B9="","",B9)</f>
        <v>1</v>
      </c>
      <c r="G9" s="48">
        <f>IF(AND($C9="",$C8&lt;&gt;""),"Tổng Cộng",IFERROR(VLOOKUP($A9,Sheet1!$A$1:$D$98,4,0),""))</f>
        <v>26000</v>
      </c>
      <c r="H9" s="199">
        <f>IF($C8=MAX($C$8:$C$56),SUM($H$8:$H8),IFERROR($G9*$F9,""))</f>
        <v>26000</v>
      </c>
      <c r="I9" s="85">
        <f t="shared" si="1"/>
        <v>0.5</v>
      </c>
      <c r="L9" s="47">
        <f>IFERROR(VLOOKUP($A9,Sheet1!$A$5:$D$98,4,0),"")</f>
        <v>26000</v>
      </c>
    </row>
    <row r="10" spans="1:14" s="45" customFormat="1" ht="14.25" customHeight="1" x14ac:dyDescent="0.25">
      <c r="A10" s="201">
        <v>21</v>
      </c>
      <c r="B10" s="201">
        <v>1</v>
      </c>
      <c r="C10" s="46">
        <f t="shared" si="0"/>
        <v>3</v>
      </c>
      <c r="D10" s="197" t="str">
        <f>IFERROR(VLOOKUP($A10,Sheet1!$A$1:$B$98,2,0),"")</f>
        <v>XX Đức HS ĐNA</v>
      </c>
      <c r="E10" s="46">
        <f>IFERROR(VLOOKUP($A10,'Tổng Đơn'!$A$5:$E$103,5,0),"")</f>
        <v>0.5</v>
      </c>
      <c r="F10" s="46">
        <f t="shared" ref="F10:F37" si="2">IF($B10="","",B10)</f>
        <v>1</v>
      </c>
      <c r="G10" s="48">
        <f>IF(AND($C10="",$C9&lt;&gt;""),"Tổng Cộng",IFERROR(VLOOKUP($A10,Sheet1!$A$1:$D$98,4,0),""))</f>
        <v>33000</v>
      </c>
      <c r="H10" s="199">
        <f>IF($C9=MAX($C$8:$C$56),SUM($H$8:$H9),IFERROR($G10*$F10,""))</f>
        <v>33000</v>
      </c>
      <c r="I10" s="85">
        <f t="shared" si="1"/>
        <v>0.5</v>
      </c>
      <c r="L10" s="47">
        <f>IFERROR(VLOOKUP($A10,Sheet1!$A$5:$D$98,4,0),"")</f>
        <v>33000</v>
      </c>
    </row>
    <row r="11" spans="1:14" s="45" customFormat="1" ht="14.25" customHeight="1" x14ac:dyDescent="0.25">
      <c r="A11" s="201">
        <v>55</v>
      </c>
      <c r="B11" s="201">
        <v>1</v>
      </c>
      <c r="C11" s="46">
        <f t="shared" si="0"/>
        <v>4</v>
      </c>
      <c r="D11" s="197" t="str">
        <f>IFERROR(VLOOKUP($A11,Sheet1!$A$1:$B$98,2,0),"")</f>
        <v>Khoai tây Simplot</v>
      </c>
      <c r="E11" s="46">
        <f>IFERROR(VLOOKUP($A11,'Tổng Đơn'!$A$5:$E$103,5,0),"")</f>
        <v>1</v>
      </c>
      <c r="F11" s="46">
        <f t="shared" si="2"/>
        <v>1</v>
      </c>
      <c r="G11" s="48">
        <f>IF(AND($C11="",$C10&lt;&gt;""),"Tổng Cộng",IFERROR(VLOOKUP($A11,Sheet1!$A$1:$D$98,4,0),""))</f>
        <v>45000</v>
      </c>
      <c r="H11" s="199">
        <f>IF($C10=MAX($C$8:$C$56),SUM($H$8:$H10),IFERROR($G11*$F11,""))</f>
        <v>45000</v>
      </c>
      <c r="I11" s="85">
        <f t="shared" si="1"/>
        <v>1</v>
      </c>
      <c r="L11" s="47">
        <f>IFERROR(VLOOKUP($A11,Sheet1!$A$5:$D$98,4,0),"")</f>
        <v>45000</v>
      </c>
    </row>
    <row r="12" spans="1:14" s="45" customFormat="1" ht="14.25" customHeight="1" x14ac:dyDescent="0.25">
      <c r="A12" s="201">
        <v>64</v>
      </c>
      <c r="B12" s="201">
        <v>1</v>
      </c>
      <c r="C12" s="46">
        <f t="shared" si="0"/>
        <v>5</v>
      </c>
      <c r="D12" s="197" t="str">
        <f>IFERROR(VLOOKUP($A12,Sheet1!$A$1:$B$98,2,0),"")</f>
        <v>Mực xoắn ống</v>
      </c>
      <c r="E12" s="46">
        <f>IFERROR(VLOOKUP($A12,'Tổng Đơn'!$A$5:$E$103,5,0),"")</f>
        <v>0.5</v>
      </c>
      <c r="F12" s="46">
        <f t="shared" si="2"/>
        <v>1</v>
      </c>
      <c r="G12" s="48">
        <f>IF(AND($C12="",$C11&lt;&gt;""),"Tổng Cộng",IFERROR(VLOOKUP($A12,Sheet1!$A$1:$D$98,4,0),""))</f>
        <v>45000</v>
      </c>
      <c r="H12" s="199">
        <f>IF($C11=MAX($C$8:$C$56),SUM($H$8:$H11),IFERROR($G12*$F12,""))</f>
        <v>45000</v>
      </c>
      <c r="I12" s="85">
        <f t="shared" si="1"/>
        <v>0.5</v>
      </c>
      <c r="J12" s="166"/>
      <c r="L12" s="47"/>
      <c r="M12" s="175"/>
      <c r="N12" s="167"/>
    </row>
    <row r="13" spans="1:14" s="45" customFormat="1" ht="14.25" customHeight="1" x14ac:dyDescent="0.25">
      <c r="A13" s="201">
        <v>66</v>
      </c>
      <c r="B13" s="201">
        <v>2</v>
      </c>
      <c r="C13" s="46">
        <f t="shared" si="0"/>
        <v>6</v>
      </c>
      <c r="D13" s="197" t="str">
        <f>IFERROR(VLOOKUP($A13,Sheet1!$A$1:$B$98,2,0),"")</f>
        <v>Cá viên KK</v>
      </c>
      <c r="E13" s="46">
        <f>IFERROR(VLOOKUP($A13,'Tổng Đơn'!$A$5:$E$103,5,0),"")</f>
        <v>0.5</v>
      </c>
      <c r="F13" s="46">
        <f t="shared" si="2"/>
        <v>2</v>
      </c>
      <c r="G13" s="48">
        <f>IF(AND($C13="",$C12&lt;&gt;""),"Tổng Cộng",IFERROR(VLOOKUP($A13,Sheet1!$A$1:$D$98,4,0),""))</f>
        <v>23000</v>
      </c>
      <c r="H13" s="199">
        <f>IF($C12=MAX($C$8:$C$56),SUM($H$8:$H12),IFERROR($G13*$F13,""))</f>
        <v>46000</v>
      </c>
      <c r="I13" s="85">
        <f t="shared" si="1"/>
        <v>1</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Tổng Cộng</v>
      </c>
      <c r="H14" s="199">
        <f>IF($C13=MAX($C$8:$C$56),SUM($H$8:$H13),IFERROR($G14*$F14,""))</f>
        <v>223000</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271</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v>
      </c>
      <c r="L7" s="193" t="s">
        <v>18</v>
      </c>
    </row>
    <row r="8" spans="1:14" s="45" customFormat="1" ht="14.25" customHeight="1" x14ac:dyDescent="0.25">
      <c r="A8" s="201">
        <v>66</v>
      </c>
      <c r="B8" s="201">
        <v>1</v>
      </c>
      <c r="C8" s="46">
        <f t="shared" ref="C8:C37" si="0">IF(OR(SUM($C7,$A8&lt;&gt;"")=0,$A8=""),"",SUM($C7,$A8&lt;&gt;""))</f>
        <v>1</v>
      </c>
      <c r="D8" s="197" t="str">
        <f>IFERROR(VLOOKUP($A8,Sheet1!$A$1:$B$98,2,0),"")</f>
        <v>Cá viên KK</v>
      </c>
      <c r="E8" s="198">
        <f>IFERROR(VLOOKUP($A8,'Tổng Đơn'!$A$5:$E$103,5,0),"")</f>
        <v>0.5</v>
      </c>
      <c r="F8" s="46">
        <f>IF($B8="","",B8)</f>
        <v>1</v>
      </c>
      <c r="G8" s="48">
        <f>IFERROR(VLOOKUP($A8,Sheet1!$A1:$D$98,4,0),"")</f>
        <v>23000</v>
      </c>
      <c r="H8" s="199">
        <f>IF($C7=MAX($C$8:$C$56),SUM($H7:$H$8),IFERROR($G8*$F8,""))</f>
        <v>23000</v>
      </c>
      <c r="I8" s="85">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201">
        <v>68</v>
      </c>
      <c r="B9" s="201">
        <v>1</v>
      </c>
      <c r="C9" s="46">
        <f t="shared" si="0"/>
        <v>2</v>
      </c>
      <c r="D9" s="197" t="str">
        <f>IFERROR(VLOOKUP($A9,Sheet1!$A$1:$B$98,2,0),"")</f>
        <v>Bò viên KK</v>
      </c>
      <c r="E9" s="46">
        <f>IFERROR(VLOOKUP($A9,'Tổng Đơn'!$A$5:$E$103,5,0),"")</f>
        <v>0.5</v>
      </c>
      <c r="F9" s="46">
        <f>IF($B9="","",B9)</f>
        <v>1</v>
      </c>
      <c r="G9" s="48">
        <f>IF(AND($C9="",$C8&lt;&gt;""),"Tổng Cộng",IFERROR(VLOOKUP($A9,Sheet1!$A$1:$D$98,4,0),""))</f>
        <v>26000</v>
      </c>
      <c r="H9" s="199">
        <f>IF($C8=MAX($C$8:$C$56),SUM($H$8:$H8),IFERROR($G9*$F9,""))</f>
        <v>26000</v>
      </c>
      <c r="I9" s="85">
        <f t="shared" si="1"/>
        <v>0.5</v>
      </c>
      <c r="L9" s="47">
        <f>IFERROR(VLOOKUP($A9,Sheet1!$A$5:$D$98,4,0),"")</f>
        <v>26000</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49000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H16" sqref="H16"/>
      <selection pane="bottomLeft" activeCell="H8" sqref="H8:H11"/>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270</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2.5</v>
      </c>
      <c r="L7" s="193" t="s">
        <v>18</v>
      </c>
    </row>
    <row r="8" spans="1:14" s="45" customFormat="1" ht="14.25" customHeight="1" x14ac:dyDescent="0.25">
      <c r="A8" s="201">
        <v>4</v>
      </c>
      <c r="B8" s="201">
        <v>1</v>
      </c>
      <c r="C8" s="46">
        <f t="shared" ref="C8:C37" si="0">IF(OR(SUM($C7,$A8&lt;&gt;"")=0,$A8=""),"",SUM($C7,$A8&lt;&gt;""))</f>
        <v>1</v>
      </c>
      <c r="D8" s="197" t="str">
        <f>IFERROR(VLOOKUP($A8,Sheet1!$A$1:$B$98,2,0),"")</f>
        <v>Tôm viên HM</v>
      </c>
      <c r="E8" s="198">
        <f>IFERROR(VLOOKUP($A8,'Tổng Đơn'!$A$5:$E$103,5,0),"")</f>
        <v>0.5</v>
      </c>
      <c r="F8" s="46">
        <f>IF($B8="","",B8)</f>
        <v>1</v>
      </c>
      <c r="G8" s="48">
        <f>IFERROR(VLOOKUP($A8,Sheet1!$A1:$D$98,4,0),"")</f>
        <v>30000</v>
      </c>
      <c r="H8" s="199">
        <f>IF($C7=MAX($C$8:$C$56),SUM($H7:$H$8),IFERROR($G8*$F8,""))</f>
        <v>30000</v>
      </c>
      <c r="I8" s="85">
        <f t="shared" ref="I8:I37" si="1">IF(TYPE($A8)&lt;&gt;1,"",IFERROR(F8*E8,""))</f>
        <v>0.5</v>
      </c>
      <c r="J8" s="45" t="str">
        <f>IF(SUMPRODUCT(($F$8:$F$18),($L$8:$L$18))&gt;=200000,"KM 15%",IF(SUMPRODUCT(($F$8:$F$18),($L$8:$L$18))&gt;=100000,"KM 10%",""))</f>
        <v>KM 10%</v>
      </c>
      <c r="L8" s="48">
        <f>IFERROR(VLOOKUP($A8,Sheet1!$A$5:$D$98,4,0),"")</f>
        <v>30000</v>
      </c>
    </row>
    <row r="9" spans="1:14" s="45" customFormat="1" ht="14.25" customHeight="1" x14ac:dyDescent="0.25">
      <c r="A9" s="201">
        <v>5</v>
      </c>
      <c r="B9" s="201">
        <v>1</v>
      </c>
      <c r="C9" s="46">
        <f t="shared" si="0"/>
        <v>2</v>
      </c>
      <c r="D9" s="197" t="str">
        <f>IFERROR(VLOOKUP($A9,Sheet1!$A$1:$B$98,2,0),"")</f>
        <v>Chả tôm hình Surimi LC</v>
      </c>
      <c r="E9" s="46">
        <f>IFERROR(VLOOKUP($A9,'Tổng Đơn'!$A$5:$E$103,5,0),"")</f>
        <v>0.5</v>
      </c>
      <c r="F9" s="46">
        <f>IF($B9="","",B9)</f>
        <v>1</v>
      </c>
      <c r="G9" s="48">
        <f>IF(AND($C9="",$C8&lt;&gt;""),"Tổng Cộng",IFERROR(VLOOKUP($A9,Sheet1!$A$1:$D$98,4,0),""))</f>
        <v>38000</v>
      </c>
      <c r="H9" s="199">
        <f>IF($C8=MAX($C$8:$C$56),SUM($H$8:$H8),IFERROR($G9*$F9,""))</f>
        <v>38000</v>
      </c>
      <c r="I9" s="85">
        <f t="shared" si="1"/>
        <v>0.5</v>
      </c>
      <c r="L9" s="47">
        <f>IFERROR(VLOOKUP($A9,Sheet1!$A$5:$D$98,4,0),"")</f>
        <v>38000</v>
      </c>
    </row>
    <row r="10" spans="1:14" s="45" customFormat="1" ht="14.25" customHeight="1" x14ac:dyDescent="0.25">
      <c r="A10" s="201">
        <v>56</v>
      </c>
      <c r="B10" s="201">
        <v>1</v>
      </c>
      <c r="C10" s="46">
        <f t="shared" si="0"/>
        <v>3</v>
      </c>
      <c r="D10" s="197" t="str">
        <f>IFERROR(VLOOKUP($A10,Sheet1!$A$1:$B$98,2,0),"")</f>
        <v>Đậu hủ phô mai EB</v>
      </c>
      <c r="E10" s="46">
        <f>IFERROR(VLOOKUP($A10,'Tổng Đơn'!$A$5:$E$103,5,0),"")</f>
        <v>0.5</v>
      </c>
      <c r="F10" s="46">
        <f t="shared" ref="F10:F37" si="2">IF($B10="","",B10)</f>
        <v>1</v>
      </c>
      <c r="G10" s="48">
        <f>IF(AND($C10="",$C9&lt;&gt;""),"Tổng Cộng",IFERROR(VLOOKUP($A10,Sheet1!$A$1:$D$98,4,0),""))</f>
        <v>80000</v>
      </c>
      <c r="H10" s="199">
        <f>IF($C9=MAX($C$8:$C$56),SUM($H$8:$H9),IFERROR($G10*$F10,""))</f>
        <v>80000</v>
      </c>
      <c r="I10" s="85">
        <f t="shared" si="1"/>
        <v>0.5</v>
      </c>
      <c r="L10" s="47">
        <f>IFERROR(VLOOKUP($A10,Sheet1!$A$5:$D$98,4,0),"")</f>
        <v>80000</v>
      </c>
    </row>
    <row r="11" spans="1:14" s="45" customFormat="1" ht="14.25" customHeight="1" x14ac:dyDescent="0.25">
      <c r="A11" s="201">
        <v>57</v>
      </c>
      <c r="B11" s="201">
        <v>1</v>
      </c>
      <c r="C11" s="46">
        <f t="shared" si="0"/>
        <v>4</v>
      </c>
      <c r="D11" s="197" t="str">
        <f>IFERROR(VLOOKUP($A11,Sheet1!$A$1:$B$98,2,0),"")</f>
        <v>Hồ lô HM</v>
      </c>
      <c r="E11" s="46">
        <f>IFERROR(VLOOKUP($A11,'Tổng Đơn'!$A$5:$E$103,5,0),"")</f>
        <v>0.5</v>
      </c>
      <c r="F11" s="46">
        <f t="shared" si="2"/>
        <v>1</v>
      </c>
      <c r="G11" s="48">
        <f>IF(AND($C11="",$C10&lt;&gt;""),"Tổng Cộng",IFERROR(VLOOKUP($A11,Sheet1!$A$1:$D$98,4,0),""))</f>
        <v>42000</v>
      </c>
      <c r="H11" s="199">
        <f>IF($C10=MAX($C$8:$C$56),SUM($H$8:$H10),IFERROR($G11*$F11,""))</f>
        <v>42000</v>
      </c>
      <c r="I11" s="85">
        <f t="shared" si="1"/>
        <v>0.5</v>
      </c>
      <c r="L11" s="47">
        <f>IFERROR(VLOOKUP($A11,Sheet1!$A$5:$D$98,4,0),"")</f>
        <v>42000</v>
      </c>
    </row>
    <row r="12" spans="1:14" s="45" customFormat="1" ht="14.25" customHeight="1" x14ac:dyDescent="0.25">
      <c r="A12" s="201">
        <v>2</v>
      </c>
      <c r="B12" s="201">
        <v>1</v>
      </c>
      <c r="C12" s="46">
        <f t="shared" si="0"/>
        <v>5</v>
      </c>
      <c r="D12" s="197" t="str">
        <f>IFERROR(VLOOKUP($A12,Sheet1!$A$1:$B$98,2,0),"")</f>
        <v>Cá viên HM</v>
      </c>
      <c r="E12" s="46">
        <f>IFERROR(VLOOKUP($A12,'Tổng Đơn'!$A$5:$E$103,5,0),"")</f>
        <v>0.5</v>
      </c>
      <c r="F12" s="46">
        <f t="shared" si="2"/>
        <v>1</v>
      </c>
      <c r="G12" s="48">
        <f>IF(AND($C12="",$C11&lt;&gt;""),"Tổng Cộng",IFERROR(VLOOKUP($A12,Sheet1!$A$1:$D$98,4,0),""))</f>
        <v>25000</v>
      </c>
      <c r="H12" s="199">
        <f>IF($C11=MAX($C$8:$C$56),SUM($H$8:$H11),IFERROR($G12*$F12,""))</f>
        <v>25000</v>
      </c>
      <c r="I12" s="85">
        <f t="shared" si="1"/>
        <v>0.5</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Tổng Cộng</v>
      </c>
      <c r="H13" s="199">
        <f>IF($C12=MAX($C$8:$C$56),SUM($H$8:$H12),IFERROR($G13*$F13,""))</f>
        <v>215000</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269</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v>
      </c>
      <c r="L7" s="193" t="s">
        <v>18</v>
      </c>
    </row>
    <row r="8" spans="1:14" s="45" customFormat="1" ht="14.25" customHeight="1" x14ac:dyDescent="0.25">
      <c r="A8" s="201">
        <v>18</v>
      </c>
      <c r="B8" s="201">
        <v>2</v>
      </c>
      <c r="C8" s="46">
        <f t="shared" ref="C8:C37" si="0">IF(OR(SUM($C7,$A8&lt;&gt;"")=0,$A8=""),"",SUM($C7,$A8&lt;&gt;""))</f>
        <v>1</v>
      </c>
      <c r="D8" s="197" t="str">
        <f>IFERROR(VLOOKUP($A8,Sheet1!$A$1:$B$98,2,0),"")</f>
        <v>Đậu hủ phô mai</v>
      </c>
      <c r="E8" s="198">
        <f>IFERROR(VLOOKUP($A8,'Tổng Đơn'!$A$5:$E$103,5,0),"")</f>
        <v>0.5</v>
      </c>
      <c r="F8" s="46">
        <f>IF($B8="","",B8)</f>
        <v>2</v>
      </c>
      <c r="G8" s="48">
        <f>IFERROR(VLOOKUP($A8,Sheet1!$A1:$D$98,4,0),"")</f>
        <v>55000</v>
      </c>
      <c r="H8" s="199">
        <f>IF($C7=MAX($C$8:$C$56),SUM($H7:$H$8),IFERROR($G8*$F8,""))</f>
        <v>110000</v>
      </c>
      <c r="I8" s="85">
        <f t="shared" ref="I8:I37" si="1">IF(TYPE($A8)&lt;&gt;1,"",IFERROR(F8*E8,""))</f>
        <v>1</v>
      </c>
      <c r="J8" s="45" t="str">
        <f>IF(SUMPRODUCT(($F$8:$F$18),($L$8:$L$18))&gt;=200000,"KM 15%",IF(SUMPRODUCT(($F$8:$F$18),($L$8:$L$18))&gt;=100000,"KM 10%",""))</f>
        <v>KM 10%</v>
      </c>
      <c r="L8" s="48">
        <f>IFERROR(VLOOKUP($A8,Sheet1!$A$5:$D$98,4,0),"")</f>
        <v>55000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110000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268</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6.7</v>
      </c>
      <c r="L7" s="193" t="s">
        <v>18</v>
      </c>
    </row>
    <row r="8" spans="1:14" s="45" customFormat="1" ht="14.25" customHeight="1" x14ac:dyDescent="0.25">
      <c r="A8" s="201">
        <v>55</v>
      </c>
      <c r="B8" s="201">
        <v>1</v>
      </c>
      <c r="C8" s="46">
        <f t="shared" ref="C8:C37" si="0">IF(OR(SUM($C7,$A8&lt;&gt;"")=0,$A8=""),"",SUM($C7,$A8&lt;&gt;""))</f>
        <v>1</v>
      </c>
      <c r="D8" s="197" t="str">
        <f>IFERROR(VLOOKUP($A8,Sheet1!$A$1:$B$98,2,0),"")</f>
        <v>Khoai tây Simplot</v>
      </c>
      <c r="E8" s="198">
        <f>IFERROR(VLOOKUP($A8,'Tổng Đơn'!$A$5:$E$103,5,0),"")</f>
        <v>1</v>
      </c>
      <c r="F8" s="46">
        <f>IF($B8="","",B8)</f>
        <v>1</v>
      </c>
      <c r="G8" s="48">
        <f>IFERROR(VLOOKUP($A8,Sheet1!$A1:$D$98,4,0),"")</f>
        <v>45000</v>
      </c>
      <c r="H8" s="199">
        <f>IF($C7=MAX($C$8:$C$56),SUM($H7:$H$8),IFERROR($G8*$F8,""))</f>
        <v>45000</v>
      </c>
      <c r="I8" s="85">
        <f t="shared" ref="I8:I37" si="1">IF(TYPE($A8)&lt;&gt;1,"",IFERROR(F8*E8,""))</f>
        <v>1</v>
      </c>
      <c r="J8" s="45" t="str">
        <f>IF(SUMPRODUCT(($F$8:$F$18),($L$8:$L$18))&gt;=200000,"KM 15%",IF(SUMPRODUCT(($F$8:$F$18),($L$8:$L$18))&gt;=100000,"KM 10%",""))</f>
        <v>KM 10%</v>
      </c>
      <c r="L8" s="48">
        <f>IFERROR(VLOOKUP($A8,Sheet1!$A$5:$D$98,4,0),"")</f>
        <v>45000</v>
      </c>
    </row>
    <row r="9" spans="1:14" s="45" customFormat="1" ht="14.25" customHeight="1" x14ac:dyDescent="0.25">
      <c r="A9" s="201">
        <v>64</v>
      </c>
      <c r="B9" s="201">
        <v>1</v>
      </c>
      <c r="C9" s="46">
        <f t="shared" si="0"/>
        <v>2</v>
      </c>
      <c r="D9" s="197" t="str">
        <f>IFERROR(VLOOKUP($A9,Sheet1!$A$1:$B$98,2,0),"")</f>
        <v>Mực xoắn ống</v>
      </c>
      <c r="E9" s="46">
        <f>IFERROR(VLOOKUP($A9,'Tổng Đơn'!$A$5:$E$103,5,0),"")</f>
        <v>0.5</v>
      </c>
      <c r="F9" s="46">
        <f>IF($B9="","",B9)</f>
        <v>1</v>
      </c>
      <c r="G9" s="48">
        <f>IF(AND($C9="",$C8&lt;&gt;""),"Tổng Cộng",IFERROR(VLOOKUP($A9,Sheet1!$A$1:$D$98,4,0),""))</f>
        <v>45000</v>
      </c>
      <c r="H9" s="199">
        <f>IF($C8=MAX($C$8:$C$56),SUM($H$8:$H8),IFERROR($G9*$F9,""))</f>
        <v>45000</v>
      </c>
      <c r="I9" s="85">
        <f t="shared" si="1"/>
        <v>0.5</v>
      </c>
      <c r="L9" s="47">
        <f>IFERROR(VLOOKUP($A9,Sheet1!$A$5:$D$98,4,0),"")</f>
        <v>45000</v>
      </c>
    </row>
    <row r="10" spans="1:14" s="45" customFormat="1" ht="14.25" customHeight="1" x14ac:dyDescent="0.25">
      <c r="A10" s="201" t="s">
        <v>220</v>
      </c>
      <c r="B10" s="201">
        <v>2</v>
      </c>
      <c r="C10" s="46">
        <f t="shared" si="0"/>
        <v>3</v>
      </c>
      <c r="D10" s="197" t="str">
        <f>IFERROR(VLOOKUP($A10,Sheet1!$A$1:$B$98,2,0),"")</f>
        <v>0-Cánh Gà</v>
      </c>
      <c r="E10" s="46">
        <f>IFERROR(VLOOKUP($A10,'Tổng Đơn'!$A$5:$E$103,5,0),"")</f>
        <v>1</v>
      </c>
      <c r="F10" s="46">
        <f t="shared" ref="F10:F37" si="2">IF($B10="","",B10)</f>
        <v>2</v>
      </c>
      <c r="G10" s="48">
        <f>IF(AND($C10="",$C9&lt;&gt;""),"Tổng Cộng",IFERROR(VLOOKUP($A10,Sheet1!$A$1:$D$98,4,0),""))</f>
        <v>70000</v>
      </c>
      <c r="H10" s="199">
        <f>IF($C9=MAX($C$8:$C$56),SUM($H$8:$H9),IFERROR($G10*$F10,""))</f>
        <v>140000</v>
      </c>
      <c r="I10" s="85" t="str">
        <f t="shared" si="1"/>
        <v/>
      </c>
      <c r="L10" s="47" t="str">
        <f>IFERROR(VLOOKUP($A10,Sheet1!$A$5:$D$98,4,0),"")</f>
        <v/>
      </c>
    </row>
    <row r="11" spans="1:14" s="45" customFormat="1" ht="14.25" customHeight="1" x14ac:dyDescent="0.25">
      <c r="A11" s="201">
        <v>65</v>
      </c>
      <c r="B11" s="201">
        <v>4</v>
      </c>
      <c r="C11" s="46">
        <f t="shared" si="0"/>
        <v>4</v>
      </c>
      <c r="D11" s="197" t="str">
        <f>IFERROR(VLOOKUP($A11,Sheet1!$A$1:$B$98,2,0),"")</f>
        <v>Bánh bao ngọt không nhân</v>
      </c>
      <c r="E11" s="46">
        <f>IFERROR(VLOOKUP($A11,'Tổng Đơn'!$A$5:$E$103,5,0),"")</f>
        <v>0.3</v>
      </c>
      <c r="F11" s="46">
        <f t="shared" si="2"/>
        <v>4</v>
      </c>
      <c r="G11" s="48">
        <f>IF(AND($C11="",$C10&lt;&gt;""),"Tổng Cộng",IFERROR(VLOOKUP($A11,Sheet1!$A$1:$D$98,4,0),""))</f>
        <v>18000</v>
      </c>
      <c r="H11" s="199">
        <f>IF($C10=MAX($C$8:$C$56),SUM($H$8:$H10),IFERROR($G11*$F11,""))</f>
        <v>72000</v>
      </c>
      <c r="I11" s="85">
        <f t="shared" si="1"/>
        <v>1.2</v>
      </c>
      <c r="L11" s="47">
        <f>IFERROR(VLOOKUP($A11,Sheet1!$A$5:$D$98,4,0),"")</f>
        <v>18000</v>
      </c>
    </row>
    <row r="12" spans="1:14" s="45" customFormat="1" ht="14.25" customHeight="1" x14ac:dyDescent="0.25">
      <c r="A12" s="201">
        <v>66</v>
      </c>
      <c r="B12" s="201">
        <v>6</v>
      </c>
      <c r="C12" s="46">
        <f t="shared" si="0"/>
        <v>5</v>
      </c>
      <c r="D12" s="197" t="str">
        <f>IFERROR(VLOOKUP($A12,Sheet1!$A$1:$B$98,2,0),"")</f>
        <v>Cá viên KK</v>
      </c>
      <c r="E12" s="46">
        <f>IFERROR(VLOOKUP($A12,'Tổng Đơn'!$A$5:$E$103,5,0),"")</f>
        <v>0.5</v>
      </c>
      <c r="F12" s="46">
        <f t="shared" si="2"/>
        <v>6</v>
      </c>
      <c r="G12" s="48">
        <f>IF(AND($C12="",$C11&lt;&gt;""),"Tổng Cộng",IFERROR(VLOOKUP($A12,Sheet1!$A$1:$D$98,4,0),""))</f>
        <v>23000</v>
      </c>
      <c r="H12" s="199">
        <f>IF($C11=MAX($C$8:$C$56),SUM($H$8:$H11),IFERROR($G12*$F12,""))</f>
        <v>138000</v>
      </c>
      <c r="I12" s="85">
        <f t="shared" si="1"/>
        <v>3</v>
      </c>
      <c r="J12" s="166"/>
      <c r="L12" s="47"/>
      <c r="M12" s="175"/>
      <c r="N12" s="167"/>
    </row>
    <row r="13" spans="1:14" s="45" customFormat="1" ht="14.25" customHeight="1" x14ac:dyDescent="0.25">
      <c r="A13" s="201">
        <v>71</v>
      </c>
      <c r="B13" s="201">
        <v>2</v>
      </c>
      <c r="C13" s="46">
        <f t="shared" si="0"/>
        <v>6</v>
      </c>
      <c r="D13" s="197" t="str">
        <f>IFERROR(VLOOKUP($A13,Sheet1!$A$1:$B$98,2,0),"")</f>
        <v>XX Đức KK</v>
      </c>
      <c r="E13" s="46">
        <f>IFERROR(VLOOKUP($A13,'Tổng Đơn'!$A$5:$E$103,5,0),"")</f>
        <v>0.5</v>
      </c>
      <c r="F13" s="46">
        <f t="shared" si="2"/>
        <v>2</v>
      </c>
      <c r="G13" s="48">
        <f>IF(AND($C13="",$C12&lt;&gt;""),"Tổng Cộng",IFERROR(VLOOKUP($A13,Sheet1!$A$1:$D$98,4,0),""))</f>
        <v>35000</v>
      </c>
      <c r="H13" s="199">
        <f>IF($C12=MAX($C$8:$C$56),SUM($H$8:$H12),IFERROR($G13*$F13,""))</f>
        <v>70000</v>
      </c>
      <c r="I13" s="85">
        <f t="shared" si="1"/>
        <v>1</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Tổng Cộng</v>
      </c>
      <c r="H14" s="199">
        <f>IF($C13=MAX($C$8:$C$56),SUM($H$8:$H13),IFERROR($G14*$F14,""))</f>
        <v>510000</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267</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5</v>
      </c>
      <c r="L7" s="193" t="s">
        <v>18</v>
      </c>
    </row>
    <row r="8" spans="1:14" s="45" customFormat="1" ht="14.25" customHeight="1" x14ac:dyDescent="0.25">
      <c r="A8" s="201">
        <v>2</v>
      </c>
      <c r="B8" s="201">
        <v>2</v>
      </c>
      <c r="C8" s="46">
        <f t="shared" ref="C8:C37" si="0">IF(OR(SUM($C7,$A8&lt;&gt;"")=0,$A8=""),"",SUM($C7,$A8&lt;&gt;""))</f>
        <v>1</v>
      </c>
      <c r="D8" s="197" t="str">
        <f>IFERROR(VLOOKUP($A8,Sheet1!$A$1:$B$98,2,0),"")</f>
        <v>Cá viên HM</v>
      </c>
      <c r="E8" s="198">
        <f>IFERROR(VLOOKUP($A8,'Tổng Đơn'!$A$5:$E$103,5,0),"")</f>
        <v>0.5</v>
      </c>
      <c r="F8" s="46">
        <f>IF($B8="","",B8)</f>
        <v>2</v>
      </c>
      <c r="G8" s="48">
        <f>IFERROR(VLOOKUP($A8,Sheet1!$A1:$D$98,4,0),"")</f>
        <v>25000</v>
      </c>
      <c r="H8" s="199">
        <f>IF($C7=MAX($C$8:$C$56),SUM($H7:$H$8),IFERROR($G8*$F8,""))</f>
        <v>50000</v>
      </c>
      <c r="I8" s="85">
        <f t="shared" ref="I8:I37" si="1">IF(TYPE($A8)&lt;&gt;1,"",IFERROR(F8*E8,""))</f>
        <v>1</v>
      </c>
      <c r="J8" s="45" t="str">
        <f>IF(SUMPRODUCT(($F$8:$F$18),($L$8:$L$18))&gt;=200000,"KM 15%",IF(SUMPRODUCT(($F$8:$F$18),($L$8:$L$18))&gt;=100000,"KM 10%",""))</f>
        <v>KM 15%</v>
      </c>
      <c r="L8" s="48">
        <f>IFERROR(VLOOKUP($A8,Sheet1!$A$5:$D$98,4,0),"")</f>
        <v>25000</v>
      </c>
    </row>
    <row r="9" spans="1:14" s="45" customFormat="1" ht="14.25" customHeight="1" x14ac:dyDescent="0.25">
      <c r="A9" s="201">
        <v>18</v>
      </c>
      <c r="B9" s="201">
        <v>1</v>
      </c>
      <c r="C9" s="46">
        <f t="shared" si="0"/>
        <v>2</v>
      </c>
      <c r="D9" s="197" t="str">
        <f>IFERROR(VLOOKUP($A9,Sheet1!$A$1:$B$98,2,0),"")</f>
        <v>Đậu hủ phô mai</v>
      </c>
      <c r="E9" s="46">
        <f>IFERROR(VLOOKUP($A9,'Tổng Đơn'!$A$5:$E$103,5,0),"")</f>
        <v>0.5</v>
      </c>
      <c r="F9" s="46">
        <f>IF($B9="","",B9)</f>
        <v>1</v>
      </c>
      <c r="G9" s="48">
        <f>IF(AND($C9="",$C8&lt;&gt;""),"Tổng Cộng",IFERROR(VLOOKUP($A9,Sheet1!$A$1:$D$98,4,0),""))</f>
        <v>55000</v>
      </c>
      <c r="H9" s="199">
        <f>IF($C8=MAX($C$8:$C$56),SUM($H$8:$H8),IFERROR($G9*$F9,""))</f>
        <v>55000</v>
      </c>
      <c r="I9" s="85">
        <f t="shared" si="1"/>
        <v>0.5</v>
      </c>
      <c r="L9" s="47">
        <f>IFERROR(VLOOKUP($A9,Sheet1!$A$5:$D$98,4,0),"")</f>
        <v>55000</v>
      </c>
    </row>
    <row r="10" spans="1:14" s="45" customFormat="1" ht="14.25" customHeight="1" x14ac:dyDescent="0.25">
      <c r="A10" s="201">
        <v>50</v>
      </c>
      <c r="B10" s="201">
        <v>1</v>
      </c>
      <c r="C10" s="46">
        <f t="shared" si="0"/>
        <v>3</v>
      </c>
      <c r="D10" s="197" t="str">
        <f>IFERROR(VLOOKUP($A10,Sheet1!$A$1:$B$98,2,0),"")</f>
        <v>Bò lá lốt</v>
      </c>
      <c r="E10" s="46">
        <f>IFERROR(VLOOKUP($A10,'Tổng Đơn'!$A$5:$E$103,5,0),"")</f>
        <v>0.5</v>
      </c>
      <c r="F10" s="46">
        <f t="shared" ref="F10:F37" si="2">IF($B10="","",B10)</f>
        <v>1</v>
      </c>
      <c r="G10" s="48">
        <f>IF(AND($C10="",$C9&lt;&gt;""),"Tổng Cộng",IFERROR(VLOOKUP($A10,Sheet1!$A$1:$D$98,4,0),""))</f>
        <v>44000</v>
      </c>
      <c r="H10" s="199">
        <f>IF($C9=MAX($C$8:$C$56),SUM($H$8:$H9),IFERROR($G10*$F10,""))</f>
        <v>44000</v>
      </c>
      <c r="I10" s="85">
        <f t="shared" si="1"/>
        <v>0.5</v>
      </c>
      <c r="L10" s="47">
        <f>IFERROR(VLOOKUP($A10,Sheet1!$A$5:$D$98,4,0),"")</f>
        <v>44000</v>
      </c>
    </row>
    <row r="11" spans="1:14" s="45" customFormat="1" ht="14.25" customHeight="1" x14ac:dyDescent="0.25">
      <c r="A11" s="201">
        <v>62</v>
      </c>
      <c r="B11" s="201">
        <v>2</v>
      </c>
      <c r="C11" s="46">
        <f t="shared" si="0"/>
        <v>4</v>
      </c>
      <c r="D11" s="197" t="str">
        <f>IFERROR(VLOOKUP($A11,Sheet1!$A$1:$B$98,2,0),"")</f>
        <v xml:space="preserve">Viên thả lẩu Cam-Trứng cá </v>
      </c>
      <c r="E11" s="46">
        <f>IFERROR(VLOOKUP($A11,'Tổng Đơn'!$A$5:$E$103,5,0),"")</f>
        <v>0.5</v>
      </c>
      <c r="F11" s="46">
        <f t="shared" si="2"/>
        <v>2</v>
      </c>
      <c r="G11" s="48">
        <f>IF(AND($C11="",$C10&lt;&gt;""),"Tổng Cộng",IFERROR(VLOOKUP($A11,Sheet1!$A$1:$D$98,4,0),""))</f>
        <v>47000</v>
      </c>
      <c r="H11" s="199">
        <f>IF($C10=MAX($C$8:$C$56),SUM($H$8:$H10),IFERROR($G11*$F11,""))</f>
        <v>94000</v>
      </c>
      <c r="I11" s="85">
        <f t="shared" si="1"/>
        <v>1</v>
      </c>
      <c r="L11" s="47">
        <f>IFERROR(VLOOKUP($A11,Sheet1!$A$5:$D$98,4,0),"")</f>
        <v>47000</v>
      </c>
    </row>
    <row r="12" spans="1:14" s="45" customFormat="1" ht="14.25" customHeight="1" x14ac:dyDescent="0.25">
      <c r="A12" s="201">
        <v>71</v>
      </c>
      <c r="B12" s="201">
        <v>3</v>
      </c>
      <c r="C12" s="46">
        <f t="shared" si="0"/>
        <v>5</v>
      </c>
      <c r="D12" s="197" t="str">
        <f>IFERROR(VLOOKUP($A12,Sheet1!$A$1:$B$98,2,0),"")</f>
        <v>XX Đức KK</v>
      </c>
      <c r="E12" s="46">
        <f>IFERROR(VLOOKUP($A12,'Tổng Đơn'!$A$5:$E$103,5,0),"")</f>
        <v>0.5</v>
      </c>
      <c r="F12" s="46">
        <f t="shared" si="2"/>
        <v>3</v>
      </c>
      <c r="G12" s="48">
        <f>IF(AND($C12="",$C11&lt;&gt;""),"Tổng Cộng",IFERROR(VLOOKUP($A12,Sheet1!$A$1:$D$98,4,0),""))</f>
        <v>35000</v>
      </c>
      <c r="H12" s="199">
        <f>IF($C11=MAX($C$8:$C$56),SUM($H$8:$H11),IFERROR($G12*$F12,""))</f>
        <v>105000</v>
      </c>
      <c r="I12" s="85">
        <f t="shared" si="1"/>
        <v>1.5</v>
      </c>
      <c r="J12" s="166"/>
      <c r="L12" s="47"/>
      <c r="M12" s="175"/>
      <c r="N12" s="167"/>
    </row>
    <row r="13" spans="1:14" s="45" customFormat="1" ht="14.25" customHeight="1" x14ac:dyDescent="0.25">
      <c r="A13" s="201">
        <v>72</v>
      </c>
      <c r="B13" s="201">
        <v>1</v>
      </c>
      <c r="C13" s="46">
        <f t="shared" si="0"/>
        <v>6</v>
      </c>
      <c r="D13" s="197" t="str">
        <f>IFERROR(VLOOKUP($A13,Sheet1!$A$1:$B$98,2,0),"")</f>
        <v>Hồ lô KK</v>
      </c>
      <c r="E13" s="46">
        <f>IFERROR(VLOOKUP($A13,'Tổng Đơn'!$A$5:$E$103,5,0),"")</f>
        <v>0.5</v>
      </c>
      <c r="F13" s="46">
        <f t="shared" si="2"/>
        <v>1</v>
      </c>
      <c r="G13" s="48">
        <f>IF(AND($C13="",$C12&lt;&gt;""),"Tổng Cộng",IFERROR(VLOOKUP($A13,Sheet1!$A$1:$D$98,4,0),""))</f>
        <v>40000</v>
      </c>
      <c r="H13" s="199">
        <f>IF($C12=MAX($C$8:$C$56),SUM($H$8:$H12),IFERROR($G13*$F13,""))</f>
        <v>40000</v>
      </c>
      <c r="I13" s="85">
        <f t="shared" si="1"/>
        <v>0.5</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Tổng Cộng</v>
      </c>
      <c r="H14" s="199">
        <f>IF($C13=MAX($C$8:$C$56),SUM($H$8:$H13),IFERROR($G14*$F14,""))</f>
        <v>388000</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266</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v>
      </c>
      <c r="L7" s="193" t="s">
        <v>18</v>
      </c>
    </row>
    <row r="8" spans="1:14" s="45" customFormat="1" ht="14.25" customHeight="1" x14ac:dyDescent="0.25">
      <c r="A8" s="201">
        <v>55</v>
      </c>
      <c r="B8" s="201">
        <v>1</v>
      </c>
      <c r="C8" s="46">
        <f t="shared" ref="C8:C37" si="0">IF(OR(SUM($C7,$A8&lt;&gt;"")=0,$A8=""),"",SUM($C7,$A8&lt;&gt;""))</f>
        <v>1</v>
      </c>
      <c r="D8" s="197" t="str">
        <f>IFERROR(VLOOKUP($A8,Sheet1!$A$1:$B$98,2,0),"")</f>
        <v>Khoai tây Simplot</v>
      </c>
      <c r="E8" s="198">
        <f>IFERROR(VLOOKUP($A8,'Tổng Đơn'!$A$5:$E$103,5,0),"")</f>
        <v>1</v>
      </c>
      <c r="F8" s="46">
        <f>IF($B8="","",B8)</f>
        <v>1</v>
      </c>
      <c r="G8" s="48">
        <f>IFERROR(VLOOKUP($A8,Sheet1!$A1:$D$98,4,0),"")</f>
        <v>45000</v>
      </c>
      <c r="H8" s="199">
        <f>IF($C7=MAX($C$8:$C$56),SUM($H7:$H$8),IFERROR($G8*$F8,""))</f>
        <v>45000</v>
      </c>
      <c r="I8" s="85">
        <f t="shared" ref="I8:I37" si="1">IF(TYPE($A8)&lt;&gt;1,"",IFERROR(F8*E8,""))</f>
        <v>1</v>
      </c>
      <c r="J8" s="45" t="str">
        <f>IF(SUMPRODUCT(($F$8:$F$18),($L$8:$L$18))&gt;=200000,"KM 15%",IF(SUMPRODUCT(($F$8:$F$18),($L$8:$L$18))&gt;=100000,"KM 10%",""))</f>
        <v/>
      </c>
      <c r="L8" s="48">
        <f>IFERROR(VLOOKUP($A8,Sheet1!$A$5:$D$98,4,0),"")</f>
        <v>45000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45000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265</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5</v>
      </c>
      <c r="L7" s="193" t="s">
        <v>18</v>
      </c>
    </row>
    <row r="8" spans="1:14" s="45" customFormat="1" ht="14.25" customHeight="1" x14ac:dyDescent="0.25">
      <c r="A8" s="201">
        <v>18</v>
      </c>
      <c r="B8" s="201">
        <v>4</v>
      </c>
      <c r="C8" s="46">
        <f t="shared" ref="C8:C37" si="0">IF(OR(SUM($C7,$A8&lt;&gt;"")=0,$A8=""),"",SUM($C7,$A8&lt;&gt;""))</f>
        <v>1</v>
      </c>
      <c r="D8" s="197" t="str">
        <f>IFERROR(VLOOKUP($A8,Sheet1!$A$1:$B$98,2,0),"")</f>
        <v>Đậu hủ phô mai</v>
      </c>
      <c r="E8" s="198">
        <f>IFERROR(VLOOKUP($A8,'Tổng Đơn'!$A$5:$E$103,5,0),"")</f>
        <v>0.5</v>
      </c>
      <c r="F8" s="46">
        <f>IF($B8="","",B8)</f>
        <v>4</v>
      </c>
      <c r="G8" s="48">
        <f>IFERROR(VLOOKUP($A8,Sheet1!$A1:$D$98,4,0),"")</f>
        <v>55000</v>
      </c>
      <c r="H8" s="199">
        <f>IF($C7=MAX($C$8:$C$56),SUM($H7:$H$8),IFERROR($G8*$F8,""))</f>
        <v>220000</v>
      </c>
      <c r="I8" s="85">
        <f t="shared" ref="I8:I37" si="1">IF(TYPE($A8)&lt;&gt;1,"",IFERROR(F8*E8,""))</f>
        <v>2</v>
      </c>
      <c r="J8" s="45" t="str">
        <f>IF(SUMPRODUCT(($F$8:$F$18),($L$8:$L$18))&gt;=200000,"KM 15%",IF(SUMPRODUCT(($F$8:$F$18),($L$8:$L$18))&gt;=100000,"KM 10%",""))</f>
        <v>KM 15%</v>
      </c>
      <c r="L8" s="48">
        <f>IFERROR(VLOOKUP($A8,Sheet1!$A$5:$D$98,4,0),"")</f>
        <v>55000</v>
      </c>
    </row>
    <row r="9" spans="1:14" s="45" customFormat="1" ht="14.25" customHeight="1" x14ac:dyDescent="0.25">
      <c r="A9" s="201">
        <v>63</v>
      </c>
      <c r="B9" s="201">
        <v>2</v>
      </c>
      <c r="C9" s="46">
        <f t="shared" si="0"/>
        <v>2</v>
      </c>
      <c r="D9" s="197" t="str">
        <f>IFERROR(VLOOKUP($A9,Sheet1!$A$1:$B$98,2,0),"")</f>
        <v>Tôm hùm viên PM</v>
      </c>
      <c r="E9" s="46">
        <f>IFERROR(VLOOKUP($A9,'Tổng Đơn'!$A$5:$E$103,5,0),"")</f>
        <v>0.5</v>
      </c>
      <c r="F9" s="46">
        <f>IF($B9="","",B9)</f>
        <v>2</v>
      </c>
      <c r="G9" s="48">
        <f>IF(AND($C9="",$C8&lt;&gt;""),"Tổng Cộng",IFERROR(VLOOKUP($A9,Sheet1!$A$1:$D$98,4,0),""))</f>
        <v>50000</v>
      </c>
      <c r="H9" s="199">
        <f>IF($C8=MAX($C$8:$C$56),SUM($H$8:$H8),IFERROR($G9*$F9,""))</f>
        <v>100000</v>
      </c>
      <c r="I9" s="85">
        <f t="shared" si="1"/>
        <v>1</v>
      </c>
      <c r="L9" s="47">
        <f>IFERROR(VLOOKUP($A9,Sheet1!$A$5:$D$98,4,0),"")</f>
        <v>50000</v>
      </c>
    </row>
    <row r="10" spans="1:14" s="45" customFormat="1" ht="14.25" customHeight="1" x14ac:dyDescent="0.25">
      <c r="A10" s="201">
        <v>71</v>
      </c>
      <c r="B10" s="201">
        <v>2</v>
      </c>
      <c r="C10" s="46">
        <f t="shared" si="0"/>
        <v>3</v>
      </c>
      <c r="D10" s="197" t="str">
        <f>IFERROR(VLOOKUP($A10,Sheet1!$A$1:$B$98,2,0),"")</f>
        <v>XX Đức KK</v>
      </c>
      <c r="E10" s="46">
        <f>IFERROR(VLOOKUP($A10,'Tổng Đơn'!$A$5:$E$103,5,0),"")</f>
        <v>0.5</v>
      </c>
      <c r="F10" s="46">
        <f t="shared" ref="F10:F37" si="2">IF($B10="","",B10)</f>
        <v>2</v>
      </c>
      <c r="G10" s="48">
        <f>IF(AND($C10="",$C9&lt;&gt;""),"Tổng Cộng",IFERROR(VLOOKUP($A10,Sheet1!$A$1:$D$98,4,0),""))</f>
        <v>35000</v>
      </c>
      <c r="H10" s="199">
        <f>IF($C9=MAX($C$8:$C$56),SUM($H$8:$H9),IFERROR($G10*$F10,""))</f>
        <v>70000</v>
      </c>
      <c r="I10" s="85">
        <f t="shared" si="1"/>
        <v>1</v>
      </c>
      <c r="L10" s="47">
        <f>IFERROR(VLOOKUP($A10,Sheet1!$A$5:$D$98,4,0),"")</f>
        <v>35000</v>
      </c>
    </row>
    <row r="11" spans="1:14" s="45" customFormat="1" ht="14.25" customHeight="1" x14ac:dyDescent="0.25">
      <c r="A11" s="201">
        <v>73</v>
      </c>
      <c r="B11" s="201">
        <v>2</v>
      </c>
      <c r="C11" s="46">
        <f t="shared" si="0"/>
        <v>4</v>
      </c>
      <c r="D11" s="197" t="str">
        <f>IFERROR(VLOOKUP($A11,Sheet1!$A$1:$B$98,2,0),"")</f>
        <v>Bánh bao thả lẩu Trứng cá KK</v>
      </c>
      <c r="E11" s="46">
        <f>IFERROR(VLOOKUP($A11,'Tổng Đơn'!$A$5:$E$103,5,0),"")</f>
        <v>0.5</v>
      </c>
      <c r="F11" s="46">
        <f t="shared" si="2"/>
        <v>2</v>
      </c>
      <c r="G11" s="48">
        <f>IF(AND($C11="",$C10&lt;&gt;""),"Tổng Cộng",IFERROR(VLOOKUP($A11,Sheet1!$A$1:$D$98,4,0),""))</f>
        <v>43000</v>
      </c>
      <c r="H11" s="199">
        <f>IF($C10=MAX($C$8:$C$56),SUM($H$8:$H10),IFERROR($G11*$F11,""))</f>
        <v>86000</v>
      </c>
      <c r="I11" s="85">
        <f t="shared" si="1"/>
        <v>1</v>
      </c>
      <c r="L11" s="47">
        <f>IFERROR(VLOOKUP($A11,Sheet1!$A$5:$D$98,4,0),"")</f>
        <v>43000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476000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264</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5</v>
      </c>
      <c r="L7" s="193" t="s">
        <v>18</v>
      </c>
    </row>
    <row r="8" spans="1:14" s="45" customFormat="1" ht="14.25" customHeight="1" x14ac:dyDescent="0.25">
      <c r="A8" s="201">
        <v>18</v>
      </c>
      <c r="B8" s="201">
        <v>10</v>
      </c>
      <c r="C8" s="46">
        <f t="shared" ref="C8:C37" si="0">IF(OR(SUM($C7,$A8&lt;&gt;"")=0,$A8=""),"",SUM($C7,$A8&lt;&gt;""))</f>
        <v>1</v>
      </c>
      <c r="D8" s="197" t="str">
        <f>IFERROR(VLOOKUP($A8,Sheet1!$A$1:$B$98,2,0),"")</f>
        <v>Đậu hủ phô mai</v>
      </c>
      <c r="E8" s="198">
        <f>IFERROR(VLOOKUP($A8,'Tổng Đơn'!$A$5:$E$103,5,0),"")</f>
        <v>0.5</v>
      </c>
      <c r="F8" s="46">
        <f>IF($B8="","",B8)</f>
        <v>10</v>
      </c>
      <c r="G8" s="48">
        <f>IFERROR(VLOOKUP($A8,Sheet1!$A1:$D$98,4,0),"")</f>
        <v>55000</v>
      </c>
      <c r="H8" s="199">
        <f>IF($C7=MAX($C$8:$C$56),SUM($H7:$H$8),IFERROR($G8*$F8,""))</f>
        <v>550000</v>
      </c>
      <c r="I8" s="85">
        <f t="shared" ref="I8:I37" si="1">IF(TYPE($A8)&lt;&gt;1,"",IFERROR(F8*E8,""))</f>
        <v>5</v>
      </c>
      <c r="J8" s="45" t="str">
        <f>IF(SUMPRODUCT(($F$8:$F$18),($L$8:$L$18))&gt;=200000,"KM 15%",IF(SUMPRODUCT(($F$8:$F$18),($L$8:$L$18))&gt;=100000,"KM 10%",""))</f>
        <v>KM 15%</v>
      </c>
      <c r="L8" s="48">
        <f>IFERROR(VLOOKUP($A8,Sheet1!$A$5:$D$98,4,0),"")</f>
        <v>55000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550000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263</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0.5</v>
      </c>
      <c r="L7" s="193" t="s">
        <v>18</v>
      </c>
    </row>
    <row r="8" spans="1:14" s="45" customFormat="1" ht="14.25" customHeight="1" x14ac:dyDescent="0.25">
      <c r="A8" s="201">
        <v>16</v>
      </c>
      <c r="B8" s="201">
        <v>1</v>
      </c>
      <c r="C8" s="46">
        <f t="shared" ref="C8:C37" si="0">IF(OR(SUM($C7,$A8&lt;&gt;"")=0,$A8=""),"",SUM($C7,$A8&lt;&gt;""))</f>
        <v>1</v>
      </c>
      <c r="D8" s="197" t="str">
        <f>IFERROR(VLOOKUP($A8,Sheet1!$A$1:$B$98,2,0),"")</f>
        <v>Phô mai que (13 que)</v>
      </c>
      <c r="E8" s="198">
        <f>IFERROR(VLOOKUP($A8,'Tổng Đơn'!$A$5:$E$103,5,0),"")</f>
        <v>0.5</v>
      </c>
      <c r="F8" s="46">
        <f>IF($B8="","",B8)</f>
        <v>1</v>
      </c>
      <c r="G8" s="48">
        <f>IFERROR(VLOOKUP($A8,Sheet1!$A1:$D$98,4,0),"")</f>
        <v>40000</v>
      </c>
      <c r="H8" s="199">
        <f>IF($C7=MAX($C$8:$C$56),SUM($H7:$H$8),IFERROR($G8*$F8,""))</f>
        <v>40000</v>
      </c>
      <c r="I8" s="85">
        <f t="shared" ref="I8:I37" si="1">IF(TYPE($A8)&lt;&gt;1,"",IFERROR(F8*E8,""))</f>
        <v>0.5</v>
      </c>
      <c r="J8" s="45" t="str">
        <f>IF(SUMPRODUCT(($F$8:$F$18),($L$8:$L$18))&gt;=200000,"KM 15%",IF(SUMPRODUCT(($F$8:$F$18),($L$8:$L$18))&gt;=100000,"KM 10%",""))</f>
        <v/>
      </c>
      <c r="L8" s="48">
        <f>IFERROR(VLOOKUP($A8,Sheet1!$A$5:$D$98,4,0),"")</f>
        <v>40000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40000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P14" sqref="P14"/>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262</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3.9</v>
      </c>
      <c r="L7" s="193" t="s">
        <v>18</v>
      </c>
    </row>
    <row r="8" spans="1:14" s="45" customFormat="1" ht="14.25" customHeight="1" x14ac:dyDescent="0.25">
      <c r="A8" s="201">
        <v>17</v>
      </c>
      <c r="B8" s="201">
        <v>1</v>
      </c>
      <c r="C8" s="46">
        <f t="shared" ref="C8:C37" si="0">IF(OR(SUM($C7,$A8&lt;&gt;"")=0,$A8=""),"",SUM($C7,$A8&lt;&gt;""))</f>
        <v>1</v>
      </c>
      <c r="D8" s="197" t="str">
        <f>IFERROR(VLOOKUP($A8,Sheet1!$A$1:$B$98,2,0),"")</f>
        <v>Phô mai viên (35v)</v>
      </c>
      <c r="E8" s="198">
        <f>IFERROR(VLOOKUP($A8,'Tổng Đơn'!$A$5:$E$103,5,0),"")</f>
        <v>0.5</v>
      </c>
      <c r="F8" s="46">
        <f>IF($B8="","",B8)</f>
        <v>1</v>
      </c>
      <c r="G8" s="48">
        <f>IFERROR(VLOOKUP($A8,Sheet1!$A1:$D$98,4,0),"")</f>
        <v>40000</v>
      </c>
      <c r="H8" s="199">
        <f>IF($C7=MAX($C$8:$C$56),SUM($H7:$H$8),IFERROR($G8*$F8,""))</f>
        <v>40000</v>
      </c>
      <c r="I8" s="85">
        <f t="shared" ref="I8:I37" si="1">IF(TYPE($A8)&lt;&gt;1,"",IFERROR(F8*E8,""))</f>
        <v>0.5</v>
      </c>
      <c r="J8" s="45" t="str">
        <f>IF(SUMPRODUCT(($F$8:$F$18),($L$8:$L$18))&gt;=200000,"KM 15%",IF(SUMPRODUCT(($F$8:$F$18),($L$8:$L$18))&gt;=100000,"KM 10%",""))</f>
        <v>KM 10%</v>
      </c>
      <c r="L8" s="48">
        <f>IFERROR(VLOOKUP($A8,Sheet1!$A$5:$D$98,4,0),"")</f>
        <v>40000</v>
      </c>
    </row>
    <row r="9" spans="1:14" s="45" customFormat="1" ht="14.25" customHeight="1" x14ac:dyDescent="0.25">
      <c r="A9" s="201">
        <v>55</v>
      </c>
      <c r="B9" s="201">
        <v>1</v>
      </c>
      <c r="C9" s="46">
        <f t="shared" si="0"/>
        <v>2</v>
      </c>
      <c r="D9" s="197" t="str">
        <f>IFERROR(VLOOKUP($A9,Sheet1!$A$1:$B$98,2,0),"")</f>
        <v>Khoai tây Simplot</v>
      </c>
      <c r="E9" s="46">
        <f>IFERROR(VLOOKUP($A9,'Tổng Đơn'!$A$5:$E$103,5,0),"")</f>
        <v>1</v>
      </c>
      <c r="F9" s="46">
        <f>IF($B9="","",B9)</f>
        <v>1</v>
      </c>
      <c r="G9" s="48">
        <f>IF(AND($C9="",$C8&lt;&gt;""),"Tổng Cộng",IFERROR(VLOOKUP($A9,Sheet1!$A$1:$D$98,4,0),""))</f>
        <v>45000</v>
      </c>
      <c r="H9" s="199">
        <f>IF($C8=MAX($C$8:$C$56),SUM($H$8:$H8),IFERROR($G9*$F9,""))</f>
        <v>45000</v>
      </c>
      <c r="I9" s="85">
        <f t="shared" si="1"/>
        <v>1</v>
      </c>
      <c r="L9" s="47">
        <f>IFERROR(VLOOKUP($A9,Sheet1!$A$5:$D$98,4,0),"")</f>
        <v>45000</v>
      </c>
    </row>
    <row r="10" spans="1:14" s="45" customFormat="1" ht="14.25" customHeight="1" x14ac:dyDescent="0.25">
      <c r="A10" s="201">
        <v>66</v>
      </c>
      <c r="B10" s="201">
        <v>2</v>
      </c>
      <c r="C10" s="46">
        <f t="shared" si="0"/>
        <v>3</v>
      </c>
      <c r="D10" s="197" t="str">
        <f>IFERROR(VLOOKUP($A10,Sheet1!$A$1:$B$98,2,0),"")</f>
        <v>Cá viên KK</v>
      </c>
      <c r="E10" s="46">
        <f>IFERROR(VLOOKUP($A10,'Tổng Đơn'!$A$5:$E$103,5,0),"")</f>
        <v>0.5</v>
      </c>
      <c r="F10" s="46">
        <f t="shared" ref="F10:F37" si="2">IF($B10="","",B10)</f>
        <v>2</v>
      </c>
      <c r="G10" s="48">
        <f>IF(AND($C10="",$C9&lt;&gt;""),"Tổng Cộng",IFERROR(VLOOKUP($A10,Sheet1!$A$1:$D$98,4,0),""))</f>
        <v>23000</v>
      </c>
      <c r="H10" s="199">
        <f>IF($C9=MAX($C$8:$C$56),SUM($H$8:$H9),IFERROR($G10*$F10,""))</f>
        <v>46000</v>
      </c>
      <c r="I10" s="85">
        <f t="shared" si="1"/>
        <v>1</v>
      </c>
      <c r="L10" s="47">
        <f>IFERROR(VLOOKUP($A10,Sheet1!$A$5:$D$98,4,0),"")</f>
        <v>23000</v>
      </c>
    </row>
    <row r="11" spans="1:14" s="45" customFormat="1" ht="14.25" customHeight="1" x14ac:dyDescent="0.25">
      <c r="A11" s="201">
        <v>71</v>
      </c>
      <c r="B11" s="201">
        <v>1</v>
      </c>
      <c r="C11" s="46">
        <f t="shared" si="0"/>
        <v>4</v>
      </c>
      <c r="D11" s="197" t="str">
        <f>IFERROR(VLOOKUP($A11,Sheet1!$A$1:$B$98,2,0),"")</f>
        <v>XX Đức KK</v>
      </c>
      <c r="E11" s="46">
        <f>IFERROR(VLOOKUP($A11,'Tổng Đơn'!$A$5:$E$103,5,0),"")</f>
        <v>0.5</v>
      </c>
      <c r="F11" s="46">
        <f t="shared" si="2"/>
        <v>1</v>
      </c>
      <c r="G11" s="48">
        <f>IF(AND($C11="",$C10&lt;&gt;""),"Tổng Cộng",IFERROR(VLOOKUP($A11,Sheet1!$A$1:$D$98,4,0),""))</f>
        <v>35000</v>
      </c>
      <c r="H11" s="199">
        <f>IF($C10=MAX($C$8:$C$56),SUM($H$8:$H10),IFERROR($G11*$F11,""))</f>
        <v>35000</v>
      </c>
      <c r="I11" s="85">
        <f t="shared" si="1"/>
        <v>0.5</v>
      </c>
      <c r="L11" s="47">
        <f>IFERROR(VLOOKUP($A11,Sheet1!$A$5:$D$98,4,0),"")</f>
        <v>35000</v>
      </c>
    </row>
    <row r="12" spans="1:14" s="45" customFormat="1" ht="14.25" customHeight="1" x14ac:dyDescent="0.25">
      <c r="A12" s="201">
        <v>65</v>
      </c>
      <c r="B12" s="201">
        <v>3</v>
      </c>
      <c r="C12" s="46">
        <f t="shared" si="0"/>
        <v>5</v>
      </c>
      <c r="D12" s="197" t="str">
        <f>IFERROR(VLOOKUP($A12,Sheet1!$A$1:$B$98,2,0),"")</f>
        <v>Bánh bao ngọt không nhân</v>
      </c>
      <c r="E12" s="46">
        <f>IFERROR(VLOOKUP($A12,'Tổng Đơn'!$A$5:$E$103,5,0),"")</f>
        <v>0.3</v>
      </c>
      <c r="F12" s="46">
        <f t="shared" si="2"/>
        <v>3</v>
      </c>
      <c r="G12" s="48">
        <f>IF(AND($C12="",$C11&lt;&gt;""),"Tổng Cộng",IFERROR(VLOOKUP($A12,Sheet1!$A$1:$D$98,4,0),""))</f>
        <v>18000</v>
      </c>
      <c r="H12" s="199">
        <f>IF($C11=MAX($C$8:$C$56),SUM($H$8:$H11),IFERROR($G12*$F12,""))</f>
        <v>54000</v>
      </c>
      <c r="I12" s="85">
        <f t="shared" si="1"/>
        <v>0.89999999999999991</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Tổng Cộng</v>
      </c>
      <c r="H13" s="199">
        <f>IF($C12=MAX($C$8:$C$56),SUM($H$8:$H12),IFERROR($G13*$F13,""))</f>
        <v>220000</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261</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2</v>
      </c>
      <c r="L7" s="193" t="s">
        <v>18</v>
      </c>
    </row>
    <row r="8" spans="1:14" s="45" customFormat="1" ht="14.25" customHeight="1" x14ac:dyDescent="0.25">
      <c r="A8" s="201">
        <v>20</v>
      </c>
      <c r="B8" s="201">
        <v>1</v>
      </c>
      <c r="C8" s="46">
        <f t="shared" ref="C8:C37" si="0">IF(OR(SUM($C7,$A8&lt;&gt;"")=0,$A8=""),"",SUM($C7,$A8&lt;&gt;""))</f>
        <v>1</v>
      </c>
      <c r="D8" s="197" t="str">
        <f>IFERROR(VLOOKUP($A8,Sheet1!$A$1:$B$98,2,0),"")</f>
        <v>XX Đỏ ĐNA (bao xanh)</v>
      </c>
      <c r="E8" s="198">
        <f>IFERROR(VLOOKUP($A8,'Tổng Đơn'!$A$5:$E$103,5,0),"")</f>
        <v>0.5</v>
      </c>
      <c r="F8" s="46">
        <f>IF($B8="","",B8)</f>
        <v>1</v>
      </c>
      <c r="G8" s="48">
        <f>IFERROR(VLOOKUP($A8,Sheet1!$A1:$D$98,4,0),"")</f>
        <v>26000</v>
      </c>
      <c r="H8" s="199">
        <f>IF($C7=MAX($C$8:$C$56),SUM($H7:$H$8),IFERROR($G8*$F8,""))</f>
        <v>26000</v>
      </c>
      <c r="I8" s="85">
        <f t="shared" ref="I8:I37" si="1">IF(TYPE($A8)&lt;&gt;1,"",IFERROR(F8*E8,""))</f>
        <v>0.5</v>
      </c>
      <c r="J8" s="45" t="str">
        <f>IF(SUMPRODUCT(($F$8:$F$18),($L$8:$L$18))&gt;=200000,"KM 15%",IF(SUMPRODUCT(($F$8:$F$18),($L$8:$L$18))&gt;=100000,"KM 10%",""))</f>
        <v>KM 10%</v>
      </c>
      <c r="L8" s="48">
        <f>IFERROR(VLOOKUP($A8,Sheet1!$A$5:$D$98,4,0),"")</f>
        <v>26000</v>
      </c>
    </row>
    <row r="9" spans="1:14" s="45" customFormat="1" ht="14.25" customHeight="1" x14ac:dyDescent="0.25">
      <c r="A9" s="201">
        <v>66</v>
      </c>
      <c r="B9" s="201">
        <v>1</v>
      </c>
      <c r="C9" s="46">
        <f t="shared" si="0"/>
        <v>2</v>
      </c>
      <c r="D9" s="197" t="str">
        <f>IFERROR(VLOOKUP($A9,Sheet1!$A$1:$B$98,2,0),"")</f>
        <v>Cá viên KK</v>
      </c>
      <c r="E9" s="46">
        <f>IFERROR(VLOOKUP($A9,'Tổng Đơn'!$A$5:$E$103,5,0),"")</f>
        <v>0.5</v>
      </c>
      <c r="F9" s="46">
        <f>IF($B9="","",B9)</f>
        <v>1</v>
      </c>
      <c r="G9" s="48">
        <f>IF(AND($C9="",$C8&lt;&gt;""),"Tổng Cộng",IFERROR(VLOOKUP($A9,Sheet1!$A$1:$D$98,4,0),""))</f>
        <v>23000</v>
      </c>
      <c r="H9" s="199">
        <f>IF($C8=MAX($C$8:$C$56),SUM($H$8:$H8),IFERROR($G9*$F9,""))</f>
        <v>23000</v>
      </c>
      <c r="I9" s="85">
        <f t="shared" si="1"/>
        <v>0.5</v>
      </c>
      <c r="L9" s="47">
        <f>IFERROR(VLOOKUP($A9,Sheet1!$A$5:$D$98,4,0),"")</f>
        <v>23000</v>
      </c>
    </row>
    <row r="10" spans="1:14" s="45" customFormat="1" ht="14.25" customHeight="1" x14ac:dyDescent="0.25">
      <c r="A10" s="201">
        <v>71</v>
      </c>
      <c r="B10" s="201">
        <v>2</v>
      </c>
      <c r="C10" s="46">
        <f t="shared" si="0"/>
        <v>3</v>
      </c>
      <c r="D10" s="197" t="str">
        <f>IFERROR(VLOOKUP($A10,Sheet1!$A$1:$B$98,2,0),"")</f>
        <v>XX Đức KK</v>
      </c>
      <c r="E10" s="46">
        <f>IFERROR(VLOOKUP($A10,'Tổng Đơn'!$A$5:$E$103,5,0),"")</f>
        <v>0.5</v>
      </c>
      <c r="F10" s="46">
        <f t="shared" ref="F10:F37" si="2">IF($B10="","",B10)</f>
        <v>2</v>
      </c>
      <c r="G10" s="48">
        <f>IF(AND($C10="",$C9&lt;&gt;""),"Tổng Cộng",IFERROR(VLOOKUP($A10,Sheet1!$A$1:$D$98,4,0),""))</f>
        <v>35000</v>
      </c>
      <c r="H10" s="199">
        <f>IF($C9=MAX($C$8:$C$56),SUM($H$8:$H9),IFERROR($G10*$F10,""))</f>
        <v>70000</v>
      </c>
      <c r="I10" s="85">
        <f t="shared" si="1"/>
        <v>1</v>
      </c>
      <c r="L10" s="47">
        <f>IFERROR(VLOOKUP($A10,Sheet1!$A$5:$D$98,4,0),"")</f>
        <v>35000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119000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M18" sqref="M18"/>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2" t="s">
        <v>259</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10.5</v>
      </c>
      <c r="L7" s="193" t="s">
        <v>18</v>
      </c>
    </row>
    <row r="8" spans="1:14" s="45" customFormat="1" ht="14.25" customHeight="1" x14ac:dyDescent="0.25">
      <c r="A8" s="201">
        <v>6</v>
      </c>
      <c r="B8" s="201">
        <v>5</v>
      </c>
      <c r="C8" s="46">
        <f t="shared" ref="C8:C37" si="0">IF(OR(SUM($C7,$A8&lt;&gt;"")=0,$A8=""),"",SUM($C7,$A8&lt;&gt;""))</f>
        <v>1</v>
      </c>
      <c r="D8" s="197" t="str">
        <f>IFERROR(VLOOKUP($A8,Sheet1!$A$1:$B$98,2,0),"")</f>
        <v>Mực tẩm bột LC</v>
      </c>
      <c r="E8" s="198">
        <f>IFERROR(VLOOKUP($A8,'Tổng Đơn'!$A$5:$E$103,5,0),"")</f>
        <v>0.5</v>
      </c>
      <c r="F8" s="46">
        <f>IF($B8="","",B8)</f>
        <v>5</v>
      </c>
      <c r="G8" s="48">
        <f>IFERROR(VLOOKUP($A8,Sheet1!$A1:$D$98,4,0),"")</f>
        <v>42000</v>
      </c>
      <c r="H8" s="199">
        <f>IF($C7=MAX($C$8:$C$56),SUM($H7:$H$8),IFERROR($G8*$F8,""))</f>
        <v>210000</v>
      </c>
      <c r="I8" s="85">
        <f t="shared" ref="I8:I37" si="1">IF(TYPE($A8)&lt;&gt;1,"",IFERROR(F8*E8,""))</f>
        <v>2.5</v>
      </c>
      <c r="J8" s="45" t="str">
        <f>IF(SUMPRODUCT(($F$8:$F$18),($L$8:$L$18))&gt;=200000,"KM 15%",IF(SUMPRODUCT(($F$8:$F$18),($L$8:$L$18))&gt;=100000,"KM 10%",""))</f>
        <v>KM 15%</v>
      </c>
      <c r="L8" s="48">
        <f>IFERROR(VLOOKUP($A8,Sheet1!$A$5:$D$98,4,0),"")</f>
        <v>42000</v>
      </c>
    </row>
    <row r="9" spans="1:14" s="45" customFormat="1" ht="14.25" customHeight="1" x14ac:dyDescent="0.25">
      <c r="A9" s="201">
        <v>17</v>
      </c>
      <c r="B9" s="201">
        <v>5</v>
      </c>
      <c r="C9" s="46">
        <f t="shared" si="0"/>
        <v>2</v>
      </c>
      <c r="D9" s="197" t="str">
        <f>IFERROR(VLOOKUP($A9,Sheet1!$A$1:$B$98,2,0),"")</f>
        <v>Phô mai viên (35v)</v>
      </c>
      <c r="E9" s="46">
        <f>IFERROR(VLOOKUP($A9,'Tổng Đơn'!$A$5:$E$103,5,0),"")</f>
        <v>0.5</v>
      </c>
      <c r="F9" s="46">
        <f>IF($B9="","",B9)</f>
        <v>5</v>
      </c>
      <c r="G9" s="48">
        <f>IF(AND($C9="",$C8&lt;&gt;""),"Tổng Cộng",IFERROR(VLOOKUP($A9,Sheet1!$A$1:$D$98,4,0),""))</f>
        <v>40000</v>
      </c>
      <c r="H9" s="199">
        <f>IF($C8=MAX($C$8:$C$56),SUM($H$8:$H8),IFERROR($G9*$F9,""))</f>
        <v>200000</v>
      </c>
      <c r="I9" s="85">
        <f t="shared" si="1"/>
        <v>2.5</v>
      </c>
      <c r="L9" s="47">
        <f>IFERROR(VLOOKUP($A9,Sheet1!$A$5:$D$98,4,0),"")</f>
        <v>40000</v>
      </c>
    </row>
    <row r="10" spans="1:14" s="45" customFormat="1" ht="14.25" customHeight="1" x14ac:dyDescent="0.25">
      <c r="A10" s="201">
        <v>65</v>
      </c>
      <c r="B10" s="201">
        <v>5</v>
      </c>
      <c r="C10" s="46">
        <f t="shared" si="0"/>
        <v>3</v>
      </c>
      <c r="D10" s="197" t="str">
        <f>IFERROR(VLOOKUP($A10,Sheet1!$A$1:$B$98,2,0),"")</f>
        <v>Bánh bao ngọt không nhân</v>
      </c>
      <c r="E10" s="46">
        <f>IFERROR(VLOOKUP($A10,'Tổng Đơn'!$A$5:$E$103,5,0),"")</f>
        <v>0.3</v>
      </c>
      <c r="F10" s="46">
        <f t="shared" ref="F10:F37" si="2">IF($B10="","",B10)</f>
        <v>5</v>
      </c>
      <c r="G10" s="48">
        <f>IF(AND($C10="",$C9&lt;&gt;""),"Tổng Cộng",IFERROR(VLOOKUP($A10,Sheet1!$A$1:$D$98,4,0),""))</f>
        <v>18000</v>
      </c>
      <c r="H10" s="199">
        <f>IF($C9=MAX($C$8:$C$56),SUM($H$8:$H9),IFERROR($G10*$F10,""))</f>
        <v>90000</v>
      </c>
      <c r="I10" s="85">
        <f t="shared" si="1"/>
        <v>1.5</v>
      </c>
      <c r="L10" s="47">
        <f>IFERROR(VLOOKUP($A10,Sheet1!$A$5:$D$98,4,0),"")</f>
        <v>18000</v>
      </c>
    </row>
    <row r="11" spans="1:14" s="45" customFormat="1" ht="14.25" customHeight="1" x14ac:dyDescent="0.25">
      <c r="A11" s="201">
        <v>66</v>
      </c>
      <c r="B11" s="201">
        <v>1</v>
      </c>
      <c r="C11" s="46">
        <f t="shared" si="0"/>
        <v>4</v>
      </c>
      <c r="D11" s="197" t="str">
        <f>IFERROR(VLOOKUP($A11,Sheet1!$A$1:$B$98,2,0),"")</f>
        <v>Cá viên KK</v>
      </c>
      <c r="E11" s="46">
        <f>IFERROR(VLOOKUP($A11,'Tổng Đơn'!$A$5:$E$103,5,0),"")</f>
        <v>0.5</v>
      </c>
      <c r="F11" s="46">
        <f t="shared" si="2"/>
        <v>1</v>
      </c>
      <c r="G11" s="48">
        <f>IF(AND($C11="",$C10&lt;&gt;""),"Tổng Cộng",IFERROR(VLOOKUP($A11,Sheet1!$A$1:$D$98,4,0),""))</f>
        <v>23000</v>
      </c>
      <c r="H11" s="199">
        <f>IF($C10=MAX($C$8:$C$56),SUM($H$8:$H10),IFERROR($G11*$F11,""))</f>
        <v>23000</v>
      </c>
      <c r="I11" s="85">
        <f t="shared" si="1"/>
        <v>0.5</v>
      </c>
      <c r="L11" s="47">
        <f>IFERROR(VLOOKUP($A11,Sheet1!$A$5:$D$98,4,0),"")</f>
        <v>23000</v>
      </c>
    </row>
    <row r="12" spans="1:14" s="45" customFormat="1" ht="14.25" customHeight="1" x14ac:dyDescent="0.25">
      <c r="A12" s="201">
        <v>68</v>
      </c>
      <c r="B12" s="201">
        <v>1</v>
      </c>
      <c r="C12" s="46">
        <f t="shared" si="0"/>
        <v>5</v>
      </c>
      <c r="D12" s="197" t="str">
        <f>IFERROR(VLOOKUP($A12,Sheet1!$A$1:$B$98,2,0),"")</f>
        <v>Bò viên KK</v>
      </c>
      <c r="E12" s="46">
        <f>IFERROR(VLOOKUP($A12,'Tổng Đơn'!$A$5:$E$103,5,0),"")</f>
        <v>0.5</v>
      </c>
      <c r="F12" s="46">
        <f t="shared" si="2"/>
        <v>1</v>
      </c>
      <c r="G12" s="48">
        <f>IF(AND($C12="",$C11&lt;&gt;""),"Tổng Cộng",IFERROR(VLOOKUP($A12,Sheet1!$A$1:$D$98,4,0),""))</f>
        <v>26000</v>
      </c>
      <c r="H12" s="199">
        <f>IF($C11=MAX($C$8:$C$56),SUM($H$8:$H11),IFERROR($G12*$F12,""))</f>
        <v>26000</v>
      </c>
      <c r="I12" s="85">
        <f t="shared" si="1"/>
        <v>0.5</v>
      </c>
      <c r="J12" s="166"/>
      <c r="L12" s="47"/>
      <c r="M12" s="175"/>
      <c r="N12" s="167"/>
    </row>
    <row r="13" spans="1:14" s="45" customFormat="1" ht="14.25" customHeight="1" x14ac:dyDescent="0.25">
      <c r="A13" s="201">
        <v>69</v>
      </c>
      <c r="B13" s="201">
        <v>1</v>
      </c>
      <c r="C13" s="46">
        <f t="shared" si="0"/>
        <v>6</v>
      </c>
      <c r="D13" s="197" t="str">
        <f>IFERROR(VLOOKUP($A13,Sheet1!$A$1:$B$98,2,0),"")</f>
        <v>Tôm viên KK</v>
      </c>
      <c r="E13" s="46">
        <f>IFERROR(VLOOKUP($A13,'Tổng Đơn'!$A$5:$E$103,5,0),"")</f>
        <v>0.5</v>
      </c>
      <c r="F13" s="46">
        <f t="shared" si="2"/>
        <v>1</v>
      </c>
      <c r="G13" s="48">
        <f>IF(AND($C13="",$C12&lt;&gt;""),"Tổng Cộng",IFERROR(VLOOKUP($A13,Sheet1!$A$1:$D$98,4,0),""))</f>
        <v>26000</v>
      </c>
      <c r="H13" s="199">
        <f>IF($C12=MAX($C$8:$C$56),SUM($H$8:$H12),IFERROR($G13*$F13,""))</f>
        <v>26000</v>
      </c>
      <c r="I13" s="85">
        <f t="shared" si="1"/>
        <v>0.5</v>
      </c>
      <c r="L13" s="47"/>
    </row>
    <row r="14" spans="1:14" s="45" customFormat="1" ht="14.25" customHeight="1" x14ac:dyDescent="0.25">
      <c r="A14" s="201">
        <v>70</v>
      </c>
      <c r="B14" s="201">
        <v>5</v>
      </c>
      <c r="C14" s="46">
        <f t="shared" si="0"/>
        <v>7</v>
      </c>
      <c r="D14" s="197" t="str">
        <f>IFERROR(VLOOKUP($A14,Sheet1!$A$1:$B$98,2,0),"")</f>
        <v>XX Đỏ KK</v>
      </c>
      <c r="E14" s="46">
        <f>IFERROR(VLOOKUP($A14,'Tổng Đơn'!$A$5:$E$103,5,0),"")</f>
        <v>0.5</v>
      </c>
      <c r="F14" s="46">
        <f t="shared" si="2"/>
        <v>5</v>
      </c>
      <c r="G14" s="48">
        <f>IF(AND($C14="",$C13&lt;&gt;""),"Tổng Cộng",IFERROR(VLOOKUP($A14,Sheet1!$A$1:$D$98,4,0),""))</f>
        <v>26000</v>
      </c>
      <c r="H14" s="199">
        <f>IF($C13=MAX($C$8:$C$56),SUM($H$8:$H13),IFERROR($G14*$F14,""))</f>
        <v>130000</v>
      </c>
      <c r="I14" s="85">
        <f t="shared" si="1"/>
        <v>2.5</v>
      </c>
      <c r="L14" s="47">
        <f>IFERROR(VLOOKUP($A14,Sheet1!$A$5:$D$98,4,0),"")</f>
        <v>26000</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Tổng Cộng</v>
      </c>
      <c r="H15" s="199">
        <f>IF($C14=MAX($C$8:$C$56),SUM($H$8:$H14),IFERROR($G15*$F15,""))</f>
        <v>705000</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214" t="s">
        <v>258</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4</v>
      </c>
      <c r="L7" s="193" t="s">
        <v>18</v>
      </c>
    </row>
    <row r="8" spans="1:14" s="45" customFormat="1" ht="14.25" customHeight="1" x14ac:dyDescent="0.25">
      <c r="A8" s="201">
        <v>6</v>
      </c>
      <c r="B8" s="201">
        <v>1</v>
      </c>
      <c r="C8" s="46">
        <f t="shared" ref="C8:C37" si="0">IF(OR(SUM($C7,$A8&lt;&gt;"")=0,$A8=""),"",SUM($C7,$A8&lt;&gt;""))</f>
        <v>1</v>
      </c>
      <c r="D8" s="197" t="str">
        <f>IFERROR(VLOOKUP($A8,Sheet1!$A$1:$B$98,2,0),"")</f>
        <v>Mực tẩm bột LC</v>
      </c>
      <c r="E8" s="198">
        <f>IFERROR(VLOOKUP($A8,'Tổng Đơn'!$A$5:$E$103,5,0),"")</f>
        <v>0.5</v>
      </c>
      <c r="F8" s="46">
        <f>IF($B8="","",B8)</f>
        <v>1</v>
      </c>
      <c r="G8" s="48">
        <f>IFERROR(VLOOKUP($A8,Sheet1!$A1:$D$98,4,0),"")</f>
        <v>42000</v>
      </c>
      <c r="H8" s="199">
        <f>IF($C7=MAX($C$8:$C$56),SUM($H7:$H$8),IFERROR($G8*$F8,""))</f>
        <v>42000</v>
      </c>
      <c r="I8" s="85">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201">
        <v>50</v>
      </c>
      <c r="B9" s="201">
        <v>1</v>
      </c>
      <c r="C9" s="46">
        <f t="shared" si="0"/>
        <v>2</v>
      </c>
      <c r="D9" s="197" t="str">
        <f>IFERROR(VLOOKUP($A9,Sheet1!$A$1:$B$98,2,0),"")</f>
        <v>Bò lá lốt</v>
      </c>
      <c r="E9" s="46">
        <f>IFERROR(VLOOKUP($A9,'Tổng Đơn'!$A$5:$E$103,5,0),"")</f>
        <v>0.5</v>
      </c>
      <c r="F9" s="46">
        <f>IF($B9="","",B9)</f>
        <v>1</v>
      </c>
      <c r="G9" s="48">
        <f>IF(AND($C9="",$C8&lt;&gt;""),"Tổng Cộng",IFERROR(VLOOKUP($A9,Sheet1!$A$1:$D$98,4,0),""))</f>
        <v>44000</v>
      </c>
      <c r="H9" s="199">
        <f>IF($C8=MAX($C$8:$C$56),SUM($H$8:$H8),IFERROR($G9*$F9,""))</f>
        <v>44000</v>
      </c>
      <c r="I9" s="85">
        <f t="shared" si="1"/>
        <v>0.5</v>
      </c>
      <c r="L9" s="47">
        <f>IFERROR(VLOOKUP($A9,Sheet1!$A$5:$D$98,4,0),"")</f>
        <v>44000</v>
      </c>
    </row>
    <row r="10" spans="1:14" s="45" customFormat="1" ht="14.25" customHeight="1" x14ac:dyDescent="0.25">
      <c r="A10" s="201">
        <v>60</v>
      </c>
      <c r="B10" s="201">
        <v>1</v>
      </c>
      <c r="C10" s="46">
        <f t="shared" si="0"/>
        <v>3</v>
      </c>
      <c r="D10" s="197" t="str">
        <f>IFERROR(VLOOKUP($A10,Sheet1!$A$1:$B$98,2,0),"")</f>
        <v>Thanh cua dài Liên Anh</v>
      </c>
      <c r="E10" s="46">
        <f>IFERROR(VLOOKUP($A10,'Tổng Đơn'!$A$5:$E$103,5,0),"")</f>
        <v>0.5</v>
      </c>
      <c r="F10" s="46">
        <f t="shared" ref="F10:F37" si="2">IF($B10="","",B10)</f>
        <v>1</v>
      </c>
      <c r="G10" s="48">
        <f>IF(AND($C10="",$C9&lt;&gt;""),"Tổng Cộng",IFERROR(VLOOKUP($A10,Sheet1!$A$1:$D$98,4,0),""))</f>
        <v>70000</v>
      </c>
      <c r="H10" s="199">
        <f>IF($C9=MAX($C$8:$C$56),SUM($H$8:$H9),IFERROR($G10*$F10,""))</f>
        <v>70000</v>
      </c>
      <c r="I10" s="85">
        <f t="shared" si="1"/>
        <v>0.5</v>
      </c>
      <c r="L10" s="47">
        <f>IFERROR(VLOOKUP($A10,Sheet1!$A$5:$D$98,4,0),"")</f>
        <v>70000</v>
      </c>
    </row>
    <row r="11" spans="1:14" s="45" customFormat="1" ht="14.25" customHeight="1" x14ac:dyDescent="0.25">
      <c r="A11" s="201">
        <v>66</v>
      </c>
      <c r="B11" s="201">
        <v>3</v>
      </c>
      <c r="C11" s="46">
        <f t="shared" si="0"/>
        <v>4</v>
      </c>
      <c r="D11" s="197" t="str">
        <f>IFERROR(VLOOKUP($A11,Sheet1!$A$1:$B$98,2,0),"")</f>
        <v>Cá viên KK</v>
      </c>
      <c r="E11" s="46">
        <f>IFERROR(VLOOKUP($A11,'Tổng Đơn'!$A$5:$E$103,5,0),"")</f>
        <v>0.5</v>
      </c>
      <c r="F11" s="46">
        <f t="shared" si="2"/>
        <v>3</v>
      </c>
      <c r="G11" s="48">
        <f>IF(AND($C11="",$C10&lt;&gt;""),"Tổng Cộng",IFERROR(VLOOKUP($A11,Sheet1!$A$1:$D$98,4,0),""))</f>
        <v>23000</v>
      </c>
      <c r="H11" s="199">
        <f>IF($C10=MAX($C$8:$C$56),SUM($H$8:$H10),IFERROR($G11*$F11,""))</f>
        <v>69000</v>
      </c>
      <c r="I11" s="85">
        <f t="shared" si="1"/>
        <v>1.5</v>
      </c>
      <c r="L11" s="47">
        <f>IFERROR(VLOOKUP($A11,Sheet1!$A$5:$D$98,4,0),"")</f>
        <v>23000</v>
      </c>
    </row>
    <row r="12" spans="1:14" s="45" customFormat="1" ht="14.25" customHeight="1" x14ac:dyDescent="0.25">
      <c r="A12" s="201">
        <v>71</v>
      </c>
      <c r="B12" s="201">
        <v>1</v>
      </c>
      <c r="C12" s="46">
        <f t="shared" si="0"/>
        <v>5</v>
      </c>
      <c r="D12" s="197" t="str">
        <f>IFERROR(VLOOKUP($A12,Sheet1!$A$1:$B$98,2,0),"")</f>
        <v>XX Đức KK</v>
      </c>
      <c r="E12" s="46">
        <f>IFERROR(VLOOKUP($A12,'Tổng Đơn'!$A$5:$E$103,5,0),"")</f>
        <v>0.5</v>
      </c>
      <c r="F12" s="46">
        <f t="shared" si="2"/>
        <v>1</v>
      </c>
      <c r="G12" s="48">
        <f>IF(AND($C12="",$C11&lt;&gt;""),"Tổng Cộng",IFERROR(VLOOKUP($A12,Sheet1!$A$1:$D$98,4,0),""))</f>
        <v>35000</v>
      </c>
      <c r="H12" s="199">
        <f>IF($C11=MAX($C$8:$C$56),SUM($H$8:$H11),IFERROR($G12*$F12,""))</f>
        <v>35000</v>
      </c>
      <c r="I12" s="85">
        <f t="shared" si="1"/>
        <v>0.5</v>
      </c>
      <c r="J12" s="166"/>
      <c r="L12" s="47"/>
      <c r="M12" s="175"/>
      <c r="N12" s="167"/>
    </row>
    <row r="13" spans="1:14" s="45" customFormat="1" ht="14.25" customHeight="1" x14ac:dyDescent="0.25">
      <c r="A13" s="201">
        <v>72</v>
      </c>
      <c r="B13" s="201">
        <v>1</v>
      </c>
      <c r="C13" s="46">
        <f t="shared" si="0"/>
        <v>6</v>
      </c>
      <c r="D13" s="197" t="str">
        <f>IFERROR(VLOOKUP($A13,Sheet1!$A$1:$B$98,2,0),"")</f>
        <v>Hồ lô KK</v>
      </c>
      <c r="E13" s="46">
        <f>IFERROR(VLOOKUP($A13,'Tổng Đơn'!$A$5:$E$103,5,0),"")</f>
        <v>0.5</v>
      </c>
      <c r="F13" s="46">
        <f t="shared" si="2"/>
        <v>1</v>
      </c>
      <c r="G13" s="48">
        <f>IF(AND($C13="",$C12&lt;&gt;""),"Tổng Cộng",IFERROR(VLOOKUP($A13,Sheet1!$A$1:$D$98,4,0),""))</f>
        <v>40000</v>
      </c>
      <c r="H13" s="199">
        <f>IF($C12=MAX($C$8:$C$56),SUM($H$8:$H12),IFERROR($G13*$F13,""))</f>
        <v>40000</v>
      </c>
      <c r="I13" s="85">
        <f t="shared" si="1"/>
        <v>0.5</v>
      </c>
      <c r="L13" s="47"/>
    </row>
    <row r="14" spans="1:14" s="45" customFormat="1" ht="14.25" customHeight="1" x14ac:dyDescent="0.25">
      <c r="A14" s="201"/>
      <c r="B14" s="201"/>
      <c r="C14" s="46" t="str">
        <f t="shared" si="0"/>
        <v/>
      </c>
      <c r="D14" s="197" t="str">
        <f>IFERROR(VLOOKUP($A14,Sheet1!$A$1:$B$98,2,0),"")</f>
        <v/>
      </c>
      <c r="E14" s="46" t="str">
        <f>IFERROR(VLOOKUP($A14,'Tổng Đơn'!$A$5:$E$103,5,0),"")</f>
        <v/>
      </c>
      <c r="F14" s="46" t="str">
        <f t="shared" si="2"/>
        <v/>
      </c>
      <c r="G14" s="48" t="str">
        <f>IF(AND($C14="",$C13&lt;&gt;""),"Tổng Cộng",IFERROR(VLOOKUP($A14,Sheet1!$A$1:$D$98,4,0),""))</f>
        <v>Tổng Cộng</v>
      </c>
      <c r="H14" s="199">
        <f>IF($C13=MAX($C$8:$C$56),SUM($H$8:$H13),IFERROR($G14*$F14,""))</f>
        <v>300000</v>
      </c>
      <c r="I14" s="85" t="str">
        <f t="shared" si="1"/>
        <v/>
      </c>
      <c r="L14" s="47" t="str">
        <f>IFERROR(VLOOKUP($A14,Sheet1!$A$5:$D$98,4,0),"")</f>
        <v/>
      </c>
      <c r="M14" s="176"/>
    </row>
    <row r="15" spans="1:14" s="45" customFormat="1" ht="14.25" customHeight="1" x14ac:dyDescent="0.25">
      <c r="A15" s="201"/>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I1" sqref="I1"/>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4" t="s">
        <v>229</v>
      </c>
      <c r="D1" s="224"/>
      <c r="E1" s="224"/>
      <c r="F1" s="224"/>
      <c r="G1" s="224"/>
      <c r="H1" s="224"/>
    </row>
    <row r="2" spans="1:14" ht="15.75" customHeight="1" x14ac:dyDescent="0.25">
      <c r="C2" s="224"/>
      <c r="D2" s="224"/>
      <c r="E2" s="224"/>
      <c r="F2" s="224"/>
      <c r="G2" s="224"/>
      <c r="H2" s="224"/>
    </row>
    <row r="3" spans="1:14" ht="15" customHeight="1" x14ac:dyDescent="0.25">
      <c r="C3" s="226" t="s">
        <v>231</v>
      </c>
      <c r="D3" s="226"/>
      <c r="E3" s="226"/>
      <c r="F3" s="229" t="s">
        <v>233</v>
      </c>
      <c r="G3" s="229"/>
      <c r="H3" s="229"/>
    </row>
    <row r="4" spans="1:14" x14ac:dyDescent="0.25">
      <c r="C4" s="227" t="s">
        <v>232</v>
      </c>
      <c r="D4" s="227"/>
      <c r="E4" s="227"/>
      <c r="F4" s="230" t="s">
        <v>234</v>
      </c>
      <c r="G4" s="230"/>
      <c r="H4" s="230"/>
    </row>
    <row r="5" spans="1:14" s="188" customFormat="1" ht="21" customHeight="1" x14ac:dyDescent="0.25">
      <c r="C5" s="228" t="s">
        <v>230</v>
      </c>
      <c r="D5" s="228"/>
      <c r="E5" s="228"/>
      <c r="F5" s="228"/>
      <c r="G5" s="228"/>
      <c r="H5" s="228"/>
    </row>
    <row r="6" spans="1:14" s="188" customFormat="1" ht="17.25" customHeight="1" x14ac:dyDescent="0.25">
      <c r="C6" s="200" t="s">
        <v>235</v>
      </c>
      <c r="D6" s="194" t="s">
        <v>257</v>
      </c>
      <c r="E6" s="195"/>
      <c r="F6" s="195"/>
      <c r="G6" s="225" t="str">
        <f ca="1">"Ngày "&amp;DAY(TODAY())&amp;" Tháng "&amp;MONTH(TODAY())&amp;" Năm "&amp;YEAR(TODAY())</f>
        <v>Ngày 21 Tháng 1 Năm 2022</v>
      </c>
      <c r="H6" s="225"/>
    </row>
    <row r="7" spans="1:14" s="192" customFormat="1" ht="24" customHeight="1" x14ac:dyDescent="0.25">
      <c r="A7" s="189" t="s">
        <v>118</v>
      </c>
      <c r="B7" s="189" t="s">
        <v>16</v>
      </c>
      <c r="C7" s="190" t="s">
        <v>0</v>
      </c>
      <c r="D7" s="190"/>
      <c r="E7" s="196" t="str">
        <f>"Quy cách"&amp;CHAR(10)&amp;"(Kg)"</f>
        <v>Quy cách
(Kg)</v>
      </c>
      <c r="F7" s="190" t="s">
        <v>16</v>
      </c>
      <c r="G7" s="190" t="s">
        <v>18</v>
      </c>
      <c r="H7" s="190" t="s">
        <v>19</v>
      </c>
      <c r="I7" s="191">
        <f>SUBTOTAL(9,I8:I37)</f>
        <v>1</v>
      </c>
      <c r="L7" s="193" t="s">
        <v>18</v>
      </c>
    </row>
    <row r="8" spans="1:14" s="45" customFormat="1" ht="14.25" customHeight="1" x14ac:dyDescent="0.25">
      <c r="A8" s="201" t="s">
        <v>219</v>
      </c>
      <c r="B8" s="201">
        <v>2</v>
      </c>
      <c r="C8" s="46">
        <f t="shared" ref="C8:C37" si="0">IF(OR(SUM($C7,$A8&lt;&gt;"")=0,$A8=""),"",SUM($C7,$A8&lt;&gt;""))</f>
        <v>1</v>
      </c>
      <c r="D8" s="197" t="str">
        <f>IFERROR(VLOOKUP($A8,Sheet1!$A$1:$B$98,2,0),"")</f>
        <v>0-Chân Gà</v>
      </c>
      <c r="E8" s="198">
        <f>IFERROR(VLOOKUP($A8,'Tổng Đơn'!$A$5:$E$103,5,0),"")</f>
        <v>1</v>
      </c>
      <c r="F8" s="46">
        <f>IF($B8="","",B8)</f>
        <v>2</v>
      </c>
      <c r="G8" s="48">
        <f>IFERROR(VLOOKUP($A8,Sheet1!$A1:$D$98,4,0),"")</f>
        <v>60000</v>
      </c>
      <c r="H8" s="199">
        <f>IF($C7=MAX($C$8:$C$56),SUM($H7:$H$8),IFERROR($G8*$F8,""))</f>
        <v>120000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220</v>
      </c>
      <c r="B9" s="201">
        <v>1.5</v>
      </c>
      <c r="C9" s="46">
        <f t="shared" si="0"/>
        <v>2</v>
      </c>
      <c r="D9" s="197" t="str">
        <f>IFERROR(VLOOKUP($A9,Sheet1!$A$1:$B$98,2,0),"")</f>
        <v>0-Cánh Gà</v>
      </c>
      <c r="E9" s="46">
        <f>IFERROR(VLOOKUP($A9,'Tổng Đơn'!$A$5:$E$103,5,0),"")</f>
        <v>1</v>
      </c>
      <c r="F9" s="46">
        <f>IF($B9="","",B9)</f>
        <v>1.5</v>
      </c>
      <c r="G9" s="48">
        <f>IF(AND($C9="",$C8&lt;&gt;""),"Tổng Cộng",IFERROR(VLOOKUP($A9,Sheet1!$A$1:$D$98,4,0),""))</f>
        <v>70000</v>
      </c>
      <c r="H9" s="199">
        <f>IF($C8=MAX($C$8:$C$56),SUM($H$8:$H8),IFERROR($G9*$F9,""))</f>
        <v>105000</v>
      </c>
      <c r="I9" s="85" t="str">
        <f t="shared" si="1"/>
        <v/>
      </c>
      <c r="L9" s="47" t="str">
        <f>IFERROR(VLOOKUP($A9,Sheet1!$A$5:$D$98,4,0),"")</f>
        <v/>
      </c>
    </row>
    <row r="10" spans="1:14" s="45" customFormat="1" ht="14.25" customHeight="1" x14ac:dyDescent="0.25">
      <c r="A10" s="201" t="s">
        <v>221</v>
      </c>
      <c r="B10" s="201">
        <v>3.3</v>
      </c>
      <c r="C10" s="46">
        <f t="shared" si="0"/>
        <v>3</v>
      </c>
      <c r="D10" s="197" t="str">
        <f>IFERROR(VLOOKUP($A10,Sheet1!$A$1:$B$98,2,0),"")</f>
        <v>0-Đùi tỏi Gà</v>
      </c>
      <c r="E10" s="46">
        <f>IFERROR(VLOOKUP($A10,'Tổng Đơn'!$A$5:$E$103,5,0),"")</f>
        <v>1</v>
      </c>
      <c r="F10" s="46">
        <f t="shared" ref="F10:F37" si="2">IF($B10="","",B10)</f>
        <v>3.3</v>
      </c>
      <c r="G10" s="48">
        <f>IF(AND($C10="",$C9&lt;&gt;""),"Tổng Cộng",IFERROR(VLOOKUP($A10,Sheet1!$A$1:$D$98,4,0),""))</f>
        <v>45000</v>
      </c>
      <c r="H10" s="199">
        <f>IF($C9=MAX($C$8:$C$56),SUM($H$8:$H9),IFERROR($G10*$F10,""))</f>
        <v>148500</v>
      </c>
      <c r="I10" s="85" t="str">
        <f t="shared" si="1"/>
        <v/>
      </c>
      <c r="L10" s="47" t="str">
        <f>IFERROR(VLOOKUP($A10,Sheet1!$A$5:$D$98,4,0),"")</f>
        <v/>
      </c>
    </row>
    <row r="11" spans="1:14" s="45" customFormat="1" ht="14.25" customHeight="1" x14ac:dyDescent="0.25">
      <c r="A11" s="201">
        <v>8</v>
      </c>
      <c r="B11" s="201">
        <v>1</v>
      </c>
      <c r="C11" s="46">
        <f t="shared" si="0"/>
        <v>4</v>
      </c>
      <c r="D11" s="197" t="str">
        <f>IFERROR(VLOOKUP($A11,Sheet1!$A$1:$B$98,2,0),"")</f>
        <v>Hoành thánh chiên 500gr (60 viên)</v>
      </c>
      <c r="E11" s="46">
        <f>IFERROR(VLOOKUP($A11,'Tổng Đơn'!$A$5:$E$103,5,0),"")</f>
        <v>0.5</v>
      </c>
      <c r="F11" s="46">
        <f t="shared" si="2"/>
        <v>1</v>
      </c>
      <c r="G11" s="48">
        <f>IF(AND($C11="",$C10&lt;&gt;""),"Tổng Cộng",IFERROR(VLOOKUP($A11,Sheet1!$A$1:$D$98,4,0),""))</f>
        <v>35000</v>
      </c>
      <c r="H11" s="199">
        <f>IF($C10=MAX($C$8:$C$56),SUM($H$8:$H10),IFERROR($G11*$F11,""))</f>
        <v>35000</v>
      </c>
      <c r="I11" s="85">
        <f t="shared" si="1"/>
        <v>0.5</v>
      </c>
      <c r="L11" s="47">
        <f>IFERROR(VLOOKUP($A11,Sheet1!$A$5:$D$98,4,0),"")</f>
        <v>35000</v>
      </c>
    </row>
    <row r="12" spans="1:14" s="45" customFormat="1" ht="14.25" customHeight="1" x14ac:dyDescent="0.25">
      <c r="A12" s="201">
        <v>9</v>
      </c>
      <c r="B12" s="201">
        <v>1</v>
      </c>
      <c r="C12" s="46">
        <f t="shared" si="0"/>
        <v>5</v>
      </c>
      <c r="D12" s="197" t="str">
        <f>IFERROR(VLOOKUP($A12,Sheet1!$A$1:$B$98,2,0),"")</f>
        <v>Hải sản sốt cam LC</v>
      </c>
      <c r="E12" s="46">
        <f>IFERROR(VLOOKUP($A12,'Tổng Đơn'!$A$5:$E$103,5,0),"")</f>
        <v>0.5</v>
      </c>
      <c r="F12" s="46">
        <f t="shared" si="2"/>
        <v>1</v>
      </c>
      <c r="G12" s="48">
        <f>IF(AND($C12="",$C11&lt;&gt;""),"Tổng Cộng",IFERROR(VLOOKUP($A12,Sheet1!$A$1:$D$98,4,0),""))</f>
        <v>45000</v>
      </c>
      <c r="H12" s="199">
        <f>IF($C11=MAX($C$8:$C$56),SUM($H$8:$H11),IFERROR($G12*$F12,""))</f>
        <v>45000</v>
      </c>
      <c r="I12" s="85">
        <f t="shared" si="1"/>
        <v>0.5</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Tổng Cộng</v>
      </c>
      <c r="H13" s="199">
        <f>IF($C12=MAX($C$8:$C$56),SUM($H$8:$H12),IFERROR($G13*$F13,""))</f>
        <v>453500</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Quốc Nhân</vt:lpstr>
      <vt:lpstr>Sheet3</vt:lpstr>
      <vt:lpstr>Giá TVP</vt:lpstr>
      <vt:lpstr>Chi phí</vt:lpstr>
      <vt:lpstr>Tổng Đơn</vt:lpstr>
      <vt:lpstr>Sheet1</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2022-01-21T12:17:30Z</dcterms:modified>
</cp:coreProperties>
</file>