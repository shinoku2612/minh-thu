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firstSheet="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1)" sheetId="740" r:id="rId11"/>
    <sheet name="Thanh Toán (10)" sheetId="739" r:id="rId12"/>
    <sheet name="Thanh Toán (9)" sheetId="738" r:id="rId13"/>
    <sheet name="Thanh Toán (8)" sheetId="737" r:id="rId14"/>
    <sheet name="Thanh Toán (7)" sheetId="735" r:id="rId15"/>
    <sheet name="Thanh Toán (6)" sheetId="733" r:id="rId16"/>
    <sheet name="Thanh Toán (5)" sheetId="732" r:id="rId17"/>
    <sheet name="Thanh Toán (4)" sheetId="731" r:id="rId18"/>
    <sheet name="Thanh Toán (3)" sheetId="730" r:id="rId19"/>
    <sheet name="Thanh Toán (2)" sheetId="729" r:id="rId20"/>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8" i="95"/>
  <c r="F1" i="50"/>
  <c r="I37" i="740"/>
  <c r="F37" i="740"/>
  <c r="E37" i="740"/>
  <c r="D37" i="740"/>
  <c r="I36" i="740"/>
  <c r="F36" i="740"/>
  <c r="E36" i="740"/>
  <c r="D36" i="740"/>
  <c r="I35" i="740"/>
  <c r="F35" i="740"/>
  <c r="E35" i="740"/>
  <c r="D35" i="740"/>
  <c r="I34" i="740"/>
  <c r="F34" i="740"/>
  <c r="E34" i="740"/>
  <c r="D34" i="740"/>
  <c r="I33" i="740"/>
  <c r="F33" i="740"/>
  <c r="E33" i="740"/>
  <c r="D33" i="740"/>
  <c r="I32" i="740"/>
  <c r="F32" i="740"/>
  <c r="E32" i="740"/>
  <c r="D32" i="740"/>
  <c r="I31" i="740"/>
  <c r="F31" i="740"/>
  <c r="E31" i="740"/>
  <c r="D31" i="740"/>
  <c r="I30" i="740"/>
  <c r="F30" i="740"/>
  <c r="E30" i="740"/>
  <c r="D30" i="740"/>
  <c r="I29" i="740"/>
  <c r="F29" i="740"/>
  <c r="E29" i="740"/>
  <c r="D29" i="740"/>
  <c r="I28" i="740"/>
  <c r="F28" i="740"/>
  <c r="E28" i="740"/>
  <c r="D28" i="740"/>
  <c r="I27" i="740"/>
  <c r="F27" i="740"/>
  <c r="E27" i="740"/>
  <c r="D27" i="740"/>
  <c r="I26" i="740"/>
  <c r="F26" i="740"/>
  <c r="E26" i="740"/>
  <c r="D26" i="740"/>
  <c r="I25" i="740"/>
  <c r="F25" i="740"/>
  <c r="E25" i="740"/>
  <c r="D25" i="740"/>
  <c r="I24" i="740"/>
  <c r="F24" i="740"/>
  <c r="E24" i="740"/>
  <c r="D24" i="740"/>
  <c r="I23" i="740"/>
  <c r="F23" i="740"/>
  <c r="E23" i="740"/>
  <c r="D23" i="740"/>
  <c r="I22" i="740"/>
  <c r="F22" i="740"/>
  <c r="E22" i="740"/>
  <c r="D22" i="740"/>
  <c r="I21" i="740"/>
  <c r="F21" i="740"/>
  <c r="E21" i="740"/>
  <c r="D21" i="740"/>
  <c r="I20" i="740"/>
  <c r="F20" i="740"/>
  <c r="E20" i="740"/>
  <c r="D20" i="740"/>
  <c r="I19" i="740"/>
  <c r="F19" i="740"/>
  <c r="E19" i="740"/>
  <c r="D19" i="740"/>
  <c r="I18" i="740"/>
  <c r="F18" i="740"/>
  <c r="E18" i="740"/>
  <c r="D18" i="740"/>
  <c r="I17" i="740"/>
  <c r="F17" i="740"/>
  <c r="E17" i="740"/>
  <c r="D17" i="740"/>
  <c r="I16" i="740"/>
  <c r="F16" i="740"/>
  <c r="E16" i="740"/>
  <c r="D16" i="740"/>
  <c r="I15" i="740"/>
  <c r="F15" i="740"/>
  <c r="E15" i="740"/>
  <c r="D15" i="740"/>
  <c r="I14" i="740"/>
  <c r="F14" i="740"/>
  <c r="E14" i="740"/>
  <c r="D14" i="740"/>
  <c r="I13" i="740"/>
  <c r="F13" i="740"/>
  <c r="E13" i="740"/>
  <c r="D13" i="740"/>
  <c r="I12" i="740"/>
  <c r="F12" i="740"/>
  <c r="E12" i="740"/>
  <c r="D12" i="740"/>
  <c r="I11" i="740"/>
  <c r="F11" i="740"/>
  <c r="E11" i="740"/>
  <c r="D11" i="740"/>
  <c r="I10" i="740"/>
  <c r="F9" i="740"/>
  <c r="I9" i="740" s="1"/>
  <c r="E9" i="740"/>
  <c r="D9" i="740"/>
  <c r="G8" i="740"/>
  <c r="F8" i="740"/>
  <c r="E8" i="740"/>
  <c r="I8" i="740" s="1"/>
  <c r="D8" i="740"/>
  <c r="C8" i="740"/>
  <c r="C9" i="740" s="1"/>
  <c r="E7" i="740"/>
  <c r="G6" i="740"/>
  <c r="I37" i="739"/>
  <c r="F37" i="739"/>
  <c r="E37" i="739"/>
  <c r="D37" i="739"/>
  <c r="I36" i="739"/>
  <c r="F36" i="739"/>
  <c r="E36" i="739"/>
  <c r="D36" i="739"/>
  <c r="I35" i="739"/>
  <c r="F35" i="739"/>
  <c r="E35" i="739"/>
  <c r="D35" i="739"/>
  <c r="I34" i="739"/>
  <c r="F34" i="739"/>
  <c r="E34" i="739"/>
  <c r="D34" i="739"/>
  <c r="I33" i="739"/>
  <c r="F33" i="739"/>
  <c r="E33" i="739"/>
  <c r="D33" i="739"/>
  <c r="I32" i="739"/>
  <c r="F32" i="739"/>
  <c r="E32" i="739"/>
  <c r="D32" i="739"/>
  <c r="I31" i="739"/>
  <c r="F31" i="739"/>
  <c r="E31" i="739"/>
  <c r="D31" i="739"/>
  <c r="I30" i="739"/>
  <c r="F30" i="739"/>
  <c r="E30" i="739"/>
  <c r="D30" i="739"/>
  <c r="I29" i="739"/>
  <c r="F29" i="739"/>
  <c r="E29" i="739"/>
  <c r="D29" i="739"/>
  <c r="I28" i="739"/>
  <c r="F28" i="739"/>
  <c r="E28" i="739"/>
  <c r="D28" i="739"/>
  <c r="I27" i="739"/>
  <c r="F27" i="739"/>
  <c r="E27" i="739"/>
  <c r="D27" i="739"/>
  <c r="I26" i="739"/>
  <c r="F26" i="739"/>
  <c r="E26" i="739"/>
  <c r="D26" i="739"/>
  <c r="I25" i="739"/>
  <c r="F25" i="739"/>
  <c r="E25" i="739"/>
  <c r="D25" i="739"/>
  <c r="I24" i="739"/>
  <c r="F24" i="739"/>
  <c r="E24" i="739"/>
  <c r="D24" i="739"/>
  <c r="I23" i="739"/>
  <c r="F23" i="739"/>
  <c r="E23" i="739"/>
  <c r="D23" i="739"/>
  <c r="I22" i="739"/>
  <c r="F22" i="739"/>
  <c r="E22" i="739"/>
  <c r="D22" i="739"/>
  <c r="I21" i="739"/>
  <c r="F21" i="739"/>
  <c r="E21" i="739"/>
  <c r="D21" i="739"/>
  <c r="I20" i="739"/>
  <c r="F20" i="739"/>
  <c r="E20" i="739"/>
  <c r="D20" i="739"/>
  <c r="I19" i="739"/>
  <c r="F19" i="739"/>
  <c r="E19" i="739"/>
  <c r="D19" i="739"/>
  <c r="I18" i="739"/>
  <c r="F18" i="739"/>
  <c r="E18" i="739"/>
  <c r="D18" i="739"/>
  <c r="I17" i="739"/>
  <c r="F17" i="739"/>
  <c r="E17" i="739"/>
  <c r="D17" i="739"/>
  <c r="I16" i="739"/>
  <c r="F16" i="739"/>
  <c r="E16" i="739"/>
  <c r="D16" i="739"/>
  <c r="I15" i="739"/>
  <c r="F15" i="739"/>
  <c r="E15" i="739"/>
  <c r="D15" i="739"/>
  <c r="I14" i="739"/>
  <c r="F14" i="739"/>
  <c r="E14" i="739"/>
  <c r="D14" i="739"/>
  <c r="I13" i="739"/>
  <c r="F13" i="739"/>
  <c r="E13" i="739"/>
  <c r="D13" i="739"/>
  <c r="I12" i="739"/>
  <c r="F12" i="739"/>
  <c r="E12" i="739"/>
  <c r="D12" i="739"/>
  <c r="F11" i="739"/>
  <c r="I11" i="739" s="1"/>
  <c r="E11" i="739"/>
  <c r="D11" i="739"/>
  <c r="F10" i="739"/>
  <c r="E10" i="739"/>
  <c r="I10" i="739" s="1"/>
  <c r="D10" i="739"/>
  <c r="F9" i="739"/>
  <c r="I9" i="739" s="1"/>
  <c r="E9" i="739"/>
  <c r="D9" i="739"/>
  <c r="G8" i="739"/>
  <c r="F8" i="739"/>
  <c r="I8" i="739" s="1"/>
  <c r="I7" i="739" s="1"/>
  <c r="E8" i="739"/>
  <c r="D8" i="739"/>
  <c r="C8" i="739"/>
  <c r="C9" i="739" s="1"/>
  <c r="E7" i="739"/>
  <c r="G6" i="739"/>
  <c r="I37" i="738"/>
  <c r="F37" i="738"/>
  <c r="E37" i="738"/>
  <c r="D37" i="738"/>
  <c r="I36" i="738"/>
  <c r="F36" i="738"/>
  <c r="E36" i="738"/>
  <c r="D36" i="738"/>
  <c r="I35" i="738"/>
  <c r="F35" i="738"/>
  <c r="E35" i="738"/>
  <c r="D35" i="738"/>
  <c r="I34" i="738"/>
  <c r="F34" i="738"/>
  <c r="E34" i="738"/>
  <c r="D34" i="738"/>
  <c r="I33" i="738"/>
  <c r="F33" i="738"/>
  <c r="E33" i="738"/>
  <c r="D33" i="738"/>
  <c r="I32" i="738"/>
  <c r="F32" i="738"/>
  <c r="E32" i="738"/>
  <c r="D32" i="738"/>
  <c r="I31" i="738"/>
  <c r="F31" i="738"/>
  <c r="E31" i="738"/>
  <c r="D31" i="738"/>
  <c r="I30" i="738"/>
  <c r="F30" i="738"/>
  <c r="E30" i="738"/>
  <c r="D30" i="738"/>
  <c r="I29" i="738"/>
  <c r="F29" i="738"/>
  <c r="E29" i="738"/>
  <c r="D29" i="738"/>
  <c r="I28" i="738"/>
  <c r="F28" i="738"/>
  <c r="E28" i="738"/>
  <c r="D28" i="738"/>
  <c r="I27" i="738"/>
  <c r="F27" i="738"/>
  <c r="E27" i="738"/>
  <c r="D27" i="738"/>
  <c r="I26" i="738"/>
  <c r="F26" i="738"/>
  <c r="E26" i="738"/>
  <c r="D26" i="738"/>
  <c r="I25" i="738"/>
  <c r="F25" i="738"/>
  <c r="E25" i="738"/>
  <c r="D25" i="738"/>
  <c r="I24" i="738"/>
  <c r="F24" i="738"/>
  <c r="E24" i="738"/>
  <c r="D24" i="738"/>
  <c r="I23" i="738"/>
  <c r="F23" i="738"/>
  <c r="E23" i="738"/>
  <c r="D23" i="738"/>
  <c r="I22" i="738"/>
  <c r="F22" i="738"/>
  <c r="E22" i="738"/>
  <c r="D22" i="738"/>
  <c r="I21" i="738"/>
  <c r="F21" i="738"/>
  <c r="E21" i="738"/>
  <c r="D21" i="738"/>
  <c r="I20" i="738"/>
  <c r="F20" i="738"/>
  <c r="E20" i="738"/>
  <c r="D20" i="738"/>
  <c r="I19" i="738"/>
  <c r="F19" i="738"/>
  <c r="E19" i="738"/>
  <c r="D19" i="738"/>
  <c r="I18" i="738"/>
  <c r="F18" i="738"/>
  <c r="E18" i="738"/>
  <c r="D18" i="738"/>
  <c r="I17" i="738"/>
  <c r="F17" i="738"/>
  <c r="E17" i="738"/>
  <c r="D17" i="738"/>
  <c r="I16" i="738"/>
  <c r="F16" i="738"/>
  <c r="E16" i="738"/>
  <c r="D16" i="738"/>
  <c r="I15" i="738"/>
  <c r="F15" i="738"/>
  <c r="E15" i="738"/>
  <c r="D15" i="738"/>
  <c r="I14" i="738"/>
  <c r="F14" i="738"/>
  <c r="E14" i="738"/>
  <c r="D14" i="738"/>
  <c r="I13" i="738"/>
  <c r="F13" i="738"/>
  <c r="E13" i="738"/>
  <c r="D13" i="738"/>
  <c r="I12" i="738"/>
  <c r="F12" i="738"/>
  <c r="E12" i="738"/>
  <c r="D12" i="738"/>
  <c r="I11" i="738"/>
  <c r="F11" i="738"/>
  <c r="E11" i="738"/>
  <c r="D11" i="738"/>
  <c r="I10" i="738"/>
  <c r="F10" i="738"/>
  <c r="E10" i="738"/>
  <c r="D10" i="738"/>
  <c r="I9" i="738"/>
  <c r="F9" i="738"/>
  <c r="E9" i="738"/>
  <c r="D9" i="738"/>
  <c r="G8" i="738"/>
  <c r="F8" i="738"/>
  <c r="I8" i="738" s="1"/>
  <c r="I7" i="738" s="1"/>
  <c r="E8" i="738"/>
  <c r="D8" i="738"/>
  <c r="C8" i="738"/>
  <c r="C9" i="738" s="1"/>
  <c r="E7" i="738"/>
  <c r="G6" i="738"/>
  <c r="I37" i="737"/>
  <c r="F37" i="737"/>
  <c r="E37" i="737"/>
  <c r="D37" i="737"/>
  <c r="I36" i="737"/>
  <c r="F36" i="737"/>
  <c r="E36" i="737"/>
  <c r="D36" i="737"/>
  <c r="I35" i="737"/>
  <c r="F35" i="737"/>
  <c r="E35" i="737"/>
  <c r="D35" i="737"/>
  <c r="I34" i="737"/>
  <c r="F34" i="737"/>
  <c r="E34" i="737"/>
  <c r="D34" i="737"/>
  <c r="I33" i="737"/>
  <c r="F33" i="737"/>
  <c r="E33" i="737"/>
  <c r="D33" i="737"/>
  <c r="I32" i="737"/>
  <c r="F32" i="737"/>
  <c r="E32" i="737"/>
  <c r="D32" i="737"/>
  <c r="I31" i="737"/>
  <c r="F31" i="737"/>
  <c r="E31" i="737"/>
  <c r="D31" i="737"/>
  <c r="I30" i="737"/>
  <c r="F30" i="737"/>
  <c r="E30" i="737"/>
  <c r="D30" i="737"/>
  <c r="I29" i="737"/>
  <c r="F29" i="737"/>
  <c r="E29" i="737"/>
  <c r="D29" i="737"/>
  <c r="I28" i="737"/>
  <c r="F28" i="737"/>
  <c r="E28" i="737"/>
  <c r="D28" i="737"/>
  <c r="I27" i="737"/>
  <c r="F27" i="737"/>
  <c r="E27" i="737"/>
  <c r="D27" i="737"/>
  <c r="I26" i="737"/>
  <c r="F26" i="737"/>
  <c r="E26" i="737"/>
  <c r="D26" i="737"/>
  <c r="I25" i="737"/>
  <c r="F25" i="737"/>
  <c r="E25" i="737"/>
  <c r="D25" i="737"/>
  <c r="I24" i="737"/>
  <c r="F24" i="737"/>
  <c r="E24" i="737"/>
  <c r="D24" i="737"/>
  <c r="I23" i="737"/>
  <c r="F23" i="737"/>
  <c r="E23" i="737"/>
  <c r="D23" i="737"/>
  <c r="I22" i="737"/>
  <c r="F22" i="737"/>
  <c r="E22" i="737"/>
  <c r="D22" i="737"/>
  <c r="I21" i="737"/>
  <c r="F21" i="737"/>
  <c r="E21" i="737"/>
  <c r="D21" i="737"/>
  <c r="I20" i="737"/>
  <c r="F20" i="737"/>
  <c r="E20" i="737"/>
  <c r="D20" i="737"/>
  <c r="I19" i="737"/>
  <c r="F19" i="737"/>
  <c r="E19" i="737"/>
  <c r="D19" i="737"/>
  <c r="I18" i="737"/>
  <c r="F18" i="737"/>
  <c r="E18" i="737"/>
  <c r="D18" i="737"/>
  <c r="I17" i="737"/>
  <c r="F17" i="737"/>
  <c r="E17" i="737"/>
  <c r="D17" i="737"/>
  <c r="I16" i="737"/>
  <c r="F16" i="737"/>
  <c r="E16" i="737"/>
  <c r="D16" i="737"/>
  <c r="I15" i="737"/>
  <c r="F15" i="737"/>
  <c r="E15" i="737"/>
  <c r="D15" i="737"/>
  <c r="I14" i="737"/>
  <c r="F14" i="737"/>
  <c r="E14" i="737"/>
  <c r="D14" i="737"/>
  <c r="I13" i="737"/>
  <c r="F13" i="737"/>
  <c r="E13" i="737"/>
  <c r="D13" i="737"/>
  <c r="I12" i="737"/>
  <c r="F12" i="737"/>
  <c r="E12" i="737"/>
  <c r="D12" i="737"/>
  <c r="I11" i="737"/>
  <c r="F11" i="737"/>
  <c r="E11" i="737"/>
  <c r="D11" i="737"/>
  <c r="I10" i="737"/>
  <c r="F10" i="737"/>
  <c r="E10" i="737"/>
  <c r="D10" i="737"/>
  <c r="F9" i="737"/>
  <c r="I9" i="737" s="1"/>
  <c r="E9" i="737"/>
  <c r="D9" i="737"/>
  <c r="G8" i="737"/>
  <c r="F8" i="737"/>
  <c r="E8" i="737"/>
  <c r="I8" i="737" s="1"/>
  <c r="I7" i="737" s="1"/>
  <c r="D8" i="737"/>
  <c r="C8" i="737"/>
  <c r="C9" i="737" s="1"/>
  <c r="E7" i="737"/>
  <c r="G6" i="737"/>
  <c r="G2" i="50"/>
  <c r="H10" i="735"/>
  <c r="I37" i="735"/>
  <c r="F37" i="735"/>
  <c r="E37" i="735"/>
  <c r="D37" i="735"/>
  <c r="I36" i="735"/>
  <c r="F36" i="735"/>
  <c r="E36" i="735"/>
  <c r="D36" i="735"/>
  <c r="I35" i="735"/>
  <c r="F35" i="735"/>
  <c r="E35" i="735"/>
  <c r="D35" i="735"/>
  <c r="I34" i="735"/>
  <c r="F34" i="735"/>
  <c r="E34" i="735"/>
  <c r="D34" i="735"/>
  <c r="I33" i="735"/>
  <c r="F33" i="735"/>
  <c r="E33" i="735"/>
  <c r="D33" i="735"/>
  <c r="I32" i="735"/>
  <c r="F32" i="735"/>
  <c r="E32" i="735"/>
  <c r="D32" i="735"/>
  <c r="I31" i="735"/>
  <c r="F31" i="735"/>
  <c r="E31" i="735"/>
  <c r="D31" i="735"/>
  <c r="I30" i="735"/>
  <c r="F30" i="735"/>
  <c r="E30" i="735"/>
  <c r="D30" i="735"/>
  <c r="I29" i="735"/>
  <c r="F29" i="735"/>
  <c r="E29" i="735"/>
  <c r="D29" i="735"/>
  <c r="I28" i="735"/>
  <c r="F28" i="735"/>
  <c r="E28" i="735"/>
  <c r="D28" i="735"/>
  <c r="I27" i="735"/>
  <c r="F27" i="735"/>
  <c r="E27" i="735"/>
  <c r="D27" i="735"/>
  <c r="I26" i="735"/>
  <c r="F26" i="735"/>
  <c r="E26" i="735"/>
  <c r="D26" i="735"/>
  <c r="I25" i="735"/>
  <c r="F25" i="735"/>
  <c r="E25" i="735"/>
  <c r="D25" i="735"/>
  <c r="I24" i="735"/>
  <c r="F24" i="735"/>
  <c r="E24" i="735"/>
  <c r="D24" i="735"/>
  <c r="I23" i="735"/>
  <c r="F23" i="735"/>
  <c r="E23" i="735"/>
  <c r="D23" i="735"/>
  <c r="I22" i="735"/>
  <c r="F22" i="735"/>
  <c r="E22" i="735"/>
  <c r="D22" i="735"/>
  <c r="I21" i="735"/>
  <c r="F21" i="735"/>
  <c r="E21" i="735"/>
  <c r="D21" i="735"/>
  <c r="I20" i="735"/>
  <c r="F20" i="735"/>
  <c r="E20" i="735"/>
  <c r="D20" i="735"/>
  <c r="I19" i="735"/>
  <c r="F19" i="735"/>
  <c r="E19" i="735"/>
  <c r="D19" i="735"/>
  <c r="I18" i="735"/>
  <c r="F18" i="735"/>
  <c r="E18" i="735"/>
  <c r="D18" i="735"/>
  <c r="I17" i="735"/>
  <c r="F17" i="735"/>
  <c r="E17" i="735"/>
  <c r="D17" i="735"/>
  <c r="I16" i="735"/>
  <c r="F16" i="735"/>
  <c r="E16" i="735"/>
  <c r="D16" i="735"/>
  <c r="I15" i="735"/>
  <c r="F15" i="735"/>
  <c r="E15" i="735"/>
  <c r="D15" i="735"/>
  <c r="I14" i="735"/>
  <c r="F14" i="735"/>
  <c r="E14" i="735"/>
  <c r="D14" i="735"/>
  <c r="I13" i="735"/>
  <c r="F13" i="735"/>
  <c r="E13" i="735"/>
  <c r="D13" i="735"/>
  <c r="I12" i="735"/>
  <c r="F12" i="735"/>
  <c r="E12" i="735"/>
  <c r="D12" i="735"/>
  <c r="I11" i="735"/>
  <c r="F11" i="735"/>
  <c r="E11" i="735"/>
  <c r="D11" i="735"/>
  <c r="F9" i="735"/>
  <c r="I9" i="735" s="1"/>
  <c r="E9" i="735"/>
  <c r="D9" i="735"/>
  <c r="G8" i="735"/>
  <c r="F8" i="735"/>
  <c r="E8" i="735"/>
  <c r="I8" i="735" s="1"/>
  <c r="D8" i="735"/>
  <c r="C8" i="735"/>
  <c r="C9" i="735" s="1"/>
  <c r="E7" i="735"/>
  <c r="G6" i="735"/>
  <c r="AW5" i="150"/>
  <c r="H14" i="733"/>
  <c r="I37" i="733"/>
  <c r="F37" i="733"/>
  <c r="E37" i="733"/>
  <c r="D37" i="733"/>
  <c r="I36" i="733"/>
  <c r="F36" i="733"/>
  <c r="E36" i="733"/>
  <c r="D36" i="733"/>
  <c r="I35" i="733"/>
  <c r="F35" i="733"/>
  <c r="E35" i="733"/>
  <c r="D35" i="733"/>
  <c r="I34" i="733"/>
  <c r="F34" i="733"/>
  <c r="E34" i="733"/>
  <c r="D34" i="733"/>
  <c r="I33" i="733"/>
  <c r="F33" i="733"/>
  <c r="E33" i="733"/>
  <c r="D33" i="733"/>
  <c r="I32" i="733"/>
  <c r="F32" i="733"/>
  <c r="E32" i="733"/>
  <c r="D32" i="733"/>
  <c r="I31" i="733"/>
  <c r="F31" i="733"/>
  <c r="E31" i="733"/>
  <c r="D31" i="733"/>
  <c r="I30" i="733"/>
  <c r="F30" i="733"/>
  <c r="E30" i="733"/>
  <c r="D30" i="733"/>
  <c r="I29" i="733"/>
  <c r="F29" i="733"/>
  <c r="E29" i="733"/>
  <c r="D29" i="733"/>
  <c r="I28" i="733"/>
  <c r="F28" i="733"/>
  <c r="E28" i="733"/>
  <c r="D28" i="733"/>
  <c r="I27" i="733"/>
  <c r="F27" i="733"/>
  <c r="E27" i="733"/>
  <c r="D27" i="733"/>
  <c r="I26" i="733"/>
  <c r="F26" i="733"/>
  <c r="E26" i="733"/>
  <c r="D26" i="733"/>
  <c r="I25" i="733"/>
  <c r="F25" i="733"/>
  <c r="E25" i="733"/>
  <c r="D25" i="733"/>
  <c r="I24" i="733"/>
  <c r="F24" i="733"/>
  <c r="E24" i="733"/>
  <c r="D24" i="733"/>
  <c r="I23" i="733"/>
  <c r="F23" i="733"/>
  <c r="E23" i="733"/>
  <c r="D23" i="733"/>
  <c r="I22" i="733"/>
  <c r="F22" i="733"/>
  <c r="E22" i="733"/>
  <c r="D22" i="733"/>
  <c r="I21" i="733"/>
  <c r="F21" i="733"/>
  <c r="E21" i="733"/>
  <c r="D21" i="733"/>
  <c r="I20" i="733"/>
  <c r="F20" i="733"/>
  <c r="E20" i="733"/>
  <c r="D20" i="733"/>
  <c r="I19" i="733"/>
  <c r="F19" i="733"/>
  <c r="E19" i="733"/>
  <c r="D19" i="733"/>
  <c r="I18" i="733"/>
  <c r="F18" i="733"/>
  <c r="E18" i="733"/>
  <c r="D18" i="733"/>
  <c r="I17" i="733"/>
  <c r="F17" i="733"/>
  <c r="E17" i="733"/>
  <c r="D17" i="733"/>
  <c r="I16" i="733"/>
  <c r="F16" i="733"/>
  <c r="E16" i="733"/>
  <c r="D16" i="733"/>
  <c r="I15" i="733"/>
  <c r="F15" i="733"/>
  <c r="E15" i="733"/>
  <c r="D15" i="733"/>
  <c r="I14" i="733"/>
  <c r="F13" i="733"/>
  <c r="E13" i="733"/>
  <c r="I13" i="733" s="1"/>
  <c r="D13" i="733"/>
  <c r="F12" i="733"/>
  <c r="I12" i="733" s="1"/>
  <c r="E12" i="733"/>
  <c r="D12" i="733"/>
  <c r="F11" i="733"/>
  <c r="I11" i="733" s="1"/>
  <c r="E11" i="733"/>
  <c r="D11" i="733"/>
  <c r="F10" i="733"/>
  <c r="E10" i="733"/>
  <c r="I10" i="733" s="1"/>
  <c r="D10" i="733"/>
  <c r="F9" i="733"/>
  <c r="E9" i="733"/>
  <c r="I9" i="733" s="1"/>
  <c r="D9" i="733"/>
  <c r="G8" i="733"/>
  <c r="F8" i="733"/>
  <c r="I8" i="733" s="1"/>
  <c r="E8" i="733"/>
  <c r="D8" i="733"/>
  <c r="C8" i="733"/>
  <c r="C9" i="733" s="1"/>
  <c r="E7" i="733"/>
  <c r="G6" i="733"/>
  <c r="H11" i="732"/>
  <c r="I37" i="732"/>
  <c r="F37" i="732"/>
  <c r="E37" i="732"/>
  <c r="D37" i="732"/>
  <c r="I36" i="732"/>
  <c r="F36" i="732"/>
  <c r="E36" i="732"/>
  <c r="D36" i="732"/>
  <c r="I35" i="732"/>
  <c r="F35" i="732"/>
  <c r="E35" i="732"/>
  <c r="D35" i="732"/>
  <c r="I34" i="732"/>
  <c r="F34" i="732"/>
  <c r="E34" i="732"/>
  <c r="D34" i="732"/>
  <c r="I33" i="732"/>
  <c r="F33" i="732"/>
  <c r="E33" i="732"/>
  <c r="D33" i="732"/>
  <c r="I32" i="732"/>
  <c r="F32" i="732"/>
  <c r="E32" i="732"/>
  <c r="D32" i="732"/>
  <c r="I31" i="732"/>
  <c r="F31" i="732"/>
  <c r="E31" i="732"/>
  <c r="D31" i="732"/>
  <c r="I30" i="732"/>
  <c r="F30" i="732"/>
  <c r="E30" i="732"/>
  <c r="D30" i="732"/>
  <c r="I29" i="732"/>
  <c r="F29" i="732"/>
  <c r="E29" i="732"/>
  <c r="D29" i="732"/>
  <c r="I28" i="732"/>
  <c r="F28" i="732"/>
  <c r="E28" i="732"/>
  <c r="D28" i="732"/>
  <c r="I27" i="732"/>
  <c r="F27" i="732"/>
  <c r="E27" i="732"/>
  <c r="D27" i="732"/>
  <c r="I26" i="732"/>
  <c r="F26" i="732"/>
  <c r="E26" i="732"/>
  <c r="D26" i="732"/>
  <c r="I25" i="732"/>
  <c r="F25" i="732"/>
  <c r="E25" i="732"/>
  <c r="D25" i="732"/>
  <c r="I24" i="732"/>
  <c r="F24" i="732"/>
  <c r="E24" i="732"/>
  <c r="D24" i="732"/>
  <c r="I23" i="732"/>
  <c r="F23" i="732"/>
  <c r="E23" i="732"/>
  <c r="D23" i="732"/>
  <c r="I22" i="732"/>
  <c r="F22" i="732"/>
  <c r="E22" i="732"/>
  <c r="D22" i="732"/>
  <c r="I21" i="732"/>
  <c r="F21" i="732"/>
  <c r="E21" i="732"/>
  <c r="D21" i="732"/>
  <c r="I20" i="732"/>
  <c r="F20" i="732"/>
  <c r="E20" i="732"/>
  <c r="D20" i="732"/>
  <c r="I19" i="732"/>
  <c r="F19" i="732"/>
  <c r="E19" i="732"/>
  <c r="D19" i="732"/>
  <c r="I18" i="732"/>
  <c r="F18" i="732"/>
  <c r="E18" i="732"/>
  <c r="D18" i="732"/>
  <c r="I17" i="732"/>
  <c r="F17" i="732"/>
  <c r="E17" i="732"/>
  <c r="D17" i="732"/>
  <c r="I16" i="732"/>
  <c r="F16" i="732"/>
  <c r="E16" i="732"/>
  <c r="D16" i="732"/>
  <c r="I15" i="732"/>
  <c r="F15" i="732"/>
  <c r="E15" i="732"/>
  <c r="D15" i="732"/>
  <c r="I14" i="732"/>
  <c r="F14" i="732"/>
  <c r="E14" i="732"/>
  <c r="D14" i="732"/>
  <c r="I13" i="732"/>
  <c r="F13" i="732"/>
  <c r="E13" i="732"/>
  <c r="D13" i="732"/>
  <c r="I12" i="732"/>
  <c r="F12" i="732"/>
  <c r="E12" i="732"/>
  <c r="D12" i="732"/>
  <c r="F10" i="732"/>
  <c r="E10" i="732"/>
  <c r="I10" i="732" s="1"/>
  <c r="D10" i="732"/>
  <c r="F9" i="732"/>
  <c r="I9" i="732" s="1"/>
  <c r="E9" i="732"/>
  <c r="D9" i="732"/>
  <c r="G8" i="732"/>
  <c r="F8" i="732"/>
  <c r="I8" i="732" s="1"/>
  <c r="E8" i="732"/>
  <c r="D8" i="732"/>
  <c r="C8" i="732"/>
  <c r="C9" i="732" s="1"/>
  <c r="E7" i="732"/>
  <c r="G6" i="732"/>
  <c r="C11" i="731"/>
  <c r="I37" i="731"/>
  <c r="F37" i="731"/>
  <c r="E37" i="731"/>
  <c r="D37" i="731"/>
  <c r="I36" i="731"/>
  <c r="F36" i="731"/>
  <c r="E36" i="731"/>
  <c r="D36" i="731"/>
  <c r="I35" i="731"/>
  <c r="F35" i="731"/>
  <c r="E35" i="731"/>
  <c r="D35" i="731"/>
  <c r="I34" i="731"/>
  <c r="F34" i="731"/>
  <c r="E34" i="731"/>
  <c r="D34" i="731"/>
  <c r="I33" i="731"/>
  <c r="F33" i="731"/>
  <c r="E33" i="731"/>
  <c r="D33" i="731"/>
  <c r="I32" i="731"/>
  <c r="F32" i="731"/>
  <c r="E32" i="731"/>
  <c r="D32" i="731"/>
  <c r="I31" i="731"/>
  <c r="F31" i="731"/>
  <c r="E31" i="731"/>
  <c r="D31" i="731"/>
  <c r="I30" i="731"/>
  <c r="F30" i="731"/>
  <c r="E30" i="731"/>
  <c r="D30" i="731"/>
  <c r="I29" i="731"/>
  <c r="F29" i="731"/>
  <c r="E29" i="731"/>
  <c r="D29" i="731"/>
  <c r="I28" i="731"/>
  <c r="F28" i="731"/>
  <c r="E28" i="731"/>
  <c r="D28" i="731"/>
  <c r="I27" i="731"/>
  <c r="F27" i="731"/>
  <c r="E27" i="731"/>
  <c r="D27" i="731"/>
  <c r="I26" i="731"/>
  <c r="F26" i="731"/>
  <c r="E26" i="731"/>
  <c r="D26" i="731"/>
  <c r="I25" i="731"/>
  <c r="F25" i="731"/>
  <c r="E25" i="731"/>
  <c r="D25" i="731"/>
  <c r="I24" i="731"/>
  <c r="F24" i="731"/>
  <c r="E24" i="731"/>
  <c r="D24" i="731"/>
  <c r="I23" i="731"/>
  <c r="F23" i="731"/>
  <c r="E23" i="731"/>
  <c r="D23" i="731"/>
  <c r="I22" i="731"/>
  <c r="F22" i="731"/>
  <c r="E22" i="731"/>
  <c r="D22" i="731"/>
  <c r="I21" i="731"/>
  <c r="F21" i="731"/>
  <c r="E21" i="731"/>
  <c r="D21" i="731"/>
  <c r="I20" i="731"/>
  <c r="F20" i="731"/>
  <c r="E20" i="731"/>
  <c r="D20" i="731"/>
  <c r="I19" i="731"/>
  <c r="F19" i="731"/>
  <c r="E19" i="731"/>
  <c r="D19" i="731"/>
  <c r="I18" i="731"/>
  <c r="F18" i="731"/>
  <c r="E18" i="731"/>
  <c r="D18" i="731"/>
  <c r="I17" i="731"/>
  <c r="F17" i="731"/>
  <c r="E17" i="731"/>
  <c r="D17" i="731"/>
  <c r="I16" i="731"/>
  <c r="F16" i="731"/>
  <c r="E16" i="731"/>
  <c r="D16" i="731"/>
  <c r="I15" i="731"/>
  <c r="F15" i="731"/>
  <c r="E15" i="731"/>
  <c r="D15" i="731"/>
  <c r="I14" i="731"/>
  <c r="F14" i="731"/>
  <c r="E14" i="731"/>
  <c r="D14" i="731"/>
  <c r="I13" i="731"/>
  <c r="F13" i="731"/>
  <c r="E13" i="731"/>
  <c r="D13" i="731"/>
  <c r="I12" i="731"/>
  <c r="F12" i="731"/>
  <c r="E12" i="731"/>
  <c r="D12" i="731"/>
  <c r="F10" i="731"/>
  <c r="E10" i="731"/>
  <c r="I10" i="731" s="1"/>
  <c r="D10" i="731"/>
  <c r="F9" i="731"/>
  <c r="E9" i="731"/>
  <c r="I9" i="731" s="1"/>
  <c r="D9" i="731"/>
  <c r="G8" i="731"/>
  <c r="F8" i="731"/>
  <c r="I8" i="731" s="1"/>
  <c r="E8" i="731"/>
  <c r="D8" i="731"/>
  <c r="C8" i="731"/>
  <c r="C9" i="731" s="1"/>
  <c r="E7" i="731"/>
  <c r="G6" i="731"/>
  <c r="I37" i="730"/>
  <c r="F37" i="730"/>
  <c r="E37" i="730"/>
  <c r="D37" i="730"/>
  <c r="I36" i="730"/>
  <c r="F36" i="730"/>
  <c r="E36" i="730"/>
  <c r="D36" i="730"/>
  <c r="I35" i="730"/>
  <c r="F35" i="730"/>
  <c r="E35" i="730"/>
  <c r="D35" i="730"/>
  <c r="I34" i="730"/>
  <c r="F34" i="730"/>
  <c r="E34" i="730"/>
  <c r="D34" i="730"/>
  <c r="I33" i="730"/>
  <c r="F33" i="730"/>
  <c r="E33" i="730"/>
  <c r="D33" i="730"/>
  <c r="I32" i="730"/>
  <c r="F32" i="730"/>
  <c r="E32" i="730"/>
  <c r="D32" i="730"/>
  <c r="I31" i="730"/>
  <c r="F31" i="730"/>
  <c r="E31" i="730"/>
  <c r="D31" i="730"/>
  <c r="I30" i="730"/>
  <c r="F30" i="730"/>
  <c r="E30" i="730"/>
  <c r="D30" i="730"/>
  <c r="I29" i="730"/>
  <c r="F29" i="730"/>
  <c r="E29" i="730"/>
  <c r="D29" i="730"/>
  <c r="I28" i="730"/>
  <c r="F28" i="730"/>
  <c r="E28" i="730"/>
  <c r="D28" i="730"/>
  <c r="I27" i="730"/>
  <c r="F27" i="730"/>
  <c r="E27" i="730"/>
  <c r="D27" i="730"/>
  <c r="I26" i="730"/>
  <c r="F26" i="730"/>
  <c r="E26" i="730"/>
  <c r="D26" i="730"/>
  <c r="I25" i="730"/>
  <c r="F25" i="730"/>
  <c r="E25" i="730"/>
  <c r="D25" i="730"/>
  <c r="I24" i="730"/>
  <c r="F24" i="730"/>
  <c r="E24" i="730"/>
  <c r="D24" i="730"/>
  <c r="I23" i="730"/>
  <c r="F23" i="730"/>
  <c r="E23" i="730"/>
  <c r="D23" i="730"/>
  <c r="I22" i="730"/>
  <c r="F22" i="730"/>
  <c r="E22" i="730"/>
  <c r="D22" i="730"/>
  <c r="I21" i="730"/>
  <c r="F21" i="730"/>
  <c r="E21" i="730"/>
  <c r="D21" i="730"/>
  <c r="I20" i="730"/>
  <c r="F20" i="730"/>
  <c r="E20" i="730"/>
  <c r="D20" i="730"/>
  <c r="I19" i="730"/>
  <c r="F19" i="730"/>
  <c r="E19" i="730"/>
  <c r="D19" i="730"/>
  <c r="I18" i="730"/>
  <c r="F18" i="730"/>
  <c r="E18" i="730"/>
  <c r="D18" i="730"/>
  <c r="I17" i="730"/>
  <c r="F17" i="730"/>
  <c r="E17" i="730"/>
  <c r="D17" i="730"/>
  <c r="I16" i="730"/>
  <c r="F16" i="730"/>
  <c r="E16" i="730"/>
  <c r="D16" i="730"/>
  <c r="I15" i="730"/>
  <c r="F15" i="730"/>
  <c r="E15" i="730"/>
  <c r="D15" i="730"/>
  <c r="I14" i="730"/>
  <c r="F14" i="730"/>
  <c r="E14" i="730"/>
  <c r="D14" i="730"/>
  <c r="I13" i="730"/>
  <c r="F13" i="730"/>
  <c r="E13" i="730"/>
  <c r="D13" i="730"/>
  <c r="I12" i="730"/>
  <c r="F12" i="730"/>
  <c r="E12" i="730"/>
  <c r="D12" i="730"/>
  <c r="F10" i="730"/>
  <c r="E10" i="730"/>
  <c r="I10" i="730" s="1"/>
  <c r="D10" i="730"/>
  <c r="F9" i="730"/>
  <c r="I9" i="730" s="1"/>
  <c r="E9" i="730"/>
  <c r="D9" i="730"/>
  <c r="G8" i="730"/>
  <c r="F8" i="730"/>
  <c r="E8" i="730"/>
  <c r="I8" i="730" s="1"/>
  <c r="D8" i="730"/>
  <c r="C8" i="730"/>
  <c r="C9" i="730" s="1"/>
  <c r="E7" i="730"/>
  <c r="G6" i="730"/>
  <c r="H13" i="729"/>
  <c r="I37" i="729"/>
  <c r="F37" i="729"/>
  <c r="E37" i="729"/>
  <c r="D37" i="729"/>
  <c r="I36" i="729"/>
  <c r="F36" i="729"/>
  <c r="E36" i="729"/>
  <c r="D36" i="729"/>
  <c r="I35" i="729"/>
  <c r="F35" i="729"/>
  <c r="E35" i="729"/>
  <c r="D35" i="729"/>
  <c r="I34" i="729"/>
  <c r="F34" i="729"/>
  <c r="E34" i="729"/>
  <c r="D34" i="729"/>
  <c r="I33" i="729"/>
  <c r="F33" i="729"/>
  <c r="E33" i="729"/>
  <c r="D33" i="729"/>
  <c r="I32" i="729"/>
  <c r="F32" i="729"/>
  <c r="E32" i="729"/>
  <c r="D32" i="729"/>
  <c r="I31" i="729"/>
  <c r="F31" i="729"/>
  <c r="E31" i="729"/>
  <c r="D31" i="729"/>
  <c r="I30" i="729"/>
  <c r="F30" i="729"/>
  <c r="E30" i="729"/>
  <c r="D30" i="729"/>
  <c r="I29" i="729"/>
  <c r="F29" i="729"/>
  <c r="E29" i="729"/>
  <c r="D29" i="729"/>
  <c r="I28" i="729"/>
  <c r="F28" i="729"/>
  <c r="E28" i="729"/>
  <c r="D28" i="729"/>
  <c r="I27" i="729"/>
  <c r="F27" i="729"/>
  <c r="E27" i="729"/>
  <c r="D27" i="729"/>
  <c r="I26" i="729"/>
  <c r="F26" i="729"/>
  <c r="E26" i="729"/>
  <c r="D26" i="729"/>
  <c r="I25" i="729"/>
  <c r="F25" i="729"/>
  <c r="E25" i="729"/>
  <c r="D25" i="729"/>
  <c r="I24" i="729"/>
  <c r="F24" i="729"/>
  <c r="E24" i="729"/>
  <c r="D24" i="729"/>
  <c r="I23" i="729"/>
  <c r="F23" i="729"/>
  <c r="E23" i="729"/>
  <c r="D23" i="729"/>
  <c r="I22" i="729"/>
  <c r="F22" i="729"/>
  <c r="E22" i="729"/>
  <c r="D22" i="729"/>
  <c r="I21" i="729"/>
  <c r="F21" i="729"/>
  <c r="E21" i="729"/>
  <c r="D21" i="729"/>
  <c r="I20" i="729"/>
  <c r="F20" i="729"/>
  <c r="E20" i="729"/>
  <c r="D20" i="729"/>
  <c r="I19" i="729"/>
  <c r="F19" i="729"/>
  <c r="E19" i="729"/>
  <c r="D19" i="729"/>
  <c r="I18" i="729"/>
  <c r="F18" i="729"/>
  <c r="E18" i="729"/>
  <c r="D18" i="729"/>
  <c r="I17" i="729"/>
  <c r="F17" i="729"/>
  <c r="E17" i="729"/>
  <c r="D17" i="729"/>
  <c r="I16" i="729"/>
  <c r="F16" i="729"/>
  <c r="E16" i="729"/>
  <c r="D16" i="729"/>
  <c r="I15" i="729"/>
  <c r="F15" i="729"/>
  <c r="E15" i="729"/>
  <c r="D15" i="729"/>
  <c r="I14" i="729"/>
  <c r="F14" i="729"/>
  <c r="E14" i="729"/>
  <c r="D14" i="729"/>
  <c r="I13" i="729"/>
  <c r="F12" i="729"/>
  <c r="I12" i="729" s="1"/>
  <c r="E12" i="729"/>
  <c r="D12" i="729"/>
  <c r="F11" i="729"/>
  <c r="I11" i="729" s="1"/>
  <c r="E11" i="729"/>
  <c r="D11" i="729"/>
  <c r="F10" i="729"/>
  <c r="E10" i="729"/>
  <c r="I10" i="729" s="1"/>
  <c r="D10" i="729"/>
  <c r="F9" i="729"/>
  <c r="I9" i="729" s="1"/>
  <c r="E9" i="729"/>
  <c r="D9" i="729"/>
  <c r="G8" i="729"/>
  <c r="F8" i="729"/>
  <c r="I8" i="729" s="1"/>
  <c r="E8" i="729"/>
  <c r="D8" i="729"/>
  <c r="C8" i="729"/>
  <c r="C9" i="729" s="1"/>
  <c r="E7" i="729"/>
  <c r="G6" i="729"/>
  <c r="W10" i="4"/>
  <c r="W12" i="4"/>
  <c r="W22" i="4"/>
  <c r="W25" i="4"/>
  <c r="W5" i="1"/>
  <c r="W6" i="1"/>
  <c r="W7" i="1"/>
  <c r="W10" i="1"/>
  <c r="W11" i="1"/>
  <c r="W12" i="1"/>
  <c r="W14" i="1"/>
  <c r="W15" i="1"/>
  <c r="W16" i="1"/>
  <c r="W17" i="1"/>
  <c r="W19" i="1"/>
  <c r="W20" i="1"/>
  <c r="W22" i="1"/>
  <c r="W23" i="1"/>
  <c r="F5" i="150"/>
  <c r="I7" i="740" l="1"/>
  <c r="G9" i="740"/>
  <c r="C10" i="740"/>
  <c r="G9" i="739"/>
  <c r="C10" i="739"/>
  <c r="G9" i="738"/>
  <c r="C10" i="738"/>
  <c r="G9" i="737"/>
  <c r="C10" i="737"/>
  <c r="I10" i="735"/>
  <c r="I7" i="735"/>
  <c r="G9" i="735"/>
  <c r="C10" i="735"/>
  <c r="G9" i="733"/>
  <c r="C10" i="733"/>
  <c r="I7" i="733"/>
  <c r="I11" i="732"/>
  <c r="I7" i="732" s="1"/>
  <c r="G9" i="732"/>
  <c r="C10" i="732"/>
  <c r="I11" i="731"/>
  <c r="I7" i="731"/>
  <c r="G9" i="731"/>
  <c r="C10" i="731"/>
  <c r="I11" i="730"/>
  <c r="I7" i="730" s="1"/>
  <c r="G9" i="730"/>
  <c r="C10" i="730"/>
  <c r="I7" i="729"/>
  <c r="G9" i="729"/>
  <c r="C10" i="729"/>
  <c r="C11" i="740" l="1"/>
  <c r="G10" i="739"/>
  <c r="C11" i="739"/>
  <c r="G10" i="738"/>
  <c r="C11" i="738"/>
  <c r="G10" i="737"/>
  <c r="C11" i="737"/>
  <c r="C11" i="735"/>
  <c r="G10" i="733"/>
  <c r="C11" i="733"/>
  <c r="G10" i="732"/>
  <c r="C11" i="732"/>
  <c r="G10" i="731"/>
  <c r="G10" i="730"/>
  <c r="C11" i="730"/>
  <c r="G10" i="729"/>
  <c r="C11" i="729"/>
  <c r="A2" i="1"/>
  <c r="F18" i="1"/>
  <c r="F9" i="1"/>
  <c r="F8" i="1"/>
  <c r="D11" i="439"/>
  <c r="E11" i="439"/>
  <c r="F11" i="439"/>
  <c r="Q17" i="150"/>
  <c r="C12" i="740" l="1"/>
  <c r="G11" i="740"/>
  <c r="G11" i="739"/>
  <c r="C12" i="739"/>
  <c r="C12" i="738"/>
  <c r="G11" i="738"/>
  <c r="C12" i="737"/>
  <c r="G11" i="737"/>
  <c r="C12" i="735"/>
  <c r="G11" i="735"/>
  <c r="C12" i="733"/>
  <c r="G11" i="733"/>
  <c r="C12" i="732"/>
  <c r="C12" i="731"/>
  <c r="C12" i="730"/>
  <c r="G11" i="729"/>
  <c r="C12" i="729"/>
  <c r="A2" i="150"/>
  <c r="C13" i="740" l="1"/>
  <c r="G12" i="740"/>
  <c r="C13" i="739"/>
  <c r="G12" i="739"/>
  <c r="C13" i="738"/>
  <c r="G12" i="738"/>
  <c r="C13" i="737"/>
  <c r="G12" i="737"/>
  <c r="C13" i="735"/>
  <c r="G12" i="735"/>
  <c r="C13" i="733"/>
  <c r="G12" i="733"/>
  <c r="C13" i="732"/>
  <c r="G12" i="732"/>
  <c r="C13" i="731"/>
  <c r="G12" i="731"/>
  <c r="C13" i="730"/>
  <c r="G12" i="730"/>
  <c r="C13" i="729"/>
  <c r="G12" i="729"/>
  <c r="F10" i="150"/>
  <c r="G13" i="740" l="1"/>
  <c r="C14" i="740"/>
  <c r="G13" i="739"/>
  <c r="C14" i="739"/>
  <c r="G13" i="738"/>
  <c r="C14" i="738"/>
  <c r="G13" i="737"/>
  <c r="C14" i="737"/>
  <c r="G13" i="735"/>
  <c r="C14" i="735"/>
  <c r="G13" i="733"/>
  <c r="C14" i="733"/>
  <c r="G13" i="732"/>
  <c r="C14" i="732"/>
  <c r="G13" i="731"/>
  <c r="C14" i="731"/>
  <c r="G13" i="730"/>
  <c r="C14" i="730"/>
  <c r="C14" i="729"/>
  <c r="O15" i="150"/>
  <c r="G14" i="740" l="1"/>
  <c r="C15" i="740"/>
  <c r="G14" i="739"/>
  <c r="C15" i="739"/>
  <c r="G14" i="738"/>
  <c r="C15" i="738"/>
  <c r="G14" i="737"/>
  <c r="C15" i="737"/>
  <c r="G14" i="735"/>
  <c r="C15" i="735"/>
  <c r="C15" i="733"/>
  <c r="G14" i="732"/>
  <c r="C15" i="732"/>
  <c r="G14" i="731"/>
  <c r="C15" i="731"/>
  <c r="G14" i="730"/>
  <c r="C15" i="730"/>
  <c r="G14" i="729"/>
  <c r="C15" i="729"/>
  <c r="A2" i="137"/>
  <c r="A2" i="4"/>
  <c r="F24" i="1"/>
  <c r="F19" i="4"/>
  <c r="F9" i="137"/>
  <c r="F6" i="137"/>
  <c r="F23" i="4"/>
  <c r="F8" i="4"/>
  <c r="C16" i="740" l="1"/>
  <c r="G15" i="740"/>
  <c r="C16" i="739"/>
  <c r="G15" i="739"/>
  <c r="C16" i="738"/>
  <c r="G15" i="738"/>
  <c r="C16" i="737"/>
  <c r="G15" i="737"/>
  <c r="C16" i="735"/>
  <c r="G15" i="735"/>
  <c r="G15" i="733"/>
  <c r="C16" i="733"/>
  <c r="C16" i="732"/>
  <c r="G15" i="732"/>
  <c r="C16" i="731"/>
  <c r="G15" i="731"/>
  <c r="C16" i="730"/>
  <c r="G15" i="730"/>
  <c r="C16" i="729"/>
  <c r="G15" i="729"/>
  <c r="AX6" i="137"/>
  <c r="C17" i="740" l="1"/>
  <c r="G16" i="740"/>
  <c r="C17" i="739"/>
  <c r="G16" i="739"/>
  <c r="C17" i="738"/>
  <c r="G16" i="738"/>
  <c r="C17" i="737"/>
  <c r="G16" i="737"/>
  <c r="C17" i="735"/>
  <c r="G16" i="735"/>
  <c r="C17" i="733"/>
  <c r="G16" i="733"/>
  <c r="C17" i="732"/>
  <c r="G16" i="732"/>
  <c r="C17" i="731"/>
  <c r="G16" i="731"/>
  <c r="C17" i="730"/>
  <c r="G16" i="730"/>
  <c r="C17" i="729"/>
  <c r="G16" i="729"/>
  <c r="E7" i="439"/>
  <c r="D8" i="439"/>
  <c r="E8" i="439"/>
  <c r="D9" i="439"/>
  <c r="E9" i="439"/>
  <c r="D10" i="439"/>
  <c r="E10"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7" i="740" l="1"/>
  <c r="C18" i="740"/>
  <c r="G17" i="739"/>
  <c r="C18" i="739"/>
  <c r="G17" i="738"/>
  <c r="C18" i="738"/>
  <c r="G17" i="737"/>
  <c r="C18" i="737"/>
  <c r="G17" i="735"/>
  <c r="C18" i="735"/>
  <c r="G17" i="733"/>
  <c r="C18" i="733"/>
  <c r="G17" i="732"/>
  <c r="C18" i="732"/>
  <c r="G17" i="731"/>
  <c r="C18" i="731"/>
  <c r="G17" i="730"/>
  <c r="C18" i="730"/>
  <c r="G17" i="729"/>
  <c r="C18" i="729"/>
  <c r="I13" i="95"/>
  <c r="G18" i="740" l="1"/>
  <c r="C19" i="740"/>
  <c r="G18" i="739"/>
  <c r="C19" i="739"/>
  <c r="G18" i="738"/>
  <c r="C19" i="738"/>
  <c r="G18" i="737"/>
  <c r="C19" i="737"/>
  <c r="G18" i="735"/>
  <c r="C19" i="735"/>
  <c r="G18" i="733"/>
  <c r="C19" i="733"/>
  <c r="G18" i="732"/>
  <c r="C19" i="732"/>
  <c r="G18" i="731"/>
  <c r="C19" i="731"/>
  <c r="G18" i="730"/>
  <c r="C19" i="730"/>
  <c r="G18" i="729"/>
  <c r="C19" i="729"/>
  <c r="AX2" i="137"/>
  <c r="AX3" i="137"/>
  <c r="C20" i="740" l="1"/>
  <c r="G19" i="740"/>
  <c r="C20" i="739"/>
  <c r="G19" i="739"/>
  <c r="C20" i="738"/>
  <c r="G19" i="738"/>
  <c r="C20" i="737"/>
  <c r="G19" i="737"/>
  <c r="C20" i="735"/>
  <c r="G19" i="735"/>
  <c r="C20" i="733"/>
  <c r="G19" i="733"/>
  <c r="G19" i="732"/>
  <c r="C20" i="732"/>
  <c r="C20" i="731"/>
  <c r="G19" i="731"/>
  <c r="C20" i="730"/>
  <c r="G19" i="730"/>
  <c r="C20" i="729"/>
  <c r="G19" i="729"/>
  <c r="F21" i="1"/>
  <c r="C21" i="740" l="1"/>
  <c r="G20" i="740"/>
  <c r="C21" i="739"/>
  <c r="G20" i="739"/>
  <c r="C21" i="738"/>
  <c r="G20" i="738"/>
  <c r="C21" i="737"/>
  <c r="G20" i="737"/>
  <c r="C21" i="735"/>
  <c r="G20" i="735"/>
  <c r="C21" i="733"/>
  <c r="G20" i="733"/>
  <c r="C21" i="732"/>
  <c r="G20" i="732"/>
  <c r="C21" i="731"/>
  <c r="G20" i="731"/>
  <c r="C21" i="730"/>
  <c r="G20" i="730"/>
  <c r="C21" i="729"/>
  <c r="G20" i="729"/>
  <c r="F9" i="4"/>
  <c r="F5" i="4"/>
  <c r="G21" i="740" l="1"/>
  <c r="C22" i="740"/>
  <c r="G21" i="739"/>
  <c r="C22" i="739"/>
  <c r="G21" i="738"/>
  <c r="C22" i="738"/>
  <c r="G21" i="737"/>
  <c r="C22" i="737"/>
  <c r="G21" i="735"/>
  <c r="C22" i="735"/>
  <c r="G21" i="733"/>
  <c r="C22" i="733"/>
  <c r="G21" i="732"/>
  <c r="C22" i="732"/>
  <c r="G21" i="731"/>
  <c r="C22" i="731"/>
  <c r="G21" i="730"/>
  <c r="C22" i="730"/>
  <c r="G21" i="729"/>
  <c r="C22" i="729"/>
  <c r="O14" i="150"/>
  <c r="O13" i="150"/>
  <c r="N15" i="150"/>
  <c r="M15" i="150"/>
  <c r="N14" i="150"/>
  <c r="M14" i="150"/>
  <c r="N13" i="150"/>
  <c r="M13" i="150"/>
  <c r="G22" i="740" l="1"/>
  <c r="C23" i="740"/>
  <c r="G22" i="739"/>
  <c r="C23" i="739"/>
  <c r="G22" i="738"/>
  <c r="C23" i="738"/>
  <c r="G22" i="737"/>
  <c r="C23" i="737"/>
  <c r="G22" i="735"/>
  <c r="C23" i="735"/>
  <c r="G22" i="733"/>
  <c r="C23" i="733"/>
  <c r="G22" i="732"/>
  <c r="C23" i="732"/>
  <c r="G22" i="731"/>
  <c r="C23" i="731"/>
  <c r="G22" i="730"/>
  <c r="C23" i="730"/>
  <c r="G22" i="729"/>
  <c r="C23" i="729"/>
  <c r="F9" i="439"/>
  <c r="G15" i="150"/>
  <c r="H15" i="150" s="1"/>
  <c r="AX13" i="150"/>
  <c r="AX14" i="150"/>
  <c r="AX15" i="150"/>
  <c r="D14" i="150"/>
  <c r="G14" i="150" s="1"/>
  <c r="H14" i="150" s="1"/>
  <c r="D13" i="150"/>
  <c r="G13" i="150" s="1"/>
  <c r="H13" i="150" s="1"/>
  <c r="C24" i="740" l="1"/>
  <c r="G23" i="740"/>
  <c r="C24" i="739"/>
  <c r="G23" i="739"/>
  <c r="G23" i="738"/>
  <c r="C24" i="738"/>
  <c r="C24" i="737"/>
  <c r="G23" i="737"/>
  <c r="C24" i="735"/>
  <c r="G23" i="735"/>
  <c r="C24" i="733"/>
  <c r="G23" i="733"/>
  <c r="C24" i="732"/>
  <c r="G23" i="732"/>
  <c r="G23" i="731"/>
  <c r="C24" i="731"/>
  <c r="C24" i="730"/>
  <c r="G23" i="730"/>
  <c r="C24" i="729"/>
  <c r="G23" i="729"/>
  <c r="F28" i="1"/>
  <c r="C25" i="740" l="1"/>
  <c r="G24" i="740"/>
  <c r="C25" i="739"/>
  <c r="G24" i="739"/>
  <c r="C25" i="738"/>
  <c r="G24" i="738"/>
  <c r="C25" i="737"/>
  <c r="G24" i="737"/>
  <c r="C25" i="735"/>
  <c r="G24" i="735"/>
  <c r="C25" i="733"/>
  <c r="G24" i="733"/>
  <c r="C25" i="732"/>
  <c r="G24" i="732"/>
  <c r="C25" i="731"/>
  <c r="G24" i="731"/>
  <c r="C25" i="730"/>
  <c r="G24" i="730"/>
  <c r="C25" i="729"/>
  <c r="G24" i="729"/>
  <c r="G21" i="1"/>
  <c r="H21" i="1" s="1"/>
  <c r="G22" i="1"/>
  <c r="G25" i="740" l="1"/>
  <c r="C26" i="740"/>
  <c r="G25" i="739"/>
  <c r="C26" i="739"/>
  <c r="G25" i="738"/>
  <c r="C26" i="738"/>
  <c r="G25" i="737"/>
  <c r="C26" i="737"/>
  <c r="G25" i="735"/>
  <c r="C26" i="735"/>
  <c r="G25" i="733"/>
  <c r="C26" i="733"/>
  <c r="G25" i="732"/>
  <c r="C26" i="732"/>
  <c r="G25" i="731"/>
  <c r="C26" i="731"/>
  <c r="G25" i="730"/>
  <c r="C26" i="730"/>
  <c r="G25" i="729"/>
  <c r="C26" i="729"/>
  <c r="M21" i="1"/>
  <c r="G26" i="740" l="1"/>
  <c r="C27" i="740"/>
  <c r="G26" i="739"/>
  <c r="C27" i="739"/>
  <c r="G26" i="738"/>
  <c r="C27" i="738"/>
  <c r="G26" i="737"/>
  <c r="C27" i="737"/>
  <c r="G26" i="735"/>
  <c r="C27" i="735"/>
  <c r="G26" i="733"/>
  <c r="C27" i="733"/>
  <c r="G26" i="732"/>
  <c r="C27" i="732"/>
  <c r="G26" i="731"/>
  <c r="C27" i="731"/>
  <c r="G26" i="730"/>
  <c r="C27" i="730"/>
  <c r="G26" i="729"/>
  <c r="C27" i="729"/>
  <c r="F12" i="150"/>
  <c r="F11" i="150"/>
  <c r="F20" i="4"/>
  <c r="C28" i="740" l="1"/>
  <c r="G27" i="740"/>
  <c r="G27" i="739"/>
  <c r="C28" i="739"/>
  <c r="C28" i="738"/>
  <c r="G27" i="738"/>
  <c r="G27" i="737"/>
  <c r="C28" i="737"/>
  <c r="C28" i="735"/>
  <c r="G27" i="735"/>
  <c r="C28" i="733"/>
  <c r="G27" i="733"/>
  <c r="G27" i="732"/>
  <c r="C28" i="732"/>
  <c r="G27" i="731"/>
  <c r="C28" i="731"/>
  <c r="C28" i="730"/>
  <c r="G27" i="730"/>
  <c r="C28" i="729"/>
  <c r="G27" i="729"/>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29" i="740" l="1"/>
  <c r="G28" i="740"/>
  <c r="C29" i="739"/>
  <c r="G28" i="739"/>
  <c r="C29" i="738"/>
  <c r="G28" i="738"/>
  <c r="C29" i="737"/>
  <c r="G28" i="737"/>
  <c r="C29" i="735"/>
  <c r="G28" i="735"/>
  <c r="C29" i="733"/>
  <c r="G28" i="733"/>
  <c r="C29" i="732"/>
  <c r="G28" i="732"/>
  <c r="C29" i="731"/>
  <c r="G28" i="731"/>
  <c r="C29" i="730"/>
  <c r="G28" i="730"/>
  <c r="C29" i="729"/>
  <c r="G28" i="729"/>
  <c r="AV4" i="150"/>
  <c r="G29" i="740" l="1"/>
  <c r="C30" i="740"/>
  <c r="G29" i="739"/>
  <c r="C30" i="739"/>
  <c r="G29" i="738"/>
  <c r="C30" i="738"/>
  <c r="G29" i="737"/>
  <c r="C30" i="737"/>
  <c r="G29" i="735"/>
  <c r="C30" i="735"/>
  <c r="G29" i="733"/>
  <c r="C30" i="733"/>
  <c r="G29" i="732"/>
  <c r="C30" i="732"/>
  <c r="G29" i="731"/>
  <c r="C30" i="731"/>
  <c r="G29" i="730"/>
  <c r="C30" i="730"/>
  <c r="G29" i="729"/>
  <c r="C30" i="729"/>
  <c r="F8" i="150"/>
  <c r="F10" i="137"/>
  <c r="G30" i="740" l="1"/>
  <c r="C31" i="740"/>
  <c r="G30" i="739"/>
  <c r="C31" i="739"/>
  <c r="G30" i="738"/>
  <c r="C31" i="738"/>
  <c r="G30" i="737"/>
  <c r="C31" i="737"/>
  <c r="G30" i="735"/>
  <c r="C31" i="735"/>
  <c r="G30" i="733"/>
  <c r="C31" i="733"/>
  <c r="G30" i="732"/>
  <c r="C31" i="732"/>
  <c r="G30" i="731"/>
  <c r="C31" i="731"/>
  <c r="G30" i="730"/>
  <c r="C31" i="730"/>
  <c r="G30" i="729"/>
  <c r="C31" i="729"/>
  <c r="M12" i="137"/>
  <c r="AX12" i="137"/>
  <c r="H12" i="137"/>
  <c r="G31" i="740" l="1"/>
  <c r="C32" i="740"/>
  <c r="C32" i="739"/>
  <c r="G31" i="739"/>
  <c r="C32" i="738"/>
  <c r="G31" i="738"/>
  <c r="G31" i="737"/>
  <c r="C32" i="737"/>
  <c r="G31" i="735"/>
  <c r="C32" i="735"/>
  <c r="G31" i="733"/>
  <c r="C32" i="733"/>
  <c r="G31" i="732"/>
  <c r="C32" i="732"/>
  <c r="C32" i="731"/>
  <c r="G31" i="731"/>
  <c r="G31" i="730"/>
  <c r="C32" i="730"/>
  <c r="C32" i="729"/>
  <c r="G31" i="729"/>
  <c r="H5" i="95"/>
  <c r="C33" i="740" l="1"/>
  <c r="G32" i="740"/>
  <c r="C33" i="739"/>
  <c r="G32" i="739"/>
  <c r="C33" i="738"/>
  <c r="G32" i="738"/>
  <c r="C33" i="737"/>
  <c r="G32" i="737"/>
  <c r="C33" i="735"/>
  <c r="G32" i="735"/>
  <c r="C33" i="733"/>
  <c r="G32" i="733"/>
  <c r="C33" i="732"/>
  <c r="G32" i="732"/>
  <c r="C33" i="731"/>
  <c r="G32" i="731"/>
  <c r="C33" i="730"/>
  <c r="G32" i="730"/>
  <c r="C33" i="729"/>
  <c r="G32" i="729"/>
  <c r="D10" i="150"/>
  <c r="U13" i="120"/>
  <c r="G20" i="4"/>
  <c r="G33" i="740" l="1"/>
  <c r="C34" i="740"/>
  <c r="G33" i="739"/>
  <c r="C34" i="739"/>
  <c r="G33" i="738"/>
  <c r="C34" i="738"/>
  <c r="G33" i="737"/>
  <c r="C34" i="737"/>
  <c r="G33" i="735"/>
  <c r="C34" i="735"/>
  <c r="G33" i="733"/>
  <c r="C34" i="733"/>
  <c r="G33" i="732"/>
  <c r="C34" i="732"/>
  <c r="G33" i="731"/>
  <c r="C34" i="731"/>
  <c r="G33" i="730"/>
  <c r="C34" i="730"/>
  <c r="G33" i="729"/>
  <c r="C34" i="729"/>
  <c r="B2" i="137"/>
  <c r="F15" i="137"/>
  <c r="F8" i="137"/>
  <c r="G34" i="740" l="1"/>
  <c r="C35" i="740"/>
  <c r="G34" i="739"/>
  <c r="C35" i="739"/>
  <c r="G34" i="738"/>
  <c r="C35" i="738"/>
  <c r="G34" i="737"/>
  <c r="C35" i="737"/>
  <c r="G34" i="735"/>
  <c r="C35" i="735"/>
  <c r="G34" i="733"/>
  <c r="C35" i="733"/>
  <c r="G34" i="732"/>
  <c r="C35" i="732"/>
  <c r="G34" i="731"/>
  <c r="C35" i="731"/>
  <c r="G34" i="730"/>
  <c r="C35" i="730"/>
  <c r="G34" i="729"/>
  <c r="C35" i="729"/>
  <c r="G9" i="4"/>
  <c r="G18" i="4"/>
  <c r="G5" i="4"/>
  <c r="G35" i="740" l="1"/>
  <c r="C36" i="740"/>
  <c r="C36" i="739"/>
  <c r="G35" i="739"/>
  <c r="G35" i="738"/>
  <c r="C36" i="738"/>
  <c r="G35" i="737"/>
  <c r="C36" i="737"/>
  <c r="G35" i="735"/>
  <c r="C36" i="735"/>
  <c r="C36" i="733"/>
  <c r="G35" i="733"/>
  <c r="C36" i="732"/>
  <c r="G35" i="732"/>
  <c r="C36" i="731"/>
  <c r="G35" i="731"/>
  <c r="C36" i="730"/>
  <c r="G35" i="730"/>
  <c r="C36" i="729"/>
  <c r="G35" i="729"/>
  <c r="A22" i="150"/>
  <c r="A26" i="4"/>
  <c r="C37" i="740" l="1"/>
  <c r="G36" i="740"/>
  <c r="C37" i="739"/>
  <c r="G36" i="739"/>
  <c r="H34" i="739"/>
  <c r="C37" i="738"/>
  <c r="G36" i="738"/>
  <c r="H36" i="738" s="1"/>
  <c r="H34" i="738"/>
  <c r="H35" i="737"/>
  <c r="C37" i="737"/>
  <c r="G36" i="737"/>
  <c r="H36" i="737" s="1"/>
  <c r="C37" i="735"/>
  <c r="G36" i="735"/>
  <c r="H36" i="735" s="1"/>
  <c r="C37" i="733"/>
  <c r="G36" i="733"/>
  <c r="H36" i="733" s="1"/>
  <c r="H32" i="733"/>
  <c r="C37" i="732"/>
  <c r="G36" i="732"/>
  <c r="C37" i="731"/>
  <c r="G36" i="731"/>
  <c r="C37" i="730"/>
  <c r="G36" i="730"/>
  <c r="C37" i="729"/>
  <c r="H33" i="729" s="1"/>
  <c r="G36" i="729"/>
  <c r="A28" i="4"/>
  <c r="H5" i="4"/>
  <c r="M5" i="4"/>
  <c r="G37" i="740" l="1"/>
  <c r="G38" i="740"/>
  <c r="H38" i="740" s="1"/>
  <c r="H9" i="740"/>
  <c r="H8" i="740"/>
  <c r="H11" i="740" s="1"/>
  <c r="H12" i="740"/>
  <c r="H14" i="740"/>
  <c r="H16" i="740"/>
  <c r="H13" i="740"/>
  <c r="H15" i="740"/>
  <c r="H17" i="740"/>
  <c r="H20" i="740"/>
  <c r="H19" i="740"/>
  <c r="H18" i="740"/>
  <c r="H24" i="740"/>
  <c r="H21" i="740"/>
  <c r="H22" i="740"/>
  <c r="H25" i="740"/>
  <c r="H23" i="740"/>
  <c r="H27" i="740"/>
  <c r="H26" i="740"/>
  <c r="H28" i="740"/>
  <c r="H29" i="740"/>
  <c r="H31" i="740"/>
  <c r="H32" i="740"/>
  <c r="H30" i="740"/>
  <c r="H33" i="740"/>
  <c r="H34" i="740"/>
  <c r="H36" i="740"/>
  <c r="H37" i="740"/>
  <c r="H35" i="740"/>
  <c r="G37" i="739"/>
  <c r="G38" i="739"/>
  <c r="H38" i="739" s="1"/>
  <c r="H9" i="739"/>
  <c r="H10" i="739"/>
  <c r="H8" i="739"/>
  <c r="H11" i="739"/>
  <c r="H12" i="739" s="1"/>
  <c r="H13" i="739"/>
  <c r="H14" i="739"/>
  <c r="H16" i="739"/>
  <c r="H17" i="739"/>
  <c r="H15" i="739"/>
  <c r="H20" i="739"/>
  <c r="H18" i="739"/>
  <c r="H19" i="739"/>
  <c r="H24" i="739"/>
  <c r="H21" i="739"/>
  <c r="H22" i="739"/>
  <c r="H23" i="739"/>
  <c r="H26" i="739"/>
  <c r="H29" i="739"/>
  <c r="H25" i="739"/>
  <c r="H27" i="739"/>
  <c r="H28" i="739"/>
  <c r="H30" i="739"/>
  <c r="H32" i="739"/>
  <c r="H35" i="739"/>
  <c r="H31" i="739"/>
  <c r="H33" i="739"/>
  <c r="H36" i="739"/>
  <c r="H37" i="739"/>
  <c r="G37" i="738"/>
  <c r="H37" i="738" s="1"/>
  <c r="G38" i="738"/>
  <c r="H38" i="738" s="1"/>
  <c r="H8" i="738"/>
  <c r="H9" i="738" s="1"/>
  <c r="H10" i="738"/>
  <c r="H12" i="738"/>
  <c r="H11" i="738"/>
  <c r="H13" i="738"/>
  <c r="H15" i="738"/>
  <c r="H14" i="738"/>
  <c r="H16" i="738"/>
  <c r="H17" i="738"/>
  <c r="H18" i="738"/>
  <c r="H20" i="738"/>
  <c r="H21" i="738"/>
  <c r="H19" i="738"/>
  <c r="H22" i="738"/>
  <c r="H23" i="738"/>
  <c r="H24" i="738"/>
  <c r="H25" i="738"/>
  <c r="H26" i="738"/>
  <c r="H27" i="738"/>
  <c r="H28" i="738"/>
  <c r="H29" i="738"/>
  <c r="H31" i="738"/>
  <c r="H32" i="738"/>
  <c r="H30" i="738"/>
  <c r="H33" i="738"/>
  <c r="H35" i="738"/>
  <c r="G37" i="737"/>
  <c r="H37" i="737" s="1"/>
  <c r="G38" i="737"/>
  <c r="H38" i="737" s="1"/>
  <c r="H9" i="737"/>
  <c r="H8" i="737"/>
  <c r="H11" i="737" s="1"/>
  <c r="H10" i="737"/>
  <c r="H12" i="737"/>
  <c r="H14" i="737"/>
  <c r="H13" i="737"/>
  <c r="H16" i="737"/>
  <c r="H15" i="737"/>
  <c r="H17" i="737"/>
  <c r="H18" i="737"/>
  <c r="H19" i="737"/>
  <c r="H20" i="737"/>
  <c r="H21" i="737"/>
  <c r="H23" i="737"/>
  <c r="H24" i="737"/>
  <c r="H22" i="737"/>
  <c r="H27" i="737"/>
  <c r="H25" i="737"/>
  <c r="H26" i="737"/>
  <c r="H30" i="737"/>
  <c r="H28" i="737"/>
  <c r="H29" i="737"/>
  <c r="H32" i="737"/>
  <c r="H34" i="737"/>
  <c r="H33" i="737"/>
  <c r="H31" i="737"/>
  <c r="G37" i="735"/>
  <c r="H37" i="735" s="1"/>
  <c r="G38" i="735"/>
  <c r="H38" i="735" s="1"/>
  <c r="H8" i="735"/>
  <c r="H9" i="735"/>
  <c r="H12" i="735"/>
  <c r="H13" i="735"/>
  <c r="H16" i="735"/>
  <c r="H14" i="735"/>
  <c r="H15" i="735"/>
  <c r="H17" i="735"/>
  <c r="H18" i="735"/>
  <c r="H20" i="735"/>
  <c r="H21" i="735"/>
  <c r="H19" i="735"/>
  <c r="H23" i="735"/>
  <c r="H22" i="735"/>
  <c r="H25" i="735"/>
  <c r="H24" i="735"/>
  <c r="H26" i="735"/>
  <c r="H27" i="735"/>
  <c r="H29" i="735"/>
  <c r="H28" i="735"/>
  <c r="H30" i="735"/>
  <c r="H31" i="735"/>
  <c r="H33" i="735"/>
  <c r="H32" i="735"/>
  <c r="H35" i="735"/>
  <c r="H34" i="735"/>
  <c r="H33" i="733"/>
  <c r="G37" i="733"/>
  <c r="H37" i="733" s="1"/>
  <c r="G38" i="733"/>
  <c r="H38" i="733" s="1"/>
  <c r="H10" i="733"/>
  <c r="H8" i="733"/>
  <c r="H9" i="733"/>
  <c r="H12" i="733"/>
  <c r="H11" i="733"/>
  <c r="H13" i="733"/>
  <c r="H17" i="733"/>
  <c r="H16" i="733"/>
  <c r="H18" i="733"/>
  <c r="H20" i="733"/>
  <c r="H21" i="733"/>
  <c r="H22" i="733"/>
  <c r="H19" i="733"/>
  <c r="H23" i="733"/>
  <c r="H24" i="733"/>
  <c r="H25" i="733"/>
  <c r="H26" i="733"/>
  <c r="H27" i="733"/>
  <c r="H28" i="733"/>
  <c r="H29" i="733"/>
  <c r="H30" i="733"/>
  <c r="H31" i="733"/>
  <c r="H34" i="733"/>
  <c r="H35" i="733"/>
  <c r="H36" i="732"/>
  <c r="H34" i="732"/>
  <c r="H35" i="732"/>
  <c r="G37" i="732"/>
  <c r="H37" i="732" s="1"/>
  <c r="G38" i="732"/>
  <c r="H38" i="732" s="1"/>
  <c r="H9" i="732"/>
  <c r="H8" i="732"/>
  <c r="H10" i="732"/>
  <c r="H13" i="732"/>
  <c r="H16" i="732"/>
  <c r="H15" i="732"/>
  <c r="H14" i="732"/>
  <c r="H19" i="732"/>
  <c r="H17" i="732"/>
  <c r="H18" i="732"/>
  <c r="H21" i="732"/>
  <c r="H20" i="732"/>
  <c r="H22" i="732"/>
  <c r="H24" i="732"/>
  <c r="H23" i="732"/>
  <c r="H25" i="732"/>
  <c r="H27" i="732"/>
  <c r="H28" i="732"/>
  <c r="H26" i="732"/>
  <c r="H29" i="732"/>
  <c r="H30" i="732"/>
  <c r="H31" i="732"/>
  <c r="H32" i="732"/>
  <c r="H33" i="732"/>
  <c r="G37" i="731"/>
  <c r="H37" i="731" s="1"/>
  <c r="G38" i="731"/>
  <c r="H38" i="731" s="1"/>
  <c r="H9" i="731"/>
  <c r="H8" i="731"/>
  <c r="H10" i="731"/>
  <c r="H13" i="731"/>
  <c r="H15" i="731"/>
  <c r="H14" i="731"/>
  <c r="H16" i="731"/>
  <c r="H17" i="731"/>
  <c r="H18" i="731"/>
  <c r="H19" i="731"/>
  <c r="H20" i="731"/>
  <c r="H21" i="731"/>
  <c r="H22" i="731"/>
  <c r="H23" i="731"/>
  <c r="H24" i="731"/>
  <c r="H25" i="731"/>
  <c r="H26" i="731"/>
  <c r="H27" i="731"/>
  <c r="H28" i="731"/>
  <c r="H29" i="731"/>
  <c r="H30" i="731"/>
  <c r="H33" i="731"/>
  <c r="H32" i="731"/>
  <c r="H31" i="731"/>
  <c r="H34" i="731"/>
  <c r="H35" i="731"/>
  <c r="H36" i="731"/>
  <c r="G37" i="730"/>
  <c r="H37" i="730" s="1"/>
  <c r="G38" i="730"/>
  <c r="H38" i="730" s="1"/>
  <c r="H9" i="730"/>
  <c r="H10" i="730"/>
  <c r="H8" i="730"/>
  <c r="H16" i="730"/>
  <c r="H13" i="730"/>
  <c r="H14" i="730"/>
  <c r="H15" i="730"/>
  <c r="H18" i="730"/>
  <c r="H17" i="730"/>
  <c r="H19" i="730"/>
  <c r="H21" i="730"/>
  <c r="H20" i="730"/>
  <c r="H23" i="730"/>
  <c r="H22" i="730"/>
  <c r="H24" i="730"/>
  <c r="H25" i="730"/>
  <c r="H28" i="730"/>
  <c r="H26" i="730"/>
  <c r="H27" i="730"/>
  <c r="H30" i="730"/>
  <c r="H29" i="730"/>
  <c r="H31" i="730"/>
  <c r="H33" i="730"/>
  <c r="H34" i="730"/>
  <c r="H32" i="730"/>
  <c r="H35" i="730"/>
  <c r="H36" i="730"/>
  <c r="G37" i="729"/>
  <c r="H37" i="729" s="1"/>
  <c r="G38" i="729"/>
  <c r="H38" i="729" s="1"/>
  <c r="H11" i="729"/>
  <c r="H9" i="729"/>
  <c r="H10" i="729"/>
  <c r="H8" i="729"/>
  <c r="H12" i="729"/>
  <c r="H14" i="729"/>
  <c r="H16" i="729"/>
  <c r="H15" i="729"/>
  <c r="H20" i="729"/>
  <c r="H18" i="729"/>
  <c r="H17" i="729"/>
  <c r="H21" i="729"/>
  <c r="H19" i="729"/>
  <c r="H23" i="729"/>
  <c r="H24" i="729"/>
  <c r="H22" i="729"/>
  <c r="H25" i="729"/>
  <c r="H26" i="729"/>
  <c r="H27" i="729"/>
  <c r="H28" i="729"/>
  <c r="H30" i="729"/>
  <c r="H29" i="729"/>
  <c r="H32" i="729"/>
  <c r="H31" i="729"/>
  <c r="H34" i="729"/>
  <c r="H35" i="729"/>
  <c r="H36" i="729"/>
  <c r="AW4" i="4"/>
  <c r="H11" i="735" l="1"/>
  <c r="H15" i="733"/>
  <c r="H12" i="732"/>
  <c r="H12" i="731"/>
  <c r="H12" i="730"/>
  <c r="I12" i="95"/>
  <c r="AW4" i="150" l="1"/>
  <c r="A32" i="1" l="1"/>
  <c r="M11" i="120" l="1"/>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C18" i="439" l="1"/>
  <c r="P11" i="150"/>
  <c r="P4" i="150" s="1"/>
  <c r="G18" i="439" l="1"/>
  <c r="C19" i="439"/>
  <c r="C20" i="439" l="1"/>
  <c r="G19" i="439"/>
  <c r="AX9" i="50"/>
  <c r="Z6" i="50"/>
  <c r="AH11" i="50"/>
  <c r="S8" i="50"/>
  <c r="AB9" i="50"/>
  <c r="W11" i="50"/>
  <c r="AO7" i="50"/>
  <c r="R11" i="50"/>
  <c r="AM11" i="50"/>
  <c r="X9" i="50"/>
  <c r="AU6" i="50"/>
  <c r="AU11" i="50"/>
  <c r="V7" i="50"/>
  <c r="AC6" i="50"/>
  <c r="AW9" i="50"/>
  <c r="AW11" i="50"/>
  <c r="AV8" i="50"/>
  <c r="AC9" i="50"/>
  <c r="AP11" i="50"/>
  <c r="W10" i="50"/>
  <c r="AG7" i="50"/>
  <c r="Y10" i="50"/>
  <c r="AX6" i="50"/>
  <c r="Z10" i="50"/>
  <c r="P9" i="50"/>
  <c r="AD11" i="50"/>
  <c r="BA8" i="50"/>
  <c r="L7" i="50"/>
  <c r="AY10" i="50"/>
  <c r="Q11" i="50"/>
  <c r="W7" i="50"/>
  <c r="AH8" i="50"/>
  <c r="T7" i="50"/>
  <c r="AA6" i="50"/>
  <c r="Y6" i="50"/>
  <c r="AM8" i="50"/>
  <c r="AN8" i="50"/>
  <c r="AJ10" i="50"/>
  <c r="AL7" i="50"/>
  <c r="AH7" i="50"/>
  <c r="S9" i="50"/>
  <c r="AY7" i="50"/>
  <c r="AT6" i="50"/>
  <c r="AP8" i="50"/>
  <c r="AM6" i="50"/>
  <c r="BB7" i="50"/>
  <c r="AR9" i="50"/>
  <c r="BA9" i="50"/>
  <c r="Z7" i="50"/>
  <c r="U9" i="50"/>
  <c r="M6" i="50"/>
  <c r="O8" i="50"/>
  <c r="BA6" i="50"/>
  <c r="N10" i="50"/>
  <c r="AK9" i="50"/>
  <c r="AO11" i="50"/>
  <c r="AJ8" i="50"/>
  <c r="AT10" i="50"/>
  <c r="S10" i="50"/>
  <c r="V10" i="50"/>
  <c r="BB6" i="50"/>
  <c r="U8" i="50"/>
  <c r="AJ6" i="50"/>
  <c r="AD9" i="50"/>
  <c r="N9" i="50"/>
  <c r="W8" i="50"/>
  <c r="AG10" i="50"/>
  <c r="V6" i="50"/>
  <c r="AW10" i="50"/>
  <c r="AQ7" i="50"/>
  <c r="BC11" i="50"/>
  <c r="AF8" i="50"/>
  <c r="R7" i="50"/>
  <c r="O6" i="50"/>
  <c r="X11" i="50"/>
  <c r="V9" i="50"/>
  <c r="U11" i="50"/>
  <c r="AZ11" i="50"/>
  <c r="P7" i="50"/>
  <c r="AT9" i="50"/>
  <c r="AJ7" i="50"/>
  <c r="AG9" i="50"/>
  <c r="BA11" i="50"/>
  <c r="N11" i="50"/>
  <c r="L8" i="50"/>
  <c r="T11" i="50"/>
  <c r="AY6" i="50"/>
  <c r="AR7" i="50"/>
  <c r="AN11" i="50"/>
  <c r="AC11" i="50"/>
  <c r="AQ10" i="50"/>
  <c r="AI7" i="50"/>
  <c r="AI11" i="50"/>
  <c r="AS6" i="50"/>
  <c r="R6" i="50"/>
  <c r="Y8" i="50"/>
  <c r="M10" i="50"/>
  <c r="AV7" i="50"/>
  <c r="AT7" i="50"/>
  <c r="AQ9" i="50"/>
  <c r="AG6" i="50"/>
  <c r="AZ6" i="50"/>
  <c r="AH10" i="50"/>
  <c r="AW6" i="50"/>
  <c r="AB8" i="50"/>
  <c r="Z11" i="50"/>
  <c r="AF6" i="50"/>
  <c r="Q8" i="50"/>
  <c r="AO6" i="50"/>
  <c r="AQ6" i="50"/>
  <c r="AL11" i="50"/>
  <c r="AT11" i="50"/>
  <c r="AD8" i="50"/>
  <c r="AK6" i="50"/>
  <c r="AG8" i="50"/>
  <c r="AK8" i="50"/>
  <c r="Q7" i="50"/>
  <c r="AW7" i="50"/>
  <c r="BB8" i="50"/>
  <c r="AS7" i="50"/>
  <c r="AS11" i="50"/>
  <c r="AC10" i="50"/>
  <c r="AV11" i="50"/>
  <c r="O7" i="50"/>
  <c r="M7" i="50"/>
  <c r="AN6" i="50"/>
  <c r="P11" i="50"/>
  <c r="W6" i="50"/>
  <c r="AI8" i="50"/>
  <c r="AF9" i="50"/>
  <c r="AR8" i="50"/>
  <c r="AX8" i="50"/>
  <c r="AE9" i="50"/>
  <c r="N8" i="50"/>
  <c r="AV6" i="50"/>
  <c r="AL8" i="50"/>
  <c r="Q6" i="50"/>
  <c r="AG11" i="50"/>
  <c r="M11" i="50"/>
  <c r="AJ11" i="50"/>
  <c r="AO9" i="50"/>
  <c r="AE6" i="50"/>
  <c r="BC10" i="50"/>
  <c r="X8" i="50"/>
  <c r="L6" i="50"/>
  <c r="AS10" i="50"/>
  <c r="AL10" i="50"/>
  <c r="BB9" i="50"/>
  <c r="AK7" i="50"/>
  <c r="AA8" i="50"/>
  <c r="AR10" i="50"/>
  <c r="AD6" i="50"/>
  <c r="L9" i="50"/>
  <c r="AZ8" i="50"/>
  <c r="AJ9" i="50"/>
  <c r="AP10" i="50"/>
  <c r="AN10" i="50"/>
  <c r="AX7" i="50"/>
  <c r="AQ8" i="50"/>
  <c r="O9" i="50"/>
  <c r="AL6" i="50"/>
  <c r="U7" i="50"/>
  <c r="AZ10" i="50"/>
  <c r="BC6" i="50"/>
  <c r="AW8" i="50"/>
  <c r="Y11" i="50"/>
  <c r="W9" i="50"/>
  <c r="S6" i="50"/>
  <c r="AP9" i="50"/>
  <c r="AI9" i="50"/>
  <c r="Q9" i="50"/>
  <c r="BC7" i="50"/>
  <c r="X7" i="50"/>
  <c r="AS8" i="50"/>
  <c r="T6" i="50"/>
  <c r="AZ9" i="50"/>
  <c r="AK10" i="50"/>
  <c r="P6" i="50"/>
  <c r="AE7" i="50"/>
  <c r="AB11" i="50"/>
  <c r="M8" i="50"/>
  <c r="AE8" i="50"/>
  <c r="AU7" i="50"/>
  <c r="AR6" i="50"/>
  <c r="S7" i="50"/>
  <c r="AN9" i="50"/>
  <c r="Y9" i="50"/>
  <c r="AR11" i="50"/>
  <c r="AY11" i="50"/>
  <c r="BC9" i="50"/>
  <c r="AE10" i="50"/>
  <c r="N7" i="50"/>
  <c r="AP6" i="50"/>
  <c r="BB10" i="50"/>
  <c r="AU9" i="50"/>
  <c r="T8" i="50"/>
  <c r="O11" i="50"/>
  <c r="T10" i="50"/>
  <c r="AF11" i="50"/>
  <c r="P10" i="50"/>
  <c r="AA9" i="50"/>
  <c r="L11" i="50"/>
  <c r="AO8" i="50"/>
  <c r="AE11" i="50"/>
  <c r="AI6" i="50"/>
  <c r="BB11" i="50"/>
  <c r="AX10" i="50"/>
  <c r="AB6" i="50"/>
  <c r="AF7" i="50"/>
  <c r="AI10" i="50"/>
  <c r="AL9" i="50"/>
  <c r="S11" i="50"/>
  <c r="AS9" i="50"/>
  <c r="AQ11" i="50"/>
  <c r="AM7" i="50"/>
  <c r="AD7" i="50"/>
  <c r="BC8" i="50"/>
  <c r="AC8" i="50"/>
  <c r="AD10" i="50"/>
  <c r="AN7" i="50"/>
  <c r="AB10" i="50"/>
  <c r="AH9" i="50"/>
  <c r="O10" i="50"/>
  <c r="V11" i="50"/>
  <c r="Z8" i="50"/>
  <c r="AA10" i="50"/>
  <c r="AU8" i="50"/>
  <c r="R9" i="50"/>
  <c r="M9" i="50"/>
  <c r="AU10" i="50"/>
  <c r="R8" i="50"/>
  <c r="AB7" i="50"/>
  <c r="AX11" i="50"/>
  <c r="U10" i="50"/>
  <c r="L10" i="50"/>
  <c r="AC7" i="50"/>
  <c r="AY9" i="50"/>
  <c r="BA7" i="50"/>
  <c r="X6" i="50"/>
  <c r="Q10" i="50"/>
  <c r="R10" i="50"/>
  <c r="N6" i="50"/>
  <c r="AP7" i="50"/>
  <c r="AZ7" i="50"/>
  <c r="AH6" i="50"/>
  <c r="P8" i="50"/>
  <c r="AY8" i="50"/>
  <c r="AA7" i="50"/>
  <c r="AT8" i="50"/>
  <c r="X10" i="50"/>
  <c r="AV10" i="50"/>
  <c r="AO10" i="50"/>
  <c r="BA10" i="50"/>
  <c r="AM9" i="50"/>
  <c r="Y7" i="50"/>
  <c r="AF10" i="50"/>
  <c r="AM10" i="50"/>
  <c r="AA11" i="50"/>
  <c r="U6" i="50"/>
  <c r="Z9" i="50"/>
  <c r="AK11" i="50"/>
  <c r="AV9" i="50"/>
  <c r="V8" i="50"/>
  <c r="T9" i="50"/>
  <c r="F10" i="50" l="1"/>
  <c r="W10" i="137" s="1"/>
  <c r="F6" i="50"/>
  <c r="W6" i="137" s="1"/>
  <c r="F7" i="50"/>
  <c r="W7" i="137" s="1"/>
  <c r="F8" i="50"/>
  <c r="W8" i="137" s="1"/>
  <c r="F9" i="50"/>
  <c r="W9" i="137" s="1"/>
  <c r="G20" i="439"/>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5" i="150"/>
  <c r="J15"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15" i="150" l="1"/>
  <c r="A15" i="150"/>
  <c r="K13" i="150"/>
  <c r="A13" i="150"/>
  <c r="K14" i="150"/>
  <c r="A14"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W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4" i="4" s="1"/>
  <c r="I21" i="4" s="1"/>
  <c r="J21" i="4" s="1"/>
  <c r="G40" i="50" s="1"/>
  <c r="I40" i="50" s="1"/>
  <c r="H21" i="4"/>
  <c r="AX21" i="4"/>
  <c r="D24" i="4"/>
  <c r="AX18" i="4"/>
  <c r="H18" i="4"/>
  <c r="H8" i="4"/>
  <c r="D15" i="4"/>
  <c r="D11" i="4"/>
  <c r="D25" i="4"/>
  <c r="D16" i="4"/>
  <c r="D22" i="4"/>
  <c r="D13" i="4"/>
  <c r="D10" i="4"/>
  <c r="D18" i="4"/>
  <c r="D14" i="4"/>
  <c r="D17" i="4"/>
  <c r="D8" i="4"/>
  <c r="D7" i="4"/>
  <c r="D21" i="4"/>
  <c r="AX6" i="4"/>
  <c r="D6" i="4"/>
  <c r="H6" i="4"/>
  <c r="AX4" i="4" l="1"/>
  <c r="K21" i="4"/>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N17" i="1" l="1"/>
  <c r="N20" i="1"/>
  <c r="N19" i="1"/>
  <c r="O14" i="1"/>
  <c r="A14" i="1" s="1"/>
  <c r="N12" i="4"/>
  <c r="O15" i="1"/>
  <c r="A15" i="1" s="1"/>
  <c r="N23" i="1"/>
  <c r="O5" i="1"/>
  <c r="O11" i="1"/>
  <c r="A11" i="1" s="1"/>
  <c r="O16" i="1"/>
  <c r="A16" i="1" s="1"/>
  <c r="O6" i="1"/>
  <c r="A6"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C4" i="150"/>
  <c r="AN4" i="150"/>
  <c r="X4" i="150"/>
  <c r="AI4" i="150"/>
  <c r="S4" i="150"/>
  <c r="AH4" i="150"/>
  <c r="R4" i="150"/>
  <c r="AO4" i="150"/>
  <c r="Y4" i="150"/>
  <c r="AJ4" i="150"/>
  <c r="T4" i="150"/>
  <c r="AE4" i="150"/>
  <c r="AT4" i="150"/>
  <c r="AD4" i="150"/>
  <c r="AK4" i="150"/>
  <c r="AF4" i="150"/>
  <c r="AQ4" i="150"/>
  <c r="AA4" i="150"/>
  <c r="AP4" i="150"/>
  <c r="Z4" i="150"/>
  <c r="AG4" i="150"/>
  <c r="AR4" i="150"/>
  <c r="AB4" i="150"/>
  <c r="AM4" i="150"/>
  <c r="AL4" i="150"/>
  <c r="AO4" i="4"/>
  <c r="Y4" i="4"/>
  <c r="AJ4" i="4"/>
  <c r="T4" i="4"/>
  <c r="AE4" i="4"/>
  <c r="AT4" i="4"/>
  <c r="AD4" i="4"/>
  <c r="AK4" i="4"/>
  <c r="AF4" i="4"/>
  <c r="AQ4" i="4"/>
  <c r="AA4" i="4"/>
  <c r="AP4" i="4"/>
  <c r="Z4" i="4"/>
  <c r="AG4" i="4"/>
  <c r="AR4" i="4"/>
  <c r="AB4" i="4"/>
  <c r="AM4" i="4"/>
  <c r="AL4" i="4"/>
  <c r="AS4" i="4"/>
  <c r="AC4" i="4"/>
  <c r="AN4" i="4"/>
  <c r="X4" i="4"/>
  <c r="AI4" i="4"/>
  <c r="S4" i="4"/>
  <c r="AH4" i="4"/>
  <c r="R4" i="4"/>
  <c r="AP4" i="1"/>
  <c r="Z4" i="1"/>
  <c r="AO4" i="1"/>
  <c r="Y4" i="1"/>
  <c r="AJ4" i="1"/>
  <c r="T4" i="1"/>
  <c r="AE4" i="1"/>
  <c r="AL4" i="1"/>
  <c r="AK4" i="1"/>
  <c r="AF4" i="1"/>
  <c r="AQ4" i="1"/>
  <c r="AA4" i="1"/>
  <c r="AH4" i="1"/>
  <c r="R4" i="1"/>
  <c r="AG4" i="1"/>
  <c r="AR4" i="1"/>
  <c r="AB4" i="1"/>
  <c r="AM4" i="1"/>
  <c r="AT4" i="1"/>
  <c r="AD4" i="1"/>
  <c r="AS4" i="1"/>
  <c r="AC4" i="1"/>
  <c r="AN4" i="1"/>
  <c r="X4" i="1"/>
  <c r="AI4" i="1"/>
  <c r="S4" i="1"/>
  <c r="Y4" i="137"/>
  <c r="AR4" i="137"/>
  <c r="AB4" i="137"/>
  <c r="AM4" i="137"/>
  <c r="AL4" i="137"/>
  <c r="AS4" i="137"/>
  <c r="AG4" i="137"/>
  <c r="AN4" i="137"/>
  <c r="X4" i="137"/>
  <c r="AI4" i="137"/>
  <c r="S4" i="137"/>
  <c r="AH4" i="137"/>
  <c r="R4" i="137"/>
  <c r="AC4" i="137"/>
  <c r="AK4" i="137"/>
  <c r="AJ4" i="137"/>
  <c r="T4" i="137"/>
  <c r="AE4" i="137"/>
  <c r="AT4" i="137"/>
  <c r="AD4" i="137"/>
  <c r="AO4" i="137"/>
  <c r="AF4" i="137"/>
  <c r="AQ4" i="137"/>
  <c r="AA4" i="137"/>
  <c r="AP4" i="137"/>
  <c r="Z4" i="137"/>
  <c r="AU4" i="4"/>
  <c r="AU4" i="1"/>
  <c r="AU4" i="150"/>
  <c r="AU4" i="137"/>
  <c r="U4" i="1" l="1"/>
  <c r="U4" i="4"/>
  <c r="U4" i="150"/>
  <c r="U4" i="137"/>
  <c r="AR14" i="50"/>
  <c r="AE26" i="50"/>
  <c r="AQ34" i="50"/>
  <c r="BC44" i="50"/>
  <c r="V36" i="50"/>
  <c r="AP42" i="50"/>
  <c r="U41" i="50"/>
  <c r="AU47" i="50"/>
  <c r="AF43" i="50"/>
  <c r="M49" i="50"/>
  <c r="S18" i="50"/>
  <c r="R51" i="50"/>
  <c r="AN17" i="50"/>
  <c r="U31" i="50"/>
  <c r="N39" i="50"/>
  <c r="AD36" i="50"/>
  <c r="AX41" i="50"/>
  <c r="L46" i="50"/>
  <c r="V49" i="50"/>
  <c r="X47" i="50"/>
  <c r="X33" i="50"/>
  <c r="AD31" i="50"/>
  <c r="T47" i="50"/>
  <c r="X22" i="50"/>
  <c r="AY52" i="50"/>
  <c r="S28" i="50"/>
  <c r="W5" i="50"/>
  <c r="AG45" i="50"/>
  <c r="V23" i="50"/>
  <c r="AM5" i="50"/>
  <c r="V25" i="50"/>
  <c r="AP31" i="50"/>
  <c r="AC33" i="50"/>
  <c r="AE18" i="50"/>
  <c r="U51" i="50"/>
  <c r="AU27" i="50"/>
  <c r="AB23" i="50"/>
  <c r="AA4" i="50"/>
  <c r="AJ48" i="50"/>
  <c r="P4" i="50"/>
  <c r="AY30" i="50"/>
  <c r="Z51" i="50"/>
  <c r="U16" i="50"/>
  <c r="V21" i="50"/>
  <c r="AT25" i="50"/>
  <c r="AD12" i="50"/>
  <c r="AR33" i="50"/>
  <c r="X35" i="50"/>
  <c r="AI39" i="50"/>
  <c r="N49" i="50"/>
  <c r="AW16" i="50"/>
  <c r="M21" i="50"/>
  <c r="N13" i="50"/>
  <c r="AK52" i="50"/>
  <c r="AY14" i="50"/>
  <c r="AI46" i="50"/>
  <c r="S23" i="50"/>
  <c r="AQ12" i="50"/>
  <c r="AN20" i="50"/>
  <c r="P12" i="50"/>
  <c r="S46" i="50"/>
  <c r="Q33" i="50"/>
  <c r="X40" i="50"/>
  <c r="AY19" i="50"/>
  <c r="BB24" i="50"/>
  <c r="AN21" i="50"/>
  <c r="AX47" i="50"/>
  <c r="AN48" i="50"/>
  <c r="AT37" i="50"/>
  <c r="P27" i="50"/>
  <c r="AC44" i="50"/>
  <c r="W36" i="50"/>
  <c r="T48" i="50"/>
  <c r="AQ35" i="50"/>
  <c r="AP48" i="50"/>
  <c r="AR23" i="50"/>
  <c r="AC29" i="50"/>
  <c r="O35" i="50"/>
  <c r="AD22" i="50"/>
  <c r="AE50" i="50"/>
  <c r="AI37" i="50"/>
  <c r="R48" i="50"/>
  <c r="BC29" i="50"/>
  <c r="U45" i="50"/>
  <c r="U4" i="50"/>
  <c r="AU20" i="50"/>
  <c r="AU19" i="50"/>
  <c r="AN15" i="50"/>
  <c r="AR50" i="50"/>
  <c r="Q48" i="50"/>
  <c r="AU22" i="50"/>
  <c r="AW18" i="50"/>
  <c r="AD39" i="50"/>
  <c r="Q15" i="50"/>
  <c r="AX46" i="50"/>
  <c r="AH25" i="50"/>
  <c r="L5" i="50"/>
  <c r="Q49" i="50"/>
  <c r="AY31" i="50"/>
  <c r="AX50" i="50"/>
  <c r="S40" i="50"/>
  <c r="V47" i="50"/>
  <c r="AA22" i="50"/>
  <c r="Y48" i="50"/>
  <c r="BB40" i="50"/>
  <c r="AB18" i="50"/>
  <c r="BC51" i="50"/>
  <c r="AG42" i="50"/>
  <c r="BA32" i="50"/>
  <c r="AP50" i="50"/>
  <c r="AA15" i="50"/>
  <c r="AB38" i="50"/>
  <c r="AK29" i="50"/>
  <c r="T52" i="50"/>
  <c r="Q29" i="50"/>
  <c r="AG28" i="50"/>
  <c r="V50" i="50"/>
  <c r="N16" i="50"/>
  <c r="W42" i="50"/>
  <c r="BA50" i="50"/>
  <c r="AI38" i="50"/>
  <c r="AX16" i="50"/>
  <c r="AX37" i="50"/>
  <c r="Q23" i="50"/>
  <c r="R15" i="50"/>
  <c r="N20" i="50"/>
  <c r="U14" i="50"/>
  <c r="AJ13" i="50"/>
  <c r="O49" i="50"/>
  <c r="Y35" i="50"/>
  <c r="AX21" i="50"/>
  <c r="P41" i="50"/>
  <c r="AJ52" i="50"/>
  <c r="AH26" i="50"/>
  <c r="L14" i="50"/>
  <c r="AN22" i="50"/>
  <c r="AP15" i="50"/>
  <c r="BA42" i="50"/>
  <c r="AK13" i="50"/>
  <c r="Z34" i="50"/>
  <c r="BA5" i="50"/>
  <c r="AS4" i="50"/>
  <c r="AT38" i="50"/>
  <c r="V52" i="50"/>
  <c r="M48" i="50"/>
  <c r="AR15" i="50"/>
  <c r="BC43" i="50"/>
  <c r="Y44" i="50"/>
  <c r="P45" i="50"/>
  <c r="S43" i="50"/>
  <c r="AG20" i="50"/>
  <c r="X27" i="50"/>
  <c r="Y30" i="50"/>
  <c r="AJ38" i="50"/>
  <c r="AB19" i="50"/>
  <c r="AU36" i="50"/>
  <c r="AZ15" i="50"/>
  <c r="AY21" i="50"/>
  <c r="T31" i="50"/>
  <c r="AD21" i="50"/>
  <c r="S34" i="50"/>
  <c r="BA39" i="50"/>
  <c r="Q32" i="50"/>
  <c r="AF14" i="50"/>
  <c r="AY29" i="50"/>
  <c r="BC25" i="50"/>
  <c r="AW33" i="50"/>
  <c r="AM30" i="50"/>
  <c r="V34" i="50"/>
  <c r="AN50" i="50"/>
  <c r="AN34" i="50"/>
  <c r="AI47" i="50"/>
  <c r="N26" i="50"/>
  <c r="AQ37" i="50"/>
  <c r="AB31" i="50"/>
  <c r="AE4" i="50"/>
  <c r="T44" i="50"/>
  <c r="AV34" i="50"/>
  <c r="L47" i="50"/>
  <c r="O37" i="50"/>
  <c r="AK14" i="50"/>
  <c r="AM17" i="50"/>
  <c r="AU21" i="50"/>
  <c r="O42" i="50"/>
  <c r="AL38" i="50"/>
  <c r="Q52" i="50"/>
  <c r="T49" i="50"/>
  <c r="AW37" i="50"/>
  <c r="AZ16" i="50"/>
  <c r="AO28" i="50"/>
  <c r="AB15" i="50"/>
  <c r="AV40" i="50"/>
  <c r="AV41" i="50"/>
  <c r="R46" i="50"/>
  <c r="AN47" i="50"/>
  <c r="V20" i="50"/>
  <c r="Y4" i="50"/>
  <c r="V27" i="50"/>
  <c r="AL25" i="50"/>
  <c r="AQ4" i="50"/>
  <c r="AG16" i="50"/>
  <c r="AO15" i="50"/>
  <c r="AR42" i="50"/>
  <c r="AF36" i="50"/>
  <c r="AA35" i="50"/>
  <c r="W40" i="50"/>
  <c r="AL15" i="50"/>
  <c r="AY49" i="50"/>
  <c r="W46" i="50"/>
  <c r="AZ22" i="50"/>
  <c r="AD35" i="50"/>
  <c r="R13" i="50"/>
  <c r="AL30" i="50"/>
  <c r="X34" i="50"/>
  <c r="P26" i="50"/>
  <c r="AM41" i="50"/>
  <c r="AG36" i="50"/>
  <c r="AF23" i="50"/>
  <c r="AT43" i="50"/>
  <c r="O32" i="50"/>
  <c r="X14" i="50"/>
  <c r="AC15" i="50"/>
  <c r="AR17" i="50"/>
  <c r="BC47" i="50"/>
  <c r="AF48" i="50"/>
  <c r="M32" i="50"/>
  <c r="O19" i="50"/>
  <c r="AD13" i="50"/>
  <c r="AJ29" i="50"/>
  <c r="X15" i="50"/>
  <c r="AW47" i="50"/>
  <c r="AK31" i="50"/>
  <c r="AY28" i="50"/>
  <c r="Q38" i="50"/>
  <c r="Y29" i="50"/>
  <c r="AQ5" i="50"/>
  <c r="AM18" i="50"/>
  <c r="X32" i="50"/>
  <c r="AI23" i="50"/>
  <c r="AT41" i="50"/>
  <c r="L12" i="50"/>
  <c r="BC49" i="50"/>
  <c r="AA45" i="50"/>
  <c r="AI26" i="50"/>
  <c r="N50" i="50"/>
  <c r="BA48" i="50"/>
  <c r="AH29" i="50"/>
  <c r="AM19" i="50"/>
  <c r="AR36" i="50"/>
  <c r="AI34" i="50"/>
  <c r="AH27" i="50"/>
  <c r="V39" i="50"/>
  <c r="Q18" i="50"/>
  <c r="O51" i="50"/>
  <c r="AG44" i="50"/>
  <c r="V45" i="50"/>
  <c r="Y50" i="50"/>
  <c r="BB51" i="50"/>
  <c r="X48" i="50"/>
  <c r="N19" i="50"/>
  <c r="AB24" i="50"/>
  <c r="AS38" i="50"/>
  <c r="Y20" i="50"/>
  <c r="AA14" i="50"/>
  <c r="L23" i="50"/>
  <c r="BB52" i="50"/>
  <c r="X18" i="50"/>
  <c r="T50" i="50"/>
  <c r="AW25" i="50"/>
  <c r="AC28" i="50"/>
  <c r="AK36" i="50"/>
  <c r="Z24" i="50"/>
  <c r="AR44" i="50"/>
  <c r="BC26" i="50"/>
  <c r="AN52" i="50"/>
  <c r="Z4" i="50"/>
  <c r="S17" i="50"/>
  <c r="AB37" i="50"/>
  <c r="AQ24" i="50"/>
  <c r="AM4" i="50"/>
  <c r="AZ49" i="50"/>
  <c r="Z44" i="50"/>
  <c r="BB22" i="50"/>
  <c r="AL5" i="50"/>
  <c r="X36" i="50"/>
  <c r="AX38" i="50"/>
  <c r="AD33" i="50"/>
  <c r="Q42" i="50"/>
  <c r="AM33" i="50"/>
  <c r="Z35" i="50"/>
  <c r="BB5" i="50"/>
  <c r="W35" i="50"/>
  <c r="AA42" i="50"/>
  <c r="AE27" i="50"/>
  <c r="N38" i="50"/>
  <c r="AM31" i="50"/>
  <c r="BB39" i="50"/>
  <c r="AL18" i="50"/>
  <c r="AJ33" i="50"/>
  <c r="AV26" i="50"/>
  <c r="Y43" i="50"/>
  <c r="AR35" i="50"/>
  <c r="AB51" i="50"/>
  <c r="T41" i="50"/>
  <c r="AT32" i="50"/>
  <c r="AI31" i="50"/>
  <c r="BB46" i="50"/>
  <c r="S26" i="50"/>
  <c r="AH34" i="50"/>
  <c r="AN35" i="50"/>
  <c r="AE48" i="50"/>
  <c r="M19" i="50"/>
  <c r="AB42" i="50"/>
  <c r="BC34" i="50"/>
  <c r="AJ41" i="50"/>
  <c r="AM39" i="50"/>
  <c r="Q46" i="50"/>
  <c r="AG47" i="50"/>
  <c r="AK21" i="50"/>
  <c r="AM34" i="50"/>
  <c r="BB49" i="50"/>
  <c r="AZ20" i="50"/>
  <c r="Y19" i="50"/>
  <c r="Y21" i="50"/>
  <c r="AC46" i="50"/>
  <c r="BA26" i="50"/>
  <c r="V4" i="50"/>
  <c r="BA21" i="50"/>
  <c r="AP37" i="50"/>
  <c r="AH13" i="50"/>
  <c r="AG15" i="50"/>
  <c r="AF27" i="50"/>
  <c r="AQ45" i="50"/>
  <c r="AK48" i="50"/>
  <c r="AC19" i="50"/>
  <c r="BA14" i="50"/>
  <c r="S27" i="50"/>
  <c r="O16" i="50"/>
  <c r="AP45" i="50"/>
  <c r="AL44" i="50"/>
  <c r="AT18" i="50"/>
  <c r="AC25" i="50"/>
  <c r="N33" i="50"/>
  <c r="AK40" i="50"/>
  <c r="AU46" i="50"/>
  <c r="Z12" i="50"/>
  <c r="BB4" i="50"/>
  <c r="AF40" i="50"/>
  <c r="AF13" i="50"/>
  <c r="BC27" i="50"/>
  <c r="L49" i="50"/>
  <c r="AK22" i="50"/>
  <c r="Y14" i="50"/>
  <c r="AW24" i="50"/>
  <c r="AF28" i="50"/>
  <c r="AG30" i="50"/>
  <c r="S52" i="50"/>
  <c r="Q13" i="50"/>
  <c r="Z14" i="50"/>
  <c r="AV27" i="50"/>
  <c r="AU41" i="50"/>
  <c r="AW32" i="50"/>
  <c r="AZ25" i="50"/>
  <c r="AI50" i="50"/>
  <c r="AR24" i="50"/>
  <c r="BB29" i="50"/>
  <c r="R31" i="50"/>
  <c r="AH51" i="50"/>
  <c r="AC20" i="50"/>
  <c r="AE41" i="50"/>
  <c r="AA23" i="50"/>
  <c r="AX26" i="50"/>
  <c r="AP25" i="50"/>
  <c r="T30" i="50"/>
  <c r="AI14" i="50"/>
  <c r="AF4" i="50"/>
  <c r="AF50" i="50"/>
  <c r="AU33" i="50"/>
  <c r="AN4" i="50"/>
  <c r="P44" i="50"/>
  <c r="M33" i="50"/>
  <c r="AM12" i="50"/>
  <c r="AV15" i="50"/>
  <c r="AU34" i="50"/>
  <c r="R39" i="50"/>
  <c r="P33" i="50"/>
  <c r="AC21" i="50"/>
  <c r="AP12" i="50"/>
  <c r="AT16" i="50"/>
  <c r="AL47" i="50"/>
  <c r="AY43" i="50"/>
  <c r="AF35" i="50"/>
  <c r="S22" i="50"/>
  <c r="AX19" i="50"/>
  <c r="BA35" i="50"/>
  <c r="AD5" i="50"/>
  <c r="AI36" i="50"/>
  <c r="AT5" i="50"/>
  <c r="AS22" i="50"/>
  <c r="X4" i="50"/>
  <c r="O34" i="50"/>
  <c r="AE33" i="50"/>
  <c r="AT20" i="50"/>
  <c r="P24" i="50"/>
  <c r="BC13" i="50"/>
  <c r="AW39" i="50"/>
  <c r="AZ29" i="50"/>
  <c r="AV47" i="50"/>
  <c r="AZ42" i="50"/>
  <c r="AG24" i="50"/>
  <c r="S37" i="50"/>
  <c r="AS44" i="50"/>
  <c r="BC33" i="50"/>
  <c r="W31" i="50"/>
  <c r="N32" i="50"/>
  <c r="X29" i="50"/>
  <c r="AY33" i="50"/>
  <c r="Y28" i="50"/>
  <c r="M46" i="50"/>
  <c r="V48" i="50"/>
  <c r="AP16" i="50"/>
  <c r="W39" i="50"/>
  <c r="AL23" i="50"/>
  <c r="AS30" i="50"/>
  <c r="S5" i="50"/>
  <c r="BB23" i="50"/>
  <c r="AL21" i="50"/>
  <c r="O47" i="50"/>
  <c r="AF25" i="50"/>
  <c r="AG19" i="50"/>
  <c r="AW51" i="50"/>
  <c r="AN44" i="50"/>
  <c r="AQ36" i="50"/>
  <c r="W4" i="50"/>
  <c r="AH46" i="50"/>
  <c r="AZ39" i="50"/>
  <c r="R42" i="50"/>
  <c r="AV12" i="50"/>
  <c r="AU45" i="50"/>
  <c r="AP18" i="50"/>
  <c r="AO45" i="50"/>
  <c r="AK4" i="50"/>
  <c r="O23" i="50"/>
  <c r="AP35" i="50"/>
  <c r="AD52" i="50"/>
  <c r="Y31" i="50"/>
  <c r="BA44" i="50"/>
  <c r="U25" i="50"/>
  <c r="AO30" i="50"/>
  <c r="U37" i="50"/>
  <c r="O36" i="50"/>
  <c r="M23" i="50"/>
  <c r="AV32" i="50"/>
  <c r="AZ26" i="50"/>
  <c r="AC26" i="50"/>
  <c r="Y32" i="50"/>
  <c r="AI24" i="50"/>
  <c r="AB52" i="50"/>
  <c r="P39" i="50"/>
  <c r="AA51" i="50"/>
  <c r="AT51" i="50"/>
  <c r="R33" i="50"/>
  <c r="AV43" i="50"/>
  <c r="AX30" i="50"/>
  <c r="AN36" i="50"/>
  <c r="AM37" i="50"/>
  <c r="AT36" i="50"/>
  <c r="AF24" i="50"/>
  <c r="W15" i="50"/>
  <c r="AR40" i="50"/>
  <c r="AY46" i="50"/>
  <c r="AO35" i="50"/>
  <c r="AF26" i="50"/>
  <c r="Z20" i="50"/>
  <c r="AB25" i="50"/>
  <c r="AR43" i="50"/>
  <c r="AJ50" i="50"/>
  <c r="Q28" i="50"/>
  <c r="AW30" i="50"/>
  <c r="U23" i="50"/>
  <c r="BA19" i="50"/>
  <c r="AV24" i="50"/>
  <c r="AH18" i="50"/>
  <c r="AZ14" i="50"/>
  <c r="AM26" i="50"/>
  <c r="AD25" i="50"/>
  <c r="AW44" i="50"/>
  <c r="AO41" i="50"/>
  <c r="U24" i="50"/>
  <c r="AI29" i="50"/>
  <c r="AW50" i="50"/>
  <c r="AB40" i="50"/>
  <c r="Z40" i="50"/>
  <c r="AQ25" i="50"/>
  <c r="S24" i="50"/>
  <c r="AB17" i="50"/>
  <c r="AE45" i="50"/>
  <c r="O30" i="50"/>
  <c r="X37" i="50"/>
  <c r="AC48" i="50"/>
  <c r="AK15" i="50"/>
  <c r="AA19" i="50"/>
  <c r="AH23" i="50"/>
  <c r="AZ37" i="50"/>
  <c r="AD26" i="50"/>
  <c r="AO5" i="50"/>
  <c r="AU23" i="50"/>
  <c r="AI43" i="50"/>
  <c r="T34" i="50"/>
  <c r="W28" i="50"/>
  <c r="AN29" i="50"/>
  <c r="Y40" i="50"/>
  <c r="AK38" i="50"/>
  <c r="AT17" i="50"/>
  <c r="L36" i="50"/>
  <c r="AR16" i="50"/>
  <c r="BB16" i="50"/>
  <c r="AM25" i="50"/>
  <c r="AU15" i="50"/>
  <c r="AY51" i="50"/>
  <c r="AJ15" i="50"/>
  <c r="T19" i="50"/>
  <c r="N18" i="50"/>
  <c r="U47" i="50"/>
  <c r="AX52" i="50"/>
  <c r="X16" i="50"/>
  <c r="AF19" i="50"/>
  <c r="AJ22" i="50"/>
  <c r="AE13" i="50"/>
  <c r="AB47" i="50"/>
  <c r="AF20" i="50"/>
  <c r="AZ28" i="50"/>
  <c r="BA18" i="50"/>
  <c r="N40" i="50"/>
  <c r="R17" i="50"/>
  <c r="T42" i="50"/>
  <c r="AC22" i="50"/>
  <c r="AB32" i="50"/>
  <c r="AU40" i="50"/>
  <c r="AO43" i="50"/>
  <c r="AL51" i="50"/>
  <c r="N46" i="50"/>
  <c r="P20" i="50"/>
  <c r="M31" i="50"/>
  <c r="AQ22" i="50"/>
  <c r="AV39" i="50"/>
  <c r="AV30" i="50"/>
  <c r="W24" i="50"/>
  <c r="AZ18" i="50"/>
  <c r="AT50" i="50"/>
  <c r="BA37" i="50"/>
  <c r="W25" i="50"/>
  <c r="AA27" i="50"/>
  <c r="Q50" i="50"/>
  <c r="AC13" i="50"/>
  <c r="W51" i="50"/>
  <c r="AU35" i="50"/>
  <c r="Q22" i="50"/>
  <c r="AM28" i="50"/>
  <c r="AD37" i="50"/>
  <c r="Y41" i="50"/>
  <c r="AJ24" i="50"/>
  <c r="X21" i="50"/>
  <c r="N22" i="50"/>
  <c r="BC32" i="50"/>
  <c r="AU31" i="50"/>
  <c r="Q25" i="50"/>
  <c r="AG18" i="50"/>
  <c r="P43" i="50"/>
  <c r="AL26" i="50"/>
  <c r="N29" i="50"/>
  <c r="S20" i="50"/>
  <c r="AM35" i="50"/>
  <c r="AU32" i="50"/>
  <c r="AS29" i="50"/>
  <c r="M12" i="50"/>
  <c r="AZ43" i="50"/>
  <c r="BB41" i="50"/>
  <c r="X5" i="50"/>
  <c r="O43" i="50"/>
  <c r="S39" i="50"/>
  <c r="AI19" i="50"/>
  <c r="AN49" i="50"/>
  <c r="Y13" i="50"/>
  <c r="N27" i="50"/>
  <c r="AB21" i="50"/>
  <c r="AV44" i="50"/>
  <c r="L35" i="50"/>
  <c r="Q16" i="50"/>
  <c r="AK41" i="50"/>
  <c r="AS37" i="50"/>
  <c r="AF32" i="50"/>
  <c r="AD42" i="50"/>
  <c r="AP14" i="50"/>
  <c r="O21" i="50"/>
  <c r="AQ50" i="50"/>
  <c r="AU51" i="50"/>
  <c r="S16" i="50"/>
  <c r="AY24" i="50"/>
  <c r="AP4" i="50"/>
  <c r="AE32" i="50"/>
  <c r="T14" i="50"/>
  <c r="AP30" i="50"/>
  <c r="X49" i="50"/>
  <c r="AZ50" i="50"/>
  <c r="AZ44" i="50"/>
  <c r="Y34" i="50"/>
  <c r="AH38" i="50"/>
  <c r="AJ46" i="50"/>
  <c r="AE20" i="50"/>
  <c r="AQ40" i="50"/>
  <c r="AM44" i="50"/>
  <c r="AL36" i="50"/>
  <c r="BA25" i="50"/>
  <c r="L28" i="50"/>
  <c r="T5" i="50"/>
  <c r="AL45" i="50"/>
  <c r="T4" i="50"/>
  <c r="N52" i="50"/>
  <c r="Y33" i="50"/>
  <c r="X28" i="50"/>
  <c r="AN42" i="50"/>
  <c r="AV4" i="50"/>
  <c r="U36" i="50"/>
  <c r="AN43" i="50"/>
  <c r="AL41" i="50"/>
  <c r="AE14" i="50"/>
  <c r="AN25" i="50"/>
  <c r="AA34" i="50"/>
  <c r="W29" i="50"/>
  <c r="N37" i="50"/>
  <c r="AD27" i="50"/>
  <c r="AK20" i="50"/>
  <c r="AH48" i="50"/>
  <c r="AT4" i="50"/>
  <c r="AR49" i="50"/>
  <c r="V22" i="50"/>
  <c r="P32" i="50"/>
  <c r="AT45" i="50"/>
  <c r="AG27" i="50"/>
  <c r="P5" i="50"/>
  <c r="N36" i="50"/>
  <c r="AM38" i="50"/>
  <c r="BA30" i="50"/>
  <c r="AG29" i="50"/>
  <c r="AW15" i="50"/>
  <c r="N48" i="50"/>
  <c r="P48" i="50"/>
  <c r="Z29" i="50"/>
  <c r="AN39" i="50"/>
  <c r="Z19" i="50"/>
  <c r="L38" i="50"/>
  <c r="AM36" i="50"/>
  <c r="AV23" i="50"/>
  <c r="AJ26" i="50"/>
  <c r="AS48" i="50"/>
  <c r="N5" i="50"/>
  <c r="AQ28" i="50"/>
  <c r="T23" i="50"/>
  <c r="L42" i="50"/>
  <c r="AO34" i="50"/>
  <c r="Q26" i="50"/>
  <c r="AN30" i="50"/>
  <c r="AK28" i="50"/>
  <c r="AH20" i="50"/>
  <c r="X39" i="50"/>
  <c r="BC40" i="50"/>
  <c r="L17" i="50"/>
  <c r="L26" i="50"/>
  <c r="AA33" i="50"/>
  <c r="AN33" i="50"/>
  <c r="AX43" i="50"/>
  <c r="AL46" i="50"/>
  <c r="N14" i="50"/>
  <c r="AA20" i="50"/>
  <c r="W16" i="50"/>
  <c r="W17" i="50"/>
  <c r="AI13" i="50"/>
  <c r="AZ12" i="50"/>
  <c r="Z41" i="50"/>
  <c r="N23" i="50"/>
  <c r="AQ23" i="50"/>
  <c r="AP33" i="50"/>
  <c r="AB35" i="50"/>
  <c r="AU12" i="50"/>
  <c r="AM46" i="50"/>
  <c r="AQ39" i="50"/>
  <c r="AZ4" i="50"/>
  <c r="AO19" i="50"/>
  <c r="AL17" i="50"/>
  <c r="AO24" i="50"/>
  <c r="AD45" i="50"/>
  <c r="AW41" i="50"/>
  <c r="AI33" i="50"/>
  <c r="AL24" i="50"/>
  <c r="AS47" i="50"/>
  <c r="AF17" i="50"/>
  <c r="Y38" i="50"/>
  <c r="AW27" i="50"/>
  <c r="U13" i="50"/>
  <c r="AI52" i="50"/>
  <c r="AK50" i="50"/>
  <c r="U48" i="50"/>
  <c r="AQ27" i="50"/>
  <c r="S13" i="50"/>
  <c r="V44" i="50"/>
  <c r="AB14" i="50"/>
  <c r="P36" i="50"/>
  <c r="X41" i="50"/>
  <c r="AZ48" i="50"/>
  <c r="N12" i="50"/>
  <c r="T46" i="50"/>
  <c r="AS42" i="50"/>
  <c r="BC48" i="50"/>
  <c r="AB46" i="50"/>
  <c r="AR5" i="50"/>
  <c r="AX45" i="50"/>
  <c r="AG51" i="50"/>
  <c r="AS50" i="50"/>
  <c r="W32" i="50"/>
  <c r="AN23" i="50"/>
  <c r="T36" i="50"/>
  <c r="AV5" i="50"/>
  <c r="AU26" i="50"/>
  <c r="AQ15" i="50"/>
  <c r="N17" i="50"/>
  <c r="R35" i="50"/>
  <c r="AS20" i="50"/>
  <c r="AP22" i="50"/>
  <c r="AC49" i="50"/>
  <c r="AS25" i="50"/>
  <c r="AA30" i="50"/>
  <c r="BB12" i="50"/>
  <c r="AI21" i="50"/>
  <c r="T51" i="50"/>
  <c r="Q19" i="50"/>
  <c r="O17" i="50"/>
  <c r="AE40" i="50"/>
  <c r="BA38" i="50"/>
  <c r="BB38" i="50"/>
  <c r="P28" i="50"/>
  <c r="Y5" i="50"/>
  <c r="AI35" i="50"/>
  <c r="AG46" i="50"/>
  <c r="AT12" i="50"/>
  <c r="AI42" i="50"/>
  <c r="AQ49" i="50"/>
  <c r="AQ41" i="50"/>
  <c r="W44" i="50"/>
  <c r="L21" i="50"/>
  <c r="AM22" i="50"/>
  <c r="AV19" i="50"/>
  <c r="Y24" i="50"/>
  <c r="L29" i="50"/>
  <c r="AO50" i="50"/>
  <c r="AN40" i="50"/>
  <c r="U39" i="50"/>
  <c r="T24" i="50"/>
  <c r="AB5" i="50"/>
  <c r="Z52" i="50"/>
  <c r="R26" i="50"/>
  <c r="L24" i="50"/>
  <c r="X44" i="50"/>
  <c r="M36" i="50"/>
  <c r="AW36" i="50"/>
  <c r="AM24" i="50"/>
  <c r="R20" i="50"/>
  <c r="AY41" i="50"/>
  <c r="AP28" i="50"/>
  <c r="BA51" i="50"/>
  <c r="AW52" i="50"/>
  <c r="AV20" i="50"/>
  <c r="AD20" i="50"/>
  <c r="AS33" i="50"/>
  <c r="AK44" i="50"/>
  <c r="Y25" i="50"/>
  <c r="Z16" i="50"/>
  <c r="M34" i="50"/>
  <c r="AW14" i="50"/>
  <c r="AY17" i="50"/>
  <c r="AX12" i="50"/>
  <c r="Z47" i="50"/>
  <c r="AC45" i="50"/>
  <c r="BB20" i="50"/>
  <c r="U43" i="50"/>
  <c r="V32" i="50"/>
  <c r="V14" i="50"/>
  <c r="AF44" i="50"/>
  <c r="AW29" i="50"/>
  <c r="R30" i="50"/>
  <c r="AH21" i="50"/>
  <c r="BC23" i="50"/>
  <c r="AP51" i="50"/>
  <c r="AV13" i="50"/>
  <c r="AQ43" i="50"/>
  <c r="P49" i="50"/>
  <c r="BA40" i="50"/>
  <c r="AL4" i="50"/>
  <c r="AJ43" i="50"/>
  <c r="BA52" i="50"/>
  <c r="AD28" i="50"/>
  <c r="X23" i="50"/>
  <c r="BA43" i="50"/>
  <c r="W48" i="50"/>
  <c r="AI16" i="50"/>
  <c r="W13" i="50"/>
  <c r="AJ5" i="50"/>
  <c r="N21" i="50"/>
  <c r="U30" i="50"/>
  <c r="AR12" i="50"/>
  <c r="AB13" i="50"/>
  <c r="AU48" i="50"/>
  <c r="AY5" i="50"/>
  <c r="AW42" i="50"/>
  <c r="O4" i="50"/>
  <c r="AF31" i="50"/>
  <c r="Y37" i="50"/>
  <c r="AF52" i="50"/>
  <c r="M47" i="50"/>
  <c r="V51" i="50"/>
  <c r="AT22" i="50"/>
  <c r="AO48" i="50"/>
  <c r="L40" i="50"/>
  <c r="AU24" i="50"/>
  <c r="AI18" i="50"/>
  <c r="S47" i="50"/>
  <c r="T21" i="50"/>
  <c r="AM49" i="50"/>
  <c r="P38" i="50"/>
  <c r="V28" i="50"/>
  <c r="R28" i="50"/>
  <c r="M30" i="50"/>
  <c r="AB30" i="50"/>
  <c r="R22" i="50"/>
  <c r="AE38" i="50"/>
  <c r="O41" i="50"/>
  <c r="AH39" i="50"/>
  <c r="AQ20" i="50"/>
  <c r="O14" i="50"/>
  <c r="R36" i="50"/>
  <c r="AH24" i="50"/>
  <c r="AS28" i="50"/>
  <c r="AH16" i="50"/>
  <c r="T43" i="50"/>
  <c r="O20" i="50"/>
  <c r="AT13" i="50"/>
  <c r="AU37" i="50"/>
  <c r="AI32" i="50"/>
  <c r="AZ24" i="50"/>
  <c r="AO27" i="50"/>
  <c r="AG50" i="50"/>
  <c r="AT52" i="50"/>
  <c r="AV49" i="50"/>
  <c r="X38" i="50"/>
  <c r="V17" i="50"/>
  <c r="AG5" i="50"/>
  <c r="AY45" i="50"/>
  <c r="AI28" i="50"/>
  <c r="O22" i="50"/>
  <c r="AJ44" i="50"/>
  <c r="AE21" i="50"/>
  <c r="AN46" i="50"/>
  <c r="W20" i="50"/>
  <c r="N35" i="50"/>
  <c r="AW13" i="50"/>
  <c r="U29" i="50"/>
  <c r="W52" i="50"/>
  <c r="Y39" i="50"/>
  <c r="AO26" i="50"/>
  <c r="AR52" i="50"/>
  <c r="AF51" i="50"/>
  <c r="AK12" i="50"/>
  <c r="AP29" i="50"/>
  <c r="AT48" i="50"/>
  <c r="AR39" i="50"/>
  <c r="T35" i="50"/>
  <c r="AF22" i="50"/>
  <c r="Y49" i="50"/>
  <c r="AC34" i="50"/>
  <c r="T38" i="50"/>
  <c r="S32" i="50"/>
  <c r="AY27" i="50"/>
  <c r="BC18" i="50"/>
  <c r="AZ17" i="50"/>
  <c r="Z50" i="50"/>
  <c r="Q14" i="50"/>
  <c r="AC16" i="50"/>
  <c r="AF37" i="50"/>
  <c r="BA24" i="50"/>
  <c r="P18" i="50"/>
  <c r="AB16" i="50"/>
  <c r="BB19" i="50"/>
  <c r="AU14" i="50"/>
  <c r="AR27" i="50"/>
  <c r="U46" i="50"/>
  <c r="AW35" i="50"/>
  <c r="AE29" i="50"/>
  <c r="AU17" i="50"/>
  <c r="U21" i="50"/>
  <c r="AE52" i="50"/>
  <c r="T15" i="50"/>
  <c r="AP17" i="50"/>
  <c r="T25" i="50"/>
  <c r="Z17" i="50"/>
  <c r="AD29" i="50"/>
  <c r="AP34" i="50"/>
  <c r="AS36" i="50"/>
  <c r="AO14" i="50"/>
  <c r="AX5" i="50"/>
  <c r="Z30" i="50"/>
  <c r="Y51" i="50"/>
  <c r="AI41" i="50"/>
  <c r="S45" i="50"/>
  <c r="AJ51" i="50"/>
  <c r="AO40" i="50"/>
  <c r="W34" i="50"/>
  <c r="AA41" i="50"/>
  <c r="AG49" i="50"/>
  <c r="AD24" i="50"/>
  <c r="AI17" i="50"/>
  <c r="N45" i="50"/>
  <c r="AN51" i="50"/>
  <c r="AH36" i="50"/>
  <c r="AI45" i="50"/>
  <c r="AL29" i="50"/>
  <c r="AS18" i="50"/>
  <c r="AR34" i="50"/>
  <c r="AB39" i="50"/>
  <c r="AS19" i="50"/>
  <c r="L45" i="50"/>
  <c r="AI49" i="50"/>
  <c r="Y18" i="50"/>
  <c r="AV50" i="50"/>
  <c r="S31" i="50"/>
  <c r="AJ21" i="50"/>
  <c r="M41" i="50"/>
  <c r="AW5" i="50"/>
  <c r="BC12" i="50"/>
  <c r="AD23" i="50"/>
  <c r="AX35" i="50"/>
  <c r="P16" i="50"/>
  <c r="AQ29" i="50"/>
  <c r="AA39" i="50"/>
  <c r="AE23" i="50"/>
  <c r="AO31" i="50"/>
  <c r="AF30" i="50"/>
  <c r="AC38" i="50"/>
  <c r="AM47" i="50"/>
  <c r="AW28" i="50"/>
  <c r="O5" i="50"/>
  <c r="L48" i="50"/>
  <c r="L15" i="50"/>
  <c r="N47" i="50"/>
  <c r="AS21" i="50"/>
  <c r="AY16" i="50"/>
  <c r="V41" i="50"/>
  <c r="AR13" i="50"/>
  <c r="AC12" i="50"/>
  <c r="AI12" i="50"/>
  <c r="L37" i="50"/>
  <c r="M37" i="50"/>
  <c r="AZ45" i="50"/>
  <c r="AK16" i="50"/>
  <c r="AS51" i="50"/>
  <c r="AJ12" i="50"/>
  <c r="Z18" i="50"/>
  <c r="P37" i="50"/>
  <c r="P35" i="50"/>
  <c r="U38" i="50"/>
  <c r="BC30" i="50"/>
  <c r="AR18" i="50"/>
  <c r="X51" i="50"/>
  <c r="R32" i="50"/>
  <c r="N41" i="50"/>
  <c r="AQ46" i="50"/>
  <c r="AR28" i="50"/>
  <c r="AC36" i="50"/>
  <c r="AM23" i="50"/>
  <c r="P46" i="50"/>
  <c r="AD50" i="50"/>
  <c r="AA49" i="50"/>
  <c r="AQ19" i="50"/>
  <c r="U42" i="50"/>
  <c r="AQ26" i="50"/>
  <c r="AT15" i="50"/>
  <c r="AH32" i="50"/>
  <c r="U28" i="50"/>
  <c r="AW19" i="50"/>
  <c r="AZ41" i="50"/>
  <c r="Z46" i="50"/>
  <c r="L13" i="50"/>
  <c r="AN13" i="50"/>
  <c r="AS45" i="50"/>
  <c r="V38" i="50"/>
  <c r="M45" i="50"/>
  <c r="AH40" i="50"/>
  <c r="S12" i="50"/>
  <c r="Z36" i="50"/>
  <c r="Q39" i="50"/>
  <c r="O28" i="50"/>
  <c r="BB34" i="50"/>
  <c r="AT34" i="50"/>
  <c r="V33" i="50"/>
  <c r="Z28" i="50"/>
  <c r="S42" i="50"/>
  <c r="AW26" i="50"/>
  <c r="AU52" i="50"/>
  <c r="AN27" i="50"/>
  <c r="W49" i="50"/>
  <c r="W21" i="50"/>
  <c r="W22" i="50"/>
  <c r="L50" i="50"/>
  <c r="BB32" i="50"/>
  <c r="AI22" i="50"/>
  <c r="AE49" i="50"/>
  <c r="AU30" i="50"/>
  <c r="AJ25" i="50"/>
  <c r="AI30" i="50"/>
  <c r="AO46" i="50"/>
  <c r="AK45" i="50"/>
  <c r="R29" i="50"/>
  <c r="AC35" i="50"/>
  <c r="AL32" i="50"/>
  <c r="AX14" i="50"/>
  <c r="AH42" i="50"/>
  <c r="AY38" i="50"/>
  <c r="U20" i="50"/>
  <c r="BA47" i="50"/>
  <c r="AY15" i="50"/>
  <c r="AF46" i="50"/>
  <c r="BC45" i="50"/>
  <c r="N44" i="50"/>
  <c r="AX48" i="50"/>
  <c r="BC37" i="50"/>
  <c r="AV42" i="50"/>
  <c r="AC23" i="50"/>
  <c r="AA24" i="50"/>
  <c r="W50" i="50"/>
  <c r="R41" i="50"/>
  <c r="X43" i="50"/>
  <c r="R21" i="50"/>
  <c r="AK24" i="50"/>
  <c r="M4" i="50"/>
  <c r="AS26" i="50"/>
  <c r="Q27" i="50"/>
  <c r="L52" i="50"/>
  <c r="AR19" i="50"/>
  <c r="Z42" i="50"/>
  <c r="AE24" i="50"/>
  <c r="AR37" i="50"/>
  <c r="AE5" i="50"/>
  <c r="BA12" i="50"/>
  <c r="AG34" i="50"/>
  <c r="AB43" i="50"/>
  <c r="AB41" i="50"/>
  <c r="V24" i="50"/>
  <c r="W27" i="50"/>
  <c r="AY20" i="50"/>
  <c r="L44" i="50"/>
  <c r="AI15" i="50"/>
  <c r="AG25" i="50"/>
  <c r="V18" i="50"/>
  <c r="BC52" i="50"/>
  <c r="AX23" i="50"/>
  <c r="BA31" i="50"/>
  <c r="U22" i="50"/>
  <c r="AP36" i="50"/>
  <c r="L18" i="50"/>
  <c r="AS27" i="50"/>
  <c r="AV51" i="50"/>
  <c r="AO39" i="50"/>
  <c r="BA22" i="50"/>
  <c r="AJ36" i="50"/>
  <c r="BB30" i="50"/>
  <c r="AT47" i="50"/>
  <c r="R18" i="50"/>
  <c r="AM27" i="50"/>
  <c r="O44" i="50"/>
  <c r="AD47" i="50"/>
  <c r="AF39" i="50"/>
  <c r="AH12" i="50"/>
  <c r="AT33" i="50"/>
  <c r="X19" i="50"/>
  <c r="AQ16" i="50"/>
  <c r="M5" i="50"/>
  <c r="S33" i="50"/>
  <c r="AO12" i="50"/>
  <c r="AD46" i="50"/>
  <c r="AX36" i="50"/>
  <c r="AD15" i="50"/>
  <c r="AP32" i="50"/>
  <c r="BA34" i="50"/>
  <c r="AA21" i="50"/>
  <c r="AO42" i="50"/>
  <c r="AO49" i="50"/>
  <c r="U27" i="50"/>
  <c r="BA46" i="50"/>
  <c r="M24" i="50"/>
  <c r="AY18" i="50"/>
  <c r="V5" i="50"/>
  <c r="BA17" i="50"/>
  <c r="AH5" i="50"/>
  <c r="AR25" i="50"/>
  <c r="AV25" i="50"/>
  <c r="AT27" i="50"/>
  <c r="S4" i="50"/>
  <c r="L22" i="50"/>
  <c r="W30" i="50"/>
  <c r="AK23" i="50"/>
  <c r="U33" i="50"/>
  <c r="Q34" i="50"/>
  <c r="AF45" i="50"/>
  <c r="AS43" i="50"/>
  <c r="AE43" i="50"/>
  <c r="N4" i="50"/>
  <c r="W45" i="50"/>
  <c r="AX31" i="50"/>
  <c r="AD16" i="50"/>
  <c r="AK25" i="50"/>
  <c r="AO37" i="50"/>
  <c r="AQ18" i="50"/>
  <c r="P52" i="50"/>
  <c r="AC39" i="50"/>
  <c r="AO20" i="50"/>
  <c r="L20" i="50"/>
  <c r="AG17" i="50"/>
  <c r="U18" i="50"/>
  <c r="AK46" i="50"/>
  <c r="U35" i="50"/>
  <c r="M25" i="50"/>
  <c r="AN31" i="50"/>
  <c r="O29" i="50"/>
  <c r="Q40" i="50"/>
  <c r="Z31" i="50"/>
  <c r="BC17" i="50"/>
  <c r="N51" i="50"/>
  <c r="R43" i="50"/>
  <c r="AS49" i="50"/>
  <c r="AM40" i="50"/>
  <c r="AS12" i="50"/>
  <c r="BA33" i="50"/>
  <c r="AJ39" i="50"/>
  <c r="AR30" i="50"/>
  <c r="Y23" i="50"/>
  <c r="Z26" i="50"/>
  <c r="AT24" i="50"/>
  <c r="AZ35" i="50"/>
  <c r="BB14" i="50"/>
  <c r="S50" i="50"/>
  <c r="AL37" i="50"/>
  <c r="AJ32" i="50"/>
  <c r="M52" i="50"/>
  <c r="BB26" i="50"/>
  <c r="AG32" i="50"/>
  <c r="AK5" i="50"/>
  <c r="X50" i="50"/>
  <c r="AH44" i="50"/>
  <c r="AS52" i="50"/>
  <c r="AR47" i="50"/>
  <c r="AJ27" i="50"/>
  <c r="AT46" i="50"/>
  <c r="AF47" i="50"/>
  <c r="AM13" i="50"/>
  <c r="BA16" i="50"/>
  <c r="AW48" i="50"/>
  <c r="N42" i="50"/>
  <c r="AD4" i="50"/>
  <c r="AP39" i="50"/>
  <c r="BC19" i="50"/>
  <c r="AY13" i="50"/>
  <c r="AO52" i="50"/>
  <c r="R50" i="50"/>
  <c r="AP27" i="50"/>
  <c r="L16" i="50"/>
  <c r="AX17" i="50"/>
  <c r="AB45" i="50"/>
  <c r="BB50" i="50"/>
  <c r="AV37" i="50"/>
  <c r="AR41" i="50"/>
  <c r="BC16" i="50"/>
  <c r="AM52" i="50"/>
  <c r="AA28" i="50"/>
  <c r="AC47" i="50"/>
  <c r="AG14" i="50"/>
  <c r="AY40" i="50"/>
  <c r="W14" i="50"/>
  <c r="Q4" i="50"/>
  <c r="AE35" i="50"/>
  <c r="AJ34" i="50"/>
  <c r="AV52" i="50"/>
  <c r="AE37" i="50"/>
  <c r="AT26" i="50"/>
  <c r="AR20" i="50"/>
  <c r="P40" i="50"/>
  <c r="P13" i="50"/>
  <c r="M40" i="50"/>
  <c r="L51" i="50"/>
  <c r="AK47" i="50"/>
  <c r="AA25" i="50"/>
  <c r="AT21" i="50"/>
  <c r="Z22" i="50"/>
  <c r="O48" i="50"/>
  <c r="AI40" i="50"/>
  <c r="BB17" i="50"/>
  <c r="AH49" i="50"/>
  <c r="Z39" i="50"/>
  <c r="AY22" i="50"/>
  <c r="R40" i="50"/>
  <c r="AB48" i="50"/>
  <c r="AY4" i="50"/>
  <c r="X20" i="50"/>
  <c r="O15" i="50"/>
  <c r="AN5" i="50"/>
  <c r="AC43" i="50"/>
  <c r="AO51" i="50"/>
  <c r="AU25" i="50"/>
  <c r="BA29" i="50"/>
  <c r="AL48" i="50"/>
  <c r="AH45" i="50"/>
  <c r="Q5" i="50"/>
  <c r="L41" i="50"/>
  <c r="Y52" i="50"/>
  <c r="AH31" i="50"/>
  <c r="Y36" i="50"/>
  <c r="BC24" i="50"/>
  <c r="U52" i="50"/>
  <c r="AS34" i="50"/>
  <c r="AI27" i="50"/>
  <c r="AT39" i="50"/>
  <c r="BC39" i="50"/>
  <c r="P29" i="50"/>
  <c r="AY39" i="50"/>
  <c r="AA29" i="50"/>
  <c r="T39" i="50"/>
  <c r="AA26" i="50"/>
  <c r="AC40" i="50"/>
  <c r="AE28" i="50"/>
  <c r="BC28" i="50"/>
  <c r="AV33" i="50"/>
  <c r="BA27" i="50"/>
  <c r="AP46" i="50"/>
  <c r="AH33" i="50"/>
  <c r="AW45" i="50"/>
  <c r="V37" i="50"/>
  <c r="AU49" i="50"/>
  <c r="P23" i="50"/>
  <c r="BA28" i="50"/>
  <c r="AK34" i="50"/>
  <c r="Y45" i="50"/>
  <c r="AY23" i="50"/>
  <c r="AE19" i="50"/>
  <c r="Q36" i="50"/>
  <c r="AT31" i="50"/>
  <c r="AJ4" i="50"/>
  <c r="AT49" i="50"/>
  <c r="Y15" i="50"/>
  <c r="AU16" i="50"/>
  <c r="L25" i="50"/>
  <c r="Z37" i="50"/>
  <c r="Y47" i="50"/>
  <c r="AM42" i="50"/>
  <c r="BC31" i="50"/>
  <c r="AC24" i="50"/>
  <c r="V16" i="50"/>
  <c r="U26" i="50"/>
  <c r="W38" i="50"/>
  <c r="AR48" i="50"/>
  <c r="AP47" i="50"/>
  <c r="AL28" i="50"/>
  <c r="AC27" i="50"/>
  <c r="M16" i="50"/>
  <c r="AJ45" i="50"/>
  <c r="M26" i="50"/>
  <c r="AE16" i="50"/>
  <c r="AO29" i="50"/>
  <c r="W12" i="50"/>
  <c r="AP5" i="50"/>
  <c r="AJ30" i="50"/>
  <c r="AP40" i="50"/>
  <c r="AX22" i="50"/>
  <c r="AQ33" i="50"/>
  <c r="AH41" i="50"/>
  <c r="O33" i="50"/>
  <c r="AJ37" i="50"/>
  <c r="AA12" i="50"/>
  <c r="AW31" i="50"/>
  <c r="X13" i="50"/>
  <c r="Q12" i="50"/>
  <c r="Z23" i="50"/>
  <c r="AD43" i="50"/>
  <c r="V35" i="50"/>
  <c r="O31" i="50"/>
  <c r="L34" i="50"/>
  <c r="AQ14" i="50"/>
  <c r="Q17" i="50"/>
  <c r="AH19" i="50"/>
  <c r="AM16" i="50"/>
  <c r="AS32" i="50"/>
  <c r="AK27" i="50"/>
  <c r="AR21" i="50"/>
  <c r="AP49" i="50"/>
  <c r="AD38" i="50"/>
  <c r="AP26" i="50"/>
  <c r="AL22" i="50"/>
  <c r="AC30" i="50"/>
  <c r="AF33" i="50"/>
  <c r="M42" i="50"/>
  <c r="AK51" i="50"/>
  <c r="Y22" i="50"/>
  <c r="AL19" i="50"/>
  <c r="AN37" i="50"/>
  <c r="AH17" i="50"/>
  <c r="R49" i="50"/>
  <c r="AI5" i="50"/>
  <c r="AL39" i="50"/>
  <c r="AV38" i="50"/>
  <c r="AK32" i="50"/>
  <c r="AR26" i="50"/>
  <c r="AE15" i="50"/>
  <c r="U50" i="50"/>
  <c r="S29" i="50"/>
  <c r="AA47" i="50"/>
  <c r="AU18" i="50"/>
  <c r="R27" i="50"/>
  <c r="AA48" i="50"/>
  <c r="S30" i="50"/>
  <c r="AU28" i="50"/>
  <c r="Y17" i="50"/>
  <c r="AA37" i="50"/>
  <c r="N43" i="50"/>
  <c r="AE36" i="50"/>
  <c r="AR32" i="50"/>
  <c r="V19" i="50"/>
  <c r="AP13" i="50"/>
  <c r="AE31" i="50"/>
  <c r="AH52" i="50"/>
  <c r="O13" i="50"/>
  <c r="AN26" i="50"/>
  <c r="N31" i="50"/>
  <c r="AB20" i="50"/>
  <c r="AD49" i="50"/>
  <c r="AA13" i="50"/>
  <c r="BC38" i="50"/>
  <c r="BB36" i="50"/>
  <c r="AT44" i="50"/>
  <c r="AK39" i="50"/>
  <c r="AX44" i="50"/>
  <c r="N28" i="50"/>
  <c r="T33" i="50"/>
  <c r="V30" i="50"/>
  <c r="V12" i="50"/>
  <c r="L30" i="50"/>
  <c r="BB48" i="50"/>
  <c r="AY44" i="50"/>
  <c r="AL33" i="50"/>
  <c r="AY36" i="50"/>
  <c r="X24" i="50"/>
  <c r="T27" i="50"/>
  <c r="S49" i="50"/>
  <c r="M14" i="50"/>
  <c r="BA41" i="50"/>
  <c r="BB27" i="50"/>
  <c r="AR46" i="50"/>
  <c r="AG22" i="50"/>
  <c r="W33" i="50"/>
  <c r="O26" i="50"/>
  <c r="Z15" i="50"/>
  <c r="BB21" i="50"/>
  <c r="AY26" i="50"/>
  <c r="M22" i="50"/>
  <c r="AF29" i="50"/>
  <c r="AR31" i="50"/>
  <c r="AO33" i="50"/>
  <c r="AX18" i="50"/>
  <c r="AZ31" i="50"/>
  <c r="AZ40" i="50"/>
  <c r="AU5" i="50"/>
  <c r="AA46" i="50"/>
  <c r="AO17" i="50"/>
  <c r="AQ47" i="50"/>
  <c r="AH43" i="50"/>
  <c r="AD48" i="50"/>
  <c r="AH14" i="50"/>
  <c r="AL31" i="50"/>
  <c r="AA43" i="50"/>
  <c r="AG26" i="50"/>
  <c r="AZ34" i="50"/>
  <c r="AJ47" i="50"/>
  <c r="P34" i="50"/>
  <c r="AB34" i="50"/>
  <c r="AJ14" i="50"/>
  <c r="P17" i="50"/>
  <c r="AX42" i="50"/>
  <c r="U49" i="50"/>
  <c r="M13" i="50"/>
  <c r="P25" i="50"/>
  <c r="Z13" i="50"/>
  <c r="N24" i="50"/>
  <c r="AV22" i="50"/>
  <c r="AH28" i="50"/>
  <c r="AZ32" i="50"/>
  <c r="L43" i="50"/>
  <c r="U32" i="50"/>
  <c r="AP23" i="50"/>
  <c r="AF15" i="50"/>
  <c r="AK30" i="50"/>
  <c r="BB15" i="50"/>
  <c r="BB42" i="50"/>
  <c r="R37" i="50"/>
  <c r="BB44" i="50"/>
  <c r="U12" i="50"/>
  <c r="Y26" i="50"/>
  <c r="T28" i="50"/>
  <c r="N30" i="50"/>
  <c r="R14" i="50"/>
  <c r="AZ33" i="50"/>
  <c r="AN28" i="50"/>
  <c r="AC50" i="50"/>
  <c r="AS46" i="50"/>
  <c r="AO32" i="50"/>
  <c r="AY32" i="50"/>
  <c r="BB35" i="50"/>
  <c r="AG4" i="50"/>
  <c r="AF16" i="50"/>
  <c r="Q47" i="50"/>
  <c r="Z27" i="50"/>
  <c r="M29" i="50"/>
  <c r="Q35" i="50"/>
  <c r="AC37" i="50"/>
  <c r="W26" i="50"/>
  <c r="BC35" i="50"/>
  <c r="AV35" i="50"/>
  <c r="AD18" i="50"/>
  <c r="S25" i="50"/>
  <c r="AP24" i="50"/>
  <c r="AK17" i="50"/>
  <c r="AZ47" i="50"/>
  <c r="AO44" i="50"/>
  <c r="AO4" i="50"/>
  <c r="AZ21" i="50"/>
  <c r="M44" i="50"/>
  <c r="AB33" i="50"/>
  <c r="N25" i="50"/>
  <c r="V26" i="50"/>
  <c r="AV21" i="50"/>
  <c r="M51" i="50"/>
  <c r="AO16" i="50"/>
  <c r="AJ23" i="50"/>
  <c r="AD14" i="50"/>
  <c r="AQ52" i="50"/>
  <c r="AS31" i="50"/>
  <c r="AD19" i="50"/>
  <c r="AR29" i="50"/>
  <c r="AP43" i="50"/>
  <c r="BC14" i="50"/>
  <c r="AN12" i="50"/>
  <c r="P51" i="50"/>
  <c r="T17" i="50"/>
  <c r="W41" i="50"/>
  <c r="AN41" i="50"/>
  <c r="AM45" i="50"/>
  <c r="U40" i="50"/>
  <c r="AJ49" i="50"/>
  <c r="N34" i="50"/>
  <c r="U34" i="50"/>
  <c r="S21" i="50"/>
  <c r="AX34" i="50"/>
  <c r="Q44" i="50"/>
  <c r="BB28" i="50"/>
  <c r="O45" i="50"/>
  <c r="AU42" i="50"/>
  <c r="L32" i="50"/>
  <c r="R44" i="50"/>
  <c r="AG48" i="50"/>
  <c r="AP20" i="50"/>
  <c r="AM51" i="50"/>
  <c r="AA52" i="50"/>
  <c r="R25" i="50"/>
  <c r="AC51" i="50"/>
  <c r="Z43" i="50"/>
  <c r="AN19" i="50"/>
  <c r="AY47" i="50"/>
  <c r="AG37" i="50"/>
  <c r="AI51" i="50"/>
  <c r="AQ17" i="50"/>
  <c r="AP41" i="50"/>
  <c r="S35" i="50"/>
  <c r="AG31" i="50"/>
  <c r="AK19" i="50"/>
  <c r="AQ30" i="50"/>
  <c r="X30" i="50"/>
  <c r="T13" i="50"/>
  <c r="M18" i="50"/>
  <c r="AW21" i="50"/>
  <c r="P50" i="50"/>
  <c r="AF38" i="50"/>
  <c r="Z32" i="50"/>
  <c r="AF21" i="50"/>
  <c r="AI20" i="50"/>
  <c r="AN38" i="50"/>
  <c r="AC18" i="50"/>
  <c r="AS13" i="50"/>
  <c r="Q41" i="50"/>
  <c r="BA49" i="50"/>
  <c r="Z49" i="50"/>
  <c r="AK26" i="50"/>
  <c r="T45" i="50"/>
  <c r="O46" i="50"/>
  <c r="AO36" i="50"/>
  <c r="AB26" i="50"/>
  <c r="R34" i="50"/>
  <c r="AC17" i="50"/>
  <c r="Z25" i="50"/>
  <c r="AW4" i="50"/>
  <c r="T22" i="50"/>
  <c r="AT28" i="50"/>
  <c r="AW49" i="50"/>
  <c r="AM14" i="50"/>
  <c r="AE30" i="50"/>
  <c r="AG13" i="50"/>
  <c r="AH50" i="50"/>
  <c r="AZ13" i="50"/>
  <c r="AJ35" i="50"/>
  <c r="AC32" i="50"/>
  <c r="Y42" i="50"/>
  <c r="AJ42" i="50"/>
  <c r="U17" i="50"/>
  <c r="AM29" i="50"/>
  <c r="AV48" i="50"/>
  <c r="AR38" i="50"/>
  <c r="AX24" i="50"/>
  <c r="P47" i="50"/>
  <c r="AF12" i="50"/>
  <c r="AA18" i="50"/>
  <c r="AM43" i="50"/>
  <c r="S41" i="50"/>
  <c r="AA16" i="50"/>
  <c r="P19" i="50"/>
  <c r="AH4" i="50"/>
  <c r="AK18" i="50"/>
  <c r="AN24" i="50"/>
  <c r="AE34" i="50"/>
  <c r="U19" i="50"/>
  <c r="AC5" i="50"/>
  <c r="AQ38" i="50"/>
  <c r="Q21" i="50"/>
  <c r="AS17" i="50"/>
  <c r="P21" i="50"/>
  <c r="T18" i="50"/>
  <c r="Z45" i="50"/>
  <c r="AB4" i="50"/>
  <c r="AG12" i="50"/>
  <c r="AU50" i="50"/>
  <c r="AW40" i="50"/>
  <c r="AS14" i="50"/>
  <c r="AN32" i="50"/>
  <c r="O18" i="50"/>
  <c r="R16" i="50"/>
  <c r="AP19" i="50"/>
  <c r="AX20" i="50"/>
  <c r="AG21" i="50"/>
  <c r="AJ40" i="50"/>
  <c r="AX40" i="50"/>
  <c r="AG40" i="50"/>
  <c r="AS23" i="50"/>
  <c r="M17" i="50"/>
  <c r="AC41" i="50"/>
  <c r="AN16" i="50"/>
  <c r="AG52" i="50"/>
  <c r="AB29" i="50"/>
  <c r="AN45" i="50"/>
  <c r="BC42" i="50"/>
  <c r="AW43" i="50"/>
  <c r="AW20" i="50"/>
  <c r="BB31" i="50"/>
  <c r="AX51" i="50"/>
  <c r="AM15" i="50"/>
  <c r="R52" i="50"/>
  <c r="AG39" i="50"/>
  <c r="AX49" i="50"/>
  <c r="P31" i="50"/>
  <c r="AV45" i="50"/>
  <c r="AV46" i="50"/>
  <c r="AC31" i="50"/>
  <c r="AH15" i="50"/>
  <c r="Q20" i="50"/>
  <c r="O52" i="50"/>
  <c r="AJ19" i="50"/>
  <c r="Z21" i="50"/>
  <c r="P15" i="50"/>
  <c r="AX33" i="50"/>
  <c r="AZ52" i="50"/>
  <c r="AB36" i="50"/>
  <c r="BA4" i="50"/>
  <c r="BA45" i="50"/>
  <c r="BC36" i="50"/>
  <c r="AT30" i="50"/>
  <c r="AO47" i="50"/>
  <c r="Y16" i="50"/>
  <c r="AU13" i="50"/>
  <c r="AL40" i="50"/>
  <c r="AU29" i="50"/>
  <c r="AG33" i="50"/>
  <c r="AS16" i="50"/>
  <c r="Y12" i="50"/>
  <c r="M15" i="50"/>
  <c r="AV14" i="50"/>
  <c r="AK42" i="50"/>
  <c r="AD51" i="50"/>
  <c r="V42" i="50"/>
  <c r="O27" i="50"/>
  <c r="X25" i="50"/>
  <c r="AB27" i="50"/>
  <c r="AX13" i="50"/>
  <c r="BC5" i="50"/>
  <c r="AC52" i="50"/>
  <c r="R4" i="50"/>
  <c r="AE42" i="50"/>
  <c r="AM21" i="50"/>
  <c r="AS40" i="50"/>
  <c r="AE51" i="50"/>
  <c r="AW22" i="50"/>
  <c r="AK43" i="50"/>
  <c r="AL12" i="50"/>
  <c r="BA15" i="50"/>
  <c r="V46" i="50"/>
  <c r="AT23" i="50"/>
  <c r="BC50" i="50"/>
  <c r="AR4" i="50"/>
  <c r="AH22" i="50"/>
  <c r="AJ17" i="50"/>
  <c r="U15" i="50"/>
  <c r="S38" i="50"/>
  <c r="AQ48" i="50"/>
  <c r="AQ42" i="50"/>
  <c r="O39" i="50"/>
  <c r="P22" i="50"/>
  <c r="AV36" i="50"/>
  <c r="AN18" i="50"/>
  <c r="AL52" i="50"/>
  <c r="AG41" i="50"/>
  <c r="O24" i="50"/>
  <c r="AO18" i="50"/>
  <c r="AR45" i="50"/>
  <c r="AZ38" i="50"/>
  <c r="AQ13" i="50"/>
  <c r="R47" i="50"/>
  <c r="AI25" i="50"/>
  <c r="V43" i="50"/>
  <c r="AY50" i="50"/>
  <c r="X45" i="50"/>
  <c r="W18" i="50"/>
  <c r="P30" i="50"/>
  <c r="AZ23" i="50"/>
  <c r="AJ16" i="50"/>
  <c r="Q30" i="50"/>
  <c r="AA31" i="50"/>
  <c r="AC4" i="50"/>
  <c r="Q43" i="50"/>
  <c r="AF18" i="50"/>
  <c r="AO21" i="50"/>
  <c r="BC20" i="50"/>
  <c r="AA44" i="50"/>
  <c r="O50" i="50"/>
  <c r="AY42" i="50"/>
  <c r="AU38" i="50"/>
  <c r="AL35" i="50"/>
  <c r="AR22" i="50"/>
  <c r="W47" i="50"/>
  <c r="M43" i="50"/>
  <c r="AZ5" i="50"/>
  <c r="BA36" i="50"/>
  <c r="P42" i="50"/>
  <c r="AH35" i="50"/>
  <c r="AA50" i="50"/>
  <c r="AA40" i="50"/>
  <c r="AV28" i="50"/>
  <c r="AL16" i="50"/>
  <c r="T16" i="50"/>
  <c r="T26" i="50"/>
  <c r="S48" i="50"/>
  <c r="AO22" i="50"/>
  <c r="AF42" i="50"/>
  <c r="AZ46" i="50"/>
  <c r="BB18" i="50"/>
  <c r="AL14" i="50"/>
  <c r="T37" i="50"/>
  <c r="U5" i="50"/>
  <c r="O12" i="50"/>
  <c r="AH30" i="50"/>
  <c r="M50" i="50"/>
  <c r="M38" i="50"/>
  <c r="AI4" i="50"/>
  <c r="AD44" i="50"/>
  <c r="L19" i="50"/>
  <c r="Q51" i="50"/>
  <c r="BB37" i="50"/>
  <c r="BC22" i="50"/>
  <c r="AP38" i="50"/>
  <c r="T40" i="50"/>
  <c r="AY48" i="50"/>
  <c r="P14" i="50"/>
  <c r="AQ21" i="50"/>
  <c r="AJ18" i="50"/>
  <c r="AE44" i="50"/>
  <c r="AQ31" i="50"/>
  <c r="BC4" i="50"/>
  <c r="Y46" i="50"/>
  <c r="AR51" i="50"/>
  <c r="AZ36" i="50"/>
  <c r="L33" i="50"/>
  <c r="AX15" i="50"/>
  <c r="AC14" i="50"/>
  <c r="AQ44" i="50"/>
  <c r="AK37" i="50"/>
  <c r="W19" i="50"/>
  <c r="AW46" i="50"/>
  <c r="N15" i="50"/>
  <c r="AX39" i="50"/>
  <c r="AD30" i="50"/>
  <c r="X52" i="50"/>
  <c r="Q31" i="50"/>
  <c r="BC41" i="50"/>
  <c r="AM32" i="50"/>
  <c r="AX29" i="50"/>
  <c r="AU44" i="50"/>
  <c r="AL20" i="50"/>
  <c r="AS24" i="50"/>
  <c r="AW12" i="50"/>
  <c r="AP44" i="50"/>
  <c r="AF49" i="50"/>
  <c r="AE22" i="50"/>
  <c r="AK49" i="50"/>
  <c r="BB47" i="50"/>
  <c r="R5" i="50"/>
  <c r="AX32" i="50"/>
  <c r="AY37" i="50"/>
  <c r="AF34" i="50"/>
  <c r="R23" i="50"/>
  <c r="AX4" i="50"/>
  <c r="AJ20" i="50"/>
  <c r="AD17" i="50"/>
  <c r="AD34" i="50"/>
  <c r="AQ51" i="50"/>
  <c r="AG35" i="50"/>
  <c r="AA32" i="50"/>
  <c r="R12" i="50"/>
  <c r="AI48" i="50"/>
  <c r="AY34" i="50"/>
  <c r="L39" i="50"/>
  <c r="AO23" i="50"/>
  <c r="AS15" i="50"/>
  <c r="AY35" i="50"/>
  <c r="AB28" i="50"/>
  <c r="M27" i="50"/>
  <c r="AB12" i="50"/>
  <c r="V13" i="50"/>
  <c r="Z48" i="50"/>
  <c r="AP52" i="50"/>
  <c r="AV31" i="50"/>
  <c r="O38" i="50"/>
  <c r="AT29" i="50"/>
  <c r="AU4" i="50"/>
  <c r="AB50" i="50"/>
  <c r="AI44" i="50"/>
  <c r="AN14" i="50"/>
  <c r="AH47" i="50"/>
  <c r="V15" i="50"/>
  <c r="AL49" i="50"/>
  <c r="AM48" i="50"/>
  <c r="AE46" i="50"/>
  <c r="Z38" i="50"/>
  <c r="S51" i="50"/>
  <c r="BB43" i="50"/>
  <c r="M28" i="50"/>
  <c r="T32" i="50"/>
  <c r="R38" i="50"/>
  <c r="BA20" i="50"/>
  <c r="BA13" i="50"/>
  <c r="AF41" i="50"/>
  <c r="M35" i="50"/>
  <c r="BB25" i="50"/>
  <c r="BC46" i="50"/>
  <c r="AL13" i="50"/>
  <c r="BB13" i="50"/>
  <c r="AS41" i="50"/>
  <c r="AZ19" i="50"/>
  <c r="S14" i="50"/>
  <c r="Z33" i="50"/>
  <c r="AA38" i="50"/>
  <c r="W43" i="50"/>
  <c r="AU43" i="50"/>
  <c r="AD32" i="50"/>
  <c r="Q24" i="50"/>
  <c r="AJ28" i="50"/>
  <c r="AV16" i="50"/>
  <c r="BC15" i="50"/>
  <c r="AQ32" i="50"/>
  <c r="AU39" i="50"/>
  <c r="V40" i="50"/>
  <c r="AZ30" i="50"/>
  <c r="AD41" i="50"/>
  <c r="AA17" i="50"/>
  <c r="AG23" i="50"/>
  <c r="AW38" i="50"/>
  <c r="BA23" i="50"/>
  <c r="AA36" i="50"/>
  <c r="S19" i="50"/>
  <c r="W23" i="50"/>
  <c r="X17" i="50"/>
  <c r="AE17" i="50"/>
  <c r="AB49" i="50"/>
  <c r="L27" i="50"/>
  <c r="BB33" i="50"/>
  <c r="AK33" i="50"/>
  <c r="AE39" i="50"/>
  <c r="AM50" i="50"/>
  <c r="AW23" i="50"/>
  <c r="AL50" i="50"/>
  <c r="AP21" i="50"/>
  <c r="AO13" i="50"/>
  <c r="S15" i="50"/>
  <c r="S36" i="50"/>
  <c r="AL42" i="50"/>
  <c r="BB45" i="50"/>
  <c r="AB22" i="50"/>
  <c r="U44" i="50"/>
  <c r="R24" i="50"/>
  <c r="T12" i="50"/>
  <c r="AL27" i="50"/>
  <c r="AX28" i="50"/>
  <c r="AB44" i="50"/>
  <c r="Q45" i="50"/>
  <c r="AZ27" i="50"/>
  <c r="AV18" i="50"/>
  <c r="AG38" i="50"/>
  <c r="AM20" i="50"/>
  <c r="AD40" i="50"/>
  <c r="AY25" i="50"/>
  <c r="O40" i="50"/>
  <c r="AE47" i="50"/>
  <c r="AG43" i="50"/>
  <c r="M20" i="50"/>
  <c r="AW34" i="50"/>
  <c r="R45" i="50"/>
  <c r="BC21" i="50"/>
  <c r="AF5" i="50"/>
  <c r="T29" i="50"/>
  <c r="AO25" i="50"/>
  <c r="AV17" i="50"/>
  <c r="AS5" i="50"/>
  <c r="X31" i="50"/>
  <c r="X42" i="50"/>
  <c r="AL43" i="50"/>
  <c r="AS35" i="50"/>
  <c r="AW17" i="50"/>
  <c r="AL34" i="50"/>
  <c r="AY12" i="50"/>
  <c r="Y27" i="50"/>
  <c r="V29" i="50"/>
  <c r="T20" i="50"/>
  <c r="AJ31" i="50"/>
  <c r="L31" i="50"/>
  <c r="AX25" i="50"/>
  <c r="AZ51" i="50"/>
  <c r="AE25" i="50"/>
  <c r="AE12" i="50"/>
  <c r="AT40" i="50"/>
  <c r="AT35" i="50"/>
  <c r="Z5" i="50"/>
  <c r="AT42" i="50"/>
  <c r="X12" i="50"/>
  <c r="Q37" i="50"/>
  <c r="AV29" i="50"/>
  <c r="AH37" i="50"/>
  <c r="AX27" i="50"/>
  <c r="X46" i="50"/>
  <c r="O25" i="50"/>
  <c r="S44" i="50"/>
  <c r="AC42" i="50"/>
  <c r="R19" i="50"/>
  <c r="M39" i="50"/>
  <c r="AT19" i="50"/>
  <c r="AT14" i="50"/>
  <c r="AK35" i="50"/>
  <c r="AS39" i="50"/>
  <c r="X26" i="50"/>
  <c r="W37" i="50"/>
  <c r="V31" i="50"/>
  <c r="AO38" i="50"/>
  <c r="AA5" i="50"/>
  <c r="F31" i="50" l="1"/>
  <c r="F27" i="50"/>
  <c r="W11" i="4" s="1"/>
  <c r="F39" i="50"/>
  <c r="W19" i="4" s="1"/>
  <c r="F33" i="50"/>
  <c r="W30" i="1" s="1"/>
  <c r="F19" i="50"/>
  <c r="W13" i="4" s="1"/>
  <c r="F32" i="50"/>
  <c r="W18" i="4" s="1"/>
  <c r="F43" i="50"/>
  <c r="W23" i="4" s="1"/>
  <c r="F30" i="50"/>
  <c r="H30" i="50" s="1"/>
  <c r="F34" i="50"/>
  <c r="W11" i="137" s="1"/>
  <c r="J27" i="50"/>
  <c r="H27" i="50"/>
  <c r="J39" i="50"/>
  <c r="H19" i="50"/>
  <c r="F25" i="50"/>
  <c r="W13" i="1" s="1"/>
  <c r="F41" i="50"/>
  <c r="W28" i="1" s="1"/>
  <c r="F51" i="50"/>
  <c r="W12" i="150" s="1"/>
  <c r="F16" i="50"/>
  <c r="W9" i="4" s="1"/>
  <c r="F20" i="50"/>
  <c r="W16" i="4" s="1"/>
  <c r="F22" i="50"/>
  <c r="W15" i="4" s="1"/>
  <c r="F18" i="50"/>
  <c r="W17" i="4" s="1"/>
  <c r="F44" i="50"/>
  <c r="W5" i="150" s="1"/>
  <c r="F52" i="50"/>
  <c r="W24" i="4" s="1"/>
  <c r="K4" i="50"/>
  <c r="F50" i="50"/>
  <c r="W11" i="150" s="1"/>
  <c r="F13" i="50"/>
  <c r="W14" i="137" s="1"/>
  <c r="F37" i="50"/>
  <c r="W26" i="1" s="1"/>
  <c r="F15" i="50"/>
  <c r="W7" i="4" s="1"/>
  <c r="F48" i="50"/>
  <c r="W9" i="150" s="1"/>
  <c r="F45" i="50"/>
  <c r="W6" i="150" s="1"/>
  <c r="F40" i="50"/>
  <c r="W21" i="4" s="1"/>
  <c r="F24" i="50"/>
  <c r="W8" i="1" s="1"/>
  <c r="F29" i="50"/>
  <c r="W21" i="1" s="1"/>
  <c r="F21" i="50"/>
  <c r="W14" i="4" s="1"/>
  <c r="F26" i="50"/>
  <c r="W18" i="1" s="1"/>
  <c r="F17" i="50"/>
  <c r="W5" i="4" s="1"/>
  <c r="F42" i="50"/>
  <c r="W29" i="1" s="1"/>
  <c r="F38" i="50"/>
  <c r="W27" i="1" s="1"/>
  <c r="F28" i="50"/>
  <c r="W8" i="4" s="1"/>
  <c r="F35" i="50"/>
  <c r="W24" i="1" s="1"/>
  <c r="F36" i="50"/>
  <c r="W25" i="1" s="1"/>
  <c r="F49" i="50"/>
  <c r="W10" i="150" s="1"/>
  <c r="F23" i="50"/>
  <c r="W9" i="1" s="1"/>
  <c r="F12" i="50"/>
  <c r="W13" i="137" s="1"/>
  <c r="F47" i="50"/>
  <c r="W8" i="150" s="1"/>
  <c r="F14" i="50"/>
  <c r="W12" i="137" s="1"/>
  <c r="F5" i="50"/>
  <c r="W5" i="137" s="1"/>
  <c r="F46" i="50"/>
  <c r="W7" i="150" s="1"/>
  <c r="J19" i="50" l="1"/>
  <c r="H39" i="50"/>
  <c r="J43" i="50"/>
  <c r="H32" i="50"/>
  <c r="H34" i="50"/>
  <c r="J32" i="50"/>
  <c r="H33" i="50"/>
  <c r="W4" i="150"/>
  <c r="H43" i="50"/>
  <c r="J34" i="50"/>
  <c r="H31" i="50"/>
  <c r="W20" i="4"/>
  <c r="W4" i="4" s="1"/>
  <c r="J31" i="50"/>
  <c r="J33" i="50"/>
  <c r="W4" i="1"/>
  <c r="J30" i="50"/>
  <c r="W15" i="137"/>
  <c r="W4" i="137" s="1"/>
  <c r="J46" i="50"/>
  <c r="H46" i="50"/>
  <c r="H5" i="50"/>
  <c r="J5" i="50"/>
  <c r="F4" i="50"/>
  <c r="H14" i="50"/>
  <c r="J14" i="50"/>
  <c r="H47" i="50"/>
  <c r="J47" i="50"/>
  <c r="J12" i="50"/>
  <c r="H12" i="50"/>
  <c r="H23" i="50"/>
  <c r="J23" i="50"/>
  <c r="H49" i="50"/>
  <c r="J49" i="50"/>
  <c r="H36" i="50"/>
  <c r="J36" i="50"/>
  <c r="J35" i="50"/>
  <c r="H35" i="50"/>
  <c r="H28" i="50"/>
  <c r="J28" i="50"/>
  <c r="J38" i="50"/>
  <c r="H38" i="50"/>
  <c r="H42" i="50"/>
  <c r="J42" i="50"/>
  <c r="J17" i="50"/>
  <c r="H17" i="50"/>
  <c r="H26" i="50"/>
  <c r="J26" i="50"/>
  <c r="J21" i="50"/>
  <c r="H21" i="50"/>
  <c r="H29" i="50"/>
  <c r="J29" i="50"/>
  <c r="H24" i="50"/>
  <c r="J24" i="50"/>
  <c r="J40" i="50"/>
  <c r="H40" i="50"/>
  <c r="H45" i="50"/>
  <c r="J45" i="50"/>
  <c r="H48" i="50"/>
  <c r="J48" i="50"/>
  <c r="H15" i="50"/>
  <c r="J15" i="50"/>
  <c r="H37" i="50"/>
  <c r="J37" i="50"/>
  <c r="J13" i="50"/>
  <c r="H13" i="50"/>
  <c r="J50" i="50"/>
  <c r="H50" i="50"/>
  <c r="J52" i="50"/>
  <c r="H52" i="50"/>
  <c r="H44" i="50"/>
  <c r="J44" i="50"/>
  <c r="J18" i="50"/>
  <c r="H18" i="50"/>
  <c r="H22" i="50"/>
  <c r="J22" i="50"/>
  <c r="J20" i="50"/>
  <c r="H20" i="50"/>
  <c r="H16" i="50"/>
  <c r="J16" i="50"/>
  <c r="H51" i="50"/>
  <c r="J51" i="50"/>
  <c r="H41" i="50"/>
  <c r="J41" i="50"/>
  <c r="J25" i="50"/>
  <c r="H25" i="50"/>
  <c r="O11" i="137"/>
  <c r="A11" i="137" s="1"/>
  <c r="N11" i="137"/>
  <c r="N23" i="4"/>
  <c r="O23" i="4"/>
  <c r="A23" i="4" s="1"/>
  <c r="O18" i="4"/>
  <c r="A18" i="4" s="1"/>
  <c r="N18" i="4"/>
  <c r="O13" i="4"/>
  <c r="A13" i="4" s="1"/>
  <c r="N13" i="4"/>
  <c r="O30" i="1"/>
  <c r="A30" i="1" s="1"/>
  <c r="N30" i="1"/>
  <c r="O19" i="4"/>
  <c r="A19" i="4" s="1"/>
  <c r="N19" i="4"/>
  <c r="O11" i="4"/>
  <c r="A11" i="4" s="1"/>
  <c r="N11" i="4"/>
  <c r="N20" i="4" l="1"/>
  <c r="O20" i="4"/>
  <c r="A20" i="4" s="1"/>
  <c r="N15" i="137"/>
  <c r="O15" i="137"/>
  <c r="A15" i="137" s="1"/>
  <c r="J4" i="50"/>
  <c r="I4" i="50" s="1"/>
  <c r="K14" i="50" s="1"/>
  <c r="H4" i="50"/>
  <c r="N13" i="1"/>
  <c r="O13" i="1"/>
  <c r="A13" i="1" s="1"/>
  <c r="O28" i="1"/>
  <c r="A28" i="1" s="1"/>
  <c r="N28" i="1"/>
  <c r="O12" i="150"/>
  <c r="A12" i="150" s="1"/>
  <c r="N12" i="150"/>
  <c r="O9" i="4"/>
  <c r="A9" i="4" s="1"/>
  <c r="N9" i="4"/>
  <c r="N16" i="4"/>
  <c r="O16" i="4"/>
  <c r="A16" i="4" s="1"/>
  <c r="N15" i="4"/>
  <c r="O15" i="4"/>
  <c r="A15" i="4" s="1"/>
  <c r="N17" i="4"/>
  <c r="O17" i="4"/>
  <c r="A17" i="4" s="1"/>
  <c r="V4" i="150"/>
  <c r="O5" i="150"/>
  <c r="N5" i="150"/>
  <c r="N24" i="4"/>
  <c r="O24" i="4"/>
  <c r="A24" i="4" s="1"/>
  <c r="N11" i="150"/>
  <c r="O11" i="150"/>
  <c r="A11" i="150" s="1"/>
  <c r="N14" i="137"/>
  <c r="O14" i="137"/>
  <c r="A14" i="137" s="1"/>
  <c r="N26" i="1"/>
  <c r="O26" i="1"/>
  <c r="A26" i="1" s="1"/>
  <c r="N7" i="4"/>
  <c r="O7" i="4"/>
  <c r="A7" i="4" s="1"/>
  <c r="O9" i="150"/>
  <c r="A9" i="150" s="1"/>
  <c r="N9" i="150"/>
  <c r="O6" i="150"/>
  <c r="A6" i="150" s="1"/>
  <c r="N6" i="150"/>
  <c r="N21" i="4"/>
  <c r="O21" i="4"/>
  <c r="A21" i="4" s="1"/>
  <c r="V4" i="1"/>
  <c r="O8" i="1"/>
  <c r="N8" i="1"/>
  <c r="N21" i="1"/>
  <c r="O21" i="1"/>
  <c r="A21" i="1" s="1"/>
  <c r="O14" i="4"/>
  <c r="A14" i="4" s="1"/>
  <c r="N14" i="4"/>
  <c r="N18" i="1"/>
  <c r="O18" i="1"/>
  <c r="A18" i="1" s="1"/>
  <c r="V4" i="4"/>
  <c r="N5" i="4"/>
  <c r="O5" i="4"/>
  <c r="N29" i="1"/>
  <c r="O29" i="1"/>
  <c r="A29" i="1" s="1"/>
  <c r="O27" i="1"/>
  <c r="A27" i="1" s="1"/>
  <c r="N27" i="1"/>
  <c r="O8" i="4"/>
  <c r="A8" i="4" s="1"/>
  <c r="N8" i="4"/>
  <c r="O24" i="1"/>
  <c r="A24" i="1" s="1"/>
  <c r="N24" i="1"/>
  <c r="N25" i="1"/>
  <c r="O25" i="1"/>
  <c r="A25" i="1" s="1"/>
  <c r="N10" i="150"/>
  <c r="O10" i="150"/>
  <c r="A10" i="150" s="1"/>
  <c r="O9" i="1"/>
  <c r="A9" i="1" s="1"/>
  <c r="N9" i="1"/>
  <c r="N13" i="137"/>
  <c r="O13" i="137"/>
  <c r="A13" i="137" s="1"/>
  <c r="N8" i="150"/>
  <c r="O8" i="150"/>
  <c r="A8" i="150" s="1"/>
  <c r="O12" i="137"/>
  <c r="A12" i="137" s="1"/>
  <c r="N12" i="137"/>
  <c r="V4" i="137"/>
  <c r="N5" i="137"/>
  <c r="O5" i="137"/>
  <c r="O7" i="150"/>
  <c r="A7" i="150" s="1"/>
  <c r="N7" i="150"/>
  <c r="N4" i="4" l="1"/>
  <c r="A5" i="4"/>
  <c r="A4" i="4" s="1"/>
  <c r="O4" i="4"/>
  <c r="N4" i="150"/>
  <c r="N4" i="1"/>
  <c r="O4" i="150"/>
  <c r="A5" i="150"/>
  <c r="A4" i="150" s="1"/>
  <c r="O4" i="137"/>
  <c r="A5" i="137"/>
  <c r="A4" i="137" s="1"/>
  <c r="N4" i="137"/>
  <c r="O4" i="1"/>
  <c r="A8" i="1"/>
  <c r="A4" i="1" s="1"/>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<sst xmlns="http://schemas.openxmlformats.org/spreadsheetml/2006/main" count="1196" uniqueCount="320">
  <si>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</si>
  <si>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</si>
  <si>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</si>
  <si>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</si>
  <si>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</si>
  <si>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</si>
  <si>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</si>
  <si>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</si>
  <si>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</si>
  <si>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</si>
  <si>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</si>
  <si>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</si>
  <si>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</si>
  <si>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</si>
  <si>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</si>
  <si>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</si>
  <si>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</si>
  <si>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</si>
  <si>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</si>
  <si>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</si>
  <si>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</si>
  <si>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</si>
  <si>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</si>
  <si>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</si>
  <si>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</si>
  <si>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</si>
  <si>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</si>
  <si>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</si>
  <si>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</si>
  <si>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</si>
  <si>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</si>
  <si>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</si>
  <si>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</si>
  <si>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</si>
  <si>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</si>
  <si>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</si>
  <si>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</si>
  <si>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</si>
  <si>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</si>
  <si>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</si>
  <si>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</si>
  <si>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</si>
  <si>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</si>
  <si>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</si>
  <si>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</si>
  <si>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</si>
  <si>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</si>
  <si>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</si>
  <si>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</si>
  <si>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</si>
  <si>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</si>
  <si>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</si>
  <si>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</si>
  <si>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</si>
  <si>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</si>
  <si>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</si>
  <si>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</si>
  <si>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</si>
  <si>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</si>
  <si>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</si>
  <si>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</si>
  <si>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</si>
  <si>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</si>
  <si>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</si>
  <si>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</si>
  <si>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</si>
  <si>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</si>
  <si>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</si>
  <si>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</si>
  <si>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</si>
  <si>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</si>
  <si>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</si>
  <si>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</si>
  <si>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</si>
  <si>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</si>
  <si>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</si>
  <si>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</si>
  <si>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</si>
  <si>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</si>
  <si>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</si>
  <si>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</si>
  <si>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</si>
  <si>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</si>
  <si>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</si>
  <si>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</si>
  <si>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</si>
  <si>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</si>
  <si>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</si>
  <si>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</si>
  <si>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</si>
  <si>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</si>
  <si>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</si>
  <si>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</si>
  <si>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</si>
  <si>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</si>
  <si>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</si>
  <si>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</si>
  <si>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</si>
  <si>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</si>
  <si>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</si>
  <si>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</si>
  <si>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</si>
  <si>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</si>
  <si>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</si>
  <si>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</si>
  <si>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</si>
  <si>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</si>
  <si>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</si>
  <si>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</si>
  <si>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</si>
  <si>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</si>
  <si>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</si>
  <si>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</si>
  <si>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</si>
  <si>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</si>
  <si>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</si>
  <si>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</si>
  <si>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</si>
  <si>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</si>
  <si>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</si>
  <si>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</si>
  <si>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</si>
  <si>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</si>
  <si>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</si>
  <si>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</si>
  <si>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</si>
  <si>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</si>
  <si>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</si>
  <si>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</si>
  <si>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</si>
  <si>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</si>
  <si>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</si>
  <si>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</si>
  <si>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</si>
  <si>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</si>
  <si>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</si>
  <si>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</si>
  <si>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</si>
  <si>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</si>
  <si>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</si>
  <si>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</si>
  <si>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</si>
  <si>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</si>
  <si>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</si>
  <si>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</si>
  <si>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</si>
  <si>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</si>
  <si>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</si>
  <si>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</si>
  <si>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</si>
  <si>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</si>
  <si>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</si>
  <si>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</si>
  <si>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</si>
  <si>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</si>
  <si>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</si>
  <si>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</si>
  <si>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</si>
  <si>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</si>
  <si>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</si>
  <si>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</si>
  <si>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</si>
  <si>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</si>
  <si>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</si>
  <si>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</si>
  <si>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</si>
  <si>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</si>
  <si>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</si>
  <si>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</si>
  <si>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</si>
  <si>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</si>
  <si>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</si>
  <si>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</si>
  <si>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</si>
  <si>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</si>
  <si>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</si>
  <si>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</si>
  <si>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</si>
  <si>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</si>
  <si>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</si>
  <si>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</si>
  <si>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</si>
  <si>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</si>
  <si>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</si>
  <si>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</si>
  <si>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</si>
  <si>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</si>
  <si>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</si>
  <si>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</si>
  <si>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</si>
  <si>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</si>
  <si>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</si>
  <si>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</si>
  <si>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</si>
  <si>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</si>
  <si>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</si>
  <si>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</si>
  <si>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</si>
  <si>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</si>
  <si>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</si>
  <si>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</si>
  <si>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</si>
  <si>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</si>
  <si>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</si>
  <si>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</si>
  <si>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</si>
  <si>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</si>
  <si>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</si>
  <si>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</si>
  <si>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</si>
  <si>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</si>
  <si>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</si>
  <si>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</si>
  <si>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</si>
  <si>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</si>
  <si>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</si>
  <si>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</si>
  <si>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</si>
  <si>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</si>
  <si>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</si>
  <si>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</si>
  <si>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</si>
  <si>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</si>
  <si>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</si>
  <si>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</si>
  <si>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</si>
  <si>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</si>
  <si>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</si>
  <si>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</si>
  <si>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</si>
  <si>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</si>
  <si>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</si>
  <si>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</si>
  <si>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</si>
  <si>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</si>
  <si>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</si>
  <si>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</si>
  <si>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</si>
  <si>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</si>
  <si>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</si>
  <si>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</si>
  <si>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</si>
  <si>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</si>
  <si>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</si>
  <si>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</si>
  <si>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</si>
  <si>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</si>
  <si>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</si>
  <si>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</si>
  <si>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</si>
  <si>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</si>
  <si>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</si>
  <si>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</si>
  <si>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</si>
  <si>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</si>
  <si>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</si>
  <si>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</si>
  <si>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</si>
  <si>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</si>
  <si>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</si>
  <si>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</si>
  <si>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</si>
  <si>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</si>
  <si>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</si>
  <si>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</si>
  <si>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</si>
  <si>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</si>
  <si>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</si>
  <si>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</si>
  <si>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</si>
  <si>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</si>
  <si>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</si>
  <si>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</si>
  <si>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</si>
  <si>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</si>
  <si>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</si>
  <si>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</si>
  <si>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</si>
  <si>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</si>
  <si>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</si>
  <si>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</si>
  <si>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</si>
  <si>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</si>
  <si>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</si>
  <si>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</si>
  <si>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</si>
  <si>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</si>
  <si>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</si>
  <si>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</si>
  <si>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</si>
  <si>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</si>
  <si>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</si>
  <si>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</si>
  <si>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</si>
  <si>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</si>
  <si>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</si>
  <si>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</si>
  <si>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</si>
  <si>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</si>
  <si>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</si>
  <si>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</si>
  <si>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</si>
  <si>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</si>
  <si>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</si>
  <si>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Cá viên KK (Giá cũ)</t>
  </si>
  <si>
    <t>Cá viên rau củ KK (Giá cũ)</t>
  </si>
  <si>
    <t>Bò viên KK (Giá cũ)</t>
  </si>
  <si>
    <t>XX Đỏ KK (Giá cũ)</t>
  </si>
  <si>
    <t>Dì Tư</t>
  </si>
  <si>
    <t>Cô Bé</t>
  </si>
  <si>
    <t>T12+T01+T02+T03+T04+T05+T06+T07+T08+T09+T10+T11</t>
  </si>
  <si>
    <t>T01 (19-31) + T02 + T03+T04+T05+T06+T07+T08+T09+T10+T11</t>
  </si>
  <si>
    <t>C. Quyên</t>
  </si>
  <si>
    <t>Chị Tuyền</t>
  </si>
  <si>
    <t>Cô Hạnh</t>
  </si>
  <si>
    <t>Bác Bình - LH4</t>
  </si>
  <si>
    <t>BA</t>
  </si>
  <si>
    <t>KH lẻ</t>
  </si>
  <si>
    <t>KH LẺ</t>
  </si>
  <si>
    <t>Dì Bến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</si>
</sst>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164" fontId="0" fillId="0" borderId="0" xfId="0" quotePrefix="1" applyNumberFormat="1" applyAlignment="1">
      <alignment horizontal="right"/>
    </xf>
    <xf numFmtId="164" fontId="3" fillId="7" borderId="0" xfId="1" applyFont="1" applyFill="1" applyAlignment="1">
      <alignment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cellXfs>
  <cellStyles count="3">
    <cellStyle name="Comma [0]" xfId="1" builtinId="6"/>
    <cellStyle name="Normal" xfId="0" builtinId="0"/>
    <cellStyle name="Percent" xfId="2" builtinId="5"/>
  </cellStyles>
  <dxfs count="366">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65"/>
      <tableStyleElement type="headerRow" dxfId="364"/>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81377" name="Button 1" hidden="1">
              <a:extLst>
                <a:ext uri="{63B3BB69-23CF-44E3-9099-C40C66FF867C}">
                  <a14:compatExt spid="_x0000_s1381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80353" name="Button 1" hidden="1">
              <a:extLst>
                <a:ext uri="{63B3BB69-23CF-44E3-9099-C40C66FF867C}">
                  <a14:compatExt spid="_x0000_s1380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79329" name="Button 1" hidden="1">
              <a:extLst>
                <a:ext uri="{63B3BB69-23CF-44E3-9099-C40C66FF867C}">
                  <a14:compatExt spid="_x0000_s1379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78305" name="Button 1" hidden="1">
              <a:extLst>
                <a:ext uri="{63B3BB69-23CF-44E3-9099-C40C66FF867C}">
                  <a14:compatExt spid="_x0000_s1378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76257" name="Button 1" hidden="1">
              <a:extLst>
                <a:ext uri="{63B3BB69-23CF-44E3-9099-C40C66FF867C}">
                  <a14:compatExt spid="_x0000_s1376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74209" name="Button 1" hidden="1">
              <a:extLst>
                <a:ext uri="{63B3BB69-23CF-44E3-9099-C40C66FF867C}">
                  <a14:compatExt spid="_x0000_s1374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73185" name="Button 1" hidden="1">
              <a:extLst>
                <a:ext uri="{63B3BB69-23CF-44E3-9099-C40C66FF867C}">
                  <a14:compatExt spid="_x0000_s137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72161" name="Button 1" hidden="1">
              <a:extLst>
                <a:ext uri="{63B3BB69-23CF-44E3-9099-C40C66FF867C}">
                  <a14:compatExt spid="_x0000_s1372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71137" name="Button 1" hidden="1">
              <a:extLst>
                <a:ext uri="{63B3BB69-23CF-44E3-9099-C40C66FF867C}">
                  <a14:compatExt spid="_x0000_s1371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70113" name="Button 1" hidden="1">
              <a:extLst>
                <a:ext uri="{63B3BB69-23CF-44E3-9099-C40C66FF867C}">
                  <a14:compatExt spid="_x0000_s1370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37">
      <pivotArea field="3" type="button" dataOnly="0" labelOnly="1" outline="0" axis="axisRow" fieldPosition="3"/>
    </format>
    <format dxfId="33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3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3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3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3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2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2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2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2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2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2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2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2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2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1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1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1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1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1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1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1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12">
      <pivotArea field="1" type="button" dataOnly="0" labelOnly="1" outline="0" axis="axisRow" fieldPosition="2"/>
    </format>
    <format dxfId="311">
      <pivotArea dataOnly="0" labelOnly="1" outline="0" fieldPosition="0">
        <references count="1">
          <reference field="1" count="0"/>
        </references>
      </pivotArea>
    </format>
    <format dxfId="310">
      <pivotArea field="0" type="button" dataOnly="0" labelOnly="1" outline="0" axis="axisRow" fieldPosition="0"/>
    </format>
    <format dxfId="30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08">
      <pivotArea dataOnly="0" labelOnly="1" grandRow="1" outline="0" fieldPosition="0"/>
    </format>
    <format dxfId="30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06">
      <pivotArea dataOnly="0" labelOnly="1" grandRow="1" outline="0" fieldPosition="0"/>
    </format>
    <format dxfId="305">
      <pivotArea field="2" type="button" dataOnly="0" labelOnly="1" outline="0" axis="axisRow" fieldPosition="1"/>
    </format>
    <format dxfId="304">
      <pivotArea type="all" dataOnly="0" outline="0" fieldPosition="0"/>
    </format>
    <format dxfId="303">
      <pivotArea field="0" type="button" dataOnly="0" labelOnly="1" outline="0" axis="axisRow" fieldPosition="0"/>
    </format>
    <format dxfId="302">
      <pivotArea field="2" type="button" dataOnly="0" labelOnly="1" outline="0" axis="axisRow" fieldPosition="1"/>
    </format>
    <format dxfId="301">
      <pivotArea field="1" type="button" dataOnly="0" labelOnly="1" outline="0" axis="axisRow" fieldPosition="2"/>
    </format>
    <format dxfId="300">
      <pivotArea field="3" type="button" dataOnly="0" labelOnly="1" outline="0" axis="axisRow" fieldPosition="3"/>
    </format>
    <format dxfId="299">
      <pivotArea field="0" type="button" dataOnly="0" labelOnly="1" outline="0" axis="axisRow" fieldPosition="0"/>
    </format>
    <format dxfId="298">
      <pivotArea field="2" type="button" dataOnly="0" labelOnly="1" outline="0" axis="axisRow" fieldPosition="1"/>
    </format>
    <format dxfId="297">
      <pivotArea field="1" type="button" dataOnly="0" labelOnly="1" outline="0" axis="axisRow" fieldPosition="2"/>
    </format>
    <format dxfId="296">
      <pivotArea field="3" type="button" dataOnly="0" labelOnly="1" outline="0" axis="axisRow" fieldPosition="3"/>
    </format>
    <format dxfId="295">
      <pivotArea field="0" type="button" dataOnly="0" labelOnly="1" outline="0" axis="axisRow" fieldPosition="0"/>
    </format>
    <format dxfId="294">
      <pivotArea field="2" type="button" dataOnly="0" labelOnly="1" outline="0" axis="axisRow" fieldPosition="1"/>
    </format>
    <format dxfId="293">
      <pivotArea dataOnly="0" labelOnly="1" outline="0" fieldPosition="0">
        <references count="3">
          <reference field="0" count="1" selected="0">
            <x v="4"/>
          </reference>
          <reference field="1" count="1">
            <x v="2"/>
          </reference>
          <reference field="2" count="1" selected="0">
            <x v="4"/>
          </reference>
        </references>
      </pivotArea>
    </format>
    <format dxfId="292">
      <pivotArea dataOnly="0" labelOnly="1" outline="0" fieldPosition="0">
        <references count="3">
          <reference field="0" count="1" selected="0">
            <x v="5"/>
          </reference>
          <reference field="1" count="1">
            <x v="8"/>
          </reference>
          <reference field="2" count="1" selected="0">
            <x v="5"/>
          </reference>
        </references>
      </pivotArea>
    </format>
    <format dxfId="291">
      <pivotArea dataOnly="0" labelOnly="1" outline="0" fieldPosition="0">
        <references count="3">
          <reference field="0" count="1" selected="0">
            <x v="8"/>
          </reference>
          <reference field="1" count="1">
            <x v="7"/>
          </reference>
          <reference field="2" count="1" selected="0">
            <x v="8"/>
          </reference>
        </references>
      </pivotArea>
    </format>
    <format dxfId="290">
      <pivotArea dataOnly="0" labelOnly="1" outline="0" fieldPosition="0">
        <references count="3">
          <reference field="0" count="1" selected="0">
            <x v="10"/>
          </reference>
          <reference field="1" count="1">
            <x v="13"/>
          </reference>
          <reference field="2" count="1" selected="0">
            <x v="10"/>
          </reference>
        </references>
      </pivotArea>
    </format>
    <format dxfId="289">
      <pivotArea dataOnly="0" labelOnly="1" outline="0" fieldPosition="0">
        <references count="3">
          <reference field="0" count="1" selected="0">
            <x v="11"/>
          </reference>
          <reference field="1" count="1">
            <x v="14"/>
          </reference>
          <reference field="2" count="1" selected="0">
            <x v="11"/>
          </reference>
        </references>
      </pivotArea>
    </format>
    <format dxfId="288">
      <pivotArea dataOnly="0" labelOnly="1" outline="0" fieldPosition="0">
        <references count="3">
          <reference field="0" count="1" selected="0">
            <x v="12"/>
          </reference>
          <reference field="1" count="1">
            <x v="15"/>
          </reference>
          <reference field="2" count="1" selected="0">
            <x v="12"/>
          </reference>
        </references>
      </pivotArea>
    </format>
    <format dxfId="287">
      <pivotArea dataOnly="0" labelOnly="1" outline="0" fieldPosition="0">
        <references count="3">
          <reference field="0" count="1" selected="0">
            <x v="13"/>
          </reference>
          <reference field="1" count="1">
            <x v="16"/>
          </reference>
          <reference field="2" count="1" selected="0">
            <x v="13"/>
          </reference>
        </references>
      </pivotArea>
    </format>
    <format dxfId="286">
      <pivotArea dataOnly="0" labelOnly="1" outline="0" fieldPosition="0">
        <references count="3">
          <reference field="0" count="1" selected="0">
            <x v="14"/>
          </reference>
          <reference field="1" count="1">
            <x v="17"/>
          </reference>
          <reference field="2" count="1" selected="0">
            <x v="14"/>
          </reference>
        </references>
      </pivotArea>
    </format>
    <format dxfId="285">
      <pivotArea dataOnly="0" labelOnly="1" outline="0" fieldPosition="0">
        <references count="3">
          <reference field="0" count="1" selected="0">
            <x v="15"/>
          </reference>
          <reference field="1" count="1">
            <x v="10"/>
          </reference>
          <reference field="2" count="1" selected="0">
            <x v="15"/>
          </reference>
        </references>
      </pivotArea>
    </format>
    <format dxfId="284">
      <pivotArea dataOnly="0" labelOnly="1" outline="0" fieldPosition="0">
        <references count="3">
          <reference field="0" count="1" selected="0">
            <x v="16"/>
          </reference>
          <reference field="1" count="1">
            <x v="11"/>
          </reference>
          <reference field="2" count="1" selected="0">
            <x v="16"/>
          </reference>
        </references>
      </pivotArea>
    </format>
    <format dxfId="283">
      <pivotArea dataOnly="0" labelOnly="1" outline="0" fieldPosition="0">
        <references count="3">
          <reference field="0" count="1" selected="0">
            <x v="17"/>
          </reference>
          <reference field="1" count="1">
            <x v="3"/>
          </reference>
          <reference field="2" count="1" selected="0">
            <x v="17"/>
          </reference>
        </references>
      </pivotArea>
    </format>
    <format dxfId="282">
      <pivotArea dataOnly="0" labelOnly="1" outline="0" fieldPosition="0">
        <references count="3">
          <reference field="0" count="1" selected="0">
            <x v="20"/>
          </reference>
          <reference field="1" count="1">
            <x v="18"/>
          </reference>
          <reference field="2" count="1" selected="0">
            <x v="20"/>
          </reference>
        </references>
      </pivotArea>
    </format>
    <format dxfId="281">
      <pivotArea dataOnly="0" labelOnly="1" outline="0" fieldPosition="0">
        <references count="3">
          <reference field="0" count="1" selected="0">
            <x v="25"/>
          </reference>
          <reference field="1" count="1">
            <x v="1"/>
          </reference>
          <reference field="2" count="1" selected="0">
            <x v="25"/>
          </reference>
        </references>
      </pivotArea>
    </format>
    <format dxfId="28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7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7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7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7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7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7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7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7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7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7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6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6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67">
      <pivotArea dataOnly="0" labelOnly="1" outline="0" fieldPosition="0">
        <references count="2">
          <reference field="0" count="1" selected="0">
            <x v="0"/>
          </reference>
          <reference field="2" count="1">
            <x v="0"/>
          </reference>
        </references>
      </pivotArea>
    </format>
    <format dxfId="266">
      <pivotArea dataOnly="0" labelOnly="1" outline="0" fieldPosition="0">
        <references count="2">
          <reference field="0" count="1" selected="0">
            <x v="1"/>
          </reference>
          <reference field="2" count="1">
            <x v="1"/>
          </reference>
        </references>
      </pivotArea>
    </format>
    <format dxfId="265">
      <pivotArea dataOnly="0" labelOnly="1" outline="0" fieldPosition="0">
        <references count="2">
          <reference field="0" count="1" selected="0">
            <x v="2"/>
          </reference>
          <reference field="2" count="1">
            <x v="2"/>
          </reference>
        </references>
      </pivotArea>
    </format>
    <format dxfId="264">
      <pivotArea dataOnly="0" labelOnly="1" outline="0" fieldPosition="0">
        <references count="2">
          <reference field="0" count="1" selected="0">
            <x v="3"/>
          </reference>
          <reference field="2" count="1">
            <x v="3"/>
          </reference>
        </references>
      </pivotArea>
    </format>
    <format dxfId="263">
      <pivotArea dataOnly="0" labelOnly="1" outline="0" fieldPosition="0">
        <references count="2">
          <reference field="0" count="1" selected="0">
            <x v="4"/>
          </reference>
          <reference field="2" count="1">
            <x v="4"/>
          </reference>
        </references>
      </pivotArea>
    </format>
    <format dxfId="262">
      <pivotArea dataOnly="0" labelOnly="1" outline="0" fieldPosition="0">
        <references count="2">
          <reference field="0" count="1" selected="0">
            <x v="5"/>
          </reference>
          <reference field="2" count="1">
            <x v="5"/>
          </reference>
        </references>
      </pivotArea>
    </format>
    <format dxfId="261">
      <pivotArea dataOnly="0" labelOnly="1" outline="0" fieldPosition="0">
        <references count="2">
          <reference field="0" count="1" selected="0">
            <x v="6"/>
          </reference>
          <reference field="2" count="1">
            <x v="6"/>
          </reference>
        </references>
      </pivotArea>
    </format>
    <format dxfId="260">
      <pivotArea dataOnly="0" labelOnly="1" outline="0" fieldPosition="0">
        <references count="2">
          <reference field="0" count="1" selected="0">
            <x v="7"/>
          </reference>
          <reference field="2" count="1">
            <x v="7"/>
          </reference>
        </references>
      </pivotArea>
    </format>
    <format dxfId="259">
      <pivotArea dataOnly="0" labelOnly="1" outline="0" fieldPosition="0">
        <references count="2">
          <reference field="0" count="1" selected="0">
            <x v="8"/>
          </reference>
          <reference field="2" count="1">
            <x v="8"/>
          </reference>
        </references>
      </pivotArea>
    </format>
    <format dxfId="258">
      <pivotArea dataOnly="0" labelOnly="1" outline="0" fieldPosition="0">
        <references count="2">
          <reference field="0" count="1" selected="0">
            <x v="9"/>
          </reference>
          <reference field="2" count="1">
            <x v="9"/>
          </reference>
        </references>
      </pivotArea>
    </format>
    <format dxfId="257">
      <pivotArea dataOnly="0" labelOnly="1" outline="0" fieldPosition="0">
        <references count="2">
          <reference field="0" count="1" selected="0">
            <x v="10"/>
          </reference>
          <reference field="2" count="1">
            <x v="10"/>
          </reference>
        </references>
      </pivotArea>
    </format>
    <format dxfId="256">
      <pivotArea dataOnly="0" labelOnly="1" outline="0" fieldPosition="0">
        <references count="2">
          <reference field="0" count="1" selected="0">
            <x v="11"/>
          </reference>
          <reference field="2" count="1">
            <x v="11"/>
          </reference>
        </references>
      </pivotArea>
    </format>
    <format dxfId="255">
      <pivotArea dataOnly="0" labelOnly="1" outline="0" fieldPosition="0">
        <references count="2">
          <reference field="0" count="1" selected="0">
            <x v="12"/>
          </reference>
          <reference field="2" count="1">
            <x v="12"/>
          </reference>
        </references>
      </pivotArea>
    </format>
    <format dxfId="254">
      <pivotArea dataOnly="0" labelOnly="1" outline="0" fieldPosition="0">
        <references count="2">
          <reference field="0" count="1" selected="0">
            <x v="13"/>
          </reference>
          <reference field="2" count="1">
            <x v="13"/>
          </reference>
        </references>
      </pivotArea>
    </format>
    <format dxfId="253">
      <pivotArea dataOnly="0" labelOnly="1" outline="0" fieldPosition="0">
        <references count="2">
          <reference field="0" count="1" selected="0">
            <x v="14"/>
          </reference>
          <reference field="2" count="1">
            <x v="14"/>
          </reference>
        </references>
      </pivotArea>
    </format>
    <format dxfId="252">
      <pivotArea dataOnly="0" labelOnly="1" outline="0" fieldPosition="0">
        <references count="2">
          <reference field="0" count="1" selected="0">
            <x v="15"/>
          </reference>
          <reference field="2" count="1">
            <x v="15"/>
          </reference>
        </references>
      </pivotArea>
    </format>
    <format dxfId="251">
      <pivotArea dataOnly="0" labelOnly="1" outline="0" fieldPosition="0">
        <references count="2">
          <reference field="0" count="1" selected="0">
            <x v="16"/>
          </reference>
          <reference field="2" count="1">
            <x v="16"/>
          </reference>
        </references>
      </pivotArea>
    </format>
    <format dxfId="250">
      <pivotArea dataOnly="0" labelOnly="1" outline="0" fieldPosition="0">
        <references count="2">
          <reference field="0" count="1" selected="0">
            <x v="17"/>
          </reference>
          <reference field="2" count="1">
            <x v="17"/>
          </reference>
        </references>
      </pivotArea>
    </format>
    <format dxfId="249">
      <pivotArea dataOnly="0" labelOnly="1" outline="0" fieldPosition="0">
        <references count="2">
          <reference field="0" count="1" selected="0">
            <x v="18"/>
          </reference>
          <reference field="2" count="1">
            <x v="18"/>
          </reference>
        </references>
      </pivotArea>
    </format>
    <format dxfId="248">
      <pivotArea dataOnly="0" labelOnly="1" outline="0" fieldPosition="0">
        <references count="2">
          <reference field="0" count="1" selected="0">
            <x v="19"/>
          </reference>
          <reference field="2" count="1">
            <x v="19"/>
          </reference>
        </references>
      </pivotArea>
    </format>
    <format dxfId="247">
      <pivotArea dataOnly="0" labelOnly="1" outline="0" fieldPosition="0">
        <references count="2">
          <reference field="0" count="1" selected="0">
            <x v="20"/>
          </reference>
          <reference field="2" count="1">
            <x v="20"/>
          </reference>
        </references>
      </pivotArea>
    </format>
    <format dxfId="246">
      <pivotArea dataOnly="0" labelOnly="1" outline="0" fieldPosition="0">
        <references count="2">
          <reference field="0" count="1" selected="0">
            <x v="21"/>
          </reference>
          <reference field="2" count="1">
            <x v="21"/>
          </reference>
        </references>
      </pivotArea>
    </format>
    <format dxfId="245">
      <pivotArea dataOnly="0" labelOnly="1" outline="0" fieldPosition="0">
        <references count="2">
          <reference field="0" count="1" selected="0">
            <x v="22"/>
          </reference>
          <reference field="2" count="1">
            <x v="22"/>
          </reference>
        </references>
      </pivotArea>
    </format>
    <format dxfId="244">
      <pivotArea dataOnly="0" labelOnly="1" outline="0" fieldPosition="0">
        <references count="2">
          <reference field="0" count="1" selected="0">
            <x v="23"/>
          </reference>
          <reference field="2" count="1">
            <x v="23"/>
          </reference>
        </references>
      </pivotArea>
    </format>
    <format dxfId="243">
      <pivotArea dataOnly="0" labelOnly="1" outline="0" fieldPosition="0">
        <references count="2">
          <reference field="0" count="1" selected="0">
            <x v="24"/>
          </reference>
          <reference field="2" count="1">
            <x v="24"/>
          </reference>
        </references>
      </pivotArea>
    </format>
    <format dxfId="242">
      <pivotArea dataOnly="0" labelOnly="1" outline="0" fieldPosition="0">
        <references count="2">
          <reference field="0" count="1" selected="0">
            <x v="25"/>
          </reference>
          <reference field="2" count="1">
            <x v="25"/>
          </reference>
        </references>
      </pivotArea>
    </format>
    <format dxfId="241">
      <pivotArea dataOnly="0" labelOnly="1" outline="0" fieldPosition="0">
        <references count="2">
          <reference field="0" count="1" selected="0">
            <x v="26"/>
          </reference>
          <reference field="2" count="1">
            <x v="26"/>
          </reference>
        </references>
      </pivotArea>
    </format>
    <format dxfId="240">
      <pivotArea dataOnly="0" labelOnly="1" outline="0" fieldPosition="0">
        <references count="2">
          <reference field="0" count="1" selected="0">
            <x v="27"/>
          </reference>
          <reference field="2" count="1">
            <x v="27"/>
          </reference>
        </references>
      </pivotArea>
    </format>
    <format dxfId="239">
      <pivotArea dataOnly="0" labelOnly="1" outline="0" fieldPosition="0">
        <references count="2">
          <reference field="0" count="1" selected="0">
            <x v="28"/>
          </reference>
          <reference field="2" count="1">
            <x v="28"/>
          </reference>
        </references>
      </pivotArea>
    </format>
    <format dxfId="238">
      <pivotArea dataOnly="0" labelOnly="1" outline="0" fieldPosition="0">
        <references count="2">
          <reference field="0" count="1" selected="0">
            <x v="29"/>
          </reference>
          <reference field="2" count="1">
            <x v="29"/>
          </reference>
        </references>
      </pivotArea>
    </format>
    <format dxfId="237">
      <pivotArea dataOnly="0" labelOnly="1" outline="0" fieldPosition="0">
        <references count="2">
          <reference field="0" count="1" selected="0">
            <x v="30"/>
          </reference>
          <reference field="2" count="1">
            <x v="30"/>
          </reference>
        </references>
      </pivotArea>
    </format>
    <format dxfId="236">
      <pivotArea dataOnly="0" labelOnly="1" outline="0" fieldPosition="0">
        <references count="2">
          <reference field="0" count="1" selected="0">
            <x v="31"/>
          </reference>
          <reference field="2" count="1">
            <x v="31"/>
          </reference>
        </references>
      </pivotArea>
    </format>
    <format dxfId="235">
      <pivotArea dataOnly="0" labelOnly="1" outline="0" fieldPosition="0">
        <references count="2">
          <reference field="0" count="1" selected="0">
            <x v="32"/>
          </reference>
          <reference field="2" count="1">
            <x v="32"/>
          </reference>
        </references>
      </pivotArea>
    </format>
    <format dxfId="234">
      <pivotArea dataOnly="0" labelOnly="1" outline="0" fieldPosition="0">
        <references count="2">
          <reference field="0" count="1" selected="0">
            <x v="33"/>
          </reference>
          <reference field="2" count="1">
            <x v="33"/>
          </reference>
        </references>
      </pivotArea>
    </format>
    <format dxfId="233">
      <pivotArea dataOnly="0" labelOnly="1" outline="0" fieldPosition="0">
        <references count="2">
          <reference field="0" count="1" selected="0">
            <x v="34"/>
          </reference>
          <reference field="2" count="1">
            <x v="34"/>
          </reference>
        </references>
      </pivotArea>
    </format>
    <format dxfId="232">
      <pivotArea dataOnly="0" labelOnly="1" outline="0" fieldPosition="0">
        <references count="2">
          <reference field="0" count="1" selected="0">
            <x v="35"/>
          </reference>
          <reference field="2" count="1">
            <x v="35"/>
          </reference>
        </references>
      </pivotArea>
    </format>
    <format dxfId="231">
      <pivotArea dataOnly="0" labelOnly="1" outline="0" fieldPosition="0">
        <references count="2">
          <reference field="0" count="1" selected="0">
            <x v="36"/>
          </reference>
          <reference field="2" count="1">
            <x v="36"/>
          </reference>
        </references>
      </pivotArea>
    </format>
    <format dxfId="230">
      <pivotArea dataOnly="0" labelOnly="1" outline="0" fieldPosition="0">
        <references count="2">
          <reference field="0" count="1" selected="0">
            <x v="37"/>
          </reference>
          <reference field="2" count="1">
            <x v="37"/>
          </reference>
        </references>
      </pivotArea>
    </format>
    <format dxfId="229">
      <pivotArea dataOnly="0" labelOnly="1" outline="0" fieldPosition="0">
        <references count="2">
          <reference field="0" count="1" selected="0">
            <x v="38"/>
          </reference>
          <reference field="2" count="1">
            <x v="38"/>
          </reference>
        </references>
      </pivotArea>
    </format>
    <format dxfId="228">
      <pivotArea dataOnly="0" labelOnly="1" outline="0" fieldPosition="0">
        <references count="2">
          <reference field="0" count="1" selected="0">
            <x v="39"/>
          </reference>
          <reference field="2" count="1">
            <x v="39"/>
          </reference>
        </references>
      </pivotArea>
    </format>
    <format dxfId="227">
      <pivotArea dataOnly="0" labelOnly="1" outline="0" fieldPosition="0">
        <references count="2">
          <reference field="0" count="1" selected="0">
            <x v="40"/>
          </reference>
          <reference field="2" count="1">
            <x v="40"/>
          </reference>
        </references>
      </pivotArea>
    </format>
    <format dxfId="226">
      <pivotArea dataOnly="0" labelOnly="1" outline="0" fieldPosition="0">
        <references count="3">
          <reference field="0" count="1" selected="0">
            <x v="4"/>
          </reference>
          <reference field="1" count="1">
            <x v="2"/>
          </reference>
          <reference field="2" count="1" selected="0">
            <x v="4"/>
          </reference>
        </references>
      </pivotArea>
    </format>
    <format dxfId="225">
      <pivotArea dataOnly="0" labelOnly="1" outline="0" fieldPosition="0">
        <references count="3">
          <reference field="0" count="1" selected="0">
            <x v="5"/>
          </reference>
          <reference field="1" count="1">
            <x v="8"/>
          </reference>
          <reference field="2" count="1" selected="0">
            <x v="5"/>
          </reference>
        </references>
      </pivotArea>
    </format>
    <format dxfId="224">
      <pivotArea dataOnly="0" labelOnly="1" outline="0" fieldPosition="0">
        <references count="3">
          <reference field="0" count="1" selected="0">
            <x v="8"/>
          </reference>
          <reference field="1" count="1">
            <x v="7"/>
          </reference>
          <reference field="2" count="1" selected="0">
            <x v="8"/>
          </reference>
        </references>
      </pivotArea>
    </format>
    <format dxfId="223">
      <pivotArea dataOnly="0" labelOnly="1" outline="0" fieldPosition="0">
        <references count="3">
          <reference field="0" count="1" selected="0">
            <x v="10"/>
          </reference>
          <reference field="1" count="1">
            <x v="13"/>
          </reference>
          <reference field="2" count="1" selected="0">
            <x v="10"/>
          </reference>
        </references>
      </pivotArea>
    </format>
    <format dxfId="222">
      <pivotArea dataOnly="0" labelOnly="1" outline="0" fieldPosition="0">
        <references count="3">
          <reference field="0" count="1" selected="0">
            <x v="11"/>
          </reference>
          <reference field="1" count="1">
            <x v="14"/>
          </reference>
          <reference field="2" count="1" selected="0">
            <x v="11"/>
          </reference>
        </references>
      </pivotArea>
    </format>
    <format dxfId="221">
      <pivotArea dataOnly="0" labelOnly="1" outline="0" fieldPosition="0">
        <references count="3">
          <reference field="0" count="1" selected="0">
            <x v="12"/>
          </reference>
          <reference field="1" count="1">
            <x v="15"/>
          </reference>
          <reference field="2" count="1" selected="0">
            <x v="12"/>
          </reference>
        </references>
      </pivotArea>
    </format>
    <format dxfId="220">
      <pivotArea dataOnly="0" labelOnly="1" outline="0" fieldPosition="0">
        <references count="3">
          <reference field="0" count="1" selected="0">
            <x v="13"/>
          </reference>
          <reference field="1" count="1">
            <x v="16"/>
          </reference>
          <reference field="2" count="1" selected="0">
            <x v="13"/>
          </reference>
        </references>
      </pivotArea>
    </format>
    <format dxfId="219">
      <pivotArea dataOnly="0" labelOnly="1" outline="0" fieldPosition="0">
        <references count="3">
          <reference field="0" count="1" selected="0">
            <x v="14"/>
          </reference>
          <reference field="1" count="1">
            <x v="17"/>
          </reference>
          <reference field="2" count="1" selected="0">
            <x v="14"/>
          </reference>
        </references>
      </pivotArea>
    </format>
    <format dxfId="218">
      <pivotArea dataOnly="0" labelOnly="1" outline="0" fieldPosition="0">
        <references count="3">
          <reference field="0" count="1" selected="0">
            <x v="15"/>
          </reference>
          <reference field="1" count="1">
            <x v="10"/>
          </reference>
          <reference field="2" count="1" selected="0">
            <x v="15"/>
          </reference>
        </references>
      </pivotArea>
    </format>
    <format dxfId="217">
      <pivotArea dataOnly="0" labelOnly="1" outline="0" fieldPosition="0">
        <references count="3">
          <reference field="0" count="1" selected="0">
            <x v="16"/>
          </reference>
          <reference field="1" count="1">
            <x v="11"/>
          </reference>
          <reference field="2" count="1" selected="0">
            <x v="16"/>
          </reference>
        </references>
      </pivotArea>
    </format>
    <format dxfId="216">
      <pivotArea dataOnly="0" labelOnly="1" outline="0" fieldPosition="0">
        <references count="3">
          <reference field="0" count="1" selected="0">
            <x v="17"/>
          </reference>
          <reference field="1" count="1">
            <x v="3"/>
          </reference>
          <reference field="2" count="1" selected="0">
            <x v="17"/>
          </reference>
        </references>
      </pivotArea>
    </format>
    <format dxfId="215">
      <pivotArea dataOnly="0" labelOnly="1" outline="0" fieldPosition="0">
        <references count="3">
          <reference field="0" count="1" selected="0">
            <x v="20"/>
          </reference>
          <reference field="1" count="1">
            <x v="18"/>
          </reference>
          <reference field="2" count="1" selected="0">
            <x v="20"/>
          </reference>
        </references>
      </pivotArea>
    </format>
    <format dxfId="214">
      <pivotArea dataOnly="0" labelOnly="1" outline="0" fieldPosition="0">
        <references count="3">
          <reference field="0" count="1" selected="0">
            <x v="25"/>
          </reference>
          <reference field="1" count="1">
            <x v="1"/>
          </reference>
          <reference field="2" count="1" selected="0">
            <x v="25"/>
          </reference>
        </references>
      </pivotArea>
    </format>
    <format dxfId="21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1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1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1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0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0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0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0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0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0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0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0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01">
      <pivotArea type="all" dataOnly="0" outline="0" fieldPosition="0"/>
    </format>
    <format dxfId="200">
      <pivotArea type="all" dataOnly="0" outline="0" fieldPosition="0"/>
    </format>
    <format dxfId="199">
      <pivotArea type="all" dataOnly="0" outline="0" fieldPosition="0"/>
    </format>
    <format dxfId="198">
      <pivotArea dataOnly="0" labelOnly="1" outline="0" fieldPosition="0">
        <references count="1">
          <reference field="0" count="3">
            <x v="0"/>
            <x v="1"/>
            <x v="2"/>
          </reference>
        </references>
      </pivotArea>
    </format>
    <format dxfId="197">
      <pivotArea dataOnly="0" labelOnly="1" outline="0" fieldPosition="0">
        <references count="2">
          <reference field="0" count="1" selected="0">
            <x v="0"/>
          </reference>
          <reference field="2" count="1">
            <x v="0"/>
          </reference>
        </references>
      </pivotArea>
    </format>
    <format dxfId="196">
      <pivotArea dataOnly="0" labelOnly="1" outline="0" fieldPosition="0">
        <references count="2">
          <reference field="0" count="1" selected="0">
            <x v="1"/>
          </reference>
          <reference field="2" count="1">
            <x v="1"/>
          </reference>
        </references>
      </pivotArea>
    </format>
    <format dxfId="195">
      <pivotArea dataOnly="0" labelOnly="1" outline="0" fieldPosition="0">
        <references count="2">
          <reference field="0" count="1" selected="0">
            <x v="2"/>
          </reference>
          <reference field="2" count="1">
            <x v="2"/>
          </reference>
        </references>
      </pivotArea>
    </format>
    <format dxfId="194">
      <pivotArea dataOnly="0" labelOnly="1" outline="0" fieldPosition="0">
        <references count="1">
          <reference field="1" count="0"/>
        </references>
      </pivotArea>
    </format>
    <format dxfId="193">
      <pivotArea dataOnly="0" labelOnly="1" outline="0" fieldPosition="0">
        <references count="1">
          <reference field="0" count="1">
            <x v="42"/>
          </reference>
        </references>
      </pivotArea>
    </format>
    <format dxfId="192">
      <pivotArea dataOnly="0" labelOnly="1" outline="0" fieldPosition="0">
        <references count="1">
          <reference field="0" count="1">
            <x v="41"/>
          </reference>
        </references>
      </pivotArea>
    </format>
    <format dxfId="191">
      <pivotArea dataOnly="0" labelOnly="1" outline="0" fieldPosition="0">
        <references count="1">
          <reference field="0" count="1">
            <x v="1"/>
          </reference>
        </references>
      </pivotArea>
    </format>
    <format dxfId="190">
      <pivotArea dataOnly="0" labelOnly="1" outline="0" fieldPosition="0">
        <references count="2">
          <reference field="0" count="1" selected="0">
            <x v="1"/>
          </reference>
          <reference field="2" count="1">
            <x v="1"/>
          </reference>
        </references>
      </pivotArea>
    </format>
    <format dxfId="189">
      <pivotArea field="1" type="button" dataOnly="0" labelOnly="1" outline="0" axis="axisRow" fieldPosition="2"/>
    </format>
    <format dxfId="188">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P13" sqref="P13"/>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0" t="s">
        <v>269</v>
      </c>
      <c r="W1" s="155">
        <f>SUM(X1:BB1)</f>
        <v>3520</v>
      </c>
      <c r="X1" s="227">
        <v>250</v>
      </c>
      <c r="Y1" s="261">
        <f>COUNTIF(Y4:AA4,"&gt;0")*1000-SUM(Y4:AA4)</f>
        <v>670</v>
      </c>
      <c r="Z1" s="262"/>
      <c r="AA1" s="262"/>
      <c r="AB1" s="261">
        <f t="shared" ref="AB1" si="0">COUNTIF(AB4:AD4,"&gt;0")*1000-SUM(AB4:AD4)</f>
        <v>950</v>
      </c>
      <c r="AC1" s="262"/>
      <c r="AD1" s="262"/>
      <c r="AE1" s="261">
        <f t="shared" ref="AE1" si="1">COUNTIF(AE4:AG4,"&gt;0")*1000-SUM(AE4:AG4)</f>
        <v>700</v>
      </c>
      <c r="AF1" s="262"/>
      <c r="AG1" s="262"/>
      <c r="AH1" s="261">
        <f t="shared" ref="AH1" si="2">COUNTIF(AH4:AJ4,"&gt;0")*1000-SUM(AH4:AJ4)</f>
        <v>650</v>
      </c>
      <c r="AI1" s="262"/>
      <c r="AJ1" s="262"/>
      <c r="AK1" s="261">
        <f t="shared" ref="AK1" si="3">COUNTIF(AK4:AM4,"&gt;0")*1000-SUM(AK4:AM4)</f>
        <v>300</v>
      </c>
      <c r="AL1" s="262"/>
      <c r="AM1" s="262"/>
      <c r="AN1" s="261">
        <f t="shared" ref="AN1" si="4">COUNTIF(AN4:AP4,"&gt;0")*1000-SUM(AN4:AP4)</f>
        <v>0</v>
      </c>
      <c r="AO1" s="262"/>
      <c r="AP1" s="262"/>
      <c r="AQ1" s="261">
        <f t="shared" ref="AQ1" si="5">COUNTIF(AQ4:AS4,"&gt;0")*1000-SUM(AQ4:AS4)</f>
        <v>0</v>
      </c>
      <c r="AR1" s="262"/>
      <c r="AS1" s="262"/>
      <c r="AT1" s="261">
        <f t="shared" ref="AT1" si="6">COUNTIF(AT4:AV4,"&gt;0")*1000-SUM(AT4:AV4)</f>
        <v>0</v>
      </c>
      <c r="AU1" s="262"/>
      <c r="AV1" s="262"/>
      <c r="AW1" s="261">
        <f t="shared" ref="AW1" si="7">COUNTIF(AW4:AY4,"&gt;0")*1000-SUM(AW4:AY4)</f>
        <v>0</v>
      </c>
      <c r="AX1" s="262"/>
      <c r="AY1" s="262"/>
      <c r="AZ1" s="261">
        <f t="shared" ref="AZ1" si="8">COUNTIF(AZ4:BB4,"&gt;0")*1000-SUM(AZ4:BB4)</f>
        <v>0</v>
      </c>
      <c r="BA1" s="262"/>
      <c r="BB1" s="262"/>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0"/>
      <c r="W2" s="155"/>
      <c r="X2" s="106" t="s">
        <v>214</v>
      </c>
      <c r="Y2" s="259" t="s">
        <v>215</v>
      </c>
      <c r="Z2" s="259"/>
      <c r="AA2" s="259"/>
      <c r="AB2" s="258" t="s">
        <v>216</v>
      </c>
      <c r="AC2" s="258"/>
      <c r="AD2" s="258"/>
      <c r="AE2" s="259" t="s">
        <v>217</v>
      </c>
      <c r="AF2" s="259"/>
      <c r="AG2" s="259"/>
      <c r="AH2" s="258" t="s">
        <v>218</v>
      </c>
      <c r="AI2" s="258"/>
      <c r="AJ2" s="258"/>
      <c r="AK2" s="259" t="s">
        <v>219</v>
      </c>
      <c r="AL2" s="259"/>
      <c r="AM2" s="259"/>
      <c r="AN2" s="258" t="s">
        <v>220</v>
      </c>
      <c r="AO2" s="258"/>
      <c r="AP2" s="258"/>
      <c r="AQ2" s="259" t="s">
        <v>268</v>
      </c>
      <c r="AR2" s="259"/>
      <c r="AS2" s="259"/>
      <c r="AT2" s="258" t="s">
        <v>210</v>
      </c>
      <c r="AU2" s="258"/>
      <c r="AV2" s="258"/>
      <c r="AW2" s="259" t="s">
        <v>211</v>
      </c>
      <c r="AX2" s="259"/>
      <c r="AY2" s="259"/>
      <c r="AZ2" s="258" t="s">
        <v>212</v>
      </c>
      <c r="BA2" s="258"/>
      <c r="BB2" s="258"/>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0"/>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10480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57">
        <v>4200</v>
      </c>
      <c r="Z6" s="257"/>
      <c r="AA6" s="257"/>
      <c r="AB6" s="257">
        <v>4100</v>
      </c>
      <c r="AC6" s="257"/>
      <c r="AD6" s="257"/>
      <c r="AE6" s="257">
        <v>4200</v>
      </c>
      <c r="AF6" s="257"/>
      <c r="AG6" s="257"/>
      <c r="AH6" s="257">
        <v>4100</v>
      </c>
      <c r="AI6" s="257"/>
      <c r="AJ6" s="257"/>
      <c r="AK6" s="257">
        <v>4100</v>
      </c>
      <c r="AL6" s="257"/>
      <c r="AM6" s="257"/>
      <c r="AN6" s="257"/>
      <c r="AO6" s="257"/>
      <c r="AP6" s="257"/>
      <c r="AQ6" s="257"/>
      <c r="AR6" s="257"/>
      <c r="AS6" s="257"/>
      <c r="AT6" s="257"/>
      <c r="AU6" s="257"/>
      <c r="AV6" s="257"/>
      <c r="AW6" s="257"/>
      <c r="AX6" s="257"/>
      <c r="AY6" s="257"/>
      <c r="AZ6" s="257"/>
      <c r="BA6" s="257"/>
      <c r="BB6" s="257"/>
      <c r="BC6" s="257"/>
      <c r="BD6" s="257"/>
      <c r="BE6" s="257"/>
      <c r="BF6" s="257"/>
      <c r="BG6" s="257"/>
      <c r="BH6" s="257"/>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57">
        <f>COUNTIF(Y6,"&gt;0")*5000-Y6</f>
        <v>800</v>
      </c>
      <c r="Z8" s="257"/>
      <c r="AA8" s="257"/>
      <c r="AB8" s="257">
        <f t="shared" ref="AB8" si="12">COUNTIF(AB6,"&gt;0")*5000-AB6</f>
        <v>900</v>
      </c>
      <c r="AC8" s="257"/>
      <c r="AD8" s="257"/>
      <c r="AE8" s="257">
        <f t="shared" ref="AE8" si="13">COUNTIF(AE6,"&gt;0")*5000-AE6</f>
        <v>800</v>
      </c>
      <c r="AF8" s="257"/>
      <c r="AG8" s="257"/>
      <c r="AH8" s="257">
        <f t="shared" ref="AH8" si="14">COUNTIF(AH6,"&gt;0")*5000-AH6</f>
        <v>900</v>
      </c>
      <c r="AI8" s="257"/>
      <c r="AJ8" s="257"/>
      <c r="AK8" s="257">
        <f t="shared" ref="AK8" si="15">COUNTIF(AK6,"&gt;0")*5000-AK6</f>
        <v>900</v>
      </c>
      <c r="AL8" s="257"/>
      <c r="AM8" s="257"/>
      <c r="AN8" s="257">
        <f t="shared" ref="AN8" si="16">COUNTIF(AN6,"&gt;0")*5000-AN6</f>
        <v>0</v>
      </c>
      <c r="AO8" s="257"/>
      <c r="AP8" s="257"/>
      <c r="AQ8" s="257">
        <f t="shared" ref="AQ8" si="17">COUNTIF(AQ6,"&gt;0")*5000-AQ6</f>
        <v>0</v>
      </c>
      <c r="AR8" s="257"/>
      <c r="AS8" s="257"/>
      <c r="AT8" s="257">
        <f t="shared" ref="AT8" si="18">COUNTIF(AT6,"&gt;0")*5000-AT6</f>
        <v>0</v>
      </c>
      <c r="AU8" s="257"/>
      <c r="AV8" s="257"/>
      <c r="AW8" s="257">
        <f t="shared" ref="AW8" si="19">COUNTIF(AW6,"&gt;0")*5000-AW6</f>
        <v>0</v>
      </c>
      <c r="AX8" s="257"/>
      <c r="AY8" s="257"/>
      <c r="AZ8" s="257">
        <f t="shared" ref="AZ8" si="20">COUNTIF(AZ6,"&gt;0")*5000-AZ6</f>
        <v>0</v>
      </c>
      <c r="BA8" s="257"/>
      <c r="BB8" s="257"/>
      <c r="BC8" s="257">
        <f t="shared" ref="BC8" si="21">COUNTIF(BC6,"&gt;0")*5000-BC6</f>
        <v>0</v>
      </c>
      <c r="BD8" s="257"/>
      <c r="BE8" s="257"/>
      <c r="BF8" s="257">
        <f t="shared" ref="BF8" si="22">COUNTIF(BF6,"&gt;0")*5000-BF6</f>
        <v>0</v>
      </c>
      <c r="BG8" s="257"/>
      <c r="BH8" s="257"/>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S5" activePane="bottomRight" state="frozen"/>
      <selection activeCell="A2" sqref="A2"/>
      <selection pane="topRight" activeCell="R2" sqref="R2"/>
      <selection pane="bottomLeft" activeCell="A5" sqref="A5"/>
      <selection pane="bottomRight" activeCell="O12" sqref="O12"/>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3" t="s">
        <v>51</v>
      </c>
      <c r="C1" s="263"/>
      <c r="D1" s="263"/>
      <c r="E1" s="263"/>
      <c r="F1" s="263"/>
      <c r="G1" s="263"/>
      <c r="H1" s="263"/>
      <c r="I1" s="263"/>
      <c r="J1" s="263"/>
      <c r="K1" s="263"/>
      <c r="L1" s="263"/>
      <c r="M1" s="263"/>
      <c r="N1" s="135"/>
    </row>
    <row r="2" spans="1:50" ht="27.75" customHeight="1" x14ac:dyDescent="0.25">
      <c r="A2" s="1">
        <f>50+50+70+70+70+140+70+30+50+50+50</f>
        <v>700</v>
      </c>
      <c r="B2" s="155">
        <f>60+70+100+70</f>
        <v>300</v>
      </c>
      <c r="H2" s="157">
        <f>H15</f>
        <v>23400</v>
      </c>
      <c r="K2" s="13">
        <f>SUMPRODUCT((E5:E11)*(F5:F11))</f>
        <v>542</v>
      </c>
      <c r="L2" s="13">
        <f>M4-K4</f>
        <v>13715.983819212939</v>
      </c>
      <c r="M2" s="8">
        <f>M4/K4-1</f>
        <v>0.12641137458522844</v>
      </c>
      <c r="N2" s="8"/>
      <c r="O2" s="94">
        <v>183</v>
      </c>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310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10020.489474250466</v>
      </c>
      <c r="B4" s="16"/>
      <c r="C4" s="16"/>
      <c r="D4" s="46"/>
      <c r="E4" s="16">
        <f>SUMPRODUCT((E5:E21)*(F5:F21))</f>
        <v>1599.75</v>
      </c>
      <c r="F4" s="16">
        <f>SUBTOTAL(9,F5:F21)</f>
        <v>1731.75</v>
      </c>
      <c r="G4" s="7"/>
      <c r="H4" s="7">
        <f>SUBTOTAL(9,H5:H14)</f>
        <v>41826</v>
      </c>
      <c r="I4" s="12"/>
      <c r="J4" s="12"/>
      <c r="K4" s="12">
        <f>SUBTOTAL(9,K5:K21)</f>
        <v>108502.76618078706</v>
      </c>
      <c r="L4" s="47"/>
      <c r="M4" s="7">
        <f>SUBTOTAL(9,M5:M21)</f>
        <v>122218.75</v>
      </c>
      <c r="N4" s="7">
        <f ca="1">SUBTOTAL(9,N5:N21)</f>
        <v>106864</v>
      </c>
      <c r="O4" s="48">
        <f ca="1">SUBTOTAL(9,O5:O15)</f>
        <v>147.5</v>
      </c>
      <c r="P4" s="74">
        <f>SUBTOTAL(9,P5:P15)</f>
        <v>4</v>
      </c>
      <c r="Q4" s="74"/>
      <c r="R4" s="25">
        <f t="shared" ref="R4:AV4" si="0">SUBTOTAL(9,R5:R16)</f>
        <v>32.5</v>
      </c>
      <c r="S4" s="25">
        <f t="shared" si="0"/>
        <v>0</v>
      </c>
      <c r="T4" s="25">
        <f t="shared" si="0"/>
        <v>0</v>
      </c>
      <c r="U4" s="25">
        <f t="shared" si="0"/>
        <v>1</v>
      </c>
      <c r="V4" s="25">
        <f t="shared" si="0"/>
        <v>1</v>
      </c>
      <c r="W4" s="25">
        <f t="shared" ca="1" si="0"/>
        <v>1</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50 Kg</v>
      </c>
      <c r="AX4" s="77">
        <f>SUBTOTAL(9,AX5:AX15)</f>
        <v>2900</v>
      </c>
    </row>
    <row r="5" spans="1:50" ht="25.5" customHeight="1" x14ac:dyDescent="0.25">
      <c r="A5" s="58">
        <f ca="1">J5*O5</f>
        <v>0</v>
      </c>
      <c r="B5" s="6">
        <v>1</v>
      </c>
      <c r="C5" s="60" t="s">
        <v>270</v>
      </c>
      <c r="D5" s="68">
        <v>99</v>
      </c>
      <c r="E5" s="61">
        <v>1.2</v>
      </c>
      <c r="F5" s="61">
        <f>30+15</f>
        <v>45</v>
      </c>
      <c r="G5" s="62">
        <v>99</v>
      </c>
      <c r="H5" s="140">
        <f t="shared" ref="H5:H14" si="1">G5*F5</f>
        <v>4455</v>
      </c>
      <c r="I5" s="214">
        <f>((H5/$H$4)*$A$2)/F5</f>
        <v>1.6568641514847227</v>
      </c>
      <c r="J5" s="214">
        <f t="shared" ref="J5:J14" si="2">G5+I5</f>
        <v>100.65686415148473</v>
      </c>
      <c r="K5" s="65">
        <f>J5*F5</f>
        <v>4529.5588868168124</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f ca="1">SUMIFS('Tổng Đơn'!$F:$F,'Tổng Đơn'!$B:$B,$C5)</f>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2732.9863721130396</v>
      </c>
      <c r="B6" s="6">
        <v>2</v>
      </c>
      <c r="C6" s="60" t="s">
        <v>271</v>
      </c>
      <c r="D6" s="68">
        <v>112</v>
      </c>
      <c r="E6" s="61">
        <v>1.5</v>
      </c>
      <c r="F6" s="61">
        <f>15+20+10+20+30+20+20+20</f>
        <v>155</v>
      </c>
      <c r="G6" s="62">
        <v>112</v>
      </c>
      <c r="H6" s="140">
        <f t="shared" si="1"/>
        <v>17360</v>
      </c>
      <c r="I6" s="214">
        <f t="shared" ref="I6:I14" si="7">((H6/$H$4)*$A$2)/F6</f>
        <v>1.8744321713766556</v>
      </c>
      <c r="J6" s="214">
        <f t="shared" si="2"/>
        <v>113.87443217137665</v>
      </c>
      <c r="K6" s="65">
        <f t="shared" ref="K6:K14" si="8">J6*F6</f>
        <v>17650.53698656338</v>
      </c>
      <c r="L6" s="69">
        <v>122</v>
      </c>
      <c r="M6" s="63">
        <f t="shared" ref="M6:M15" si="9">L6*F6</f>
        <v>18910</v>
      </c>
      <c r="N6" s="63">
        <f t="shared" ca="1" si="3"/>
        <v>15982</v>
      </c>
      <c r="O6" s="70">
        <f t="shared" ca="1" si="4"/>
        <v>24</v>
      </c>
      <c r="P6" s="164"/>
      <c r="Q6" s="239">
        <v>120</v>
      </c>
      <c r="R6" s="232">
        <v>10</v>
      </c>
      <c r="S6" s="232">
        <v>0</v>
      </c>
      <c r="T6" s="232">
        <v>0</v>
      </c>
      <c r="U6" s="232">
        <v>0</v>
      </c>
      <c r="V6" s="232">
        <v>0</v>
      </c>
      <c r="W6" s="232">
        <f ca="1">SUMIFS('Tổng Đơn'!$F:$F,'Tổng Đơn'!$B:$B,$C6)</f>
        <v>1</v>
      </c>
      <c r="X6" s="232">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675.11270501601871</v>
      </c>
      <c r="B7" s="6">
        <v>3</v>
      </c>
      <c r="C7" s="60" t="s">
        <v>272</v>
      </c>
      <c r="D7" s="68">
        <v>83</v>
      </c>
      <c r="E7" s="61">
        <v>1</v>
      </c>
      <c r="F7" s="61">
        <f>10</f>
        <v>10</v>
      </c>
      <c r="G7" s="62">
        <v>83</v>
      </c>
      <c r="H7" s="140">
        <f t="shared" si="1"/>
        <v>830</v>
      </c>
      <c r="I7" s="214">
        <f t="shared" si="7"/>
        <v>1.3890881270023432</v>
      </c>
      <c r="J7" s="214">
        <f t="shared" si="2"/>
        <v>84.389088127002339</v>
      </c>
      <c r="K7" s="65">
        <f t="shared" si="8"/>
        <v>843.89088127002333</v>
      </c>
      <c r="L7" s="69">
        <v>95</v>
      </c>
      <c r="M7" s="63">
        <f t="shared" si="9"/>
        <v>950</v>
      </c>
      <c r="N7" s="63">
        <f t="shared" ca="1" si="3"/>
        <v>190</v>
      </c>
      <c r="O7" s="70">
        <f t="shared" ca="1" si="4"/>
        <v>8</v>
      </c>
      <c r="P7" s="164"/>
      <c r="Q7" s="239">
        <v>2</v>
      </c>
      <c r="R7" s="232">
        <v>0</v>
      </c>
      <c r="S7" s="232">
        <v>0</v>
      </c>
      <c r="T7" s="232">
        <v>0</v>
      </c>
      <c r="U7" s="232">
        <v>0</v>
      </c>
      <c r="V7" s="232">
        <v>0</v>
      </c>
      <c r="W7" s="232">
        <f ca="1">SUMIFS('Tổng Đơn'!$F:$F,'Tổng Đơn'!$B:$B,$C7)</f>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314.17142447281594</v>
      </c>
      <c r="B8" s="6">
        <v>4</v>
      </c>
      <c r="C8" s="60" t="s">
        <v>286</v>
      </c>
      <c r="D8" s="68">
        <v>103</v>
      </c>
      <c r="E8" s="61">
        <v>1.2</v>
      </c>
      <c r="F8" s="61">
        <f>5+5+5+5</f>
        <v>20</v>
      </c>
      <c r="G8" s="62">
        <v>103</v>
      </c>
      <c r="H8" s="140">
        <f t="shared" si="1"/>
        <v>2060</v>
      </c>
      <c r="I8" s="214">
        <f t="shared" si="7"/>
        <v>1.7238081576053172</v>
      </c>
      <c r="J8" s="214">
        <f t="shared" si="2"/>
        <v>104.72380815760532</v>
      </c>
      <c r="K8" s="65">
        <f t="shared" si="8"/>
        <v>2094.4761631521064</v>
      </c>
      <c r="L8" s="69">
        <v>116</v>
      </c>
      <c r="M8" s="63">
        <f t="shared" si="9"/>
        <v>2320</v>
      </c>
      <c r="N8" s="63">
        <f t="shared" ca="1" si="3"/>
        <v>1972</v>
      </c>
      <c r="O8" s="70">
        <f t="shared" ca="1" si="4"/>
        <v>3</v>
      </c>
      <c r="P8" s="164"/>
      <c r="Q8" s="239">
        <v>16</v>
      </c>
      <c r="R8" s="232">
        <v>1</v>
      </c>
      <c r="S8" s="232">
        <v>0</v>
      </c>
      <c r="T8" s="232">
        <v>0</v>
      </c>
      <c r="U8" s="232">
        <v>0</v>
      </c>
      <c r="V8" s="232">
        <v>0</v>
      </c>
      <c r="W8" s="232">
        <f ca="1">SUMIFS('Tổng Đơn'!$F:$F,'Tổng Đơn'!$B:$B,$C8)</f>
        <v>0</v>
      </c>
      <c r="X8" s="232">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366.02496055085351</v>
      </c>
      <c r="B9" s="6">
        <v>5</v>
      </c>
      <c r="C9" s="60" t="s">
        <v>273</v>
      </c>
      <c r="D9" s="68">
        <v>80</v>
      </c>
      <c r="E9" s="61">
        <v>0.5</v>
      </c>
      <c r="F9" s="61">
        <f>5+10+8+10+10+10+5+10</f>
        <v>68</v>
      </c>
      <c r="G9" s="62">
        <v>40</v>
      </c>
      <c r="H9" s="140">
        <f t="shared" si="1"/>
        <v>2720</v>
      </c>
      <c r="I9" s="214">
        <f t="shared" si="7"/>
        <v>0.66944006120594834</v>
      </c>
      <c r="J9" s="214">
        <f t="shared" si="2"/>
        <v>40.669440061205947</v>
      </c>
      <c r="K9" s="65">
        <f t="shared" si="8"/>
        <v>2765.5219241620043</v>
      </c>
      <c r="L9" s="69">
        <v>48</v>
      </c>
      <c r="M9" s="63">
        <f t="shared" si="9"/>
        <v>3264</v>
      </c>
      <c r="N9" s="63">
        <f t="shared" ca="1" si="3"/>
        <v>2688</v>
      </c>
      <c r="O9" s="70">
        <f t="shared" ca="1" si="4"/>
        <v>9</v>
      </c>
      <c r="P9" s="199">
        <v>3</v>
      </c>
      <c r="Q9" s="239">
        <v>53</v>
      </c>
      <c r="R9" s="232">
        <v>3</v>
      </c>
      <c r="S9" s="232">
        <v>0</v>
      </c>
      <c r="T9" s="232">
        <v>0</v>
      </c>
      <c r="U9" s="232">
        <v>0</v>
      </c>
      <c r="V9" s="232">
        <v>0</v>
      </c>
      <c r="W9" s="232">
        <f ca="1">SUMIFS('Tổng Đơn'!$F:$F,'Tổng Đơn'!$B:$B,$C9)</f>
        <v>0</v>
      </c>
      <c r="X9" s="232">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311.1212164682255</v>
      </c>
      <c r="B10" s="6">
        <v>6</v>
      </c>
      <c r="C10" s="60" t="s">
        <v>274</v>
      </c>
      <c r="D10" s="68">
        <v>68</v>
      </c>
      <c r="E10" s="61">
        <v>0.5</v>
      </c>
      <c r="F10" s="61">
        <f>20+15</f>
        <v>35</v>
      </c>
      <c r="G10" s="62">
        <v>34</v>
      </c>
      <c r="H10" s="140">
        <f t="shared" si="1"/>
        <v>1190</v>
      </c>
      <c r="I10" s="214">
        <f t="shared" si="7"/>
        <v>0.56902405202505624</v>
      </c>
      <c r="J10" s="214">
        <f t="shared" si="2"/>
        <v>34.569024052025057</v>
      </c>
      <c r="K10" s="65">
        <f t="shared" si="8"/>
        <v>1209.9158418208769</v>
      </c>
      <c r="L10" s="69">
        <v>43</v>
      </c>
      <c r="M10" s="63">
        <f t="shared" si="9"/>
        <v>1505</v>
      </c>
      <c r="N10" s="63">
        <f t="shared" ca="1" si="3"/>
        <v>1118</v>
      </c>
      <c r="O10" s="70">
        <f t="shared" ca="1" si="4"/>
        <v>9</v>
      </c>
      <c r="P10" s="164"/>
      <c r="Q10" s="239">
        <v>25</v>
      </c>
      <c r="R10" s="232">
        <v>0</v>
      </c>
      <c r="S10" s="232">
        <v>0</v>
      </c>
      <c r="T10" s="232">
        <v>0</v>
      </c>
      <c r="U10" s="232">
        <v>1</v>
      </c>
      <c r="V10" s="232">
        <v>0</v>
      </c>
      <c r="W10" s="232">
        <f ca="1">SUMIFS('Tổng Đơn'!$F:$F,'Tổng Đơn'!$B:$B,$C10)</f>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707.64825706498345</v>
      </c>
      <c r="B11" s="6">
        <v>7</v>
      </c>
      <c r="C11" s="60" t="s">
        <v>267</v>
      </c>
      <c r="D11" s="68">
        <v>58</v>
      </c>
      <c r="E11" s="61">
        <v>1</v>
      </c>
      <c r="F11" s="61">
        <f>20+30+50+70</f>
        <v>170</v>
      </c>
      <c r="G11" s="62">
        <v>58</v>
      </c>
      <c r="H11" s="140">
        <f t="shared" si="1"/>
        <v>9860</v>
      </c>
      <c r="I11" s="214">
        <f t="shared" si="7"/>
        <v>0.97068808874862533</v>
      </c>
      <c r="J11" s="214">
        <f t="shared" si="2"/>
        <v>58.970688088748624</v>
      </c>
      <c r="K11" s="65">
        <f t="shared" si="8"/>
        <v>10025.016975087266</v>
      </c>
      <c r="L11" s="69">
        <v>65</v>
      </c>
      <c r="M11" s="63">
        <f t="shared" si="9"/>
        <v>11050</v>
      </c>
      <c r="N11" s="63">
        <f t="shared" ca="1" si="3"/>
        <v>10270</v>
      </c>
      <c r="O11" s="70">
        <f t="shared" ca="1" si="4"/>
        <v>12</v>
      </c>
      <c r="P11" s="164">
        <v>0</v>
      </c>
      <c r="Q11" s="239">
        <v>147</v>
      </c>
      <c r="R11" s="232">
        <v>10</v>
      </c>
      <c r="S11" s="232">
        <v>0</v>
      </c>
      <c r="T11" s="232">
        <v>0</v>
      </c>
      <c r="U11" s="232">
        <v>0</v>
      </c>
      <c r="V11" s="232">
        <v>1</v>
      </c>
      <c r="W11" s="232">
        <f ca="1">SUMIFS('Tổng Đơn'!$F:$F,'Tổng Đơn'!$B:$B,$C11)</f>
        <v>0</v>
      </c>
      <c r="X11" s="232">
        <v>0</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50</v>
      </c>
      <c r="AX11" s="58">
        <f t="shared" si="5"/>
        <v>2900</v>
      </c>
    </row>
    <row r="12" spans="1:50" ht="25.5" customHeight="1" x14ac:dyDescent="0.25">
      <c r="A12" s="58">
        <f t="shared" ca="1" si="6"/>
        <v>660.87840099459663</v>
      </c>
      <c r="B12" s="6">
        <v>8</v>
      </c>
      <c r="C12" s="60" t="s">
        <v>300</v>
      </c>
      <c r="D12" s="68">
        <v>65</v>
      </c>
      <c r="E12" s="61">
        <v>0.5</v>
      </c>
      <c r="F12" s="61">
        <v>30</v>
      </c>
      <c r="G12" s="62">
        <v>32.5</v>
      </c>
      <c r="H12" s="140">
        <f t="shared" ref="H12" si="10">G12*F12</f>
        <v>975</v>
      </c>
      <c r="I12" s="214">
        <f t="shared" ref="I12" si="11">((H12/$H$4)*$A$2)/F12</f>
        <v>0.5439200497298331</v>
      </c>
      <c r="J12" s="214">
        <f>G12+I12</f>
        <v>33.043920049729834</v>
      </c>
      <c r="K12" s="65">
        <f t="shared" ref="K12" si="12">J12*F12</f>
        <v>991.31760149189506</v>
      </c>
      <c r="L12" s="69">
        <v>45</v>
      </c>
      <c r="M12" s="63">
        <f t="shared" ref="M12" si="13">L12*F12</f>
        <v>1350</v>
      </c>
      <c r="N12" s="63">
        <f t="shared" ca="1" si="3"/>
        <v>450</v>
      </c>
      <c r="O12" s="70">
        <f t="shared" ca="1" si="4"/>
        <v>20</v>
      </c>
      <c r="P12" s="164"/>
      <c r="Q12" s="239">
        <v>10</v>
      </c>
      <c r="R12" s="232">
        <v>0</v>
      </c>
      <c r="S12" s="232">
        <v>0</v>
      </c>
      <c r="T12" s="232">
        <v>0</v>
      </c>
      <c r="U12" s="232">
        <v>0</v>
      </c>
      <c r="V12" s="232">
        <v>0</v>
      </c>
      <c r="W12" s="232">
        <f ca="1">SUMIFS('Tổng Đơn'!$F:$F,'Tổng Đơn'!$B:$B,$C12)</f>
        <v>0</v>
      </c>
      <c r="X12" s="232">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117.94137617749725</v>
      </c>
      <c r="B13" s="6">
        <v>9</v>
      </c>
      <c r="C13" s="60" t="s">
        <v>276</v>
      </c>
      <c r="D13" s="68">
        <v>58</v>
      </c>
      <c r="E13" s="61">
        <v>0.5</v>
      </c>
      <c r="F13" s="61">
        <f>24</f>
        <v>24</v>
      </c>
      <c r="G13" s="62">
        <v>29</v>
      </c>
      <c r="H13" s="140">
        <f t="shared" si="1"/>
        <v>696</v>
      </c>
      <c r="I13" s="214">
        <f t="shared" si="7"/>
        <v>0.48534404437431267</v>
      </c>
      <c r="J13" s="214">
        <f t="shared" si="2"/>
        <v>29.485344044374312</v>
      </c>
      <c r="K13" s="65">
        <f t="shared" si="8"/>
        <v>707.64825706498345</v>
      </c>
      <c r="L13" s="69">
        <v>40</v>
      </c>
      <c r="M13" s="63">
        <f t="shared" si="9"/>
        <v>960</v>
      </c>
      <c r="N13" s="63">
        <f t="shared" ca="1" si="3"/>
        <v>800</v>
      </c>
      <c r="O13" s="70">
        <f t="shared" ca="1" si="4"/>
        <v>4</v>
      </c>
      <c r="P13" s="164"/>
      <c r="Q13" s="239">
        <v>20</v>
      </c>
      <c r="R13" s="232">
        <v>0</v>
      </c>
      <c r="S13" s="232">
        <v>0</v>
      </c>
      <c r="T13" s="232">
        <v>0</v>
      </c>
      <c r="U13" s="232">
        <v>0</v>
      </c>
      <c r="V13" s="232">
        <v>0</v>
      </c>
      <c r="W13" s="232">
        <f ca="1">SUMIFS('Tổng Đơn'!$F:$F,'Tổng Đơn'!$B:$B,$C13)</f>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925.22976139243531</v>
      </c>
      <c r="B14" s="6">
        <v>10</v>
      </c>
      <c r="C14" s="60" t="s">
        <v>275</v>
      </c>
      <c r="D14" s="68">
        <v>70</v>
      </c>
      <c r="E14" s="61">
        <v>0.5</v>
      </c>
      <c r="F14" s="61">
        <f>24+24</f>
        <v>48</v>
      </c>
      <c r="G14" s="62">
        <v>35</v>
      </c>
      <c r="H14" s="140">
        <f t="shared" si="1"/>
        <v>1680</v>
      </c>
      <c r="I14" s="214">
        <f t="shared" si="7"/>
        <v>0.58576005355520488</v>
      </c>
      <c r="J14" s="214">
        <f t="shared" si="2"/>
        <v>35.585760053555205</v>
      </c>
      <c r="K14" s="65">
        <f t="shared" si="8"/>
        <v>1708.1164825706499</v>
      </c>
      <c r="L14" s="69">
        <v>42</v>
      </c>
      <c r="M14" s="63">
        <f t="shared" si="9"/>
        <v>2016</v>
      </c>
      <c r="N14" s="63">
        <f t="shared" ca="1" si="3"/>
        <v>924</v>
      </c>
      <c r="O14" s="70">
        <f t="shared" ca="1" si="4"/>
        <v>26</v>
      </c>
      <c r="P14" s="164"/>
      <c r="Q14" s="239">
        <v>22</v>
      </c>
      <c r="R14" s="232">
        <v>0</v>
      </c>
      <c r="S14" s="232">
        <v>0</v>
      </c>
      <c r="T14" s="232">
        <v>0</v>
      </c>
      <c r="U14" s="232">
        <v>0</v>
      </c>
      <c r="V14" s="232">
        <v>0</v>
      </c>
      <c r="W14" s="232">
        <f ca="1">SUMIFS('Tổng Đơn'!$F:$F,'Tổng Đơn'!$B:$B,$C14)</f>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3209.375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21682.5</v>
      </c>
      <c r="O15" s="136">
        <f t="shared" ca="1" si="4"/>
        <v>32.5</v>
      </c>
      <c r="P15" s="164">
        <v>1</v>
      </c>
      <c r="Q15" s="239">
        <v>198</v>
      </c>
      <c r="R15" s="232">
        <v>8.5</v>
      </c>
      <c r="S15" s="232">
        <v>0</v>
      </c>
      <c r="T15" s="232">
        <v>0</v>
      </c>
      <c r="U15" s="232">
        <v>0</v>
      </c>
      <c r="V15" s="232">
        <v>0</v>
      </c>
      <c r="W15" s="232">
        <f ca="1">SUMIFS('Tổng Đơn'!$F:$F,'Tổng Đơn'!$B:$B,$C15)</f>
        <v>0</v>
      </c>
      <c r="X15" s="232">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63" priority="12">
      <formula>($O15/$O15)&lt;=1/4</formula>
    </cfRule>
  </conditionalFormatting>
  <conditionalFormatting sqref="C5:C16">
    <cfRule type="expression" dxfId="36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3" t="s">
        <v>51</v>
      </c>
      <c r="C1" s="263"/>
      <c r="D1" s="263"/>
      <c r="E1" s="263"/>
      <c r="F1" s="263"/>
      <c r="G1" s="263"/>
      <c r="H1" s="263"/>
      <c r="I1" s="263"/>
      <c r="J1" s="263"/>
      <c r="K1" s="263"/>
      <c r="L1" s="263"/>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6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23" activePane="bottomRight" state="frozen"/>
      <selection activeCell="A2" sqref="A2"/>
      <selection pane="topRight" activeCell="R2" sqref="R2"/>
      <selection pane="bottomLeft" activeCell="A5" sqref="A5"/>
      <selection pane="bottomRight" activeCell="O28" sqref="O2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3" t="s">
        <v>51</v>
      </c>
      <c r="C1" s="263"/>
      <c r="D1" s="263"/>
      <c r="E1" s="263"/>
      <c r="F1" s="263"/>
      <c r="G1" s="263"/>
      <c r="H1" s="263"/>
      <c r="I1" s="263"/>
      <c r="J1" s="263"/>
      <c r="K1" s="263"/>
      <c r="L1" s="263"/>
      <c r="M1" s="263"/>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f>
        <v>7055</v>
      </c>
      <c r="K2" s="13"/>
      <c r="L2" s="13">
        <f>M4-K4</f>
        <v>41130.171812343877</v>
      </c>
      <c r="M2" s="8">
        <f>M4/K4-1</f>
        <v>0.14842124045693561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310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10401.328661099487</v>
      </c>
      <c r="B4" s="16"/>
      <c r="C4" s="16"/>
      <c r="D4" s="46"/>
      <c r="E4" s="16">
        <f>SUMPRODUCT((E5:E35)*(F5:F35))</f>
        <v>4110</v>
      </c>
      <c r="F4" s="16">
        <f>SUBTOTAL(9,F5:F103)</f>
        <v>7945</v>
      </c>
      <c r="G4" s="7"/>
      <c r="H4" s="7">
        <f>SUBTOTAL(9,H5:H103)</f>
        <v>270035</v>
      </c>
      <c r="I4" s="12"/>
      <c r="J4" s="12"/>
      <c r="K4" s="12">
        <f>SUBTOTAL(9,K5:K103)</f>
        <v>277117.82818765612</v>
      </c>
      <c r="L4" s="47"/>
      <c r="M4" s="7">
        <f>SUBTOTAL(9,M5:M103)</f>
        <v>318248</v>
      </c>
      <c r="N4" s="7">
        <f ca="1">SUBTOTAL(9,N5:N103)</f>
        <v>305273</v>
      </c>
      <c r="O4" s="24">
        <f ca="1">SUBTOTAL(9,O5:O103)</f>
        <v>249</v>
      </c>
      <c r="P4" s="74">
        <f>SUBTOTAL(9,P5:P103)</f>
        <v>27</v>
      </c>
      <c r="Q4" s="74">
        <f>SUBTOTAL(9,Q5:Q103)</f>
        <v>7539</v>
      </c>
      <c r="R4" s="25">
        <f t="shared" ref="R4:AV4" si="0">SUBTOTAL(9,R5:R31)</f>
        <v>19</v>
      </c>
      <c r="S4" s="25">
        <f t="shared" si="0"/>
        <v>11</v>
      </c>
      <c r="T4" s="25">
        <f t="shared" si="0"/>
        <v>24</v>
      </c>
      <c r="U4" s="25">
        <f t="shared" si="0"/>
        <v>15</v>
      </c>
      <c r="V4" s="25">
        <f t="shared" si="0"/>
        <v>20</v>
      </c>
      <c r="W4" s="25">
        <f t="shared" ca="1" si="0"/>
        <v>10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2,5 Kg</v>
      </c>
      <c r="AX4" s="49">
        <f>SUBTOTAL(9,AX5:AX35)</f>
        <v>170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0.5551826615068417</v>
      </c>
      <c r="J5" s="137">
        <f t="shared" ref="J5:J19" si="5">G5+I5</f>
        <v>21.805182661506841</v>
      </c>
      <c r="K5" s="65">
        <f t="shared" ref="K5:K24" si="6">J5*F5</f>
        <v>10902.591330753421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f>SUMIFS('Tổng Đơn'!$F:$F,'Tổng Đơn'!$B:$B,$C5)</f>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0.57477734367767142</v>
      </c>
      <c r="J6" s="137">
        <f t="shared" si="5"/>
        <v>22.57477734367767</v>
      </c>
      <c r="K6" s="65">
        <f t="shared" si="6"/>
        <v>1805.9821874942136</v>
      </c>
      <c r="L6" s="72">
        <v>28</v>
      </c>
      <c r="M6" s="63">
        <f t="shared" si="7"/>
        <v>2240</v>
      </c>
      <c r="N6" s="63">
        <f t="shared" si="8"/>
        <v>2268</v>
      </c>
      <c r="O6" s="67">
        <f t="shared" si="9"/>
        <v>0</v>
      </c>
      <c r="P6" s="57">
        <v>-1</v>
      </c>
      <c r="Q6" s="57">
        <v>81</v>
      </c>
      <c r="R6" s="60">
        <v>0</v>
      </c>
      <c r="S6" s="60">
        <v>0</v>
      </c>
      <c r="T6" s="60">
        <v>0</v>
      </c>
      <c r="U6" s="60">
        <v>0</v>
      </c>
      <c r="V6" s="60">
        <v>0</v>
      </c>
      <c r="W6" s="60">
        <f>SUMIFS('Tổng Đơn'!$F:$F,'Tổng Đơn'!$B:$B,$C6)</f>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0.56824578295406147</v>
      </c>
      <c r="J7" s="137">
        <f t="shared" si="5"/>
        <v>22.318245782954062</v>
      </c>
      <c r="K7" s="65">
        <f t="shared" si="6"/>
        <v>1562.2772048067843</v>
      </c>
      <c r="L7" s="72">
        <v>30</v>
      </c>
      <c r="M7" s="63">
        <f t="shared" si="7"/>
        <v>2100</v>
      </c>
      <c r="N7" s="63">
        <f t="shared" si="8"/>
        <v>2100</v>
      </c>
      <c r="O7" s="67">
        <f t="shared" si="9"/>
        <v>0</v>
      </c>
      <c r="P7" s="57"/>
      <c r="Q7" s="57">
        <v>70</v>
      </c>
      <c r="R7" s="60">
        <v>0</v>
      </c>
      <c r="S7" s="60">
        <v>0</v>
      </c>
      <c r="T7" s="60">
        <v>0</v>
      </c>
      <c r="U7" s="60">
        <v>0</v>
      </c>
      <c r="V7" s="60">
        <v>0</v>
      </c>
      <c r="W7" s="60">
        <f>SUMIFS('Tổng Đơn'!$F:$F,'Tổng Đơn'!$B:$B,$C7)</f>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461.7568093024978</v>
      </c>
      <c r="B8" s="6">
        <v>4</v>
      </c>
      <c r="C8" s="60" t="s">
        <v>4</v>
      </c>
      <c r="D8" s="68">
        <v>60</v>
      </c>
      <c r="E8" s="6">
        <v>0.5</v>
      </c>
      <c r="F8" s="6">
        <f>160+22+12+30+10+26+10+10+18+10+10+10</f>
        <v>328</v>
      </c>
      <c r="G8" s="71">
        <f t="shared" si="2"/>
        <v>30</v>
      </c>
      <c r="H8" s="73">
        <f t="shared" si="3"/>
        <v>9840</v>
      </c>
      <c r="I8" s="64">
        <f t="shared" si="4"/>
        <v>0.78378728683318821</v>
      </c>
      <c r="J8" s="137">
        <f t="shared" si="5"/>
        <v>30.783787286833189</v>
      </c>
      <c r="K8" s="65">
        <f t="shared" si="6"/>
        <v>10097.082230081285</v>
      </c>
      <c r="L8" s="72">
        <v>40</v>
      </c>
      <c r="M8" s="63">
        <f t="shared" si="7"/>
        <v>13120</v>
      </c>
      <c r="N8" s="63">
        <f t="shared" ca="1" si="8"/>
        <v>12480</v>
      </c>
      <c r="O8" s="67">
        <f t="shared" ca="1" si="9"/>
        <v>15</v>
      </c>
      <c r="P8" s="57">
        <v>1</v>
      </c>
      <c r="Q8" s="57">
        <v>309</v>
      </c>
      <c r="R8" s="60">
        <v>0</v>
      </c>
      <c r="S8" s="60">
        <v>1</v>
      </c>
      <c r="T8" s="60">
        <v>1</v>
      </c>
      <c r="U8" s="60">
        <v>0</v>
      </c>
      <c r="V8" s="60">
        <v>0</v>
      </c>
      <c r="W8" s="60">
        <f ca="1">SUMIFS('Tổng Đơn'!$F:$F,'Tổng Đơn'!$B:$B,$C8)</f>
        <v>1</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1255.9785213027942</v>
      </c>
      <c r="B9" s="6">
        <v>5</v>
      </c>
      <c r="C9" s="60" t="s">
        <v>5</v>
      </c>
      <c r="D9" s="68">
        <v>68</v>
      </c>
      <c r="E9" s="6">
        <v>0.5</v>
      </c>
      <c r="F9" s="6">
        <f>285+40+50+20+50+50+40+60+92+36+30+50+20+50+40+30+50+30+20+60+5+40+30+30+20+40+80+20+59+85+50+35+10</f>
        <v>1607</v>
      </c>
      <c r="G9" s="71">
        <f t="shared" si="2"/>
        <v>34</v>
      </c>
      <c r="H9" s="73">
        <f t="shared" si="3"/>
        <v>54638</v>
      </c>
      <c r="I9" s="64">
        <f t="shared" si="4"/>
        <v>0.88829225841094672</v>
      </c>
      <c r="J9" s="137">
        <f t="shared" si="5"/>
        <v>34.888292258410949</v>
      </c>
      <c r="K9" s="65">
        <f t="shared" si="6"/>
        <v>56065.485659266393</v>
      </c>
      <c r="L9" s="72">
        <v>40</v>
      </c>
      <c r="M9" s="63">
        <f t="shared" si="7"/>
        <v>64280</v>
      </c>
      <c r="N9" s="63">
        <f t="shared" ca="1" si="8"/>
        <v>62880</v>
      </c>
      <c r="O9" s="67">
        <f t="shared" ca="1" si="9"/>
        <v>36</v>
      </c>
      <c r="P9" s="57">
        <v>-1</v>
      </c>
      <c r="Q9" s="57">
        <v>1555</v>
      </c>
      <c r="R9" s="60">
        <v>2</v>
      </c>
      <c r="S9" s="60">
        <v>0</v>
      </c>
      <c r="T9" s="60">
        <v>11</v>
      </c>
      <c r="U9" s="60">
        <v>0</v>
      </c>
      <c r="V9" s="60">
        <v>0</v>
      </c>
      <c r="W9" s="60">
        <f ca="1">SUMIFS('Tổng Đơn'!$F:$F,'Tổng Đơn'!$B:$B,$C9)</f>
        <v>4</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56">
        <v>5</v>
      </c>
      <c r="AX9" s="58">
        <f t="shared" si="10"/>
        <v>170</v>
      </c>
    </row>
    <row r="10" spans="1:50" ht="18.75" x14ac:dyDescent="0.25">
      <c r="A10" s="58">
        <f t="shared" si="1"/>
        <v>0</v>
      </c>
      <c r="B10" s="6">
        <v>6</v>
      </c>
      <c r="C10" s="60" t="s">
        <v>6</v>
      </c>
      <c r="D10" s="68">
        <v>86</v>
      </c>
      <c r="E10" s="6">
        <v>0.5</v>
      </c>
      <c r="F10" s="6">
        <f>76+10</f>
        <v>86</v>
      </c>
      <c r="G10" s="71">
        <f t="shared" si="2"/>
        <v>43</v>
      </c>
      <c r="H10" s="73">
        <f t="shared" si="3"/>
        <v>3698</v>
      </c>
      <c r="I10" s="64">
        <f t="shared" si="4"/>
        <v>1.1234284444609031</v>
      </c>
      <c r="J10" s="137">
        <f t="shared" si="5"/>
        <v>44.123428444460906</v>
      </c>
      <c r="K10" s="65">
        <f t="shared" si="6"/>
        <v>3794.6148462236379</v>
      </c>
      <c r="L10" s="72">
        <v>50</v>
      </c>
      <c r="M10" s="63">
        <f t="shared" si="7"/>
        <v>4300</v>
      </c>
      <c r="N10" s="63">
        <f t="shared" si="8"/>
        <v>4200</v>
      </c>
      <c r="O10" s="67">
        <f t="shared" si="9"/>
        <v>0</v>
      </c>
      <c r="P10" s="57">
        <v>2</v>
      </c>
      <c r="Q10" s="57">
        <v>84</v>
      </c>
      <c r="R10" s="60">
        <v>0</v>
      </c>
      <c r="S10" s="60">
        <v>0</v>
      </c>
      <c r="T10" s="60">
        <v>0</v>
      </c>
      <c r="U10" s="60">
        <v>0</v>
      </c>
      <c r="V10" s="60">
        <v>0</v>
      </c>
      <c r="W10" s="60">
        <f>SUMIFS('Tổng Đơn'!$F:$F,'Tổng Đơn'!$B:$B,$C10)</f>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0.71847167959708913</v>
      </c>
      <c r="J11" s="137">
        <f t="shared" si="5"/>
        <v>28.218471679597091</v>
      </c>
      <c r="K11" s="65">
        <f t="shared" si="6"/>
        <v>564.36943359194186</v>
      </c>
      <c r="L11" s="72">
        <v>34</v>
      </c>
      <c r="M11" s="63">
        <f t="shared" si="7"/>
        <v>680</v>
      </c>
      <c r="N11" s="63">
        <f t="shared" si="8"/>
        <v>680</v>
      </c>
      <c r="O11" s="67">
        <f t="shared" si="9"/>
        <v>0</v>
      </c>
      <c r="P11" s="57"/>
      <c r="Q11" s="57">
        <v>20</v>
      </c>
      <c r="R11" s="60">
        <v>0</v>
      </c>
      <c r="S11" s="60">
        <v>0</v>
      </c>
      <c r="T11" s="60">
        <v>0</v>
      </c>
      <c r="U11" s="60">
        <v>0</v>
      </c>
      <c r="V11" s="60">
        <v>0</v>
      </c>
      <c r="W11" s="60">
        <f>SUMIFS('Tổng Đơn'!$F:$F,'Tổng Đơn'!$B:$B,$C11)</f>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1.5022589664302775</v>
      </c>
      <c r="J12" s="137">
        <f t="shared" si="5"/>
        <v>59.002258966430276</v>
      </c>
      <c r="K12" s="65">
        <f t="shared" si="6"/>
        <v>2242.0858407243504</v>
      </c>
      <c r="L12" s="72">
        <v>69</v>
      </c>
      <c r="M12" s="63">
        <f t="shared" si="7"/>
        <v>2622</v>
      </c>
      <c r="N12" s="63">
        <f t="shared" si="8"/>
        <v>1863</v>
      </c>
      <c r="O12" s="67">
        <f t="shared" si="9"/>
        <v>0</v>
      </c>
      <c r="P12" s="57">
        <v>11</v>
      </c>
      <c r="Q12" s="57">
        <v>27</v>
      </c>
      <c r="R12" s="60">
        <v>0</v>
      </c>
      <c r="S12" s="60">
        <v>0</v>
      </c>
      <c r="T12" s="60">
        <v>0</v>
      </c>
      <c r="U12" s="60">
        <v>0</v>
      </c>
      <c r="V12" s="60">
        <v>0</v>
      </c>
      <c r="W12" s="60">
        <f>SUMIFS('Tổng Đơn'!$F:$F,'Tổng Đơn'!$B:$B,$C12)</f>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218.05182661506842</v>
      </c>
      <c r="B13" s="6">
        <v>9</v>
      </c>
      <c r="C13" s="60" t="s">
        <v>8</v>
      </c>
      <c r="D13" s="68">
        <v>85</v>
      </c>
      <c r="E13" s="6">
        <v>0.5</v>
      </c>
      <c r="F13" s="6">
        <f>190+30</f>
        <v>220</v>
      </c>
      <c r="G13" s="71">
        <f t="shared" si="2"/>
        <v>42.5</v>
      </c>
      <c r="H13" s="73">
        <f t="shared" si="3"/>
        <v>9350</v>
      </c>
      <c r="I13" s="64">
        <f t="shared" si="4"/>
        <v>1.1103653230136834</v>
      </c>
      <c r="J13" s="137">
        <f t="shared" si="5"/>
        <v>43.610365323013681</v>
      </c>
      <c r="K13" s="65">
        <f t="shared" si="6"/>
        <v>9594.2803710630105</v>
      </c>
      <c r="L13" s="72">
        <v>55</v>
      </c>
      <c r="M13" s="63">
        <f t="shared" si="7"/>
        <v>12100</v>
      </c>
      <c r="N13" s="63">
        <f t="shared" ca="1" si="8"/>
        <v>11715</v>
      </c>
      <c r="O13" s="67">
        <f t="shared" ca="1" si="9"/>
        <v>5</v>
      </c>
      <c r="P13" s="57">
        <v>2</v>
      </c>
      <c r="Q13" s="57">
        <v>213</v>
      </c>
      <c r="R13" s="60">
        <v>0</v>
      </c>
      <c r="S13" s="60">
        <v>0</v>
      </c>
      <c r="T13" s="60">
        <v>0</v>
      </c>
      <c r="U13" s="60">
        <v>0</v>
      </c>
      <c r="V13" s="60">
        <v>0</v>
      </c>
      <c r="W13" s="60">
        <f ca="1">SUMIFS('Tổng Đơn'!$F:$F,'Tổng Đơn'!$B:$B,$C13)</f>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0.70540855814986947</v>
      </c>
      <c r="J14" s="137">
        <f t="shared" si="5"/>
        <v>27.70540855814987</v>
      </c>
      <c r="K14" s="65">
        <f t="shared" si="6"/>
        <v>831.16225674449606</v>
      </c>
      <c r="L14" s="72">
        <v>32</v>
      </c>
      <c r="M14" s="63">
        <f t="shared" si="7"/>
        <v>960</v>
      </c>
      <c r="N14" s="63">
        <f t="shared" si="8"/>
        <v>960</v>
      </c>
      <c r="O14" s="67">
        <f t="shared" si="9"/>
        <v>0</v>
      </c>
      <c r="P14" s="57"/>
      <c r="Q14" s="57">
        <v>30</v>
      </c>
      <c r="R14" s="60">
        <v>0</v>
      </c>
      <c r="S14" s="60">
        <v>0</v>
      </c>
      <c r="T14" s="60">
        <v>0</v>
      </c>
      <c r="U14" s="60">
        <v>0</v>
      </c>
      <c r="V14" s="60">
        <v>0</v>
      </c>
      <c r="W14" s="60">
        <f>SUMIFS('Tổng Đơn'!$F:$F,'Tổng Đơn'!$B:$B,$C14)</f>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0.70540855814986947</v>
      </c>
      <c r="J15" s="137">
        <f t="shared" si="5"/>
        <v>27.70540855814987</v>
      </c>
      <c r="K15" s="65">
        <f t="shared" si="6"/>
        <v>277.05408558149873</v>
      </c>
      <c r="L15" s="72">
        <v>35</v>
      </c>
      <c r="M15" s="63">
        <f t="shared" si="7"/>
        <v>350</v>
      </c>
      <c r="N15" s="63">
        <f t="shared" si="8"/>
        <v>350</v>
      </c>
      <c r="O15" s="67">
        <f t="shared" si="9"/>
        <v>0</v>
      </c>
      <c r="P15" s="57"/>
      <c r="Q15" s="57">
        <v>10</v>
      </c>
      <c r="R15" s="60">
        <v>0</v>
      </c>
      <c r="S15" s="60">
        <v>0</v>
      </c>
      <c r="T15" s="60">
        <v>0</v>
      </c>
      <c r="U15" s="60">
        <v>0</v>
      </c>
      <c r="V15" s="60">
        <v>0</v>
      </c>
      <c r="W15" s="60">
        <f>SUMIFS('Tổng Đơn'!$F:$F,'Tổng Đơn'!$B:$B,$C15)</f>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0.5355879793360121</v>
      </c>
      <c r="J16" s="137">
        <f t="shared" si="5"/>
        <v>21.035587979336011</v>
      </c>
      <c r="K16" s="65">
        <f t="shared" si="6"/>
        <v>3365.6940766937619</v>
      </c>
      <c r="L16" s="72">
        <v>26</v>
      </c>
      <c r="M16" s="63">
        <f t="shared" si="7"/>
        <v>4160</v>
      </c>
      <c r="N16" s="63">
        <f t="shared" si="8"/>
        <v>4160</v>
      </c>
      <c r="O16" s="67">
        <f t="shared" si="9"/>
        <v>0</v>
      </c>
      <c r="P16" s="57"/>
      <c r="Q16" s="57">
        <v>160</v>
      </c>
      <c r="R16" s="60">
        <v>0</v>
      </c>
      <c r="S16" s="60">
        <v>0</v>
      </c>
      <c r="T16" s="60">
        <v>0</v>
      </c>
      <c r="U16" s="60">
        <v>0</v>
      </c>
      <c r="V16" s="60">
        <v>0</v>
      </c>
      <c r="W16" s="60">
        <f>SUMIFS('Tổng Đơn'!$F:$F,'Tổng Đơn'!$B:$B,$C16)</f>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0.53558797933601199</v>
      </c>
      <c r="J17" s="137">
        <f t="shared" si="5"/>
        <v>21.035587979336011</v>
      </c>
      <c r="K17" s="65">
        <f t="shared" si="6"/>
        <v>2313.9146777269611</v>
      </c>
      <c r="L17" s="72">
        <v>28</v>
      </c>
      <c r="M17" s="63">
        <f t="shared" si="7"/>
        <v>3080</v>
      </c>
      <c r="N17" s="63">
        <f t="shared" si="8"/>
        <v>3080</v>
      </c>
      <c r="O17" s="67">
        <f t="shared" si="9"/>
        <v>0</v>
      </c>
      <c r="P17" s="57"/>
      <c r="Q17" s="57">
        <v>110</v>
      </c>
      <c r="R17" s="60">
        <v>0</v>
      </c>
      <c r="S17" s="60">
        <v>0</v>
      </c>
      <c r="T17" s="60">
        <v>0</v>
      </c>
      <c r="U17" s="60">
        <v>0</v>
      </c>
      <c r="V17" s="60">
        <v>0</v>
      </c>
      <c r="W17" s="60">
        <f>SUMIFS('Tổng Đơn'!$F:$F,'Tổng Đơn'!$B:$B,$C17)</f>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2134.8556483418815</v>
      </c>
      <c r="B18" s="6">
        <v>14</v>
      </c>
      <c r="C18" s="60" t="s">
        <v>13</v>
      </c>
      <c r="D18" s="68">
        <v>57</v>
      </c>
      <c r="E18" s="6">
        <v>0.5</v>
      </c>
      <c r="F18" s="6">
        <f>30+46+100+40+60+50+40+100+100+70+80+100+50+60+100+100+60+40+100+70+110+61+30+60+100+120+80+80+80+100</f>
        <v>2217</v>
      </c>
      <c r="G18" s="71">
        <f>D18/2</f>
        <v>28.5</v>
      </c>
      <c r="H18" s="73">
        <f t="shared" ref="H18" si="11">G18*F18</f>
        <v>63184.5</v>
      </c>
      <c r="I18" s="64">
        <f t="shared" si="4"/>
        <v>0.7445979224915289</v>
      </c>
      <c r="J18" s="137">
        <f t="shared" si="5"/>
        <v>29.244597922491529</v>
      </c>
      <c r="K18" s="65">
        <f t="shared" si="6"/>
        <v>64835.273594163722</v>
      </c>
      <c r="L18" s="72">
        <v>33</v>
      </c>
      <c r="M18" s="63">
        <f t="shared" ref="M18" si="12">L18*F18</f>
        <v>73161</v>
      </c>
      <c r="N18" s="63">
        <f t="shared" ca="1" si="8"/>
        <v>70752</v>
      </c>
      <c r="O18" s="67">
        <f t="shared" ca="1" si="9"/>
        <v>73</v>
      </c>
      <c r="P18" s="57">
        <v>0</v>
      </c>
      <c r="Q18" s="57">
        <v>2085</v>
      </c>
      <c r="R18" s="60">
        <v>10</v>
      </c>
      <c r="S18" s="60">
        <v>10</v>
      </c>
      <c r="T18" s="60">
        <v>10</v>
      </c>
      <c r="U18" s="60">
        <v>13</v>
      </c>
      <c r="V18" s="60">
        <v>11</v>
      </c>
      <c r="W18" s="60">
        <f ca="1">SUMIFS('Tổng Đơn'!$F:$F,'Tổng Đơn'!$B:$B,$C18)</f>
        <v>5</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0.78378728683318832</v>
      </c>
      <c r="J19" s="137">
        <f t="shared" si="5"/>
        <v>30.783787286833189</v>
      </c>
      <c r="K19" s="65">
        <f t="shared" si="6"/>
        <v>307.83787286833189</v>
      </c>
      <c r="L19" s="72">
        <v>35</v>
      </c>
      <c r="M19" s="63">
        <f t="shared" si="7"/>
        <v>350</v>
      </c>
      <c r="N19" s="63">
        <f t="shared" si="8"/>
        <v>350</v>
      </c>
      <c r="O19" s="67">
        <f t="shared" si="9"/>
        <v>0</v>
      </c>
      <c r="P19" s="57"/>
      <c r="Q19" s="57">
        <v>10</v>
      </c>
      <c r="R19" s="60">
        <v>0</v>
      </c>
      <c r="S19" s="60">
        <v>0</v>
      </c>
      <c r="T19" s="60">
        <v>0</v>
      </c>
      <c r="U19" s="60">
        <v>0</v>
      </c>
      <c r="V19" s="60">
        <v>0</v>
      </c>
      <c r="W19" s="60">
        <f>SUMIFS('Tổng Đơn'!$F:$F,'Tổng Đơn'!$B:$B,$C19)</f>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0.70540855814986947</v>
      </c>
      <c r="J20" s="137">
        <f t="shared" ref="J20:J23" si="13">G20+I20</f>
        <v>27.70540855814987</v>
      </c>
      <c r="K20" s="65">
        <f t="shared" si="6"/>
        <v>277.05408558149873</v>
      </c>
      <c r="L20" s="72">
        <v>45</v>
      </c>
      <c r="M20" s="63">
        <f t="shared" si="7"/>
        <v>450</v>
      </c>
      <c r="N20" s="63">
        <f t="shared" si="8"/>
        <v>405</v>
      </c>
      <c r="O20" s="67">
        <f t="shared" si="9"/>
        <v>0</v>
      </c>
      <c r="P20" s="57">
        <v>1</v>
      </c>
      <c r="Q20" s="57">
        <v>9</v>
      </c>
      <c r="R20" s="60">
        <v>0</v>
      </c>
      <c r="S20" s="60">
        <v>0</v>
      </c>
      <c r="T20" s="60">
        <v>0</v>
      </c>
      <c r="U20" s="60">
        <v>0</v>
      </c>
      <c r="V20" s="60">
        <v>0</v>
      </c>
      <c r="W20" s="60">
        <f>SUMIFS('Tổng Đơn'!$F:$F,'Tổng Đơn'!$B:$B,$C20)</f>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381.71896235673154</v>
      </c>
      <c r="B21" s="6">
        <v>17</v>
      </c>
      <c r="C21" s="60" t="s">
        <v>223</v>
      </c>
      <c r="D21" s="68">
        <v>62</v>
      </c>
      <c r="E21" s="6">
        <v>0.5</v>
      </c>
      <c r="F21" s="6">
        <f>135+80+20+10+20+10+10+10+30+20+20+20+10+15</f>
        <v>410</v>
      </c>
      <c r="G21" s="71">
        <f t="shared" si="2"/>
        <v>31</v>
      </c>
      <c r="H21" s="73">
        <f t="shared" si="3"/>
        <v>12710</v>
      </c>
      <c r="I21" s="64">
        <f t="shared" si="4"/>
        <v>0.80991352972762787</v>
      </c>
      <c r="J21" s="137">
        <f t="shared" si="13"/>
        <v>31.809913529727627</v>
      </c>
      <c r="K21" s="65">
        <f t="shared" si="6"/>
        <v>13042.064547188327</v>
      </c>
      <c r="L21" s="72">
        <v>40</v>
      </c>
      <c r="M21" s="63">
        <f t="shared" si="7"/>
        <v>16400</v>
      </c>
      <c r="N21" s="63">
        <f t="shared" ca="1" si="8"/>
        <v>15920</v>
      </c>
      <c r="O21" s="67">
        <f t="shared" ca="1" si="9"/>
        <v>12</v>
      </c>
      <c r="P21" s="57"/>
      <c r="Q21" s="57">
        <v>388</v>
      </c>
      <c r="R21" s="60">
        <v>3</v>
      </c>
      <c r="S21" s="60">
        <v>0</v>
      </c>
      <c r="T21" s="60">
        <v>1</v>
      </c>
      <c r="U21" s="60">
        <v>0</v>
      </c>
      <c r="V21" s="60">
        <v>6</v>
      </c>
      <c r="W21" s="60">
        <f ca="1">SUMIFS('Tổng Đơn'!$F:$F,'Tổng Đơn'!$B:$B,$C21)</f>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0.56171422223045164</v>
      </c>
      <c r="J22" s="137">
        <f t="shared" si="13"/>
        <v>22.061714222230453</v>
      </c>
      <c r="K22" s="65">
        <f t="shared" si="6"/>
        <v>551.54285555576132</v>
      </c>
      <c r="L22" s="72">
        <v>35</v>
      </c>
      <c r="M22" s="63">
        <f t="shared" si="7"/>
        <v>875</v>
      </c>
      <c r="N22" s="63">
        <f t="shared" si="8"/>
        <v>875</v>
      </c>
      <c r="O22" s="67">
        <f t="shared" si="9"/>
        <v>0</v>
      </c>
      <c r="P22" s="57"/>
      <c r="Q22" s="57">
        <v>25</v>
      </c>
      <c r="R22" s="60">
        <v>0</v>
      </c>
      <c r="S22" s="60">
        <v>0</v>
      </c>
      <c r="T22" s="60">
        <v>0</v>
      </c>
      <c r="U22" s="60">
        <v>0</v>
      </c>
      <c r="V22" s="60">
        <v>0</v>
      </c>
      <c r="W22" s="60">
        <f>SUMIFS('Tổng Đơn'!$F:$F,'Tổng Đơn'!$B:$B,$C22)</f>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0.56824578295406147</v>
      </c>
      <c r="J23" s="137">
        <f t="shared" si="13"/>
        <v>22.318245782954062</v>
      </c>
      <c r="K23" s="65">
        <f t="shared" si="6"/>
        <v>1562.2772048067843</v>
      </c>
      <c r="L23" s="72">
        <v>30</v>
      </c>
      <c r="M23" s="63">
        <f t="shared" si="7"/>
        <v>2100</v>
      </c>
      <c r="N23" s="63">
        <f t="shared" si="8"/>
        <v>2070</v>
      </c>
      <c r="O23" s="67">
        <f t="shared" si="9"/>
        <v>0</v>
      </c>
      <c r="P23" s="57">
        <v>1</v>
      </c>
      <c r="Q23" s="57">
        <v>69</v>
      </c>
      <c r="R23" s="60">
        <v>0</v>
      </c>
      <c r="S23" s="60">
        <v>0</v>
      </c>
      <c r="T23" s="60">
        <v>0</v>
      </c>
      <c r="U23" s="60">
        <v>0</v>
      </c>
      <c r="V23" s="60">
        <v>0</v>
      </c>
      <c r="W23" s="60">
        <f>SUMIFS('Tổng Đơn'!$F:$F,'Tổng Đơn'!$B:$B,$C23)</f>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3570.91932527265</v>
      </c>
      <c r="B24" s="6">
        <v>20</v>
      </c>
      <c r="C24" s="60" t="s">
        <v>136</v>
      </c>
      <c r="D24" s="68">
        <v>145</v>
      </c>
      <c r="E24" s="6">
        <v>0.5</v>
      </c>
      <c r="F24" s="6">
        <f>76+40+40+20+20+40+20+20+40+30+30+40+30+40+20+20+30+50</f>
        <v>606</v>
      </c>
      <c r="G24" s="71">
        <f t="shared" si="2"/>
        <v>72.5</v>
      </c>
      <c r="H24" s="73">
        <f t="shared" si="3"/>
        <v>43935</v>
      </c>
      <c r="I24" s="64">
        <f t="shared" si="4"/>
        <v>1.8941526098468719</v>
      </c>
      <c r="J24" s="137">
        <f>G24+I24</f>
        <v>74.39415260984687</v>
      </c>
      <c r="K24" s="65">
        <f t="shared" si="6"/>
        <v>45082.8564815672</v>
      </c>
      <c r="L24" s="72">
        <v>80</v>
      </c>
      <c r="M24" s="63">
        <f t="shared" si="7"/>
        <v>48480</v>
      </c>
      <c r="N24" s="63">
        <f t="shared" ca="1" si="8"/>
        <v>44640</v>
      </c>
      <c r="O24" s="67">
        <f t="shared" ca="1" si="9"/>
        <v>48</v>
      </c>
      <c r="P24" s="57">
        <v>0</v>
      </c>
      <c r="Q24" s="57">
        <v>549</v>
      </c>
      <c r="R24" s="60">
        <v>3</v>
      </c>
      <c r="S24" s="60">
        <v>0</v>
      </c>
      <c r="T24" s="60">
        <v>1</v>
      </c>
      <c r="U24" s="60">
        <v>2</v>
      </c>
      <c r="V24" s="60">
        <v>3</v>
      </c>
      <c r="W24" s="60">
        <f ca="1">SUMIFS('Tổng Đơn'!$F:$F,'Tổng Đơn'!$B:$B,$C24)</f>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40.018923472883145</v>
      </c>
      <c r="B25" s="6">
        <v>21</v>
      </c>
      <c r="C25" s="60" t="s">
        <v>221</v>
      </c>
      <c r="D25" s="68">
        <v>78</v>
      </c>
      <c r="E25" s="6">
        <v>0.5</v>
      </c>
      <c r="F25" s="6">
        <f>27+20+10</f>
        <v>57</v>
      </c>
      <c r="G25" s="71">
        <f t="shared" si="2"/>
        <v>39</v>
      </c>
      <c r="H25" s="73">
        <f t="shared" si="3"/>
        <v>2223</v>
      </c>
      <c r="I25" s="64">
        <f t="shared" ref="I25:I29" si="14">((H25/$H$4)*$A$2)/F25</f>
        <v>1.0189234728831447</v>
      </c>
      <c r="J25" s="137">
        <f t="shared" ref="J25:J29" si="15">G25+I25</f>
        <v>40.018923472883145</v>
      </c>
      <c r="K25" s="65">
        <f t="shared" ref="K25:K29" si="16">J25*F25</f>
        <v>2281.0786379543392</v>
      </c>
      <c r="L25" s="72">
        <v>44</v>
      </c>
      <c r="M25" s="63">
        <f t="shared" si="7"/>
        <v>2508</v>
      </c>
      <c r="N25" s="63">
        <f t="shared" ca="1" si="8"/>
        <v>2464</v>
      </c>
      <c r="O25" s="67">
        <f t="shared" ca="1" si="9"/>
        <v>1</v>
      </c>
      <c r="P25" s="57"/>
      <c r="Q25" s="57">
        <v>56</v>
      </c>
      <c r="R25" s="60">
        <v>0</v>
      </c>
      <c r="S25" s="60">
        <v>0</v>
      </c>
      <c r="T25" s="60">
        <v>0</v>
      </c>
      <c r="U25" s="60">
        <v>0</v>
      </c>
      <c r="V25" s="60">
        <v>0</v>
      </c>
      <c r="W25" s="60">
        <f ca="1">SUMIFS('Tổng Đơn'!$F:$F,'Tổng Đơn'!$B:$B,$C25)</f>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272.43651748847373</v>
      </c>
      <c r="B26" s="6">
        <v>22</v>
      </c>
      <c r="C26" s="60" t="s">
        <v>138</v>
      </c>
      <c r="D26" s="68">
        <v>59</v>
      </c>
      <c r="E26" s="6">
        <v>0.5</v>
      </c>
      <c r="F26" s="6">
        <f>10+10+20</f>
        <v>40</v>
      </c>
      <c r="G26" s="71">
        <f t="shared" si="2"/>
        <v>29.5</v>
      </c>
      <c r="H26" s="73">
        <f t="shared" si="3"/>
        <v>1180</v>
      </c>
      <c r="I26" s="64">
        <f t="shared" si="14"/>
        <v>0.77072416538596844</v>
      </c>
      <c r="J26" s="137">
        <f t="shared" si="15"/>
        <v>30.270724165385968</v>
      </c>
      <c r="K26" s="65">
        <f t="shared" si="16"/>
        <v>1210.8289666154387</v>
      </c>
      <c r="L26" s="72">
        <v>35</v>
      </c>
      <c r="M26" s="63">
        <f t="shared" si="7"/>
        <v>1400</v>
      </c>
      <c r="N26" s="63">
        <f t="shared" ca="1" si="8"/>
        <v>875</v>
      </c>
      <c r="O26" s="67">
        <f t="shared" ca="1" si="9"/>
        <v>9</v>
      </c>
      <c r="P26" s="57">
        <v>6</v>
      </c>
      <c r="Q26" s="57">
        <v>25</v>
      </c>
      <c r="R26" s="60">
        <v>0</v>
      </c>
      <c r="S26" s="60">
        <v>0</v>
      </c>
      <c r="T26" s="60">
        <v>0</v>
      </c>
      <c r="U26" s="60">
        <v>0</v>
      </c>
      <c r="V26" s="60">
        <v>0</v>
      </c>
      <c r="W26" s="60">
        <f ca="1">SUMIFS('Tổng Đơn'!$F:$F,'Tổng Đơn'!$B:$B,$C26)</f>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226.26083655822393</v>
      </c>
      <c r="B27" s="6">
        <v>23</v>
      </c>
      <c r="C27" s="60" t="s">
        <v>139</v>
      </c>
      <c r="D27" s="68">
        <v>63</v>
      </c>
      <c r="E27" s="6">
        <v>0.5</v>
      </c>
      <c r="F27" s="6">
        <f>30+20+20+13+10+10+20</f>
        <v>123</v>
      </c>
      <c r="G27" s="217">
        <f t="shared" si="2"/>
        <v>31.5</v>
      </c>
      <c r="H27" s="73">
        <f t="shared" si="3"/>
        <v>3874.5</v>
      </c>
      <c r="I27" s="64">
        <f t="shared" si="14"/>
        <v>0.82297665117484764</v>
      </c>
      <c r="J27" s="137">
        <f t="shared" si="15"/>
        <v>32.322976651174848</v>
      </c>
      <c r="K27" s="65">
        <f t="shared" si="16"/>
        <v>3975.7261280945063</v>
      </c>
      <c r="L27" s="72">
        <v>38</v>
      </c>
      <c r="M27" s="63">
        <f t="shared" si="7"/>
        <v>4674</v>
      </c>
      <c r="N27" s="63">
        <f t="shared" ca="1" si="8"/>
        <v>4408</v>
      </c>
      <c r="O27" s="67">
        <f t="shared" ca="1" si="9"/>
        <v>7</v>
      </c>
      <c r="P27" s="57">
        <f>1-1</f>
        <v>0</v>
      </c>
      <c r="Q27" s="57">
        <v>116</v>
      </c>
      <c r="R27" s="60">
        <v>0</v>
      </c>
      <c r="S27" s="60">
        <v>0</v>
      </c>
      <c r="T27" s="60">
        <v>0</v>
      </c>
      <c r="U27" s="60">
        <v>0</v>
      </c>
      <c r="V27" s="60">
        <v>0</v>
      </c>
      <c r="W27" s="60">
        <f ca="1">SUMIFS('Tổng Đơn'!$F:$F,'Tổng Đơn'!$B:$B,$C27)</f>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1606.9136963726924</v>
      </c>
      <c r="B28" s="6">
        <v>24</v>
      </c>
      <c r="C28" s="60" t="s">
        <v>157</v>
      </c>
      <c r="D28" s="68">
        <v>87</v>
      </c>
      <c r="E28" s="6">
        <v>0.5</v>
      </c>
      <c r="F28" s="6">
        <f>1+20+20+30</f>
        <v>71</v>
      </c>
      <c r="G28" s="216">
        <f>D28/(1/E28)</f>
        <v>43.5</v>
      </c>
      <c r="H28" s="73">
        <f t="shared" si="3"/>
        <v>3088.5</v>
      </c>
      <c r="I28" s="64">
        <f t="shared" si="14"/>
        <v>1.1364915659081232</v>
      </c>
      <c r="J28" s="137">
        <f t="shared" si="15"/>
        <v>44.636491565908123</v>
      </c>
      <c r="K28" s="65">
        <f t="shared" si="16"/>
        <v>3169.1909011794769</v>
      </c>
      <c r="L28" s="72">
        <v>47</v>
      </c>
      <c r="M28" s="63">
        <f t="shared" si="7"/>
        <v>3337</v>
      </c>
      <c r="N28" s="63">
        <f t="shared" ca="1" si="8"/>
        <v>1645</v>
      </c>
      <c r="O28" s="67">
        <f t="shared" ca="1" si="9"/>
        <v>36</v>
      </c>
      <c r="P28" s="57">
        <v>0</v>
      </c>
      <c r="Q28" s="57">
        <v>34</v>
      </c>
      <c r="R28" s="60">
        <v>1</v>
      </c>
      <c r="S28" s="60">
        <v>0</v>
      </c>
      <c r="T28" s="60">
        <v>0</v>
      </c>
      <c r="U28" s="60">
        <v>0</v>
      </c>
      <c r="V28" s="60">
        <v>0</v>
      </c>
      <c r="W28" s="60">
        <f ca="1">SUMIFS('Tổng Đơn'!$F:$F,'Tổng Đơn'!$B:$B,$C28)</f>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44.636491565908123</v>
      </c>
      <c r="B29" s="6">
        <v>25</v>
      </c>
      <c r="C29" s="60" t="s">
        <v>159</v>
      </c>
      <c r="D29" s="68">
        <v>87</v>
      </c>
      <c r="E29" s="6">
        <v>0.5</v>
      </c>
      <c r="F29" s="6">
        <v>20</v>
      </c>
      <c r="G29" s="71">
        <f>D29/2</f>
        <v>43.5</v>
      </c>
      <c r="H29" s="73">
        <f t="shared" si="3"/>
        <v>870</v>
      </c>
      <c r="I29" s="64">
        <f t="shared" si="14"/>
        <v>1.1364915659081229</v>
      </c>
      <c r="J29" s="137">
        <f t="shared" si="15"/>
        <v>44.636491565908123</v>
      </c>
      <c r="K29" s="65">
        <f t="shared" si="16"/>
        <v>892.7298313181625</v>
      </c>
      <c r="L29" s="72">
        <v>50</v>
      </c>
      <c r="M29" s="63">
        <f t="shared" si="7"/>
        <v>1000</v>
      </c>
      <c r="N29" s="63">
        <f t="shared" ca="1" si="8"/>
        <v>950</v>
      </c>
      <c r="O29" s="67">
        <f t="shared" ca="1" si="9"/>
        <v>1</v>
      </c>
      <c r="P29" s="57"/>
      <c r="Q29" s="57">
        <v>19</v>
      </c>
      <c r="R29" s="60">
        <v>0</v>
      </c>
      <c r="S29" s="60">
        <v>0</v>
      </c>
      <c r="T29" s="60">
        <v>0</v>
      </c>
      <c r="U29" s="60">
        <v>0</v>
      </c>
      <c r="V29" s="60">
        <v>0</v>
      </c>
      <c r="W29" s="60">
        <f ca="1">SUMIFS('Tổng Đơn'!$F:$F,'Tổng Đơn'!$B:$B,$C29)</f>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187.78110244968246</v>
      </c>
      <c r="B30" s="6">
        <v>26</v>
      </c>
      <c r="C30" s="60" t="s">
        <v>253</v>
      </c>
      <c r="D30" s="68">
        <v>61</v>
      </c>
      <c r="E30" s="6">
        <v>0.5</v>
      </c>
      <c r="F30" s="6">
        <f>20+40+20</f>
        <v>80</v>
      </c>
      <c r="G30" s="71">
        <f>D30/2</f>
        <v>30.5</v>
      </c>
      <c r="H30" s="73">
        <f t="shared" ref="H30" si="17">G30*F30</f>
        <v>2440</v>
      </c>
      <c r="I30" s="64">
        <f t="shared" ref="I30" si="18">((H30/$H$4)*$A$2)/F30</f>
        <v>0.79685040828040798</v>
      </c>
      <c r="J30" s="137">
        <f t="shared" ref="J30" si="19">G30+I30</f>
        <v>31.29685040828041</v>
      </c>
      <c r="K30" s="65">
        <f t="shared" ref="K30" si="20">J30*F30</f>
        <v>2503.7480326624327</v>
      </c>
      <c r="L30" s="72">
        <v>35</v>
      </c>
      <c r="M30" s="63">
        <f t="shared" si="7"/>
        <v>2800</v>
      </c>
      <c r="N30" s="63">
        <f t="shared" ca="1" si="8"/>
        <v>2590</v>
      </c>
      <c r="O30" s="67">
        <f t="shared" ca="1" si="9"/>
        <v>6</v>
      </c>
      <c r="P30" s="57"/>
      <c r="Q30" s="57">
        <v>74</v>
      </c>
      <c r="R30" s="60">
        <v>0</v>
      </c>
      <c r="S30" s="60">
        <v>0</v>
      </c>
      <c r="T30" s="60">
        <v>0</v>
      </c>
      <c r="U30" s="60">
        <v>0</v>
      </c>
      <c r="V30" s="60">
        <v>0</v>
      </c>
      <c r="W30" s="60">
        <f ca="1">SUMIFS('Tổng Đơn'!$F:$F,'Tổng Đơn'!$B:$B,$C30)</f>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60" priority="25">
      <formula>($O6/$O6)&lt;=1/4</formula>
    </cfRule>
  </conditionalFormatting>
  <conditionalFormatting sqref="C20">
    <cfRule type="expression" dxfId="359" priority="24">
      <formula>($O20/$O20)&lt;=1/4</formula>
    </cfRule>
  </conditionalFormatting>
  <conditionalFormatting sqref="C21">
    <cfRule type="expression" dxfId="358" priority="22">
      <formula>($O21/$O21)&lt;=1/4</formula>
    </cfRule>
  </conditionalFormatting>
  <conditionalFormatting sqref="C22 E22 G22">
    <cfRule type="expression" dxfId="357" priority="20">
      <formula>($O22/$O22)&lt;=1/4</formula>
    </cfRule>
  </conditionalFormatting>
  <conditionalFormatting sqref="C23">
    <cfRule type="expression" dxfId="356" priority="18">
      <formula>($O23/$O23)&lt;=1/4</formula>
    </cfRule>
  </conditionalFormatting>
  <conditionalFormatting sqref="C25">
    <cfRule type="expression" dxfId="355" priority="14">
      <formula>($O25/$O25)&lt;=1/4</formula>
    </cfRule>
  </conditionalFormatting>
  <conditionalFormatting sqref="C26:C27">
    <cfRule type="expression" dxfId="354" priority="12">
      <formula>($O26/$O26)&lt;=1/4</formula>
    </cfRule>
  </conditionalFormatting>
  <conditionalFormatting sqref="C28">
    <cfRule type="expression" dxfId="353" priority="9">
      <formula>($O28/$O28)&lt;=1/4</formula>
    </cfRule>
  </conditionalFormatting>
  <conditionalFormatting sqref="C29:C31">
    <cfRule type="expression" dxfId="352" priority="7">
      <formula>($O29/$O29)&lt;=1/4</formula>
    </cfRule>
  </conditionalFormatting>
  <conditionalFormatting sqref="C5:C31">
    <cfRule type="expression" dxfId="35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AX20" sqref="AX20"/>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3" t="s">
        <v>51</v>
      </c>
      <c r="C1" s="263"/>
      <c r="D1" s="263"/>
      <c r="E1" s="263"/>
      <c r="F1" s="263"/>
      <c r="G1" s="263"/>
      <c r="H1" s="263"/>
      <c r="I1" s="263"/>
      <c r="J1" s="263"/>
      <c r="K1" s="263"/>
      <c r="L1" s="263"/>
      <c r="M1" s="263"/>
      <c r="N1" s="59"/>
    </row>
    <row r="2" spans="1:50" ht="34.5" customHeight="1" x14ac:dyDescent="0.25">
      <c r="A2" s="1">
        <f>370+100+80+150+170+60+300+200+40+180+50+100+30+60+30+160+60+70+70+30+50+60+40+20+90+40+30+70+40+20+60+50+60+20+20+40+60+60+60+140+40+80+40+40+60+50+80+20+160+30+20+20+20+160+40+120+40+20</f>
        <v>4380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310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14988.904950054426</v>
      </c>
      <c r="B4" s="16"/>
      <c r="C4" s="16"/>
      <c r="D4" s="46"/>
      <c r="E4" s="16">
        <f>SUMPRODUCT((E5:E32)*(F5:F32))</f>
        <v>2669.2</v>
      </c>
      <c r="F4" s="16">
        <f>SUBTOTAL(9,F5:F32)</f>
        <v>5826</v>
      </c>
      <c r="G4" s="7"/>
      <c r="H4" s="7">
        <f>SUBTOTAL(9,H5:H32)+H2</f>
        <v>192275.78947368421</v>
      </c>
      <c r="I4" s="12"/>
      <c r="J4" s="12"/>
      <c r="K4" s="12">
        <f>SUBTOTAL(9,K5:K32)+K2</f>
        <v>196653.05799072504</v>
      </c>
      <c r="L4" s="47"/>
      <c r="M4" s="7">
        <f>SUBTOTAL(9,M5:M32)+M2</f>
        <v>232460</v>
      </c>
      <c r="N4" s="7">
        <f ca="1">SUBTOTAL(9,N5:N32)+N2</f>
        <v>214554</v>
      </c>
      <c r="O4" s="48">
        <f ca="1">SUBTOTAL(9,O5:O32)</f>
        <v>360</v>
      </c>
      <c r="P4" s="74">
        <f t="shared" ref="P4" si="0">SUBTOTAL(9,P5:P24)</f>
        <v>7</v>
      </c>
      <c r="Q4" s="74">
        <f>SUBTOTAL(9,Q5:Q32)</f>
        <v>5182</v>
      </c>
      <c r="R4" s="25">
        <f t="shared" ref="R4:AV4" si="1">SUBTOTAL(9,R5:R25)</f>
        <v>13</v>
      </c>
      <c r="S4" s="25">
        <f t="shared" si="1"/>
        <v>2</v>
      </c>
      <c r="T4" s="25">
        <f t="shared" si="1"/>
        <v>12</v>
      </c>
      <c r="U4" s="25">
        <f t="shared" si="1"/>
        <v>7</v>
      </c>
      <c r="V4" s="25">
        <f t="shared" si="1"/>
        <v>38</v>
      </c>
      <c r="W4" s="25">
        <f t="shared" ca="1" si="1"/>
        <v>13</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106 Kg</v>
      </c>
      <c r="AX4" s="77">
        <f>SUBTOTAL(9,AX5:AX32)</f>
        <v>7108</v>
      </c>
    </row>
    <row r="5" spans="1:50" ht="18.75" x14ac:dyDescent="0.25">
      <c r="A5" s="58">
        <f t="shared" ref="A5:A28" ca="1" si="2">J5*O5</f>
        <v>687.30801151854246</v>
      </c>
      <c r="B5" s="6">
        <v>1</v>
      </c>
      <c r="C5" s="60" t="s">
        <v>128</v>
      </c>
      <c r="D5" s="68">
        <v>64</v>
      </c>
      <c r="E5" s="61">
        <v>0.5</v>
      </c>
      <c r="F5" s="112">
        <f>80+100+80</f>
        <v>260</v>
      </c>
      <c r="G5" s="62">
        <f>D5/2</f>
        <v>32</v>
      </c>
      <c r="H5" s="63">
        <f t="shared" ref="H5:H19" si="3">G5*F5</f>
        <v>8320</v>
      </c>
      <c r="I5" s="64">
        <f t="shared" ref="I5:I19" si="4">((H5/$H$4)*$A$2)/F5</f>
        <v>0.72895292945440215</v>
      </c>
      <c r="J5" s="137">
        <f t="shared" ref="J5:J17" si="5">G5+I5</f>
        <v>32.728952929454401</v>
      </c>
      <c r="K5" s="65">
        <f>J5*F5</f>
        <v>8509.5277616581443</v>
      </c>
      <c r="L5" s="69">
        <v>45</v>
      </c>
      <c r="M5" s="63">
        <f t="shared" ref="M5:M18" si="6">L5*F5</f>
        <v>11700</v>
      </c>
      <c r="N5" s="63">
        <f t="shared" ref="N5:N25" ca="1" si="7">SUMPRODUCT(($Q5:$AV5)*$L5)</f>
        <v>10755</v>
      </c>
      <c r="O5" s="70">
        <f t="shared" ref="O5:O25" ca="1" si="8">F5-SUM(Q5:AV5)-P5</f>
        <v>21</v>
      </c>
      <c r="P5" s="57">
        <v>0</v>
      </c>
      <c r="Q5" s="57">
        <v>209</v>
      </c>
      <c r="R5" s="22">
        <v>8</v>
      </c>
      <c r="S5" s="22">
        <v>1</v>
      </c>
      <c r="T5" s="22">
        <v>9</v>
      </c>
      <c r="U5" s="22">
        <v>1</v>
      </c>
      <c r="V5" s="22">
        <v>5</v>
      </c>
      <c r="W5" s="22">
        <f ca="1">SUMIFS('Tổng Đơn'!$F:$F,'Tổng Đơn'!$B:$B,$C5)</f>
        <v>6</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100</v>
      </c>
      <c r="AX5" s="58">
        <f t="shared" ref="AX5:AX25" si="9">AW5*G5</f>
        <v>3200</v>
      </c>
    </row>
    <row r="6" spans="1:50" ht="18.75" x14ac:dyDescent="0.25">
      <c r="A6" s="58">
        <f t="shared" ca="1" si="2"/>
        <v>579.91613471877019</v>
      </c>
      <c r="B6" s="6">
        <v>2</v>
      </c>
      <c r="C6" s="60" t="s">
        <v>224</v>
      </c>
      <c r="D6" s="68">
        <f t="shared" ref="D6:D11" si="10">G6*2</f>
        <v>81</v>
      </c>
      <c r="E6" s="61">
        <v>0.5</v>
      </c>
      <c r="F6" s="112">
        <f>20+60+20+20+20+20+20+20+20+40</f>
        <v>260</v>
      </c>
      <c r="G6" s="62">
        <v>40.5</v>
      </c>
      <c r="H6" s="63">
        <f t="shared" si="3"/>
        <v>10530</v>
      </c>
      <c r="I6" s="64">
        <f t="shared" si="4"/>
        <v>0.92258105134072765</v>
      </c>
      <c r="J6" s="137">
        <f t="shared" si="5"/>
        <v>41.422581051340728</v>
      </c>
      <c r="K6" s="65">
        <f t="shared" ref="K6:K17" si="11">J6*F6</f>
        <v>10769.87107334859</v>
      </c>
      <c r="L6" s="69">
        <v>46</v>
      </c>
      <c r="M6" s="63">
        <f t="shared" si="6"/>
        <v>11960</v>
      </c>
      <c r="N6" s="63">
        <f t="shared" ca="1" si="7"/>
        <v>11270</v>
      </c>
      <c r="O6" s="70">
        <f t="shared" ca="1" si="8"/>
        <v>14</v>
      </c>
      <c r="P6" s="57">
        <v>1</v>
      </c>
      <c r="Q6" s="57">
        <v>241</v>
      </c>
      <c r="R6" s="22">
        <v>0</v>
      </c>
      <c r="S6" s="22">
        <v>0</v>
      </c>
      <c r="T6" s="22">
        <v>0</v>
      </c>
      <c r="U6" s="22">
        <v>0</v>
      </c>
      <c r="V6" s="22">
        <v>4</v>
      </c>
      <c r="W6" s="22">
        <f ca="1">SUMIFS('Tổng Đơn'!$F:$F,'Tổng Đơn'!$B:$B,$C6)</f>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332.40342818977126</v>
      </c>
      <c r="B7" s="6">
        <v>3</v>
      </c>
      <c r="C7" s="60" t="s">
        <v>27</v>
      </c>
      <c r="D7" s="68">
        <f t="shared" si="10"/>
        <v>65</v>
      </c>
      <c r="E7" s="61">
        <v>0.5</v>
      </c>
      <c r="F7" s="112">
        <f>120+40+40+40+40</f>
        <v>280</v>
      </c>
      <c r="G7" s="62">
        <v>32.5</v>
      </c>
      <c r="H7" s="63">
        <f t="shared" si="3"/>
        <v>9100</v>
      </c>
      <c r="I7" s="64">
        <f t="shared" si="4"/>
        <v>0.74034281897712717</v>
      </c>
      <c r="J7" s="137">
        <f t="shared" si="5"/>
        <v>33.240342818977126</v>
      </c>
      <c r="K7" s="65">
        <f t="shared" si="11"/>
        <v>9307.2959893135958</v>
      </c>
      <c r="L7" s="69">
        <v>38</v>
      </c>
      <c r="M7" s="63">
        <f t="shared" si="6"/>
        <v>10640</v>
      </c>
      <c r="N7" s="63">
        <f t="shared" ca="1" si="7"/>
        <v>10184</v>
      </c>
      <c r="O7" s="70">
        <f t="shared" ca="1" si="8"/>
        <v>10</v>
      </c>
      <c r="P7" s="57">
        <v>2</v>
      </c>
      <c r="Q7" s="57">
        <v>267</v>
      </c>
      <c r="R7" s="22">
        <v>0</v>
      </c>
      <c r="S7" s="22">
        <v>0</v>
      </c>
      <c r="T7" s="22">
        <v>0</v>
      </c>
      <c r="U7" s="22">
        <v>0</v>
      </c>
      <c r="V7" s="22">
        <v>0</v>
      </c>
      <c r="W7" s="22">
        <f ca="1">SUMIFS('Tổng Đơn'!$F:$F,'Tổng Đơn'!$B:$B,$C7)</f>
        <v>1</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1145.5133525309041</v>
      </c>
      <c r="B8" s="6">
        <v>4</v>
      </c>
      <c r="C8" s="60" t="s">
        <v>26</v>
      </c>
      <c r="D8" s="68">
        <f t="shared" si="10"/>
        <v>80</v>
      </c>
      <c r="E8" s="61">
        <v>0.5</v>
      </c>
      <c r="F8" s="112">
        <f>70+30+20+30+20+20+20+30+10+10+20+20+30+30+20+10+10+10+20+30+40+30+30+20+30+20+30</f>
        <v>660</v>
      </c>
      <c r="G8" s="62">
        <v>40</v>
      </c>
      <c r="H8" s="63">
        <f t="shared" si="3"/>
        <v>26400</v>
      </c>
      <c r="I8" s="64">
        <f t="shared" si="4"/>
        <v>0.91119116181800264</v>
      </c>
      <c r="J8" s="137">
        <f t="shared" si="5"/>
        <v>40.911191161818003</v>
      </c>
      <c r="K8" s="65">
        <f t="shared" si="11"/>
        <v>27001.386166799883</v>
      </c>
      <c r="L8" s="69">
        <v>45</v>
      </c>
      <c r="M8" s="63">
        <f t="shared" si="6"/>
        <v>29700</v>
      </c>
      <c r="N8" s="63">
        <f t="shared" ca="1" si="7"/>
        <v>28395</v>
      </c>
      <c r="O8" s="70">
        <f t="shared" ca="1" si="8"/>
        <v>28</v>
      </c>
      <c r="P8" s="57">
        <f>-1+2</f>
        <v>1</v>
      </c>
      <c r="Q8" s="57">
        <v>625</v>
      </c>
      <c r="R8" s="22">
        <v>0</v>
      </c>
      <c r="S8" s="22">
        <v>0</v>
      </c>
      <c r="T8" s="22">
        <v>0</v>
      </c>
      <c r="U8" s="22">
        <v>0</v>
      </c>
      <c r="V8" s="22">
        <v>6</v>
      </c>
      <c r="W8" s="22">
        <f ca="1">SUMIFS('Tổng Đơn'!$F:$F,'Tổng Đơn'!$B:$B,$C8)</f>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1023.8025588244955</v>
      </c>
      <c r="B9" s="6">
        <v>5</v>
      </c>
      <c r="C9" s="60" t="s">
        <v>25</v>
      </c>
      <c r="D9" s="68">
        <v>77</v>
      </c>
      <c r="E9" s="61">
        <v>0.5</v>
      </c>
      <c r="F9" s="112">
        <f>30+40+24+48</f>
        <v>142</v>
      </c>
      <c r="G9" s="62">
        <f>D9/2</f>
        <v>38.5</v>
      </c>
      <c r="H9" s="63">
        <f>G9*F9</f>
        <v>5467</v>
      </c>
      <c r="I9" s="64">
        <f>((H9/$H$4)*$A$2)/F9</f>
        <v>0.87702149324982748</v>
      </c>
      <c r="J9" s="137">
        <f t="shared" si="5"/>
        <v>39.377021493249828</v>
      </c>
      <c r="K9" s="65">
        <f t="shared" si="11"/>
        <v>5591.5370520414754</v>
      </c>
      <c r="L9" s="69">
        <v>42</v>
      </c>
      <c r="M9" s="63">
        <f t="shared" si="6"/>
        <v>5964</v>
      </c>
      <c r="N9" s="63">
        <f t="shared" ca="1" si="7"/>
        <v>4872</v>
      </c>
      <c r="O9" s="70">
        <f t="shared" ca="1" si="8"/>
        <v>26</v>
      </c>
      <c r="P9" s="57">
        <v>0</v>
      </c>
      <c r="Q9" s="57">
        <v>104</v>
      </c>
      <c r="R9" s="22">
        <v>4</v>
      </c>
      <c r="S9" s="22">
        <v>0</v>
      </c>
      <c r="T9" s="22">
        <v>3</v>
      </c>
      <c r="U9" s="22">
        <v>2</v>
      </c>
      <c r="V9" s="22">
        <v>0</v>
      </c>
      <c r="W9" s="22">
        <f ca="1">SUMIFS('Tổng Đơn'!$F:$F,'Tổng Đơn'!$B:$B,$C9)</f>
        <v>3</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48</v>
      </c>
      <c r="AX9" s="58">
        <f t="shared" si="9"/>
        <v>1848</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0.67200348184077696</v>
      </c>
      <c r="J10" s="137">
        <f t="shared" si="5"/>
        <v>30.172003481840775</v>
      </c>
      <c r="K10" s="65">
        <f t="shared" si="11"/>
        <v>3620.6404178208932</v>
      </c>
      <c r="L10" s="69">
        <v>35</v>
      </c>
      <c r="M10" s="63">
        <f t="shared" si="6"/>
        <v>4200</v>
      </c>
      <c r="N10" s="63">
        <f t="shared" si="7"/>
        <v>4200</v>
      </c>
      <c r="O10" s="70">
        <f t="shared" si="8"/>
        <v>0</v>
      </c>
      <c r="P10" s="57"/>
      <c r="Q10" s="57">
        <v>120</v>
      </c>
      <c r="R10" s="22">
        <v>0</v>
      </c>
      <c r="S10" s="22">
        <v>0</v>
      </c>
      <c r="T10" s="22">
        <v>0</v>
      </c>
      <c r="U10" s="22">
        <v>0</v>
      </c>
      <c r="V10" s="22">
        <v>0</v>
      </c>
      <c r="W10" s="22">
        <f>SUMIFS('Tổng Đơn'!$F:$F,'Tổng Đơn'!$B:$B,$C10)</f>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270.01386166799881</v>
      </c>
      <c r="B11" s="6">
        <v>7</v>
      </c>
      <c r="C11" s="60" t="s">
        <v>225</v>
      </c>
      <c r="D11" s="68">
        <f t="shared" si="10"/>
        <v>66</v>
      </c>
      <c r="E11" s="61">
        <v>0.5</v>
      </c>
      <c r="F11" s="112">
        <f>10+10</f>
        <v>20</v>
      </c>
      <c r="G11" s="62">
        <v>33</v>
      </c>
      <c r="H11" s="63">
        <f t="shared" si="3"/>
        <v>660</v>
      </c>
      <c r="I11" s="64">
        <f t="shared" si="4"/>
        <v>0.75173270849985219</v>
      </c>
      <c r="J11" s="137">
        <f t="shared" si="5"/>
        <v>33.751732708499851</v>
      </c>
      <c r="K11" s="65">
        <f t="shared" si="11"/>
        <v>675.034654169997</v>
      </c>
      <c r="L11" s="69">
        <v>40</v>
      </c>
      <c r="M11" s="63">
        <f t="shared" si="6"/>
        <v>800</v>
      </c>
      <c r="N11" s="63">
        <f t="shared" ca="1" si="7"/>
        <v>480</v>
      </c>
      <c r="O11" s="70">
        <f t="shared" ca="1" si="8"/>
        <v>8</v>
      </c>
      <c r="P11" s="57"/>
      <c r="Q11" s="57">
        <v>12</v>
      </c>
      <c r="R11" s="22">
        <v>0</v>
      </c>
      <c r="S11" s="22">
        <v>0</v>
      </c>
      <c r="T11" s="22">
        <v>0</v>
      </c>
      <c r="U11" s="22">
        <v>0</v>
      </c>
      <c r="V11" s="22">
        <v>0</v>
      </c>
      <c r="W11" s="22">
        <f ca="1">SUMIFS('Tổng Đơn'!$F:$F,'Tổng Đơn'!$B:$B,$C11)</f>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0.64542707295441848</v>
      </c>
      <c r="J12" s="137">
        <f t="shared" si="5"/>
        <v>28.978760406287751</v>
      </c>
      <c r="K12" s="65">
        <f t="shared" si="11"/>
        <v>1043.2353746263591</v>
      </c>
      <c r="L12" s="69">
        <v>34</v>
      </c>
      <c r="M12" s="63">
        <f t="shared" si="6"/>
        <v>1224</v>
      </c>
      <c r="N12" s="63">
        <f t="shared" si="7"/>
        <v>1190</v>
      </c>
      <c r="O12" s="70">
        <f t="shared" si="8"/>
        <v>0</v>
      </c>
      <c r="P12" s="57">
        <v>1</v>
      </c>
      <c r="Q12" s="57">
        <v>35</v>
      </c>
      <c r="R12" s="22">
        <v>0</v>
      </c>
      <c r="S12" s="22">
        <v>0</v>
      </c>
      <c r="T12" s="22">
        <v>0</v>
      </c>
      <c r="U12" s="22">
        <v>0</v>
      </c>
      <c r="V12" s="22">
        <v>0</v>
      </c>
      <c r="W12" s="22">
        <f>SUMIFS('Tổng Đơn'!$F:$F,'Tổng Đơn'!$B:$B,$C12)</f>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572.75667626545203</v>
      </c>
      <c r="B13" s="6">
        <v>9</v>
      </c>
      <c r="C13" s="60" t="s">
        <v>31</v>
      </c>
      <c r="D13" s="68">
        <f t="shared" ref="D13:D22" si="12">G13*2</f>
        <v>80</v>
      </c>
      <c r="E13" s="61">
        <v>0.5</v>
      </c>
      <c r="F13" s="112">
        <v>40</v>
      </c>
      <c r="G13" s="62">
        <v>40</v>
      </c>
      <c r="H13" s="63">
        <f t="shared" si="3"/>
        <v>1600</v>
      </c>
      <c r="I13" s="64">
        <f t="shared" si="4"/>
        <v>0.91119116181800275</v>
      </c>
      <c r="J13" s="137">
        <f t="shared" si="5"/>
        <v>40.911191161818003</v>
      </c>
      <c r="K13" s="65">
        <f t="shared" si="11"/>
        <v>1636.4476464727202</v>
      </c>
      <c r="L13" s="69">
        <v>45</v>
      </c>
      <c r="M13" s="63">
        <f t="shared" si="6"/>
        <v>1800</v>
      </c>
      <c r="N13" s="63">
        <f t="shared" ca="1" si="7"/>
        <v>1170</v>
      </c>
      <c r="O13" s="70">
        <f t="shared" ca="1" si="8"/>
        <v>14</v>
      </c>
      <c r="P13" s="57"/>
      <c r="Q13" s="57">
        <v>26</v>
      </c>
      <c r="R13" s="22">
        <v>0</v>
      </c>
      <c r="S13" s="22">
        <v>0</v>
      </c>
      <c r="T13" s="22">
        <v>0</v>
      </c>
      <c r="U13" s="22">
        <v>0</v>
      </c>
      <c r="V13" s="22">
        <v>0</v>
      </c>
      <c r="W13" s="22">
        <f ca="1">SUMIFS('Tổng Đơn'!$F:$F,'Tổng Đơn'!$B:$B,$C13)</f>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1186.4245436927222</v>
      </c>
      <c r="B14" s="6">
        <v>10</v>
      </c>
      <c r="C14" s="60" t="s">
        <v>30</v>
      </c>
      <c r="D14" s="68">
        <f t="shared" si="12"/>
        <v>80</v>
      </c>
      <c r="E14" s="61">
        <v>0.5</v>
      </c>
      <c r="F14" s="112">
        <v>40</v>
      </c>
      <c r="G14" s="62">
        <v>40</v>
      </c>
      <c r="H14" s="63">
        <f t="shared" si="3"/>
        <v>1600</v>
      </c>
      <c r="I14" s="64">
        <f t="shared" si="4"/>
        <v>0.91119116181800275</v>
      </c>
      <c r="J14" s="137">
        <f t="shared" si="5"/>
        <v>40.911191161818003</v>
      </c>
      <c r="K14" s="65">
        <f t="shared" si="11"/>
        <v>1636.4476464727202</v>
      </c>
      <c r="L14" s="69">
        <v>45</v>
      </c>
      <c r="M14" s="63">
        <f t="shared" si="6"/>
        <v>1800</v>
      </c>
      <c r="N14" s="63">
        <f t="shared" ca="1" si="7"/>
        <v>495</v>
      </c>
      <c r="O14" s="70">
        <f t="shared" ca="1" si="8"/>
        <v>29</v>
      </c>
      <c r="P14" s="57"/>
      <c r="Q14" s="57">
        <v>11</v>
      </c>
      <c r="R14" s="22">
        <v>0</v>
      </c>
      <c r="S14" s="22">
        <v>0</v>
      </c>
      <c r="T14" s="22">
        <v>0</v>
      </c>
      <c r="U14" s="22">
        <v>0</v>
      </c>
      <c r="V14" s="22">
        <v>0</v>
      </c>
      <c r="W14" s="22">
        <f ca="1">SUMIFS('Tổng Đơn'!$F:$F,'Tổng Đơn'!$B:$B,$C14)</f>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695.49024975090606</v>
      </c>
      <c r="B15" s="6">
        <v>11</v>
      </c>
      <c r="C15" s="60" t="s">
        <v>29</v>
      </c>
      <c r="D15" s="68">
        <f t="shared" si="12"/>
        <v>80</v>
      </c>
      <c r="E15" s="61">
        <v>0.5</v>
      </c>
      <c r="F15" s="112">
        <v>40</v>
      </c>
      <c r="G15" s="62">
        <v>40</v>
      </c>
      <c r="H15" s="63">
        <f t="shared" si="3"/>
        <v>1600</v>
      </c>
      <c r="I15" s="64">
        <f t="shared" si="4"/>
        <v>0.91119116181800275</v>
      </c>
      <c r="J15" s="137">
        <f t="shared" si="5"/>
        <v>40.911191161818003</v>
      </c>
      <c r="K15" s="65">
        <f t="shared" si="11"/>
        <v>1636.4476464727202</v>
      </c>
      <c r="L15" s="69">
        <v>45</v>
      </c>
      <c r="M15" s="63">
        <f t="shared" si="6"/>
        <v>1800</v>
      </c>
      <c r="N15" s="63">
        <f t="shared" ca="1" si="7"/>
        <v>1035</v>
      </c>
      <c r="O15" s="70">
        <f t="shared" ca="1" si="8"/>
        <v>17</v>
      </c>
      <c r="P15" s="57"/>
      <c r="Q15" s="57">
        <v>23</v>
      </c>
      <c r="R15" s="22">
        <v>0</v>
      </c>
      <c r="S15" s="22">
        <v>0</v>
      </c>
      <c r="T15" s="22">
        <v>0</v>
      </c>
      <c r="U15" s="22">
        <v>0</v>
      </c>
      <c r="V15" s="22">
        <v>0</v>
      </c>
      <c r="W15" s="22">
        <f ca="1">SUMIFS('Tổng Đơn'!$F:$F,'Tổng Đơn'!$B:$B,$C15)</f>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1022.77977904545</v>
      </c>
      <c r="B16" s="6">
        <v>12</v>
      </c>
      <c r="C16" s="60" t="s">
        <v>28</v>
      </c>
      <c r="D16" s="68">
        <f t="shared" si="12"/>
        <v>80</v>
      </c>
      <c r="E16" s="61">
        <v>0.5</v>
      </c>
      <c r="F16" s="112">
        <v>40</v>
      </c>
      <c r="G16" s="62">
        <v>40</v>
      </c>
      <c r="H16" s="63">
        <f t="shared" si="3"/>
        <v>1600</v>
      </c>
      <c r="I16" s="64">
        <f t="shared" si="4"/>
        <v>0.91119116181800275</v>
      </c>
      <c r="J16" s="137">
        <f t="shared" si="5"/>
        <v>40.911191161818003</v>
      </c>
      <c r="K16" s="65">
        <f t="shared" si="11"/>
        <v>1636.4476464727202</v>
      </c>
      <c r="L16" s="69">
        <v>45</v>
      </c>
      <c r="M16" s="63">
        <f t="shared" si="6"/>
        <v>1800</v>
      </c>
      <c r="N16" s="63">
        <f t="shared" ca="1" si="7"/>
        <v>675</v>
      </c>
      <c r="O16" s="70">
        <f t="shared" ca="1" si="8"/>
        <v>25</v>
      </c>
      <c r="P16" s="57"/>
      <c r="Q16" s="57">
        <v>15</v>
      </c>
      <c r="R16" s="22">
        <v>0</v>
      </c>
      <c r="S16" s="22">
        <v>0</v>
      </c>
      <c r="T16" s="22">
        <v>0</v>
      </c>
      <c r="U16" s="22">
        <v>0</v>
      </c>
      <c r="V16" s="22">
        <v>0</v>
      </c>
      <c r="W16" s="22">
        <f ca="1">SUMIFS('Tổng Đơn'!$F:$F,'Tổng Đơn'!$B:$B,$C16)</f>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163.64476464727201</v>
      </c>
      <c r="B17" s="6">
        <v>13</v>
      </c>
      <c r="C17" s="60" t="s">
        <v>50</v>
      </c>
      <c r="D17" s="68">
        <f t="shared" si="12"/>
        <v>80</v>
      </c>
      <c r="E17" s="61">
        <v>0.5</v>
      </c>
      <c r="F17" s="112">
        <v>40</v>
      </c>
      <c r="G17" s="62">
        <v>40</v>
      </c>
      <c r="H17" s="63">
        <f t="shared" si="3"/>
        <v>1600</v>
      </c>
      <c r="I17" s="64">
        <f t="shared" si="4"/>
        <v>0.91119116181800275</v>
      </c>
      <c r="J17" s="137">
        <f t="shared" si="5"/>
        <v>40.911191161818003</v>
      </c>
      <c r="K17" s="65">
        <f t="shared" si="11"/>
        <v>1636.4476464727202</v>
      </c>
      <c r="L17" s="69">
        <v>45</v>
      </c>
      <c r="M17" s="63">
        <f t="shared" si="6"/>
        <v>1800</v>
      </c>
      <c r="N17" s="63">
        <f t="shared" ca="1" si="7"/>
        <v>1620</v>
      </c>
      <c r="O17" s="70">
        <f t="shared" ca="1" si="8"/>
        <v>4</v>
      </c>
      <c r="P17" s="57"/>
      <c r="Q17" s="57">
        <v>36</v>
      </c>
      <c r="R17" s="22">
        <v>0</v>
      </c>
      <c r="S17" s="22">
        <v>0</v>
      </c>
      <c r="T17" s="22">
        <v>0</v>
      </c>
      <c r="U17" s="22">
        <v>0</v>
      </c>
      <c r="V17" s="22">
        <v>0</v>
      </c>
      <c r="W17" s="22">
        <f ca="1">SUMIFS('Tổng Đơn'!$F:$F,'Tổng Đơn'!$B:$B,$C17)</f>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361.61994003592486</v>
      </c>
      <c r="B18" s="6">
        <v>14</v>
      </c>
      <c r="C18" s="60" t="s">
        <v>116</v>
      </c>
      <c r="D18" s="68">
        <f t="shared" si="12"/>
        <v>54.39473684210526</v>
      </c>
      <c r="E18" s="61">
        <v>0.5</v>
      </c>
      <c r="F18" s="112">
        <f>80</f>
        <v>80</v>
      </c>
      <c r="G18" s="62">
        <f>1033.5/38</f>
        <v>27.19736842105263</v>
      </c>
      <c r="H18" s="63">
        <f t="shared" si="3"/>
        <v>2175.7894736842104</v>
      </c>
      <c r="I18" s="64">
        <f t="shared" si="4"/>
        <v>0.61955004324927998</v>
      </c>
      <c r="J18" s="137">
        <f t="shared" ref="J18" si="13">G18+I18</f>
        <v>27.81691846430191</v>
      </c>
      <c r="K18" s="65">
        <f t="shared" ref="K18" si="14">J18*F18</f>
        <v>2225.3534771441527</v>
      </c>
      <c r="L18" s="69">
        <v>35</v>
      </c>
      <c r="M18" s="63">
        <f t="shared" si="6"/>
        <v>2800</v>
      </c>
      <c r="N18" s="63">
        <f t="shared" ca="1" si="7"/>
        <v>2345</v>
      </c>
      <c r="O18" s="70">
        <f t="shared" ca="1" si="8"/>
        <v>13</v>
      </c>
      <c r="P18" s="57"/>
      <c r="Q18" s="57">
        <v>67</v>
      </c>
      <c r="R18" s="22">
        <v>0</v>
      </c>
      <c r="S18" s="22">
        <v>0</v>
      </c>
      <c r="T18" s="22">
        <v>0</v>
      </c>
      <c r="U18" s="22">
        <v>0</v>
      </c>
      <c r="V18" s="22">
        <v>0</v>
      </c>
      <c r="W18" s="22">
        <f ca="1">SUMIFS('Tổng Đơn'!$F:$F,'Tổng Đơn'!$B:$B,$C18)</f>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2945.6057636508958</v>
      </c>
      <c r="B19" s="6">
        <v>15</v>
      </c>
      <c r="C19" s="60" t="s">
        <v>143</v>
      </c>
      <c r="D19" s="68">
        <f t="shared" si="12"/>
        <v>120</v>
      </c>
      <c r="E19" s="61">
        <v>0.5</v>
      </c>
      <c r="F19" s="112">
        <f>60+20+20+20+20+20+20+20+60+40+40+40</f>
        <v>380</v>
      </c>
      <c r="G19" s="62">
        <v>60</v>
      </c>
      <c r="H19" s="63">
        <f t="shared" si="3"/>
        <v>22800</v>
      </c>
      <c r="I19" s="64">
        <f t="shared" si="4"/>
        <v>1.366786742727004</v>
      </c>
      <c r="J19" s="137">
        <f t="shared" ref="J19" si="15">G19+I19</f>
        <v>61.366786742727001</v>
      </c>
      <c r="K19" s="65">
        <f t="shared" ref="K19" si="16">J19*F19</f>
        <v>23319.37896223626</v>
      </c>
      <c r="L19" s="69">
        <v>70</v>
      </c>
      <c r="M19" s="63">
        <f t="shared" ref="M19" si="17">L19*F19</f>
        <v>26600</v>
      </c>
      <c r="N19" s="63">
        <f t="shared" ca="1" si="7"/>
        <v>23170</v>
      </c>
      <c r="O19" s="70">
        <f t="shared" ca="1" si="8"/>
        <v>48</v>
      </c>
      <c r="P19" s="57">
        <v>1</v>
      </c>
      <c r="Q19" s="57">
        <v>330</v>
      </c>
      <c r="R19" s="22">
        <v>0</v>
      </c>
      <c r="S19" s="22">
        <v>0</v>
      </c>
      <c r="T19" s="22">
        <v>0</v>
      </c>
      <c r="U19" s="22">
        <v>1</v>
      </c>
      <c r="V19" s="22">
        <v>0</v>
      </c>
      <c r="W19" s="22">
        <f ca="1">SUMIFS('Tổng Đơn'!$F:$F,'Tổng Đơn'!$B:$B,$C19)</f>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1771.9659671962422</v>
      </c>
      <c r="B20" s="6">
        <v>16</v>
      </c>
      <c r="C20" s="60" t="s">
        <v>114</v>
      </c>
      <c r="D20" s="68">
        <v>77</v>
      </c>
      <c r="E20" s="61">
        <v>0.5</v>
      </c>
      <c r="F20" s="112">
        <f>40+40</f>
        <v>80</v>
      </c>
      <c r="G20" s="62">
        <f>D20/2</f>
        <v>38.5</v>
      </c>
      <c r="H20" s="63">
        <f t="shared" ref="H20:H25" si="18">G20*F20</f>
        <v>3080</v>
      </c>
      <c r="I20" s="64">
        <f t="shared" ref="I20:I21" si="19">((H20/$H$4)*$A$2)/F20</f>
        <v>0.87702149324982748</v>
      </c>
      <c r="J20" s="137">
        <f t="shared" ref="J20:J21" si="20">G20+I20</f>
        <v>39.377021493249828</v>
      </c>
      <c r="K20" s="65">
        <f t="shared" ref="K20:K21" si="21">J20*F20</f>
        <v>3150.1617194599862</v>
      </c>
      <c r="L20" s="69">
        <v>42</v>
      </c>
      <c r="M20" s="63">
        <f t="shared" ref="M20:M21" si="22">L20*F20</f>
        <v>3360</v>
      </c>
      <c r="N20" s="63">
        <f t="shared" ca="1" si="7"/>
        <v>1470</v>
      </c>
      <c r="O20" s="70">
        <f t="shared" ca="1" si="8"/>
        <v>45</v>
      </c>
      <c r="P20" s="57">
        <v>0</v>
      </c>
      <c r="Q20" s="57">
        <v>31</v>
      </c>
      <c r="R20" s="22">
        <v>1</v>
      </c>
      <c r="S20" s="22">
        <v>0</v>
      </c>
      <c r="T20" s="22">
        <v>0</v>
      </c>
      <c r="U20" s="22">
        <v>2</v>
      </c>
      <c r="V20" s="22">
        <v>0</v>
      </c>
      <c r="W20" s="22">
        <f ca="1">SUMIFS('Tổng Đơn'!$F:$F,'Tổng Đơn'!$B:$B,$C20)</f>
        <v>1</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40</v>
      </c>
      <c r="AX20" s="58">
        <f t="shared" si="9"/>
        <v>1540</v>
      </c>
    </row>
    <row r="21" spans="1:50" ht="18.75" x14ac:dyDescent="0.25">
      <c r="A21" s="58">
        <f t="shared" ca="1" si="2"/>
        <v>2070.1062727879912</v>
      </c>
      <c r="B21" s="6">
        <v>17</v>
      </c>
      <c r="C21" s="60" t="s">
        <v>155</v>
      </c>
      <c r="D21" s="68">
        <f t="shared" si="12"/>
        <v>88</v>
      </c>
      <c r="E21" s="61">
        <v>0.5</v>
      </c>
      <c r="F21" s="112">
        <f>80</f>
        <v>80</v>
      </c>
      <c r="G21" s="62">
        <v>44</v>
      </c>
      <c r="H21" s="63">
        <f t="shared" si="18"/>
        <v>3520</v>
      </c>
      <c r="I21" s="64">
        <f t="shared" si="19"/>
        <v>1.0023102779998028</v>
      </c>
      <c r="J21" s="137">
        <f t="shared" si="20"/>
        <v>45.002310277999804</v>
      </c>
      <c r="K21" s="65">
        <f t="shared" si="21"/>
        <v>3600.1848222399844</v>
      </c>
      <c r="L21" s="69">
        <v>54</v>
      </c>
      <c r="M21" s="63">
        <f t="shared" si="22"/>
        <v>4320</v>
      </c>
      <c r="N21" s="63">
        <f t="shared" ca="1" si="7"/>
        <v>1782</v>
      </c>
      <c r="O21" s="70">
        <f t="shared" ca="1" si="8"/>
        <v>46</v>
      </c>
      <c r="P21" s="57">
        <v>1</v>
      </c>
      <c r="Q21" s="57">
        <v>33</v>
      </c>
      <c r="R21" s="22">
        <v>0</v>
      </c>
      <c r="S21" s="22">
        <v>0</v>
      </c>
      <c r="T21" s="22">
        <v>0</v>
      </c>
      <c r="U21" s="22">
        <v>0</v>
      </c>
      <c r="V21" s="22">
        <v>0</v>
      </c>
      <c r="W21" s="22">
        <f ca="1">SUMIFS('Tổng Đơn'!$F:$F,'Tổng Đơn'!$B:$B,$C21)</f>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0.83146193515892741</v>
      </c>
      <c r="J22" s="137">
        <f t="shared" ref="J22:J23" si="24">G22+I22</f>
        <v>37.331461935158927</v>
      </c>
      <c r="K22" s="65">
        <f t="shared" ref="K22:K23" si="25">J22*F22</f>
        <v>1493.2584774063571</v>
      </c>
      <c r="L22" s="69">
        <v>42</v>
      </c>
      <c r="M22" s="63">
        <f t="shared" ref="M22:M23" si="26">L22*F22</f>
        <v>1680</v>
      </c>
      <c r="N22" s="63">
        <f t="shared" si="7"/>
        <v>1680</v>
      </c>
      <c r="O22" s="70">
        <f t="shared" si="8"/>
        <v>0</v>
      </c>
      <c r="P22" s="57">
        <v>0</v>
      </c>
      <c r="Q22" s="57">
        <v>40</v>
      </c>
      <c r="R22" s="22">
        <v>0</v>
      </c>
      <c r="S22" s="22">
        <v>0</v>
      </c>
      <c r="T22" s="22">
        <v>0</v>
      </c>
      <c r="U22" s="22">
        <v>0</v>
      </c>
      <c r="V22" s="22">
        <v>0</v>
      </c>
      <c r="W22" s="22">
        <f>SUMIFS('Tổng Đơn'!$F:$F,'Tổng Đơn'!$B:$B,$C22)</f>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159.55364553109021</v>
      </c>
      <c r="B23" s="6">
        <v>19</v>
      </c>
      <c r="C23" s="60" t="s">
        <v>182</v>
      </c>
      <c r="D23" s="68">
        <v>26</v>
      </c>
      <c r="E23" s="61">
        <v>0.3</v>
      </c>
      <c r="F23" s="112">
        <f>60+40+20</f>
        <v>120</v>
      </c>
      <c r="G23" s="62">
        <f>D23/2</f>
        <v>13</v>
      </c>
      <c r="H23" s="63">
        <f t="shared" si="18"/>
        <v>1560</v>
      </c>
      <c r="I23" s="64">
        <f t="shared" si="23"/>
        <v>0.29613712759085087</v>
      </c>
      <c r="J23" s="137">
        <f t="shared" si="24"/>
        <v>13.296137127590852</v>
      </c>
      <c r="K23" s="65">
        <f t="shared" si="25"/>
        <v>1595.5364553109023</v>
      </c>
      <c r="L23" s="69">
        <v>16</v>
      </c>
      <c r="M23" s="63">
        <f t="shared" si="26"/>
        <v>1920</v>
      </c>
      <c r="N23" s="63">
        <f t="shared" ca="1" si="7"/>
        <v>1728</v>
      </c>
      <c r="O23" s="70">
        <f t="shared" ca="1" si="8"/>
        <v>12</v>
      </c>
      <c r="P23" s="57">
        <v>0</v>
      </c>
      <c r="Q23" s="57">
        <v>81</v>
      </c>
      <c r="R23" s="22">
        <v>0</v>
      </c>
      <c r="S23" s="22">
        <v>1</v>
      </c>
      <c r="T23" s="22">
        <v>0</v>
      </c>
      <c r="U23" s="22">
        <v>1</v>
      </c>
      <c r="V23" s="22">
        <v>23</v>
      </c>
      <c r="W23" s="22">
        <f ca="1">SUMIFS('Tổng Đơn'!$F:$F,'Tổng Đơn'!$B:$B,$C23)</f>
        <v>2</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40</v>
      </c>
      <c r="AX23" s="58">
        <f t="shared" si="9"/>
        <v>520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0.77451248754530222</v>
      </c>
      <c r="J24" s="137">
        <f t="shared" ref="J24" si="28">G24+I24</f>
        <v>34.774512487545302</v>
      </c>
      <c r="K24" s="65">
        <f t="shared" ref="K24" si="29">J24*F24</f>
        <v>347.74512487545303</v>
      </c>
      <c r="L24" s="69">
        <v>40</v>
      </c>
      <c r="M24" s="63">
        <f t="shared" ref="M24:M25" si="30">L24*F24</f>
        <v>400</v>
      </c>
      <c r="N24" s="63">
        <f t="shared" ca="1" si="7"/>
        <v>400</v>
      </c>
      <c r="O24" s="70">
        <f t="shared" ca="1" si="8"/>
        <v>0</v>
      </c>
      <c r="P24" s="57"/>
      <c r="Q24" s="57">
        <v>10</v>
      </c>
      <c r="R24" s="22">
        <v>0</v>
      </c>
      <c r="S24" s="22">
        <v>0</v>
      </c>
      <c r="T24" s="22">
        <v>0</v>
      </c>
      <c r="U24" s="22">
        <v>0</v>
      </c>
      <c r="V24" s="22">
        <v>0</v>
      </c>
      <c r="W24" s="22">
        <f ca="1">SUMIFS('Tổng Đơn'!$F:$F,'Tổng Đơn'!$B:$B,$C24)</f>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0.73578686316803721</v>
      </c>
      <c r="J25" s="137">
        <f t="shared" ref="J25" si="32">G25+I25</f>
        <v>33.035786863168035</v>
      </c>
      <c r="K25" s="65">
        <f t="shared" ref="K25" si="33">J25*F25</f>
        <v>1321.4314745267213</v>
      </c>
      <c r="L25" s="69">
        <v>40</v>
      </c>
      <c r="M25" s="63">
        <f t="shared" si="30"/>
        <v>1600</v>
      </c>
      <c r="N25" s="63">
        <f t="shared" si="7"/>
        <v>1560</v>
      </c>
      <c r="O25" s="70">
        <f t="shared" si="8"/>
        <v>0</v>
      </c>
      <c r="P25" s="57">
        <v>1</v>
      </c>
      <c r="Q25" s="57">
        <v>39</v>
      </c>
      <c r="R25" s="22">
        <v>0</v>
      </c>
      <c r="S25" s="22">
        <v>0</v>
      </c>
      <c r="T25" s="22">
        <v>0</v>
      </c>
      <c r="U25" s="22">
        <v>0</v>
      </c>
      <c r="V25" s="22">
        <v>0</v>
      </c>
      <c r="W25" s="22">
        <f>SUMIFS('Tổng Đơn'!$F:$F,'Tổng Đơn'!$B:$B,$C25)</f>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50" priority="21">
      <formula>($O6/$O6)&lt;=1/4</formula>
    </cfRule>
  </conditionalFormatting>
  <conditionalFormatting sqref="C18">
    <cfRule type="expression" dxfId="349" priority="18">
      <formula>($O18/$O18)&lt;=1/4</formula>
    </cfRule>
  </conditionalFormatting>
  <conditionalFormatting sqref="C5:C18 C25:C27">
    <cfRule type="expression" dxfId="348" priority="29">
      <formula>($O5/$F5)&lt;=1/4</formula>
    </cfRule>
  </conditionalFormatting>
  <conditionalFormatting sqref="C19">
    <cfRule type="expression" dxfId="347" priority="9">
      <formula>($O19/$O19)&lt;=1/4</formula>
    </cfRule>
  </conditionalFormatting>
  <conditionalFormatting sqref="C19">
    <cfRule type="expression" dxfId="346" priority="10">
      <formula>($O19/$F19)&lt;=1/4</formula>
    </cfRule>
  </conditionalFormatting>
  <conditionalFormatting sqref="C20:C21">
    <cfRule type="expression" dxfId="345" priority="7">
      <formula>($O20/$O20)&lt;=1/4</formula>
    </cfRule>
  </conditionalFormatting>
  <conditionalFormatting sqref="C20:C21">
    <cfRule type="expression" dxfId="344" priority="8">
      <formula>($O20/$F20)&lt;=1/4</formula>
    </cfRule>
  </conditionalFormatting>
  <conditionalFormatting sqref="C22:C23">
    <cfRule type="expression" dxfId="343" priority="5">
      <formula>($O22/$O22)&lt;=1/4</formula>
    </cfRule>
  </conditionalFormatting>
  <conditionalFormatting sqref="C22:C23">
    <cfRule type="expression" dxfId="342" priority="6">
      <formula>($O22/$F22)&lt;=1/4</formula>
    </cfRule>
  </conditionalFormatting>
  <conditionalFormatting sqref="C24">
    <cfRule type="expression" dxfId="341" priority="3">
      <formula>($O24/$O24)&lt;=1/4</formula>
    </cfRule>
  </conditionalFormatting>
  <conditionalFormatting sqref="C24">
    <cfRule type="expression" dxfId="340"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3" t="s">
        <v>51</v>
      </c>
      <c r="C1" s="263"/>
      <c r="D1" s="263"/>
      <c r="E1" s="263"/>
      <c r="F1" s="263"/>
      <c r="G1" s="263"/>
      <c r="H1" s="263"/>
      <c r="I1" s="263"/>
      <c r="J1" s="263"/>
      <c r="K1" s="263"/>
      <c r="L1" s="263"/>
      <c r="M1" s="263"/>
      <c r="N1" s="154"/>
    </row>
    <row r="2" spans="1:51" ht="34.5" customHeight="1" x14ac:dyDescent="0.25">
      <c r="A2" s="1">
        <f>300+200+120+200+200+200+140+190+120+60+100+95+145+70+100+165+70+80+320+100+270+80+100+140+50+170+140+170+110+140+200+60+100+140+180+80+160+100+240+120+120+300+280+120+240+200+280+200+100+200+280+140+220+80+180+300+240+60+200</f>
        <v>9465</v>
      </c>
      <c r="K2" s="13"/>
      <c r="L2" s="13"/>
      <c r="M2" s="8">
        <f>M4/K4-1</f>
        <v>0.18670230478022387</v>
      </c>
      <c r="N2" s="8"/>
      <c r="O2" s="13">
        <f>M4-K4</f>
        <v>78511.731987245614</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7108</v>
      </c>
    </row>
    <row r="4" spans="1:51" s="45" customFormat="1" ht="27" customHeight="1" x14ac:dyDescent="0.25">
      <c r="A4" s="49">
        <f ca="1">SUBTOTAL(9,A5:A22)</f>
        <v>11960.161653011901</v>
      </c>
      <c r="B4" s="16"/>
      <c r="C4" s="16"/>
      <c r="D4" s="46"/>
      <c r="E4" s="16">
        <f>SUMPRODUCT((E5:E22)*(F5:F22))</f>
        <v>9423.5001499999998</v>
      </c>
      <c r="F4" s="16">
        <f>SUBTOTAL(9,F5:F22)</f>
        <v>18847.0003</v>
      </c>
      <c r="G4" s="7"/>
      <c r="H4" s="7">
        <f>SUBTOTAL(9,H5:H22)</f>
        <v>411120.41858488088</v>
      </c>
      <c r="I4" s="12"/>
      <c r="J4" s="12"/>
      <c r="K4" s="12">
        <f>SUBTOTAL(9,K5:K22)</f>
        <v>420518.27951275441</v>
      </c>
      <c r="L4" s="47"/>
      <c r="M4" s="7">
        <f>SUBTOTAL(9,M5:M22)</f>
        <v>499030.01150000002</v>
      </c>
      <c r="N4" s="7">
        <f ca="1">SUBTOTAL(9,N5:N22)</f>
        <v>484546</v>
      </c>
      <c r="O4" s="48">
        <f ca="1">SUBTOTAL(9,O5:O22)</f>
        <v>469.00029999999992</v>
      </c>
      <c r="P4" s="74">
        <f>SUBTOTAL(9,P5:P22)</f>
        <v>21</v>
      </c>
      <c r="Q4" s="74"/>
      <c r="R4" s="25">
        <f>SUBTOTAL(9,R5:R12)</f>
        <v>49</v>
      </c>
      <c r="S4" s="25">
        <f t="shared" ref="S4:AV4" si="0">SUBTOTAL(9,S5:S12)</f>
        <v>20</v>
      </c>
      <c r="T4" s="25">
        <f t="shared" si="0"/>
        <v>61</v>
      </c>
      <c r="U4" s="25">
        <f t="shared" si="0"/>
        <v>38</v>
      </c>
      <c r="V4" s="25">
        <f t="shared" si="0"/>
        <v>71</v>
      </c>
      <c r="W4" s="25">
        <f t="shared" ca="1" si="0"/>
        <v>68</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291 Kg</v>
      </c>
      <c r="AX4" s="77">
        <f>SUBTOTAL(9,AX5:AX22)</f>
        <v>13055</v>
      </c>
    </row>
    <row r="5" spans="1:51" ht="18.75" x14ac:dyDescent="0.25">
      <c r="A5" s="58">
        <f t="shared" ref="A5:A22" ca="1" si="1">J5*O5</f>
        <v>3296.09308766509</v>
      </c>
      <c r="B5" s="247">
        <v>1</v>
      </c>
      <c r="C5" s="60" t="s">
        <v>174</v>
      </c>
      <c r="D5" s="68">
        <v>40.023809523809526</v>
      </c>
      <c r="E5" s="6">
        <v>0.5</v>
      </c>
      <c r="F5" s="6">
        <f>217+420-7</f>
        <v>630</v>
      </c>
      <c r="G5" s="237">
        <v>20.011904761904763</v>
      </c>
      <c r="H5" s="63">
        <f t="shared" ref="H5:H12" si="2">G5*F5</f>
        <v>12607.5</v>
      </c>
      <c r="I5" s="64">
        <f t="shared" ref="I5:I12" si="3">((H5/$H$4)*$A$2)/F5</f>
        <v>0.46072311179144709</v>
      </c>
      <c r="J5" s="137">
        <f t="shared" ref="J5:J12" si="4">G5+I5</f>
        <v>20.472627873696212</v>
      </c>
      <c r="K5" s="65">
        <f>J5*F5</f>
        <v>12897.755560428614</v>
      </c>
      <c r="L5" s="69">
        <v>25</v>
      </c>
      <c r="M5" s="63">
        <f t="shared" ref="M5:M12" si="5">L5*F5</f>
        <v>15750</v>
      </c>
      <c r="N5" s="63">
        <f t="shared" ref="N5:N15" ca="1" si="6">SUMPRODUCT(($Q5:$AV5)*$L5)</f>
        <v>11725</v>
      </c>
      <c r="O5" s="70">
        <f t="shared" ref="O5:O15" ca="1" si="7">F5-SUM(Q5:AV5)-P5</f>
        <v>161</v>
      </c>
      <c r="P5" s="57">
        <v>0</v>
      </c>
      <c r="Q5" s="57">
        <v>276</v>
      </c>
      <c r="R5" s="22">
        <v>22</v>
      </c>
      <c r="S5" s="22">
        <v>18</v>
      </c>
      <c r="T5" s="22">
        <v>37</v>
      </c>
      <c r="U5" s="22">
        <v>23</v>
      </c>
      <c r="V5" s="22">
        <v>57</v>
      </c>
      <c r="W5" s="22">
        <f ca="1">SUMIFS('Tổng Đơn'!$F:$F,'Tổng Đơn'!$B:$B,$C5)</f>
        <v>36</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10*42</f>
        <v>420</v>
      </c>
      <c r="AX5" s="58">
        <f>AW5*AY5/2</f>
        <v>8405</v>
      </c>
      <c r="AY5" s="218">
        <v>40.023809523809526</v>
      </c>
    </row>
    <row r="6" spans="1:51" ht="18.75" x14ac:dyDescent="0.25">
      <c r="A6" s="58">
        <f t="shared" ca="1" si="1"/>
        <v>670.28431038610563</v>
      </c>
      <c r="B6" s="247">
        <v>2</v>
      </c>
      <c r="C6" s="60" t="s">
        <v>175</v>
      </c>
      <c r="D6" s="68">
        <v>46.8</v>
      </c>
      <c r="E6" s="6">
        <v>0.5</v>
      </c>
      <c r="F6" s="6">
        <v>47</v>
      </c>
      <c r="G6" s="237">
        <v>23.4</v>
      </c>
      <c r="H6" s="63">
        <f t="shared" si="2"/>
        <v>1099.8</v>
      </c>
      <c r="I6" s="64">
        <f t="shared" si="3"/>
        <v>0.53872537093234274</v>
      </c>
      <c r="J6" s="137">
        <f t="shared" si="4"/>
        <v>23.938725370932342</v>
      </c>
      <c r="K6" s="65">
        <f>J6*F6</f>
        <v>1125.12009243382</v>
      </c>
      <c r="L6" s="69">
        <v>28</v>
      </c>
      <c r="M6" s="63">
        <f t="shared" si="5"/>
        <v>1316</v>
      </c>
      <c r="N6" s="63">
        <f t="shared" ca="1" si="6"/>
        <v>532</v>
      </c>
      <c r="O6" s="70">
        <f t="shared" ca="1" si="7"/>
        <v>28</v>
      </c>
      <c r="P6" s="57">
        <v>0</v>
      </c>
      <c r="Q6" s="57">
        <v>10</v>
      </c>
      <c r="R6" s="22">
        <v>0</v>
      </c>
      <c r="S6" s="22">
        <v>0</v>
      </c>
      <c r="T6" s="22">
        <v>5</v>
      </c>
      <c r="U6" s="22">
        <v>4</v>
      </c>
      <c r="V6" s="22">
        <v>0</v>
      </c>
      <c r="W6" s="22">
        <f ca="1">SUMIFS('Tổng Đơn'!$F:$F,'Tổng Đơn'!$B:$B,$C6)</f>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18">
        <v>46.8</v>
      </c>
    </row>
    <row r="7" spans="1:51" ht="18.75" x14ac:dyDescent="0.25">
      <c r="A7" s="58">
        <f t="shared" ca="1" si="1"/>
        <v>674.0987226704849</v>
      </c>
      <c r="B7" s="247">
        <v>3</v>
      </c>
      <c r="C7" s="60" t="s">
        <v>176</v>
      </c>
      <c r="D7" s="68">
        <v>43.928571428571431</v>
      </c>
      <c r="E7" s="6">
        <v>0.5</v>
      </c>
      <c r="F7" s="6">
        <v>54</v>
      </c>
      <c r="G7" s="237">
        <v>21.964285714285715</v>
      </c>
      <c r="H7" s="63">
        <f t="shared" si="2"/>
        <v>1186.0714285714287</v>
      </c>
      <c r="I7" s="64">
        <f t="shared" si="3"/>
        <v>0.50567170806378337</v>
      </c>
      <c r="J7" s="137">
        <f t="shared" si="4"/>
        <v>22.469957422349498</v>
      </c>
      <c r="K7" s="65">
        <f t="shared" ref="K7:K12" si="9">J7*F7</f>
        <v>1213.377700806873</v>
      </c>
      <c r="L7" s="69">
        <v>28</v>
      </c>
      <c r="M7" s="63">
        <f t="shared" si="5"/>
        <v>1512</v>
      </c>
      <c r="N7" s="63">
        <f t="shared" ca="1" si="6"/>
        <v>672</v>
      </c>
      <c r="O7" s="70">
        <f t="shared" ca="1" si="7"/>
        <v>30</v>
      </c>
      <c r="P7" s="57">
        <v>0</v>
      </c>
      <c r="Q7" s="57">
        <v>15</v>
      </c>
      <c r="R7" s="22">
        <v>4</v>
      </c>
      <c r="S7" s="22">
        <v>0</v>
      </c>
      <c r="T7" s="22">
        <v>0</v>
      </c>
      <c r="U7" s="22">
        <v>2</v>
      </c>
      <c r="V7" s="22">
        <v>2</v>
      </c>
      <c r="W7" s="22">
        <f ca="1">SUMIFS('Tổng Đơn'!$F:$F,'Tổng Đơn'!$B:$B,$C7)</f>
        <v>1</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18">
        <v>43.928571428571431</v>
      </c>
    </row>
    <row r="8" spans="1:51" ht="18.75" x14ac:dyDescent="0.25">
      <c r="A8" s="58">
        <f t="shared" ca="1" si="1"/>
        <v>163.68359227987926</v>
      </c>
      <c r="B8" s="6">
        <v>4</v>
      </c>
      <c r="C8" s="60" t="s">
        <v>177</v>
      </c>
      <c r="D8" s="68">
        <v>40</v>
      </c>
      <c r="E8" s="6">
        <v>0.5</v>
      </c>
      <c r="F8" s="6">
        <f>40+42+42+42+42+42+42+42</f>
        <v>334</v>
      </c>
      <c r="G8" s="237">
        <f t="shared" ref="G8:G12" si="10">D8/(1/E8)</f>
        <v>20</v>
      </c>
      <c r="H8" s="63">
        <f t="shared" si="2"/>
        <v>6680</v>
      </c>
      <c r="I8" s="64">
        <f t="shared" si="3"/>
        <v>0.46044903498490836</v>
      </c>
      <c r="J8" s="137">
        <f t="shared" si="4"/>
        <v>20.460449034984908</v>
      </c>
      <c r="K8" s="65">
        <f t="shared" si="9"/>
        <v>6833.789977684959</v>
      </c>
      <c r="L8" s="69">
        <v>26</v>
      </c>
      <c r="M8" s="63">
        <f t="shared" si="5"/>
        <v>8684</v>
      </c>
      <c r="N8" s="63">
        <f t="shared" ca="1" si="6"/>
        <v>8450</v>
      </c>
      <c r="O8" s="70">
        <f t="shared" ca="1" si="7"/>
        <v>8</v>
      </c>
      <c r="P8" s="57">
        <v>1</v>
      </c>
      <c r="Q8" s="57">
        <v>317</v>
      </c>
      <c r="R8" s="22">
        <v>4</v>
      </c>
      <c r="S8" s="22">
        <v>0</v>
      </c>
      <c r="T8" s="22">
        <v>0</v>
      </c>
      <c r="U8" s="22">
        <v>2</v>
      </c>
      <c r="V8" s="22">
        <v>1</v>
      </c>
      <c r="W8" s="22">
        <f ca="1">SUMIFS('Tổng Đơn'!$F:$F,'Tổng Đơn'!$B:$B,$C8)</f>
        <v>1</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18">
        <v>0</v>
      </c>
    </row>
    <row r="9" spans="1:51" ht="18.75" x14ac:dyDescent="0.25">
      <c r="A9" s="58">
        <f t="shared" ca="1" si="1"/>
        <v>2414.3201983475724</v>
      </c>
      <c r="B9" s="247">
        <v>5</v>
      </c>
      <c r="C9" s="60" t="s">
        <v>178</v>
      </c>
      <c r="D9" s="68">
        <v>45.825000000000003</v>
      </c>
      <c r="E9" s="6">
        <v>0.5</v>
      </c>
      <c r="F9" s="6">
        <v>171</v>
      </c>
      <c r="G9" s="237">
        <v>22.912500000000001</v>
      </c>
      <c r="H9" s="63">
        <f t="shared" si="2"/>
        <v>3918.0375000000004</v>
      </c>
      <c r="I9" s="64">
        <f t="shared" si="3"/>
        <v>0.52750192570458565</v>
      </c>
      <c r="J9" s="137">
        <f t="shared" si="4"/>
        <v>23.440001925704586</v>
      </c>
      <c r="K9" s="65">
        <f t="shared" si="9"/>
        <v>4008.2403292954841</v>
      </c>
      <c r="L9" s="69">
        <v>26</v>
      </c>
      <c r="M9" s="63">
        <f t="shared" si="5"/>
        <v>4446</v>
      </c>
      <c r="N9" s="63">
        <f t="shared" ca="1" si="6"/>
        <v>1768</v>
      </c>
      <c r="O9" s="70">
        <f t="shared" ca="1" si="7"/>
        <v>103</v>
      </c>
      <c r="P9" s="57">
        <v>0</v>
      </c>
      <c r="Q9" s="57">
        <v>37</v>
      </c>
      <c r="R9" s="22">
        <v>2</v>
      </c>
      <c r="S9" s="22">
        <v>1</v>
      </c>
      <c r="T9" s="22">
        <v>4</v>
      </c>
      <c r="U9" s="22">
        <v>4</v>
      </c>
      <c r="V9" s="22">
        <v>10</v>
      </c>
      <c r="W9" s="22">
        <f ca="1">SUMIFS('Tổng Đơn'!$F:$F,'Tổng Đơn'!$B:$B,$C9)</f>
        <v>10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40</v>
      </c>
      <c r="AX9" s="58">
        <f t="shared" si="8"/>
        <v>916.5</v>
      </c>
      <c r="AY9" s="218">
        <v>45.825000000000003</v>
      </c>
    </row>
    <row r="10" spans="1:51" ht="18.75" x14ac:dyDescent="0.25">
      <c r="A10" s="58">
        <f ca="1">J10*O10</f>
        <v>3040.0135176180574</v>
      </c>
      <c r="B10" s="6">
        <v>6</v>
      </c>
      <c r="C10" s="60" t="s">
        <v>179</v>
      </c>
      <c r="D10" s="68">
        <f>68*19/20</f>
        <v>64.599999999999994</v>
      </c>
      <c r="E10" s="6">
        <v>0.5</v>
      </c>
      <c r="F10" s="6">
        <f>120+40+80+80+160</f>
        <v>480</v>
      </c>
      <c r="G10" s="237">
        <f t="shared" ref="G10" si="11">D10/(1/E10)</f>
        <v>32.299999999999997</v>
      </c>
      <c r="H10" s="63">
        <f t="shared" ref="H10" si="12">G10*F10</f>
        <v>15503.999999999998</v>
      </c>
      <c r="I10" s="64">
        <f t="shared" ref="I10" si="13">((H10/$H$4)*$A$2)/F10</f>
        <v>0.74362519150062689</v>
      </c>
      <c r="J10" s="137">
        <f t="shared" ref="J10" si="14">G10+I10</f>
        <v>33.043625191500624</v>
      </c>
      <c r="K10" s="65">
        <f t="shared" ref="K10" si="15">J10*F10</f>
        <v>15860.9400919203</v>
      </c>
      <c r="L10" s="69">
        <v>37</v>
      </c>
      <c r="M10" s="63">
        <f t="shared" ref="M10" si="16">L10*F10</f>
        <v>17760</v>
      </c>
      <c r="N10" s="63">
        <f t="shared" ca="1" si="6"/>
        <v>14393</v>
      </c>
      <c r="O10" s="70">
        <f t="shared" ca="1" si="7"/>
        <v>92</v>
      </c>
      <c r="P10" s="57">
        <v>-1</v>
      </c>
      <c r="Q10" s="57">
        <v>341</v>
      </c>
      <c r="R10" s="22">
        <v>11</v>
      </c>
      <c r="S10" s="22">
        <v>1</v>
      </c>
      <c r="T10" s="22">
        <v>13</v>
      </c>
      <c r="U10" s="22">
        <v>2</v>
      </c>
      <c r="V10" s="22">
        <v>1</v>
      </c>
      <c r="W10" s="22">
        <f ca="1">SUMIFS('Tổng Đơn'!$F:$F,'Tổng Đơn'!$B:$B,$C10)</f>
        <v>20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40</v>
      </c>
      <c r="AX10" s="58">
        <f t="shared" ref="AX10" si="17">AW10*AY10/2</f>
        <v>1292</v>
      </c>
      <c r="AY10" s="218">
        <v>64.599999999999994</v>
      </c>
    </row>
    <row r="11" spans="1:51" ht="18.75" x14ac:dyDescent="0.25">
      <c r="A11" s="58">
        <f t="shared" ca="1" si="1"/>
        <v>906.76990041410409</v>
      </c>
      <c r="B11" s="6">
        <v>7</v>
      </c>
      <c r="C11" s="60" t="s">
        <v>180</v>
      </c>
      <c r="D11" s="68">
        <f>(75*20)/22</f>
        <v>68.181818181818187</v>
      </c>
      <c r="E11" s="6">
        <v>0.5</v>
      </c>
      <c r="F11" s="6">
        <f>44+44+88+40+40+40+40+40+40+40</f>
        <v>456</v>
      </c>
      <c r="G11" s="237">
        <f t="shared" si="10"/>
        <v>34.090909090909093</v>
      </c>
      <c r="H11" s="63">
        <f t="shared" si="2"/>
        <v>15545.454545454546</v>
      </c>
      <c r="I11" s="64">
        <f t="shared" si="3"/>
        <v>0.7848563096333665</v>
      </c>
      <c r="J11" s="137">
        <f t="shared" si="4"/>
        <v>34.875765400542463</v>
      </c>
      <c r="K11" s="65">
        <f t="shared" si="9"/>
        <v>15903.349022647362</v>
      </c>
      <c r="L11" s="69">
        <v>40</v>
      </c>
      <c r="M11" s="63">
        <f t="shared" si="5"/>
        <v>18240</v>
      </c>
      <c r="N11" s="63">
        <f t="shared" ca="1" si="6"/>
        <v>16840</v>
      </c>
      <c r="O11" s="70">
        <f t="shared" ca="1" si="7"/>
        <v>26</v>
      </c>
      <c r="P11" s="57">
        <f>1+1+7</f>
        <v>9</v>
      </c>
      <c r="Q11" s="57">
        <v>415</v>
      </c>
      <c r="R11" s="22">
        <v>4</v>
      </c>
      <c r="S11" s="22">
        <v>0</v>
      </c>
      <c r="T11" s="22">
        <v>1</v>
      </c>
      <c r="U11" s="22">
        <v>1</v>
      </c>
      <c r="V11" s="22">
        <v>0</v>
      </c>
      <c r="W11" s="22">
        <f ca="1">SUMIFS('Tổng Đơn'!$F:$F,'Tổng Đơn'!$B:$B,$C11)</f>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794.88844500916377</v>
      </c>
      <c r="B12" s="6">
        <v>8</v>
      </c>
      <c r="C12" s="60" t="s">
        <v>181</v>
      </c>
      <c r="D12" s="68">
        <v>74</v>
      </c>
      <c r="E12" s="6">
        <v>0.5</v>
      </c>
      <c r="F12" s="6">
        <f>80+80+40+40+40+40+40+40+40+3+6+6</f>
        <v>455</v>
      </c>
      <c r="G12" s="237">
        <f t="shared" si="10"/>
        <v>37</v>
      </c>
      <c r="H12" s="63">
        <f t="shared" si="2"/>
        <v>16835</v>
      </c>
      <c r="I12" s="64">
        <f t="shared" si="3"/>
        <v>0.8518307147220805</v>
      </c>
      <c r="J12" s="137">
        <f t="shared" si="4"/>
        <v>37.851830714722084</v>
      </c>
      <c r="K12" s="65">
        <f t="shared" si="9"/>
        <v>17222.582975198548</v>
      </c>
      <c r="L12" s="69">
        <v>43</v>
      </c>
      <c r="M12" s="63">
        <f t="shared" si="5"/>
        <v>19565</v>
      </c>
      <c r="N12" s="63">
        <f t="shared" ca="1" si="6"/>
        <v>18705</v>
      </c>
      <c r="O12" s="70">
        <f t="shared" ca="1" si="7"/>
        <v>21</v>
      </c>
      <c r="P12" s="57">
        <v>-1</v>
      </c>
      <c r="Q12" s="57">
        <v>432</v>
      </c>
      <c r="R12" s="22">
        <v>2</v>
      </c>
      <c r="S12" s="22">
        <v>0</v>
      </c>
      <c r="T12" s="22">
        <v>1</v>
      </c>
      <c r="U12" s="22">
        <v>0</v>
      </c>
      <c r="V12" s="22">
        <v>0</v>
      </c>
      <c r="W12" s="22">
        <f ca="1">SUMIFS('Tổng Đơn'!$F:$F,'Tổng Đơn'!$B:$B,$C12)</f>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2.1471292648022854E-3</v>
      </c>
      <c r="B13" s="248" t="s">
        <v>303</v>
      </c>
      <c r="C13" s="249" t="s">
        <v>177</v>
      </c>
      <c r="D13" s="250">
        <f>43*20.5/21</f>
        <v>41.976190476190474</v>
      </c>
      <c r="E13" s="251">
        <v>0.5</v>
      </c>
      <c r="F13" s="252">
        <v>1E-4</v>
      </c>
      <c r="G13" s="253">
        <f t="shared" ref="G13:G15" si="18">D13/2</f>
        <v>20.988095238095237</v>
      </c>
      <c r="H13" s="249">
        <f t="shared" ref="H13:H15" si="19">G13*F13</f>
        <v>2.0988095238095236E-3</v>
      </c>
      <c r="I13" s="249">
        <f t="shared" ref="I13:I15" si="20">((H13/$H$4)*$A$2)/F13</f>
        <v>0.48319740992761517</v>
      </c>
      <c r="J13" s="253">
        <f t="shared" ref="J13:J15" si="21">G13+I13</f>
        <v>21.471292648022853</v>
      </c>
      <c r="K13" s="249">
        <f t="shared" ref="K13:K15" si="22">J13*F13</f>
        <v>2.1471292648022854E-3</v>
      </c>
      <c r="L13" s="254">
        <v>28</v>
      </c>
      <c r="M13" s="240">
        <f t="shared" ref="M13:M15" si="23">L13*F13</f>
        <v>2.8E-3</v>
      </c>
      <c r="N13" s="240">
        <f t="shared" si="6"/>
        <v>0</v>
      </c>
      <c r="O13" s="70">
        <f t="shared" si="7"/>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42</v>
      </c>
      <c r="AX13" s="58">
        <f t="shared" ref="AX13:AX15" si="24">AW13*AY13/2</f>
        <v>881.5</v>
      </c>
      <c r="AY13" s="218">
        <v>41.976190476190474</v>
      </c>
    </row>
    <row r="14" spans="1:51" ht="18.75" x14ac:dyDescent="0.25">
      <c r="A14" s="58">
        <f t="shared" si="1"/>
        <v>3.7417046172728654E-3</v>
      </c>
      <c r="B14" s="248" t="s">
        <v>303</v>
      </c>
      <c r="C14" s="249" t="s">
        <v>180</v>
      </c>
      <c r="D14" s="250">
        <f>77*19/20</f>
        <v>73.150000000000006</v>
      </c>
      <c r="E14" s="251">
        <v>0.5</v>
      </c>
      <c r="F14" s="252">
        <v>1E-4</v>
      </c>
      <c r="G14" s="253">
        <f t="shared" si="18"/>
        <v>36.575000000000003</v>
      </c>
      <c r="H14" s="249">
        <f t="shared" si="19"/>
        <v>3.6575000000000006E-3</v>
      </c>
      <c r="I14" s="249">
        <f t="shared" si="20"/>
        <v>0.84204617272865134</v>
      </c>
      <c r="J14" s="253">
        <f t="shared" si="21"/>
        <v>37.417046172728654</v>
      </c>
      <c r="K14" s="249">
        <f t="shared" si="22"/>
        <v>3.7417046172728654E-3</v>
      </c>
      <c r="L14" s="254">
        <v>42</v>
      </c>
      <c r="M14" s="240">
        <f t="shared" si="23"/>
        <v>4.2000000000000006E-3</v>
      </c>
      <c r="N14" s="240">
        <f t="shared" si="6"/>
        <v>0</v>
      </c>
      <c r="O14" s="70">
        <f t="shared" si="7"/>
        <v>1E-4</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4"/>
        <v>0</v>
      </c>
      <c r="AY14" s="218">
        <v>73.150000000000006</v>
      </c>
    </row>
    <row r="15" spans="1:51" ht="18.75" x14ac:dyDescent="0.25">
      <c r="A15" s="58">
        <f t="shared" si="1"/>
        <v>3.9897875618220575E-3</v>
      </c>
      <c r="B15" s="248" t="s">
        <v>303</v>
      </c>
      <c r="C15" s="249" t="s">
        <v>181</v>
      </c>
      <c r="D15" s="250">
        <v>78</v>
      </c>
      <c r="E15" s="251">
        <v>0.5</v>
      </c>
      <c r="F15" s="252">
        <v>1E-4</v>
      </c>
      <c r="G15" s="253">
        <f t="shared" si="18"/>
        <v>39</v>
      </c>
      <c r="H15" s="249">
        <f t="shared" si="19"/>
        <v>3.9000000000000003E-3</v>
      </c>
      <c r="I15" s="249">
        <f t="shared" si="20"/>
        <v>0.89787561822057138</v>
      </c>
      <c r="J15" s="253">
        <f t="shared" si="21"/>
        <v>39.897875618220574</v>
      </c>
      <c r="K15" s="249">
        <f t="shared" si="22"/>
        <v>3.9897875618220575E-3</v>
      </c>
      <c r="L15" s="254">
        <v>45</v>
      </c>
      <c r="M15" s="240">
        <f t="shared" si="23"/>
        <v>4.5000000000000005E-3</v>
      </c>
      <c r="N15" s="240">
        <f t="shared" si="6"/>
        <v>0</v>
      </c>
      <c r="O15" s="70">
        <f t="shared" si="7"/>
        <v>1E-4</v>
      </c>
      <c r="P15" s="249">
        <v>0</v>
      </c>
      <c r="Q15" s="249">
        <v>0</v>
      </c>
      <c r="R15" s="249"/>
      <c r="S15" s="249"/>
      <c r="T15" s="249"/>
      <c r="U15" s="249"/>
      <c r="V15" s="249"/>
      <c r="W15" s="249"/>
      <c r="X15" s="249"/>
      <c r="Y15" s="249"/>
      <c r="Z15" s="249"/>
      <c r="AA15" s="249"/>
      <c r="AB15" s="249"/>
      <c r="AC15" s="249"/>
      <c r="AD15" s="249"/>
      <c r="AE15" s="249"/>
      <c r="AF15" s="249"/>
      <c r="AG15" s="249"/>
      <c r="AH15" s="249"/>
      <c r="AI15" s="249"/>
      <c r="AJ15" s="249"/>
      <c r="AK15" s="249"/>
      <c r="AL15" s="249"/>
      <c r="AM15" s="249"/>
      <c r="AN15" s="249"/>
      <c r="AO15" s="249"/>
      <c r="AP15" s="249"/>
      <c r="AQ15" s="249"/>
      <c r="AR15" s="249"/>
      <c r="AS15" s="249"/>
      <c r="AT15" s="249"/>
      <c r="AU15" s="249"/>
      <c r="AV15" s="249"/>
      <c r="AW15" s="58">
        <v>40</v>
      </c>
      <c r="AX15" s="58">
        <f t="shared" si="24"/>
        <v>1560</v>
      </c>
      <c r="AY15" s="218">
        <v>78</v>
      </c>
    </row>
    <row r="16" spans="1:51" x14ac:dyDescent="0.25">
      <c r="B16" s="26"/>
      <c r="C16" s="240"/>
      <c r="D16" s="246"/>
      <c r="E16" s="240"/>
      <c r="F16" s="240"/>
      <c r="G16" s="240"/>
      <c r="H16" s="240"/>
      <c r="I16" s="240"/>
      <c r="J16" s="240"/>
      <c r="K16" s="240"/>
      <c r="L16" s="240"/>
      <c r="M16" s="240"/>
      <c r="N16" s="240"/>
      <c r="O16" s="240"/>
      <c r="P16" s="240"/>
      <c r="Q16" s="240"/>
      <c r="R16" s="240"/>
      <c r="S16" s="240"/>
      <c r="T16" s="240"/>
      <c r="U16" s="240"/>
      <c r="V16" s="240"/>
      <c r="W16" s="240"/>
      <c r="X16" s="240"/>
      <c r="Y16" s="240"/>
      <c r="Z16" s="240"/>
      <c r="AA16" s="240"/>
      <c r="AB16" s="240"/>
      <c r="AC16" s="240"/>
      <c r="AD16" s="240"/>
      <c r="AE16" s="240"/>
      <c r="AF16" s="240"/>
      <c r="AG16" s="240"/>
      <c r="AH16" s="240"/>
      <c r="AI16" s="240"/>
      <c r="AJ16" s="240"/>
      <c r="AK16" s="240"/>
      <c r="AL16" s="240"/>
      <c r="AM16" s="240"/>
      <c r="AN16" s="240"/>
      <c r="AO16" s="240"/>
      <c r="AP16" s="240"/>
      <c r="AQ16" s="240"/>
      <c r="AR16" s="240"/>
      <c r="AS16" s="240"/>
      <c r="AT16" s="240"/>
      <c r="AU16" s="240"/>
      <c r="AV16" s="240"/>
      <c r="AY16" s="218"/>
    </row>
    <row r="17" spans="1:48" ht="18.75" x14ac:dyDescent="0.25">
      <c r="A17" s="58">
        <v>0</v>
      </c>
      <c r="B17" s="186" t="s">
        <v>303</v>
      </c>
      <c r="C17" s="185" t="s">
        <v>304</v>
      </c>
      <c r="D17" s="187">
        <v>38</v>
      </c>
      <c r="E17" s="186">
        <v>0.5</v>
      </c>
      <c r="F17" s="186">
        <v>10497</v>
      </c>
      <c r="G17" s="241">
        <v>19</v>
      </c>
      <c r="H17" s="191">
        <v>199443</v>
      </c>
      <c r="I17" s="189">
        <v>0.4369680919381802</v>
      </c>
      <c r="J17" s="202">
        <v>19.43696809193818</v>
      </c>
      <c r="K17" s="185">
        <v>204029.85406107508</v>
      </c>
      <c r="L17" s="197">
        <v>23</v>
      </c>
      <c r="M17" s="191">
        <v>241431</v>
      </c>
      <c r="N17" s="191">
        <v>241247</v>
      </c>
      <c r="O17" s="203">
        <v>0</v>
      </c>
      <c r="P17" s="124">
        <v>8</v>
      </c>
      <c r="Q17" s="124">
        <f>9664</f>
        <v>9664</v>
      </c>
      <c r="R17" s="204">
        <v>84</v>
      </c>
      <c r="S17" s="204">
        <v>4</v>
      </c>
      <c r="T17" s="204">
        <v>57</v>
      </c>
      <c r="U17" s="204">
        <v>4</v>
      </c>
      <c r="V17" s="204">
        <v>110</v>
      </c>
      <c r="W17" s="204">
        <v>43</v>
      </c>
      <c r="X17" s="204">
        <v>29</v>
      </c>
      <c r="Y17" s="204">
        <v>18</v>
      </c>
      <c r="Z17" s="204">
        <v>21</v>
      </c>
      <c r="AA17" s="204">
        <v>14</v>
      </c>
      <c r="AB17" s="204">
        <v>45</v>
      </c>
      <c r="AC17" s="204">
        <v>13</v>
      </c>
      <c r="AD17" s="204">
        <v>7</v>
      </c>
      <c r="AE17" s="204">
        <v>76</v>
      </c>
      <c r="AF17" s="204">
        <v>22</v>
      </c>
      <c r="AG17" s="204">
        <v>18</v>
      </c>
      <c r="AH17" s="204">
        <v>33</v>
      </c>
      <c r="AI17" s="204">
        <v>30</v>
      </c>
      <c r="AJ17" s="204">
        <v>32</v>
      </c>
      <c r="AK17" s="204">
        <v>14</v>
      </c>
      <c r="AL17" s="204">
        <v>56</v>
      </c>
      <c r="AM17" s="204">
        <v>17</v>
      </c>
      <c r="AN17" s="204">
        <v>26</v>
      </c>
      <c r="AO17" s="204">
        <v>24</v>
      </c>
      <c r="AP17" s="204">
        <v>28</v>
      </c>
      <c r="AQ17" s="204">
        <v>0</v>
      </c>
      <c r="AR17" s="204">
        <v>0</v>
      </c>
      <c r="AS17" s="204">
        <v>0</v>
      </c>
      <c r="AT17" s="204">
        <v>0</v>
      </c>
      <c r="AU17" s="204">
        <v>0</v>
      </c>
      <c r="AV17" s="204">
        <v>0</v>
      </c>
    </row>
    <row r="18" spans="1:48" ht="18.75" x14ac:dyDescent="0.25">
      <c r="A18" s="58">
        <v>0</v>
      </c>
      <c r="B18" s="186" t="s">
        <v>303</v>
      </c>
      <c r="C18" s="185" t="s">
        <v>305</v>
      </c>
      <c r="D18" s="187">
        <v>42</v>
      </c>
      <c r="E18" s="186">
        <v>0.5</v>
      </c>
      <c r="F18" s="186">
        <v>193</v>
      </c>
      <c r="G18" s="241">
        <v>21</v>
      </c>
      <c r="H18" s="191">
        <v>4053</v>
      </c>
      <c r="I18" s="189">
        <v>0.4829647331948308</v>
      </c>
      <c r="J18" s="202">
        <v>21.48296473319483</v>
      </c>
      <c r="K18" s="185">
        <v>4146.2121935066025</v>
      </c>
      <c r="L18" s="197">
        <v>26</v>
      </c>
      <c r="M18" s="191">
        <v>5018</v>
      </c>
      <c r="N18" s="191">
        <v>4992</v>
      </c>
      <c r="O18" s="203">
        <v>0</v>
      </c>
      <c r="P18" s="124">
        <v>1</v>
      </c>
      <c r="Q18" s="124">
        <v>166</v>
      </c>
      <c r="R18" s="204">
        <v>0</v>
      </c>
      <c r="S18" s="204">
        <v>0</v>
      </c>
      <c r="T18" s="204">
        <v>6</v>
      </c>
      <c r="U18" s="204">
        <v>0</v>
      </c>
      <c r="V18" s="204">
        <v>0</v>
      </c>
      <c r="W18" s="204">
        <v>2</v>
      </c>
      <c r="X18" s="204">
        <v>0</v>
      </c>
      <c r="Y18" s="204">
        <v>0</v>
      </c>
      <c r="Z18" s="204">
        <v>6</v>
      </c>
      <c r="AA18" s="204">
        <v>4</v>
      </c>
      <c r="AB18" s="204">
        <v>6</v>
      </c>
      <c r="AC18" s="204">
        <v>0</v>
      </c>
      <c r="AD18" s="204">
        <v>0</v>
      </c>
      <c r="AE18" s="204">
        <v>0</v>
      </c>
      <c r="AF18" s="204">
        <v>2</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303</v>
      </c>
      <c r="C19" s="185" t="s">
        <v>306</v>
      </c>
      <c r="D19" s="187">
        <v>42</v>
      </c>
      <c r="E19" s="186">
        <v>0.5</v>
      </c>
      <c r="F19" s="186">
        <v>490</v>
      </c>
      <c r="G19" s="241">
        <v>21</v>
      </c>
      <c r="H19" s="191">
        <v>10290</v>
      </c>
      <c r="I19" s="189">
        <v>0.4829647331948308</v>
      </c>
      <c r="J19" s="202">
        <v>21.48296473319483</v>
      </c>
      <c r="K19" s="185">
        <v>10526.652719265467</v>
      </c>
      <c r="L19" s="197">
        <v>26</v>
      </c>
      <c r="M19" s="191">
        <v>12740</v>
      </c>
      <c r="N19" s="191">
        <v>12688</v>
      </c>
      <c r="O19" s="203">
        <v>0</v>
      </c>
      <c r="P19" s="124">
        <v>2</v>
      </c>
      <c r="Q19" s="124">
        <v>457</v>
      </c>
      <c r="R19" s="204">
        <v>0</v>
      </c>
      <c r="S19" s="204">
        <v>0</v>
      </c>
      <c r="T19" s="204">
        <v>1</v>
      </c>
      <c r="U19" s="204">
        <v>0</v>
      </c>
      <c r="V19" s="204">
        <v>11</v>
      </c>
      <c r="W19" s="204">
        <v>4</v>
      </c>
      <c r="X19" s="204">
        <v>0</v>
      </c>
      <c r="Y19" s="204">
        <v>0</v>
      </c>
      <c r="Z19" s="204">
        <v>2</v>
      </c>
      <c r="AA19" s="204">
        <v>1</v>
      </c>
      <c r="AB19" s="204">
        <v>1</v>
      </c>
      <c r="AC19" s="204">
        <v>0</v>
      </c>
      <c r="AD19" s="204">
        <v>0</v>
      </c>
      <c r="AE19" s="204">
        <v>2</v>
      </c>
      <c r="AF19" s="204">
        <v>0</v>
      </c>
      <c r="AG19" s="204">
        <v>1</v>
      </c>
      <c r="AH19" s="204">
        <v>6</v>
      </c>
      <c r="AI19" s="204">
        <v>1</v>
      </c>
      <c r="AJ19" s="204">
        <v>0</v>
      </c>
      <c r="AK19" s="204">
        <v>0</v>
      </c>
      <c r="AL19" s="204">
        <v>0</v>
      </c>
      <c r="AM19" s="204">
        <v>0</v>
      </c>
      <c r="AN19" s="204">
        <v>0</v>
      </c>
      <c r="AO19" s="204">
        <v>1</v>
      </c>
      <c r="AP19" s="204">
        <v>0</v>
      </c>
      <c r="AQ19" s="204">
        <v>0</v>
      </c>
      <c r="AR19" s="204">
        <v>0</v>
      </c>
      <c r="AS19" s="204">
        <v>0</v>
      </c>
      <c r="AT19" s="204">
        <v>0</v>
      </c>
      <c r="AU19" s="204">
        <v>0</v>
      </c>
      <c r="AV19" s="204">
        <v>0</v>
      </c>
    </row>
    <row r="20" spans="1:48" ht="18.75" x14ac:dyDescent="0.25">
      <c r="A20" s="58">
        <v>0</v>
      </c>
      <c r="B20" s="186" t="s">
        <v>303</v>
      </c>
      <c r="C20" s="185" t="s">
        <v>307</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339" priority="8">
      <formula>($O6/$O6)&lt;=1/4</formula>
    </cfRule>
  </conditionalFormatting>
  <conditionalFormatting sqref="C5:C12">
    <cfRule type="expression" dxfId="338"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83" t="s">
        <v>89</v>
      </c>
      <c r="M1" s="283" t="s">
        <v>90</v>
      </c>
      <c r="N1" s="281" t="s">
        <v>16</v>
      </c>
      <c r="O1" s="281"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82">
        <v>1</v>
      </c>
      <c r="M2" s="282" t="s">
        <v>91</v>
      </c>
      <c r="N2" s="285" t="s">
        <v>224</v>
      </c>
      <c r="O2" s="286">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82">
        <v>2</v>
      </c>
      <c r="M3" s="282" t="s">
        <v>92</v>
      </c>
      <c r="N3" s="285" t="s">
        <v>276</v>
      </c>
      <c r="O3" s="286">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82">
        <v>3</v>
      </c>
      <c r="M4" s="282" t="s">
        <v>93</v>
      </c>
      <c r="N4" s="285" t="s">
        <v>275</v>
      </c>
      <c r="O4" s="286">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82">
        <v>4</v>
      </c>
      <c r="M5" s="284" t="s">
        <v>94</v>
      </c>
      <c r="N5" s="285" t="s">
        <v>300</v>
      </c>
      <c r="O5" s="286">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82">
        <v>5</v>
      </c>
      <c r="M6" s="284" t="s">
        <v>95</v>
      </c>
      <c r="N6" s="285" t="s">
        <v>27</v>
      </c>
      <c r="O6" s="287">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82">
        <v>6</v>
      </c>
      <c r="M7" s="284" t="s">
        <v>96</v>
      </c>
      <c r="N7" s="285" t="s">
        <v>25</v>
      </c>
      <c r="O7" s="287">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82">
        <v>7</v>
      </c>
      <c r="M8" s="284" t="s">
        <v>97</v>
      </c>
      <c r="N8" s="285" t="s">
        <v>128</v>
      </c>
      <c r="O8" s="286">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82">
        <v>8</v>
      </c>
      <c r="M9" s="284" t="s">
        <v>98</v>
      </c>
      <c r="N9" s="285" t="s">
        <v>50</v>
      </c>
      <c r="O9" s="286">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82">
        <v>9</v>
      </c>
      <c r="M10" s="284" t="s">
        <v>99</v>
      </c>
      <c r="N10" s="285" t="s">
        <v>31</v>
      </c>
      <c r="O10" s="286">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82">
        <v>10</v>
      </c>
      <c r="M11" s="284" t="s">
        <v>56</v>
      </c>
      <c r="N11" s="285" t="s">
        <v>28</v>
      </c>
      <c r="O11" s="286">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82">
        <v>11</v>
      </c>
      <c r="M12" s="284" t="s">
        <v>57</v>
      </c>
      <c r="N12" s="285" t="s">
        <v>30</v>
      </c>
      <c r="O12" s="286">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82">
        <v>12</v>
      </c>
      <c r="M13" s="284" t="s">
        <v>58</v>
      </c>
      <c r="N13" s="285" t="s">
        <v>29</v>
      </c>
      <c r="O13" s="286">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82">
        <v>13</v>
      </c>
      <c r="M14" s="284" t="s">
        <v>59</v>
      </c>
      <c r="N14" s="285" t="s">
        <v>5</v>
      </c>
      <c r="O14" s="286">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82">
        <v>14</v>
      </c>
      <c r="M15" s="284" t="s">
        <v>60</v>
      </c>
      <c r="N15" s="285" t="s">
        <v>4</v>
      </c>
      <c r="O15" s="286">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82">
        <v>15</v>
      </c>
      <c r="M16" s="284" t="s">
        <v>61</v>
      </c>
      <c r="N16" s="285" t="s">
        <v>8</v>
      </c>
      <c r="O16" s="286">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82">
        <v>16</v>
      </c>
      <c r="M17" s="284" t="s">
        <v>62</v>
      </c>
      <c r="N17" s="285" t="s">
        <v>13</v>
      </c>
      <c r="O17" s="286">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82">
        <v>17</v>
      </c>
      <c r="M18" s="284" t="s">
        <v>63</v>
      </c>
      <c r="N18" s="285" t="s">
        <v>225</v>
      </c>
      <c r="O18" s="286">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82">
        <v>18</v>
      </c>
      <c r="M19" s="284" t="s">
        <v>64</v>
      </c>
      <c r="N19" s="285" t="s">
        <v>26</v>
      </c>
      <c r="O19" s="286">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82">
        <v>19</v>
      </c>
      <c r="M20" s="284" t="s">
        <v>65</v>
      </c>
      <c r="N20" s="285" t="s">
        <v>223</v>
      </c>
      <c r="O20" s="286">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82">
        <v>20</v>
      </c>
      <c r="M21" s="284" t="s">
        <v>66</v>
      </c>
      <c r="N21" s="285" t="s">
        <v>190</v>
      </c>
      <c r="O21" s="286">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82">
        <v>21</v>
      </c>
      <c r="M22" s="284" t="s">
        <v>67</v>
      </c>
      <c r="N22" s="285" t="s">
        <v>114</v>
      </c>
      <c r="O22" s="286">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82">
        <v>22</v>
      </c>
      <c r="M23" s="284" t="s">
        <v>68</v>
      </c>
      <c r="N23" s="285" t="s">
        <v>116</v>
      </c>
      <c r="O23" s="286">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82">
        <v>23</v>
      </c>
      <c r="M24" s="284" t="s">
        <v>69</v>
      </c>
      <c r="N24" s="285" t="s">
        <v>253</v>
      </c>
      <c r="O24" s="286">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82">
        <v>24</v>
      </c>
      <c r="M25" s="284" t="s">
        <v>70</v>
      </c>
      <c r="N25" s="285" t="s">
        <v>267</v>
      </c>
      <c r="O25" s="286">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82">
        <v>25</v>
      </c>
      <c r="M26" s="284" t="s">
        <v>71</v>
      </c>
      <c r="N26" s="285" t="s">
        <v>136</v>
      </c>
      <c r="O26" s="286">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82">
        <v>26</v>
      </c>
      <c r="M27" s="284" t="s">
        <v>72</v>
      </c>
      <c r="N27" s="285" t="s">
        <v>221</v>
      </c>
      <c r="O27" s="286">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82">
        <v>27</v>
      </c>
      <c r="M28" s="284" t="s">
        <v>73</v>
      </c>
      <c r="N28" s="285" t="s">
        <v>138</v>
      </c>
      <c r="O28" s="286">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82">
        <v>28</v>
      </c>
      <c r="M29" s="284" t="s">
        <v>74</v>
      </c>
      <c r="N29" s="285" t="s">
        <v>139</v>
      </c>
      <c r="O29" s="286">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82">
        <v>29</v>
      </c>
      <c r="M30" s="284" t="s">
        <v>75</v>
      </c>
      <c r="N30" s="285" t="s">
        <v>143</v>
      </c>
      <c r="O30" s="286">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82">
        <v>30</v>
      </c>
      <c r="M31" s="284" t="s">
        <v>76</v>
      </c>
      <c r="N31" s="285" t="s">
        <v>155</v>
      </c>
      <c r="O31" s="286">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82">
        <v>31</v>
      </c>
      <c r="M32" s="284" t="s">
        <v>77</v>
      </c>
      <c r="N32" s="285" t="s">
        <v>157</v>
      </c>
      <c r="O32" s="286">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82">
        <v>32</v>
      </c>
      <c r="M33" s="284" t="s">
        <v>78</v>
      </c>
      <c r="N33" s="285" t="s">
        <v>159</v>
      </c>
      <c r="O33" s="286">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82">
        <v>33</v>
      </c>
      <c r="M34" s="284" t="s">
        <v>79</v>
      </c>
      <c r="N34" s="285" t="s">
        <v>182</v>
      </c>
      <c r="O34" s="286">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82">
        <v>34</v>
      </c>
      <c r="M35" s="284" t="s">
        <v>80</v>
      </c>
      <c r="N35" s="285" t="s">
        <v>174</v>
      </c>
      <c r="O35" s="286">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82">
        <v>35</v>
      </c>
      <c r="M36" s="284" t="s">
        <v>81</v>
      </c>
      <c r="N36" s="285" t="s">
        <v>175</v>
      </c>
      <c r="O36" s="286">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82">
        <v>36</v>
      </c>
      <c r="M37" s="284" t="s">
        <v>82</v>
      </c>
      <c r="N37" s="285" t="s">
        <v>176</v>
      </c>
      <c r="O37" s="286">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82">
        <v>37</v>
      </c>
      <c r="M38" s="284" t="s">
        <v>83</v>
      </c>
      <c r="N38" s="285" t="s">
        <v>177</v>
      </c>
      <c r="O38" s="286">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82">
        <v>38</v>
      </c>
      <c r="M39" s="284" t="s">
        <v>84</v>
      </c>
      <c r="N39" s="285" t="s">
        <v>178</v>
      </c>
      <c r="O39" s="286">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82">
        <v>39</v>
      </c>
      <c r="M40" s="284" t="s">
        <v>85</v>
      </c>
      <c r="N40" s="285" t="s">
        <v>179</v>
      </c>
      <c r="O40" s="286">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82">
        <v>40</v>
      </c>
      <c r="M41" s="284" t="s">
        <v>86</v>
      </c>
      <c r="N41" s="285" t="s">
        <v>180</v>
      </c>
      <c r="O41" s="286">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82">
        <v>41</v>
      </c>
      <c r="M42" s="284" t="s">
        <v>87</v>
      </c>
      <c r="N42" s="285" t="s">
        <v>181</v>
      </c>
      <c r="O42" s="286">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82">
        <v>42</v>
      </c>
      <c r="M43" s="284" t="s">
        <v>88</v>
      </c>
      <c r="N43" s="285" t="s">
        <v>226</v>
      </c>
      <c r="O43" s="286">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82" t="s">
        <v>161</v>
      </c>
      <c r="M44" s="284" t="s">
        <v>162</v>
      </c>
      <c r="N44" s="285" t="s">
        <v>270</v>
      </c>
      <c r="O44" s="286">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84" t="s">
        <v>277</v>
      </c>
      <c r="M45" s="284" t="s">
        <v>282</v>
      </c>
      <c r="N45" s="285" t="s">
        <v>271</v>
      </c>
      <c r="O45" s="286">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84" t="s">
        <v>278</v>
      </c>
      <c r="M46" s="284" t="s">
        <v>283</v>
      </c>
      <c r="N46" s="285" t="s">
        <v>272</v>
      </c>
      <c r="O46" s="286">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84" t="s">
        <v>279</v>
      </c>
      <c r="M47" s="284" t="s">
        <v>284</v>
      </c>
      <c r="N47" s="285" t="s">
        <v>286</v>
      </c>
      <c r="O47" s="286">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84" t="s">
        <v>280</v>
      </c>
      <c r="M48" s="284" t="s">
        <v>285</v>
      </c>
      <c r="N48" s="285" t="s">
        <v>273</v>
      </c>
      <c r="O48" s="286">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84" t="s">
        <v>281</v>
      </c>
      <c r="M49" s="284" t="s">
        <v>287</v>
      </c>
      <c r="N49" s="285" t="s">
        <v>274</v>
      </c>
      <c r="O49" s="286">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4">
        <f ca="1">'Quốc Nhân'!N4+'La Cusina'!N4+TVP!M4+Gà!N4+Kitkool!N4-('Quốc Nhân'!K4+'La Cusina'!K4+TVP!J4+Gà!K4+Kitkool!K4-('Quốc Nhân'!A4+'La Cusina'!A4+TVP!A4+Gà!A4+Kitkool!A4))</f>
        <v>157244.45286649361</v>
      </c>
      <c r="B1" s="270" t="str">
        <f>"Tiền Hàng: "&amp;INT('Quốc Nhân'!K4+'La Cusina'!K4+TVP!J4+Gà!K4+Kitkool!K4)</f>
        <v>Tiền Hàng: 1048690</v>
      </c>
      <c r="C1" s="269" t="str">
        <f ca="1">"Giá trị hàng Tồn: "&amp;INT('Quốc Nhân'!A4+'La Cusina'!A4+TVP!A4+Gà!A4+Kitkool!A4)</f>
        <v>Giá trị hàng Tồn: 47370</v>
      </c>
      <c r="D1" s="268" t="str">
        <f ca="1">"Giá trị Hàng xuất: "&amp;CHAR(10)&amp;INT('Quốc Nhân'!K4+'La Cusina'!K4+TVP!J4+Gà!K4+Kitkool!K4-('Quốc Nhân'!A4+'La Cusina'!A4+TVP!A4+Gà!A4+Kitkool!A4))</f>
        <v>Giá trị Hàng xuất: 
1001319</v>
      </c>
      <c r="E1" s="271" t="str">
        <f ca="1">"Doanh Thu Tích Lũy: "&amp;INT('Quốc Nhân'!N4+'La Cusina'!N4+TVP!M4+Gà!N4+Kitkool!N4)</f>
        <v>Doanh Thu Tích Lũy: 1158564</v>
      </c>
      <c r="F1" s="266">
        <f>2833+299-600</f>
        <v>2532</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5"/>
      <c r="B2" s="270"/>
      <c r="C2" s="269"/>
      <c r="D2" s="268"/>
      <c r="E2" s="271"/>
      <c r="F2" s="267"/>
      <c r="G2" s="180">
        <f>640+600</f>
        <v>1240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47</v>
      </c>
      <c r="G4" s="40"/>
      <c r="H4" s="51">
        <f ca="1">SUBTOTAL(9,H5:H71)</f>
        <v>445633.66827434779</v>
      </c>
      <c r="I4" s="51">
        <f ca="1">K4-J4</f>
        <v>313633.66827434767</v>
      </c>
      <c r="J4" s="25">
        <f ca="1">SUBTOTAL(9,J5:J71)</f>
        <v>2519366.3317256523</v>
      </c>
      <c r="K4" s="25">
        <f ca="1">SUM(L4:BC4)</f>
        <v>2833000</v>
      </c>
      <c r="L4" s="55">
        <f ca="1">IFERROR(INDIRECT("'Thanh Toán ("&amp;L$3&amp;")'!$H"&amp;SUBTOTAL(3,INDIRECT("'Thanh Toán ("&amp;L$3&amp;")'!$H$8:$H$50"))+7-COUNTIF(INDIRECT("'Thanh Toán ("&amp;L$3&amp;")'!$H$8:$H$50"),""&amp;"*")),"")</f>
        <v>664000</v>
      </c>
      <c r="M4" s="55">
        <f t="shared" ref="M4:AN4" ca="1" si="0">IFERROR(INDIRECT("'Thanh Toán ("&amp;M$3&amp;")'!$H"&amp;SUBTOTAL(3,INDIRECT("'Thanh Toán ("&amp;M$3&amp;")'!$H$8:$H$50"))+7-COUNTIF(INDIRECT("'Thanh Toán ("&amp;M$3&amp;")'!$H$8:$H$50"),""&amp;"*")),"")</f>
        <v>161000</v>
      </c>
      <c r="N4" s="55">
        <f t="shared" ca="1" si="0"/>
        <v>134000</v>
      </c>
      <c r="O4" s="55">
        <f t="shared" ca="1" si="0"/>
        <v>610000</v>
      </c>
      <c r="P4" s="55">
        <f t="shared" ca="1" si="0"/>
        <v>197000</v>
      </c>
      <c r="Q4" s="55">
        <f t="shared" ca="1" si="0"/>
        <v>600000</v>
      </c>
      <c r="R4" s="55">
        <f t="shared" ca="1" si="0"/>
        <v>199000</v>
      </c>
      <c r="S4" s="55">
        <f t="shared" ca="1" si="0"/>
        <v>25000</v>
      </c>
      <c r="T4" s="55">
        <f t="shared" ca="1" si="0"/>
        <v>143000</v>
      </c>
      <c r="U4" s="55">
        <f t="shared" ca="1" si="0"/>
        <v>100000</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100.65686415148473</v>
      </c>
      <c r="H5" s="171">
        <f ca="1">(D5-G5*1000)*$F5</f>
        <v>0</v>
      </c>
      <c r="I5" s="192">
        <f>D5/(G5*1000)-1</f>
        <v>9.2821646365360833E-2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1</v>
      </c>
      <c r="G6" s="170">
        <f>IFERROR(VLOOKUP($B6,Gà!C:J,8,0),IFERROR(VLOOKUP($B6,TVP!C:J,7,0),IFERROR(VLOOKUP($B6,Kitkool!C:J,8,0),IFERROR(VLOOKUP($B6,'La Cusina'!C:J,8,0),VLOOKUP($B6,'Quốc Nhân'!C:J,8,0)))))</f>
        <v>113.87443217137665</v>
      </c>
      <c r="H6" s="171">
        <f t="shared" ref="H6:H9" ca="1" si="3">(D6-G6*1000)*$F6</f>
        <v>8125.5678286233451</v>
      </c>
      <c r="I6" s="192">
        <f t="shared" ref="I6:I9" si="4">D6/(G6*1000)-1</f>
        <v>7.135550688318415E-2</v>
      </c>
      <c r="J6" s="171">
        <f t="shared" ref="J6:J9" ca="1" si="5">F6*G6*1000</f>
        <v>113874.43217137665</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1</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84.389088127002339</v>
      </c>
      <c r="H7" s="171">
        <f t="shared" ca="1" si="3"/>
        <v>0</v>
      </c>
      <c r="I7" s="192">
        <f t="shared" si="4"/>
        <v>0.12573796101491985</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104.72380815760532</v>
      </c>
      <c r="H8" s="171">
        <f t="shared" ca="1" si="3"/>
        <v>0</v>
      </c>
      <c r="I8" s="192">
        <f t="shared" si="4"/>
        <v>0.10767553282081233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40.669440061205947</v>
      </c>
      <c r="H9" s="171">
        <f t="shared" ca="1" si="3"/>
        <v>0</v>
      </c>
      <c r="I9" s="192">
        <f t="shared" si="4"/>
        <v>0.18024737807458968</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34.569024052025057</v>
      </c>
      <c r="H10" s="171">
        <f t="shared" ref="H10" ca="1" si="7">(D10-G10*1000)*$F10</f>
        <v>0</v>
      </c>
      <c r="I10" s="192">
        <f t="shared" ref="I10" si="8">D10/(G10*1000)-1</f>
        <v>0.24388816806880764</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41.422581051340728</v>
      </c>
      <c r="H11" s="171">
        <f t="shared" ref="H11:H52" ca="1" si="10">(D11-G11*1000)*$F11</f>
        <v>0</v>
      </c>
      <c r="I11" s="192">
        <f t="shared" ref="I11:I52" si="11">D11/(G11*1000)-1</f>
        <v>0.15878824500353961</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29.485344044374312</v>
      </c>
      <c r="H12" s="171">
        <f t="shared" ca="1" si="10"/>
        <v>0</v>
      </c>
      <c r="I12" s="192">
        <f t="shared" si="11"/>
        <v>0.35660618169493064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35.585760053555205</v>
      </c>
      <c r="H13" s="171">
        <f t="shared" ca="1" si="10"/>
        <v>0</v>
      </c>
      <c r="I13" s="192">
        <f t="shared" si="11"/>
        <v>0.18024737807458968</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33.043920049729834</v>
      </c>
      <c r="H14" s="171">
        <f t="shared" ca="1" si="10"/>
        <v>0</v>
      </c>
      <c r="I14" s="192">
        <f t="shared" si="11"/>
        <v>0.36182389777837254</v>
      </c>
      <c r="J14" s="171">
        <f t="shared" ca="1" si="12"/>
        <v>0</v>
      </c>
      <c r="K14" s="113">
        <f ca="1">I4/J4</f>
        <v>0.12448910836222962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1</v>
      </c>
      <c r="G15" s="170">
        <f>IFERROR(VLOOKUP($B15,Gà!C:J,8,0),IFERROR(VLOOKUP($B15,TVP!C:J,7,0),IFERROR(VLOOKUP($B15,Kitkool!C:J,8,0),IFERROR(VLOOKUP($B15,'La Cusina'!C:J,8,0),VLOOKUP($B15,'Quốc Nhân'!C:J,8,0)))))</f>
        <v>33.240342818977126</v>
      </c>
      <c r="H15" s="171">
        <f t="shared" ca="1" si="10"/>
        <v>4759.6571810228706</v>
      </c>
      <c r="I15" s="192">
        <f t="shared" si="11"/>
        <v>0.14318917247464591</v>
      </c>
      <c r="J15" s="171">
        <f t="shared" ca="1" si="12"/>
        <v>33240.342818977129</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1</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3</v>
      </c>
      <c r="G16" s="170">
        <f>IFERROR(VLOOKUP($B16,Gà!C:J,8,0),IFERROR(VLOOKUP($B16,TVP!C:J,7,0),IFERROR(VLOOKUP($B16,Kitkool!C:J,8,0),IFERROR(VLOOKUP($B16,'La Cusina'!C:J,8,0),VLOOKUP($B16,'Quốc Nhân'!C:J,8,0)))))</f>
        <v>39.377021493249828</v>
      </c>
      <c r="H16" s="171">
        <f t="shared" ca="1" si="10"/>
        <v>7868.9355202505176</v>
      </c>
      <c r="I16" s="192">
        <f t="shared" si="11"/>
        <v>6.6611907332803533E-2</v>
      </c>
      <c r="J16" s="171">
        <f t="shared" ca="1" si="12"/>
        <v>118131.06447974949</v>
      </c>
      <c r="K16" s="38"/>
      <c r="L16" s="2">
        <f ca="1">IFERROR(SUMIFS(INDIRECT("'Thanh Toán ("&amp;L$3&amp;")'!$F:$F"),INDIRECT("'Thanh Toán ("&amp;L$3&amp;")'!$D:$D"),'Tổng Đơn'!$B16),0)</f>
        <v>2</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6</v>
      </c>
      <c r="G17" s="170">
        <f>IFERROR(VLOOKUP($B17,Gà!C:J,8,0),IFERROR(VLOOKUP($B17,TVP!C:J,7,0),IFERROR(VLOOKUP($B17,Kitkool!C:J,8,0),IFERROR(VLOOKUP($B17,'La Cusina'!C:J,8,0),VLOOKUP($B17,'Quốc Nhân'!C:J,8,0)))))</f>
        <v>32.728952929454401</v>
      </c>
      <c r="H17" s="171">
        <f t="shared" ca="1" si="10"/>
        <v>73626.282423273602</v>
      </c>
      <c r="I17" s="192">
        <f t="shared" si="11"/>
        <v>0.3749294117961921</v>
      </c>
      <c r="J17" s="171">
        <f t="shared" ca="1" si="12"/>
        <v>196373.7175767264</v>
      </c>
      <c r="K17" s="38"/>
      <c r="L17" s="2">
        <f ca="1">IFERROR(SUMIFS(INDIRECT("'Thanh Toán ("&amp;L$3&amp;")'!$F:$F"),INDIRECT("'Thanh Toán ("&amp;L$3&amp;")'!$D:$D"),'Tổng Đơn'!$B17),0)</f>
        <v>5</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1</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40.911191161818003</v>
      </c>
      <c r="H18" s="171">
        <f t="shared" ca="1" si="10"/>
        <v>0</v>
      </c>
      <c r="I18" s="192">
        <f t="shared" si="11"/>
        <v>9.9943529436953726E-2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40.911191161818003</v>
      </c>
      <c r="H19" s="171">
        <f t="shared" ca="1" si="10"/>
        <v>0</v>
      </c>
      <c r="I19" s="192">
        <f t="shared" si="11"/>
        <v>9.9943529436953726E-2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40.911191161818003</v>
      </c>
      <c r="H20" s="171">
        <f t="shared" ca="1" si="10"/>
        <v>0</v>
      </c>
      <c r="I20" s="192">
        <f t="shared" si="11"/>
        <v>9.9943529436953726E-2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40.911191161818003</v>
      </c>
      <c r="H21" s="171">
        <f t="shared" ca="1" si="10"/>
        <v>0</v>
      </c>
      <c r="I21" s="192">
        <f t="shared" si="11"/>
        <v>9.9943529436953726E-2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40.911191161818003</v>
      </c>
      <c r="H22" s="171">
        <f t="shared" ca="1" si="10"/>
        <v>0</v>
      </c>
      <c r="I22" s="192">
        <f t="shared" si="11"/>
        <v>9.9943529436953726E-2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4</v>
      </c>
      <c r="G23" s="170">
        <f>IFERROR(VLOOKUP($B23,Gà!C:J,8,0),IFERROR(VLOOKUP($B23,TVP!C:J,7,0),IFERROR(VLOOKUP($B23,Kitkool!C:J,8,0),IFERROR(VLOOKUP($B23,'La Cusina'!C:J,8,0),VLOOKUP($B23,'Quốc Nhân'!C:J,8,0)))))</f>
        <v>34.888292258410949</v>
      </c>
      <c r="H23" s="171">
        <f t="shared" ca="1" si="10"/>
        <v>20446.83096635621</v>
      </c>
      <c r="I23" s="192">
        <f t="shared" si="11"/>
        <v>0.14651642171899981</v>
      </c>
      <c r="J23" s="171">
        <f t="shared" ca="1" si="12"/>
        <v>139553.16903364379</v>
      </c>
      <c r="K23" s="38"/>
      <c r="L23" s="2">
        <f ca="1">IFERROR(SUMIFS(INDIRECT("'Thanh Toán ("&amp;L$3&amp;")'!$F:$F"),INDIRECT("'Thanh Toán ("&amp;L$3&amp;")'!$D:$D"),'Tổng Đơn'!$B23),0)</f>
        <v>2</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1</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30.783787286833189</v>
      </c>
      <c r="H24" s="171">
        <f t="shared" ca="1" si="10"/>
        <v>9216.212713166813</v>
      </c>
      <c r="I24" s="192">
        <f t="shared" si="11"/>
        <v>0.2993852779481998</v>
      </c>
      <c r="J24" s="171">
        <f t="shared" ca="1" si="12"/>
        <v>30783.787286833187</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1</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43.610365323013681</v>
      </c>
      <c r="H25" s="171">
        <f t="shared" ca="1" si="10"/>
        <v>0</v>
      </c>
      <c r="I25" s="192">
        <f t="shared" si="11"/>
        <v>0.26116806389089975</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5</v>
      </c>
      <c r="G26" s="170">
        <f>IFERROR(VLOOKUP($B26,Gà!C:J,8,0),IFERROR(VLOOKUP($B26,TVP!C:J,7,0),IFERROR(VLOOKUP($B26,Kitkool!C:J,8,0),IFERROR(VLOOKUP($B26,'La Cusina'!C:J,8,0),VLOOKUP($B26,'Quốc Nhân'!C:J,8,0)))))</f>
        <v>29.244597922491529</v>
      </c>
      <c r="H26" s="171">
        <f t="shared" ca="1" si="10"/>
        <v>28777.010387542359</v>
      </c>
      <c r="I26" s="192">
        <f t="shared" si="11"/>
        <v>0.19680222968913141</v>
      </c>
      <c r="J26" s="171">
        <f t="shared" ca="1" si="12"/>
        <v>146222.98961245763</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5</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33.751732708499851</v>
      </c>
      <c r="H27" s="171">
        <f t="shared" ca="1" si="10"/>
        <v>0</v>
      </c>
      <c r="I27" s="192">
        <f t="shared" si="11"/>
        <v>0.18512434148089274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40.911191161818003</v>
      </c>
      <c r="H28" s="171">
        <f t="shared" ca="1" si="10"/>
        <v>0</v>
      </c>
      <c r="I28" s="192">
        <f t="shared" si="11"/>
        <v>0.22215947715217088</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31.809913529727627</v>
      </c>
      <c r="H29" s="171">
        <f t="shared" ca="1" si="10"/>
        <v>0</v>
      </c>
      <c r="I29" s="192">
        <f t="shared" si="11"/>
        <v>0.25746962382083849</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39.377021493249828</v>
      </c>
      <c r="H31" s="171">
        <f t="shared" ca="1" si="10"/>
        <v>2622.9785067501725</v>
      </c>
      <c r="I31" s="192">
        <f t="shared" si="11"/>
        <v>6.6611907332803533E-2</v>
      </c>
      <c r="J31" s="171">
        <f t="shared" ca="1" si="12"/>
        <v>39377.021493249827</v>
      </c>
      <c r="K31" s="38"/>
      <c r="L31" s="2">
        <f ca="1">IFERROR(SUMIFS(INDIRECT("'Thanh Toán ("&amp;L$3&amp;")'!$F:$F"),INDIRECT("'Thanh Toán ("&amp;L$3&amp;")'!$D:$D"),'Tổng Đơn'!$B31),0)</f>
        <v>0</v>
      </c>
      <c r="M31" s="2">
        <f ca="1">IFERROR(SUMIFS(INDIRECT("'Thanh Toán ("&amp;M$3&amp;")'!$F:$F"),INDIRECT("'Thanh Toán ("&amp;M$3&amp;")'!$D:$D"),'Tổng Đơn'!$B31),0)</f>
        <v>1</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27.81691846430191</v>
      </c>
      <c r="H32" s="171">
        <f t="shared" ca="1" si="10"/>
        <v>0</v>
      </c>
      <c r="I32" s="192">
        <f t="shared" si="11"/>
        <v>0.2582270766230379</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31.29685040828041</v>
      </c>
      <c r="H33" s="171">
        <f t="shared" ca="1" si="10"/>
        <v>0</v>
      </c>
      <c r="I33" s="192">
        <f t="shared" si="11"/>
        <v>0.11832339495541766</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58.970688088748624</v>
      </c>
      <c r="H34" s="171">
        <f t="shared" ca="1" si="10"/>
        <v>0</v>
      </c>
      <c r="I34" s="192">
        <f t="shared" si="11"/>
        <v>0.10224252262713107</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74.39415260984687</v>
      </c>
      <c r="H35" s="171">
        <f t="shared" ca="1" si="10"/>
        <v>0</v>
      </c>
      <c r="I35" s="192">
        <f t="shared" si="11"/>
        <v>7.5353333474372119E-2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40.018923472883145</v>
      </c>
      <c r="H36" s="171">
        <f t="shared" ca="1" si="10"/>
        <v>0</v>
      </c>
      <c r="I36" s="192">
        <f t="shared" si="11"/>
        <v>9.947985057155373E-2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30.270724165385968</v>
      </c>
      <c r="H37" s="171">
        <f t="shared" ca="1" si="10"/>
        <v>0</v>
      </c>
      <c r="I37" s="192">
        <f t="shared" si="11"/>
        <v>0.15623266258102531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32.322976651174848</v>
      </c>
      <c r="H38" s="171">
        <f t="shared" ca="1" si="10"/>
        <v>0</v>
      </c>
      <c r="I38" s="192">
        <f t="shared" si="11"/>
        <v>0.17563429909599027</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61.366786742727001</v>
      </c>
      <c r="H39" s="171">
        <f t="shared" ca="1" si="10"/>
        <v>0</v>
      </c>
      <c r="I39" s="192">
        <f t="shared" si="11"/>
        <v>0.14068217867535937</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45.002310277999804</v>
      </c>
      <c r="H40" s="171">
        <f t="shared" ca="1" si="10"/>
        <v>0</v>
      </c>
      <c r="I40" s="192">
        <f t="shared" si="11"/>
        <v>0.19993839574940409</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44.636491565908123</v>
      </c>
      <c r="H41" s="171">
        <f t="shared" ca="1" si="10"/>
        <v>0</v>
      </c>
      <c r="I41" s="192">
        <f t="shared" si="11"/>
        <v>5.2950139026989529E-2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44.636491565908123</v>
      </c>
      <c r="H42" s="171">
        <f t="shared" ca="1" si="10"/>
        <v>0</v>
      </c>
      <c r="I42" s="192">
        <f t="shared" si="11"/>
        <v>0.12015972236913774</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2</v>
      </c>
      <c r="G43" s="170">
        <f>IFERROR(VLOOKUP($B43,Gà!C:J,8,0),IFERROR(VLOOKUP($B43,TVP!C:J,7,0),IFERROR(VLOOKUP($B43,Kitkool!C:J,8,0),IFERROR(VLOOKUP($B43,'La Cusina'!C:J,8,0),VLOOKUP($B43,'Quốc Nhân'!C:J,8,0)))))</f>
        <v>13.296137127590852</v>
      </c>
      <c r="H43" s="171">
        <f t="shared" ca="1" si="10"/>
        <v>9407.7257448182972</v>
      </c>
      <c r="I43" s="192">
        <f t="shared" si="11"/>
        <v>0.35377665161471228</v>
      </c>
      <c r="J43" s="171">
        <f t="shared" ca="1" si="12"/>
        <v>26592.274255181703</v>
      </c>
      <c r="K43" s="38"/>
      <c r="L43" s="2">
        <f ca="1">IFERROR(SUMIFS(INDIRECT("'Thanh Toán ("&amp;L$3&amp;")'!$F:$F"),INDIRECT("'Thanh Toán ("&amp;L$3&amp;")'!$D:$D"),'Tổng Đơn'!$B43),0)</f>
        <v>0</v>
      </c>
      <c r="M43" s="2">
        <f ca="1">IFERROR(SUMIFS(INDIRECT("'Thanh Toán ("&amp;M$3&amp;")'!$F:$F"),INDIRECT("'Thanh Toán ("&amp;M$3&amp;")'!$D:$D"),'Tổng Đơn'!$B43),0)</f>
        <v>1</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1</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36</v>
      </c>
      <c r="G44" s="170">
        <f>IFERROR(VLOOKUP($B44,Gà!C:J,8,0),IFERROR(VLOOKUP($B44,TVP!C:J,7,0),IFERROR(VLOOKUP($B44,Kitkool!C:J,8,0),IFERROR(VLOOKUP($B44,'La Cusina'!C:J,8,0),VLOOKUP($B44,'Quốc Nhân'!C:J,8,0)))))</f>
        <v>20.472627873696212</v>
      </c>
      <c r="H44" s="171">
        <f t="shared" ca="1" si="10"/>
        <v>162985.39654693636</v>
      </c>
      <c r="I44" s="192">
        <f t="shared" si="11"/>
        <v>0.221142696200749</v>
      </c>
      <c r="J44" s="171">
        <f t="shared" ca="1" si="12"/>
        <v>737014.60345306364</v>
      </c>
      <c r="K44" s="38"/>
      <c r="L44" s="2">
        <f ca="1">IFERROR(SUMIFS(INDIRECT("'Thanh Toán ("&amp;L$3&amp;")'!$F:$F"),INDIRECT("'Thanh Toán ("&amp;L$3&amp;")'!$D:$D"),'Tổng Đơn'!$B44),0)</f>
        <v>5</v>
      </c>
      <c r="M44" s="2">
        <f ca="1">IFERROR(SUMIFS(INDIRECT("'Thanh Toán ("&amp;M$3&amp;")'!$F:$F"),INDIRECT("'Thanh Toán ("&amp;M$3&amp;")'!$D:$D"),'Tổng Đơn'!$B44),0)</f>
        <v>0</v>
      </c>
      <c r="N44" s="2">
        <f ca="1">IFERROR(SUMIFS(INDIRECT("'Thanh Toán ("&amp;N$3&amp;")'!$F:$F"),INDIRECT("'Thanh Toán ("&amp;N$3&amp;")'!$D:$D"),'Tổng Đơn'!$B44),0)</f>
        <v>2</v>
      </c>
      <c r="O44" s="2">
        <f ca="1">IFERROR(SUMIFS(INDIRECT("'Thanh Toán ("&amp;O$3&amp;")'!$F:$F"),INDIRECT("'Thanh Toán ("&amp;O$3&amp;")'!$D:$D"),'Tổng Đơn'!$B44),0)</f>
        <v>15</v>
      </c>
      <c r="P44" s="2">
        <f ca="1">IFERROR(SUMIFS(INDIRECT("'Thanh Toán ("&amp;P$3&amp;")'!$F:$F"),INDIRECT("'Thanh Toán ("&amp;P$3&amp;")'!$D:$D"),'Tổng Đơn'!$B44),0)</f>
        <v>0</v>
      </c>
      <c r="Q44" s="2">
        <f ca="1">IFERROR(SUMIFS(INDIRECT("'Thanh Toán ("&amp;Q$3&amp;")'!$F:$F"),INDIRECT("'Thanh Toán ("&amp;Q$3&amp;")'!$D:$D"),'Tổng Đơn'!$B44),0)</f>
        <v>10</v>
      </c>
      <c r="R44" s="2">
        <f ca="1">IFERROR(SUMIFS(INDIRECT("'Thanh Toán ("&amp;R$3&amp;")'!$F:$F"),INDIRECT("'Thanh Toán ("&amp;R$3&amp;")'!$D:$D"),'Tổng Đơn'!$B44),0)</f>
        <v>0</v>
      </c>
      <c r="S44" s="2">
        <f ca="1">IFERROR(SUMIFS(INDIRECT("'Thanh Toán ("&amp;S$3&amp;")'!$F:$F"),INDIRECT("'Thanh Toán ("&amp;S$3&amp;")'!$D:$D"),'Tổng Đơn'!$B44),0)</f>
        <v>1</v>
      </c>
      <c r="T44" s="2">
        <f ca="1">IFERROR(SUMIFS(INDIRECT("'Thanh Toán ("&amp;T$3&amp;")'!$F:$F"),INDIRECT("'Thanh Toán ("&amp;T$3&amp;")'!$D:$D"),'Tổng Đơn'!$B44),0)</f>
        <v>2</v>
      </c>
      <c r="U44" s="2">
        <f ca="1">IFERROR(SUMIFS(INDIRECT("'Thanh Toán ("&amp;U$3&amp;")'!$F:$F"),INDIRECT("'Thanh Toán ("&amp;U$3&amp;")'!$D:$D"),'Tổng Đơn'!$B44),0)</f>
        <v>1</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23.938725370932342</v>
      </c>
      <c r="H45" s="171">
        <f t="shared" ca="1" si="10"/>
        <v>0</v>
      </c>
      <c r="I45" s="192">
        <f t="shared" si="11"/>
        <v>0.16965291869712784</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22.469957422349498</v>
      </c>
      <c r="H46" s="171">
        <f t="shared" ca="1" si="10"/>
        <v>5530.0425776504999</v>
      </c>
      <c r="I46" s="192">
        <f t="shared" si="11"/>
        <v>0.24610828021196429</v>
      </c>
      <c r="J46" s="171">
        <f t="shared" ca="1" si="12"/>
        <v>22469.9574223495</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1</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1</v>
      </c>
      <c r="G47" s="170">
        <f>IFERROR(VLOOKUP($B47,Gà!C:J,8,0),IFERROR(VLOOKUP($B47,TVP!C:J,7,0),IFERROR(VLOOKUP($B47,Kitkool!C:J,8,0),IFERROR(VLOOKUP($B47,'La Cusina'!C:J,8,0),VLOOKUP($B47,'Quốc Nhân'!C:J,8,0)))))</f>
        <v>20.460449034984908</v>
      </c>
      <c r="H47" s="171">
        <f t="shared" ca="1" si="10"/>
        <v>7539.5509650150925</v>
      </c>
      <c r="I47" s="192">
        <f t="shared" si="11"/>
        <v>0.36849391487563965</v>
      </c>
      <c r="J47" s="171">
        <f t="shared" ca="1" si="12"/>
        <v>20460.449034984907</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1</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10</v>
      </c>
      <c r="G48" s="170">
        <f>IFERROR(VLOOKUP($B48,Gà!C:J,8,0),IFERROR(VLOOKUP($B48,TVP!C:J,7,0),IFERROR(VLOOKUP($B48,Kitkool!C:J,8,0),IFERROR(VLOOKUP($B48,'La Cusina'!C:J,8,0),VLOOKUP($B48,'Quốc Nhân'!C:J,8,0)))))</f>
        <v>23.440001925704586</v>
      </c>
      <c r="H48" s="171">
        <f t="shared" ca="1" si="10"/>
        <v>25599.98074295414</v>
      </c>
      <c r="I48" s="192">
        <f t="shared" si="11"/>
        <v>0.10921492593770177</v>
      </c>
      <c r="J48" s="171">
        <f t="shared" ca="1" si="12"/>
        <v>234400.01925704587</v>
      </c>
      <c r="K48" s="38"/>
      <c r="L48" s="2">
        <f ca="1">IFERROR(SUMIFS(INDIRECT("'Thanh Toán ("&amp;L$3&amp;")'!$F:$F"),INDIRECT("'Thanh Toán ("&amp;L$3&amp;")'!$D:$D"),'Tổng Đơn'!$B48),0)</f>
        <v>0</v>
      </c>
      <c r="M48" s="2">
        <f ca="1">IFERROR(SUMIFS(INDIRECT("'Thanh Toán ("&amp;M$3&amp;")'!$F:$F"),INDIRECT("'Thanh Toán ("&amp;M$3&amp;")'!$D:$D"),'Tổng Đơn'!$B48),0)</f>
        <v>4</v>
      </c>
      <c r="N48" s="2">
        <f ca="1">IFERROR(SUMIFS(INDIRECT("'Thanh Toán ("&amp;N$3&amp;")'!$F:$F"),INDIRECT("'Thanh Toán ("&amp;N$3&amp;")'!$D:$D"),'Tổng Đơn'!$B48),0)</f>
        <v>0</v>
      </c>
      <c r="O48" s="2">
        <f ca="1">IFERROR(SUMIFS(INDIRECT("'Thanh Toán ("&amp;O$3&amp;")'!$F:$F"),INDIRECT("'Thanh Toán ("&amp;O$3&amp;")'!$D:$D"),'Tổng Đơn'!$B48),0)</f>
        <v>5</v>
      </c>
      <c r="P48" s="2">
        <f ca="1">IFERROR(SUMIFS(INDIRECT("'Thanh Toán ("&amp;P$3&amp;")'!$F:$F"),INDIRECT("'Thanh Toán ("&amp;P$3&amp;")'!$D:$D"),'Tổng Đơn'!$B48),0)</f>
        <v>1</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20</v>
      </c>
      <c r="G49" s="170">
        <f>IFERROR(VLOOKUP($B49,Gà!C:J,8,0),IFERROR(VLOOKUP($B49,TVP!C:J,7,0),IFERROR(VLOOKUP($B49,Kitkool!C:J,8,0),IFERROR(VLOOKUP($B49,'La Cusina'!C:J,8,0),VLOOKUP($B49,'Quốc Nhân'!C:J,8,0)))))</f>
        <v>33.043625191500624</v>
      </c>
      <c r="H49" s="171">
        <f t="shared" ca="1" si="10"/>
        <v>79127.496169987571</v>
      </c>
      <c r="I49" s="192">
        <f t="shared" si="11"/>
        <v>0.11973186312248285</v>
      </c>
      <c r="J49" s="171">
        <f t="shared" ca="1" si="12"/>
        <v>660872.5038300124</v>
      </c>
      <c r="K49" s="38"/>
      <c r="L49" s="2">
        <f ca="1">IFERROR(SUMIFS(INDIRECT("'Thanh Toán ("&amp;L$3&amp;")'!$F:$F"),INDIRECT("'Thanh Toán ("&amp;L$3&amp;")'!$D:$D"),'Tổng Đơn'!$B49),0)</f>
        <v>5</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1</v>
      </c>
      <c r="Q49" s="2">
        <f ca="1">IFERROR(SUMIFS(INDIRECT("'Thanh Toán ("&amp;Q$3&amp;")'!$F:$F"),INDIRECT("'Thanh Toán ("&amp;Q$3&amp;")'!$D:$D"),'Tổng Đơn'!$B49),0)</f>
        <v>10</v>
      </c>
      <c r="R49" s="2">
        <f ca="1">IFERROR(SUMIFS(INDIRECT("'Thanh Toán ("&amp;R$3&amp;")'!$F:$F"),INDIRECT("'Thanh Toán ("&amp;R$3&amp;")'!$D:$D"),'Tổng Đơn'!$B49),0)</f>
        <v>1</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2</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34.875765400542463</v>
      </c>
      <c r="H50" s="171">
        <f t="shared" ca="1" si="10"/>
        <v>0</v>
      </c>
      <c r="I50" s="192">
        <f t="shared" si="11"/>
        <v>0.20427464509056259</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37.851830714722084</v>
      </c>
      <c r="H51" s="171">
        <f t="shared" ca="1" si="10"/>
        <v>0</v>
      </c>
      <c r="I51" s="192">
        <f t="shared" si="11"/>
        <v>0.188846065046405</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34.774512487545302</v>
      </c>
      <c r="H52" s="171">
        <f t="shared" ca="1" si="10"/>
        <v>0</v>
      </c>
      <c r="I52" s="192">
        <f t="shared" si="11"/>
        <v>0.15026774320204295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87"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7" sqref="I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51240</v>
      </c>
      <c r="G1" s="79" t="s">
        <v>121</v>
      </c>
      <c r="H1" s="129">
        <f>60000+6217+H4+H5</f>
        <v>126867</v>
      </c>
      <c r="I1" s="80">
        <f>H1-H2-H3</f>
        <v>-973063</v>
      </c>
      <c r="J1" s="87" t="s">
        <v>119</v>
      </c>
      <c r="K1" s="272" t="s">
        <v>257</v>
      </c>
      <c r="L1" s="273"/>
      <c r="M1" s="221" t="s">
        <v>256</v>
      </c>
      <c r="N1" s="222">
        <v>50000</v>
      </c>
    </row>
    <row r="2" spans="1:18" ht="30.75" customHeight="1" x14ac:dyDescent="0.25">
      <c r="E2" s="93"/>
      <c r="G2" s="90" t="s">
        <v>118</v>
      </c>
      <c r="H2" s="81">
        <f>D1</f>
        <v>51240</v>
      </c>
      <c r="I2" s="82">
        <v>-5836</v>
      </c>
      <c r="J2" s="82" t="s">
        <v>122</v>
      </c>
      <c r="K2" s="272">
        <v>235000</v>
      </c>
      <c r="L2" s="273"/>
      <c r="M2" s="221" t="s">
        <v>255</v>
      </c>
      <c r="N2" s="222">
        <v>80000</v>
      </c>
    </row>
    <row r="3" spans="1:18" ht="30.75" customHeight="1" x14ac:dyDescent="0.25">
      <c r="G3" s="83" t="s">
        <v>120</v>
      </c>
      <c r="H3" s="95">
        <f>INT('Quốc Nhân'!K4+'La Cusina'!K4+TVP!J4+Gà!K4+Kitkool!K4)</f>
        <v>1048690</v>
      </c>
      <c r="I3" s="84">
        <f>I1+I2</f>
        <v>-978899</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1001319</v>
      </c>
      <c r="J4" s="89" t="s">
        <v>126</v>
      </c>
      <c r="M4" s="221" t="s">
        <v>259</v>
      </c>
      <c r="N4" s="222">
        <v>10000</v>
      </c>
    </row>
    <row r="5" spans="1:18" ht="30.75" customHeight="1" x14ac:dyDescent="0.25">
      <c r="A5" s="110" t="s">
        <v>171</v>
      </c>
      <c r="B5">
        <v>200</v>
      </c>
      <c r="G5" s="85" t="s">
        <v>261</v>
      </c>
      <c r="H5" s="125">
        <f>7400+5000+2400+10000+5000-2000-1000-1000-150</f>
        <v>25650</v>
      </c>
      <c r="I5" s="91">
        <f ca="1">I4+I3</f>
        <v>22420</v>
      </c>
      <c r="J5" s="92" t="s">
        <v>127</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5500+2800+1600+3400</f>
        <v>13300</v>
      </c>
      <c r="J7" s="255"/>
      <c r="K7" s="93"/>
      <c r="L7" s="93"/>
      <c r="M7" s="14"/>
      <c r="N7" s="14"/>
      <c r="O7" s="14"/>
      <c r="P7" s="14"/>
      <c r="Q7" s="14"/>
      <c r="R7" s="14"/>
    </row>
    <row r="8" spans="1:18" x14ac:dyDescent="0.25">
      <c r="A8" t="s">
        <v>189</v>
      </c>
      <c r="B8">
        <v>250</v>
      </c>
      <c r="C8" t="s">
        <v>108</v>
      </c>
      <c r="D8">
        <v>80</v>
      </c>
      <c r="E8" t="s">
        <v>106</v>
      </c>
      <c r="H8" s="93"/>
      <c r="I8" s="93">
        <f>540+550+30+10+40+650+180</f>
        <v>2000</v>
      </c>
      <c r="J8" s="255"/>
      <c r="M8" s="14"/>
      <c r="N8" s="14"/>
      <c r="O8" s="14"/>
      <c r="P8" s="14"/>
      <c r="Q8" s="14"/>
      <c r="R8" s="14"/>
    </row>
    <row r="9" spans="1:18" x14ac:dyDescent="0.25">
      <c r="A9" t="s">
        <v>191</v>
      </c>
      <c r="B9">
        <v>400</v>
      </c>
      <c r="C9" t="s">
        <v>109</v>
      </c>
      <c r="D9">
        <v>145</v>
      </c>
      <c r="E9" t="s">
        <v>110</v>
      </c>
      <c r="H9" s="93"/>
      <c r="I9" s="93">
        <v>235</v>
      </c>
      <c r="J9" s="255"/>
      <c r="N9" s="14"/>
    </row>
    <row r="10" spans="1:18" x14ac:dyDescent="0.25">
      <c r="A10" t="s">
        <v>183</v>
      </c>
      <c r="B10">
        <v>300</v>
      </c>
      <c r="C10" t="s">
        <v>111</v>
      </c>
      <c r="D10">
        <v>800</v>
      </c>
      <c r="E10" t="s">
        <v>110</v>
      </c>
      <c r="H10" s="215"/>
      <c r="I10" s="93">
        <v>102</v>
      </c>
      <c r="J10" s="255"/>
      <c r="N10" s="14"/>
    </row>
    <row r="11" spans="1:18" x14ac:dyDescent="0.25">
      <c r="A11" t="s">
        <v>184</v>
      </c>
      <c r="B11">
        <f>45+56</f>
        <v>101</v>
      </c>
      <c r="C11" t="s">
        <v>112</v>
      </c>
      <c r="D11">
        <v>1500</v>
      </c>
      <c r="E11" t="s">
        <v>110</v>
      </c>
      <c r="H11" s="215"/>
      <c r="I11" s="93">
        <v>31</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c r="J17" s="93"/>
    </row>
    <row r="18" spans="1:10" x14ac:dyDescent="0.25">
      <c r="A18" s="158"/>
      <c r="I18" s="93"/>
      <c r="J18" s="93"/>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1240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c r="E6" s="148"/>
      <c r="F6" s="148"/>
      <c r="G6" s="274" t="str">
        <f ca="1">"Ngày "&amp;DAY(TODAY())&amp;" Tháng "&amp;MONTH(TODAY())&amp;" Năm "&amp;YEAR(TODAY())</f>
        <v>Ngày 7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73">
      <formula>$C22=MAX($C$8:$C$37)</formula>
    </cfRule>
  </conditionalFormatting>
  <conditionalFormatting sqref="C23:C37">
    <cfRule type="expression" dxfId="185" priority="72">
      <formula>$C22=MAX($C$8:$C$37)</formula>
    </cfRule>
  </conditionalFormatting>
  <conditionalFormatting sqref="E23:E38">
    <cfRule type="expression" dxfId="184" priority="74">
      <formula>AND($A23="",$F23&lt;&gt;"")</formula>
    </cfRule>
  </conditionalFormatting>
  <conditionalFormatting sqref="F23:F38">
    <cfRule type="expression" dxfId="183" priority="75">
      <formula>AND($F23="",$A23&lt;&gt;"")</formula>
    </cfRule>
  </conditionalFormatting>
  <conditionalFormatting sqref="D20:H22">
    <cfRule type="expression" dxfId="182" priority="21">
      <formula>$C19=MAX($C$8:$C$37)</formula>
    </cfRule>
  </conditionalFormatting>
  <conditionalFormatting sqref="C20:C22">
    <cfRule type="expression" dxfId="181" priority="20">
      <formula>$C19=MAX($C$8:$C$37)</formula>
    </cfRule>
  </conditionalFormatting>
  <conditionalFormatting sqref="E20:E22">
    <cfRule type="expression" dxfId="180" priority="22">
      <formula>AND($A20="",$F20&lt;&gt;"")</formula>
    </cfRule>
  </conditionalFormatting>
  <conditionalFormatting sqref="F20:F22">
    <cfRule type="expression" dxfId="179" priority="23">
      <formula>AND($F20="",$A20&lt;&gt;"")</formula>
    </cfRule>
  </conditionalFormatting>
  <conditionalFormatting sqref="D9:H19">
    <cfRule type="expression" dxfId="178" priority="17">
      <formula>$C8=MAX($C$8:$C$37)</formula>
    </cfRule>
  </conditionalFormatting>
  <conditionalFormatting sqref="C9:C19">
    <cfRule type="expression" dxfId="177" priority="16">
      <formula>$C8=MAX($C$8:$C$37)</formula>
    </cfRule>
  </conditionalFormatting>
  <conditionalFormatting sqref="E9:E19">
    <cfRule type="expression" dxfId="176" priority="18">
      <formula>AND($A9="",$F9&lt;&gt;"")</formula>
    </cfRule>
  </conditionalFormatting>
  <conditionalFormatting sqref="F9:F19">
    <cfRule type="expression" dxfId="175" priority="1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319</v>
      </c>
      <c r="E6" s="148"/>
      <c r="F6" s="148"/>
      <c r="G6" s="274" t="str">
        <f ca="1">"Ngày "&amp;DAY(TODAY())&amp;" Tháng "&amp;MONTH(TODAY())&amp;" Năm "&amp;YEAR(TODAY())</f>
        <v>Ngày 7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2</v>
      </c>
      <c r="C9" s="30">
        <f t="shared" si="0"/>
        <v>2</v>
      </c>
      <c r="D9" s="159" t="str">
        <f>IFERROR(VLOOKUP($A9,Sheet1!$A$1:$B$80,2,0),"")</f>
        <v>XX Đức KK</v>
      </c>
      <c r="E9" s="30">
        <f>IFERROR(VLOOKUP($A9,'Tổng Đơn'!$A$5:$E$52,5,0),"")</f>
        <v>0.5</v>
      </c>
      <c r="F9" s="30">
        <f t="shared" si="1"/>
        <v>2</v>
      </c>
      <c r="G9" s="160">
        <f>IF(AND($C9="",$C8&lt;&gt;""),"Tổng Cộng",IFERROR(VLOOKUP($A9,Sheet1!$A$1:$D$80,4,0),""))</f>
        <v>37000</v>
      </c>
      <c r="H9" s="151">
        <f>IF($C8=MAX($C$8:$C$56),SUM($H$8:$H8),IFERROR($G9*$F9,""))</f>
        <v>74000</v>
      </c>
      <c r="I9" s="54">
        <f t="shared" si="2"/>
        <v>1</v>
      </c>
      <c r="L9" s="31"/>
    </row>
    <row r="10" spans="1:14" s="29" customFormat="1" ht="14.25" customHeight="1" x14ac:dyDescent="0.25">
      <c r="A10" s="153">
        <v>1</v>
      </c>
      <c r="B10" s="153">
        <v>1</v>
      </c>
      <c r="C10" s="30">
        <f t="shared" si="0"/>
        <v>3</v>
      </c>
      <c r="D10" s="159" t="s">
        <v>302</v>
      </c>
      <c r="E10" s="30" t="s">
        <v>234</v>
      </c>
      <c r="F10" s="30" t="s">
        <v>234</v>
      </c>
      <c r="G10" s="160" t="s">
        <v>234</v>
      </c>
      <c r="H10" s="151">
        <v>1000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100000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81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G11" sqref="G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318</v>
      </c>
      <c r="E6" s="148"/>
      <c r="F6" s="148"/>
      <c r="G6" s="274" t="str">
        <f ca="1">"Ngày "&amp;DAY(TODAY())&amp;" Tháng "&amp;MONTH(TODAY())&amp;" Năm "&amp;YEAR(TODAY())</f>
        <v>Ngày 7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37</v>
      </c>
      <c r="B10" s="153">
        <v>1</v>
      </c>
      <c r="C10" s="30">
        <f t="shared" si="0"/>
        <v>3</v>
      </c>
      <c r="D10" s="159" t="str">
        <f>IFERROR(VLOOKUP($A10,Sheet1!$A$1:$B$80,2,0),"")</f>
        <v>Tôm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v>39</v>
      </c>
      <c r="B11" s="153">
        <v>1</v>
      </c>
      <c r="C11" s="30">
        <f t="shared" si="0"/>
        <v>4</v>
      </c>
      <c r="D11" s="159" t="str">
        <f>IFERROR(VLOOKUP($A11,Sheet1!$A$1:$B$80,2,0),"")</f>
        <v>XX Đức KK</v>
      </c>
      <c r="E11" s="30">
        <f>IFERROR(VLOOKUP($A11,'Tổng Đơn'!$A$5:$E$52,5,0),"")</f>
        <v>0.5</v>
      </c>
      <c r="F11" s="30">
        <f t="shared" si="1"/>
        <v>1</v>
      </c>
      <c r="G11" s="160">
        <f>IF(AND($C11="",$C10&lt;&gt;""),"Tổng Cộng",IFERROR(VLOOKUP($A11,Sheet1!$A$1:$D$80,4,0),""))</f>
        <v>37000</v>
      </c>
      <c r="H11" s="151">
        <f>IF($C10=MAX($C$8:$C$56),SUM($H$8:$H10),IFERROR($G11*$F11,""))</f>
        <v>37000</v>
      </c>
      <c r="I11" s="54">
        <f t="shared" si="2"/>
        <v>0.5</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143000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80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317</v>
      </c>
      <c r="E6" s="148"/>
      <c r="F6" s="148"/>
      <c r="G6" s="274" t="str">
        <f ca="1">"Ngày "&amp;DAY(TODAY())&amp;" Tháng "&amp;MONTH(TODAY())&amp;" Năm "&amp;YEAR(TODAY())</f>
        <v>Ngày 7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79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316</v>
      </c>
      <c r="E6" s="148"/>
      <c r="F6" s="148"/>
      <c r="G6" s="274" t="str">
        <f ca="1">"Ngày "&amp;DAY(TODAY())&amp;" Tháng "&amp;MONTH(TODAY())&amp;" Năm "&amp;YEAR(TODAY())</f>
        <v>Ngày 7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13</v>
      </c>
      <c r="B8" s="153">
        <v>1</v>
      </c>
      <c r="C8" s="30">
        <f t="shared" ref="C8:C37" si="0">IF(OR(SUM($C7,$A8&lt;&gt;"")=0,$A8=""),"",SUM($C7,$A8&lt;&gt;""))</f>
        <v>1</v>
      </c>
      <c r="D8" s="150" t="str">
        <f>IFERROR(VLOOKUP($A8,Sheet1!$A$1:$B$80,2,0),"")</f>
        <v>Phô mai que (13 que)</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t="s">
        <v>277</v>
      </c>
      <c r="B10" s="153">
        <v>1</v>
      </c>
      <c r="C10" s="30">
        <f t="shared" si="0"/>
        <v>3</v>
      </c>
      <c r="D10" s="159" t="str">
        <f>IFERROR(VLOOKUP($A10,Sheet1!$A$1:$B$80,2,0),"")</f>
        <v>0-Đùi gà Rán 10C lớn</v>
      </c>
      <c r="E10" s="30">
        <f>IFERROR(VLOOKUP($A10,'Tổng Đơn'!$A$5:$E$52,5,0),"")</f>
        <v>1.5</v>
      </c>
      <c r="F10" s="30">
        <f t="shared" si="1"/>
        <v>1</v>
      </c>
      <c r="G10" s="160">
        <f>IF(AND($C10="",$C9&lt;&gt;""),"Tổng Cộng",IFERROR(VLOOKUP($A10,Sheet1!$A$1:$D$80,4,0),""))</f>
        <v>122000</v>
      </c>
      <c r="H10" s="151">
        <f>IF($C9=MAX($C$8:$C$56),SUM($H$8:$H9),IFERROR($G10*$F10,""))</f>
        <v>122000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199000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78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315</v>
      </c>
      <c r="E6" s="148"/>
      <c r="F6" s="148"/>
      <c r="G6" s="274" t="str">
        <f ca="1">"Ngày "&amp;DAY(TODAY())&amp;" Tháng "&amp;MONTH(TODAY())&amp;" Năm "&amp;YEAR(TODAY())</f>
        <v>Ngày 7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v>39</v>
      </c>
      <c r="B9" s="153">
        <v>10</v>
      </c>
      <c r="C9" s="30">
        <f t="shared" si="0"/>
        <v>2</v>
      </c>
      <c r="D9" s="159" t="str">
        <f>IFERROR(VLOOKUP($A9,Sheet1!$A$1:$B$80,2,0),"")</f>
        <v>XX Đức KK</v>
      </c>
      <c r="E9" s="30">
        <f>IFERROR(VLOOKUP($A9,'Tổng Đơn'!$A$5:$E$52,5,0),"")</f>
        <v>0.5</v>
      </c>
      <c r="F9" s="30">
        <f t="shared" si="1"/>
        <v>10</v>
      </c>
      <c r="G9" s="160">
        <f>IF(AND($C9="",$C8&lt;&gt;""),"Tổng Cộng",IFERROR(VLOOKUP($A9,Sheet1!$A$1:$D$80,4,0),""))</f>
        <v>37000</v>
      </c>
      <c r="H9" s="151">
        <f>IF($C8=MAX($C$8:$C$56),SUM($H$8:$H8),IFERROR($G9*$F9,""))</f>
        <v>370000</v>
      </c>
      <c r="I9" s="54">
        <f t="shared" si="2"/>
        <v>5</v>
      </c>
      <c r="L9" s="31"/>
    </row>
    <row r="10" spans="1:14" s="29" customFormat="1" ht="14.25" customHeight="1" x14ac:dyDescent="0.25">
      <c r="A10" s="153">
        <v>1</v>
      </c>
      <c r="B10" s="153">
        <v>1</v>
      </c>
      <c r="C10" s="30">
        <f t="shared" si="0"/>
        <v>3</v>
      </c>
      <c r="D10" s="159" t="s">
        <v>302</v>
      </c>
      <c r="E10" s="30" t="s">
        <v>234</v>
      </c>
      <c r="F10" s="30" t="s">
        <v>234</v>
      </c>
      <c r="G10" s="160" t="s">
        <v>234</v>
      </c>
      <c r="H10" s="151">
        <f>-10*2000</f>
        <v>-20000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600000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76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308</v>
      </c>
      <c r="E6" s="148"/>
      <c r="F6" s="148"/>
      <c r="G6" s="274" t="str">
        <f ca="1">"Ngày "&amp;DAY(TODAY())&amp;" Tháng "&amp;MONTH(TODAY())&amp;" Năm "&amp;YEAR(TODAY())</f>
        <v>Ngày 7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13</v>
      </c>
      <c r="B10" s="153">
        <v>1</v>
      </c>
      <c r="C10" s="30">
        <f t="shared" si="0"/>
        <v>3</v>
      </c>
      <c r="D10" s="159" t="str">
        <f>IFERROR(VLOOKUP($A10,Sheet1!$A$1:$B$80,2,0),"")</f>
        <v>Phô mai que (13 que)</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33</v>
      </c>
      <c r="B11" s="153">
        <v>1</v>
      </c>
      <c r="C11" s="30">
        <f t="shared" si="0"/>
        <v>4</v>
      </c>
      <c r="D11" s="159" t="str">
        <f>IFERROR(VLOOKUP($A11,Sheet1!$A$1:$B$80,2,0),"")</f>
        <v>Bánh bao ngọt không nhân</v>
      </c>
      <c r="E11" s="30">
        <f>IFERROR(VLOOKUP($A11,'Tổng Đơn'!$A$5:$E$52,5,0),"")</f>
        <v>0.5</v>
      </c>
      <c r="F11" s="30">
        <f t="shared" si="1"/>
        <v>1</v>
      </c>
      <c r="G11" s="160">
        <f>IF(AND($C11="",$C10&lt;&gt;""),"Tổng Cộng",IFERROR(VLOOKUP($A11,Sheet1!$A$1:$D$80,4,0),""))</f>
        <v>18000</v>
      </c>
      <c r="H11" s="151">
        <f>IF($C10=MAX($C$8:$C$56),SUM($H$8:$H10),IFERROR($G11*$F11,""))</f>
        <v>18000</v>
      </c>
      <c r="I11" s="54">
        <f t="shared" si="2"/>
        <v>0.5</v>
      </c>
      <c r="L11" s="31"/>
    </row>
    <row r="12" spans="1:14" s="29" customFormat="1" ht="14.25" customHeight="1" x14ac:dyDescent="0.25">
      <c r="A12" s="153">
        <v>38</v>
      </c>
      <c r="B12" s="153">
        <v>1</v>
      </c>
      <c r="C12" s="30">
        <f t="shared" si="0"/>
        <v>5</v>
      </c>
      <c r="D12" s="159" t="str">
        <f>IFERROR(VLOOKUP($A12,Sheet1!$A$1:$B$80,2,0),"")</f>
        <v>XX Đỏ KK</v>
      </c>
      <c r="E12" s="30">
        <f>IFERROR(VLOOKUP($A12,'Tổng Đơn'!$A$5:$E$52,5,0),"")</f>
        <v>0.5</v>
      </c>
      <c r="F12" s="30">
        <f t="shared" si="1"/>
        <v>1</v>
      </c>
      <c r="G12" s="160">
        <f>IF(AND($C12="",$C11&lt;&gt;""),"Tổng Cộng",IFERROR(VLOOKUP($A12,Sheet1!$A$1:$D$80,4,0),""))</f>
        <v>26000</v>
      </c>
      <c r="H12" s="151">
        <f>IF($C11=MAX($C$8:$C$56),SUM($H$8:$H11),IFERROR($G12*$F12,""))</f>
        <v>26000</v>
      </c>
      <c r="I12" s="54">
        <f t="shared" si="2"/>
        <v>0.5</v>
      </c>
      <c r="J12" s="126"/>
      <c r="L12" s="31"/>
      <c r="M12" s="133"/>
      <c r="N12" s="127"/>
    </row>
    <row r="13" spans="1:14" s="29" customFormat="1" ht="14.25" customHeight="1" x14ac:dyDescent="0.25">
      <c r="A13" s="153">
        <v>39</v>
      </c>
      <c r="B13" s="153">
        <v>1</v>
      </c>
      <c r="C13" s="30">
        <f t="shared" si="0"/>
        <v>6</v>
      </c>
      <c r="D13" s="159" t="str">
        <f>IFERROR(VLOOKUP($A13,Sheet1!$A$1:$B$80,2,0),"")</f>
        <v>XX Đức KK</v>
      </c>
      <c r="E13" s="30">
        <f>IFERROR(VLOOKUP($A13,'Tổng Đơn'!$A$5:$E$52,5,0),"")</f>
        <v>0.5</v>
      </c>
      <c r="F13" s="30">
        <f t="shared" si="1"/>
        <v>1</v>
      </c>
      <c r="G13" s="160">
        <f>IF(AND($C13="",$C12&lt;&gt;""),"Tổng Cộng",IFERROR(VLOOKUP($A13,Sheet1!$A$1:$D$80,4,0),""))</f>
        <v>37000</v>
      </c>
      <c r="H13" s="151">
        <f>IF($C12=MAX($C$8:$C$56),SUM($H$8:$H12),IFERROR($G13*$F13,""))</f>
        <v>37000</v>
      </c>
      <c r="I13" s="54">
        <f t="shared" si="2"/>
        <v>0.5</v>
      </c>
      <c r="L13" s="31"/>
    </row>
    <row r="14" spans="1:14" s="29" customFormat="1" ht="14.25" customHeight="1" x14ac:dyDescent="0.25">
      <c r="A14" s="153">
        <v>1</v>
      </c>
      <c r="B14" s="153">
        <v>1</v>
      </c>
      <c r="C14" s="30">
        <f t="shared" si="0"/>
        <v>7</v>
      </c>
      <c r="D14" s="159" t="s">
        <v>302</v>
      </c>
      <c r="E14" s="30" t="s">
        <v>234</v>
      </c>
      <c r="F14" s="30" t="s">
        <v>234</v>
      </c>
      <c r="G14" s="160" t="s">
        <v>234</v>
      </c>
      <c r="H14" s="151">
        <f>-5000-2000</f>
        <v>-7000</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197000</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74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314</v>
      </c>
      <c r="E6" s="148"/>
      <c r="F6" s="148"/>
      <c r="G6" s="274" t="str">
        <f ca="1">"Ngày "&amp;DAY(TODAY())&amp;" Tháng "&amp;MONTH(TODAY())&amp;" Năm "&amp;YEAR(TODAY())</f>
        <v>Ngày 7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12.5</v>
      </c>
      <c r="L7" s="143"/>
    </row>
    <row r="8" spans="1:14" s="29" customFormat="1" ht="14.25" customHeight="1" x14ac:dyDescent="0.25">
      <c r="A8" s="153">
        <v>16</v>
      </c>
      <c r="B8" s="153">
        <v>5</v>
      </c>
      <c r="C8" s="30">
        <f t="shared" ref="C8:C37" si="0">IF(OR(SUM($C7,$A8&lt;&gt;"")=0,$A8=""),"",SUM($C7,$A8&lt;&gt;""))</f>
        <v>1</v>
      </c>
      <c r="D8" s="150" t="str">
        <f>IFERROR(VLOOKUP($A8,Sheet1!$A$1:$B$80,2,0),"")</f>
        <v>XX Đức HS ĐNA</v>
      </c>
      <c r="E8" s="30">
        <f>IFERROR(VLOOKUP($A8,'Tổng Đơn'!$A$5:$E$52,5,0),"")</f>
        <v>0.5</v>
      </c>
      <c r="F8" s="30">
        <f t="shared" ref="F8:F37" si="1">IF($B8="","",B8)</f>
        <v>5</v>
      </c>
      <c r="G8" s="160">
        <f>IFERROR(VLOOKUP($A8,Sheet1!$A1:$D$80,4,0),"")</f>
        <v>35000</v>
      </c>
      <c r="H8" s="151">
        <f>IF($C7=MAX($C$8:$C$56),SUM($H7:$H$8),IFERROR($G8*$F8,""))</f>
        <v>175000</v>
      </c>
      <c r="I8" s="54">
        <f t="shared" ref="I8:I37" si="2">IF(TYPE($A8)&lt;&gt;1,"",IFERROR(F8*E8,""))</f>
        <v>2.5</v>
      </c>
      <c r="L8" s="32"/>
    </row>
    <row r="9" spans="1:14" s="29" customFormat="1" ht="14.25" customHeight="1" x14ac:dyDescent="0.25">
      <c r="A9" s="153">
        <v>34</v>
      </c>
      <c r="B9" s="153">
        <v>15</v>
      </c>
      <c r="C9" s="30">
        <f t="shared" si="0"/>
        <v>2</v>
      </c>
      <c r="D9" s="159" t="str">
        <f>IFERROR(VLOOKUP($A9,Sheet1!$A$1:$B$80,2,0),"")</f>
        <v>Cá viên KK</v>
      </c>
      <c r="E9" s="30">
        <f>IFERROR(VLOOKUP($A9,'Tổng Đơn'!$A$5:$E$52,5,0),"")</f>
        <v>0.5</v>
      </c>
      <c r="F9" s="30">
        <f t="shared" si="1"/>
        <v>15</v>
      </c>
      <c r="G9" s="160">
        <f>IF(AND($C9="",$C8&lt;&gt;""),"Tổng Cộng",IFERROR(VLOOKUP($A9,Sheet1!$A$1:$D$80,4,0),""))</f>
        <v>25000</v>
      </c>
      <c r="H9" s="151">
        <f>IF($C8=MAX($C$8:$C$56),SUM($H$8:$H8),IFERROR($G9*$F9,""))</f>
        <v>375000</v>
      </c>
      <c r="I9" s="54">
        <f t="shared" si="2"/>
        <v>7.5</v>
      </c>
      <c r="L9" s="31"/>
    </row>
    <row r="10" spans="1:14" s="29" customFormat="1" ht="14.25" customHeight="1" x14ac:dyDescent="0.25">
      <c r="A10" s="153">
        <v>38</v>
      </c>
      <c r="B10" s="153">
        <v>5</v>
      </c>
      <c r="C10" s="30">
        <f t="shared" si="0"/>
        <v>3</v>
      </c>
      <c r="D10" s="159" t="str">
        <f>IFERROR(VLOOKUP($A10,Sheet1!$A$1:$B$80,2,0),"")</f>
        <v>XX Đỏ KK</v>
      </c>
      <c r="E10" s="30">
        <f>IFERROR(VLOOKUP($A10,'Tổng Đơn'!$A$5:$E$52,5,0),"")</f>
        <v>0.5</v>
      </c>
      <c r="F10" s="30">
        <f t="shared" si="1"/>
        <v>5</v>
      </c>
      <c r="G10" s="160">
        <f>IF(AND($C10="",$C9&lt;&gt;""),"Tổng Cộng",IFERROR(VLOOKUP($A10,Sheet1!$A$1:$D$80,4,0),""))</f>
        <v>26000</v>
      </c>
      <c r="H10" s="151">
        <f>IF($C9=MAX($C$8:$C$56),SUM($H$8:$H9),IFERROR($G10*$F10,""))</f>
        <v>130000</v>
      </c>
      <c r="I10" s="54">
        <f t="shared" si="2"/>
        <v>2.5</v>
      </c>
      <c r="L10" s="31"/>
    </row>
    <row r="11" spans="1:14" s="29" customFormat="1" ht="14.25" customHeight="1" x14ac:dyDescent="0.25">
      <c r="A11" s="153">
        <v>1</v>
      </c>
      <c r="B11" s="153">
        <v>1</v>
      </c>
      <c r="C11" s="30">
        <f t="shared" si="0"/>
        <v>4</v>
      </c>
      <c r="D11" s="159" t="s">
        <v>302</v>
      </c>
      <c r="E11" s="30" t="s">
        <v>234</v>
      </c>
      <c r="F11" s="30" t="s">
        <v>234</v>
      </c>
      <c r="G11" s="160" t="s">
        <v>234</v>
      </c>
      <c r="H11" s="151">
        <f>-15*3000-5*3000-5*2000</f>
        <v>-70000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610000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7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313</v>
      </c>
      <c r="E6" s="148"/>
      <c r="F6" s="148"/>
      <c r="G6" s="274" t="str">
        <f ca="1">"Ngày "&amp;DAY(TODAY())&amp;" Tháng "&amp;MONTH(TODAY())&amp;" Năm "&amp;YEAR(TODAY())</f>
        <v>Ngày 7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14</v>
      </c>
      <c r="B9" s="153">
        <v>1</v>
      </c>
      <c r="C9" s="30">
        <f t="shared" si="0"/>
        <v>2</v>
      </c>
      <c r="D9" s="159" t="str">
        <f>IFERROR(VLOOKUP($A9,Sheet1!$A$1:$B$80,2,0),"")</f>
        <v>Phô mai viên (35v)</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1</v>
      </c>
      <c r="B11" s="153">
        <v>1</v>
      </c>
      <c r="C11" s="30">
        <f t="shared" si="0"/>
        <v>4</v>
      </c>
      <c r="D11" s="159" t="s">
        <v>302</v>
      </c>
      <c r="E11" s="30" t="s">
        <v>234</v>
      </c>
      <c r="F11" s="30" t="s">
        <v>234</v>
      </c>
      <c r="G11" s="160" t="s">
        <v>234</v>
      </c>
      <c r="H11" s="151">
        <v>2000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134000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72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309</v>
      </c>
      <c r="E6" s="148"/>
      <c r="F6" s="148"/>
      <c r="G6" s="274" t="str">
        <f ca="1">"Ngày "&amp;DAY(TODAY())&amp;" Tháng "&amp;MONTH(TODAY())&amp;" Năm "&amp;YEAR(TODAY())</f>
        <v>Ngày 7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21</v>
      </c>
      <c r="B8" s="153">
        <v>1</v>
      </c>
      <c r="C8" s="30">
        <f t="shared" ref="C8:C37" si="0">IF(OR(SUM($C7,$A8&lt;&gt;"")=0,$A8=""),"",SUM($C7,$A8&lt;&gt;""))</f>
        <v>1</v>
      </c>
      <c r="D8" s="150" t="str">
        <f>IFERROR(VLOOKUP($A8,Sheet1!$A$1:$B$80,2,0),"")</f>
        <v>Bò lá lốt</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33</v>
      </c>
      <c r="B9" s="153">
        <v>1</v>
      </c>
      <c r="C9" s="30">
        <f t="shared" si="0"/>
        <v>2</v>
      </c>
      <c r="D9" s="159" t="str">
        <f>IFERROR(VLOOKUP($A9,Sheet1!$A$1:$B$80,2,0),"")</f>
        <v>Bánh bao ngọt không nhân</v>
      </c>
      <c r="E9" s="30">
        <f>IFERROR(VLOOKUP($A9,'Tổng Đơn'!$A$5:$E$52,5,0),"")</f>
        <v>0.5</v>
      </c>
      <c r="F9" s="30">
        <f t="shared" si="1"/>
        <v>1</v>
      </c>
      <c r="G9" s="160">
        <f>IF(AND($C9="",$C8&lt;&gt;""),"Tổng Cộng",IFERROR(VLOOKUP($A9,Sheet1!$A$1:$D$80,4,0),""))</f>
        <v>18000</v>
      </c>
      <c r="H9" s="151">
        <f>IF($C8=MAX($C$8:$C$56),SUM($H$8:$H8),IFERROR($G9*$F9,""))</f>
        <v>18000</v>
      </c>
      <c r="I9" s="54">
        <f t="shared" si="2"/>
        <v>0.5</v>
      </c>
      <c r="L9" s="31"/>
    </row>
    <row r="10" spans="1:14" s="29" customFormat="1" ht="14.25" customHeight="1" x14ac:dyDescent="0.25">
      <c r="A10" s="153">
        <v>38</v>
      </c>
      <c r="B10" s="153">
        <v>4</v>
      </c>
      <c r="C10" s="30">
        <f t="shared" si="0"/>
        <v>3</v>
      </c>
      <c r="D10" s="159" t="str">
        <f>IFERROR(VLOOKUP($A10,Sheet1!$A$1:$B$80,2,0),"")</f>
        <v>XX Đỏ KK</v>
      </c>
      <c r="E10" s="30">
        <f>IFERROR(VLOOKUP($A10,'Tổng Đơn'!$A$5:$E$52,5,0),"")</f>
        <v>0.5</v>
      </c>
      <c r="F10" s="30">
        <f t="shared" si="1"/>
        <v>4</v>
      </c>
      <c r="G10" s="160">
        <f>IF(AND($C10="",$C9&lt;&gt;""),"Tổng Cộng",IFERROR(VLOOKUP($A10,Sheet1!$A$1:$D$80,4,0),""))</f>
        <v>26000</v>
      </c>
      <c r="H10" s="151">
        <f>IF($C9=MAX($C$8:$C$56),SUM($H$8:$H9),IFERROR($G10*$F10,""))</f>
        <v>104000</v>
      </c>
      <c r="I10" s="54">
        <f t="shared" si="2"/>
        <v>2</v>
      </c>
      <c r="L10" s="31"/>
    </row>
    <row r="11" spans="1:14" s="29" customFormat="1" ht="14.25" customHeight="1" x14ac:dyDescent="0.25">
      <c r="A11" s="153">
        <v>1</v>
      </c>
      <c r="B11" s="153">
        <v>11</v>
      </c>
      <c r="C11" s="30">
        <f t="shared" si="0"/>
        <v>4</v>
      </c>
      <c r="D11" s="159" t="s">
        <v>302</v>
      </c>
      <c r="E11" s="30" t="s">
        <v>234</v>
      </c>
      <c r="F11" s="30" t="s">
        <v>234</v>
      </c>
      <c r="G11" s="160" t="s">
        <v>234</v>
      </c>
      <c r="H11" s="151">
        <v>-3000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161000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71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312</v>
      </c>
      <c r="E6" s="148"/>
      <c r="F6" s="148"/>
      <c r="G6" s="274" t="str">
        <f ca="1">"Ngày "&amp;DAY(TODAY())&amp;" Tháng "&amp;MONTH(TODAY())&amp;" Năm "&amp;YEAR(TODAY())</f>
        <v>Ngày 7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9.5</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5</v>
      </c>
      <c r="C9" s="30">
        <f t="shared" si="0"/>
        <v>2</v>
      </c>
      <c r="D9" s="159" t="str">
        <f>IFERROR(VLOOKUP($A9,Sheet1!$A$1:$B$80,2,0),"")</f>
        <v>Hải sản sốt cam LC</v>
      </c>
      <c r="E9" s="30">
        <f>IFERROR(VLOOKUP($A9,'Tổng Đơn'!$A$5:$E$52,5,0),"")</f>
        <v>0.5</v>
      </c>
      <c r="F9" s="30">
        <f t="shared" si="1"/>
        <v>5</v>
      </c>
      <c r="G9" s="160">
        <f>IF(AND($C9="",$C8&lt;&gt;""),"Tổng Cộng",IFERROR(VLOOKUP($A9,Sheet1!$A$1:$D$80,4,0),""))</f>
        <v>45000</v>
      </c>
      <c r="H9" s="151">
        <f>IF($C8=MAX($C$8:$C$56),SUM($H$8:$H8),IFERROR($G9*$F9,""))</f>
        <v>225000</v>
      </c>
      <c r="I9" s="54">
        <f t="shared" si="2"/>
        <v>2.5</v>
      </c>
      <c r="L9" s="31"/>
    </row>
    <row r="10" spans="1:14" s="29" customFormat="1" ht="14.25" customHeight="1" x14ac:dyDescent="0.25">
      <c r="A10" s="153">
        <v>13</v>
      </c>
      <c r="B10" s="153">
        <v>2</v>
      </c>
      <c r="C10" s="30">
        <f t="shared" si="0"/>
        <v>3</v>
      </c>
      <c r="D10" s="159" t="str">
        <f>IFERROR(VLOOKUP($A10,Sheet1!$A$1:$B$80,2,0),"")</f>
        <v>Phô mai que (13 que)</v>
      </c>
      <c r="E10" s="30">
        <f>IFERROR(VLOOKUP($A10,'Tổng Đơn'!$A$5:$E$52,5,0),"")</f>
        <v>0.5</v>
      </c>
      <c r="F10" s="30">
        <f t="shared" si="1"/>
        <v>2</v>
      </c>
      <c r="G10" s="160">
        <f>IF(AND($C10="",$C9&lt;&gt;""),"Tổng Cộng",IFERROR(VLOOKUP($A10,Sheet1!$A$1:$D$80,4,0),""))</f>
        <v>40000</v>
      </c>
      <c r="H10" s="151">
        <f>IF($C9=MAX($C$8:$C$56),SUM($H$8:$H9),IFERROR($G10*$F10,""))</f>
        <v>80000</v>
      </c>
      <c r="I10" s="54">
        <f t="shared" si="2"/>
        <v>1</v>
      </c>
      <c r="L10" s="31"/>
    </row>
    <row r="11" spans="1:14" s="29" customFormat="1" ht="14.25" customHeight="1" x14ac:dyDescent="0.25">
      <c r="A11" s="153">
        <v>34</v>
      </c>
      <c r="B11" s="153">
        <v>5</v>
      </c>
      <c r="C11" s="30">
        <f t="shared" si="0"/>
        <v>4</v>
      </c>
      <c r="D11" s="159" t="str">
        <f>IFERROR(VLOOKUP($A11,Sheet1!$A$1:$B$80,2,0),"")</f>
        <v>Cá viên KK</v>
      </c>
      <c r="E11" s="30">
        <f>IFERROR(VLOOKUP($A11,'Tổng Đơn'!$A$5:$E$52,5,0),"")</f>
        <v>0.5</v>
      </c>
      <c r="F11" s="30">
        <f t="shared" si="1"/>
        <v>5</v>
      </c>
      <c r="G11" s="160">
        <f>IF(AND($C11="",$C10&lt;&gt;""),"Tổng Cộng",IFERROR(VLOOKUP($A11,Sheet1!$A$1:$D$80,4,0),""))</f>
        <v>25000</v>
      </c>
      <c r="H11" s="151">
        <f>IF($C10=MAX($C$8:$C$56),SUM($H$8:$H10),IFERROR($G11*$F11,""))</f>
        <v>125000</v>
      </c>
      <c r="I11" s="54">
        <f t="shared" si="2"/>
        <v>2.5</v>
      </c>
      <c r="L11" s="31"/>
    </row>
    <row r="12" spans="1:14" s="29" customFormat="1" ht="14.25" customHeight="1" x14ac:dyDescent="0.25">
      <c r="A12" s="153">
        <v>39</v>
      </c>
      <c r="B12" s="153">
        <v>5</v>
      </c>
      <c r="C12" s="30">
        <f t="shared" si="0"/>
        <v>5</v>
      </c>
      <c r="D12" s="159" t="str">
        <f>IFERROR(VLOOKUP($A12,Sheet1!$A$1:$B$80,2,0),"")</f>
        <v>XX Đức KK</v>
      </c>
      <c r="E12" s="30">
        <f>IFERROR(VLOOKUP($A12,'Tổng Đơn'!$A$5:$E$52,5,0),"")</f>
        <v>0.5</v>
      </c>
      <c r="F12" s="30">
        <f t="shared" si="1"/>
        <v>5</v>
      </c>
      <c r="G12" s="160">
        <f>IF(AND($C12="",$C11&lt;&gt;""),"Tổng Cộng",IFERROR(VLOOKUP($A12,Sheet1!$A$1:$D$80,4,0),""))</f>
        <v>37000</v>
      </c>
      <c r="H12" s="151">
        <f>IF($C11=MAX($C$8:$C$56),SUM($H$8:$H11),IFERROR($G12*$F12,""))</f>
        <v>185000</v>
      </c>
      <c r="I12" s="54">
        <f t="shared" si="2"/>
        <v>2.5</v>
      </c>
      <c r="J12" s="126"/>
      <c r="L12" s="31"/>
      <c r="M12" s="133"/>
      <c r="N12" s="127"/>
    </row>
    <row r="13" spans="1:14" s="29" customFormat="1" ht="14.25" customHeight="1" x14ac:dyDescent="0.25">
      <c r="A13" s="153">
        <v>1</v>
      </c>
      <c r="B13" s="153">
        <v>1</v>
      </c>
      <c r="C13" s="30">
        <f t="shared" si="0"/>
        <v>6</v>
      </c>
      <c r="D13" s="159" t="s">
        <v>302</v>
      </c>
      <c r="E13" s="30" t="s">
        <v>234</v>
      </c>
      <c r="F13" s="30" t="s">
        <v>234</v>
      </c>
      <c r="G13" s="160" t="s">
        <v>234</v>
      </c>
      <c r="H13" s="151">
        <f>-5*5000-5*2000</f>
        <v>-35000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664000</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70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2022-12-07T01:38:28Z</dcterms:modified>
</cp:coreProperties>
</file>