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777" r:id="rId11"/>
    <sheet name="Thanh Toán (12)" sheetId="776" r:id="rId12"/>
    <sheet name="Thanh Toán (11)" sheetId="775" r:id="rId13"/>
    <sheet name="Thanh Toán (10)" sheetId="774" r:id="rId14"/>
    <sheet name="Thanh Toán (9)" sheetId="773" r:id="rId15"/>
    <sheet name="Thanh Toán (8)" sheetId="772" r:id="rId16"/>
    <sheet name="Thanh Toán (7)" sheetId="771" r:id="rId17"/>
    <sheet name="Thanh Toán (6)" sheetId="770" r:id="rId18"/>
    <sheet name="Thanh Toán (5)" sheetId="769" r:id="rId19"/>
    <sheet name="Thanh Toán (4)" sheetId="768" r:id="rId20"/>
    <sheet name="Thanh Toán (3)" sheetId="767" r:id="rId21"/>
    <sheet name="Thanh Toán (2)" sheetId="766"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J10" i="120" l="1"/>
  <c r="K2" i="50"/>
  <c r="I37" i="777"/>
  <c r="F37" i="777"/>
  <c r="E37" i="777"/>
  <c r="D37" i="777"/>
  <c r="I36" i="777"/>
  <c r="F36" i="777"/>
  <c r="E36" i="777"/>
  <c r="D36" i="777"/>
  <c r="I35" i="777"/>
  <c r="F35" i="777"/>
  <c r="E35" i="777"/>
  <c r="D35" i="777"/>
  <c r="I34" i="777"/>
  <c r="F34" i="777"/>
  <c r="E34" i="777"/>
  <c r="D34" i="777"/>
  <c r="I33" i="777"/>
  <c r="F33" i="777"/>
  <c r="E33" i="777"/>
  <c r="D33" i="777"/>
  <c r="I32" i="777"/>
  <c r="F32" i="777"/>
  <c r="E32" i="777"/>
  <c r="D32" i="777"/>
  <c r="I31" i="777"/>
  <c r="F31" i="777"/>
  <c r="E31" i="777"/>
  <c r="D31" i="777"/>
  <c r="I30" i="777"/>
  <c r="F30" i="777"/>
  <c r="E30" i="777"/>
  <c r="D30" i="777"/>
  <c r="I29" i="777"/>
  <c r="F29" i="777"/>
  <c r="E29" i="777"/>
  <c r="D29" i="777"/>
  <c r="I28" i="777"/>
  <c r="F28" i="777"/>
  <c r="E28" i="777"/>
  <c r="D28" i="777"/>
  <c r="I27" i="777"/>
  <c r="F27" i="777"/>
  <c r="E27" i="777"/>
  <c r="D27" i="777"/>
  <c r="I26" i="777"/>
  <c r="F26" i="777"/>
  <c r="E26" i="777"/>
  <c r="D26" i="777"/>
  <c r="I25" i="777"/>
  <c r="F25" i="777"/>
  <c r="E25" i="777"/>
  <c r="D25" i="777"/>
  <c r="I24" i="777"/>
  <c r="F24" i="777"/>
  <c r="E24" i="777"/>
  <c r="D24" i="777"/>
  <c r="I23" i="777"/>
  <c r="F23" i="777"/>
  <c r="E23" i="777"/>
  <c r="D23" i="777"/>
  <c r="I22" i="777"/>
  <c r="F22" i="777"/>
  <c r="E22" i="777"/>
  <c r="D22" i="777"/>
  <c r="I21" i="777"/>
  <c r="F21" i="777"/>
  <c r="E21" i="777"/>
  <c r="D21" i="777"/>
  <c r="I20" i="777"/>
  <c r="F20" i="777"/>
  <c r="E20" i="777"/>
  <c r="D20" i="777"/>
  <c r="I19" i="777"/>
  <c r="F19" i="777"/>
  <c r="E19" i="777"/>
  <c r="D19" i="777"/>
  <c r="I18" i="777"/>
  <c r="F18" i="777"/>
  <c r="E18" i="777"/>
  <c r="D18" i="777"/>
  <c r="I17" i="777"/>
  <c r="F17" i="777"/>
  <c r="E17" i="777"/>
  <c r="D17" i="777"/>
  <c r="I16" i="777"/>
  <c r="F16" i="777"/>
  <c r="E16" i="777"/>
  <c r="D16" i="777"/>
  <c r="I15" i="777"/>
  <c r="F15" i="777"/>
  <c r="E15" i="777"/>
  <c r="D15" i="777"/>
  <c r="I14" i="777"/>
  <c r="F14" i="777"/>
  <c r="E14" i="777"/>
  <c r="D14" i="777"/>
  <c r="I13" i="777"/>
  <c r="F13" i="777"/>
  <c r="E13" i="777"/>
  <c r="D13" i="777"/>
  <c r="I12" i="777"/>
  <c r="F12" i="777"/>
  <c r="E12" i="777"/>
  <c r="D12" i="777"/>
  <c r="I11" i="777"/>
  <c r="F11" i="777"/>
  <c r="E11" i="777"/>
  <c r="D11" i="777"/>
  <c r="I10" i="777"/>
  <c r="F10" i="777"/>
  <c r="E10" i="777"/>
  <c r="D10" i="777"/>
  <c r="F9" i="777"/>
  <c r="E9" i="777"/>
  <c r="I9" i="777" s="1"/>
  <c r="D9" i="777"/>
  <c r="G8" i="777"/>
  <c r="F8" i="777"/>
  <c r="I8" i="777" s="1"/>
  <c r="I7" i="777" s="1"/>
  <c r="E8" i="777"/>
  <c r="D8" i="777"/>
  <c r="C8" i="777"/>
  <c r="C9" i="777" s="1"/>
  <c r="E7" i="777"/>
  <c r="G6" i="777"/>
  <c r="H13" i="776"/>
  <c r="I37" i="776"/>
  <c r="F37" i="776"/>
  <c r="E37" i="776"/>
  <c r="D37" i="776"/>
  <c r="I36" i="776"/>
  <c r="F36" i="776"/>
  <c r="E36" i="776"/>
  <c r="D36" i="776"/>
  <c r="I35" i="776"/>
  <c r="F35" i="776"/>
  <c r="E35" i="776"/>
  <c r="D35" i="776"/>
  <c r="I34" i="776"/>
  <c r="F34" i="776"/>
  <c r="E34" i="776"/>
  <c r="D34" i="776"/>
  <c r="I33" i="776"/>
  <c r="F33" i="776"/>
  <c r="E33" i="776"/>
  <c r="D33" i="776"/>
  <c r="I32" i="776"/>
  <c r="F32" i="776"/>
  <c r="E32" i="776"/>
  <c r="D32" i="776"/>
  <c r="I31" i="776"/>
  <c r="F31" i="776"/>
  <c r="E31" i="776"/>
  <c r="D31" i="776"/>
  <c r="I30" i="776"/>
  <c r="F30" i="776"/>
  <c r="E30" i="776"/>
  <c r="D30" i="776"/>
  <c r="I29" i="776"/>
  <c r="F29" i="776"/>
  <c r="E29" i="776"/>
  <c r="D29" i="776"/>
  <c r="I28" i="776"/>
  <c r="F28" i="776"/>
  <c r="E28" i="776"/>
  <c r="D28" i="776"/>
  <c r="I27" i="776"/>
  <c r="F27" i="776"/>
  <c r="E27" i="776"/>
  <c r="D27" i="776"/>
  <c r="I26" i="776"/>
  <c r="F26" i="776"/>
  <c r="E26" i="776"/>
  <c r="D26" i="776"/>
  <c r="I25" i="776"/>
  <c r="F25" i="776"/>
  <c r="E25" i="776"/>
  <c r="D25" i="776"/>
  <c r="I24" i="776"/>
  <c r="F24" i="776"/>
  <c r="E24" i="776"/>
  <c r="D24" i="776"/>
  <c r="I23" i="776"/>
  <c r="F23" i="776"/>
  <c r="E23" i="776"/>
  <c r="D23" i="776"/>
  <c r="I22" i="776"/>
  <c r="F22" i="776"/>
  <c r="E22" i="776"/>
  <c r="D22" i="776"/>
  <c r="I21" i="776"/>
  <c r="F21" i="776"/>
  <c r="E21" i="776"/>
  <c r="D21" i="776"/>
  <c r="I20" i="776"/>
  <c r="F20" i="776"/>
  <c r="E20" i="776"/>
  <c r="D20" i="776"/>
  <c r="I19" i="776"/>
  <c r="F19" i="776"/>
  <c r="E19" i="776"/>
  <c r="D19" i="776"/>
  <c r="I18" i="776"/>
  <c r="F18" i="776"/>
  <c r="E18" i="776"/>
  <c r="D18" i="776"/>
  <c r="I17" i="776"/>
  <c r="F17" i="776"/>
  <c r="E17" i="776"/>
  <c r="D17" i="776"/>
  <c r="I16" i="776"/>
  <c r="F16" i="776"/>
  <c r="E16" i="776"/>
  <c r="D16" i="776"/>
  <c r="I15" i="776"/>
  <c r="F15" i="776"/>
  <c r="E15" i="776"/>
  <c r="D15" i="776"/>
  <c r="I14" i="776"/>
  <c r="F14" i="776"/>
  <c r="E14" i="776"/>
  <c r="D14" i="776"/>
  <c r="I13" i="776"/>
  <c r="F12" i="776"/>
  <c r="I12" i="776" s="1"/>
  <c r="E12" i="776"/>
  <c r="D12" i="776"/>
  <c r="F11" i="776"/>
  <c r="I11" i="776" s="1"/>
  <c r="E11" i="776"/>
  <c r="D11" i="776"/>
  <c r="F10" i="776"/>
  <c r="E10" i="776"/>
  <c r="I10" i="776" s="1"/>
  <c r="D10" i="776"/>
  <c r="F9" i="776"/>
  <c r="E9" i="776"/>
  <c r="I9" i="776" s="1"/>
  <c r="D9" i="776"/>
  <c r="G8" i="776"/>
  <c r="F8" i="776"/>
  <c r="I8" i="776" s="1"/>
  <c r="E8" i="776"/>
  <c r="D8" i="776"/>
  <c r="C8" i="776"/>
  <c r="C9" i="776" s="1"/>
  <c r="E7" i="776"/>
  <c r="G6" i="776"/>
  <c r="I37" i="775"/>
  <c r="F37" i="775"/>
  <c r="E37" i="775"/>
  <c r="D37" i="775"/>
  <c r="I36" i="775"/>
  <c r="F36" i="775"/>
  <c r="E36" i="775"/>
  <c r="D36" i="775"/>
  <c r="I35" i="775"/>
  <c r="F35" i="775"/>
  <c r="E35" i="775"/>
  <c r="D35" i="775"/>
  <c r="I34" i="775"/>
  <c r="F34" i="775"/>
  <c r="E34" i="775"/>
  <c r="D34" i="775"/>
  <c r="I33" i="775"/>
  <c r="F33" i="775"/>
  <c r="E33" i="775"/>
  <c r="D33" i="775"/>
  <c r="I32" i="775"/>
  <c r="F32" i="775"/>
  <c r="E32" i="775"/>
  <c r="D32" i="775"/>
  <c r="I31" i="775"/>
  <c r="F31" i="775"/>
  <c r="E31" i="775"/>
  <c r="D31" i="775"/>
  <c r="I30" i="775"/>
  <c r="F30" i="775"/>
  <c r="E30" i="775"/>
  <c r="D30" i="775"/>
  <c r="I29" i="775"/>
  <c r="F29" i="775"/>
  <c r="E29" i="775"/>
  <c r="D29" i="775"/>
  <c r="I28" i="775"/>
  <c r="F28" i="775"/>
  <c r="E28" i="775"/>
  <c r="D28" i="775"/>
  <c r="I27" i="775"/>
  <c r="F27" i="775"/>
  <c r="E27" i="775"/>
  <c r="D27" i="775"/>
  <c r="I26" i="775"/>
  <c r="F26" i="775"/>
  <c r="E26" i="775"/>
  <c r="D26" i="775"/>
  <c r="I25" i="775"/>
  <c r="F25" i="775"/>
  <c r="E25" i="775"/>
  <c r="D25" i="775"/>
  <c r="I24" i="775"/>
  <c r="F24" i="775"/>
  <c r="E24" i="775"/>
  <c r="D24" i="775"/>
  <c r="I23" i="775"/>
  <c r="F23" i="775"/>
  <c r="E23" i="775"/>
  <c r="D23" i="775"/>
  <c r="I22" i="775"/>
  <c r="F22" i="775"/>
  <c r="E22" i="775"/>
  <c r="D22" i="775"/>
  <c r="I21" i="775"/>
  <c r="F21" i="775"/>
  <c r="E21" i="775"/>
  <c r="D21" i="775"/>
  <c r="I20" i="775"/>
  <c r="F20" i="775"/>
  <c r="E20" i="775"/>
  <c r="D20" i="775"/>
  <c r="I19" i="775"/>
  <c r="F19" i="775"/>
  <c r="E19" i="775"/>
  <c r="D19" i="775"/>
  <c r="I18" i="775"/>
  <c r="F18" i="775"/>
  <c r="E18" i="775"/>
  <c r="D18" i="775"/>
  <c r="I17" i="775"/>
  <c r="F17" i="775"/>
  <c r="E17" i="775"/>
  <c r="D17" i="775"/>
  <c r="I16" i="775"/>
  <c r="F16" i="775"/>
  <c r="E16" i="775"/>
  <c r="D16" i="775"/>
  <c r="I15" i="775"/>
  <c r="F15" i="775"/>
  <c r="E15" i="775"/>
  <c r="D15" i="775"/>
  <c r="I14" i="775"/>
  <c r="F14" i="775"/>
  <c r="E14" i="775"/>
  <c r="D14" i="775"/>
  <c r="I13" i="775"/>
  <c r="F13" i="775"/>
  <c r="E13" i="775"/>
  <c r="D13" i="775"/>
  <c r="I12" i="775"/>
  <c r="F12" i="775"/>
  <c r="E12" i="775"/>
  <c r="D12" i="775"/>
  <c r="I11" i="775"/>
  <c r="F11" i="775"/>
  <c r="E11" i="775"/>
  <c r="D11" i="775"/>
  <c r="I10" i="775"/>
  <c r="F10" i="775"/>
  <c r="E10" i="775"/>
  <c r="D10" i="775"/>
  <c r="I9" i="775"/>
  <c r="F9" i="775"/>
  <c r="E9" i="775"/>
  <c r="D9" i="775"/>
  <c r="G8" i="775"/>
  <c r="F8" i="775"/>
  <c r="E8" i="775"/>
  <c r="I8" i="775" s="1"/>
  <c r="I7" i="775" s="1"/>
  <c r="D8" i="775"/>
  <c r="C8" i="775"/>
  <c r="C9" i="775" s="1"/>
  <c r="E7" i="775"/>
  <c r="G6" i="775"/>
  <c r="I37" i="774"/>
  <c r="F37" i="774"/>
  <c r="E37" i="774"/>
  <c r="D37" i="774"/>
  <c r="I36" i="774"/>
  <c r="F36" i="774"/>
  <c r="E36" i="774"/>
  <c r="D36" i="774"/>
  <c r="I35" i="774"/>
  <c r="F35" i="774"/>
  <c r="E35" i="774"/>
  <c r="D35" i="774"/>
  <c r="I34" i="774"/>
  <c r="F34" i="774"/>
  <c r="E34" i="774"/>
  <c r="D34" i="774"/>
  <c r="I33" i="774"/>
  <c r="F33" i="774"/>
  <c r="E33" i="774"/>
  <c r="D33" i="774"/>
  <c r="I32" i="774"/>
  <c r="F32" i="774"/>
  <c r="E32" i="774"/>
  <c r="D32" i="774"/>
  <c r="I31" i="774"/>
  <c r="F31" i="774"/>
  <c r="E31" i="774"/>
  <c r="D31" i="774"/>
  <c r="I30" i="774"/>
  <c r="F30" i="774"/>
  <c r="E30" i="774"/>
  <c r="D30" i="774"/>
  <c r="I29" i="774"/>
  <c r="F29" i="774"/>
  <c r="E29" i="774"/>
  <c r="D29" i="774"/>
  <c r="I28" i="774"/>
  <c r="F28" i="774"/>
  <c r="E28" i="774"/>
  <c r="D28" i="774"/>
  <c r="I27" i="774"/>
  <c r="F27" i="774"/>
  <c r="E27" i="774"/>
  <c r="D27" i="774"/>
  <c r="I26" i="774"/>
  <c r="F26" i="774"/>
  <c r="E26" i="774"/>
  <c r="D26" i="774"/>
  <c r="I25" i="774"/>
  <c r="F25" i="774"/>
  <c r="E25" i="774"/>
  <c r="D25" i="774"/>
  <c r="I24" i="774"/>
  <c r="F24" i="774"/>
  <c r="E24" i="774"/>
  <c r="D24" i="774"/>
  <c r="I23" i="774"/>
  <c r="F23" i="774"/>
  <c r="E23" i="774"/>
  <c r="D23" i="774"/>
  <c r="I22" i="774"/>
  <c r="F22" i="774"/>
  <c r="E22" i="774"/>
  <c r="D22" i="774"/>
  <c r="I21" i="774"/>
  <c r="F21" i="774"/>
  <c r="E21" i="774"/>
  <c r="D21" i="774"/>
  <c r="I20" i="774"/>
  <c r="F20" i="774"/>
  <c r="E20" i="774"/>
  <c r="D20" i="774"/>
  <c r="I19" i="774"/>
  <c r="F19" i="774"/>
  <c r="E19" i="774"/>
  <c r="D19" i="774"/>
  <c r="I18" i="774"/>
  <c r="F18" i="774"/>
  <c r="E18" i="774"/>
  <c r="D18" i="774"/>
  <c r="I17" i="774"/>
  <c r="F17" i="774"/>
  <c r="E17" i="774"/>
  <c r="D17" i="774"/>
  <c r="I16" i="774"/>
  <c r="F16" i="774"/>
  <c r="E16" i="774"/>
  <c r="D16" i="774"/>
  <c r="I15" i="774"/>
  <c r="F15" i="774"/>
  <c r="E15" i="774"/>
  <c r="D15" i="774"/>
  <c r="I14" i="774"/>
  <c r="F14" i="774"/>
  <c r="E14" i="774"/>
  <c r="D14" i="774"/>
  <c r="I13" i="774"/>
  <c r="F13" i="774"/>
  <c r="E13" i="774"/>
  <c r="D13" i="774"/>
  <c r="I12" i="774"/>
  <c r="F12" i="774"/>
  <c r="E12" i="774"/>
  <c r="D12" i="774"/>
  <c r="I11" i="774"/>
  <c r="F11" i="774"/>
  <c r="E11" i="774"/>
  <c r="D11" i="774"/>
  <c r="I10" i="774"/>
  <c r="F10" i="774"/>
  <c r="E10" i="774"/>
  <c r="D10" i="774"/>
  <c r="I9" i="774"/>
  <c r="F9" i="774"/>
  <c r="E9" i="774"/>
  <c r="D9" i="774"/>
  <c r="G8" i="774"/>
  <c r="F8" i="774"/>
  <c r="E8" i="774"/>
  <c r="I8" i="774" s="1"/>
  <c r="I7" i="774" s="1"/>
  <c r="D8" i="774"/>
  <c r="C8" i="774"/>
  <c r="C9" i="774" s="1"/>
  <c r="E7" i="774"/>
  <c r="G6" i="774"/>
  <c r="I37" i="773"/>
  <c r="F37" i="773"/>
  <c r="E37" i="773"/>
  <c r="D37" i="773"/>
  <c r="I36" i="773"/>
  <c r="F36" i="773"/>
  <c r="E36" i="773"/>
  <c r="D36" i="773"/>
  <c r="I35" i="773"/>
  <c r="F35" i="773"/>
  <c r="E35" i="773"/>
  <c r="D35" i="773"/>
  <c r="I34" i="773"/>
  <c r="F34" i="773"/>
  <c r="E34" i="773"/>
  <c r="D34" i="773"/>
  <c r="I33" i="773"/>
  <c r="F33" i="773"/>
  <c r="E33" i="773"/>
  <c r="D33" i="773"/>
  <c r="I32" i="773"/>
  <c r="F32" i="773"/>
  <c r="E32" i="773"/>
  <c r="D32" i="773"/>
  <c r="I31" i="773"/>
  <c r="F31" i="773"/>
  <c r="E31" i="773"/>
  <c r="D31" i="773"/>
  <c r="I30" i="773"/>
  <c r="F30" i="773"/>
  <c r="E30" i="773"/>
  <c r="D30" i="773"/>
  <c r="I29" i="773"/>
  <c r="F29" i="773"/>
  <c r="E29" i="773"/>
  <c r="D29" i="773"/>
  <c r="I28" i="773"/>
  <c r="F28" i="773"/>
  <c r="E28" i="773"/>
  <c r="D28" i="773"/>
  <c r="I27" i="773"/>
  <c r="F27" i="773"/>
  <c r="E27" i="773"/>
  <c r="D27" i="773"/>
  <c r="I26" i="773"/>
  <c r="F26" i="773"/>
  <c r="E26" i="773"/>
  <c r="D26" i="773"/>
  <c r="I25" i="773"/>
  <c r="F25" i="773"/>
  <c r="E25" i="773"/>
  <c r="D25" i="773"/>
  <c r="I24" i="773"/>
  <c r="F24" i="773"/>
  <c r="E24" i="773"/>
  <c r="D24" i="773"/>
  <c r="I23" i="773"/>
  <c r="F23" i="773"/>
  <c r="E23" i="773"/>
  <c r="D23" i="773"/>
  <c r="I22" i="773"/>
  <c r="F22" i="773"/>
  <c r="E22" i="773"/>
  <c r="D22" i="773"/>
  <c r="I21" i="773"/>
  <c r="F21" i="773"/>
  <c r="E21" i="773"/>
  <c r="D21" i="773"/>
  <c r="I20" i="773"/>
  <c r="F20" i="773"/>
  <c r="E20" i="773"/>
  <c r="D20" i="773"/>
  <c r="I19" i="773"/>
  <c r="F19" i="773"/>
  <c r="E19" i="773"/>
  <c r="D19" i="773"/>
  <c r="I18" i="773"/>
  <c r="F18" i="773"/>
  <c r="E18" i="773"/>
  <c r="D18" i="773"/>
  <c r="I17" i="773"/>
  <c r="F17" i="773"/>
  <c r="E17" i="773"/>
  <c r="D17" i="773"/>
  <c r="I16" i="773"/>
  <c r="F16" i="773"/>
  <c r="E16" i="773"/>
  <c r="D16" i="773"/>
  <c r="I15" i="773"/>
  <c r="F15" i="773"/>
  <c r="E15" i="773"/>
  <c r="D15" i="773"/>
  <c r="I14" i="773"/>
  <c r="F14" i="773"/>
  <c r="E14" i="773"/>
  <c r="D14" i="773"/>
  <c r="I13" i="773"/>
  <c r="F13" i="773"/>
  <c r="E13" i="773"/>
  <c r="D13" i="773"/>
  <c r="I12" i="773"/>
  <c r="F12" i="773"/>
  <c r="E12" i="773"/>
  <c r="D12" i="773"/>
  <c r="I11" i="773"/>
  <c r="F11" i="773"/>
  <c r="E11" i="773"/>
  <c r="D11" i="773"/>
  <c r="I10" i="773"/>
  <c r="F10" i="773"/>
  <c r="E10" i="773"/>
  <c r="D10" i="773"/>
  <c r="F9" i="773"/>
  <c r="E9" i="773"/>
  <c r="I9" i="773" s="1"/>
  <c r="D9" i="773"/>
  <c r="G8" i="773"/>
  <c r="F8" i="773"/>
  <c r="I8" i="773" s="1"/>
  <c r="I7" i="773" s="1"/>
  <c r="E8" i="773"/>
  <c r="D8" i="773"/>
  <c r="C8" i="773"/>
  <c r="C9" i="773" s="1"/>
  <c r="E7" i="773"/>
  <c r="G6" i="773"/>
  <c r="I37" i="772"/>
  <c r="F37" i="772"/>
  <c r="E37" i="772"/>
  <c r="D37" i="772"/>
  <c r="I36" i="772"/>
  <c r="F36" i="772"/>
  <c r="E36" i="772"/>
  <c r="D36" i="772"/>
  <c r="I35" i="772"/>
  <c r="F35" i="772"/>
  <c r="E35" i="772"/>
  <c r="D35" i="772"/>
  <c r="I34" i="772"/>
  <c r="F34" i="772"/>
  <c r="E34" i="772"/>
  <c r="D34" i="772"/>
  <c r="I33" i="772"/>
  <c r="F33" i="772"/>
  <c r="E33" i="772"/>
  <c r="D33" i="772"/>
  <c r="I32" i="772"/>
  <c r="F32" i="772"/>
  <c r="E32" i="772"/>
  <c r="D32" i="772"/>
  <c r="I31" i="772"/>
  <c r="F31" i="772"/>
  <c r="E31" i="772"/>
  <c r="D31" i="772"/>
  <c r="I30" i="772"/>
  <c r="F30" i="772"/>
  <c r="E30" i="772"/>
  <c r="D30" i="772"/>
  <c r="I29" i="772"/>
  <c r="F29" i="772"/>
  <c r="E29" i="772"/>
  <c r="D29" i="772"/>
  <c r="I28" i="772"/>
  <c r="F28" i="772"/>
  <c r="E28" i="772"/>
  <c r="D28" i="772"/>
  <c r="I27" i="772"/>
  <c r="F27" i="772"/>
  <c r="E27" i="772"/>
  <c r="D27" i="772"/>
  <c r="I26" i="772"/>
  <c r="F26" i="772"/>
  <c r="E26" i="772"/>
  <c r="D26" i="772"/>
  <c r="I25" i="772"/>
  <c r="F25" i="772"/>
  <c r="E25" i="772"/>
  <c r="D25" i="772"/>
  <c r="I24" i="772"/>
  <c r="F24" i="772"/>
  <c r="E24" i="772"/>
  <c r="D24" i="772"/>
  <c r="I23" i="772"/>
  <c r="F23" i="772"/>
  <c r="E23" i="772"/>
  <c r="D23" i="772"/>
  <c r="I22" i="772"/>
  <c r="F22" i="772"/>
  <c r="E22" i="772"/>
  <c r="D22" i="772"/>
  <c r="I21" i="772"/>
  <c r="F21" i="772"/>
  <c r="E21" i="772"/>
  <c r="D21" i="772"/>
  <c r="I20" i="772"/>
  <c r="F20" i="772"/>
  <c r="E20" i="772"/>
  <c r="D20" i="772"/>
  <c r="I19" i="772"/>
  <c r="F19" i="772"/>
  <c r="E19" i="772"/>
  <c r="D19" i="772"/>
  <c r="I18" i="772"/>
  <c r="F18" i="772"/>
  <c r="E18" i="772"/>
  <c r="D18" i="772"/>
  <c r="I17" i="772"/>
  <c r="F17" i="772"/>
  <c r="E17" i="772"/>
  <c r="D17" i="772"/>
  <c r="I16" i="772"/>
  <c r="F16" i="772"/>
  <c r="E16" i="772"/>
  <c r="D16" i="772"/>
  <c r="I15" i="772"/>
  <c r="F15" i="772"/>
  <c r="E15" i="772"/>
  <c r="D15" i="772"/>
  <c r="I14" i="772"/>
  <c r="F14" i="772"/>
  <c r="E14" i="772"/>
  <c r="D14" i="772"/>
  <c r="I13" i="772"/>
  <c r="F13" i="772"/>
  <c r="E13" i="772"/>
  <c r="D13" i="772"/>
  <c r="I12" i="772"/>
  <c r="F12" i="772"/>
  <c r="E12" i="772"/>
  <c r="D12" i="772"/>
  <c r="I11" i="772"/>
  <c r="F11" i="772"/>
  <c r="E11" i="772"/>
  <c r="D11" i="772"/>
  <c r="I10" i="772"/>
  <c r="F10" i="772"/>
  <c r="E10" i="772"/>
  <c r="D10" i="772"/>
  <c r="F9" i="772"/>
  <c r="I9" i="772" s="1"/>
  <c r="E9" i="772"/>
  <c r="D9" i="772"/>
  <c r="G8" i="772"/>
  <c r="F8" i="772"/>
  <c r="E8" i="772"/>
  <c r="I8" i="772" s="1"/>
  <c r="I7" i="772" s="1"/>
  <c r="D8" i="772"/>
  <c r="C8" i="772"/>
  <c r="C9" i="772" s="1"/>
  <c r="E7" i="772"/>
  <c r="G6" i="772"/>
  <c r="I37" i="771"/>
  <c r="F37" i="771"/>
  <c r="E37" i="771"/>
  <c r="D37" i="771"/>
  <c r="I36" i="771"/>
  <c r="F36" i="771"/>
  <c r="E36" i="771"/>
  <c r="D36" i="771"/>
  <c r="I35" i="771"/>
  <c r="F35" i="771"/>
  <c r="E35" i="771"/>
  <c r="D35" i="771"/>
  <c r="I34" i="771"/>
  <c r="F34" i="771"/>
  <c r="E34" i="771"/>
  <c r="D34" i="771"/>
  <c r="I33" i="771"/>
  <c r="F33" i="771"/>
  <c r="E33" i="771"/>
  <c r="D33" i="771"/>
  <c r="I32" i="771"/>
  <c r="F32" i="771"/>
  <c r="E32" i="771"/>
  <c r="D32" i="771"/>
  <c r="I31" i="771"/>
  <c r="F31" i="771"/>
  <c r="E31" i="771"/>
  <c r="D31" i="771"/>
  <c r="I30" i="771"/>
  <c r="F30" i="771"/>
  <c r="E30" i="771"/>
  <c r="D30" i="771"/>
  <c r="I29" i="771"/>
  <c r="F29" i="771"/>
  <c r="E29" i="771"/>
  <c r="D29" i="771"/>
  <c r="I28" i="771"/>
  <c r="F28" i="771"/>
  <c r="E28" i="771"/>
  <c r="D28" i="771"/>
  <c r="I27" i="771"/>
  <c r="F27" i="771"/>
  <c r="E27" i="771"/>
  <c r="D27" i="771"/>
  <c r="I26" i="771"/>
  <c r="F26" i="771"/>
  <c r="E26" i="771"/>
  <c r="D26" i="771"/>
  <c r="I25" i="771"/>
  <c r="F25" i="771"/>
  <c r="E25" i="771"/>
  <c r="D25" i="771"/>
  <c r="I24" i="771"/>
  <c r="F24" i="771"/>
  <c r="E24" i="771"/>
  <c r="D24" i="771"/>
  <c r="I23" i="771"/>
  <c r="F23" i="771"/>
  <c r="E23" i="771"/>
  <c r="D23" i="771"/>
  <c r="I22" i="771"/>
  <c r="F22" i="771"/>
  <c r="E22" i="771"/>
  <c r="D22" i="771"/>
  <c r="I21" i="771"/>
  <c r="F21" i="771"/>
  <c r="E21" i="771"/>
  <c r="D21" i="771"/>
  <c r="I20" i="771"/>
  <c r="F20" i="771"/>
  <c r="E20" i="771"/>
  <c r="D20" i="771"/>
  <c r="I19" i="771"/>
  <c r="F19" i="771"/>
  <c r="E19" i="771"/>
  <c r="D19" i="771"/>
  <c r="I18" i="771"/>
  <c r="F18" i="771"/>
  <c r="E18" i="771"/>
  <c r="D18" i="771"/>
  <c r="I17" i="771"/>
  <c r="F17" i="771"/>
  <c r="E17" i="771"/>
  <c r="D17" i="771"/>
  <c r="I16" i="771"/>
  <c r="F16" i="771"/>
  <c r="E16" i="771"/>
  <c r="D16" i="771"/>
  <c r="I15" i="771"/>
  <c r="F15" i="771"/>
  <c r="E15" i="771"/>
  <c r="D15" i="771"/>
  <c r="I14" i="771"/>
  <c r="F14" i="771"/>
  <c r="E14" i="771"/>
  <c r="D14" i="771"/>
  <c r="I13" i="771"/>
  <c r="F13" i="771"/>
  <c r="E13" i="771"/>
  <c r="D13" i="771"/>
  <c r="I12" i="771"/>
  <c r="F12" i="771"/>
  <c r="E12" i="771"/>
  <c r="D12" i="771"/>
  <c r="I11" i="771"/>
  <c r="F11" i="771"/>
  <c r="E11" i="771"/>
  <c r="D11" i="771"/>
  <c r="I10" i="771"/>
  <c r="F10" i="771"/>
  <c r="E10" i="771"/>
  <c r="D10" i="771"/>
  <c r="I9" i="771"/>
  <c r="F9" i="771"/>
  <c r="E9" i="771"/>
  <c r="D9" i="771"/>
  <c r="G8" i="771"/>
  <c r="F8" i="771"/>
  <c r="I8" i="771" s="1"/>
  <c r="I7" i="771" s="1"/>
  <c r="E8" i="771"/>
  <c r="D8" i="771"/>
  <c r="C8" i="771"/>
  <c r="C9" i="771" s="1"/>
  <c r="E7" i="771"/>
  <c r="G6" i="771"/>
  <c r="I37" i="770"/>
  <c r="F37" i="770"/>
  <c r="E37" i="770"/>
  <c r="D37" i="770"/>
  <c r="I36" i="770"/>
  <c r="F36" i="770"/>
  <c r="E36" i="770"/>
  <c r="D36" i="770"/>
  <c r="I35" i="770"/>
  <c r="F35" i="770"/>
  <c r="E35" i="770"/>
  <c r="D35" i="770"/>
  <c r="I34" i="770"/>
  <c r="F34" i="770"/>
  <c r="E34" i="770"/>
  <c r="D34" i="770"/>
  <c r="I33" i="770"/>
  <c r="F33" i="770"/>
  <c r="E33" i="770"/>
  <c r="D33" i="770"/>
  <c r="I32" i="770"/>
  <c r="F32" i="770"/>
  <c r="E32" i="770"/>
  <c r="D32" i="770"/>
  <c r="I31" i="770"/>
  <c r="F31" i="770"/>
  <c r="E31" i="770"/>
  <c r="D31" i="770"/>
  <c r="I30" i="770"/>
  <c r="F30" i="770"/>
  <c r="E30" i="770"/>
  <c r="D30" i="770"/>
  <c r="I29" i="770"/>
  <c r="F29" i="770"/>
  <c r="E29" i="770"/>
  <c r="D29" i="770"/>
  <c r="I28" i="770"/>
  <c r="F28" i="770"/>
  <c r="E28" i="770"/>
  <c r="D28" i="770"/>
  <c r="I27" i="770"/>
  <c r="F27" i="770"/>
  <c r="E27" i="770"/>
  <c r="D27" i="770"/>
  <c r="I26" i="770"/>
  <c r="F26" i="770"/>
  <c r="E26" i="770"/>
  <c r="D26" i="770"/>
  <c r="I25" i="770"/>
  <c r="F25" i="770"/>
  <c r="E25" i="770"/>
  <c r="D25" i="770"/>
  <c r="I24" i="770"/>
  <c r="F24" i="770"/>
  <c r="E24" i="770"/>
  <c r="D24" i="770"/>
  <c r="I23" i="770"/>
  <c r="F23" i="770"/>
  <c r="E23" i="770"/>
  <c r="D23" i="770"/>
  <c r="I22" i="770"/>
  <c r="F22" i="770"/>
  <c r="E22" i="770"/>
  <c r="D22" i="770"/>
  <c r="I21" i="770"/>
  <c r="F21" i="770"/>
  <c r="E21" i="770"/>
  <c r="D21" i="770"/>
  <c r="I20" i="770"/>
  <c r="F20" i="770"/>
  <c r="E20" i="770"/>
  <c r="D20" i="770"/>
  <c r="I19" i="770"/>
  <c r="F19" i="770"/>
  <c r="E19" i="770"/>
  <c r="D19" i="770"/>
  <c r="I18" i="770"/>
  <c r="F18" i="770"/>
  <c r="E18" i="770"/>
  <c r="D18" i="770"/>
  <c r="I17" i="770"/>
  <c r="F17" i="770"/>
  <c r="E17" i="770"/>
  <c r="D17" i="770"/>
  <c r="I16" i="770"/>
  <c r="F16" i="770"/>
  <c r="E16" i="770"/>
  <c r="D16" i="770"/>
  <c r="I15" i="770"/>
  <c r="F15" i="770"/>
  <c r="E15" i="770"/>
  <c r="D15" i="770"/>
  <c r="I14" i="770"/>
  <c r="F14" i="770"/>
  <c r="E14" i="770"/>
  <c r="D14" i="770"/>
  <c r="I13" i="770"/>
  <c r="F13" i="770"/>
  <c r="E13" i="770"/>
  <c r="D13" i="770"/>
  <c r="I12" i="770"/>
  <c r="F12" i="770"/>
  <c r="E12" i="770"/>
  <c r="D12" i="770"/>
  <c r="I11" i="770"/>
  <c r="F10" i="770"/>
  <c r="E10" i="770"/>
  <c r="I10" i="770" s="1"/>
  <c r="D10" i="770"/>
  <c r="F9" i="770"/>
  <c r="I9" i="770" s="1"/>
  <c r="E9" i="770"/>
  <c r="D9" i="770"/>
  <c r="G8" i="770"/>
  <c r="F8" i="770"/>
  <c r="E8" i="770"/>
  <c r="I8" i="770" s="1"/>
  <c r="D8" i="770"/>
  <c r="C8" i="770"/>
  <c r="C9" i="770" s="1"/>
  <c r="E7" i="770"/>
  <c r="G6" i="770"/>
  <c r="H9" i="769"/>
  <c r="I37" i="769"/>
  <c r="F37" i="769"/>
  <c r="E37" i="769"/>
  <c r="D37" i="769"/>
  <c r="I36" i="769"/>
  <c r="F36" i="769"/>
  <c r="E36" i="769"/>
  <c r="D36" i="769"/>
  <c r="I35" i="769"/>
  <c r="F35" i="769"/>
  <c r="E35" i="769"/>
  <c r="D35" i="769"/>
  <c r="I34" i="769"/>
  <c r="F34" i="769"/>
  <c r="E34" i="769"/>
  <c r="D34" i="769"/>
  <c r="I33" i="769"/>
  <c r="F33" i="769"/>
  <c r="E33" i="769"/>
  <c r="D33" i="769"/>
  <c r="I32" i="769"/>
  <c r="F32" i="769"/>
  <c r="E32" i="769"/>
  <c r="D32" i="769"/>
  <c r="I31" i="769"/>
  <c r="F31" i="769"/>
  <c r="E31" i="769"/>
  <c r="D31" i="769"/>
  <c r="I30" i="769"/>
  <c r="F30" i="769"/>
  <c r="E30" i="769"/>
  <c r="D30" i="769"/>
  <c r="I29" i="769"/>
  <c r="F29" i="769"/>
  <c r="E29" i="769"/>
  <c r="D29" i="769"/>
  <c r="I28" i="769"/>
  <c r="F28" i="769"/>
  <c r="E28" i="769"/>
  <c r="D28" i="769"/>
  <c r="I27" i="769"/>
  <c r="F27" i="769"/>
  <c r="E27" i="769"/>
  <c r="D27" i="769"/>
  <c r="I26" i="769"/>
  <c r="F26" i="769"/>
  <c r="E26" i="769"/>
  <c r="D26" i="769"/>
  <c r="I25" i="769"/>
  <c r="F25" i="769"/>
  <c r="E25" i="769"/>
  <c r="D25" i="769"/>
  <c r="I24" i="769"/>
  <c r="F24" i="769"/>
  <c r="E24" i="769"/>
  <c r="D24" i="769"/>
  <c r="I23" i="769"/>
  <c r="F23" i="769"/>
  <c r="E23" i="769"/>
  <c r="D23" i="769"/>
  <c r="I22" i="769"/>
  <c r="F22" i="769"/>
  <c r="E22" i="769"/>
  <c r="D22" i="769"/>
  <c r="I21" i="769"/>
  <c r="F21" i="769"/>
  <c r="E21" i="769"/>
  <c r="D21" i="769"/>
  <c r="I20" i="769"/>
  <c r="F20" i="769"/>
  <c r="E20" i="769"/>
  <c r="D20" i="769"/>
  <c r="I19" i="769"/>
  <c r="F19" i="769"/>
  <c r="E19" i="769"/>
  <c r="D19" i="769"/>
  <c r="I18" i="769"/>
  <c r="F18" i="769"/>
  <c r="E18" i="769"/>
  <c r="D18" i="769"/>
  <c r="I17" i="769"/>
  <c r="F17" i="769"/>
  <c r="E17" i="769"/>
  <c r="D17" i="769"/>
  <c r="I16" i="769"/>
  <c r="F16" i="769"/>
  <c r="E16" i="769"/>
  <c r="D16" i="769"/>
  <c r="I15" i="769"/>
  <c r="F15" i="769"/>
  <c r="E15" i="769"/>
  <c r="D15" i="769"/>
  <c r="I14" i="769"/>
  <c r="F14" i="769"/>
  <c r="E14" i="769"/>
  <c r="D14" i="769"/>
  <c r="I13" i="769"/>
  <c r="F13" i="769"/>
  <c r="E13" i="769"/>
  <c r="D13" i="769"/>
  <c r="I12" i="769"/>
  <c r="F12" i="769"/>
  <c r="E12" i="769"/>
  <c r="D12" i="769"/>
  <c r="I11" i="769"/>
  <c r="F11" i="769"/>
  <c r="E11" i="769"/>
  <c r="D11" i="769"/>
  <c r="I10" i="769"/>
  <c r="F10" i="769"/>
  <c r="E10" i="769"/>
  <c r="D10" i="769"/>
  <c r="G8" i="769"/>
  <c r="F8" i="769"/>
  <c r="E8" i="769"/>
  <c r="I8" i="769" s="1"/>
  <c r="D8" i="769"/>
  <c r="C8" i="769"/>
  <c r="C9" i="769" s="1"/>
  <c r="E7" i="769"/>
  <c r="G6" i="769"/>
  <c r="I37" i="768"/>
  <c r="F37" i="768"/>
  <c r="E37" i="768"/>
  <c r="D37" i="768"/>
  <c r="I36" i="768"/>
  <c r="F36" i="768"/>
  <c r="E36" i="768"/>
  <c r="D36" i="768"/>
  <c r="I35" i="768"/>
  <c r="F35" i="768"/>
  <c r="E35" i="768"/>
  <c r="D35" i="768"/>
  <c r="I34" i="768"/>
  <c r="F34" i="768"/>
  <c r="E34" i="768"/>
  <c r="D34" i="768"/>
  <c r="I33" i="768"/>
  <c r="F33" i="768"/>
  <c r="E33" i="768"/>
  <c r="D33" i="768"/>
  <c r="I32" i="768"/>
  <c r="F32" i="768"/>
  <c r="E32" i="768"/>
  <c r="D32" i="768"/>
  <c r="I31" i="768"/>
  <c r="F31" i="768"/>
  <c r="E31" i="768"/>
  <c r="D31" i="768"/>
  <c r="I30" i="768"/>
  <c r="F30" i="768"/>
  <c r="E30" i="768"/>
  <c r="D30" i="768"/>
  <c r="I29" i="768"/>
  <c r="F29" i="768"/>
  <c r="E29" i="768"/>
  <c r="D29" i="768"/>
  <c r="I28" i="768"/>
  <c r="F28" i="768"/>
  <c r="E28" i="768"/>
  <c r="D28" i="768"/>
  <c r="I27" i="768"/>
  <c r="F27" i="768"/>
  <c r="E27" i="768"/>
  <c r="D27" i="768"/>
  <c r="I26" i="768"/>
  <c r="F26" i="768"/>
  <c r="E26" i="768"/>
  <c r="D26" i="768"/>
  <c r="I25" i="768"/>
  <c r="F25" i="768"/>
  <c r="E25" i="768"/>
  <c r="D25" i="768"/>
  <c r="I24" i="768"/>
  <c r="F24" i="768"/>
  <c r="E24" i="768"/>
  <c r="D24" i="768"/>
  <c r="I23" i="768"/>
  <c r="F23" i="768"/>
  <c r="E23" i="768"/>
  <c r="D23" i="768"/>
  <c r="I22" i="768"/>
  <c r="F22" i="768"/>
  <c r="E22" i="768"/>
  <c r="D22" i="768"/>
  <c r="I21" i="768"/>
  <c r="F21" i="768"/>
  <c r="E21" i="768"/>
  <c r="D21" i="768"/>
  <c r="I20" i="768"/>
  <c r="F20" i="768"/>
  <c r="E20" i="768"/>
  <c r="D20" i="768"/>
  <c r="I19" i="768"/>
  <c r="F19" i="768"/>
  <c r="E19" i="768"/>
  <c r="D19" i="768"/>
  <c r="I18" i="768"/>
  <c r="F18" i="768"/>
  <c r="E18" i="768"/>
  <c r="D18" i="768"/>
  <c r="I17" i="768"/>
  <c r="F17" i="768"/>
  <c r="E17" i="768"/>
  <c r="D17" i="768"/>
  <c r="I16" i="768"/>
  <c r="F16" i="768"/>
  <c r="E16" i="768"/>
  <c r="D16" i="768"/>
  <c r="I15" i="768"/>
  <c r="F15" i="768"/>
  <c r="E15" i="768"/>
  <c r="D15" i="768"/>
  <c r="I14" i="768"/>
  <c r="F14" i="768"/>
  <c r="E14" i="768"/>
  <c r="D14" i="768"/>
  <c r="I13" i="768"/>
  <c r="F13" i="768"/>
  <c r="E13" i="768"/>
  <c r="D13" i="768"/>
  <c r="I12" i="768"/>
  <c r="F12" i="768"/>
  <c r="E12" i="768"/>
  <c r="D12" i="768"/>
  <c r="I11" i="768"/>
  <c r="F11" i="768"/>
  <c r="E11" i="768"/>
  <c r="D11" i="768"/>
  <c r="I10" i="768"/>
  <c r="F10" i="768"/>
  <c r="E10" i="768"/>
  <c r="D10" i="768"/>
  <c r="I9" i="768"/>
  <c r="F9" i="768"/>
  <c r="E9" i="768"/>
  <c r="D9" i="768"/>
  <c r="G8" i="768"/>
  <c r="F8" i="768"/>
  <c r="I8" i="768" s="1"/>
  <c r="I7" i="768" s="1"/>
  <c r="E8" i="768"/>
  <c r="D8" i="768"/>
  <c r="C8" i="768"/>
  <c r="C9" i="768" s="1"/>
  <c r="E7" i="768"/>
  <c r="G6" i="768"/>
  <c r="I37" i="767"/>
  <c r="F37" i="767"/>
  <c r="E37" i="767"/>
  <c r="D37" i="767"/>
  <c r="I36" i="767"/>
  <c r="F36" i="767"/>
  <c r="E36" i="767"/>
  <c r="D36" i="767"/>
  <c r="I35" i="767"/>
  <c r="F35" i="767"/>
  <c r="E35" i="767"/>
  <c r="D35" i="767"/>
  <c r="I34" i="767"/>
  <c r="F34" i="767"/>
  <c r="E34" i="767"/>
  <c r="D34" i="767"/>
  <c r="I33" i="767"/>
  <c r="F33" i="767"/>
  <c r="E33" i="767"/>
  <c r="D33" i="767"/>
  <c r="I32" i="767"/>
  <c r="F32" i="767"/>
  <c r="E32" i="767"/>
  <c r="D32" i="767"/>
  <c r="I31" i="767"/>
  <c r="F31" i="767"/>
  <c r="E31" i="767"/>
  <c r="D31" i="767"/>
  <c r="I30" i="767"/>
  <c r="F30" i="767"/>
  <c r="E30" i="767"/>
  <c r="D30" i="767"/>
  <c r="I29" i="767"/>
  <c r="F29" i="767"/>
  <c r="E29" i="767"/>
  <c r="D29" i="767"/>
  <c r="I28" i="767"/>
  <c r="F28" i="767"/>
  <c r="E28" i="767"/>
  <c r="D28" i="767"/>
  <c r="I27" i="767"/>
  <c r="F27" i="767"/>
  <c r="E27" i="767"/>
  <c r="D27" i="767"/>
  <c r="I26" i="767"/>
  <c r="F26" i="767"/>
  <c r="E26" i="767"/>
  <c r="D26" i="767"/>
  <c r="I25" i="767"/>
  <c r="F25" i="767"/>
  <c r="E25" i="767"/>
  <c r="D25" i="767"/>
  <c r="I24" i="767"/>
  <c r="F24" i="767"/>
  <c r="E24" i="767"/>
  <c r="D24" i="767"/>
  <c r="I23" i="767"/>
  <c r="F23" i="767"/>
  <c r="E23" i="767"/>
  <c r="D23" i="767"/>
  <c r="I22" i="767"/>
  <c r="F22" i="767"/>
  <c r="E22" i="767"/>
  <c r="D22" i="767"/>
  <c r="I21" i="767"/>
  <c r="F21" i="767"/>
  <c r="E21" i="767"/>
  <c r="D21" i="767"/>
  <c r="I20" i="767"/>
  <c r="F20" i="767"/>
  <c r="E20" i="767"/>
  <c r="D20" i="767"/>
  <c r="I19" i="767"/>
  <c r="F19" i="767"/>
  <c r="E19" i="767"/>
  <c r="D19" i="767"/>
  <c r="I18" i="767"/>
  <c r="F18" i="767"/>
  <c r="E18" i="767"/>
  <c r="D18" i="767"/>
  <c r="I17" i="767"/>
  <c r="F17" i="767"/>
  <c r="E17" i="767"/>
  <c r="D17" i="767"/>
  <c r="I16" i="767"/>
  <c r="F16" i="767"/>
  <c r="E16" i="767"/>
  <c r="D16" i="767"/>
  <c r="I15" i="767"/>
  <c r="F15" i="767"/>
  <c r="E15" i="767"/>
  <c r="D15" i="767"/>
  <c r="I14" i="767"/>
  <c r="F14" i="767"/>
  <c r="E14" i="767"/>
  <c r="D14" i="767"/>
  <c r="I13" i="767"/>
  <c r="F13" i="767"/>
  <c r="E13" i="767"/>
  <c r="D13" i="767"/>
  <c r="I12" i="767"/>
  <c r="F12" i="767"/>
  <c r="E12" i="767"/>
  <c r="D12" i="767"/>
  <c r="I11" i="767"/>
  <c r="F11" i="767"/>
  <c r="E11" i="767"/>
  <c r="D11" i="767"/>
  <c r="I10" i="767"/>
  <c r="F10" i="767"/>
  <c r="E10" i="767"/>
  <c r="D10" i="767"/>
  <c r="I9" i="767"/>
  <c r="F9" i="767"/>
  <c r="E9" i="767"/>
  <c r="D9" i="767"/>
  <c r="G8" i="767"/>
  <c r="F8" i="767"/>
  <c r="I8" i="767" s="1"/>
  <c r="I7" i="767" s="1"/>
  <c r="E8" i="767"/>
  <c r="D8" i="767"/>
  <c r="C8" i="767"/>
  <c r="C9" i="767" s="1"/>
  <c r="E7" i="767"/>
  <c r="G6" i="767"/>
  <c r="H9" i="766"/>
  <c r="I37" i="766"/>
  <c r="F37" i="766"/>
  <c r="E37" i="766"/>
  <c r="D37" i="766"/>
  <c r="I36" i="766"/>
  <c r="F36" i="766"/>
  <c r="E36" i="766"/>
  <c r="D36" i="766"/>
  <c r="I35" i="766"/>
  <c r="F35" i="766"/>
  <c r="E35" i="766"/>
  <c r="D35" i="766"/>
  <c r="I34" i="766"/>
  <c r="F34" i="766"/>
  <c r="E34" i="766"/>
  <c r="D34" i="766"/>
  <c r="I33" i="766"/>
  <c r="F33" i="766"/>
  <c r="E33" i="766"/>
  <c r="D33" i="766"/>
  <c r="I32" i="766"/>
  <c r="F32" i="766"/>
  <c r="E32" i="766"/>
  <c r="D32" i="766"/>
  <c r="I31" i="766"/>
  <c r="F31" i="766"/>
  <c r="E31" i="766"/>
  <c r="D31" i="766"/>
  <c r="I30" i="766"/>
  <c r="F30" i="766"/>
  <c r="E30" i="766"/>
  <c r="D30" i="766"/>
  <c r="I29" i="766"/>
  <c r="F29" i="766"/>
  <c r="E29" i="766"/>
  <c r="D29" i="766"/>
  <c r="I28" i="766"/>
  <c r="F28" i="766"/>
  <c r="E28" i="766"/>
  <c r="D28" i="766"/>
  <c r="I27" i="766"/>
  <c r="F27" i="766"/>
  <c r="E27" i="766"/>
  <c r="D27" i="766"/>
  <c r="I26" i="766"/>
  <c r="F26" i="766"/>
  <c r="E26" i="766"/>
  <c r="D26" i="766"/>
  <c r="I25" i="766"/>
  <c r="F25" i="766"/>
  <c r="E25" i="766"/>
  <c r="D25" i="766"/>
  <c r="I24" i="766"/>
  <c r="F24" i="766"/>
  <c r="E24" i="766"/>
  <c r="D24" i="766"/>
  <c r="I23" i="766"/>
  <c r="F23" i="766"/>
  <c r="E23" i="766"/>
  <c r="D23" i="766"/>
  <c r="I22" i="766"/>
  <c r="F22" i="766"/>
  <c r="E22" i="766"/>
  <c r="D22" i="766"/>
  <c r="I21" i="766"/>
  <c r="F21" i="766"/>
  <c r="E21" i="766"/>
  <c r="D21" i="766"/>
  <c r="I20" i="766"/>
  <c r="F20" i="766"/>
  <c r="E20" i="766"/>
  <c r="D20" i="766"/>
  <c r="I19" i="766"/>
  <c r="F19" i="766"/>
  <c r="E19" i="766"/>
  <c r="D19" i="766"/>
  <c r="I18" i="766"/>
  <c r="F18" i="766"/>
  <c r="E18" i="766"/>
  <c r="D18" i="766"/>
  <c r="I17" i="766"/>
  <c r="F17" i="766"/>
  <c r="E17" i="766"/>
  <c r="D17" i="766"/>
  <c r="I16" i="766"/>
  <c r="F16" i="766"/>
  <c r="E16" i="766"/>
  <c r="D16" i="766"/>
  <c r="I15" i="766"/>
  <c r="F15" i="766"/>
  <c r="E15" i="766"/>
  <c r="D15" i="766"/>
  <c r="I14" i="766"/>
  <c r="F14" i="766"/>
  <c r="E14" i="766"/>
  <c r="D14" i="766"/>
  <c r="I13" i="766"/>
  <c r="F13" i="766"/>
  <c r="E13" i="766"/>
  <c r="D13" i="766"/>
  <c r="I12" i="766"/>
  <c r="F12" i="766"/>
  <c r="E12" i="766"/>
  <c r="D12" i="766"/>
  <c r="I11" i="766"/>
  <c r="F11" i="766"/>
  <c r="E11" i="766"/>
  <c r="D11" i="766"/>
  <c r="I10" i="766"/>
  <c r="F10" i="766"/>
  <c r="E10" i="766"/>
  <c r="D10" i="766"/>
  <c r="G8" i="766"/>
  <c r="F8" i="766"/>
  <c r="E8" i="766"/>
  <c r="I8" i="766" s="1"/>
  <c r="D8" i="766"/>
  <c r="C8" i="766"/>
  <c r="C9" i="766" s="1"/>
  <c r="E7" i="766"/>
  <c r="G6" i="766"/>
  <c r="AV12" i="4"/>
  <c r="AV5" i="1"/>
  <c r="AV6" i="1"/>
  <c r="AV11" i="1"/>
  <c r="AV14" i="1"/>
  <c r="AV15" i="1"/>
  <c r="AV16" i="1"/>
  <c r="AV17" i="1"/>
  <c r="AV19" i="1"/>
  <c r="AV20" i="1"/>
  <c r="AV23" i="1"/>
  <c r="G9" i="777" l="1"/>
  <c r="C10" i="777"/>
  <c r="I7" i="776"/>
  <c r="G9" i="776"/>
  <c r="C10" i="776"/>
  <c r="G9" i="775"/>
  <c r="C10" i="775"/>
  <c r="G9" i="774"/>
  <c r="C10" i="774"/>
  <c r="G9" i="773"/>
  <c r="C10" i="773"/>
  <c r="G9" i="772"/>
  <c r="C10" i="772"/>
  <c r="G9" i="771"/>
  <c r="C10" i="771"/>
  <c r="G9" i="770"/>
  <c r="C10" i="770"/>
  <c r="I7" i="770"/>
  <c r="I9" i="769"/>
  <c r="I7" i="769" s="1"/>
  <c r="C10" i="769"/>
  <c r="G9" i="768"/>
  <c r="C10" i="768"/>
  <c r="G9" i="767"/>
  <c r="C10" i="767"/>
  <c r="I9" i="766"/>
  <c r="I7" i="766"/>
  <c r="C10" i="766"/>
  <c r="A2" i="150"/>
  <c r="F10" i="150"/>
  <c r="F9" i="150"/>
  <c r="F6" i="150"/>
  <c r="F5" i="150"/>
  <c r="A2" i="4"/>
  <c r="F6" i="4"/>
  <c r="F5" i="4"/>
  <c r="A2" i="1"/>
  <c r="F18" i="1"/>
  <c r="F9" i="1"/>
  <c r="F8" i="1"/>
  <c r="A2" i="137"/>
  <c r="F13" i="137"/>
  <c r="F12" i="137"/>
  <c r="F10" i="137"/>
  <c r="F9" i="137"/>
  <c r="F8" i="137"/>
  <c r="G10" i="777" l="1"/>
  <c r="C11" i="777"/>
  <c r="G10" i="776"/>
  <c r="C11" i="776"/>
  <c r="G10" i="775"/>
  <c r="C11" i="775"/>
  <c r="C11" i="774"/>
  <c r="G10" i="774"/>
  <c r="G10" i="773"/>
  <c r="C11" i="773"/>
  <c r="G10" i="772"/>
  <c r="C11" i="772"/>
  <c r="G10" i="771"/>
  <c r="C11" i="771"/>
  <c r="G10" i="770"/>
  <c r="C11" i="770"/>
  <c r="G10" i="769"/>
  <c r="C11" i="769"/>
  <c r="G10" i="768"/>
  <c r="C11" i="768"/>
  <c r="G10" i="767"/>
  <c r="C11" i="767"/>
  <c r="G10" i="766"/>
  <c r="C11" i="766"/>
  <c r="C12" i="777" l="1"/>
  <c r="G11" i="777"/>
  <c r="G11" i="776"/>
  <c r="C12" i="776"/>
  <c r="G11" i="775"/>
  <c r="C12" i="775"/>
  <c r="G11" i="774"/>
  <c r="C12" i="774"/>
  <c r="C12" i="773"/>
  <c r="G11" i="773"/>
  <c r="C12" i="772"/>
  <c r="G11" i="772"/>
  <c r="C12" i="771"/>
  <c r="G11" i="771"/>
  <c r="C12" i="770"/>
  <c r="C12" i="769"/>
  <c r="G11" i="769"/>
  <c r="C12" i="768"/>
  <c r="G11" i="768"/>
  <c r="G11" i="767"/>
  <c r="C12" i="767"/>
  <c r="C12" i="766"/>
  <c r="G11" i="766"/>
  <c r="N10" i="120"/>
  <c r="F7" i="137"/>
  <c r="F6" i="137"/>
  <c r="F28" i="1"/>
  <c r="F21" i="1"/>
  <c r="C13" i="777" l="1"/>
  <c r="G12" i="777"/>
  <c r="C13" i="776"/>
  <c r="G12" i="776"/>
  <c r="C13" i="775"/>
  <c r="G12" i="775"/>
  <c r="C13" i="774"/>
  <c r="G12" i="774"/>
  <c r="C13" i="773"/>
  <c r="G12" i="773"/>
  <c r="C13" i="772"/>
  <c r="G12" i="772"/>
  <c r="C13" i="771"/>
  <c r="G12" i="771"/>
  <c r="C13" i="770"/>
  <c r="G12" i="770"/>
  <c r="C13" i="769"/>
  <c r="G12" i="769"/>
  <c r="C13" i="768"/>
  <c r="G12" i="768"/>
  <c r="C13" i="767"/>
  <c r="G12" i="767"/>
  <c r="C13" i="766"/>
  <c r="G12" i="766"/>
  <c r="D9" i="150"/>
  <c r="D10" i="150"/>
  <c r="A31" i="1"/>
  <c r="A32" i="1"/>
  <c r="A33" i="1"/>
  <c r="A34" i="1"/>
  <c r="G13" i="777" l="1"/>
  <c r="C14" i="777"/>
  <c r="C14" i="776"/>
  <c r="G13" i="775"/>
  <c r="C14" i="775"/>
  <c r="G13" i="774"/>
  <c r="C14" i="774"/>
  <c r="G13" i="773"/>
  <c r="C14" i="773"/>
  <c r="G13" i="772"/>
  <c r="C14" i="772"/>
  <c r="G13" i="771"/>
  <c r="C14" i="771"/>
  <c r="G13" i="770"/>
  <c r="C14" i="770"/>
  <c r="G13" i="769"/>
  <c r="C14" i="769"/>
  <c r="G13" i="768"/>
  <c r="C14" i="768"/>
  <c r="G13" i="767"/>
  <c r="C14" i="767"/>
  <c r="G13" i="766"/>
  <c r="C14" i="766"/>
  <c r="AW4" i="137"/>
  <c r="AW4" i="1"/>
  <c r="D10" i="50"/>
  <c r="AX8" i="137"/>
  <c r="AX9" i="137"/>
  <c r="AX10" i="137"/>
  <c r="AX11" i="137"/>
  <c r="AX12" i="137"/>
  <c r="AX13" i="137"/>
  <c r="AX14" i="137"/>
  <c r="M7" i="137"/>
  <c r="M8" i="137"/>
  <c r="M9" i="137"/>
  <c r="M10" i="137"/>
  <c r="M11" i="137"/>
  <c r="M12" i="137"/>
  <c r="M13" i="137"/>
  <c r="H8" i="137"/>
  <c r="F5" i="137"/>
  <c r="D6" i="50"/>
  <c r="D7" i="50"/>
  <c r="D8" i="50"/>
  <c r="D9" i="50"/>
  <c r="D5" i="50"/>
  <c r="AX6" i="137"/>
  <c r="AX7" i="137"/>
  <c r="M6" i="137"/>
  <c r="M14" i="137"/>
  <c r="H6" i="137"/>
  <c r="H7" i="137"/>
  <c r="H9" i="137"/>
  <c r="H10" i="137"/>
  <c r="H11" i="137"/>
  <c r="H12" i="137"/>
  <c r="H13" i="137"/>
  <c r="AT11" i="50"/>
  <c r="AG11" i="50"/>
  <c r="AO9" i="50"/>
  <c r="AC6" i="50"/>
  <c r="AY9" i="50"/>
  <c r="AZ10" i="50"/>
  <c r="AR11" i="50"/>
  <c r="AF10" i="50"/>
  <c r="AR10" i="50"/>
  <c r="AN8" i="50"/>
  <c r="AE10" i="50"/>
  <c r="AO8" i="50"/>
  <c r="AJ9" i="50"/>
  <c r="AY10" i="50"/>
  <c r="AP8" i="50"/>
  <c r="N10" i="50"/>
  <c r="AF8" i="50"/>
  <c r="AC7" i="50"/>
  <c r="AC11" i="50"/>
  <c r="AP9" i="50"/>
  <c r="AG6" i="50"/>
  <c r="AX10" i="50"/>
  <c r="AS7" i="50"/>
  <c r="AM9" i="50"/>
  <c r="AD6" i="50"/>
  <c r="AS10" i="50"/>
  <c r="V10" i="50"/>
  <c r="AO7" i="50"/>
  <c r="AJ8" i="50"/>
  <c r="BA9" i="50"/>
  <c r="AS11" i="50"/>
  <c r="AM7" i="50"/>
  <c r="AN9" i="50"/>
  <c r="AY11" i="50"/>
  <c r="AK7" i="50"/>
  <c r="AZ8" i="50"/>
  <c r="BA8" i="50"/>
  <c r="AF7" i="50"/>
  <c r="AM6" i="50"/>
  <c r="AQ6" i="50"/>
  <c r="AH6" i="50"/>
  <c r="AO11" i="50"/>
  <c r="AR7" i="50"/>
  <c r="BA7" i="50"/>
  <c r="S10" i="50"/>
  <c r="BB9" i="50"/>
  <c r="AI11" i="50"/>
  <c r="AI9" i="50"/>
  <c r="AH7" i="50"/>
  <c r="AN11" i="50"/>
  <c r="BA10" i="50"/>
  <c r="AK11" i="50"/>
  <c r="AX11" i="50"/>
  <c r="AT6" i="50"/>
  <c r="AV6" i="50"/>
  <c r="AG9" i="50"/>
  <c r="AZ7" i="50"/>
  <c r="AZ11" i="50"/>
  <c r="AP10" i="50"/>
  <c r="AV11" i="50"/>
  <c r="AT10" i="50"/>
  <c r="L10" i="50"/>
  <c r="AO6" i="50"/>
  <c r="AX9" i="50"/>
  <c r="AP11" i="50"/>
  <c r="AM10" i="50"/>
  <c r="AE11" i="50"/>
  <c r="AT9" i="50"/>
  <c r="AF11" i="50"/>
  <c r="AD8" i="50"/>
  <c r="AQ9" i="50"/>
  <c r="AW8" i="50"/>
  <c r="AQ10" i="50"/>
  <c r="BC10" i="50"/>
  <c r="AL10" i="50"/>
  <c r="AF6" i="50"/>
  <c r="AL6" i="50"/>
  <c r="BC9" i="50"/>
  <c r="BC8" i="50"/>
  <c r="AZ9" i="50"/>
  <c r="AV10" i="50"/>
  <c r="AK9" i="50"/>
  <c r="AQ8" i="50"/>
  <c r="AK6" i="50"/>
  <c r="AQ11" i="50"/>
  <c r="AK8" i="50"/>
  <c r="Q10" i="50"/>
  <c r="AT7" i="50"/>
  <c r="AD9" i="50"/>
  <c r="AM11" i="50"/>
  <c r="AJ10" i="50"/>
  <c r="AN7" i="50"/>
  <c r="R10" i="50"/>
  <c r="AU9" i="50"/>
  <c r="AO10" i="50"/>
  <c r="AC9" i="50"/>
  <c r="U10" i="50"/>
  <c r="AE6" i="50"/>
  <c r="AS8" i="50"/>
  <c r="BA6" i="50"/>
  <c r="P10" i="50"/>
  <c r="AG10" i="50"/>
  <c r="AV9" i="50"/>
  <c r="W10" i="50"/>
  <c r="O10" i="50"/>
  <c r="AW11" i="50"/>
  <c r="AI10" i="50"/>
  <c r="AJ11" i="50"/>
  <c r="AI7" i="50"/>
  <c r="AN10" i="50"/>
  <c r="AL11" i="50"/>
  <c r="AI8" i="50"/>
  <c r="BB8" i="50"/>
  <c r="AK10" i="50"/>
  <c r="M10" i="50"/>
  <c r="BB6" i="50"/>
  <c r="BB7" i="50"/>
  <c r="AR9" i="50"/>
  <c r="AU11" i="50"/>
  <c r="AU8" i="50"/>
  <c r="AN6" i="50"/>
  <c r="AX8" i="50"/>
  <c r="AY6" i="50"/>
  <c r="AE7" i="50"/>
  <c r="AE9" i="50"/>
  <c r="AX7" i="50"/>
  <c r="AT8" i="50"/>
  <c r="AJ6" i="50"/>
  <c r="AS6" i="50"/>
  <c r="AD7" i="50"/>
  <c r="AH8" i="50"/>
  <c r="AL9" i="50"/>
  <c r="BC6" i="50"/>
  <c r="AV8" i="50"/>
  <c r="BA11" i="50"/>
  <c r="AG8" i="50"/>
  <c r="AH11" i="50"/>
  <c r="AW9" i="50"/>
  <c r="AW10" i="50"/>
  <c r="AJ7" i="50"/>
  <c r="AP6" i="50"/>
  <c r="AM8" i="50"/>
  <c r="BC11" i="50"/>
  <c r="AH10" i="50"/>
  <c r="AY8" i="50"/>
  <c r="AD10" i="50"/>
  <c r="Y10" i="50"/>
  <c r="AY7" i="50"/>
  <c r="AF9" i="50"/>
  <c r="AW7" i="50"/>
  <c r="AI6" i="50"/>
  <c r="X10" i="50"/>
  <c r="AC8" i="50"/>
  <c r="AC10" i="50"/>
  <c r="AP7" i="50"/>
  <c r="AV7" i="50"/>
  <c r="BC7" i="50"/>
  <c r="AU10" i="50"/>
  <c r="AE8" i="50"/>
  <c r="AZ6" i="50"/>
  <c r="AH9" i="50"/>
  <c r="AG7" i="50"/>
  <c r="AB10" i="50"/>
  <c r="T10" i="50"/>
  <c r="AU7" i="50"/>
  <c r="AX6" i="50"/>
  <c r="AD11" i="50"/>
  <c r="AW6" i="50"/>
  <c r="BB11" i="50"/>
  <c r="AR8" i="50"/>
  <c r="AS9" i="50"/>
  <c r="AL8" i="50"/>
  <c r="AQ7" i="50"/>
  <c r="AR6" i="50"/>
  <c r="BB10" i="50"/>
  <c r="AL7" i="50"/>
  <c r="Z10" i="50"/>
  <c r="AA10" i="50"/>
  <c r="AU6" i="50"/>
  <c r="G14" i="777" l="1"/>
  <c r="C15" i="777"/>
  <c r="G14" i="776"/>
  <c r="C15" i="776"/>
  <c r="G14" i="775"/>
  <c r="C15" i="775"/>
  <c r="G14" i="774"/>
  <c r="C15" i="774"/>
  <c r="G14" i="773"/>
  <c r="C15" i="773"/>
  <c r="G14" i="772"/>
  <c r="C15" i="772"/>
  <c r="G14" i="771"/>
  <c r="C15" i="771"/>
  <c r="G14" i="770"/>
  <c r="C15" i="770"/>
  <c r="G14" i="769"/>
  <c r="C15" i="769"/>
  <c r="G14" i="768"/>
  <c r="C15" i="768"/>
  <c r="G14" i="767"/>
  <c r="C15" i="767"/>
  <c r="G14" i="766"/>
  <c r="C15" i="766"/>
  <c r="F10" i="50"/>
  <c r="AV10" i="137" s="1"/>
  <c r="F11" i="137"/>
  <c r="N7" i="50"/>
  <c r="Z6" i="50"/>
  <c r="P6" i="50"/>
  <c r="Y11" i="50"/>
  <c r="T11" i="50"/>
  <c r="Y8" i="50"/>
  <c r="Q6" i="50"/>
  <c r="W9" i="50"/>
  <c r="L7" i="50"/>
  <c r="Y9" i="50"/>
  <c r="P9" i="50"/>
  <c r="R6" i="50"/>
  <c r="L9" i="50"/>
  <c r="W8" i="50"/>
  <c r="Q8" i="50"/>
  <c r="P11" i="50"/>
  <c r="Y6" i="50"/>
  <c r="U11" i="50"/>
  <c r="X9" i="50"/>
  <c r="W6" i="50"/>
  <c r="AB6" i="50"/>
  <c r="P7" i="50"/>
  <c r="Q7" i="50"/>
  <c r="M6" i="50"/>
  <c r="U6" i="50"/>
  <c r="AB9" i="50"/>
  <c r="V8" i="50"/>
  <c r="V11" i="50"/>
  <c r="AA8" i="50"/>
  <c r="Z7" i="50"/>
  <c r="O9" i="50"/>
  <c r="O7" i="50"/>
  <c r="W11" i="50"/>
  <c r="AA9" i="50"/>
  <c r="T9" i="50"/>
  <c r="L11" i="50"/>
  <c r="P8" i="50"/>
  <c r="R9" i="50"/>
  <c r="N6" i="50"/>
  <c r="AA11" i="50"/>
  <c r="O6" i="50"/>
  <c r="Y7" i="50"/>
  <c r="V7" i="50"/>
  <c r="Z11" i="50"/>
  <c r="AB7" i="50"/>
  <c r="L6" i="50"/>
  <c r="L8" i="50"/>
  <c r="M7" i="50"/>
  <c r="M9" i="50"/>
  <c r="N11" i="50"/>
  <c r="V6" i="50"/>
  <c r="T6" i="50"/>
  <c r="N9" i="50"/>
  <c r="AA7" i="50"/>
  <c r="Q9" i="50"/>
  <c r="W7" i="50"/>
  <c r="T8" i="50"/>
  <c r="S11" i="50"/>
  <c r="U7" i="50"/>
  <c r="S9" i="50"/>
  <c r="Q11" i="50"/>
  <c r="O11" i="50"/>
  <c r="M11" i="50"/>
  <c r="AB11" i="50"/>
  <c r="AA6" i="50"/>
  <c r="X11" i="50"/>
  <c r="S7" i="50"/>
  <c r="R11" i="50"/>
  <c r="X7" i="50"/>
  <c r="Z8" i="50"/>
  <c r="M8" i="50"/>
  <c r="S8" i="50"/>
  <c r="X8" i="50"/>
  <c r="AB8" i="50"/>
  <c r="U9" i="50"/>
  <c r="R7" i="50"/>
  <c r="U8" i="50"/>
  <c r="O8" i="50"/>
  <c r="V9" i="50"/>
  <c r="X6" i="50"/>
  <c r="N8" i="50"/>
  <c r="S6" i="50"/>
  <c r="Z9" i="50"/>
  <c r="T7" i="50"/>
  <c r="R8" i="50"/>
  <c r="G15" i="777" l="1"/>
  <c r="C16" i="777"/>
  <c r="G15" i="776"/>
  <c r="C16" i="776"/>
  <c r="G15" i="775"/>
  <c r="C16" i="775"/>
  <c r="C16" i="774"/>
  <c r="G15" i="774"/>
  <c r="G15" i="773"/>
  <c r="C16" i="773"/>
  <c r="C16" i="772"/>
  <c r="G15" i="772"/>
  <c r="C16" i="771"/>
  <c r="G15" i="771"/>
  <c r="C16" i="770"/>
  <c r="G15" i="770"/>
  <c r="G15" i="769"/>
  <c r="C16" i="769"/>
  <c r="G15" i="768"/>
  <c r="C16" i="768"/>
  <c r="G15" i="767"/>
  <c r="C16" i="767"/>
  <c r="G15" i="766"/>
  <c r="C16" i="766"/>
  <c r="F6" i="50"/>
  <c r="AV6" i="137" s="1"/>
  <c r="F7" i="50"/>
  <c r="AV7" i="137" s="1"/>
  <c r="F8" i="50"/>
  <c r="AV8" i="137" s="1"/>
  <c r="F9" i="50"/>
  <c r="AV9" i="137" s="1"/>
  <c r="M10" i="120"/>
  <c r="F11" i="4"/>
  <c r="F9" i="4"/>
  <c r="F8" i="4"/>
  <c r="F7" i="4"/>
  <c r="F7" i="150"/>
  <c r="C17" i="777" l="1"/>
  <c r="G16" i="777"/>
  <c r="C17" i="776"/>
  <c r="G16" i="776"/>
  <c r="C17" i="775"/>
  <c r="G16" i="775"/>
  <c r="C17" i="774"/>
  <c r="G16" i="774"/>
  <c r="C17" i="773"/>
  <c r="G16" i="773"/>
  <c r="C17" i="772"/>
  <c r="G16" i="772"/>
  <c r="C17" i="771"/>
  <c r="G16" i="771"/>
  <c r="C17" i="770"/>
  <c r="G16" i="770"/>
  <c r="C17" i="769"/>
  <c r="G16" i="769"/>
  <c r="C17" i="768"/>
  <c r="G16" i="768"/>
  <c r="C17" i="767"/>
  <c r="G16" i="767"/>
  <c r="C17" i="766"/>
  <c r="G16" i="766"/>
  <c r="F24" i="1"/>
  <c r="G17" i="777" l="1"/>
  <c r="C18" i="777"/>
  <c r="G17" i="776"/>
  <c r="C18" i="776"/>
  <c r="G17" i="775"/>
  <c r="C18" i="775"/>
  <c r="G17" i="774"/>
  <c r="C18" i="774"/>
  <c r="G17" i="773"/>
  <c r="C18" i="773"/>
  <c r="G17" i="772"/>
  <c r="C18" i="772"/>
  <c r="G17" i="771"/>
  <c r="C18" i="771"/>
  <c r="G17" i="770"/>
  <c r="C18" i="770"/>
  <c r="G17" i="769"/>
  <c r="C18" i="769"/>
  <c r="G17" i="768"/>
  <c r="C18" i="768"/>
  <c r="G17" i="767"/>
  <c r="C18" i="767"/>
  <c r="G17" i="766"/>
  <c r="C18" i="766"/>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8" i="777" l="1"/>
  <c r="C19" i="777"/>
  <c r="G18" i="776"/>
  <c r="C19" i="776"/>
  <c r="G18" i="775"/>
  <c r="C19" i="775"/>
  <c r="G18" i="774"/>
  <c r="C19" i="774"/>
  <c r="G18" i="773"/>
  <c r="C19" i="773"/>
  <c r="G18" i="772"/>
  <c r="C19" i="772"/>
  <c r="G18" i="771"/>
  <c r="C19" i="771"/>
  <c r="G18" i="770"/>
  <c r="C19" i="770"/>
  <c r="G18" i="769"/>
  <c r="C19" i="769"/>
  <c r="G18" i="768"/>
  <c r="C19" i="768"/>
  <c r="G18" i="767"/>
  <c r="C19" i="767"/>
  <c r="G18" i="766"/>
  <c r="C19" i="766"/>
  <c r="H5" i="95"/>
  <c r="C20" i="777" l="1"/>
  <c r="G19" i="777"/>
  <c r="C20" i="776"/>
  <c r="G19" i="776"/>
  <c r="C20" i="775"/>
  <c r="G19" i="775"/>
  <c r="C20" i="774"/>
  <c r="G19" i="774"/>
  <c r="C20" i="773"/>
  <c r="G19" i="773"/>
  <c r="C20" i="772"/>
  <c r="G19" i="772"/>
  <c r="C20" i="771"/>
  <c r="G19" i="771"/>
  <c r="G19" i="770"/>
  <c r="C20" i="770"/>
  <c r="C20" i="769"/>
  <c r="G19" i="769"/>
  <c r="C20" i="768"/>
  <c r="G19" i="768"/>
  <c r="C20" i="767"/>
  <c r="G19" i="767"/>
  <c r="C20" i="766"/>
  <c r="G19" i="766"/>
  <c r="F11" i="150"/>
  <c r="F20" i="4"/>
  <c r="C21" i="777" l="1"/>
  <c r="G20" i="777"/>
  <c r="C21" i="776"/>
  <c r="G20" i="776"/>
  <c r="C21" i="775"/>
  <c r="G20" i="775"/>
  <c r="C21" i="774"/>
  <c r="G20" i="774"/>
  <c r="C21" i="773"/>
  <c r="G20" i="773"/>
  <c r="C21" i="772"/>
  <c r="G20" i="772"/>
  <c r="C21" i="771"/>
  <c r="G20" i="771"/>
  <c r="C21" i="770"/>
  <c r="G20" i="770"/>
  <c r="C21" i="769"/>
  <c r="G20" i="769"/>
  <c r="C21" i="768"/>
  <c r="G20" i="768"/>
  <c r="C21" i="767"/>
  <c r="G20" i="767"/>
  <c r="C21" i="766"/>
  <c r="G20" i="766"/>
  <c r="I12" i="95"/>
  <c r="G21" i="777" l="1"/>
  <c r="C22" i="777"/>
  <c r="G21" i="776"/>
  <c r="C22" i="776"/>
  <c r="G21" i="775"/>
  <c r="C22" i="775"/>
  <c r="G21" i="774"/>
  <c r="C22" i="774"/>
  <c r="G21" i="773"/>
  <c r="C22" i="773"/>
  <c r="G21" i="772"/>
  <c r="C22" i="772"/>
  <c r="G21" i="771"/>
  <c r="C22" i="771"/>
  <c r="G21" i="770"/>
  <c r="C22" i="770"/>
  <c r="G21" i="769"/>
  <c r="C22" i="769"/>
  <c r="G21" i="768"/>
  <c r="C22" i="768"/>
  <c r="G21" i="767"/>
  <c r="C22" i="767"/>
  <c r="G21" i="766"/>
  <c r="C22" i="766"/>
  <c r="F25" i="1"/>
  <c r="G22" i="777" l="1"/>
  <c r="C23" i="777"/>
  <c r="G22" i="776"/>
  <c r="C23" i="776"/>
  <c r="G22" i="775"/>
  <c r="C23" i="775"/>
  <c r="G22" i="774"/>
  <c r="C23" i="774"/>
  <c r="G22" i="773"/>
  <c r="C23" i="773"/>
  <c r="G22" i="772"/>
  <c r="C23" i="772"/>
  <c r="G22" i="771"/>
  <c r="C23" i="771"/>
  <c r="G22" i="770"/>
  <c r="C23" i="770"/>
  <c r="G22" i="769"/>
  <c r="C23" i="769"/>
  <c r="G22" i="768"/>
  <c r="C23" i="768"/>
  <c r="G22" i="767"/>
  <c r="C23" i="767"/>
  <c r="G22" i="766"/>
  <c r="C23" i="766"/>
  <c r="W8" i="120"/>
  <c r="AB8" i="120"/>
  <c r="AE8" i="120"/>
  <c r="AH8" i="120"/>
  <c r="AK8" i="120"/>
  <c r="AN8" i="120"/>
  <c r="AQ8" i="120"/>
  <c r="AT8" i="120"/>
  <c r="AW8" i="120"/>
  <c r="AZ8" i="120"/>
  <c r="BC8" i="120"/>
  <c r="BF8" i="120"/>
  <c r="Y1" i="120"/>
  <c r="Y8" i="120"/>
  <c r="W6" i="120"/>
  <c r="F23" i="4"/>
  <c r="C24" i="777" l="1"/>
  <c r="G23" i="777"/>
  <c r="C24" i="776"/>
  <c r="G23" i="776"/>
  <c r="C24" i="775"/>
  <c r="G23" i="775"/>
  <c r="C24" i="774"/>
  <c r="G23" i="774"/>
  <c r="C24" i="773"/>
  <c r="G23" i="773"/>
  <c r="C24" i="772"/>
  <c r="G23" i="772"/>
  <c r="C24" i="771"/>
  <c r="G23" i="771"/>
  <c r="C24" i="770"/>
  <c r="G23" i="770"/>
  <c r="C24" i="769"/>
  <c r="G23" i="769"/>
  <c r="G23" i="768"/>
  <c r="C24" i="768"/>
  <c r="C24" i="767"/>
  <c r="G23" i="767"/>
  <c r="C24" i="766"/>
  <c r="G23" i="766"/>
  <c r="J9" i="120"/>
  <c r="M9" i="120"/>
  <c r="C25" i="777" l="1"/>
  <c r="G24" i="777"/>
  <c r="C25" i="776"/>
  <c r="G24" i="776"/>
  <c r="C25" i="775"/>
  <c r="G24" i="775"/>
  <c r="C25" i="774"/>
  <c r="G24" i="774"/>
  <c r="C25" i="773"/>
  <c r="G24" i="773"/>
  <c r="C25" i="772"/>
  <c r="G24" i="772"/>
  <c r="C25" i="771"/>
  <c r="G24" i="771"/>
  <c r="C25" i="770"/>
  <c r="G24" i="770"/>
  <c r="C25" i="769"/>
  <c r="G24" i="769"/>
  <c r="C25" i="768"/>
  <c r="G24" i="768"/>
  <c r="C25" i="767"/>
  <c r="G24" i="767"/>
  <c r="C25" i="766"/>
  <c r="G24" i="766"/>
  <c r="F10" i="439"/>
  <c r="G25" i="777" l="1"/>
  <c r="C26" i="777"/>
  <c r="G25" i="776"/>
  <c r="C26" i="776"/>
  <c r="G25" i="775"/>
  <c r="C26" i="775"/>
  <c r="G25" i="774"/>
  <c r="C26" i="774"/>
  <c r="G25" i="773"/>
  <c r="C26" i="773"/>
  <c r="G25" i="772"/>
  <c r="C26" i="772"/>
  <c r="G25" i="771"/>
  <c r="C26" i="771"/>
  <c r="G25" i="770"/>
  <c r="C26" i="770"/>
  <c r="G25" i="769"/>
  <c r="C26" i="769"/>
  <c r="G25" i="768"/>
  <c r="C26" i="768"/>
  <c r="G25" i="767"/>
  <c r="C26" i="767"/>
  <c r="G25" i="766"/>
  <c r="C26" i="766"/>
  <c r="F30" i="1"/>
  <c r="F12" i="150"/>
  <c r="J8" i="120"/>
  <c r="G26" i="777" l="1"/>
  <c r="C27" i="777"/>
  <c r="G26" i="776"/>
  <c r="C27" i="776"/>
  <c r="G26" i="775"/>
  <c r="C27" i="775"/>
  <c r="C27" i="774"/>
  <c r="G26" i="774"/>
  <c r="G26" i="773"/>
  <c r="C27" i="773"/>
  <c r="G26" i="772"/>
  <c r="C27" i="772"/>
  <c r="G26" i="771"/>
  <c r="C27" i="771"/>
  <c r="G26" i="770"/>
  <c r="C27" i="770"/>
  <c r="G26" i="769"/>
  <c r="C27" i="769"/>
  <c r="G26" i="768"/>
  <c r="C27" i="768"/>
  <c r="G26" i="767"/>
  <c r="C27" i="767"/>
  <c r="G26" i="766"/>
  <c r="C27" i="766"/>
  <c r="AB1" i="120"/>
  <c r="AE1" i="120"/>
  <c r="AH1" i="120"/>
  <c r="AK1" i="120"/>
  <c r="AN1" i="120"/>
  <c r="AQ1" i="120"/>
  <c r="AT1" i="120"/>
  <c r="AW1" i="120"/>
  <c r="AZ1" i="120"/>
  <c r="W4" i="120"/>
  <c r="G27" i="777" l="1"/>
  <c r="C28" i="777"/>
  <c r="C28" i="776"/>
  <c r="G27" i="776"/>
  <c r="C28" i="775"/>
  <c r="G27" i="775"/>
  <c r="G27" i="774"/>
  <c r="C28" i="774"/>
  <c r="C28" i="773"/>
  <c r="G27" i="773"/>
  <c r="C28" i="772"/>
  <c r="G27" i="772"/>
  <c r="C28" i="771"/>
  <c r="G27" i="771"/>
  <c r="G27" i="770"/>
  <c r="C28" i="770"/>
  <c r="C28" i="769"/>
  <c r="G27" i="769"/>
  <c r="C28" i="768"/>
  <c r="G27" i="768"/>
  <c r="C28" i="767"/>
  <c r="G27" i="767"/>
  <c r="C28" i="766"/>
  <c r="G27" i="766"/>
  <c r="W1" i="120"/>
  <c r="C29" i="777" l="1"/>
  <c r="G28" i="777"/>
  <c r="C29" i="776"/>
  <c r="G28" i="776"/>
  <c r="C29" i="775"/>
  <c r="G28" i="775"/>
  <c r="C29" i="774"/>
  <c r="G28" i="774"/>
  <c r="C29" i="773"/>
  <c r="G28" i="773"/>
  <c r="C29" i="772"/>
  <c r="G28" i="772"/>
  <c r="C29" i="771"/>
  <c r="G28" i="771"/>
  <c r="C29" i="770"/>
  <c r="G28" i="770"/>
  <c r="C29" i="769"/>
  <c r="G28" i="769"/>
  <c r="C29" i="768"/>
  <c r="G28" i="768"/>
  <c r="C29" i="767"/>
  <c r="G28" i="767"/>
  <c r="C29" i="766"/>
  <c r="G28" i="766"/>
  <c r="F8" i="150"/>
  <c r="G29" i="777" l="1"/>
  <c r="C30" i="777"/>
  <c r="G29" i="776"/>
  <c r="C30" i="776"/>
  <c r="G29" i="775"/>
  <c r="C30" i="775"/>
  <c r="G29" i="774"/>
  <c r="C30" i="774"/>
  <c r="G29" i="773"/>
  <c r="C30" i="773"/>
  <c r="G29" i="772"/>
  <c r="C30" i="772"/>
  <c r="G29" i="771"/>
  <c r="C30" i="771"/>
  <c r="G29" i="770"/>
  <c r="C30" i="770"/>
  <c r="G29" i="769"/>
  <c r="C30" i="769"/>
  <c r="G29" i="768"/>
  <c r="C30" i="768"/>
  <c r="G29" i="767"/>
  <c r="C30" i="767"/>
  <c r="G29" i="766"/>
  <c r="C30" i="766"/>
  <c r="F22" i="439"/>
  <c r="F21" i="439"/>
  <c r="F20" i="439"/>
  <c r="F19" i="439"/>
  <c r="F18" i="439"/>
  <c r="F17" i="439"/>
  <c r="F16" i="439"/>
  <c r="F15" i="439"/>
  <c r="F14" i="439"/>
  <c r="F13" i="439"/>
  <c r="F12" i="439"/>
  <c r="F11" i="439"/>
  <c r="F9" i="439"/>
  <c r="G8" i="439"/>
  <c r="F8" i="439"/>
  <c r="C8" i="439"/>
  <c r="C9" i="439" s="1"/>
  <c r="G30" i="777" l="1"/>
  <c r="C31" i="777"/>
  <c r="G30" i="776"/>
  <c r="C31" i="776"/>
  <c r="G30" i="775"/>
  <c r="C31" i="775"/>
  <c r="C31" i="774"/>
  <c r="G30" i="774"/>
  <c r="G30" i="773"/>
  <c r="C31" i="773"/>
  <c r="G30" i="772"/>
  <c r="C31" i="772"/>
  <c r="G30" i="771"/>
  <c r="C31" i="771"/>
  <c r="G30" i="770"/>
  <c r="C31" i="770"/>
  <c r="G30" i="769"/>
  <c r="C31" i="769"/>
  <c r="G30" i="768"/>
  <c r="C31" i="768"/>
  <c r="G30" i="767"/>
  <c r="C31" i="767"/>
  <c r="G30" i="766"/>
  <c r="C31" i="766"/>
  <c r="G9" i="439"/>
  <c r="C10" i="439"/>
  <c r="C32" i="777" l="1"/>
  <c r="G31" i="777"/>
  <c r="C32" i="776"/>
  <c r="G31" i="776"/>
  <c r="C32" i="775"/>
  <c r="G31" i="775"/>
  <c r="G31" i="774"/>
  <c r="C32" i="774"/>
  <c r="G31" i="773"/>
  <c r="C32" i="773"/>
  <c r="C32" i="772"/>
  <c r="G31" i="772"/>
  <c r="C32" i="771"/>
  <c r="G31" i="771"/>
  <c r="C32" i="770"/>
  <c r="G31" i="770"/>
  <c r="C32" i="769"/>
  <c r="G31" i="769"/>
  <c r="C32" i="768"/>
  <c r="G31" i="768"/>
  <c r="C32" i="767"/>
  <c r="G31" i="767"/>
  <c r="C32" i="766"/>
  <c r="G31" i="766"/>
  <c r="G10" i="439"/>
  <c r="C11" i="439"/>
  <c r="C33" i="777" l="1"/>
  <c r="G32" i="777"/>
  <c r="C33" i="776"/>
  <c r="G32" i="776"/>
  <c r="C33" i="775"/>
  <c r="G32" i="775"/>
  <c r="C33" i="774"/>
  <c r="G32" i="774"/>
  <c r="C33" i="773"/>
  <c r="G32" i="773"/>
  <c r="C33" i="772"/>
  <c r="G32" i="772"/>
  <c r="C33" i="771"/>
  <c r="G32" i="771"/>
  <c r="C33" i="770"/>
  <c r="G32" i="770"/>
  <c r="C33" i="769"/>
  <c r="G32" i="769"/>
  <c r="C33" i="768"/>
  <c r="G32" i="768"/>
  <c r="C33" i="767"/>
  <c r="G32" i="767"/>
  <c r="C33" i="766"/>
  <c r="G32" i="766"/>
  <c r="G11" i="439"/>
  <c r="C12" i="439"/>
  <c r="F27" i="1"/>
  <c r="M30" i="1"/>
  <c r="G33" i="777" l="1"/>
  <c r="C34" i="777"/>
  <c r="G33" i="776"/>
  <c r="C34" i="776"/>
  <c r="G33" i="775"/>
  <c r="C34" i="775"/>
  <c r="G33" i="774"/>
  <c r="C34" i="774"/>
  <c r="G33" i="773"/>
  <c r="C34" i="773"/>
  <c r="G33" i="772"/>
  <c r="C34" i="772"/>
  <c r="G33" i="771"/>
  <c r="C34" i="771"/>
  <c r="G33" i="770"/>
  <c r="C34" i="770"/>
  <c r="G33" i="769"/>
  <c r="C34" i="769"/>
  <c r="G33" i="768"/>
  <c r="C34" i="768"/>
  <c r="G33" i="767"/>
  <c r="C34" i="767"/>
  <c r="G33" i="766"/>
  <c r="C34" i="766"/>
  <c r="G12" i="439"/>
  <c r="C13" i="439"/>
  <c r="G30" i="1"/>
  <c r="H30" i="1" s="1"/>
  <c r="G34" i="777" l="1"/>
  <c r="C35" i="777"/>
  <c r="G34" i="776"/>
  <c r="C35" i="776"/>
  <c r="G34" i="775"/>
  <c r="C35" i="775"/>
  <c r="G34" i="774"/>
  <c r="C35" i="774"/>
  <c r="G34" i="773"/>
  <c r="C35" i="773"/>
  <c r="G34" i="772"/>
  <c r="C35" i="772"/>
  <c r="G34" i="771"/>
  <c r="C35" i="771"/>
  <c r="G34" i="770"/>
  <c r="C35" i="770"/>
  <c r="G34" i="769"/>
  <c r="C35" i="769"/>
  <c r="G34" i="768"/>
  <c r="C35" i="768"/>
  <c r="G34" i="767"/>
  <c r="C35" i="767"/>
  <c r="G34" i="766"/>
  <c r="C35" i="766"/>
  <c r="C14" i="439"/>
  <c r="G13" i="439"/>
  <c r="K1" i="50"/>
  <c r="C36" i="777" l="1"/>
  <c r="G35" i="777"/>
  <c r="G35" i="776"/>
  <c r="C36" i="776"/>
  <c r="G35" i="775"/>
  <c r="C36" i="775"/>
  <c r="G35" i="774"/>
  <c r="C36" i="774"/>
  <c r="G35" i="773"/>
  <c r="C36" i="773"/>
  <c r="C36" i="772"/>
  <c r="G35" i="772"/>
  <c r="G35" i="771"/>
  <c r="C36" i="771"/>
  <c r="C36" i="770"/>
  <c r="G35" i="770"/>
  <c r="C36" i="769"/>
  <c r="G35" i="769"/>
  <c r="G35" i="768"/>
  <c r="C36" i="768"/>
  <c r="C36" i="767"/>
  <c r="G35" i="767"/>
  <c r="C36" i="766"/>
  <c r="G35" i="766"/>
  <c r="G14" i="439"/>
  <c r="C15" i="439"/>
  <c r="C37" i="777" l="1"/>
  <c r="H34" i="777" s="1"/>
  <c r="G36" i="777"/>
  <c r="C37" i="776"/>
  <c r="G36" i="776"/>
  <c r="C37" i="775"/>
  <c r="G36" i="775"/>
  <c r="C37" i="774"/>
  <c r="G36" i="774"/>
  <c r="H35" i="774"/>
  <c r="C37" i="773"/>
  <c r="H32" i="773" s="1"/>
  <c r="G36" i="773"/>
  <c r="C37" i="772"/>
  <c r="G36" i="772"/>
  <c r="H34" i="772"/>
  <c r="C37" i="771"/>
  <c r="G36" i="771"/>
  <c r="C37" i="770"/>
  <c r="G36" i="770"/>
  <c r="C37" i="769"/>
  <c r="H34" i="769" s="1"/>
  <c r="G36" i="769"/>
  <c r="C37" i="768"/>
  <c r="G36" i="768"/>
  <c r="H34" i="768"/>
  <c r="H32" i="768"/>
  <c r="C37" i="767"/>
  <c r="H35" i="767" s="1"/>
  <c r="G36" i="767"/>
  <c r="C37" i="766"/>
  <c r="G36" i="766"/>
  <c r="C16" i="439"/>
  <c r="G15" i="439"/>
  <c r="R2" i="8"/>
  <c r="R3" i="8"/>
  <c r="R4" i="8"/>
  <c r="R5" i="8"/>
  <c r="R6" i="8"/>
  <c r="R7" i="8"/>
  <c r="R8" i="8"/>
  <c r="R9" i="8"/>
  <c r="G37" i="777" l="1"/>
  <c r="H37" i="777" s="1"/>
  <c r="G38" i="777"/>
  <c r="H38" i="777" s="1"/>
  <c r="H9" i="777"/>
  <c r="H12" i="777"/>
  <c r="H10" i="777"/>
  <c r="H11" i="777"/>
  <c r="H8" i="777"/>
  <c r="H14" i="777"/>
  <c r="H13" i="777"/>
  <c r="H16" i="777"/>
  <c r="H15" i="777"/>
  <c r="H17" i="777"/>
  <c r="H18" i="777"/>
  <c r="H20" i="777"/>
  <c r="H19" i="777"/>
  <c r="H21" i="777"/>
  <c r="H22" i="777"/>
  <c r="H24" i="777"/>
  <c r="H23" i="777"/>
  <c r="H25" i="777"/>
  <c r="H26" i="777"/>
  <c r="H28" i="777"/>
  <c r="H27" i="777"/>
  <c r="H29" i="777"/>
  <c r="H31" i="777"/>
  <c r="H30" i="777"/>
  <c r="H33" i="777"/>
  <c r="H32" i="777"/>
  <c r="H35" i="777"/>
  <c r="H36" i="777"/>
  <c r="G37" i="776"/>
  <c r="H37" i="776" s="1"/>
  <c r="G38" i="776"/>
  <c r="H38" i="776" s="1"/>
  <c r="H10" i="776"/>
  <c r="H9" i="776"/>
  <c r="H11" i="776"/>
  <c r="H8" i="776"/>
  <c r="H14" i="776" s="1"/>
  <c r="H12" i="776"/>
  <c r="H15" i="776"/>
  <c r="H16" i="776"/>
  <c r="H17" i="776"/>
  <c r="H19" i="776"/>
  <c r="H18" i="776"/>
  <c r="H20" i="776"/>
  <c r="H21" i="776"/>
  <c r="H22" i="776"/>
  <c r="H23" i="776"/>
  <c r="H24" i="776"/>
  <c r="H25" i="776"/>
  <c r="H26" i="776"/>
  <c r="H28" i="776"/>
  <c r="H29" i="776"/>
  <c r="H27" i="776"/>
  <c r="H30" i="776"/>
  <c r="H31" i="776"/>
  <c r="H32" i="776"/>
  <c r="H33" i="776"/>
  <c r="H34" i="776"/>
  <c r="H35" i="776"/>
  <c r="H36" i="776"/>
  <c r="H37" i="775"/>
  <c r="H36" i="775"/>
  <c r="G37" i="775"/>
  <c r="G38" i="775"/>
  <c r="H38" i="775" s="1"/>
  <c r="H10" i="775"/>
  <c r="H8" i="775"/>
  <c r="H9" i="775" s="1"/>
  <c r="H11" i="775"/>
  <c r="H13" i="775"/>
  <c r="H15" i="775"/>
  <c r="H14" i="775"/>
  <c r="H12" i="775"/>
  <c r="H17" i="775"/>
  <c r="H16" i="775"/>
  <c r="H18" i="775"/>
  <c r="H19" i="775"/>
  <c r="H20" i="775"/>
  <c r="H21" i="775"/>
  <c r="H22" i="775"/>
  <c r="H23" i="775"/>
  <c r="H24" i="775"/>
  <c r="H25" i="775"/>
  <c r="H26" i="775"/>
  <c r="H28" i="775"/>
  <c r="H27" i="775"/>
  <c r="H29" i="775"/>
  <c r="H31" i="775"/>
  <c r="H30" i="775"/>
  <c r="H32" i="775"/>
  <c r="H35" i="775"/>
  <c r="H34" i="775"/>
  <c r="H33" i="775"/>
  <c r="G37" i="774"/>
  <c r="H37" i="774" s="1"/>
  <c r="G38" i="774"/>
  <c r="H38" i="774" s="1"/>
  <c r="H8" i="774"/>
  <c r="H9" i="774" s="1"/>
  <c r="H12" i="774"/>
  <c r="H11" i="774"/>
  <c r="H13" i="774"/>
  <c r="H10" i="774"/>
  <c r="H15" i="774"/>
  <c r="H14" i="774"/>
  <c r="H16" i="774"/>
  <c r="H17" i="774"/>
  <c r="H20" i="774"/>
  <c r="H18" i="774"/>
  <c r="H19" i="774"/>
  <c r="H21" i="774"/>
  <c r="H22" i="774"/>
  <c r="H23" i="774"/>
  <c r="H25" i="774"/>
  <c r="H26" i="774"/>
  <c r="H24" i="774"/>
  <c r="H27" i="774"/>
  <c r="H29" i="774"/>
  <c r="H28" i="774"/>
  <c r="H32" i="774"/>
  <c r="H30" i="774"/>
  <c r="H31" i="774"/>
  <c r="H34" i="774"/>
  <c r="H33" i="774"/>
  <c r="H36" i="774"/>
  <c r="H35" i="773"/>
  <c r="H33" i="773"/>
  <c r="H36" i="773"/>
  <c r="H34" i="773"/>
  <c r="G37" i="773"/>
  <c r="H37" i="773" s="1"/>
  <c r="G38" i="773"/>
  <c r="H38" i="773" s="1"/>
  <c r="H12" i="773"/>
  <c r="H11" i="773"/>
  <c r="H9" i="773"/>
  <c r="H8" i="773"/>
  <c r="H10" i="773" s="1"/>
  <c r="H13" i="773"/>
  <c r="H14" i="773"/>
  <c r="H16" i="773"/>
  <c r="H15" i="773"/>
  <c r="H17" i="773"/>
  <c r="H18" i="773"/>
  <c r="H19" i="773"/>
  <c r="H20" i="773"/>
  <c r="H21" i="773"/>
  <c r="H22" i="773"/>
  <c r="H23" i="773"/>
  <c r="H24" i="773"/>
  <c r="H25" i="773"/>
  <c r="H26" i="773"/>
  <c r="H28" i="773"/>
  <c r="H27" i="773"/>
  <c r="H29" i="773"/>
  <c r="H30" i="773"/>
  <c r="H31" i="773"/>
  <c r="G37" i="772"/>
  <c r="H37" i="772" s="1"/>
  <c r="G38" i="772"/>
  <c r="H38" i="772" s="1"/>
  <c r="H9" i="772"/>
  <c r="H8" i="772"/>
  <c r="H12" i="772"/>
  <c r="H10" i="772"/>
  <c r="H13" i="772"/>
  <c r="H11" i="772"/>
  <c r="H14" i="772"/>
  <c r="H15" i="772"/>
  <c r="H17" i="772"/>
  <c r="H18" i="772"/>
  <c r="H16" i="772"/>
  <c r="H20" i="772"/>
  <c r="H19" i="772"/>
  <c r="H21" i="772"/>
  <c r="H22" i="772"/>
  <c r="H24" i="772"/>
  <c r="H23" i="772"/>
  <c r="H26" i="772"/>
  <c r="H27" i="772"/>
  <c r="H25" i="772"/>
  <c r="H29" i="772"/>
  <c r="H28" i="772"/>
  <c r="H32" i="772"/>
  <c r="H30" i="772"/>
  <c r="H36" i="772"/>
  <c r="H31" i="772"/>
  <c r="H33" i="772"/>
  <c r="H35" i="772"/>
  <c r="H36" i="771"/>
  <c r="H34" i="771"/>
  <c r="G37" i="771"/>
  <c r="H37" i="771" s="1"/>
  <c r="G38" i="771"/>
  <c r="H38" i="771" s="1"/>
  <c r="H10" i="771"/>
  <c r="H12" i="771"/>
  <c r="H11" i="771"/>
  <c r="H8" i="771"/>
  <c r="H9" i="771" s="1"/>
  <c r="H13" i="771"/>
  <c r="H16" i="771"/>
  <c r="H15" i="771"/>
  <c r="H14" i="771"/>
  <c r="H18" i="771"/>
  <c r="H17" i="771"/>
  <c r="H19" i="771"/>
  <c r="H21" i="771"/>
  <c r="H20" i="771"/>
  <c r="H22" i="771"/>
  <c r="H23" i="771"/>
  <c r="H24" i="771"/>
  <c r="H25" i="771"/>
  <c r="H27" i="771"/>
  <c r="H26" i="771"/>
  <c r="H28" i="771"/>
  <c r="H30" i="771"/>
  <c r="H29" i="771"/>
  <c r="H33" i="771"/>
  <c r="H32" i="771"/>
  <c r="H31" i="771"/>
  <c r="H35" i="771"/>
  <c r="G37" i="770"/>
  <c r="H37" i="770" s="1"/>
  <c r="G38" i="770"/>
  <c r="H38" i="770" s="1"/>
  <c r="H9" i="770"/>
  <c r="H8" i="770"/>
  <c r="H10" i="770"/>
  <c r="H13" i="770"/>
  <c r="H14" i="770"/>
  <c r="H17" i="770"/>
  <c r="H15" i="770"/>
  <c r="H16" i="770"/>
  <c r="H18" i="770"/>
  <c r="H20" i="770"/>
  <c r="H21" i="770"/>
  <c r="H19" i="770"/>
  <c r="H22" i="770"/>
  <c r="H23" i="770"/>
  <c r="H24" i="770"/>
  <c r="H25" i="770"/>
  <c r="H26" i="770"/>
  <c r="H28" i="770"/>
  <c r="H29" i="770"/>
  <c r="H27" i="770"/>
  <c r="H30" i="770"/>
  <c r="H32" i="770"/>
  <c r="H33" i="770"/>
  <c r="H31" i="770"/>
  <c r="H34" i="770"/>
  <c r="H35" i="770"/>
  <c r="H36" i="770"/>
  <c r="H36" i="769"/>
  <c r="H35" i="769"/>
  <c r="H33" i="769"/>
  <c r="G37" i="769"/>
  <c r="H37" i="769" s="1"/>
  <c r="G38" i="769"/>
  <c r="H38" i="769" s="1"/>
  <c r="H12" i="769"/>
  <c r="H8" i="769"/>
  <c r="H10" i="769" s="1"/>
  <c r="H13" i="769"/>
  <c r="H11" i="769"/>
  <c r="H15" i="769"/>
  <c r="H14" i="769"/>
  <c r="H16" i="769"/>
  <c r="H17" i="769"/>
  <c r="H18" i="769"/>
  <c r="H20" i="769"/>
  <c r="H19" i="769"/>
  <c r="H21" i="769"/>
  <c r="H22" i="769"/>
  <c r="H23" i="769"/>
  <c r="H24" i="769"/>
  <c r="H25" i="769"/>
  <c r="H27" i="769"/>
  <c r="H26" i="769"/>
  <c r="H28" i="769"/>
  <c r="H30" i="769"/>
  <c r="H29" i="769"/>
  <c r="H31" i="769"/>
  <c r="H32" i="769"/>
  <c r="G37" i="768"/>
  <c r="G38" i="768"/>
  <c r="H38" i="768" s="1"/>
  <c r="H10" i="768"/>
  <c r="H12" i="768"/>
  <c r="H8" i="768"/>
  <c r="H9" i="768"/>
  <c r="H11" i="768"/>
  <c r="H13" i="768"/>
  <c r="H15" i="768"/>
  <c r="H14" i="768"/>
  <c r="H18" i="768"/>
  <c r="H16" i="768"/>
  <c r="H17" i="768"/>
  <c r="H20" i="768"/>
  <c r="H21" i="768"/>
  <c r="H19" i="768"/>
  <c r="H22" i="768"/>
  <c r="H23" i="768"/>
  <c r="H24" i="768"/>
  <c r="H25" i="768"/>
  <c r="H26" i="768"/>
  <c r="H28" i="768"/>
  <c r="H29" i="768"/>
  <c r="H27" i="768"/>
  <c r="H30" i="768"/>
  <c r="H31" i="768"/>
  <c r="H36" i="768"/>
  <c r="H35" i="768"/>
  <c r="H33" i="768"/>
  <c r="H37" i="768"/>
  <c r="H34" i="767"/>
  <c r="G37" i="767"/>
  <c r="H37" i="767" s="1"/>
  <c r="G38" i="767"/>
  <c r="H38" i="767" s="1"/>
  <c r="H10" i="767"/>
  <c r="H8" i="767"/>
  <c r="H9" i="767" s="1"/>
  <c r="H12" i="767"/>
  <c r="H11" i="767"/>
  <c r="H13" i="767"/>
  <c r="H14" i="767"/>
  <c r="H16" i="767"/>
  <c r="H15" i="767"/>
  <c r="H17" i="767"/>
  <c r="H19" i="767"/>
  <c r="H18" i="767"/>
  <c r="H20" i="767"/>
  <c r="H22" i="767"/>
  <c r="H21" i="767"/>
  <c r="H23" i="767"/>
  <c r="H24" i="767"/>
  <c r="H25" i="767"/>
  <c r="H26" i="767"/>
  <c r="H28" i="767"/>
  <c r="H29" i="767"/>
  <c r="H27" i="767"/>
  <c r="H31" i="767"/>
  <c r="H30" i="767"/>
  <c r="H32" i="767"/>
  <c r="H33" i="767"/>
  <c r="H36" i="767"/>
  <c r="G37" i="766"/>
  <c r="H37" i="766" s="1"/>
  <c r="G38" i="766"/>
  <c r="H38" i="766" s="1"/>
  <c r="H8" i="766"/>
  <c r="H11" i="766"/>
  <c r="H12" i="766"/>
  <c r="H13" i="766"/>
  <c r="H14" i="766"/>
  <c r="H15" i="766"/>
  <c r="H17" i="766"/>
  <c r="H16" i="766"/>
  <c r="H20" i="766"/>
  <c r="H18" i="766"/>
  <c r="H19" i="766"/>
  <c r="H21" i="766"/>
  <c r="H22" i="766"/>
  <c r="H24" i="766"/>
  <c r="H23" i="766"/>
  <c r="H25" i="766"/>
  <c r="H27" i="766"/>
  <c r="H26" i="766"/>
  <c r="H28" i="766"/>
  <c r="H29" i="766"/>
  <c r="H30" i="766"/>
  <c r="H32" i="766"/>
  <c r="H31" i="766"/>
  <c r="H33" i="766"/>
  <c r="H35" i="766"/>
  <c r="H36" i="766"/>
  <c r="H34" i="766"/>
  <c r="G16" i="439"/>
  <c r="C17" i="439"/>
  <c r="B1" i="95"/>
  <c r="H12" i="770" l="1"/>
  <c r="H10" i="766"/>
  <c r="C18" i="439"/>
  <c r="G17" i="439"/>
  <c r="P11" i="150"/>
  <c r="G18" i="439" l="1"/>
  <c r="C19" i="439"/>
  <c r="C20" i="439" l="1"/>
  <c r="G19" i="439"/>
  <c r="G20" i="439" l="1"/>
  <c r="C21" i="439"/>
  <c r="N8" i="120"/>
  <c r="C22" i="439" l="1"/>
  <c r="G21" i="439"/>
  <c r="M8" i="120"/>
  <c r="B2" i="137"/>
  <c r="F14"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BB76" i="50"/>
  <c r="AL76" i="50"/>
  <c r="AM76" i="50"/>
  <c r="Y76" i="50"/>
  <c r="AC76" i="50"/>
  <c r="AE76" i="50"/>
  <c r="AY76" i="50"/>
  <c r="AT76" i="50"/>
  <c r="BA76" i="50"/>
  <c r="M76" i="50"/>
  <c r="AZ76" i="50"/>
  <c r="O76" i="50"/>
  <c r="AS76" i="50"/>
  <c r="AH76" i="50"/>
  <c r="X76" i="50"/>
  <c r="AX76" i="50"/>
  <c r="AV76" i="50"/>
  <c r="Q76" i="50"/>
  <c r="Z76" i="50"/>
  <c r="AQ76" i="50"/>
  <c r="U76" i="50"/>
  <c r="AD76" i="50"/>
  <c r="AK76" i="50"/>
  <c r="N76" i="50"/>
  <c r="T76" i="50"/>
  <c r="R76" i="50"/>
  <c r="AB76" i="50"/>
  <c r="AF76" i="50"/>
  <c r="AG76" i="50"/>
  <c r="S76" i="50"/>
  <c r="BC76" i="50"/>
  <c r="P76" i="50"/>
  <c r="AI76" i="50"/>
  <c r="AR76" i="50"/>
  <c r="AW76" i="50"/>
  <c r="AA76" i="50"/>
  <c r="AP76" i="50"/>
  <c r="V76" i="50"/>
  <c r="AU76" i="50"/>
  <c r="W76" i="50"/>
  <c r="AN76" i="50"/>
  <c r="AJ76" i="50"/>
  <c r="AO76" i="50"/>
  <c r="L76" i="50"/>
  <c r="G25" i="439" l="1"/>
  <c r="C26" i="439"/>
  <c r="F76" i="50"/>
  <c r="AV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1" i="1" l="1"/>
  <c r="A11" i="1" s="1"/>
  <c r="N19" i="1"/>
  <c r="O17" i="1"/>
  <c r="A17" i="1" s="1"/>
  <c r="N12" i="4"/>
  <c r="N14" i="1"/>
  <c r="O16" i="1"/>
  <c r="A16" i="1" s="1"/>
  <c r="O15" i="1"/>
  <c r="A15" i="1" s="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R4" i="150" l="1"/>
  <c r="R4" i="4"/>
  <c r="R4" i="1"/>
  <c r="R4" i="137"/>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AK4" i="4" l="1"/>
  <c r="AK4" i="150"/>
  <c r="AK4" i="137"/>
  <c r="AK4" i="1"/>
  <c r="AL4" i="1" l="1"/>
  <c r="AL4" i="137"/>
  <c r="AL4" i="150"/>
  <c r="AL4" i="4"/>
  <c r="AM4" i="1" l="1"/>
  <c r="AM4" i="150"/>
  <c r="AM4" i="4"/>
  <c r="AM4" i="137"/>
  <c r="AN4" i="150" l="1"/>
  <c r="AN4" i="4"/>
  <c r="AN4" i="137"/>
  <c r="AN4" i="1"/>
  <c r="F11" i="50" l="1"/>
  <c r="AV6" i="4" s="1"/>
  <c r="H11" i="50" l="1"/>
  <c r="J11" i="50"/>
  <c r="AO4" i="1" l="1"/>
  <c r="N5" i="1"/>
  <c r="O5" i="1"/>
  <c r="AO4" i="4"/>
  <c r="AO4" i="150"/>
  <c r="AO4" i="137"/>
  <c r="O6" i="1"/>
  <c r="A6" i="1" s="1"/>
  <c r="N6" i="1"/>
  <c r="N6" i="4"/>
  <c r="O6" i="4"/>
  <c r="A6" i="4" s="1"/>
  <c r="A5" i="1" l="1"/>
  <c r="AQ4" i="150" l="1"/>
  <c r="AQ4" i="137"/>
  <c r="AQ4" i="4"/>
  <c r="AP4" i="1"/>
  <c r="AP4" i="137"/>
  <c r="AP4" i="150"/>
  <c r="AP4" i="4"/>
  <c r="AR4" i="4" l="1"/>
  <c r="AR4" i="1"/>
  <c r="AR4" i="137"/>
  <c r="AQ4" i="1"/>
  <c r="AR4" i="150" l="1"/>
  <c r="AS4" i="137"/>
  <c r="AS4" i="1" l="1"/>
  <c r="AT4" i="137"/>
  <c r="AS4" i="150"/>
  <c r="AS4" i="4"/>
  <c r="AU50" i="50"/>
  <c r="AU45" i="50"/>
  <c r="AA51" i="50"/>
  <c r="AV47" i="50"/>
  <c r="L32" i="50"/>
  <c r="P34" i="50"/>
  <c r="AP26" i="50"/>
  <c r="AV64" i="50"/>
  <c r="BB18" i="50"/>
  <c r="AH45" i="50"/>
  <c r="AF59" i="50"/>
  <c r="AP69" i="50"/>
  <c r="AA75" i="50"/>
  <c r="AO67" i="50"/>
  <c r="Z21" i="50"/>
  <c r="AD62" i="50"/>
  <c r="AQ46" i="50"/>
  <c r="AD4" i="50"/>
  <c r="AE14" i="50"/>
  <c r="R49" i="50"/>
  <c r="AS26" i="50"/>
  <c r="AC62" i="50"/>
  <c r="AZ66" i="50"/>
  <c r="Z15" i="50"/>
  <c r="Z39" i="50"/>
  <c r="S29" i="50"/>
  <c r="AV42" i="50"/>
  <c r="L68" i="50"/>
  <c r="AX35" i="50"/>
  <c r="AU38" i="50"/>
  <c r="R61" i="50"/>
  <c r="AL41" i="50"/>
  <c r="AR44" i="50"/>
  <c r="AL73" i="50"/>
  <c r="AF72" i="50"/>
  <c r="AW62" i="50"/>
  <c r="L64" i="50"/>
  <c r="R60" i="50"/>
  <c r="AF24" i="50"/>
  <c r="W56" i="50"/>
  <c r="AX39" i="50"/>
  <c r="T48" i="50"/>
  <c r="BA4" i="50"/>
  <c r="AW50" i="50"/>
  <c r="AU64" i="50"/>
  <c r="S25" i="50"/>
  <c r="AI62" i="50"/>
  <c r="AR32" i="50"/>
  <c r="AG37" i="50"/>
  <c r="AJ40" i="50"/>
  <c r="AJ36" i="50"/>
  <c r="AM36" i="50"/>
  <c r="S32" i="50"/>
  <c r="AU31" i="50"/>
  <c r="AY74" i="50"/>
  <c r="AO34" i="50"/>
  <c r="AX14" i="50"/>
  <c r="BB62" i="50"/>
  <c r="AM28" i="50"/>
  <c r="AU42" i="50"/>
  <c r="AT61" i="50"/>
  <c r="AG39" i="50"/>
  <c r="T63" i="50"/>
  <c r="N75" i="50"/>
  <c r="AM15" i="50"/>
  <c r="AR15" i="50"/>
  <c r="V32" i="50"/>
  <c r="AX53" i="50"/>
  <c r="P25" i="50"/>
  <c r="AL26" i="50"/>
  <c r="T65" i="50"/>
  <c r="BB37" i="50"/>
  <c r="AZ27" i="50"/>
  <c r="AS45" i="50"/>
  <c r="AH58" i="50"/>
  <c r="BB54" i="50"/>
  <c r="AL13" i="50"/>
  <c r="AK15" i="50"/>
  <c r="AC31" i="50"/>
  <c r="P58" i="50"/>
  <c r="AB39" i="50"/>
  <c r="V68" i="50"/>
  <c r="Y55" i="50"/>
  <c r="AT44" i="50"/>
  <c r="AA39" i="50"/>
  <c r="AZ55" i="50"/>
  <c r="Q22" i="50"/>
  <c r="AB41" i="50"/>
  <c r="BB71" i="50"/>
  <c r="AC73" i="50"/>
  <c r="AU23" i="50"/>
  <c r="AC43" i="50"/>
  <c r="U39" i="50"/>
  <c r="T41" i="50"/>
  <c r="BB40" i="50"/>
  <c r="Q26" i="50"/>
  <c r="O35" i="50"/>
  <c r="BA37" i="50"/>
  <c r="AG41" i="50"/>
  <c r="AX71" i="50"/>
  <c r="AJ56" i="50"/>
  <c r="AS46" i="50"/>
  <c r="V38" i="50"/>
  <c r="Q23" i="50"/>
  <c r="L55" i="50"/>
  <c r="AM22" i="50"/>
  <c r="AH16" i="50"/>
  <c r="X75" i="50"/>
  <c r="AB38" i="50"/>
  <c r="AZ50" i="50"/>
  <c r="AL62" i="50"/>
  <c r="AK67" i="50"/>
  <c r="AG38" i="50"/>
  <c r="AY42" i="50"/>
  <c r="AA56" i="50"/>
  <c r="AN5" i="50"/>
  <c r="S34" i="50"/>
  <c r="AP14" i="50"/>
  <c r="AW74" i="50"/>
  <c r="AY25" i="50"/>
  <c r="P61" i="50"/>
  <c r="W37" i="50"/>
  <c r="AD69" i="50"/>
  <c r="AD19" i="50"/>
  <c r="BA38" i="50"/>
  <c r="U42" i="50"/>
  <c r="M18" i="50"/>
  <c r="AM21" i="50"/>
  <c r="Q67" i="50"/>
  <c r="Z53" i="50"/>
  <c r="AK55" i="50"/>
  <c r="AT32" i="50"/>
  <c r="Q38" i="50"/>
  <c r="L28" i="50"/>
  <c r="AT68" i="50"/>
  <c r="AM72" i="50"/>
  <c r="AX45" i="50"/>
  <c r="BC44" i="50"/>
  <c r="AZ42" i="50"/>
  <c r="AH49" i="50"/>
  <c r="AF42" i="50"/>
  <c r="AE58" i="50"/>
  <c r="BA73" i="50"/>
  <c r="Q25" i="50"/>
  <c r="O64" i="50"/>
  <c r="AR59" i="50"/>
  <c r="AR51" i="50"/>
  <c r="AD52" i="50"/>
  <c r="AR39" i="50"/>
  <c r="AJ52" i="50"/>
  <c r="L21" i="50"/>
  <c r="R65" i="50"/>
  <c r="AX32" i="50"/>
  <c r="AU51" i="50"/>
  <c r="T27" i="50"/>
  <c r="AV22" i="50"/>
  <c r="BA66" i="50"/>
  <c r="AE60" i="50"/>
  <c r="AA20" i="50"/>
  <c r="S20" i="50"/>
  <c r="AB51" i="50"/>
  <c r="AT31" i="50"/>
  <c r="AH19" i="50"/>
  <c r="P73" i="50"/>
  <c r="U27" i="50"/>
  <c r="AY28" i="50"/>
  <c r="V39" i="50"/>
  <c r="AQ26" i="50"/>
  <c r="AF63" i="50"/>
  <c r="Z27" i="50"/>
  <c r="Z20" i="50"/>
  <c r="AI39" i="50"/>
  <c r="M67" i="50"/>
  <c r="AL35" i="50"/>
  <c r="AA38" i="50"/>
  <c r="AK28" i="50"/>
  <c r="Z46" i="50"/>
  <c r="O34" i="50"/>
  <c r="AJ66" i="50"/>
  <c r="AI51" i="50"/>
  <c r="AN56" i="50"/>
  <c r="N22" i="50"/>
  <c r="BA29" i="50"/>
  <c r="AK66" i="50"/>
  <c r="AK58" i="50"/>
  <c r="AF15" i="50"/>
  <c r="AH28" i="50"/>
  <c r="BB52" i="50"/>
  <c r="AG42" i="50"/>
  <c r="AK24" i="50"/>
  <c r="L39" i="50"/>
  <c r="AK23" i="50"/>
  <c r="AS16" i="50"/>
  <c r="L41" i="50"/>
  <c r="AG72" i="50"/>
  <c r="AC35" i="50"/>
  <c r="AP54" i="50"/>
  <c r="Y74" i="50"/>
  <c r="AR24" i="50"/>
  <c r="AO22" i="50"/>
  <c r="L69" i="50"/>
  <c r="BA48" i="50"/>
  <c r="AM38" i="50"/>
  <c r="AF55" i="50"/>
  <c r="T42" i="50"/>
  <c r="S17" i="50"/>
  <c r="AI72" i="50"/>
  <c r="L24" i="50"/>
  <c r="AA21" i="50"/>
  <c r="AU16" i="50"/>
  <c r="V30" i="50"/>
  <c r="N28" i="50"/>
  <c r="AH54" i="50"/>
  <c r="W67" i="50"/>
  <c r="BC16" i="50"/>
  <c r="T49" i="50"/>
  <c r="AK38" i="50"/>
  <c r="AV28" i="50"/>
  <c r="AX21" i="50"/>
  <c r="BA19" i="50"/>
  <c r="AJ13" i="50"/>
  <c r="AG12" i="50"/>
  <c r="AT17" i="50"/>
  <c r="S46" i="50"/>
  <c r="AS47" i="50"/>
  <c r="AQ70" i="50"/>
  <c r="AX34" i="50"/>
  <c r="N36" i="50"/>
  <c r="AM58" i="50"/>
  <c r="AH65" i="50"/>
  <c r="AM66" i="50"/>
  <c r="Z57" i="50"/>
  <c r="AI56" i="50"/>
  <c r="AO75" i="50"/>
  <c r="AL5" i="50"/>
  <c r="W14" i="50"/>
  <c r="AX36" i="50"/>
  <c r="S26" i="50"/>
  <c r="AX64" i="50"/>
  <c r="AV60" i="50"/>
  <c r="AH43" i="50"/>
  <c r="AP32" i="50"/>
  <c r="AQ22" i="50"/>
  <c r="AG16" i="50"/>
  <c r="AM60" i="50"/>
  <c r="Q27" i="50"/>
  <c r="AS63" i="50"/>
  <c r="AV67" i="50"/>
  <c r="T72" i="50"/>
  <c r="Y14" i="50"/>
  <c r="AP4" i="50"/>
  <c r="AY22" i="50"/>
  <c r="W20" i="50"/>
  <c r="P74" i="50"/>
  <c r="AQ14" i="50"/>
  <c r="O67" i="50"/>
  <c r="O65" i="50"/>
  <c r="AQ63" i="50"/>
  <c r="U41" i="50"/>
  <c r="R18" i="50"/>
  <c r="W68" i="50"/>
  <c r="O5" i="50"/>
  <c r="S59" i="50"/>
  <c r="AV48" i="50"/>
  <c r="AR64" i="50"/>
  <c r="M47" i="50"/>
  <c r="AU14" i="50"/>
  <c r="Q63" i="50"/>
  <c r="AZ70" i="50"/>
  <c r="AT37" i="50"/>
  <c r="BA61" i="50"/>
  <c r="T32" i="50"/>
  <c r="AD25" i="50"/>
  <c r="V55" i="50"/>
  <c r="U71" i="50"/>
  <c r="AK53" i="50"/>
  <c r="AJ19" i="50"/>
  <c r="AX30" i="50"/>
  <c r="BB30" i="50"/>
  <c r="AL58" i="50"/>
  <c r="AI26" i="50"/>
  <c r="AC59" i="50"/>
  <c r="AP64" i="50"/>
  <c r="AO69" i="50"/>
  <c r="AD31" i="50"/>
  <c r="AR40" i="50"/>
  <c r="O47" i="50"/>
  <c r="AV34" i="50"/>
  <c r="AY43" i="50"/>
  <c r="T59" i="50"/>
  <c r="AF51" i="50"/>
  <c r="AQ34" i="50"/>
  <c r="BC63" i="50"/>
  <c r="AP53" i="50"/>
  <c r="AH52" i="50"/>
  <c r="AV50" i="50"/>
  <c r="AZ14" i="50"/>
  <c r="M73" i="50"/>
  <c r="AG56" i="50"/>
  <c r="X40" i="50"/>
  <c r="AL12" i="50"/>
  <c r="U59" i="50"/>
  <c r="AG48" i="50"/>
  <c r="AS17" i="50"/>
  <c r="R17" i="50"/>
  <c r="AC72" i="50"/>
  <c r="AJ53" i="50"/>
  <c r="Z64" i="50"/>
  <c r="P47" i="50"/>
  <c r="X60" i="50"/>
  <c r="X14" i="50"/>
  <c r="P23" i="50"/>
  <c r="V56" i="50"/>
  <c r="U40" i="50"/>
  <c r="V31" i="50"/>
  <c r="P35" i="50"/>
  <c r="U44" i="50"/>
  <c r="AL67" i="50"/>
  <c r="T39" i="50"/>
  <c r="BB75" i="50"/>
  <c r="AY24" i="50"/>
  <c r="V44" i="50"/>
  <c r="AZ51" i="50"/>
  <c r="AY31" i="50"/>
  <c r="BB50" i="50"/>
  <c r="BA69" i="50"/>
  <c r="AP35" i="50"/>
  <c r="O18" i="50"/>
  <c r="V21" i="50"/>
  <c r="AB75" i="50"/>
  <c r="AK26" i="50"/>
  <c r="N63" i="50"/>
  <c r="AL36" i="50"/>
  <c r="AP12" i="50"/>
  <c r="AW33" i="50"/>
  <c r="P51" i="50"/>
  <c r="AG66" i="50"/>
  <c r="AI48" i="50"/>
  <c r="AW44" i="50"/>
  <c r="W62" i="50"/>
  <c r="AQ31" i="50"/>
  <c r="AV15" i="50"/>
  <c r="AD74" i="50"/>
  <c r="U56" i="50"/>
  <c r="AP47" i="50"/>
  <c r="AR25" i="50"/>
  <c r="AT45" i="50"/>
  <c r="T45" i="50"/>
  <c r="AN23" i="50"/>
  <c r="T34" i="50"/>
  <c r="X5" i="50"/>
  <c r="AT75" i="50"/>
  <c r="W41" i="50"/>
  <c r="AH62" i="50"/>
  <c r="P19" i="50"/>
  <c r="AQ38" i="50"/>
  <c r="AA74" i="50"/>
  <c r="AY66" i="50"/>
  <c r="Y62" i="50"/>
  <c r="AZ74" i="50"/>
  <c r="R24" i="50"/>
  <c r="AJ32" i="50"/>
  <c r="U45" i="50"/>
  <c r="X63" i="50"/>
  <c r="AV38" i="50"/>
  <c r="AS67" i="50"/>
  <c r="AA15" i="50"/>
  <c r="AE41" i="50"/>
  <c r="AV45" i="50"/>
  <c r="AY27" i="50"/>
  <c r="AU29" i="50"/>
  <c r="W16" i="50"/>
  <c r="AY72" i="50"/>
  <c r="BA22" i="50"/>
  <c r="AK63" i="50"/>
  <c r="AE72" i="50"/>
  <c r="AZ52" i="50"/>
  <c r="R30" i="50"/>
  <c r="AS5" i="50"/>
  <c r="L15" i="50"/>
  <c r="T53" i="50"/>
  <c r="Z41" i="50"/>
  <c r="R57" i="50"/>
  <c r="AW12" i="50"/>
  <c r="AV51" i="50"/>
  <c r="BC49" i="50"/>
  <c r="S71" i="50"/>
  <c r="W72" i="50"/>
  <c r="AB42" i="50"/>
  <c r="AS4" i="50"/>
  <c r="AR16" i="50"/>
  <c r="AS64" i="50"/>
  <c r="N74" i="50"/>
  <c r="AJ75" i="50"/>
  <c r="AQ44" i="50"/>
  <c r="U29" i="50"/>
  <c r="T66" i="50"/>
  <c r="AW71" i="50"/>
  <c r="AL51" i="50"/>
  <c r="AT49" i="50"/>
  <c r="N40" i="50"/>
  <c r="N67" i="50"/>
  <c r="M46" i="50"/>
  <c r="X43" i="50"/>
  <c r="AV52" i="50"/>
  <c r="AE64" i="50"/>
  <c r="AW51" i="50"/>
  <c r="AQ15" i="50"/>
  <c r="AX44" i="50"/>
  <c r="O25" i="50"/>
  <c r="AE33" i="50"/>
  <c r="AL28" i="50"/>
  <c r="V33" i="50"/>
  <c r="AP22" i="50"/>
  <c r="S30" i="50"/>
  <c r="AL18" i="50"/>
  <c r="AC20" i="50"/>
  <c r="AT40" i="50"/>
  <c r="AT39" i="50"/>
  <c r="X22" i="50"/>
  <c r="AN71" i="50"/>
  <c r="U43" i="50"/>
  <c r="BA67" i="50"/>
  <c r="AU12" i="50"/>
  <c r="AI58" i="50"/>
  <c r="W49" i="50"/>
  <c r="AK32" i="50"/>
  <c r="AG53" i="50"/>
  <c r="AR42" i="50"/>
  <c r="BA58" i="50"/>
  <c r="Z69" i="50"/>
  <c r="AS53" i="50"/>
  <c r="V25" i="50"/>
  <c r="AX62" i="50"/>
  <c r="AA50" i="50"/>
  <c r="AX24" i="50"/>
  <c r="AR33" i="50"/>
  <c r="AA23" i="50"/>
  <c r="AF22" i="50"/>
  <c r="AQ19" i="50"/>
  <c r="AL52" i="50"/>
  <c r="AG59" i="50"/>
  <c r="AB19" i="50"/>
  <c r="BC60" i="50"/>
  <c r="W58" i="50"/>
  <c r="Y75" i="50"/>
  <c r="AL46" i="50"/>
  <c r="V40" i="50"/>
  <c r="AD42" i="50"/>
  <c r="AP62" i="50"/>
  <c r="AY40" i="50"/>
  <c r="BB27" i="50"/>
  <c r="P30" i="50"/>
  <c r="AR21" i="50"/>
  <c r="Q52" i="50"/>
  <c r="AB35" i="50"/>
  <c r="AL14" i="50"/>
  <c r="AT38" i="50"/>
  <c r="O38" i="50"/>
  <c r="Z51" i="50"/>
  <c r="AG64" i="50"/>
  <c r="AR4" i="50"/>
  <c r="AM20" i="50"/>
  <c r="L70" i="50"/>
  <c r="AI73" i="50"/>
  <c r="AW53" i="50"/>
  <c r="BB43" i="50"/>
  <c r="AA19" i="50"/>
  <c r="AZ25" i="50"/>
  <c r="AZ45" i="50"/>
  <c r="AN19" i="50"/>
  <c r="W35" i="50"/>
  <c r="V64" i="50"/>
  <c r="T74" i="50"/>
  <c r="X37" i="50"/>
  <c r="M34" i="50"/>
  <c r="AG33" i="50"/>
  <c r="AE55" i="50"/>
  <c r="AN39" i="50"/>
  <c r="AH69" i="50"/>
  <c r="AM51" i="50"/>
  <c r="M17" i="50"/>
  <c r="AQ52" i="50"/>
  <c r="P64" i="50"/>
  <c r="Q42" i="50"/>
  <c r="AQ39" i="50"/>
  <c r="BB72" i="50"/>
  <c r="P27" i="50"/>
  <c r="N73" i="50"/>
  <c r="BB57" i="50"/>
  <c r="AM65" i="50"/>
  <c r="P55" i="50"/>
  <c r="T50" i="50"/>
  <c r="AL16" i="50"/>
  <c r="AP56" i="50"/>
  <c r="AK70" i="50"/>
  <c r="AL34" i="50"/>
  <c r="AF71" i="50"/>
  <c r="S63" i="50"/>
  <c r="L33" i="50"/>
  <c r="BA46" i="50"/>
  <c r="O30" i="50"/>
  <c r="AB33" i="50"/>
  <c r="AQ57" i="50"/>
  <c r="AD53" i="50"/>
  <c r="AM63" i="50"/>
  <c r="AH18" i="50"/>
  <c r="Y19" i="50"/>
  <c r="AG55" i="50"/>
  <c r="AR37" i="50"/>
  <c r="S24" i="50"/>
  <c r="AU74" i="50"/>
  <c r="AH55" i="50"/>
  <c r="AJ43" i="50"/>
  <c r="Q41" i="50"/>
  <c r="R69" i="50"/>
  <c r="AI45" i="50"/>
  <c r="P50" i="50"/>
  <c r="AV56" i="50"/>
  <c r="O15" i="50"/>
  <c r="AD45" i="50"/>
  <c r="AE36" i="50"/>
  <c r="AJ62" i="50"/>
  <c r="AV36" i="50"/>
  <c r="AA53" i="50"/>
  <c r="AF18" i="50"/>
  <c r="T12" i="50"/>
  <c r="M65" i="50"/>
  <c r="AS66" i="50"/>
  <c r="T16" i="50"/>
  <c r="AO30" i="50"/>
  <c r="AI71" i="50"/>
  <c r="M22" i="50"/>
  <c r="AD46" i="50"/>
  <c r="AA42" i="50"/>
  <c r="AH34" i="50"/>
  <c r="AH20" i="50"/>
  <c r="Y25" i="50"/>
  <c r="V50" i="50"/>
  <c r="AQ35" i="50"/>
  <c r="AR14" i="50"/>
  <c r="AQ56" i="50"/>
  <c r="R41" i="50"/>
  <c r="U33" i="50"/>
  <c r="T28" i="50"/>
  <c r="AE25" i="50"/>
  <c r="L47" i="50"/>
  <c r="AO61" i="50"/>
  <c r="AO42" i="50"/>
  <c r="U60" i="50"/>
  <c r="BB39" i="50"/>
  <c r="AJ68" i="50"/>
  <c r="W66" i="50"/>
  <c r="Z62" i="50"/>
  <c r="R74" i="50"/>
  <c r="BB19" i="50"/>
  <c r="AE53" i="50"/>
  <c r="S4" i="50"/>
  <c r="AO15" i="50"/>
  <c r="BB13" i="50"/>
  <c r="BB65" i="50"/>
  <c r="AD66" i="50"/>
  <c r="Z60" i="50"/>
  <c r="AC34" i="50"/>
  <c r="AV16" i="50"/>
  <c r="Y67" i="50"/>
  <c r="V71" i="50"/>
  <c r="BA27" i="50"/>
  <c r="Q13" i="50"/>
  <c r="AY35" i="50"/>
  <c r="AZ63" i="50"/>
  <c r="V15" i="50"/>
  <c r="AL20" i="50"/>
  <c r="AE73" i="50"/>
  <c r="Z54" i="50"/>
  <c r="V35" i="50"/>
  <c r="AM30" i="50"/>
  <c r="AE48" i="50"/>
  <c r="AY37" i="50"/>
  <c r="AX55" i="50"/>
  <c r="AD57" i="50"/>
  <c r="AZ35" i="50"/>
  <c r="S15" i="50"/>
  <c r="AL63" i="50"/>
  <c r="O69" i="50"/>
  <c r="BC58" i="50"/>
  <c r="X25" i="50"/>
  <c r="AW60" i="50"/>
  <c r="Y4" i="50"/>
  <c r="S55" i="50"/>
  <c r="AD26" i="50"/>
  <c r="M50" i="50"/>
  <c r="AI5" i="50"/>
  <c r="AD39" i="50"/>
  <c r="AT21" i="50"/>
  <c r="V17" i="50"/>
  <c r="V41" i="50"/>
  <c r="AC67" i="50"/>
  <c r="P68" i="50"/>
  <c r="AG22" i="50"/>
  <c r="BA59" i="50"/>
  <c r="O22" i="50"/>
  <c r="AG58" i="50"/>
  <c r="W25" i="50"/>
  <c r="AP34" i="50"/>
  <c r="V63" i="50"/>
  <c r="AR34" i="50"/>
  <c r="AM50" i="50"/>
  <c r="AO4" i="50"/>
  <c r="BA52" i="50"/>
  <c r="AS18" i="50"/>
  <c r="AW73" i="50"/>
  <c r="AM34" i="50"/>
  <c r="V67" i="50"/>
  <c r="AK12" i="50"/>
  <c r="AA41" i="50"/>
  <c r="V61" i="50"/>
  <c r="L74" i="50"/>
  <c r="AT19" i="50"/>
  <c r="AZ71" i="50"/>
  <c r="AB27" i="50"/>
  <c r="AB66" i="50"/>
  <c r="AY36" i="50"/>
  <c r="AZ15" i="50"/>
  <c r="AZ29" i="50"/>
  <c r="AK61" i="50"/>
  <c r="AE35" i="50"/>
  <c r="AM57" i="50"/>
  <c r="R4" i="50"/>
  <c r="AN4" i="50"/>
  <c r="AA63" i="50"/>
  <c r="X48" i="50"/>
  <c r="AM62" i="50"/>
  <c r="AQ28" i="50"/>
  <c r="N39" i="50"/>
  <c r="AV70" i="50"/>
  <c r="O42" i="50"/>
  <c r="AC26" i="50"/>
  <c r="AF54" i="50"/>
  <c r="V42" i="50"/>
  <c r="L51" i="50"/>
  <c r="R62" i="50"/>
  <c r="BB49" i="50"/>
  <c r="S69" i="50"/>
  <c r="BC41" i="50"/>
  <c r="Z73" i="50"/>
  <c r="AE37" i="50"/>
  <c r="AS31" i="50"/>
  <c r="AQ54" i="50"/>
  <c r="T23" i="50"/>
  <c r="AL44" i="50"/>
  <c r="R66" i="50"/>
  <c r="N35" i="50"/>
  <c r="R68" i="50"/>
  <c r="O62" i="50"/>
  <c r="AR66" i="50"/>
  <c r="AT71" i="50"/>
  <c r="BA41" i="50"/>
  <c r="AD64" i="50"/>
  <c r="AW57" i="50"/>
  <c r="T46" i="50"/>
  <c r="T30" i="50"/>
  <c r="AU72" i="50"/>
  <c r="AW25" i="50"/>
  <c r="Z5" i="50"/>
  <c r="AT20" i="50"/>
  <c r="AR49" i="50"/>
  <c r="AA34" i="50"/>
  <c r="AB29" i="50"/>
  <c r="X18" i="50"/>
  <c r="X31" i="50"/>
  <c r="BB34" i="50"/>
  <c r="L23" i="50"/>
  <c r="AW5" i="50"/>
  <c r="AT12" i="50"/>
  <c r="AS15" i="50"/>
  <c r="AC45" i="50"/>
  <c r="Z26" i="50"/>
  <c r="AQ58" i="50"/>
  <c r="AZ30" i="50"/>
  <c r="AS30" i="50"/>
  <c r="BB63" i="50"/>
  <c r="AX29" i="50"/>
  <c r="AE31" i="50"/>
  <c r="W69" i="50"/>
  <c r="U24" i="50"/>
  <c r="L43" i="50"/>
  <c r="AS22" i="50"/>
  <c r="BB17" i="50"/>
  <c r="U66" i="50"/>
  <c r="AY75" i="50"/>
  <c r="AO19" i="50"/>
  <c r="AA35" i="50"/>
  <c r="S56" i="50"/>
  <c r="AS52" i="50"/>
  <c r="O29" i="50"/>
  <c r="W32" i="50"/>
  <c r="AM33" i="50"/>
  <c r="AA14" i="50"/>
  <c r="AW45" i="50"/>
  <c r="P28" i="50"/>
  <c r="AG15" i="50"/>
  <c r="AR30" i="50"/>
  <c r="AI52" i="50"/>
  <c r="AB37" i="50"/>
  <c r="BA68" i="50"/>
  <c r="AE50" i="50"/>
  <c r="AK45" i="50"/>
  <c r="AV21" i="50"/>
  <c r="M19" i="50"/>
  <c r="AX15" i="50"/>
  <c r="Q47" i="50"/>
  <c r="AI15" i="50"/>
  <c r="AO16" i="50"/>
  <c r="AX63" i="50"/>
  <c r="AH61" i="50"/>
  <c r="AB13" i="50"/>
  <c r="Y5" i="50"/>
  <c r="W28" i="50"/>
  <c r="AE26" i="50"/>
  <c r="AB57" i="50"/>
  <c r="N71" i="50"/>
  <c r="AA57" i="50"/>
  <c r="AD72" i="50"/>
  <c r="U16" i="50"/>
  <c r="AB34" i="50"/>
  <c r="AD63" i="50"/>
  <c r="X39" i="50"/>
  <c r="AF58" i="50"/>
  <c r="U52" i="50"/>
  <c r="AM29" i="50"/>
  <c r="S45" i="50"/>
  <c r="BA12" i="50"/>
  <c r="Z29" i="50"/>
  <c r="AQ23" i="50"/>
  <c r="S19" i="50"/>
  <c r="BB66" i="50"/>
  <c r="AG50" i="50"/>
  <c r="M31" i="50"/>
  <c r="AC74" i="50"/>
  <c r="AP45" i="50"/>
  <c r="U54" i="50"/>
  <c r="Z74" i="50"/>
  <c r="AR19" i="50"/>
  <c r="P18" i="50"/>
  <c r="AN58" i="50"/>
  <c r="AH60" i="50"/>
  <c r="AS28" i="50"/>
  <c r="L42" i="50"/>
  <c r="Y66" i="50"/>
  <c r="R20" i="50"/>
  <c r="AY4" i="50"/>
  <c r="AM12" i="50"/>
  <c r="W51" i="50"/>
  <c r="AU59" i="50"/>
  <c r="S21" i="50"/>
  <c r="BB67" i="50"/>
  <c r="AG44" i="50"/>
  <c r="AA48" i="50"/>
  <c r="V66" i="50"/>
  <c r="O4" i="50"/>
  <c r="AO58" i="50"/>
  <c r="X29" i="50"/>
  <c r="N47" i="50"/>
  <c r="AC27" i="50"/>
  <c r="AL45" i="50"/>
  <c r="Z72" i="50"/>
  <c r="L18" i="50"/>
  <c r="AG13" i="50"/>
  <c r="AU20" i="50"/>
  <c r="AN40" i="50"/>
  <c r="AU24" i="50"/>
  <c r="AL22" i="50"/>
  <c r="AY38" i="50"/>
  <c r="AG75" i="50"/>
  <c r="Y43" i="50"/>
  <c r="AL72" i="50"/>
  <c r="BB51" i="50"/>
  <c r="AB70" i="50"/>
  <c r="BC51" i="50"/>
  <c r="BB31" i="50"/>
  <c r="AX72" i="50"/>
  <c r="N33" i="50"/>
  <c r="Z45" i="50"/>
  <c r="AK50" i="50"/>
  <c r="AM14" i="50"/>
  <c r="AH74" i="50"/>
  <c r="Q56" i="50"/>
  <c r="BA60" i="50"/>
  <c r="AP49" i="50"/>
  <c r="AJ54" i="50"/>
  <c r="AN20" i="50"/>
  <c r="V46" i="50"/>
  <c r="AS57" i="50"/>
  <c r="AG62" i="50"/>
  <c r="T47" i="50"/>
  <c r="O50" i="50"/>
  <c r="AJ57" i="50"/>
  <c r="AN41" i="50"/>
  <c r="AT48" i="50"/>
  <c r="AT14" i="50"/>
  <c r="AC22" i="50"/>
  <c r="AC69" i="50"/>
  <c r="AP50" i="50"/>
  <c r="AT72" i="50"/>
  <c r="AC75" i="50"/>
  <c r="M70" i="50"/>
  <c r="AN15" i="50"/>
  <c r="W40" i="50"/>
  <c r="Y54" i="50"/>
  <c r="AH59" i="50"/>
  <c r="AB74" i="50"/>
  <c r="AJ26" i="50"/>
  <c r="X42" i="50"/>
  <c r="AB59" i="50"/>
  <c r="N57" i="50"/>
  <c r="AR28" i="50"/>
  <c r="AX60" i="50"/>
  <c r="AL59" i="50"/>
  <c r="W54" i="50"/>
  <c r="O13" i="50"/>
  <c r="AQ42" i="50"/>
  <c r="AO5" i="50"/>
  <c r="AU40" i="50"/>
  <c r="BA70" i="50"/>
  <c r="AU30" i="50"/>
  <c r="BB4" i="50"/>
  <c r="AE54" i="50"/>
  <c r="AB40" i="50"/>
  <c r="AZ54" i="50"/>
  <c r="AI70" i="50"/>
  <c r="AF32" i="50"/>
  <c r="Q61" i="50"/>
  <c r="AT62" i="50"/>
  <c r="O56" i="50"/>
  <c r="AB53" i="50"/>
  <c r="AN38" i="50"/>
  <c r="AI14" i="50"/>
  <c r="AR67" i="50"/>
  <c r="S27" i="50"/>
  <c r="AR75" i="50"/>
  <c r="AZ13" i="50"/>
  <c r="L71" i="50"/>
  <c r="X72" i="50"/>
  <c r="AA55" i="50"/>
  <c r="AU39" i="50"/>
  <c r="AB28" i="50"/>
  <c r="AW14" i="50"/>
  <c r="AE59" i="50"/>
  <c r="S40" i="50"/>
  <c r="Z14" i="50"/>
  <c r="AK60" i="50"/>
  <c r="AO62" i="50"/>
  <c r="AY52" i="50"/>
  <c r="AH48" i="50"/>
  <c r="AY60" i="50"/>
  <c r="V5" i="50"/>
  <c r="AZ64" i="50"/>
  <c r="AL75" i="50"/>
  <c r="AH13" i="50"/>
  <c r="W57" i="50"/>
  <c r="W21" i="50"/>
  <c r="AL15" i="50"/>
  <c r="AF16" i="50"/>
  <c r="P32" i="50"/>
  <c r="Q45" i="50"/>
  <c r="Q24" i="50"/>
  <c r="AX75" i="50"/>
  <c r="AI46" i="50"/>
  <c r="AP18" i="50"/>
  <c r="AM18" i="50"/>
  <c r="Z17" i="50"/>
  <c r="Z52" i="50"/>
  <c r="BB21" i="50"/>
  <c r="AQ32" i="50"/>
  <c r="AI41" i="50"/>
  <c r="AO54" i="50"/>
  <c r="Q51" i="50"/>
  <c r="AI49" i="50"/>
  <c r="AA61" i="50"/>
  <c r="AN67" i="50"/>
  <c r="AP39" i="50"/>
  <c r="AF47" i="50"/>
  <c r="O36" i="50"/>
  <c r="AW65" i="50"/>
  <c r="AH63" i="50"/>
  <c r="AW37" i="50"/>
  <c r="O12" i="50"/>
  <c r="X73" i="50"/>
  <c r="X19" i="50"/>
  <c r="AM13" i="50"/>
  <c r="X49" i="50"/>
  <c r="AJ22" i="50"/>
  <c r="BA35" i="50"/>
  <c r="U61" i="50"/>
  <c r="AL24" i="50"/>
  <c r="AF28" i="50"/>
  <c r="R47" i="50"/>
  <c r="AZ17" i="50"/>
  <c r="AX31" i="50"/>
  <c r="BA32" i="50"/>
  <c r="Q14" i="50"/>
  <c r="W42" i="50"/>
  <c r="X4" i="50"/>
  <c r="P21" i="50"/>
  <c r="AF48" i="50"/>
  <c r="AH68" i="50"/>
  <c r="AP5" i="50"/>
  <c r="AZ49" i="50"/>
  <c r="L52" i="50"/>
  <c r="N46" i="50"/>
  <c r="AV66" i="50"/>
  <c r="T70" i="50"/>
  <c r="AI54" i="50"/>
  <c r="AO39" i="50"/>
  <c r="AR72" i="50"/>
  <c r="AE29" i="50"/>
  <c r="AM64" i="50"/>
  <c r="U12" i="50"/>
  <c r="AD44" i="50"/>
  <c r="AJ39" i="50"/>
  <c r="AO26" i="50"/>
  <c r="Q55" i="50"/>
  <c r="U49" i="50"/>
  <c r="T75" i="50"/>
  <c r="BA72" i="50"/>
  <c r="AF62" i="50"/>
  <c r="Y51" i="50"/>
  <c r="AD54" i="50"/>
  <c r="P22" i="50"/>
  <c r="AH39" i="50"/>
  <c r="AU34" i="50"/>
  <c r="AI23" i="50"/>
  <c r="AE34" i="50"/>
  <c r="AZ75" i="50"/>
  <c r="V19" i="50"/>
  <c r="Q31" i="50"/>
  <c r="O58" i="50"/>
  <c r="Q39" i="50"/>
  <c r="M52" i="50"/>
  <c r="X23" i="50"/>
  <c r="Q75" i="50"/>
  <c r="AT64" i="50"/>
  <c r="AX22" i="50"/>
  <c r="O54" i="50"/>
  <c r="AF31" i="50"/>
  <c r="AX61" i="50"/>
  <c r="Z40" i="50"/>
  <c r="AU57" i="50"/>
  <c r="AS50" i="50"/>
  <c r="AM70" i="50"/>
  <c r="S58" i="50"/>
  <c r="AM17" i="50"/>
  <c r="N43" i="50"/>
  <c r="AC13" i="50"/>
  <c r="AH35" i="50"/>
  <c r="AS73" i="50"/>
  <c r="AO47" i="50"/>
  <c r="AU56" i="50"/>
  <c r="AW55" i="50"/>
  <c r="AT55" i="50"/>
  <c r="U15" i="50"/>
  <c r="AT43" i="50"/>
  <c r="AJ28" i="50"/>
  <c r="P24" i="50"/>
  <c r="AL30" i="50"/>
  <c r="AS72" i="50"/>
  <c r="AB16" i="50"/>
  <c r="S28" i="50"/>
  <c r="AE51" i="50"/>
  <c r="O46" i="50"/>
  <c r="Q20" i="50"/>
  <c r="AS74" i="50"/>
  <c r="Q65" i="50"/>
  <c r="T5" i="50"/>
  <c r="Y49" i="50"/>
  <c r="AB12" i="50"/>
  <c r="T57" i="50"/>
  <c r="AS68" i="50"/>
  <c r="AH67" i="50"/>
  <c r="AP41" i="50"/>
  <c r="AO46" i="50"/>
  <c r="L12" i="50"/>
  <c r="U14" i="50"/>
  <c r="X70" i="50"/>
  <c r="AC23" i="50"/>
  <c r="AJ55" i="50"/>
  <c r="O48" i="50"/>
  <c r="AT51" i="50"/>
  <c r="AF35" i="50"/>
  <c r="AC66" i="50"/>
  <c r="BB20" i="50"/>
  <c r="AQ41" i="50"/>
  <c r="AD47" i="50"/>
  <c r="AU43" i="50"/>
  <c r="AG74" i="50"/>
  <c r="AN64" i="50"/>
  <c r="AF19" i="50"/>
  <c r="AU28" i="50"/>
  <c r="O71" i="50"/>
  <c r="AO70" i="50"/>
  <c r="V4" i="50"/>
  <c r="AA65" i="50"/>
  <c r="AW32" i="50"/>
  <c r="AQ33" i="50"/>
  <c r="AK46" i="50"/>
  <c r="R53" i="50"/>
  <c r="AW17" i="50"/>
  <c r="Y24" i="50"/>
  <c r="AK71" i="50"/>
  <c r="W12" i="50"/>
  <c r="AT58" i="50"/>
  <c r="AP19" i="50"/>
  <c r="AB47" i="50"/>
  <c r="V59" i="50"/>
  <c r="BC14" i="50"/>
  <c r="O55" i="50"/>
  <c r="AS61" i="50"/>
  <c r="M55" i="50"/>
  <c r="AV17" i="50"/>
  <c r="U18" i="50"/>
  <c r="AQ21" i="50"/>
  <c r="AI68" i="50"/>
  <c r="P65" i="50"/>
  <c r="BB44" i="50"/>
  <c r="AH66" i="50"/>
  <c r="AP67" i="50"/>
  <c r="AD56" i="50"/>
  <c r="AB30" i="50"/>
  <c r="AB49" i="50"/>
  <c r="AD68" i="50"/>
  <c r="L20" i="50"/>
  <c r="AO53" i="50"/>
  <c r="L49" i="50"/>
  <c r="P75" i="50"/>
  <c r="AU25" i="50"/>
  <c r="AU52" i="50"/>
  <c r="AS59" i="50"/>
  <c r="AU61" i="50"/>
  <c r="AC19" i="50"/>
  <c r="S36" i="50"/>
  <c r="AD59" i="50"/>
  <c r="AZ60" i="50"/>
  <c r="L75" i="50"/>
  <c r="AP57" i="50"/>
  <c r="AK65" i="50"/>
  <c r="AT28" i="50"/>
  <c r="AN35" i="50"/>
  <c r="AA47" i="50"/>
  <c r="L66" i="50"/>
  <c r="S44" i="50"/>
  <c r="W34" i="50"/>
  <c r="N19" i="50"/>
  <c r="AN32" i="50"/>
  <c r="Y60" i="50"/>
  <c r="P39" i="50"/>
  <c r="AS75" i="50"/>
  <c r="AH36" i="50"/>
  <c r="M48" i="50"/>
  <c r="AF21" i="50"/>
  <c r="AG68" i="50"/>
  <c r="AU67" i="50"/>
  <c r="M12" i="50"/>
  <c r="AL64" i="50"/>
  <c r="W60" i="50"/>
  <c r="BC67" i="50"/>
  <c r="AK49" i="50"/>
  <c r="Q48" i="50"/>
  <c r="AC4" i="50"/>
  <c r="AB56" i="50"/>
  <c r="BA28" i="50"/>
  <c r="AG71" i="50"/>
  <c r="BA50" i="50"/>
  <c r="S31" i="50"/>
  <c r="AY39" i="50"/>
  <c r="N70" i="50"/>
  <c r="AF45" i="50"/>
  <c r="AA71" i="50"/>
  <c r="N41" i="50"/>
  <c r="AO41" i="50"/>
  <c r="AD58" i="50"/>
  <c r="N58" i="50"/>
  <c r="W36" i="50"/>
  <c r="Y17" i="50"/>
  <c r="AF30" i="50"/>
  <c r="AM5" i="50"/>
  <c r="AJ38" i="50"/>
  <c r="AS58" i="50"/>
  <c r="AM37" i="50"/>
  <c r="AX52" i="50"/>
  <c r="AZ58" i="50"/>
  <c r="AH72" i="50"/>
  <c r="AV20" i="50"/>
  <c r="AZ48" i="50"/>
  <c r="AI74" i="50"/>
  <c r="AL37" i="50"/>
  <c r="AS40" i="50"/>
  <c r="Z56" i="50"/>
  <c r="AD27" i="50"/>
  <c r="AN46" i="50"/>
  <c r="AS13" i="50"/>
  <c r="Y68" i="50"/>
  <c r="AA67" i="50"/>
  <c r="AI29" i="50"/>
  <c r="AJ23" i="50"/>
  <c r="O24" i="50"/>
  <c r="AW4" i="50"/>
  <c r="AY73" i="50"/>
  <c r="U50" i="50"/>
  <c r="AW26" i="50"/>
  <c r="AN70" i="50"/>
  <c r="AO72" i="50"/>
  <c r="AC39" i="50"/>
  <c r="BC28" i="50"/>
  <c r="AB48" i="50"/>
  <c r="AR65" i="50"/>
  <c r="L61" i="50"/>
  <c r="M72" i="50"/>
  <c r="AL47" i="50"/>
  <c r="AM32" i="50"/>
  <c r="N32" i="50"/>
  <c r="AE19" i="50"/>
  <c r="AH4" i="50"/>
  <c r="AP29" i="50"/>
  <c r="R75" i="50"/>
  <c r="BC21" i="50"/>
  <c r="L72" i="50"/>
  <c r="AS33" i="50"/>
  <c r="AZ16" i="50"/>
  <c r="AO33" i="50"/>
  <c r="AA29" i="50"/>
  <c r="M20" i="50"/>
  <c r="Z48" i="50"/>
  <c r="AF20" i="50"/>
  <c r="W64" i="50"/>
  <c r="AJ34" i="50"/>
  <c r="V20" i="50"/>
  <c r="AR41" i="50"/>
  <c r="AO28" i="50"/>
  <c r="AN25" i="50"/>
  <c r="AI42" i="50"/>
  <c r="AW43" i="50"/>
  <c r="AF66" i="50"/>
  <c r="AC64" i="50"/>
  <c r="W59" i="50"/>
  <c r="BC59" i="50"/>
  <c r="AW23" i="50"/>
  <c r="AH50" i="50"/>
  <c r="X17" i="50"/>
  <c r="AZ43" i="50"/>
  <c r="AK37" i="50"/>
  <c r="AS42" i="50"/>
  <c r="N14" i="50"/>
  <c r="R48" i="50"/>
  <c r="Z66" i="50"/>
  <c r="AK29" i="50"/>
  <c r="Y61" i="50"/>
  <c r="AR52" i="50"/>
  <c r="AJ49" i="50"/>
  <c r="S12" i="50"/>
  <c r="AD20" i="50"/>
  <c r="L34" i="50"/>
  <c r="AK5" i="50"/>
  <c r="AI4" i="50"/>
  <c r="AJ59" i="50"/>
  <c r="Q68" i="50"/>
  <c r="AF57" i="50"/>
  <c r="AT27" i="50"/>
  <c r="AF41" i="50"/>
  <c r="AV58" i="50"/>
  <c r="AF56" i="50"/>
  <c r="AN51" i="50"/>
  <c r="AI19" i="50"/>
  <c r="S62" i="50"/>
  <c r="S57" i="50"/>
  <c r="AZ41" i="50"/>
  <c r="AE57" i="50"/>
  <c r="AP37" i="50"/>
  <c r="Y23" i="50"/>
  <c r="AM49" i="50"/>
  <c r="AU5" i="50"/>
  <c r="AY33" i="50"/>
  <c r="AO38" i="50"/>
  <c r="AT60" i="50"/>
  <c r="BB64" i="50"/>
  <c r="Y20" i="50"/>
  <c r="AT29" i="50"/>
  <c r="M57" i="50"/>
  <c r="AA64" i="50"/>
  <c r="S41" i="50"/>
  <c r="N31" i="50"/>
  <c r="S67" i="50"/>
  <c r="AG26" i="50"/>
  <c r="AI16" i="50"/>
  <c r="AF23" i="50"/>
  <c r="M23" i="50"/>
  <c r="AS43" i="50"/>
  <c r="N59" i="50"/>
  <c r="U47" i="50"/>
  <c r="AK35" i="50"/>
  <c r="AV40" i="50"/>
  <c r="O63" i="50"/>
  <c r="AH25" i="50"/>
  <c r="AW52" i="50"/>
  <c r="AX70" i="50"/>
  <c r="R25" i="50"/>
  <c r="BB35" i="50"/>
  <c r="AC52" i="50"/>
  <c r="M36" i="50"/>
  <c r="AF25" i="50"/>
  <c r="BC20" i="50"/>
  <c r="AJ30" i="50"/>
  <c r="S18" i="50"/>
  <c r="AE16" i="50"/>
  <c r="R35" i="50"/>
  <c r="Q46" i="50"/>
  <c r="AT30" i="50"/>
  <c r="Y52" i="50"/>
  <c r="Z32" i="50"/>
  <c r="AD65" i="50"/>
  <c r="AW16" i="50"/>
  <c r="AU71" i="50"/>
  <c r="AP25" i="50"/>
  <c r="V24" i="50"/>
  <c r="V23" i="50"/>
  <c r="AV71" i="50"/>
  <c r="AL55" i="50"/>
  <c r="AV5" i="50"/>
  <c r="Q40" i="50"/>
  <c r="AN61" i="50"/>
  <c r="AM71" i="50"/>
  <c r="AW69" i="50"/>
  <c r="AH41" i="50"/>
  <c r="AN33" i="50"/>
  <c r="M60" i="50"/>
  <c r="R67" i="50"/>
  <c r="AO56" i="50"/>
  <c r="AV35" i="50"/>
  <c r="T26" i="50"/>
  <c r="BB42" i="50"/>
  <c r="AW61" i="50"/>
  <c r="BA15" i="50"/>
  <c r="BC19" i="50"/>
  <c r="AZ46" i="50"/>
  <c r="S39" i="50"/>
  <c r="AH40" i="50"/>
  <c r="AG25" i="50"/>
  <c r="N65" i="50"/>
  <c r="BB74" i="50"/>
  <c r="AT70" i="50"/>
  <c r="AO27" i="50"/>
  <c r="AN29" i="50"/>
  <c r="X21" i="50"/>
  <c r="AZ5" i="50"/>
  <c r="N23" i="50"/>
  <c r="AS60" i="50"/>
  <c r="P72" i="50"/>
  <c r="BA42" i="50"/>
  <c r="AI38" i="50"/>
  <c r="Z42" i="50"/>
  <c r="BA54" i="50"/>
  <c r="BA63" i="50"/>
  <c r="Z71" i="50"/>
  <c r="AC24" i="50"/>
  <c r="BA13" i="50"/>
  <c r="AO31" i="50"/>
  <c r="X68" i="50"/>
  <c r="AL65" i="50"/>
  <c r="P46" i="50"/>
  <c r="AS38" i="50"/>
  <c r="P37" i="50"/>
  <c r="AY47" i="50"/>
  <c r="AC65" i="50"/>
  <c r="AU73" i="50"/>
  <c r="T19" i="50"/>
  <c r="S48" i="50"/>
  <c r="R34" i="50"/>
  <c r="BB58" i="50"/>
  <c r="AV23" i="50"/>
  <c r="S47" i="50"/>
  <c r="AJ42" i="50"/>
  <c r="L35" i="50"/>
  <c r="P45" i="50"/>
  <c r="BB26" i="50"/>
  <c r="AC71" i="50"/>
  <c r="AJ15" i="50"/>
  <c r="AT22" i="50"/>
  <c r="L14" i="50"/>
  <c r="AA40" i="50"/>
  <c r="Y12" i="50"/>
  <c r="AU62" i="50"/>
  <c r="AT4" i="50"/>
  <c r="BA36" i="50"/>
  <c r="AK44" i="50"/>
  <c r="AD37" i="50"/>
  <c r="AH53" i="50"/>
  <c r="W23" i="50"/>
  <c r="O14" i="50"/>
  <c r="AF36" i="50"/>
  <c r="AD33" i="50"/>
  <c r="BA34" i="50"/>
  <c r="M53" i="50"/>
  <c r="Q37" i="50"/>
  <c r="AF13" i="50"/>
  <c r="Y31" i="50"/>
  <c r="BA57" i="50"/>
  <c r="AA5" i="50"/>
  <c r="AD55" i="50"/>
  <c r="AS32" i="50"/>
  <c r="P41" i="50"/>
  <c r="AG40" i="50"/>
  <c r="AX68" i="50"/>
  <c r="V57" i="50"/>
  <c r="AK25" i="50"/>
  <c r="AX40" i="50"/>
  <c r="U19" i="50"/>
  <c r="O19" i="50"/>
  <c r="Y63" i="50"/>
  <c r="AX28" i="50"/>
  <c r="V29" i="50"/>
  <c r="AX33" i="50"/>
  <c r="P17" i="50"/>
  <c r="AR50" i="50"/>
  <c r="AJ5" i="50"/>
  <c r="BA39" i="50"/>
  <c r="L38" i="50"/>
  <c r="AL56" i="50"/>
  <c r="O43" i="50"/>
  <c r="T68" i="50"/>
  <c r="L27" i="50"/>
  <c r="AE56" i="50"/>
  <c r="AI17" i="50"/>
  <c r="T43" i="50"/>
  <c r="AK39" i="50"/>
  <c r="W22" i="50"/>
  <c r="AV44" i="50"/>
  <c r="Q30" i="50"/>
  <c r="AB15" i="50"/>
  <c r="M25" i="50"/>
  <c r="AV72" i="50"/>
  <c r="AE30" i="50"/>
  <c r="Y40" i="50"/>
  <c r="R40" i="50"/>
  <c r="AY32" i="50"/>
  <c r="AS34" i="50"/>
  <c r="R63" i="50"/>
  <c r="AB18" i="50"/>
  <c r="AM23" i="50"/>
  <c r="AD35" i="50"/>
  <c r="BB25" i="50"/>
  <c r="BC29" i="50"/>
  <c r="AK42" i="50"/>
  <c r="AG51" i="50"/>
  <c r="AO45" i="50"/>
  <c r="AZ62" i="50"/>
  <c r="AG54" i="50"/>
  <c r="AQ50" i="50"/>
  <c r="T17" i="50"/>
  <c r="P62" i="50"/>
  <c r="AP73" i="50"/>
  <c r="AD16" i="50"/>
  <c r="AV29" i="50"/>
  <c r="AW47" i="50"/>
  <c r="AU17" i="50"/>
  <c r="L63" i="50"/>
  <c r="M49" i="50"/>
  <c r="W44" i="50"/>
  <c r="O75" i="50"/>
  <c r="X44" i="50"/>
  <c r="Q36" i="50"/>
  <c r="N60" i="50"/>
  <c r="AN12" i="50"/>
  <c r="AN72" i="50"/>
  <c r="AQ73" i="50"/>
  <c r="AA13" i="50"/>
  <c r="AO71" i="50"/>
  <c r="AR5" i="50"/>
  <c r="N24" i="50"/>
  <c r="AY48" i="50"/>
  <c r="AV73" i="50"/>
  <c r="AN44" i="50"/>
  <c r="AE22" i="50"/>
  <c r="R14" i="50"/>
  <c r="AE13" i="50"/>
  <c r="M39" i="50"/>
  <c r="T25" i="50"/>
  <c r="AW15" i="50"/>
  <c r="R50" i="50"/>
  <c r="V52" i="50"/>
  <c r="AX23" i="50"/>
  <c r="Z47" i="50"/>
  <c r="AH23" i="50"/>
  <c r="BC26" i="50"/>
  <c r="AC33" i="50"/>
  <c r="Y53" i="50"/>
  <c r="T55" i="50"/>
  <c r="AB21" i="50"/>
  <c r="N17" i="50"/>
  <c r="AT46" i="50"/>
  <c r="AG73" i="50"/>
  <c r="O23" i="50"/>
  <c r="BB56" i="50"/>
  <c r="AQ67" i="50"/>
  <c r="BC30" i="50"/>
  <c r="R31" i="50"/>
  <c r="V45" i="50"/>
  <c r="AN47" i="50"/>
  <c r="AA70" i="50"/>
  <c r="X74" i="50"/>
  <c r="AB20" i="50"/>
  <c r="AN55" i="50"/>
  <c r="AM75" i="50"/>
  <c r="O66" i="50"/>
  <c r="W15" i="50"/>
  <c r="AY67" i="50"/>
  <c r="U55" i="50"/>
  <c r="AZ69" i="50"/>
  <c r="AE15" i="50"/>
  <c r="AS69" i="50"/>
  <c r="AL31" i="50"/>
  <c r="X54" i="50"/>
  <c r="AF70" i="50"/>
  <c r="Y70" i="50"/>
  <c r="AK20" i="50"/>
  <c r="AJ73" i="50"/>
  <c r="M61" i="50"/>
  <c r="AN66" i="50"/>
  <c r="P56" i="50"/>
  <c r="BC37" i="50"/>
  <c r="N51" i="50"/>
  <c r="AX4" i="50"/>
  <c r="AS44" i="50"/>
  <c r="AE28" i="50"/>
  <c r="AG57" i="50"/>
  <c r="L31" i="50"/>
  <c r="AA26" i="50"/>
  <c r="T14" i="50"/>
  <c r="AQ45" i="50"/>
  <c r="AA30" i="50"/>
  <c r="M13" i="50"/>
  <c r="BC38" i="50"/>
  <c r="AD60" i="50"/>
  <c r="L67" i="50"/>
  <c r="L17" i="50"/>
  <c r="P36" i="50"/>
  <c r="AE24" i="50"/>
  <c r="AV14" i="50"/>
  <c r="T61" i="50"/>
  <c r="V13" i="50"/>
  <c r="AE18" i="50"/>
  <c r="AP38" i="50"/>
  <c r="AL25" i="50"/>
  <c r="U48" i="50"/>
  <c r="AG45" i="50"/>
  <c r="AZ34" i="50"/>
  <c r="U13" i="50"/>
  <c r="AG46" i="50"/>
  <c r="BC55" i="50"/>
  <c r="P71" i="50"/>
  <c r="W4" i="50"/>
  <c r="AJ72" i="50"/>
  <c r="AJ65" i="50"/>
  <c r="AN16" i="50"/>
  <c r="AI47" i="50"/>
  <c r="AQ29" i="50"/>
  <c r="AR73" i="50"/>
  <c r="AI63" i="50"/>
  <c r="AQ37" i="50"/>
  <c r="AL74" i="50"/>
  <c r="U72" i="50"/>
  <c r="M54" i="50"/>
  <c r="AY51" i="50"/>
  <c r="AW59" i="50"/>
  <c r="Z12" i="50"/>
  <c r="AA59" i="50"/>
  <c r="AK13" i="50"/>
  <c r="AP74" i="50"/>
  <c r="V60" i="50"/>
  <c r="BA74" i="50"/>
  <c r="AE71" i="50"/>
  <c r="V43" i="50"/>
  <c r="AQ17" i="50"/>
  <c r="AG63" i="50"/>
  <c r="AN22" i="50"/>
  <c r="AZ19" i="50"/>
  <c r="AG61" i="50"/>
  <c r="Q28" i="50"/>
  <c r="AD17" i="50"/>
  <c r="AW13" i="50"/>
  <c r="Q74" i="50"/>
  <c r="AR62" i="50"/>
  <c r="Q29" i="50"/>
  <c r="AX69" i="50"/>
  <c r="AL68" i="50"/>
  <c r="AH22" i="50"/>
  <c r="S23" i="50"/>
  <c r="AS24" i="50"/>
  <c r="AH27" i="50"/>
  <c r="AK56" i="50"/>
  <c r="AF64" i="50"/>
  <c r="AK72" i="50"/>
  <c r="AS35" i="50"/>
  <c r="AN62" i="50"/>
  <c r="AZ23" i="50"/>
  <c r="AC36" i="50"/>
  <c r="O57" i="50"/>
  <c r="AX46" i="50"/>
  <c r="U21" i="50"/>
  <c r="X41" i="50"/>
  <c r="AC55" i="50"/>
  <c r="R64" i="50"/>
  <c r="AI25" i="50"/>
  <c r="V62" i="50"/>
  <c r="U62" i="50"/>
  <c r="AZ73" i="50"/>
  <c r="BC12" i="50"/>
  <c r="BB41" i="50"/>
  <c r="Y27" i="50"/>
  <c r="Z19" i="50"/>
  <c r="AR68" i="50"/>
  <c r="N72" i="50"/>
  <c r="AG24" i="50"/>
  <c r="M45" i="50"/>
  <c r="AF4" i="50"/>
  <c r="AP52" i="50"/>
  <c r="AB4" i="50"/>
  <c r="AM44" i="50"/>
  <c r="X16" i="50"/>
  <c r="AG49" i="50"/>
  <c r="BA33" i="50"/>
  <c r="S68" i="50"/>
  <c r="P40" i="50"/>
  <c r="BC31" i="50"/>
  <c r="AR27" i="50"/>
  <c r="BA45" i="50"/>
  <c r="X64" i="50"/>
  <c r="AE40" i="50"/>
  <c r="X26" i="50"/>
  <c r="BB38" i="50"/>
  <c r="AY61" i="50"/>
  <c r="AG19" i="50"/>
  <c r="AX56" i="50"/>
  <c r="P44" i="50"/>
  <c r="AZ31" i="50"/>
  <c r="N38" i="50"/>
  <c r="X34" i="50"/>
  <c r="AD73" i="50"/>
  <c r="AU48" i="50"/>
  <c r="Q49" i="50"/>
  <c r="AU69" i="50"/>
  <c r="S70" i="50"/>
  <c r="AB43" i="50"/>
  <c r="W53" i="50"/>
  <c r="AV18" i="50"/>
  <c r="AU37" i="50"/>
  <c r="Z49" i="50"/>
  <c r="AW28" i="50"/>
  <c r="AI31" i="50"/>
  <c r="AM43" i="50"/>
  <c r="V34" i="50"/>
  <c r="AD40" i="50"/>
  <c r="AG34" i="50"/>
  <c r="AW42" i="50"/>
  <c r="BB32" i="50"/>
  <c r="O52" i="50"/>
  <c r="S66" i="50"/>
  <c r="AX13" i="50"/>
  <c r="AJ29" i="50"/>
  <c r="AU35" i="50"/>
  <c r="AT42" i="50"/>
  <c r="AV55" i="50"/>
  <c r="AF43" i="50"/>
  <c r="AA54" i="50"/>
  <c r="AY46" i="50"/>
  <c r="L57" i="50"/>
  <c r="AE42" i="50"/>
  <c r="T13" i="50"/>
  <c r="AQ55" i="50"/>
  <c r="AM68" i="50"/>
  <c r="AW68" i="50"/>
  <c r="P5" i="50"/>
  <c r="AT25" i="50"/>
  <c r="AM46" i="50"/>
  <c r="AH26" i="50"/>
  <c r="AY20" i="50"/>
  <c r="U65" i="50"/>
  <c r="AH17" i="50"/>
  <c r="N61" i="50"/>
  <c r="W75" i="50"/>
  <c r="Z34" i="50"/>
  <c r="O70" i="50"/>
  <c r="T35" i="50"/>
  <c r="R37" i="50"/>
  <c r="AJ14" i="50"/>
  <c r="AD15" i="50"/>
  <c r="AA16" i="50"/>
  <c r="AZ39" i="50"/>
  <c r="AM48" i="50"/>
  <c r="AQ36" i="50"/>
  <c r="AO49" i="50"/>
  <c r="M51" i="50"/>
  <c r="AJ63" i="50"/>
  <c r="V65" i="50"/>
  <c r="AL32" i="50"/>
  <c r="Y16" i="50"/>
  <c r="AR57" i="50"/>
  <c r="AI60" i="50"/>
  <c r="N20" i="50"/>
  <c r="AP55" i="50"/>
  <c r="AL49" i="50"/>
  <c r="AV27" i="50"/>
  <c r="W71" i="50"/>
  <c r="AC38" i="50"/>
  <c r="AN14" i="50"/>
  <c r="AC53" i="50"/>
  <c r="BA24" i="50"/>
  <c r="X51" i="50"/>
  <c r="AO57" i="50"/>
  <c r="AN48" i="50"/>
  <c r="AA58" i="50"/>
  <c r="AK68" i="50"/>
  <c r="W70" i="50"/>
  <c r="O59" i="50"/>
  <c r="AD18" i="50"/>
  <c r="AD21" i="50"/>
  <c r="BA23" i="50"/>
  <c r="U63" i="50"/>
  <c r="AU68" i="50"/>
  <c r="P49" i="50"/>
  <c r="AK14" i="50"/>
  <c r="AR69" i="50"/>
  <c r="AB32" i="50"/>
  <c r="AE21" i="50"/>
  <c r="AA12" i="50"/>
  <c r="AA28" i="50"/>
  <c r="AY23" i="50"/>
  <c r="AU44" i="50"/>
  <c r="Y44" i="50"/>
  <c r="AY13" i="50"/>
  <c r="AT23" i="50"/>
  <c r="AF40" i="50"/>
  <c r="R23" i="50"/>
  <c r="AU55" i="50"/>
  <c r="AC30" i="50"/>
  <c r="R54" i="50"/>
  <c r="AD30" i="50"/>
  <c r="AL39" i="50"/>
  <c r="AY18" i="50"/>
  <c r="AO35" i="50"/>
  <c r="AY5" i="50"/>
  <c r="AV30" i="50"/>
  <c r="L58" i="50"/>
  <c r="AI24" i="50"/>
  <c r="AI12" i="50"/>
  <c r="AA46" i="50"/>
  <c r="AC48" i="50"/>
  <c r="Z25" i="50"/>
  <c r="AL38" i="50"/>
  <c r="L45" i="50"/>
  <c r="T20" i="50"/>
  <c r="R28" i="50"/>
  <c r="Q53" i="50"/>
  <c r="R44" i="50"/>
  <c r="AR12" i="50"/>
  <c r="AN43" i="50"/>
  <c r="AC32" i="50"/>
  <c r="AK34" i="50"/>
  <c r="AA4" i="50"/>
  <c r="AJ35" i="50"/>
  <c r="AO40" i="50"/>
  <c r="AI13" i="50"/>
  <c r="BC15" i="50"/>
  <c r="N26" i="50"/>
  <c r="AG32" i="50"/>
  <c r="T40" i="50"/>
  <c r="R13" i="50"/>
  <c r="BB55" i="50"/>
  <c r="AJ48" i="50"/>
  <c r="N21" i="50"/>
  <c r="AH30" i="50"/>
  <c r="Y59" i="50"/>
  <c r="AB44" i="50"/>
  <c r="M21" i="50"/>
  <c r="AB54" i="50"/>
  <c r="R43" i="50"/>
  <c r="AA45" i="50"/>
  <c r="AW54" i="50"/>
  <c r="R59" i="50"/>
  <c r="X30" i="50"/>
  <c r="AY14" i="50"/>
  <c r="X36" i="50"/>
  <c r="AA68" i="50"/>
  <c r="P57" i="50"/>
  <c r="L29" i="50"/>
  <c r="U58" i="50"/>
  <c r="AW36" i="50"/>
  <c r="R45" i="50"/>
  <c r="AU75" i="50"/>
  <c r="Z58" i="50"/>
  <c r="AJ17" i="50"/>
  <c r="BC32" i="50"/>
  <c r="AY29" i="50"/>
  <c r="AW58" i="50"/>
  <c r="AF34" i="50"/>
  <c r="X33" i="50"/>
  <c r="AY57" i="50"/>
  <c r="AV43" i="50"/>
  <c r="AZ53" i="50"/>
  <c r="V53" i="50"/>
  <c r="S75" i="50"/>
  <c r="AY58" i="50"/>
  <c r="BC34" i="50"/>
  <c r="W73" i="50"/>
  <c r="BA51" i="50"/>
  <c r="AN13" i="50"/>
  <c r="Y41" i="50"/>
  <c r="S37" i="50"/>
  <c r="U26" i="50"/>
  <c r="AF75" i="50"/>
  <c r="R71" i="50"/>
  <c r="AX5" i="50"/>
  <c r="AP44" i="50"/>
  <c r="S51" i="50"/>
  <c r="P15" i="50"/>
  <c r="AA31" i="50"/>
  <c r="AI33" i="50"/>
  <c r="U17" i="50"/>
  <c r="T22" i="50"/>
  <c r="AO52" i="50"/>
  <c r="S38" i="50"/>
  <c r="AT50" i="50"/>
  <c r="AS20" i="50"/>
  <c r="AR20" i="50"/>
  <c r="AN53" i="50"/>
  <c r="U34" i="50"/>
  <c r="M30" i="50"/>
  <c r="AD43" i="50"/>
  <c r="AZ24" i="50"/>
  <c r="AQ47" i="50"/>
  <c r="AS21" i="50"/>
  <c r="Q18" i="50"/>
  <c r="AY41" i="50"/>
  <c r="AP23" i="50"/>
  <c r="AK69" i="50"/>
  <c r="X69" i="50"/>
  <c r="AY21" i="50"/>
  <c r="O41" i="50"/>
  <c r="AB24" i="50"/>
  <c r="AS19" i="50"/>
  <c r="AL21" i="50"/>
  <c r="BA18" i="50"/>
  <c r="AY44" i="50"/>
  <c r="BA47" i="50"/>
  <c r="AT53" i="50"/>
  <c r="AA52" i="50"/>
  <c r="AC50" i="50"/>
  <c r="AB55" i="50"/>
  <c r="AW48" i="50"/>
  <c r="AI50" i="50"/>
  <c r="AO66" i="50"/>
  <c r="BC61" i="50"/>
  <c r="AV33" i="50"/>
  <c r="AO20" i="50"/>
  <c r="AQ66" i="50"/>
  <c r="Y71" i="50"/>
  <c r="L26" i="50"/>
  <c r="Y32" i="50"/>
  <c r="M71" i="50"/>
  <c r="AW75" i="50"/>
  <c r="AU26" i="50"/>
  <c r="AM56" i="50"/>
  <c r="BC74" i="50"/>
  <c r="R21" i="50"/>
  <c r="AD22" i="50"/>
  <c r="AP65" i="50"/>
  <c r="Y28" i="50"/>
  <c r="S22" i="50"/>
  <c r="L44" i="50"/>
  <c r="W19" i="50"/>
  <c r="AK51" i="50"/>
  <c r="AV41" i="50"/>
  <c r="AO25" i="50"/>
  <c r="AQ49" i="50"/>
  <c r="BB16" i="50"/>
  <c r="AK30" i="50"/>
  <c r="BA75" i="50"/>
  <c r="BC72" i="50"/>
  <c r="AU47" i="50"/>
  <c r="AD24" i="50"/>
  <c r="M59" i="50"/>
  <c r="N53" i="50"/>
  <c r="AE63" i="50"/>
  <c r="N42" i="50"/>
  <c r="AQ18" i="50"/>
  <c r="AC12" i="50"/>
  <c r="AP43" i="50"/>
  <c r="AE49" i="50"/>
  <c r="AI32" i="50"/>
  <c r="AV69" i="50"/>
  <c r="AX50" i="50"/>
  <c r="AO50" i="50"/>
  <c r="AR71" i="50"/>
  <c r="P4" i="50"/>
  <c r="Z59" i="50"/>
  <c r="W43" i="50"/>
  <c r="AY34" i="50"/>
  <c r="AZ44" i="50"/>
  <c r="AZ68" i="50"/>
  <c r="O37" i="50"/>
  <c r="Z18" i="50"/>
  <c r="AZ28" i="50"/>
  <c r="T33" i="50"/>
  <c r="AQ61" i="50"/>
  <c r="X20" i="50"/>
  <c r="AB60" i="50"/>
  <c r="Q70" i="50"/>
  <c r="BC65" i="50"/>
  <c r="AZ65" i="50"/>
  <c r="AN24" i="50"/>
  <c r="AK31" i="50"/>
  <c r="AP33" i="50"/>
  <c r="AJ64" i="50"/>
  <c r="AH51" i="50"/>
  <c r="N30" i="50"/>
  <c r="P67" i="50"/>
  <c r="X57" i="50"/>
  <c r="BC57" i="50"/>
  <c r="R22" i="50"/>
  <c r="AK22" i="50"/>
  <c r="AE62" i="50"/>
  <c r="AO43" i="50"/>
  <c r="AE52" i="50"/>
  <c r="AA27" i="50"/>
  <c r="AC25" i="50"/>
  <c r="BB59" i="50"/>
  <c r="M40" i="50"/>
  <c r="Z13" i="50"/>
  <c r="X66" i="50"/>
  <c r="S33" i="50"/>
  <c r="BC48" i="50"/>
  <c r="O74" i="50"/>
  <c r="W5" i="50"/>
  <c r="AC40" i="50"/>
  <c r="AP72" i="50"/>
  <c r="AC16" i="50"/>
  <c r="AE75" i="50"/>
  <c r="AL54" i="50"/>
  <c r="AD67" i="50"/>
  <c r="N56" i="50"/>
  <c r="X65" i="50"/>
  <c r="P26" i="50"/>
  <c r="AY64" i="50"/>
  <c r="AS70" i="50"/>
  <c r="AD49" i="50"/>
  <c r="BA56" i="50"/>
  <c r="AD70" i="50"/>
  <c r="AI64" i="50"/>
  <c r="Q15" i="50"/>
  <c r="AF53" i="50"/>
  <c r="AB63" i="50"/>
  <c r="AF38" i="50"/>
  <c r="AT74" i="50"/>
  <c r="BC23" i="50"/>
  <c r="AQ72" i="50"/>
  <c r="AL19" i="50"/>
  <c r="AU36" i="50"/>
  <c r="AG31" i="50"/>
  <c r="AT41" i="50"/>
  <c r="AG14" i="50"/>
  <c r="AD5" i="50"/>
  <c r="S64" i="50"/>
  <c r="AP42" i="50"/>
  <c r="AL48" i="50"/>
  <c r="AS23" i="50"/>
  <c r="P53" i="50"/>
  <c r="AM40" i="50"/>
  <c r="AE39" i="50"/>
  <c r="AY17" i="50"/>
  <c r="AW31" i="50"/>
  <c r="Y36" i="50"/>
  <c r="T64" i="50"/>
  <c r="AO37" i="50"/>
  <c r="BC35" i="50"/>
  <c r="AI44" i="50"/>
  <c r="AY69" i="50"/>
  <c r="T56" i="50"/>
  <c r="AG28" i="50"/>
  <c r="AT5" i="50"/>
  <c r="M14" i="50"/>
  <c r="T71" i="50"/>
  <c r="AC57" i="50"/>
  <c r="AV25" i="50"/>
  <c r="N45" i="50"/>
  <c r="AY45" i="50"/>
  <c r="AH21" i="50"/>
  <c r="N48" i="50"/>
  <c r="AU13" i="50"/>
  <c r="BA14" i="50"/>
  <c r="AF73" i="50"/>
  <c r="AH42" i="50"/>
  <c r="AG29" i="50"/>
  <c r="U67" i="50"/>
  <c r="O40" i="50"/>
  <c r="V16" i="50"/>
  <c r="AZ12" i="50"/>
  <c r="Z43" i="50"/>
  <c r="Y33" i="50"/>
  <c r="AX38" i="50"/>
  <c r="AK40" i="50"/>
  <c r="AP68" i="50"/>
  <c r="AQ12" i="50"/>
  <c r="M28" i="50"/>
  <c r="AY59" i="50"/>
  <c r="AI21" i="50"/>
  <c r="AU63" i="50"/>
  <c r="Y18" i="50"/>
  <c r="AP24" i="50"/>
  <c r="AU22" i="50"/>
  <c r="AY49" i="50"/>
  <c r="AX37" i="50"/>
  <c r="AJ24" i="50"/>
  <c r="AR54" i="50"/>
  <c r="Y45" i="50"/>
  <c r="AM27" i="50"/>
  <c r="V69" i="50"/>
  <c r="AP20" i="50"/>
  <c r="AL40" i="50"/>
  <c r="AS27" i="50"/>
  <c r="U35" i="50"/>
  <c r="AP70" i="50"/>
  <c r="BB70" i="50"/>
  <c r="AV57" i="50"/>
  <c r="X24" i="50"/>
  <c r="BB23" i="50"/>
  <c r="Q17" i="50"/>
  <c r="AX19" i="50"/>
  <c r="AX27" i="50"/>
  <c r="AZ61" i="50"/>
  <c r="AK54" i="50"/>
  <c r="AX59" i="50"/>
  <c r="AA44" i="50"/>
  <c r="R19" i="50"/>
  <c r="S61" i="50"/>
  <c r="AE27" i="50"/>
  <c r="AO73" i="50"/>
  <c r="AE74" i="50"/>
  <c r="U28" i="50"/>
  <c r="V48" i="50"/>
  <c r="BB28" i="50"/>
  <c r="T60" i="50"/>
  <c r="AJ44" i="50"/>
  <c r="BC42" i="50"/>
  <c r="W39" i="50"/>
  <c r="AA62" i="50"/>
  <c r="BC75" i="50"/>
  <c r="AB14" i="50"/>
  <c r="N16" i="50"/>
  <c r="AX16" i="50"/>
  <c r="Q58" i="50"/>
  <c r="N18" i="50"/>
  <c r="AF46" i="50"/>
  <c r="AF52" i="50"/>
  <c r="AF29" i="50"/>
  <c r="AX26" i="50"/>
  <c r="L73" i="50"/>
  <c r="W13" i="50"/>
  <c r="AF61" i="50"/>
  <c r="BC56" i="50"/>
  <c r="AT16" i="50"/>
  <c r="AQ25" i="50"/>
  <c r="BA64" i="50"/>
  <c r="AT33" i="50"/>
  <c r="T67" i="50"/>
  <c r="AB46" i="50"/>
  <c r="AT56" i="50"/>
  <c r="AP48" i="50"/>
  <c r="V14" i="50"/>
  <c r="AX67" i="50"/>
  <c r="AO32" i="50"/>
  <c r="S73" i="50"/>
  <c r="AZ22" i="50"/>
  <c r="Y58" i="50"/>
  <c r="AG21" i="50"/>
  <c r="AJ16" i="50"/>
  <c r="AG30" i="50"/>
  <c r="AG35" i="50"/>
  <c r="AE4" i="50"/>
  <c r="Z44" i="50"/>
  <c r="AZ21" i="50"/>
  <c r="AA37" i="50"/>
  <c r="AT13" i="50"/>
  <c r="AB69" i="50"/>
  <c r="BA40" i="50"/>
  <c r="AL4" i="50"/>
  <c r="AY63" i="50"/>
  <c r="AV26" i="50"/>
  <c r="AN42" i="50"/>
  <c r="AW20" i="50"/>
  <c r="AK16" i="50"/>
  <c r="AZ33" i="50"/>
  <c r="W18" i="50"/>
  <c r="Y13" i="50"/>
  <c r="P54" i="50"/>
  <c r="AS25" i="50"/>
  <c r="AL70" i="50"/>
  <c r="O68" i="50"/>
  <c r="P66" i="50"/>
  <c r="AW39" i="50"/>
  <c r="Q12" i="50"/>
  <c r="AE44" i="50"/>
  <c r="Z65" i="50"/>
  <c r="AA66" i="50"/>
  <c r="AI18" i="50"/>
  <c r="BC22" i="50"/>
  <c r="AN74" i="50"/>
  <c r="AZ20" i="50"/>
  <c r="P16" i="50"/>
  <c r="AA73" i="50"/>
  <c r="Y50" i="50"/>
  <c r="AF50" i="50"/>
  <c r="W38" i="50"/>
  <c r="W55" i="50"/>
  <c r="N5" i="50"/>
  <c r="O16" i="50"/>
  <c r="AT36" i="50"/>
  <c r="AE45" i="50"/>
  <c r="AJ71" i="50"/>
  <c r="N50" i="50"/>
  <c r="Y35" i="50"/>
  <c r="AL66" i="50"/>
  <c r="AE32" i="50"/>
  <c r="AW34" i="50"/>
  <c r="Y56" i="50"/>
  <c r="Y22" i="50"/>
  <c r="Q62" i="50"/>
  <c r="AB72" i="50"/>
  <c r="AN75" i="50"/>
  <c r="AI67" i="50"/>
  <c r="AZ18" i="50"/>
  <c r="AZ26" i="50"/>
  <c r="AG52" i="50"/>
  <c r="O27" i="50"/>
  <c r="AO29" i="50"/>
  <c r="AQ43" i="50"/>
  <c r="Q16" i="50"/>
  <c r="BC46" i="50"/>
  <c r="BB24" i="50"/>
  <c r="AL33" i="50"/>
  <c r="AZ38" i="50"/>
  <c r="Q69" i="50"/>
  <c r="L56" i="50"/>
  <c r="AI69" i="50"/>
  <c r="Z63" i="50"/>
  <c r="AC68" i="50"/>
  <c r="BA20" i="50"/>
  <c r="AC14" i="50"/>
  <c r="T24" i="50"/>
  <c r="O51" i="50"/>
  <c r="AZ4" i="50"/>
  <c r="AV63" i="50"/>
  <c r="AR43" i="50"/>
  <c r="AL50" i="50"/>
  <c r="AP28" i="50"/>
  <c r="AM45" i="50"/>
  <c r="AE5" i="50"/>
  <c r="AF33" i="50"/>
  <c r="Q71" i="50"/>
  <c r="S53" i="50"/>
  <c r="Q73" i="50"/>
  <c r="AE12" i="50"/>
  <c r="AE70" i="50"/>
  <c r="AB67" i="50"/>
  <c r="AR63" i="50"/>
  <c r="AU4" i="50"/>
  <c r="AT54" i="50"/>
  <c r="BA55" i="50"/>
  <c r="AN50" i="50"/>
  <c r="BA53" i="50"/>
  <c r="AB52" i="50"/>
  <c r="AJ18" i="50"/>
  <c r="V22" i="50"/>
  <c r="BB12" i="50"/>
  <c r="AK19" i="50"/>
  <c r="AT66" i="50"/>
  <c r="AL17" i="50"/>
  <c r="BB68" i="50"/>
  <c r="AC51" i="50"/>
  <c r="AB61" i="50"/>
  <c r="Y38" i="50"/>
  <c r="AM59" i="50"/>
  <c r="AN31" i="50"/>
  <c r="AC29" i="50"/>
  <c r="AH24" i="50"/>
  <c r="AF60" i="50"/>
  <c r="AC70" i="50"/>
  <c r="AH33" i="50"/>
  <c r="BB22" i="50"/>
  <c r="AR38" i="50"/>
  <c r="AI59" i="50"/>
  <c r="AI30" i="50"/>
  <c r="BA17" i="50"/>
  <c r="AT63" i="50"/>
  <c r="L25" i="50"/>
  <c r="BA43" i="50"/>
  <c r="Y21" i="50"/>
  <c r="L46" i="50"/>
  <c r="O72" i="50"/>
  <c r="U5" i="50"/>
  <c r="AI66" i="50"/>
  <c r="M33" i="50"/>
  <c r="BC66" i="50"/>
  <c r="AQ16" i="50"/>
  <c r="AD23" i="50"/>
  <c r="T38" i="50"/>
  <c r="AA24" i="50"/>
  <c r="AN37" i="50"/>
  <c r="Y48" i="50"/>
  <c r="P70" i="50"/>
  <c r="Z37" i="50"/>
  <c r="AP63" i="50"/>
  <c r="BB47" i="50"/>
  <c r="AK21" i="50"/>
  <c r="AW24" i="50"/>
  <c r="AM16" i="50"/>
  <c r="AV49" i="50"/>
  <c r="R72" i="50"/>
  <c r="AW40" i="50"/>
  <c r="AX17" i="50"/>
  <c r="AG65" i="50"/>
  <c r="AO17" i="50"/>
  <c r="M24" i="50"/>
  <c r="Z36" i="50"/>
  <c r="AW70" i="50"/>
  <c r="BC40" i="50"/>
  <c r="AM67" i="50"/>
  <c r="W52" i="50"/>
  <c r="AV39" i="50"/>
  <c r="Y42" i="50"/>
  <c r="AJ45" i="50"/>
  <c r="AM39" i="50"/>
  <c r="AF37" i="50"/>
  <c r="AC44" i="50"/>
  <c r="Q19" i="50"/>
  <c r="L5" i="50"/>
  <c r="AP51" i="50"/>
  <c r="AJ31" i="50"/>
  <c r="S35" i="50"/>
  <c r="AJ20" i="50"/>
  <c r="O20" i="50"/>
  <c r="AB5" i="50"/>
  <c r="AZ57" i="50"/>
  <c r="L13" i="50"/>
  <c r="AO21" i="50"/>
  <c r="AO65" i="50"/>
  <c r="L60" i="50"/>
  <c r="Q33" i="50"/>
  <c r="X71" i="50"/>
  <c r="R51" i="50"/>
  <c r="AY65" i="50"/>
  <c r="AN68" i="50"/>
  <c r="AX18" i="50"/>
  <c r="AN57" i="50"/>
  <c r="V12" i="50"/>
  <c r="AJ70" i="50"/>
  <c r="AC42" i="50"/>
  <c r="AN59" i="50"/>
  <c r="BB14" i="50"/>
  <c r="AM69" i="50"/>
  <c r="AB62" i="50"/>
  <c r="AW64" i="50"/>
  <c r="AS48" i="50"/>
  <c r="O26" i="50"/>
  <c r="BA31" i="50"/>
  <c r="AI40" i="50"/>
  <c r="Z30" i="50"/>
  <c r="T15" i="50"/>
  <c r="N13" i="50"/>
  <c r="V75" i="50"/>
  <c r="AG43" i="50"/>
  <c r="S16" i="50"/>
  <c r="AV59" i="50"/>
  <c r="AQ59" i="50"/>
  <c r="AP21" i="50"/>
  <c r="AV62" i="50"/>
  <c r="Y37" i="50"/>
  <c r="L19" i="50"/>
  <c r="AT35" i="50"/>
  <c r="P59" i="50"/>
  <c r="AX48" i="50"/>
  <c r="S50" i="50"/>
  <c r="AI27" i="50"/>
  <c r="W63" i="50"/>
  <c r="T18" i="50"/>
  <c r="AL69" i="50"/>
  <c r="AJ21" i="50"/>
  <c r="N68" i="50"/>
  <c r="AN65" i="50"/>
  <c r="AY50" i="50"/>
  <c r="X61" i="50"/>
  <c r="BA5" i="50"/>
  <c r="AO74" i="50"/>
  <c r="Y72" i="50"/>
  <c r="R27" i="50"/>
  <c r="AW66" i="50"/>
  <c r="AG5" i="50"/>
  <c r="AK18" i="50"/>
  <c r="U4" i="50"/>
  <c r="AM55" i="50"/>
  <c r="V73" i="50"/>
  <c r="AI37" i="50"/>
  <c r="AK52" i="50"/>
  <c r="U22" i="50"/>
  <c r="BA62" i="50"/>
  <c r="BC5" i="50"/>
  <c r="X55" i="50"/>
  <c r="AI53" i="50"/>
  <c r="N4" i="50"/>
  <c r="AR18" i="50"/>
  <c r="AP15" i="50"/>
  <c r="AJ33" i="50"/>
  <c r="AI35" i="50"/>
  <c r="X53" i="50"/>
  <c r="AJ50" i="50"/>
  <c r="S72" i="50"/>
  <c r="Z31" i="50"/>
  <c r="AY71" i="50"/>
  <c r="AV19" i="50"/>
  <c r="AJ41" i="50"/>
  <c r="AV61" i="50"/>
  <c r="M4" i="50"/>
  <c r="R73" i="50"/>
  <c r="R55" i="50"/>
  <c r="AG67" i="50"/>
  <c r="Y46" i="50"/>
  <c r="N27" i="50"/>
  <c r="AS55" i="50"/>
  <c r="Z33" i="50"/>
  <c r="AE65" i="50"/>
  <c r="U68" i="50"/>
  <c r="AN34" i="50"/>
  <c r="AS62" i="50"/>
  <c r="X32" i="50"/>
  <c r="BB48" i="50"/>
  <c r="U73" i="50"/>
  <c r="AQ74" i="50"/>
  <c r="AB26" i="50"/>
  <c r="O45" i="50"/>
  <c r="AI61" i="50"/>
  <c r="Z28" i="50"/>
  <c r="AW41" i="50"/>
  <c r="W48" i="50"/>
  <c r="AC5" i="50"/>
  <c r="U51" i="50"/>
  <c r="AS54" i="50"/>
  <c r="R38" i="50"/>
  <c r="AP40" i="50"/>
  <c r="S42" i="50"/>
  <c r="AC41" i="50"/>
  <c r="X67" i="50"/>
  <c r="AY53" i="50"/>
  <c r="AY62" i="50"/>
  <c r="AO63" i="50"/>
  <c r="BC53" i="50"/>
  <c r="AP59" i="50"/>
  <c r="AA43" i="50"/>
  <c r="AY16" i="50"/>
  <c r="AQ20" i="50"/>
  <c r="BA49" i="50"/>
  <c r="V49" i="50"/>
  <c r="AC18" i="50"/>
  <c r="AV74" i="50"/>
  <c r="AH71" i="50"/>
  <c r="Q5" i="50"/>
  <c r="AG36" i="50"/>
  <c r="AU46" i="50"/>
  <c r="S54" i="50"/>
  <c r="T21" i="50"/>
  <c r="BC4" i="50"/>
  <c r="AW63" i="50"/>
  <c r="AM25" i="50"/>
  <c r="AU49" i="50"/>
  <c r="Y65" i="50"/>
  <c r="AI43" i="50"/>
  <c r="N66" i="50"/>
  <c r="AM19" i="50"/>
  <c r="U70" i="50"/>
  <c r="AQ13" i="50"/>
  <c r="X28" i="50"/>
  <c r="AP71" i="50"/>
  <c r="AE38" i="50"/>
  <c r="U31" i="50"/>
  <c r="AS56" i="50"/>
  <c r="N34" i="50"/>
  <c r="U69" i="50"/>
  <c r="BC68" i="50"/>
  <c r="AF26" i="50"/>
  <c r="AQ69" i="50"/>
  <c r="V26" i="50"/>
  <c r="AJ4" i="50"/>
  <c r="AM26" i="50"/>
  <c r="X35" i="50"/>
  <c r="AU19" i="50"/>
  <c r="AK73" i="50"/>
  <c r="AJ74" i="50"/>
  <c r="L16" i="50"/>
  <c r="AZ36" i="50"/>
  <c r="N15" i="50"/>
  <c r="AH44" i="50"/>
  <c r="AN27" i="50"/>
  <c r="BC39" i="50"/>
  <c r="AS12" i="50"/>
  <c r="AH29" i="50"/>
  <c r="AT65" i="50"/>
  <c r="BC69" i="50"/>
  <c r="AI65" i="50"/>
  <c r="AD34" i="50"/>
  <c r="AH31" i="50"/>
  <c r="AN30" i="50"/>
  <c r="BB15" i="50"/>
  <c r="AB17" i="50"/>
  <c r="T51" i="50"/>
  <c r="X59" i="50"/>
  <c r="AV31" i="50"/>
  <c r="M41" i="50"/>
  <c r="U25" i="50"/>
  <c r="AO60" i="50"/>
  <c r="W50" i="50"/>
  <c r="AH64" i="50"/>
  <c r="AQ48" i="50"/>
  <c r="Y34" i="50"/>
  <c r="O73" i="50"/>
  <c r="AB45" i="50"/>
  <c r="M5" i="50"/>
  <c r="AA17" i="50"/>
  <c r="Z16" i="50"/>
  <c r="T29" i="50"/>
  <c r="R16" i="50"/>
  <c r="AI57" i="50"/>
  <c r="AD48" i="50"/>
  <c r="AQ40" i="50"/>
  <c r="BC13" i="50"/>
  <c r="BB60" i="50"/>
  <c r="AY26" i="50"/>
  <c r="AP17" i="50"/>
  <c r="AJ60" i="50"/>
  <c r="AV65" i="50"/>
  <c r="AL23" i="50"/>
  <c r="O53" i="50"/>
  <c r="AG4" i="50"/>
  <c r="AM24" i="50"/>
  <c r="AW29" i="50"/>
  <c r="AH37" i="50"/>
  <c r="BB5" i="50"/>
  <c r="AJ69" i="50"/>
  <c r="AZ37" i="50"/>
  <c r="AD75" i="50"/>
  <c r="AH32" i="50"/>
  <c r="Z50" i="50"/>
  <c r="AN73" i="50"/>
  <c r="AD51" i="50"/>
  <c r="O28" i="50"/>
  <c r="Y39" i="50"/>
  <c r="AD36" i="50"/>
  <c r="T58" i="50"/>
  <c r="AX57" i="50"/>
  <c r="AV75" i="50"/>
  <c r="AN60" i="50"/>
  <c r="M44" i="50"/>
  <c r="AE67" i="50"/>
  <c r="AS36" i="50"/>
  <c r="U75" i="50"/>
  <c r="AY30" i="50"/>
  <c r="Y69" i="50"/>
  <c r="AU60" i="50"/>
  <c r="AK17" i="50"/>
  <c r="L62" i="50"/>
  <c r="BB46" i="50"/>
  <c r="AP16" i="50"/>
  <c r="AY12" i="50"/>
  <c r="AR56" i="50"/>
  <c r="BC62" i="50"/>
  <c r="AM53" i="50"/>
  <c r="BC47" i="50"/>
  <c r="V18" i="50"/>
  <c r="AY55" i="50"/>
  <c r="AV13" i="50"/>
  <c r="AQ65" i="50"/>
  <c r="AC63" i="50"/>
  <c r="Q50" i="50"/>
  <c r="S49" i="50"/>
  <c r="AD28" i="50"/>
  <c r="AN18" i="50"/>
  <c r="AX25" i="50"/>
  <c r="Z23" i="50"/>
  <c r="AG47" i="50"/>
  <c r="Q57" i="50"/>
  <c r="AB25" i="50"/>
  <c r="O17" i="50"/>
  <c r="AR22" i="50"/>
  <c r="AP27" i="50"/>
  <c r="AM42" i="50"/>
  <c r="AX73" i="50"/>
  <c r="X58" i="50"/>
  <c r="L40" i="50"/>
  <c r="AK33" i="50"/>
  <c r="AC37" i="50"/>
  <c r="AA36" i="50"/>
  <c r="AO51" i="50"/>
  <c r="AH15" i="50"/>
  <c r="M35" i="50"/>
  <c r="BC45" i="50"/>
  <c r="AY56" i="50"/>
  <c r="X15" i="50"/>
  <c r="M75" i="50"/>
  <c r="AQ71" i="50"/>
  <c r="BA21" i="50"/>
  <c r="AC58" i="50"/>
  <c r="U64" i="50"/>
  <c r="AR45" i="50"/>
  <c r="Z61" i="50"/>
  <c r="AV12" i="50"/>
  <c r="AP36" i="50"/>
  <c r="S52" i="50"/>
  <c r="AX49" i="50"/>
  <c r="AC61" i="50"/>
  <c r="U37" i="50"/>
  <c r="U23" i="50"/>
  <c r="AQ27" i="50"/>
  <c r="V74" i="50"/>
  <c r="AQ51" i="50"/>
  <c r="AX12" i="50"/>
  <c r="R42" i="50"/>
  <c r="S5" i="50"/>
  <c r="Q35" i="50"/>
  <c r="Q59" i="50"/>
  <c r="AM41" i="50"/>
  <c r="AS71" i="50"/>
  <c r="AT15" i="50"/>
  <c r="AK75" i="50"/>
  <c r="BC54" i="50"/>
  <c r="AQ68" i="50"/>
  <c r="L48" i="50"/>
  <c r="AC28" i="50"/>
  <c r="AT18" i="50"/>
  <c r="R26" i="50"/>
  <c r="S13" i="50"/>
  <c r="AZ47" i="50"/>
  <c r="R33" i="50"/>
  <c r="AV54" i="50"/>
  <c r="W30" i="50"/>
  <c r="AR17" i="50"/>
  <c r="AV4" i="50"/>
  <c r="N64" i="50"/>
  <c r="AY19" i="50"/>
  <c r="AM52" i="50"/>
  <c r="AU65" i="50"/>
  <c r="AT52" i="50"/>
  <c r="Z35" i="50"/>
  <c r="AB71" i="50"/>
  <c r="S60" i="50"/>
  <c r="AN45" i="50"/>
  <c r="AD50" i="50"/>
  <c r="AY54" i="50"/>
  <c r="P29" i="50"/>
  <c r="AS37" i="50"/>
  <c r="U38" i="50"/>
  <c r="R29" i="50"/>
  <c r="O31" i="50"/>
  <c r="P12" i="50"/>
  <c r="L36" i="50"/>
  <c r="AI22" i="50"/>
  <c r="AC54" i="50"/>
  <c r="AS41" i="50"/>
  <c r="BA25" i="50"/>
  <c r="U57" i="50"/>
  <c r="W46" i="50"/>
  <c r="W33" i="50"/>
  <c r="M58" i="50"/>
  <c r="AD61" i="50"/>
  <c r="AU21" i="50"/>
  <c r="AR23" i="50"/>
  <c r="Z24" i="50"/>
  <c r="AP46" i="50"/>
  <c r="AH47" i="50"/>
  <c r="BB29" i="50"/>
  <c r="R36" i="50"/>
  <c r="AX65" i="50"/>
  <c r="AK47" i="50"/>
  <c r="AW72" i="50"/>
  <c r="AP60" i="50"/>
  <c r="AG70" i="50"/>
  <c r="W74" i="50"/>
  <c r="AR46" i="50"/>
  <c r="P31" i="50"/>
  <c r="V51" i="50"/>
  <c r="R15" i="50"/>
  <c r="AX47" i="50"/>
  <c r="AU54" i="50"/>
  <c r="P48" i="50"/>
  <c r="T31" i="50"/>
  <c r="AE66" i="50"/>
  <c r="AT67" i="50"/>
  <c r="AU32" i="50"/>
  <c r="AF65" i="50"/>
  <c r="N25" i="50"/>
  <c r="Y57" i="50"/>
  <c r="AO18" i="50"/>
  <c r="BC36" i="50"/>
  <c r="M42" i="50"/>
  <c r="AF44" i="50"/>
  <c r="AR48" i="50"/>
  <c r="AG60" i="50"/>
  <c r="W45" i="50"/>
  <c r="U46" i="50"/>
  <c r="M38" i="50"/>
  <c r="AO48" i="50"/>
  <c r="AO64" i="50"/>
  <c r="T54" i="50"/>
  <c r="AN26" i="50"/>
  <c r="AW21" i="50"/>
  <c r="AJ47" i="50"/>
  <c r="AW56" i="50"/>
  <c r="M64" i="50"/>
  <c r="U20" i="50"/>
  <c r="AB23" i="50"/>
  <c r="AD29" i="50"/>
  <c r="AH46" i="50"/>
  <c r="R70" i="50"/>
  <c r="AQ64" i="50"/>
  <c r="AH5" i="50"/>
  <c r="AX54" i="50"/>
  <c r="AR31" i="50"/>
  <c r="AO44" i="50"/>
  <c r="AE68" i="50"/>
  <c r="AA22" i="50"/>
  <c r="Q4" i="50"/>
  <c r="L59" i="50"/>
  <c r="AC21" i="50"/>
  <c r="N69" i="50"/>
  <c r="AP75" i="50"/>
  <c r="BB36" i="50"/>
  <c r="AL71" i="50"/>
  <c r="AF14" i="50"/>
  <c r="AK62" i="50"/>
  <c r="Q72" i="50"/>
  <c r="AW22" i="50"/>
  <c r="AP58" i="50"/>
  <c r="O49" i="50"/>
  <c r="AB73" i="50"/>
  <c r="AK48" i="50"/>
  <c r="AW49" i="50"/>
  <c r="AL27" i="50"/>
  <c r="AK57" i="50"/>
  <c r="AW19" i="50"/>
  <c r="P13" i="50"/>
  <c r="AD12" i="50"/>
  <c r="P63" i="50"/>
  <c r="AZ56" i="50"/>
  <c r="O33" i="50"/>
  <c r="AG23" i="50"/>
  <c r="AA72" i="50"/>
  <c r="T4" i="50"/>
  <c r="L50" i="50"/>
  <c r="AM54" i="50"/>
  <c r="N37" i="50"/>
  <c r="Y29" i="50"/>
  <c r="AI36" i="50"/>
  <c r="AO59" i="50"/>
  <c r="AN28" i="50"/>
  <c r="N49" i="50"/>
  <c r="Q44" i="50"/>
  <c r="AI34" i="50"/>
  <c r="AS65" i="50"/>
  <c r="BC52" i="50"/>
  <c r="AV24" i="50"/>
  <c r="AX42" i="50"/>
  <c r="AB22" i="50"/>
  <c r="R46" i="50"/>
  <c r="AH70" i="50"/>
  <c r="AY68" i="50"/>
  <c r="AM61" i="50"/>
  <c r="S65" i="50"/>
  <c r="AZ32" i="50"/>
  <c r="V28" i="50"/>
  <c r="Y26" i="50"/>
  <c r="V54" i="50"/>
  <c r="AR36" i="50"/>
  <c r="AC56" i="50"/>
  <c r="BC33" i="50"/>
  <c r="Q64" i="50"/>
  <c r="X13" i="50"/>
  <c r="AR55" i="50"/>
  <c r="BC70" i="50"/>
  <c r="AP31" i="50"/>
  <c r="X45" i="50"/>
  <c r="BC43" i="50"/>
  <c r="BC18" i="50"/>
  <c r="BA16" i="50"/>
  <c r="M62" i="50"/>
  <c r="W61" i="50"/>
  <c r="AE20" i="50"/>
  <c r="BA30" i="50"/>
  <c r="AC49" i="50"/>
  <c r="Q34" i="50"/>
  <c r="AE61" i="50"/>
  <c r="AA69" i="50"/>
  <c r="AW30" i="50"/>
  <c r="AB36" i="50"/>
  <c r="AJ46" i="50"/>
  <c r="AX20" i="50"/>
  <c r="AE43" i="50"/>
  <c r="AM47" i="50"/>
  <c r="BC73" i="50"/>
  <c r="AD13" i="50"/>
  <c r="AV37" i="50"/>
  <c r="AT73" i="50"/>
  <c r="Q32" i="50"/>
  <c r="AQ75" i="50"/>
  <c r="AN49" i="50"/>
  <c r="BA44" i="50"/>
  <c r="AE23" i="50"/>
  <c r="O32" i="50"/>
  <c r="X38" i="50"/>
  <c r="AE69" i="50"/>
  <c r="AH57" i="50"/>
  <c r="P38" i="50"/>
  <c r="AS49" i="50"/>
  <c r="AH38" i="50"/>
  <c r="AH75" i="50"/>
  <c r="N12" i="50"/>
  <c r="AS14" i="50"/>
  <c r="Y73" i="50"/>
  <c r="AL57" i="50"/>
  <c r="Q54" i="50"/>
  <c r="BB61" i="50"/>
  <c r="BB45" i="50"/>
  <c r="AN54" i="50"/>
  <c r="Z22" i="50"/>
  <c r="AS29" i="50"/>
  <c r="BC50" i="50"/>
  <c r="R12" i="50"/>
  <c r="M69" i="50"/>
  <c r="U74" i="50"/>
  <c r="S43" i="50"/>
  <c r="AU41" i="50"/>
  <c r="R56" i="50"/>
  <c r="AX58" i="50"/>
  <c r="AF74" i="50"/>
  <c r="X50" i="50"/>
  <c r="V70" i="50"/>
  <c r="AM35" i="50"/>
  <c r="T52" i="50"/>
  <c r="V47" i="50"/>
  <c r="AD41" i="50"/>
  <c r="U53" i="50"/>
  <c r="AL60" i="50"/>
  <c r="AB65" i="50"/>
  <c r="N54" i="50"/>
  <c r="AZ67" i="50"/>
  <c r="AK4" i="50"/>
  <c r="AU53" i="50"/>
  <c r="AO36" i="50"/>
  <c r="O61" i="50"/>
  <c r="P43" i="50"/>
  <c r="X62" i="50"/>
  <c r="N29" i="50"/>
  <c r="AL43" i="50"/>
  <c r="Y64" i="50"/>
  <c r="AR61" i="50"/>
  <c r="T69" i="50"/>
  <c r="AR53" i="50"/>
  <c r="AR13" i="50"/>
  <c r="AD32" i="50"/>
  <c r="Z38" i="50"/>
  <c r="AO24" i="50"/>
  <c r="AS39" i="50"/>
  <c r="P42" i="50"/>
  <c r="AM4" i="50"/>
  <c r="AF68" i="50"/>
  <c r="AQ62" i="50"/>
  <c r="AV68" i="50"/>
  <c r="AU58" i="50"/>
  <c r="X47" i="50"/>
  <c r="AE47" i="50"/>
  <c r="AH12" i="50"/>
  <c r="AT34" i="50"/>
  <c r="AR74" i="50"/>
  <c r="AG18" i="50"/>
  <c r="M32" i="50"/>
  <c r="AT26" i="50"/>
  <c r="AA60" i="50"/>
  <c r="BB73" i="50"/>
  <c r="AK41" i="50"/>
  <c r="Z67" i="50"/>
  <c r="AF39" i="50"/>
  <c r="U32" i="50"/>
  <c r="L65" i="50"/>
  <c r="AF17" i="50"/>
  <c r="W27" i="50"/>
  <c r="AX51" i="50"/>
  <c r="Q60" i="50"/>
  <c r="AT69" i="50"/>
  <c r="AM31" i="50"/>
  <c r="AL53" i="50"/>
  <c r="AF67" i="50"/>
  <c r="AR60" i="50"/>
  <c r="W24" i="50"/>
  <c r="AJ25" i="50"/>
  <c r="AL42" i="50"/>
  <c r="AE46" i="50"/>
  <c r="BC24" i="50"/>
  <c r="AQ5" i="50"/>
  <c r="Z55" i="50"/>
  <c r="Y15" i="50"/>
  <c r="O60" i="50"/>
  <c r="BB69" i="50"/>
  <c r="L22" i="50"/>
  <c r="AU15" i="50"/>
  <c r="AI75" i="50"/>
  <c r="AR29" i="50"/>
  <c r="Q21" i="50"/>
  <c r="W26" i="50"/>
  <c r="AC15" i="50"/>
  <c r="L54" i="50"/>
  <c r="AV46" i="50"/>
  <c r="M26" i="50"/>
  <c r="V58" i="50"/>
  <c r="Z75" i="50"/>
  <c r="AP30" i="50"/>
  <c r="R58" i="50"/>
  <c r="T62" i="50"/>
  <c r="N52" i="50"/>
  <c r="O44" i="50"/>
  <c r="AX66" i="50"/>
  <c r="AO23" i="50"/>
  <c r="N55" i="50"/>
  <c r="O39" i="50"/>
  <c r="BC27" i="50"/>
  <c r="AA32" i="50"/>
  <c r="AK74" i="50"/>
  <c r="Y30" i="50"/>
  <c r="AK27" i="50"/>
  <c r="AW38" i="50"/>
  <c r="BA71" i="50"/>
  <c r="AJ51" i="50"/>
  <c r="AA18" i="50"/>
  <c r="L30" i="50"/>
  <c r="AA49" i="50"/>
  <c r="AN21" i="50"/>
  <c r="W31" i="50"/>
  <c r="AT47" i="50"/>
  <c r="AP13" i="50"/>
  <c r="Z70" i="50"/>
  <c r="AD14" i="50"/>
  <c r="AO55" i="50"/>
  <c r="AB58" i="50"/>
  <c r="X12" i="50"/>
  <c r="AN69" i="50"/>
  <c r="AM73" i="50"/>
  <c r="AR47" i="50"/>
  <c r="AG27" i="50"/>
  <c r="AL61" i="50"/>
  <c r="AZ40" i="50"/>
  <c r="AA33" i="50"/>
  <c r="AJ58" i="50"/>
  <c r="AP61" i="50"/>
  <c r="AJ37" i="50"/>
  <c r="S74" i="50"/>
  <c r="AI28" i="50"/>
  <c r="AB68" i="50"/>
  <c r="AH56" i="50"/>
  <c r="AB31" i="50"/>
  <c r="R32" i="50"/>
  <c r="P20" i="50"/>
  <c r="BC25" i="50"/>
  <c r="X56" i="50"/>
  <c r="AG17" i="50"/>
  <c r="M68" i="50"/>
  <c r="AF49" i="50"/>
  <c r="AZ59" i="50"/>
  <c r="R5" i="50"/>
  <c r="AO12" i="50"/>
  <c r="AX74" i="50"/>
  <c r="BB53" i="50"/>
  <c r="T37" i="50"/>
  <c r="AR35" i="50"/>
  <c r="W17" i="50"/>
  <c r="BC71" i="50"/>
  <c r="Z68" i="50"/>
  <c r="P60" i="50"/>
  <c r="P52" i="50"/>
  <c r="AC60" i="50"/>
  <c r="AT57" i="50"/>
  <c r="R39" i="50"/>
  <c r="W29" i="50"/>
  <c r="BC17" i="50"/>
  <c r="X27" i="50"/>
  <c r="AU70" i="50"/>
  <c r="AU18" i="50"/>
  <c r="AW46" i="50"/>
  <c r="AU66" i="50"/>
  <c r="AR26" i="50"/>
  <c r="AF69" i="50"/>
  <c r="AN63" i="50"/>
  <c r="AS51" i="50"/>
  <c r="T73" i="50"/>
  <c r="M27" i="50"/>
  <c r="N62" i="50"/>
  <c r="V27" i="50"/>
  <c r="AK59" i="50"/>
  <c r="AY70" i="50"/>
  <c r="BC64" i="50"/>
  <c r="BA26" i="50"/>
  <c r="R52" i="50"/>
  <c r="AA25" i="50"/>
  <c r="AQ53" i="50"/>
  <c r="X46" i="50"/>
  <c r="V37" i="50"/>
  <c r="T36" i="50"/>
  <c r="AO13" i="50"/>
  <c r="AH14" i="50"/>
  <c r="V72" i="50"/>
  <c r="Q66" i="50"/>
  <c r="AF27" i="50"/>
  <c r="AQ30" i="50"/>
  <c r="AX43" i="50"/>
  <c r="AH73" i="50"/>
  <c r="W65" i="50"/>
  <c r="P33" i="50"/>
  <c r="AX41" i="50"/>
  <c r="X52" i="50"/>
  <c r="AN17" i="50"/>
  <c r="M63" i="50"/>
  <c r="AC47" i="50"/>
  <c r="P69" i="50"/>
  <c r="AN52" i="50"/>
  <c r="AG69" i="50"/>
  <c r="AN36" i="50"/>
  <c r="Q43" i="50"/>
  <c r="AI20" i="50"/>
  <c r="M29" i="50"/>
  <c r="AE17" i="50"/>
  <c r="Y47" i="50"/>
  <c r="AG20" i="50"/>
  <c r="AP66" i="50"/>
  <c r="L53" i="50"/>
  <c r="AR70" i="50"/>
  <c r="AJ12" i="50"/>
  <c r="AU33" i="50"/>
  <c r="AQ60" i="50"/>
  <c r="T44" i="50"/>
  <c r="AO68" i="50"/>
  <c r="V36" i="50"/>
  <c r="AJ67" i="50"/>
  <c r="AD38" i="50"/>
  <c r="AI55" i="50"/>
  <c r="P14" i="50"/>
  <c r="AM74" i="50"/>
  <c r="AF5" i="50"/>
  <c r="AJ61" i="50"/>
  <c r="AZ72" i="50"/>
  <c r="AF12" i="50"/>
  <c r="BB33" i="50"/>
  <c r="AY15" i="50"/>
  <c r="AW18" i="50"/>
  <c r="S14" i="50"/>
  <c r="AO14" i="50"/>
  <c r="AQ24" i="50"/>
  <c r="AK43" i="50"/>
  <c r="AV53" i="50"/>
  <c r="AC46" i="50"/>
  <c r="L37" i="50"/>
  <c r="AK36" i="50"/>
  <c r="AL29" i="50"/>
  <c r="W47" i="50"/>
  <c r="O21" i="50"/>
  <c r="M56" i="50"/>
  <c r="M66" i="50"/>
  <c r="M74" i="50"/>
  <c r="M15" i="50"/>
  <c r="AC17" i="50"/>
  <c r="AB64" i="50"/>
  <c r="AT24" i="50"/>
  <c r="U36" i="50"/>
  <c r="AJ27" i="50"/>
  <c r="U30" i="50"/>
  <c r="AB50" i="50"/>
  <c r="BA65" i="50"/>
  <c r="AT59" i="50"/>
  <c r="AD71" i="50"/>
  <c r="Z4" i="50"/>
  <c r="N44" i="50"/>
  <c r="AW67" i="50"/>
  <c r="AV32" i="50"/>
  <c r="M16" i="50"/>
  <c r="AK64" i="50"/>
  <c r="AU27" i="50"/>
  <c r="M37" i="50"/>
  <c r="M43" i="50"/>
  <c r="AR58" i="50"/>
  <c r="AW27" i="50"/>
  <c r="AQ4" i="50"/>
  <c r="AW35" i="50"/>
  <c r="F37" i="50" l="1"/>
  <c r="F53" i="50"/>
  <c r="F30" i="50"/>
  <c r="F54" i="50"/>
  <c r="H54" i="50" s="1"/>
  <c r="F22" i="50"/>
  <c r="H22" i="50" s="1"/>
  <c r="F65" i="50"/>
  <c r="F50" i="50"/>
  <c r="J50" i="50" s="1"/>
  <c r="F59" i="50"/>
  <c r="F36" i="50"/>
  <c r="F48" i="50"/>
  <c r="J48" i="50" s="1"/>
  <c r="F40" i="50"/>
  <c r="J40" i="50" s="1"/>
  <c r="F62" i="50"/>
  <c r="H62" i="50" s="1"/>
  <c r="F16" i="50"/>
  <c r="H16" i="50" s="1"/>
  <c r="K4" i="50"/>
  <c r="F19" i="50"/>
  <c r="F60" i="50"/>
  <c r="J60" i="50" s="1"/>
  <c r="F13" i="50"/>
  <c r="AV13" i="137" s="1"/>
  <c r="N13" i="137" s="1"/>
  <c r="F5" i="50"/>
  <c r="F46" i="50"/>
  <c r="F25" i="50"/>
  <c r="F56" i="50"/>
  <c r="F73" i="50"/>
  <c r="AV11" i="150" s="1"/>
  <c r="F44" i="50"/>
  <c r="J44" i="50" s="1"/>
  <c r="F26" i="50"/>
  <c r="AV8" i="1" s="1"/>
  <c r="N8" i="1" s="1"/>
  <c r="F29" i="50"/>
  <c r="H29" i="50" s="1"/>
  <c r="F45" i="50"/>
  <c r="J45" i="50" s="1"/>
  <c r="F58" i="50"/>
  <c r="H58" i="50" s="1"/>
  <c r="F57" i="50"/>
  <c r="J57" i="50" s="1"/>
  <c r="F17" i="50"/>
  <c r="F67" i="50"/>
  <c r="H67" i="50" s="1"/>
  <c r="F31" i="50"/>
  <c r="F63" i="50"/>
  <c r="AV28" i="1" s="1"/>
  <c r="F27" i="50"/>
  <c r="F38" i="50"/>
  <c r="H38" i="50" s="1"/>
  <c r="F14" i="50"/>
  <c r="F35" i="50"/>
  <c r="J35" i="50" s="1"/>
  <c r="F34" i="50"/>
  <c r="H34" i="50" s="1"/>
  <c r="F72" i="50"/>
  <c r="AV10" i="150" s="1"/>
  <c r="F61" i="50"/>
  <c r="F66" i="50"/>
  <c r="H66" i="50" s="1"/>
  <c r="F75" i="50"/>
  <c r="AV24" i="4" s="1"/>
  <c r="N24" i="4" s="1"/>
  <c r="F49" i="50"/>
  <c r="F20" i="50"/>
  <c r="F12" i="50"/>
  <c r="AV12" i="137" s="1"/>
  <c r="O12" i="137" s="1"/>
  <c r="A12" i="137" s="1"/>
  <c r="F52" i="50"/>
  <c r="J52" i="50" s="1"/>
  <c r="F71" i="50"/>
  <c r="H71" i="50" s="1"/>
  <c r="F18" i="50"/>
  <c r="AV5" i="4" s="1"/>
  <c r="O5" i="4" s="1"/>
  <c r="A5" i="4" s="1"/>
  <c r="F42" i="50"/>
  <c r="F43" i="50"/>
  <c r="H43" i="50" s="1"/>
  <c r="F23" i="50"/>
  <c r="AV14" i="4" s="1"/>
  <c r="O14" i="4" s="1"/>
  <c r="A14" i="4" s="1"/>
  <c r="F51" i="50"/>
  <c r="F74" i="50"/>
  <c r="H74" i="50" s="1"/>
  <c r="F47" i="50"/>
  <c r="J47" i="50" s="1"/>
  <c r="F33" i="50"/>
  <c r="H33" i="50" s="1"/>
  <c r="F70" i="50"/>
  <c r="F15" i="50"/>
  <c r="J15" i="50" s="1"/>
  <c r="F24" i="50"/>
  <c r="J24" i="50" s="1"/>
  <c r="F69" i="50"/>
  <c r="F41" i="50"/>
  <c r="H41" i="50" s="1"/>
  <c r="F39" i="50"/>
  <c r="H39" i="50" s="1"/>
  <c r="F21" i="50"/>
  <c r="J21" i="50" s="1"/>
  <c r="F28" i="50"/>
  <c r="AV18" i="1" s="1"/>
  <c r="O18" i="1" s="1"/>
  <c r="A18" i="1" s="1"/>
  <c r="F55" i="50"/>
  <c r="H55" i="50" s="1"/>
  <c r="F64" i="50"/>
  <c r="H64" i="50" s="1"/>
  <c r="F68" i="50"/>
  <c r="J68" i="50" s="1"/>
  <c r="F32" i="50"/>
  <c r="J32" i="50" s="1"/>
  <c r="J72" i="50"/>
  <c r="J73" i="50"/>
  <c r="H73" i="50"/>
  <c r="H49" i="50"/>
  <c r="J61" i="50"/>
  <c r="H72" i="50"/>
  <c r="J18" i="50"/>
  <c r="J75" i="50"/>
  <c r="H18" i="50"/>
  <c r="H75" i="50"/>
  <c r="AV5" i="150"/>
  <c r="O5" i="150" s="1"/>
  <c r="A5" i="150" s="1"/>
  <c r="J67" i="50"/>
  <c r="J41" i="50"/>
  <c r="H70" i="50"/>
  <c r="AV8" i="150"/>
  <c r="O8" i="150" s="1"/>
  <c r="A8" i="150" s="1"/>
  <c r="AV6" i="150"/>
  <c r="O6" i="150" s="1"/>
  <c r="A6" i="150" s="1"/>
  <c r="H44" i="50"/>
  <c r="H13" i="50"/>
  <c r="J70" i="50"/>
  <c r="AV7" i="150"/>
  <c r="N7" i="150" s="1"/>
  <c r="AV17" i="4"/>
  <c r="N17" i="4" s="1"/>
  <c r="AV20" i="4"/>
  <c r="N20" i="4" s="1"/>
  <c r="AV23" i="4"/>
  <c r="N23" i="4" s="1"/>
  <c r="H23" i="50"/>
  <c r="AV8" i="4"/>
  <c r="O8" i="4" s="1"/>
  <c r="A8" i="4" s="1"/>
  <c r="AV10" i="4"/>
  <c r="AV9" i="4"/>
  <c r="O9" i="4" s="1"/>
  <c r="A9" i="4" s="1"/>
  <c r="J22" i="50"/>
  <c r="AV16" i="4"/>
  <c r="N16" i="4" s="1"/>
  <c r="J62" i="50"/>
  <c r="J58" i="50"/>
  <c r="AV25" i="1"/>
  <c r="N25" i="1" s="1"/>
  <c r="O24" i="4"/>
  <c r="A24" i="4" s="1"/>
  <c r="J55" i="50"/>
  <c r="AV30" i="1"/>
  <c r="N30" i="1" s="1"/>
  <c r="AV24" i="1"/>
  <c r="N24" i="1" s="1"/>
  <c r="H48" i="50"/>
  <c r="AV21" i="1"/>
  <c r="O21" i="1" s="1"/>
  <c r="A21" i="1" s="1"/>
  <c r="J29" i="50"/>
  <c r="AV12" i="1"/>
  <c r="O12" i="1" s="1"/>
  <c r="A12" i="1" s="1"/>
  <c r="AV13" i="1"/>
  <c r="AV10" i="1"/>
  <c r="H24" i="50"/>
  <c r="J16" i="50"/>
  <c r="H51" i="50"/>
  <c r="J51" i="50"/>
  <c r="J23" i="50"/>
  <c r="F4" i="50"/>
  <c r="J13" i="50"/>
  <c r="J43" i="50"/>
  <c r="H50" i="50"/>
  <c r="AV14" i="137"/>
  <c r="N14" i="137" s="1"/>
  <c r="N5" i="4"/>
  <c r="J34" i="50"/>
  <c r="H20" i="50"/>
  <c r="J20" i="50"/>
  <c r="J26" i="50"/>
  <c r="J54" i="50"/>
  <c r="H40" i="50"/>
  <c r="J63" i="50"/>
  <c r="O13" i="137"/>
  <c r="A13" i="137" s="1"/>
  <c r="N10" i="150"/>
  <c r="O10" i="150"/>
  <c r="A10" i="150" s="1"/>
  <c r="AU4" i="1"/>
  <c r="AU4" i="137"/>
  <c r="AT4" i="1"/>
  <c r="AT4" i="150"/>
  <c r="N18" i="1"/>
  <c r="N11" i="150"/>
  <c r="O11" i="150"/>
  <c r="A11" i="150" s="1"/>
  <c r="AT4" i="4"/>
  <c r="H45" i="50" l="1"/>
  <c r="J38" i="50"/>
  <c r="H52" i="50"/>
  <c r="AV7" i="4"/>
  <c r="AV18" i="4"/>
  <c r="N18" i="4" s="1"/>
  <c r="AV15" i="4"/>
  <c r="O17" i="4"/>
  <c r="A17" i="4" s="1"/>
  <c r="H26" i="50"/>
  <c r="H12" i="50"/>
  <c r="AV29" i="1"/>
  <c r="O29" i="1" s="1"/>
  <c r="A29" i="1" s="1"/>
  <c r="AV27" i="1"/>
  <c r="N27" i="1" s="1"/>
  <c r="H57" i="50"/>
  <c r="H15" i="50"/>
  <c r="AV13" i="4"/>
  <c r="O13" i="4" s="1"/>
  <c r="A13" i="4" s="1"/>
  <c r="N12" i="137"/>
  <c r="H63" i="50"/>
  <c r="J66" i="50"/>
  <c r="J64" i="50"/>
  <c r="H60" i="50"/>
  <c r="AV12" i="150"/>
  <c r="O12" i="150" s="1"/>
  <c r="A12" i="150" s="1"/>
  <c r="O8" i="1"/>
  <c r="A8" i="1" s="1"/>
  <c r="J12" i="50"/>
  <c r="AV21" i="4"/>
  <c r="O21" i="4" s="1"/>
  <c r="A21" i="4" s="1"/>
  <c r="H68" i="50"/>
  <c r="J33" i="50"/>
  <c r="AV9" i="150"/>
  <c r="O9" i="150" s="1"/>
  <c r="A9" i="150" s="1"/>
  <c r="H35" i="50"/>
  <c r="J28" i="50"/>
  <c r="H32" i="50"/>
  <c r="H47" i="50"/>
  <c r="J42" i="50"/>
  <c r="H42" i="50"/>
  <c r="AV9" i="1"/>
  <c r="H25" i="50"/>
  <c r="J25" i="50"/>
  <c r="AV26" i="1"/>
  <c r="J59" i="50"/>
  <c r="H59" i="50"/>
  <c r="H21" i="50"/>
  <c r="J74" i="50"/>
  <c r="J71" i="50"/>
  <c r="J39" i="50"/>
  <c r="H28" i="50"/>
  <c r="AV19" i="4"/>
  <c r="H61" i="50"/>
  <c r="AV7" i="1"/>
  <c r="J14" i="50"/>
  <c r="H14" i="50"/>
  <c r="H31" i="50"/>
  <c r="J31" i="50"/>
  <c r="J46" i="50"/>
  <c r="H46" i="50"/>
  <c r="J19" i="50"/>
  <c r="H19" i="50"/>
  <c r="AV11" i="4"/>
  <c r="H30" i="50"/>
  <c r="J30" i="50"/>
  <c r="J69" i="50"/>
  <c r="H69" i="50"/>
  <c r="AV22" i="1"/>
  <c r="J49" i="50"/>
  <c r="AV5" i="137"/>
  <c r="H5" i="50"/>
  <c r="J5" i="50"/>
  <c r="AV22" i="4"/>
  <c r="J65" i="50"/>
  <c r="H65" i="50"/>
  <c r="J53" i="50"/>
  <c r="H53" i="50"/>
  <c r="H27" i="50"/>
  <c r="J27" i="50"/>
  <c r="J17" i="50"/>
  <c r="H17" i="50"/>
  <c r="AV11" i="137"/>
  <c r="J56" i="50"/>
  <c r="H56" i="50"/>
  <c r="J36" i="50"/>
  <c r="H36" i="50"/>
  <c r="H37" i="50"/>
  <c r="J37" i="50"/>
  <c r="N8" i="150"/>
  <c r="N6" i="150"/>
  <c r="O20" i="4"/>
  <c r="A20" i="4" s="1"/>
  <c r="O25" i="1"/>
  <c r="A25" i="1" s="1"/>
  <c r="N8" i="4"/>
  <c r="N14" i="4"/>
  <c r="O16" i="4"/>
  <c r="A16" i="4" s="1"/>
  <c r="O7" i="150"/>
  <c r="A7" i="150" s="1"/>
  <c r="O24" i="1"/>
  <c r="A24" i="1" s="1"/>
  <c r="O30" i="1"/>
  <c r="A30" i="1" s="1"/>
  <c r="N12" i="1"/>
  <c r="N21" i="1"/>
  <c r="N12" i="150"/>
  <c r="N5" i="150"/>
  <c r="N29" i="1"/>
  <c r="N10" i="4"/>
  <c r="O10" i="4"/>
  <c r="A10" i="4" s="1"/>
  <c r="N9" i="4"/>
  <c r="O23" i="4"/>
  <c r="A23" i="4" s="1"/>
  <c r="AU4" i="150"/>
  <c r="O10" i="1"/>
  <c r="A10" i="1" s="1"/>
  <c r="N10" i="1"/>
  <c r="N28" i="1"/>
  <c r="O28" i="1"/>
  <c r="A28" i="1" s="1"/>
  <c r="O13" i="1"/>
  <c r="A13" i="1" s="1"/>
  <c r="N13" i="1"/>
  <c r="N7" i="4"/>
  <c r="O7" i="4"/>
  <c r="A7" i="4" s="1"/>
  <c r="O14" i="137"/>
  <c r="A14" i="137" s="1"/>
  <c r="O18" i="4"/>
  <c r="A18" i="4" s="1"/>
  <c r="N13" i="4"/>
  <c r="AU4" i="4"/>
  <c r="N9" i="150" l="1"/>
  <c r="AV4" i="137"/>
  <c r="A4" i="150"/>
  <c r="AV4" i="150"/>
  <c r="H4" i="50"/>
  <c r="O15" i="4"/>
  <c r="A15" i="4" s="1"/>
  <c r="N15" i="4"/>
  <c r="O27" i="1"/>
  <c r="A27" i="1" s="1"/>
  <c r="N21" i="4"/>
  <c r="AV4" i="1"/>
  <c r="J4" i="50"/>
  <c r="I4" i="50" s="1"/>
  <c r="K14" i="50" s="1"/>
  <c r="O22" i="1"/>
  <c r="A22" i="1" s="1"/>
  <c r="N22" i="1"/>
  <c r="N19" i="4"/>
  <c r="O19" i="4"/>
  <c r="A19" i="4" s="1"/>
  <c r="N26" i="1"/>
  <c r="O26" i="1"/>
  <c r="A26" i="1" s="1"/>
  <c r="AV4" i="4"/>
  <c r="N11" i="4"/>
  <c r="O11" i="4"/>
  <c r="A11" i="4" s="1"/>
  <c r="O11" i="137"/>
  <c r="A11" i="137" s="1"/>
  <c r="N11" i="137"/>
  <c r="O5" i="137"/>
  <c r="A5" i="137" s="1"/>
  <c r="A4" i="137" s="1"/>
  <c r="N5" i="137"/>
  <c r="O7" i="1"/>
  <c r="A7" i="1" s="1"/>
  <c r="N7" i="1"/>
  <c r="N22" i="4"/>
  <c r="N4" i="4" s="1"/>
  <c r="O22" i="4"/>
  <c r="A22" i="4" s="1"/>
  <c r="N9" i="1"/>
  <c r="O9" i="1"/>
  <c r="A9" i="1" s="1"/>
  <c r="A4" i="1" s="1"/>
  <c r="N4" i="150"/>
  <c r="O4" i="150"/>
  <c r="A4" i="4" l="1"/>
  <c r="I4" i="95" s="1"/>
  <c r="I5" i="95" s="1"/>
  <c r="N4" i="1"/>
  <c r="O4" i="1"/>
  <c r="O4" i="4"/>
  <c r="O4" i="137"/>
  <c r="N4" i="137"/>
  <c r="E1" i="50" s="1"/>
  <c r="D1" i="50"/>
  <c r="C1" i="50" l="1"/>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<sst xmlns="http://schemas.openxmlformats.org/spreadsheetml/2006/main" count="1402" uniqueCount="333">
  <si>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</si>
  <si>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</si>
  <si>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</si>
  <si>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</si>
  <si>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</si>
  <si>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</si>
  <si>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</si>
  <si>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</si>
  <si>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</si>
  <si>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</si>
  <si>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</si>
  <si>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</si>
  <si>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</si>
  <si>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</si>
  <si>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</si>
  <si>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</si>
  <si>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</si>
  <si>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</si>
  <si>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</si>
  <si>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</si>
  <si>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</si>
  <si>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</si>
  <si>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</si>
  <si>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</si>
  <si>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</si>
  <si>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</si>
  <si>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</si>
  <si>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</si>
  <si>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</si>
  <si>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</si>
  <si>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</si>
  <si>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</si>
  <si>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</si>
  <si>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</si>
  <si>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</si>
  <si>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</si>
  <si>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</si>
  <si>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</si>
  <si>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</si>
  <si>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</si>
  <si>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</si>
  <si>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</si>
  <si>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</si>
  <si>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</si>
  <si>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</si>
  <si>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</si>
  <si>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</si>
  <si>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</si>
  <si>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</si>
  <si>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</si>
  <si>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</si>
  <si>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</si>
  <si>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</si>
  <si>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</si>
  <si>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</si>
  <si>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</si>
  <si>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</si>
  <si>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</si>
  <si>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</si>
  <si>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</si>
  <si>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</si>
  <si>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</si>
  <si>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</si>
  <si>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</si>
  <si>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</si>
  <si>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</si>
  <si>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</si>
  <si>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</si>
  <si>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</si>
  <si>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</si>
  <si>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</si>
  <si>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</si>
  <si>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</si>
  <si>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</si>
  <si>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</si>
  <si>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</si>
  <si>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</si>
  <si>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</si>
  <si>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</si>
  <si>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</si>
  <si>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</si>
  <si>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</si>
  <si>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</si>
  <si>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</si>
  <si>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</si>
  <si>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</si>
  <si>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</si>
  <si>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</si>
  <si>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</si>
  <si>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</si>
  <si>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</si>
  <si>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</si>
  <si>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</si>
  <si>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</si>
  <si>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</si>
  <si>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</si>
  <si>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</si>
  <si>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</si>
  <si>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</si>
  <si>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</si>
  <si>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</si>
  <si>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</si>
  <si>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</si>
  <si>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</si>
  <si>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</si>
  <si>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</si>
  <si>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</si>
  <si>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</si>
  <si>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</si>
  <si>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</si>
  <si>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</si>
  <si>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</si>
  <si>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</si>
  <si>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</si>
  <si>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</si>
  <si>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</si>
  <si>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</si>
  <si>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</si>
  <si>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</si>
  <si>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</si>
  <si>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</si>
  <si>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</si>
  <si>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</si>
  <si>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</si>
  <si>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</si>
  <si>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</si>
  <si>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</si>
  <si>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</si>
  <si>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</si>
  <si>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</si>
  <si>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</si>
  <si>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</si>
  <si>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</si>
  <si>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</si>
  <si>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</si>
  <si>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</si>
  <si>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</si>
  <si>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</si>
  <si>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</si>
  <si>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</si>
  <si>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</si>
  <si>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</si>
  <si>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</si>
  <si>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</si>
  <si>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</si>
  <si>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</si>
  <si>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</si>
  <si>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</si>
  <si>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</si>
  <si>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</si>
  <si>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</si>
  <si>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</si>
  <si>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</si>
  <si>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</si>
  <si>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</si>
  <si>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</si>
  <si>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</si>
  <si>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</si>
  <si>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</si>
  <si>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</si>
  <si>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</si>
  <si>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</si>
  <si>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</si>
  <si>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</si>
  <si>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</si>
  <si>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</si>
  <si>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</si>
  <si>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</si>
  <si>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</si>
  <si>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</si>
  <si>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</si>
  <si>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</si>
  <si>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</si>
  <si>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</si>
  <si>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</si>
  <si>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</si>
  <si>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</si>
  <si>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</si>
  <si>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</si>
  <si>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</si>
  <si>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</si>
  <si>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</si>
  <si>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</si>
  <si>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</si>
  <si>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</si>
  <si>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</si>
  <si>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</si>
  <si>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</si>
  <si>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</si>
  <si>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</si>
  <si>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</si>
  <si>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</si>
  <si>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</si>
  <si>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</si>
  <si>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</si>
  <si>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</si>
  <si>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</si>
  <si>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</si>
  <si>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</si>
  <si>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</si>
  <si>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</si>
  <si>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</si>
  <si>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</si>
  <si>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</si>
  <si>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</si>
  <si>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</si>
  <si>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</si>
  <si>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</si>
  <si>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</si>
  <si>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</si>
  <si>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</si>
  <si>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</si>
  <si>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</si>
  <si>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</si>
  <si>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</si>
  <si>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</si>
  <si>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</si>
  <si>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</si>
  <si>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</si>
  <si>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</si>
  <si>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</si>
  <si>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</si>
  <si>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</si>
  <si>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</si>
  <si>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</si>
  <si>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</si>
  <si>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</si>
  <si>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</si>
  <si>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</si>
  <si>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</si>
  <si>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</si>
  <si>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</si>
  <si>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</si>
  <si>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</si>
  <si>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</si>
  <si>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</si>
  <si>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</si>
  <si>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</si>
  <si>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</si>
  <si>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</si>
  <si>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</si>
  <si>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</si>
  <si>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</si>
  <si>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</si>
  <si>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</si>
  <si>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</si>
  <si>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</si>
  <si>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</si>
  <si>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</si>
  <si>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</si>
  <si>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</si>
  <si>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</si>
  <si>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</si>
  <si>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</si>
  <si>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</si>
  <si>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</si>
  <si>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</si>
  <si>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</si>
  <si>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</si>
  <si>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</si>
  <si>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</si>
  <si>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</si>
  <si>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</si>
  <si>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</si>
  <si>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</si>
  <si>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</si>
  <si>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</si>
  <si>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</si>
  <si>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</si>
  <si>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</si>
  <si>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</si>
  <si>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</si>
  <si>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</si>
  <si>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</si>
  <si>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</si>
  <si>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</si>
  <si>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</si>
  <si>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</si>
  <si>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</si>
  <si>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</si>
  <si>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</si>
  <si>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</si>
  <si>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</si>
  <si>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</si>
  <si>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</si>
  <si>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</si>
  <si>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</si>
  <si>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</si>
  <si>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</si>
  <si>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</si>
  <si>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</si>
  <si>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</si>
  <si>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</si>
  <si>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</si>
  <si>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</si>
  <si>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</si>
  <si>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</si>
  <si>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</si>
  <si>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T12+T01+T02+T03+T04+T05+T06+T07</t>
  </si>
  <si>
    <t>T01 (19-31) + T02 + T03+T04+T05+T06+T07</t>
  </si>
  <si>
    <t/>
  </si>
  <si>
    <t>Chênh lệch giá</t>
  </si>
  <si>
    <t>Dì Bến</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</si>
  <si>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</si>
  <si>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</si>
  <si>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</si>
  <si>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</si>
  <si>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</si>
  <si>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</si>
  <si>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</si>
  <si>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</si>
  <si>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</si>
  <si>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</si>
  <si>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</si>
  <si>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</si>
  <si>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</si>
  <si>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</si>
  <si>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</si>
  <si>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</si>
  <si>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</si>
  <si>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</si>
  <si>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Dì Nguyệt</t>
  </si>
  <si>
    <t>Dì Luận</t>
  </si>
  <si>
    <t>KH lẻ</t>
  </si>
  <si>
    <t>Bảo Ngọc</t>
  </si>
  <si>
    <t>Cô Bé</t>
  </si>
  <si>
    <t>Kim Tư</t>
  </si>
  <si>
    <t>Dì Tư</t>
  </si>
  <si>
    <t>Chị 5</t>
  </si>
  <si>
    <t>Chị Hiền</t>
  </si>
  <si>
    <t>Chị Ngà</t>
  </si>
  <si>
    <t>Chị Tiền</t>
  </si>
  <si>
    <t>Bị+Khăn+HĐ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</si>
</sst>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
      <sz val="9"/>
      <color theme="1"/>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0" fontId="41" fillId="0" borderId="0" xfId="0" applyFont="1" applyAlignment="1">
      <alignment horizontal="center" vertical="center"/>
    </xf>
    <xf numFmtId="0" fontId="41" fillId="0" borderId="0" xfId="0" applyFont="1" applyAlignment="1">
      <alignment vertical="center"/>
    </xf>
    <xf numFmtId="166" fontId="42" fillId="0" borderId="1" xfId="1" applyNumberFormat="1" applyFont="1" applyBorder="1" applyAlignment="1">
      <alignment horizontal="center"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6" fontId="4" fillId="0" borderId="0" xfId="1" applyNumberFormat="1" applyFont="1" applyProtection="1">
      <protection locked="0"/>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2" fillId="21" borderId="1" xfId="0" applyFont="1" applyFill="1" applyBorder="1" applyAlignment="1">
      <alignment horizontal="center" vertical="center" wrapText="1"/>
    </xf>
  </cellXfs>
  <cellStyles count="3">
    <cellStyle name="Comma [0]" xfId="1" builtinId="6"/>
    <cellStyle name="Normal" xfId="0" builtinId="0"/>
    <cellStyle name="Percent" xfId="2" builtinId="5"/>
  </cellStyles>
  <dxfs count="66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60"/>
      <tableStyleElement type="headerRow" dxfId="6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42145" name="Button 1" hidden="1">
              <a:extLst>
                <a:ext uri="{63B3BB69-23CF-44E3-9099-C40C66FF867C}">
                  <a14:compatExt spid="_x0000_s1542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41121" name="Button 1" hidden="1">
              <a:extLst>
                <a:ext uri="{63B3BB69-23CF-44E3-9099-C40C66FF867C}">
                  <a14:compatExt spid="_x0000_s1541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40097" name="Button 1" hidden="1">
              <a:extLst>
                <a:ext uri="{63B3BB69-23CF-44E3-9099-C40C66FF867C}">
                  <a14:compatExt spid="_x0000_s1540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9073" name="Button 1" hidden="1">
              <a:extLst>
                <a:ext uri="{63B3BB69-23CF-44E3-9099-C40C66FF867C}">
                  <a14:compatExt spid="_x0000_s1539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8049" name="Button 1" hidden="1">
              <a:extLst>
                <a:ext uri="{63B3BB69-23CF-44E3-9099-C40C66FF867C}">
                  <a14:compatExt spid="_x0000_s1538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7025" name="Button 1" hidden="1">
              <a:extLst>
                <a:ext uri="{63B3BB69-23CF-44E3-9099-C40C66FF867C}">
                  <a14:compatExt spid="_x0000_s1537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6001" name="Button 1" hidden="1">
              <a:extLst>
                <a:ext uri="{63B3BB69-23CF-44E3-9099-C40C66FF867C}">
                  <a14:compatExt spid="_x0000_s1536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4977" name="Button 1" hidden="1">
              <a:extLst>
                <a:ext uri="{63B3BB69-23CF-44E3-9099-C40C66FF867C}">
                  <a14:compatExt spid="_x0000_s1534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3953" name="Button 1" hidden="1">
              <a:extLst>
                <a:ext uri="{63B3BB69-23CF-44E3-9099-C40C66FF867C}">
                  <a14:compatExt spid="_x0000_s1533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2929" name="Button 1" hidden="1">
              <a:extLst>
                <a:ext uri="{63B3BB69-23CF-44E3-9099-C40C66FF867C}">
                  <a14:compatExt spid="_x0000_s1532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1905" name="Button 1" hidden="1">
              <a:extLst>
                <a:ext uri="{63B3BB69-23CF-44E3-9099-C40C66FF867C}">
                  <a14:compatExt spid="_x0000_s1531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0881" name="Button 1" hidden="1">
              <a:extLst>
                <a:ext uri="{63B3BB69-23CF-44E3-9099-C40C66FF867C}">
                  <a14:compatExt spid="_x0000_s1530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630">
      <pivotArea field="3" type="button" dataOnly="0" labelOnly="1" outline="0" axis="axisRow" fieldPosition="3"/>
    </format>
    <format dxfId="62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2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2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2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2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2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2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2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2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1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1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1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1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1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1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1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1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0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0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0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0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0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0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0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9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9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9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9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9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9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9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9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9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8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8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8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8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7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7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7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7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6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6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6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6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5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5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5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5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9">
      <pivotArea field="1" type="button" dataOnly="0" labelOnly="1" outline="0" axis="axisRow" fieldPosition="2"/>
    </format>
    <format dxfId="548">
      <pivotArea dataOnly="0" labelOnly="1" outline="0" fieldPosition="0">
        <references count="1">
          <reference field="1" count="0"/>
        </references>
      </pivotArea>
    </format>
    <format dxfId="547">
      <pivotArea field="0" type="button" dataOnly="0" labelOnly="1" outline="0" axis="axisRow" fieldPosition="0"/>
    </format>
    <format dxfId="54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45">
      <pivotArea dataOnly="0" labelOnly="1" outline="0" fieldPosition="0">
        <references count="1">
          <reference field="0" count="5">
            <x v="50"/>
            <x v="51"/>
            <x v="52"/>
            <x v="53"/>
            <x v="54"/>
          </reference>
        </references>
      </pivotArea>
    </format>
    <format dxfId="544">
      <pivotArea dataOnly="0" labelOnly="1" grandRow="1" outline="0" fieldPosition="0"/>
    </format>
    <format dxfId="5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42">
      <pivotArea dataOnly="0" labelOnly="1" outline="0" fieldPosition="0">
        <references count="1">
          <reference field="0" count="5">
            <x v="50"/>
            <x v="51"/>
            <x v="52"/>
            <x v="53"/>
            <x v="54"/>
          </reference>
        </references>
      </pivotArea>
    </format>
    <format dxfId="541">
      <pivotArea dataOnly="0" labelOnly="1" grandRow="1" outline="0" fieldPosition="0"/>
    </format>
    <format dxfId="540">
      <pivotArea field="2" type="button" dataOnly="0" labelOnly="1" outline="0" axis="axisRow" fieldPosition="1"/>
    </format>
    <format dxfId="539">
      <pivotArea type="all" dataOnly="0" outline="0" fieldPosition="0"/>
    </format>
    <format dxfId="538">
      <pivotArea field="0" type="button" dataOnly="0" labelOnly="1" outline="0" axis="axisRow" fieldPosition="0"/>
    </format>
    <format dxfId="537">
      <pivotArea field="2" type="button" dataOnly="0" labelOnly="1" outline="0" axis="axisRow" fieldPosition="1"/>
    </format>
    <format dxfId="536">
      <pivotArea field="1" type="button" dataOnly="0" labelOnly="1" outline="0" axis="axisRow" fieldPosition="2"/>
    </format>
    <format dxfId="535">
      <pivotArea field="3" type="button" dataOnly="0" labelOnly="1" outline="0" axis="axisRow" fieldPosition="3"/>
    </format>
    <format dxfId="534">
      <pivotArea field="0" type="button" dataOnly="0" labelOnly="1" outline="0" axis="axisRow" fieldPosition="0"/>
    </format>
    <format dxfId="533">
      <pivotArea field="2" type="button" dataOnly="0" labelOnly="1" outline="0" axis="axisRow" fieldPosition="1"/>
    </format>
    <format dxfId="532">
      <pivotArea field="1" type="button" dataOnly="0" labelOnly="1" outline="0" axis="axisRow" fieldPosition="2"/>
    </format>
    <format dxfId="531">
      <pivotArea field="3" type="button" dataOnly="0" labelOnly="1" outline="0" axis="axisRow" fieldPosition="3"/>
    </format>
    <format dxfId="530">
      <pivotArea field="0" type="button" dataOnly="0" labelOnly="1" outline="0" axis="axisRow" fieldPosition="0"/>
    </format>
    <format dxfId="529">
      <pivotArea field="2" type="button" dataOnly="0" labelOnly="1" outline="0" axis="axisRow" fieldPosition="1"/>
    </format>
    <format dxfId="528">
      <pivotArea dataOnly="0" labelOnly="1" outline="0" fieldPosition="0">
        <references count="3">
          <reference field="0" count="1" selected="0">
            <x v="1"/>
          </reference>
          <reference field="1" count="1">
            <x v="5"/>
          </reference>
          <reference field="2" count="1" selected="0">
            <x v="1"/>
          </reference>
        </references>
      </pivotArea>
    </format>
    <format dxfId="527">
      <pivotArea dataOnly="0" labelOnly="1" outline="0" fieldPosition="0">
        <references count="3">
          <reference field="0" count="1" selected="0">
            <x v="2"/>
          </reference>
          <reference field="1" count="1">
            <x v="6"/>
          </reference>
          <reference field="2" count="1" selected="0">
            <x v="2"/>
          </reference>
        </references>
      </pivotArea>
    </format>
    <format dxfId="526">
      <pivotArea dataOnly="0" labelOnly="1" outline="0" fieldPosition="0">
        <references count="3">
          <reference field="0" count="1" selected="0">
            <x v="3"/>
          </reference>
          <reference field="1" count="1">
            <x v="31"/>
          </reference>
          <reference field="2" count="1" selected="0">
            <x v="3"/>
          </reference>
        </references>
      </pivotArea>
    </format>
    <format dxfId="525">
      <pivotArea dataOnly="0" labelOnly="1" outline="0" fieldPosition="0">
        <references count="3">
          <reference field="0" count="1" selected="0">
            <x v="4"/>
          </reference>
          <reference field="1" count="1">
            <x v="12"/>
          </reference>
          <reference field="2" count="1" selected="0">
            <x v="4"/>
          </reference>
        </references>
      </pivotArea>
    </format>
    <format dxfId="524">
      <pivotArea dataOnly="0" labelOnly="1" outline="0" fieldPosition="0">
        <references count="3">
          <reference field="0" count="1" selected="0">
            <x v="5"/>
          </reference>
          <reference field="1" count="1">
            <x v="25"/>
          </reference>
          <reference field="2" count="1" selected="0">
            <x v="5"/>
          </reference>
        </references>
      </pivotArea>
    </format>
    <format dxfId="523">
      <pivotArea dataOnly="0" labelOnly="1" outline="0" fieldPosition="0">
        <references count="3">
          <reference field="0" count="1" selected="0">
            <x v="7"/>
          </reference>
          <reference field="1" count="1">
            <x v="22"/>
          </reference>
          <reference field="2" count="1" selected="0">
            <x v="7"/>
          </reference>
        </references>
      </pivotArea>
    </format>
    <format dxfId="522">
      <pivotArea dataOnly="0" labelOnly="1" outline="0" fieldPosition="0">
        <references count="3">
          <reference field="0" count="1" selected="0">
            <x v="8"/>
          </reference>
          <reference field="1" count="1">
            <x v="21"/>
          </reference>
          <reference field="2" count="1" selected="0">
            <x v="8"/>
          </reference>
        </references>
      </pivotArea>
    </format>
    <format dxfId="521">
      <pivotArea dataOnly="0" labelOnly="1" outline="0" fieldPosition="0">
        <references count="3">
          <reference field="0" count="1" selected="0">
            <x v="9"/>
          </reference>
          <reference field="1" count="1">
            <x v="34"/>
          </reference>
          <reference field="2" count="1" selected="0">
            <x v="9"/>
          </reference>
        </references>
      </pivotArea>
    </format>
    <format dxfId="520">
      <pivotArea dataOnly="0" labelOnly="1" outline="0" fieldPosition="0">
        <references count="3">
          <reference field="0" count="1" selected="0">
            <x v="10"/>
          </reference>
          <reference field="1" count="1">
            <x v="35"/>
          </reference>
          <reference field="2" count="1" selected="0">
            <x v="10"/>
          </reference>
        </references>
      </pivotArea>
    </format>
    <format dxfId="519">
      <pivotArea dataOnly="0" labelOnly="1" outline="0" fieldPosition="0">
        <references count="3">
          <reference field="0" count="1" selected="0">
            <x v="11"/>
          </reference>
          <reference field="1" count="1">
            <x v="36"/>
          </reference>
          <reference field="2" count="1" selected="0">
            <x v="11"/>
          </reference>
        </references>
      </pivotArea>
    </format>
    <format dxfId="518">
      <pivotArea dataOnly="0" labelOnly="1" outline="0" fieldPosition="0">
        <references count="3">
          <reference field="0" count="1" selected="0">
            <x v="12"/>
          </reference>
          <reference field="1" count="1">
            <x v="37"/>
          </reference>
          <reference field="2" count="1" selected="0">
            <x v="12"/>
          </reference>
        </references>
      </pivotArea>
    </format>
    <format dxfId="517">
      <pivotArea dataOnly="0" labelOnly="1" outline="0" fieldPosition="0">
        <references count="3">
          <reference field="0" count="1" selected="0">
            <x v="13"/>
          </reference>
          <reference field="1" count="1">
            <x v="38"/>
          </reference>
          <reference field="2" count="1" selected="0">
            <x v="13"/>
          </reference>
        </references>
      </pivotArea>
    </format>
    <format dxfId="516">
      <pivotArea dataOnly="0" labelOnly="1" outline="0" fieldPosition="0">
        <references count="3">
          <reference field="0" count="1" selected="0">
            <x v="14"/>
          </reference>
          <reference field="1" count="1">
            <x v="39"/>
          </reference>
          <reference field="2" count="1" selected="0">
            <x v="14"/>
          </reference>
        </references>
      </pivotArea>
    </format>
    <format dxfId="515">
      <pivotArea dataOnly="0" labelOnly="1" outline="0" fieldPosition="0">
        <references count="3">
          <reference field="0" count="1" selected="0">
            <x v="15"/>
          </reference>
          <reference field="1" count="1">
            <x v="28"/>
          </reference>
          <reference field="2" count="1" selected="0">
            <x v="15"/>
          </reference>
        </references>
      </pivotArea>
    </format>
    <format dxfId="514">
      <pivotArea dataOnly="0" labelOnly="1" outline="0" fieldPosition="0">
        <references count="3">
          <reference field="0" count="1" selected="0">
            <x v="16"/>
          </reference>
          <reference field="1" count="1">
            <x v="29"/>
          </reference>
          <reference field="2" count="1" selected="0">
            <x v="16"/>
          </reference>
        </references>
      </pivotArea>
    </format>
    <format dxfId="513">
      <pivotArea dataOnly="0" labelOnly="1" outline="0" fieldPosition="0">
        <references count="3">
          <reference field="0" count="1" selected="0">
            <x v="17"/>
          </reference>
          <reference field="1" count="1">
            <x v="14"/>
          </reference>
          <reference field="2" count="1" selected="0">
            <x v="17"/>
          </reference>
        </references>
      </pivotArea>
    </format>
    <format dxfId="512">
      <pivotArea dataOnly="0" labelOnly="1" outline="0" fieldPosition="0">
        <references count="3">
          <reference field="0" count="1" selected="0">
            <x v="20"/>
          </reference>
          <reference field="1" count="1">
            <x v="42"/>
          </reference>
          <reference field="2" count="1" selected="0">
            <x v="20"/>
          </reference>
        </references>
      </pivotArea>
    </format>
    <format dxfId="511">
      <pivotArea dataOnly="0" labelOnly="1" outline="0" fieldPosition="0">
        <references count="3">
          <reference field="0" count="1" selected="0">
            <x v="22"/>
          </reference>
          <reference field="1" count="1">
            <x v="45"/>
          </reference>
          <reference field="2" count="1" selected="0">
            <x v="22"/>
          </reference>
        </references>
      </pivotArea>
    </format>
    <format dxfId="510">
      <pivotArea dataOnly="0" labelOnly="1" outline="0" fieldPosition="0">
        <references count="3">
          <reference field="0" count="1" selected="0">
            <x v="25"/>
          </reference>
          <reference field="1" count="1">
            <x v="10"/>
          </reference>
          <reference field="2" count="1" selected="0">
            <x v="25"/>
          </reference>
        </references>
      </pivotArea>
    </format>
    <format dxfId="509">
      <pivotArea dataOnly="0" labelOnly="1" outline="0" fieldPosition="0">
        <references count="3">
          <reference field="0" count="1" selected="0">
            <x v="28"/>
          </reference>
          <reference field="1" count="1">
            <x v="8"/>
          </reference>
          <reference field="2" count="1" selected="0">
            <x v="28"/>
          </reference>
        </references>
      </pivotArea>
    </format>
    <format dxfId="508">
      <pivotArea dataOnly="0" labelOnly="1" outline="0" fieldPosition="0">
        <references count="3">
          <reference field="0" count="1" selected="0">
            <x v="29"/>
          </reference>
          <reference field="1" count="1">
            <x v="9"/>
          </reference>
          <reference field="2" count="1" selected="0">
            <x v="29"/>
          </reference>
        </references>
      </pivotArea>
    </format>
    <format dxfId="507">
      <pivotArea dataOnly="0" labelOnly="1" outline="0" fieldPosition="0">
        <references count="3">
          <reference field="0" count="1" selected="0">
            <x v="30"/>
          </reference>
          <reference field="1" count="1">
            <x v="7"/>
          </reference>
          <reference field="2" count="1" selected="0">
            <x v="30"/>
          </reference>
        </references>
      </pivotArea>
    </format>
    <format dxfId="506">
      <pivotArea dataOnly="0" labelOnly="1" outline="0" fieldPosition="0">
        <references count="3">
          <reference field="0" count="1" selected="0">
            <x v="31"/>
          </reference>
          <reference field="1" count="1">
            <x v="32"/>
          </reference>
          <reference field="2" count="1" selected="0">
            <x v="31"/>
          </reference>
        </references>
      </pivotArea>
    </format>
    <format dxfId="505">
      <pivotArea dataOnly="0" labelOnly="1" outline="0" fieldPosition="0">
        <references count="3">
          <reference field="0" count="1" selected="0">
            <x v="32"/>
          </reference>
          <reference field="1" count="1">
            <x v="33"/>
          </reference>
          <reference field="2" count="1" selected="0">
            <x v="32"/>
          </reference>
        </references>
      </pivotArea>
    </format>
    <format dxfId="504">
      <pivotArea dataOnly="0" labelOnly="1" outline="0" fieldPosition="0">
        <references count="3">
          <reference field="0" count="1" selected="0">
            <x v="33"/>
          </reference>
          <reference field="1" count="1">
            <x v="3"/>
          </reference>
          <reference field="2" count="1" selected="0">
            <x v="33"/>
          </reference>
        </references>
      </pivotArea>
    </format>
    <format dxfId="503">
      <pivotArea dataOnly="0" labelOnly="1" outline="0" fieldPosition="0">
        <references count="3">
          <reference field="0" count="1" selected="0">
            <x v="34"/>
          </reference>
          <reference field="1" count="1">
            <x v="4"/>
          </reference>
          <reference field="2" count="1" selected="0">
            <x v="34"/>
          </reference>
        </references>
      </pivotArea>
    </format>
    <format dxfId="502">
      <pivotArea dataOnly="0" labelOnly="1" outline="0" fieldPosition="0">
        <references count="3">
          <reference field="0" count="1" selected="0">
            <x v="35"/>
          </reference>
          <reference field="1" count="1">
            <x v="40"/>
          </reference>
          <reference field="2" count="1" selected="0">
            <x v="35"/>
          </reference>
        </references>
      </pivotArea>
    </format>
    <format dxfId="501">
      <pivotArea dataOnly="0" labelOnly="1" outline="0" fieldPosition="0">
        <references count="3">
          <reference field="0" count="1" selected="0">
            <x v="36"/>
          </reference>
          <reference field="1" count="1">
            <x v="41"/>
          </reference>
          <reference field="2" count="1" selected="0">
            <x v="36"/>
          </reference>
        </references>
      </pivotArea>
    </format>
    <format dxfId="500">
      <pivotArea dataOnly="0" labelOnly="1" outline="0" fieldPosition="0">
        <references count="3">
          <reference field="0" count="1" selected="0">
            <x v="37"/>
          </reference>
          <reference field="1" count="1">
            <x v="43"/>
          </reference>
          <reference field="2" count="1" selected="0">
            <x v="37"/>
          </reference>
        </references>
      </pivotArea>
    </format>
    <format dxfId="499">
      <pivotArea dataOnly="0" labelOnly="1" outline="0" fieldPosition="0">
        <references count="3">
          <reference field="0" count="1" selected="0">
            <x v="38"/>
          </reference>
          <reference field="1" count="1">
            <x v="44"/>
          </reference>
          <reference field="2" count="1" selected="0">
            <x v="38"/>
          </reference>
        </references>
      </pivotArea>
    </format>
    <format dxfId="498">
      <pivotArea dataOnly="0" labelOnly="1" outline="0" fieldPosition="0">
        <references count="3">
          <reference field="0" count="1" selected="0">
            <x v="39"/>
          </reference>
          <reference field="1" count="1">
            <x v="26"/>
          </reference>
          <reference field="2" count="1" selected="0">
            <x v="39"/>
          </reference>
        </references>
      </pivotArea>
    </format>
    <format dxfId="497">
      <pivotArea dataOnly="0" labelOnly="1" outline="0" fieldPosition="0">
        <references count="3">
          <reference field="0" count="1" selected="0">
            <x v="40"/>
          </reference>
          <reference field="1" count="1">
            <x v="23"/>
          </reference>
          <reference field="2" count="1" selected="0">
            <x v="40"/>
          </reference>
        </references>
      </pivotArea>
    </format>
    <format dxfId="496">
      <pivotArea dataOnly="0" labelOnly="1" outline="0" fieldPosition="0">
        <references count="3">
          <reference field="0" count="1" selected="0">
            <x v="43"/>
          </reference>
          <reference field="1" count="1">
            <x v="16"/>
          </reference>
          <reference field="2" count="1" selected="0">
            <x v="42"/>
          </reference>
        </references>
      </pivotArea>
    </format>
    <format dxfId="495">
      <pivotArea dataOnly="0" labelOnly="1" outline="0" fieldPosition="0">
        <references count="3">
          <reference field="0" count="1" selected="0">
            <x v="44"/>
          </reference>
          <reference field="1" count="1">
            <x v="17"/>
          </reference>
          <reference field="2" count="1" selected="0">
            <x v="43"/>
          </reference>
        </references>
      </pivotArea>
    </format>
    <format dxfId="494">
      <pivotArea dataOnly="0" labelOnly="1" outline="0" fieldPosition="0">
        <references count="3">
          <reference field="0" count="1" selected="0">
            <x v="45"/>
          </reference>
          <reference field="1" count="1">
            <x v="18"/>
          </reference>
          <reference field="2" count="1" selected="0">
            <x v="44"/>
          </reference>
        </references>
      </pivotArea>
    </format>
    <format dxfId="493">
      <pivotArea dataOnly="0" labelOnly="1" outline="0" fieldPosition="0">
        <references count="3">
          <reference field="0" count="1" selected="0">
            <x v="47"/>
          </reference>
          <reference field="1" count="1">
            <x v="13"/>
          </reference>
          <reference field="2" count="1" selected="0">
            <x v="46"/>
          </reference>
        </references>
      </pivotArea>
    </format>
    <format dxfId="492">
      <pivotArea dataOnly="0" labelOnly="1" outline="0" fieldPosition="0">
        <references count="3">
          <reference field="0" count="1" selected="0">
            <x v="49"/>
          </reference>
          <reference field="1" count="1">
            <x v="0"/>
          </reference>
          <reference field="2" count="1" selected="0">
            <x v="48"/>
          </reference>
        </references>
      </pivotArea>
    </format>
    <format dxfId="491">
      <pivotArea dataOnly="0" labelOnly="1" outline="0" fieldPosition="0">
        <references count="3">
          <reference field="0" count="1" selected="0">
            <x v="50"/>
          </reference>
          <reference field="1" count="1">
            <x v="27"/>
          </reference>
          <reference field="2" count="1" selected="0">
            <x v="49"/>
          </reference>
        </references>
      </pivotArea>
    </format>
    <format dxfId="490">
      <pivotArea dataOnly="0" labelOnly="1" outline="0" fieldPosition="0">
        <references count="3">
          <reference field="0" count="1" selected="0">
            <x v="51"/>
          </reference>
          <reference field="1" count="1">
            <x v="11"/>
          </reference>
          <reference field="2" count="1" selected="0">
            <x v="50"/>
          </reference>
        </references>
      </pivotArea>
    </format>
    <format dxfId="489">
      <pivotArea dataOnly="0" labelOnly="1" outline="0" fieldPosition="0">
        <references count="3">
          <reference field="0" count="1" selected="0">
            <x v="52"/>
          </reference>
          <reference field="1" count="1">
            <x v="2"/>
          </reference>
          <reference field="2" count="1" selected="0">
            <x v="51"/>
          </reference>
        </references>
      </pivotArea>
    </format>
    <format dxfId="488">
      <pivotArea dataOnly="0" labelOnly="1" outline="0" fieldPosition="0">
        <references count="3">
          <reference field="0" count="1" selected="0">
            <x v="53"/>
          </reference>
          <reference field="1" count="1">
            <x v="1"/>
          </reference>
          <reference field="2" count="1" selected="0">
            <x v="52"/>
          </reference>
        </references>
      </pivotArea>
    </format>
    <format dxfId="487">
      <pivotArea dataOnly="0" labelOnly="1" outline="0" fieldPosition="0">
        <references count="3">
          <reference field="0" count="1" selected="0">
            <x v="54"/>
          </reference>
          <reference field="1" count="1">
            <x v="24"/>
          </reference>
          <reference field="2" count="1" selected="0">
            <x v="53"/>
          </reference>
        </references>
      </pivotArea>
    </format>
    <format dxfId="4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5">
      <pivotArea dataOnly="0" labelOnly="1" outline="0" fieldPosition="0">
        <references count="1">
          <reference field="0" count="5">
            <x v="50"/>
            <x v="51"/>
            <x v="52"/>
            <x v="53"/>
            <x v="54"/>
          </reference>
        </references>
      </pivotArea>
    </format>
    <format dxfId="444">
      <pivotArea dataOnly="0" labelOnly="1" outline="0" fieldPosition="0">
        <references count="2">
          <reference field="0" count="1" selected="0">
            <x v="0"/>
          </reference>
          <reference field="2" count="1">
            <x v="0"/>
          </reference>
        </references>
      </pivotArea>
    </format>
    <format dxfId="443">
      <pivotArea dataOnly="0" labelOnly="1" outline="0" fieldPosition="0">
        <references count="2">
          <reference field="0" count="1" selected="0">
            <x v="1"/>
          </reference>
          <reference field="2" count="1">
            <x v="1"/>
          </reference>
        </references>
      </pivotArea>
    </format>
    <format dxfId="442">
      <pivotArea dataOnly="0" labelOnly="1" outline="0" fieldPosition="0">
        <references count="2">
          <reference field="0" count="1" selected="0">
            <x v="2"/>
          </reference>
          <reference field="2" count="1">
            <x v="2"/>
          </reference>
        </references>
      </pivotArea>
    </format>
    <format dxfId="441">
      <pivotArea dataOnly="0" labelOnly="1" outline="0" fieldPosition="0">
        <references count="2">
          <reference field="0" count="1" selected="0">
            <x v="3"/>
          </reference>
          <reference field="2" count="1">
            <x v="3"/>
          </reference>
        </references>
      </pivotArea>
    </format>
    <format dxfId="440">
      <pivotArea dataOnly="0" labelOnly="1" outline="0" fieldPosition="0">
        <references count="2">
          <reference field="0" count="1" selected="0">
            <x v="4"/>
          </reference>
          <reference field="2" count="1">
            <x v="4"/>
          </reference>
        </references>
      </pivotArea>
    </format>
    <format dxfId="439">
      <pivotArea dataOnly="0" labelOnly="1" outline="0" fieldPosition="0">
        <references count="2">
          <reference field="0" count="1" selected="0">
            <x v="5"/>
          </reference>
          <reference field="2" count="1">
            <x v="5"/>
          </reference>
        </references>
      </pivotArea>
    </format>
    <format dxfId="438">
      <pivotArea dataOnly="0" labelOnly="1" outline="0" fieldPosition="0">
        <references count="2">
          <reference field="0" count="1" selected="0">
            <x v="6"/>
          </reference>
          <reference field="2" count="1">
            <x v="6"/>
          </reference>
        </references>
      </pivotArea>
    </format>
    <format dxfId="437">
      <pivotArea dataOnly="0" labelOnly="1" outline="0" fieldPosition="0">
        <references count="2">
          <reference field="0" count="1" selected="0">
            <x v="7"/>
          </reference>
          <reference field="2" count="1">
            <x v="7"/>
          </reference>
        </references>
      </pivotArea>
    </format>
    <format dxfId="436">
      <pivotArea dataOnly="0" labelOnly="1" outline="0" fieldPosition="0">
        <references count="2">
          <reference field="0" count="1" selected="0">
            <x v="8"/>
          </reference>
          <reference field="2" count="1">
            <x v="8"/>
          </reference>
        </references>
      </pivotArea>
    </format>
    <format dxfId="435">
      <pivotArea dataOnly="0" labelOnly="1" outline="0" fieldPosition="0">
        <references count="2">
          <reference field="0" count="1" selected="0">
            <x v="9"/>
          </reference>
          <reference field="2" count="1">
            <x v="9"/>
          </reference>
        </references>
      </pivotArea>
    </format>
    <format dxfId="434">
      <pivotArea dataOnly="0" labelOnly="1" outline="0" fieldPosition="0">
        <references count="2">
          <reference field="0" count="1" selected="0">
            <x v="10"/>
          </reference>
          <reference field="2" count="1">
            <x v="10"/>
          </reference>
        </references>
      </pivotArea>
    </format>
    <format dxfId="433">
      <pivotArea dataOnly="0" labelOnly="1" outline="0" fieldPosition="0">
        <references count="2">
          <reference field="0" count="1" selected="0">
            <x v="11"/>
          </reference>
          <reference field="2" count="1">
            <x v="11"/>
          </reference>
        </references>
      </pivotArea>
    </format>
    <format dxfId="432">
      <pivotArea dataOnly="0" labelOnly="1" outline="0" fieldPosition="0">
        <references count="2">
          <reference field="0" count="1" selected="0">
            <x v="12"/>
          </reference>
          <reference field="2" count="1">
            <x v="12"/>
          </reference>
        </references>
      </pivotArea>
    </format>
    <format dxfId="431">
      <pivotArea dataOnly="0" labelOnly="1" outline="0" fieldPosition="0">
        <references count="2">
          <reference field="0" count="1" selected="0">
            <x v="13"/>
          </reference>
          <reference field="2" count="1">
            <x v="13"/>
          </reference>
        </references>
      </pivotArea>
    </format>
    <format dxfId="430">
      <pivotArea dataOnly="0" labelOnly="1" outline="0" fieldPosition="0">
        <references count="2">
          <reference field="0" count="1" selected="0">
            <x v="14"/>
          </reference>
          <reference field="2" count="1">
            <x v="14"/>
          </reference>
        </references>
      </pivotArea>
    </format>
    <format dxfId="429">
      <pivotArea dataOnly="0" labelOnly="1" outline="0" fieldPosition="0">
        <references count="2">
          <reference field="0" count="1" selected="0">
            <x v="15"/>
          </reference>
          <reference field="2" count="1">
            <x v="15"/>
          </reference>
        </references>
      </pivotArea>
    </format>
    <format dxfId="428">
      <pivotArea dataOnly="0" labelOnly="1" outline="0" fieldPosition="0">
        <references count="2">
          <reference field="0" count="1" selected="0">
            <x v="16"/>
          </reference>
          <reference field="2" count="1">
            <x v="16"/>
          </reference>
        </references>
      </pivotArea>
    </format>
    <format dxfId="427">
      <pivotArea dataOnly="0" labelOnly="1" outline="0" fieldPosition="0">
        <references count="2">
          <reference field="0" count="1" selected="0">
            <x v="17"/>
          </reference>
          <reference field="2" count="1">
            <x v="17"/>
          </reference>
        </references>
      </pivotArea>
    </format>
    <format dxfId="426">
      <pivotArea dataOnly="0" labelOnly="1" outline="0" fieldPosition="0">
        <references count="2">
          <reference field="0" count="1" selected="0">
            <x v="18"/>
          </reference>
          <reference field="2" count="1">
            <x v="18"/>
          </reference>
        </references>
      </pivotArea>
    </format>
    <format dxfId="425">
      <pivotArea dataOnly="0" labelOnly="1" outline="0" fieldPosition="0">
        <references count="2">
          <reference field="0" count="1" selected="0">
            <x v="19"/>
          </reference>
          <reference field="2" count="1">
            <x v="19"/>
          </reference>
        </references>
      </pivotArea>
    </format>
    <format dxfId="424">
      <pivotArea dataOnly="0" labelOnly="1" outline="0" fieldPosition="0">
        <references count="2">
          <reference field="0" count="1" selected="0">
            <x v="20"/>
          </reference>
          <reference field="2" count="1">
            <x v="20"/>
          </reference>
        </references>
      </pivotArea>
    </format>
    <format dxfId="423">
      <pivotArea dataOnly="0" labelOnly="1" outline="0" fieldPosition="0">
        <references count="2">
          <reference field="0" count="1" selected="0">
            <x v="21"/>
          </reference>
          <reference field="2" count="1">
            <x v="21"/>
          </reference>
        </references>
      </pivotArea>
    </format>
    <format dxfId="422">
      <pivotArea dataOnly="0" labelOnly="1" outline="0" fieldPosition="0">
        <references count="2">
          <reference field="0" count="1" selected="0">
            <x v="22"/>
          </reference>
          <reference field="2" count="1">
            <x v="22"/>
          </reference>
        </references>
      </pivotArea>
    </format>
    <format dxfId="421">
      <pivotArea dataOnly="0" labelOnly="1" outline="0" fieldPosition="0">
        <references count="2">
          <reference field="0" count="1" selected="0">
            <x v="23"/>
          </reference>
          <reference field="2" count="1">
            <x v="23"/>
          </reference>
        </references>
      </pivotArea>
    </format>
    <format dxfId="420">
      <pivotArea dataOnly="0" labelOnly="1" outline="0" fieldPosition="0">
        <references count="2">
          <reference field="0" count="1" selected="0">
            <x v="24"/>
          </reference>
          <reference field="2" count="1">
            <x v="24"/>
          </reference>
        </references>
      </pivotArea>
    </format>
    <format dxfId="419">
      <pivotArea dataOnly="0" labelOnly="1" outline="0" fieldPosition="0">
        <references count="2">
          <reference field="0" count="1" selected="0">
            <x v="25"/>
          </reference>
          <reference field="2" count="1">
            <x v="25"/>
          </reference>
        </references>
      </pivotArea>
    </format>
    <format dxfId="418">
      <pivotArea dataOnly="0" labelOnly="1" outline="0" fieldPosition="0">
        <references count="2">
          <reference field="0" count="1" selected="0">
            <x v="26"/>
          </reference>
          <reference field="2" count="1">
            <x v="26"/>
          </reference>
        </references>
      </pivotArea>
    </format>
    <format dxfId="417">
      <pivotArea dataOnly="0" labelOnly="1" outline="0" fieldPosition="0">
        <references count="2">
          <reference field="0" count="1" selected="0">
            <x v="27"/>
          </reference>
          <reference field="2" count="1">
            <x v="27"/>
          </reference>
        </references>
      </pivotArea>
    </format>
    <format dxfId="416">
      <pivotArea dataOnly="0" labelOnly="1" outline="0" fieldPosition="0">
        <references count="2">
          <reference field="0" count="1" selected="0">
            <x v="28"/>
          </reference>
          <reference field="2" count="1">
            <x v="28"/>
          </reference>
        </references>
      </pivotArea>
    </format>
    <format dxfId="415">
      <pivotArea dataOnly="0" labelOnly="1" outline="0" fieldPosition="0">
        <references count="2">
          <reference field="0" count="1" selected="0">
            <x v="29"/>
          </reference>
          <reference field="2" count="1">
            <x v="29"/>
          </reference>
        </references>
      </pivotArea>
    </format>
    <format dxfId="414">
      <pivotArea dataOnly="0" labelOnly="1" outline="0" fieldPosition="0">
        <references count="2">
          <reference field="0" count="1" selected="0">
            <x v="30"/>
          </reference>
          <reference field="2" count="1">
            <x v="30"/>
          </reference>
        </references>
      </pivotArea>
    </format>
    <format dxfId="413">
      <pivotArea dataOnly="0" labelOnly="1" outline="0" fieldPosition="0">
        <references count="2">
          <reference field="0" count="1" selected="0">
            <x v="31"/>
          </reference>
          <reference field="2" count="1">
            <x v="31"/>
          </reference>
        </references>
      </pivotArea>
    </format>
    <format dxfId="412">
      <pivotArea dataOnly="0" labelOnly="1" outline="0" fieldPosition="0">
        <references count="2">
          <reference field="0" count="1" selected="0">
            <x v="32"/>
          </reference>
          <reference field="2" count="1">
            <x v="32"/>
          </reference>
        </references>
      </pivotArea>
    </format>
    <format dxfId="411">
      <pivotArea dataOnly="0" labelOnly="1" outline="0" fieldPosition="0">
        <references count="2">
          <reference field="0" count="1" selected="0">
            <x v="33"/>
          </reference>
          <reference field="2" count="1">
            <x v="33"/>
          </reference>
        </references>
      </pivotArea>
    </format>
    <format dxfId="410">
      <pivotArea dataOnly="0" labelOnly="1" outline="0" fieldPosition="0">
        <references count="2">
          <reference field="0" count="1" selected="0">
            <x v="34"/>
          </reference>
          <reference field="2" count="1">
            <x v="34"/>
          </reference>
        </references>
      </pivotArea>
    </format>
    <format dxfId="409">
      <pivotArea dataOnly="0" labelOnly="1" outline="0" fieldPosition="0">
        <references count="2">
          <reference field="0" count="1" selected="0">
            <x v="35"/>
          </reference>
          <reference field="2" count="1">
            <x v="35"/>
          </reference>
        </references>
      </pivotArea>
    </format>
    <format dxfId="408">
      <pivotArea dataOnly="0" labelOnly="1" outline="0" fieldPosition="0">
        <references count="2">
          <reference field="0" count="1" selected="0">
            <x v="36"/>
          </reference>
          <reference field="2" count="1">
            <x v="36"/>
          </reference>
        </references>
      </pivotArea>
    </format>
    <format dxfId="407">
      <pivotArea dataOnly="0" labelOnly="1" outline="0" fieldPosition="0">
        <references count="2">
          <reference field="0" count="1" selected="0">
            <x v="37"/>
          </reference>
          <reference field="2" count="1">
            <x v="37"/>
          </reference>
        </references>
      </pivotArea>
    </format>
    <format dxfId="406">
      <pivotArea dataOnly="0" labelOnly="1" outline="0" fieldPosition="0">
        <references count="2">
          <reference field="0" count="1" selected="0">
            <x v="38"/>
          </reference>
          <reference field="2" count="1">
            <x v="38"/>
          </reference>
        </references>
      </pivotArea>
    </format>
    <format dxfId="405">
      <pivotArea dataOnly="0" labelOnly="1" outline="0" fieldPosition="0">
        <references count="2">
          <reference field="0" count="1" selected="0">
            <x v="39"/>
          </reference>
          <reference field="2" count="1">
            <x v="39"/>
          </reference>
        </references>
      </pivotArea>
    </format>
    <format dxfId="404">
      <pivotArea dataOnly="0" labelOnly="1" outline="0" fieldPosition="0">
        <references count="2">
          <reference field="0" count="1" selected="0">
            <x v="40"/>
          </reference>
          <reference field="2" count="1">
            <x v="40"/>
          </reference>
        </references>
      </pivotArea>
    </format>
    <format dxfId="403">
      <pivotArea dataOnly="0" labelOnly="1" outline="0" fieldPosition="0">
        <references count="2">
          <reference field="0" count="1" selected="0">
            <x v="42"/>
          </reference>
          <reference field="2" count="1">
            <x v="41"/>
          </reference>
        </references>
      </pivotArea>
    </format>
    <format dxfId="402">
      <pivotArea dataOnly="0" labelOnly="1" outline="0" fieldPosition="0">
        <references count="2">
          <reference field="0" count="1" selected="0">
            <x v="43"/>
          </reference>
          <reference field="2" count="1">
            <x v="42"/>
          </reference>
        </references>
      </pivotArea>
    </format>
    <format dxfId="401">
      <pivotArea dataOnly="0" labelOnly="1" outline="0" fieldPosition="0">
        <references count="2">
          <reference field="0" count="1" selected="0">
            <x v="44"/>
          </reference>
          <reference field="2" count="1">
            <x v="43"/>
          </reference>
        </references>
      </pivotArea>
    </format>
    <format dxfId="400">
      <pivotArea dataOnly="0" labelOnly="1" outline="0" fieldPosition="0">
        <references count="2">
          <reference field="0" count="1" selected="0">
            <x v="45"/>
          </reference>
          <reference field="2" count="1">
            <x v="44"/>
          </reference>
        </references>
      </pivotArea>
    </format>
    <format dxfId="399">
      <pivotArea dataOnly="0" labelOnly="1" outline="0" fieldPosition="0">
        <references count="2">
          <reference field="0" count="1" selected="0">
            <x v="46"/>
          </reference>
          <reference field="2" count="1">
            <x v="45"/>
          </reference>
        </references>
      </pivotArea>
    </format>
    <format dxfId="398">
      <pivotArea dataOnly="0" labelOnly="1" outline="0" fieldPosition="0">
        <references count="2">
          <reference field="0" count="1" selected="0">
            <x v="47"/>
          </reference>
          <reference field="2" count="1">
            <x v="46"/>
          </reference>
        </references>
      </pivotArea>
    </format>
    <format dxfId="397">
      <pivotArea dataOnly="0" labelOnly="1" outline="0" fieldPosition="0">
        <references count="2">
          <reference field="0" count="1" selected="0">
            <x v="48"/>
          </reference>
          <reference field="2" count="1">
            <x v="47"/>
          </reference>
        </references>
      </pivotArea>
    </format>
    <format dxfId="396">
      <pivotArea dataOnly="0" labelOnly="1" outline="0" fieldPosition="0">
        <references count="2">
          <reference field="0" count="1" selected="0">
            <x v="49"/>
          </reference>
          <reference field="2" count="1">
            <x v="48"/>
          </reference>
        </references>
      </pivotArea>
    </format>
    <format dxfId="395">
      <pivotArea dataOnly="0" labelOnly="1" outline="0" fieldPosition="0">
        <references count="2">
          <reference field="0" count="1" selected="0">
            <x v="50"/>
          </reference>
          <reference field="2" count="1">
            <x v="49"/>
          </reference>
        </references>
      </pivotArea>
    </format>
    <format dxfId="394">
      <pivotArea dataOnly="0" labelOnly="1" outline="0" fieldPosition="0">
        <references count="2">
          <reference field="0" count="1" selected="0">
            <x v="51"/>
          </reference>
          <reference field="2" count="1">
            <x v="50"/>
          </reference>
        </references>
      </pivotArea>
    </format>
    <format dxfId="393">
      <pivotArea dataOnly="0" labelOnly="1" outline="0" fieldPosition="0">
        <references count="2">
          <reference field="0" count="1" selected="0">
            <x v="52"/>
          </reference>
          <reference field="2" count="1">
            <x v="51"/>
          </reference>
        </references>
      </pivotArea>
    </format>
    <format dxfId="392">
      <pivotArea dataOnly="0" labelOnly="1" outline="0" fieldPosition="0">
        <references count="2">
          <reference field="0" count="1" selected="0">
            <x v="53"/>
          </reference>
          <reference field="2" count="1">
            <x v="52"/>
          </reference>
        </references>
      </pivotArea>
    </format>
    <format dxfId="391">
      <pivotArea dataOnly="0" labelOnly="1" outline="0" fieldPosition="0">
        <references count="2">
          <reference field="0" count="1" selected="0">
            <x v="54"/>
          </reference>
          <reference field="2" count="1">
            <x v="53"/>
          </reference>
        </references>
      </pivotArea>
    </format>
    <format dxfId="390">
      <pivotArea dataOnly="0" labelOnly="1" outline="0" fieldPosition="0">
        <references count="3">
          <reference field="0" count="1" selected="0">
            <x v="1"/>
          </reference>
          <reference field="1" count="1">
            <x v="5"/>
          </reference>
          <reference field="2" count="1" selected="0">
            <x v="1"/>
          </reference>
        </references>
      </pivotArea>
    </format>
    <format dxfId="389">
      <pivotArea dataOnly="0" labelOnly="1" outline="0" fieldPosition="0">
        <references count="3">
          <reference field="0" count="1" selected="0">
            <x v="2"/>
          </reference>
          <reference field="1" count="1">
            <x v="6"/>
          </reference>
          <reference field="2" count="1" selected="0">
            <x v="2"/>
          </reference>
        </references>
      </pivotArea>
    </format>
    <format dxfId="388">
      <pivotArea dataOnly="0" labelOnly="1" outline="0" fieldPosition="0">
        <references count="3">
          <reference field="0" count="1" selected="0">
            <x v="3"/>
          </reference>
          <reference field="1" count="1">
            <x v="31"/>
          </reference>
          <reference field="2" count="1" selected="0">
            <x v="3"/>
          </reference>
        </references>
      </pivotArea>
    </format>
    <format dxfId="387">
      <pivotArea dataOnly="0" labelOnly="1" outline="0" fieldPosition="0">
        <references count="3">
          <reference field="0" count="1" selected="0">
            <x v="4"/>
          </reference>
          <reference field="1" count="1">
            <x v="12"/>
          </reference>
          <reference field="2" count="1" selected="0">
            <x v="4"/>
          </reference>
        </references>
      </pivotArea>
    </format>
    <format dxfId="386">
      <pivotArea dataOnly="0" labelOnly="1" outline="0" fieldPosition="0">
        <references count="3">
          <reference field="0" count="1" selected="0">
            <x v="5"/>
          </reference>
          <reference field="1" count="1">
            <x v="25"/>
          </reference>
          <reference field="2" count="1" selected="0">
            <x v="5"/>
          </reference>
        </references>
      </pivotArea>
    </format>
    <format dxfId="385">
      <pivotArea dataOnly="0" labelOnly="1" outline="0" fieldPosition="0">
        <references count="3">
          <reference field="0" count="1" selected="0">
            <x v="7"/>
          </reference>
          <reference field="1" count="1">
            <x v="22"/>
          </reference>
          <reference field="2" count="1" selected="0">
            <x v="7"/>
          </reference>
        </references>
      </pivotArea>
    </format>
    <format dxfId="384">
      <pivotArea dataOnly="0" labelOnly="1" outline="0" fieldPosition="0">
        <references count="3">
          <reference field="0" count="1" selected="0">
            <x v="8"/>
          </reference>
          <reference field="1" count="1">
            <x v="21"/>
          </reference>
          <reference field="2" count="1" selected="0">
            <x v="8"/>
          </reference>
        </references>
      </pivotArea>
    </format>
    <format dxfId="383">
      <pivotArea dataOnly="0" labelOnly="1" outline="0" fieldPosition="0">
        <references count="3">
          <reference field="0" count="1" selected="0">
            <x v="9"/>
          </reference>
          <reference field="1" count="1">
            <x v="34"/>
          </reference>
          <reference field="2" count="1" selected="0">
            <x v="9"/>
          </reference>
        </references>
      </pivotArea>
    </format>
    <format dxfId="382">
      <pivotArea dataOnly="0" labelOnly="1" outline="0" fieldPosition="0">
        <references count="3">
          <reference field="0" count="1" selected="0">
            <x v="10"/>
          </reference>
          <reference field="1" count="1">
            <x v="35"/>
          </reference>
          <reference field="2" count="1" selected="0">
            <x v="10"/>
          </reference>
        </references>
      </pivotArea>
    </format>
    <format dxfId="381">
      <pivotArea dataOnly="0" labelOnly="1" outline="0" fieldPosition="0">
        <references count="3">
          <reference field="0" count="1" selected="0">
            <x v="11"/>
          </reference>
          <reference field="1" count="1">
            <x v="36"/>
          </reference>
          <reference field="2" count="1" selected="0">
            <x v="11"/>
          </reference>
        </references>
      </pivotArea>
    </format>
    <format dxfId="380">
      <pivotArea dataOnly="0" labelOnly="1" outline="0" fieldPosition="0">
        <references count="3">
          <reference field="0" count="1" selected="0">
            <x v="12"/>
          </reference>
          <reference field="1" count="1">
            <x v="37"/>
          </reference>
          <reference field="2" count="1" selected="0">
            <x v="12"/>
          </reference>
        </references>
      </pivotArea>
    </format>
    <format dxfId="379">
      <pivotArea dataOnly="0" labelOnly="1" outline="0" fieldPosition="0">
        <references count="3">
          <reference field="0" count="1" selected="0">
            <x v="13"/>
          </reference>
          <reference field="1" count="1">
            <x v="38"/>
          </reference>
          <reference field="2" count="1" selected="0">
            <x v="13"/>
          </reference>
        </references>
      </pivotArea>
    </format>
    <format dxfId="378">
      <pivotArea dataOnly="0" labelOnly="1" outline="0" fieldPosition="0">
        <references count="3">
          <reference field="0" count="1" selected="0">
            <x v="14"/>
          </reference>
          <reference field="1" count="1">
            <x v="39"/>
          </reference>
          <reference field="2" count="1" selected="0">
            <x v="14"/>
          </reference>
        </references>
      </pivotArea>
    </format>
    <format dxfId="377">
      <pivotArea dataOnly="0" labelOnly="1" outline="0" fieldPosition="0">
        <references count="3">
          <reference field="0" count="1" selected="0">
            <x v="15"/>
          </reference>
          <reference field="1" count="1">
            <x v="28"/>
          </reference>
          <reference field="2" count="1" selected="0">
            <x v="15"/>
          </reference>
        </references>
      </pivotArea>
    </format>
    <format dxfId="376">
      <pivotArea dataOnly="0" labelOnly="1" outline="0" fieldPosition="0">
        <references count="3">
          <reference field="0" count="1" selected="0">
            <x v="16"/>
          </reference>
          <reference field="1" count="1">
            <x v="29"/>
          </reference>
          <reference field="2" count="1" selected="0">
            <x v="16"/>
          </reference>
        </references>
      </pivotArea>
    </format>
    <format dxfId="375">
      <pivotArea dataOnly="0" labelOnly="1" outline="0" fieldPosition="0">
        <references count="3">
          <reference field="0" count="1" selected="0">
            <x v="17"/>
          </reference>
          <reference field="1" count="1">
            <x v="14"/>
          </reference>
          <reference field="2" count="1" selected="0">
            <x v="17"/>
          </reference>
        </references>
      </pivotArea>
    </format>
    <format dxfId="374">
      <pivotArea dataOnly="0" labelOnly="1" outline="0" fieldPosition="0">
        <references count="3">
          <reference field="0" count="1" selected="0">
            <x v="20"/>
          </reference>
          <reference field="1" count="1">
            <x v="42"/>
          </reference>
          <reference field="2" count="1" selected="0">
            <x v="20"/>
          </reference>
        </references>
      </pivotArea>
    </format>
    <format dxfId="373">
      <pivotArea dataOnly="0" labelOnly="1" outline="0" fieldPosition="0">
        <references count="3">
          <reference field="0" count="1" selected="0">
            <x v="22"/>
          </reference>
          <reference field="1" count="1">
            <x v="45"/>
          </reference>
          <reference field="2" count="1" selected="0">
            <x v="22"/>
          </reference>
        </references>
      </pivotArea>
    </format>
    <format dxfId="372">
      <pivotArea dataOnly="0" labelOnly="1" outline="0" fieldPosition="0">
        <references count="3">
          <reference field="0" count="1" selected="0">
            <x v="25"/>
          </reference>
          <reference field="1" count="1">
            <x v="10"/>
          </reference>
          <reference field="2" count="1" selected="0">
            <x v="25"/>
          </reference>
        </references>
      </pivotArea>
    </format>
    <format dxfId="371">
      <pivotArea dataOnly="0" labelOnly="1" outline="0" fieldPosition="0">
        <references count="3">
          <reference field="0" count="1" selected="0">
            <x v="28"/>
          </reference>
          <reference field="1" count="1">
            <x v="8"/>
          </reference>
          <reference field="2" count="1" selected="0">
            <x v="28"/>
          </reference>
        </references>
      </pivotArea>
    </format>
    <format dxfId="370">
      <pivotArea dataOnly="0" labelOnly="1" outline="0" fieldPosition="0">
        <references count="3">
          <reference field="0" count="1" selected="0">
            <x v="29"/>
          </reference>
          <reference field="1" count="1">
            <x v="9"/>
          </reference>
          <reference field="2" count="1" selected="0">
            <x v="29"/>
          </reference>
        </references>
      </pivotArea>
    </format>
    <format dxfId="369">
      <pivotArea dataOnly="0" labelOnly="1" outline="0" fieldPosition="0">
        <references count="3">
          <reference field="0" count="1" selected="0">
            <x v="30"/>
          </reference>
          <reference field="1" count="1">
            <x v="7"/>
          </reference>
          <reference field="2" count="1" selected="0">
            <x v="30"/>
          </reference>
        </references>
      </pivotArea>
    </format>
    <format dxfId="368">
      <pivotArea dataOnly="0" labelOnly="1" outline="0" fieldPosition="0">
        <references count="3">
          <reference field="0" count="1" selected="0">
            <x v="31"/>
          </reference>
          <reference field="1" count="1">
            <x v="32"/>
          </reference>
          <reference field="2" count="1" selected="0">
            <x v="31"/>
          </reference>
        </references>
      </pivotArea>
    </format>
    <format dxfId="367">
      <pivotArea dataOnly="0" labelOnly="1" outline="0" fieldPosition="0">
        <references count="3">
          <reference field="0" count="1" selected="0">
            <x v="32"/>
          </reference>
          <reference field="1" count="1">
            <x v="33"/>
          </reference>
          <reference field="2" count="1" selected="0">
            <x v="32"/>
          </reference>
        </references>
      </pivotArea>
    </format>
    <format dxfId="366">
      <pivotArea dataOnly="0" labelOnly="1" outline="0" fieldPosition="0">
        <references count="3">
          <reference field="0" count="1" selected="0">
            <x v="33"/>
          </reference>
          <reference field="1" count="1">
            <x v="3"/>
          </reference>
          <reference field="2" count="1" selected="0">
            <x v="33"/>
          </reference>
        </references>
      </pivotArea>
    </format>
    <format dxfId="365">
      <pivotArea dataOnly="0" labelOnly="1" outline="0" fieldPosition="0">
        <references count="3">
          <reference field="0" count="1" selected="0">
            <x v="34"/>
          </reference>
          <reference field="1" count="1">
            <x v="4"/>
          </reference>
          <reference field="2" count="1" selected="0">
            <x v="34"/>
          </reference>
        </references>
      </pivotArea>
    </format>
    <format dxfId="364">
      <pivotArea dataOnly="0" labelOnly="1" outline="0" fieldPosition="0">
        <references count="3">
          <reference field="0" count="1" selected="0">
            <x v="35"/>
          </reference>
          <reference field="1" count="1">
            <x v="40"/>
          </reference>
          <reference field="2" count="1" selected="0">
            <x v="35"/>
          </reference>
        </references>
      </pivotArea>
    </format>
    <format dxfId="363">
      <pivotArea dataOnly="0" labelOnly="1" outline="0" fieldPosition="0">
        <references count="3">
          <reference field="0" count="1" selected="0">
            <x v="36"/>
          </reference>
          <reference field="1" count="1">
            <x v="41"/>
          </reference>
          <reference field="2" count="1" selected="0">
            <x v="36"/>
          </reference>
        </references>
      </pivotArea>
    </format>
    <format dxfId="362">
      <pivotArea dataOnly="0" labelOnly="1" outline="0" fieldPosition="0">
        <references count="3">
          <reference field="0" count="1" selected="0">
            <x v="37"/>
          </reference>
          <reference field="1" count="1">
            <x v="43"/>
          </reference>
          <reference field="2" count="1" selected="0">
            <x v="37"/>
          </reference>
        </references>
      </pivotArea>
    </format>
    <format dxfId="361">
      <pivotArea dataOnly="0" labelOnly="1" outline="0" fieldPosition="0">
        <references count="3">
          <reference field="0" count="1" selected="0">
            <x v="38"/>
          </reference>
          <reference field="1" count="1">
            <x v="44"/>
          </reference>
          <reference field="2" count="1" selected="0">
            <x v="38"/>
          </reference>
        </references>
      </pivotArea>
    </format>
    <format dxfId="360">
      <pivotArea dataOnly="0" labelOnly="1" outline="0" fieldPosition="0">
        <references count="3">
          <reference field="0" count="1" selected="0">
            <x v="39"/>
          </reference>
          <reference field="1" count="1">
            <x v="26"/>
          </reference>
          <reference field="2" count="1" selected="0">
            <x v="39"/>
          </reference>
        </references>
      </pivotArea>
    </format>
    <format dxfId="359">
      <pivotArea dataOnly="0" labelOnly="1" outline="0" fieldPosition="0">
        <references count="3">
          <reference field="0" count="1" selected="0">
            <x v="40"/>
          </reference>
          <reference field="1" count="1">
            <x v="23"/>
          </reference>
          <reference field="2" count="1" selected="0">
            <x v="40"/>
          </reference>
        </references>
      </pivotArea>
    </format>
    <format dxfId="358">
      <pivotArea dataOnly="0" labelOnly="1" outline="0" fieldPosition="0">
        <references count="3">
          <reference field="0" count="1" selected="0">
            <x v="43"/>
          </reference>
          <reference field="1" count="1">
            <x v="16"/>
          </reference>
          <reference field="2" count="1" selected="0">
            <x v="42"/>
          </reference>
        </references>
      </pivotArea>
    </format>
    <format dxfId="357">
      <pivotArea dataOnly="0" labelOnly="1" outline="0" fieldPosition="0">
        <references count="3">
          <reference field="0" count="1" selected="0">
            <x v="44"/>
          </reference>
          <reference field="1" count="1">
            <x v="17"/>
          </reference>
          <reference field="2" count="1" selected="0">
            <x v="43"/>
          </reference>
        </references>
      </pivotArea>
    </format>
    <format dxfId="356">
      <pivotArea dataOnly="0" labelOnly="1" outline="0" fieldPosition="0">
        <references count="3">
          <reference field="0" count="1" selected="0">
            <x v="45"/>
          </reference>
          <reference field="1" count="1">
            <x v="18"/>
          </reference>
          <reference field="2" count="1" selected="0">
            <x v="44"/>
          </reference>
        </references>
      </pivotArea>
    </format>
    <format dxfId="355">
      <pivotArea dataOnly="0" labelOnly="1" outline="0" fieldPosition="0">
        <references count="3">
          <reference field="0" count="1" selected="0">
            <x v="47"/>
          </reference>
          <reference field="1" count="1">
            <x v="13"/>
          </reference>
          <reference field="2" count="1" selected="0">
            <x v="46"/>
          </reference>
        </references>
      </pivotArea>
    </format>
    <format dxfId="354">
      <pivotArea dataOnly="0" labelOnly="1" outline="0" fieldPosition="0">
        <references count="3">
          <reference field="0" count="1" selected="0">
            <x v="49"/>
          </reference>
          <reference field="1" count="1">
            <x v="0"/>
          </reference>
          <reference field="2" count="1" selected="0">
            <x v="48"/>
          </reference>
        </references>
      </pivotArea>
    </format>
    <format dxfId="353">
      <pivotArea dataOnly="0" labelOnly="1" outline="0" fieldPosition="0">
        <references count="3">
          <reference field="0" count="1" selected="0">
            <x v="50"/>
          </reference>
          <reference field="1" count="1">
            <x v="27"/>
          </reference>
          <reference field="2" count="1" selected="0">
            <x v="49"/>
          </reference>
        </references>
      </pivotArea>
    </format>
    <format dxfId="352">
      <pivotArea dataOnly="0" labelOnly="1" outline="0" fieldPosition="0">
        <references count="3">
          <reference field="0" count="1" selected="0">
            <x v="51"/>
          </reference>
          <reference field="1" count="1">
            <x v="11"/>
          </reference>
          <reference field="2" count="1" selected="0">
            <x v="50"/>
          </reference>
        </references>
      </pivotArea>
    </format>
    <format dxfId="351">
      <pivotArea dataOnly="0" labelOnly="1" outline="0" fieldPosition="0">
        <references count="3">
          <reference field="0" count="1" selected="0">
            <x v="52"/>
          </reference>
          <reference field="1" count="1">
            <x v="2"/>
          </reference>
          <reference field="2" count="1" selected="0">
            <x v="51"/>
          </reference>
        </references>
      </pivotArea>
    </format>
    <format dxfId="350">
      <pivotArea dataOnly="0" labelOnly="1" outline="0" fieldPosition="0">
        <references count="3">
          <reference field="0" count="1" selected="0">
            <x v="53"/>
          </reference>
          <reference field="1" count="1">
            <x v="1"/>
          </reference>
          <reference field="2" count="1" selected="0">
            <x v="52"/>
          </reference>
        </references>
      </pivotArea>
    </format>
    <format dxfId="349">
      <pivotArea dataOnly="0" labelOnly="1" outline="0" fieldPosition="0">
        <references count="3">
          <reference field="0" count="1" selected="0">
            <x v="54"/>
          </reference>
          <reference field="1" count="1">
            <x v="24"/>
          </reference>
          <reference field="2" count="1" selected="0">
            <x v="53"/>
          </reference>
        </references>
      </pivotArea>
    </format>
    <format dxfId="3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8">
      <pivotArea type="all" dataOnly="0" outline="0" fieldPosition="0"/>
    </format>
    <format dxfId="307">
      <pivotArea type="all" dataOnly="0" outline="0" fieldPosition="0"/>
    </format>
    <format dxfId="306">
      <pivotArea type="all" dataOnly="0" outline="0" fieldPosition="0"/>
    </format>
    <format dxfId="305">
      <pivotArea dataOnly="0" labelOnly="1" outline="0" fieldPosition="0">
        <references count="1">
          <reference field="0" count="3">
            <x v="0"/>
            <x v="1"/>
            <x v="2"/>
          </reference>
        </references>
      </pivotArea>
    </format>
    <format dxfId="304">
      <pivotArea dataOnly="0" labelOnly="1" outline="0" fieldPosition="0">
        <references count="2">
          <reference field="0" count="1" selected="0">
            <x v="0"/>
          </reference>
          <reference field="2" count="1">
            <x v="0"/>
          </reference>
        </references>
      </pivotArea>
    </format>
    <format dxfId="303">
      <pivotArea dataOnly="0" labelOnly="1" outline="0" fieldPosition="0">
        <references count="2">
          <reference field="0" count="1" selected="0">
            <x v="1"/>
          </reference>
          <reference field="2" count="1">
            <x v="1"/>
          </reference>
        </references>
      </pivotArea>
    </format>
    <format dxfId="302">
      <pivotArea dataOnly="0" labelOnly="1" outline="0" fieldPosition="0">
        <references count="2">
          <reference field="0" count="1" selected="0">
            <x v="2"/>
          </reference>
          <reference field="2" count="1">
            <x v="2"/>
          </reference>
        </references>
      </pivotArea>
    </format>
    <format dxfId="301">
      <pivotArea dataOnly="0" labelOnly="1" outline="0" fieldPosition="0">
        <references count="3">
          <reference field="0" count="1" selected="0">
            <x v="1"/>
          </reference>
          <reference field="1" count="1">
            <x v="5"/>
          </reference>
          <reference field="2" count="1" selected="0">
            <x v="1"/>
          </reference>
        </references>
      </pivotArea>
    </format>
    <format dxfId="300">
      <pivotArea dataOnly="0" labelOnly="1" outline="0" fieldPosition="0">
        <references count="3">
          <reference field="0" count="1" selected="0">
            <x v="2"/>
          </reference>
          <reference field="1" count="1">
            <x v="6"/>
          </reference>
          <reference field="2" count="1" selected="0">
            <x v="2"/>
          </reference>
        </references>
      </pivotArea>
    </format>
    <format dxfId="2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7">
      <pivotArea dataOnly="0" labelOnly="1" outline="0" fieldPosition="0">
        <references count="1">
          <reference field="1" count="0"/>
        </references>
      </pivotArea>
    </format>
    <format dxfId="296">
      <pivotArea dataOnly="0" labelOnly="1" outline="0" fieldPosition="0">
        <references count="1">
          <reference field="0" count="1">
            <x v="66"/>
          </reference>
        </references>
      </pivotArea>
    </format>
    <format dxfId="295">
      <pivotArea dataOnly="0" labelOnly="1" outline="0" fieldPosition="0">
        <references count="1">
          <reference field="0" count="1">
            <x v="41"/>
          </reference>
        </references>
      </pivotArea>
    </format>
    <format dxfId="294">
      <pivotArea dataOnly="0" outline="0" fieldPosition="0">
        <references count="1">
          <reference field="0" count="10">
            <x v="55"/>
            <x v="56"/>
            <x v="57"/>
            <x v="58"/>
            <x v="59"/>
            <x v="60"/>
            <x v="61"/>
            <x v="62"/>
            <x v="63"/>
            <x v="64"/>
          </reference>
        </references>
      </pivotArea>
    </format>
    <format dxfId="293">
      <pivotArea dataOnly="0" outline="0" fieldPosition="0">
        <references count="1">
          <reference field="0" count="10">
            <x v="55"/>
            <x v="56"/>
            <x v="57"/>
            <x v="58"/>
            <x v="59"/>
            <x v="60"/>
            <x v="61"/>
            <x v="62"/>
            <x v="63"/>
            <x v="64"/>
          </reference>
        </references>
      </pivotArea>
    </format>
    <format dxfId="292">
      <pivotArea dataOnly="0" labelOnly="1" outline="0" fieldPosition="0">
        <references count="1">
          <reference field="0" count="1">
            <x v="65"/>
          </reference>
        </references>
      </pivotArea>
    </format>
    <format dxfId="291">
      <pivotArea dataOnly="0" labelOnly="1" outline="0" fieldPosition="0">
        <references count="1">
          <reference field="0" count="1">
            <x v="1"/>
          </reference>
        </references>
      </pivotArea>
    </format>
    <format dxfId="290">
      <pivotArea dataOnly="0" labelOnly="1" outline="0" fieldPosition="0">
        <references count="2">
          <reference field="0" count="1" selected="0">
            <x v="1"/>
          </reference>
          <reference field="2" count="1">
            <x v="1"/>
          </reference>
        </references>
      </pivotArea>
    </format>
    <format dxfId="289">
      <pivotArea dataOnly="0" labelOnly="1" outline="0" fieldPosition="0">
        <references count="3">
          <reference field="0" count="1" selected="0">
            <x v="1"/>
          </reference>
          <reference field="1" count="1">
            <x v="5"/>
          </reference>
          <reference field="2" count="1" selected="0">
            <x v="1"/>
          </reference>
        </references>
      </pivotArea>
    </format>
    <format dxfId="28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7">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W18" sqref="V18:W18"/>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70" t="s">
        <v>332</v>
      </c>
      <c r="O1" s="211" t="s">
        <v>274</v>
      </c>
      <c r="P1" s="212" t="s">
        <v>264</v>
      </c>
      <c r="Q1" s="212" t="s">
        <v>269</v>
      </c>
      <c r="R1" s="211" t="s">
        <v>265</v>
      </c>
      <c r="S1" s="211" t="s">
        <v>266</v>
      </c>
      <c r="V1" s="249" t="s">
        <v>297</v>
      </c>
      <c r="W1" s="157">
        <f>SUM(X1:BB1)</f>
        <v>1220</v>
      </c>
      <c r="X1" s="233">
        <v>250</v>
      </c>
      <c r="Y1" s="250">
        <f>COUNTIF(Y4:AA4,"&gt;0")*1000-SUM(Y4:AA4)</f>
        <v>670</v>
      </c>
      <c r="Z1" s="251"/>
      <c r="AA1" s="251"/>
      <c r="AB1" s="250">
        <f t="shared" ref="AB1" si="0">COUNTIF(AB4:AD4,"&gt;0")*1000-SUM(AB4:AD4)</f>
        <v>300</v>
      </c>
      <c r="AC1" s="251"/>
      <c r="AD1" s="251"/>
      <c r="AE1" s="250">
        <f t="shared" ref="AE1" si="1">COUNTIF(AE4:AG4,"&gt;0")*1000-SUM(AE4:AG4)</f>
        <v>0</v>
      </c>
      <c r="AF1" s="251"/>
      <c r="AG1" s="251"/>
      <c r="AH1" s="250">
        <f t="shared" ref="AH1" si="2">COUNTIF(AH4:AJ4,"&gt;0")*1000-SUM(AH4:AJ4)</f>
        <v>0</v>
      </c>
      <c r="AI1" s="251"/>
      <c r="AJ1" s="251"/>
      <c r="AK1" s="250">
        <f t="shared" ref="AK1" si="3">COUNTIF(AK4:AM4,"&gt;0")*1000-SUM(AK4:AM4)</f>
        <v>0</v>
      </c>
      <c r="AL1" s="251"/>
      <c r="AM1" s="251"/>
      <c r="AN1" s="250">
        <f t="shared" ref="AN1" si="4">COUNTIF(AN4:AP4,"&gt;0")*1000-SUM(AN4:AP4)</f>
        <v>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8"/>
      <c r="B2" s="98"/>
      <c r="C2" s="98"/>
      <c r="D2" s="98"/>
      <c r="E2" s="98"/>
      <c r="F2" s="98"/>
      <c r="G2" s="98"/>
      <c r="H2" s="108"/>
      <c r="I2" s="213"/>
      <c r="J2" s="214">
        <f>SUBTOTAL(9,J3:J14)</f>
        <v>59039</v>
      </c>
      <c r="K2" s="214">
        <f t="shared" ref="K2:S2" si="9">SUBTOTAL(9,K3:K14)</f>
        <v>86528</v>
      </c>
      <c r="L2" s="214">
        <f t="shared" si="9"/>
        <v>19800</v>
      </c>
      <c r="M2" s="214">
        <f t="shared" si="9"/>
        <v>3095</v>
      </c>
      <c r="N2" s="214">
        <f t="shared" si="9"/>
        <v>683</v>
      </c>
      <c r="O2" s="214">
        <f t="shared" si="9"/>
        <v>2152</v>
      </c>
      <c r="P2" s="214">
        <f t="shared" si="9"/>
        <v>8098</v>
      </c>
      <c r="Q2" s="214">
        <f t="shared" si="9"/>
        <v>700</v>
      </c>
      <c r="R2" s="214">
        <f t="shared" si="9"/>
        <v>12000</v>
      </c>
      <c r="S2" s="214">
        <f t="shared" si="9"/>
        <v>40000</v>
      </c>
      <c r="V2" s="249"/>
      <c r="W2" s="157"/>
      <c r="X2" s="107" t="s">
        <v>239</v>
      </c>
      <c r="Y2" s="248" t="s">
        <v>240</v>
      </c>
      <c r="Z2" s="248"/>
      <c r="AA2" s="248"/>
      <c r="AB2" s="247" t="s">
        <v>241</v>
      </c>
      <c r="AC2" s="247"/>
      <c r="AD2" s="247"/>
      <c r="AE2" s="248" t="s">
        <v>242</v>
      </c>
      <c r="AF2" s="248"/>
      <c r="AG2" s="248"/>
      <c r="AH2" s="247" t="s">
        <v>243</v>
      </c>
      <c r="AI2" s="247"/>
      <c r="AJ2" s="247"/>
      <c r="AK2" s="248" t="s">
        <v>244</v>
      </c>
      <c r="AL2" s="248"/>
      <c r="AM2" s="248"/>
      <c r="AN2" s="247" t="s">
        <v>245</v>
      </c>
      <c r="AO2" s="247"/>
      <c r="AP2" s="247"/>
      <c r="AQ2" s="248" t="s">
        <v>296</v>
      </c>
      <c r="AR2" s="248"/>
      <c r="AS2" s="248"/>
      <c r="AT2" s="247" t="s">
        <v>235</v>
      </c>
      <c r="AU2" s="247"/>
      <c r="AV2" s="247"/>
      <c r="AW2" s="248" t="s">
        <v>236</v>
      </c>
      <c r="AX2" s="248"/>
      <c r="AY2" s="248"/>
      <c r="AZ2" s="247" t="s">
        <v>237</v>
      </c>
      <c r="BA2" s="247"/>
      <c r="BB2" s="247"/>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49"/>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6">
        <f>SUM(X4:BB4)</f>
        <v>3780</v>
      </c>
      <c r="X4" s="210">
        <v>750</v>
      </c>
      <c r="Y4" s="210">
        <v>700</v>
      </c>
      <c r="Z4" s="210">
        <v>850</v>
      </c>
      <c r="AA4" s="210">
        <v>780</v>
      </c>
      <c r="AB4" s="210">
        <v>700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4"/>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7">
        <f>SUM(Y6:BH6)</f>
        <v>4200</v>
      </c>
      <c r="Y6" s="246">
        <v>4200</v>
      </c>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246"/>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6">
        <v>1000</v>
      </c>
      <c r="M8" s="26">
        <f>100+100+100+100+100</f>
        <v>500</v>
      </c>
      <c r="N8" s="26">
        <f>119+88</f>
        <v>207</v>
      </c>
      <c r="O8" s="26">
        <v>700</v>
      </c>
      <c r="P8" s="26">
        <v>550</v>
      </c>
      <c r="Q8" s="26">
        <v>0</v>
      </c>
      <c r="R8" s="26">
        <v>1000</v>
      </c>
      <c r="S8" s="26">
        <f t="shared" si="11"/>
        <v>3333.3333333333335</v>
      </c>
      <c r="W8" s="51">
        <f>SUM(Y8:BH8)</f>
        <v>800</v>
      </c>
      <c r="Y8" s="246">
        <f>COUNTIF(Y6,"&gt;0")*5000-Y6</f>
        <v>800</v>
      </c>
      <c r="Z8" s="246"/>
      <c r="AA8" s="246"/>
      <c r="AB8" s="246">
        <f t="shared" ref="AB8" si="12">COUNTIF(AB6,"&gt;0")*5000-AB6</f>
        <v>0</v>
      </c>
      <c r="AC8" s="246"/>
      <c r="AD8" s="246"/>
      <c r="AE8" s="246">
        <f t="shared" ref="AE8" si="13">COUNTIF(AE6,"&gt;0")*5000-AE6</f>
        <v>0</v>
      </c>
      <c r="AF8" s="246"/>
      <c r="AG8" s="246"/>
      <c r="AH8" s="246">
        <f t="shared" ref="AH8" si="14">COUNTIF(AH6,"&gt;0")*5000-AH6</f>
        <v>0</v>
      </c>
      <c r="AI8" s="246"/>
      <c r="AJ8" s="246"/>
      <c r="AK8" s="246">
        <f t="shared" ref="AK8" si="15">COUNTIF(AK6,"&gt;0")*5000-AK6</f>
        <v>0</v>
      </c>
      <c r="AL8" s="246"/>
      <c r="AM8" s="246"/>
      <c r="AN8" s="246">
        <f t="shared" ref="AN8" si="16">COUNTIF(AN6,"&gt;0")*5000-AN6</f>
        <v>0</v>
      </c>
      <c r="AO8" s="246"/>
      <c r="AP8" s="246"/>
      <c r="AQ8" s="246">
        <f t="shared" ref="AQ8" si="17">COUNTIF(AQ6,"&gt;0")*5000-AQ6</f>
        <v>0</v>
      </c>
      <c r="AR8" s="246"/>
      <c r="AS8" s="246"/>
      <c r="AT8" s="246">
        <f t="shared" ref="AT8" si="18">COUNTIF(AT6,"&gt;0")*5000-AT6</f>
        <v>0</v>
      </c>
      <c r="AU8" s="246"/>
      <c r="AV8" s="246"/>
      <c r="AW8" s="246">
        <f t="shared" ref="AW8" si="19">COUNTIF(AW6,"&gt;0")*5000-AW6</f>
        <v>0</v>
      </c>
      <c r="AX8" s="246"/>
      <c r="AY8" s="246"/>
      <c r="AZ8" s="246">
        <f t="shared" ref="AZ8" si="20">COUNTIF(AZ6,"&gt;0")*5000-AZ6</f>
        <v>0</v>
      </c>
      <c r="BA8" s="246"/>
      <c r="BB8" s="246"/>
      <c r="BC8" s="246">
        <f t="shared" ref="BC8" si="21">COUNTIF(BC6,"&gt;0")*5000-BC6</f>
        <v>0</v>
      </c>
      <c r="BD8" s="246"/>
      <c r="BE8" s="246"/>
      <c r="BF8" s="246">
        <f t="shared" ref="BF8" si="22">COUNTIF(BF6,"&gt;0")*5000-BF6</f>
        <v>0</v>
      </c>
      <c r="BG8" s="246"/>
      <c r="BH8" s="246"/>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7266.3333333333339</v>
      </c>
      <c r="L9" s="26">
        <v>1500</v>
      </c>
      <c r="M9" s="26">
        <f>100+100+100+80+80+90</f>
        <v>550</v>
      </c>
      <c r="N9" s="26">
        <v>43</v>
      </c>
      <c r="O9" s="26">
        <v>0</v>
      </c>
      <c r="P9" s="26">
        <v>840</v>
      </c>
      <c r="Q9" s="26">
        <v>0</v>
      </c>
      <c r="R9" s="26">
        <v>1000</v>
      </c>
      <c r="S9" s="26">
        <f t="shared" si="11"/>
        <v>3333.3333333333335</v>
      </c>
      <c r="T9" s="231"/>
      <c r="U9" s="231"/>
      <c r="V9" s="231"/>
      <c r="W9" s="232"/>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31"/>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6333.3333333333339</v>
      </c>
      <c r="L11" s="26">
        <v>2000</v>
      </c>
      <c r="M11" s="26">
        <v>0</v>
      </c>
      <c r="N11" s="26">
        <v>0</v>
      </c>
      <c r="O11" s="26">
        <v>0</v>
      </c>
      <c r="P11" s="26">
        <v>0</v>
      </c>
      <c r="Q11" s="26">
        <v>0</v>
      </c>
      <c r="R11" s="26">
        <v>1000</v>
      </c>
      <c r="S11" s="26">
        <f t="shared" si="11"/>
        <v>3333.3333333333335</v>
      </c>
      <c r="U11" s="231"/>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31"/>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U5" sqref="AU5:AU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137"/>
    </row>
    <row r="2" spans="1:50" ht="34.5" customHeight="1" x14ac:dyDescent="0.25">
      <c r="A2" s="1">
        <f>50+50+70+70+70</f>
        <v>310</v>
      </c>
      <c r="B2" s="157">
        <f>60+70+100</f>
        <v>230</v>
      </c>
      <c r="H2" s="159">
        <f>H14</f>
        <v>17550</v>
      </c>
      <c r="K2" s="13">
        <f>SUMPRODUCT((E5:E11)*(F5:F11))</f>
        <v>256</v>
      </c>
      <c r="L2" s="13">
        <f>M4-K4</f>
        <v>11002.983819212939</v>
      </c>
      <c r="M2" s="8">
        <f>M4/K4-1</f>
        <v>0.13756693278577803</v>
      </c>
      <c r="N2" s="8"/>
      <c r="O2" s="95"/>
      <c r="P2" s="218"/>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7" t="s">
        <v>298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10741.095319013957</v>
      </c>
      <c r="B4" s="16"/>
      <c r="C4" s="16"/>
      <c r="D4" s="47"/>
      <c r="E4" s="16">
        <f>SUMPRODUCT((E5:E20)*(F5:F20))</f>
        <v>1256.75</v>
      </c>
      <c r="F4" s="16">
        <f>SUBTOTAL(9,F5:F20)</f>
        <v>1362.75</v>
      </c>
      <c r="G4" s="7"/>
      <c r="H4" s="7">
        <f>SUBTOTAL(9,H5:H13)</f>
        <v>19616</v>
      </c>
      <c r="I4" s="12"/>
      <c r="J4" s="12"/>
      <c r="K4" s="12">
        <f>SUBTOTAL(9,K5:K20)</f>
        <v>79982.766180787061</v>
      </c>
      <c r="L4" s="48"/>
      <c r="M4" s="7">
        <f>SUBTOTAL(9,M5:M20)</f>
        <v>90985.75</v>
      </c>
      <c r="N4" s="7">
        <f ca="1">SUBTOTAL(9,N5:N20)</f>
        <v>74907.5</v>
      </c>
      <c r="O4" s="49">
        <f ca="1">SUBTOTAL(9,O5:O14)</f>
        <v>161</v>
      </c>
      <c r="P4" s="75">
        <f>SUBTOTAL(9,P5:P14)</f>
        <v>1</v>
      </c>
      <c r="Q4" s="75"/>
      <c r="R4" s="25">
        <f t="shared" ref="R4:AV4" si="0">SUBTOTAL(9,R5:R15)</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si="0"/>
        <v>0</v>
      </c>
      <c r="AL4" s="25">
        <f t="shared" si="0"/>
        <v>0</v>
      </c>
      <c r="AM4" s="25">
        <f t="shared" si="0"/>
        <v>0</v>
      </c>
      <c r="AN4" s="25">
        <f t="shared" si="0"/>
        <v>0</v>
      </c>
      <c r="AO4" s="25">
        <f t="shared" si="0"/>
        <v>3</v>
      </c>
      <c r="AP4" s="25">
        <f t="shared" si="0"/>
        <v>0</v>
      </c>
      <c r="AQ4" s="25">
        <f t="shared" si="0"/>
        <v>31</v>
      </c>
      <c r="AR4" s="25">
        <f t="shared" si="0"/>
        <v>4.5</v>
      </c>
      <c r="AS4" s="25">
        <f t="shared" si="0"/>
        <v>5</v>
      </c>
      <c r="AT4" s="25">
        <f t="shared" si="0"/>
        <v>1</v>
      </c>
      <c r="AU4" s="25">
        <f t="shared" si="0"/>
        <v>21</v>
      </c>
      <c r="AV4" s="25">
        <f t="shared" ca="1" si="0"/>
        <v>5</v>
      </c>
      <c r="AW4" s="46" t="str">
        <f>SUMPRODUCT(($AW$5:$AW$52)*($E$5:$E$52))&amp;" Kg"</f>
        <v>0 Kg</v>
      </c>
      <c r="AX4" s="78">
        <f>SUBTOTAL(9,AX5:AX14)</f>
        <v>0</v>
      </c>
    </row>
    <row r="5" spans="1:50" ht="25.5" customHeight="1" x14ac:dyDescent="0.25">
      <c r="A5" s="59">
        <f ca="1">J5*O5</f>
        <v>0</v>
      </c>
      <c r="B5" s="6">
        <v>1</v>
      </c>
      <c r="C5" s="61" t="s">
        <v>303</v>
      </c>
      <c r="D5" s="69">
        <v>99</v>
      </c>
      <c r="E5" s="62">
        <v>1.2</v>
      </c>
      <c r="F5" s="62">
        <f>30+15</f>
        <v>45</v>
      </c>
      <c r="G5" s="63">
        <v>99</v>
      </c>
      <c r="H5" s="142">
        <f t="shared" ref="H5:H13" si="1">G5*F5</f>
        <v>4455</v>
      </c>
      <c r="I5" s="143">
        <f>((H5/$H$4)*$A$2)/F5</f>
        <v>1.5645391517128875</v>
      </c>
      <c r="J5" s="219">
        <f t="shared" ref="J5:J13" si="2">G5+I5</f>
        <v>100.56453915171289</v>
      </c>
      <c r="K5" s="66">
        <f>J5*F5</f>
        <v>4525.4042618270805</v>
      </c>
      <c r="L5" s="70">
        <v>110</v>
      </c>
      <c r="M5" s="64">
        <f>L5*F5</f>
        <v>4950</v>
      </c>
      <c r="N5" s="64">
        <f ca="1">SUMPRODUCT(($Q5:$AV5)*$L5)</f>
        <v>4950</v>
      </c>
      <c r="O5" s="71">
        <f ca="1">F5-SUM(Q5:AV5)-P5</f>
        <v>0</v>
      </c>
      <c r="P5" s="166">
        <v>0</v>
      </c>
      <c r="Q5" s="223">
        <v>12</v>
      </c>
      <c r="R5" s="240">
        <v>0</v>
      </c>
      <c r="S5" s="240">
        <v>10</v>
      </c>
      <c r="T5" s="240">
        <v>0</v>
      </c>
      <c r="U5" s="240">
        <v>0</v>
      </c>
      <c r="V5" s="240">
        <v>3</v>
      </c>
      <c r="W5" s="240">
        <v>0</v>
      </c>
      <c r="X5" s="240">
        <v>1</v>
      </c>
      <c r="Y5" s="240">
        <v>7</v>
      </c>
      <c r="Z5" s="240">
        <v>0</v>
      </c>
      <c r="AA5" s="240">
        <v>0</v>
      </c>
      <c r="AB5" s="240">
        <v>0</v>
      </c>
      <c r="AC5" s="240">
        <v>1</v>
      </c>
      <c r="AD5" s="240">
        <v>10</v>
      </c>
      <c r="AE5" s="240">
        <v>0</v>
      </c>
      <c r="AF5" s="240">
        <v>0</v>
      </c>
      <c r="AG5" s="240">
        <v>0</v>
      </c>
      <c r="AH5" s="240">
        <v>0</v>
      </c>
      <c r="AI5" s="240">
        <v>0</v>
      </c>
      <c r="AJ5" s="240">
        <v>0</v>
      </c>
      <c r="AK5" s="240">
        <v>0</v>
      </c>
      <c r="AL5" s="240">
        <v>0</v>
      </c>
      <c r="AM5" s="240">
        <v>0</v>
      </c>
      <c r="AN5" s="240">
        <v>0</v>
      </c>
      <c r="AO5" s="240">
        <v>1</v>
      </c>
      <c r="AP5" s="240">
        <v>0</v>
      </c>
      <c r="AQ5" s="240">
        <v>0</v>
      </c>
      <c r="AR5" s="240">
        <v>0</v>
      </c>
      <c r="AS5" s="240">
        <v>0</v>
      </c>
      <c r="AT5" s="240">
        <v>0</v>
      </c>
      <c r="AU5" s="240">
        <v>0</v>
      </c>
      <c r="AV5" s="240">
        <f ca="1">SUMIFS('Tổng Đơn'!$F:$F,'Tổng Đơn'!$B:$B,$C5)</f>
        <v>0</v>
      </c>
      <c r="AW5" s="59">
        <v>0</v>
      </c>
      <c r="AX5" s="59">
        <f>AW5*G5</f>
        <v>0</v>
      </c>
    </row>
    <row r="6" spans="1:50" ht="25.5" customHeight="1" x14ac:dyDescent="0.25">
      <c r="A6" s="59">
        <f t="shared" ref="A6:A14" ca="1" si="3">J6*O6</f>
        <v>2458.2442903752039</v>
      </c>
      <c r="B6" s="6">
        <v>2</v>
      </c>
      <c r="C6" s="61" t="s">
        <v>304</v>
      </c>
      <c r="D6" s="69">
        <v>110</v>
      </c>
      <c r="E6" s="62">
        <v>1.5</v>
      </c>
      <c r="F6" s="62">
        <f>15+20</f>
        <v>35</v>
      </c>
      <c r="G6" s="63">
        <v>110</v>
      </c>
      <c r="H6" s="142">
        <f t="shared" si="1"/>
        <v>3850</v>
      </c>
      <c r="I6" s="143">
        <f t="shared" ref="I6:I13" si="4">((H6/$H$4)*$A$2)/F6</f>
        <v>1.7383768352365416</v>
      </c>
      <c r="J6" s="219">
        <f t="shared" si="2"/>
        <v>111.73837683523654</v>
      </c>
      <c r="K6" s="66">
        <f t="shared" ref="K6:K13" si="5">J6*F6</f>
        <v>3910.8431892332787</v>
      </c>
      <c r="L6" s="70">
        <v>122</v>
      </c>
      <c r="M6" s="64">
        <f t="shared" ref="M6:M14" si="6">L6*F6</f>
        <v>4270</v>
      </c>
      <c r="N6" s="64">
        <f t="shared" ref="N6:N13" ca="1" si="7">SUMPRODUCT(($Q6:$AV6)*$L6)</f>
        <v>1586</v>
      </c>
      <c r="O6" s="71">
        <f t="shared" ref="O6:O13" ca="1" si="8">F6-SUM(Q6:AV6)-P6</f>
        <v>22</v>
      </c>
      <c r="P6" s="166"/>
      <c r="Q6" s="223"/>
      <c r="R6" s="240">
        <v>0</v>
      </c>
      <c r="S6" s="240">
        <v>0</v>
      </c>
      <c r="T6" s="240">
        <v>0</v>
      </c>
      <c r="U6" s="240">
        <v>0</v>
      </c>
      <c r="V6" s="240">
        <v>0</v>
      </c>
      <c r="W6" s="240">
        <v>0</v>
      </c>
      <c r="X6" s="240">
        <v>0</v>
      </c>
      <c r="Y6" s="240">
        <v>0</v>
      </c>
      <c r="Z6" s="240">
        <v>0</v>
      </c>
      <c r="AA6" s="240">
        <v>0</v>
      </c>
      <c r="AB6" s="240">
        <v>0</v>
      </c>
      <c r="AC6" s="240">
        <v>0</v>
      </c>
      <c r="AD6" s="240">
        <v>0</v>
      </c>
      <c r="AE6" s="240">
        <v>0</v>
      </c>
      <c r="AF6" s="240">
        <v>0</v>
      </c>
      <c r="AG6" s="240">
        <v>0</v>
      </c>
      <c r="AH6" s="240">
        <v>0</v>
      </c>
      <c r="AI6" s="240">
        <v>0</v>
      </c>
      <c r="AJ6" s="240">
        <v>0</v>
      </c>
      <c r="AK6" s="240">
        <v>0</v>
      </c>
      <c r="AL6" s="240">
        <v>0</v>
      </c>
      <c r="AM6" s="240">
        <v>0</v>
      </c>
      <c r="AN6" s="240">
        <v>0</v>
      </c>
      <c r="AO6" s="240">
        <v>1</v>
      </c>
      <c r="AP6" s="240">
        <v>0</v>
      </c>
      <c r="AQ6" s="240">
        <v>10</v>
      </c>
      <c r="AR6" s="240">
        <v>0</v>
      </c>
      <c r="AS6" s="240">
        <v>2</v>
      </c>
      <c r="AT6" s="240">
        <v>0</v>
      </c>
      <c r="AU6" s="240">
        <v>0</v>
      </c>
      <c r="AV6" s="240">
        <f ca="1">SUMIFS('Tổng Đơn'!$F:$F,'Tổng Đơn'!$B:$B,$C6)</f>
        <v>0</v>
      </c>
      <c r="AW6" s="59">
        <v>0</v>
      </c>
      <c r="AX6" s="59">
        <f t="shared" ref="AX6:AX7" si="9">AW6*G6</f>
        <v>0</v>
      </c>
    </row>
    <row r="7" spans="1:50" ht="25.5" customHeight="1" x14ac:dyDescent="0.25">
      <c r="A7" s="59">
        <f t="shared" ca="1" si="3"/>
        <v>843.11684339314854</v>
      </c>
      <c r="B7" s="6">
        <v>3</v>
      </c>
      <c r="C7" s="61" t="s">
        <v>305</v>
      </c>
      <c r="D7" s="69">
        <v>83</v>
      </c>
      <c r="E7" s="62">
        <v>1</v>
      </c>
      <c r="F7" s="62">
        <f>10</f>
        <v>10</v>
      </c>
      <c r="G7" s="63">
        <v>83</v>
      </c>
      <c r="H7" s="142">
        <f t="shared" si="1"/>
        <v>830</v>
      </c>
      <c r="I7" s="143">
        <f t="shared" si="4"/>
        <v>1.311684339314845</v>
      </c>
      <c r="J7" s="219">
        <f t="shared" si="2"/>
        <v>84.311684339314851</v>
      </c>
      <c r="K7" s="66">
        <f t="shared" si="5"/>
        <v>843.11684339314854</v>
      </c>
      <c r="L7" s="70">
        <v>95</v>
      </c>
      <c r="M7" s="64">
        <f t="shared" si="6"/>
        <v>950</v>
      </c>
      <c r="N7" s="64">
        <f t="shared" ca="1" si="7"/>
        <v>0</v>
      </c>
      <c r="O7" s="71">
        <f t="shared" ca="1" si="8"/>
        <v>10</v>
      </c>
      <c r="P7" s="166"/>
      <c r="Q7" s="223"/>
      <c r="R7" s="240">
        <v>0</v>
      </c>
      <c r="S7" s="240">
        <v>0</v>
      </c>
      <c r="T7" s="240">
        <v>0</v>
      </c>
      <c r="U7" s="240">
        <v>0</v>
      </c>
      <c r="V7" s="240">
        <v>0</v>
      </c>
      <c r="W7" s="240">
        <v>0</v>
      </c>
      <c r="X7" s="240">
        <v>0</v>
      </c>
      <c r="Y7" s="240">
        <v>0</v>
      </c>
      <c r="Z7" s="240">
        <v>0</v>
      </c>
      <c r="AA7" s="240">
        <v>0</v>
      </c>
      <c r="AB7" s="240">
        <v>0</v>
      </c>
      <c r="AC7" s="240">
        <v>0</v>
      </c>
      <c r="AD7" s="240">
        <v>0</v>
      </c>
      <c r="AE7" s="240">
        <v>0</v>
      </c>
      <c r="AF7" s="240">
        <v>0</v>
      </c>
      <c r="AG7" s="240">
        <v>0</v>
      </c>
      <c r="AH7" s="240">
        <v>0</v>
      </c>
      <c r="AI7" s="240">
        <v>0</v>
      </c>
      <c r="AJ7" s="240">
        <v>0</v>
      </c>
      <c r="AK7" s="240">
        <v>0</v>
      </c>
      <c r="AL7" s="240">
        <v>0</v>
      </c>
      <c r="AM7" s="240">
        <v>0</v>
      </c>
      <c r="AN7" s="240">
        <v>0</v>
      </c>
      <c r="AO7" s="240">
        <v>0</v>
      </c>
      <c r="AP7" s="240">
        <v>0</v>
      </c>
      <c r="AQ7" s="240">
        <v>0</v>
      </c>
      <c r="AR7" s="240">
        <v>0</v>
      </c>
      <c r="AS7" s="240">
        <v>0</v>
      </c>
      <c r="AT7" s="240">
        <v>0</v>
      </c>
      <c r="AU7" s="240">
        <v>0</v>
      </c>
      <c r="AV7" s="240">
        <f ca="1">SUMIFS('Tổng Đơn'!$F:$F,'Tổng Đơn'!$B:$B,$C7)</f>
        <v>0</v>
      </c>
      <c r="AW7" s="59">
        <v>0</v>
      </c>
      <c r="AX7" s="59">
        <f t="shared" si="9"/>
        <v>0</v>
      </c>
    </row>
    <row r="8" spans="1:50" ht="25.5" customHeight="1" x14ac:dyDescent="0.25">
      <c r="A8" s="59">
        <f t="shared" ca="1" si="3"/>
        <v>941.64977569331154</v>
      </c>
      <c r="B8" s="6">
        <v>4</v>
      </c>
      <c r="C8" s="61" t="s">
        <v>319</v>
      </c>
      <c r="D8" s="69">
        <v>103</v>
      </c>
      <c r="E8" s="62">
        <v>1.2</v>
      </c>
      <c r="F8" s="62">
        <f>5+5+5</f>
        <v>15</v>
      </c>
      <c r="G8" s="63">
        <v>103</v>
      </c>
      <c r="H8" s="142">
        <f t="shared" si="1"/>
        <v>1545</v>
      </c>
      <c r="I8" s="143">
        <f t="shared" si="4"/>
        <v>1.6277528548123981</v>
      </c>
      <c r="J8" s="219">
        <f t="shared" si="2"/>
        <v>104.6277528548124</v>
      </c>
      <c r="K8" s="66">
        <f t="shared" si="5"/>
        <v>1569.4162928221861</v>
      </c>
      <c r="L8" s="70">
        <v>116</v>
      </c>
      <c r="M8" s="64">
        <f t="shared" si="6"/>
        <v>1740</v>
      </c>
      <c r="N8" s="64">
        <f t="shared" ca="1" si="7"/>
        <v>696</v>
      </c>
      <c r="O8" s="71">
        <f t="shared" ca="1" si="8"/>
        <v>9</v>
      </c>
      <c r="P8" s="166"/>
      <c r="Q8" s="223"/>
      <c r="R8" s="240">
        <v>0</v>
      </c>
      <c r="S8" s="240">
        <v>0</v>
      </c>
      <c r="T8" s="240">
        <v>0</v>
      </c>
      <c r="U8" s="240">
        <v>0</v>
      </c>
      <c r="V8" s="240">
        <v>0</v>
      </c>
      <c r="W8" s="240">
        <v>0</v>
      </c>
      <c r="X8" s="240">
        <v>0</v>
      </c>
      <c r="Y8" s="240">
        <v>0</v>
      </c>
      <c r="Z8" s="240">
        <v>0</v>
      </c>
      <c r="AA8" s="240">
        <v>0</v>
      </c>
      <c r="AB8" s="240">
        <v>0</v>
      </c>
      <c r="AC8" s="240">
        <v>0</v>
      </c>
      <c r="AD8" s="240">
        <v>0</v>
      </c>
      <c r="AE8" s="240">
        <v>0</v>
      </c>
      <c r="AF8" s="240">
        <v>0</v>
      </c>
      <c r="AG8" s="240">
        <v>0</v>
      </c>
      <c r="AH8" s="240">
        <v>0</v>
      </c>
      <c r="AI8" s="240">
        <v>0</v>
      </c>
      <c r="AJ8" s="240">
        <v>0</v>
      </c>
      <c r="AK8" s="240">
        <v>0</v>
      </c>
      <c r="AL8" s="240">
        <v>0</v>
      </c>
      <c r="AM8" s="240">
        <v>0</v>
      </c>
      <c r="AN8" s="240">
        <v>0</v>
      </c>
      <c r="AO8" s="240">
        <v>0</v>
      </c>
      <c r="AP8" s="240">
        <v>0</v>
      </c>
      <c r="AQ8" s="240">
        <v>5</v>
      </c>
      <c r="AR8" s="240">
        <v>1</v>
      </c>
      <c r="AS8" s="240">
        <v>0</v>
      </c>
      <c r="AT8" s="240">
        <v>0</v>
      </c>
      <c r="AU8" s="240">
        <v>0</v>
      </c>
      <c r="AV8" s="240">
        <f ca="1">SUMIFS('Tổng Đơn'!$F:$F,'Tổng Đơn'!$B:$B,$C8)</f>
        <v>0</v>
      </c>
      <c r="AW8" s="59">
        <v>0</v>
      </c>
      <c r="AX8" s="59">
        <f t="shared" ref="AX8:AX14" si="10">AW8*G8</f>
        <v>0</v>
      </c>
    </row>
    <row r="9" spans="1:50" ht="25.5" customHeight="1" x14ac:dyDescent="0.25">
      <c r="A9" s="59">
        <f t="shared" ca="1" si="3"/>
        <v>568.84991843393141</v>
      </c>
      <c r="B9" s="6">
        <v>5</v>
      </c>
      <c r="C9" s="61" t="s">
        <v>306</v>
      </c>
      <c r="D9" s="69">
        <v>80</v>
      </c>
      <c r="E9" s="62">
        <v>0.5</v>
      </c>
      <c r="F9" s="62">
        <f>5+10+8</f>
        <v>23</v>
      </c>
      <c r="G9" s="63">
        <v>40</v>
      </c>
      <c r="H9" s="142">
        <f t="shared" si="1"/>
        <v>920</v>
      </c>
      <c r="I9" s="143">
        <f t="shared" si="4"/>
        <v>0.6321370309951061</v>
      </c>
      <c r="J9" s="219">
        <f t="shared" si="2"/>
        <v>40.632137030995104</v>
      </c>
      <c r="K9" s="66">
        <f t="shared" si="5"/>
        <v>934.53915171288736</v>
      </c>
      <c r="L9" s="70">
        <v>48</v>
      </c>
      <c r="M9" s="64">
        <f t="shared" si="6"/>
        <v>1104</v>
      </c>
      <c r="N9" s="64">
        <f t="shared" ca="1" si="7"/>
        <v>432</v>
      </c>
      <c r="O9" s="71">
        <f t="shared" ca="1" si="8"/>
        <v>14</v>
      </c>
      <c r="P9" s="166"/>
      <c r="Q9" s="223"/>
      <c r="R9" s="240">
        <v>0</v>
      </c>
      <c r="S9" s="240">
        <v>0</v>
      </c>
      <c r="T9" s="240">
        <v>0</v>
      </c>
      <c r="U9" s="240">
        <v>0</v>
      </c>
      <c r="V9" s="240">
        <v>0</v>
      </c>
      <c r="W9" s="240">
        <v>0</v>
      </c>
      <c r="X9" s="240">
        <v>0</v>
      </c>
      <c r="Y9" s="240">
        <v>0</v>
      </c>
      <c r="Z9" s="240">
        <v>0</v>
      </c>
      <c r="AA9" s="240">
        <v>0</v>
      </c>
      <c r="AB9" s="240">
        <v>0</v>
      </c>
      <c r="AC9" s="240">
        <v>0</v>
      </c>
      <c r="AD9" s="240">
        <v>0</v>
      </c>
      <c r="AE9" s="240">
        <v>0</v>
      </c>
      <c r="AF9" s="240">
        <v>0</v>
      </c>
      <c r="AG9" s="240">
        <v>0</v>
      </c>
      <c r="AH9" s="240">
        <v>0</v>
      </c>
      <c r="AI9" s="240">
        <v>0</v>
      </c>
      <c r="AJ9" s="240">
        <v>0</v>
      </c>
      <c r="AK9" s="240">
        <v>0</v>
      </c>
      <c r="AL9" s="240">
        <v>0</v>
      </c>
      <c r="AM9" s="240">
        <v>0</v>
      </c>
      <c r="AN9" s="240">
        <v>0</v>
      </c>
      <c r="AO9" s="240">
        <v>0</v>
      </c>
      <c r="AP9" s="240">
        <v>0</v>
      </c>
      <c r="AQ9" s="240">
        <v>5</v>
      </c>
      <c r="AR9" s="240">
        <v>2</v>
      </c>
      <c r="AS9" s="240">
        <v>1</v>
      </c>
      <c r="AT9" s="240">
        <v>1</v>
      </c>
      <c r="AU9" s="240">
        <v>0</v>
      </c>
      <c r="AV9" s="240">
        <f ca="1">SUMIFS('Tổng Đơn'!$F:$F,'Tổng Đơn'!$B:$B,$C9)</f>
        <v>0</v>
      </c>
      <c r="AW9" s="59">
        <v>0</v>
      </c>
      <c r="AX9" s="59">
        <f t="shared" si="10"/>
        <v>0</v>
      </c>
    </row>
    <row r="10" spans="1:50" ht="25.5" customHeight="1" x14ac:dyDescent="0.25">
      <c r="A10" s="59">
        <f t="shared" ca="1" si="3"/>
        <v>621.67169657422517</v>
      </c>
      <c r="B10" s="6">
        <v>6</v>
      </c>
      <c r="C10" s="61" t="s">
        <v>307</v>
      </c>
      <c r="D10" s="69">
        <v>68</v>
      </c>
      <c r="E10" s="62">
        <v>0.5</v>
      </c>
      <c r="F10" s="62">
        <f>20</f>
        <v>20</v>
      </c>
      <c r="G10" s="63">
        <v>34</v>
      </c>
      <c r="H10" s="142">
        <f t="shared" si="1"/>
        <v>680</v>
      </c>
      <c r="I10" s="143">
        <f t="shared" si="4"/>
        <v>0.53731647634584001</v>
      </c>
      <c r="J10" s="219">
        <f t="shared" si="2"/>
        <v>34.537316476345843</v>
      </c>
      <c r="K10" s="66">
        <f t="shared" si="5"/>
        <v>690.74632952691684</v>
      </c>
      <c r="L10" s="70">
        <v>43</v>
      </c>
      <c r="M10" s="64">
        <f t="shared" si="6"/>
        <v>860</v>
      </c>
      <c r="N10" s="64">
        <f t="shared" ca="1" si="7"/>
        <v>86</v>
      </c>
      <c r="O10" s="71">
        <f t="shared" ca="1" si="8"/>
        <v>18</v>
      </c>
      <c r="P10" s="166"/>
      <c r="Q10" s="223"/>
      <c r="R10" s="240">
        <v>0</v>
      </c>
      <c r="S10" s="240">
        <v>0</v>
      </c>
      <c r="T10" s="240">
        <v>0</v>
      </c>
      <c r="U10" s="240">
        <v>0</v>
      </c>
      <c r="V10" s="240">
        <v>0</v>
      </c>
      <c r="W10" s="240">
        <v>0</v>
      </c>
      <c r="X10" s="240">
        <v>0</v>
      </c>
      <c r="Y10" s="240">
        <v>0</v>
      </c>
      <c r="Z10" s="240">
        <v>0</v>
      </c>
      <c r="AA10" s="240">
        <v>0</v>
      </c>
      <c r="AB10" s="240">
        <v>0</v>
      </c>
      <c r="AC10" s="240">
        <v>0</v>
      </c>
      <c r="AD10" s="240">
        <v>0</v>
      </c>
      <c r="AE10" s="240">
        <v>0</v>
      </c>
      <c r="AF10" s="240">
        <v>0</v>
      </c>
      <c r="AG10" s="240">
        <v>0</v>
      </c>
      <c r="AH10" s="240">
        <v>0</v>
      </c>
      <c r="AI10" s="240">
        <v>0</v>
      </c>
      <c r="AJ10" s="240">
        <v>0</v>
      </c>
      <c r="AK10" s="240">
        <v>0</v>
      </c>
      <c r="AL10" s="240">
        <v>0</v>
      </c>
      <c r="AM10" s="240">
        <v>0</v>
      </c>
      <c r="AN10" s="240">
        <v>0</v>
      </c>
      <c r="AO10" s="240">
        <v>0</v>
      </c>
      <c r="AP10" s="240">
        <v>0</v>
      </c>
      <c r="AQ10" s="240">
        <v>0</v>
      </c>
      <c r="AR10" s="240">
        <v>0</v>
      </c>
      <c r="AS10" s="240">
        <v>0</v>
      </c>
      <c r="AT10" s="240">
        <v>0</v>
      </c>
      <c r="AU10" s="240">
        <v>2</v>
      </c>
      <c r="AV10" s="240">
        <f ca="1">SUMIFS('Tổng Đơn'!$F:$F,'Tổng Đơn'!$B:$B,$C10)</f>
        <v>0</v>
      </c>
      <c r="AW10" s="59">
        <v>0</v>
      </c>
      <c r="AX10" s="59">
        <f t="shared" si="10"/>
        <v>0</v>
      </c>
    </row>
    <row r="11" spans="1:50" ht="25.5" customHeight="1" x14ac:dyDescent="0.25">
      <c r="A11" s="59">
        <f t="shared" ca="1" si="3"/>
        <v>1178.331973898858</v>
      </c>
      <c r="B11" s="6">
        <v>7</v>
      </c>
      <c r="C11" s="61" t="s">
        <v>295</v>
      </c>
      <c r="D11" s="69">
        <v>58</v>
      </c>
      <c r="E11" s="62">
        <v>1</v>
      </c>
      <c r="F11" s="62">
        <f>20+30+50</f>
        <v>100</v>
      </c>
      <c r="G11" s="63">
        <v>58</v>
      </c>
      <c r="H11" s="142">
        <f t="shared" si="1"/>
        <v>5800</v>
      </c>
      <c r="I11" s="143">
        <f t="shared" si="4"/>
        <v>0.9165986949429038</v>
      </c>
      <c r="J11" s="219">
        <f t="shared" si="2"/>
        <v>58.916598694942905</v>
      </c>
      <c r="K11" s="66">
        <f t="shared" si="5"/>
        <v>5891.6598694942904</v>
      </c>
      <c r="L11" s="70">
        <v>65</v>
      </c>
      <c r="M11" s="64">
        <f t="shared" si="6"/>
        <v>6500</v>
      </c>
      <c r="N11" s="64">
        <f t="shared" ca="1" si="7"/>
        <v>5200</v>
      </c>
      <c r="O11" s="71">
        <f t="shared" ca="1" si="8"/>
        <v>20</v>
      </c>
      <c r="P11" s="166">
        <v>0</v>
      </c>
      <c r="Q11" s="223">
        <v>15</v>
      </c>
      <c r="R11" s="240">
        <v>1</v>
      </c>
      <c r="S11" s="240">
        <v>10</v>
      </c>
      <c r="T11" s="240">
        <v>0</v>
      </c>
      <c r="U11" s="240">
        <v>0</v>
      </c>
      <c r="V11" s="240">
        <v>11</v>
      </c>
      <c r="W11" s="240">
        <v>0</v>
      </c>
      <c r="X11" s="240">
        <v>0</v>
      </c>
      <c r="Y11" s="240">
        <v>0</v>
      </c>
      <c r="Z11" s="240">
        <v>1</v>
      </c>
      <c r="AA11" s="240">
        <v>0</v>
      </c>
      <c r="AB11" s="240">
        <v>0</v>
      </c>
      <c r="AC11" s="240">
        <v>2</v>
      </c>
      <c r="AD11" s="240">
        <v>10</v>
      </c>
      <c r="AE11" s="240">
        <v>0</v>
      </c>
      <c r="AF11" s="240">
        <v>0</v>
      </c>
      <c r="AG11" s="240">
        <v>0</v>
      </c>
      <c r="AH11" s="240">
        <v>0</v>
      </c>
      <c r="AI11" s="240">
        <v>0</v>
      </c>
      <c r="AJ11" s="240">
        <v>0</v>
      </c>
      <c r="AK11" s="240">
        <v>0</v>
      </c>
      <c r="AL11" s="240">
        <v>0</v>
      </c>
      <c r="AM11" s="240">
        <v>0</v>
      </c>
      <c r="AN11" s="240">
        <v>0</v>
      </c>
      <c r="AO11" s="240">
        <v>1</v>
      </c>
      <c r="AP11" s="240">
        <v>0</v>
      </c>
      <c r="AQ11" s="240">
        <v>11</v>
      </c>
      <c r="AR11" s="240">
        <v>1</v>
      </c>
      <c r="AS11" s="240">
        <v>2</v>
      </c>
      <c r="AT11" s="240">
        <v>0</v>
      </c>
      <c r="AU11" s="240">
        <v>10</v>
      </c>
      <c r="AV11" s="240">
        <f ca="1">SUMIFS('Tổng Đơn'!$F:$F,'Tổng Đơn'!$B:$B,$C11)</f>
        <v>5</v>
      </c>
      <c r="AW11" s="59">
        <v>0</v>
      </c>
      <c r="AX11" s="59">
        <f t="shared" si="10"/>
        <v>0</v>
      </c>
    </row>
    <row r="12" spans="1:50" ht="25.5" customHeight="1" x14ac:dyDescent="0.25">
      <c r="A12" s="59">
        <f t="shared" ca="1" si="3"/>
        <v>589.165986949429</v>
      </c>
      <c r="B12" s="6">
        <v>8</v>
      </c>
      <c r="C12" s="61" t="s">
        <v>309</v>
      </c>
      <c r="D12" s="69">
        <v>58</v>
      </c>
      <c r="E12" s="62">
        <v>0.5</v>
      </c>
      <c r="F12" s="62">
        <f>24</f>
        <v>24</v>
      </c>
      <c r="G12" s="63">
        <v>29</v>
      </c>
      <c r="H12" s="142">
        <f t="shared" si="1"/>
        <v>696</v>
      </c>
      <c r="I12" s="143">
        <f t="shared" si="4"/>
        <v>0.45829934747145185</v>
      </c>
      <c r="J12" s="219">
        <f t="shared" si="2"/>
        <v>29.458299347471453</v>
      </c>
      <c r="K12" s="66">
        <f t="shared" si="5"/>
        <v>706.99918433931487</v>
      </c>
      <c r="L12" s="70">
        <v>40</v>
      </c>
      <c r="M12" s="64">
        <f t="shared" si="6"/>
        <v>960</v>
      </c>
      <c r="N12" s="64">
        <f t="shared" ca="1" si="7"/>
        <v>160</v>
      </c>
      <c r="O12" s="71">
        <f t="shared" ca="1" si="8"/>
        <v>20</v>
      </c>
      <c r="P12" s="166"/>
      <c r="Q12" s="223"/>
      <c r="R12" s="240">
        <v>0</v>
      </c>
      <c r="S12" s="240">
        <v>0</v>
      </c>
      <c r="T12" s="240">
        <v>0</v>
      </c>
      <c r="U12" s="240">
        <v>0</v>
      </c>
      <c r="V12" s="240">
        <v>0</v>
      </c>
      <c r="W12" s="240">
        <v>0</v>
      </c>
      <c r="X12" s="240">
        <v>0</v>
      </c>
      <c r="Y12" s="240">
        <v>0</v>
      </c>
      <c r="Z12" s="240">
        <v>0</v>
      </c>
      <c r="AA12" s="240">
        <v>0</v>
      </c>
      <c r="AB12" s="240">
        <v>0</v>
      </c>
      <c r="AC12" s="240">
        <v>0</v>
      </c>
      <c r="AD12" s="240">
        <v>0</v>
      </c>
      <c r="AE12" s="240">
        <v>0</v>
      </c>
      <c r="AF12" s="240">
        <v>0</v>
      </c>
      <c r="AG12" s="240">
        <v>0</v>
      </c>
      <c r="AH12" s="240">
        <v>0</v>
      </c>
      <c r="AI12" s="240">
        <v>0</v>
      </c>
      <c r="AJ12" s="240">
        <v>0</v>
      </c>
      <c r="AK12" s="240">
        <v>0</v>
      </c>
      <c r="AL12" s="240">
        <v>0</v>
      </c>
      <c r="AM12" s="240">
        <v>0</v>
      </c>
      <c r="AN12" s="240">
        <v>0</v>
      </c>
      <c r="AO12" s="240">
        <v>0</v>
      </c>
      <c r="AP12" s="240">
        <v>0</v>
      </c>
      <c r="AQ12" s="240">
        <v>0</v>
      </c>
      <c r="AR12" s="240">
        <v>0</v>
      </c>
      <c r="AS12" s="240">
        <v>0</v>
      </c>
      <c r="AT12" s="240">
        <v>0</v>
      </c>
      <c r="AU12" s="240">
        <v>4</v>
      </c>
      <c r="AV12" s="240">
        <f ca="1">SUMIFS('Tổng Đơn'!$F:$F,'Tổng Đơn'!$B:$B,$C12)</f>
        <v>0</v>
      </c>
      <c r="AW12" s="59">
        <v>0</v>
      </c>
      <c r="AX12" s="59">
        <f t="shared" si="10"/>
        <v>0</v>
      </c>
    </row>
    <row r="13" spans="1:50" ht="25.5" customHeight="1" x14ac:dyDescent="0.25">
      <c r="A13" s="59">
        <f t="shared" ca="1" si="3"/>
        <v>675.50927814029365</v>
      </c>
      <c r="B13" s="6">
        <v>9</v>
      </c>
      <c r="C13" s="61" t="s">
        <v>308</v>
      </c>
      <c r="D13" s="69">
        <v>70</v>
      </c>
      <c r="E13" s="62">
        <v>0.5</v>
      </c>
      <c r="F13" s="62">
        <f>24</f>
        <v>24</v>
      </c>
      <c r="G13" s="63">
        <v>35</v>
      </c>
      <c r="H13" s="142">
        <f t="shared" si="1"/>
        <v>840</v>
      </c>
      <c r="I13" s="143">
        <f t="shared" si="4"/>
        <v>0.55311990212071782</v>
      </c>
      <c r="J13" s="219">
        <f t="shared" si="2"/>
        <v>35.55311990212072</v>
      </c>
      <c r="K13" s="66">
        <f t="shared" si="5"/>
        <v>853.27487765089722</v>
      </c>
      <c r="L13" s="70">
        <v>42</v>
      </c>
      <c r="M13" s="64">
        <f t="shared" si="6"/>
        <v>1008</v>
      </c>
      <c r="N13" s="64">
        <f t="shared" ca="1" si="7"/>
        <v>210</v>
      </c>
      <c r="O13" s="71">
        <f t="shared" ca="1" si="8"/>
        <v>19</v>
      </c>
      <c r="P13" s="166"/>
      <c r="Q13" s="223"/>
      <c r="R13" s="240">
        <v>0</v>
      </c>
      <c r="S13" s="240">
        <v>0</v>
      </c>
      <c r="T13" s="240">
        <v>0</v>
      </c>
      <c r="U13" s="240">
        <v>0</v>
      </c>
      <c r="V13" s="240">
        <v>0</v>
      </c>
      <c r="W13" s="240">
        <v>0</v>
      </c>
      <c r="X13" s="240">
        <v>0</v>
      </c>
      <c r="Y13" s="240">
        <v>0</v>
      </c>
      <c r="Z13" s="240">
        <v>0</v>
      </c>
      <c r="AA13" s="240">
        <v>0</v>
      </c>
      <c r="AB13" s="240">
        <v>0</v>
      </c>
      <c r="AC13" s="240">
        <v>0</v>
      </c>
      <c r="AD13" s="240">
        <v>0</v>
      </c>
      <c r="AE13" s="240">
        <v>0</v>
      </c>
      <c r="AF13" s="240">
        <v>0</v>
      </c>
      <c r="AG13" s="240">
        <v>0</v>
      </c>
      <c r="AH13" s="240">
        <v>0</v>
      </c>
      <c r="AI13" s="240">
        <v>0</v>
      </c>
      <c r="AJ13" s="240">
        <v>0</v>
      </c>
      <c r="AK13" s="240">
        <v>0</v>
      </c>
      <c r="AL13" s="240">
        <v>0</v>
      </c>
      <c r="AM13" s="240">
        <v>0</v>
      </c>
      <c r="AN13" s="240">
        <v>0</v>
      </c>
      <c r="AO13" s="240">
        <v>0</v>
      </c>
      <c r="AP13" s="240">
        <v>0</v>
      </c>
      <c r="AQ13" s="240">
        <v>0</v>
      </c>
      <c r="AR13" s="240">
        <v>0</v>
      </c>
      <c r="AS13" s="240">
        <v>0</v>
      </c>
      <c r="AT13" s="240">
        <v>0</v>
      </c>
      <c r="AU13" s="240">
        <v>5</v>
      </c>
      <c r="AV13" s="240">
        <f ca="1">SUMIFS('Tổng Đơn'!$F:$F,'Tổng Đơn'!$B:$B,$C13)</f>
        <v>0</v>
      </c>
      <c r="AW13" s="59">
        <v>0</v>
      </c>
      <c r="AX13" s="59">
        <f t="shared" si="10"/>
        <v>0</v>
      </c>
    </row>
    <row r="14" spans="1:50" ht="25.5" customHeight="1" x14ac:dyDescent="0.25">
      <c r="A14" s="59">
        <f t="shared" ca="1" si="3"/>
        <v>2864.5555555555552</v>
      </c>
      <c r="B14" s="6">
        <v>10</v>
      </c>
      <c r="C14" s="61" t="s">
        <v>215</v>
      </c>
      <c r="D14" s="69">
        <v>195</v>
      </c>
      <c r="E14" s="62">
        <v>0.5</v>
      </c>
      <c r="F14" s="62">
        <f>60+60+60</f>
        <v>180</v>
      </c>
      <c r="G14" s="63">
        <f>D14/(1/E14)</f>
        <v>97.5</v>
      </c>
      <c r="H14" s="142">
        <f>G14*F14</f>
        <v>17550</v>
      </c>
      <c r="I14" s="143">
        <f>((H14/$H$2)*$B$2)/F14</f>
        <v>1.2777777777777777</v>
      </c>
      <c r="J14" s="219">
        <f>G14+I14</f>
        <v>98.777777777777771</v>
      </c>
      <c r="K14" s="66">
        <f>J14*F14</f>
        <v>17780</v>
      </c>
      <c r="L14" s="70">
        <v>105</v>
      </c>
      <c r="M14" s="64">
        <f t="shared" si="6"/>
        <v>18900</v>
      </c>
      <c r="N14" s="64">
        <f ca="1">SUMPRODUCT(($Q14:$AV14)*$L14)</f>
        <v>15750</v>
      </c>
      <c r="O14" s="138">
        <f ca="1">F14-SUM(Q14:AV14)-P14</f>
        <v>29</v>
      </c>
      <c r="P14" s="166">
        <v>1</v>
      </c>
      <c r="Q14" s="223">
        <v>139.5</v>
      </c>
      <c r="R14" s="240">
        <v>0</v>
      </c>
      <c r="S14" s="240">
        <v>0</v>
      </c>
      <c r="T14" s="240">
        <v>0</v>
      </c>
      <c r="U14" s="240">
        <v>0</v>
      </c>
      <c r="V14" s="240">
        <v>0</v>
      </c>
      <c r="W14" s="240">
        <v>0.5</v>
      </c>
      <c r="X14" s="240">
        <v>0</v>
      </c>
      <c r="Y14" s="240">
        <v>1</v>
      </c>
      <c r="Z14" s="240">
        <v>0</v>
      </c>
      <c r="AA14" s="240">
        <v>0</v>
      </c>
      <c r="AB14" s="240">
        <v>0</v>
      </c>
      <c r="AC14" s="240">
        <v>0.5</v>
      </c>
      <c r="AD14" s="240">
        <v>2</v>
      </c>
      <c r="AE14" s="240">
        <v>0</v>
      </c>
      <c r="AF14" s="240">
        <v>0</v>
      </c>
      <c r="AG14" s="240">
        <v>0</v>
      </c>
      <c r="AH14" s="240">
        <v>0</v>
      </c>
      <c r="AI14" s="240">
        <v>0</v>
      </c>
      <c r="AJ14" s="240">
        <v>6</v>
      </c>
      <c r="AK14" s="240">
        <v>0</v>
      </c>
      <c r="AL14" s="240">
        <v>0</v>
      </c>
      <c r="AM14" s="240">
        <v>0</v>
      </c>
      <c r="AN14" s="240">
        <v>0</v>
      </c>
      <c r="AO14" s="240">
        <v>0</v>
      </c>
      <c r="AP14" s="240">
        <v>0</v>
      </c>
      <c r="AQ14" s="240">
        <v>0</v>
      </c>
      <c r="AR14" s="240">
        <v>0.5</v>
      </c>
      <c r="AS14" s="240">
        <v>0</v>
      </c>
      <c r="AT14" s="240">
        <v>0</v>
      </c>
      <c r="AU14" s="240">
        <v>0</v>
      </c>
      <c r="AV14" s="240">
        <f ca="1">SUMIFS('Tổng Đơn'!$F:$F,'Tổng Đơn'!$B:$B,$C14)</f>
        <v>0</v>
      </c>
      <c r="AW14" s="59">
        <v>0</v>
      </c>
      <c r="AX14" s="59">
        <f t="shared" si="10"/>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658" priority="12">
      <formula>($O14/$O14)&lt;=1/4</formula>
    </cfRule>
  </conditionalFormatting>
  <conditionalFormatting sqref="C5:C15">
    <cfRule type="expression" dxfId="65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2" t="s">
        <v>51</v>
      </c>
      <c r="C1" s="252"/>
      <c r="D1" s="252"/>
      <c r="E1" s="252"/>
      <c r="F1" s="252"/>
      <c r="G1" s="252"/>
      <c r="H1" s="252"/>
      <c r="I1" s="252"/>
      <c r="J1" s="252"/>
      <c r="K1" s="252"/>
      <c r="L1" s="252"/>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5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U5" sqref="AU5:AU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24" customHeight="1" x14ac:dyDescent="0.25">
      <c r="A2" s="1">
        <f>150+160+120+70+30+100+30+150+120+30+140+30+70+120+30+30+120+60+120+190+60+30+120+100+60+140+60+40+60+50+120+60+30+60+40+80+120+60+75+75+55+40+70+40+150+40+70+40+70+40+70+40+120+40+70+60+40+60+40+70+40+70+110+100+110+110+110+160+150+110+110+100</f>
        <v>5815</v>
      </c>
      <c r="K2" s="13"/>
      <c r="L2" s="13">
        <f>M4-K4</f>
        <v>33874.864320500987</v>
      </c>
      <c r="M2" s="8">
        <f>M4/K4-1</f>
        <v>0.15306996991475108</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298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12959.015100678927</v>
      </c>
      <c r="B4" s="16"/>
      <c r="C4" s="16"/>
      <c r="D4" s="47"/>
      <c r="E4" s="16">
        <f>SUMPRODUCT((E5:E34)*(F5:F34))</f>
        <v>3333.5</v>
      </c>
      <c r="F4" s="16">
        <f>SUBTOTAL(9,F5:F102)</f>
        <v>6392</v>
      </c>
      <c r="G4" s="7"/>
      <c r="H4" s="7">
        <f>SUBTOTAL(9,H5:H102)</f>
        <v>215487</v>
      </c>
      <c r="I4" s="12"/>
      <c r="J4" s="12"/>
      <c r="K4" s="12">
        <f>SUBTOTAL(9,K5:K102)</f>
        <v>221303.13567949901</v>
      </c>
      <c r="L4" s="48"/>
      <c r="M4" s="7">
        <f>SUBTOTAL(9,M5:M102)</f>
        <v>255178</v>
      </c>
      <c r="N4" s="7">
        <f ca="1">SUBTOTAL(9,N5:N102)</f>
        <v>238892</v>
      </c>
      <c r="O4" s="24">
        <f ca="1">SUBTOTAL(9,O5:O102)</f>
        <v>354</v>
      </c>
      <c r="P4" s="75">
        <f>SUBTOTAL(9,P5:P102)</f>
        <v>31</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si="0"/>
        <v>34</v>
      </c>
      <c r="AL4" s="25">
        <f t="shared" si="0"/>
        <v>22</v>
      </c>
      <c r="AM4" s="25">
        <f t="shared" si="0"/>
        <v>13</v>
      </c>
      <c r="AN4" s="25">
        <f t="shared" si="0"/>
        <v>12</v>
      </c>
      <c r="AO4" s="25">
        <f t="shared" si="0"/>
        <v>22</v>
      </c>
      <c r="AP4" s="25">
        <f t="shared" si="0"/>
        <v>5</v>
      </c>
      <c r="AQ4" s="25">
        <f t="shared" si="0"/>
        <v>22</v>
      </c>
      <c r="AR4" s="25">
        <f t="shared" si="0"/>
        <v>5</v>
      </c>
      <c r="AS4" s="25">
        <f t="shared" si="0"/>
        <v>10</v>
      </c>
      <c r="AT4" s="25">
        <f t="shared" si="0"/>
        <v>26</v>
      </c>
      <c r="AU4" s="25">
        <f t="shared" si="0"/>
        <v>15</v>
      </c>
      <c r="AV4" s="25">
        <f t="shared" ca="1" si="0"/>
        <v>27</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0.5734394650257324</v>
      </c>
      <c r="J5" s="66">
        <f t="shared" ref="J5:J19" si="5">G5+I5</f>
        <v>21.823439465025732</v>
      </c>
      <c r="K5" s="66">
        <f t="shared" ref="K5:K24" si="6">J5*F5</f>
        <v>10911.719732512865</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f>SUMIFS('Tổng Đơn'!$F:$F,'Tổng Đơn'!$B:$B,$C5)</f>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0.59367850496781704</v>
      </c>
      <c r="J6" s="66">
        <f t="shared" si="5"/>
        <v>22.593678504967816</v>
      </c>
      <c r="K6" s="66">
        <f t="shared" si="6"/>
        <v>1807.4942803974252</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f>SUMIFS('Tổng Đơn'!$F:$F,'Tổng Đơn'!$B:$B,$C6)</f>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0.58693215832045553</v>
      </c>
      <c r="J7" s="66">
        <f t="shared" si="5"/>
        <v>22.336932158320455</v>
      </c>
      <c r="K7" s="66">
        <f t="shared" si="6"/>
        <v>1563.5852510824318</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f ca="1">SUMIFS('Tổng Đơn'!$F:$F,'Tổng Đơn'!$B:$B,$C7)</f>
        <v>0</v>
      </c>
      <c r="AW7" s="59">
        <v>0</v>
      </c>
      <c r="AX7" s="59">
        <f t="shared" si="10"/>
        <v>0</v>
      </c>
    </row>
    <row r="8" spans="1:50" ht="18.75" x14ac:dyDescent="0.25">
      <c r="A8" s="59">
        <f t="shared" ca="1" si="1"/>
        <v>308.09561597683387</v>
      </c>
      <c r="B8" s="6">
        <v>4</v>
      </c>
      <c r="C8" s="61" t="s">
        <v>4</v>
      </c>
      <c r="D8" s="69">
        <v>60</v>
      </c>
      <c r="E8" s="6">
        <v>0.5</v>
      </c>
      <c r="F8" s="6">
        <f>160+22+12+30+10+26+10</f>
        <v>270</v>
      </c>
      <c r="G8" s="72">
        <f t="shared" si="2"/>
        <v>30</v>
      </c>
      <c r="H8" s="74">
        <f t="shared" si="3"/>
        <v>8100</v>
      </c>
      <c r="I8" s="65">
        <f t="shared" si="4"/>
        <v>0.80956159768338698</v>
      </c>
      <c r="J8" s="66">
        <f t="shared" si="5"/>
        <v>30.809561597683388</v>
      </c>
      <c r="K8" s="66">
        <f t="shared" si="6"/>
        <v>8318.5816313745145</v>
      </c>
      <c r="L8" s="73">
        <v>40</v>
      </c>
      <c r="M8" s="64">
        <f t="shared" si="7"/>
        <v>10800</v>
      </c>
      <c r="N8" s="64">
        <f t="shared" ca="1" si="8"/>
        <v>10400</v>
      </c>
      <c r="O8" s="68">
        <f t="shared" ca="1" si="9"/>
        <v>10</v>
      </c>
      <c r="P8" s="58">
        <v>0</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1</v>
      </c>
      <c r="AN8" s="61">
        <v>1</v>
      </c>
      <c r="AO8" s="61">
        <v>2</v>
      </c>
      <c r="AP8" s="61">
        <v>0</v>
      </c>
      <c r="AQ8" s="61">
        <v>0</v>
      </c>
      <c r="AR8" s="61">
        <v>0</v>
      </c>
      <c r="AS8" s="61">
        <v>1</v>
      </c>
      <c r="AT8" s="61">
        <v>0</v>
      </c>
      <c r="AU8" s="61">
        <v>0</v>
      </c>
      <c r="AV8" s="61">
        <f ca="1">SUMIFS('Tổng Đơn'!$F:$F,'Tổng Đơn'!$B:$B,$C8)</f>
        <v>0</v>
      </c>
      <c r="AW8" s="59">
        <v>0</v>
      </c>
      <c r="AX8" s="59">
        <f t="shared" si="10"/>
        <v>0</v>
      </c>
    </row>
    <row r="9" spans="1:50" ht="18.75" x14ac:dyDescent="0.25">
      <c r="A9" s="59">
        <f t="shared" ca="1" si="1"/>
        <v>1641.1226477699349</v>
      </c>
      <c r="B9" s="6">
        <v>5</v>
      </c>
      <c r="C9" s="61" t="s">
        <v>5</v>
      </c>
      <c r="D9" s="69">
        <v>68</v>
      </c>
      <c r="E9" s="6">
        <v>0.5</v>
      </c>
      <c r="F9" s="6">
        <f>285+40+50+20+50+50+40+60+92+36+30+50+20+50+40+30+50+30+20+60+5+40+30+30</f>
        <v>1208</v>
      </c>
      <c r="G9" s="72">
        <f t="shared" si="2"/>
        <v>34</v>
      </c>
      <c r="H9" s="74">
        <f t="shared" si="3"/>
        <v>41072</v>
      </c>
      <c r="I9" s="65">
        <f t="shared" si="4"/>
        <v>0.91750314404117195</v>
      </c>
      <c r="J9" s="66">
        <f t="shared" si="5"/>
        <v>34.91750314404117</v>
      </c>
      <c r="K9" s="66">
        <f t="shared" si="6"/>
        <v>42180.343798001733</v>
      </c>
      <c r="L9" s="73">
        <v>40</v>
      </c>
      <c r="M9" s="64">
        <f t="shared" si="7"/>
        <v>48320</v>
      </c>
      <c r="N9" s="64">
        <f t="shared" ca="1" si="8"/>
        <v>46400</v>
      </c>
      <c r="O9" s="68">
        <f t="shared" ca="1" si="9"/>
        <v>47</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v>11</v>
      </c>
      <c r="AL9" s="61">
        <v>1</v>
      </c>
      <c r="AM9" s="61">
        <v>6</v>
      </c>
      <c r="AN9" s="61">
        <v>0</v>
      </c>
      <c r="AO9" s="61">
        <v>2</v>
      </c>
      <c r="AP9" s="61">
        <v>0</v>
      </c>
      <c r="AQ9" s="61">
        <v>2</v>
      </c>
      <c r="AR9" s="61">
        <v>5</v>
      </c>
      <c r="AS9" s="61">
        <v>1</v>
      </c>
      <c r="AT9" s="61">
        <v>0</v>
      </c>
      <c r="AU9" s="61">
        <v>11</v>
      </c>
      <c r="AV9" s="61">
        <f ca="1">SUMIFS('Tổng Đơn'!$F:$F,'Tổng Đơn'!$B:$B,$C9)</f>
        <v>5</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1.160371623346188</v>
      </c>
      <c r="J10" s="66">
        <f t="shared" si="5"/>
        <v>44.160371623346187</v>
      </c>
      <c r="K10" s="66">
        <f t="shared" si="6"/>
        <v>3797.7919596077722</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f ca="1">SUMIFS('Tổng Đơn'!$F:$F,'Tổng Đơn'!$B:$B,$C10)</f>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0.74209813120977142</v>
      </c>
      <c r="J11" s="66">
        <f t="shared" si="5"/>
        <v>28.242098131209772</v>
      </c>
      <c r="K11" s="66">
        <f t="shared" si="6"/>
        <v>564.8419626241955</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f>SUMIFS('Tổng Đơn'!$F:$F,'Tổng Đơn'!$B:$B,$C11)</f>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1.5516597288931584</v>
      </c>
      <c r="J12" s="66">
        <f t="shared" si="5"/>
        <v>59.051659728893156</v>
      </c>
      <c r="K12" s="66">
        <f t="shared" si="6"/>
        <v>2243.9630696979398</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f ca="1">SUMIFS('Tổng Đơn'!$F:$F,'Tổng Đơn'!$B:$B,$C12)</f>
        <v>0</v>
      </c>
      <c r="AW12" s="59">
        <v>0</v>
      </c>
      <c r="AX12" s="59">
        <f t="shared" si="10"/>
        <v>0</v>
      </c>
    </row>
    <row r="13" spans="1:50" ht="18.75" x14ac:dyDescent="0.25">
      <c r="A13" s="59">
        <f t="shared" ca="1" si="1"/>
        <v>349.17503144041171</v>
      </c>
      <c r="B13" s="6">
        <v>9</v>
      </c>
      <c r="C13" s="61" t="s">
        <v>8</v>
      </c>
      <c r="D13" s="69">
        <v>85</v>
      </c>
      <c r="E13" s="6">
        <v>0.5</v>
      </c>
      <c r="F13" s="6">
        <f>190+30</f>
        <v>220</v>
      </c>
      <c r="G13" s="72">
        <f t="shared" si="2"/>
        <v>42.5</v>
      </c>
      <c r="H13" s="74">
        <f t="shared" si="3"/>
        <v>9350</v>
      </c>
      <c r="I13" s="65">
        <f t="shared" si="4"/>
        <v>1.1468789300514648</v>
      </c>
      <c r="J13" s="66">
        <f t="shared" si="5"/>
        <v>43.646878930051464</v>
      </c>
      <c r="K13" s="66">
        <f t="shared" si="6"/>
        <v>9602.313364611322</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f ca="1">SUMIFS('Tổng Đơn'!$F:$F,'Tổng Đơn'!$B:$B,$C13)</f>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0.72860543791504828</v>
      </c>
      <c r="J14" s="66">
        <f t="shared" si="5"/>
        <v>27.72860543791505</v>
      </c>
      <c r="K14" s="66">
        <f t="shared" si="6"/>
        <v>831.85816313745147</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f>SUMIFS('Tổng Đơn'!$F:$F,'Tổng Đơn'!$B:$B,$C14)</f>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0.72860543791504828</v>
      </c>
      <c r="J15" s="66">
        <f t="shared" si="5"/>
        <v>27.72860543791505</v>
      </c>
      <c r="K15" s="66">
        <f t="shared" si="6"/>
        <v>277.28605437915053</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f>SUMIFS('Tổng Đơn'!$F:$F,'Tổng Đơn'!$B:$B,$C15)</f>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0.55320042508364775</v>
      </c>
      <c r="J16" s="66">
        <f t="shared" si="5"/>
        <v>21.053200425083649</v>
      </c>
      <c r="K16" s="66">
        <f t="shared" si="6"/>
        <v>3368.5120680133837</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f>SUMIFS('Tổng Đơn'!$F:$F,'Tổng Đơn'!$B:$B,$C16)</f>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0.55320042508364775</v>
      </c>
      <c r="J17" s="66">
        <f t="shared" si="5"/>
        <v>21.053200425083649</v>
      </c>
      <c r="K17" s="66">
        <f t="shared" si="6"/>
        <v>2315.8520467592011</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f>SUMIFS('Tổng Đơn'!$F:$F,'Tổng Đơn'!$B:$B,$C17)</f>
        <v>0</v>
      </c>
      <c r="AW17" s="59">
        <v>0</v>
      </c>
      <c r="AX17" s="59">
        <f t="shared" si="10"/>
        <v>0</v>
      </c>
    </row>
    <row r="18" spans="1:50" ht="18.75" x14ac:dyDescent="0.25">
      <c r="A18" s="59">
        <f t="shared" ca="1" si="1"/>
        <v>3483.0209386181068</v>
      </c>
      <c r="B18" s="6">
        <v>14</v>
      </c>
      <c r="C18" s="61" t="s">
        <v>13</v>
      </c>
      <c r="D18" s="69">
        <v>57</v>
      </c>
      <c r="E18" s="6">
        <v>0.5</v>
      </c>
      <c r="F18" s="6">
        <f>30+46+100+40+60+50+40+100+100+70+80+100+50+60+100+100+60+40+100+70</f>
        <v>1396</v>
      </c>
      <c r="G18" s="72">
        <f>D18/2</f>
        <v>28.5</v>
      </c>
      <c r="H18" s="74">
        <f t="shared" ref="H18" si="11">G18*F18</f>
        <v>39786</v>
      </c>
      <c r="I18" s="65">
        <f t="shared" si="4"/>
        <v>0.76908351779921758</v>
      </c>
      <c r="J18" s="66">
        <f t="shared" si="5"/>
        <v>29.269083517799217</v>
      </c>
      <c r="K18" s="66">
        <f t="shared" si="6"/>
        <v>40859.64059084771</v>
      </c>
      <c r="L18" s="73">
        <v>33</v>
      </c>
      <c r="M18" s="64">
        <f t="shared" ref="M18" si="12">L18*F18</f>
        <v>46068</v>
      </c>
      <c r="N18" s="64">
        <f t="shared" ca="1" si="8"/>
        <v>42108</v>
      </c>
      <c r="O18" s="68">
        <f t="shared" ca="1" si="9"/>
        <v>119</v>
      </c>
      <c r="P18" s="58">
        <v>1</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v>20</v>
      </c>
      <c r="AL18" s="61">
        <v>13</v>
      </c>
      <c r="AM18" s="61">
        <v>5</v>
      </c>
      <c r="AN18" s="61">
        <v>10</v>
      </c>
      <c r="AO18" s="61">
        <v>12</v>
      </c>
      <c r="AP18" s="61">
        <v>5</v>
      </c>
      <c r="AQ18" s="61">
        <v>16</v>
      </c>
      <c r="AR18" s="61">
        <v>0</v>
      </c>
      <c r="AS18" s="61">
        <v>5</v>
      </c>
      <c r="AT18" s="61">
        <v>24</v>
      </c>
      <c r="AU18" s="61">
        <v>2</v>
      </c>
      <c r="AV18" s="61">
        <f ca="1">SUMIFS('Tổng Đơn'!$F:$F,'Tổng Đơn'!$B:$B,$C18)</f>
        <v>15</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0.80956159768338698</v>
      </c>
      <c r="J19" s="66">
        <f t="shared" si="5"/>
        <v>30.809561597683388</v>
      </c>
      <c r="K19" s="66">
        <f t="shared" si="6"/>
        <v>308.09561597683387</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f>SUMIFS('Tổng Đơn'!$F:$F,'Tổng Đơn'!$B:$B,$C19)</f>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0.72860543791504828</v>
      </c>
      <c r="J20" s="66">
        <f t="shared" ref="J20:J23" si="13">G20+I20</f>
        <v>27.72860543791505</v>
      </c>
      <c r="K20" s="66">
        <f t="shared" si="6"/>
        <v>277.28605437915053</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f>SUMIFS('Tổng Đơn'!$F:$F,'Tổng Đơn'!$B:$B,$C20)</f>
        <v>0</v>
      </c>
      <c r="AW20" s="59">
        <v>0</v>
      </c>
      <c r="AX20" s="59">
        <f t="shared" si="10"/>
        <v>0</v>
      </c>
    </row>
    <row r="21" spans="1:50" ht="18.75" x14ac:dyDescent="0.25">
      <c r="A21" s="59">
        <f t="shared" ca="1" si="1"/>
        <v>1464.4811612765502</v>
      </c>
      <c r="B21" s="6">
        <v>17</v>
      </c>
      <c r="C21" s="61" t="s">
        <v>248</v>
      </c>
      <c r="D21" s="69">
        <v>62</v>
      </c>
      <c r="E21" s="6">
        <v>0.5</v>
      </c>
      <c r="F21" s="6">
        <f>135+80+20+10+20+10+10+10+30+20+20</f>
        <v>365</v>
      </c>
      <c r="G21" s="72">
        <f t="shared" si="2"/>
        <v>31</v>
      </c>
      <c r="H21" s="74">
        <f t="shared" si="3"/>
        <v>11315</v>
      </c>
      <c r="I21" s="65">
        <f t="shared" si="4"/>
        <v>0.83654698427283325</v>
      </c>
      <c r="J21" s="66">
        <f t="shared" si="13"/>
        <v>31.836546984272832</v>
      </c>
      <c r="K21" s="66">
        <f t="shared" si="6"/>
        <v>11620.339649259584</v>
      </c>
      <c r="L21" s="73">
        <v>40</v>
      </c>
      <c r="M21" s="64">
        <f t="shared" si="7"/>
        <v>14600</v>
      </c>
      <c r="N21" s="64">
        <f t="shared" ca="1" si="8"/>
        <v>12760</v>
      </c>
      <c r="O21" s="68">
        <f t="shared" ca="1" si="9"/>
        <v>46</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v>0</v>
      </c>
      <c r="AL21" s="61">
        <v>2</v>
      </c>
      <c r="AM21" s="61">
        <v>0</v>
      </c>
      <c r="AN21" s="61">
        <v>1</v>
      </c>
      <c r="AO21" s="61">
        <v>0</v>
      </c>
      <c r="AP21" s="61">
        <v>0</v>
      </c>
      <c r="AQ21" s="61">
        <v>0</v>
      </c>
      <c r="AR21" s="61">
        <v>0</v>
      </c>
      <c r="AS21" s="61">
        <v>0</v>
      </c>
      <c r="AT21" s="61">
        <v>0</v>
      </c>
      <c r="AU21" s="61">
        <v>0</v>
      </c>
      <c r="AV21" s="61">
        <f ca="1">SUMIFS('Tổng Đơn'!$F:$F,'Tổng Đơn'!$B:$B,$C21)</f>
        <v>1</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0.58018581167309402</v>
      </c>
      <c r="J22" s="66">
        <f t="shared" si="13"/>
        <v>22.080185811673093</v>
      </c>
      <c r="K22" s="66">
        <f t="shared" si="6"/>
        <v>552.00464529182739</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f ca="1">SUMIFS('Tổng Đơn'!$F:$F,'Tổng Đơn'!$B:$B,$C22)</f>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0.58693215832045553</v>
      </c>
      <c r="J23" s="66">
        <f t="shared" si="13"/>
        <v>22.336932158320455</v>
      </c>
      <c r="K23" s="66">
        <f t="shared" si="6"/>
        <v>1563.5852510824318</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f>SUMIFS('Tổng Đơn'!$F:$F,'Tổng Đơn'!$B:$B,$C23)</f>
        <v>0</v>
      </c>
      <c r="AW23" s="59">
        <v>0</v>
      </c>
      <c r="AX23" s="59">
        <f t="shared" si="10"/>
        <v>0</v>
      </c>
    </row>
    <row r="24" spans="1:50" ht="18.75" x14ac:dyDescent="0.25">
      <c r="A24" s="59">
        <f t="shared" ca="1" si="1"/>
        <v>2159.2367753043109</v>
      </c>
      <c r="B24" s="6">
        <v>20</v>
      </c>
      <c r="C24" s="61" t="s">
        <v>149</v>
      </c>
      <c r="D24" s="69">
        <v>145</v>
      </c>
      <c r="E24" s="6">
        <v>0.5</v>
      </c>
      <c r="F24" s="6">
        <f>76+40+40+20+20+40+20+20+40+30+30+40+30</f>
        <v>446</v>
      </c>
      <c r="G24" s="72">
        <f t="shared" si="2"/>
        <v>72.5</v>
      </c>
      <c r="H24" s="74">
        <f t="shared" si="3"/>
        <v>32335</v>
      </c>
      <c r="I24" s="65">
        <f t="shared" si="4"/>
        <v>1.9564405277348518</v>
      </c>
      <c r="J24" s="66">
        <f>G24+I24</f>
        <v>74.456440527734856</v>
      </c>
      <c r="K24" s="66">
        <f t="shared" si="6"/>
        <v>33207.572475369743</v>
      </c>
      <c r="L24" s="73">
        <v>80</v>
      </c>
      <c r="M24" s="64">
        <f t="shared" si="7"/>
        <v>35680</v>
      </c>
      <c r="N24" s="64">
        <f t="shared" ca="1" si="8"/>
        <v>33280</v>
      </c>
      <c r="O24" s="68">
        <f t="shared" ca="1" si="9"/>
        <v>29</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v>0</v>
      </c>
      <c r="AL24" s="61">
        <v>4</v>
      </c>
      <c r="AM24" s="61">
        <v>0</v>
      </c>
      <c r="AN24" s="61">
        <v>0</v>
      </c>
      <c r="AO24" s="61">
        <v>2</v>
      </c>
      <c r="AP24" s="61">
        <v>0</v>
      </c>
      <c r="AQ24" s="61">
        <v>2</v>
      </c>
      <c r="AR24" s="61">
        <v>0</v>
      </c>
      <c r="AS24" s="61">
        <v>2</v>
      </c>
      <c r="AT24" s="61">
        <v>1</v>
      </c>
      <c r="AU24" s="61">
        <v>1</v>
      </c>
      <c r="AV24" s="61">
        <f ca="1">SUMIFS('Tổng Đơn'!$F:$F,'Tổng Đơn'!$B:$B,$C24)</f>
        <v>1</v>
      </c>
      <c r="AW24" s="59">
        <v>0</v>
      </c>
      <c r="AX24" s="59">
        <f t="shared" si="10"/>
        <v>0</v>
      </c>
    </row>
    <row r="25" spans="1:50" ht="18.75" x14ac:dyDescent="0.25">
      <c r="A25" s="59">
        <f t="shared" ca="1" si="1"/>
        <v>320.41944061590721</v>
      </c>
      <c r="B25" s="6">
        <v>21</v>
      </c>
      <c r="C25" s="61" t="s">
        <v>246</v>
      </c>
      <c r="D25" s="69">
        <v>78</v>
      </c>
      <c r="E25" s="6">
        <v>0.5</v>
      </c>
      <c r="F25" s="6">
        <f>27+20+10</f>
        <v>57</v>
      </c>
      <c r="G25" s="72">
        <f t="shared" si="2"/>
        <v>39</v>
      </c>
      <c r="H25" s="74">
        <f t="shared" si="3"/>
        <v>2223</v>
      </c>
      <c r="I25" s="65">
        <f t="shared" ref="I25:I29" si="14">((H25/$H$4)*$A$2)/F25</f>
        <v>1.0524300769884032</v>
      </c>
      <c r="J25" s="66">
        <f t="shared" ref="J25:J29" si="15">G25+I25</f>
        <v>40.052430076988401</v>
      </c>
      <c r="K25" s="66">
        <f t="shared" ref="K25:K29" si="16">J25*F25</f>
        <v>2282.9885143883389</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f ca="1">SUMIFS('Tổng Đơn'!$F:$F,'Tổng Đơn'!$B:$B,$C25)</f>
        <v>0</v>
      </c>
      <c r="AW25" s="59">
        <v>0</v>
      </c>
      <c r="AX25" s="59">
        <f t="shared" si="10"/>
        <v>0</v>
      </c>
    </row>
    <row r="26" spans="1:50" ht="18.75" x14ac:dyDescent="0.25">
      <c r="A26" s="59">
        <f t="shared" ca="1" si="1"/>
        <v>363.552826852664</v>
      </c>
      <c r="B26" s="6">
        <v>22</v>
      </c>
      <c r="C26" s="61" t="s">
        <v>155</v>
      </c>
      <c r="D26" s="69">
        <v>59</v>
      </c>
      <c r="E26" s="6">
        <v>0.5</v>
      </c>
      <c r="F26" s="6">
        <f>10+10+20</f>
        <v>40</v>
      </c>
      <c r="G26" s="72">
        <f t="shared" si="2"/>
        <v>29.5</v>
      </c>
      <c r="H26" s="74">
        <f t="shared" si="3"/>
        <v>1180</v>
      </c>
      <c r="I26" s="65">
        <f t="shared" si="14"/>
        <v>0.79606890438866373</v>
      </c>
      <c r="J26" s="66">
        <f t="shared" si="15"/>
        <v>30.296068904388665</v>
      </c>
      <c r="K26" s="66">
        <f t="shared" si="16"/>
        <v>1211.8427561755466</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f ca="1">SUMIFS('Tổng Đơn'!$F:$F,'Tổng Đơn'!$B:$B,$C26)</f>
        <v>0</v>
      </c>
      <c r="AW26" s="59">
        <v>0</v>
      </c>
      <c r="AX26" s="59">
        <f t="shared" si="10"/>
        <v>0</v>
      </c>
    </row>
    <row r="27" spans="1:50" ht="18.75" x14ac:dyDescent="0.25">
      <c r="A27" s="59">
        <f t="shared" ca="1" si="1"/>
        <v>388.20047613081067</v>
      </c>
      <c r="B27" s="6">
        <v>23</v>
      </c>
      <c r="C27" s="61" t="s">
        <v>156</v>
      </c>
      <c r="D27" s="69">
        <v>63</v>
      </c>
      <c r="E27" s="6">
        <v>0.5</v>
      </c>
      <c r="F27" s="6">
        <f>30+20+20+13+10+10+20</f>
        <v>123</v>
      </c>
      <c r="G27" s="222">
        <f t="shared" si="2"/>
        <v>31.5</v>
      </c>
      <c r="H27" s="74">
        <f t="shared" si="3"/>
        <v>3874.5</v>
      </c>
      <c r="I27" s="65">
        <f t="shared" si="14"/>
        <v>0.85003967756755638</v>
      </c>
      <c r="J27" s="66">
        <f t="shared" si="15"/>
        <v>32.350039677567558</v>
      </c>
      <c r="K27" s="66">
        <f t="shared" si="16"/>
        <v>3979.0548803408096</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v>1</v>
      </c>
      <c r="AL27" s="61">
        <v>0</v>
      </c>
      <c r="AM27" s="61">
        <v>0</v>
      </c>
      <c r="AN27" s="61">
        <v>0</v>
      </c>
      <c r="AO27" s="61">
        <v>0</v>
      </c>
      <c r="AP27" s="61">
        <v>0</v>
      </c>
      <c r="AQ27" s="61">
        <v>0</v>
      </c>
      <c r="AR27" s="61">
        <v>0</v>
      </c>
      <c r="AS27" s="61">
        <v>0</v>
      </c>
      <c r="AT27" s="61">
        <v>0</v>
      </c>
      <c r="AU27" s="61">
        <v>0</v>
      </c>
      <c r="AV27" s="61">
        <f ca="1">SUMIFS('Tổng Đơn'!$F:$F,'Tổng Đơn'!$B:$B,$C27)</f>
        <v>0</v>
      </c>
      <c r="AW27" s="59">
        <v>0</v>
      </c>
      <c r="AX27" s="59">
        <f t="shared" si="10"/>
        <v>0</v>
      </c>
    </row>
    <row r="28" spans="1:50" ht="18.75" x14ac:dyDescent="0.25">
      <c r="A28" s="59">
        <f t="shared" ca="1" si="1"/>
        <v>1658.5813993419556</v>
      </c>
      <c r="B28" s="6">
        <v>24</v>
      </c>
      <c r="C28" s="61" t="s">
        <v>178</v>
      </c>
      <c r="D28" s="69">
        <v>85</v>
      </c>
      <c r="E28" s="6">
        <v>0.5</v>
      </c>
      <c r="F28" s="6">
        <f>50+40+40+30+20+20+20</f>
        <v>220</v>
      </c>
      <c r="G28" s="221">
        <f>D28/(1/E28)</f>
        <v>42.5</v>
      </c>
      <c r="H28" s="74">
        <f t="shared" si="3"/>
        <v>9350</v>
      </c>
      <c r="I28" s="65">
        <f t="shared" si="14"/>
        <v>1.1468789300514648</v>
      </c>
      <c r="J28" s="66">
        <f t="shared" si="15"/>
        <v>43.646878930051464</v>
      </c>
      <c r="K28" s="66">
        <f t="shared" si="16"/>
        <v>9602.313364611322</v>
      </c>
      <c r="L28" s="73">
        <v>47</v>
      </c>
      <c r="M28" s="64">
        <f t="shared" si="7"/>
        <v>10340</v>
      </c>
      <c r="N28" s="64">
        <f t="shared" ca="1" si="8"/>
        <v>8507</v>
      </c>
      <c r="O28" s="68">
        <f t="shared" ca="1" si="9"/>
        <v>38</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v>0</v>
      </c>
      <c r="AL28" s="61">
        <v>0</v>
      </c>
      <c r="AM28" s="61">
        <v>0</v>
      </c>
      <c r="AN28" s="61">
        <v>0</v>
      </c>
      <c r="AO28" s="61">
        <v>3</v>
      </c>
      <c r="AP28" s="61">
        <v>0</v>
      </c>
      <c r="AQ28" s="61">
        <v>1</v>
      </c>
      <c r="AR28" s="61">
        <v>0</v>
      </c>
      <c r="AS28" s="61">
        <v>0</v>
      </c>
      <c r="AT28" s="61">
        <v>0</v>
      </c>
      <c r="AU28" s="61">
        <v>0</v>
      </c>
      <c r="AV28" s="61">
        <f ca="1">SUMIFS('Tổng Đơn'!$F:$F,'Tổng Đơn'!$B:$B,$C28)</f>
        <v>5</v>
      </c>
      <c r="AW28" s="59">
        <v>0</v>
      </c>
      <c r="AX28" s="59">
        <f t="shared" si="10"/>
        <v>0</v>
      </c>
    </row>
    <row r="29" spans="1:50" ht="18.75" x14ac:dyDescent="0.25">
      <c r="A29" s="59">
        <f t="shared" ca="1" si="1"/>
        <v>134.02159294992273</v>
      </c>
      <c r="B29" s="6">
        <v>25</v>
      </c>
      <c r="C29" s="61" t="s">
        <v>181</v>
      </c>
      <c r="D29" s="69">
        <v>87</v>
      </c>
      <c r="E29" s="6">
        <v>0.5</v>
      </c>
      <c r="F29" s="6">
        <v>20</v>
      </c>
      <c r="G29" s="72">
        <f>D29/2</f>
        <v>43.5</v>
      </c>
      <c r="H29" s="74">
        <f t="shared" si="3"/>
        <v>870</v>
      </c>
      <c r="I29" s="65">
        <f t="shared" si="14"/>
        <v>1.1738643166409111</v>
      </c>
      <c r="J29" s="66">
        <f t="shared" si="15"/>
        <v>44.673864316640909</v>
      </c>
      <c r="K29" s="66">
        <f t="shared" si="16"/>
        <v>893.47728633281815</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1</v>
      </c>
      <c r="AL29" s="61">
        <v>0</v>
      </c>
      <c r="AM29" s="61">
        <v>0</v>
      </c>
      <c r="AN29" s="61">
        <v>0</v>
      </c>
      <c r="AO29" s="61">
        <v>0</v>
      </c>
      <c r="AP29" s="61">
        <v>0</v>
      </c>
      <c r="AQ29" s="61">
        <v>0</v>
      </c>
      <c r="AR29" s="61">
        <v>0</v>
      </c>
      <c r="AS29" s="61">
        <v>0</v>
      </c>
      <c r="AT29" s="61">
        <v>0</v>
      </c>
      <c r="AU29" s="61">
        <v>0</v>
      </c>
      <c r="AV29" s="61">
        <f ca="1">SUMIFS('Tổng Đơn'!$F:$F,'Tổng Đơn'!$B:$B,$C29)</f>
        <v>0</v>
      </c>
      <c r="AW29" s="59">
        <v>0</v>
      </c>
      <c r="AX29" s="59">
        <f t="shared" si="10"/>
        <v>0</v>
      </c>
    </row>
    <row r="30" spans="1:50" ht="18.75" x14ac:dyDescent="0.25">
      <c r="A30" s="59">
        <f t="shared" ca="1" si="1"/>
        <v>689.10719440151843</v>
      </c>
      <c r="B30" s="6">
        <v>26</v>
      </c>
      <c r="C30" s="61" t="s">
        <v>280</v>
      </c>
      <c r="D30" s="69">
        <v>61</v>
      </c>
      <c r="E30" s="6">
        <v>0.5</v>
      </c>
      <c r="F30" s="6">
        <f>20+40</f>
        <v>60</v>
      </c>
      <c r="G30" s="72">
        <f>D30/2</f>
        <v>30.5</v>
      </c>
      <c r="H30" s="74">
        <f t="shared" ref="H30" si="17">G30*F30</f>
        <v>1830</v>
      </c>
      <c r="I30" s="65">
        <f t="shared" ref="I30" si="18">((H30/$H$4)*$A$2)/F30</f>
        <v>0.82305429097811011</v>
      </c>
      <c r="J30" s="66">
        <f t="shared" ref="J30" si="19">G30+I30</f>
        <v>31.32305429097811</v>
      </c>
      <c r="K30" s="66">
        <f t="shared" ref="K30" si="20">J30*F30</f>
        <v>1879.3832574586866</v>
      </c>
      <c r="L30" s="73">
        <v>35</v>
      </c>
      <c r="M30" s="64">
        <f t="shared" si="7"/>
        <v>2100</v>
      </c>
      <c r="N30" s="64">
        <f t="shared" ca="1" si="8"/>
        <v>1330</v>
      </c>
      <c r="O30" s="68">
        <f t="shared" ca="1" si="9"/>
        <v>22</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v>1</v>
      </c>
      <c r="AL30" s="61">
        <v>2</v>
      </c>
      <c r="AM30" s="61">
        <v>1</v>
      </c>
      <c r="AN30" s="61">
        <v>0</v>
      </c>
      <c r="AO30" s="61">
        <v>1</v>
      </c>
      <c r="AP30" s="61">
        <v>0</v>
      </c>
      <c r="AQ30" s="61">
        <v>1</v>
      </c>
      <c r="AR30" s="61">
        <v>0</v>
      </c>
      <c r="AS30" s="61">
        <v>1</v>
      </c>
      <c r="AT30" s="61">
        <v>1</v>
      </c>
      <c r="AU30" s="61">
        <v>1</v>
      </c>
      <c r="AV30" s="61">
        <f ca="1">SUMIFS('Tổng Đơn'!$F:$F,'Tổng Đơn'!$B:$B,$C30)</f>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655" priority="25">
      <formula>($O6/$O6)&lt;=1/4</formula>
    </cfRule>
  </conditionalFormatting>
  <conditionalFormatting sqref="C20">
    <cfRule type="expression" dxfId="654" priority="24">
      <formula>($O20/$O20)&lt;=1/4</formula>
    </cfRule>
  </conditionalFormatting>
  <conditionalFormatting sqref="C21">
    <cfRule type="expression" dxfId="653" priority="22">
      <formula>($O21/$O21)&lt;=1/4</formula>
    </cfRule>
  </conditionalFormatting>
  <conditionalFormatting sqref="C22">
    <cfRule type="expression" dxfId="652" priority="20">
      <formula>($O22/$O22)&lt;=1/4</formula>
    </cfRule>
  </conditionalFormatting>
  <conditionalFormatting sqref="C23">
    <cfRule type="expression" dxfId="651" priority="18">
      <formula>($O23/$O23)&lt;=1/4</formula>
    </cfRule>
  </conditionalFormatting>
  <conditionalFormatting sqref="C25">
    <cfRule type="expression" dxfId="650" priority="14">
      <formula>($O25/$O25)&lt;=1/4</formula>
    </cfRule>
  </conditionalFormatting>
  <conditionalFormatting sqref="C26:C27">
    <cfRule type="expression" dxfId="649" priority="12">
      <formula>($O26/$O26)&lt;=1/4</formula>
    </cfRule>
  </conditionalFormatting>
  <conditionalFormatting sqref="C28">
    <cfRule type="expression" dxfId="648" priority="9">
      <formula>($O28/$O28)&lt;=1/4</formula>
    </cfRule>
  </conditionalFormatting>
  <conditionalFormatting sqref="C29:C31">
    <cfRule type="expression" dxfId="647" priority="7">
      <formula>($O29/$O29)&lt;=1/4</formula>
    </cfRule>
  </conditionalFormatting>
  <conditionalFormatting sqref="C5:C31">
    <cfRule type="expression" dxfId="64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T20" activePane="bottomRight" state="frozen"/>
      <selection activeCell="A2" sqref="A2"/>
      <selection pane="topRight" activeCell="R2" sqref="R2"/>
      <selection pane="bottomLeft" activeCell="A5" sqref="A5"/>
      <selection pane="bottomRight" activeCell="AW5" sqref="AW5:AW6"/>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34.5" customHeight="1" x14ac:dyDescent="0.25">
      <c r="A2" s="1">
        <f>370+100+80+150+170+60+300+200+40+180+50+100+30+60+30+160+60+70+70+30+50+60+40+20+90+40+30+70+40+20+60+50+60+20+20+40+60+60+60+140+40+80+40</f>
        <v>3500</v>
      </c>
      <c r="F2" s="13">
        <f>SUMPRODUCT((E5:E18)*(F5:F18))</f>
        <v>1219.5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298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20452.79567272912</v>
      </c>
      <c r="B4" s="16"/>
      <c r="C4" s="16"/>
      <c r="D4" s="47"/>
      <c r="E4" s="16">
        <f>SUMPRODUCT((E5:E27)*(F5:F27))</f>
        <v>2152.1999999999998</v>
      </c>
      <c r="F4" s="16">
        <f>SUBTOTAL(9,F5:F27)</f>
        <v>4720</v>
      </c>
      <c r="G4" s="7"/>
      <c r="H4" s="7">
        <f>SUBTOTAL(9,H5:H27)+H2</f>
        <v>155142.78947368421</v>
      </c>
      <c r="I4" s="12"/>
      <c r="J4" s="12"/>
      <c r="K4" s="12">
        <f>SUBTOTAL(9,K5:K27)+K2</f>
        <v>158642.73744015276</v>
      </c>
      <c r="L4" s="48"/>
      <c r="M4" s="7">
        <f>SUBTOTAL(9,M5:M27)+M2</f>
        <v>186756</v>
      </c>
      <c r="N4" s="7">
        <f ca="1">SUBTOTAL(9,N5:N27)+N2</f>
        <v>162310</v>
      </c>
      <c r="O4" s="49">
        <f ca="1">SUBTOTAL(9,O5:O27)</f>
        <v>545</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si="1"/>
        <v>7</v>
      </c>
      <c r="AL4" s="25">
        <f t="shared" si="1"/>
        <v>26</v>
      </c>
      <c r="AM4" s="25">
        <f t="shared" si="1"/>
        <v>21</v>
      </c>
      <c r="AN4" s="25">
        <f t="shared" si="1"/>
        <v>17</v>
      </c>
      <c r="AO4" s="25">
        <f t="shared" si="1"/>
        <v>26</v>
      </c>
      <c r="AP4" s="25">
        <f t="shared" si="1"/>
        <v>0</v>
      </c>
      <c r="AQ4" s="25">
        <f t="shared" si="1"/>
        <v>11</v>
      </c>
      <c r="AR4" s="25">
        <f t="shared" si="1"/>
        <v>0</v>
      </c>
      <c r="AS4" s="25">
        <f t="shared" si="1"/>
        <v>12</v>
      </c>
      <c r="AT4" s="25">
        <f t="shared" si="1"/>
        <v>17</v>
      </c>
      <c r="AU4" s="25">
        <f t="shared" si="1"/>
        <v>4</v>
      </c>
      <c r="AV4" s="25">
        <f t="shared" ca="1" si="1"/>
        <v>3</v>
      </c>
      <c r="AW4" s="41" t="str">
        <f>SUMPRODUCT(($AW$5:$AW$24)*($E$5:$E$24))&amp;" Kg"</f>
        <v>0 Kg</v>
      </c>
      <c r="AX4" s="78">
        <f>SUBTOTAL(9,AX5:AX24)</f>
        <v>0</v>
      </c>
    </row>
    <row r="5" spans="1:50" ht="18.75" x14ac:dyDescent="0.25">
      <c r="A5" s="59">
        <f t="shared" ref="A5:A25" ca="1" si="2">J5*O5</f>
        <v>1739.374326130122</v>
      </c>
      <c r="B5" s="6">
        <v>1</v>
      </c>
      <c r="C5" s="61" t="s">
        <v>139</v>
      </c>
      <c r="D5" s="69">
        <f>G5*2</f>
        <v>63</v>
      </c>
      <c r="E5" s="62">
        <v>0.5</v>
      </c>
      <c r="F5" s="113">
        <f>160+41+55+72+72+48+24+120+24+24+24+48+24</f>
        <v>736</v>
      </c>
      <c r="G5" s="63">
        <v>31.5</v>
      </c>
      <c r="H5" s="64">
        <f t="shared" ref="H5:H19" si="3">G5*F5</f>
        <v>23184</v>
      </c>
      <c r="I5" s="65">
        <f t="shared" ref="I5:I19" si="4">((H5/$H$4)*$A$2)/F5</f>
        <v>0.71063566907633136</v>
      </c>
      <c r="J5" s="139">
        <f t="shared" ref="J5:J17" si="5">G5+I5</f>
        <v>32.210635669076332</v>
      </c>
      <c r="K5" s="66">
        <f>J5*F5</f>
        <v>23707.02785244018</v>
      </c>
      <c r="L5" s="70">
        <v>45</v>
      </c>
      <c r="M5" s="64">
        <f t="shared" ref="M5:M18" si="6">L5*F5</f>
        <v>33120</v>
      </c>
      <c r="N5" s="64">
        <f t="shared" ref="N5:N25" ca="1" si="7">SUMPRODUCT(($Q5:$AV5)*$L5)</f>
        <v>30600</v>
      </c>
      <c r="O5" s="71">
        <f t="shared" ref="O5:O25" ca="1" si="8">F5-SUM(Q5:AV5)-P5</f>
        <v>54</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v>1</v>
      </c>
      <c r="AL5" s="22">
        <v>1</v>
      </c>
      <c r="AM5" s="22">
        <v>9</v>
      </c>
      <c r="AN5" s="22">
        <v>1</v>
      </c>
      <c r="AO5" s="22">
        <v>1</v>
      </c>
      <c r="AP5" s="22">
        <v>0</v>
      </c>
      <c r="AQ5" s="22">
        <v>0</v>
      </c>
      <c r="AR5" s="22">
        <v>0</v>
      </c>
      <c r="AS5" s="22">
        <v>3</v>
      </c>
      <c r="AT5" s="22">
        <v>5</v>
      </c>
      <c r="AU5" s="22">
        <v>2</v>
      </c>
      <c r="AV5" s="22">
        <f ca="1">SUMIFS('Tổng Đơn'!$F:$F,'Tổng Đơn'!$B:$B,$C5)</f>
        <v>0</v>
      </c>
      <c r="AW5" s="59">
        <v>0</v>
      </c>
      <c r="AX5" s="59">
        <f t="shared" ref="AX5:AX25" si="9">AW5*G5</f>
        <v>0</v>
      </c>
    </row>
    <row r="6" spans="1:50" ht="18.75" x14ac:dyDescent="0.25">
      <c r="A6" s="59">
        <f t="shared" ca="1" si="2"/>
        <v>2153.5110704468175</v>
      </c>
      <c r="B6" s="6">
        <v>2</v>
      </c>
      <c r="C6" s="61" t="s">
        <v>249</v>
      </c>
      <c r="D6" s="69">
        <f t="shared" ref="D6:D11" si="10">G6*2</f>
        <v>81</v>
      </c>
      <c r="E6" s="62">
        <v>0.5</v>
      </c>
      <c r="F6" s="113">
        <f>20+60+20+20+20+20+20+20+20+40</f>
        <v>260</v>
      </c>
      <c r="G6" s="63">
        <v>40.5</v>
      </c>
      <c r="H6" s="64">
        <f t="shared" si="3"/>
        <v>10530</v>
      </c>
      <c r="I6" s="65">
        <f t="shared" si="4"/>
        <v>0.91367443166956885</v>
      </c>
      <c r="J6" s="139">
        <f t="shared" si="5"/>
        <v>41.41367443166957</v>
      </c>
      <c r="K6" s="66">
        <f t="shared" ref="K6:K17" si="11">J6*F6</f>
        <v>10767.555352234089</v>
      </c>
      <c r="L6" s="70">
        <v>46</v>
      </c>
      <c r="M6" s="64">
        <f t="shared" si="6"/>
        <v>11960</v>
      </c>
      <c r="N6" s="64">
        <f t="shared" ca="1" si="7"/>
        <v>9522</v>
      </c>
      <c r="O6" s="71">
        <f t="shared" ca="1" si="8"/>
        <v>52</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v>0</v>
      </c>
      <c r="AL6" s="22">
        <v>0</v>
      </c>
      <c r="AM6" s="22">
        <v>10</v>
      </c>
      <c r="AN6" s="22">
        <v>1</v>
      </c>
      <c r="AO6" s="22">
        <v>6</v>
      </c>
      <c r="AP6" s="22">
        <v>0</v>
      </c>
      <c r="AQ6" s="22">
        <v>1</v>
      </c>
      <c r="AR6" s="22">
        <v>0</v>
      </c>
      <c r="AS6" s="22">
        <v>0</v>
      </c>
      <c r="AT6" s="22">
        <v>0</v>
      </c>
      <c r="AU6" s="22">
        <v>0</v>
      </c>
      <c r="AV6" s="22">
        <f ca="1">SUMIFS('Tổng Đơn'!$F:$F,'Tổng Đơn'!$B:$B,$C6)</f>
        <v>0</v>
      </c>
      <c r="AW6" s="59">
        <v>0</v>
      </c>
      <c r="AX6" s="59">
        <f t="shared" si="9"/>
        <v>0</v>
      </c>
    </row>
    <row r="7" spans="1:50" ht="18.75" x14ac:dyDescent="0.25">
      <c r="A7" s="59">
        <f t="shared" ca="1" si="2"/>
        <v>1761.3593631740944</v>
      </c>
      <c r="B7" s="6">
        <v>3</v>
      </c>
      <c r="C7" s="61" t="s">
        <v>27</v>
      </c>
      <c r="D7" s="69">
        <f t="shared" si="10"/>
        <v>65</v>
      </c>
      <c r="E7" s="62">
        <v>0.5</v>
      </c>
      <c r="F7" s="113">
        <f>120+40+40+40+40</f>
        <v>280</v>
      </c>
      <c r="G7" s="63">
        <v>32.5</v>
      </c>
      <c r="H7" s="64">
        <f t="shared" si="3"/>
        <v>9100</v>
      </c>
      <c r="I7" s="65">
        <f t="shared" si="4"/>
        <v>0.73319553158669104</v>
      </c>
      <c r="J7" s="139">
        <f t="shared" si="5"/>
        <v>33.233195531586688</v>
      </c>
      <c r="K7" s="66">
        <f t="shared" si="11"/>
        <v>9305.2947488442733</v>
      </c>
      <c r="L7" s="70">
        <v>38</v>
      </c>
      <c r="M7" s="64">
        <f t="shared" si="6"/>
        <v>10640</v>
      </c>
      <c r="N7" s="64">
        <f t="shared" ca="1" si="7"/>
        <v>8550</v>
      </c>
      <c r="O7" s="71">
        <f t="shared" ca="1" si="8"/>
        <v>53</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v>0</v>
      </c>
      <c r="AL7" s="22">
        <v>0</v>
      </c>
      <c r="AM7" s="22">
        <v>1</v>
      </c>
      <c r="AN7" s="22">
        <v>0</v>
      </c>
      <c r="AO7" s="22">
        <v>2</v>
      </c>
      <c r="AP7" s="22">
        <v>0</v>
      </c>
      <c r="AQ7" s="22">
        <v>0</v>
      </c>
      <c r="AR7" s="22">
        <v>0</v>
      </c>
      <c r="AS7" s="22">
        <v>0</v>
      </c>
      <c r="AT7" s="22">
        <v>0</v>
      </c>
      <c r="AU7" s="22">
        <v>0</v>
      </c>
      <c r="AV7" s="22">
        <f ca="1">SUMIFS('Tổng Đơn'!$F:$F,'Tổng Đơn'!$B:$B,$C7)</f>
        <v>0</v>
      </c>
      <c r="AW7" s="59">
        <v>0</v>
      </c>
      <c r="AX7" s="59">
        <f t="shared" si="9"/>
        <v>0</v>
      </c>
    </row>
    <row r="8" spans="1:50" ht="18.75" x14ac:dyDescent="0.25">
      <c r="A8" s="59">
        <f t="shared" ca="1" si="2"/>
        <v>1145.2670460116028</v>
      </c>
      <c r="B8" s="6">
        <v>4</v>
      </c>
      <c r="C8" s="61" t="s">
        <v>26</v>
      </c>
      <c r="D8" s="69">
        <f t="shared" si="10"/>
        <v>80</v>
      </c>
      <c r="E8" s="62">
        <v>0.5</v>
      </c>
      <c r="F8" s="113">
        <f>70+30+20+30+20+20+20+30+10+10+20+20+30+30+20+10+10+10+20+30+40</f>
        <v>500</v>
      </c>
      <c r="G8" s="63">
        <v>40</v>
      </c>
      <c r="H8" s="64">
        <f t="shared" si="3"/>
        <v>20000</v>
      </c>
      <c r="I8" s="65">
        <f t="shared" si="4"/>
        <v>0.90239450041438907</v>
      </c>
      <c r="J8" s="139">
        <f t="shared" si="5"/>
        <v>40.902394500414388</v>
      </c>
      <c r="K8" s="66">
        <f t="shared" si="11"/>
        <v>20451.197250207195</v>
      </c>
      <c r="L8" s="70">
        <v>45</v>
      </c>
      <c r="M8" s="64">
        <f t="shared" si="6"/>
        <v>22500</v>
      </c>
      <c r="N8" s="64">
        <f t="shared" ca="1" si="7"/>
        <v>21195</v>
      </c>
      <c r="O8" s="71">
        <f t="shared" ca="1" si="8"/>
        <v>28</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v>2</v>
      </c>
      <c r="AL8" s="22">
        <v>12</v>
      </c>
      <c r="AM8" s="22">
        <v>1</v>
      </c>
      <c r="AN8" s="22">
        <v>2</v>
      </c>
      <c r="AO8" s="22">
        <v>11</v>
      </c>
      <c r="AP8" s="22">
        <v>0</v>
      </c>
      <c r="AQ8" s="22">
        <v>0</v>
      </c>
      <c r="AR8" s="22">
        <v>0</v>
      </c>
      <c r="AS8" s="22">
        <v>1</v>
      </c>
      <c r="AT8" s="22">
        <v>1</v>
      </c>
      <c r="AU8" s="22">
        <v>0</v>
      </c>
      <c r="AV8" s="22">
        <f ca="1">SUMIFS('Tổng Đơn'!$F:$F,'Tổng Đơn'!$B:$B,$C8)</f>
        <v>1</v>
      </c>
      <c r="AW8" s="59">
        <v>0</v>
      </c>
      <c r="AX8" s="59">
        <f t="shared" si="9"/>
        <v>0</v>
      </c>
    </row>
    <row r="9" spans="1:50" ht="18.75" x14ac:dyDescent="0.25">
      <c r="A9" s="59">
        <f t="shared" ca="1" si="2"/>
        <v>1802.261757674509</v>
      </c>
      <c r="B9" s="6">
        <v>5</v>
      </c>
      <c r="C9" s="61" t="s">
        <v>25</v>
      </c>
      <c r="D9" s="69">
        <f t="shared" si="10"/>
        <v>75</v>
      </c>
      <c r="E9" s="62">
        <v>0.5</v>
      </c>
      <c r="F9" s="113">
        <f>9+48+24+24+24+24+24+24+24</f>
        <v>225</v>
      </c>
      <c r="G9" s="63">
        <v>37.5</v>
      </c>
      <c r="H9" s="64">
        <f>G9*F9</f>
        <v>8437.5</v>
      </c>
      <c r="I9" s="65">
        <f>((H9/$H$4)*$A$2)/F9</f>
        <v>0.84599484413848969</v>
      </c>
      <c r="J9" s="139">
        <f t="shared" si="5"/>
        <v>38.345994844138488</v>
      </c>
      <c r="K9" s="66">
        <f t="shared" si="11"/>
        <v>8627.8488399311591</v>
      </c>
      <c r="L9" s="70">
        <v>42</v>
      </c>
      <c r="M9" s="64">
        <f t="shared" si="6"/>
        <v>9450</v>
      </c>
      <c r="N9" s="64">
        <f t="shared" ca="1" si="7"/>
        <v>7434</v>
      </c>
      <c r="O9" s="71">
        <f t="shared" ca="1" si="8"/>
        <v>47</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v>2</v>
      </c>
      <c r="AL9" s="22">
        <v>0</v>
      </c>
      <c r="AM9" s="22">
        <v>0</v>
      </c>
      <c r="AN9" s="22">
        <v>2</v>
      </c>
      <c r="AO9" s="22">
        <v>0</v>
      </c>
      <c r="AP9" s="22">
        <v>0</v>
      </c>
      <c r="AQ9" s="22">
        <v>3</v>
      </c>
      <c r="AR9" s="22">
        <v>0</v>
      </c>
      <c r="AS9" s="22">
        <v>1</v>
      </c>
      <c r="AT9" s="22">
        <v>0</v>
      </c>
      <c r="AU9" s="22">
        <v>0</v>
      </c>
      <c r="AV9" s="22">
        <f ca="1">SUMIFS('Tổng Đơn'!$F:$F,'Tổng Đơn'!$B:$B,$C9)</f>
        <v>1</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0.66551594405561187</v>
      </c>
      <c r="J10" s="139">
        <f t="shared" si="5"/>
        <v>30.165515944055613</v>
      </c>
      <c r="K10" s="66">
        <f t="shared" si="11"/>
        <v>3619.8619132866734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f ca="1">SUMIFS('Tổng Đơn'!$F:$F,'Tổng Đơn'!$B:$B,$C10)</f>
        <v>0</v>
      </c>
      <c r="AW10" s="59">
        <v>0</v>
      </c>
      <c r="AX10" s="59">
        <f t="shared" si="9"/>
        <v>0</v>
      </c>
    </row>
    <row r="11" spans="1:50" ht="18.75" x14ac:dyDescent="0.25">
      <c r="A11" s="59">
        <f t="shared" ca="1" si="2"/>
        <v>337.44475462841871</v>
      </c>
      <c r="B11" s="6">
        <v>7</v>
      </c>
      <c r="C11" s="61" t="s">
        <v>250</v>
      </c>
      <c r="D11" s="69">
        <f t="shared" si="10"/>
        <v>66</v>
      </c>
      <c r="E11" s="62">
        <v>0.5</v>
      </c>
      <c r="F11" s="113">
        <f>10+10</f>
        <v>20</v>
      </c>
      <c r="G11" s="63">
        <v>33</v>
      </c>
      <c r="H11" s="64">
        <f t="shared" si="3"/>
        <v>660</v>
      </c>
      <c r="I11" s="65">
        <f t="shared" si="4"/>
        <v>0.74447546284187094</v>
      </c>
      <c r="J11" s="139">
        <f t="shared" si="5"/>
        <v>33.744475462841869</v>
      </c>
      <c r="K11" s="66">
        <f t="shared" si="11"/>
        <v>674.88950925683741</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f ca="1">SUMIFS('Tổng Đơn'!$F:$F,'Tổng Đơn'!$B:$B,$C11)</f>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0.63919610446019226</v>
      </c>
      <c r="J12" s="139">
        <f t="shared" si="5"/>
        <v>28.972529437793526</v>
      </c>
      <c r="K12" s="66">
        <f t="shared" si="11"/>
        <v>1043.0110597605669</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f>SUMIFS('Tổng Đơn'!$F:$F,'Tổng Đơn'!$B:$B,$C12)</f>
        <v>0</v>
      </c>
      <c r="AW12" s="59">
        <v>0</v>
      </c>
      <c r="AX12" s="59">
        <f t="shared" si="9"/>
        <v>0</v>
      </c>
    </row>
    <row r="13" spans="1:50" ht="18.75" x14ac:dyDescent="0.25">
      <c r="A13" s="59">
        <f t="shared" ca="1" si="2"/>
        <v>613.53591750621581</v>
      </c>
      <c r="B13" s="6">
        <v>9</v>
      </c>
      <c r="C13" s="61" t="s">
        <v>31</v>
      </c>
      <c r="D13" s="69">
        <f t="shared" ref="D13:D22" si="12">G13*2</f>
        <v>80</v>
      </c>
      <c r="E13" s="62">
        <v>0.5</v>
      </c>
      <c r="F13" s="113">
        <v>40</v>
      </c>
      <c r="G13" s="63">
        <v>40</v>
      </c>
      <c r="H13" s="64">
        <f t="shared" si="3"/>
        <v>1600</v>
      </c>
      <c r="I13" s="65">
        <f t="shared" si="4"/>
        <v>0.90239450041438918</v>
      </c>
      <c r="J13" s="139">
        <f t="shared" si="5"/>
        <v>40.902394500414388</v>
      </c>
      <c r="K13" s="66">
        <f t="shared" si="11"/>
        <v>1636.0957800165756</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f ca="1">SUMIFS('Tổng Đơn'!$F:$F,'Tổng Đơn'!$B:$B,$C13)</f>
        <v>0</v>
      </c>
      <c r="AW13" s="59">
        <v>0</v>
      </c>
      <c r="AX13" s="59">
        <f t="shared" si="9"/>
        <v>0</v>
      </c>
    </row>
    <row r="14" spans="1:50" ht="18.75" x14ac:dyDescent="0.25">
      <c r="A14" s="59">
        <f t="shared" ca="1" si="2"/>
        <v>1308.8766240132604</v>
      </c>
      <c r="B14" s="6">
        <v>10</v>
      </c>
      <c r="C14" s="61" t="s">
        <v>30</v>
      </c>
      <c r="D14" s="69">
        <f t="shared" si="12"/>
        <v>80</v>
      </c>
      <c r="E14" s="62">
        <v>0.5</v>
      </c>
      <c r="F14" s="113">
        <v>40</v>
      </c>
      <c r="G14" s="63">
        <v>40</v>
      </c>
      <c r="H14" s="64">
        <f t="shared" si="3"/>
        <v>1600</v>
      </c>
      <c r="I14" s="65">
        <f t="shared" si="4"/>
        <v>0.90239450041438918</v>
      </c>
      <c r="J14" s="139">
        <f t="shared" si="5"/>
        <v>40.902394500414388</v>
      </c>
      <c r="K14" s="66">
        <f t="shared" si="11"/>
        <v>1636.0957800165756</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f ca="1">SUMIFS('Tổng Đơn'!$F:$F,'Tổng Đơn'!$B:$B,$C14)</f>
        <v>0</v>
      </c>
      <c r="AW14" s="59">
        <v>0</v>
      </c>
      <c r="AX14" s="59">
        <f t="shared" si="9"/>
        <v>0</v>
      </c>
    </row>
    <row r="15" spans="1:50" ht="18.75" x14ac:dyDescent="0.25">
      <c r="A15" s="59">
        <f t="shared" ca="1" si="2"/>
        <v>736.24310100745902</v>
      </c>
      <c r="B15" s="6">
        <v>11</v>
      </c>
      <c r="C15" s="61" t="s">
        <v>29</v>
      </c>
      <c r="D15" s="69">
        <f t="shared" si="12"/>
        <v>80</v>
      </c>
      <c r="E15" s="62">
        <v>0.5</v>
      </c>
      <c r="F15" s="113">
        <v>40</v>
      </c>
      <c r="G15" s="63">
        <v>40</v>
      </c>
      <c r="H15" s="64">
        <f t="shared" si="3"/>
        <v>1600</v>
      </c>
      <c r="I15" s="65">
        <f t="shared" si="4"/>
        <v>0.90239450041438918</v>
      </c>
      <c r="J15" s="139">
        <f t="shared" si="5"/>
        <v>40.902394500414388</v>
      </c>
      <c r="K15" s="66">
        <f t="shared" si="11"/>
        <v>1636.0957800165756</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f ca="1">SUMIFS('Tổng Đơn'!$F:$F,'Tổng Đơn'!$B:$B,$C15)</f>
        <v>0</v>
      </c>
      <c r="AW15" s="59">
        <v>0</v>
      </c>
      <c r="AX15" s="59">
        <f t="shared" si="9"/>
        <v>0</v>
      </c>
    </row>
    <row r="16" spans="1:50" ht="18.75" x14ac:dyDescent="0.25">
      <c r="A16" s="59">
        <f t="shared" ca="1" si="2"/>
        <v>1063.462257010774</v>
      </c>
      <c r="B16" s="6">
        <v>12</v>
      </c>
      <c r="C16" s="61" t="s">
        <v>28</v>
      </c>
      <c r="D16" s="69">
        <f t="shared" si="12"/>
        <v>80</v>
      </c>
      <c r="E16" s="62">
        <v>0.5</v>
      </c>
      <c r="F16" s="113">
        <v>40</v>
      </c>
      <c r="G16" s="63">
        <v>40</v>
      </c>
      <c r="H16" s="64">
        <f t="shared" si="3"/>
        <v>1600</v>
      </c>
      <c r="I16" s="65">
        <f t="shared" si="4"/>
        <v>0.90239450041438918</v>
      </c>
      <c r="J16" s="139">
        <f t="shared" si="5"/>
        <v>40.902394500414388</v>
      </c>
      <c r="K16" s="66">
        <f t="shared" si="11"/>
        <v>1636.0957800165756</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f ca="1">SUMIFS('Tổng Đơn'!$F:$F,'Tổng Đơn'!$B:$B,$C16)</f>
        <v>0</v>
      </c>
      <c r="AW16" s="59">
        <v>0</v>
      </c>
      <c r="AX16" s="59">
        <f t="shared" si="9"/>
        <v>0</v>
      </c>
    </row>
    <row r="17" spans="1:50" ht="18.75" x14ac:dyDescent="0.25">
      <c r="A17" s="59">
        <f t="shared" ca="1" si="2"/>
        <v>286.3167615029007</v>
      </c>
      <c r="B17" s="6">
        <v>13</v>
      </c>
      <c r="C17" s="61" t="s">
        <v>50</v>
      </c>
      <c r="D17" s="69">
        <f t="shared" si="12"/>
        <v>80</v>
      </c>
      <c r="E17" s="62">
        <v>0.5</v>
      </c>
      <c r="F17" s="113">
        <v>40</v>
      </c>
      <c r="G17" s="63">
        <v>40</v>
      </c>
      <c r="H17" s="64">
        <f t="shared" si="3"/>
        <v>1600</v>
      </c>
      <c r="I17" s="65">
        <f t="shared" si="4"/>
        <v>0.90239450041438918</v>
      </c>
      <c r="J17" s="139">
        <f t="shared" si="5"/>
        <v>40.902394500414388</v>
      </c>
      <c r="K17" s="66">
        <f t="shared" si="11"/>
        <v>1636.0957800165756</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f ca="1">SUMIFS('Tổng Đơn'!$F:$F,'Tổng Đơn'!$B:$B,$C17)</f>
        <v>0</v>
      </c>
      <c r="AW17" s="59">
        <v>0</v>
      </c>
      <c r="AX17" s="59">
        <f t="shared" si="9"/>
        <v>0</v>
      </c>
    </row>
    <row r="18" spans="1:50" ht="18.75" x14ac:dyDescent="0.25">
      <c r="A18" s="59">
        <f t="shared" ca="1" si="2"/>
        <v>389.35312238585243</v>
      </c>
      <c r="B18" s="6">
        <v>14</v>
      </c>
      <c r="C18" s="61" t="s">
        <v>126</v>
      </c>
      <c r="D18" s="69">
        <f t="shared" si="12"/>
        <v>54.39473684210526</v>
      </c>
      <c r="E18" s="62">
        <v>0.5</v>
      </c>
      <c r="F18" s="113">
        <f>80</f>
        <v>80</v>
      </c>
      <c r="G18" s="63">
        <f>1033.5/38</f>
        <v>27.19736842105263</v>
      </c>
      <c r="H18" s="64">
        <f t="shared" si="3"/>
        <v>2175.7894736842104</v>
      </c>
      <c r="I18" s="65">
        <f t="shared" si="4"/>
        <v>0.61356889222254662</v>
      </c>
      <c r="J18" s="139">
        <f t="shared" ref="J18" si="13">G18+I18</f>
        <v>27.810937313275176</v>
      </c>
      <c r="K18" s="66">
        <f t="shared" ref="K18" si="14">J18*F18</f>
        <v>2224.8749850620143</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1</v>
      </c>
      <c r="AL18" s="22">
        <v>0</v>
      </c>
      <c r="AM18" s="22">
        <v>0</v>
      </c>
      <c r="AN18" s="22">
        <v>0</v>
      </c>
      <c r="AO18" s="22">
        <v>0</v>
      </c>
      <c r="AP18" s="22">
        <v>0</v>
      </c>
      <c r="AQ18" s="22">
        <v>0</v>
      </c>
      <c r="AR18" s="22">
        <v>0</v>
      </c>
      <c r="AS18" s="22">
        <v>0</v>
      </c>
      <c r="AT18" s="22">
        <v>0</v>
      </c>
      <c r="AU18" s="22">
        <v>0</v>
      </c>
      <c r="AV18" s="22">
        <f ca="1">SUMIFS('Tổng Đơn'!$F:$F,'Tổng Đơn'!$B:$B,$C18)</f>
        <v>0</v>
      </c>
      <c r="AW18" s="59">
        <v>0</v>
      </c>
      <c r="AX18" s="59">
        <f t="shared" si="9"/>
        <v>0</v>
      </c>
    </row>
    <row r="19" spans="1:50" ht="18.75" x14ac:dyDescent="0.25">
      <c r="A19" s="59">
        <f t="shared" ca="1" si="2"/>
        <v>2392.7900782742418</v>
      </c>
      <c r="B19" s="6">
        <v>15</v>
      </c>
      <c r="C19" s="61" t="s">
        <v>162</v>
      </c>
      <c r="D19" s="69">
        <f t="shared" si="12"/>
        <v>120</v>
      </c>
      <c r="E19" s="62">
        <v>0.5</v>
      </c>
      <c r="F19" s="113">
        <f>60+20+20+20+20+20+20+20+60+40</f>
        <v>300</v>
      </c>
      <c r="G19" s="63">
        <v>60</v>
      </c>
      <c r="H19" s="64">
        <f t="shared" si="3"/>
        <v>18000</v>
      </c>
      <c r="I19" s="65">
        <f t="shared" si="4"/>
        <v>1.3535917506215838</v>
      </c>
      <c r="J19" s="139">
        <f t="shared" ref="J19" si="15">G19+I19</f>
        <v>61.353591750621582</v>
      </c>
      <c r="K19" s="66">
        <f t="shared" ref="K19" si="16">J19*F19</f>
        <v>18406.077525186476</v>
      </c>
      <c r="L19" s="70">
        <v>70</v>
      </c>
      <c r="M19" s="64">
        <f t="shared" ref="M19" si="17">L19*F19</f>
        <v>21000</v>
      </c>
      <c r="N19" s="64">
        <f t="shared" ca="1" si="7"/>
        <v>18200</v>
      </c>
      <c r="O19" s="71">
        <f t="shared" ca="1" si="8"/>
        <v>39</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v>0</v>
      </c>
      <c r="AL19" s="22">
        <v>1</v>
      </c>
      <c r="AM19" s="22">
        <v>0</v>
      </c>
      <c r="AN19" s="22">
        <v>1</v>
      </c>
      <c r="AO19" s="22">
        <v>2</v>
      </c>
      <c r="AP19" s="22">
        <v>0</v>
      </c>
      <c r="AQ19" s="22">
        <v>3</v>
      </c>
      <c r="AR19" s="22">
        <v>0</v>
      </c>
      <c r="AS19" s="22">
        <v>2</v>
      </c>
      <c r="AT19" s="22">
        <v>1</v>
      </c>
      <c r="AU19" s="22">
        <v>1</v>
      </c>
      <c r="AV19" s="22">
        <f ca="1">SUMIFS('Tổng Đơn'!$F:$F,'Tổng Đơn'!$B:$B,$C19)</f>
        <v>0</v>
      </c>
      <c r="AW19" s="59">
        <v>0</v>
      </c>
      <c r="AX19" s="59">
        <f t="shared" si="9"/>
        <v>0</v>
      </c>
    </row>
    <row r="20" spans="1:50" ht="18.75" x14ac:dyDescent="0.25">
      <c r="A20" s="59">
        <f t="shared" ca="1" si="2"/>
        <v>1802.261757674509</v>
      </c>
      <c r="B20" s="6">
        <v>16</v>
      </c>
      <c r="C20" s="61" t="s">
        <v>123</v>
      </c>
      <c r="D20" s="69">
        <f t="shared" si="12"/>
        <v>75</v>
      </c>
      <c r="E20" s="62">
        <v>0.5</v>
      </c>
      <c r="F20" s="113">
        <f>161+40+80+40+40+40+40+40+40+40+40</f>
        <v>601</v>
      </c>
      <c r="G20" s="63">
        <v>37.5</v>
      </c>
      <c r="H20" s="64">
        <f t="shared" ref="H20:H25" si="18">G20*F20</f>
        <v>22537.5</v>
      </c>
      <c r="I20" s="65">
        <f t="shared" ref="I20:I21" si="19">((H20/$H$4)*$A$2)/F20</f>
        <v>0.84599484413848969</v>
      </c>
      <c r="J20" s="139">
        <f t="shared" ref="J20:J21" si="20">G20+I20</f>
        <v>38.345994844138488</v>
      </c>
      <c r="K20" s="66">
        <f t="shared" ref="K20:K21" si="21">J20*F20</f>
        <v>23045.942901327231</v>
      </c>
      <c r="L20" s="70">
        <v>42</v>
      </c>
      <c r="M20" s="64">
        <f t="shared" ref="M20:M21" si="22">L20*F20</f>
        <v>25242</v>
      </c>
      <c r="N20" s="64">
        <f t="shared" ca="1" si="7"/>
        <v>23058</v>
      </c>
      <c r="O20" s="71">
        <f t="shared" ca="1" si="8"/>
        <v>47</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v>1</v>
      </c>
      <c r="AL20" s="22">
        <v>12</v>
      </c>
      <c r="AM20" s="22">
        <v>0</v>
      </c>
      <c r="AN20" s="22">
        <v>0</v>
      </c>
      <c r="AO20" s="22">
        <v>1</v>
      </c>
      <c r="AP20" s="22">
        <v>0</v>
      </c>
      <c r="AQ20" s="22">
        <v>4</v>
      </c>
      <c r="AR20" s="22">
        <v>0</v>
      </c>
      <c r="AS20" s="22">
        <v>2</v>
      </c>
      <c r="AT20" s="22">
        <v>0</v>
      </c>
      <c r="AU20" s="22">
        <v>1</v>
      </c>
      <c r="AV20" s="22">
        <f ca="1">SUMIFS('Tổng Đơn'!$F:$F,'Tổng Đơn'!$B:$B,$C20)</f>
        <v>1</v>
      </c>
      <c r="AW20" s="59">
        <v>0</v>
      </c>
      <c r="AX20" s="59">
        <f t="shared" si="9"/>
        <v>0</v>
      </c>
    </row>
    <row r="21" spans="1:50" ht="18.75" x14ac:dyDescent="0.25">
      <c r="A21" s="59">
        <f t="shared" ca="1" si="2"/>
        <v>2249.6316975227915</v>
      </c>
      <c r="B21" s="6">
        <v>17</v>
      </c>
      <c r="C21" s="61" t="s">
        <v>175</v>
      </c>
      <c r="D21" s="69">
        <f t="shared" si="12"/>
        <v>88</v>
      </c>
      <c r="E21" s="62">
        <v>0.5</v>
      </c>
      <c r="F21" s="113">
        <f>80</f>
        <v>80</v>
      </c>
      <c r="G21" s="63">
        <v>44</v>
      </c>
      <c r="H21" s="64">
        <f t="shared" si="18"/>
        <v>3520</v>
      </c>
      <c r="I21" s="65">
        <f t="shared" si="19"/>
        <v>0.99263395045582781</v>
      </c>
      <c r="J21" s="139">
        <f t="shared" si="20"/>
        <v>44.992633950455826</v>
      </c>
      <c r="K21" s="66">
        <f t="shared" si="21"/>
        <v>3599.4107160364661</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f ca="1">SUMIFS('Tổng Đơn'!$F:$F,'Tổng Đơn'!$B:$B,$C21)</f>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0.82343498162813</v>
      </c>
      <c r="J22" s="139">
        <f t="shared" ref="J22:J23" si="24">G22+I22</f>
        <v>37.323434981628132</v>
      </c>
      <c r="K22" s="66">
        <f t="shared" ref="K22:K23" si="25">J22*F22</f>
        <v>1492.9373992651254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f ca="1">SUMIFS('Tổng Đơn'!$F:$F,'Tổng Đơn'!$B:$B,$C22)</f>
        <v>0</v>
      </c>
      <c r="AW22" s="59">
        <v>0</v>
      </c>
      <c r="AX22" s="59">
        <f t="shared" si="9"/>
        <v>0</v>
      </c>
    </row>
    <row r="23" spans="1:50" ht="18.75" x14ac:dyDescent="0.25">
      <c r="A23" s="59">
        <f t="shared" ca="1" si="2"/>
        <v>638.07735420646452</v>
      </c>
      <c r="B23" s="6">
        <v>19</v>
      </c>
      <c r="C23" s="61" t="s">
        <v>206</v>
      </c>
      <c r="D23" s="69">
        <v>24</v>
      </c>
      <c r="E23" s="62">
        <v>0.3</v>
      </c>
      <c r="F23" s="113">
        <f>260+40+80+100+40-16+80+40+40+10+40+40+20+60+20+60+80</f>
        <v>994</v>
      </c>
      <c r="G23" s="63">
        <f>D23/2</f>
        <v>12</v>
      </c>
      <c r="H23" s="64">
        <f t="shared" si="18"/>
        <v>11928</v>
      </c>
      <c r="I23" s="65">
        <f t="shared" si="23"/>
        <v>0.27071835012431672</v>
      </c>
      <c r="J23" s="139">
        <f t="shared" si="24"/>
        <v>12.270718350124318</v>
      </c>
      <c r="K23" s="66">
        <f t="shared" si="25"/>
        <v>12197.094040023572</v>
      </c>
      <c r="L23" s="70">
        <v>16</v>
      </c>
      <c r="M23" s="64">
        <f t="shared" si="26"/>
        <v>15904</v>
      </c>
      <c r="N23" s="64">
        <f t="shared" ca="1" si="7"/>
        <v>15008</v>
      </c>
      <c r="O23" s="71">
        <f t="shared" ca="1" si="8"/>
        <v>52</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v>0</v>
      </c>
      <c r="AL23" s="22">
        <v>0</v>
      </c>
      <c r="AM23" s="22">
        <v>0</v>
      </c>
      <c r="AN23" s="22">
        <v>10</v>
      </c>
      <c r="AO23" s="22">
        <v>3</v>
      </c>
      <c r="AP23" s="22">
        <v>0</v>
      </c>
      <c r="AQ23" s="22">
        <v>0</v>
      </c>
      <c r="AR23" s="22">
        <v>0</v>
      </c>
      <c r="AS23" s="22">
        <v>3</v>
      </c>
      <c r="AT23" s="22">
        <v>10</v>
      </c>
      <c r="AU23" s="22">
        <v>0</v>
      </c>
      <c r="AV23" s="22">
        <f ca="1">SUMIFS('Tổng Đơn'!$F:$F,'Tổng Đơn'!$B:$B,$C23)</f>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0.76703532535223062</v>
      </c>
      <c r="J24" s="139">
        <f t="shared" ref="J24" si="28">G24+I24</f>
        <v>34.767035325352232</v>
      </c>
      <c r="K24" s="66">
        <f t="shared" ref="K24" si="29">J24*F24</f>
        <v>347.67035325352231</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f ca="1">SUMIFS('Tổng Đơn'!$F:$F,'Tổng Đơn'!$B:$B,$C24)</f>
        <v>0</v>
      </c>
      <c r="AW24" s="59">
        <v>0</v>
      </c>
      <c r="AX24" s="59">
        <f t="shared" si="9"/>
        <v>0</v>
      </c>
    </row>
    <row r="25" spans="1:50" ht="18.75" x14ac:dyDescent="0.25">
      <c r="A25" s="59">
        <f t="shared" ca="1" si="2"/>
        <v>33.02868355908462</v>
      </c>
      <c r="B25" s="6">
        <v>21</v>
      </c>
      <c r="C25" s="61" t="s">
        <v>271</v>
      </c>
      <c r="D25" s="69">
        <f>G25*2</f>
        <v>64.599999999999994</v>
      </c>
      <c r="E25" s="62">
        <v>0.5</v>
      </c>
      <c r="F25" s="113">
        <v>40</v>
      </c>
      <c r="G25" s="63">
        <v>32.299999999999997</v>
      </c>
      <c r="H25" s="64">
        <f t="shared" si="18"/>
        <v>1292</v>
      </c>
      <c r="I25" s="65">
        <f t="shared" ref="I25" si="31">((H25/$H$4)*$A$2)/F25</f>
        <v>0.72868355908461913</v>
      </c>
      <c r="J25" s="139">
        <f t="shared" ref="J25" si="32">G25+I25</f>
        <v>33.02868355908462</v>
      </c>
      <c r="K25" s="66">
        <f t="shared" ref="K25" si="33">J25*F25</f>
        <v>1321.1473423633847</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f ca="1">SUMIFS('Tổng Đơn'!$F:$F,'Tổng Đơn'!$B:$B,$C25)</f>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645" priority="21">
      <formula>($O6/$O6)&lt;=1/4</formula>
    </cfRule>
  </conditionalFormatting>
  <conditionalFormatting sqref="C18">
    <cfRule type="expression" dxfId="644" priority="18">
      <formula>($O18/$O18)&lt;=1/4</formula>
    </cfRule>
  </conditionalFormatting>
  <conditionalFormatting sqref="C5:C18">
    <cfRule type="expression" dxfId="643" priority="29">
      <formula>($O5/$F5)&lt;=1/4</formula>
    </cfRule>
  </conditionalFormatting>
  <conditionalFormatting sqref="C19">
    <cfRule type="expression" dxfId="642" priority="9">
      <formula>($O19/$O19)&lt;=1/4</formula>
    </cfRule>
  </conditionalFormatting>
  <conditionalFormatting sqref="C19">
    <cfRule type="expression" dxfId="641" priority="10">
      <formula>($O19/$F19)&lt;=1/4</formula>
    </cfRule>
  </conditionalFormatting>
  <conditionalFormatting sqref="C20:C21">
    <cfRule type="expression" dxfId="640" priority="7">
      <formula>($O20/$O20)&lt;=1/4</formula>
    </cfRule>
  </conditionalFormatting>
  <conditionalFormatting sqref="C20:C21">
    <cfRule type="expression" dxfId="639" priority="8">
      <formula>($O20/$F20)&lt;=1/4</formula>
    </cfRule>
  </conditionalFormatting>
  <conditionalFormatting sqref="C22:C23">
    <cfRule type="expression" dxfId="638" priority="5">
      <formula>($O22/$O22)&lt;=1/4</formula>
    </cfRule>
  </conditionalFormatting>
  <conditionalFormatting sqref="C22:C23">
    <cfRule type="expression" dxfId="637" priority="6">
      <formula>($O22/$F22)&lt;=1/4</formula>
    </cfRule>
  </conditionalFormatting>
  <conditionalFormatting sqref="C24">
    <cfRule type="expression" dxfId="636" priority="3">
      <formula>($O24/$O24)&lt;=1/4</formula>
    </cfRule>
  </conditionalFormatting>
  <conditionalFormatting sqref="C24">
    <cfRule type="expression" dxfId="635" priority="4">
      <formula>($O24/$F24)&lt;=1/4</formula>
    </cfRule>
  </conditionalFormatting>
  <conditionalFormatting sqref="C25:C26">
    <cfRule type="expression" dxfId="634" priority="1">
      <formula>($O25/$O25)&lt;=1/4</formula>
    </cfRule>
  </conditionalFormatting>
  <conditionalFormatting sqref="C25:C26">
    <cfRule type="expression" dxfId="633"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2" sqref="AX2:AY3"/>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2" t="s">
        <v>51</v>
      </c>
      <c r="C1" s="252"/>
      <c r="D1" s="252"/>
      <c r="E1" s="252"/>
      <c r="F1" s="252"/>
      <c r="G1" s="252"/>
      <c r="H1" s="252"/>
      <c r="I1" s="252"/>
      <c r="J1" s="252"/>
      <c r="K1" s="252"/>
      <c r="L1" s="252"/>
      <c r="M1" s="252"/>
      <c r="N1" s="156"/>
    </row>
    <row r="2" spans="1:51" ht="34.5" customHeight="1" x14ac:dyDescent="0.25">
      <c r="A2" s="1">
        <f>300+200+120+200+200+200+140+190+120+60+100+95+145+70+100+165+70+80+320+100+270+80+100+140+50+170+140+170+110+140+200+60+100+140+180+80+160+100+240+120+120+300+280+120+240+200</f>
        <v>6985</v>
      </c>
      <c r="K2" s="13">
        <f>SUMPRODUCT((E5:E12)*(F5:F12))</f>
        <v>6858.5</v>
      </c>
      <c r="L2" s="13">
        <f>M4-K4</f>
        <v>57700.181818181823</v>
      </c>
      <c r="M2" s="8">
        <f>M4/K4-1</f>
        <v>0.18866884693883024</v>
      </c>
      <c r="N2" s="8"/>
      <c r="Q2" s="208"/>
      <c r="AW2" s="224"/>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6"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21065.212978126288</v>
      </c>
      <c r="B4" s="16"/>
      <c r="C4" s="16"/>
      <c r="D4" s="47"/>
      <c r="E4" s="16">
        <f>SUMPRODUCT((E5:E12)*(F5:F12))</f>
        <v>6858.5</v>
      </c>
      <c r="F4" s="16">
        <f>SUBTOTAL(9,F5:F12)</f>
        <v>13717</v>
      </c>
      <c r="G4" s="7"/>
      <c r="H4" s="7">
        <f>SUBTOTAL(9,H5:H12)</f>
        <v>298842.81818181818</v>
      </c>
      <c r="I4" s="12"/>
      <c r="J4" s="12"/>
      <c r="K4" s="12">
        <f>SUBTOTAL(9,K5:K12)</f>
        <v>305827.81818181818</v>
      </c>
      <c r="L4" s="48"/>
      <c r="M4" s="7">
        <f>SUBTOTAL(9,M5:M12)</f>
        <v>363528</v>
      </c>
      <c r="N4" s="7">
        <f ca="1">SUBTOTAL(9,N5:N12)</f>
        <v>337872</v>
      </c>
      <c r="O4" s="49">
        <f ca="1">SUBTOTAL(9,O5:O12)</f>
        <v>898</v>
      </c>
      <c r="P4" s="75">
        <f>SUBTOTAL(9,P5:P12)</f>
        <v>23</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si="0"/>
        <v>52</v>
      </c>
      <c r="AL4" s="25">
        <f t="shared" si="0"/>
        <v>58</v>
      </c>
      <c r="AM4" s="25">
        <f t="shared" si="0"/>
        <v>109</v>
      </c>
      <c r="AN4" s="25">
        <f t="shared" si="0"/>
        <v>47</v>
      </c>
      <c r="AO4" s="25">
        <f t="shared" si="0"/>
        <v>70</v>
      </c>
      <c r="AP4" s="25">
        <f t="shared" si="0"/>
        <v>27</v>
      </c>
      <c r="AQ4" s="25">
        <f t="shared" si="0"/>
        <v>84</v>
      </c>
      <c r="AR4" s="25">
        <f t="shared" si="0"/>
        <v>27</v>
      </c>
      <c r="AS4" s="25">
        <f t="shared" si="0"/>
        <v>41</v>
      </c>
      <c r="AT4" s="25">
        <f t="shared" si="0"/>
        <v>78</v>
      </c>
      <c r="AU4" s="25">
        <f t="shared" si="0"/>
        <v>42</v>
      </c>
      <c r="AV4" s="25">
        <f t="shared" ca="1" si="0"/>
        <v>34</v>
      </c>
      <c r="AW4" s="41" t="str">
        <f>SUMPRODUCT(($AW$5:$AW$12)*($E$5:$E$12))&amp;" Kg"</f>
        <v>0 Kg</v>
      </c>
      <c r="AX4" s="78">
        <f>SUBTOTAL(9,AX5:AX12)</f>
        <v>0</v>
      </c>
    </row>
    <row r="5" spans="1:51" ht="18.75" x14ac:dyDescent="0.25">
      <c r="A5" s="59">
        <f t="shared" ref="A5:A12" ca="1" si="1">J5*O5</f>
        <v>8147.076363950523</v>
      </c>
      <c r="B5" s="6">
        <v>1</v>
      </c>
      <c r="C5" s="61" t="s">
        <v>198</v>
      </c>
      <c r="D5" s="69">
        <v>38</v>
      </c>
      <c r="E5" s="6">
        <v>0.5</v>
      </c>
      <c r="F5" s="6">
        <f>240+126+126+100+126+210+126+42+84+84+126+210+84+210+126+84+126+420+420+210+210+42+210+252+210+126+210+336+210+210+210+84+168+126+420+84+126+294+420+126+336+252</f>
        <v>7942</v>
      </c>
      <c r="G5" s="63">
        <f t="shared" ref="G5:G12" si="2">D5/(1/E5)</f>
        <v>19</v>
      </c>
      <c r="H5" s="64">
        <f t="shared" ref="H5:H12" si="3">G5*F5</f>
        <v>150898</v>
      </c>
      <c r="I5" s="65">
        <f t="shared" ref="I5:I12" si="4">((H5/$H$4)*$A$2)/F5</f>
        <v>0.44409633401079501</v>
      </c>
      <c r="J5" s="139">
        <f t="shared" ref="J5:J12" si="5">G5+I5</f>
        <v>19.444096334010794</v>
      </c>
      <c r="K5" s="66">
        <f>J5*F5</f>
        <v>154425.01308471372</v>
      </c>
      <c r="L5" s="70">
        <v>23</v>
      </c>
      <c r="M5" s="64">
        <f t="shared" ref="M5:M12" si="6">L5*F5</f>
        <v>182666</v>
      </c>
      <c r="N5" s="64">
        <f t="shared" ref="N5:N12" ca="1" si="7">SUMPRODUCT(($Q5:$AV5)*$L5)</f>
        <v>172845</v>
      </c>
      <c r="O5" s="71">
        <f t="shared" ref="O5:O12" ca="1" si="8">F5-SUM(Q5:AV5)-P5</f>
        <v>419</v>
      </c>
      <c r="P5" s="58">
        <v>8</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v>47</v>
      </c>
      <c r="AL5" s="22">
        <v>46</v>
      </c>
      <c r="AM5" s="22">
        <v>76</v>
      </c>
      <c r="AN5" s="22">
        <v>28</v>
      </c>
      <c r="AO5" s="22">
        <v>35</v>
      </c>
      <c r="AP5" s="22">
        <v>25</v>
      </c>
      <c r="AQ5" s="22">
        <v>52</v>
      </c>
      <c r="AR5" s="22">
        <v>27</v>
      </c>
      <c r="AS5" s="22">
        <v>25</v>
      </c>
      <c r="AT5" s="22">
        <v>69</v>
      </c>
      <c r="AU5" s="22">
        <v>25</v>
      </c>
      <c r="AV5" s="22">
        <f ca="1">SUMIFS('Tổng Đơn'!$F:$F,'Tổng Đơn'!$B:$B,$C5)</f>
        <v>28</v>
      </c>
      <c r="AW5" s="59">
        <v>0</v>
      </c>
      <c r="AX5" s="59">
        <f>AW5*AY5/2</f>
        <v>0</v>
      </c>
      <c r="AY5" s="59">
        <v>38</v>
      </c>
    </row>
    <row r="6" spans="1:51" ht="18.75" x14ac:dyDescent="0.25">
      <c r="A6" s="59">
        <f t="shared" ca="1" si="1"/>
        <v>859.63373266152985</v>
      </c>
      <c r="B6" s="6">
        <v>2</v>
      </c>
      <c r="C6" s="61" t="s">
        <v>199</v>
      </c>
      <c r="D6" s="69">
        <v>42</v>
      </c>
      <c r="E6" s="6">
        <v>0.5</v>
      </c>
      <c r="F6" s="6">
        <f>40+40+40</f>
        <v>120</v>
      </c>
      <c r="G6" s="63">
        <f t="shared" si="2"/>
        <v>21</v>
      </c>
      <c r="H6" s="64">
        <f t="shared" si="3"/>
        <v>2520</v>
      </c>
      <c r="I6" s="65">
        <f t="shared" si="4"/>
        <v>0.49084331653824703</v>
      </c>
      <c r="J6" s="139">
        <f t="shared" si="5"/>
        <v>21.490843316538246</v>
      </c>
      <c r="K6" s="66">
        <f>J6*F6</f>
        <v>2578.9011979845895</v>
      </c>
      <c r="L6" s="70">
        <v>26</v>
      </c>
      <c r="M6" s="64">
        <f t="shared" si="6"/>
        <v>3120</v>
      </c>
      <c r="N6" s="64">
        <f t="shared" ca="1" si="7"/>
        <v>2054</v>
      </c>
      <c r="O6" s="71">
        <f t="shared" ca="1" si="8"/>
        <v>40</v>
      </c>
      <c r="P6" s="58">
        <v>1</v>
      </c>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v>0</v>
      </c>
      <c r="AL6" s="22">
        <v>2</v>
      </c>
      <c r="AM6" s="22">
        <v>0</v>
      </c>
      <c r="AN6" s="22">
        <v>2</v>
      </c>
      <c r="AO6" s="22">
        <v>0</v>
      </c>
      <c r="AP6" s="22">
        <v>0</v>
      </c>
      <c r="AQ6" s="22">
        <v>1</v>
      </c>
      <c r="AR6" s="22">
        <v>0</v>
      </c>
      <c r="AS6" s="22">
        <v>0</v>
      </c>
      <c r="AT6" s="22">
        <v>4</v>
      </c>
      <c r="AU6" s="22">
        <v>0</v>
      </c>
      <c r="AV6" s="22">
        <f ca="1">SUMIFS('Tổng Đơn'!$F:$F,'Tổng Đơn'!$B:$B,$C6)</f>
        <v>0</v>
      </c>
      <c r="AW6" s="59">
        <v>0</v>
      </c>
      <c r="AX6" s="59">
        <f t="shared" ref="AX6:AX12" si="9">AW6*AY6/2</f>
        <v>0</v>
      </c>
      <c r="AY6" s="59">
        <v>42</v>
      </c>
    </row>
    <row r="7" spans="1:51" ht="18.75" x14ac:dyDescent="0.25">
      <c r="A7" s="59">
        <f t="shared" ca="1" si="1"/>
        <v>881.12457597806815</v>
      </c>
      <c r="B7" s="6">
        <v>3</v>
      </c>
      <c r="C7" s="61" t="s">
        <v>200</v>
      </c>
      <c r="D7" s="69">
        <v>42</v>
      </c>
      <c r="E7" s="6">
        <v>0.5</v>
      </c>
      <c r="F7" s="6">
        <f>40+42+42+42+42+42+42+42+42+42</f>
        <v>418</v>
      </c>
      <c r="G7" s="63">
        <f t="shared" si="2"/>
        <v>21</v>
      </c>
      <c r="H7" s="64">
        <f t="shared" si="3"/>
        <v>8778</v>
      </c>
      <c r="I7" s="65">
        <f t="shared" si="4"/>
        <v>0.49084331653824709</v>
      </c>
      <c r="J7" s="139">
        <f t="shared" si="5"/>
        <v>21.490843316538246</v>
      </c>
      <c r="K7" s="66">
        <f t="shared" ref="K7:K12" si="10">J7*F7</f>
        <v>8983.172506312987</v>
      </c>
      <c r="L7" s="70">
        <v>26</v>
      </c>
      <c r="M7" s="64">
        <f t="shared" si="6"/>
        <v>10868</v>
      </c>
      <c r="N7" s="64">
        <f t="shared" ca="1" si="7"/>
        <v>9750</v>
      </c>
      <c r="O7" s="71">
        <f t="shared" ca="1" si="8"/>
        <v>41</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v>0</v>
      </c>
      <c r="AL7" s="22">
        <v>0</v>
      </c>
      <c r="AM7" s="22">
        <v>0</v>
      </c>
      <c r="AN7" s="22">
        <v>0</v>
      </c>
      <c r="AO7" s="22">
        <v>5</v>
      </c>
      <c r="AP7" s="22">
        <v>0</v>
      </c>
      <c r="AQ7" s="22">
        <v>6</v>
      </c>
      <c r="AR7" s="22">
        <v>0</v>
      </c>
      <c r="AS7" s="22">
        <v>3</v>
      </c>
      <c r="AT7" s="22">
        <v>1</v>
      </c>
      <c r="AU7" s="22">
        <v>0</v>
      </c>
      <c r="AV7" s="22">
        <f ca="1">SUMIFS('Tổng Đơn'!$F:$F,'Tổng Đơn'!$B:$B,$C7)</f>
        <v>0</v>
      </c>
      <c r="AW7" s="59">
        <v>0</v>
      </c>
      <c r="AX7" s="59">
        <f t="shared" si="9"/>
        <v>0</v>
      </c>
      <c r="AY7" s="59">
        <v>42</v>
      </c>
    </row>
    <row r="8" spans="1:51" ht="18.75" x14ac:dyDescent="0.25">
      <c r="A8" s="59">
        <f t="shared" ca="1" si="1"/>
        <v>634.49156458351013</v>
      </c>
      <c r="B8" s="6">
        <v>4</v>
      </c>
      <c r="C8" s="61" t="s">
        <v>201</v>
      </c>
      <c r="D8" s="69">
        <v>40</v>
      </c>
      <c r="E8" s="6">
        <v>0.5</v>
      </c>
      <c r="F8" s="6">
        <f>40+42+42+42+42+42</f>
        <v>250</v>
      </c>
      <c r="G8" s="63">
        <f t="shared" si="2"/>
        <v>20</v>
      </c>
      <c r="H8" s="64">
        <f t="shared" si="3"/>
        <v>5000</v>
      </c>
      <c r="I8" s="65">
        <f t="shared" si="4"/>
        <v>0.46746982527452097</v>
      </c>
      <c r="J8" s="139">
        <f t="shared" si="5"/>
        <v>20.46746982527452</v>
      </c>
      <c r="K8" s="66">
        <f t="shared" si="10"/>
        <v>5116.8674563186305</v>
      </c>
      <c r="L8" s="70">
        <v>26</v>
      </c>
      <c r="M8" s="64">
        <f t="shared" si="6"/>
        <v>6500</v>
      </c>
      <c r="N8" s="64">
        <f t="shared" ca="1" si="7"/>
        <v>5668</v>
      </c>
      <c r="O8" s="71">
        <f t="shared" ca="1" si="8"/>
        <v>31</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v>0</v>
      </c>
      <c r="AL8" s="22">
        <v>0</v>
      </c>
      <c r="AM8" s="22">
        <v>0</v>
      </c>
      <c r="AN8" s="22">
        <v>0</v>
      </c>
      <c r="AO8" s="22">
        <v>0</v>
      </c>
      <c r="AP8" s="22">
        <v>0</v>
      </c>
      <c r="AQ8" s="22">
        <v>2</v>
      </c>
      <c r="AR8" s="22">
        <v>0</v>
      </c>
      <c r="AS8" s="22">
        <v>0</v>
      </c>
      <c r="AT8" s="22">
        <v>0</v>
      </c>
      <c r="AU8" s="22">
        <v>0</v>
      </c>
      <c r="AV8" s="22">
        <f ca="1">SUMIFS('Tổng Đơn'!$F:$F,'Tổng Đơn'!$B:$B,$C8)</f>
        <v>0</v>
      </c>
      <c r="AW8" s="59">
        <v>0</v>
      </c>
      <c r="AX8" s="59">
        <f t="shared" si="9"/>
        <v>0</v>
      </c>
      <c r="AY8" s="59">
        <v>40</v>
      </c>
    </row>
    <row r="9" spans="1:51" ht="18.75" x14ac:dyDescent="0.25">
      <c r="A9" s="59">
        <f t="shared" ca="1" si="1"/>
        <v>2344.455634531445</v>
      </c>
      <c r="B9" s="6">
        <v>5</v>
      </c>
      <c r="C9" s="61" t="s">
        <v>202</v>
      </c>
      <c r="D9" s="69">
        <f>(45*20)/22</f>
        <v>40.909090909090907</v>
      </c>
      <c r="E9" s="6">
        <v>0.5</v>
      </c>
      <c r="F9" s="6">
        <f>176+88+44+44+40+220+88+44+132+40+160+80+80+40+40+23+40+40+40+40+80+40+40+40+40+80+80+80+40+80+40</f>
        <v>2139</v>
      </c>
      <c r="G9" s="63">
        <f t="shared" si="2"/>
        <v>20.454545454545453</v>
      </c>
      <c r="H9" s="64">
        <f t="shared" si="3"/>
        <v>43752.272727272728</v>
      </c>
      <c r="I9" s="65">
        <f t="shared" si="4"/>
        <v>0.47809413948530566</v>
      </c>
      <c r="J9" s="139">
        <f t="shared" si="5"/>
        <v>20.932639594030761</v>
      </c>
      <c r="K9" s="66">
        <f t="shared" si="10"/>
        <v>44774.9160916318</v>
      </c>
      <c r="L9" s="70">
        <v>26</v>
      </c>
      <c r="M9" s="64">
        <f t="shared" si="6"/>
        <v>55614</v>
      </c>
      <c r="N9" s="64">
        <f t="shared" ca="1" si="7"/>
        <v>52572</v>
      </c>
      <c r="O9" s="71">
        <f t="shared" ca="1" si="8"/>
        <v>112</v>
      </c>
      <c r="P9" s="58">
        <v>5</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v>0</v>
      </c>
      <c r="AL9" s="22">
        <v>6</v>
      </c>
      <c r="AM9" s="22">
        <v>4</v>
      </c>
      <c r="AN9" s="22">
        <v>13</v>
      </c>
      <c r="AO9" s="22">
        <v>17</v>
      </c>
      <c r="AP9" s="22">
        <v>1</v>
      </c>
      <c r="AQ9" s="22">
        <v>18</v>
      </c>
      <c r="AR9" s="22">
        <v>0</v>
      </c>
      <c r="AS9" s="22">
        <v>5</v>
      </c>
      <c r="AT9" s="22">
        <v>2</v>
      </c>
      <c r="AU9" s="22">
        <v>12</v>
      </c>
      <c r="AV9" s="22">
        <f ca="1">SUMIFS('Tổng Đơn'!$F:$F,'Tổng Đơn'!$B:$B,$C9)</f>
        <v>2</v>
      </c>
      <c r="AW9" s="59">
        <v>0</v>
      </c>
      <c r="AX9" s="59">
        <f t="shared" si="9"/>
        <v>0</v>
      </c>
      <c r="AY9" s="59">
        <v>45</v>
      </c>
    </row>
    <row r="10" spans="1:51" ht="18.75" x14ac:dyDescent="0.25">
      <c r="A10" s="59">
        <f t="shared" ca="1" si="1"/>
        <v>4822.8801624646867</v>
      </c>
      <c r="B10" s="6">
        <v>6</v>
      </c>
      <c r="C10" s="61" t="s">
        <v>203</v>
      </c>
      <c r="D10" s="69">
        <f>(64*20)/22</f>
        <v>58.18181818181818</v>
      </c>
      <c r="E10" s="6">
        <v>0.5</v>
      </c>
      <c r="F10" s="6">
        <f>176+88+88+132+88+132+44+44+40+80+120+40+40+40+40+40+40+40+40+40+80+40+40+40+40+40+40+40+80+80+40+40+80</f>
        <v>2072</v>
      </c>
      <c r="G10" s="63">
        <f t="shared" si="2"/>
        <v>29.09090909090909</v>
      </c>
      <c r="H10" s="64">
        <f t="shared" si="3"/>
        <v>60276.363636363632</v>
      </c>
      <c r="I10" s="65">
        <f t="shared" si="4"/>
        <v>0.67995610949021235</v>
      </c>
      <c r="J10" s="139">
        <f t="shared" si="5"/>
        <v>29.770865200399303</v>
      </c>
      <c r="K10" s="66">
        <f t="shared" si="10"/>
        <v>61685.232695227358</v>
      </c>
      <c r="L10" s="70">
        <v>35</v>
      </c>
      <c r="M10" s="64">
        <f t="shared" si="6"/>
        <v>72520</v>
      </c>
      <c r="N10" s="64">
        <f t="shared" ca="1" si="7"/>
        <v>66955</v>
      </c>
      <c r="O10" s="71">
        <f t="shared" ca="1" si="8"/>
        <v>162</v>
      </c>
      <c r="P10" s="58">
        <v>-3</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v>5</v>
      </c>
      <c r="AL10" s="22">
        <v>4</v>
      </c>
      <c r="AM10" s="22">
        <v>26</v>
      </c>
      <c r="AN10" s="22">
        <v>4</v>
      </c>
      <c r="AO10" s="22">
        <v>5</v>
      </c>
      <c r="AP10" s="22">
        <v>1</v>
      </c>
      <c r="AQ10" s="22">
        <v>4</v>
      </c>
      <c r="AR10" s="22">
        <v>0</v>
      </c>
      <c r="AS10" s="22">
        <v>4</v>
      </c>
      <c r="AT10" s="22">
        <v>2</v>
      </c>
      <c r="AU10" s="22">
        <v>2</v>
      </c>
      <c r="AV10" s="22">
        <f ca="1">SUMIFS('Tổng Đơn'!$F:$F,'Tổng Đơn'!$B:$B,$C10)</f>
        <v>2</v>
      </c>
      <c r="AW10" s="59">
        <v>0</v>
      </c>
      <c r="AX10" s="59">
        <f t="shared" si="9"/>
        <v>0</v>
      </c>
      <c r="AY10" s="59">
        <v>64</v>
      </c>
    </row>
    <row r="11" spans="1:51" ht="18.75" x14ac:dyDescent="0.25">
      <c r="A11" s="59">
        <f t="shared" ca="1" si="1"/>
        <v>1709.4989001791789</v>
      </c>
      <c r="B11" s="6">
        <v>7</v>
      </c>
      <c r="C11" s="61" t="s">
        <v>204</v>
      </c>
      <c r="D11" s="69">
        <f>(75*20)/22</f>
        <v>68.181818181818187</v>
      </c>
      <c r="E11" s="6">
        <v>0.5</v>
      </c>
      <c r="F11" s="6">
        <f>44+44+88+40+40+40+40+40</f>
        <v>376</v>
      </c>
      <c r="G11" s="63">
        <f t="shared" si="2"/>
        <v>34.090909090909093</v>
      </c>
      <c r="H11" s="64">
        <f t="shared" si="3"/>
        <v>12818.18181818182</v>
      </c>
      <c r="I11" s="65">
        <f t="shared" si="4"/>
        <v>0.79682356580884273</v>
      </c>
      <c r="J11" s="139">
        <f t="shared" si="5"/>
        <v>34.887732656717937</v>
      </c>
      <c r="K11" s="66">
        <f t="shared" si="10"/>
        <v>13117.787478925944</v>
      </c>
      <c r="L11" s="70">
        <v>40</v>
      </c>
      <c r="M11" s="64">
        <f t="shared" si="6"/>
        <v>15040</v>
      </c>
      <c r="N11" s="64">
        <f t="shared" ca="1" si="7"/>
        <v>12720</v>
      </c>
      <c r="O11" s="71">
        <f t="shared" ca="1" si="8"/>
        <v>49</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v>0</v>
      </c>
      <c r="AL11" s="22">
        <v>0</v>
      </c>
      <c r="AM11" s="22">
        <v>2</v>
      </c>
      <c r="AN11" s="22">
        <v>0</v>
      </c>
      <c r="AO11" s="22">
        <v>1</v>
      </c>
      <c r="AP11" s="22">
        <v>0</v>
      </c>
      <c r="AQ11" s="22">
        <v>1</v>
      </c>
      <c r="AR11" s="22">
        <v>0</v>
      </c>
      <c r="AS11" s="22">
        <v>3</v>
      </c>
      <c r="AT11" s="22">
        <v>0</v>
      </c>
      <c r="AU11" s="22">
        <v>2</v>
      </c>
      <c r="AV11" s="22">
        <f ca="1">SUMIFS('Tổng Đơn'!$F:$F,'Tổng Đơn'!$B:$B,$C11)</f>
        <v>2</v>
      </c>
      <c r="AW11" s="59">
        <v>0</v>
      </c>
      <c r="AX11" s="59">
        <f>AW11*AY11/2</f>
        <v>0</v>
      </c>
      <c r="AY11" s="59">
        <v>75</v>
      </c>
    </row>
    <row r="12" spans="1:51" ht="18.75" x14ac:dyDescent="0.25">
      <c r="A12" s="59">
        <f t="shared" ca="1" si="1"/>
        <v>1666.0520437773459</v>
      </c>
      <c r="B12" s="6">
        <v>8</v>
      </c>
      <c r="C12" s="61" t="s">
        <v>205</v>
      </c>
      <c r="D12" s="69">
        <v>74</v>
      </c>
      <c r="E12" s="6">
        <v>0.5</v>
      </c>
      <c r="F12" s="6">
        <f>80+80+40+40+40+40+40+40</f>
        <v>400</v>
      </c>
      <c r="G12" s="63">
        <f t="shared" si="2"/>
        <v>37</v>
      </c>
      <c r="H12" s="64">
        <f t="shared" si="3"/>
        <v>14800</v>
      </c>
      <c r="I12" s="65">
        <f t="shared" si="4"/>
        <v>0.86481917675786391</v>
      </c>
      <c r="J12" s="139">
        <f t="shared" si="5"/>
        <v>37.864819176757862</v>
      </c>
      <c r="K12" s="66">
        <f t="shared" si="10"/>
        <v>15145.927670703146</v>
      </c>
      <c r="L12" s="70">
        <v>43</v>
      </c>
      <c r="M12" s="64">
        <f t="shared" si="6"/>
        <v>17200</v>
      </c>
      <c r="N12" s="64">
        <f t="shared" ca="1" si="7"/>
        <v>15308</v>
      </c>
      <c r="O12" s="71">
        <f t="shared" ca="1" si="8"/>
        <v>44</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v>0</v>
      </c>
      <c r="AL12" s="22">
        <v>0</v>
      </c>
      <c r="AM12" s="22">
        <v>1</v>
      </c>
      <c r="AN12" s="22">
        <v>0</v>
      </c>
      <c r="AO12" s="22">
        <v>7</v>
      </c>
      <c r="AP12" s="22">
        <v>0</v>
      </c>
      <c r="AQ12" s="22">
        <v>0</v>
      </c>
      <c r="AR12" s="22">
        <v>0</v>
      </c>
      <c r="AS12" s="22">
        <v>1</v>
      </c>
      <c r="AT12" s="22">
        <v>0</v>
      </c>
      <c r="AU12" s="22">
        <v>1</v>
      </c>
      <c r="AV12" s="22">
        <f ca="1">SUMIFS('Tổng Đơn'!$F:$F,'Tổng Đơn'!$B:$B,$C12)</f>
        <v>0</v>
      </c>
      <c r="AW12" s="59">
        <v>0</v>
      </c>
      <c r="AX12" s="59">
        <f t="shared" si="9"/>
        <v>0</v>
      </c>
      <c r="AY12" s="59">
        <v>74</v>
      </c>
    </row>
  </sheetData>
  <autoFilter ref="B4:AW12"/>
  <mergeCells count="1">
    <mergeCell ref="B1:M1"/>
  </mergeCells>
  <conditionalFormatting sqref="C6:C12">
    <cfRule type="expression" dxfId="632" priority="8">
      <formula>($O6/$O6)&lt;=1/4</formula>
    </cfRule>
  </conditionalFormatting>
  <conditionalFormatting sqref="C5:C12">
    <cfRule type="expression" dxfId="63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1" t="s">
        <v>93</v>
      </c>
      <c r="M1" s="241" t="s">
        <v>94</v>
      </c>
      <c r="N1" s="241" t="s">
        <v>16</v>
      </c>
      <c r="O1" s="241" t="s">
        <v>104</v>
      </c>
      <c r="P1" s="131" t="s">
        <v>94</v>
      </c>
      <c r="Q1" s="116" t="s">
        <v>164</v>
      </c>
      <c r="R1" s="117">
        <f>SUBTOTAL(9,R2:R31)</f>
        <v>0</v>
      </c>
    </row>
    <row r="2" spans="1:18" s="122" customFormat="1" ht="18.75" x14ac:dyDescent="0.3">
      <c r="A2" s="118" t="s">
        <v>185</v>
      </c>
      <c r="B2" s="119" t="s">
        <v>303</v>
      </c>
      <c r="C2" s="118" t="s">
        <v>186</v>
      </c>
      <c r="D2" s="120">
        <v>110000</v>
      </c>
      <c r="E2" s="121"/>
      <c r="F2" s="121"/>
      <c r="G2" s="121"/>
      <c r="H2" s="121"/>
      <c r="I2" s="121"/>
      <c r="J2" s="121"/>
      <c r="K2" s="121"/>
      <c r="L2" s="238">
        <v>1</v>
      </c>
      <c r="M2" s="238" t="s">
        <v>95</v>
      </c>
      <c r="N2" s="242" t="s">
        <v>249</v>
      </c>
      <c r="O2" s="243">
        <v>48000</v>
      </c>
      <c r="P2" s="132">
        <f t="shared" ref="P2:P65" si="0">IF($N2="","",LOOKUP(2,1/($N2=$B$2:$B$100),$A$2:$A$100))</f>
        <v>1</v>
      </c>
      <c r="Q2" s="123"/>
      <c r="R2" s="124">
        <f t="shared" ref="R2:R9" si="1">O2*Q2</f>
        <v>0</v>
      </c>
    </row>
    <row r="3" spans="1:18" s="122" customFormat="1" ht="18.75" x14ac:dyDescent="0.3">
      <c r="A3" s="118" t="s">
        <v>310</v>
      </c>
      <c r="B3" s="119" t="s">
        <v>304</v>
      </c>
      <c r="C3" s="118" t="s">
        <v>315</v>
      </c>
      <c r="D3" s="120">
        <v>122000</v>
      </c>
      <c r="E3" s="121"/>
      <c r="F3" s="121"/>
      <c r="G3" s="121"/>
      <c r="H3" s="121"/>
      <c r="I3" s="121"/>
      <c r="J3" s="121"/>
      <c r="K3" s="121"/>
      <c r="L3" s="238">
        <v>2</v>
      </c>
      <c r="M3" s="238" t="s">
        <v>96</v>
      </c>
      <c r="N3" s="242" t="s">
        <v>309</v>
      </c>
      <c r="O3" s="243">
        <v>40000</v>
      </c>
      <c r="P3" s="132">
        <f t="shared" si="0"/>
        <v>2</v>
      </c>
      <c r="Q3" s="123"/>
      <c r="R3" s="124">
        <f t="shared" si="1"/>
        <v>0</v>
      </c>
    </row>
    <row r="4" spans="1:18" s="122" customFormat="1" ht="18.75" x14ac:dyDescent="0.3">
      <c r="A4" s="118" t="s">
        <v>311</v>
      </c>
      <c r="B4" s="119" t="s">
        <v>305</v>
      </c>
      <c r="C4" s="118" t="s">
        <v>316</v>
      </c>
      <c r="D4" s="120">
        <v>95000</v>
      </c>
      <c r="E4" s="121"/>
      <c r="F4" s="121"/>
      <c r="G4" s="121"/>
      <c r="H4" s="121"/>
      <c r="I4" s="121"/>
      <c r="J4" s="121"/>
      <c r="K4" s="121"/>
      <c r="L4" s="238">
        <v>3</v>
      </c>
      <c r="M4" s="238" t="s">
        <v>97</v>
      </c>
      <c r="N4" s="242" t="s">
        <v>308</v>
      </c>
      <c r="O4" s="243">
        <v>42000</v>
      </c>
      <c r="P4" s="132">
        <f t="shared" si="0"/>
        <v>3</v>
      </c>
      <c r="Q4" s="123"/>
      <c r="R4" s="124">
        <f t="shared" si="1"/>
        <v>0</v>
      </c>
    </row>
    <row r="5" spans="1:18" s="122" customFormat="1" ht="18.75" x14ac:dyDescent="0.3">
      <c r="A5" s="118" t="s">
        <v>312</v>
      </c>
      <c r="B5" s="119" t="s">
        <v>319</v>
      </c>
      <c r="C5" s="118" t="s">
        <v>317</v>
      </c>
      <c r="D5" s="120">
        <v>116000</v>
      </c>
      <c r="E5" s="121"/>
      <c r="F5" s="121"/>
      <c r="G5" s="121"/>
      <c r="H5" s="121"/>
      <c r="I5" s="121"/>
      <c r="J5" s="121"/>
      <c r="K5" s="121"/>
      <c r="L5" s="238">
        <v>4</v>
      </c>
      <c r="M5" s="239" t="s">
        <v>98</v>
      </c>
      <c r="N5" s="242" t="s">
        <v>3</v>
      </c>
      <c r="O5" s="244">
        <v>30000</v>
      </c>
      <c r="P5" s="132">
        <f t="shared" si="0"/>
        <v>4</v>
      </c>
      <c r="Q5" s="123"/>
      <c r="R5" s="124">
        <f t="shared" si="1"/>
        <v>0</v>
      </c>
    </row>
    <row r="6" spans="1:18" s="122" customFormat="1" ht="18.75" x14ac:dyDescent="0.3">
      <c r="A6" s="118" t="s">
        <v>313</v>
      </c>
      <c r="B6" s="119" t="s">
        <v>306</v>
      </c>
      <c r="C6" s="118" t="s">
        <v>318</v>
      </c>
      <c r="D6" s="120">
        <v>48000</v>
      </c>
      <c r="E6" s="121"/>
      <c r="F6" s="121"/>
      <c r="G6" s="121"/>
      <c r="H6" s="121"/>
      <c r="I6" s="121"/>
      <c r="J6" s="121"/>
      <c r="K6" s="121"/>
      <c r="L6" s="238">
        <v>5</v>
      </c>
      <c r="M6" s="239" t="s">
        <v>99</v>
      </c>
      <c r="N6" s="242" t="s">
        <v>27</v>
      </c>
      <c r="O6" s="244">
        <v>38000</v>
      </c>
      <c r="P6" s="132">
        <f t="shared" si="0"/>
        <v>5</v>
      </c>
      <c r="Q6" s="123"/>
      <c r="R6" s="124">
        <f t="shared" si="1"/>
        <v>0</v>
      </c>
    </row>
    <row r="7" spans="1:18" s="122" customFormat="1" ht="18.75" x14ac:dyDescent="0.3">
      <c r="A7" s="118" t="s">
        <v>314</v>
      </c>
      <c r="B7" s="119" t="s">
        <v>307</v>
      </c>
      <c r="C7" s="118" t="s">
        <v>320</v>
      </c>
      <c r="D7" s="120">
        <v>43000</v>
      </c>
      <c r="E7" s="121"/>
      <c r="F7" s="121"/>
      <c r="G7" s="121"/>
      <c r="H7" s="121"/>
      <c r="I7" s="121"/>
      <c r="J7" s="121"/>
      <c r="K7" s="121"/>
      <c r="L7" s="238">
        <v>6</v>
      </c>
      <c r="M7" s="239" t="s">
        <v>100</v>
      </c>
      <c r="N7" s="242" t="s">
        <v>25</v>
      </c>
      <c r="O7" s="244">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38">
        <v>7</v>
      </c>
      <c r="M8" s="239" t="s">
        <v>101</v>
      </c>
      <c r="N8" s="242" t="s">
        <v>53</v>
      </c>
      <c r="O8" s="243">
        <v>35000</v>
      </c>
      <c r="P8" s="132">
        <f t="shared" si="0"/>
        <v>7</v>
      </c>
      <c r="Q8" s="123"/>
      <c r="R8" s="124">
        <f t="shared" si="1"/>
        <v>0</v>
      </c>
    </row>
    <row r="9" spans="1:18" s="122" customFormat="1" ht="18.75" x14ac:dyDescent="0.3">
      <c r="A9" s="118">
        <v>2</v>
      </c>
      <c r="B9" s="119" t="s">
        <v>309</v>
      </c>
      <c r="C9" s="118" t="s">
        <v>96</v>
      </c>
      <c r="D9" s="120">
        <v>40000</v>
      </c>
      <c r="E9" s="121"/>
      <c r="F9" s="121"/>
      <c r="G9" s="121"/>
      <c r="H9" s="121"/>
      <c r="I9" s="121"/>
      <c r="J9" s="121"/>
      <c r="K9" s="121"/>
      <c r="L9" s="238">
        <v>8</v>
      </c>
      <c r="M9" s="239" t="s">
        <v>102</v>
      </c>
      <c r="N9" s="242" t="s">
        <v>139</v>
      </c>
      <c r="O9" s="243">
        <v>45000</v>
      </c>
      <c r="P9" s="132">
        <f t="shared" si="0"/>
        <v>8</v>
      </c>
      <c r="Q9" s="123"/>
      <c r="R9" s="124">
        <f t="shared" si="1"/>
        <v>0</v>
      </c>
    </row>
    <row r="10" spans="1:18" s="122" customFormat="1" ht="18.75" x14ac:dyDescent="0.3">
      <c r="A10" s="118">
        <v>3</v>
      </c>
      <c r="B10" s="119" t="s">
        <v>308</v>
      </c>
      <c r="C10" s="118" t="s">
        <v>97</v>
      </c>
      <c r="D10" s="120">
        <v>42000</v>
      </c>
      <c r="E10" s="121"/>
      <c r="F10" s="121"/>
      <c r="G10" s="121"/>
      <c r="H10" s="121"/>
      <c r="I10" s="121"/>
      <c r="J10" s="121"/>
      <c r="K10" s="121"/>
      <c r="L10" s="238">
        <v>9</v>
      </c>
      <c r="M10" s="239" t="s">
        <v>103</v>
      </c>
      <c r="N10" s="242" t="s">
        <v>6</v>
      </c>
      <c r="O10" s="243">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38">
        <v>10</v>
      </c>
      <c r="M11" s="239" t="s">
        <v>56</v>
      </c>
      <c r="N11" s="242" t="s">
        <v>50</v>
      </c>
      <c r="O11" s="243">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38">
        <v>11</v>
      </c>
      <c r="M12" s="239" t="s">
        <v>57</v>
      </c>
      <c r="N12" s="242" t="s">
        <v>31</v>
      </c>
      <c r="O12" s="243">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38">
        <v>12</v>
      </c>
      <c r="M13" s="239" t="s">
        <v>58</v>
      </c>
      <c r="N13" s="242" t="s">
        <v>28</v>
      </c>
      <c r="O13" s="243">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38">
        <v>13</v>
      </c>
      <c r="M14" s="239" t="s">
        <v>59</v>
      </c>
      <c r="N14" s="242" t="s">
        <v>30</v>
      </c>
      <c r="O14" s="243">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38">
        <v>14</v>
      </c>
      <c r="M15" s="239" t="s">
        <v>60</v>
      </c>
      <c r="N15" s="242" t="s">
        <v>29</v>
      </c>
      <c r="O15" s="243">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38">
        <v>15</v>
      </c>
      <c r="M16" s="239" t="s">
        <v>61</v>
      </c>
      <c r="N16" s="242" t="s">
        <v>5</v>
      </c>
      <c r="O16" s="243">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38">
        <v>16</v>
      </c>
      <c r="M17" s="239" t="s">
        <v>62</v>
      </c>
      <c r="N17" s="242" t="s">
        <v>4</v>
      </c>
      <c r="O17" s="243">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38">
        <v>17</v>
      </c>
      <c r="M18" s="239" t="s">
        <v>63</v>
      </c>
      <c r="N18" s="242" t="s">
        <v>8</v>
      </c>
      <c r="O18" s="243">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38">
        <v>18</v>
      </c>
      <c r="M19" s="239" t="s">
        <v>64</v>
      </c>
      <c r="N19" s="242" t="s">
        <v>13</v>
      </c>
      <c r="O19" s="243">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38">
        <v>19</v>
      </c>
      <c r="M20" s="239" t="s">
        <v>65</v>
      </c>
      <c r="N20" s="242" t="s">
        <v>7</v>
      </c>
      <c r="O20" s="243">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38">
        <v>20</v>
      </c>
      <c r="M21" s="239" t="s">
        <v>66</v>
      </c>
      <c r="N21" s="242" t="s">
        <v>250</v>
      </c>
      <c r="O21" s="243">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38">
        <v>21</v>
      </c>
      <c r="M22" s="239" t="s">
        <v>67</v>
      </c>
      <c r="N22" s="242" t="s">
        <v>26</v>
      </c>
      <c r="O22" s="243">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38">
        <v>22</v>
      </c>
      <c r="M23" s="239" t="s">
        <v>68</v>
      </c>
      <c r="N23" s="242" t="s">
        <v>34</v>
      </c>
      <c r="O23" s="243">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38">
        <v>23</v>
      </c>
      <c r="M24" s="239" t="s">
        <v>69</v>
      </c>
      <c r="N24" s="242" t="s">
        <v>35</v>
      </c>
      <c r="O24" s="243">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38">
        <v>24</v>
      </c>
      <c r="M25" s="239" t="s">
        <v>70</v>
      </c>
      <c r="N25" s="242" t="s">
        <v>55</v>
      </c>
      <c r="O25" s="243">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38">
        <v>25</v>
      </c>
      <c r="M26" s="239" t="s">
        <v>71</v>
      </c>
      <c r="N26" s="242" t="s">
        <v>36</v>
      </c>
      <c r="O26" s="243">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38">
        <v>26</v>
      </c>
      <c r="M27" s="239" t="s">
        <v>72</v>
      </c>
      <c r="N27" s="242" t="s">
        <v>37</v>
      </c>
      <c r="O27" s="243">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38">
        <v>27</v>
      </c>
      <c r="M28" s="239" t="s">
        <v>73</v>
      </c>
      <c r="N28" s="242" t="s">
        <v>38</v>
      </c>
      <c r="O28" s="243">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38">
        <v>28</v>
      </c>
      <c r="M29" s="239" t="s">
        <v>74</v>
      </c>
      <c r="N29" s="242" t="s">
        <v>39</v>
      </c>
      <c r="O29" s="243">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38">
        <v>29</v>
      </c>
      <c r="M30" s="239" t="s">
        <v>75</v>
      </c>
      <c r="N30" s="242" t="s">
        <v>44</v>
      </c>
      <c r="O30" s="243">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38">
        <v>30</v>
      </c>
      <c r="M31" s="239" t="s">
        <v>76</v>
      </c>
      <c r="N31" s="242" t="s">
        <v>45</v>
      </c>
      <c r="O31" s="243">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38">
        <v>31</v>
      </c>
      <c r="M32" s="239" t="s">
        <v>77</v>
      </c>
      <c r="N32" s="242" t="s">
        <v>41</v>
      </c>
      <c r="O32" s="243">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38">
        <v>32</v>
      </c>
      <c r="M33" s="239" t="s">
        <v>78</v>
      </c>
      <c r="N33" s="242" t="s">
        <v>40</v>
      </c>
      <c r="O33" s="243">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38">
        <v>33</v>
      </c>
      <c r="M34" s="239" t="s">
        <v>79</v>
      </c>
      <c r="N34" s="242" t="s">
        <v>43</v>
      </c>
      <c r="O34" s="243">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38">
        <v>34</v>
      </c>
      <c r="M35" s="239" t="s">
        <v>80</v>
      </c>
      <c r="N35" s="242" t="s">
        <v>33</v>
      </c>
      <c r="O35" s="243">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38">
        <v>35</v>
      </c>
      <c r="M36" s="239" t="s">
        <v>81</v>
      </c>
      <c r="N36" s="242" t="s">
        <v>47</v>
      </c>
      <c r="O36" s="243">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38">
        <v>36</v>
      </c>
      <c r="M37" s="239" t="s">
        <v>82</v>
      </c>
      <c r="N37" s="242" t="s">
        <v>48</v>
      </c>
      <c r="O37" s="243">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38">
        <v>37</v>
      </c>
      <c r="M38" s="239" t="s">
        <v>83</v>
      </c>
      <c r="N38" s="242" t="s">
        <v>42</v>
      </c>
      <c r="O38" s="243">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38">
        <v>38</v>
      </c>
      <c r="M39" s="239" t="s">
        <v>84</v>
      </c>
      <c r="N39" s="242" t="s">
        <v>248</v>
      </c>
      <c r="O39" s="243">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38">
        <v>39</v>
      </c>
      <c r="M40" s="239" t="s">
        <v>85</v>
      </c>
      <c r="N40" s="242" t="s">
        <v>120</v>
      </c>
      <c r="O40" s="243">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38">
        <v>40</v>
      </c>
      <c r="M41" s="239" t="s">
        <v>86</v>
      </c>
      <c r="N41" s="242" t="s">
        <v>215</v>
      </c>
      <c r="O41" s="243">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38">
        <v>41</v>
      </c>
      <c r="M42" s="239" t="s">
        <v>87</v>
      </c>
      <c r="N42" s="242" t="s">
        <v>123</v>
      </c>
      <c r="O42" s="243">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38">
        <v>42</v>
      </c>
      <c r="M43" s="239" t="s">
        <v>88</v>
      </c>
      <c r="N43" s="242" t="s">
        <v>126</v>
      </c>
      <c r="O43" s="243">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38">
        <v>43</v>
      </c>
      <c r="M44" s="239" t="s">
        <v>89</v>
      </c>
      <c r="N44" s="242" t="s">
        <v>141</v>
      </c>
      <c r="O44" s="243">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38">
        <v>44</v>
      </c>
      <c r="M45" s="239" t="s">
        <v>90</v>
      </c>
      <c r="N45" s="242" t="s">
        <v>143</v>
      </c>
      <c r="O45" s="243">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38">
        <v>45</v>
      </c>
      <c r="M46" s="239" t="s">
        <v>91</v>
      </c>
      <c r="N46" s="242" t="s">
        <v>280</v>
      </c>
      <c r="O46" s="243">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38">
        <v>46</v>
      </c>
      <c r="M47" s="239" t="s">
        <v>92</v>
      </c>
      <c r="N47" s="242" t="s">
        <v>295</v>
      </c>
      <c r="O47" s="243">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38">
        <v>47</v>
      </c>
      <c r="M48" s="239" t="s">
        <v>110</v>
      </c>
      <c r="N48" s="242" t="s">
        <v>149</v>
      </c>
      <c r="O48" s="243">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38">
        <v>48</v>
      </c>
      <c r="M49" s="239" t="s">
        <v>121</v>
      </c>
      <c r="N49" s="242" t="s">
        <v>246</v>
      </c>
      <c r="O49" s="243">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38">
        <v>49</v>
      </c>
      <c r="M50" s="239" t="s">
        <v>122</v>
      </c>
      <c r="N50" s="242" t="s">
        <v>155</v>
      </c>
      <c r="O50" s="243">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38">
        <v>50</v>
      </c>
      <c r="M51" s="239" t="s">
        <v>124</v>
      </c>
      <c r="N51" s="242" t="s">
        <v>156</v>
      </c>
      <c r="O51" s="243">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38">
        <v>51</v>
      </c>
      <c r="M52" s="239" t="s">
        <v>136</v>
      </c>
      <c r="N52" s="242" t="s">
        <v>162</v>
      </c>
      <c r="O52" s="243">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38">
        <v>52</v>
      </c>
      <c r="M53" s="239" t="s">
        <v>142</v>
      </c>
      <c r="N53" s="242" t="s">
        <v>175</v>
      </c>
      <c r="O53" s="243">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38">
        <v>53</v>
      </c>
      <c r="M54" s="239" t="s">
        <v>144</v>
      </c>
      <c r="N54" s="242" t="s">
        <v>178</v>
      </c>
      <c r="O54" s="243">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38">
        <v>54</v>
      </c>
      <c r="M55" s="239" t="s">
        <v>150</v>
      </c>
      <c r="N55" s="242" t="s">
        <v>181</v>
      </c>
      <c r="O55" s="243">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38">
        <v>55</v>
      </c>
      <c r="M56" s="239" t="s">
        <v>151</v>
      </c>
      <c r="N56" s="242" t="s">
        <v>180</v>
      </c>
      <c r="O56" s="243">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38">
        <v>56</v>
      </c>
      <c r="M57" s="239" t="s">
        <v>153</v>
      </c>
      <c r="N57" s="242" t="s">
        <v>206</v>
      </c>
      <c r="O57" s="243">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38">
        <v>57</v>
      </c>
      <c r="M58" s="239" t="s">
        <v>154</v>
      </c>
      <c r="N58" s="242" t="s">
        <v>198</v>
      </c>
      <c r="O58" s="243">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38">
        <v>58</v>
      </c>
      <c r="M59" s="239" t="s">
        <v>157</v>
      </c>
      <c r="N59" s="242" t="s">
        <v>199</v>
      </c>
      <c r="O59" s="243">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38">
        <v>59</v>
      </c>
      <c r="M60" s="239" t="s">
        <v>158</v>
      </c>
      <c r="N60" s="242" t="s">
        <v>200</v>
      </c>
      <c r="O60" s="243">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38">
        <v>60</v>
      </c>
      <c r="M61" s="239" t="s">
        <v>163</v>
      </c>
      <c r="N61" s="242" t="s">
        <v>201</v>
      </c>
      <c r="O61" s="243">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38">
        <v>61</v>
      </c>
      <c r="M62" s="239" t="s">
        <v>176</v>
      </c>
      <c r="N62" s="242" t="s">
        <v>202</v>
      </c>
      <c r="O62" s="243">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38">
        <v>62</v>
      </c>
      <c r="M63" s="239" t="s">
        <v>179</v>
      </c>
      <c r="N63" s="242" t="s">
        <v>203</v>
      </c>
      <c r="O63" s="243">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38">
        <v>63</v>
      </c>
      <c r="M64" s="239" t="s">
        <v>182</v>
      </c>
      <c r="N64" s="242" t="s">
        <v>204</v>
      </c>
      <c r="O64" s="243">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38">
        <v>64</v>
      </c>
      <c r="M65" s="239" t="s">
        <v>183</v>
      </c>
      <c r="N65" s="242" t="s">
        <v>205</v>
      </c>
      <c r="O65" s="243">
        <v>45000</v>
      </c>
      <c r="P65" s="132">
        <f t="shared" si="0"/>
        <v>64</v>
      </c>
      <c r="Q65" s="123"/>
      <c r="R65" s="123"/>
    </row>
    <row r="66" spans="1:18" ht="18.75" x14ac:dyDescent="0.3">
      <c r="A66" s="118">
        <v>59</v>
      </c>
      <c r="B66" s="119" t="s">
        <v>200</v>
      </c>
      <c r="C66" s="118" t="s">
        <v>158</v>
      </c>
      <c r="D66" s="120">
        <v>28000</v>
      </c>
      <c r="L66" s="238">
        <v>65</v>
      </c>
      <c r="M66" s="239" t="s">
        <v>207</v>
      </c>
      <c r="N66" s="242" t="s">
        <v>251</v>
      </c>
      <c r="O66" s="243">
        <v>40000</v>
      </c>
      <c r="P66" s="132">
        <f t="shared" ref="P66:P78" si="3">IF($N66="","",LOOKUP(2,1/($N66=$B$2:$B$100),$A$2:$A$100))</f>
        <v>65</v>
      </c>
      <c r="Q66" s="123"/>
    </row>
    <row r="67" spans="1:18" ht="18.75" x14ac:dyDescent="0.3">
      <c r="A67" s="118">
        <v>60</v>
      </c>
      <c r="B67" s="119" t="s">
        <v>201</v>
      </c>
      <c r="C67" s="118" t="s">
        <v>163</v>
      </c>
      <c r="D67" s="120">
        <v>28000</v>
      </c>
      <c r="L67" s="238">
        <v>66</v>
      </c>
      <c r="M67" s="239" t="s">
        <v>272</v>
      </c>
      <c r="N67" s="242" t="s">
        <v>271</v>
      </c>
      <c r="O67" s="243">
        <v>40000</v>
      </c>
      <c r="P67" s="132">
        <f t="shared" si="3"/>
        <v>66</v>
      </c>
      <c r="Q67" s="123"/>
    </row>
    <row r="68" spans="1:18" ht="18.75" x14ac:dyDescent="0.3">
      <c r="A68" s="118">
        <v>61</v>
      </c>
      <c r="B68" s="119" t="s">
        <v>202</v>
      </c>
      <c r="C68" s="118" t="s">
        <v>176</v>
      </c>
      <c r="D68" s="120">
        <v>26000</v>
      </c>
      <c r="L68" s="238" t="s">
        <v>185</v>
      </c>
      <c r="M68" s="239" t="s">
        <v>186</v>
      </c>
      <c r="N68" s="242" t="s">
        <v>303</v>
      </c>
      <c r="O68" s="243">
        <v>110000</v>
      </c>
      <c r="P68" s="132" t="str">
        <f t="shared" si="3"/>
        <v>G1</v>
      </c>
      <c r="Q68" s="123"/>
    </row>
    <row r="69" spans="1:18" ht="18.75" x14ac:dyDescent="0.3">
      <c r="A69" s="118">
        <v>62</v>
      </c>
      <c r="B69" s="119" t="s">
        <v>203</v>
      </c>
      <c r="C69" s="118" t="s">
        <v>179</v>
      </c>
      <c r="D69" s="120">
        <v>35000</v>
      </c>
      <c r="L69" s="239" t="s">
        <v>310</v>
      </c>
      <c r="M69" s="239" t="s">
        <v>315</v>
      </c>
      <c r="N69" s="242" t="s">
        <v>304</v>
      </c>
      <c r="O69" s="243">
        <v>122000</v>
      </c>
      <c r="P69" s="132" t="str">
        <f t="shared" si="3"/>
        <v>G2</v>
      </c>
      <c r="Q69" s="123"/>
    </row>
    <row r="70" spans="1:18" ht="18.75" x14ac:dyDescent="0.3">
      <c r="A70" s="118">
        <v>63</v>
      </c>
      <c r="B70" s="119" t="s">
        <v>204</v>
      </c>
      <c r="C70" s="118" t="s">
        <v>182</v>
      </c>
      <c r="D70" s="120">
        <v>42000</v>
      </c>
      <c r="L70" s="239" t="s">
        <v>311</v>
      </c>
      <c r="M70" s="239" t="s">
        <v>316</v>
      </c>
      <c r="N70" s="242" t="s">
        <v>305</v>
      </c>
      <c r="O70" s="243">
        <v>95000</v>
      </c>
      <c r="P70" s="132" t="str">
        <f t="shared" si="3"/>
        <v>G3</v>
      </c>
      <c r="Q70" s="123"/>
    </row>
    <row r="71" spans="1:18" ht="18.75" x14ac:dyDescent="0.3">
      <c r="A71" s="118">
        <v>64</v>
      </c>
      <c r="B71" s="119" t="s">
        <v>205</v>
      </c>
      <c r="C71" s="118" t="s">
        <v>183</v>
      </c>
      <c r="D71" s="120">
        <v>45000</v>
      </c>
      <c r="L71" s="239" t="s">
        <v>312</v>
      </c>
      <c r="M71" s="239" t="s">
        <v>317</v>
      </c>
      <c r="N71" s="242" t="s">
        <v>319</v>
      </c>
      <c r="O71" s="243">
        <v>116000</v>
      </c>
      <c r="P71" s="132" t="str">
        <f t="shared" si="3"/>
        <v>G4</v>
      </c>
      <c r="Q71" s="123"/>
    </row>
    <row r="72" spans="1:18" ht="18.75" x14ac:dyDescent="0.3">
      <c r="A72" s="118">
        <v>65</v>
      </c>
      <c r="B72" s="119" t="s">
        <v>251</v>
      </c>
      <c r="C72" s="118" t="s">
        <v>207</v>
      </c>
      <c r="D72" s="120">
        <v>40000</v>
      </c>
      <c r="L72" s="239" t="s">
        <v>313</v>
      </c>
      <c r="M72" s="239" t="s">
        <v>318</v>
      </c>
      <c r="N72" s="242" t="s">
        <v>306</v>
      </c>
      <c r="O72" s="243">
        <v>48000</v>
      </c>
      <c r="P72" s="132" t="str">
        <f t="shared" si="3"/>
        <v>G5</v>
      </c>
      <c r="Q72" s="123"/>
    </row>
    <row r="73" spans="1:18" ht="18.75" x14ac:dyDescent="0.3">
      <c r="A73" s="118">
        <v>66</v>
      </c>
      <c r="B73" s="119" t="s">
        <v>271</v>
      </c>
      <c r="C73" s="118" t="s">
        <v>272</v>
      </c>
      <c r="D73" s="120">
        <v>40000</v>
      </c>
      <c r="L73" s="239" t="s">
        <v>314</v>
      </c>
      <c r="M73" s="239" t="s">
        <v>320</v>
      </c>
      <c r="N73" s="242" t="s">
        <v>307</v>
      </c>
      <c r="O73" s="243">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M11" sqref="M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128017</v>
      </c>
      <c r="I1" s="81">
        <f>H1-H2-H3</f>
        <v>-733637</v>
      </c>
      <c r="J1" s="88" t="s">
        <v>129</v>
      </c>
      <c r="K1" s="253" t="s">
        <v>284</v>
      </c>
      <c r="L1" s="254"/>
      <c r="M1" s="227" t="s">
        <v>283</v>
      </c>
      <c r="N1" s="228">
        <v>50000</v>
      </c>
    </row>
    <row r="2" spans="1:18" ht="30.75" customHeight="1" x14ac:dyDescent="0.25">
      <c r="E2" s="94"/>
      <c r="G2" s="91" t="s">
        <v>128</v>
      </c>
      <c r="H2" s="82">
        <f>D1</f>
        <v>50000</v>
      </c>
      <c r="I2" s="83">
        <v>-6362</v>
      </c>
      <c r="J2" s="83" t="s">
        <v>132</v>
      </c>
      <c r="K2" s="253">
        <v>235000</v>
      </c>
      <c r="L2" s="254"/>
      <c r="M2" s="227" t="s">
        <v>282</v>
      </c>
      <c r="N2" s="228">
        <v>80000</v>
      </c>
    </row>
    <row r="3" spans="1:18" ht="30.75" customHeight="1" x14ac:dyDescent="0.25">
      <c r="G3" s="84" t="s">
        <v>130</v>
      </c>
      <c r="H3" s="96">
        <f>INT('Quốc Nhân'!K4+'La Cusina'!K4+TVP!J4+Gà!K4+Kitkool!K4)</f>
        <v>811654</v>
      </c>
      <c r="I3" s="85">
        <f>I1+I2</f>
        <v>-739999</v>
      </c>
      <c r="J3" s="89" t="s">
        <v>127</v>
      </c>
      <c r="M3" s="227" t="s">
        <v>285</v>
      </c>
      <c r="N3" s="228">
        <v>55000</v>
      </c>
    </row>
    <row r="4" spans="1:18" ht="30.75" customHeight="1" x14ac:dyDescent="0.25">
      <c r="A4" s="111" t="s">
        <v>211</v>
      </c>
      <c r="B4">
        <v>3500</v>
      </c>
      <c r="G4" s="86" t="s">
        <v>177</v>
      </c>
      <c r="H4" s="126">
        <f>35000</f>
        <v>35000</v>
      </c>
      <c r="I4" s="87">
        <f ca="1">INT('Quốc Nhân'!K4+'La Cusina'!K4+TVP!J4+Gà!K4+Kitkool!K4-('Quốc Nhân'!A4+'La Cusina'!A4+TVP!A4+Gà!A4+Kitkool!A4))</f>
        <v>746436</v>
      </c>
      <c r="J4" s="90" t="s">
        <v>137</v>
      </c>
      <c r="M4" s="227" t="s">
        <v>286</v>
      </c>
      <c r="N4" s="228">
        <v>10000</v>
      </c>
    </row>
    <row r="5" spans="1:18" ht="30.75" customHeight="1" x14ac:dyDescent="0.25">
      <c r="A5" s="111" t="s">
        <v>195</v>
      </c>
      <c r="B5">
        <v>200</v>
      </c>
      <c r="G5" s="86" t="s">
        <v>288</v>
      </c>
      <c r="H5" s="126">
        <f>7400+5000+2400+10000+5000-2000-1000</f>
        <v>26800</v>
      </c>
      <c r="I5" s="92">
        <f ca="1">I4+I3</f>
        <v>6437</v>
      </c>
      <c r="J5" s="93" t="s">
        <v>138</v>
      </c>
      <c r="M5" s="229" t="s">
        <v>287</v>
      </c>
      <c r="N5" s="230">
        <v>81600</v>
      </c>
    </row>
    <row r="6" spans="1:18" x14ac:dyDescent="0.25">
      <c r="A6" s="111" t="s">
        <v>196</v>
      </c>
      <c r="B6">
        <f>1162+1204+1064</f>
        <v>3430</v>
      </c>
      <c r="C6" t="s">
        <v>112</v>
      </c>
      <c r="D6">
        <v>400</v>
      </c>
      <c r="E6" t="s">
        <v>113</v>
      </c>
      <c r="H6" s="129"/>
      <c r="I6" s="94"/>
      <c r="J6" s="94"/>
      <c r="K6" s="94"/>
      <c r="L6" s="94"/>
      <c r="M6" s="215"/>
      <c r="N6" s="14"/>
      <c r="O6" s="14"/>
      <c r="P6" s="14"/>
      <c r="Q6" s="14"/>
      <c r="R6" s="14"/>
    </row>
    <row r="7" spans="1:18" x14ac:dyDescent="0.25">
      <c r="A7" s="111" t="s">
        <v>197</v>
      </c>
      <c r="B7">
        <v>1000</v>
      </c>
      <c r="C7" t="s">
        <v>114</v>
      </c>
      <c r="D7">
        <v>1000</v>
      </c>
      <c r="E7" t="s">
        <v>113</v>
      </c>
      <c r="H7" s="94"/>
      <c r="I7" s="94">
        <f>1000+800+300+400</f>
        <v>2500</v>
      </c>
      <c r="J7" s="94"/>
      <c r="K7" s="94"/>
      <c r="L7" s="94"/>
      <c r="M7" s="14"/>
      <c r="N7" s="14"/>
      <c r="O7" s="14"/>
      <c r="P7" s="14"/>
      <c r="Q7" s="14"/>
      <c r="R7" s="14"/>
    </row>
    <row r="8" spans="1:18" x14ac:dyDescent="0.25">
      <c r="A8" t="s">
        <v>214</v>
      </c>
      <c r="B8">
        <v>250</v>
      </c>
      <c r="C8" t="s">
        <v>115</v>
      </c>
      <c r="D8">
        <v>80</v>
      </c>
      <c r="E8" t="s">
        <v>113</v>
      </c>
      <c r="H8" s="94"/>
      <c r="I8" s="94">
        <f>1240-350</f>
        <v>890</v>
      </c>
      <c r="J8" s="94"/>
      <c r="M8" s="14"/>
      <c r="N8" s="14"/>
      <c r="O8" s="14"/>
      <c r="P8" s="14"/>
      <c r="Q8" s="14"/>
      <c r="R8" s="14"/>
    </row>
    <row r="9" spans="1:18" x14ac:dyDescent="0.25">
      <c r="A9" t="s">
        <v>216</v>
      </c>
      <c r="B9">
        <v>400</v>
      </c>
      <c r="C9" t="s">
        <v>116</v>
      </c>
      <c r="D9">
        <v>145</v>
      </c>
      <c r="E9" t="s">
        <v>117</v>
      </c>
      <c r="H9" s="94"/>
      <c r="I9" s="94">
        <v>40</v>
      </c>
      <c r="J9" s="94"/>
      <c r="N9" s="14"/>
    </row>
    <row r="10" spans="1:18" x14ac:dyDescent="0.25">
      <c r="A10" t="s">
        <v>208</v>
      </c>
      <c r="B10">
        <v>300</v>
      </c>
      <c r="C10" t="s">
        <v>118</v>
      </c>
      <c r="D10">
        <v>800</v>
      </c>
      <c r="E10" t="s">
        <v>117</v>
      </c>
      <c r="H10" s="220"/>
      <c r="I10" s="94">
        <v>52</v>
      </c>
      <c r="J10" s="94"/>
      <c r="N10" s="14"/>
    </row>
    <row r="11" spans="1:18" x14ac:dyDescent="0.25">
      <c r="A11" t="s">
        <v>209</v>
      </c>
      <c r="B11">
        <f>45+56</f>
        <v>101</v>
      </c>
      <c r="C11" t="s">
        <v>119</v>
      </c>
      <c r="D11">
        <v>1500</v>
      </c>
      <c r="E11" t="s">
        <v>117</v>
      </c>
      <c r="H11" s="220"/>
      <c r="I11" s="94">
        <v>27</v>
      </c>
      <c r="J11" s="94"/>
      <c r="N11" s="14"/>
    </row>
    <row r="12" spans="1:18" x14ac:dyDescent="0.25">
      <c r="A12" t="s">
        <v>210</v>
      </c>
      <c r="B12">
        <v>119</v>
      </c>
      <c r="C12" t="s">
        <v>133</v>
      </c>
      <c r="D12">
        <v>160</v>
      </c>
      <c r="E12" t="s">
        <v>117</v>
      </c>
      <c r="I12" s="94">
        <f>2287+230</f>
        <v>2517</v>
      </c>
      <c r="J12" s="94"/>
      <c r="N12" s="14"/>
    </row>
    <row r="13" spans="1:18" x14ac:dyDescent="0.25">
      <c r="A13" t="s">
        <v>212</v>
      </c>
      <c r="B13">
        <v>140</v>
      </c>
      <c r="C13" t="s">
        <v>148</v>
      </c>
      <c r="D13">
        <v>42</v>
      </c>
      <c r="E13" t="s">
        <v>117</v>
      </c>
      <c r="H13" s="94"/>
      <c r="I13" s="94">
        <v>190</v>
      </c>
      <c r="J13" s="94" t="s">
        <v>302</v>
      </c>
      <c r="K13" s="94"/>
      <c r="L13" s="94"/>
    </row>
    <row r="14" spans="1:18" x14ac:dyDescent="0.25">
      <c r="A14" t="s">
        <v>213</v>
      </c>
      <c r="B14">
        <v>40</v>
      </c>
      <c r="C14" s="111" t="s">
        <v>159</v>
      </c>
      <c r="D14" s="111">
        <v>7500</v>
      </c>
      <c r="E14" s="111" t="s">
        <v>117</v>
      </c>
      <c r="H14" s="94"/>
      <c r="I14" s="94">
        <v>229</v>
      </c>
      <c r="J14" s="94" t="s">
        <v>302</v>
      </c>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5" t="s">
        <v>278</v>
      </c>
      <c r="D23">
        <v>1200</v>
      </c>
    </row>
    <row r="24" spans="1:10" x14ac:dyDescent="0.25">
      <c r="A24" t="s">
        <v>226</v>
      </c>
      <c r="B24">
        <v>65</v>
      </c>
      <c r="C24" s="225"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5">
        <f ca="1">'Quốc Nhân'!N4+'La Cusina'!N4+TVP!M4+Gà!N4+Kitkool!N4-('Quốc Nhân'!K4+'La Cusina'!K4+TVP!J4+Gà!K4+Kitkool!K4-('Quốc Nhân'!A4+'La Cusina'!A4+TVP!A4+Gà!A4+Kitkool!A4))</f>
        <v>114871.66158829129</v>
      </c>
      <c r="B1" s="261" t="str">
        <f>"Tiền Hàng: "&amp;INT('Quốc Nhân'!K4+'La Cusina'!K4+TVP!J4+Gà!K4+Kitkool!K4)</f>
        <v>Tiền Hàng: 811654</v>
      </c>
      <c r="C1" s="260" t="str">
        <f ca="1">"Giá trị hàng Tồn: "&amp;INT('Quốc Nhân'!A4+'La Cusina'!A4+TVP!A4+Gà!A4+Kitkool!A4)</f>
        <v>Giá trị hàng Tồn: 65218</v>
      </c>
      <c r="D1" s="259" t="str">
        <f ca="1">"Giá trị Hàng xuất: "&amp;CHAR(10)&amp;INT('Quốc Nhân'!K4+'La Cusina'!K4+TVP!J4+Gà!K4+Kitkool!K4-('Quốc Nhân'!A4+'La Cusina'!A4+TVP!A4+Gà!A4+Kitkool!A4))</f>
        <v>Giá trị Hàng xuất: 
746436</v>
      </c>
      <c r="E1" s="262" t="str">
        <f ca="1">"Doanh Thu Tích Lũy: "&amp;INT('Quốc Nhân'!N4+'La Cusina'!N4+TVP!M4+Gà!N4+Kitkool!N4)</f>
        <v>Doanh Thu Tích Lũy: 861308</v>
      </c>
      <c r="F1" s="257">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56"/>
      <c r="B2" s="261"/>
      <c r="C2" s="260"/>
      <c r="D2" s="259"/>
      <c r="E2" s="262"/>
      <c r="F2" s="258"/>
      <c r="G2" s="183">
        <v>0</v>
      </c>
      <c r="H2" s="184" t="s">
        <v>273</v>
      </c>
      <c r="I2" s="177">
        <v>-374</v>
      </c>
      <c r="J2" s="178" t="s">
        <v>252</v>
      </c>
      <c r="K2" s="245">
        <f>2337-1800-250</f>
        <v>287</v>
      </c>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37</v>
      </c>
      <c r="G4" s="40"/>
      <c r="H4" s="52">
        <f ca="1">SUBTOTAL(9,H5:H95)</f>
        <v>379054.2994325367</v>
      </c>
      <c r="I4" s="52">
        <f ca="1">K4-J4</f>
        <v>271054.29943253705</v>
      </c>
      <c r="J4" s="25">
        <f ca="1">SUBTOTAL(9,J5:J95)</f>
        <v>2065945.7005674629</v>
      </c>
      <c r="K4" s="44">
        <f ca="1">SUM(L4:BC4)</f>
        <v>2337000</v>
      </c>
      <c r="L4" s="56">
        <f ca="1">IFERROR(INDIRECT("'Thanh Toán ("&amp;L$3&amp;")'!$H"&amp;SUBTOTAL(3,INDIRECT("'Thanh Toán ("&amp;L$3&amp;")'!$H$8:$H$50"))+7-COUNTIF(INDIRECT("'Thanh Toán ("&amp;L$3&amp;")'!$H$8:$H$50"),""&amp;"*")),"")</f>
        <v>440000</v>
      </c>
      <c r="M4" s="56">
        <f t="shared" ref="M4:AN4" ca="1" si="0">IFERROR(INDIRECT("'Thanh Toán ("&amp;M$3&amp;")'!$H"&amp;SUBTOTAL(3,INDIRECT("'Thanh Toán ("&amp;M$3&amp;")'!$H$8:$H$50"))+7-COUNTIF(INDIRECT("'Thanh Toán ("&amp;M$3&amp;")'!$H$8:$H$50"),""&amp;"*")),"")</f>
        <v>50000</v>
      </c>
      <c r="N4" s="56">
        <f t="shared" ca="1" si="0"/>
        <v>84000</v>
      </c>
      <c r="O4" s="56">
        <f t="shared" ca="1" si="0"/>
        <v>310000</v>
      </c>
      <c r="P4" s="56">
        <f t="shared" ca="1" si="0"/>
        <v>107000</v>
      </c>
      <c r="Q4" s="56">
        <f t="shared" ca="1" si="0"/>
        <v>200000</v>
      </c>
      <c r="R4" s="56">
        <f t="shared" ca="1" si="0"/>
        <v>60000</v>
      </c>
      <c r="S4" s="56">
        <f t="shared" ca="1" si="0"/>
        <v>51000</v>
      </c>
      <c r="T4" s="56">
        <f t="shared" ca="1" si="0"/>
        <v>50000</v>
      </c>
      <c r="U4" s="56">
        <f t="shared" ca="1" si="0"/>
        <v>175000</v>
      </c>
      <c r="V4" s="56">
        <f t="shared" ca="1" si="0"/>
        <v>250000</v>
      </c>
      <c r="W4" s="56">
        <f t="shared" ca="1" si="0"/>
        <v>560000</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303</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100.56453915171289</v>
      </c>
      <c r="H5" s="173">
        <f ca="1">(D5-G5*1000)*$F5</f>
        <v>0</v>
      </c>
      <c r="I5" s="195">
        <f>D5/(G5*1000)-1</f>
        <v>9.3824930018847397E-2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310</v>
      </c>
      <c r="B6" s="168" t="s">
        <v>304</v>
      </c>
      <c r="C6" s="167" t="s">
        <v>315</v>
      </c>
      <c r="D6" s="169">
        <f>VLOOKUP($C6,Sheet1!$C$2:$D$98,2,0)</f>
        <v>122000</v>
      </c>
      <c r="E6" s="170">
        <v>1.5</v>
      </c>
      <c r="F6" s="171">
        <f t="shared" ca="1" si="2"/>
        <v>0</v>
      </c>
      <c r="G6" s="172">
        <f>IFERROR(VLOOKUP($B6,Gà!C:J,8,0),IFERROR(VLOOKUP($B6,TVP!C:J,7,0),IFERROR(VLOOKUP($B6,Kitkool!C:J,8,0),IFERROR(VLOOKUP($B6,'La Cusina'!C:J,8,0),VLOOKUP($B6,'Quốc Nhân'!C:J,8,0)))))</f>
        <v>111.73837683523654</v>
      </c>
      <c r="H6" s="173">
        <f t="shared" ref="H6:H9" ca="1" si="3">(D6-G6*1000)*$F6</f>
        <v>0</v>
      </c>
      <c r="I6" s="195">
        <f t="shared" ref="I6:I9" si="4">D6/(G6*1000)-1</f>
        <v>9.1836157418813347E-2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311</v>
      </c>
      <c r="B7" s="168" t="s">
        <v>305</v>
      </c>
      <c r="C7" s="167" t="s">
        <v>316</v>
      </c>
      <c r="D7" s="169">
        <f>VLOOKUP($C7,Sheet1!$C$2:$D$98,2,0)</f>
        <v>95000</v>
      </c>
      <c r="E7" s="170">
        <v>1</v>
      </c>
      <c r="F7" s="171">
        <f t="shared" ca="1" si="2"/>
        <v>0</v>
      </c>
      <c r="G7" s="172">
        <f>IFERROR(VLOOKUP($B7,Gà!C:J,8,0),IFERROR(VLOOKUP($B7,TVP!C:J,7,0),IFERROR(VLOOKUP($B7,Kitkool!C:J,8,0),IFERROR(VLOOKUP($B7,'La Cusina'!C:J,8,0),VLOOKUP($B7,'Quốc Nhân'!C:J,8,0)))))</f>
        <v>84.311684339314851</v>
      </c>
      <c r="H7" s="173">
        <f t="shared" ca="1" si="3"/>
        <v>0</v>
      </c>
      <c r="I7" s="195">
        <f t="shared" si="4"/>
        <v>0.12677146405555972</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312</v>
      </c>
      <c r="B8" s="168" t="s">
        <v>319</v>
      </c>
      <c r="C8" s="167" t="s">
        <v>317</v>
      </c>
      <c r="D8" s="169">
        <f>VLOOKUP($C8,Sheet1!$C$2:$D$98,2,0)</f>
        <v>116000</v>
      </c>
      <c r="E8" s="170">
        <v>1.2</v>
      </c>
      <c r="F8" s="171">
        <f t="shared" ca="1" si="2"/>
        <v>0</v>
      </c>
      <c r="G8" s="172">
        <f>IFERROR(VLOOKUP($B8,Gà!C:J,8,0),IFERROR(VLOOKUP($B8,TVP!C:J,7,0),IFERROR(VLOOKUP($B8,Kitkool!C:J,8,0),IFERROR(VLOOKUP($B8,'La Cusina'!C:J,8,0),VLOOKUP($B8,'Quốc Nhân'!C:J,8,0)))))</f>
        <v>104.6277528548124</v>
      </c>
      <c r="H8" s="173">
        <f t="shared" ca="1" si="3"/>
        <v>0</v>
      </c>
      <c r="I8" s="195">
        <f t="shared" si="4"/>
        <v>0.10869245333949218</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313</v>
      </c>
      <c r="B9" s="168" t="s">
        <v>306</v>
      </c>
      <c r="C9" s="167" t="s">
        <v>318</v>
      </c>
      <c r="D9" s="169">
        <f>VLOOKUP($C9,Sheet1!$C$2:$D$98,2,0)</f>
        <v>48000</v>
      </c>
      <c r="E9" s="170">
        <v>0.5</v>
      </c>
      <c r="F9" s="171">
        <f t="shared" ca="1" si="2"/>
        <v>0</v>
      </c>
      <c r="G9" s="172">
        <f>IFERROR(VLOOKUP($B9,Gà!C:J,8,0),IFERROR(VLOOKUP($B9,TVP!C:J,7,0),IFERROR(VLOOKUP($B9,Kitkool!C:J,8,0),IFERROR(VLOOKUP($B9,'La Cusina'!C:J,8,0),VLOOKUP($B9,'Quốc Nhân'!C:J,8,0)))))</f>
        <v>40.632137030995104</v>
      </c>
      <c r="H9" s="173">
        <f t="shared" ca="1" si="3"/>
        <v>0</v>
      </c>
      <c r="I9" s="195">
        <f t="shared" si="4"/>
        <v>0.18133092442035537</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314</v>
      </c>
      <c r="B10" s="168" t="s">
        <v>307</v>
      </c>
      <c r="C10" s="167" t="s">
        <v>320</v>
      </c>
      <c r="D10" s="169">
        <f>VLOOKUP($C10,Sheet1!$C$2:$D$98,2,0)</f>
        <v>43000</v>
      </c>
      <c r="E10" s="170">
        <v>0.5</v>
      </c>
      <c r="F10" s="171">
        <f t="shared" ref="F10" ca="1" si="6">SUM(L10:BR10)</f>
        <v>0</v>
      </c>
      <c r="G10" s="172">
        <f>IFERROR(VLOOKUP($B10,Gà!C:J,8,0),IFERROR(VLOOKUP($B10,TVP!C:J,7,0),IFERROR(VLOOKUP($B10,Kitkool!C:J,8,0),IFERROR(VLOOKUP($B10,'La Cusina'!C:J,8,0),VLOOKUP($B10,'Quốc Nhân'!C:J,8,0)))))</f>
        <v>34.537316476345843</v>
      </c>
      <c r="H10" s="173">
        <f t="shared" ref="H10" ca="1" si="7">(D10-G10*1000)*$F10</f>
        <v>0</v>
      </c>
      <c r="I10" s="195">
        <f t="shared" ref="I10" si="8">D10/(G10*1000)-1</f>
        <v>0.24503014093321762</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41.41367443166957</v>
      </c>
      <c r="H11" s="173">
        <f t="shared" ref="H11:H72" ca="1" si="10">(D11-G11*1000)*$F11</f>
        <v>0</v>
      </c>
      <c r="I11" s="195">
        <f t="shared" ref="I11:I72" si="11">D11/(G11*1000)-1</f>
        <v>0.15903745945551218</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309</v>
      </c>
      <c r="C12" s="174" t="s">
        <v>96</v>
      </c>
      <c r="D12" s="169">
        <f>VLOOKUP($C12,Sheet1!$C$8:$D$98,2,0)</f>
        <v>40000</v>
      </c>
      <c r="E12" s="170">
        <v>0.5</v>
      </c>
      <c r="F12" s="171">
        <f t="shared" ca="1" si="2"/>
        <v>0</v>
      </c>
      <c r="G12" s="172">
        <f>IFERROR(VLOOKUP($B12,Gà!C:J,8,0),IFERROR(VLOOKUP($B12,TVP!C:J,7,0),IFERROR(VLOOKUP($B12,Kitkool!C:J,8,0),IFERROR(VLOOKUP($B12,'La Cusina'!C:J,8,0),VLOOKUP($B12,'Quốc Nhân'!C:J,8,0)))))</f>
        <v>29.458299347471453</v>
      </c>
      <c r="H12" s="173">
        <f t="shared" ca="1" si="10"/>
        <v>0</v>
      </c>
      <c r="I12" s="195">
        <f t="shared" si="11"/>
        <v>0.3578516372647762</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308</v>
      </c>
      <c r="C13" s="167" t="s">
        <v>97</v>
      </c>
      <c r="D13" s="169">
        <f>VLOOKUP($C13,Sheet1!$C$8:$D$98,2,0)</f>
        <v>42000</v>
      </c>
      <c r="E13" s="170">
        <v>0.5</v>
      </c>
      <c r="F13" s="171">
        <f t="shared" ca="1" si="2"/>
        <v>0</v>
      </c>
      <c r="G13" s="172">
        <f>IFERROR(VLOOKUP($B13,Gà!C:J,8,0),IFERROR(VLOOKUP($B13,TVP!C:J,7,0),IFERROR(VLOOKUP($B13,Kitkool!C:J,8,0),IFERROR(VLOOKUP($B13,'La Cusina'!C:J,8,0),VLOOKUP($B13,'Quốc Nhân'!C:J,8,0)))))</f>
        <v>35.55311990212072</v>
      </c>
      <c r="H13" s="173">
        <f t="shared" ca="1" si="10"/>
        <v>0</v>
      </c>
      <c r="I13" s="195">
        <f t="shared" si="11"/>
        <v>0.18133092442035514</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22.336932158320455</v>
      </c>
      <c r="H14" s="173">
        <f t="shared" ca="1" si="10"/>
        <v>0</v>
      </c>
      <c r="I14" s="195">
        <f t="shared" si="11"/>
        <v>0.3430671583440823</v>
      </c>
      <c r="J14" s="173">
        <f t="shared" ca="1" si="12"/>
        <v>0</v>
      </c>
      <c r="K14" s="114">
        <f ca="1">I4/J4</f>
        <v>0.13120107627131017</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33.233195531586688</v>
      </c>
      <c r="H15" s="173">
        <f t="shared" ca="1" si="10"/>
        <v>0</v>
      </c>
      <c r="I15" s="195">
        <f t="shared" si="11"/>
        <v>0.14343503211668818</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1</v>
      </c>
      <c r="G16" s="172">
        <f>IFERROR(VLOOKUP($B16,Gà!C:J,8,0),IFERROR(VLOOKUP($B16,TVP!C:J,7,0),IFERROR(VLOOKUP($B16,Kitkool!C:J,8,0),IFERROR(VLOOKUP($B16,'La Cusina'!C:J,8,0),VLOOKUP($B16,'Quốc Nhân'!C:J,8,0)))))</f>
        <v>38.345994844138488</v>
      </c>
      <c r="H16" s="173">
        <f t="shared" ca="1" si="10"/>
        <v>3654.0051558615087</v>
      </c>
      <c r="I16" s="195">
        <f t="shared" si="11"/>
        <v>9.5290399185459007E-2</v>
      </c>
      <c r="J16" s="173">
        <f t="shared" ca="1" si="12"/>
        <v>38345.994844138491</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1</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30.165515944055613</v>
      </c>
      <c r="H17" s="173">
        <f t="shared" ca="1" si="10"/>
        <v>0</v>
      </c>
      <c r="I17" s="195">
        <f t="shared" si="11"/>
        <v>0.16026525337442687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0</v>
      </c>
      <c r="G18" s="172">
        <f>IFERROR(VLOOKUP($B18,Gà!C:J,8,0),IFERROR(VLOOKUP($B18,TVP!C:J,7,0),IFERROR(VLOOKUP($B18,Kitkool!C:J,8,0),IFERROR(VLOOKUP($B18,'La Cusina'!C:J,8,0),VLOOKUP($B18,'Quốc Nhân'!C:J,8,0)))))</f>
        <v>32.210635669076332</v>
      </c>
      <c r="H18" s="173">
        <f t="shared" ca="1" si="10"/>
        <v>0</v>
      </c>
      <c r="I18" s="195">
        <f t="shared" si="11"/>
        <v>0.39705408059369773</v>
      </c>
      <c r="J18" s="173">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44.160371623346187</v>
      </c>
      <c r="H19" s="173">
        <f t="shared" ca="1" si="10"/>
        <v>0</v>
      </c>
      <c r="I19" s="195">
        <f t="shared" si="11"/>
        <v>0.13223684860402263</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40.902394500414388</v>
      </c>
      <c r="H20" s="173">
        <f t="shared" ca="1" si="10"/>
        <v>0</v>
      </c>
      <c r="I20" s="195">
        <f t="shared" si="11"/>
        <v>0.10018008846753701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40.902394500414388</v>
      </c>
      <c r="H21" s="173">
        <f t="shared" ca="1" si="10"/>
        <v>0</v>
      </c>
      <c r="I21" s="195">
        <f t="shared" si="11"/>
        <v>0.10018008846753701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40.902394500414388</v>
      </c>
      <c r="H22" s="173">
        <f t="shared" ca="1" si="10"/>
        <v>0</v>
      </c>
      <c r="I22" s="195">
        <f t="shared" si="11"/>
        <v>0.10018008846753701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40.902394500414388</v>
      </c>
      <c r="H23" s="173">
        <f t="shared" ca="1" si="10"/>
        <v>0</v>
      </c>
      <c r="I23" s="195">
        <f t="shared" si="11"/>
        <v>0.10018008846753701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40.902394500414388</v>
      </c>
      <c r="H24" s="173">
        <f t="shared" ca="1" si="10"/>
        <v>0</v>
      </c>
      <c r="I24" s="195">
        <f t="shared" si="11"/>
        <v>0.10018008846753701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5</v>
      </c>
      <c r="G25" s="172">
        <f>IFERROR(VLOOKUP($B25,Gà!C:J,8,0),IFERROR(VLOOKUP($B25,TVP!C:J,7,0),IFERROR(VLOOKUP($B25,Kitkool!C:J,8,0),IFERROR(VLOOKUP($B25,'La Cusina'!C:J,8,0),VLOOKUP($B25,'Quốc Nhân'!C:J,8,0)))))</f>
        <v>34.91750314404117</v>
      </c>
      <c r="H25" s="173">
        <f t="shared" ca="1" si="10"/>
        <v>25412.484279794153</v>
      </c>
      <c r="I25" s="195">
        <f t="shared" si="11"/>
        <v>0.14555728211701124</v>
      </c>
      <c r="J25" s="173">
        <f t="shared" ca="1" si="12"/>
        <v>174587.51572020585</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5</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30.809561597683388</v>
      </c>
      <c r="H26" s="173">
        <f t="shared" ca="1" si="10"/>
        <v>0</v>
      </c>
      <c r="I26" s="195">
        <f t="shared" si="11"/>
        <v>0.29829825306594615</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43.646878930051464</v>
      </c>
      <c r="H27" s="173">
        <f t="shared" ca="1" si="10"/>
        <v>0</v>
      </c>
      <c r="I27" s="195">
        <f t="shared" si="11"/>
        <v>0.26011301032871237</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15</v>
      </c>
      <c r="G28" s="172">
        <f>IFERROR(VLOOKUP($B28,Gà!C:J,8,0),IFERROR(VLOOKUP($B28,TVP!C:J,7,0),IFERROR(VLOOKUP($B28,Kitkool!C:J,8,0),IFERROR(VLOOKUP($B28,'La Cusina'!C:J,8,0),VLOOKUP($B28,'Quốc Nhân'!C:J,8,0)))))</f>
        <v>29.269083517799217</v>
      </c>
      <c r="H28" s="173">
        <f t="shared" ca="1" si="10"/>
        <v>85963.74723301176</v>
      </c>
      <c r="I28" s="195">
        <f t="shared" si="11"/>
        <v>0.19580102256073983</v>
      </c>
      <c r="J28" s="173">
        <f t="shared" ca="1" si="12"/>
        <v>439036.25276698824</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10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5</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59.051659728893156</v>
      </c>
      <c r="H29" s="173">
        <f t="shared" ca="1" si="10"/>
        <v>0</v>
      </c>
      <c r="I29" s="195">
        <f t="shared" si="11"/>
        <v>0.16846842775935156</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33.744475462841869</v>
      </c>
      <c r="H30" s="173">
        <f t="shared" ca="1" si="10"/>
        <v>0</v>
      </c>
      <c r="I30" s="195">
        <f t="shared" si="11"/>
        <v>0.18537921989768313</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1</v>
      </c>
      <c r="G31" s="172">
        <f>IFERROR(VLOOKUP($B31,Gà!C:J,8,0),IFERROR(VLOOKUP($B31,TVP!C:J,7,0),IFERROR(VLOOKUP($B31,Kitkool!C:J,8,0),IFERROR(VLOOKUP($B31,'La Cusina'!C:J,8,0),VLOOKUP($B31,'Quốc Nhân'!C:J,8,0)))))</f>
        <v>40.902394500414388</v>
      </c>
      <c r="H31" s="173">
        <f t="shared" ca="1" si="10"/>
        <v>9097.6054995856102</v>
      </c>
      <c r="I31" s="195">
        <f t="shared" si="11"/>
        <v>0.22242232051948552</v>
      </c>
      <c r="J31" s="173">
        <f t="shared" ca="1" si="12"/>
        <v>40902.39450041439</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1</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1</v>
      </c>
      <c r="G48" s="172">
        <f>IFERROR(VLOOKUP($B48,Gà!C:J,8,0),IFERROR(VLOOKUP($B48,TVP!C:J,7,0),IFERROR(VLOOKUP($B48,Kitkool!C:J,8,0),IFERROR(VLOOKUP($B48,'La Cusina'!C:J,8,0),VLOOKUP($B48,'Quốc Nhân'!C:J,8,0)))))</f>
        <v>31.836546984272832</v>
      </c>
      <c r="H48" s="173">
        <f t="shared" ca="1" si="10"/>
        <v>8163.4530157271693</v>
      </c>
      <c r="I48" s="195">
        <f t="shared" si="11"/>
        <v>0.25641766425736723</v>
      </c>
      <c r="J48" s="173">
        <f t="shared" ca="1" si="12"/>
        <v>31836.546984272831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1</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22.080185811673093</v>
      </c>
      <c r="H49" s="173">
        <f t="shared" ca="1" si="10"/>
        <v>0</v>
      </c>
      <c r="I49" s="195">
        <f t="shared" si="11"/>
        <v>0.58513158804563181</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38.345994844138488</v>
      </c>
      <c r="H51" s="173">
        <f t="shared" ca="1" si="10"/>
        <v>3654.0051558615087</v>
      </c>
      <c r="I51" s="195">
        <f t="shared" si="11"/>
        <v>9.5290399185459007E-2</v>
      </c>
      <c r="J51" s="173">
        <f t="shared" ca="1" si="12"/>
        <v>38345.994844138491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1</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27.810937313275176</v>
      </c>
      <c r="H52" s="173">
        <f t="shared" ca="1" si="10"/>
        <v>0</v>
      </c>
      <c r="I52" s="195">
        <f t="shared" si="11"/>
        <v>0.25849767685799008</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31.32305429097811</v>
      </c>
      <c r="H55" s="173">
        <f t="shared" ca="1" si="10"/>
        <v>0</v>
      </c>
      <c r="I55" s="195">
        <f t="shared" si="11"/>
        <v>0.11738784075347808</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5</v>
      </c>
      <c r="G56" s="172">
        <f>IFERROR(VLOOKUP($B56,Gà!C:J,8,0),IFERROR(VLOOKUP($B56,TVP!C:J,7,0),IFERROR(VLOOKUP($B56,Kitkool!C:J,8,0),IFERROR(VLOOKUP($B56,'La Cusina'!C:J,8,0),VLOOKUP($B56,'Quốc Nhân'!C:J,8,0)))))</f>
        <v>58.916598694942905</v>
      </c>
      <c r="H56" s="173">
        <f t="shared" ca="1" si="10"/>
        <v>30417.006525285469</v>
      </c>
      <c r="I56" s="195">
        <f t="shared" si="11"/>
        <v>0.10325445527763066</v>
      </c>
      <c r="J56" s="173">
        <f t="shared" ca="1" si="12"/>
        <v>294582.99347471452</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5</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1</v>
      </c>
      <c r="G57" s="172">
        <f>IFERROR(VLOOKUP($B57,Gà!C:J,8,0),IFERROR(VLOOKUP($B57,TVP!C:J,7,0),IFERROR(VLOOKUP($B57,Kitkool!C:J,8,0),IFERROR(VLOOKUP($B57,'La Cusina'!C:J,8,0),VLOOKUP($B57,'Quốc Nhân'!C:J,8,0)))))</f>
        <v>74.456440527734856</v>
      </c>
      <c r="H57" s="173">
        <f t="shared" ca="1" si="10"/>
        <v>5543.559472265144</v>
      </c>
      <c r="I57" s="195">
        <f t="shared" si="11"/>
        <v>7.4453726675265619E-2</v>
      </c>
      <c r="J57" s="173">
        <f t="shared" ca="1" si="12"/>
        <v>74456.440527734856</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1</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40.052430076988401</v>
      </c>
      <c r="H58" s="173">
        <f t="shared" ca="1" si="10"/>
        <v>0</v>
      </c>
      <c r="I58" s="195">
        <f t="shared" si="11"/>
        <v>9.8560060286569939E-2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30.296068904388665</v>
      </c>
      <c r="H59" s="173">
        <f t="shared" ca="1" si="10"/>
        <v>0</v>
      </c>
      <c r="I59" s="195">
        <f t="shared" si="11"/>
        <v>0.15526539467732481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32.350039677567558</v>
      </c>
      <c r="H60" s="173">
        <f t="shared" ca="1" si="10"/>
        <v>0</v>
      </c>
      <c r="I60" s="195">
        <f t="shared" si="11"/>
        <v>0.17465080039299874</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0</v>
      </c>
      <c r="G61" s="172">
        <f>IFERROR(VLOOKUP($B61,Gà!C:J,8,0),IFERROR(VLOOKUP($B61,TVP!C:J,7,0),IFERROR(VLOOKUP($B61,Kitkool!C:J,8,0),IFERROR(VLOOKUP($B61,'La Cusina'!C:J,8,0),VLOOKUP($B61,'Quốc Nhân'!C:J,8,0)))))</f>
        <v>61.353591750621582</v>
      </c>
      <c r="H61" s="173">
        <f t="shared" ca="1" si="10"/>
        <v>0</v>
      </c>
      <c r="I61" s="195">
        <f t="shared" si="11"/>
        <v>0.1409274991515197</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44.992633950455826</v>
      </c>
      <c r="H62" s="173">
        <f t="shared" ca="1" si="10"/>
        <v>0</v>
      </c>
      <c r="I62" s="195">
        <f t="shared" si="11"/>
        <v>0.20019646014640391</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5</v>
      </c>
      <c r="G63" s="172">
        <f>IFERROR(VLOOKUP($B63,Gà!C:J,8,0),IFERROR(VLOOKUP($B63,TVP!C:J,7,0),IFERROR(VLOOKUP($B63,Kitkool!C:J,8,0),IFERROR(VLOOKUP($B63,'La Cusina'!C:J,8,0),VLOOKUP($B63,'Quốc Nhân'!C:J,8,0)))))</f>
        <v>43.646878930051464</v>
      </c>
      <c r="H63" s="173">
        <f t="shared" ca="1" si="10"/>
        <v>16765.605349742691</v>
      </c>
      <c r="I63" s="195">
        <f t="shared" si="11"/>
        <v>7.6823845189990747E-2</v>
      </c>
      <c r="J63" s="173">
        <f t="shared" ca="1" si="12"/>
        <v>218234.39465025731</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5</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44.673864316640909</v>
      </c>
      <c r="H64" s="173">
        <f t="shared" ca="1" si="10"/>
        <v>0</v>
      </c>
      <c r="I64" s="195">
        <f t="shared" si="11"/>
        <v>0.11922263195340177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37.323434981628132</v>
      </c>
      <c r="H65" s="173">
        <f t="shared" ca="1" si="10"/>
        <v>0</v>
      </c>
      <c r="I65" s="195">
        <f t="shared" si="11"/>
        <v>0.12529835532752642</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0</v>
      </c>
      <c r="G66" s="172">
        <f>IFERROR(VLOOKUP($B66,Gà!C:J,8,0),IFERROR(VLOOKUP($B66,TVP!C:J,7,0),IFERROR(VLOOKUP($B66,Kitkool!C:J,8,0),IFERROR(VLOOKUP($B66,'La Cusina'!C:J,8,0),VLOOKUP($B66,'Quốc Nhân'!C:J,8,0)))))</f>
        <v>12.270718350124318</v>
      </c>
      <c r="H66" s="173">
        <f t="shared" ca="1" si="10"/>
        <v>0</v>
      </c>
      <c r="I66" s="195">
        <f t="shared" si="11"/>
        <v>0.30391714188745111</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28</v>
      </c>
      <c r="G67" s="172">
        <f>IFERROR(VLOOKUP($B67,Gà!C:J,8,0),IFERROR(VLOOKUP($B67,TVP!C:J,7,0),IFERROR(VLOOKUP($B67,Kitkool!C:J,8,0),IFERROR(VLOOKUP($B67,'La Cusina'!C:J,8,0),VLOOKUP($B67,'Quốc Nhân'!C:J,8,0)))))</f>
        <v>19.444096334010794</v>
      </c>
      <c r="H67" s="173">
        <f t="shared" ca="1" si="10"/>
        <v>155565.30264769774</v>
      </c>
      <c r="I67" s="195">
        <f t="shared" si="11"/>
        <v>0.28573730404076692</v>
      </c>
      <c r="J67" s="173">
        <f t="shared" ca="1" si="12"/>
        <v>544434.69735230226</v>
      </c>
      <c r="K67" s="38"/>
      <c r="L67" s="2">
        <f ca="1">IFERROR(SUMIFS(INDIRECT("'Thanh Toán ("&amp;L$3&amp;")'!$F:$F"),INDIRECT("'Thanh Toán ("&amp;L$3&amp;")'!$D:$D"),'Tổng Đơn'!$B67),0)</f>
        <v>20</v>
      </c>
      <c r="M67" s="2">
        <f ca="1">IFERROR(SUMIFS(INDIRECT("'Thanh Toán ("&amp;M$3&amp;")'!$F:$F"),INDIRECT("'Thanh Toán ("&amp;M$3&amp;")'!$D:$D"),'Tổng Đơn'!$B67),0)</f>
        <v>2</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2</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1</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2</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21.490843316538246</v>
      </c>
      <c r="H68" s="173">
        <f t="shared" ca="1" si="10"/>
        <v>0</v>
      </c>
      <c r="I68" s="195">
        <f t="shared" si="11"/>
        <v>0.20981757751645524</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21.490843316538246</v>
      </c>
      <c r="H69" s="173">
        <f t="shared" ca="1" si="10"/>
        <v>0</v>
      </c>
      <c r="I69" s="195">
        <f t="shared" si="11"/>
        <v>0.30288046809464397</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20.46746982527452</v>
      </c>
      <c r="H70" s="173">
        <f t="shared" ca="1" si="10"/>
        <v>0</v>
      </c>
      <c r="I70" s="195">
        <f t="shared" si="11"/>
        <v>0.36802449149937599</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2</v>
      </c>
      <c r="G71" s="172">
        <f>IFERROR(VLOOKUP($B71,Gà!C:J,8,0),IFERROR(VLOOKUP($B71,TVP!C:J,7,0),IFERROR(VLOOKUP($B71,Kitkool!C:J,8,0),IFERROR(VLOOKUP($B71,'La Cusina'!C:J,8,0),VLOOKUP($B71,'Quốc Nhân'!C:J,8,0)))))</f>
        <v>20.932639594030761</v>
      </c>
      <c r="H71" s="173">
        <f t="shared" ca="1" si="10"/>
        <v>10134.720811938481</v>
      </c>
      <c r="I71" s="195">
        <f t="shared" si="11"/>
        <v>0.24207937958356052</v>
      </c>
      <c r="J71" s="173">
        <f t="shared" ca="1" si="12"/>
        <v>41865.279188061519</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2</v>
      </c>
      <c r="G72" s="172">
        <f>IFERROR(VLOOKUP($B72,Gà!C:J,8,0),IFERROR(VLOOKUP($B72,TVP!C:J,7,0),IFERROR(VLOOKUP($B72,Kitkool!C:J,8,0),IFERROR(VLOOKUP($B72,'La Cusina'!C:J,8,0),VLOOKUP($B72,'Quốc Nhân'!C:J,8,0)))))</f>
        <v>29.770865200399303</v>
      </c>
      <c r="H72" s="173">
        <f t="shared" ca="1" si="10"/>
        <v>10458.269599201391</v>
      </c>
      <c r="I72" s="195">
        <f t="shared" si="11"/>
        <v>0.17564604738227629</v>
      </c>
      <c r="J72" s="173">
        <f t="shared" ca="1" si="12"/>
        <v>59541.730400798609</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2</v>
      </c>
      <c r="G73" s="172">
        <f>IFERROR(VLOOKUP($B73,Gà!C:J,8,0),IFERROR(VLOOKUP($B73,TVP!C:J,7,0),IFERROR(VLOOKUP($B73,Kitkool!C:J,8,0),IFERROR(VLOOKUP($B73,'La Cusina'!C:J,8,0),VLOOKUP($B73,'Quốc Nhân'!C:J,8,0)))))</f>
        <v>34.887732656717937</v>
      </c>
      <c r="H73" s="173">
        <f t="shared" ref="H73:H76" ca="1" si="15">(D73-G73*1000)*$F73</f>
        <v>14224.534686564133</v>
      </c>
      <c r="I73" s="195">
        <f t="shared" ref="I73:I76" si="16">D73/(G73*1000)-1</f>
        <v>0.20386155251945093</v>
      </c>
      <c r="J73" s="173">
        <f t="shared" ref="J73:J75" ca="1" si="17">F73*G73*1000</f>
        <v>69775.465313435867</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2</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37.864819176757862</v>
      </c>
      <c r="H74" s="173">
        <f t="shared" ca="1" si="15"/>
        <v>0</v>
      </c>
      <c r="I74" s="195">
        <f t="shared" si="16"/>
        <v>0.1884382648160603</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34.767035325352232</v>
      </c>
      <c r="H75" s="173">
        <f t="shared" ca="1" si="15"/>
        <v>0</v>
      </c>
      <c r="I75" s="195">
        <f t="shared" si="16"/>
        <v>0.15051512519480981</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33.02868355908462</v>
      </c>
      <c r="H76" s="173">
        <f t="shared" ca="1" si="15"/>
        <v>0</v>
      </c>
      <c r="I76" s="195">
        <f t="shared" si="16"/>
        <v>0.21106855283664205</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86"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Đơn'!$A$5:$E$75,5,0),"")</f>
        <v/>
      </c>
      <c r="F8" s="30" t="str">
        <f t="shared" ref="F8:F22"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Đơn'!$A$5:$E$76,5,0),"")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Đơn'!$A$5:$E$75,5,0),"")</f>
        <v/>
      </c>
      <c r="F23" s="30" t="str">
        <f t="shared" ref="F23:F37" si="4">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68">
      <formula>$C22=MAX($C$8:$C$37)</formula>
    </cfRule>
  </conditionalFormatting>
  <conditionalFormatting sqref="C23:C37">
    <cfRule type="expression" dxfId="284" priority="67">
      <formula>$C22=MAX($C$8:$C$37)</formula>
    </cfRule>
  </conditionalFormatting>
  <conditionalFormatting sqref="E23:E38">
    <cfRule type="expression" dxfId="283" priority="69">
      <formula>AND($A23="",$F23&lt;&gt;"")</formula>
    </cfRule>
  </conditionalFormatting>
  <conditionalFormatting sqref="F23:F38">
    <cfRule type="expression" dxfId="282" priority="70">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331</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7.5</v>
      </c>
      <c r="L7" s="145"/>
    </row>
    <row r="8" spans="1:14" s="29" customFormat="1" ht="14.25" customHeight="1" x14ac:dyDescent="0.25">
      <c r="A8" s="155">
        <v>46</v>
      </c>
      <c r="B8" s="155">
        <v>5</v>
      </c>
      <c r="C8" s="30">
        <f t="shared" ref="C8:C37" si="0">IF(OR(SUM($C7,$A8&lt;&gt;"")=0,$A8=""),"",SUM($C7,$A8&lt;&gt;""))</f>
        <v>1</v>
      </c>
      <c r="D8" s="152" t="str">
        <f>IFERROR(VLOOKUP($A8,Sheet1!$A$1:$B$98,2,0),"")</f>
        <v>Khoai tây</v>
      </c>
      <c r="E8" s="30">
        <f>IFERROR(VLOOKUP($A8,'Tổng Đơn'!$A$5:$E$75,5,0),"")</f>
        <v>1</v>
      </c>
      <c r="F8" s="30">
        <f t="shared" ref="F8:F37" si="1">IF($B8="","",B8)</f>
        <v>5</v>
      </c>
      <c r="G8" s="162">
        <f>IFERROR(VLOOKUP($A8,Sheet1!$A1:$D$98,4,0),"")</f>
        <v>65000</v>
      </c>
      <c r="H8" s="153">
        <f>IF($C7=MAX($C$8:$C$56),SUM($H7:$H$8),IFERROR($G8*$F8,""))</f>
        <v>325000</v>
      </c>
      <c r="I8" s="55">
        <f t="shared" ref="I8:I37" si="2">IF(TYPE($A8)&lt;&gt;1,"",IFERROR(F8*E8,""))</f>
        <v>5</v>
      </c>
      <c r="L8" s="32"/>
    </row>
    <row r="9" spans="1:14" s="29" customFormat="1" ht="14.25" customHeight="1" x14ac:dyDescent="0.25">
      <c r="A9" s="155">
        <v>53</v>
      </c>
      <c r="B9" s="155">
        <v>5</v>
      </c>
      <c r="C9" s="30">
        <f t="shared" si="0"/>
        <v>2</v>
      </c>
      <c r="D9" s="152" t="str">
        <f>IFERROR(VLOOKUP($A9,Sheet1!$A$1:$B$98,2,0),"")</f>
        <v xml:space="preserve">Viên thả lẩu Cam-Trứng cá </v>
      </c>
      <c r="E9" s="30">
        <f>IFERROR(VLOOKUP($A9,'Tổng Đơn'!$A$5:$E$76,5,0),"")</f>
        <v>0.5</v>
      </c>
      <c r="F9" s="30">
        <f t="shared" si="1"/>
        <v>5</v>
      </c>
      <c r="G9" s="162">
        <f>IF(AND($C9="",$C8&lt;&gt;""),"Tổng Cộng",IFERROR(VLOOKUP($A9,Sheet1!$A$1:$D$98,4,0),""))</f>
        <v>47000</v>
      </c>
      <c r="H9" s="153">
        <f>IF($C8=MAX($C$8:$C$56),SUM($H$8:$H8),IFERROR($G9*$F9,""))</f>
        <v>235000</v>
      </c>
      <c r="I9" s="55">
        <f t="shared" si="2"/>
        <v>2.5</v>
      </c>
      <c r="L9" s="31"/>
    </row>
    <row r="10" spans="1:14" s="29" customFormat="1" ht="14.25" customHeight="1" x14ac:dyDescent="0.25">
      <c r="A10" s="155" t="s">
        <v>300</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560000</v>
      </c>
      <c r="I10" s="55" t="str">
        <f t="shared" si="2"/>
        <v/>
      </c>
      <c r="L10" s="31"/>
    </row>
    <row r="11" spans="1:14" s="29" customFormat="1" ht="14.25" customHeight="1" x14ac:dyDescent="0.25">
      <c r="A11" s="155" t="s">
        <v>300</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300</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300</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2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321</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38</v>
      </c>
      <c r="B9" s="155">
        <v>1</v>
      </c>
      <c r="C9" s="30">
        <f t="shared" si="0"/>
        <v>2</v>
      </c>
      <c r="D9" s="152" t="str">
        <f>IFERROR(VLOOKUP($A9,Sheet1!$A$1:$B$98,2,0),"")</f>
        <v>XX Hotdog Phô mai</v>
      </c>
      <c r="E9" s="30">
        <f>IFERROR(VLOOKUP($A9,'Tổng Đơn'!$A$5:$E$76,5,0),"")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41</v>
      </c>
      <c r="B10" s="155">
        <v>1</v>
      </c>
      <c r="C10" s="30">
        <f t="shared" si="0"/>
        <v>3</v>
      </c>
      <c r="D10" s="152" t="str">
        <f>IFERROR(VLOOKUP($A10,Sheet1!$A$1:$B$98,2,0),"")</f>
        <v>Bò lá lốt</v>
      </c>
      <c r="E10" s="30">
        <f>IFERROR(VLOOKUP($A10,'Tổng Đơn'!$A$5:$E$76,5,0),"")</f>
        <v>0.5</v>
      </c>
      <c r="F10" s="30">
        <f t="shared" si="1"/>
        <v>1</v>
      </c>
      <c r="G10" s="162">
        <f>IF(AND($C10="",$C9&lt;&gt;""),"Tổng Cộng",IFERROR(VLOOKUP($A10,Sheet1!$A$1:$D$98,4,0),""))</f>
        <v>42000</v>
      </c>
      <c r="H10" s="153">
        <f>IF($C9=MAX($C$8:$C$56),SUM($H$8:$H9),IFERROR($G10*$F10,""))</f>
        <v>42000</v>
      </c>
      <c r="I10" s="55">
        <f t="shared" si="2"/>
        <v>0.5</v>
      </c>
      <c r="L10" s="31"/>
    </row>
    <row r="11" spans="1:14" s="29" customFormat="1" ht="14.25" customHeight="1" x14ac:dyDescent="0.25">
      <c r="A11" s="155">
        <v>47</v>
      </c>
      <c r="B11" s="155">
        <v>1</v>
      </c>
      <c r="C11" s="30">
        <f t="shared" si="0"/>
        <v>4</v>
      </c>
      <c r="D11" s="152" t="str">
        <f>IFERROR(VLOOKUP($A11,Sheet1!$A$1:$B$98,2,0),"")</f>
        <v>Đậu hủ phô mai EB</v>
      </c>
      <c r="E11" s="30">
        <f>IFERROR(VLOOKUP($A11,'Tổng Đơn'!$A$5:$E$76,5,0),"")</f>
        <v>0.5</v>
      </c>
      <c r="F11" s="30">
        <f t="shared" si="1"/>
        <v>1</v>
      </c>
      <c r="G11" s="162">
        <f>IF(AND($C11="",$C10&lt;&gt;""),"Tổng Cộng",IFERROR(VLOOKUP($A11,Sheet1!$A$1:$D$98,4,0),""))</f>
        <v>80000</v>
      </c>
      <c r="H11" s="153">
        <f>IF($C10=MAX($C$8:$C$56),SUM($H$8:$H10),IFERROR($G11*$F11,""))</f>
        <v>80000</v>
      </c>
      <c r="I11" s="55">
        <f t="shared" si="2"/>
        <v>0.5</v>
      </c>
      <c r="L11" s="31"/>
    </row>
    <row r="12" spans="1:14" s="29" customFormat="1" ht="14.25" customHeight="1" x14ac:dyDescent="0.25">
      <c r="A12" s="155">
        <v>57</v>
      </c>
      <c r="B12" s="155">
        <v>2</v>
      </c>
      <c r="C12" s="30">
        <f t="shared" si="0"/>
        <v>5</v>
      </c>
      <c r="D12" s="152" t="str">
        <f>IFERROR(VLOOKUP($A12,Sheet1!$A$1:$B$98,2,0),"")</f>
        <v>Cá viên KK</v>
      </c>
      <c r="E12" s="30">
        <f>IFERROR(VLOOKUP($A12,'Tổng Đơn'!$A$5:$E$76,5,0),"")</f>
        <v>0.5</v>
      </c>
      <c r="F12" s="30">
        <f t="shared" si="1"/>
        <v>2</v>
      </c>
      <c r="G12" s="162">
        <f>IF(AND($C12="",$C11&lt;&gt;""),"Tổng Cộng",IFERROR(VLOOKUP($A12,Sheet1!$A$1:$D$98,4,0),""))</f>
        <v>25000</v>
      </c>
      <c r="H12" s="153">
        <f>IF($C11=MAX($C$8:$C$56),SUM($H$8:$H11),IFERROR($G12*$F12,""))</f>
        <v>50000</v>
      </c>
      <c r="I12" s="55">
        <f t="shared" si="2"/>
        <v>1</v>
      </c>
      <c r="J12" s="127"/>
      <c r="L12" s="31"/>
      <c r="M12" s="135"/>
      <c r="N12" s="128"/>
    </row>
    <row r="13" spans="1:14" s="29" customFormat="1" ht="14.25" customHeight="1" x14ac:dyDescent="0.25">
      <c r="A13" s="155">
        <v>1</v>
      </c>
      <c r="B13" s="155">
        <v>1</v>
      </c>
      <c r="C13" s="30">
        <f t="shared" si="0"/>
        <v>6</v>
      </c>
      <c r="D13" s="152" t="s">
        <v>301</v>
      </c>
      <c r="E13" s="30" t="s">
        <v>260</v>
      </c>
      <c r="F13" s="30" t="s">
        <v>260</v>
      </c>
      <c r="G13" s="162" t="s">
        <v>260</v>
      </c>
      <c r="H13" s="153">
        <f>-2*2000</f>
        <v>-4000</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Tổng Cộng</v>
      </c>
      <c r="H14" s="153">
        <f>IF($C13=MAX($C$8:$C$56),SUM($H$8:$H13),IFERROR($G14*$F14,""))</f>
        <v>250000</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1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330</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Đơn'!$A$5:$E$75,5,0),"")</f>
        <v>0.5</v>
      </c>
      <c r="F8" s="30">
        <f t="shared" ref="F8:F37" si="1">IF($B8="","",B8)</f>
        <v>5</v>
      </c>
      <c r="G8" s="162">
        <f>IFERROR(VLOOKUP($A8,Sheet1!$A1:$D$98,4,0),"")</f>
        <v>35000</v>
      </c>
      <c r="H8" s="153">
        <f>IF($C7=MAX($C$8:$C$56),SUM($H7:$H$8),IFERROR($G8*$F8,""))</f>
        <v>175000</v>
      </c>
      <c r="I8" s="55">
        <f t="shared" ref="I8:I37" si="2">IF(TYPE($A8)&lt;&gt;1,"",IFERROR(F8*E8,""))</f>
        <v>2.5</v>
      </c>
      <c r="L8" s="32"/>
    </row>
    <row r="9" spans="1:14" s="29" customFormat="1" ht="14.25" customHeight="1" x14ac:dyDescent="0.25">
      <c r="A9" s="155" t="s">
        <v>300</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175000</v>
      </c>
      <c r="I9" s="55" t="str">
        <f t="shared" si="2"/>
        <v/>
      </c>
      <c r="L9" s="31"/>
    </row>
    <row r="10" spans="1:14" s="29" customFormat="1" ht="14.25" customHeight="1" x14ac:dyDescent="0.25">
      <c r="A10" s="155" t="s">
        <v>300</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300</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300</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300</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0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323</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Đơn'!$A$5:$E$75,5,0),"")</f>
        <v>0.5</v>
      </c>
      <c r="F8" s="30">
        <f t="shared" ref="F8:F37" si="1">IF($B8="","",B8)</f>
        <v>1</v>
      </c>
      <c r="G8" s="162">
        <f>IFERROR(VLOOKUP($A8,Sheet1!$A1:$D$98,4,0),"")</f>
        <v>50000</v>
      </c>
      <c r="H8" s="153">
        <f>IF($C7=MAX($C$8:$C$56),SUM($H7:$H$8),IFERROR($G8*$F8,""))</f>
        <v>50000</v>
      </c>
      <c r="I8" s="55">
        <f t="shared" ref="I8:I37" si="2">IF(TYPE($A8)&lt;&gt;1,"",IFERROR(F8*E8,""))</f>
        <v>0.5</v>
      </c>
      <c r="L8" s="32"/>
    </row>
    <row r="9" spans="1:14" s="29" customFormat="1" ht="14.25" customHeight="1" x14ac:dyDescent="0.25">
      <c r="A9" s="155" t="s">
        <v>300</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300</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300</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300</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300</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9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322</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t="s">
        <v>300</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51000</v>
      </c>
      <c r="I10" s="55" t="str">
        <f t="shared" si="2"/>
        <v/>
      </c>
      <c r="L10" s="31"/>
    </row>
    <row r="11" spans="1:14" s="29" customFormat="1" ht="14.25" customHeight="1" x14ac:dyDescent="0.25">
      <c r="A11" s="155" t="s">
        <v>300</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300</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300</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8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329</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300</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300</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300</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300</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7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328</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Đơn'!$A$5:$E$75,5,0),"")</f>
        <v>0.5</v>
      </c>
      <c r="F8" s="30">
        <f t="shared" ref="F8:F37" si="1">IF($B8="","",B8)</f>
        <v>5</v>
      </c>
      <c r="G8" s="162">
        <f>IFERROR(VLOOKUP($A8,Sheet1!$A1:$D$98,4,0),"")</f>
        <v>40000</v>
      </c>
      <c r="H8" s="153">
        <f>IF($C7=MAX($C$8:$C$56),SUM($H7:$H$8),IFERROR($G8*$F8,""))</f>
        <v>200000</v>
      </c>
      <c r="I8" s="55">
        <f t="shared" ref="I8:I37" si="2">IF(TYPE($A8)&lt;&gt;1,"",IFERROR(F8*E8,""))</f>
        <v>2.5</v>
      </c>
      <c r="L8" s="32"/>
    </row>
    <row r="9" spans="1:14" s="29" customFormat="1" ht="14.25" customHeight="1" x14ac:dyDescent="0.25">
      <c r="A9" s="155" t="s">
        <v>300</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200000</v>
      </c>
      <c r="I9" s="55" t="str">
        <f t="shared" si="2"/>
        <v/>
      </c>
      <c r="L9" s="31"/>
    </row>
    <row r="10" spans="1:14" s="29" customFormat="1" ht="14.25" customHeight="1" x14ac:dyDescent="0.25">
      <c r="A10" s="155" t="s">
        <v>300</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300</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300</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300</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327</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301</v>
      </c>
      <c r="E11" s="30" t="s">
        <v>260</v>
      </c>
      <c r="F11" s="30" t="s">
        <v>260</v>
      </c>
      <c r="G11" s="162" t="s">
        <v>260</v>
      </c>
      <c r="H11" s="153">
        <v>-4000</v>
      </c>
      <c r="I11" s="55" t="str">
        <f t="shared" si="2"/>
        <v/>
      </c>
      <c r="L11" s="31"/>
    </row>
    <row r="12" spans="1:14" s="29" customFormat="1" ht="14.25" customHeight="1" x14ac:dyDescent="0.25">
      <c r="A12" s="155" t="s">
        <v>300</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107000</v>
      </c>
      <c r="I12" s="55" t="str">
        <f t="shared" si="2"/>
        <v/>
      </c>
      <c r="J12" s="127"/>
      <c r="L12" s="31"/>
      <c r="M12" s="135"/>
      <c r="N12" s="128"/>
    </row>
    <row r="13" spans="1:14" s="29" customFormat="1" ht="14.25" customHeight="1" x14ac:dyDescent="0.25">
      <c r="A13" s="155" t="s">
        <v>300</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4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279</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1</v>
      </c>
      <c r="B9" s="155">
        <v>1</v>
      </c>
      <c r="C9" s="30">
        <f t="shared" si="0"/>
        <v>2</v>
      </c>
      <c r="D9" s="152" t="s">
        <v>301</v>
      </c>
      <c r="E9" s="30" t="s">
        <v>260</v>
      </c>
      <c r="F9" s="30" t="s">
        <v>260</v>
      </c>
      <c r="G9" s="162" t="s">
        <v>260</v>
      </c>
      <c r="H9" s="153">
        <f>-5*8000</f>
        <v>-40000</v>
      </c>
      <c r="I9" s="55" t="str">
        <f t="shared" si="2"/>
        <v/>
      </c>
      <c r="L9" s="31"/>
    </row>
    <row r="10" spans="1:14" s="29" customFormat="1" ht="14.25" customHeight="1" x14ac:dyDescent="0.25">
      <c r="A10" s="155" t="s">
        <v>300</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310000</v>
      </c>
      <c r="I10" s="55" t="str">
        <f t="shared" si="2"/>
        <v/>
      </c>
      <c r="L10" s="31"/>
    </row>
    <row r="11" spans="1:14" s="29" customFormat="1" ht="14.25" customHeight="1" x14ac:dyDescent="0.25">
      <c r="A11" s="155" t="s">
        <v>300</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300</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300</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3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325</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63</v>
      </c>
      <c r="B8" s="155">
        <v>2</v>
      </c>
      <c r="C8" s="30">
        <f t="shared" ref="C8:C37" si="0">IF(OR(SUM($C7,$A8&lt;&gt;"")=0,$A8=""),"",SUM($C7,$A8&lt;&gt;""))</f>
        <v>1</v>
      </c>
      <c r="D8" s="152" t="str">
        <f>IFERROR(VLOOKUP($A8,Sheet1!$A$1:$B$98,2,0),"")</f>
        <v>Hồ lô KK</v>
      </c>
      <c r="E8" s="30">
        <f>IFERROR(VLOOKUP($A8,'Tổng Đơn'!$A$5:$E$75,5,0),"")</f>
        <v>0.5</v>
      </c>
      <c r="F8" s="30">
        <f t="shared" ref="F8:F37" si="1">IF($B8="","",B8)</f>
        <v>2</v>
      </c>
      <c r="G8" s="162">
        <f>IFERROR(VLOOKUP($A8,Sheet1!$A1:$D$98,4,0),"")</f>
        <v>42000</v>
      </c>
      <c r="H8" s="153">
        <f>IF($C7=MAX($C$8:$C$56),SUM($H7:$H$8),IFERROR($G8*$F8,""))</f>
        <v>84000</v>
      </c>
      <c r="I8" s="55">
        <f t="shared" ref="I8:I37" si="2">IF(TYPE($A8)&lt;&gt;1,"",IFERROR(F8*E8,""))</f>
        <v>1</v>
      </c>
      <c r="L8" s="32"/>
    </row>
    <row r="9" spans="1:14" s="29" customFormat="1" ht="14.25" customHeight="1" x14ac:dyDescent="0.25">
      <c r="A9" s="155" t="s">
        <v>300</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84000</v>
      </c>
      <c r="I9" s="55" t="str">
        <f t="shared" si="2"/>
        <v/>
      </c>
      <c r="L9" s="31"/>
    </row>
    <row r="10" spans="1:14" s="29" customFormat="1" ht="14.25" customHeight="1" x14ac:dyDescent="0.25">
      <c r="A10" s="155" t="s">
        <v>300</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300</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300</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300</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2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326</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300</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300</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300</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300</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300</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1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324</v>
      </c>
      <c r="E6" s="150"/>
      <c r="F6" s="150"/>
      <c r="G6" s="263" t="str">
        <f ca="1">"Ngày "&amp;DAY(TODAY())&amp;" Tháng "&amp;MONTH(TODAY())&amp;" Năm "&amp;YEAR(TODAY())</f>
        <v>Ngày 1 Tháng 9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Đơn'!$A$5:$E$75,5,0),"")</f>
        <v>0.5</v>
      </c>
      <c r="F8" s="30">
        <f t="shared" ref="F8:F37" si="1">IF($B8="","",B8)</f>
        <v>20</v>
      </c>
      <c r="G8" s="162">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52" t="s">
        <v>301</v>
      </c>
      <c r="E9" s="30" t="s">
        <v>260</v>
      </c>
      <c r="F9" s="30" t="s">
        <v>260</v>
      </c>
      <c r="G9" s="162" t="s">
        <v>260</v>
      </c>
      <c r="H9" s="153">
        <f>-10*6000</f>
        <v>-60000</v>
      </c>
      <c r="I9" s="55" t="str">
        <f t="shared" si="2"/>
        <v/>
      </c>
      <c r="L9" s="31"/>
    </row>
    <row r="10" spans="1:14" s="29" customFormat="1" ht="14.25" customHeight="1" x14ac:dyDescent="0.25">
      <c r="A10" s="155" t="s">
        <v>300</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440000</v>
      </c>
      <c r="I10" s="55" t="str">
        <f t="shared" si="2"/>
        <v/>
      </c>
      <c r="L10" s="31"/>
    </row>
    <row r="11" spans="1:14" s="29" customFormat="1" ht="14.25" customHeight="1" x14ac:dyDescent="0.25">
      <c r="A11" s="155" t="s">
        <v>300</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300</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300</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300</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300</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300</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300</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300</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300</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300</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300</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300</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300</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300</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300</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300</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300</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300</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300</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300</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300</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300</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300</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300</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300</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300</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300</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0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2022-09-01T01:54:51Z</dcterms:modified>
</cp:coreProperties>
</file>