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drawings/drawing12.xml" ContentType="application/vnd.openxmlformats-officedocument.drawing+xml"/>
  <Override PartName="/xl/ctrlProps/ctrlProp12.xml" ContentType="application/vnd.ms-excel.controlproperties+xml"/>
  <Override PartName="/xl/drawings/drawing13.xml" ContentType="application/vnd.openxmlformats-officedocument.drawing+xml"/>
  <Override PartName="/xl/ctrlProps/ctrlProp13.xml" ContentType="application/vnd.ms-excel.controlproperties+xml"/>
  <Override PartName="/xl/drawings/drawing14.xml" ContentType="application/vnd.openxmlformats-officedocument.drawing+xml"/>
  <Override PartName="/xl/ctrlProps/ctrlProp1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24226"/>
  <mc:AlternateContent xmlns:mc="http://schemas.openxmlformats.org/markup-compatibility/2006">
    <mc:Choice Requires="x15">
      <x15ac:absPath xmlns:x15ac="http://schemas.microsoft.com/office/spreadsheetml/2010/11/ac" url="E:\MINH THƯ\HÀNG HÓA\2022\T08\"/>
    </mc:Choice>
  </mc:AlternateContent>
  <bookViews>
    <workbookView xWindow="0" yWindow="0" windowWidth="20400" windowHeight="7620" tabRatio="925" activeTab="7"/>
  </bookViews>
  <sheets>
    <sheet name="Chi phí ra hàng tháng" sheetId="120" r:id="rId1"/>
    <sheet name="Gà" sheetId="137" r:id="rId2"/>
    <sheet name="TVP" sheetId="5" state="hidden" r:id="rId3"/>
    <sheet name="Quốc Nhân" sheetId="1" r:id="rId4"/>
    <sheet name="La Cusina" sheetId="4" r:id="rId5"/>
    <sheet name="Kitkool" sheetId="150" r:id="rId6"/>
    <sheet name="Sheet1" sheetId="8" r:id="rId7"/>
    <sheet name="Chi phí" sheetId="95" r:id="rId8"/>
    <sheet name="Tổng Đơn" sheetId="50" r:id="rId9"/>
    <sheet name="Thanh Toán" sheetId="439" r:id="rId10"/>
    <sheet name="Thanh Toán (13)" sheetId="740" r:id="rId11"/>
    <sheet name="Thanh Toán (12)" sheetId="739" r:id="rId12"/>
    <sheet name="Thanh Toán (11)" sheetId="738" r:id="rId13"/>
    <sheet name="Thanh Toán (10)" sheetId="737" r:id="rId14"/>
    <sheet name="Thanh Toán (9)" sheetId="736" r:id="rId15"/>
    <sheet name="Thanh Toán (8)" sheetId="735" r:id="rId16"/>
    <sheet name="Thanh Toán (7)" sheetId="734" r:id="rId17"/>
    <sheet name="Thanh Toán (6)" sheetId="733" r:id="rId18"/>
    <sheet name="Thanh Toán (5)" sheetId="732" r:id="rId19"/>
    <sheet name="Thanh Toán (4)" sheetId="731" r:id="rId20"/>
    <sheet name="Thanh Toán (3)" sheetId="730" r:id="rId21"/>
    <sheet name="Thanh Toán (2)" sheetId="729" r:id="rId22"/>
  </sheets>
  <definedNames>
    <definedName name="_xlnm._FilterDatabase" localSheetId="7" hidden="1">'Chi phí'!$A$6:$E$29</definedName>
    <definedName name="_xlnm._FilterDatabase" localSheetId="0" hidden="1">'Chi phí ra hàng tháng'!$I$2:$S$21</definedName>
    <definedName name="_xlnm._FilterDatabase" localSheetId="1" hidden="1">Gà!$B$4:$M$4</definedName>
    <definedName name="_xlnm._FilterDatabase" localSheetId="5" hidden="1">Kitkool!$B$4:$AW$12</definedName>
    <definedName name="_xlnm._FilterDatabase" localSheetId="4" hidden="1">'La Cusina'!$B$4:$M$24</definedName>
    <definedName name="_xlnm._FilterDatabase" localSheetId="3" hidden="1">'Quốc Nhân'!$B$4:$AW$34</definedName>
    <definedName name="_xlnm._FilterDatabase" localSheetId="6" hidden="1">Sheet1!$A$1:$D$72</definedName>
    <definedName name="_xlnm._FilterDatabase" localSheetId="8" hidden="1">'Tổng Đơn'!$A$4:$AO$76</definedName>
    <definedName name="_xlnm._FilterDatabase" localSheetId="2" hidden="1">TVP!$B$4:$AW$24</definedName>
    <definedName name="_xlnm.Print_Area" localSheetId="9">'Thanh Toán'!$C$1:$H$38</definedName>
    <definedName name="_xlnm.Print_Area" localSheetId="13">'Thanh Toán (10)'!$C$1:$H$38</definedName>
    <definedName name="_xlnm.Print_Area" localSheetId="12">'Thanh Toán (11)'!$C$1:$H$38</definedName>
    <definedName name="_xlnm.Print_Area" localSheetId="11">'Thanh Toán (12)'!$C$1:$H$38</definedName>
    <definedName name="_xlnm.Print_Area" localSheetId="10">'Thanh Toán (13)'!$C$1:$H$38</definedName>
    <definedName name="_xlnm.Print_Area" localSheetId="21">'Thanh Toán (2)'!$C$1:$H$38</definedName>
    <definedName name="_xlnm.Print_Area" localSheetId="20">'Thanh Toán (3)'!$C$1:$H$38</definedName>
    <definedName name="_xlnm.Print_Area" localSheetId="19">'Thanh Toán (4)'!$C$1:$H$38</definedName>
    <definedName name="_xlnm.Print_Area" localSheetId="18">'Thanh Toán (5)'!$C$1:$H$38</definedName>
    <definedName name="_xlnm.Print_Area" localSheetId="17">'Thanh Toán (6)'!$C$1:$H$38</definedName>
    <definedName name="_xlnm.Print_Area" localSheetId="16">'Thanh Toán (7)'!$C$1:$H$38</definedName>
    <definedName name="_xlnm.Print_Area" localSheetId="15">'Thanh Toán (8)'!$C$1:$H$38</definedName>
    <definedName name="_xlnm.Print_Area" localSheetId="14">'Thanh Toán (9)'!$C$1:$H$38</definedName>
    <definedName name="Slicer_Tên_hàng">#N/A</definedName>
  </definedNames>
  <calcPr calcId="162913"/>
  <pivotCaches>
    <pivotCache cacheId="0" r:id="rId23"/>
  </pivotCaches>
  <extLst>
    <ext xmlns:x14="http://schemas.microsoft.com/office/spreadsheetml/2009/9/main" uri="{BBE1A952-AA13-448e-AADC-164F8A28A991}">
      <x14:slicerCaches>
        <x14:slicerCache r:id="rId24"/>
      </x14:slicerCaches>
    </ext>
    <ext xmlns:x14="http://schemas.microsoft.com/office/spreadsheetml/2009/9/main" uri="{79F54976-1DA5-4618-B147-4CDE4B953A38}">
      <x14:workbookPr/>
    </ext>
  </extLst>
</workbook>
</file>

<file path=xl/calcChain.xml><?xml version="1.0" encoding="utf-8"?>
<calcChain xmlns="http://schemas.openxmlformats.org/spreadsheetml/2006/main">
  <c r="I7" i="95" l="1"/>
  <c r="I37" i="740"/>
  <c r="F37" i="740"/>
  <c r="E37" i="740"/>
  <c r="D37" i="740"/>
  <c r="I36" i="740"/>
  <c r="F36" i="740"/>
  <c r="E36" i="740"/>
  <c r="D36" i="740"/>
  <c r="I35" i="740"/>
  <c r="F35" i="740"/>
  <c r="E35" i="740"/>
  <c r="D35" i="740"/>
  <c r="I34" i="740"/>
  <c r="F34" i="740"/>
  <c r="E34" i="740"/>
  <c r="D34" i="740"/>
  <c r="I33" i="740"/>
  <c r="F33" i="740"/>
  <c r="E33" i="740"/>
  <c r="D33" i="740"/>
  <c r="I32" i="740"/>
  <c r="F32" i="740"/>
  <c r="E32" i="740"/>
  <c r="D32" i="740"/>
  <c r="I31" i="740"/>
  <c r="F31" i="740"/>
  <c r="E31" i="740"/>
  <c r="D31" i="740"/>
  <c r="I30" i="740"/>
  <c r="F30" i="740"/>
  <c r="E30" i="740"/>
  <c r="D30" i="740"/>
  <c r="I29" i="740"/>
  <c r="F29" i="740"/>
  <c r="E29" i="740"/>
  <c r="D29" i="740"/>
  <c r="I28" i="740"/>
  <c r="F28" i="740"/>
  <c r="E28" i="740"/>
  <c r="D28" i="740"/>
  <c r="I27" i="740"/>
  <c r="F27" i="740"/>
  <c r="E27" i="740"/>
  <c r="D27" i="740"/>
  <c r="I26" i="740"/>
  <c r="F26" i="740"/>
  <c r="E26" i="740"/>
  <c r="D26" i="740"/>
  <c r="I25" i="740"/>
  <c r="F25" i="740"/>
  <c r="E25" i="740"/>
  <c r="D25" i="740"/>
  <c r="I24" i="740"/>
  <c r="F24" i="740"/>
  <c r="E24" i="740"/>
  <c r="D24" i="740"/>
  <c r="I23" i="740"/>
  <c r="F23" i="740"/>
  <c r="E23" i="740"/>
  <c r="D23" i="740"/>
  <c r="I22" i="740"/>
  <c r="F22" i="740"/>
  <c r="E22" i="740"/>
  <c r="D22" i="740"/>
  <c r="I21" i="740"/>
  <c r="F21" i="740"/>
  <c r="E21" i="740"/>
  <c r="D21" i="740"/>
  <c r="I20" i="740"/>
  <c r="F20" i="740"/>
  <c r="E20" i="740"/>
  <c r="D20" i="740"/>
  <c r="I19" i="740"/>
  <c r="F19" i="740"/>
  <c r="E19" i="740"/>
  <c r="D19" i="740"/>
  <c r="I18" i="740"/>
  <c r="F18" i="740"/>
  <c r="E18" i="740"/>
  <c r="D18" i="740"/>
  <c r="I17" i="740"/>
  <c r="F17" i="740"/>
  <c r="E17" i="740"/>
  <c r="D17" i="740"/>
  <c r="I16" i="740"/>
  <c r="F16" i="740"/>
  <c r="E16" i="740"/>
  <c r="D16" i="740"/>
  <c r="I15" i="740"/>
  <c r="F15" i="740"/>
  <c r="E15" i="740"/>
  <c r="D15" i="740"/>
  <c r="I14" i="740"/>
  <c r="F14" i="740"/>
  <c r="E14" i="740"/>
  <c r="D14" i="740"/>
  <c r="I13" i="740"/>
  <c r="F13" i="740"/>
  <c r="E13" i="740"/>
  <c r="D13" i="740"/>
  <c r="I12" i="740"/>
  <c r="F12" i="740"/>
  <c r="E12" i="740"/>
  <c r="D12" i="740"/>
  <c r="I11" i="740"/>
  <c r="F11" i="740"/>
  <c r="E11" i="740"/>
  <c r="D11" i="740"/>
  <c r="I10" i="740"/>
  <c r="F10" i="740"/>
  <c r="E10" i="740"/>
  <c r="D10" i="740"/>
  <c r="F9" i="740"/>
  <c r="E9" i="740"/>
  <c r="I9" i="740" s="1"/>
  <c r="D9" i="740"/>
  <c r="G8" i="740"/>
  <c r="F8" i="740"/>
  <c r="I8" i="740" s="1"/>
  <c r="I7" i="740" s="1"/>
  <c r="E8" i="740"/>
  <c r="D8" i="740"/>
  <c r="C8" i="740"/>
  <c r="C9" i="740" s="1"/>
  <c r="E7" i="740"/>
  <c r="G6" i="740"/>
  <c r="I37" i="739"/>
  <c r="F37" i="739"/>
  <c r="E37" i="739"/>
  <c r="D37" i="739"/>
  <c r="I36" i="739"/>
  <c r="F36" i="739"/>
  <c r="E36" i="739"/>
  <c r="D36" i="739"/>
  <c r="I35" i="739"/>
  <c r="F35" i="739"/>
  <c r="E35" i="739"/>
  <c r="D35" i="739"/>
  <c r="I34" i="739"/>
  <c r="F34" i="739"/>
  <c r="E34" i="739"/>
  <c r="D34" i="739"/>
  <c r="I33" i="739"/>
  <c r="F33" i="739"/>
  <c r="E33" i="739"/>
  <c r="D33" i="739"/>
  <c r="I32" i="739"/>
  <c r="F32" i="739"/>
  <c r="E32" i="739"/>
  <c r="D32" i="739"/>
  <c r="I31" i="739"/>
  <c r="F31" i="739"/>
  <c r="E31" i="739"/>
  <c r="D31" i="739"/>
  <c r="I30" i="739"/>
  <c r="F30" i="739"/>
  <c r="E30" i="739"/>
  <c r="D30" i="739"/>
  <c r="I29" i="739"/>
  <c r="F29" i="739"/>
  <c r="E29" i="739"/>
  <c r="D29" i="739"/>
  <c r="I28" i="739"/>
  <c r="F28" i="739"/>
  <c r="E28" i="739"/>
  <c r="D28" i="739"/>
  <c r="I27" i="739"/>
  <c r="F27" i="739"/>
  <c r="E27" i="739"/>
  <c r="D27" i="739"/>
  <c r="I26" i="739"/>
  <c r="F26" i="739"/>
  <c r="E26" i="739"/>
  <c r="D26" i="739"/>
  <c r="I25" i="739"/>
  <c r="F25" i="739"/>
  <c r="E25" i="739"/>
  <c r="D25" i="739"/>
  <c r="I24" i="739"/>
  <c r="F24" i="739"/>
  <c r="E24" i="739"/>
  <c r="D24" i="739"/>
  <c r="I23" i="739"/>
  <c r="F23" i="739"/>
  <c r="E23" i="739"/>
  <c r="D23" i="739"/>
  <c r="I22" i="739"/>
  <c r="F22" i="739"/>
  <c r="E22" i="739"/>
  <c r="D22" i="739"/>
  <c r="I21" i="739"/>
  <c r="F21" i="739"/>
  <c r="E21" i="739"/>
  <c r="D21" i="739"/>
  <c r="I20" i="739"/>
  <c r="F20" i="739"/>
  <c r="E20" i="739"/>
  <c r="D20" i="739"/>
  <c r="I19" i="739"/>
  <c r="F19" i="739"/>
  <c r="E19" i="739"/>
  <c r="D19" i="739"/>
  <c r="I18" i="739"/>
  <c r="F18" i="739"/>
  <c r="E18" i="739"/>
  <c r="D18" i="739"/>
  <c r="I17" i="739"/>
  <c r="F17" i="739"/>
  <c r="E17" i="739"/>
  <c r="D17" i="739"/>
  <c r="I16" i="739"/>
  <c r="F16" i="739"/>
  <c r="E16" i="739"/>
  <c r="D16" i="739"/>
  <c r="I15" i="739"/>
  <c r="F15" i="739"/>
  <c r="E15" i="739"/>
  <c r="D15" i="739"/>
  <c r="I14" i="739"/>
  <c r="F14" i="739"/>
  <c r="E14" i="739"/>
  <c r="D14" i="739"/>
  <c r="I13" i="739"/>
  <c r="F13" i="739"/>
  <c r="E13" i="739"/>
  <c r="D13" i="739"/>
  <c r="I12" i="739"/>
  <c r="F12" i="739"/>
  <c r="E12" i="739"/>
  <c r="D12" i="739"/>
  <c r="I11" i="739"/>
  <c r="F11" i="739"/>
  <c r="E11" i="739"/>
  <c r="D11" i="739"/>
  <c r="I10" i="739"/>
  <c r="F10" i="739"/>
  <c r="E10" i="739"/>
  <c r="D10" i="739"/>
  <c r="I9" i="739"/>
  <c r="F9" i="739"/>
  <c r="E9" i="739"/>
  <c r="D9" i="739"/>
  <c r="G8" i="739"/>
  <c r="F8" i="739"/>
  <c r="E8" i="739"/>
  <c r="I8" i="739" s="1"/>
  <c r="I7" i="739" s="1"/>
  <c r="D8" i="739"/>
  <c r="C8" i="739"/>
  <c r="C9" i="739" s="1"/>
  <c r="E7" i="739"/>
  <c r="G6" i="739"/>
  <c r="G9" i="740" l="1"/>
  <c r="C10" i="740"/>
  <c r="G9" i="739"/>
  <c r="C10" i="739"/>
  <c r="I37" i="738"/>
  <c r="F37" i="738"/>
  <c r="E37" i="738"/>
  <c r="D37" i="738"/>
  <c r="I36" i="738"/>
  <c r="F36" i="738"/>
  <c r="E36" i="738"/>
  <c r="D36" i="738"/>
  <c r="I35" i="738"/>
  <c r="F35" i="738"/>
  <c r="E35" i="738"/>
  <c r="D35" i="738"/>
  <c r="I34" i="738"/>
  <c r="F34" i="738"/>
  <c r="E34" i="738"/>
  <c r="D34" i="738"/>
  <c r="I33" i="738"/>
  <c r="F33" i="738"/>
  <c r="E33" i="738"/>
  <c r="D33" i="738"/>
  <c r="I32" i="738"/>
  <c r="F32" i="738"/>
  <c r="E32" i="738"/>
  <c r="D32" i="738"/>
  <c r="I31" i="738"/>
  <c r="F31" i="738"/>
  <c r="E31" i="738"/>
  <c r="D31" i="738"/>
  <c r="I30" i="738"/>
  <c r="F30" i="738"/>
  <c r="E30" i="738"/>
  <c r="D30" i="738"/>
  <c r="I29" i="738"/>
  <c r="F29" i="738"/>
  <c r="E29" i="738"/>
  <c r="D29" i="738"/>
  <c r="I28" i="738"/>
  <c r="F28" i="738"/>
  <c r="E28" i="738"/>
  <c r="D28" i="738"/>
  <c r="I27" i="738"/>
  <c r="F27" i="738"/>
  <c r="E27" i="738"/>
  <c r="D27" i="738"/>
  <c r="I26" i="738"/>
  <c r="F26" i="738"/>
  <c r="E26" i="738"/>
  <c r="D26" i="738"/>
  <c r="I25" i="738"/>
  <c r="F25" i="738"/>
  <c r="E25" i="738"/>
  <c r="D25" i="738"/>
  <c r="I24" i="738"/>
  <c r="F24" i="738"/>
  <c r="E24" i="738"/>
  <c r="D24" i="738"/>
  <c r="I23" i="738"/>
  <c r="F23" i="738"/>
  <c r="E23" i="738"/>
  <c r="D23" i="738"/>
  <c r="I22" i="738"/>
  <c r="F22" i="738"/>
  <c r="E22" i="738"/>
  <c r="D22" i="738"/>
  <c r="I21" i="738"/>
  <c r="F21" i="738"/>
  <c r="E21" i="738"/>
  <c r="D21" i="738"/>
  <c r="I20" i="738"/>
  <c r="F20" i="738"/>
  <c r="E20" i="738"/>
  <c r="D20" i="738"/>
  <c r="I19" i="738"/>
  <c r="F19" i="738"/>
  <c r="E19" i="738"/>
  <c r="D19" i="738"/>
  <c r="I18" i="738"/>
  <c r="F18" i="738"/>
  <c r="E18" i="738"/>
  <c r="D18" i="738"/>
  <c r="I17" i="738"/>
  <c r="F17" i="738"/>
  <c r="E17" i="738"/>
  <c r="D17" i="738"/>
  <c r="I16" i="738"/>
  <c r="F16" i="738"/>
  <c r="E16" i="738"/>
  <c r="D16" i="738"/>
  <c r="I15" i="738"/>
  <c r="F15" i="738"/>
  <c r="E15" i="738"/>
  <c r="D15" i="738"/>
  <c r="I14" i="738"/>
  <c r="F14" i="738"/>
  <c r="E14" i="738"/>
  <c r="D14" i="738"/>
  <c r="I13" i="738"/>
  <c r="F13" i="738"/>
  <c r="E13" i="738"/>
  <c r="D13" i="738"/>
  <c r="I12" i="738"/>
  <c r="F12" i="738"/>
  <c r="E12" i="738"/>
  <c r="D12" i="738"/>
  <c r="I11" i="738"/>
  <c r="I10" i="738"/>
  <c r="F10" i="738"/>
  <c r="E10" i="738"/>
  <c r="D10" i="738"/>
  <c r="F9" i="738"/>
  <c r="I9" i="738" s="1"/>
  <c r="E9" i="738"/>
  <c r="D9" i="738"/>
  <c r="G8" i="738"/>
  <c r="F8" i="738"/>
  <c r="E8" i="738"/>
  <c r="I8" i="738" s="1"/>
  <c r="D8" i="738"/>
  <c r="C8" i="738"/>
  <c r="C9" i="738" s="1"/>
  <c r="E7" i="738"/>
  <c r="G6" i="738"/>
  <c r="H15" i="731"/>
  <c r="H13" i="737"/>
  <c r="I37" i="737"/>
  <c r="F37" i="737"/>
  <c r="E37" i="737"/>
  <c r="D37" i="737"/>
  <c r="I36" i="737"/>
  <c r="F36" i="737"/>
  <c r="E36" i="737"/>
  <c r="D36" i="737"/>
  <c r="I35" i="737"/>
  <c r="F35" i="737"/>
  <c r="E35" i="737"/>
  <c r="D35" i="737"/>
  <c r="I34" i="737"/>
  <c r="F34" i="737"/>
  <c r="E34" i="737"/>
  <c r="D34" i="737"/>
  <c r="I33" i="737"/>
  <c r="F33" i="737"/>
  <c r="E33" i="737"/>
  <c r="D33" i="737"/>
  <c r="I32" i="737"/>
  <c r="F32" i="737"/>
  <c r="E32" i="737"/>
  <c r="D32" i="737"/>
  <c r="I31" i="737"/>
  <c r="F31" i="737"/>
  <c r="E31" i="737"/>
  <c r="D31" i="737"/>
  <c r="I30" i="737"/>
  <c r="F30" i="737"/>
  <c r="E30" i="737"/>
  <c r="D30" i="737"/>
  <c r="I29" i="737"/>
  <c r="F29" i="737"/>
  <c r="E29" i="737"/>
  <c r="D29" i="737"/>
  <c r="I28" i="737"/>
  <c r="F28" i="737"/>
  <c r="E28" i="737"/>
  <c r="D28" i="737"/>
  <c r="I27" i="737"/>
  <c r="F27" i="737"/>
  <c r="E27" i="737"/>
  <c r="D27" i="737"/>
  <c r="I26" i="737"/>
  <c r="F26" i="737"/>
  <c r="E26" i="737"/>
  <c r="D26" i="737"/>
  <c r="I25" i="737"/>
  <c r="F25" i="737"/>
  <c r="E25" i="737"/>
  <c r="D25" i="737"/>
  <c r="I24" i="737"/>
  <c r="F24" i="737"/>
  <c r="E24" i="737"/>
  <c r="D24" i="737"/>
  <c r="I23" i="737"/>
  <c r="F23" i="737"/>
  <c r="E23" i="737"/>
  <c r="D23" i="737"/>
  <c r="I22" i="737"/>
  <c r="F22" i="737"/>
  <c r="E22" i="737"/>
  <c r="D22" i="737"/>
  <c r="I21" i="737"/>
  <c r="F21" i="737"/>
  <c r="E21" i="737"/>
  <c r="D21" i="737"/>
  <c r="I20" i="737"/>
  <c r="F20" i="737"/>
  <c r="E20" i="737"/>
  <c r="D20" i="737"/>
  <c r="I19" i="737"/>
  <c r="F19" i="737"/>
  <c r="E19" i="737"/>
  <c r="D19" i="737"/>
  <c r="I18" i="737"/>
  <c r="F18" i="737"/>
  <c r="E18" i="737"/>
  <c r="D18" i="737"/>
  <c r="I17" i="737"/>
  <c r="F17" i="737"/>
  <c r="E17" i="737"/>
  <c r="D17" i="737"/>
  <c r="I16" i="737"/>
  <c r="F16" i="737"/>
  <c r="E16" i="737"/>
  <c r="D16" i="737"/>
  <c r="I15" i="737"/>
  <c r="F15" i="737"/>
  <c r="E15" i="737"/>
  <c r="D15" i="737"/>
  <c r="I14" i="737"/>
  <c r="F14" i="737"/>
  <c r="E14" i="737"/>
  <c r="D14" i="737"/>
  <c r="F12" i="737"/>
  <c r="I12" i="737" s="1"/>
  <c r="E12" i="737"/>
  <c r="D12" i="737"/>
  <c r="F11" i="737"/>
  <c r="I11" i="737" s="1"/>
  <c r="E11" i="737"/>
  <c r="D11" i="737"/>
  <c r="F10" i="737"/>
  <c r="E10" i="737"/>
  <c r="I10" i="737" s="1"/>
  <c r="D10" i="737"/>
  <c r="F9" i="737"/>
  <c r="E9" i="737"/>
  <c r="I9" i="737" s="1"/>
  <c r="D9" i="737"/>
  <c r="G8" i="737"/>
  <c r="F8" i="737"/>
  <c r="E8" i="737"/>
  <c r="I8" i="737" s="1"/>
  <c r="D8" i="737"/>
  <c r="C8" i="737"/>
  <c r="C9" i="737" s="1"/>
  <c r="E7" i="737"/>
  <c r="G6" i="737"/>
  <c r="I37" i="736"/>
  <c r="F37" i="736"/>
  <c r="E37" i="736"/>
  <c r="D37" i="736"/>
  <c r="I36" i="736"/>
  <c r="F36" i="736"/>
  <c r="E36" i="736"/>
  <c r="D36" i="736"/>
  <c r="I35" i="736"/>
  <c r="F35" i="736"/>
  <c r="E35" i="736"/>
  <c r="D35" i="736"/>
  <c r="I34" i="736"/>
  <c r="F34" i="736"/>
  <c r="E34" i="736"/>
  <c r="D34" i="736"/>
  <c r="I33" i="736"/>
  <c r="F33" i="736"/>
  <c r="E33" i="736"/>
  <c r="D33" i="736"/>
  <c r="I32" i="736"/>
  <c r="F32" i="736"/>
  <c r="E32" i="736"/>
  <c r="D32" i="736"/>
  <c r="I31" i="736"/>
  <c r="F31" i="736"/>
  <c r="E31" i="736"/>
  <c r="D31" i="736"/>
  <c r="I30" i="736"/>
  <c r="F30" i="736"/>
  <c r="E30" i="736"/>
  <c r="D30" i="736"/>
  <c r="I29" i="736"/>
  <c r="F29" i="736"/>
  <c r="E29" i="736"/>
  <c r="D29" i="736"/>
  <c r="I28" i="736"/>
  <c r="F28" i="736"/>
  <c r="E28" i="736"/>
  <c r="D28" i="736"/>
  <c r="I27" i="736"/>
  <c r="F27" i="736"/>
  <c r="E27" i="736"/>
  <c r="D27" i="736"/>
  <c r="I26" i="736"/>
  <c r="F26" i="736"/>
  <c r="E26" i="736"/>
  <c r="D26" i="736"/>
  <c r="I25" i="736"/>
  <c r="F25" i="736"/>
  <c r="E25" i="736"/>
  <c r="D25" i="736"/>
  <c r="I24" i="736"/>
  <c r="F24" i="736"/>
  <c r="E24" i="736"/>
  <c r="D24" i="736"/>
  <c r="I23" i="736"/>
  <c r="F23" i="736"/>
  <c r="E23" i="736"/>
  <c r="D23" i="736"/>
  <c r="I22" i="736"/>
  <c r="F22" i="736"/>
  <c r="E22" i="736"/>
  <c r="D22" i="736"/>
  <c r="I21" i="736"/>
  <c r="F21" i="736"/>
  <c r="E21" i="736"/>
  <c r="D21" i="736"/>
  <c r="I20" i="736"/>
  <c r="F20" i="736"/>
  <c r="E20" i="736"/>
  <c r="D20" i="736"/>
  <c r="I19" i="736"/>
  <c r="F19" i="736"/>
  <c r="E19" i="736"/>
  <c r="D19" i="736"/>
  <c r="I18" i="736"/>
  <c r="F18" i="736"/>
  <c r="E18" i="736"/>
  <c r="D18" i="736"/>
  <c r="I17" i="736"/>
  <c r="F17" i="736"/>
  <c r="E17" i="736"/>
  <c r="D17" i="736"/>
  <c r="I16" i="736"/>
  <c r="F16" i="736"/>
  <c r="E16" i="736"/>
  <c r="D16" i="736"/>
  <c r="I15" i="736"/>
  <c r="F15" i="736"/>
  <c r="E15" i="736"/>
  <c r="D15" i="736"/>
  <c r="I14" i="736"/>
  <c r="F14" i="736"/>
  <c r="E14" i="736"/>
  <c r="D14" i="736"/>
  <c r="I13" i="736"/>
  <c r="F13" i="736"/>
  <c r="E13" i="736"/>
  <c r="D13" i="736"/>
  <c r="I12" i="736"/>
  <c r="F12" i="736"/>
  <c r="E12" i="736"/>
  <c r="D12" i="736"/>
  <c r="I11" i="736"/>
  <c r="F11" i="736"/>
  <c r="E11" i="736"/>
  <c r="D11" i="736"/>
  <c r="F10" i="736"/>
  <c r="E10" i="736"/>
  <c r="I10" i="736" s="1"/>
  <c r="D10" i="736"/>
  <c r="F9" i="736"/>
  <c r="E9" i="736"/>
  <c r="I9" i="736" s="1"/>
  <c r="D9" i="736"/>
  <c r="G8" i="736"/>
  <c r="F8" i="736"/>
  <c r="E8" i="736"/>
  <c r="D8" i="736"/>
  <c r="C8" i="736"/>
  <c r="C9" i="736" s="1"/>
  <c r="E7" i="736"/>
  <c r="G6" i="736"/>
  <c r="I37" i="735"/>
  <c r="F37" i="735"/>
  <c r="E37" i="735"/>
  <c r="D37" i="735"/>
  <c r="I36" i="735"/>
  <c r="F36" i="735"/>
  <c r="E36" i="735"/>
  <c r="D36" i="735"/>
  <c r="I35" i="735"/>
  <c r="F35" i="735"/>
  <c r="E35" i="735"/>
  <c r="D35" i="735"/>
  <c r="I34" i="735"/>
  <c r="F34" i="735"/>
  <c r="E34" i="735"/>
  <c r="D34" i="735"/>
  <c r="I33" i="735"/>
  <c r="F33" i="735"/>
  <c r="E33" i="735"/>
  <c r="D33" i="735"/>
  <c r="I32" i="735"/>
  <c r="F32" i="735"/>
  <c r="E32" i="735"/>
  <c r="D32" i="735"/>
  <c r="I31" i="735"/>
  <c r="F31" i="735"/>
  <c r="E31" i="735"/>
  <c r="D31" i="735"/>
  <c r="I30" i="735"/>
  <c r="F30" i="735"/>
  <c r="E30" i="735"/>
  <c r="D30" i="735"/>
  <c r="I29" i="735"/>
  <c r="F29" i="735"/>
  <c r="E29" i="735"/>
  <c r="D29" i="735"/>
  <c r="I28" i="735"/>
  <c r="F28" i="735"/>
  <c r="E28" i="735"/>
  <c r="D28" i="735"/>
  <c r="I27" i="735"/>
  <c r="F27" i="735"/>
  <c r="E27" i="735"/>
  <c r="D27" i="735"/>
  <c r="I26" i="735"/>
  <c r="F26" i="735"/>
  <c r="E26" i="735"/>
  <c r="D26" i="735"/>
  <c r="I25" i="735"/>
  <c r="F25" i="735"/>
  <c r="E25" i="735"/>
  <c r="D25" i="735"/>
  <c r="I24" i="735"/>
  <c r="F24" i="735"/>
  <c r="E24" i="735"/>
  <c r="D24" i="735"/>
  <c r="I23" i="735"/>
  <c r="F23" i="735"/>
  <c r="E23" i="735"/>
  <c r="D23" i="735"/>
  <c r="I22" i="735"/>
  <c r="F22" i="735"/>
  <c r="E22" i="735"/>
  <c r="D22" i="735"/>
  <c r="I21" i="735"/>
  <c r="F21" i="735"/>
  <c r="E21" i="735"/>
  <c r="D21" i="735"/>
  <c r="I20" i="735"/>
  <c r="F20" i="735"/>
  <c r="E20" i="735"/>
  <c r="D20" i="735"/>
  <c r="I19" i="735"/>
  <c r="F19" i="735"/>
  <c r="E19" i="735"/>
  <c r="D19" i="735"/>
  <c r="I18" i="735"/>
  <c r="F18" i="735"/>
  <c r="E18" i="735"/>
  <c r="D18" i="735"/>
  <c r="I17" i="735"/>
  <c r="F17" i="735"/>
  <c r="E17" i="735"/>
  <c r="D17" i="735"/>
  <c r="I16" i="735"/>
  <c r="F16" i="735"/>
  <c r="E16" i="735"/>
  <c r="D16" i="735"/>
  <c r="I15" i="735"/>
  <c r="F15" i="735"/>
  <c r="E15" i="735"/>
  <c r="D15" i="735"/>
  <c r="I14" i="735"/>
  <c r="F14" i="735"/>
  <c r="E14" i="735"/>
  <c r="D14" i="735"/>
  <c r="I13" i="735"/>
  <c r="F13" i="735"/>
  <c r="E13" i="735"/>
  <c r="D13" i="735"/>
  <c r="I12" i="735"/>
  <c r="F12" i="735"/>
  <c r="E12" i="735"/>
  <c r="D12" i="735"/>
  <c r="I11" i="735"/>
  <c r="F11" i="735"/>
  <c r="E11" i="735"/>
  <c r="D11" i="735"/>
  <c r="I10" i="735"/>
  <c r="F10" i="735"/>
  <c r="E10" i="735"/>
  <c r="D10" i="735"/>
  <c r="F9" i="735"/>
  <c r="I9" i="735" s="1"/>
  <c r="E9" i="735"/>
  <c r="D9" i="735"/>
  <c r="G8" i="735"/>
  <c r="F8" i="735"/>
  <c r="E8" i="735"/>
  <c r="I8" i="735" s="1"/>
  <c r="D8" i="735"/>
  <c r="C8" i="735"/>
  <c r="C9" i="735" s="1"/>
  <c r="E7" i="735"/>
  <c r="G6" i="735"/>
  <c r="I37" i="734"/>
  <c r="F37" i="734"/>
  <c r="E37" i="734"/>
  <c r="D37" i="734"/>
  <c r="I36" i="734"/>
  <c r="F36" i="734"/>
  <c r="E36" i="734"/>
  <c r="D36" i="734"/>
  <c r="I35" i="734"/>
  <c r="F35" i="734"/>
  <c r="E35" i="734"/>
  <c r="D35" i="734"/>
  <c r="I34" i="734"/>
  <c r="F34" i="734"/>
  <c r="E34" i="734"/>
  <c r="D34" i="734"/>
  <c r="I33" i="734"/>
  <c r="F33" i="734"/>
  <c r="E33" i="734"/>
  <c r="D33" i="734"/>
  <c r="I32" i="734"/>
  <c r="F32" i="734"/>
  <c r="E32" i="734"/>
  <c r="D32" i="734"/>
  <c r="I31" i="734"/>
  <c r="F31" i="734"/>
  <c r="E31" i="734"/>
  <c r="D31" i="734"/>
  <c r="I30" i="734"/>
  <c r="F30" i="734"/>
  <c r="E30" i="734"/>
  <c r="D30" i="734"/>
  <c r="I29" i="734"/>
  <c r="F29" i="734"/>
  <c r="E29" i="734"/>
  <c r="D29" i="734"/>
  <c r="I28" i="734"/>
  <c r="F28" i="734"/>
  <c r="E28" i="734"/>
  <c r="D28" i="734"/>
  <c r="I27" i="734"/>
  <c r="F27" i="734"/>
  <c r="E27" i="734"/>
  <c r="D27" i="734"/>
  <c r="I26" i="734"/>
  <c r="F26" i="734"/>
  <c r="E26" i="734"/>
  <c r="D26" i="734"/>
  <c r="I25" i="734"/>
  <c r="F25" i="734"/>
  <c r="E25" i="734"/>
  <c r="D25" i="734"/>
  <c r="I24" i="734"/>
  <c r="F24" i="734"/>
  <c r="E24" i="734"/>
  <c r="D24" i="734"/>
  <c r="I23" i="734"/>
  <c r="F23" i="734"/>
  <c r="E23" i="734"/>
  <c r="D23" i="734"/>
  <c r="I22" i="734"/>
  <c r="F22" i="734"/>
  <c r="E22" i="734"/>
  <c r="D22" i="734"/>
  <c r="I21" i="734"/>
  <c r="F21" i="734"/>
  <c r="E21" i="734"/>
  <c r="D21" i="734"/>
  <c r="I20" i="734"/>
  <c r="F20" i="734"/>
  <c r="E20" i="734"/>
  <c r="D20" i="734"/>
  <c r="I19" i="734"/>
  <c r="F19" i="734"/>
  <c r="E19" i="734"/>
  <c r="D19" i="734"/>
  <c r="I18" i="734"/>
  <c r="F18" i="734"/>
  <c r="E18" i="734"/>
  <c r="D18" i="734"/>
  <c r="I17" i="734"/>
  <c r="F17" i="734"/>
  <c r="E17" i="734"/>
  <c r="D17" i="734"/>
  <c r="I16" i="734"/>
  <c r="F16" i="734"/>
  <c r="E16" i="734"/>
  <c r="D16" i="734"/>
  <c r="I15" i="734"/>
  <c r="F15" i="734"/>
  <c r="E15" i="734"/>
  <c r="D15" i="734"/>
  <c r="I14" i="734"/>
  <c r="F14" i="734"/>
  <c r="E14" i="734"/>
  <c r="D14" i="734"/>
  <c r="I13" i="734"/>
  <c r="F13" i="734"/>
  <c r="E13" i="734"/>
  <c r="D13" i="734"/>
  <c r="I12" i="734"/>
  <c r="F12" i="734"/>
  <c r="E12" i="734"/>
  <c r="D12" i="734"/>
  <c r="I11" i="734"/>
  <c r="F11" i="734"/>
  <c r="E11" i="734"/>
  <c r="D11" i="734"/>
  <c r="I10" i="734"/>
  <c r="F10" i="734"/>
  <c r="E10" i="734"/>
  <c r="D10" i="734"/>
  <c r="F9" i="734"/>
  <c r="E9" i="734"/>
  <c r="D9" i="734"/>
  <c r="G8" i="734"/>
  <c r="F8" i="734"/>
  <c r="E8" i="734"/>
  <c r="D8" i="734"/>
  <c r="C8" i="734"/>
  <c r="C9" i="734" s="1"/>
  <c r="E7" i="734"/>
  <c r="G6" i="734"/>
  <c r="I37" i="733"/>
  <c r="F37" i="733"/>
  <c r="E37" i="733"/>
  <c r="D37" i="733"/>
  <c r="I36" i="733"/>
  <c r="F36" i="733"/>
  <c r="E36" i="733"/>
  <c r="D36" i="733"/>
  <c r="I35" i="733"/>
  <c r="F35" i="733"/>
  <c r="E35" i="733"/>
  <c r="D35" i="733"/>
  <c r="I34" i="733"/>
  <c r="F34" i="733"/>
  <c r="E34" i="733"/>
  <c r="D34" i="733"/>
  <c r="I33" i="733"/>
  <c r="F33" i="733"/>
  <c r="E33" i="733"/>
  <c r="D33" i="733"/>
  <c r="I32" i="733"/>
  <c r="F32" i="733"/>
  <c r="E32" i="733"/>
  <c r="D32" i="733"/>
  <c r="I31" i="733"/>
  <c r="F31" i="733"/>
  <c r="E31" i="733"/>
  <c r="D31" i="733"/>
  <c r="I30" i="733"/>
  <c r="F30" i="733"/>
  <c r="E30" i="733"/>
  <c r="D30" i="733"/>
  <c r="I29" i="733"/>
  <c r="F29" i="733"/>
  <c r="E29" i="733"/>
  <c r="D29" i="733"/>
  <c r="I28" i="733"/>
  <c r="F28" i="733"/>
  <c r="E28" i="733"/>
  <c r="D28" i="733"/>
  <c r="I27" i="733"/>
  <c r="F27" i="733"/>
  <c r="E27" i="733"/>
  <c r="D27" i="733"/>
  <c r="I26" i="733"/>
  <c r="F26" i="733"/>
  <c r="E26" i="733"/>
  <c r="D26" i="733"/>
  <c r="I25" i="733"/>
  <c r="F25" i="733"/>
  <c r="E25" i="733"/>
  <c r="D25" i="733"/>
  <c r="I24" i="733"/>
  <c r="F24" i="733"/>
  <c r="E24" i="733"/>
  <c r="D24" i="733"/>
  <c r="I23" i="733"/>
  <c r="F23" i="733"/>
  <c r="E23" i="733"/>
  <c r="D23" i="733"/>
  <c r="I22" i="733"/>
  <c r="F22" i="733"/>
  <c r="E22" i="733"/>
  <c r="D22" i="733"/>
  <c r="I21" i="733"/>
  <c r="F21" i="733"/>
  <c r="E21" i="733"/>
  <c r="D21" i="733"/>
  <c r="I20" i="733"/>
  <c r="F20" i="733"/>
  <c r="E20" i="733"/>
  <c r="D20" i="733"/>
  <c r="I19" i="733"/>
  <c r="F19" i="733"/>
  <c r="E19" i="733"/>
  <c r="D19" i="733"/>
  <c r="I18" i="733"/>
  <c r="F18" i="733"/>
  <c r="E18" i="733"/>
  <c r="D18" i="733"/>
  <c r="I17" i="733"/>
  <c r="F17" i="733"/>
  <c r="E17" i="733"/>
  <c r="D17" i="733"/>
  <c r="I16" i="733"/>
  <c r="F16" i="733"/>
  <c r="E16" i="733"/>
  <c r="D16" i="733"/>
  <c r="I15" i="733"/>
  <c r="F15" i="733"/>
  <c r="E15" i="733"/>
  <c r="D15" i="733"/>
  <c r="I14" i="733"/>
  <c r="F14" i="733"/>
  <c r="E14" i="733"/>
  <c r="D14" i="733"/>
  <c r="I13" i="733"/>
  <c r="F13" i="733"/>
  <c r="E13" i="733"/>
  <c r="D13" i="733"/>
  <c r="I12" i="733"/>
  <c r="F12" i="733"/>
  <c r="E12" i="733"/>
  <c r="D12" i="733"/>
  <c r="I11" i="733"/>
  <c r="F11" i="733"/>
  <c r="E11" i="733"/>
  <c r="D11" i="733"/>
  <c r="I10" i="733"/>
  <c r="F10" i="733"/>
  <c r="E10" i="733"/>
  <c r="D10" i="733"/>
  <c r="I9" i="733"/>
  <c r="F9" i="733"/>
  <c r="E9" i="733"/>
  <c r="D9" i="733"/>
  <c r="G8" i="733"/>
  <c r="F8" i="733"/>
  <c r="E8" i="733"/>
  <c r="D8" i="733"/>
  <c r="C8" i="733"/>
  <c r="C9" i="733" s="1"/>
  <c r="E7" i="733"/>
  <c r="G6" i="733"/>
  <c r="I37" i="732"/>
  <c r="F37" i="732"/>
  <c r="E37" i="732"/>
  <c r="D37" i="732"/>
  <c r="I36" i="732"/>
  <c r="F36" i="732"/>
  <c r="E36" i="732"/>
  <c r="D36" i="732"/>
  <c r="I35" i="732"/>
  <c r="F35" i="732"/>
  <c r="E35" i="732"/>
  <c r="D35" i="732"/>
  <c r="I34" i="732"/>
  <c r="F34" i="732"/>
  <c r="E34" i="732"/>
  <c r="D34" i="732"/>
  <c r="I33" i="732"/>
  <c r="F33" i="732"/>
  <c r="E33" i="732"/>
  <c r="D33" i="732"/>
  <c r="I32" i="732"/>
  <c r="F32" i="732"/>
  <c r="E32" i="732"/>
  <c r="D32" i="732"/>
  <c r="I31" i="732"/>
  <c r="F31" i="732"/>
  <c r="E31" i="732"/>
  <c r="D31" i="732"/>
  <c r="I30" i="732"/>
  <c r="F30" i="732"/>
  <c r="E30" i="732"/>
  <c r="D30" i="732"/>
  <c r="I29" i="732"/>
  <c r="F29" i="732"/>
  <c r="E29" i="732"/>
  <c r="D29" i="732"/>
  <c r="I28" i="732"/>
  <c r="F28" i="732"/>
  <c r="E28" i="732"/>
  <c r="D28" i="732"/>
  <c r="I27" i="732"/>
  <c r="F27" i="732"/>
  <c r="E27" i="732"/>
  <c r="D27" i="732"/>
  <c r="I26" i="732"/>
  <c r="F26" i="732"/>
  <c r="E26" i="732"/>
  <c r="D26" i="732"/>
  <c r="I25" i="732"/>
  <c r="F25" i="732"/>
  <c r="E25" i="732"/>
  <c r="D25" i="732"/>
  <c r="I24" i="732"/>
  <c r="F24" i="732"/>
  <c r="E24" i="732"/>
  <c r="D24" i="732"/>
  <c r="I23" i="732"/>
  <c r="F23" i="732"/>
  <c r="E23" i="732"/>
  <c r="D23" i="732"/>
  <c r="I22" i="732"/>
  <c r="F22" i="732"/>
  <c r="E22" i="732"/>
  <c r="D22" i="732"/>
  <c r="I21" i="732"/>
  <c r="F21" i="732"/>
  <c r="E21" i="732"/>
  <c r="D21" i="732"/>
  <c r="I20" i="732"/>
  <c r="F20" i="732"/>
  <c r="E20" i="732"/>
  <c r="D20" i="732"/>
  <c r="I19" i="732"/>
  <c r="F19" i="732"/>
  <c r="E19" i="732"/>
  <c r="D19" i="732"/>
  <c r="I18" i="732"/>
  <c r="F18" i="732"/>
  <c r="E18" i="732"/>
  <c r="D18" i="732"/>
  <c r="I17" i="732"/>
  <c r="F17" i="732"/>
  <c r="E17" i="732"/>
  <c r="D17" i="732"/>
  <c r="I16" i="732"/>
  <c r="F16" i="732"/>
  <c r="E16" i="732"/>
  <c r="D16" i="732"/>
  <c r="I15" i="732"/>
  <c r="F15" i="732"/>
  <c r="E15" i="732"/>
  <c r="D15" i="732"/>
  <c r="I14" i="732"/>
  <c r="F14" i="732"/>
  <c r="E14" i="732"/>
  <c r="D14" i="732"/>
  <c r="I13" i="732"/>
  <c r="F13" i="732"/>
  <c r="E13" i="732"/>
  <c r="D13" i="732"/>
  <c r="I12" i="732"/>
  <c r="F12" i="732"/>
  <c r="E12" i="732"/>
  <c r="D12" i="732"/>
  <c r="I11" i="732"/>
  <c r="F11" i="732"/>
  <c r="E11" i="732"/>
  <c r="D11" i="732"/>
  <c r="F9" i="732"/>
  <c r="E9" i="732"/>
  <c r="I9" i="732" s="1"/>
  <c r="D9" i="732"/>
  <c r="G8" i="732"/>
  <c r="F8" i="732"/>
  <c r="I8" i="732" s="1"/>
  <c r="E8" i="732"/>
  <c r="D8" i="732"/>
  <c r="C8" i="732"/>
  <c r="C9" i="732" s="1"/>
  <c r="E7" i="732"/>
  <c r="G6" i="732"/>
  <c r="I37" i="731"/>
  <c r="F37" i="731"/>
  <c r="E37" i="731"/>
  <c r="D37" i="731"/>
  <c r="I36" i="731"/>
  <c r="F36" i="731"/>
  <c r="E36" i="731"/>
  <c r="D36" i="731"/>
  <c r="I35" i="731"/>
  <c r="F35" i="731"/>
  <c r="E35" i="731"/>
  <c r="D35" i="731"/>
  <c r="I34" i="731"/>
  <c r="F34" i="731"/>
  <c r="E34" i="731"/>
  <c r="D34" i="731"/>
  <c r="I33" i="731"/>
  <c r="F33" i="731"/>
  <c r="E33" i="731"/>
  <c r="D33" i="731"/>
  <c r="I32" i="731"/>
  <c r="F32" i="731"/>
  <c r="E32" i="731"/>
  <c r="D32" i="731"/>
  <c r="I31" i="731"/>
  <c r="F31" i="731"/>
  <c r="E31" i="731"/>
  <c r="D31" i="731"/>
  <c r="I30" i="731"/>
  <c r="F30" i="731"/>
  <c r="E30" i="731"/>
  <c r="D30" i="731"/>
  <c r="I29" i="731"/>
  <c r="F29" i="731"/>
  <c r="E29" i="731"/>
  <c r="D29" i="731"/>
  <c r="I28" i="731"/>
  <c r="F28" i="731"/>
  <c r="E28" i="731"/>
  <c r="D28" i="731"/>
  <c r="I27" i="731"/>
  <c r="F27" i="731"/>
  <c r="E27" i="731"/>
  <c r="D27" i="731"/>
  <c r="I26" i="731"/>
  <c r="F26" i="731"/>
  <c r="E26" i="731"/>
  <c r="D26" i="731"/>
  <c r="I25" i="731"/>
  <c r="F25" i="731"/>
  <c r="E25" i="731"/>
  <c r="D25" i="731"/>
  <c r="I24" i="731"/>
  <c r="F24" i="731"/>
  <c r="E24" i="731"/>
  <c r="D24" i="731"/>
  <c r="I23" i="731"/>
  <c r="F23" i="731"/>
  <c r="E23" i="731"/>
  <c r="D23" i="731"/>
  <c r="I22" i="731"/>
  <c r="F22" i="731"/>
  <c r="E22" i="731"/>
  <c r="D22" i="731"/>
  <c r="I21" i="731"/>
  <c r="F21" i="731"/>
  <c r="E21" i="731"/>
  <c r="D21" i="731"/>
  <c r="I20" i="731"/>
  <c r="F20" i="731"/>
  <c r="E20" i="731"/>
  <c r="D20" i="731"/>
  <c r="I19" i="731"/>
  <c r="F19" i="731"/>
  <c r="E19" i="731"/>
  <c r="D19" i="731"/>
  <c r="I18" i="731"/>
  <c r="F18" i="731"/>
  <c r="E18" i="731"/>
  <c r="D18" i="731"/>
  <c r="I17" i="731"/>
  <c r="F17" i="731"/>
  <c r="E17" i="731"/>
  <c r="D17" i="731"/>
  <c r="I16" i="731"/>
  <c r="F16" i="731"/>
  <c r="E16" i="731"/>
  <c r="D16" i="731"/>
  <c r="I15" i="731"/>
  <c r="F14" i="731"/>
  <c r="E14" i="731"/>
  <c r="I14" i="731" s="1"/>
  <c r="D14" i="731"/>
  <c r="F13" i="731"/>
  <c r="E13" i="731"/>
  <c r="I13" i="731" s="1"/>
  <c r="D13" i="731"/>
  <c r="F12" i="731"/>
  <c r="I12" i="731" s="1"/>
  <c r="E12" i="731"/>
  <c r="D12" i="731"/>
  <c r="F11" i="731"/>
  <c r="I11" i="731" s="1"/>
  <c r="E11" i="731"/>
  <c r="D11" i="731"/>
  <c r="F10" i="731"/>
  <c r="E10" i="731"/>
  <c r="I10" i="731" s="1"/>
  <c r="D10" i="731"/>
  <c r="F9" i="731"/>
  <c r="E9" i="731"/>
  <c r="I9" i="731" s="1"/>
  <c r="D9" i="731"/>
  <c r="G8" i="731"/>
  <c r="F8" i="731"/>
  <c r="E8" i="731"/>
  <c r="D8" i="731"/>
  <c r="C8" i="731"/>
  <c r="C9" i="731" s="1"/>
  <c r="E7" i="731"/>
  <c r="G6" i="731"/>
  <c r="I37" i="730"/>
  <c r="F37" i="730"/>
  <c r="E37" i="730"/>
  <c r="D37" i="730"/>
  <c r="I36" i="730"/>
  <c r="F36" i="730"/>
  <c r="E36" i="730"/>
  <c r="D36" i="730"/>
  <c r="I35" i="730"/>
  <c r="F35" i="730"/>
  <c r="E35" i="730"/>
  <c r="D35" i="730"/>
  <c r="I34" i="730"/>
  <c r="F34" i="730"/>
  <c r="E34" i="730"/>
  <c r="D34" i="730"/>
  <c r="I33" i="730"/>
  <c r="F33" i="730"/>
  <c r="E33" i="730"/>
  <c r="D33" i="730"/>
  <c r="I32" i="730"/>
  <c r="F32" i="730"/>
  <c r="E32" i="730"/>
  <c r="D32" i="730"/>
  <c r="I31" i="730"/>
  <c r="F31" i="730"/>
  <c r="E31" i="730"/>
  <c r="D31" i="730"/>
  <c r="I30" i="730"/>
  <c r="F30" i="730"/>
  <c r="E30" i="730"/>
  <c r="D30" i="730"/>
  <c r="I29" i="730"/>
  <c r="F29" i="730"/>
  <c r="E29" i="730"/>
  <c r="D29" i="730"/>
  <c r="I28" i="730"/>
  <c r="F28" i="730"/>
  <c r="E28" i="730"/>
  <c r="D28" i="730"/>
  <c r="I27" i="730"/>
  <c r="F27" i="730"/>
  <c r="E27" i="730"/>
  <c r="D27" i="730"/>
  <c r="I26" i="730"/>
  <c r="F26" i="730"/>
  <c r="E26" i="730"/>
  <c r="D26" i="730"/>
  <c r="I25" i="730"/>
  <c r="F25" i="730"/>
  <c r="E25" i="730"/>
  <c r="D25" i="730"/>
  <c r="I24" i="730"/>
  <c r="F24" i="730"/>
  <c r="E24" i="730"/>
  <c r="D24" i="730"/>
  <c r="I23" i="730"/>
  <c r="F23" i="730"/>
  <c r="E23" i="730"/>
  <c r="D23" i="730"/>
  <c r="I22" i="730"/>
  <c r="F22" i="730"/>
  <c r="E22" i="730"/>
  <c r="D22" i="730"/>
  <c r="I21" i="730"/>
  <c r="F21" i="730"/>
  <c r="E21" i="730"/>
  <c r="D21" i="730"/>
  <c r="I20" i="730"/>
  <c r="F20" i="730"/>
  <c r="E20" i="730"/>
  <c r="D20" i="730"/>
  <c r="I19" i="730"/>
  <c r="F19" i="730"/>
  <c r="E19" i="730"/>
  <c r="D19" i="730"/>
  <c r="I18" i="730"/>
  <c r="F18" i="730"/>
  <c r="E18" i="730"/>
  <c r="D18" i="730"/>
  <c r="I17" i="730"/>
  <c r="F17" i="730"/>
  <c r="E17" i="730"/>
  <c r="D17" i="730"/>
  <c r="I16" i="730"/>
  <c r="F16" i="730"/>
  <c r="E16" i="730"/>
  <c r="D16" i="730"/>
  <c r="I15" i="730"/>
  <c r="F15" i="730"/>
  <c r="E15" i="730"/>
  <c r="D15" i="730"/>
  <c r="I14" i="730"/>
  <c r="F14" i="730"/>
  <c r="E14" i="730"/>
  <c r="D14" i="730"/>
  <c r="I13" i="730"/>
  <c r="F13" i="730"/>
  <c r="E13" i="730"/>
  <c r="D13" i="730"/>
  <c r="I12" i="730"/>
  <c r="F12" i="730"/>
  <c r="E12" i="730"/>
  <c r="D12" i="730"/>
  <c r="I11" i="730"/>
  <c r="F10" i="730"/>
  <c r="E10" i="730"/>
  <c r="I10" i="730" s="1"/>
  <c r="D10" i="730"/>
  <c r="F9" i="730"/>
  <c r="E9" i="730"/>
  <c r="I9" i="730" s="1"/>
  <c r="D9" i="730"/>
  <c r="G8" i="730"/>
  <c r="F8" i="730"/>
  <c r="I8" i="730" s="1"/>
  <c r="E8" i="730"/>
  <c r="D8" i="730"/>
  <c r="C8" i="730"/>
  <c r="C9" i="730" s="1"/>
  <c r="E7" i="730"/>
  <c r="G6" i="730"/>
  <c r="H16" i="729"/>
  <c r="I37" i="729"/>
  <c r="F37" i="729"/>
  <c r="E37" i="729"/>
  <c r="D37" i="729"/>
  <c r="I36" i="729"/>
  <c r="F36" i="729"/>
  <c r="E36" i="729"/>
  <c r="D36" i="729"/>
  <c r="I35" i="729"/>
  <c r="F35" i="729"/>
  <c r="E35" i="729"/>
  <c r="D35" i="729"/>
  <c r="I34" i="729"/>
  <c r="F34" i="729"/>
  <c r="E34" i="729"/>
  <c r="D34" i="729"/>
  <c r="I33" i="729"/>
  <c r="F33" i="729"/>
  <c r="E33" i="729"/>
  <c r="D33" i="729"/>
  <c r="I32" i="729"/>
  <c r="F32" i="729"/>
  <c r="E32" i="729"/>
  <c r="D32" i="729"/>
  <c r="I31" i="729"/>
  <c r="F31" i="729"/>
  <c r="E31" i="729"/>
  <c r="D31" i="729"/>
  <c r="I30" i="729"/>
  <c r="F30" i="729"/>
  <c r="E30" i="729"/>
  <c r="D30" i="729"/>
  <c r="I29" i="729"/>
  <c r="F29" i="729"/>
  <c r="E29" i="729"/>
  <c r="D29" i="729"/>
  <c r="I28" i="729"/>
  <c r="F28" i="729"/>
  <c r="E28" i="729"/>
  <c r="D28" i="729"/>
  <c r="I27" i="729"/>
  <c r="F27" i="729"/>
  <c r="E27" i="729"/>
  <c r="D27" i="729"/>
  <c r="I26" i="729"/>
  <c r="F26" i="729"/>
  <c r="E26" i="729"/>
  <c r="D26" i="729"/>
  <c r="I25" i="729"/>
  <c r="F25" i="729"/>
  <c r="E25" i="729"/>
  <c r="D25" i="729"/>
  <c r="I24" i="729"/>
  <c r="F24" i="729"/>
  <c r="E24" i="729"/>
  <c r="D24" i="729"/>
  <c r="I23" i="729"/>
  <c r="F23" i="729"/>
  <c r="E23" i="729"/>
  <c r="D23" i="729"/>
  <c r="I22" i="729"/>
  <c r="F22" i="729"/>
  <c r="E22" i="729"/>
  <c r="D22" i="729"/>
  <c r="I21" i="729"/>
  <c r="F21" i="729"/>
  <c r="E21" i="729"/>
  <c r="D21" i="729"/>
  <c r="I20" i="729"/>
  <c r="F20" i="729"/>
  <c r="E20" i="729"/>
  <c r="D20" i="729"/>
  <c r="I19" i="729"/>
  <c r="F19" i="729"/>
  <c r="E19" i="729"/>
  <c r="D19" i="729"/>
  <c r="I18" i="729"/>
  <c r="F18" i="729"/>
  <c r="E18" i="729"/>
  <c r="D18" i="729"/>
  <c r="I17" i="729"/>
  <c r="F17" i="729"/>
  <c r="E17" i="729"/>
  <c r="D17" i="729"/>
  <c r="F15" i="729"/>
  <c r="E15" i="729"/>
  <c r="D15" i="729"/>
  <c r="F14" i="729"/>
  <c r="E14" i="729"/>
  <c r="I14" i="729" s="1"/>
  <c r="D14" i="729"/>
  <c r="F13" i="729"/>
  <c r="E13" i="729"/>
  <c r="D13" i="729"/>
  <c r="F12" i="729"/>
  <c r="E12" i="729"/>
  <c r="D12" i="729"/>
  <c r="F11" i="729"/>
  <c r="E11" i="729"/>
  <c r="D11" i="729"/>
  <c r="F10" i="729"/>
  <c r="E10" i="729"/>
  <c r="I10" i="729" s="1"/>
  <c r="D10" i="729"/>
  <c r="F9" i="729"/>
  <c r="E9" i="729"/>
  <c r="I9" i="729" s="1"/>
  <c r="D9" i="729"/>
  <c r="G8" i="729"/>
  <c r="F8" i="729"/>
  <c r="E8" i="729"/>
  <c r="D8" i="729"/>
  <c r="C8" i="729"/>
  <c r="C9" i="729" s="1"/>
  <c r="E7" i="729"/>
  <c r="G6" i="729"/>
  <c r="AS12" i="4"/>
  <c r="AS5" i="1"/>
  <c r="AS6" i="1"/>
  <c r="AS11" i="1"/>
  <c r="AS14" i="1"/>
  <c r="AS15" i="1"/>
  <c r="AS16" i="1"/>
  <c r="AS17" i="1"/>
  <c r="AS19" i="1"/>
  <c r="AS20" i="1"/>
  <c r="AS23" i="1"/>
  <c r="G10" i="740" l="1"/>
  <c r="C11" i="740"/>
  <c r="I11" i="729"/>
  <c r="I15" i="729"/>
  <c r="I9" i="734"/>
  <c r="I8" i="731"/>
  <c r="I7" i="731" s="1"/>
  <c r="I8" i="733"/>
  <c r="I7" i="733" s="1"/>
  <c r="I7" i="735"/>
  <c r="I8" i="734"/>
  <c r="I7" i="734" s="1"/>
  <c r="I8" i="736"/>
  <c r="I7" i="736" s="1"/>
  <c r="G10" i="739"/>
  <c r="C11" i="739"/>
  <c r="I7" i="738"/>
  <c r="G9" i="738"/>
  <c r="C10" i="738"/>
  <c r="I13" i="737"/>
  <c r="I7" i="737" s="1"/>
  <c r="G9" i="737"/>
  <c r="C10" i="737"/>
  <c r="G9" i="736"/>
  <c r="C10" i="736"/>
  <c r="G9" i="735"/>
  <c r="C10" i="735"/>
  <c r="G9" i="734"/>
  <c r="C10" i="734"/>
  <c r="G9" i="733"/>
  <c r="C10" i="733"/>
  <c r="I10" i="732"/>
  <c r="I7" i="732" s="1"/>
  <c r="G9" i="732"/>
  <c r="C10" i="732"/>
  <c r="G9" i="731"/>
  <c r="C10" i="731"/>
  <c r="I8" i="729"/>
  <c r="I13" i="729"/>
  <c r="I12" i="729"/>
  <c r="I7" i="730"/>
  <c r="G9" i="730"/>
  <c r="C10" i="730"/>
  <c r="I16" i="729"/>
  <c r="G9" i="729"/>
  <c r="C10" i="729"/>
  <c r="AW5" i="150"/>
  <c r="N10" i="120"/>
  <c r="A2" i="137"/>
  <c r="F9" i="137"/>
  <c r="F8" i="137"/>
  <c r="F7" i="137"/>
  <c r="F6" i="137"/>
  <c r="A2" i="1"/>
  <c r="F28" i="1"/>
  <c r="F21" i="1"/>
  <c r="F18" i="1"/>
  <c r="G11" i="740" l="1"/>
  <c r="C12" i="740"/>
  <c r="I7" i="729"/>
  <c r="G11" i="739"/>
  <c r="C12" i="739"/>
  <c r="G10" i="738"/>
  <c r="C11" i="738"/>
  <c r="G10" i="737"/>
  <c r="C11" i="737"/>
  <c r="G10" i="736"/>
  <c r="C11" i="736"/>
  <c r="G10" i="735"/>
  <c r="C11" i="735"/>
  <c r="G10" i="734"/>
  <c r="C11" i="734"/>
  <c r="C11" i="733"/>
  <c r="G10" i="733"/>
  <c r="C11" i="732"/>
  <c r="G10" i="731"/>
  <c r="C11" i="731"/>
  <c r="G10" i="730"/>
  <c r="C11" i="730"/>
  <c r="G10" i="729"/>
  <c r="C11" i="729"/>
  <c r="D9" i="150"/>
  <c r="D10" i="150"/>
  <c r="A31" i="1"/>
  <c r="A32" i="1"/>
  <c r="A33" i="1"/>
  <c r="A34" i="1"/>
  <c r="C13" i="740" l="1"/>
  <c r="G12" i="740"/>
  <c r="C13" i="739"/>
  <c r="G12" i="739"/>
  <c r="C12" i="738"/>
  <c r="C12" i="737"/>
  <c r="G11" i="737"/>
  <c r="C12" i="736"/>
  <c r="G11" i="736"/>
  <c r="G11" i="735"/>
  <c r="C12" i="735"/>
  <c r="C12" i="734"/>
  <c r="G11" i="734"/>
  <c r="G11" i="733"/>
  <c r="C12" i="733"/>
  <c r="C12" i="732"/>
  <c r="G11" i="732"/>
  <c r="G11" i="731"/>
  <c r="C12" i="731"/>
  <c r="C12" i="730"/>
  <c r="C12" i="729"/>
  <c r="G11" i="729"/>
  <c r="AW4" i="137"/>
  <c r="AW4" i="1"/>
  <c r="D10" i="50"/>
  <c r="AX8" i="137"/>
  <c r="AX9" i="137"/>
  <c r="AX10" i="137"/>
  <c r="AX11" i="137"/>
  <c r="AX12" i="137"/>
  <c r="AX13" i="137"/>
  <c r="AX14" i="137"/>
  <c r="M7" i="137"/>
  <c r="M8" i="137"/>
  <c r="M9" i="137"/>
  <c r="M10" i="137"/>
  <c r="M11" i="137"/>
  <c r="M12" i="137"/>
  <c r="M13" i="137"/>
  <c r="H8" i="137"/>
  <c r="F5" i="137"/>
  <c r="D6" i="50"/>
  <c r="D7" i="50"/>
  <c r="D8" i="50"/>
  <c r="D9" i="50"/>
  <c r="D5" i="50"/>
  <c r="AX6" i="137"/>
  <c r="AX7" i="137"/>
  <c r="M6" i="137"/>
  <c r="M14" i="137"/>
  <c r="H6" i="137"/>
  <c r="H7" i="137"/>
  <c r="H9" i="137"/>
  <c r="H10" i="137"/>
  <c r="H11" i="137"/>
  <c r="H12" i="137"/>
  <c r="H13" i="137"/>
  <c r="AF7" i="50"/>
  <c r="AK11" i="50"/>
  <c r="Q10" i="50"/>
  <c r="M10" i="50"/>
  <c r="AQ9" i="50"/>
  <c r="AT9" i="50"/>
  <c r="AI6" i="50"/>
  <c r="AN8" i="50"/>
  <c r="AV6" i="50"/>
  <c r="BC6" i="50"/>
  <c r="AH7" i="50"/>
  <c r="AS7" i="50"/>
  <c r="AN10" i="50"/>
  <c r="AW11" i="50"/>
  <c r="T10" i="50"/>
  <c r="Y10" i="50"/>
  <c r="AI11" i="50"/>
  <c r="AL8" i="50"/>
  <c r="AE8" i="50"/>
  <c r="AZ6" i="50"/>
  <c r="AN6" i="50"/>
  <c r="AG8" i="50"/>
  <c r="BC8" i="50"/>
  <c r="AL10" i="50"/>
  <c r="N10" i="50"/>
  <c r="BA6" i="50"/>
  <c r="AP9" i="50"/>
  <c r="AT7" i="50"/>
  <c r="AJ8" i="50"/>
  <c r="AH6" i="50"/>
  <c r="AN7" i="50"/>
  <c r="AT10" i="50"/>
  <c r="AC8" i="50"/>
  <c r="AP11" i="50"/>
  <c r="AL11" i="50"/>
  <c r="AT11" i="50"/>
  <c r="AU7" i="50"/>
  <c r="AR9" i="50"/>
  <c r="AL7" i="50"/>
  <c r="AE9" i="50"/>
  <c r="AV10" i="50"/>
  <c r="AG9" i="50"/>
  <c r="BC7" i="50"/>
  <c r="AW9" i="50"/>
  <c r="AU9" i="50"/>
  <c r="AJ9" i="50"/>
  <c r="AY9" i="50"/>
  <c r="AN9" i="50"/>
  <c r="Z10" i="50"/>
  <c r="AC9" i="50"/>
  <c r="AE7" i="50"/>
  <c r="AM10" i="50"/>
  <c r="AR11" i="50"/>
  <c r="AS10" i="50"/>
  <c r="AS6" i="50"/>
  <c r="AX11" i="50"/>
  <c r="AH8" i="50"/>
  <c r="AV9" i="50"/>
  <c r="AQ11" i="50"/>
  <c r="AI7" i="50"/>
  <c r="AH10" i="50"/>
  <c r="AW7" i="50"/>
  <c r="AM8" i="50"/>
  <c r="AE6" i="50"/>
  <c r="AM6" i="50"/>
  <c r="BA7" i="50"/>
  <c r="AH11" i="50"/>
  <c r="BB6" i="50"/>
  <c r="AW8" i="50"/>
  <c r="AB10" i="50"/>
  <c r="BA8" i="50"/>
  <c r="AE10" i="50"/>
  <c r="AI10" i="50"/>
  <c r="BC9" i="50"/>
  <c r="AD8" i="50"/>
  <c r="AM9" i="50"/>
  <c r="AR6" i="50"/>
  <c r="AC11" i="50"/>
  <c r="AK10" i="50"/>
  <c r="AY7" i="50"/>
  <c r="AG10" i="50"/>
  <c r="AJ10" i="50"/>
  <c r="AW6" i="50"/>
  <c r="AH9" i="50"/>
  <c r="AX8" i="50"/>
  <c r="AZ7" i="50"/>
  <c r="AU6" i="50"/>
  <c r="AF6" i="50"/>
  <c r="AF8" i="50"/>
  <c r="L10" i="50"/>
  <c r="AQ7" i="50"/>
  <c r="AD9" i="50"/>
  <c r="BA9" i="50"/>
  <c r="AV7" i="50"/>
  <c r="BA11" i="50"/>
  <c r="BB10" i="50"/>
  <c r="AC10" i="50"/>
  <c r="AC6" i="50"/>
  <c r="P10" i="50"/>
  <c r="AG11" i="50"/>
  <c r="O10" i="50"/>
  <c r="AR10" i="50"/>
  <c r="AU8" i="50"/>
  <c r="AX7" i="50"/>
  <c r="AK9" i="50"/>
  <c r="AJ6" i="50"/>
  <c r="AM7" i="50"/>
  <c r="AW10" i="50"/>
  <c r="AO10" i="50"/>
  <c r="AK6" i="50"/>
  <c r="AP8" i="50"/>
  <c r="AY11" i="50"/>
  <c r="BB8" i="50"/>
  <c r="AP6" i="50"/>
  <c r="AR7" i="50"/>
  <c r="AE11" i="50"/>
  <c r="AF10" i="50"/>
  <c r="AD10" i="50"/>
  <c r="AO7" i="50"/>
  <c r="AD11" i="50"/>
  <c r="AL9" i="50"/>
  <c r="AZ8" i="50"/>
  <c r="AX6" i="50"/>
  <c r="AZ11" i="50"/>
  <c r="AY8" i="50"/>
  <c r="AF11" i="50"/>
  <c r="X10" i="50"/>
  <c r="AS8" i="50"/>
  <c r="AQ6" i="50"/>
  <c r="AA10" i="50"/>
  <c r="AJ11" i="50"/>
  <c r="BB7" i="50"/>
  <c r="AQ10" i="50"/>
  <c r="AT6" i="50"/>
  <c r="BA10" i="50"/>
  <c r="AO8" i="50"/>
  <c r="BB11" i="50"/>
  <c r="W10" i="50"/>
  <c r="AZ9" i="50"/>
  <c r="AD6" i="50"/>
  <c r="AV11" i="50"/>
  <c r="AP10" i="50"/>
  <c r="AS9" i="50"/>
  <c r="AF9" i="50"/>
  <c r="AI9" i="50"/>
  <c r="AV8" i="50"/>
  <c r="R10" i="50"/>
  <c r="AG7" i="50"/>
  <c r="AY6" i="50"/>
  <c r="BB9" i="50"/>
  <c r="AN11" i="50"/>
  <c r="AL6" i="50"/>
  <c r="AC7" i="50"/>
  <c r="AX10" i="50"/>
  <c r="AO6" i="50"/>
  <c r="AM11" i="50"/>
  <c r="AK8" i="50"/>
  <c r="AU11" i="50"/>
  <c r="S10" i="50"/>
  <c r="AI8" i="50"/>
  <c r="AP7" i="50"/>
  <c r="AO11" i="50"/>
  <c r="AZ10" i="50"/>
  <c r="AO9" i="50"/>
  <c r="AU10" i="50"/>
  <c r="AY10" i="50"/>
  <c r="AG6" i="50"/>
  <c r="AT8" i="50"/>
  <c r="AQ8" i="50"/>
  <c r="BC10" i="50"/>
  <c r="AD7" i="50"/>
  <c r="AJ7" i="50"/>
  <c r="AS11" i="50"/>
  <c r="V10" i="50"/>
  <c r="U10" i="50"/>
  <c r="AK7" i="50"/>
  <c r="AX9" i="50"/>
  <c r="AR8" i="50"/>
  <c r="BC11" i="50"/>
  <c r="G13" i="740" l="1"/>
  <c r="C14" i="740"/>
  <c r="G13" i="739"/>
  <c r="C14" i="739"/>
  <c r="C13" i="738"/>
  <c r="G12" i="738"/>
  <c r="C13" i="737"/>
  <c r="G12" i="737"/>
  <c r="C13" i="736"/>
  <c r="G12" i="736"/>
  <c r="C13" i="735"/>
  <c r="G12" i="735"/>
  <c r="C13" i="734"/>
  <c r="G12" i="734"/>
  <c r="C13" i="733"/>
  <c r="G12" i="733"/>
  <c r="C13" i="732"/>
  <c r="G12" i="732"/>
  <c r="C13" i="731"/>
  <c r="G12" i="731"/>
  <c r="C13" i="730"/>
  <c r="G12" i="730"/>
  <c r="C13" i="729"/>
  <c r="G12" i="729"/>
  <c r="F10" i="50"/>
  <c r="F11" i="137"/>
  <c r="X9" i="50"/>
  <c r="AB8" i="50"/>
  <c r="W9" i="50"/>
  <c r="AB9" i="50"/>
  <c r="T11" i="50"/>
  <c r="V9" i="50"/>
  <c r="W7" i="50"/>
  <c r="AA8" i="50"/>
  <c r="L11" i="50"/>
  <c r="AB6" i="50"/>
  <c r="R9" i="50"/>
  <c r="S9" i="50"/>
  <c r="X11" i="50"/>
  <c r="Y7" i="50"/>
  <c r="R6" i="50"/>
  <c r="M9" i="50"/>
  <c r="N7" i="50"/>
  <c r="W6" i="50"/>
  <c r="X6" i="50"/>
  <c r="U11" i="50"/>
  <c r="O9" i="50"/>
  <c r="Q6" i="50"/>
  <c r="W8" i="50"/>
  <c r="Q9" i="50"/>
  <c r="O11" i="50"/>
  <c r="U9" i="50"/>
  <c r="X7" i="50"/>
  <c r="M7" i="50"/>
  <c r="N11" i="50"/>
  <c r="R11" i="50"/>
  <c r="M6" i="50"/>
  <c r="L9" i="50"/>
  <c r="AB7" i="50"/>
  <c r="Z6" i="50"/>
  <c r="X8" i="50"/>
  <c r="Z11" i="50"/>
  <c r="T8" i="50"/>
  <c r="W11" i="50"/>
  <c r="R8" i="50"/>
  <c r="R7" i="50"/>
  <c r="N8" i="50"/>
  <c r="Q7" i="50"/>
  <c r="U6" i="50"/>
  <c r="L7" i="50"/>
  <c r="Q8" i="50"/>
  <c r="Z9" i="50"/>
  <c r="AA9" i="50"/>
  <c r="N6" i="50"/>
  <c r="V8" i="50"/>
  <c r="L6" i="50"/>
  <c r="U8" i="50"/>
  <c r="T6" i="50"/>
  <c r="O8" i="50"/>
  <c r="U7" i="50"/>
  <c r="S11" i="50"/>
  <c r="Y11" i="50"/>
  <c r="P9" i="50"/>
  <c r="L8" i="50"/>
  <c r="AB11" i="50"/>
  <c r="T9" i="50"/>
  <c r="O6" i="50"/>
  <c r="Y6" i="50"/>
  <c r="Y9" i="50"/>
  <c r="AA6" i="50"/>
  <c r="M8" i="50"/>
  <c r="V11" i="50"/>
  <c r="M11" i="50"/>
  <c r="Z8" i="50"/>
  <c r="Y8" i="50"/>
  <c r="P7" i="50"/>
  <c r="T7" i="50"/>
  <c r="Z7" i="50"/>
  <c r="P8" i="50"/>
  <c r="P6" i="50"/>
  <c r="AA11" i="50"/>
  <c r="Q11" i="50"/>
  <c r="S7" i="50"/>
  <c r="V7" i="50"/>
  <c r="P11" i="50"/>
  <c r="S6" i="50"/>
  <c r="N9" i="50"/>
  <c r="S8" i="50"/>
  <c r="AA7" i="50"/>
  <c r="V6" i="50"/>
  <c r="O7" i="50"/>
  <c r="G14" i="740" l="1"/>
  <c r="C15" i="740"/>
  <c r="G14" i="739"/>
  <c r="C15" i="739"/>
  <c r="G13" i="738"/>
  <c r="C14" i="738"/>
  <c r="C14" i="737"/>
  <c r="G13" i="736"/>
  <c r="C14" i="736"/>
  <c r="G13" i="735"/>
  <c r="C14" i="735"/>
  <c r="G13" i="734"/>
  <c r="C14" i="734"/>
  <c r="G13" i="733"/>
  <c r="C14" i="733"/>
  <c r="G13" i="732"/>
  <c r="C14" i="732"/>
  <c r="G13" i="731"/>
  <c r="C14" i="731"/>
  <c r="G13" i="730"/>
  <c r="C14" i="730"/>
  <c r="G13" i="729"/>
  <c r="C14" i="729"/>
  <c r="AS10" i="137"/>
  <c r="F6" i="50"/>
  <c r="F7" i="50"/>
  <c r="F8" i="50"/>
  <c r="F9" i="50"/>
  <c r="M10" i="120"/>
  <c r="A2" i="4"/>
  <c r="F11" i="4"/>
  <c r="F9" i="4"/>
  <c r="F8" i="4"/>
  <c r="F7" i="4"/>
  <c r="F6" i="4"/>
  <c r="A2" i="150"/>
  <c r="F10" i="150"/>
  <c r="F9" i="150"/>
  <c r="F7" i="150"/>
  <c r="F5" i="150"/>
  <c r="C16" i="740" l="1"/>
  <c r="G15" i="740"/>
  <c r="G15" i="739"/>
  <c r="C16" i="739"/>
  <c r="G14" i="738"/>
  <c r="C15" i="738"/>
  <c r="G14" i="737"/>
  <c r="C15" i="737"/>
  <c r="G14" i="736"/>
  <c r="C15" i="736"/>
  <c r="G14" i="735"/>
  <c r="C15" i="735"/>
  <c r="G14" i="734"/>
  <c r="C15" i="734"/>
  <c r="C15" i="733"/>
  <c r="G14" i="733"/>
  <c r="G14" i="732"/>
  <c r="C15" i="732"/>
  <c r="G14" i="731"/>
  <c r="C15" i="731"/>
  <c r="G14" i="730"/>
  <c r="C15" i="730"/>
  <c r="G14" i="729"/>
  <c r="C15" i="729"/>
  <c r="AS9" i="137"/>
  <c r="AS7" i="137"/>
  <c r="AS8" i="137"/>
  <c r="AS6" i="137"/>
  <c r="F24" i="1"/>
  <c r="F9" i="1"/>
  <c r="C17" i="740" l="1"/>
  <c r="G16" i="740"/>
  <c r="C17" i="739"/>
  <c r="G16" i="739"/>
  <c r="C16" i="738"/>
  <c r="G15" i="738"/>
  <c r="C16" i="737"/>
  <c r="G15" i="737"/>
  <c r="G15" i="736"/>
  <c r="C16" i="736"/>
  <c r="C16" i="735"/>
  <c r="G15" i="735"/>
  <c r="G15" i="734"/>
  <c r="C16" i="734"/>
  <c r="G15" i="733"/>
  <c r="C16" i="733"/>
  <c r="G15" i="732"/>
  <c r="C16" i="732"/>
  <c r="C16" i="731"/>
  <c r="G15" i="730"/>
  <c r="C16" i="730"/>
  <c r="C16" i="729"/>
  <c r="G15" i="729"/>
  <c r="E7" i="439"/>
  <c r="D8" i="439"/>
  <c r="E8" i="439"/>
  <c r="D9" i="439"/>
  <c r="E9" i="439"/>
  <c r="D10" i="439"/>
  <c r="E10" i="439"/>
  <c r="D11" i="439"/>
  <c r="E11" i="439"/>
  <c r="D12" i="439"/>
  <c r="E12" i="439"/>
  <c r="D13" i="439"/>
  <c r="E13" i="439"/>
  <c r="D14" i="439"/>
  <c r="E14" i="439"/>
  <c r="D15" i="439"/>
  <c r="E15" i="439"/>
  <c r="D16" i="439"/>
  <c r="E16" i="439"/>
  <c r="D17" i="439"/>
  <c r="E17" i="439"/>
  <c r="D18" i="439"/>
  <c r="E18" i="439"/>
  <c r="D19" i="439"/>
  <c r="E19" i="439"/>
  <c r="D20" i="439"/>
  <c r="E20" i="439"/>
  <c r="D21" i="439"/>
  <c r="E21" i="439"/>
  <c r="D22" i="439"/>
  <c r="E22" i="439"/>
  <c r="D23" i="439"/>
  <c r="E23" i="439"/>
  <c r="D24" i="439"/>
  <c r="E24" i="439"/>
  <c r="D25" i="439"/>
  <c r="E25" i="439"/>
  <c r="D26" i="439"/>
  <c r="E26" i="439"/>
  <c r="D27" i="439"/>
  <c r="E27" i="439"/>
  <c r="D28" i="439"/>
  <c r="E28" i="439"/>
  <c r="D29" i="439"/>
  <c r="E29" i="439"/>
  <c r="D30" i="439"/>
  <c r="E30" i="439"/>
  <c r="D31" i="439"/>
  <c r="E31" i="439"/>
  <c r="D32" i="439"/>
  <c r="E32" i="439"/>
  <c r="D33" i="439"/>
  <c r="E33" i="439"/>
  <c r="D34" i="439"/>
  <c r="E34" i="439"/>
  <c r="D35" i="439"/>
  <c r="E35" i="439"/>
  <c r="G17" i="740" l="1"/>
  <c r="C18" i="740"/>
  <c r="G17" i="739"/>
  <c r="C18" i="739"/>
  <c r="C17" i="738"/>
  <c r="G16" i="738"/>
  <c r="C17" i="737"/>
  <c r="G16" i="737"/>
  <c r="C17" i="736"/>
  <c r="G16" i="736"/>
  <c r="C17" i="735"/>
  <c r="G16" i="735"/>
  <c r="C17" i="734"/>
  <c r="G16" i="734"/>
  <c r="C17" i="733"/>
  <c r="G16" i="733"/>
  <c r="C17" i="732"/>
  <c r="G16" i="732"/>
  <c r="C17" i="731"/>
  <c r="G16" i="731"/>
  <c r="C17" i="730"/>
  <c r="G16" i="730"/>
  <c r="C17" i="729"/>
  <c r="H5" i="95"/>
  <c r="G18" i="740" l="1"/>
  <c r="C19" i="740"/>
  <c r="G18" i="739"/>
  <c r="C19" i="739"/>
  <c r="G17" i="738"/>
  <c r="C18" i="738"/>
  <c r="G17" i="737"/>
  <c r="C18" i="737"/>
  <c r="G17" i="736"/>
  <c r="C18" i="736"/>
  <c r="G17" i="735"/>
  <c r="C18" i="735"/>
  <c r="G17" i="734"/>
  <c r="C18" i="734"/>
  <c r="G17" i="733"/>
  <c r="C18" i="733"/>
  <c r="G17" i="732"/>
  <c r="C18" i="732"/>
  <c r="G17" i="731"/>
  <c r="C18" i="731"/>
  <c r="G17" i="730"/>
  <c r="C18" i="730"/>
  <c r="G17" i="729"/>
  <c r="C18" i="729"/>
  <c r="F11" i="150"/>
  <c r="F20" i="4"/>
  <c r="G19" i="740" l="1"/>
  <c r="C20" i="740"/>
  <c r="G19" i="739"/>
  <c r="C20" i="739"/>
  <c r="G18" i="738"/>
  <c r="C19" i="738"/>
  <c r="G18" i="737"/>
  <c r="C19" i="737"/>
  <c r="G18" i="736"/>
  <c r="C19" i="736"/>
  <c r="G18" i="735"/>
  <c r="C19" i="735"/>
  <c r="G18" i="734"/>
  <c r="C19" i="734"/>
  <c r="G18" i="733"/>
  <c r="C19" i="733"/>
  <c r="G18" i="732"/>
  <c r="C19" i="732"/>
  <c r="G18" i="731"/>
  <c r="C19" i="731"/>
  <c r="G18" i="730"/>
  <c r="C19" i="730"/>
  <c r="G18" i="729"/>
  <c r="C19" i="729"/>
  <c r="I12" i="95"/>
  <c r="C21" i="740" l="1"/>
  <c r="G20" i="740"/>
  <c r="C21" i="739"/>
  <c r="G20" i="739"/>
  <c r="C20" i="738"/>
  <c r="G19" i="738"/>
  <c r="G19" i="737"/>
  <c r="C20" i="737"/>
  <c r="C20" i="736"/>
  <c r="G19" i="736"/>
  <c r="C20" i="735"/>
  <c r="G19" i="735"/>
  <c r="G19" i="734"/>
  <c r="C20" i="734"/>
  <c r="G19" i="733"/>
  <c r="C20" i="733"/>
  <c r="C20" i="732"/>
  <c r="G19" i="732"/>
  <c r="C20" i="731"/>
  <c r="G19" i="731"/>
  <c r="C20" i="730"/>
  <c r="G19" i="730"/>
  <c r="C20" i="729"/>
  <c r="G19" i="729"/>
  <c r="F25" i="1"/>
  <c r="G21" i="740" l="1"/>
  <c r="C22" i="740"/>
  <c r="G21" i="739"/>
  <c r="C22" i="739"/>
  <c r="C21" i="738"/>
  <c r="G20" i="738"/>
  <c r="C21" i="737"/>
  <c r="G20" i="737"/>
  <c r="C21" i="736"/>
  <c r="G20" i="736"/>
  <c r="C21" i="735"/>
  <c r="G20" i="735"/>
  <c r="C21" i="734"/>
  <c r="G20" i="734"/>
  <c r="C21" i="733"/>
  <c r="G20" i="733"/>
  <c r="C21" i="732"/>
  <c r="G20" i="732"/>
  <c r="C21" i="731"/>
  <c r="G20" i="731"/>
  <c r="C21" i="730"/>
  <c r="G20" i="730"/>
  <c r="C21" i="729"/>
  <c r="G20" i="729"/>
  <c r="W8" i="120"/>
  <c r="AB8" i="120"/>
  <c r="AE8" i="120"/>
  <c r="AH8" i="120"/>
  <c r="AK8" i="120"/>
  <c r="AN8" i="120"/>
  <c r="AQ8" i="120"/>
  <c r="AT8" i="120"/>
  <c r="AW8" i="120"/>
  <c r="AZ8" i="120"/>
  <c r="BC8" i="120"/>
  <c r="BF8" i="120"/>
  <c r="Y1" i="120"/>
  <c r="Y8" i="120"/>
  <c r="W6" i="120"/>
  <c r="F23" i="4"/>
  <c r="F5" i="4"/>
  <c r="G22" i="740" l="1"/>
  <c r="C23" i="740"/>
  <c r="G22" i="739"/>
  <c r="C23" i="739"/>
  <c r="G21" i="738"/>
  <c r="C22" i="738"/>
  <c r="G21" i="737"/>
  <c r="C22" i="737"/>
  <c r="G21" i="736"/>
  <c r="C22" i="736"/>
  <c r="G21" i="735"/>
  <c r="C22" i="735"/>
  <c r="G21" i="734"/>
  <c r="C22" i="734"/>
  <c r="G21" i="733"/>
  <c r="C22" i="733"/>
  <c r="G21" i="732"/>
  <c r="C22" i="732"/>
  <c r="G21" i="731"/>
  <c r="C22" i="731"/>
  <c r="G21" i="730"/>
  <c r="C22" i="730"/>
  <c r="G21" i="729"/>
  <c r="C22" i="729"/>
  <c r="J9" i="120"/>
  <c r="M9" i="120"/>
  <c r="C24" i="740" l="1"/>
  <c r="G23" i="740"/>
  <c r="G23" i="739"/>
  <c r="C24" i="739"/>
  <c r="G22" i="738"/>
  <c r="C23" i="738"/>
  <c r="G22" i="737"/>
  <c r="C23" i="737"/>
  <c r="G22" i="736"/>
  <c r="C23" i="736"/>
  <c r="G22" i="735"/>
  <c r="C23" i="735"/>
  <c r="G22" i="734"/>
  <c r="C23" i="734"/>
  <c r="G22" i="733"/>
  <c r="C23" i="733"/>
  <c r="G22" i="732"/>
  <c r="C23" i="732"/>
  <c r="G22" i="731"/>
  <c r="C23" i="731"/>
  <c r="G22" i="730"/>
  <c r="C23" i="730"/>
  <c r="G22" i="729"/>
  <c r="C23" i="729"/>
  <c r="F10" i="439"/>
  <c r="C25" i="740" l="1"/>
  <c r="G24" i="740"/>
  <c r="C25" i="739"/>
  <c r="G24" i="739"/>
  <c r="C24" i="738"/>
  <c r="G23" i="738"/>
  <c r="C24" i="737"/>
  <c r="G23" i="737"/>
  <c r="C24" i="736"/>
  <c r="G23" i="736"/>
  <c r="G23" i="735"/>
  <c r="C24" i="735"/>
  <c r="C24" i="734"/>
  <c r="G23" i="734"/>
  <c r="C24" i="733"/>
  <c r="G23" i="733"/>
  <c r="G23" i="732"/>
  <c r="C24" i="732"/>
  <c r="C24" i="731"/>
  <c r="G23" i="731"/>
  <c r="C24" i="730"/>
  <c r="G23" i="730"/>
  <c r="G23" i="729"/>
  <c r="C24" i="729"/>
  <c r="F30" i="1"/>
  <c r="F12" i="150"/>
  <c r="J8" i="120"/>
  <c r="G25" i="740" l="1"/>
  <c r="C26" i="740"/>
  <c r="G25" i="739"/>
  <c r="C26" i="739"/>
  <c r="C25" i="738"/>
  <c r="G24" i="738"/>
  <c r="C25" i="737"/>
  <c r="G24" i="737"/>
  <c r="C25" i="736"/>
  <c r="G24" i="736"/>
  <c r="C25" i="735"/>
  <c r="G24" i="735"/>
  <c r="C25" i="734"/>
  <c r="G24" i="734"/>
  <c r="C25" i="733"/>
  <c r="G24" i="733"/>
  <c r="C25" i="732"/>
  <c r="G24" i="732"/>
  <c r="C25" i="731"/>
  <c r="G24" i="731"/>
  <c r="C25" i="730"/>
  <c r="G24" i="730"/>
  <c r="C25" i="729"/>
  <c r="G24" i="729"/>
  <c r="AB1" i="120"/>
  <c r="AE1" i="120"/>
  <c r="AH1" i="120"/>
  <c r="AK1" i="120"/>
  <c r="AN1" i="120"/>
  <c r="AQ1" i="120"/>
  <c r="AT1" i="120"/>
  <c r="AW1" i="120"/>
  <c r="AZ1" i="120"/>
  <c r="W4" i="120"/>
  <c r="G26" i="740" l="1"/>
  <c r="C27" i="740"/>
  <c r="G26" i="739"/>
  <c r="C27" i="739"/>
  <c r="G25" i="738"/>
  <c r="C26" i="738"/>
  <c r="G25" i="737"/>
  <c r="C26" i="737"/>
  <c r="G25" i="736"/>
  <c r="C26" i="736"/>
  <c r="G25" i="735"/>
  <c r="C26" i="735"/>
  <c r="G25" i="734"/>
  <c r="C26" i="734"/>
  <c r="G25" i="733"/>
  <c r="C26" i="733"/>
  <c r="G25" i="732"/>
  <c r="C26" i="732"/>
  <c r="G25" i="731"/>
  <c r="C26" i="731"/>
  <c r="G25" i="730"/>
  <c r="C26" i="730"/>
  <c r="G25" i="729"/>
  <c r="C26" i="729"/>
  <c r="W1" i="120"/>
  <c r="G27" i="740" l="1"/>
  <c r="C28" i="740"/>
  <c r="C28" i="739"/>
  <c r="G27" i="739"/>
  <c r="G26" i="738"/>
  <c r="C27" i="738"/>
  <c r="G26" i="737"/>
  <c r="C27" i="737"/>
  <c r="G26" i="736"/>
  <c r="C27" i="736"/>
  <c r="G26" i="735"/>
  <c r="C27" i="735"/>
  <c r="G26" i="734"/>
  <c r="C27" i="734"/>
  <c r="G26" i="733"/>
  <c r="C27" i="733"/>
  <c r="G26" i="732"/>
  <c r="C27" i="732"/>
  <c r="G26" i="731"/>
  <c r="C27" i="731"/>
  <c r="G26" i="730"/>
  <c r="C27" i="730"/>
  <c r="G26" i="729"/>
  <c r="C27" i="729"/>
  <c r="F8" i="150"/>
  <c r="C29" i="740" l="1"/>
  <c r="G28" i="740"/>
  <c r="C29" i="739"/>
  <c r="G28" i="739"/>
  <c r="C28" i="738"/>
  <c r="G27" i="738"/>
  <c r="G27" i="737"/>
  <c r="C28" i="737"/>
  <c r="G27" i="736"/>
  <c r="C28" i="736"/>
  <c r="G27" i="735"/>
  <c r="C28" i="735"/>
  <c r="G27" i="734"/>
  <c r="C28" i="734"/>
  <c r="G27" i="733"/>
  <c r="C28" i="733"/>
  <c r="G27" i="732"/>
  <c r="C28" i="732"/>
  <c r="C28" i="731"/>
  <c r="G27" i="731"/>
  <c r="G27" i="730"/>
  <c r="C28" i="730"/>
  <c r="G27" i="729"/>
  <c r="C28" i="729"/>
  <c r="F22" i="439"/>
  <c r="F21" i="439"/>
  <c r="F20" i="439"/>
  <c r="F19" i="439"/>
  <c r="F18" i="439"/>
  <c r="F17" i="439"/>
  <c r="F16" i="439"/>
  <c r="F15" i="439"/>
  <c r="F14" i="439"/>
  <c r="F13" i="439"/>
  <c r="F12" i="439"/>
  <c r="F11" i="439"/>
  <c r="F9" i="439"/>
  <c r="G8" i="439"/>
  <c r="F8" i="439"/>
  <c r="C8" i="439"/>
  <c r="C9" i="439" s="1"/>
  <c r="G29" i="740" l="1"/>
  <c r="C30" i="740"/>
  <c r="G29" i="739"/>
  <c r="C30" i="739"/>
  <c r="C29" i="738"/>
  <c r="G28" i="738"/>
  <c r="C29" i="737"/>
  <c r="G28" i="737"/>
  <c r="C29" i="736"/>
  <c r="G28" i="736"/>
  <c r="C29" i="735"/>
  <c r="G28" i="735"/>
  <c r="C29" i="734"/>
  <c r="G28" i="734"/>
  <c r="C29" i="733"/>
  <c r="G28" i="733"/>
  <c r="C29" i="732"/>
  <c r="G28" i="732"/>
  <c r="C29" i="731"/>
  <c r="G28" i="731"/>
  <c r="C29" i="730"/>
  <c r="G28" i="730"/>
  <c r="C29" i="729"/>
  <c r="G28" i="729"/>
  <c r="G9" i="439"/>
  <c r="C10" i="439"/>
  <c r="G30" i="740" l="1"/>
  <c r="C31" i="740"/>
  <c r="G30" i="739"/>
  <c r="C31" i="739"/>
  <c r="G29" i="738"/>
  <c r="C30" i="738"/>
  <c r="G29" i="737"/>
  <c r="C30" i="737"/>
  <c r="G29" i="736"/>
  <c r="C30" i="736"/>
  <c r="G29" i="735"/>
  <c r="C30" i="735"/>
  <c r="G29" i="734"/>
  <c r="C30" i="734"/>
  <c r="G29" i="733"/>
  <c r="C30" i="733"/>
  <c r="G29" i="732"/>
  <c r="C30" i="732"/>
  <c r="G29" i="731"/>
  <c r="C30" i="731"/>
  <c r="G29" i="730"/>
  <c r="C30" i="730"/>
  <c r="G29" i="729"/>
  <c r="C30" i="729"/>
  <c r="G10" i="439"/>
  <c r="C11" i="439"/>
  <c r="C32" i="740" l="1"/>
  <c r="G31" i="740"/>
  <c r="C32" i="739"/>
  <c r="G31" i="739"/>
  <c r="G30" i="738"/>
  <c r="C31" i="738"/>
  <c r="G30" i="737"/>
  <c r="C31" i="737"/>
  <c r="G30" i="736"/>
  <c r="C31" i="736"/>
  <c r="G30" i="735"/>
  <c r="C31" i="735"/>
  <c r="G30" i="734"/>
  <c r="C31" i="734"/>
  <c r="G30" i="733"/>
  <c r="C31" i="733"/>
  <c r="G30" i="732"/>
  <c r="C31" i="732"/>
  <c r="G30" i="731"/>
  <c r="C31" i="731"/>
  <c r="G30" i="730"/>
  <c r="C31" i="730"/>
  <c r="G30" i="729"/>
  <c r="C31" i="729"/>
  <c r="G11" i="439"/>
  <c r="C12" i="439"/>
  <c r="F27" i="1"/>
  <c r="M30" i="1"/>
  <c r="C33" i="740" l="1"/>
  <c r="G32" i="740"/>
  <c r="C33" i="739"/>
  <c r="G32" i="739"/>
  <c r="C32" i="738"/>
  <c r="G31" i="738"/>
  <c r="C32" i="737"/>
  <c r="G31" i="737"/>
  <c r="G31" i="736"/>
  <c r="C32" i="736"/>
  <c r="C32" i="735"/>
  <c r="G31" i="735"/>
  <c r="C32" i="734"/>
  <c r="G31" i="734"/>
  <c r="C32" i="733"/>
  <c r="G31" i="733"/>
  <c r="C32" i="732"/>
  <c r="G31" i="732"/>
  <c r="C32" i="731"/>
  <c r="G31" i="731"/>
  <c r="C32" i="730"/>
  <c r="G31" i="730"/>
  <c r="C32" i="729"/>
  <c r="G31" i="729"/>
  <c r="G12" i="439"/>
  <c r="C13" i="439"/>
  <c r="G30" i="1"/>
  <c r="H30" i="1" s="1"/>
  <c r="G33" i="740" l="1"/>
  <c r="C34" i="740"/>
  <c r="G33" i="739"/>
  <c r="C34" i="739"/>
  <c r="C33" i="738"/>
  <c r="G32" i="738"/>
  <c r="C33" i="737"/>
  <c r="G32" i="737"/>
  <c r="C33" i="736"/>
  <c r="G32" i="736"/>
  <c r="C33" i="735"/>
  <c r="G32" i="735"/>
  <c r="C33" i="734"/>
  <c r="G32" i="734"/>
  <c r="C33" i="733"/>
  <c r="G32" i="733"/>
  <c r="C33" i="732"/>
  <c r="G32" i="732"/>
  <c r="C33" i="731"/>
  <c r="G32" i="731"/>
  <c r="C33" i="730"/>
  <c r="G32" i="730"/>
  <c r="C33" i="729"/>
  <c r="G32" i="729"/>
  <c r="C14" i="439"/>
  <c r="G13" i="439"/>
  <c r="K1" i="50"/>
  <c r="G34" i="740" l="1"/>
  <c r="C35" i="740"/>
  <c r="G34" i="739"/>
  <c r="C35" i="739"/>
  <c r="G33" i="738"/>
  <c r="C34" i="738"/>
  <c r="G33" i="737"/>
  <c r="C34" i="737"/>
  <c r="G33" i="736"/>
  <c r="C34" i="736"/>
  <c r="G33" i="735"/>
  <c r="C34" i="735"/>
  <c r="G33" i="734"/>
  <c r="C34" i="734"/>
  <c r="G33" i="733"/>
  <c r="C34" i="733"/>
  <c r="G33" i="732"/>
  <c r="C34" i="732"/>
  <c r="G33" i="731"/>
  <c r="C34" i="731"/>
  <c r="G33" i="730"/>
  <c r="C34" i="730"/>
  <c r="G33" i="729"/>
  <c r="C34" i="729"/>
  <c r="G14" i="439"/>
  <c r="C15" i="439"/>
  <c r="C36" i="740" l="1"/>
  <c r="G35" i="740"/>
  <c r="C36" i="739"/>
  <c r="G35" i="739"/>
  <c r="G34" i="738"/>
  <c r="C35" i="738"/>
  <c r="G34" i="737"/>
  <c r="C35" i="737"/>
  <c r="G34" i="736"/>
  <c r="C35" i="736"/>
  <c r="G34" i="735"/>
  <c r="C35" i="735"/>
  <c r="G34" i="734"/>
  <c r="C35" i="734"/>
  <c r="G34" i="733"/>
  <c r="C35" i="733"/>
  <c r="G34" i="732"/>
  <c r="C35" i="732"/>
  <c r="G34" i="731"/>
  <c r="C35" i="731"/>
  <c r="G34" i="730"/>
  <c r="C35" i="730"/>
  <c r="G34" i="729"/>
  <c r="C35" i="729"/>
  <c r="C16" i="439"/>
  <c r="G15" i="439"/>
  <c r="R2" i="8"/>
  <c r="R3" i="8"/>
  <c r="R4" i="8"/>
  <c r="R5" i="8"/>
  <c r="R6" i="8"/>
  <c r="R7" i="8"/>
  <c r="R8" i="8"/>
  <c r="R9" i="8"/>
  <c r="C37" i="740" l="1"/>
  <c r="G36" i="740"/>
  <c r="H33" i="740"/>
  <c r="H36" i="740"/>
  <c r="C37" i="739"/>
  <c r="G36" i="739"/>
  <c r="G35" i="738"/>
  <c r="C36" i="738"/>
  <c r="C36" i="737"/>
  <c r="G35" i="737"/>
  <c r="C36" i="736"/>
  <c r="G35" i="736"/>
  <c r="G35" i="735"/>
  <c r="C36" i="735"/>
  <c r="C36" i="734"/>
  <c r="G35" i="734"/>
  <c r="C36" i="733"/>
  <c r="G35" i="733"/>
  <c r="C36" i="732"/>
  <c r="G35" i="732"/>
  <c r="G35" i="731"/>
  <c r="C36" i="731"/>
  <c r="C36" i="730"/>
  <c r="G35" i="730"/>
  <c r="C36" i="729"/>
  <c r="G35" i="729"/>
  <c r="G16" i="439"/>
  <c r="C17" i="439"/>
  <c r="F6" i="150"/>
  <c r="B1" i="95"/>
  <c r="G37" i="740" l="1"/>
  <c r="G38" i="740"/>
  <c r="H38" i="740" s="1"/>
  <c r="H10" i="740"/>
  <c r="H9" i="740"/>
  <c r="H11" i="740" s="1"/>
  <c r="H13" i="740"/>
  <c r="H8" i="740"/>
  <c r="H12" i="740"/>
  <c r="H14" i="740"/>
  <c r="H16" i="740"/>
  <c r="H17" i="740"/>
  <c r="H15" i="740"/>
  <c r="H18" i="740"/>
  <c r="H19" i="740"/>
  <c r="H20" i="740"/>
  <c r="H22" i="740"/>
  <c r="H21" i="740"/>
  <c r="H23" i="740"/>
  <c r="H24" i="740"/>
  <c r="H25" i="740"/>
  <c r="H27" i="740"/>
  <c r="H26" i="740"/>
  <c r="H28" i="740"/>
  <c r="H31" i="740"/>
  <c r="H29" i="740"/>
  <c r="H30" i="740"/>
  <c r="H32" i="740"/>
  <c r="H34" i="740"/>
  <c r="H35" i="740"/>
  <c r="H37" i="740"/>
  <c r="G37" i="739"/>
  <c r="G38" i="739"/>
  <c r="H38" i="739" s="1"/>
  <c r="H10" i="739"/>
  <c r="H11" i="739"/>
  <c r="H8" i="739"/>
  <c r="H9" i="739" s="1"/>
  <c r="H12" i="739"/>
  <c r="H13" i="739"/>
  <c r="H14" i="739"/>
  <c r="H15" i="739"/>
  <c r="H16" i="739"/>
  <c r="H17" i="739"/>
  <c r="H18" i="739"/>
  <c r="H21" i="739"/>
  <c r="H19" i="739"/>
  <c r="H22" i="739"/>
  <c r="H20" i="739"/>
  <c r="H23" i="739"/>
  <c r="H24" i="739"/>
  <c r="H26" i="739"/>
  <c r="H25" i="739"/>
  <c r="H28" i="739"/>
  <c r="H27" i="739"/>
  <c r="H30" i="739"/>
  <c r="H32" i="739"/>
  <c r="H31" i="739"/>
  <c r="H29" i="739"/>
  <c r="H33" i="739"/>
  <c r="H35" i="739"/>
  <c r="H34" i="739"/>
  <c r="H37" i="739"/>
  <c r="H36" i="739"/>
  <c r="C37" i="738"/>
  <c r="G36" i="738"/>
  <c r="C37" i="737"/>
  <c r="G36" i="737"/>
  <c r="C37" i="736"/>
  <c r="G36" i="736"/>
  <c r="H34" i="736"/>
  <c r="C37" i="735"/>
  <c r="G36" i="735"/>
  <c r="H36" i="735" s="1"/>
  <c r="H33" i="735"/>
  <c r="C37" i="734"/>
  <c r="G36" i="734"/>
  <c r="C37" i="733"/>
  <c r="G36" i="733"/>
  <c r="H36" i="733" s="1"/>
  <c r="H34" i="733"/>
  <c r="C37" i="732"/>
  <c r="G36" i="732"/>
  <c r="H34" i="732"/>
  <c r="C37" i="731"/>
  <c r="H34" i="731" s="1"/>
  <c r="G36" i="731"/>
  <c r="C37" i="730"/>
  <c r="G36" i="730"/>
  <c r="H32" i="730"/>
  <c r="C37" i="729"/>
  <c r="H32" i="729" s="1"/>
  <c r="G36" i="729"/>
  <c r="C18" i="439"/>
  <c r="G17" i="439"/>
  <c r="P11" i="150"/>
  <c r="G37" i="738" l="1"/>
  <c r="G38" i="738"/>
  <c r="H38" i="738" s="1"/>
  <c r="H9" i="738"/>
  <c r="H10" i="738"/>
  <c r="H8" i="738"/>
  <c r="H12" i="738"/>
  <c r="H13" i="738"/>
  <c r="H15" i="738"/>
  <c r="H16" i="738"/>
  <c r="H14" i="738"/>
  <c r="H17" i="738"/>
  <c r="H18" i="738"/>
  <c r="H19" i="738"/>
  <c r="H20" i="738"/>
  <c r="H24" i="738"/>
  <c r="H21" i="738"/>
  <c r="H22" i="738"/>
  <c r="H23" i="738"/>
  <c r="H25" i="738"/>
  <c r="H26" i="738"/>
  <c r="H27" i="738"/>
  <c r="H28" i="738"/>
  <c r="H29" i="738"/>
  <c r="H32" i="738"/>
  <c r="H31" i="738"/>
  <c r="H30" i="738"/>
  <c r="H33" i="738"/>
  <c r="H34" i="738"/>
  <c r="H36" i="738"/>
  <c r="H37" i="738"/>
  <c r="H35" i="738"/>
  <c r="H35" i="731"/>
  <c r="G37" i="737"/>
  <c r="H37" i="737" s="1"/>
  <c r="G38" i="737"/>
  <c r="H38" i="737" s="1"/>
  <c r="H9" i="737"/>
  <c r="H8" i="737"/>
  <c r="H10" i="737"/>
  <c r="H11" i="737"/>
  <c r="H14" i="737" s="1"/>
  <c r="H12" i="737"/>
  <c r="H16" i="737"/>
  <c r="H15" i="737"/>
  <c r="H17" i="737"/>
  <c r="H18" i="737"/>
  <c r="H20" i="737"/>
  <c r="H19" i="737"/>
  <c r="H21" i="737"/>
  <c r="H22" i="737"/>
  <c r="H24" i="737"/>
  <c r="H23" i="737"/>
  <c r="H25" i="737"/>
  <c r="H26" i="737"/>
  <c r="H27" i="737"/>
  <c r="H29" i="737"/>
  <c r="H28" i="737"/>
  <c r="H30" i="737"/>
  <c r="H31" i="737"/>
  <c r="H35" i="737"/>
  <c r="H32" i="737"/>
  <c r="H33" i="737"/>
  <c r="H34" i="737"/>
  <c r="H36" i="737"/>
  <c r="G37" i="736"/>
  <c r="H37" i="736" s="1"/>
  <c r="G38" i="736"/>
  <c r="H38" i="736" s="1"/>
  <c r="H8" i="736"/>
  <c r="H10" i="736"/>
  <c r="H9" i="736"/>
  <c r="H12" i="736"/>
  <c r="H13" i="736"/>
  <c r="H15" i="736"/>
  <c r="H16" i="736"/>
  <c r="H17" i="736"/>
  <c r="H14" i="736"/>
  <c r="H18" i="736"/>
  <c r="H19" i="736"/>
  <c r="H20" i="736"/>
  <c r="H21" i="736"/>
  <c r="H23" i="736"/>
  <c r="H22" i="736"/>
  <c r="H24" i="736"/>
  <c r="H25" i="736"/>
  <c r="H26" i="736"/>
  <c r="H27" i="736"/>
  <c r="H28" i="736"/>
  <c r="H29" i="736"/>
  <c r="H31" i="736"/>
  <c r="H30" i="736"/>
  <c r="H35" i="736"/>
  <c r="H36" i="736"/>
  <c r="H32" i="736"/>
  <c r="H33" i="736"/>
  <c r="G37" i="735"/>
  <c r="H37" i="735" s="1"/>
  <c r="G38" i="735"/>
  <c r="H38" i="735" s="1"/>
  <c r="H9" i="735"/>
  <c r="H11" i="735"/>
  <c r="H10" i="735"/>
  <c r="H13" i="735"/>
  <c r="H8" i="735"/>
  <c r="H12" i="735"/>
  <c r="H16" i="735"/>
  <c r="H14" i="735"/>
  <c r="H15" i="735"/>
  <c r="H17" i="735"/>
  <c r="H18" i="735"/>
  <c r="H19" i="735"/>
  <c r="H20" i="735"/>
  <c r="H21" i="735"/>
  <c r="H22" i="735"/>
  <c r="H23" i="735"/>
  <c r="H24" i="735"/>
  <c r="H26" i="735"/>
  <c r="H25" i="735"/>
  <c r="H28" i="735"/>
  <c r="H29" i="735"/>
  <c r="H27" i="735"/>
  <c r="H30" i="735"/>
  <c r="H31" i="735"/>
  <c r="H32" i="735"/>
  <c r="H35" i="735"/>
  <c r="H34" i="735"/>
  <c r="G37" i="734"/>
  <c r="H37" i="734" s="1"/>
  <c r="G38" i="734"/>
  <c r="H38" i="734" s="1"/>
  <c r="H8" i="734"/>
  <c r="H9" i="734"/>
  <c r="H10" i="734" s="1"/>
  <c r="H12" i="734"/>
  <c r="H13" i="734"/>
  <c r="H11" i="734"/>
  <c r="H14" i="734"/>
  <c r="H15" i="734"/>
  <c r="H16" i="734"/>
  <c r="H17" i="734"/>
  <c r="H19" i="734"/>
  <c r="H20" i="734"/>
  <c r="H18" i="734"/>
  <c r="H21" i="734"/>
  <c r="H23" i="734"/>
  <c r="H24" i="734"/>
  <c r="H22" i="734"/>
  <c r="H25" i="734"/>
  <c r="H28" i="734"/>
  <c r="H27" i="734"/>
  <c r="H26" i="734"/>
  <c r="H29" i="734"/>
  <c r="H31" i="734"/>
  <c r="H30" i="734"/>
  <c r="H32" i="734"/>
  <c r="H33" i="734"/>
  <c r="H34" i="734"/>
  <c r="H35" i="734"/>
  <c r="H36" i="734"/>
  <c r="G37" i="733"/>
  <c r="G38" i="733"/>
  <c r="H38" i="733" s="1"/>
  <c r="H10" i="733"/>
  <c r="H8" i="733"/>
  <c r="H9" i="733" s="1"/>
  <c r="H13" i="733"/>
  <c r="H12" i="733"/>
  <c r="H15" i="733"/>
  <c r="H11" i="733"/>
  <c r="H14" i="733"/>
  <c r="H16" i="733"/>
  <c r="H17" i="733"/>
  <c r="H19" i="733"/>
  <c r="H18" i="733"/>
  <c r="H20" i="733"/>
  <c r="H21" i="733"/>
  <c r="H22" i="733"/>
  <c r="H24" i="733"/>
  <c r="H23" i="733"/>
  <c r="H25" i="733"/>
  <c r="H26" i="733"/>
  <c r="H27" i="733"/>
  <c r="H29" i="733"/>
  <c r="H28" i="733"/>
  <c r="H30" i="733"/>
  <c r="H31" i="733"/>
  <c r="H35" i="733"/>
  <c r="H33" i="733"/>
  <c r="H32" i="733"/>
  <c r="H37" i="733"/>
  <c r="H33" i="732"/>
  <c r="G37" i="732"/>
  <c r="H37" i="732" s="1"/>
  <c r="G38" i="732"/>
  <c r="H38" i="732" s="1"/>
  <c r="H9" i="732"/>
  <c r="H8" i="732"/>
  <c r="H12" i="732"/>
  <c r="H16" i="732"/>
  <c r="H13" i="732"/>
  <c r="H15" i="732"/>
  <c r="H14" i="732"/>
  <c r="H17" i="732"/>
  <c r="H18" i="732"/>
  <c r="H19" i="732"/>
  <c r="H21" i="732"/>
  <c r="H22" i="732"/>
  <c r="H20" i="732"/>
  <c r="H24" i="732"/>
  <c r="H23" i="732"/>
  <c r="H25" i="732"/>
  <c r="H26" i="732"/>
  <c r="H29" i="732"/>
  <c r="H30" i="732"/>
  <c r="H27" i="732"/>
  <c r="H28" i="732"/>
  <c r="H32" i="732"/>
  <c r="H35" i="732"/>
  <c r="H31" i="732"/>
  <c r="H36" i="732"/>
  <c r="H32" i="731"/>
  <c r="H36" i="731"/>
  <c r="G37" i="731"/>
  <c r="H37" i="731" s="1"/>
  <c r="G38" i="731"/>
  <c r="H38" i="731" s="1"/>
  <c r="H9" i="731"/>
  <c r="H11" i="731"/>
  <c r="H10" i="731"/>
  <c r="H8" i="731"/>
  <c r="H12" i="731"/>
  <c r="H14" i="731"/>
  <c r="H13" i="731"/>
  <c r="H17" i="731"/>
  <c r="H18" i="731"/>
  <c r="H20" i="731"/>
  <c r="H19" i="731"/>
  <c r="H22" i="731"/>
  <c r="H21" i="731"/>
  <c r="H24" i="731"/>
  <c r="H23" i="731"/>
  <c r="H25" i="731"/>
  <c r="H26" i="731"/>
  <c r="H28" i="731"/>
  <c r="H29" i="731"/>
  <c r="H27" i="731"/>
  <c r="H30" i="731"/>
  <c r="H31" i="731"/>
  <c r="H33" i="731"/>
  <c r="H33" i="730"/>
  <c r="H34" i="730"/>
  <c r="G37" i="730"/>
  <c r="H37" i="730" s="1"/>
  <c r="G38" i="730"/>
  <c r="H38" i="730" s="1"/>
  <c r="H10" i="730"/>
  <c r="H8" i="730"/>
  <c r="H9" i="730"/>
  <c r="H13" i="730"/>
  <c r="H15" i="730"/>
  <c r="H14" i="730"/>
  <c r="H16" i="730"/>
  <c r="H17" i="730"/>
  <c r="H18" i="730"/>
  <c r="H21" i="730"/>
  <c r="H19" i="730"/>
  <c r="H20" i="730"/>
  <c r="H22" i="730"/>
  <c r="H23" i="730"/>
  <c r="H24" i="730"/>
  <c r="H26" i="730"/>
  <c r="H25" i="730"/>
  <c r="H28" i="730"/>
  <c r="H27" i="730"/>
  <c r="H29" i="730"/>
  <c r="H31" i="730"/>
  <c r="H30" i="730"/>
  <c r="H35" i="730"/>
  <c r="H36" i="730"/>
  <c r="H34" i="729"/>
  <c r="H33" i="729"/>
  <c r="H35" i="729"/>
  <c r="G37" i="729"/>
  <c r="H37" i="729" s="1"/>
  <c r="G38" i="729"/>
  <c r="H38" i="729" s="1"/>
  <c r="H9" i="729"/>
  <c r="H11" i="729"/>
  <c r="H10" i="729"/>
  <c r="H8" i="729"/>
  <c r="H12" i="729"/>
  <c r="H14" i="729"/>
  <c r="H15" i="729"/>
  <c r="H13" i="729"/>
  <c r="H18" i="729"/>
  <c r="H20" i="729"/>
  <c r="H19" i="729"/>
  <c r="H21" i="729"/>
  <c r="H23" i="729"/>
  <c r="H22" i="729"/>
  <c r="H26" i="729"/>
  <c r="H24" i="729"/>
  <c r="H25" i="729"/>
  <c r="H28" i="729"/>
  <c r="H27" i="729"/>
  <c r="H30" i="729"/>
  <c r="H29" i="729"/>
  <c r="H31" i="729"/>
  <c r="H36" i="729"/>
  <c r="G18" i="439"/>
  <c r="C19" i="439"/>
  <c r="H11" i="736" l="1"/>
  <c r="H16" i="731"/>
  <c r="H11" i="732"/>
  <c r="H12" i="730"/>
  <c r="H17" i="729"/>
  <c r="C20" i="439"/>
  <c r="G19" i="439"/>
  <c r="G20" i="439" l="1"/>
  <c r="C21" i="439"/>
  <c r="N8" i="120"/>
  <c r="C22" i="439" l="1"/>
  <c r="G21" i="439"/>
  <c r="M8" i="120"/>
  <c r="B2" i="137"/>
  <c r="F14" i="137"/>
  <c r="G22" i="439" l="1"/>
  <c r="S8" i="120" l="1"/>
  <c r="F19" i="4" l="1"/>
  <c r="L30" i="4" l="1"/>
  <c r="AX30" i="1" l="1"/>
  <c r="AX31" i="1"/>
  <c r="AX33" i="1"/>
  <c r="AX34" i="1"/>
  <c r="P4" i="8" l="1"/>
  <c r="P5" i="8"/>
  <c r="P6" i="8"/>
  <c r="P7" i="8"/>
  <c r="P8" i="8"/>
  <c r="P9" i="8"/>
  <c r="P10" i="8"/>
  <c r="P11" i="8"/>
  <c r="P12" i="8"/>
  <c r="P13" i="8"/>
  <c r="P14" i="8"/>
  <c r="P15" i="8"/>
  <c r="P16" i="8"/>
  <c r="P17" i="8"/>
  <c r="P18" i="8"/>
  <c r="P19" i="8"/>
  <c r="P20" i="8"/>
  <c r="P21" i="8"/>
  <c r="P22" i="8"/>
  <c r="P23" i="8"/>
  <c r="P24" i="8"/>
  <c r="P25" i="8"/>
  <c r="P26" i="8"/>
  <c r="P27" i="8"/>
  <c r="P28" i="8"/>
  <c r="P29" i="8"/>
  <c r="P30" i="8"/>
  <c r="P31" i="8"/>
  <c r="P32" i="8"/>
  <c r="P33" i="8"/>
  <c r="P34" i="8"/>
  <c r="P35" i="8"/>
  <c r="P36" i="8"/>
  <c r="P37" i="8"/>
  <c r="P38" i="8"/>
  <c r="P39" i="8"/>
  <c r="P40" i="8"/>
  <c r="P41" i="8"/>
  <c r="P42" i="8"/>
  <c r="P43" i="8"/>
  <c r="P44" i="8"/>
  <c r="P45" i="8"/>
  <c r="P46" i="8"/>
  <c r="P47" i="8"/>
  <c r="P48" i="8"/>
  <c r="P49" i="8"/>
  <c r="P50" i="8"/>
  <c r="P51" i="8"/>
  <c r="P52" i="8"/>
  <c r="P53" i="8"/>
  <c r="P54" i="8"/>
  <c r="P55" i="8"/>
  <c r="P56" i="8"/>
  <c r="P57" i="8"/>
  <c r="P58" i="8"/>
  <c r="P59" i="8"/>
  <c r="P60" i="8"/>
  <c r="P61" i="8"/>
  <c r="P62" i="8"/>
  <c r="P63" i="8"/>
  <c r="P64" i="8"/>
  <c r="P65" i="8"/>
  <c r="P66" i="8"/>
  <c r="P67" i="8"/>
  <c r="P68" i="8"/>
  <c r="P69" i="8"/>
  <c r="P70" i="8"/>
  <c r="P71" i="8"/>
  <c r="P72" i="8"/>
  <c r="P73" i="8"/>
  <c r="P74" i="8"/>
  <c r="P75" i="8"/>
  <c r="P76" i="8"/>
  <c r="P77" i="8"/>
  <c r="P78" i="8"/>
  <c r="D22" i="95" l="1"/>
  <c r="M7" i="120" l="1"/>
  <c r="N7" i="120" l="1"/>
  <c r="G28" i="1" l="1"/>
  <c r="D17" i="95" l="1"/>
  <c r="H4" i="95" l="1"/>
  <c r="H1" i="95" s="1"/>
  <c r="J6" i="120" l="1"/>
  <c r="M6" i="120" l="1"/>
  <c r="N6" i="120" l="1"/>
  <c r="F37" i="439" l="1"/>
  <c r="E37" i="439"/>
  <c r="D37" i="439"/>
  <c r="F36" i="439"/>
  <c r="E36" i="439"/>
  <c r="D36" i="439"/>
  <c r="F35" i="439"/>
  <c r="F34" i="439"/>
  <c r="F33" i="439"/>
  <c r="F32" i="439"/>
  <c r="F31" i="439"/>
  <c r="F30" i="439"/>
  <c r="F29" i="439"/>
  <c r="F28" i="439"/>
  <c r="F27" i="439"/>
  <c r="F26" i="439"/>
  <c r="F25" i="439"/>
  <c r="F24" i="439"/>
  <c r="F23" i="439"/>
  <c r="G6" i="439"/>
  <c r="I13" i="439" l="1"/>
  <c r="I17" i="439"/>
  <c r="I21" i="439"/>
  <c r="I25" i="439"/>
  <c r="I29" i="439"/>
  <c r="I20" i="439"/>
  <c r="I24" i="439"/>
  <c r="I28" i="439"/>
  <c r="I32" i="439"/>
  <c r="I36" i="439"/>
  <c r="I11" i="439"/>
  <c r="I15" i="439"/>
  <c r="I19" i="439"/>
  <c r="I23" i="439"/>
  <c r="I27" i="439"/>
  <c r="I31" i="439"/>
  <c r="I35" i="439"/>
  <c r="I18" i="439"/>
  <c r="I22" i="439"/>
  <c r="I26" i="439"/>
  <c r="I30" i="439"/>
  <c r="I34" i="439"/>
  <c r="I8" i="439"/>
  <c r="I33" i="439"/>
  <c r="I37" i="439"/>
  <c r="I9" i="439"/>
  <c r="I12" i="439"/>
  <c r="I16" i="439"/>
  <c r="I10" i="439"/>
  <c r="I14" i="439"/>
  <c r="I7" i="439" l="1"/>
  <c r="P2" i="8" l="1"/>
  <c r="F8" i="1" l="1"/>
  <c r="O5" i="120" l="1"/>
  <c r="N2" i="120" l="1"/>
  <c r="O2" i="120"/>
  <c r="C23" i="439" l="1"/>
  <c r="C24" i="439" l="1"/>
  <c r="G23" i="439"/>
  <c r="C25" i="439" l="1"/>
  <c r="G24" i="439"/>
  <c r="D76" i="50"/>
  <c r="AH76" i="50"/>
  <c r="AD76" i="50"/>
  <c r="AK76" i="50"/>
  <c r="V76" i="50"/>
  <c r="AW76" i="50"/>
  <c r="AI76" i="50"/>
  <c r="X76" i="50"/>
  <c r="BA76" i="50"/>
  <c r="AF76" i="50"/>
  <c r="R76" i="50"/>
  <c r="S76" i="50"/>
  <c r="Y76" i="50"/>
  <c r="AJ76" i="50"/>
  <c r="W76" i="50"/>
  <c r="L76" i="50"/>
  <c r="O76" i="50"/>
  <c r="AG76" i="50"/>
  <c r="AY76" i="50"/>
  <c r="AR76" i="50"/>
  <c r="AE76" i="50"/>
  <c r="AM76" i="50"/>
  <c r="BB76" i="50"/>
  <c r="AB76" i="50"/>
  <c r="Z76" i="50"/>
  <c r="AU76" i="50"/>
  <c r="AP76" i="50"/>
  <c r="AN76" i="50"/>
  <c r="U76" i="50"/>
  <c r="M76" i="50"/>
  <c r="AT76" i="50"/>
  <c r="AV76" i="50"/>
  <c r="N76" i="50"/>
  <c r="P76" i="50"/>
  <c r="AO76" i="50"/>
  <c r="AL76" i="50"/>
  <c r="AX76" i="50"/>
  <c r="AS76" i="50"/>
  <c r="AZ76" i="50"/>
  <c r="Q76" i="50"/>
  <c r="BC76" i="50"/>
  <c r="T76" i="50"/>
  <c r="AC76" i="50"/>
  <c r="AQ76" i="50"/>
  <c r="AA76" i="50"/>
  <c r="G25" i="439" l="1"/>
  <c r="C26" i="439"/>
  <c r="F76" i="50"/>
  <c r="AX25" i="4"/>
  <c r="M25" i="4"/>
  <c r="H25" i="4"/>
  <c r="D25" i="4"/>
  <c r="AS25" i="4" l="1"/>
  <c r="G26" i="439"/>
  <c r="C27" i="439"/>
  <c r="M5" i="120"/>
  <c r="G27" i="439" l="1"/>
  <c r="C28" i="439"/>
  <c r="C29" i="439" l="1"/>
  <c r="G28" i="439"/>
  <c r="G29" i="439" l="1"/>
  <c r="C30" i="439"/>
  <c r="B6" i="95"/>
  <c r="G30" i="439" l="1"/>
  <c r="C31" i="439"/>
  <c r="L2" i="120"/>
  <c r="M2" i="120"/>
  <c r="P2" i="120"/>
  <c r="Q2" i="120"/>
  <c r="R2" i="120"/>
  <c r="P5" i="4"/>
  <c r="P8" i="4"/>
  <c r="S5" i="120"/>
  <c r="K5" i="120" s="1"/>
  <c r="S6" i="120"/>
  <c r="K6" i="120" s="1"/>
  <c r="S7" i="120"/>
  <c r="K7" i="120" s="1"/>
  <c r="K8" i="120"/>
  <c r="S9" i="120"/>
  <c r="K9" i="120" s="1"/>
  <c r="S10" i="120"/>
  <c r="K10" i="120" s="1"/>
  <c r="S11" i="120"/>
  <c r="S12" i="120"/>
  <c r="K12" i="120" s="1"/>
  <c r="S13" i="120"/>
  <c r="K13" i="120" s="1"/>
  <c r="S14" i="120"/>
  <c r="K14" i="120" s="1"/>
  <c r="K11" i="120"/>
  <c r="S4" i="120"/>
  <c r="K4" i="120" s="1"/>
  <c r="S3" i="120"/>
  <c r="K3" i="120" s="1"/>
  <c r="G31" i="439" l="1"/>
  <c r="C32" i="439"/>
  <c r="S2" i="120"/>
  <c r="K2" i="120"/>
  <c r="G32" i="439" l="1"/>
  <c r="C33" i="439"/>
  <c r="F26" i="1"/>
  <c r="G33" i="439" l="1"/>
  <c r="C34" i="439"/>
  <c r="G1" i="50"/>
  <c r="D21" i="95"/>
  <c r="G34" i="439" l="1"/>
  <c r="C35" i="439"/>
  <c r="Q4" i="4"/>
  <c r="D24" i="4"/>
  <c r="D22" i="4"/>
  <c r="D21" i="4"/>
  <c r="D20" i="4"/>
  <c r="D19" i="4"/>
  <c r="D17" i="4"/>
  <c r="D16" i="4"/>
  <c r="D15" i="4"/>
  <c r="D14" i="4"/>
  <c r="D13" i="4"/>
  <c r="D11" i="4"/>
  <c r="D10" i="4"/>
  <c r="D9" i="4"/>
  <c r="D8" i="4"/>
  <c r="D7" i="4"/>
  <c r="D6" i="4"/>
  <c r="D5" i="4"/>
  <c r="H9" i="4"/>
  <c r="G35" i="439" l="1"/>
  <c r="C36" i="439"/>
  <c r="C37" i="439" l="1"/>
  <c r="G36" i="439"/>
  <c r="E4" i="137"/>
  <c r="F4" i="137"/>
  <c r="H8" i="439" l="1"/>
  <c r="H19" i="439"/>
  <c r="H20" i="439"/>
  <c r="H21" i="439"/>
  <c r="H22" i="439"/>
  <c r="H28" i="439"/>
  <c r="H34" i="439"/>
  <c r="H27" i="439"/>
  <c r="H25" i="439"/>
  <c r="H32" i="439"/>
  <c r="H26" i="439"/>
  <c r="H29" i="439"/>
  <c r="H30" i="439"/>
  <c r="H33" i="439"/>
  <c r="H31" i="439"/>
  <c r="H24" i="439"/>
  <c r="H35" i="439"/>
  <c r="H23" i="439"/>
  <c r="H36" i="439"/>
  <c r="G37" i="439"/>
  <c r="H37" i="439" s="1"/>
  <c r="G38" i="439"/>
  <c r="H38" i="439" s="1"/>
  <c r="H9" i="439" l="1"/>
  <c r="H10" i="439" s="1"/>
  <c r="M18" i="1"/>
  <c r="G18" i="1"/>
  <c r="H18" i="1" l="1"/>
  <c r="H11" i="439" l="1"/>
  <c r="D12" i="50"/>
  <c r="D13" i="50"/>
  <c r="D14" i="50"/>
  <c r="D15" i="50"/>
  <c r="D16" i="50"/>
  <c r="D17" i="50"/>
  <c r="D18" i="50"/>
  <c r="D19" i="50"/>
  <c r="D20" i="50"/>
  <c r="D21" i="50"/>
  <c r="D22" i="50"/>
  <c r="D23" i="50"/>
  <c r="D24" i="50"/>
  <c r="D25" i="50"/>
  <c r="D26" i="50"/>
  <c r="D27" i="50"/>
  <c r="D28" i="50"/>
  <c r="D29" i="50"/>
  <c r="D30" i="50"/>
  <c r="D31" i="50"/>
  <c r="D32" i="50"/>
  <c r="D33" i="50"/>
  <c r="D34" i="50"/>
  <c r="D35" i="50"/>
  <c r="D36" i="50"/>
  <c r="D37" i="50"/>
  <c r="D38" i="50"/>
  <c r="D39" i="50"/>
  <c r="D40" i="50"/>
  <c r="D41" i="50"/>
  <c r="D42" i="50"/>
  <c r="D43" i="50"/>
  <c r="D44" i="50"/>
  <c r="D45" i="50"/>
  <c r="D46" i="50"/>
  <c r="D47" i="50"/>
  <c r="D48" i="50"/>
  <c r="D49" i="50"/>
  <c r="D50" i="50"/>
  <c r="D51" i="50"/>
  <c r="D52" i="50"/>
  <c r="D53" i="50"/>
  <c r="D54" i="50"/>
  <c r="D55" i="50"/>
  <c r="D56" i="50"/>
  <c r="D57" i="50"/>
  <c r="D58" i="50"/>
  <c r="D59" i="50"/>
  <c r="D60" i="50"/>
  <c r="D61" i="50"/>
  <c r="D62" i="50"/>
  <c r="D63" i="50"/>
  <c r="D64" i="50"/>
  <c r="D65" i="50"/>
  <c r="D66" i="50"/>
  <c r="D67" i="50"/>
  <c r="D68" i="50"/>
  <c r="D69" i="50"/>
  <c r="D70" i="50"/>
  <c r="D71" i="50"/>
  <c r="D72" i="50"/>
  <c r="D73" i="50"/>
  <c r="D74" i="50"/>
  <c r="D75" i="50"/>
  <c r="D11" i="50"/>
  <c r="H12" i="439" l="1"/>
  <c r="H13" i="439" s="1"/>
  <c r="AW4" i="4"/>
  <c r="H14" i="439" l="1"/>
  <c r="H15" i="439" s="1"/>
  <c r="F10" i="1"/>
  <c r="F10" i="4"/>
  <c r="H16" i="439" l="1"/>
  <c r="H17" i="439" s="1"/>
  <c r="H18" i="439" s="1"/>
  <c r="M5" i="137"/>
  <c r="AX11" i="150" l="1"/>
  <c r="P4" i="1" l="1"/>
  <c r="L4" i="50"/>
  <c r="F5" i="1" l="1"/>
  <c r="F13" i="1" l="1"/>
  <c r="F4" i="1" l="1"/>
  <c r="E4" i="1"/>
  <c r="F22" i="4" l="1"/>
  <c r="F21" i="4"/>
  <c r="F18" i="4"/>
  <c r="F12" i="4"/>
  <c r="E4" i="4" l="1"/>
  <c r="F4" i="4"/>
  <c r="B4" i="50"/>
  <c r="M24" i="4"/>
  <c r="AX24" i="4"/>
  <c r="H24" i="4"/>
  <c r="N2" i="4"/>
  <c r="M2" i="4"/>
  <c r="K2" i="4"/>
  <c r="H2" i="4"/>
  <c r="AX5" i="150" l="1"/>
  <c r="B25" i="95" l="1"/>
  <c r="AX6" i="150" l="1"/>
  <c r="AX7" i="150"/>
  <c r="AX8" i="150"/>
  <c r="AX9" i="150"/>
  <c r="AX10" i="150"/>
  <c r="AX12" i="150"/>
  <c r="D11" i="150"/>
  <c r="G14" i="137" l="1"/>
  <c r="H14" i="137" l="1"/>
  <c r="H2" i="137" s="1"/>
  <c r="I14" i="137" l="1"/>
  <c r="J14" i="137" s="1"/>
  <c r="G50" i="50" s="1"/>
  <c r="I50" i="50" s="1"/>
  <c r="K14" i="137" l="1"/>
  <c r="B11" i="95"/>
  <c r="K2" i="137" l="1"/>
  <c r="M23" i="4" l="1"/>
  <c r="G11" i="150" l="1"/>
  <c r="G9" i="150"/>
  <c r="H9" i="150" s="1"/>
  <c r="G10" i="150"/>
  <c r="H10" i="150" s="1"/>
  <c r="G6" i="150"/>
  <c r="H6" i="150" s="1"/>
  <c r="G7" i="150"/>
  <c r="H7" i="150" s="1"/>
  <c r="G8" i="150"/>
  <c r="G12" i="150"/>
  <c r="M12" i="150"/>
  <c r="M11" i="150"/>
  <c r="M10" i="150"/>
  <c r="M9" i="150"/>
  <c r="M8" i="150"/>
  <c r="M7" i="150"/>
  <c r="M6" i="150"/>
  <c r="M5" i="150"/>
  <c r="AW4" i="150"/>
  <c r="P4" i="150"/>
  <c r="F4" i="150"/>
  <c r="E4" i="150"/>
  <c r="K2" i="150"/>
  <c r="M4" i="150" l="1"/>
  <c r="H8" i="150"/>
  <c r="H11" i="150"/>
  <c r="H12" i="150"/>
  <c r="P3" i="8" l="1"/>
  <c r="AX5" i="137" l="1"/>
  <c r="H5" i="137"/>
  <c r="H4" i="137" s="1"/>
  <c r="I7" i="137" l="1"/>
  <c r="J7" i="137" s="1"/>
  <c r="K7" i="137" s="1"/>
  <c r="I11" i="137"/>
  <c r="J11" i="137" s="1"/>
  <c r="K11" i="137" s="1"/>
  <c r="I10" i="137"/>
  <c r="J10" i="137" s="1"/>
  <c r="I12" i="137"/>
  <c r="J12" i="137" s="1"/>
  <c r="K12" i="137" s="1"/>
  <c r="I9" i="137"/>
  <c r="J9" i="137" s="1"/>
  <c r="K9" i="137" s="1"/>
  <c r="I13" i="137"/>
  <c r="J13" i="137" s="1"/>
  <c r="K13" i="137" s="1"/>
  <c r="I6" i="137"/>
  <c r="J6" i="137" s="1"/>
  <c r="K6" i="137" s="1"/>
  <c r="I8" i="137"/>
  <c r="J8" i="137" s="1"/>
  <c r="K8" i="137" s="1"/>
  <c r="M4" i="137"/>
  <c r="AX4" i="137"/>
  <c r="G10" i="50" l="1"/>
  <c r="K10" i="137"/>
  <c r="G8" i="50"/>
  <c r="G6" i="50"/>
  <c r="G9" i="50"/>
  <c r="G7" i="50"/>
  <c r="I5" i="137"/>
  <c r="J5" i="137" s="1"/>
  <c r="I10" i="50" l="1"/>
  <c r="H10" i="50"/>
  <c r="J10" i="50"/>
  <c r="I9" i="50"/>
  <c r="H9" i="50"/>
  <c r="J9" i="50"/>
  <c r="I7" i="50"/>
  <c r="J7" i="50"/>
  <c r="H7" i="50"/>
  <c r="I6" i="50"/>
  <c r="J6" i="50"/>
  <c r="H6" i="50"/>
  <c r="I8" i="50"/>
  <c r="J8" i="50"/>
  <c r="H8" i="50"/>
  <c r="G5" i="50"/>
  <c r="I5" i="50" s="1"/>
  <c r="K5" i="137"/>
  <c r="K4" i="137" l="1"/>
  <c r="M2" i="137" s="1"/>
  <c r="M22" i="4"/>
  <c r="M29" i="1"/>
  <c r="L2" i="137" l="1"/>
  <c r="AX6" i="5"/>
  <c r="AX7" i="5"/>
  <c r="AX8" i="5"/>
  <c r="AX9" i="5"/>
  <c r="AX10" i="5"/>
  <c r="AX11" i="5"/>
  <c r="AX12" i="5"/>
  <c r="AX13" i="5"/>
  <c r="AX14" i="5"/>
  <c r="AX15" i="5"/>
  <c r="AX16" i="5"/>
  <c r="AX17" i="5"/>
  <c r="AX18" i="5"/>
  <c r="AX19" i="5"/>
  <c r="AX20" i="5"/>
  <c r="AX21" i="5"/>
  <c r="AX22" i="5"/>
  <c r="AX23" i="5"/>
  <c r="AX24" i="5"/>
  <c r="AX5" i="5"/>
  <c r="AX4" i="5" l="1"/>
  <c r="G29" i="1" l="1"/>
  <c r="AX29" i="1" l="1"/>
  <c r="H29" i="1"/>
  <c r="M28" i="1"/>
  <c r="AX28" i="1"/>
  <c r="H28" i="1" l="1"/>
  <c r="D4" i="5" l="1"/>
  <c r="AX21" i="4" l="1"/>
  <c r="AX20" i="4" l="1"/>
  <c r="H20" i="4"/>
  <c r="H21" i="4"/>
  <c r="M20" i="4"/>
  <c r="M21" i="4"/>
  <c r="Q4" i="5" l="1"/>
  <c r="R10" i="8" l="1"/>
  <c r="R11" i="8"/>
  <c r="R12" i="8"/>
  <c r="R13" i="8"/>
  <c r="R14" i="8"/>
  <c r="R15" i="8"/>
  <c r="R16" i="8"/>
  <c r="R18" i="8"/>
  <c r="R19" i="8"/>
  <c r="R20" i="8"/>
  <c r="R21" i="8"/>
  <c r="R22" i="8"/>
  <c r="R23" i="8"/>
  <c r="R24" i="8"/>
  <c r="R25" i="8"/>
  <c r="R26" i="8"/>
  <c r="R27" i="8"/>
  <c r="R28" i="8"/>
  <c r="R29" i="8"/>
  <c r="R30" i="8"/>
  <c r="R31" i="8"/>
  <c r="R1" i="8" l="1"/>
  <c r="AX19" i="4"/>
  <c r="H19" i="4"/>
  <c r="G18" i="4"/>
  <c r="D18" i="4" s="1"/>
  <c r="M19" i="4"/>
  <c r="D1" i="95" l="1"/>
  <c r="AX6" i="4"/>
  <c r="AX7" i="4"/>
  <c r="AX9" i="4"/>
  <c r="AX10" i="4"/>
  <c r="AX13" i="4"/>
  <c r="AX14" i="4"/>
  <c r="AX15" i="4"/>
  <c r="AX16" i="4"/>
  <c r="AX17" i="4"/>
  <c r="AX18" i="4" l="1"/>
  <c r="G12" i="4"/>
  <c r="AX11" i="4"/>
  <c r="AX12" i="4" l="1"/>
  <c r="D12" i="4"/>
  <c r="M26" i="1"/>
  <c r="M27" i="1"/>
  <c r="G26" i="1"/>
  <c r="G27" i="1"/>
  <c r="M25" i="1"/>
  <c r="G25" i="1"/>
  <c r="H25" i="1" s="1"/>
  <c r="M24" i="1"/>
  <c r="G6" i="1"/>
  <c r="G7" i="1"/>
  <c r="G8" i="1"/>
  <c r="G9" i="1"/>
  <c r="G10" i="1"/>
  <c r="G11" i="1"/>
  <c r="G12" i="1"/>
  <c r="G13" i="1"/>
  <c r="G14" i="1"/>
  <c r="G15" i="1"/>
  <c r="G16" i="1"/>
  <c r="G17" i="1"/>
  <c r="G19" i="1"/>
  <c r="G20" i="1"/>
  <c r="G21" i="1"/>
  <c r="G22" i="1"/>
  <c r="G23" i="1"/>
  <c r="AX23" i="1" s="1"/>
  <c r="G24" i="1"/>
  <c r="G5" i="1"/>
  <c r="M23" i="1"/>
  <c r="H2" i="95"/>
  <c r="H23" i="1" l="1"/>
  <c r="H27" i="1"/>
  <c r="AX27" i="1"/>
  <c r="H24" i="1"/>
  <c r="AX24" i="1"/>
  <c r="AX25" i="1"/>
  <c r="H26" i="1"/>
  <c r="AX26" i="1"/>
  <c r="L24" i="5" l="1"/>
  <c r="L23" i="5"/>
  <c r="G23" i="5"/>
  <c r="G24" i="5" l="1"/>
  <c r="L19" i="5" l="1"/>
  <c r="L18" i="5"/>
  <c r="L17" i="5"/>
  <c r="L16" i="5"/>
  <c r="L15" i="5"/>
  <c r="L14" i="5"/>
  <c r="L13" i="5"/>
  <c r="L12" i="5"/>
  <c r="L11" i="5"/>
  <c r="L10" i="5"/>
  <c r="L9" i="5"/>
  <c r="L8" i="5"/>
  <c r="L7" i="5"/>
  <c r="L6" i="5"/>
  <c r="F2" i="4"/>
  <c r="M18" i="4"/>
  <c r="H18" i="4"/>
  <c r="M21" i="1"/>
  <c r="M22" i="1"/>
  <c r="AX6" i="1" l="1"/>
  <c r="AX7" i="1"/>
  <c r="AX8" i="1"/>
  <c r="AX9" i="1"/>
  <c r="AX10" i="1"/>
  <c r="AX11" i="1"/>
  <c r="AX12" i="1"/>
  <c r="AX13" i="1"/>
  <c r="AX14" i="1"/>
  <c r="AX15" i="1"/>
  <c r="AX16" i="1"/>
  <c r="AX17" i="1"/>
  <c r="AX18" i="1"/>
  <c r="AX19" i="1"/>
  <c r="AX20" i="1"/>
  <c r="AX21" i="1"/>
  <c r="AX22" i="1"/>
  <c r="AX5" i="1"/>
  <c r="AX4" i="1" s="1"/>
  <c r="P4" i="4" l="1"/>
  <c r="P4" i="5"/>
  <c r="E4" i="5"/>
  <c r="H5" i="1" l="1"/>
  <c r="H22" i="1"/>
  <c r="H21" i="1"/>
  <c r="H20" i="1" l="1"/>
  <c r="M20" i="1"/>
  <c r="M6" i="1" l="1"/>
  <c r="M7" i="1"/>
  <c r="M8" i="1"/>
  <c r="M9" i="1"/>
  <c r="M10" i="1"/>
  <c r="M11" i="1"/>
  <c r="M12" i="1"/>
  <c r="M13" i="1"/>
  <c r="M14" i="1"/>
  <c r="M15" i="1"/>
  <c r="M16" i="1"/>
  <c r="M17" i="1"/>
  <c r="M19" i="1"/>
  <c r="M5" i="1"/>
  <c r="H6" i="1"/>
  <c r="H7" i="1"/>
  <c r="H8" i="1"/>
  <c r="H9" i="1"/>
  <c r="H10" i="1"/>
  <c r="H11" i="1"/>
  <c r="H12" i="1"/>
  <c r="H13" i="1"/>
  <c r="H14" i="1"/>
  <c r="H15" i="1"/>
  <c r="H16" i="1"/>
  <c r="H17" i="1"/>
  <c r="H19" i="1"/>
  <c r="H4" i="1" l="1"/>
  <c r="I30" i="1" s="1"/>
  <c r="J30" i="1" s="1"/>
  <c r="M4" i="1"/>
  <c r="G9" i="5"/>
  <c r="G6" i="5"/>
  <c r="G20" i="5"/>
  <c r="L20" i="5"/>
  <c r="G21" i="5"/>
  <c r="L21" i="5"/>
  <c r="G22" i="5"/>
  <c r="L22" i="5"/>
  <c r="G19" i="5"/>
  <c r="G18" i="5"/>
  <c r="G17" i="5"/>
  <c r="G16" i="5"/>
  <c r="G15" i="5"/>
  <c r="G14" i="5"/>
  <c r="G13" i="5"/>
  <c r="G12" i="5"/>
  <c r="G11" i="5"/>
  <c r="G10" i="5"/>
  <c r="G8" i="5"/>
  <c r="G7" i="5"/>
  <c r="L5" i="5"/>
  <c r="G5" i="5"/>
  <c r="J2" i="5"/>
  <c r="M17" i="4"/>
  <c r="H17" i="4"/>
  <c r="M16" i="4"/>
  <c r="H16" i="4"/>
  <c r="M15" i="4"/>
  <c r="H15" i="4"/>
  <c r="M14" i="4"/>
  <c r="H14" i="4"/>
  <c r="M13" i="4"/>
  <c r="H13" i="4"/>
  <c r="M12" i="4"/>
  <c r="M11" i="4"/>
  <c r="H11" i="4"/>
  <c r="M10" i="4"/>
  <c r="H10" i="4"/>
  <c r="M9" i="4"/>
  <c r="M8" i="4"/>
  <c r="M7" i="4"/>
  <c r="H7" i="4"/>
  <c r="M6" i="4"/>
  <c r="H6" i="4"/>
  <c r="M5" i="4"/>
  <c r="K30" i="1" l="1"/>
  <c r="M4" i="4"/>
  <c r="I18" i="1"/>
  <c r="J18" i="1" s="1"/>
  <c r="K18" i="1" s="1"/>
  <c r="I26" i="1"/>
  <c r="J26" i="1" s="1"/>
  <c r="I27" i="1"/>
  <c r="J27" i="1" s="1"/>
  <c r="I28" i="1"/>
  <c r="J28" i="1" s="1"/>
  <c r="I29" i="1"/>
  <c r="J29" i="1" s="1"/>
  <c r="I25" i="1"/>
  <c r="J25" i="1" s="1"/>
  <c r="I24" i="1"/>
  <c r="G56" i="50"/>
  <c r="I56" i="50" s="1"/>
  <c r="I23" i="1"/>
  <c r="J23" i="1" s="1"/>
  <c r="G55" i="50" s="1"/>
  <c r="I55" i="50" s="1"/>
  <c r="L4" i="5"/>
  <c r="G4" i="5"/>
  <c r="H24" i="5" s="1"/>
  <c r="I5" i="1"/>
  <c r="K28" i="1" l="1"/>
  <c r="G63" i="50"/>
  <c r="I63" i="50" s="1"/>
  <c r="K27" i="1"/>
  <c r="G60" i="50"/>
  <c r="I60" i="50" s="1"/>
  <c r="K25" i="1"/>
  <c r="G58" i="50"/>
  <c r="I58" i="50" s="1"/>
  <c r="K26" i="1"/>
  <c r="G59" i="50"/>
  <c r="I59" i="50" s="1"/>
  <c r="K29" i="1"/>
  <c r="G64" i="50"/>
  <c r="I64" i="50" s="1"/>
  <c r="J24" i="1"/>
  <c r="I24" i="5"/>
  <c r="G54" i="50" s="1"/>
  <c r="I54" i="50" s="1"/>
  <c r="K23" i="1"/>
  <c r="H16" i="5"/>
  <c r="H23" i="5"/>
  <c r="J5" i="1"/>
  <c r="G12" i="50" s="1"/>
  <c r="I12" i="50" s="1"/>
  <c r="I22" i="1"/>
  <c r="J22" i="1" s="1"/>
  <c r="G49" i="50" s="1"/>
  <c r="I49" i="50" s="1"/>
  <c r="I21" i="1"/>
  <c r="J21" i="1" s="1"/>
  <c r="G48" i="50" s="1"/>
  <c r="I48" i="50" s="1"/>
  <c r="I20" i="1"/>
  <c r="J20" i="1" s="1"/>
  <c r="K20" i="1" s="1"/>
  <c r="H9" i="5"/>
  <c r="H6" i="5"/>
  <c r="H20" i="5"/>
  <c r="H22" i="5"/>
  <c r="H21" i="5"/>
  <c r="H17" i="5"/>
  <c r="H13" i="5"/>
  <c r="H8" i="5"/>
  <c r="H14" i="5"/>
  <c r="H10" i="5"/>
  <c r="H18" i="5"/>
  <c r="H7" i="5"/>
  <c r="H5" i="5"/>
  <c r="H19" i="5"/>
  <c r="H15" i="5"/>
  <c r="H11" i="5"/>
  <c r="H12" i="5"/>
  <c r="I16" i="1"/>
  <c r="J16" i="1" s="1"/>
  <c r="I8" i="1"/>
  <c r="J8" i="1" s="1"/>
  <c r="G26" i="50" s="1"/>
  <c r="I26" i="50" s="1"/>
  <c r="I14" i="1"/>
  <c r="J14" i="1" s="1"/>
  <c r="I13" i="1"/>
  <c r="J13" i="1" s="1"/>
  <c r="G27" i="50" s="1"/>
  <c r="I27" i="50" s="1"/>
  <c r="I17" i="1"/>
  <c r="J17" i="1" s="1"/>
  <c r="I10" i="1"/>
  <c r="J10" i="1" s="1"/>
  <c r="G19" i="50" s="1"/>
  <c r="I19" i="50" s="1"/>
  <c r="G28" i="50"/>
  <c r="I28" i="50" s="1"/>
  <c r="I12" i="1"/>
  <c r="J12" i="1" s="1"/>
  <c r="G29" i="50" s="1"/>
  <c r="I29" i="50" s="1"/>
  <c r="I15" i="1"/>
  <c r="J15" i="1" s="1"/>
  <c r="I11" i="1"/>
  <c r="J11" i="1" s="1"/>
  <c r="I6" i="1"/>
  <c r="J6" i="1" s="1"/>
  <c r="G13" i="50" s="1"/>
  <c r="I13" i="50" s="1"/>
  <c r="I9" i="1"/>
  <c r="J9" i="1" s="1"/>
  <c r="G25" i="50" s="1"/>
  <c r="I25" i="50" s="1"/>
  <c r="I7" i="1"/>
  <c r="J7" i="1" s="1"/>
  <c r="G14" i="50" s="1"/>
  <c r="I14" i="50" s="1"/>
  <c r="I19" i="1"/>
  <c r="J19" i="1" s="1"/>
  <c r="K24" i="1" l="1"/>
  <c r="G57" i="50"/>
  <c r="I57" i="50" s="1"/>
  <c r="J24" i="5"/>
  <c r="I12" i="5"/>
  <c r="G35" i="50" s="1"/>
  <c r="I35" i="50" s="1"/>
  <c r="I11" i="5"/>
  <c r="G33" i="50" s="1"/>
  <c r="I33" i="50" s="1"/>
  <c r="I15" i="5"/>
  <c r="G38" i="50" s="1"/>
  <c r="I38" i="50" s="1"/>
  <c r="I19" i="5"/>
  <c r="G40" i="50" s="1"/>
  <c r="I40" i="50" s="1"/>
  <c r="I5" i="5"/>
  <c r="G46" i="50" s="1"/>
  <c r="I46" i="50" s="1"/>
  <c r="I7" i="5"/>
  <c r="I18" i="5"/>
  <c r="G39" i="50" s="1"/>
  <c r="I39" i="50" s="1"/>
  <c r="I10" i="5"/>
  <c r="G32" i="50" s="1"/>
  <c r="I32" i="50" s="1"/>
  <c r="I14" i="5"/>
  <c r="G37" i="50" s="1"/>
  <c r="I37" i="50" s="1"/>
  <c r="I8" i="5"/>
  <c r="G44" i="50" s="1"/>
  <c r="I44" i="50" s="1"/>
  <c r="I13" i="5"/>
  <c r="G36" i="50" s="1"/>
  <c r="I36" i="50" s="1"/>
  <c r="I17" i="5"/>
  <c r="G42" i="50" s="1"/>
  <c r="I42" i="50" s="1"/>
  <c r="I21" i="5"/>
  <c r="G47" i="50" s="1"/>
  <c r="I47" i="50" s="1"/>
  <c r="I22" i="5"/>
  <c r="G43" i="50" s="1"/>
  <c r="I43" i="50" s="1"/>
  <c r="I20" i="5"/>
  <c r="G41" i="50" s="1"/>
  <c r="I41" i="50" s="1"/>
  <c r="I6" i="5"/>
  <c r="G45" i="50" s="1"/>
  <c r="I45" i="50" s="1"/>
  <c r="I9" i="5"/>
  <c r="J9" i="5" s="1"/>
  <c r="I23" i="5"/>
  <c r="G53" i="50" s="1"/>
  <c r="I53" i="50" s="1"/>
  <c r="I16" i="5"/>
  <c r="G34" i="50" s="1"/>
  <c r="I34" i="50" s="1"/>
  <c r="K15" i="1"/>
  <c r="K22" i="1"/>
  <c r="K7" i="1"/>
  <c r="K17" i="1"/>
  <c r="K16" i="1"/>
  <c r="K6" i="1"/>
  <c r="K14" i="1"/>
  <c r="K19" i="1"/>
  <c r="K11" i="1"/>
  <c r="K10" i="1"/>
  <c r="K8" i="1"/>
  <c r="K21" i="1"/>
  <c r="K9" i="1"/>
  <c r="K12" i="1"/>
  <c r="K13" i="1"/>
  <c r="K5" i="1"/>
  <c r="K4" i="1" l="1"/>
  <c r="M2" i="1" s="1"/>
  <c r="J17" i="5"/>
  <c r="J20" i="5"/>
  <c r="J13" i="5"/>
  <c r="J18" i="5"/>
  <c r="J23" i="5"/>
  <c r="J22" i="5"/>
  <c r="J8" i="5"/>
  <c r="J7" i="5"/>
  <c r="J11" i="5"/>
  <c r="J21" i="5"/>
  <c r="J14" i="5"/>
  <c r="J5" i="5"/>
  <c r="J12" i="5"/>
  <c r="J6" i="5"/>
  <c r="J10" i="5"/>
  <c r="J19" i="5"/>
  <c r="J16" i="5"/>
  <c r="J15" i="5"/>
  <c r="J4" i="5" l="1"/>
  <c r="K2" i="5" s="1"/>
  <c r="L2" i="1"/>
  <c r="H12" i="4"/>
  <c r="L2" i="5" l="1"/>
  <c r="G5" i="150" l="1"/>
  <c r="AX4" i="150" s="1"/>
  <c r="H5" i="150" l="1"/>
  <c r="H4" i="150" l="1"/>
  <c r="I5" i="150" s="1"/>
  <c r="I7" i="150" l="1"/>
  <c r="J7" i="150" s="1"/>
  <c r="G69" i="50" s="1"/>
  <c r="I69" i="50" s="1"/>
  <c r="I9" i="150"/>
  <c r="J9" i="150" s="1"/>
  <c r="G71" i="50" s="1"/>
  <c r="I71" i="50" s="1"/>
  <c r="I10" i="150"/>
  <c r="J10" i="150" s="1"/>
  <c r="G72" i="50" s="1"/>
  <c r="I72" i="50" s="1"/>
  <c r="I8" i="150"/>
  <c r="J8" i="150" s="1"/>
  <c r="G70" i="50" s="1"/>
  <c r="I70" i="50" s="1"/>
  <c r="I12" i="150"/>
  <c r="J12" i="150" s="1"/>
  <c r="G74" i="50" s="1"/>
  <c r="I6" i="150"/>
  <c r="J6" i="150" s="1"/>
  <c r="G68" i="50" s="1"/>
  <c r="I68" i="50" s="1"/>
  <c r="I11" i="150"/>
  <c r="J11" i="150" s="1"/>
  <c r="G73" i="50" s="1"/>
  <c r="I73" i="50" s="1"/>
  <c r="K9" i="150" l="1"/>
  <c r="I74" i="50"/>
  <c r="K7" i="150"/>
  <c r="K10" i="150"/>
  <c r="K8" i="150"/>
  <c r="K6" i="150"/>
  <c r="K11" i="150"/>
  <c r="K12" i="150"/>
  <c r="P4" i="137" l="1"/>
  <c r="J5" i="150" l="1"/>
  <c r="G67" i="50" s="1"/>
  <c r="I67" i="50" l="1"/>
  <c r="K5" i="150"/>
  <c r="K4" i="150" s="1"/>
  <c r="L2" i="150" s="1"/>
  <c r="M2" i="150" l="1"/>
  <c r="Q4" i="1" l="1"/>
  <c r="AX8" i="4" l="1"/>
  <c r="H8" i="4"/>
  <c r="AX5" i="4"/>
  <c r="H5" i="4"/>
  <c r="G23" i="4"/>
  <c r="AX22" i="4"/>
  <c r="H22" i="4"/>
  <c r="H23" i="4" l="1"/>
  <c r="H4" i="4" s="1"/>
  <c r="AX23" i="4"/>
  <c r="AX4" i="4" s="1"/>
  <c r="I9" i="4" l="1"/>
  <c r="J9" i="4" s="1"/>
  <c r="I25" i="4"/>
  <c r="J25" i="4" s="1"/>
  <c r="I18" i="4"/>
  <c r="J18" i="4" s="1"/>
  <c r="I7" i="4"/>
  <c r="J7" i="4" s="1"/>
  <c r="I10" i="4"/>
  <c r="J10" i="4" s="1"/>
  <c r="I13" i="4"/>
  <c r="J13" i="4" s="1"/>
  <c r="I11" i="4"/>
  <c r="J11" i="4" s="1"/>
  <c r="I12" i="4"/>
  <c r="J12" i="4" s="1"/>
  <c r="I14" i="4"/>
  <c r="J14" i="4" s="1"/>
  <c r="I8" i="4"/>
  <c r="J8" i="4" s="1"/>
  <c r="I21" i="4"/>
  <c r="J21" i="4" s="1"/>
  <c r="I17" i="4"/>
  <c r="J17" i="4" s="1"/>
  <c r="I16" i="4"/>
  <c r="J16" i="4" s="1"/>
  <c r="I6" i="4"/>
  <c r="J6" i="4" s="1"/>
  <c r="I15" i="4"/>
  <c r="J15" i="4" s="1"/>
  <c r="I24" i="4"/>
  <c r="J24" i="4" s="1"/>
  <c r="I5" i="4"/>
  <c r="J5" i="4" s="1"/>
  <c r="I20" i="4"/>
  <c r="J20" i="4" s="1"/>
  <c r="I19" i="4"/>
  <c r="J19" i="4" s="1"/>
  <c r="I22" i="4"/>
  <c r="J22" i="4" s="1"/>
  <c r="I23" i="4"/>
  <c r="J23" i="4" s="1"/>
  <c r="K25" i="4" l="1"/>
  <c r="G76" i="50"/>
  <c r="K23" i="4"/>
  <c r="G66" i="50"/>
  <c r="G18" i="50"/>
  <c r="K5" i="4"/>
  <c r="K16" i="4"/>
  <c r="G22" i="50"/>
  <c r="K14" i="4"/>
  <c r="G23" i="50"/>
  <c r="K13" i="4"/>
  <c r="G21" i="50"/>
  <c r="G65" i="50"/>
  <c r="K22" i="4"/>
  <c r="G75" i="50"/>
  <c r="K24" i="4"/>
  <c r="K17" i="4"/>
  <c r="G20" i="50"/>
  <c r="K12" i="4"/>
  <c r="G17" i="50"/>
  <c r="K10" i="4"/>
  <c r="K15" i="4"/>
  <c r="G24" i="50"/>
  <c r="K21" i="4"/>
  <c r="G62" i="50"/>
  <c r="G16" i="50"/>
  <c r="K9" i="4"/>
  <c r="G15" i="50"/>
  <c r="K7" i="4"/>
  <c r="K19" i="4"/>
  <c r="G61" i="50"/>
  <c r="K20" i="4"/>
  <c r="G51" i="50"/>
  <c r="G11" i="50"/>
  <c r="K6" i="4"/>
  <c r="K8" i="4"/>
  <c r="G31" i="50"/>
  <c r="K11" i="4"/>
  <c r="G30" i="50"/>
  <c r="G52" i="50"/>
  <c r="K18" i="4"/>
  <c r="I76" i="50" l="1"/>
  <c r="J76" i="50"/>
  <c r="H76" i="50"/>
  <c r="K4" i="4"/>
  <c r="I11" i="50"/>
  <c r="I17" i="50"/>
  <c r="I75" i="50"/>
  <c r="I23" i="50"/>
  <c r="I22" i="50"/>
  <c r="I30" i="50"/>
  <c r="I61" i="50"/>
  <c r="I24" i="50"/>
  <c r="I20" i="50"/>
  <c r="I21" i="50"/>
  <c r="I66" i="50"/>
  <c r="I16" i="50"/>
  <c r="I51" i="50"/>
  <c r="I62" i="50"/>
  <c r="I31" i="50"/>
  <c r="I15" i="50"/>
  <c r="I52" i="50"/>
  <c r="I65" i="50"/>
  <c r="I18" i="50"/>
  <c r="H3" i="95" l="1"/>
  <c r="I1" i="95" s="1"/>
  <c r="I3" i="95" s="1"/>
  <c r="B1" i="50"/>
  <c r="O11" i="1" l="1"/>
  <c r="A11" i="1" s="1"/>
  <c r="N19" i="1"/>
  <c r="O17" i="1"/>
  <c r="A17" i="1" s="1"/>
  <c r="N12" i="4"/>
  <c r="N14" i="1"/>
  <c r="O16" i="1"/>
  <c r="A16" i="1" s="1"/>
  <c r="O15" i="1"/>
  <c r="A15" i="1" s="1"/>
  <c r="N20" i="1"/>
  <c r="N9" i="5"/>
  <c r="A9" i="5" s="1"/>
  <c r="N7" i="5"/>
  <c r="A7" i="5" s="1"/>
  <c r="N8" i="137" l="1"/>
  <c r="O8" i="137"/>
  <c r="A8" i="137" s="1"/>
  <c r="N9" i="137"/>
  <c r="N10" i="137"/>
  <c r="N7" i="137"/>
  <c r="O10" i="137"/>
  <c r="A10" i="137" s="1"/>
  <c r="N6" i="137"/>
  <c r="O6" i="137"/>
  <c r="A6" i="137" s="1"/>
  <c r="O7" i="137"/>
  <c r="A7" i="137" s="1"/>
  <c r="O9" i="137"/>
  <c r="A9" i="137" s="1"/>
  <c r="O25" i="4"/>
  <c r="A25" i="4" s="1"/>
  <c r="N16" i="1"/>
  <c r="M7" i="5"/>
  <c r="O14" i="1"/>
  <c r="A14" i="1" s="1"/>
  <c r="O19" i="1"/>
  <c r="A19" i="1" s="1"/>
  <c r="N17" i="1"/>
  <c r="O12" i="4"/>
  <c r="A12" i="4" s="1"/>
  <c r="M9" i="5"/>
  <c r="N15" i="1"/>
  <c r="N11" i="1"/>
  <c r="O20" i="1"/>
  <c r="A20" i="1" s="1"/>
  <c r="N25" i="4"/>
  <c r="J2" i="120" l="1"/>
  <c r="AN4" i="5" l="1"/>
  <c r="AM4" i="5"/>
  <c r="AL4" i="5"/>
  <c r="AS4" i="5"/>
  <c r="AK4" i="5"/>
  <c r="AJ4" i="5"/>
  <c r="AU4" i="5"/>
  <c r="AT4" i="5"/>
  <c r="AO4" i="5"/>
  <c r="AR4" i="5"/>
  <c r="AQ4" i="5"/>
  <c r="AP4" i="5"/>
  <c r="AV4" i="5"/>
  <c r="S4" i="5" l="1"/>
  <c r="R4" i="5" l="1"/>
  <c r="T4" i="5" l="1"/>
  <c r="U4" i="5" l="1"/>
  <c r="V4" i="5" l="1"/>
  <c r="W4" i="5" l="1"/>
  <c r="X4" i="5" l="1"/>
  <c r="Y4" i="5" l="1"/>
  <c r="Z4" i="5" l="1"/>
  <c r="AB4" i="5" l="1"/>
  <c r="AA4" i="5"/>
  <c r="AC4" i="5" l="1"/>
  <c r="AD4" i="5" l="1"/>
  <c r="AE4" i="5" l="1"/>
  <c r="AF4" i="5" l="1"/>
  <c r="AG4" i="5" l="1"/>
  <c r="AH4" i="5" l="1"/>
  <c r="N17" i="5" l="1"/>
  <c r="A17" i="5" s="1"/>
  <c r="M17" i="5"/>
  <c r="AI4" i="5"/>
  <c r="M5" i="5"/>
  <c r="N5" i="5"/>
  <c r="N21" i="5"/>
  <c r="A21" i="5" s="1"/>
  <c r="M21" i="5"/>
  <c r="M16" i="5"/>
  <c r="N16" i="5"/>
  <c r="A16" i="5" s="1"/>
  <c r="N22" i="5"/>
  <c r="A22" i="5" s="1"/>
  <c r="M22" i="5"/>
  <c r="N18" i="5"/>
  <c r="A18" i="5" s="1"/>
  <c r="M18" i="5"/>
  <c r="N20" i="5"/>
  <c r="A20" i="5" s="1"/>
  <c r="M20" i="5"/>
  <c r="M19" i="5"/>
  <c r="N19" i="5"/>
  <c r="A19" i="5" s="1"/>
  <c r="M10" i="5"/>
  <c r="N10" i="5"/>
  <c r="A10" i="5" s="1"/>
  <c r="N11" i="5"/>
  <c r="A11" i="5" s="1"/>
  <c r="M11" i="5"/>
  <c r="N13" i="5"/>
  <c r="A13" i="5" s="1"/>
  <c r="M13" i="5"/>
  <c r="M15" i="5"/>
  <c r="N15" i="5"/>
  <c r="A15" i="5" s="1"/>
  <c r="M23" i="5"/>
  <c r="N23" i="5"/>
  <c r="A23" i="5" s="1"/>
  <c r="M12" i="5"/>
  <c r="N12" i="5"/>
  <c r="A12" i="5" s="1"/>
  <c r="N8" i="5"/>
  <c r="A8" i="5" s="1"/>
  <c r="M8" i="5"/>
  <c r="M24" i="5"/>
  <c r="N24" i="5"/>
  <c r="A24" i="5" s="1"/>
  <c r="M14" i="5"/>
  <c r="N14" i="5"/>
  <c r="A14" i="5" s="1"/>
  <c r="M6" i="5"/>
  <c r="N6" i="5"/>
  <c r="A6" i="5" s="1"/>
  <c r="A5" i="5" l="1"/>
  <c r="A4" i="5" s="1"/>
  <c r="N4" i="5"/>
  <c r="M4" i="5"/>
  <c r="O23" i="1" l="1"/>
  <c r="A23" i="1" s="1"/>
  <c r="N23" i="1"/>
  <c r="AV4" i="150" l="1"/>
  <c r="AV4" i="4"/>
  <c r="AV4" i="1"/>
  <c r="R4" i="150" l="1"/>
  <c r="AT4" i="150"/>
  <c r="R4" i="4"/>
  <c r="AT4" i="4"/>
  <c r="AT4" i="1"/>
  <c r="R4" i="1"/>
  <c r="R4" i="137"/>
  <c r="AU4" i="4"/>
  <c r="AU4" i="150"/>
  <c r="AU4" i="1"/>
  <c r="T4" i="137" l="1"/>
  <c r="S4" i="4"/>
  <c r="S4" i="137"/>
  <c r="S4" i="150"/>
  <c r="T4" i="150" l="1"/>
  <c r="T4" i="4"/>
  <c r="T4" i="1"/>
  <c r="S4" i="1"/>
  <c r="U4" i="4" l="1"/>
  <c r="U4" i="1"/>
  <c r="U4" i="150"/>
  <c r="U4" i="137"/>
  <c r="V4" i="137" l="1"/>
  <c r="V4" i="1"/>
  <c r="V4" i="150"/>
  <c r="V4" i="4"/>
  <c r="W4" i="1" l="1"/>
  <c r="W4" i="137"/>
  <c r="W4" i="4"/>
  <c r="W4" i="150"/>
  <c r="X4" i="137" l="1"/>
  <c r="X4" i="4"/>
  <c r="X4" i="1"/>
  <c r="X4" i="150"/>
  <c r="Z4" i="1" l="1"/>
  <c r="Z4" i="137"/>
  <c r="Z4" i="150"/>
  <c r="Z4" i="4"/>
  <c r="Y4" i="4" l="1"/>
  <c r="Y4" i="1"/>
  <c r="Y4" i="150"/>
  <c r="Y4" i="137"/>
  <c r="AA4" i="1" l="1"/>
  <c r="AA4" i="137"/>
  <c r="AA4" i="4"/>
  <c r="AA4" i="150" l="1"/>
  <c r="AB4" i="150" l="1"/>
  <c r="AB4" i="137"/>
  <c r="AB4" i="1"/>
  <c r="AB4" i="4"/>
  <c r="AC4" i="137" l="1"/>
  <c r="AC4" i="150"/>
  <c r="AC4" i="1"/>
  <c r="AC4" i="4"/>
  <c r="AD4" i="137" l="1"/>
  <c r="AD4" i="4"/>
  <c r="AD4" i="1"/>
  <c r="AD4" i="150"/>
  <c r="AE4" i="1" l="1"/>
  <c r="AE4" i="150"/>
  <c r="AE4" i="137"/>
  <c r="AE4" i="4"/>
  <c r="AF4" i="4" l="1"/>
  <c r="AF4" i="150"/>
  <c r="AF4" i="137"/>
  <c r="AF4" i="1"/>
  <c r="AG4" i="150" l="1"/>
  <c r="AG4" i="1"/>
  <c r="AG4" i="4"/>
  <c r="AG4" i="137"/>
  <c r="AH4" i="150" l="1"/>
  <c r="AH4" i="137"/>
  <c r="AH4" i="4"/>
  <c r="AH4" i="1"/>
  <c r="AI4" i="150" l="1"/>
  <c r="AI4" i="4"/>
  <c r="AI4" i="137"/>
  <c r="AI4" i="1"/>
  <c r="AJ4" i="4" l="1"/>
  <c r="AJ4" i="1"/>
  <c r="AJ4" i="150"/>
  <c r="AJ4" i="137"/>
  <c r="AK4" i="4" l="1"/>
  <c r="AK4" i="150"/>
  <c r="AK4" i="137"/>
  <c r="AK4" i="1"/>
  <c r="AL4" i="1" l="1"/>
  <c r="AL4" i="137"/>
  <c r="AL4" i="150"/>
  <c r="AL4" i="4"/>
  <c r="AM4" i="1" l="1"/>
  <c r="AM4" i="150"/>
  <c r="AM4" i="4"/>
  <c r="AM4" i="137"/>
  <c r="AN4" i="150" l="1"/>
  <c r="AN4" i="4"/>
  <c r="AN4" i="137"/>
  <c r="AN4" i="1"/>
  <c r="F11" i="50" l="1"/>
  <c r="AS6" i="4" l="1"/>
  <c r="AU4" i="137"/>
  <c r="H11" i="50"/>
  <c r="J11" i="50"/>
  <c r="AT4" i="137" l="1"/>
  <c r="AV4" i="137"/>
  <c r="AO4" i="1"/>
  <c r="N5" i="1"/>
  <c r="O5" i="1"/>
  <c r="AO4" i="4"/>
  <c r="AO4" i="150"/>
  <c r="AO4" i="137"/>
  <c r="O6" i="1"/>
  <c r="A6" i="1" s="1"/>
  <c r="N6" i="1"/>
  <c r="N6" i="4"/>
  <c r="O6" i="4"/>
  <c r="A6" i="4" s="1"/>
  <c r="A5" i="1" l="1"/>
  <c r="AQ4" i="150" l="1"/>
  <c r="AQ4" i="137"/>
  <c r="AQ4" i="4"/>
  <c r="AP4" i="1"/>
  <c r="AP4" i="137"/>
  <c r="AP4" i="150"/>
  <c r="AP4" i="4"/>
  <c r="AN56" i="50"/>
  <c r="W20" i="50"/>
  <c r="M50" i="50"/>
  <c r="Q63" i="50"/>
  <c r="AZ55" i="50"/>
  <c r="AA20" i="50"/>
  <c r="W68" i="50"/>
  <c r="AL35" i="50"/>
  <c r="O29" i="50"/>
  <c r="N75" i="50"/>
  <c r="V39" i="50"/>
  <c r="AC31" i="50"/>
  <c r="AC34" i="50"/>
  <c r="AX31" i="50"/>
  <c r="BB37" i="50"/>
  <c r="BB57" i="50"/>
  <c r="AJ53" i="50"/>
  <c r="BB50" i="50"/>
  <c r="BA32" i="50"/>
  <c r="AL55" i="50"/>
  <c r="AH54" i="50"/>
  <c r="AD31" i="50"/>
  <c r="AP35" i="50"/>
  <c r="X40" i="50"/>
  <c r="AP14" i="50"/>
  <c r="L39" i="50"/>
  <c r="BC63" i="50"/>
  <c r="S17" i="50"/>
  <c r="AZ66" i="50"/>
  <c r="Q26" i="50"/>
  <c r="AR24" i="50"/>
  <c r="AL62" i="50"/>
  <c r="V15" i="50"/>
  <c r="AU50" i="50"/>
  <c r="Q23" i="50"/>
  <c r="AD62" i="50"/>
  <c r="T34" i="50"/>
  <c r="AL36" i="50"/>
  <c r="BB18" i="50"/>
  <c r="AG32" i="50"/>
  <c r="AM60" i="50"/>
  <c r="U44" i="50"/>
  <c r="AW33" i="50"/>
  <c r="AX55" i="50"/>
  <c r="AJ52" i="50"/>
  <c r="AT17" i="50"/>
  <c r="AD74" i="50"/>
  <c r="S26" i="50"/>
  <c r="AY74" i="50"/>
  <c r="AM21" i="50"/>
  <c r="AM66" i="50"/>
  <c r="BA73" i="50"/>
  <c r="AE55" i="50"/>
  <c r="AR44" i="50"/>
  <c r="AM72" i="50"/>
  <c r="AR32" i="50"/>
  <c r="AS67" i="50"/>
  <c r="AQ31" i="50"/>
  <c r="AX39" i="50"/>
  <c r="R47" i="50"/>
  <c r="AK53" i="50"/>
  <c r="P19" i="50"/>
  <c r="AN19" i="50"/>
  <c r="V17" i="50"/>
  <c r="N22" i="50"/>
  <c r="P74" i="50"/>
  <c r="Y62" i="50"/>
  <c r="AZ70" i="50"/>
  <c r="Q22" i="50"/>
  <c r="S20" i="50"/>
  <c r="O5" i="50"/>
  <c r="AA38" i="50"/>
  <c r="AL16" i="50"/>
  <c r="AM15" i="50"/>
  <c r="AQ26" i="50"/>
  <c r="P58" i="50"/>
  <c r="BA35" i="50"/>
  <c r="AQ52" i="50"/>
  <c r="AZ27" i="50"/>
  <c r="Q14" i="50"/>
  <c r="Z64" i="50"/>
  <c r="P30" i="50"/>
  <c r="BB72" i="50"/>
  <c r="V21" i="50"/>
  <c r="W67" i="50"/>
  <c r="AR40" i="50"/>
  <c r="Q52" i="50"/>
  <c r="AL12" i="50"/>
  <c r="AW74" i="50"/>
  <c r="AK23" i="50"/>
  <c r="AP53" i="50"/>
  <c r="AI72" i="50"/>
  <c r="Z15" i="50"/>
  <c r="O35" i="50"/>
  <c r="AO22" i="50"/>
  <c r="AK67" i="50"/>
  <c r="AL24" i="50"/>
  <c r="AU45" i="50"/>
  <c r="L55" i="50"/>
  <c r="AQ46" i="50"/>
  <c r="AL63" i="50"/>
  <c r="AG64" i="50"/>
  <c r="AH45" i="50"/>
  <c r="AG66" i="50"/>
  <c r="Q27" i="50"/>
  <c r="AL67" i="50"/>
  <c r="AM20" i="50"/>
  <c r="AT45" i="50"/>
  <c r="L21" i="50"/>
  <c r="S46" i="50"/>
  <c r="AM30" i="50"/>
  <c r="AX64" i="50"/>
  <c r="AO34" i="50"/>
  <c r="Q67" i="50"/>
  <c r="Z57" i="50"/>
  <c r="Q25" i="50"/>
  <c r="AZ17" i="50"/>
  <c r="AL73" i="50"/>
  <c r="AX45" i="50"/>
  <c r="AG37" i="50"/>
  <c r="AG22" i="50"/>
  <c r="AZ25" i="50"/>
  <c r="T48" i="50"/>
  <c r="X37" i="50"/>
  <c r="AJ19" i="50"/>
  <c r="Y4" i="50"/>
  <c r="P65" i="50"/>
  <c r="U45" i="50"/>
  <c r="BA29" i="50"/>
  <c r="AQ14" i="50"/>
  <c r="AI5" i="50"/>
  <c r="AT37" i="50"/>
  <c r="AB41" i="50"/>
  <c r="AB51" i="50"/>
  <c r="S59" i="50"/>
  <c r="AK28" i="50"/>
  <c r="W42" i="50"/>
  <c r="AR15" i="50"/>
  <c r="AF63" i="50"/>
  <c r="AB39" i="50"/>
  <c r="AK26" i="50"/>
  <c r="AP67" i="50"/>
  <c r="AS45" i="50"/>
  <c r="AM65" i="50"/>
  <c r="P47" i="50"/>
  <c r="AO15" i="50"/>
  <c r="AD56" i="50"/>
  <c r="AL14" i="50"/>
  <c r="BC16" i="50"/>
  <c r="O47" i="50"/>
  <c r="BB65" i="50"/>
  <c r="U59" i="50"/>
  <c r="AY25" i="50"/>
  <c r="AS16" i="50"/>
  <c r="AH52" i="50"/>
  <c r="L24" i="50"/>
  <c r="Z39" i="50"/>
  <c r="BA37" i="50"/>
  <c r="L69" i="50"/>
  <c r="AG38" i="50"/>
  <c r="AW44" i="50"/>
  <c r="AA51" i="50"/>
  <c r="AM22" i="50"/>
  <c r="AD4" i="50"/>
  <c r="X5" i="50"/>
  <c r="V71" i="50"/>
  <c r="AF59" i="50"/>
  <c r="AI73" i="50"/>
  <c r="AS63" i="50"/>
  <c r="T39" i="50"/>
  <c r="Q13" i="50"/>
  <c r="AD57" i="50"/>
  <c r="R65" i="50"/>
  <c r="AS47" i="50"/>
  <c r="U56" i="50"/>
  <c r="AV60" i="50"/>
  <c r="AX14" i="50"/>
  <c r="Z53" i="50"/>
  <c r="AI56" i="50"/>
  <c r="O64" i="50"/>
  <c r="AN39" i="50"/>
  <c r="AF72" i="50"/>
  <c r="BC44" i="50"/>
  <c r="AJ40" i="50"/>
  <c r="AA15" i="50"/>
  <c r="Z54" i="50"/>
  <c r="BA4" i="50"/>
  <c r="BB44" i="50"/>
  <c r="AX30" i="50"/>
  <c r="AQ38" i="50"/>
  <c r="W35" i="50"/>
  <c r="V41" i="50"/>
  <c r="AK66" i="50"/>
  <c r="O67" i="50"/>
  <c r="AZ74" i="50"/>
  <c r="BA61" i="50"/>
  <c r="BB71" i="50"/>
  <c r="AT31" i="50"/>
  <c r="AV48" i="50"/>
  <c r="Z46" i="50"/>
  <c r="AP56" i="50"/>
  <c r="V32" i="50"/>
  <c r="Z27" i="50"/>
  <c r="V68" i="50"/>
  <c r="O38" i="50"/>
  <c r="P64" i="50"/>
  <c r="AH58" i="50"/>
  <c r="AB30" i="50"/>
  <c r="X60" i="50"/>
  <c r="U24" i="50"/>
  <c r="P27" i="50"/>
  <c r="Z60" i="50"/>
  <c r="T49" i="50"/>
  <c r="AV34" i="50"/>
  <c r="AV17" i="50"/>
  <c r="AG48" i="50"/>
  <c r="P61" i="50"/>
  <c r="L41" i="50"/>
  <c r="AV50" i="50"/>
  <c r="AA21" i="50"/>
  <c r="S29" i="50"/>
  <c r="AG41" i="50"/>
  <c r="BA48" i="50"/>
  <c r="AY42" i="50"/>
  <c r="BB43" i="50"/>
  <c r="AV47" i="50"/>
  <c r="AH16" i="50"/>
  <c r="AE14" i="50"/>
  <c r="O69" i="50"/>
  <c r="AS22" i="50"/>
  <c r="AP69" i="50"/>
  <c r="AZ63" i="50"/>
  <c r="AV67" i="50"/>
  <c r="BB75" i="50"/>
  <c r="AQ21" i="50"/>
  <c r="T45" i="50"/>
  <c r="AX32" i="50"/>
  <c r="AQ70" i="50"/>
  <c r="AE48" i="50"/>
  <c r="AH43" i="50"/>
  <c r="BB62" i="50"/>
  <c r="AK55" i="50"/>
  <c r="AO75" i="50"/>
  <c r="AR59" i="50"/>
  <c r="AH66" i="50"/>
  <c r="AW62" i="50"/>
  <c r="AZ42" i="50"/>
  <c r="AJ36" i="50"/>
  <c r="BA59" i="50"/>
  <c r="U66" i="50"/>
  <c r="AW50" i="50"/>
  <c r="M34" i="50"/>
  <c r="BB30" i="50"/>
  <c r="S55" i="50"/>
  <c r="AV5" i="50"/>
  <c r="X63" i="50"/>
  <c r="AK58" i="50"/>
  <c r="O65" i="50"/>
  <c r="AD39" i="50"/>
  <c r="T32" i="50"/>
  <c r="AC73" i="50"/>
  <c r="AH19" i="50"/>
  <c r="AR64" i="50"/>
  <c r="O34" i="50"/>
  <c r="AB49" i="50"/>
  <c r="AX53" i="50"/>
  <c r="Z20" i="50"/>
  <c r="Y55" i="50"/>
  <c r="AV16" i="50"/>
  <c r="S50" i="50"/>
  <c r="BB54" i="50"/>
  <c r="P55" i="50"/>
  <c r="X14" i="50"/>
  <c r="BA69" i="50"/>
  <c r="Q40" i="50"/>
  <c r="L43" i="50"/>
  <c r="AK38" i="50"/>
  <c r="AY43" i="50"/>
  <c r="O18" i="50"/>
  <c r="AS17" i="50"/>
  <c r="W37" i="50"/>
  <c r="AG72" i="50"/>
  <c r="AZ14" i="50"/>
  <c r="AU16" i="50"/>
  <c r="AV42" i="50"/>
  <c r="AX71" i="50"/>
  <c r="AM38" i="50"/>
  <c r="AA56" i="50"/>
  <c r="AL20" i="50"/>
  <c r="L32" i="50"/>
  <c r="X75" i="50"/>
  <c r="R49" i="50"/>
  <c r="AT75" i="50"/>
  <c r="AP12" i="50"/>
  <c r="AA75" i="50"/>
  <c r="BB17" i="50"/>
  <c r="T72" i="50"/>
  <c r="AY24" i="50"/>
  <c r="P51" i="50"/>
  <c r="AZ35" i="50"/>
  <c r="AU51" i="50"/>
  <c r="AX34" i="50"/>
  <c r="AP47" i="50"/>
  <c r="AP32" i="50"/>
  <c r="AM28" i="50"/>
  <c r="AT32" i="50"/>
  <c r="AL5" i="50"/>
  <c r="AR51" i="50"/>
  <c r="AH69" i="50"/>
  <c r="L64" i="50"/>
  <c r="AH49" i="50"/>
  <c r="AM36" i="50"/>
  <c r="AE41" i="50"/>
  <c r="AV15" i="50"/>
  <c r="AU64" i="50"/>
  <c r="AG63" i="50"/>
  <c r="AL58" i="50"/>
  <c r="AA74" i="50"/>
  <c r="V64" i="50"/>
  <c r="AC67" i="50"/>
  <c r="AF15" i="50"/>
  <c r="AQ63" i="50"/>
  <c r="R24" i="50"/>
  <c r="AD25" i="50"/>
  <c r="AU23" i="50"/>
  <c r="P73" i="50"/>
  <c r="M47" i="50"/>
  <c r="AJ66" i="50"/>
  <c r="AK70" i="50"/>
  <c r="P25" i="50"/>
  <c r="AI39" i="50"/>
  <c r="AT44" i="50"/>
  <c r="U18" i="50"/>
  <c r="Q42" i="50"/>
  <c r="AL13" i="50"/>
  <c r="AN22" i="50"/>
  <c r="P23" i="50"/>
  <c r="AR21" i="50"/>
  <c r="N73" i="50"/>
  <c r="AB75" i="50"/>
  <c r="AV28" i="50"/>
  <c r="T59" i="50"/>
  <c r="AB35" i="50"/>
  <c r="R17" i="50"/>
  <c r="AD69" i="50"/>
  <c r="AC35" i="50"/>
  <c r="M73" i="50"/>
  <c r="V30" i="50"/>
  <c r="L68" i="50"/>
  <c r="AJ56" i="50"/>
  <c r="AF55" i="50"/>
  <c r="AN5" i="50"/>
  <c r="AI68" i="50"/>
  <c r="P34" i="50"/>
  <c r="AB38" i="50"/>
  <c r="AS26" i="50"/>
  <c r="BC58" i="50"/>
  <c r="AR4" i="50"/>
  <c r="AO67" i="50"/>
  <c r="AI48" i="50"/>
  <c r="Y14" i="50"/>
  <c r="V44" i="50"/>
  <c r="L70" i="50"/>
  <c r="AN23" i="50"/>
  <c r="T27" i="50"/>
  <c r="N36" i="50"/>
  <c r="AY37" i="50"/>
  <c r="AQ22" i="50"/>
  <c r="AU42" i="50"/>
  <c r="Q38" i="50"/>
  <c r="W14" i="50"/>
  <c r="AD52" i="50"/>
  <c r="T40" i="50"/>
  <c r="R60" i="50"/>
  <c r="AF42" i="50"/>
  <c r="S32" i="50"/>
  <c r="O22" i="50"/>
  <c r="AZ45" i="50"/>
  <c r="S25" i="50"/>
  <c r="AG33" i="50"/>
  <c r="AI26" i="50"/>
  <c r="AD26" i="50"/>
  <c r="AY75" i="50"/>
  <c r="AV38" i="50"/>
  <c r="AH28" i="50"/>
  <c r="U41" i="50"/>
  <c r="AT21" i="50"/>
  <c r="V55" i="50"/>
  <c r="AC43" i="50"/>
  <c r="U27" i="50"/>
  <c r="AU14" i="50"/>
  <c r="AI51" i="50"/>
  <c r="R13" i="50"/>
  <c r="AL26" i="50"/>
  <c r="M67" i="50"/>
  <c r="AA39" i="50"/>
  <c r="N63" i="50"/>
  <c r="S56" i="50"/>
  <c r="AK15" i="50"/>
  <c r="T50" i="50"/>
  <c r="V56" i="50"/>
  <c r="BB13" i="50"/>
  <c r="AS52" i="50"/>
  <c r="AT38" i="50"/>
  <c r="AX21" i="50"/>
  <c r="AF51" i="50"/>
  <c r="AD66" i="50"/>
  <c r="AC72" i="50"/>
  <c r="AD19" i="50"/>
  <c r="AP54" i="50"/>
  <c r="AG56" i="50"/>
  <c r="N28" i="50"/>
  <c r="AX35" i="50"/>
  <c r="AS46" i="50"/>
  <c r="T42" i="50"/>
  <c r="S34" i="50"/>
  <c r="W62" i="50"/>
  <c r="AP26" i="50"/>
  <c r="AZ50" i="50"/>
  <c r="AC62" i="50"/>
  <c r="W41" i="50"/>
  <c r="BA27" i="50"/>
  <c r="Z21" i="50"/>
  <c r="AW53" i="50"/>
  <c r="AP4" i="50"/>
  <c r="AZ51" i="50"/>
  <c r="AY35" i="50"/>
  <c r="S15" i="50"/>
  <c r="AV22" i="50"/>
  <c r="AM58" i="50"/>
  <c r="AR25" i="50"/>
  <c r="AG16" i="50"/>
  <c r="AT61" i="50"/>
  <c r="L28" i="50"/>
  <c r="AX36" i="50"/>
  <c r="AR39" i="50"/>
  <c r="AM51" i="50"/>
  <c r="AF24" i="50"/>
  <c r="AE58" i="50"/>
  <c r="AU31" i="50"/>
  <c r="AV45" i="50"/>
  <c r="V35" i="50"/>
  <c r="AI62" i="50"/>
  <c r="AO19" i="50"/>
  <c r="AC59" i="50"/>
  <c r="AY66" i="50"/>
  <c r="T74" i="50"/>
  <c r="P68" i="50"/>
  <c r="BB52" i="50"/>
  <c r="R18" i="50"/>
  <c r="AJ32" i="50"/>
  <c r="U71" i="50"/>
  <c r="U39" i="50"/>
  <c r="AY28" i="50"/>
  <c r="AP64" i="50"/>
  <c r="AS50" i="50"/>
  <c r="AL34" i="50"/>
  <c r="T65" i="50"/>
  <c r="BC50" i="50"/>
  <c r="AT43" i="50"/>
  <c r="Z51" i="50"/>
  <c r="AQ39" i="50"/>
  <c r="AG42" i="50"/>
  <c r="AD53" i="50"/>
  <c r="U40" i="50"/>
  <c r="AJ22" i="50"/>
  <c r="L49" i="50"/>
  <c r="P50" i="50"/>
  <c r="BA19" i="50"/>
  <c r="AQ34" i="50"/>
  <c r="T41" i="50"/>
  <c r="AH20" i="50"/>
  <c r="BA38" i="50"/>
  <c r="Y74" i="50"/>
  <c r="AD59" i="50"/>
  <c r="U60" i="50"/>
  <c r="AU38" i="50"/>
  <c r="V38" i="50"/>
  <c r="W32" i="50"/>
  <c r="AL52" i="50"/>
  <c r="AA19" i="50"/>
  <c r="AV64" i="50"/>
  <c r="AS30" i="50"/>
  <c r="M21" i="50"/>
  <c r="X25" i="50"/>
  <c r="U61" i="50"/>
  <c r="Y67" i="50"/>
  <c r="AF45" i="50"/>
  <c r="AY22" i="50"/>
  <c r="AY31" i="50"/>
  <c r="Y66" i="50"/>
  <c r="AX52" i="50"/>
  <c r="BA66" i="50"/>
  <c r="AH65" i="50"/>
  <c r="V31" i="50"/>
  <c r="AS18" i="50"/>
  <c r="AG39" i="50"/>
  <c r="AT68" i="50"/>
  <c r="AW12" i="50"/>
  <c r="AZ15" i="50"/>
  <c r="AA35" i="50"/>
  <c r="W56" i="50"/>
  <c r="AJ13" i="50"/>
  <c r="BB49" i="50"/>
  <c r="AG58" i="50"/>
  <c r="AF28" i="50"/>
  <c r="AL18" i="50"/>
  <c r="AR66" i="50"/>
  <c r="U42" i="50"/>
  <c r="S44" i="50"/>
  <c r="AB44" i="50"/>
  <c r="U16" i="50"/>
  <c r="R61" i="50"/>
  <c r="S23" i="50"/>
  <c r="AS73" i="50"/>
  <c r="X36" i="50"/>
  <c r="AE73" i="50"/>
  <c r="AA14" i="50"/>
  <c r="AU74" i="50"/>
  <c r="AZ49" i="50"/>
  <c r="AH62" i="50"/>
  <c r="AE50" i="50"/>
  <c r="U33" i="50"/>
  <c r="AE29" i="50"/>
  <c r="AY27" i="50"/>
  <c r="AT12" i="50"/>
  <c r="V40" i="50"/>
  <c r="AU34" i="50"/>
  <c r="AE60" i="50"/>
  <c r="AR19" i="50"/>
  <c r="Y17" i="50"/>
  <c r="BB67" i="50"/>
  <c r="T63" i="50"/>
  <c r="R30" i="50"/>
  <c r="L74" i="50"/>
  <c r="AR16" i="50"/>
  <c r="M17" i="50"/>
  <c r="O25" i="50"/>
  <c r="T23" i="50"/>
  <c r="BA67" i="50"/>
  <c r="AF71" i="50"/>
  <c r="Z22" i="50"/>
  <c r="AB57" i="50"/>
  <c r="M48" i="50"/>
  <c r="AO69" i="50"/>
  <c r="AM70" i="50"/>
  <c r="BC19" i="50"/>
  <c r="AJ28" i="50"/>
  <c r="AK24" i="50"/>
  <c r="AM63" i="50"/>
  <c r="BB55" i="50"/>
  <c r="AV56" i="50"/>
  <c r="BB40" i="50"/>
  <c r="Y25" i="50"/>
  <c r="N21" i="50"/>
  <c r="BB39" i="50"/>
  <c r="W25" i="50"/>
  <c r="AG59" i="50"/>
  <c r="BB63" i="50"/>
  <c r="W63" i="50"/>
  <c r="AQ17" i="50"/>
  <c r="AA71" i="50"/>
  <c r="R20" i="50"/>
  <c r="AZ58" i="50"/>
  <c r="P35" i="50"/>
  <c r="AW73" i="50"/>
  <c r="AV51" i="50"/>
  <c r="AZ29" i="50"/>
  <c r="AG12" i="50"/>
  <c r="S69" i="50"/>
  <c r="AC20" i="50"/>
  <c r="AT71" i="50"/>
  <c r="M18" i="50"/>
  <c r="Y5" i="50"/>
  <c r="Y51" i="50"/>
  <c r="AB34" i="50"/>
  <c r="AL41" i="50"/>
  <c r="R59" i="50"/>
  <c r="AO47" i="50"/>
  <c r="AL69" i="50"/>
  <c r="U35" i="50"/>
  <c r="AF48" i="50"/>
  <c r="AH55" i="50"/>
  <c r="AU25" i="50"/>
  <c r="AW60" i="50"/>
  <c r="AI54" i="50"/>
  <c r="T28" i="50"/>
  <c r="L75" i="50"/>
  <c r="X4" i="50"/>
  <c r="AS15" i="50"/>
  <c r="AD42" i="50"/>
  <c r="AI23" i="50"/>
  <c r="AU29" i="50"/>
  <c r="P18" i="50"/>
  <c r="AF30" i="50"/>
  <c r="AG44" i="50"/>
  <c r="M46" i="50"/>
  <c r="AS5" i="50"/>
  <c r="AT19" i="50"/>
  <c r="AS64" i="50"/>
  <c r="AJ39" i="50"/>
  <c r="AE33" i="50"/>
  <c r="AL44" i="50"/>
  <c r="AU12" i="50"/>
  <c r="AX22" i="50"/>
  <c r="T75" i="50"/>
  <c r="Y60" i="50"/>
  <c r="AF21" i="50"/>
  <c r="S63" i="50"/>
  <c r="S58" i="50"/>
  <c r="AH27" i="50"/>
  <c r="P24" i="50"/>
  <c r="AO30" i="50"/>
  <c r="AH18" i="50"/>
  <c r="P28" i="50"/>
  <c r="O15" i="50"/>
  <c r="AA50" i="50"/>
  <c r="V50" i="50"/>
  <c r="AV21" i="50"/>
  <c r="AJ68" i="50"/>
  <c r="BA28" i="50"/>
  <c r="AB19" i="50"/>
  <c r="AX29" i="50"/>
  <c r="AO56" i="50"/>
  <c r="AP34" i="50"/>
  <c r="N41" i="50"/>
  <c r="AY4" i="50"/>
  <c r="AH72" i="50"/>
  <c r="O42" i="50"/>
  <c r="AM34" i="50"/>
  <c r="BC49" i="50"/>
  <c r="AK61" i="50"/>
  <c r="AN35" i="50"/>
  <c r="BC41" i="50"/>
  <c r="AT40" i="50"/>
  <c r="BA41" i="50"/>
  <c r="AV57" i="50"/>
  <c r="W34" i="50"/>
  <c r="BB70" i="50"/>
  <c r="AD63" i="50"/>
  <c r="AD68" i="50"/>
  <c r="Q57" i="50"/>
  <c r="AU56" i="50"/>
  <c r="S39" i="50"/>
  <c r="AU61" i="50"/>
  <c r="AO53" i="50"/>
  <c r="AJ43" i="50"/>
  <c r="AM71" i="50"/>
  <c r="AB29" i="50"/>
  <c r="S36" i="50"/>
  <c r="AE25" i="50"/>
  <c r="AH41" i="50"/>
  <c r="AG50" i="50"/>
  <c r="AC45" i="50"/>
  <c r="AP62" i="50"/>
  <c r="AE34" i="50"/>
  <c r="W16" i="50"/>
  <c r="AN58" i="50"/>
  <c r="AM5" i="50"/>
  <c r="AA48" i="50"/>
  <c r="X43" i="50"/>
  <c r="L15" i="50"/>
  <c r="AZ71" i="50"/>
  <c r="N74" i="50"/>
  <c r="AN33" i="50"/>
  <c r="AL28" i="50"/>
  <c r="R66" i="50"/>
  <c r="AI58" i="50"/>
  <c r="O54" i="50"/>
  <c r="M60" i="50"/>
  <c r="N71" i="50"/>
  <c r="AG68" i="50"/>
  <c r="L33" i="50"/>
  <c r="AM17" i="50"/>
  <c r="AY14" i="50"/>
  <c r="AL30" i="50"/>
  <c r="AI71" i="50"/>
  <c r="Y19" i="50"/>
  <c r="AP5" i="50"/>
  <c r="AD45" i="50"/>
  <c r="AX24" i="50"/>
  <c r="AQ35" i="50"/>
  <c r="AR72" i="50"/>
  <c r="W66" i="50"/>
  <c r="AG71" i="50"/>
  <c r="BC60" i="50"/>
  <c r="AE31" i="50"/>
  <c r="Q29" i="50"/>
  <c r="V63" i="50"/>
  <c r="AO41" i="50"/>
  <c r="AM12" i="50"/>
  <c r="AV20" i="50"/>
  <c r="AC26" i="50"/>
  <c r="V67" i="50"/>
  <c r="S71" i="50"/>
  <c r="AE35" i="50"/>
  <c r="AX63" i="50"/>
  <c r="Z73" i="50"/>
  <c r="AT39" i="50"/>
  <c r="AD64" i="50"/>
  <c r="BB42" i="50"/>
  <c r="W28" i="50"/>
  <c r="AD54" i="50"/>
  <c r="X39" i="50"/>
  <c r="AX25" i="50"/>
  <c r="BA15" i="50"/>
  <c r="AW55" i="50"/>
  <c r="AF64" i="50"/>
  <c r="AP70" i="50"/>
  <c r="AZ19" i="50"/>
  <c r="Q41" i="50"/>
  <c r="AR30" i="50"/>
  <c r="X18" i="50"/>
  <c r="Q28" i="50"/>
  <c r="L47" i="50"/>
  <c r="AX15" i="50"/>
  <c r="M31" i="50"/>
  <c r="Z26" i="50"/>
  <c r="AY40" i="50"/>
  <c r="AZ75" i="50"/>
  <c r="AY72" i="50"/>
  <c r="AH60" i="50"/>
  <c r="AJ38" i="50"/>
  <c r="V66" i="50"/>
  <c r="AV52" i="50"/>
  <c r="T53" i="50"/>
  <c r="AB27" i="50"/>
  <c r="AJ75" i="50"/>
  <c r="AO26" i="50"/>
  <c r="V33" i="50"/>
  <c r="N35" i="50"/>
  <c r="W49" i="50"/>
  <c r="AF31" i="50"/>
  <c r="BA72" i="50"/>
  <c r="P39" i="50"/>
  <c r="AU67" i="50"/>
  <c r="BA46" i="50"/>
  <c r="N43" i="50"/>
  <c r="X24" i="50"/>
  <c r="AS72" i="50"/>
  <c r="M22" i="50"/>
  <c r="AG55" i="50"/>
  <c r="P75" i="50"/>
  <c r="AE36" i="50"/>
  <c r="AR33" i="50"/>
  <c r="AR14" i="50"/>
  <c r="AZ60" i="50"/>
  <c r="Z62" i="50"/>
  <c r="BA50" i="50"/>
  <c r="W58" i="50"/>
  <c r="W69" i="50"/>
  <c r="AB54" i="50"/>
  <c r="AR34" i="50"/>
  <c r="AD58" i="50"/>
  <c r="W51" i="50"/>
  <c r="AZ48" i="50"/>
  <c r="AF54" i="50"/>
  <c r="AK12" i="50"/>
  <c r="W72" i="50"/>
  <c r="AM57" i="50"/>
  <c r="AA47" i="50"/>
  <c r="AE37" i="50"/>
  <c r="X22" i="50"/>
  <c r="AW57" i="50"/>
  <c r="AH22" i="50"/>
  <c r="N19" i="50"/>
  <c r="R67" i="50"/>
  <c r="AF58" i="50"/>
  <c r="AM33" i="50"/>
  <c r="AS24" i="50"/>
  <c r="AT55" i="50"/>
  <c r="AA68" i="50"/>
  <c r="BA68" i="50"/>
  <c r="AW45" i="50"/>
  <c r="R69" i="50"/>
  <c r="L52" i="50"/>
  <c r="X31" i="50"/>
  <c r="AK45" i="50"/>
  <c r="AO61" i="50"/>
  <c r="AM64" i="50"/>
  <c r="AC74" i="50"/>
  <c r="AQ58" i="50"/>
  <c r="BB27" i="50"/>
  <c r="V19" i="50"/>
  <c r="BA22" i="50"/>
  <c r="AS28" i="50"/>
  <c r="AS58" i="50"/>
  <c r="O4" i="50"/>
  <c r="AE64" i="50"/>
  <c r="Z41" i="50"/>
  <c r="AB66" i="50"/>
  <c r="AQ44" i="50"/>
  <c r="AW13" i="50"/>
  <c r="AP22" i="50"/>
  <c r="R68" i="50"/>
  <c r="AK32" i="50"/>
  <c r="AX61" i="50"/>
  <c r="Q74" i="50"/>
  <c r="AA57" i="50"/>
  <c r="M12" i="50"/>
  <c r="O30" i="50"/>
  <c r="AC13" i="50"/>
  <c r="AZ46" i="50"/>
  <c r="AB16" i="50"/>
  <c r="AD46" i="50"/>
  <c r="AR37" i="50"/>
  <c r="AN54" i="50"/>
  <c r="AJ62" i="50"/>
  <c r="AA23" i="50"/>
  <c r="AQ56" i="50"/>
  <c r="AI27" i="50"/>
  <c r="R74" i="50"/>
  <c r="S31" i="50"/>
  <c r="Y75" i="50"/>
  <c r="P22" i="50"/>
  <c r="AG47" i="50"/>
  <c r="AM50" i="50"/>
  <c r="N58" i="50"/>
  <c r="AU59" i="50"/>
  <c r="AI74" i="50"/>
  <c r="V42" i="50"/>
  <c r="AA41" i="50"/>
  <c r="AB42" i="50"/>
  <c r="R4" i="50"/>
  <c r="AH61" i="50"/>
  <c r="AS31" i="50"/>
  <c r="AN71" i="50"/>
  <c r="T46" i="50"/>
  <c r="AW54" i="50"/>
  <c r="AE26" i="50"/>
  <c r="AS75" i="50"/>
  <c r="U52" i="50"/>
  <c r="P21" i="50"/>
  <c r="X30" i="50"/>
  <c r="U15" i="50"/>
  <c r="AB25" i="50"/>
  <c r="T70" i="50"/>
  <c r="AH68" i="50"/>
  <c r="AI45" i="50"/>
  <c r="AU52" i="50"/>
  <c r="BB34" i="50"/>
  <c r="AO39" i="50"/>
  <c r="AO42" i="50"/>
  <c r="AP57" i="50"/>
  <c r="AP45" i="50"/>
  <c r="AZ30" i="50"/>
  <c r="AR62" i="50"/>
  <c r="Q31" i="50"/>
  <c r="AK63" i="50"/>
  <c r="L42" i="50"/>
  <c r="AM37" i="50"/>
  <c r="AO58" i="50"/>
  <c r="AW51" i="50"/>
  <c r="R57" i="50"/>
  <c r="AY36" i="50"/>
  <c r="U29" i="50"/>
  <c r="Q55" i="50"/>
  <c r="S30" i="50"/>
  <c r="O62" i="50"/>
  <c r="AG53" i="50"/>
  <c r="Z40" i="50"/>
  <c r="AF62" i="50"/>
  <c r="AD72" i="50"/>
  <c r="AL64" i="50"/>
  <c r="AB33" i="50"/>
  <c r="AH35" i="50"/>
  <c r="AK56" i="50"/>
  <c r="S28" i="50"/>
  <c r="AA42" i="50"/>
  <c r="S24" i="50"/>
  <c r="AG15" i="50"/>
  <c r="AV36" i="50"/>
  <c r="AF22" i="50"/>
  <c r="R41" i="50"/>
  <c r="M19" i="50"/>
  <c r="BB19" i="50"/>
  <c r="AY39" i="50"/>
  <c r="AL46" i="50"/>
  <c r="AH39" i="50"/>
  <c r="AV35" i="50"/>
  <c r="AO4" i="50"/>
  <c r="W36" i="50"/>
  <c r="S21" i="50"/>
  <c r="AL37" i="50"/>
  <c r="L51" i="50"/>
  <c r="V61" i="50"/>
  <c r="AS4" i="50"/>
  <c r="AN4" i="50"/>
  <c r="L66" i="50"/>
  <c r="AQ54" i="50"/>
  <c r="U43" i="50"/>
  <c r="T30" i="50"/>
  <c r="T18" i="50"/>
  <c r="AN32" i="50"/>
  <c r="AH36" i="50"/>
  <c r="AM29" i="50"/>
  <c r="L20" i="50"/>
  <c r="BC67" i="50"/>
  <c r="AP18" i="50"/>
  <c r="AH40" i="50"/>
  <c r="AC19" i="50"/>
  <c r="BA33" i="50"/>
  <c r="Y27" i="50"/>
  <c r="AG61" i="50"/>
  <c r="L23" i="50"/>
  <c r="O46" i="50"/>
  <c r="AY73" i="50"/>
  <c r="AD17" i="50"/>
  <c r="U54" i="50"/>
  <c r="Q51" i="50"/>
  <c r="AR27" i="50"/>
  <c r="O58" i="50"/>
  <c r="AE72" i="50"/>
  <c r="AF18" i="50"/>
  <c r="AN25" i="50"/>
  <c r="X29" i="50"/>
  <c r="AQ15" i="50"/>
  <c r="AR65" i="50"/>
  <c r="AH63" i="50"/>
  <c r="T66" i="50"/>
  <c r="Y59" i="50"/>
  <c r="S4" i="50"/>
  <c r="AN51" i="50"/>
  <c r="AR42" i="50"/>
  <c r="AU57" i="50"/>
  <c r="AH50" i="50"/>
  <c r="AP29" i="50"/>
  <c r="W60" i="50"/>
  <c r="AQ57" i="50"/>
  <c r="R43" i="50"/>
  <c r="AX56" i="50"/>
  <c r="AE51" i="50"/>
  <c r="AH34" i="50"/>
  <c r="AM49" i="50"/>
  <c r="AK29" i="50"/>
  <c r="AA53" i="50"/>
  <c r="AQ19" i="50"/>
  <c r="Z56" i="50"/>
  <c r="BB74" i="50"/>
  <c r="AE53" i="50"/>
  <c r="N70" i="50"/>
  <c r="X34" i="50"/>
  <c r="M57" i="50"/>
  <c r="AX69" i="50"/>
  <c r="BA52" i="50"/>
  <c r="X48" i="50"/>
  <c r="P72" i="50"/>
  <c r="AS40" i="50"/>
  <c r="R62" i="50"/>
  <c r="AO27" i="50"/>
  <c r="AU69" i="50"/>
  <c r="AA63" i="50"/>
  <c r="AB13" i="50"/>
  <c r="AW25" i="50"/>
  <c r="U26" i="50"/>
  <c r="AU72" i="50"/>
  <c r="AW61" i="50"/>
  <c r="AY57" i="50"/>
  <c r="X21" i="50"/>
  <c r="S45" i="50"/>
  <c r="AN61" i="50"/>
  <c r="BA12" i="50"/>
  <c r="AW52" i="50"/>
  <c r="AK72" i="50"/>
  <c r="AW69" i="50"/>
  <c r="AP44" i="50"/>
  <c r="S75" i="50"/>
  <c r="AI52" i="50"/>
  <c r="AW5" i="50"/>
  <c r="P57" i="50"/>
  <c r="AG75" i="50"/>
  <c r="Q47" i="50"/>
  <c r="Z74" i="50"/>
  <c r="AJ30" i="50"/>
  <c r="AI33" i="50"/>
  <c r="Q39" i="50"/>
  <c r="AZ52" i="50"/>
  <c r="N46" i="50"/>
  <c r="M70" i="50"/>
  <c r="N47" i="50"/>
  <c r="AX44" i="50"/>
  <c r="N33" i="50"/>
  <c r="AD65" i="50"/>
  <c r="AW71" i="50"/>
  <c r="U49" i="50"/>
  <c r="U12" i="50"/>
  <c r="AR67" i="50"/>
  <c r="BA58" i="50"/>
  <c r="AB59" i="50"/>
  <c r="AJ54" i="50"/>
  <c r="M52" i="50"/>
  <c r="AN53" i="50"/>
  <c r="AB28" i="50"/>
  <c r="AO5" i="50"/>
  <c r="AC27" i="50"/>
  <c r="AO46" i="50"/>
  <c r="AZ24" i="50"/>
  <c r="AH48" i="50"/>
  <c r="AL51" i="50"/>
  <c r="AB47" i="50"/>
  <c r="AF35" i="50"/>
  <c r="AY41" i="50"/>
  <c r="Z69" i="50"/>
  <c r="AX59" i="50"/>
  <c r="AX27" i="50"/>
  <c r="AF19" i="50"/>
  <c r="AK49" i="50"/>
  <c r="AM18" i="50"/>
  <c r="AA44" i="50"/>
  <c r="AZ61" i="50"/>
  <c r="Q20" i="50"/>
  <c r="U50" i="50"/>
  <c r="AI49" i="50"/>
  <c r="R19" i="50"/>
  <c r="T12" i="50"/>
  <c r="AI42" i="50"/>
  <c r="L61" i="50"/>
  <c r="AW37" i="50"/>
  <c r="AK65" i="50"/>
  <c r="AI19" i="50"/>
  <c r="X17" i="50"/>
  <c r="R75" i="50"/>
  <c r="AS29" i="50"/>
  <c r="AE27" i="50"/>
  <c r="AU5" i="50"/>
  <c r="Y61" i="50"/>
  <c r="AD27" i="50"/>
  <c r="AZ23" i="50"/>
  <c r="AO73" i="50"/>
  <c r="AA64" i="50"/>
  <c r="AM62" i="50"/>
  <c r="AI25" i="50"/>
  <c r="O57" i="50"/>
  <c r="AE74" i="50"/>
  <c r="Z5" i="50"/>
  <c r="AY47" i="50"/>
  <c r="Z42" i="50"/>
  <c r="U21" i="50"/>
  <c r="Z29" i="50"/>
  <c r="AX70" i="50"/>
  <c r="S48" i="50"/>
  <c r="AC24" i="50"/>
  <c r="R12" i="50"/>
  <c r="Y43" i="50"/>
  <c r="S18" i="50"/>
  <c r="S47" i="50"/>
  <c r="AS59" i="50"/>
  <c r="AN15" i="50"/>
  <c r="Z45" i="50"/>
  <c r="AW16" i="50"/>
  <c r="AH30" i="50"/>
  <c r="S27" i="50"/>
  <c r="N57" i="50"/>
  <c r="AN20" i="50"/>
  <c r="X23" i="50"/>
  <c r="L14" i="50"/>
  <c r="AW14" i="50"/>
  <c r="AU40" i="50"/>
  <c r="AL45" i="50"/>
  <c r="L12" i="50"/>
  <c r="AT4" i="50"/>
  <c r="AY60" i="50"/>
  <c r="AT49" i="50"/>
  <c r="V59" i="50"/>
  <c r="AC66" i="50"/>
  <c r="AH53" i="50"/>
  <c r="AS53" i="50"/>
  <c r="AM44" i="50"/>
  <c r="AZ73" i="50"/>
  <c r="AU28" i="50"/>
  <c r="Q48" i="50"/>
  <c r="Z17" i="50"/>
  <c r="S68" i="50"/>
  <c r="Z19" i="50"/>
  <c r="AS74" i="50"/>
  <c r="AW26" i="50"/>
  <c r="AA61" i="50"/>
  <c r="BA45" i="50"/>
  <c r="M65" i="50"/>
  <c r="AW43" i="50"/>
  <c r="M72" i="50"/>
  <c r="O12" i="50"/>
  <c r="AI15" i="50"/>
  <c r="S62" i="50"/>
  <c r="AZ43" i="50"/>
  <c r="BC21" i="50"/>
  <c r="T26" i="50"/>
  <c r="P44" i="50"/>
  <c r="AY33" i="50"/>
  <c r="AR52" i="50"/>
  <c r="AN46" i="50"/>
  <c r="AW36" i="50"/>
  <c r="AD73" i="50"/>
  <c r="S41" i="50"/>
  <c r="AQ28" i="50"/>
  <c r="AF34" i="50"/>
  <c r="AU75" i="50"/>
  <c r="S70" i="50"/>
  <c r="AT20" i="50"/>
  <c r="AF75" i="50"/>
  <c r="AV43" i="50"/>
  <c r="AJ17" i="50"/>
  <c r="AQ23" i="50"/>
  <c r="R25" i="50"/>
  <c r="S51" i="50"/>
  <c r="AY58" i="50"/>
  <c r="AG25" i="50"/>
  <c r="AL72" i="50"/>
  <c r="AE16" i="50"/>
  <c r="U17" i="50"/>
  <c r="AJ48" i="50"/>
  <c r="W40" i="50"/>
  <c r="AK50" i="50"/>
  <c r="AU71" i="50"/>
  <c r="AD44" i="50"/>
  <c r="AR75" i="50"/>
  <c r="AR28" i="50"/>
  <c r="V46" i="50"/>
  <c r="Q75" i="50"/>
  <c r="U34" i="50"/>
  <c r="AE59" i="50"/>
  <c r="BA70" i="50"/>
  <c r="Z72" i="50"/>
  <c r="U14" i="50"/>
  <c r="AQ47" i="50"/>
  <c r="V5" i="50"/>
  <c r="N40" i="50"/>
  <c r="BC14" i="50"/>
  <c r="BB20" i="50"/>
  <c r="AP23" i="50"/>
  <c r="V25" i="50"/>
  <c r="AO74" i="50"/>
  <c r="AY50" i="50"/>
  <c r="O71" i="50"/>
  <c r="AC4" i="50"/>
  <c r="Z52" i="50"/>
  <c r="Y72" i="50"/>
  <c r="X61" i="50"/>
  <c r="Q65" i="50"/>
  <c r="AN70" i="50"/>
  <c r="AN67" i="50"/>
  <c r="R27" i="50"/>
  <c r="AS66" i="50"/>
  <c r="AF66" i="50"/>
  <c r="AL47" i="50"/>
  <c r="X73" i="50"/>
  <c r="AT28" i="50"/>
  <c r="S57" i="50"/>
  <c r="AK37" i="50"/>
  <c r="L72" i="50"/>
  <c r="AL68" i="50"/>
  <c r="AG5" i="50"/>
  <c r="AO38" i="50"/>
  <c r="AJ49" i="50"/>
  <c r="AS13" i="50"/>
  <c r="O17" i="50"/>
  <c r="AK18" i="50"/>
  <c r="N31" i="50"/>
  <c r="N39" i="50"/>
  <c r="AP27" i="50"/>
  <c r="Q17" i="50"/>
  <c r="U4" i="50"/>
  <c r="AR49" i="50"/>
  <c r="AC65" i="50"/>
  <c r="BA54" i="50"/>
  <c r="AR22" i="50"/>
  <c r="S19" i="50"/>
  <c r="BB35" i="50"/>
  <c r="R34" i="50"/>
  <c r="BA13" i="50"/>
  <c r="AS35" i="50"/>
  <c r="BB51" i="50"/>
  <c r="R35" i="50"/>
  <c r="AJ42" i="50"/>
  <c r="AB37" i="50"/>
  <c r="Y54" i="50"/>
  <c r="AM14" i="50"/>
  <c r="AP25" i="50"/>
  <c r="Z23" i="50"/>
  <c r="AZ13" i="50"/>
  <c r="AX60" i="50"/>
  <c r="AS57" i="50"/>
  <c r="AT64" i="50"/>
  <c r="AA40" i="50"/>
  <c r="S40" i="50"/>
  <c r="AU30" i="50"/>
  <c r="L18" i="50"/>
  <c r="X70" i="50"/>
  <c r="BA36" i="50"/>
  <c r="AZ64" i="50"/>
  <c r="N67" i="50"/>
  <c r="O55" i="50"/>
  <c r="AQ41" i="50"/>
  <c r="W23" i="50"/>
  <c r="AX62" i="50"/>
  <c r="X16" i="50"/>
  <c r="BC12" i="50"/>
  <c r="AO70" i="50"/>
  <c r="AB56" i="50"/>
  <c r="BB21" i="50"/>
  <c r="P40" i="50"/>
  <c r="AR68" i="50"/>
  <c r="T5" i="50"/>
  <c r="AO72" i="50"/>
  <c r="AP39" i="50"/>
  <c r="X64" i="50"/>
  <c r="T16" i="50"/>
  <c r="AC64" i="50"/>
  <c r="AM32" i="50"/>
  <c r="X19" i="50"/>
  <c r="AO16" i="50"/>
  <c r="AZ41" i="50"/>
  <c r="AS42" i="50"/>
  <c r="AS33" i="50"/>
  <c r="AA45" i="50"/>
  <c r="AZ31" i="50"/>
  <c r="AT60" i="50"/>
  <c r="S12" i="50"/>
  <c r="Y68" i="50"/>
  <c r="AT70" i="50"/>
  <c r="AU48" i="50"/>
  <c r="S67" i="50"/>
  <c r="AV70" i="50"/>
  <c r="BA42" i="50"/>
  <c r="AN29" i="50"/>
  <c r="AB43" i="50"/>
  <c r="AA34" i="50"/>
  <c r="R71" i="50"/>
  <c r="AZ53" i="50"/>
  <c r="AZ5" i="50"/>
  <c r="BB66" i="50"/>
  <c r="AC52" i="50"/>
  <c r="P15" i="50"/>
  <c r="BC34" i="50"/>
  <c r="L29" i="50"/>
  <c r="AB70" i="50"/>
  <c r="Q46" i="50"/>
  <c r="T22" i="50"/>
  <c r="AV66" i="50"/>
  <c r="AH59" i="50"/>
  <c r="AH74" i="50"/>
  <c r="V24" i="50"/>
  <c r="AG13" i="50"/>
  <c r="L71" i="50"/>
  <c r="AL59" i="50"/>
  <c r="AG62" i="50"/>
  <c r="AT14" i="50"/>
  <c r="M30" i="50"/>
  <c r="Z14" i="50"/>
  <c r="BB4" i="50"/>
  <c r="Q61" i="50"/>
  <c r="AC23" i="50"/>
  <c r="AS21" i="50"/>
  <c r="AL75" i="50"/>
  <c r="AT50" i="50"/>
  <c r="AS61" i="50"/>
  <c r="AD47" i="50"/>
  <c r="AK69" i="50"/>
  <c r="Y49" i="50"/>
  <c r="L40" i="50"/>
  <c r="AM42" i="50"/>
  <c r="V4" i="50"/>
  <c r="AW17" i="50"/>
  <c r="AQ32" i="50"/>
  <c r="AK33" i="50"/>
  <c r="AX73" i="50"/>
  <c r="BA5" i="50"/>
  <c r="AC39" i="50"/>
  <c r="AF47" i="50"/>
  <c r="AC37" i="50"/>
  <c r="P32" i="50"/>
  <c r="W59" i="50"/>
  <c r="N32" i="50"/>
  <c r="AM13" i="50"/>
  <c r="AA67" i="50"/>
  <c r="AE57" i="50"/>
  <c r="N14" i="50"/>
  <c r="AZ16" i="50"/>
  <c r="W64" i="50"/>
  <c r="AO51" i="50"/>
  <c r="BB64" i="50"/>
  <c r="AD20" i="50"/>
  <c r="AF57" i="50"/>
  <c r="AC36" i="50"/>
  <c r="AH15" i="50"/>
  <c r="AG26" i="50"/>
  <c r="AW66" i="50"/>
  <c r="V62" i="50"/>
  <c r="AX46" i="50"/>
  <c r="M35" i="50"/>
  <c r="BB23" i="50"/>
  <c r="AU73" i="50"/>
  <c r="BA63" i="50"/>
  <c r="X41" i="50"/>
  <c r="AX19" i="50"/>
  <c r="M36" i="50"/>
  <c r="BB58" i="50"/>
  <c r="AO31" i="50"/>
  <c r="P46" i="50"/>
  <c r="BC51" i="50"/>
  <c r="AT30" i="50"/>
  <c r="L35" i="50"/>
  <c r="U47" i="50"/>
  <c r="AB74" i="50"/>
  <c r="Q56" i="50"/>
  <c r="V23" i="50"/>
  <c r="AU20" i="50"/>
  <c r="X72" i="50"/>
  <c r="W54" i="50"/>
  <c r="T47" i="50"/>
  <c r="AC22" i="50"/>
  <c r="Y12" i="50"/>
  <c r="AK60" i="50"/>
  <c r="AE54" i="50"/>
  <c r="AT62" i="50"/>
  <c r="AJ55" i="50"/>
  <c r="AK44" i="50"/>
  <c r="AH13" i="50"/>
  <c r="AC71" i="50"/>
  <c r="M55" i="50"/>
  <c r="AU43" i="50"/>
  <c r="O14" i="50"/>
  <c r="AB12" i="50"/>
  <c r="AG49" i="50"/>
  <c r="BB41" i="50"/>
  <c r="AA65" i="50"/>
  <c r="Y24" i="50"/>
  <c r="AI41" i="50"/>
  <c r="BC31" i="50"/>
  <c r="N72" i="50"/>
  <c r="AF4" i="50"/>
  <c r="BC28" i="50"/>
  <c r="O36" i="50"/>
  <c r="AE40" i="50"/>
  <c r="Q45" i="50"/>
  <c r="BC59" i="50"/>
  <c r="AE19" i="50"/>
  <c r="X49" i="50"/>
  <c r="AI29" i="50"/>
  <c r="AP37" i="50"/>
  <c r="R48" i="50"/>
  <c r="AO33" i="50"/>
  <c r="AJ34" i="50"/>
  <c r="N38" i="50"/>
  <c r="Y20" i="50"/>
  <c r="L34" i="50"/>
  <c r="AT27" i="50"/>
  <c r="R45" i="50"/>
  <c r="Q49" i="50"/>
  <c r="AI16" i="50"/>
  <c r="AY61" i="50"/>
  <c r="X33" i="50"/>
  <c r="Z58" i="50"/>
  <c r="W53" i="50"/>
  <c r="N65" i="50"/>
  <c r="AX5" i="50"/>
  <c r="V53" i="50"/>
  <c r="BC32" i="50"/>
  <c r="AS60" i="50"/>
  <c r="AF25" i="50"/>
  <c r="AA31" i="50"/>
  <c r="W73" i="50"/>
  <c r="Y41" i="50"/>
  <c r="BB31" i="50"/>
  <c r="Y52" i="50"/>
  <c r="AO52" i="50"/>
  <c r="AK35" i="50"/>
  <c r="AJ26" i="50"/>
  <c r="BA60" i="50"/>
  <c r="AV71" i="50"/>
  <c r="AN40" i="50"/>
  <c r="AA55" i="50"/>
  <c r="O13" i="50"/>
  <c r="O50" i="50"/>
  <c r="AC69" i="50"/>
  <c r="AD43" i="50"/>
  <c r="AO62" i="50"/>
  <c r="AB40" i="50"/>
  <c r="O56" i="50"/>
  <c r="O48" i="50"/>
  <c r="Q18" i="50"/>
  <c r="W57" i="50"/>
  <c r="AS20" i="50"/>
  <c r="S43" i="50"/>
  <c r="AG74" i="50"/>
  <c r="X69" i="50"/>
  <c r="T57" i="50"/>
  <c r="AF74" i="50"/>
  <c r="AU41" i="50"/>
  <c r="AW32" i="50"/>
  <c r="AK71" i="50"/>
  <c r="AO54" i="50"/>
  <c r="AJ58" i="50"/>
  <c r="R56" i="50"/>
  <c r="X58" i="50"/>
  <c r="AB48" i="50"/>
  <c r="AW65" i="50"/>
  <c r="Z68" i="50"/>
  <c r="Q24" i="50"/>
  <c r="AW23" i="50"/>
  <c r="AH4" i="50"/>
  <c r="P60" i="50"/>
  <c r="AJ23" i="50"/>
  <c r="Y23" i="50"/>
  <c r="Z66" i="50"/>
  <c r="AA29" i="50"/>
  <c r="V20" i="50"/>
  <c r="X50" i="50"/>
  <c r="AT29" i="50"/>
  <c r="AK5" i="50"/>
  <c r="AF41" i="50"/>
  <c r="M69" i="50"/>
  <c r="AP61" i="50"/>
  <c r="AF23" i="50"/>
  <c r="AA36" i="50"/>
  <c r="AI38" i="50"/>
  <c r="N68" i="50"/>
  <c r="AF36" i="50"/>
  <c r="AN62" i="50"/>
  <c r="T19" i="50"/>
  <c r="Z71" i="50"/>
  <c r="U74" i="50"/>
  <c r="R64" i="50"/>
  <c r="BC20" i="50"/>
  <c r="AV23" i="50"/>
  <c r="X68" i="50"/>
  <c r="AS38" i="50"/>
  <c r="AX72" i="50"/>
  <c r="Z32" i="50"/>
  <c r="P45" i="50"/>
  <c r="AV40" i="50"/>
  <c r="X42" i="50"/>
  <c r="AP49" i="50"/>
  <c r="AV18" i="50"/>
  <c r="AU24" i="50"/>
  <c r="AU39" i="50"/>
  <c r="AQ42" i="50"/>
  <c r="AJ57" i="50"/>
  <c r="AP50" i="50"/>
  <c r="AU62" i="50"/>
  <c r="AY52" i="50"/>
  <c r="AZ54" i="50"/>
  <c r="AB53" i="50"/>
  <c r="AT51" i="50"/>
  <c r="AD37" i="50"/>
  <c r="W21" i="50"/>
  <c r="AJ15" i="50"/>
  <c r="U62" i="50"/>
  <c r="AN64" i="50"/>
  <c r="AY21" i="50"/>
  <c r="AS68" i="50"/>
  <c r="BB38" i="50"/>
  <c r="X15" i="50"/>
  <c r="AQ33" i="50"/>
  <c r="W12" i="50"/>
  <c r="AI60" i="50"/>
  <c r="O43" i="50"/>
  <c r="AG24" i="50"/>
  <c r="AP52" i="50"/>
  <c r="BC45" i="50"/>
  <c r="Y40" i="50"/>
  <c r="X26" i="50"/>
  <c r="AX75" i="50"/>
  <c r="AY13" i="50"/>
  <c r="AC53" i="50"/>
  <c r="U28" i="50"/>
  <c r="O24" i="50"/>
  <c r="AF20" i="50"/>
  <c r="AQ73" i="50"/>
  <c r="M20" i="50"/>
  <c r="AR41" i="50"/>
  <c r="AI13" i="50"/>
  <c r="AL39" i="50"/>
  <c r="AI4" i="50"/>
  <c r="AV58" i="50"/>
  <c r="Q68" i="50"/>
  <c r="V45" i="50"/>
  <c r="M23" i="50"/>
  <c r="AG19" i="50"/>
  <c r="L57" i="50"/>
  <c r="AC28" i="50"/>
  <c r="AD33" i="50"/>
  <c r="U58" i="50"/>
  <c r="N59" i="50"/>
  <c r="P41" i="50"/>
  <c r="N23" i="50"/>
  <c r="AW58" i="50"/>
  <c r="AV69" i="50"/>
  <c r="AM46" i="50"/>
  <c r="BA51" i="50"/>
  <c r="S37" i="50"/>
  <c r="M53" i="50"/>
  <c r="AZ39" i="50"/>
  <c r="S38" i="50"/>
  <c r="O63" i="50"/>
  <c r="AO43" i="50"/>
  <c r="AZ44" i="50"/>
  <c r="AU37" i="50"/>
  <c r="AL22" i="50"/>
  <c r="AY29" i="50"/>
  <c r="P49" i="50"/>
  <c r="AN41" i="50"/>
  <c r="AT72" i="50"/>
  <c r="BC23" i="50"/>
  <c r="S33" i="50"/>
  <c r="AI70" i="50"/>
  <c r="AN38" i="50"/>
  <c r="AN13" i="50"/>
  <c r="R28" i="50"/>
  <c r="AL15" i="50"/>
  <c r="AR20" i="50"/>
  <c r="Y32" i="50"/>
  <c r="S64" i="50"/>
  <c r="O41" i="50"/>
  <c r="AH67" i="50"/>
  <c r="AW28" i="50"/>
  <c r="O52" i="50"/>
  <c r="AK46" i="50"/>
  <c r="AT58" i="50"/>
  <c r="AI35" i="50"/>
  <c r="AP65" i="50"/>
  <c r="AK54" i="50"/>
  <c r="AX58" i="50"/>
  <c r="AV41" i="50"/>
  <c r="AD24" i="50"/>
  <c r="S61" i="50"/>
  <c r="AI46" i="50"/>
  <c r="AV61" i="50"/>
  <c r="AJ50" i="50"/>
  <c r="AM55" i="50"/>
  <c r="AW4" i="50"/>
  <c r="AQ61" i="50"/>
  <c r="AP33" i="50"/>
  <c r="Z48" i="50"/>
  <c r="AO28" i="50"/>
  <c r="Z33" i="50"/>
  <c r="R73" i="50"/>
  <c r="AJ59" i="50"/>
  <c r="AF56" i="50"/>
  <c r="AC16" i="50"/>
  <c r="AS70" i="50"/>
  <c r="AS43" i="50"/>
  <c r="V36" i="50"/>
  <c r="BA62" i="50"/>
  <c r="AF12" i="50"/>
  <c r="BA34" i="50"/>
  <c r="AJ21" i="50"/>
  <c r="AS19" i="50"/>
  <c r="AB55" i="50"/>
  <c r="AC55" i="50"/>
  <c r="AN65" i="50"/>
  <c r="AG51" i="50"/>
  <c r="X55" i="50"/>
  <c r="AL65" i="50"/>
  <c r="P37" i="50"/>
  <c r="AI55" i="50"/>
  <c r="AI28" i="50"/>
  <c r="BB26" i="50"/>
  <c r="AH25" i="50"/>
  <c r="M39" i="50"/>
  <c r="AD16" i="50"/>
  <c r="Z49" i="50"/>
  <c r="AY38" i="50"/>
  <c r="AM74" i="50"/>
  <c r="AH56" i="50"/>
  <c r="AT48" i="50"/>
  <c r="AC75" i="50"/>
  <c r="AZ69" i="50"/>
  <c r="BC26" i="50"/>
  <c r="AF32" i="50"/>
  <c r="AI14" i="50"/>
  <c r="AJ61" i="50"/>
  <c r="R32" i="50"/>
  <c r="AF16" i="50"/>
  <c r="AT22" i="50"/>
  <c r="AX33" i="50"/>
  <c r="AJ73" i="50"/>
  <c r="AB24" i="50"/>
  <c r="AP41" i="50"/>
  <c r="AJ67" i="50"/>
  <c r="AJ37" i="50"/>
  <c r="R53" i="50"/>
  <c r="AP19" i="50"/>
  <c r="N20" i="50"/>
  <c r="T68" i="50"/>
  <c r="M45" i="50"/>
  <c r="AB4" i="50"/>
  <c r="W22" i="50"/>
  <c r="R40" i="50"/>
  <c r="AT23" i="50"/>
  <c r="BA24" i="50"/>
  <c r="W44" i="50"/>
  <c r="AA13" i="50"/>
  <c r="BC15" i="50"/>
  <c r="AY18" i="50"/>
  <c r="AT46" i="50"/>
  <c r="AN47" i="50"/>
  <c r="AE42" i="50"/>
  <c r="S73" i="50"/>
  <c r="Q37" i="50"/>
  <c r="AG40" i="50"/>
  <c r="AX50" i="50"/>
  <c r="AH26" i="50"/>
  <c r="Z34" i="50"/>
  <c r="AM48" i="50"/>
  <c r="AE52" i="50"/>
  <c r="AZ68" i="50"/>
  <c r="W70" i="50"/>
  <c r="AK14" i="50"/>
  <c r="AQ72" i="50"/>
  <c r="BC48" i="50"/>
  <c r="AI12" i="50"/>
  <c r="Q53" i="50"/>
  <c r="M71" i="50"/>
  <c r="AP42" i="50"/>
  <c r="AI31" i="50"/>
  <c r="S66" i="50"/>
  <c r="AX49" i="50"/>
  <c r="Y28" i="50"/>
  <c r="AO25" i="50"/>
  <c r="M59" i="50"/>
  <c r="R42" i="50"/>
  <c r="U37" i="50"/>
  <c r="X20" i="50"/>
  <c r="AJ64" i="50"/>
  <c r="BC54" i="50"/>
  <c r="Q35" i="50"/>
  <c r="AE75" i="50"/>
  <c r="AD49" i="50"/>
  <c r="BA21" i="50"/>
  <c r="AS62" i="50"/>
  <c r="AL21" i="50"/>
  <c r="AW48" i="50"/>
  <c r="AO45" i="50"/>
  <c r="U64" i="50"/>
  <c r="AB14" i="50"/>
  <c r="AX16" i="50"/>
  <c r="T25" i="50"/>
  <c r="AV29" i="50"/>
  <c r="AX26" i="50"/>
  <c r="W13" i="50"/>
  <c r="AE15" i="50"/>
  <c r="AC33" i="50"/>
  <c r="AT33" i="50"/>
  <c r="AB46" i="50"/>
  <c r="P17" i="50"/>
  <c r="M61" i="50"/>
  <c r="V48" i="50"/>
  <c r="T60" i="50"/>
  <c r="AP55" i="50"/>
  <c r="L27" i="50"/>
  <c r="AV44" i="50"/>
  <c r="AY32" i="50"/>
  <c r="AF40" i="50"/>
  <c r="X51" i="50"/>
  <c r="O75" i="50"/>
  <c r="AO71" i="50"/>
  <c r="N26" i="50"/>
  <c r="AO35" i="50"/>
  <c r="AG73" i="50"/>
  <c r="AA70" i="50"/>
  <c r="T13" i="50"/>
  <c r="AT18" i="50"/>
  <c r="AF13" i="50"/>
  <c r="AX68" i="50"/>
  <c r="AO50" i="50"/>
  <c r="AY20" i="50"/>
  <c r="O70" i="50"/>
  <c r="AQ36" i="50"/>
  <c r="AA27" i="50"/>
  <c r="O37" i="50"/>
  <c r="O59" i="50"/>
  <c r="AR69" i="50"/>
  <c r="AL19" i="50"/>
  <c r="O74" i="50"/>
  <c r="AA46" i="50"/>
  <c r="R44" i="50"/>
  <c r="AW75" i="50"/>
  <c r="AL48" i="50"/>
  <c r="AM43" i="50"/>
  <c r="AX13" i="50"/>
  <c r="V47" i="50"/>
  <c r="S22" i="50"/>
  <c r="AQ49" i="50"/>
  <c r="N53" i="50"/>
  <c r="U53" i="50"/>
  <c r="R39" i="50"/>
  <c r="AB60" i="50"/>
  <c r="AH51" i="50"/>
  <c r="AB65" i="50"/>
  <c r="BC17" i="50"/>
  <c r="AL54" i="50"/>
  <c r="BA56" i="50"/>
  <c r="AM35" i="50"/>
  <c r="N54" i="50"/>
  <c r="BA18" i="50"/>
  <c r="AI50" i="50"/>
  <c r="AZ62" i="50"/>
  <c r="AC60" i="50"/>
  <c r="N4" i="50"/>
  <c r="AP15" i="50"/>
  <c r="AW15" i="50"/>
  <c r="AW47" i="50"/>
  <c r="Z31" i="50"/>
  <c r="AV19" i="50"/>
  <c r="AS69" i="50"/>
  <c r="Y53" i="50"/>
  <c r="AG67" i="50"/>
  <c r="N27" i="50"/>
  <c r="AR50" i="50"/>
  <c r="AN66" i="50"/>
  <c r="V73" i="50"/>
  <c r="AK52" i="50"/>
  <c r="AL49" i="50"/>
  <c r="AE56" i="50"/>
  <c r="Q30" i="50"/>
  <c r="AS34" i="50"/>
  <c r="R23" i="50"/>
  <c r="AO57" i="50"/>
  <c r="X44" i="50"/>
  <c r="AR5" i="50"/>
  <c r="V14" i="50"/>
  <c r="AY5" i="50"/>
  <c r="O23" i="50"/>
  <c r="X74" i="50"/>
  <c r="AQ55" i="50"/>
  <c r="AZ22" i="50"/>
  <c r="Y31" i="50"/>
  <c r="V57" i="50"/>
  <c r="AR71" i="50"/>
  <c r="U65" i="50"/>
  <c r="T35" i="50"/>
  <c r="AO49" i="50"/>
  <c r="AC25" i="50"/>
  <c r="Z18" i="50"/>
  <c r="AD18" i="50"/>
  <c r="AB32" i="50"/>
  <c r="AU36" i="50"/>
  <c r="W5" i="50"/>
  <c r="AC48" i="50"/>
  <c r="AR12" i="50"/>
  <c r="AU26" i="50"/>
  <c r="AS23" i="50"/>
  <c r="V34" i="50"/>
  <c r="AJ29" i="50"/>
  <c r="AF46" i="50"/>
  <c r="L44" i="50"/>
  <c r="BB16" i="50"/>
  <c r="AE63" i="50"/>
  <c r="AT16" i="50"/>
  <c r="AF29" i="50"/>
  <c r="Q70" i="50"/>
  <c r="N30" i="50"/>
  <c r="AE65" i="50"/>
  <c r="BA64" i="50"/>
  <c r="AD67" i="50"/>
  <c r="AD70" i="50"/>
  <c r="W39" i="50"/>
  <c r="X32" i="50"/>
  <c r="AY44" i="50"/>
  <c r="AO66" i="50"/>
  <c r="AG54" i="50"/>
  <c r="BC75" i="50"/>
  <c r="Z61" i="50"/>
  <c r="AP36" i="50"/>
  <c r="R50" i="50"/>
  <c r="AU17" i="50"/>
  <c r="AQ27" i="50"/>
  <c r="AQ51" i="50"/>
  <c r="AL31" i="50"/>
  <c r="T55" i="50"/>
  <c r="AM41" i="50"/>
  <c r="AT15" i="50"/>
  <c r="AJ5" i="50"/>
  <c r="P56" i="50"/>
  <c r="AY56" i="50"/>
  <c r="M75" i="50"/>
  <c r="AV27" i="50"/>
  <c r="AI17" i="50"/>
  <c r="AB15" i="50"/>
  <c r="R63" i="50"/>
  <c r="AU55" i="50"/>
  <c r="AN48" i="50"/>
  <c r="Q36" i="50"/>
  <c r="N24" i="50"/>
  <c r="AQ68" i="50"/>
  <c r="AV30" i="50"/>
  <c r="BB56" i="50"/>
  <c r="AB20" i="50"/>
  <c r="AM68" i="50"/>
  <c r="R26" i="50"/>
  <c r="BA57" i="50"/>
  <c r="AK25" i="50"/>
  <c r="P4" i="50"/>
  <c r="AH17" i="50"/>
  <c r="R37" i="50"/>
  <c r="M51" i="50"/>
  <c r="BB59" i="50"/>
  <c r="AZ28" i="50"/>
  <c r="AD21" i="50"/>
  <c r="AE21" i="50"/>
  <c r="AG31" i="50"/>
  <c r="AC40" i="50"/>
  <c r="Z25" i="50"/>
  <c r="AN43" i="50"/>
  <c r="AM56" i="50"/>
  <c r="P53" i="50"/>
  <c r="AD40" i="50"/>
  <c r="AU35" i="50"/>
  <c r="X53" i="50"/>
  <c r="W19" i="50"/>
  <c r="AK30" i="50"/>
  <c r="N42" i="50"/>
  <c r="M4" i="50"/>
  <c r="S72" i="50"/>
  <c r="BC65" i="50"/>
  <c r="P67" i="50"/>
  <c r="P20" i="50"/>
  <c r="R55" i="50"/>
  <c r="N56" i="50"/>
  <c r="AI64" i="50"/>
  <c r="BC5" i="50"/>
  <c r="BC25" i="50"/>
  <c r="BA47" i="50"/>
  <c r="BC61" i="50"/>
  <c r="AQ50" i="50"/>
  <c r="AI53" i="50"/>
  <c r="T52" i="50"/>
  <c r="AT57" i="50"/>
  <c r="V52" i="50"/>
  <c r="L63" i="50"/>
  <c r="AD41" i="50"/>
  <c r="W29" i="50"/>
  <c r="X54" i="50"/>
  <c r="AB21" i="50"/>
  <c r="AL60" i="50"/>
  <c r="X27" i="50"/>
  <c r="BA39" i="50"/>
  <c r="BC37" i="50"/>
  <c r="V70" i="50"/>
  <c r="P52" i="50"/>
  <c r="W71" i="50"/>
  <c r="T43" i="50"/>
  <c r="M25" i="50"/>
  <c r="AB18" i="50"/>
  <c r="AC30" i="50"/>
  <c r="AA58" i="50"/>
  <c r="N60" i="50"/>
  <c r="AY48" i="50"/>
  <c r="AX67" i="50"/>
  <c r="L58" i="50"/>
  <c r="AQ67" i="50"/>
  <c r="AN55" i="50"/>
  <c r="AW68" i="50"/>
  <c r="Y58" i="50"/>
  <c r="AA5" i="50"/>
  <c r="AX40" i="50"/>
  <c r="Z59" i="50"/>
  <c r="N61" i="50"/>
  <c r="AJ14" i="50"/>
  <c r="AJ63" i="50"/>
  <c r="M40" i="50"/>
  <c r="T33" i="50"/>
  <c r="BA23" i="50"/>
  <c r="AA12" i="50"/>
  <c r="AT41" i="50"/>
  <c r="AP72" i="50"/>
  <c r="AL38" i="50"/>
  <c r="AC32" i="50"/>
  <c r="BC74" i="50"/>
  <c r="AM40" i="50"/>
  <c r="AG34" i="50"/>
  <c r="AT42" i="50"/>
  <c r="AC61" i="50"/>
  <c r="AK51" i="50"/>
  <c r="BA75" i="50"/>
  <c r="AQ18" i="50"/>
  <c r="S5" i="50"/>
  <c r="U23" i="50"/>
  <c r="AZ65" i="50"/>
  <c r="X57" i="50"/>
  <c r="U68" i="50"/>
  <c r="Q59" i="50"/>
  <c r="X65" i="50"/>
  <c r="Q15" i="50"/>
  <c r="AC58" i="50"/>
  <c r="BB48" i="50"/>
  <c r="AT53" i="50"/>
  <c r="AV33" i="50"/>
  <c r="T17" i="50"/>
  <c r="AR45" i="50"/>
  <c r="N16" i="50"/>
  <c r="Q58" i="50"/>
  <c r="AX23" i="50"/>
  <c r="M49" i="50"/>
  <c r="L73" i="50"/>
  <c r="AF61" i="50"/>
  <c r="AF70" i="50"/>
  <c r="N17" i="50"/>
  <c r="T67" i="50"/>
  <c r="AT56" i="50"/>
  <c r="L38" i="50"/>
  <c r="N51" i="50"/>
  <c r="BB28" i="50"/>
  <c r="AJ44" i="50"/>
  <c r="AC38" i="50"/>
  <c r="AK39" i="50"/>
  <c r="AV72" i="50"/>
  <c r="AM23" i="50"/>
  <c r="R54" i="50"/>
  <c r="AK68" i="50"/>
  <c r="AN12" i="50"/>
  <c r="AV73" i="50"/>
  <c r="L48" i="50"/>
  <c r="AI24" i="50"/>
  <c r="BC30" i="50"/>
  <c r="AM75" i="50"/>
  <c r="P5" i="50"/>
  <c r="S13" i="50"/>
  <c r="AD55" i="50"/>
  <c r="U19" i="50"/>
  <c r="W43" i="50"/>
  <c r="W75" i="50"/>
  <c r="AD15" i="50"/>
  <c r="V65" i="50"/>
  <c r="Z13" i="50"/>
  <c r="AV74" i="50"/>
  <c r="U63" i="50"/>
  <c r="AA28" i="50"/>
  <c r="AG14" i="50"/>
  <c r="AF68" i="50"/>
  <c r="L45" i="50"/>
  <c r="AK34" i="50"/>
  <c r="R21" i="50"/>
  <c r="AY12" i="50"/>
  <c r="AW42" i="50"/>
  <c r="AV55" i="50"/>
  <c r="AB68" i="50"/>
  <c r="AE39" i="50"/>
  <c r="BC72" i="50"/>
  <c r="AC12" i="50"/>
  <c r="AB31" i="50"/>
  <c r="BA25" i="50"/>
  <c r="AN24" i="50"/>
  <c r="BC57" i="50"/>
  <c r="AU70" i="50"/>
  <c r="AE5" i="50"/>
  <c r="P26" i="50"/>
  <c r="AF53" i="50"/>
  <c r="S74" i="50"/>
  <c r="S65" i="50"/>
  <c r="AA52" i="50"/>
  <c r="AO20" i="50"/>
  <c r="P62" i="50"/>
  <c r="AU18" i="50"/>
  <c r="AR18" i="50"/>
  <c r="AJ33" i="50"/>
  <c r="Z47" i="50"/>
  <c r="T73" i="50"/>
  <c r="AY71" i="50"/>
  <c r="AJ41" i="50"/>
  <c r="Y70" i="50"/>
  <c r="AO60" i="50"/>
  <c r="Y46" i="50"/>
  <c r="AS55" i="50"/>
  <c r="AL56" i="50"/>
  <c r="M63" i="50"/>
  <c r="AI37" i="50"/>
  <c r="U22" i="50"/>
  <c r="AN14" i="50"/>
  <c r="AX4" i="50"/>
  <c r="AE30" i="50"/>
  <c r="AD35" i="50"/>
  <c r="AD30" i="50"/>
  <c r="Z65" i="50"/>
  <c r="AN72" i="50"/>
  <c r="AN44" i="50"/>
  <c r="AO32" i="50"/>
  <c r="AQ64" i="50"/>
  <c r="R31" i="50"/>
  <c r="O66" i="50"/>
  <c r="AT25" i="50"/>
  <c r="Z37" i="50"/>
  <c r="AS32" i="50"/>
  <c r="O19" i="50"/>
  <c r="AY34" i="50"/>
  <c r="AG21" i="50"/>
  <c r="AA16" i="50"/>
  <c r="AL32" i="50"/>
  <c r="X66" i="50"/>
  <c r="AH71" i="50"/>
  <c r="AU68" i="50"/>
  <c r="AY23" i="50"/>
  <c r="AD5" i="50"/>
  <c r="AI75" i="50"/>
  <c r="T20" i="50"/>
  <c r="AA4" i="50"/>
  <c r="AD22" i="50"/>
  <c r="AR56" i="50"/>
  <c r="BB32" i="50"/>
  <c r="AF43" i="50"/>
  <c r="AF52" i="50"/>
  <c r="AY17" i="50"/>
  <c r="AU47" i="50"/>
  <c r="AP43" i="50"/>
  <c r="AQ25" i="50"/>
  <c r="U57" i="50"/>
  <c r="AK31" i="50"/>
  <c r="R22" i="50"/>
  <c r="AN34" i="50"/>
  <c r="AF33" i="50"/>
  <c r="AY64" i="50"/>
  <c r="AB63" i="50"/>
  <c r="AA62" i="50"/>
  <c r="AZ32" i="50"/>
  <c r="AC50" i="50"/>
  <c r="AQ66" i="50"/>
  <c r="AP73" i="50"/>
  <c r="U73" i="50"/>
  <c r="AV12" i="50"/>
  <c r="S52" i="50"/>
  <c r="AH23" i="50"/>
  <c r="AV53" i="50"/>
  <c r="V74" i="50"/>
  <c r="AX12" i="50"/>
  <c r="AK20" i="50"/>
  <c r="W50" i="50"/>
  <c r="AS71" i="50"/>
  <c r="AK75" i="50"/>
  <c r="AU46" i="50"/>
  <c r="AV32" i="50"/>
  <c r="AH21" i="50"/>
  <c r="AQ71" i="50"/>
  <c r="S35" i="50"/>
  <c r="AS44" i="50"/>
  <c r="AO59" i="50"/>
  <c r="BB25" i="50"/>
  <c r="AQ62" i="50"/>
  <c r="AA66" i="50"/>
  <c r="W74" i="50"/>
  <c r="AE22" i="50"/>
  <c r="AN42" i="50"/>
  <c r="AH5" i="50"/>
  <c r="R51" i="50"/>
  <c r="W15" i="50"/>
  <c r="AM53" i="50"/>
  <c r="AP63" i="50"/>
  <c r="AK19" i="50"/>
  <c r="Y63" i="50"/>
  <c r="AM26" i="50"/>
  <c r="AZ47" i="50"/>
  <c r="U38" i="50"/>
  <c r="Y16" i="50"/>
  <c r="T64" i="50"/>
  <c r="Q5" i="50"/>
  <c r="W61" i="50"/>
  <c r="AU44" i="50"/>
  <c r="M26" i="50"/>
  <c r="AO13" i="50"/>
  <c r="AS12" i="50"/>
  <c r="AJ35" i="50"/>
  <c r="M58" i="50"/>
  <c r="BC62" i="50"/>
  <c r="AW18" i="50"/>
  <c r="AA54" i="50"/>
  <c r="AN18" i="50"/>
  <c r="AW31" i="50"/>
  <c r="M32" i="50"/>
  <c r="AE49" i="50"/>
  <c r="Q73" i="50"/>
  <c r="W46" i="50"/>
  <c r="T69" i="50"/>
  <c r="AK22" i="50"/>
  <c r="Z43" i="50"/>
  <c r="Q71" i="50"/>
  <c r="AR58" i="50"/>
  <c r="AF38" i="50"/>
  <c r="V54" i="50"/>
  <c r="V28" i="50"/>
  <c r="AP17" i="50"/>
  <c r="Y71" i="50"/>
  <c r="AU32" i="50"/>
  <c r="BB33" i="50"/>
  <c r="AP24" i="50"/>
  <c r="P14" i="50"/>
  <c r="AZ67" i="50"/>
  <c r="N29" i="50"/>
  <c r="L65" i="50"/>
  <c r="AF5" i="50"/>
  <c r="AF60" i="50"/>
  <c r="AH64" i="50"/>
  <c r="U46" i="50"/>
  <c r="AZ72" i="50"/>
  <c r="M27" i="50"/>
  <c r="AK41" i="50"/>
  <c r="V13" i="50"/>
  <c r="AD38" i="50"/>
  <c r="AE43" i="50"/>
  <c r="AE28" i="50"/>
  <c r="Y21" i="50"/>
  <c r="BC29" i="50"/>
  <c r="Y34" i="50"/>
  <c r="AI18" i="50"/>
  <c r="Y35" i="50"/>
  <c r="R14" i="50"/>
  <c r="AC41" i="50"/>
  <c r="AX54" i="50"/>
  <c r="O32" i="50"/>
  <c r="AY67" i="50"/>
  <c r="AC47" i="50"/>
  <c r="BB47" i="50"/>
  <c r="AP58" i="50"/>
  <c r="AX28" i="50"/>
  <c r="M56" i="50"/>
  <c r="AJ16" i="50"/>
  <c r="AN63" i="50"/>
  <c r="AR57" i="50"/>
  <c r="L31" i="50"/>
  <c r="AG36" i="50"/>
  <c r="AV39" i="50"/>
  <c r="Y44" i="50"/>
  <c r="AZ37" i="50"/>
  <c r="U36" i="50"/>
  <c r="AQ53" i="50"/>
  <c r="AO40" i="50"/>
  <c r="AN74" i="50"/>
  <c r="BA31" i="50"/>
  <c r="AB69" i="50"/>
  <c r="AY46" i="50"/>
  <c r="AN69" i="50"/>
  <c r="Y36" i="50"/>
  <c r="AV75" i="50"/>
  <c r="AI32" i="50"/>
  <c r="AO44" i="50"/>
  <c r="W33" i="50"/>
  <c r="AE38" i="50"/>
  <c r="AE62" i="50"/>
  <c r="W4" i="50"/>
  <c r="S53" i="50"/>
  <c r="AF67" i="50"/>
  <c r="AT74" i="50"/>
  <c r="AW24" i="50"/>
  <c r="Y26" i="50"/>
  <c r="BA65" i="50"/>
  <c r="L26" i="50"/>
  <c r="AZ26" i="50"/>
  <c r="AQ74" i="50"/>
  <c r="M54" i="50"/>
  <c r="N18" i="50"/>
  <c r="AG30" i="50"/>
  <c r="AX74" i="50"/>
  <c r="Q50" i="50"/>
  <c r="BC56" i="50"/>
  <c r="AZ56" i="50"/>
  <c r="AQ48" i="50"/>
  <c r="L56" i="50"/>
  <c r="AP48" i="50"/>
  <c r="S54" i="50"/>
  <c r="O44" i="50"/>
  <c r="N48" i="50"/>
  <c r="BC42" i="50"/>
  <c r="AJ20" i="50"/>
  <c r="AG57" i="50"/>
  <c r="AN28" i="50"/>
  <c r="AK42" i="50"/>
  <c r="AR29" i="50"/>
  <c r="BC22" i="50"/>
  <c r="AR46" i="50"/>
  <c r="AE13" i="50"/>
  <c r="AN45" i="50"/>
  <c r="AR31" i="50"/>
  <c r="AY65" i="50"/>
  <c r="U55" i="50"/>
  <c r="AI40" i="50"/>
  <c r="AK21" i="50"/>
  <c r="AT66" i="50"/>
  <c r="V29" i="50"/>
  <c r="X35" i="50"/>
  <c r="R33" i="50"/>
  <c r="P54" i="50"/>
  <c r="AO37" i="50"/>
  <c r="AE20" i="50"/>
  <c r="AH73" i="50"/>
  <c r="AH29" i="50"/>
  <c r="AD61" i="50"/>
  <c r="U51" i="50"/>
  <c r="AX48" i="50"/>
  <c r="AP30" i="50"/>
  <c r="AE12" i="50"/>
  <c r="W17" i="50"/>
  <c r="Y33" i="50"/>
  <c r="AJ51" i="50"/>
  <c r="AR36" i="50"/>
  <c r="AJ60" i="50"/>
  <c r="AF65" i="50"/>
  <c r="AU22" i="50"/>
  <c r="AB26" i="50"/>
  <c r="O39" i="50"/>
  <c r="AC70" i="50"/>
  <c r="M38" i="50"/>
  <c r="AC46" i="50"/>
  <c r="AE18" i="50"/>
  <c r="AM47" i="50"/>
  <c r="L46" i="50"/>
  <c r="O73" i="50"/>
  <c r="AL66" i="50"/>
  <c r="AF49" i="50"/>
  <c r="X38" i="50"/>
  <c r="AO55" i="50"/>
  <c r="O49" i="50"/>
  <c r="AD32" i="50"/>
  <c r="AP59" i="50"/>
  <c r="AA26" i="50"/>
  <c r="Y42" i="50"/>
  <c r="AD75" i="50"/>
  <c r="M15" i="50"/>
  <c r="AZ20" i="50"/>
  <c r="AU65" i="50"/>
  <c r="AX51" i="50"/>
  <c r="AN60" i="50"/>
  <c r="AE68" i="50"/>
  <c r="U31" i="50"/>
  <c r="AJ72" i="50"/>
  <c r="L53" i="50"/>
  <c r="AM16" i="50"/>
  <c r="AE47" i="50"/>
  <c r="AG52" i="50"/>
  <c r="AY51" i="50"/>
  <c r="AV54" i="50"/>
  <c r="AQ59" i="50"/>
  <c r="O33" i="50"/>
  <c r="AI69" i="50"/>
  <c r="T21" i="50"/>
  <c r="AU13" i="50"/>
  <c r="O20" i="50"/>
  <c r="N49" i="50"/>
  <c r="AH14" i="50"/>
  <c r="P31" i="50"/>
  <c r="AW20" i="50"/>
  <c r="AN68" i="50"/>
  <c r="BC47" i="50"/>
  <c r="AL17" i="50"/>
  <c r="AU19" i="50"/>
  <c r="R29" i="50"/>
  <c r="BC35" i="50"/>
  <c r="BA30" i="50"/>
  <c r="AP13" i="50"/>
  <c r="AT65" i="50"/>
  <c r="AU21" i="50"/>
  <c r="AU53" i="50"/>
  <c r="AK74" i="50"/>
  <c r="AX41" i="50"/>
  <c r="AE70" i="50"/>
  <c r="AY70" i="50"/>
  <c r="AX38" i="50"/>
  <c r="AG27" i="50"/>
  <c r="AC56" i="50"/>
  <c r="AV65" i="50"/>
  <c r="N25" i="50"/>
  <c r="AY49" i="50"/>
  <c r="X56" i="50"/>
  <c r="AN36" i="50"/>
  <c r="AH33" i="50"/>
  <c r="AO48" i="50"/>
  <c r="AL43" i="50"/>
  <c r="AP38" i="50"/>
  <c r="BC73" i="50"/>
  <c r="O72" i="50"/>
  <c r="AB45" i="50"/>
  <c r="AE32" i="50"/>
  <c r="X67" i="50"/>
  <c r="AE69" i="50"/>
  <c r="Z67" i="50"/>
  <c r="AB73" i="50"/>
  <c r="Z55" i="50"/>
  <c r="AQ24" i="50"/>
  <c r="T14" i="50"/>
  <c r="AJ45" i="50"/>
  <c r="AH32" i="50"/>
  <c r="AS39" i="50"/>
  <c r="P16" i="50"/>
  <c r="BA40" i="50"/>
  <c r="M29" i="50"/>
  <c r="M44" i="50"/>
  <c r="AA22" i="50"/>
  <c r="AS56" i="50"/>
  <c r="AJ65" i="50"/>
  <c r="AR60" i="50"/>
  <c r="AV49" i="50"/>
  <c r="L54" i="50"/>
  <c r="O27" i="50"/>
  <c r="AW59" i="50"/>
  <c r="AG35" i="50"/>
  <c r="AP21" i="50"/>
  <c r="AG23" i="50"/>
  <c r="Z63" i="50"/>
  <c r="BC4" i="50"/>
  <c r="BA14" i="50"/>
  <c r="AB5" i="50"/>
  <c r="Q44" i="50"/>
  <c r="AJ27" i="50"/>
  <c r="V51" i="50"/>
  <c r="AD50" i="50"/>
  <c r="AX18" i="50"/>
  <c r="Z30" i="50"/>
  <c r="BB68" i="50"/>
  <c r="AK73" i="50"/>
  <c r="AS25" i="50"/>
  <c r="AI44" i="50"/>
  <c r="AC49" i="50"/>
  <c r="AR74" i="50"/>
  <c r="BC69" i="50"/>
  <c r="AR23" i="50"/>
  <c r="AS54" i="50"/>
  <c r="M37" i="50"/>
  <c r="N44" i="50"/>
  <c r="AB67" i="50"/>
  <c r="W47" i="50"/>
  <c r="AK40" i="50"/>
  <c r="AA18" i="50"/>
  <c r="BC33" i="50"/>
  <c r="AL23" i="50"/>
  <c r="Y57" i="50"/>
  <c r="AX37" i="50"/>
  <c r="O45" i="50"/>
  <c r="X12" i="50"/>
  <c r="BB22" i="50"/>
  <c r="AO64" i="50"/>
  <c r="BB53" i="50"/>
  <c r="AL25" i="50"/>
  <c r="AD13" i="50"/>
  <c r="U5" i="50"/>
  <c r="M5" i="50"/>
  <c r="AW34" i="50"/>
  <c r="AF69" i="50"/>
  <c r="AH57" i="50"/>
  <c r="AX66" i="50"/>
  <c r="AK48" i="50"/>
  <c r="R52" i="50"/>
  <c r="AA43" i="50"/>
  <c r="AQ45" i="50"/>
  <c r="AM39" i="50"/>
  <c r="Z50" i="50"/>
  <c r="BB69" i="50"/>
  <c r="AA73" i="50"/>
  <c r="AT52" i="50"/>
  <c r="Q60" i="50"/>
  <c r="AE67" i="50"/>
  <c r="Q4" i="50"/>
  <c r="N34" i="50"/>
  <c r="AN16" i="50"/>
  <c r="AR70" i="50"/>
  <c r="R72" i="50"/>
  <c r="AQ30" i="50"/>
  <c r="AO29" i="50"/>
  <c r="Z12" i="50"/>
  <c r="W30" i="50"/>
  <c r="S49" i="50"/>
  <c r="AA72" i="50"/>
  <c r="AC68" i="50"/>
  <c r="AW63" i="50"/>
  <c r="AF73" i="50"/>
  <c r="AZ57" i="50"/>
  <c r="AI34" i="50"/>
  <c r="AV68" i="50"/>
  <c r="R15" i="50"/>
  <c r="AK16" i="50"/>
  <c r="AN57" i="50"/>
  <c r="V18" i="50"/>
  <c r="AC51" i="50"/>
  <c r="AJ74" i="50"/>
  <c r="O31" i="50"/>
  <c r="AY69" i="50"/>
  <c r="Q34" i="50"/>
  <c r="V58" i="50"/>
  <c r="AI65" i="50"/>
  <c r="Z24" i="50"/>
  <c r="M68" i="50"/>
  <c r="Y30" i="50"/>
  <c r="AT26" i="50"/>
  <c r="AR63" i="50"/>
  <c r="AR53" i="50"/>
  <c r="AP68" i="50"/>
  <c r="AW27" i="50"/>
  <c r="Q64" i="50"/>
  <c r="O53" i="50"/>
  <c r="AO18" i="50"/>
  <c r="AJ24" i="50"/>
  <c r="AW46" i="50"/>
  <c r="AF17" i="50"/>
  <c r="AR38" i="50"/>
  <c r="T54" i="50"/>
  <c r="N62" i="50"/>
  <c r="U48" i="50"/>
  <c r="AV37" i="50"/>
  <c r="AI66" i="50"/>
  <c r="AA17" i="50"/>
  <c r="Y56" i="50"/>
  <c r="AY53" i="50"/>
  <c r="P38" i="50"/>
  <c r="P69" i="50"/>
  <c r="AW49" i="50"/>
  <c r="M66" i="50"/>
  <c r="P43" i="50"/>
  <c r="AA30" i="50"/>
  <c r="AF37" i="50"/>
  <c r="AN73" i="50"/>
  <c r="X46" i="50"/>
  <c r="Y50" i="50"/>
  <c r="AL4" i="50"/>
  <c r="AE17" i="50"/>
  <c r="AS36" i="50"/>
  <c r="L59" i="50"/>
  <c r="U69" i="50"/>
  <c r="AI47" i="50"/>
  <c r="W24" i="50"/>
  <c r="AW40" i="50"/>
  <c r="AT59" i="50"/>
  <c r="AQ43" i="50"/>
  <c r="AA59" i="50"/>
  <c r="AE4" i="50"/>
  <c r="AV62" i="50"/>
  <c r="T4" i="50"/>
  <c r="BA20" i="50"/>
  <c r="AM25" i="50"/>
  <c r="AH42" i="50"/>
  <c r="L13" i="50"/>
  <c r="AS65" i="50"/>
  <c r="Q21" i="50"/>
  <c r="AX47" i="50"/>
  <c r="AY54" i="50"/>
  <c r="V12" i="50"/>
  <c r="T15" i="50"/>
  <c r="AB61" i="50"/>
  <c r="L16" i="50"/>
  <c r="AL70" i="50"/>
  <c r="T56" i="50"/>
  <c r="AE61" i="50"/>
  <c r="W65" i="50"/>
  <c r="AD34" i="50"/>
  <c r="AP46" i="50"/>
  <c r="R38" i="50"/>
  <c r="AM73" i="50"/>
  <c r="R58" i="50"/>
  <c r="AU4" i="50"/>
  <c r="BC71" i="50"/>
  <c r="AQ12" i="50"/>
  <c r="L30" i="50"/>
  <c r="X13" i="50"/>
  <c r="AG4" i="50"/>
  <c r="BC36" i="50"/>
  <c r="AR54" i="50"/>
  <c r="AI61" i="50"/>
  <c r="BC27" i="50"/>
  <c r="AI59" i="50"/>
  <c r="AN26" i="50"/>
  <c r="L37" i="50"/>
  <c r="AG45" i="50"/>
  <c r="AT73" i="50"/>
  <c r="M33" i="50"/>
  <c r="Z16" i="50"/>
  <c r="Y22" i="50"/>
  <c r="AO14" i="50"/>
  <c r="AS49" i="50"/>
  <c r="M16" i="50"/>
  <c r="AL27" i="50"/>
  <c r="Z38" i="50"/>
  <c r="AY16" i="50"/>
  <c r="M13" i="50"/>
  <c r="AC44" i="50"/>
  <c r="AD51" i="50"/>
  <c r="AC17" i="50"/>
  <c r="AF50" i="50"/>
  <c r="Z35" i="50"/>
  <c r="AT69" i="50"/>
  <c r="U75" i="50"/>
  <c r="AC21" i="50"/>
  <c r="BC68" i="50"/>
  <c r="AQ29" i="50"/>
  <c r="AJ12" i="50"/>
  <c r="AX17" i="50"/>
  <c r="AH12" i="50"/>
  <c r="Q16" i="50"/>
  <c r="AK13" i="50"/>
  <c r="AR17" i="50"/>
  <c r="Y37" i="50"/>
  <c r="L50" i="50"/>
  <c r="AC14" i="50"/>
  <c r="AU49" i="50"/>
  <c r="AG29" i="50"/>
  <c r="AO21" i="50"/>
  <c r="BC52" i="50"/>
  <c r="V72" i="50"/>
  <c r="AU54" i="50"/>
  <c r="AZ33" i="50"/>
  <c r="AJ70" i="50"/>
  <c r="AY55" i="50"/>
  <c r="Y38" i="50"/>
  <c r="AZ36" i="50"/>
  <c r="P12" i="50"/>
  <c r="AG28" i="50"/>
  <c r="AA69" i="50"/>
  <c r="Z4" i="50"/>
  <c r="AH31" i="50"/>
  <c r="AH47" i="50"/>
  <c r="AR26" i="50"/>
  <c r="AK27" i="50"/>
  <c r="X52" i="50"/>
  <c r="AT54" i="50"/>
  <c r="BC64" i="50"/>
  <c r="M28" i="50"/>
  <c r="AL61" i="50"/>
  <c r="AR55" i="50"/>
  <c r="AM24" i="50"/>
  <c r="M42" i="50"/>
  <c r="Y45" i="50"/>
  <c r="AY15" i="50"/>
  <c r="Q43" i="50"/>
  <c r="AI30" i="50"/>
  <c r="AW21" i="50"/>
  <c r="Y64" i="50"/>
  <c r="AZ34" i="50"/>
  <c r="Q32" i="50"/>
  <c r="BC66" i="50"/>
  <c r="T29" i="50"/>
  <c r="Q62" i="50"/>
  <c r="AY62" i="50"/>
  <c r="AH38" i="50"/>
  <c r="AF39" i="50"/>
  <c r="AK57" i="50"/>
  <c r="Y15" i="50"/>
  <c r="R5" i="50"/>
  <c r="BC38" i="50"/>
  <c r="Q19" i="50"/>
  <c r="O28" i="50"/>
  <c r="P42" i="50"/>
  <c r="W38" i="50"/>
  <c r="AY63" i="50"/>
  <c r="Y47" i="50"/>
  <c r="AY30" i="50"/>
  <c r="N69" i="50"/>
  <c r="AF26" i="50"/>
  <c r="AR73" i="50"/>
  <c r="AJ25" i="50"/>
  <c r="AG65" i="50"/>
  <c r="AV46" i="50"/>
  <c r="BC46" i="50"/>
  <c r="AP74" i="50"/>
  <c r="Z44" i="50"/>
  <c r="AD28" i="50"/>
  <c r="AM54" i="50"/>
  <c r="T24" i="50"/>
  <c r="Y65" i="50"/>
  <c r="U67" i="50"/>
  <c r="AO65" i="50"/>
  <c r="AV24" i="50"/>
  <c r="U30" i="50"/>
  <c r="P48" i="50"/>
  <c r="P29" i="50"/>
  <c r="AC42" i="50"/>
  <c r="N13" i="50"/>
  <c r="AM59" i="50"/>
  <c r="N15" i="50"/>
  <c r="O68" i="50"/>
  <c r="AT5" i="50"/>
  <c r="AW30" i="50"/>
  <c r="AG18" i="50"/>
  <c r="AN30" i="50"/>
  <c r="BB29" i="50"/>
  <c r="AP40" i="50"/>
  <c r="M43" i="50"/>
  <c r="AD14" i="50"/>
  <c r="BA55" i="50"/>
  <c r="O21" i="50"/>
  <c r="AY59" i="50"/>
  <c r="AA49" i="50"/>
  <c r="BC70" i="50"/>
  <c r="AW29" i="50"/>
  <c r="AF44" i="50"/>
  <c r="AM27" i="50"/>
  <c r="Z28" i="50"/>
  <c r="AU27" i="50"/>
  <c r="BA17" i="50"/>
  <c r="AJ47" i="50"/>
  <c r="T37" i="50"/>
  <c r="U13" i="50"/>
  <c r="AQ75" i="50"/>
  <c r="AQ16" i="50"/>
  <c r="R16" i="50"/>
  <c r="AB72" i="50"/>
  <c r="O61" i="50"/>
  <c r="AH75" i="50"/>
  <c r="AO23" i="50"/>
  <c r="AW19" i="50"/>
  <c r="AA25" i="50"/>
  <c r="AQ20" i="50"/>
  <c r="AD60" i="50"/>
  <c r="L5" i="50"/>
  <c r="Y39" i="50"/>
  <c r="L22" i="50"/>
  <c r="W55" i="50"/>
  <c r="AB71" i="50"/>
  <c r="AM31" i="50"/>
  <c r="Y69" i="50"/>
  <c r="AP75" i="50"/>
  <c r="AQ69" i="50"/>
  <c r="AI63" i="50"/>
  <c r="AU33" i="50"/>
  <c r="AO17" i="50"/>
  <c r="AX43" i="50"/>
  <c r="BB24" i="50"/>
  <c r="V60" i="50"/>
  <c r="AV4" i="50"/>
  <c r="L19" i="50"/>
  <c r="N37" i="50"/>
  <c r="O51" i="50"/>
  <c r="AI43" i="50"/>
  <c r="O40" i="50"/>
  <c r="L60" i="50"/>
  <c r="AX42" i="50"/>
  <c r="AU58" i="50"/>
  <c r="T31" i="50"/>
  <c r="W18" i="50"/>
  <c r="AN59" i="50"/>
  <c r="AV13" i="50"/>
  <c r="AN31" i="50"/>
  <c r="AH44" i="50"/>
  <c r="L36" i="50"/>
  <c r="M14" i="50"/>
  <c r="AB36" i="50"/>
  <c r="Z75" i="50"/>
  <c r="BB15" i="50"/>
  <c r="R36" i="50"/>
  <c r="S14" i="50"/>
  <c r="AW38" i="50"/>
  <c r="AA60" i="50"/>
  <c r="AN50" i="50"/>
  <c r="AR13" i="50"/>
  <c r="AI21" i="50"/>
  <c r="AQ4" i="50"/>
  <c r="AP31" i="50"/>
  <c r="AH37" i="50"/>
  <c r="AR48" i="50"/>
  <c r="V69" i="50"/>
  <c r="AK4" i="50"/>
  <c r="W27" i="50"/>
  <c r="AT63" i="50"/>
  <c r="AW56" i="50"/>
  <c r="V27" i="50"/>
  <c r="AG46" i="50"/>
  <c r="AN49" i="50"/>
  <c r="AD23" i="50"/>
  <c r="AI57" i="50"/>
  <c r="AN75" i="50"/>
  <c r="AO63" i="50"/>
  <c r="N12" i="50"/>
  <c r="AN52" i="50"/>
  <c r="P13" i="50"/>
  <c r="M74" i="50"/>
  <c r="AS51" i="50"/>
  <c r="L67" i="50"/>
  <c r="AP51" i="50"/>
  <c r="AD36" i="50"/>
  <c r="V37" i="50"/>
  <c r="N5" i="50"/>
  <c r="AV26" i="50"/>
  <c r="AG20" i="50"/>
  <c r="AU60" i="50"/>
  <c r="BB36" i="50"/>
  <c r="V26" i="50"/>
  <c r="AQ37" i="50"/>
  <c r="AL42" i="50"/>
  <c r="M24" i="50"/>
  <c r="AD71" i="50"/>
  <c r="AL33" i="50"/>
  <c r="BA74" i="50"/>
  <c r="AZ21" i="50"/>
  <c r="AT35" i="50"/>
  <c r="Y29" i="50"/>
  <c r="AZ4" i="50"/>
  <c r="N66" i="50"/>
  <c r="V16" i="50"/>
  <c r="Q33" i="50"/>
  <c r="AB22" i="50"/>
  <c r="W26" i="50"/>
  <c r="AE66" i="50"/>
  <c r="AS37" i="50"/>
  <c r="BB14" i="50"/>
  <c r="V75" i="50"/>
  <c r="AC29" i="50"/>
  <c r="AN27" i="50"/>
  <c r="P66" i="50"/>
  <c r="T71" i="50"/>
  <c r="AJ46" i="50"/>
  <c r="P33" i="50"/>
  <c r="AB17" i="50"/>
  <c r="AX65" i="50"/>
  <c r="S42" i="50"/>
  <c r="AR47" i="50"/>
  <c r="T62" i="50"/>
  <c r="BA53" i="50"/>
  <c r="AQ5" i="50"/>
  <c r="AU63" i="50"/>
  <c r="AN21" i="50"/>
  <c r="X45" i="50"/>
  <c r="BB5" i="50"/>
  <c r="AG60" i="50"/>
  <c r="AP20" i="50"/>
  <c r="AW41" i="50"/>
  <c r="AA32" i="50"/>
  <c r="L25" i="50"/>
  <c r="M64" i="50"/>
  <c r="AK36" i="50"/>
  <c r="BC55" i="50"/>
  <c r="BA44" i="50"/>
  <c r="T38" i="50"/>
  <c r="AD48" i="50"/>
  <c r="AK59" i="50"/>
  <c r="AZ59" i="50"/>
  <c r="AS14" i="50"/>
  <c r="AB58" i="50"/>
  <c r="AI67" i="50"/>
  <c r="AO24" i="50"/>
  <c r="BA49" i="50"/>
  <c r="L17" i="50"/>
  <c r="AD29" i="50"/>
  <c r="T58" i="50"/>
  <c r="AB64" i="50"/>
  <c r="O16" i="50"/>
  <c r="AD12" i="50"/>
  <c r="AL53" i="50"/>
  <c r="AK17" i="50"/>
  <c r="AL71" i="50"/>
  <c r="BB60" i="50"/>
  <c r="AL74" i="50"/>
  <c r="AQ60" i="50"/>
  <c r="Z36" i="50"/>
  <c r="Y48" i="50"/>
  <c r="AZ38" i="50"/>
  <c r="AE71" i="50"/>
  <c r="N64" i="50"/>
  <c r="AG69" i="50"/>
  <c r="AI36" i="50"/>
  <c r="AV63" i="50"/>
  <c r="AM19" i="50"/>
  <c r="Q54" i="50"/>
  <c r="X71" i="50"/>
  <c r="R46" i="50"/>
  <c r="Q66" i="50"/>
  <c r="AJ31" i="50"/>
  <c r="Y13" i="50"/>
  <c r="AM69" i="50"/>
  <c r="AQ65" i="50"/>
  <c r="AC18" i="50"/>
  <c r="BC39" i="50"/>
  <c r="AI22" i="50"/>
  <c r="AC57" i="50"/>
  <c r="AV14" i="50"/>
  <c r="Z70" i="50"/>
  <c r="T51" i="50"/>
  <c r="AK47" i="50"/>
  <c r="AJ71" i="50"/>
  <c r="BA71" i="50"/>
  <c r="AN17" i="50"/>
  <c r="AB52" i="50"/>
  <c r="T36" i="50"/>
  <c r="Y18" i="50"/>
  <c r="AZ40" i="50"/>
  <c r="BC43" i="50"/>
  <c r="S60" i="50"/>
  <c r="W45" i="50"/>
  <c r="AL40" i="50"/>
  <c r="AG17" i="50"/>
  <c r="Q72" i="50"/>
  <c r="BA43" i="50"/>
  <c r="U20" i="50"/>
  <c r="AR61" i="50"/>
  <c r="AP16" i="50"/>
  <c r="AE23" i="50"/>
  <c r="AA24" i="50"/>
  <c r="AQ40" i="50"/>
  <c r="AJ4" i="50"/>
  <c r="BB61" i="50"/>
  <c r="Y73" i="50"/>
  <c r="U32" i="50"/>
  <c r="BC24" i="50"/>
  <c r="AK64" i="50"/>
  <c r="AK43" i="50"/>
  <c r="P36" i="50"/>
  <c r="AM67" i="50"/>
  <c r="AO36" i="50"/>
  <c r="AM4" i="50"/>
  <c r="AT36" i="50"/>
  <c r="AS41" i="50"/>
  <c r="BC53" i="50"/>
  <c r="L62" i="50"/>
  <c r="AF14" i="50"/>
  <c r="AT13" i="50"/>
  <c r="AE44" i="50"/>
  <c r="AE46" i="50"/>
  <c r="AW70" i="50"/>
  <c r="AT34" i="50"/>
  <c r="T61" i="50"/>
  <c r="V43" i="50"/>
  <c r="AA37" i="50"/>
  <c r="AP28" i="50"/>
  <c r="BA26" i="50"/>
  <c r="AR43" i="50"/>
  <c r="U70" i="50"/>
  <c r="X28" i="50"/>
  <c r="O60" i="50"/>
  <c r="AH70" i="50"/>
  <c r="AB50" i="50"/>
  <c r="AC15" i="50"/>
  <c r="AT24" i="50"/>
  <c r="AB62" i="50"/>
  <c r="AG43" i="50"/>
  <c r="AM61" i="50"/>
  <c r="N50" i="50"/>
  <c r="AW39" i="50"/>
  <c r="AV25" i="50"/>
  <c r="P59" i="50"/>
  <c r="AJ69" i="50"/>
  <c r="X59" i="50"/>
  <c r="AW72" i="50"/>
  <c r="AS48" i="50"/>
  <c r="R70" i="50"/>
  <c r="AW67" i="50"/>
  <c r="AJ18" i="50"/>
  <c r="AC63" i="50"/>
  <c r="AX57" i="50"/>
  <c r="W31" i="50"/>
  <c r="BC18" i="50"/>
  <c r="AO12" i="50"/>
  <c r="AW22" i="50"/>
  <c r="AS27" i="50"/>
  <c r="W48" i="50"/>
  <c r="AY45" i="50"/>
  <c r="AO68" i="50"/>
  <c r="AB23" i="50"/>
  <c r="AR35" i="50"/>
  <c r="AZ12" i="50"/>
  <c r="AI20" i="50"/>
  <c r="AN37" i="50"/>
  <c r="BC13" i="50"/>
  <c r="AG70" i="50"/>
  <c r="W52" i="50"/>
  <c r="AL57" i="50"/>
  <c r="N55" i="50"/>
  <c r="M41" i="50"/>
  <c r="AP66" i="50"/>
  <c r="V49" i="50"/>
  <c r="AE24" i="50"/>
  <c r="AT67" i="50"/>
  <c r="BB45" i="50"/>
  <c r="AU15" i="50"/>
  <c r="AE45" i="50"/>
  <c r="BB12" i="50"/>
  <c r="AM52" i="50"/>
  <c r="BB46" i="50"/>
  <c r="AK62" i="50"/>
  <c r="U25" i="50"/>
  <c r="P71" i="50"/>
  <c r="T44" i="50"/>
  <c r="BC40" i="50"/>
  <c r="M62" i="50"/>
  <c r="U72" i="50"/>
  <c r="AC54" i="50"/>
  <c r="AY19" i="50"/>
  <c r="AT47" i="50"/>
  <c r="AM45" i="50"/>
  <c r="AL50" i="50"/>
  <c r="AQ13" i="50"/>
  <c r="AH24" i="50"/>
  <c r="AP71" i="50"/>
  <c r="AY68" i="50"/>
  <c r="X47" i="50"/>
  <c r="AW35" i="50"/>
  <c r="AZ18" i="50"/>
  <c r="AW64" i="50"/>
  <c r="S16" i="50"/>
  <c r="AC5" i="50"/>
  <c r="P70" i="50"/>
  <c r="X62" i="50"/>
  <c r="N45" i="50"/>
  <c r="AH46" i="50"/>
  <c r="Q69" i="50"/>
  <c r="AV31" i="50"/>
  <c r="AP60" i="50"/>
  <c r="AL29" i="50"/>
  <c r="AF27" i="50"/>
  <c r="BB73" i="50"/>
  <c r="V22" i="50"/>
  <c r="AX20" i="50"/>
  <c r="O26" i="50"/>
  <c r="AA33" i="50"/>
  <c r="BA16" i="50"/>
  <c r="AY26" i="50"/>
  <c r="P63" i="50"/>
  <c r="Q12" i="50"/>
  <c r="AU66" i="50"/>
  <c r="N52" i="50"/>
  <c r="AV59" i="50"/>
  <c r="F62" i="50" l="1"/>
  <c r="J62" i="50" s="1"/>
  <c r="F17" i="50"/>
  <c r="AS10" i="4" s="1"/>
  <c r="N10" i="4" s="1"/>
  <c r="F25" i="50"/>
  <c r="J25" i="50" s="1"/>
  <c r="F67" i="50"/>
  <c r="J67" i="50" s="1"/>
  <c r="F36" i="50"/>
  <c r="F60" i="50"/>
  <c r="H60" i="50" s="1"/>
  <c r="F19" i="50"/>
  <c r="AS10" i="1" s="1"/>
  <c r="O10" i="1" s="1"/>
  <c r="A10" i="1" s="1"/>
  <c r="F22" i="50"/>
  <c r="H22" i="50" s="1"/>
  <c r="F5" i="50"/>
  <c r="J5" i="50" s="1"/>
  <c r="F50" i="50"/>
  <c r="H50" i="50" s="1"/>
  <c r="F37" i="50"/>
  <c r="F30" i="50"/>
  <c r="AS11" i="4" s="1"/>
  <c r="N11" i="4" s="1"/>
  <c r="F16" i="50"/>
  <c r="J16" i="50" s="1"/>
  <c r="F13" i="50"/>
  <c r="J13" i="50" s="1"/>
  <c r="F59" i="50"/>
  <c r="H59" i="50" s="1"/>
  <c r="F54" i="50"/>
  <c r="J54" i="50" s="1"/>
  <c r="F53" i="50"/>
  <c r="F46" i="50"/>
  <c r="H46" i="50" s="1"/>
  <c r="F56" i="50"/>
  <c r="J56" i="50" s="1"/>
  <c r="F26" i="50"/>
  <c r="F31" i="50"/>
  <c r="F65" i="50"/>
  <c r="J65" i="50" s="1"/>
  <c r="F45" i="50"/>
  <c r="F48" i="50"/>
  <c r="J48" i="50" s="1"/>
  <c r="F38" i="50"/>
  <c r="J38" i="50" s="1"/>
  <c r="F73" i="50"/>
  <c r="J73" i="50" s="1"/>
  <c r="F58" i="50"/>
  <c r="F63" i="50"/>
  <c r="J63" i="50" s="1"/>
  <c r="K4" i="50"/>
  <c r="F44" i="50"/>
  <c r="J44" i="50" s="1"/>
  <c r="F27" i="50"/>
  <c r="AS13" i="1" s="1"/>
  <c r="N13" i="1" s="1"/>
  <c r="F57" i="50"/>
  <c r="AS24" i="1" s="1"/>
  <c r="F34" i="50"/>
  <c r="F35" i="50"/>
  <c r="F40" i="50"/>
  <c r="J40" i="50" s="1"/>
  <c r="F71" i="50"/>
  <c r="J71" i="50" s="1"/>
  <c r="F29" i="50"/>
  <c r="J29" i="50" s="1"/>
  <c r="F18" i="50"/>
  <c r="AS5" i="4" s="1"/>
  <c r="F72" i="50"/>
  <c r="F12" i="50"/>
  <c r="AS12" i="137" s="1"/>
  <c r="O12" i="137" s="1"/>
  <c r="A12" i="137" s="1"/>
  <c r="F14" i="50"/>
  <c r="F61" i="50"/>
  <c r="F23" i="50"/>
  <c r="J23" i="50" s="1"/>
  <c r="F20" i="50"/>
  <c r="AS17" i="4" s="1"/>
  <c r="O17" i="4" s="1"/>
  <c r="A17" i="4" s="1"/>
  <c r="F66" i="50"/>
  <c r="AS23" i="4" s="1"/>
  <c r="O23" i="4" s="1"/>
  <c r="A23" i="4" s="1"/>
  <c r="F51" i="50"/>
  <c r="F42" i="50"/>
  <c r="J42" i="50" s="1"/>
  <c r="F52" i="50"/>
  <c r="AS18" i="4" s="1"/>
  <c r="N18" i="4" s="1"/>
  <c r="F47" i="50"/>
  <c r="J47" i="50" s="1"/>
  <c r="F33" i="50"/>
  <c r="F15" i="50"/>
  <c r="AS7" i="4" s="1"/>
  <c r="F75" i="50"/>
  <c r="F74" i="50"/>
  <c r="F49" i="50"/>
  <c r="AS22" i="1" s="1"/>
  <c r="N22" i="1" s="1"/>
  <c r="F28" i="50"/>
  <c r="H28" i="50" s="1"/>
  <c r="F70" i="50"/>
  <c r="H70" i="50" s="1"/>
  <c r="F68" i="50"/>
  <c r="AS6" i="150" s="1"/>
  <c r="N6" i="150" s="1"/>
  <c r="F64" i="50"/>
  <c r="AS29" i="1" s="1"/>
  <c r="O29" i="1" s="1"/>
  <c r="A29" i="1" s="1"/>
  <c r="F32" i="50"/>
  <c r="F43" i="50"/>
  <c r="F41" i="50"/>
  <c r="F69" i="50"/>
  <c r="AS7" i="150" s="1"/>
  <c r="F24" i="50"/>
  <c r="AS15" i="4" s="1"/>
  <c r="N15" i="4" s="1"/>
  <c r="F21" i="50"/>
  <c r="F55" i="50"/>
  <c r="AS30" i="1" s="1"/>
  <c r="N30" i="1" s="1"/>
  <c r="F39" i="50"/>
  <c r="H39" i="50" s="1"/>
  <c r="H27" i="50"/>
  <c r="J46" i="50"/>
  <c r="H23" i="50"/>
  <c r="N23" i="4"/>
  <c r="H47" i="50"/>
  <c r="H38" i="50"/>
  <c r="J27" i="50"/>
  <c r="H42" i="50"/>
  <c r="H55" i="50"/>
  <c r="J66" i="50"/>
  <c r="H44" i="50"/>
  <c r="H24" i="50"/>
  <c r="H66" i="50"/>
  <c r="J55" i="50"/>
  <c r="H40" i="50"/>
  <c r="J49" i="50"/>
  <c r="H15" i="50"/>
  <c r="J68" i="50"/>
  <c r="H67" i="50"/>
  <c r="H49" i="50"/>
  <c r="H68" i="50"/>
  <c r="J72" i="50"/>
  <c r="AS10" i="150"/>
  <c r="N10" i="150" s="1"/>
  <c r="H73" i="50"/>
  <c r="AS11" i="150"/>
  <c r="J20" i="50"/>
  <c r="J15" i="50"/>
  <c r="AS14" i="4"/>
  <c r="H65" i="50"/>
  <c r="AS22" i="4"/>
  <c r="N22" i="4" s="1"/>
  <c r="H16" i="50"/>
  <c r="AS9" i="4"/>
  <c r="N9" i="4" s="1"/>
  <c r="H62" i="50"/>
  <c r="AS21" i="4"/>
  <c r="O21" i="4" s="1"/>
  <c r="A21" i="4" s="1"/>
  <c r="AS16" i="4"/>
  <c r="N16" i="4" s="1"/>
  <c r="J51" i="50"/>
  <c r="AS20" i="4"/>
  <c r="O20" i="4" s="1"/>
  <c r="A20" i="4" s="1"/>
  <c r="J31" i="50"/>
  <c r="AS8" i="4"/>
  <c r="O8" i="4" s="1"/>
  <c r="A8" i="4" s="1"/>
  <c r="AS28" i="1"/>
  <c r="N28" i="1" s="1"/>
  <c r="H58" i="50"/>
  <c r="AS25" i="1"/>
  <c r="O25" i="1" s="1"/>
  <c r="A25" i="1" s="1"/>
  <c r="H29" i="50"/>
  <c r="AS12" i="1"/>
  <c r="O12" i="1" s="1"/>
  <c r="A12" i="1" s="1"/>
  <c r="J60" i="50"/>
  <c r="AS27" i="1"/>
  <c r="J59" i="50"/>
  <c r="AS26" i="1"/>
  <c r="O26" i="1" s="1"/>
  <c r="A26" i="1" s="1"/>
  <c r="J28" i="50"/>
  <c r="AS18" i="1"/>
  <c r="O18" i="1" s="1"/>
  <c r="A18" i="1" s="1"/>
  <c r="H25" i="50"/>
  <c r="AS9" i="1"/>
  <c r="N9" i="1" s="1"/>
  <c r="H5" i="50"/>
  <c r="AS5" i="137"/>
  <c r="O5" i="137" s="1"/>
  <c r="A5" i="137" s="1"/>
  <c r="H56" i="50"/>
  <c r="AS11" i="137"/>
  <c r="O11" i="137" s="1"/>
  <c r="A11" i="137" s="1"/>
  <c r="H13" i="50"/>
  <c r="AS13" i="137"/>
  <c r="N13" i="137" s="1"/>
  <c r="J50" i="50"/>
  <c r="AS14" i="137"/>
  <c r="N14" i="137" s="1"/>
  <c r="J58" i="50"/>
  <c r="H31" i="50"/>
  <c r="J39" i="50"/>
  <c r="H72" i="50"/>
  <c r="J36" i="50"/>
  <c r="H36" i="50"/>
  <c r="H51" i="50"/>
  <c r="J35" i="50"/>
  <c r="H35" i="50"/>
  <c r="H19" i="50"/>
  <c r="J19" i="50"/>
  <c r="J30" i="50"/>
  <c r="H17" i="50"/>
  <c r="J17" i="50"/>
  <c r="H54" i="50"/>
  <c r="J18" i="50"/>
  <c r="H18" i="50"/>
  <c r="J57" i="50"/>
  <c r="O6" i="150"/>
  <c r="A6" i="150" s="1"/>
  <c r="O10" i="4"/>
  <c r="A10" i="4" s="1"/>
  <c r="N29" i="1"/>
  <c r="O13" i="1"/>
  <c r="A13" i="1" s="1"/>
  <c r="O15" i="4"/>
  <c r="A15" i="4" s="1"/>
  <c r="N10" i="1"/>
  <c r="O22" i="1"/>
  <c r="A22" i="1" s="1"/>
  <c r="AR4" i="4"/>
  <c r="AR4" i="1"/>
  <c r="AR4" i="137"/>
  <c r="N12" i="137"/>
  <c r="O7" i="4"/>
  <c r="A7" i="4" s="1"/>
  <c r="N7" i="4"/>
  <c r="AQ4" i="1"/>
  <c r="O30" i="1"/>
  <c r="A30" i="1" s="1"/>
  <c r="J69" i="50" l="1"/>
  <c r="H20" i="50"/>
  <c r="H69" i="50"/>
  <c r="J64" i="50"/>
  <c r="O9" i="4"/>
  <c r="A9" i="4" s="1"/>
  <c r="H57" i="50"/>
  <c r="H30" i="50"/>
  <c r="H63" i="50"/>
  <c r="J22" i="50"/>
  <c r="F4" i="50"/>
  <c r="AS9" i="150"/>
  <c r="O9" i="150" s="1"/>
  <c r="A9" i="150" s="1"/>
  <c r="AS8" i="150"/>
  <c r="H71" i="50"/>
  <c r="J52" i="50"/>
  <c r="AS21" i="1"/>
  <c r="N21" i="1" s="1"/>
  <c r="O10" i="150"/>
  <c r="A10" i="150" s="1"/>
  <c r="H48" i="50"/>
  <c r="O11" i="4"/>
  <c r="A11" i="4" s="1"/>
  <c r="AS5" i="150"/>
  <c r="O5" i="150" s="1"/>
  <c r="A5" i="150" s="1"/>
  <c r="J12" i="50"/>
  <c r="H12" i="50"/>
  <c r="O28" i="1"/>
  <c r="A28" i="1" s="1"/>
  <c r="N26" i="1"/>
  <c r="J70" i="50"/>
  <c r="AS13" i="4"/>
  <c r="H21" i="50"/>
  <c r="J21" i="50"/>
  <c r="H43" i="50"/>
  <c r="J43" i="50"/>
  <c r="AS24" i="4"/>
  <c r="H75" i="50"/>
  <c r="O24" i="1"/>
  <c r="A24" i="1" s="1"/>
  <c r="N24" i="1"/>
  <c r="AS8" i="1"/>
  <c r="AS4" i="1" s="1"/>
  <c r="H26" i="50"/>
  <c r="J26" i="50"/>
  <c r="J75" i="50"/>
  <c r="J32" i="50"/>
  <c r="H32" i="50"/>
  <c r="J45" i="50"/>
  <c r="H45" i="50"/>
  <c r="J37" i="50"/>
  <c r="H37" i="50"/>
  <c r="O18" i="4"/>
  <c r="A18" i="4" s="1"/>
  <c r="H33" i="50"/>
  <c r="J33" i="50"/>
  <c r="AS19" i="4"/>
  <c r="H61" i="50"/>
  <c r="J61" i="50"/>
  <c r="O5" i="4"/>
  <c r="A5" i="4" s="1"/>
  <c r="N5" i="4"/>
  <c r="H52" i="50"/>
  <c r="H64" i="50"/>
  <c r="J24" i="50"/>
  <c r="H41" i="50"/>
  <c r="J41" i="50"/>
  <c r="AS12" i="150"/>
  <c r="J74" i="50"/>
  <c r="H74" i="50"/>
  <c r="AS7" i="1"/>
  <c r="J14" i="50"/>
  <c r="H14" i="50"/>
  <c r="J34" i="50"/>
  <c r="H34" i="50"/>
  <c r="J53" i="50"/>
  <c r="H53" i="50"/>
  <c r="N9" i="150"/>
  <c r="O22" i="4"/>
  <c r="A22" i="4" s="1"/>
  <c r="N12" i="1"/>
  <c r="N20" i="4"/>
  <c r="O14" i="4"/>
  <c r="A14" i="4" s="1"/>
  <c r="N14" i="4"/>
  <c r="O16" i="4"/>
  <c r="A16" i="4" s="1"/>
  <c r="N21" i="4"/>
  <c r="N17" i="4"/>
  <c r="N8" i="4"/>
  <c r="O9" i="1"/>
  <c r="A9" i="1" s="1"/>
  <c r="N18" i="1"/>
  <c r="O11" i="150"/>
  <c r="A11" i="150" s="1"/>
  <c r="N11" i="150"/>
  <c r="O21" i="1"/>
  <c r="A21" i="1" s="1"/>
  <c r="O27" i="1"/>
  <c r="A27" i="1" s="1"/>
  <c r="N27" i="1"/>
  <c r="N7" i="150"/>
  <c r="O7" i="150"/>
  <c r="A7" i="150" s="1"/>
  <c r="AR4" i="150"/>
  <c r="N25" i="1"/>
  <c r="O14" i="137"/>
  <c r="A14" i="137" s="1"/>
  <c r="O13" i="137"/>
  <c r="A13" i="137" s="1"/>
  <c r="AS4" i="137"/>
  <c r="N11" i="137"/>
  <c r="N5" i="137"/>
  <c r="N5" i="150" l="1"/>
  <c r="AS4" i="150"/>
  <c r="AS4" i="4"/>
  <c r="O8" i="150"/>
  <c r="A8" i="150" s="1"/>
  <c r="N8" i="150"/>
  <c r="H4" i="50"/>
  <c r="J4" i="50"/>
  <c r="I4" i="50" s="1"/>
  <c r="K14" i="50" s="1"/>
  <c r="N7" i="1"/>
  <c r="O7" i="1"/>
  <c r="A7" i="1" s="1"/>
  <c r="O19" i="4"/>
  <c r="A19" i="4" s="1"/>
  <c r="N19" i="4"/>
  <c r="N8" i="1"/>
  <c r="O8" i="1"/>
  <c r="A8" i="1" s="1"/>
  <c r="N24" i="4"/>
  <c r="O24" i="4"/>
  <c r="A24" i="4" s="1"/>
  <c r="O12" i="150"/>
  <c r="A12" i="150" s="1"/>
  <c r="N12" i="150"/>
  <c r="N4" i="150" s="1"/>
  <c r="N13" i="4"/>
  <c r="O13" i="4"/>
  <c r="A13" i="4" s="1"/>
  <c r="A4" i="4" s="1"/>
  <c r="A4" i="137"/>
  <c r="O4" i="150"/>
  <c r="A4" i="150"/>
  <c r="N4" i="1"/>
  <c r="O4" i="137"/>
  <c r="N4" i="137"/>
  <c r="A4" i="1" l="1"/>
  <c r="C1" i="50" s="1"/>
  <c r="O4" i="1"/>
  <c r="N4" i="4"/>
  <c r="E1" i="50" s="1"/>
  <c r="O4" i="4"/>
  <c r="I4" i="95" l="1"/>
  <c r="I5" i="95" s="1"/>
  <c r="D1" i="50"/>
  <c r="A1" i="50"/>
</calcChain>
</file>

<file path=xl/comments1.xml><?xml version="1.0" encoding="utf-8"?>
<comments xmlns="http://schemas.openxmlformats.org/spreadsheetml/2006/main">
  <authors>
    <author>Windows User</author>
  </authors>
  <commentList>
    <comment ref="P9" authorId="0" shapeId="0">
      <text>
        <r>
          <rPr>
            <b/>
            <sz val="9"/>
            <color indexed="81"/>
            <rFont val="Tahoma"/>
            <family val="2"/>
          </rPr>
          <t>Windows User:</t>
        </r>
        <r>
          <rPr>
            <sz val="9"/>
            <color indexed="81"/>
            <rFont val="Tahoma"/>
            <family val="2"/>
          </rPr>
          <t xml:space="preserve">
Quà Tết Móm 
</t>
        </r>
      </text>
    </comment>
    <comment ref="P15" authorId="0" shapeId="0">
      <text>
        <r>
          <rPr>
            <b/>
            <sz val="9"/>
            <color indexed="81"/>
            <rFont val="Tahoma"/>
            <family val="2"/>
          </rPr>
          <t>Windows User:</t>
        </r>
        <r>
          <rPr>
            <sz val="9"/>
            <color indexed="81"/>
            <rFont val="Tahoma"/>
            <family val="2"/>
          </rPr>
          <t xml:space="preserve">
XM Phú</t>
        </r>
      </text>
    </comment>
    <comment ref="O20" authorId="0" shapeId="0">
      <text>
        <r>
          <rPr>
            <b/>
            <sz val="9"/>
            <color indexed="81"/>
            <rFont val="Tahoma"/>
            <family val="2"/>
          </rPr>
          <t>Windows User:</t>
        </r>
        <r>
          <rPr>
            <sz val="9"/>
            <color indexed="81"/>
            <rFont val="Tahoma"/>
            <family val="2"/>
          </rPr>
          <t xml:space="preserve">
Xì</t>
        </r>
      </text>
    </comment>
    <comment ref="P23" authorId="0" shapeId="0">
      <text>
        <r>
          <rPr>
            <b/>
            <sz val="9"/>
            <color indexed="81"/>
            <rFont val="Tahoma"/>
            <family val="2"/>
          </rPr>
          <t>Windows User:</t>
        </r>
        <r>
          <rPr>
            <sz val="9"/>
            <color indexed="81"/>
            <rFont val="Tahoma"/>
            <family val="2"/>
          </rPr>
          <t xml:space="preserve">
Ba lấy ăn</t>
        </r>
      </text>
    </comment>
  </commentList>
</comments>
</file>

<file path=xl/comments2.xml><?xml version="1.0" encoding="utf-8"?>
<comments xmlns="http://schemas.openxmlformats.org/spreadsheetml/2006/main">
  <authors>
    <author>Windows User</author>
  </authors>
  <commentList>
    <comment ref="P5" authorId="0" shapeId="0">
      <text>
        <r>
          <rPr>
            <b/>
            <sz val="9"/>
            <color indexed="81"/>
            <rFont val="Tahoma"/>
            <family val="2"/>
          </rPr>
          <t>Windows User:</t>
        </r>
        <r>
          <rPr>
            <sz val="9"/>
            <color indexed="81"/>
            <rFont val="Tahoma"/>
            <family val="2"/>
          </rPr>
          <t xml:space="preserve">
chưa rõ + XM 1</t>
        </r>
      </text>
    </comment>
    <comment ref="P10" authorId="0" shapeId="0">
      <text>
        <r>
          <rPr>
            <b/>
            <sz val="9"/>
            <color indexed="81"/>
            <rFont val="Tahoma"/>
            <family val="2"/>
          </rPr>
          <t>Windows User:</t>
        </r>
        <r>
          <rPr>
            <sz val="9"/>
            <color indexed="81"/>
            <rFont val="Tahoma"/>
            <family val="2"/>
          </rPr>
          <t xml:space="preserve">
chưa rõ</t>
        </r>
      </text>
    </comment>
    <comment ref="P12" authorId="0" shapeId="0">
      <text>
        <r>
          <rPr>
            <b/>
            <sz val="9"/>
            <color indexed="81"/>
            <rFont val="Tahoma"/>
            <family val="2"/>
          </rPr>
          <t>Thư Ngọng</t>
        </r>
      </text>
    </comment>
    <comment ref="P26" authorId="0" shapeId="0">
      <text>
        <r>
          <rPr>
            <b/>
            <sz val="9"/>
            <color indexed="81"/>
            <rFont val="Tahoma"/>
            <family val="2"/>
          </rPr>
          <t>Windows User:</t>
        </r>
        <r>
          <rPr>
            <sz val="9"/>
            <color indexed="81"/>
            <rFont val="Tahoma"/>
            <family val="2"/>
          </rPr>
          <t xml:space="preserve">
Lấy ăn</t>
        </r>
      </text>
    </comment>
    <comment ref="P34" authorId="0" shapeId="0">
      <text>
        <r>
          <rPr>
            <b/>
            <sz val="9"/>
            <color indexed="81"/>
            <rFont val="Tahoma"/>
            <family val="2"/>
          </rPr>
          <t>Windows User:</t>
        </r>
        <r>
          <rPr>
            <sz val="9"/>
            <color indexed="81"/>
            <rFont val="Tahoma"/>
            <family val="2"/>
          </rPr>
          <t xml:space="preserve">
Xì</t>
        </r>
      </text>
    </comment>
  </commentList>
</comments>
</file>

<file path=xl/comments3.xml><?xml version="1.0" encoding="utf-8"?>
<comments xmlns="http://schemas.openxmlformats.org/spreadsheetml/2006/main">
  <authors>
    <author>Windows User</author>
  </authors>
  <commentList>
    <comment ref="P7" authorId="0" shapeId="0">
      <text>
        <r>
          <rPr>
            <b/>
            <sz val="9"/>
            <color indexed="81"/>
            <rFont val="Tahoma"/>
            <family val="2"/>
          </rPr>
          <t>Windows User:</t>
        </r>
        <r>
          <rPr>
            <sz val="9"/>
            <color indexed="81"/>
            <rFont val="Tahoma"/>
            <family val="2"/>
          </rPr>
          <t xml:space="preserve">
chưa rõ</t>
        </r>
      </text>
    </comment>
    <comment ref="P8" authorId="0" shapeId="0">
      <text>
        <r>
          <rPr>
            <b/>
            <sz val="9"/>
            <color indexed="81"/>
            <rFont val="Tahoma"/>
            <family val="2"/>
          </rPr>
          <t>Windows User:</t>
        </r>
        <r>
          <rPr>
            <sz val="9"/>
            <color indexed="81"/>
            <rFont val="Tahoma"/>
            <family val="2"/>
          </rPr>
          <t xml:space="preserve">
chưa rõ
</t>
        </r>
      </text>
    </comment>
  </commentList>
</comments>
</file>

<file path=xl/sharedStrings.xml><?xml version="1.0" encoding="utf-8"?>
<sst xmlns="http://schemas.openxmlformats.org/spreadsheetml/2006/main" count="1392" uniqueCount="334">
  <si>
    <t>STT</t>
  </si>
  <si>
    <t>Cá viên HM</t>
  </si>
  <si>
    <t>Cá viên rau củ HM</t>
  </si>
  <si>
    <t>Tôm viên HM</t>
  </si>
  <si>
    <t>Phô mai viên (35v)</t>
  </si>
  <si>
    <t>Phô mai que (13 que)</t>
  </si>
  <si>
    <t>Viên thả lẩu 3 màu</t>
  </si>
  <si>
    <t>XX Phô mai</t>
  </si>
  <si>
    <t>Đậu hủ phô mai</t>
  </si>
  <si>
    <t>Chả giò xốp thịt heo</t>
  </si>
  <si>
    <t>Chả giò rế thịt heo</t>
  </si>
  <si>
    <t>XX Đỏ ĐNA (bao xanh)</t>
  </si>
  <si>
    <t>XX Đỏ ĐNA (bao đỏ)</t>
  </si>
  <si>
    <t>XX Đức HS ĐNA</t>
  </si>
  <si>
    <t>Chả giò xốp hải sản</t>
  </si>
  <si>
    <t>Số lượng</t>
  </si>
  <si>
    <t>Tên hàng</t>
  </si>
  <si>
    <t>Đơn giá</t>
  </si>
  <si>
    <t>Thành tiền</t>
  </si>
  <si>
    <t>Phí vận chuyển/đơn vị</t>
  </si>
  <si>
    <t>Đơn giá sau vận chuyển</t>
  </si>
  <si>
    <t>Giá bán</t>
  </si>
  <si>
    <t>Doanh thu dự kiến</t>
  </si>
  <si>
    <t>Thành tiền sau vận chuyển</t>
  </si>
  <si>
    <t>Thanh cua LC</t>
  </si>
  <si>
    <t>Mực tẩm bột LC</t>
  </si>
  <si>
    <t>Chả giò Rế tôm mực LC</t>
  </si>
  <si>
    <t>Chả tôm hình Surimi LC</t>
  </si>
  <si>
    <t>Viên thả lẩu răng mực (Hồng)</t>
  </si>
  <si>
    <t>Viên thả lẩu trứng tôm (Vàng)</t>
  </si>
  <si>
    <t>Viên thả lẩu TOMYUM (Tím)</t>
  </si>
  <si>
    <t>Viên thả lẩu phô mai (Xanh lá)</t>
  </si>
  <si>
    <t>Jambon Trắng</t>
  </si>
  <si>
    <t>Jambon Đỏ</t>
  </si>
  <si>
    <t>Cá Viên TVP</t>
  </si>
  <si>
    <t>Cá Viên TVP nhỏ</t>
  </si>
  <si>
    <t>Tôm viên TVP</t>
  </si>
  <si>
    <t>Tôm viên TVP nhỏ</t>
  </si>
  <si>
    <t>Bò viên TVP</t>
  </si>
  <si>
    <t>Bò viên TVP nhỏ</t>
  </si>
  <si>
    <t>XX MUNICH (10 Cây)</t>
  </si>
  <si>
    <t>XX Hồ lô</t>
  </si>
  <si>
    <t>Giò Thủ bì</t>
  </si>
  <si>
    <t>Nem nướng</t>
  </si>
  <si>
    <t>XX BERLING (10 Cây)</t>
  </si>
  <si>
    <t>XX COCKTAIL (26 Cây)</t>
  </si>
  <si>
    <t>Jambon Đỏ TX</t>
  </si>
  <si>
    <t>Giò lụa Bò</t>
  </si>
  <si>
    <t>Giò lụa lá</t>
  </si>
  <si>
    <t>Quy cách</t>
  </si>
  <si>
    <t>Viên thả lẩu Gà nướng mật ong (Đỏ)</t>
  </si>
  <si>
    <t>HÀNG NHẬP 16/12</t>
  </si>
  <si>
    <t>Tồn</t>
  </si>
  <si>
    <t>Hoành thánh chiên 500gr (60 viên)</t>
  </si>
  <si>
    <t>Giá nhập/Kg</t>
  </si>
  <si>
    <t>Cá viên rau củ TVP</t>
  </si>
  <si>
    <t>MT10</t>
  </si>
  <si>
    <t>MT11</t>
  </si>
  <si>
    <t>MT12</t>
  </si>
  <si>
    <t>MT13</t>
  </si>
  <si>
    <t>MT14</t>
  </si>
  <si>
    <t>MT15</t>
  </si>
  <si>
    <t>MT16</t>
  </si>
  <si>
    <t>MT17</t>
  </si>
  <si>
    <t>MT18</t>
  </si>
  <si>
    <t>MT19</t>
  </si>
  <si>
    <t>MT20</t>
  </si>
  <si>
    <t>MT21</t>
  </si>
  <si>
    <t>MT22</t>
  </si>
  <si>
    <t>MT23</t>
  </si>
  <si>
    <t>MT24</t>
  </si>
  <si>
    <t>MT25</t>
  </si>
  <si>
    <t>MT26</t>
  </si>
  <si>
    <t>MT27</t>
  </si>
  <si>
    <t>MT28</t>
  </si>
  <si>
    <t>MT29</t>
  </si>
  <si>
    <t>MT30</t>
  </si>
  <si>
    <t>MT31</t>
  </si>
  <si>
    <t>MT32</t>
  </si>
  <si>
    <t>MT33</t>
  </si>
  <si>
    <t>MT34</t>
  </si>
  <si>
    <t>MT35</t>
  </si>
  <si>
    <t>MT36</t>
  </si>
  <si>
    <t>MT37</t>
  </si>
  <si>
    <t>MT38</t>
  </si>
  <si>
    <t>MT39</t>
  </si>
  <si>
    <t>MT40</t>
  </si>
  <si>
    <t>MT41</t>
  </si>
  <si>
    <t>MT42</t>
  </si>
  <si>
    <t>MT43</t>
  </si>
  <si>
    <t>MT44</t>
  </si>
  <si>
    <t>MT45</t>
  </si>
  <si>
    <t>MT46</t>
  </si>
  <si>
    <t>Trật tự</t>
  </si>
  <si>
    <t>Mã Hàng</t>
  </si>
  <si>
    <t>MT01</t>
  </si>
  <si>
    <t>MT02</t>
  </si>
  <si>
    <t>MT03</t>
  </si>
  <si>
    <t>MT04</t>
  </si>
  <si>
    <t>MT05</t>
  </si>
  <si>
    <t>MT06</t>
  </si>
  <si>
    <t>MT07</t>
  </si>
  <si>
    <t>MT08</t>
  </si>
  <si>
    <t>MT09</t>
  </si>
  <si>
    <t>Giá  bán</t>
  </si>
  <si>
    <t>Mã hàng</t>
  </si>
  <si>
    <t>Sản lượng bán</t>
  </si>
  <si>
    <t>Tiền hàng danh nghĩa</t>
  </si>
  <si>
    <t>Tiền hàng thực</t>
  </si>
  <si>
    <t>Doanh thu tích lũy</t>
  </si>
  <si>
    <t>MT47</t>
  </si>
  <si>
    <t>Giá trị hàng tồn
(Theo giá nhập)</t>
  </si>
  <si>
    <t>Poster Menu</t>
  </si>
  <si>
    <t>Mượn tiền sữa</t>
  </si>
  <si>
    <t>Bàn ghế</t>
  </si>
  <si>
    <t xml:space="preserve">Văn phòng phẩm </t>
  </si>
  <si>
    <t>Ổ khóa</t>
  </si>
  <si>
    <t>Mượn tiền hàng</t>
  </si>
  <si>
    <t>Ghế</t>
  </si>
  <si>
    <t xml:space="preserve">Biển quảng cáo trả mẹ </t>
  </si>
  <si>
    <t>Cốm xanh</t>
  </si>
  <si>
    <t>MT48</t>
  </si>
  <si>
    <t>MT49</t>
  </si>
  <si>
    <t>Bò lá lốt</t>
  </si>
  <si>
    <t>MT50</t>
  </si>
  <si>
    <t>Hư hao
&amp; Xuất mẫu</t>
  </si>
  <si>
    <t>Ốc nhồi Hải sản</t>
  </si>
  <si>
    <t>Tiền còn lại</t>
  </si>
  <si>
    <t>Chi phí lặt vặt</t>
  </si>
  <si>
    <t>Trừ tiền hàng &amp; chi phí</t>
  </si>
  <si>
    <t>Tiền hàng</t>
  </si>
  <si>
    <t>Tổng vốn</t>
  </si>
  <si>
    <t>Tiền trong thẻ</t>
  </si>
  <si>
    <t>Poster Menu lần 2</t>
  </si>
  <si>
    <t>Số lượng nhập</t>
  </si>
  <si>
    <t>Trọng lượng (kg)</t>
  </si>
  <si>
    <t>MT51</t>
  </si>
  <si>
    <t>Tổng Giá Trị Hàng đã xuất</t>
  </si>
  <si>
    <t>Tổng Tiền Thực</t>
  </si>
  <si>
    <t>Hải sản sốt cam LC</t>
  </si>
  <si>
    <t>Hải sản sốt MAYONNAISE (35 viên)</t>
  </si>
  <si>
    <t>Chả lụa bì Ớt xiêm xanh</t>
  </si>
  <si>
    <t>MT52</t>
  </si>
  <si>
    <t>Bò viên phở TVP</t>
  </si>
  <si>
    <t>MT53</t>
  </si>
  <si>
    <t>Trọng lượng</t>
  </si>
  <si>
    <t>Xuất mẫu</t>
  </si>
  <si>
    <t>Giá trị còn lại</t>
  </si>
  <si>
    <t>Mua bị</t>
  </si>
  <si>
    <t>Đậu hủ phô mai EB</t>
  </si>
  <si>
    <t>MT54</t>
  </si>
  <si>
    <t>MT55</t>
  </si>
  <si>
    <t>Bò viên HM</t>
  </si>
  <si>
    <t>MT56</t>
  </si>
  <si>
    <t>MT57</t>
  </si>
  <si>
    <t>Há cảo Lớn</t>
  </si>
  <si>
    <t>Há cảo Mini</t>
  </si>
  <si>
    <t>MT58</t>
  </si>
  <si>
    <t>MT59</t>
  </si>
  <si>
    <t>Tủ Lạnh mới</t>
  </si>
  <si>
    <t>In Poster</t>
  </si>
  <si>
    <t>Hàng C.Ty tặng</t>
  </si>
  <si>
    <t>Thanh cua dài Liên Anh</t>
  </si>
  <si>
    <t>MT60</t>
  </si>
  <si>
    <t>Số Lượng</t>
  </si>
  <si>
    <t>mua đồ cúng</t>
  </si>
  <si>
    <t>01</t>
  </si>
  <si>
    <t>02</t>
  </si>
  <si>
    <t>03</t>
  </si>
  <si>
    <t>04</t>
  </si>
  <si>
    <t>05</t>
  </si>
  <si>
    <t>06</t>
  </si>
  <si>
    <t>07</t>
  </si>
  <si>
    <t>08</t>
  </si>
  <si>
    <t>09</t>
  </si>
  <si>
    <t>Gà viên phô mai</t>
  </si>
  <si>
    <t>MT61</t>
  </si>
  <si>
    <t>Mượn mẹ</t>
  </si>
  <si>
    <t xml:space="preserve">Viên thả lẩu Cam-Trứng cá </t>
  </si>
  <si>
    <t>MT62</t>
  </si>
  <si>
    <t>Mực xoắn ống</t>
  </si>
  <si>
    <t>Tôm hùm viên PM</t>
  </si>
  <si>
    <t>MT63</t>
  </si>
  <si>
    <t>MT64</t>
  </si>
  <si>
    <t>Mua tủ lạnh</t>
  </si>
  <si>
    <t>G1</t>
  </si>
  <si>
    <t>MTG1</t>
  </si>
  <si>
    <t>Mua xăng máy nổ</t>
  </si>
  <si>
    <t>MINH THƯ</t>
  </si>
  <si>
    <t>Hóa Đơn</t>
  </si>
  <si>
    <t>Đ/c: Kiot 23 Cổng Chợ Gà Liên Hương - Võ Thị Sáu.</t>
  </si>
  <si>
    <t>SĐT: 0889.487.112 - 0961.534.695.</t>
  </si>
  <si>
    <t>Chuyên cung cấp sỉ &amp; lẻ Thực phẩm đông lạnh:</t>
  </si>
  <si>
    <t>Xiên que-nướng-chiên-lẩu.</t>
  </si>
  <si>
    <t>Tên KH:</t>
  </si>
  <si>
    <t>Tiền điện nhà</t>
  </si>
  <si>
    <t>Tiền điện tiệm</t>
  </si>
  <si>
    <t>Tiền lãi nợ</t>
  </si>
  <si>
    <t>Cá viên KK</t>
  </si>
  <si>
    <t>Cá viên rau củ KK</t>
  </si>
  <si>
    <t>Bò viên KK</t>
  </si>
  <si>
    <t>Tôm viên KK</t>
  </si>
  <si>
    <t>XX Đỏ KK</t>
  </si>
  <si>
    <t>XX Đức KK</t>
  </si>
  <si>
    <t>Hồ lô KK</t>
  </si>
  <si>
    <t>Bánh bao thả lẩu Trứng cá KK</t>
  </si>
  <si>
    <t>Bánh bao ngọt không nhân</t>
  </si>
  <si>
    <t>MT65</t>
  </si>
  <si>
    <t>Tiền Ưu đãi tháng 01 - Cô BÉ</t>
  </si>
  <si>
    <t>Quà Tết Chị Út</t>
  </si>
  <si>
    <t>Quà Tết Bảo Ngọc</t>
  </si>
  <si>
    <t>Tiền thuê Kiot</t>
  </si>
  <si>
    <t>Tiền Ưu đãi tháng 01 - Cô Phượng</t>
  </si>
  <si>
    <t>Quà Tết</t>
  </si>
  <si>
    <t>Đập mua tủ lạnh</t>
  </si>
  <si>
    <t>0-Bò cuộn Excel Canada</t>
  </si>
  <si>
    <t>Cho mượn tiền lò nướng</t>
  </si>
  <si>
    <t>Quà Tết Thúy Bình</t>
  </si>
  <si>
    <t>Tiền Ưu đãi tháng 02 - Hoàng Ti</t>
  </si>
  <si>
    <t>Quà Tết Hoàng Ti</t>
  </si>
  <si>
    <t>Nước Ngọt Tết</t>
  </si>
  <si>
    <t>Quà Tết Cô BÉ</t>
  </si>
  <si>
    <t>Quà Tết Sinh Thẻ</t>
  </si>
  <si>
    <t>Tiền Ưu đãi tháng 01 - Chị Trang</t>
  </si>
  <si>
    <t>Quà Tết Chị Trang</t>
  </si>
  <si>
    <t>Quà Tết Dì Út</t>
  </si>
  <si>
    <t>Quà Tết Thím Gái</t>
  </si>
  <si>
    <t>Quà Tết Dì Tư</t>
  </si>
  <si>
    <t>Quà Tết Chị Tiền</t>
  </si>
  <si>
    <t>Quà Tết Tường Vi</t>
  </si>
  <si>
    <t>Quà Tết Tuấn Phương</t>
  </si>
  <si>
    <t>Quà Tết Kim Vân</t>
  </si>
  <si>
    <t>Cô Tiền</t>
  </si>
  <si>
    <t>Dì Vọng</t>
  </si>
  <si>
    <t>T12+T01</t>
  </si>
  <si>
    <t>T02</t>
  </si>
  <si>
    <t>T03</t>
  </si>
  <si>
    <t>T04</t>
  </si>
  <si>
    <t>T05</t>
  </si>
  <si>
    <t>T06</t>
  </si>
  <si>
    <t>T07</t>
  </si>
  <si>
    <t>T08</t>
  </si>
  <si>
    <t>T09</t>
  </si>
  <si>
    <t>T10</t>
  </si>
  <si>
    <t>T11</t>
  </si>
  <si>
    <t>T12</t>
  </si>
  <si>
    <t>Hồ lô ĐNA</t>
  </si>
  <si>
    <t>XX Xông khói ĐNA</t>
  </si>
  <si>
    <t>XX Hotdog Phô mai</t>
  </si>
  <si>
    <t>Phô mai sữa que LC</t>
  </si>
  <si>
    <t>Chả giò HS trái cây sốt Mayo</t>
  </si>
  <si>
    <t>Chả giò Chay rau nấm LC</t>
  </si>
  <si>
    <t>C. Tuyền</t>
  </si>
  <si>
    <t>Danh nghĩa</t>
  </si>
  <si>
    <t>Thực</t>
  </si>
  <si>
    <t>XX</t>
  </si>
  <si>
    <t>Hồ lô ĐNA (giá cũ)</t>
  </si>
  <si>
    <t>XX Đức HS ĐNA (giá cũ)</t>
  </si>
  <si>
    <t>0-Chân Gà (giá cũ)</t>
  </si>
  <si>
    <t>Lương NV</t>
  </si>
  <si>
    <t>-</t>
  </si>
  <si>
    <t>Xăng</t>
  </si>
  <si>
    <t>Tiền xăng</t>
  </si>
  <si>
    <t>Mực tẩm bột LC (giá cũ)</t>
  </si>
  <si>
    <t>Tiền điện</t>
  </si>
  <si>
    <t>Tiền lãi</t>
  </si>
  <si>
    <t>Tiền thuê</t>
  </si>
  <si>
    <t>Thu nhập thuần</t>
  </si>
  <si>
    <t>Tổng chi</t>
  </si>
  <si>
    <t>Tiền điện Nhà</t>
  </si>
  <si>
    <t>Tháng</t>
  </si>
  <si>
    <t>XX Yummy</t>
  </si>
  <si>
    <t>MT66</t>
  </si>
  <si>
    <t>Bác Bình</t>
  </si>
  <si>
    <t>Bị</t>
  </si>
  <si>
    <t>Hậu mãi</t>
  </si>
  <si>
    <t>???</t>
  </si>
  <si>
    <t>chi phí</t>
  </si>
  <si>
    <t>T12+T01+T02+T03+T04+T05</t>
  </si>
  <si>
    <t>Hủy tồn Gà</t>
  </si>
  <si>
    <t>Cô Linh</t>
  </si>
  <si>
    <t>Sủi cảo</t>
  </si>
  <si>
    <t xml:space="preserve">Hủy tồn Date </t>
  </si>
  <si>
    <t>Tiền Thuê Kiot</t>
  </si>
  <si>
    <t>Mua tủ + Chi phí lúc đầu</t>
  </si>
  <si>
    <t>Tổng nợ</t>
  </si>
  <si>
    <t>Mua tủ đợt 2 + Chi phí hủy hàng + Quảng cáo</t>
  </si>
  <si>
    <t>Lấy đi Đà Lạt + Chi tiêu 6 tháng</t>
  </si>
  <si>
    <t>Vòng xoay tiền hàng hiện tại</t>
  </si>
  <si>
    <t>Trích tiền lời</t>
  </si>
  <si>
    <t xml:space="preserve">                       </t>
  </si>
  <si>
    <t>Khoai tây Simplot (giã cũ)</t>
  </si>
  <si>
    <t>0-Chân Nhỏ (giá cũ)</t>
  </si>
  <si>
    <t>0-Chân To (giá cũ)</t>
  </si>
  <si>
    <t>0-Cánh Gà (giá cũ)</t>
  </si>
  <si>
    <t>0-Đùi tỏi Gà (giá cũ)</t>
  </si>
  <si>
    <t>Khoai tây</t>
  </si>
  <si>
    <t>T01</t>
  </si>
  <si>
    <t>10 Ngày 1TR</t>
  </si>
  <si>
    <t>T12+T01+T02+T03+T04+T05+T06+T07</t>
  </si>
  <si>
    <t>T01 (19-31) + T02 + T03+T04+T05+T06+T07</t>
  </si>
  <si>
    <t/>
  </si>
  <si>
    <t>Chênh lệch giá</t>
  </si>
  <si>
    <t>Dì Bến</t>
  </si>
  <si>
    <t>0-Đùi gà Rán 10C nhỏ</t>
  </si>
  <si>
    <t>0-Đùi gà Rán 10C lớn</t>
  </si>
  <si>
    <t>0-Đùi gà Rán 8C lớn</t>
  </si>
  <si>
    <t>0-Gà lắc</t>
  </si>
  <si>
    <t>0-Gà viên</t>
  </si>
  <si>
    <t>Sủi tôm</t>
  </si>
  <si>
    <t>Sủi thịt</t>
  </si>
  <si>
    <t>G2</t>
  </si>
  <si>
    <t>G3</t>
  </si>
  <si>
    <t>G4</t>
  </si>
  <si>
    <t>G5</t>
  </si>
  <si>
    <t>G6</t>
  </si>
  <si>
    <t>MTG2</t>
  </si>
  <si>
    <t>MTG3</t>
  </si>
  <si>
    <t>MTG4</t>
  </si>
  <si>
    <t>MTG5</t>
  </si>
  <si>
    <t>0-Cánh gà rán</t>
  </si>
  <si>
    <t>MTG6</t>
  </si>
  <si>
    <t>Chị Hiền</t>
  </si>
  <si>
    <t>Dì Nguyệt</t>
  </si>
  <si>
    <t xml:space="preserve">KH Lẻ </t>
  </si>
  <si>
    <t>Dì Tư</t>
  </si>
  <si>
    <t>Má C. Lào</t>
  </si>
  <si>
    <t>Cô Bé</t>
  </si>
  <si>
    <t>Chị Thơmm</t>
  </si>
  <si>
    <t>C. Loan</t>
  </si>
  <si>
    <t>Kim Tư</t>
  </si>
  <si>
    <t>Cò Béo</t>
  </si>
  <si>
    <t>Chị Ngà</t>
  </si>
  <si>
    <t>Ms Ngà</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</si>
</sst>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7">
    <numFmt numFmtId="164" formatCode="_(* #,##0_);_(* \(#,##0\);_(* &quot;-&quot;_);_(@_)"/>
    <numFmt numFmtId="165" formatCode="_(* #,##0.00_);_(* \(#,##0.00\);_(* &quot;-&quot;??_);_(@_)"/>
    <numFmt numFmtId="166" formatCode="_(* #,##0.0_);_(* \(#,##0.0\);_(* &quot;-&quot;_);_(@_)"/>
    <numFmt numFmtId="167" formatCode="0.0%"/>
    <numFmt numFmtId="168" formatCode="_(* #,##0.00_);_(* \(#,##0.00\);_(* &quot;-&quot;_);_(@_)"/>
    <numFmt numFmtId="169" formatCode="_-* #,##0.00\ _₫_-;\-* #,##0.00\ _₫_-;_-* &quot;-&quot;??\ _₫_-;_-@_-"/>
    <numFmt numFmtId="170" formatCode="0.0"/>
  </numFmts>
  <fonts count="43" x14ac:knownFonts="1">
    <font>
      <sz val="11"/>
      <color theme="1"/>
      <name val="Calibri"/>
      <family val="2"/>
      <scheme val="minor"/>
    </font>
    <font>
      <sz val="11"/>
      <color theme="1"/>
      <name val="Calibri"/>
      <family val="2"/>
      <scheme val="minor"/>
    </font>
    <font>
      <b/>
      <sz val="11"/>
      <color theme="1"/>
      <name val="Times New Roman"/>
      <family val="1"/>
    </font>
    <font>
      <sz val="11"/>
      <color theme="1"/>
      <name val="Times New Roman"/>
      <family val="1"/>
    </font>
    <font>
      <sz val="12"/>
      <color theme="1"/>
      <name val="Times New Roman"/>
      <family val="1"/>
    </font>
    <font>
      <b/>
      <sz val="12"/>
      <color theme="1"/>
      <name val="Times New Roman"/>
      <family val="1"/>
    </font>
    <font>
      <b/>
      <sz val="12"/>
      <color rgb="FFFF0000"/>
      <name val="Times New Roman"/>
      <family val="1"/>
    </font>
    <font>
      <b/>
      <sz val="16"/>
      <color theme="1"/>
      <name val="Times New Roman"/>
      <family val="1"/>
    </font>
    <font>
      <sz val="12"/>
      <color rgb="FFFF0000"/>
      <name val="Times New Roman"/>
      <family val="1"/>
    </font>
    <font>
      <b/>
      <sz val="14"/>
      <color theme="1"/>
      <name val="Times New Roman"/>
      <family val="1"/>
    </font>
    <font>
      <sz val="9"/>
      <color indexed="81"/>
      <name val="Tahoma"/>
      <family val="2"/>
    </font>
    <font>
      <b/>
      <sz val="9"/>
      <color indexed="81"/>
      <name val="Tahoma"/>
      <family val="2"/>
    </font>
    <font>
      <b/>
      <i/>
      <sz val="12"/>
      <color theme="1"/>
      <name val="Times New Roman"/>
      <family val="1"/>
    </font>
    <font>
      <b/>
      <i/>
      <sz val="12"/>
      <color rgb="FFFF0000"/>
      <name val="Times New Roman"/>
      <family val="1"/>
    </font>
    <font>
      <b/>
      <sz val="18"/>
      <color theme="1"/>
      <name val="Times New Roman"/>
      <family val="1"/>
    </font>
    <font>
      <b/>
      <sz val="10"/>
      <color theme="1"/>
      <name val="Times New Roman"/>
      <family val="1"/>
    </font>
    <font>
      <b/>
      <sz val="22"/>
      <color rgb="FFFF0000"/>
      <name val="Times New Roman"/>
      <family val="1"/>
    </font>
    <font>
      <sz val="14"/>
      <color theme="1"/>
      <name val="Times New Roman"/>
      <family val="1"/>
    </font>
    <font>
      <sz val="20"/>
      <color theme="1"/>
      <name val="Times New Roman"/>
      <family val="1"/>
    </font>
    <font>
      <b/>
      <sz val="20"/>
      <color theme="1"/>
      <name val="Times New Roman"/>
      <family val="1"/>
    </font>
    <font>
      <sz val="20"/>
      <color rgb="FFFFFF00"/>
      <name val="Times New Roman"/>
      <family val="1"/>
    </font>
    <font>
      <b/>
      <sz val="20"/>
      <color rgb="FFFFFF00"/>
      <name val="Times New Roman"/>
      <family val="1"/>
    </font>
    <font>
      <b/>
      <sz val="18"/>
      <color rgb="FFFF0000"/>
      <name val="Times New Roman"/>
      <family val="1"/>
    </font>
    <font>
      <sz val="14"/>
      <color rgb="FFFF0000"/>
      <name val="Times New Roman"/>
      <family val="1"/>
    </font>
    <font>
      <b/>
      <sz val="22"/>
      <color theme="1"/>
      <name val="Times New Roman"/>
      <family val="1"/>
    </font>
    <font>
      <b/>
      <sz val="16"/>
      <color rgb="FFFF0000"/>
      <name val="Times New Roman"/>
      <family val="1"/>
    </font>
    <font>
      <b/>
      <sz val="26"/>
      <color theme="1"/>
      <name val="Times New Roman"/>
      <family val="1"/>
    </font>
    <font>
      <b/>
      <sz val="26"/>
      <color theme="1"/>
      <name val="Palatino Linotype"/>
      <family val="1"/>
    </font>
    <font>
      <b/>
      <i/>
      <sz val="12"/>
      <color theme="0"/>
      <name val="Times New Roman"/>
      <family val="1"/>
    </font>
    <font>
      <b/>
      <sz val="14"/>
      <color rgb="FFFF0000"/>
      <name val="Times New Roman"/>
      <family val="1"/>
    </font>
    <font>
      <b/>
      <sz val="14"/>
      <color rgb="FF002060"/>
      <name val="Times New Roman"/>
      <family val="1"/>
    </font>
    <font>
      <b/>
      <sz val="12"/>
      <color rgb="FF00B050"/>
      <name val="Times New Roman"/>
      <family val="1"/>
    </font>
    <font>
      <b/>
      <sz val="20"/>
      <color rgb="FFFF0000"/>
      <name val="Calibri"/>
      <family val="2"/>
      <charset val="163"/>
    </font>
    <font>
      <b/>
      <sz val="11"/>
      <color rgb="FFFF0000"/>
      <name val="Times New Roman"/>
      <family val="1"/>
      <charset val="163"/>
    </font>
    <font>
      <b/>
      <sz val="11"/>
      <color rgb="FF002060"/>
      <name val="Times New Roman"/>
      <family val="1"/>
      <charset val="163"/>
    </font>
    <font>
      <b/>
      <u/>
      <sz val="20"/>
      <color rgb="FFFF0000"/>
      <name val="Arial"/>
      <family val="2"/>
      <charset val="163"/>
    </font>
    <font>
      <b/>
      <sz val="18"/>
      <color theme="1"/>
      <name val="Times New Roman"/>
      <family val="1"/>
      <charset val="163"/>
    </font>
    <font>
      <b/>
      <sz val="20"/>
      <color rgb="FFFF0000"/>
      <name val="Arial"/>
      <family val="2"/>
      <charset val="163"/>
    </font>
    <font>
      <b/>
      <sz val="12"/>
      <color theme="1"/>
      <name val="Arial"/>
      <family val="2"/>
      <charset val="163"/>
    </font>
    <font>
      <b/>
      <sz val="11"/>
      <color theme="1"/>
      <name val="Times New Roman"/>
      <family val="1"/>
      <charset val="163"/>
    </font>
    <font>
      <b/>
      <sz val="12"/>
      <color rgb="FFFF0000"/>
      <name val="Times New Roman"/>
      <family val="1"/>
      <charset val="163"/>
    </font>
    <font>
      <b/>
      <sz val="14"/>
      <color theme="1"/>
      <name val="Times New Roman"/>
      <family val="1"/>
      <charset val="163"/>
    </font>
    <font>
      <sz val="9"/>
      <color theme="1"/>
      <name val="Times New Roman"/>
      <family val="1"/>
    </font>
  </fonts>
  <fills count="22">
    <fill>
      <patternFill patternType="none"/>
    </fill>
    <fill>
      <patternFill patternType="gray125"/>
    </fill>
    <fill>
      <patternFill patternType="solid">
        <fgColor theme="8" tint="0.79998168889431442"/>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0"/>
        <bgColor indexed="64"/>
      </patternFill>
    </fill>
    <fill>
      <patternFill patternType="solid">
        <fgColor rgb="FFFFFF00"/>
        <bgColor indexed="64"/>
      </patternFill>
    </fill>
    <fill>
      <patternFill patternType="solid">
        <fgColor rgb="FFFF0000"/>
        <bgColor indexed="64"/>
      </patternFill>
    </fill>
    <fill>
      <patternFill patternType="solid">
        <fgColor theme="0" tint="-0.249977111117893"/>
        <bgColor indexed="64"/>
      </patternFill>
    </fill>
    <fill>
      <patternFill patternType="solid">
        <fgColor rgb="FF00B050"/>
        <bgColor indexed="64"/>
      </patternFill>
    </fill>
    <fill>
      <patternFill patternType="solid">
        <fgColor theme="8" tint="0.39997558519241921"/>
        <bgColor indexed="64"/>
      </patternFill>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2" tint="-0.499984740745262"/>
        <bgColor indexed="64"/>
      </patternFill>
    </fill>
    <fill>
      <patternFill patternType="solid">
        <fgColor theme="7" tint="0.39997558519241921"/>
        <bgColor indexed="64"/>
      </patternFill>
    </fill>
    <fill>
      <patternFill patternType="solid">
        <fgColor theme="4" tint="0.79998168889431442"/>
        <bgColor theme="4" tint="0.79998168889431442"/>
      </patternFill>
    </fill>
    <fill>
      <patternFill patternType="solid">
        <fgColor theme="9" tint="0.79998168889431442"/>
        <bgColor indexed="64"/>
      </patternFill>
    </fill>
    <fill>
      <patternFill patternType="solid">
        <fgColor theme="8" tint="0.59999389629810485"/>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right style="thin">
        <color indexed="64"/>
      </right>
      <top/>
      <bottom/>
      <diagonal/>
    </border>
  </borders>
  <cellStyleXfs count="3">
    <xf numFmtId="0" fontId="0" fillId="0" borderId="0"/>
    <xf numFmtId="164" fontId="1" fillId="0" borderId="0" applyFont="0" applyFill="0" applyBorder="0" applyAlignment="0" applyProtection="0"/>
    <xf numFmtId="9" fontId="1" fillId="0" borderId="0" applyFont="0" applyFill="0" applyBorder="0" applyAlignment="0" applyProtection="0"/>
  </cellStyleXfs>
  <cellXfs count="270">
    <xf numFmtId="0" fontId="0" fillId="0" borderId="0" xfId="0"/>
    <xf numFmtId="0" fontId="2" fillId="0" borderId="0" xfId="1" applyNumberFormat="1" applyFont="1" applyAlignment="1">
      <alignment horizontal="center" vertical="center"/>
    </xf>
    <xf numFmtId="164" fontId="4" fillId="0" borderId="0" xfId="1" applyFont="1"/>
    <xf numFmtId="164" fontId="5" fillId="0" borderId="1" xfId="1" applyFont="1" applyBorder="1" applyAlignment="1">
      <alignment horizontal="center" vertical="center"/>
    </xf>
    <xf numFmtId="164" fontId="5" fillId="2" borderId="1" xfId="1" applyFont="1" applyFill="1" applyBorder="1" applyAlignment="1">
      <alignment horizontal="center" vertical="center"/>
    </xf>
    <xf numFmtId="164" fontId="5" fillId="0" borderId="1" xfId="1" applyFont="1" applyBorder="1" applyAlignment="1">
      <alignment horizontal="center" vertical="center" wrapText="1"/>
    </xf>
    <xf numFmtId="0" fontId="4" fillId="0" borderId="1" xfId="1" applyNumberFormat="1" applyFont="1" applyBorder="1" applyAlignment="1">
      <alignment horizontal="center" vertical="center"/>
    </xf>
    <xf numFmtId="164" fontId="5" fillId="2" borderId="1" xfId="1" applyFont="1" applyFill="1" applyBorder="1" applyAlignment="1">
      <alignment horizontal="center" vertical="top"/>
    </xf>
    <xf numFmtId="9" fontId="7" fillId="0" borderId="0" xfId="2" applyFont="1" applyAlignment="1">
      <alignment horizontal="center" vertical="center"/>
    </xf>
    <xf numFmtId="164" fontId="5" fillId="3" borderId="1" xfId="1" applyFont="1" applyFill="1" applyBorder="1" applyAlignment="1">
      <alignment horizontal="center" vertical="center" wrapText="1"/>
    </xf>
    <xf numFmtId="164" fontId="6" fillId="2" borderId="1" xfId="1" applyFont="1" applyFill="1" applyBorder="1" applyAlignment="1">
      <alignment horizontal="center" vertical="center"/>
    </xf>
    <xf numFmtId="164" fontId="6" fillId="2" borderId="1" xfId="1" applyFont="1" applyFill="1" applyBorder="1" applyAlignment="1">
      <alignment horizontal="center" vertical="center" wrapText="1"/>
    </xf>
    <xf numFmtId="164" fontId="5" fillId="3" borderId="1" xfId="1" applyFont="1" applyFill="1" applyBorder="1" applyAlignment="1">
      <alignment horizontal="center" vertical="top" wrapText="1"/>
    </xf>
    <xf numFmtId="164" fontId="7" fillId="0" borderId="0" xfId="1" applyFont="1" applyAlignment="1">
      <alignment horizontal="center" vertical="center"/>
    </xf>
    <xf numFmtId="0" fontId="3" fillId="0" borderId="0" xfId="0" applyFont="1"/>
    <xf numFmtId="0" fontId="3" fillId="0" borderId="0" xfId="0" applyFont="1" applyAlignment="1">
      <alignment horizontal="center" vertical="center"/>
    </xf>
    <xf numFmtId="164" fontId="5" fillId="0" borderId="1" xfId="1" applyFont="1" applyBorder="1" applyAlignment="1">
      <alignment horizontal="center" vertical="top"/>
    </xf>
    <xf numFmtId="164" fontId="6" fillId="9" borderId="1" xfId="1" applyFont="1" applyFill="1" applyBorder="1" applyAlignment="1">
      <alignment horizontal="center" vertical="center" wrapText="1"/>
    </xf>
    <xf numFmtId="164" fontId="5" fillId="0" borderId="1" xfId="1" applyFont="1" applyBorder="1" applyAlignment="1">
      <alignment vertical="center"/>
    </xf>
    <xf numFmtId="0" fontId="5" fillId="4" borderId="1" xfId="0" applyFont="1" applyFill="1" applyBorder="1" applyAlignment="1">
      <alignment horizontal="center" vertical="center"/>
    </xf>
    <xf numFmtId="164" fontId="9" fillId="8" borderId="1" xfId="1" applyFont="1" applyFill="1" applyBorder="1" applyAlignment="1">
      <alignment horizontal="center" vertical="center"/>
    </xf>
    <xf numFmtId="164" fontId="5" fillId="0" borderId="1" xfId="1" quotePrefix="1" applyFont="1" applyBorder="1" applyAlignment="1">
      <alignment horizontal="center" vertical="center"/>
    </xf>
    <xf numFmtId="164" fontId="4" fillId="0" borderId="1" xfId="1" applyFont="1" applyBorder="1" applyAlignment="1">
      <alignment horizontal="center" vertical="center"/>
    </xf>
    <xf numFmtId="164" fontId="5" fillId="4" borderId="1" xfId="1" quotePrefix="1" applyFont="1" applyFill="1" applyBorder="1" applyAlignment="1">
      <alignment horizontal="center" vertical="center"/>
    </xf>
    <xf numFmtId="164" fontId="5" fillId="10" borderId="1" xfId="1" applyFont="1" applyFill="1" applyBorder="1" applyAlignment="1">
      <alignment horizontal="center" vertical="top"/>
    </xf>
    <xf numFmtId="164" fontId="5" fillId="4" borderId="1" xfId="1" applyFont="1" applyFill="1" applyBorder="1" applyAlignment="1">
      <alignment horizontal="center" vertical="top"/>
    </xf>
    <xf numFmtId="164" fontId="3" fillId="0" borderId="1" xfId="1" applyFont="1" applyBorder="1" applyAlignment="1">
      <alignment horizontal="center" vertical="center"/>
    </xf>
    <xf numFmtId="0" fontId="4" fillId="0" borderId="0" xfId="0" applyFont="1"/>
    <xf numFmtId="0" fontId="4" fillId="0" borderId="0" xfId="0" applyFont="1" applyAlignment="1">
      <alignment horizontal="center" vertical="center"/>
    </xf>
    <xf numFmtId="0" fontId="3" fillId="0" borderId="0" xfId="0" applyFont="1" applyAlignment="1" applyProtection="1">
      <alignment vertical="center"/>
      <protection locked="0"/>
    </xf>
    <xf numFmtId="0" fontId="12" fillId="0" borderId="0" xfId="0" applyFont="1" applyAlignment="1" applyProtection="1">
      <alignment horizontal="center" vertical="center"/>
      <protection locked="0"/>
    </xf>
    <xf numFmtId="164" fontId="12" fillId="0" borderId="0" xfId="1" applyFont="1" applyAlignment="1" applyProtection="1">
      <alignment horizontal="center" vertical="center"/>
      <protection locked="0"/>
    </xf>
    <xf numFmtId="164" fontId="12" fillId="0" borderId="0" xfId="1" applyFont="1" applyAlignment="1" applyProtection="1">
      <alignment vertical="center"/>
      <protection locked="0"/>
    </xf>
    <xf numFmtId="0" fontId="12" fillId="0" borderId="0" xfId="0" applyFont="1" applyAlignment="1" applyProtection="1">
      <alignment horizontal="center" vertical="center"/>
    </xf>
    <xf numFmtId="0" fontId="12" fillId="0" borderId="0" xfId="0" applyFont="1" applyAlignment="1" applyProtection="1">
      <alignment vertical="center"/>
    </xf>
    <xf numFmtId="164" fontId="13" fillId="0" borderId="0" xfId="0" applyNumberFormat="1" applyFont="1" applyAlignment="1" applyProtection="1">
      <alignment horizontal="center" vertical="center"/>
    </xf>
    <xf numFmtId="0" fontId="2" fillId="0" borderId="0" xfId="0" applyFont="1" applyAlignment="1">
      <alignment horizontal="center" vertical="center"/>
    </xf>
    <xf numFmtId="0" fontId="3" fillId="0" borderId="0" xfId="0" applyFont="1" applyAlignment="1">
      <alignment horizontal="left" vertical="center"/>
    </xf>
    <xf numFmtId="164" fontId="8" fillId="0" borderId="0" xfId="1" applyFont="1" applyBorder="1" applyAlignment="1">
      <alignment horizontal="center" vertical="center"/>
    </xf>
    <xf numFmtId="0" fontId="5" fillId="4" borderId="1" xfId="0" applyFont="1" applyFill="1" applyBorder="1" applyAlignment="1">
      <alignment horizontal="center" vertical="center" wrapText="1"/>
    </xf>
    <xf numFmtId="0" fontId="5" fillId="4" borderId="1" xfId="0" applyFont="1" applyFill="1" applyBorder="1" applyAlignment="1">
      <alignment horizontal="center" vertical="top"/>
    </xf>
    <xf numFmtId="164" fontId="5" fillId="0" borderId="0" xfId="1" applyFont="1" applyAlignment="1">
      <alignment horizontal="center" vertical="center"/>
    </xf>
    <xf numFmtId="164" fontId="2" fillId="0" borderId="0" xfId="1" quotePrefix="1" applyFont="1" applyAlignment="1">
      <alignment horizontal="center" vertical="center"/>
    </xf>
    <xf numFmtId="164" fontId="6" fillId="4" borderId="1" xfId="1" applyFont="1" applyFill="1" applyBorder="1" applyAlignment="1">
      <alignment horizontal="center" vertical="center"/>
    </xf>
    <xf numFmtId="164" fontId="5" fillId="4" borderId="1" xfId="1" applyNumberFormat="1" applyFont="1" applyFill="1" applyBorder="1" applyAlignment="1">
      <alignment horizontal="center" vertical="top"/>
    </xf>
    <xf numFmtId="0" fontId="4" fillId="0" borderId="0" xfId="0" applyFont="1" applyAlignment="1">
      <alignment horizontal="center" vertical="top"/>
    </xf>
    <xf numFmtId="164" fontId="3" fillId="0" borderId="0" xfId="1" applyFont="1" applyAlignment="1">
      <alignment vertical="top"/>
    </xf>
    <xf numFmtId="164" fontId="5" fillId="9" borderId="1" xfId="1" applyFont="1" applyFill="1" applyBorder="1" applyAlignment="1">
      <alignment horizontal="center" vertical="top"/>
    </xf>
    <xf numFmtId="164" fontId="6" fillId="2" borderId="1" xfId="1" applyFont="1" applyFill="1" applyBorder="1" applyAlignment="1">
      <alignment horizontal="center" vertical="top"/>
    </xf>
    <xf numFmtId="164" fontId="9" fillId="10" borderId="1" xfId="1" applyFont="1" applyFill="1" applyBorder="1" applyAlignment="1">
      <alignment horizontal="center" vertical="top"/>
    </xf>
    <xf numFmtId="164" fontId="2" fillId="0" borderId="0" xfId="1" applyFont="1" applyAlignment="1">
      <alignment horizontal="center" vertical="top"/>
    </xf>
    <xf numFmtId="164" fontId="2" fillId="0" borderId="0" xfId="1" applyFont="1" applyAlignment="1">
      <alignment horizontal="center" vertical="center" wrapText="1"/>
    </xf>
    <xf numFmtId="164" fontId="6" fillId="7" borderId="1" xfId="1" applyFont="1" applyFill="1" applyBorder="1" applyAlignment="1">
      <alignment horizontal="center" vertical="top"/>
    </xf>
    <xf numFmtId="0" fontId="12" fillId="0" borderId="0" xfId="0" applyFont="1" applyAlignment="1" applyProtection="1">
      <alignment horizontal="center" vertical="center"/>
      <protection hidden="1"/>
    </xf>
    <xf numFmtId="0" fontId="3" fillId="0" borderId="0" xfId="0" applyFont="1" applyProtection="1">
      <protection hidden="1"/>
    </xf>
    <xf numFmtId="0" fontId="2" fillId="0" borderId="0" xfId="0" applyFont="1" applyAlignment="1" applyProtection="1">
      <alignment horizontal="center" vertical="center"/>
      <protection locked="0"/>
    </xf>
    <xf numFmtId="164" fontId="15" fillId="0" borderId="0" xfId="0" applyNumberFormat="1" applyFont="1" applyAlignment="1">
      <alignment horizontal="center" vertical="top"/>
    </xf>
    <xf numFmtId="164" fontId="5" fillId="4" borderId="1" xfId="1" quotePrefix="1" applyFont="1" applyFill="1" applyBorder="1" applyAlignment="1">
      <alignment horizontal="center" vertical="center" wrapText="1"/>
    </xf>
    <xf numFmtId="164" fontId="17" fillId="0" borderId="1" xfId="1" applyFont="1" applyBorder="1" applyAlignment="1">
      <alignment horizontal="center" vertical="center"/>
    </xf>
    <xf numFmtId="164" fontId="3" fillId="0" borderId="0" xfId="1" applyFont="1" applyAlignment="1">
      <alignment vertical="center"/>
    </xf>
    <xf numFmtId="164" fontId="2" fillId="7" borderId="0" xfId="1" applyFont="1" applyFill="1" applyAlignment="1">
      <alignment horizontal="center" vertical="center"/>
    </xf>
    <xf numFmtId="164" fontId="4" fillId="0" borderId="1" xfId="1" applyFont="1" applyBorder="1" applyAlignment="1">
      <alignment vertical="center"/>
    </xf>
    <xf numFmtId="0" fontId="4" fillId="0" borderId="1" xfId="1" applyNumberFormat="1" applyFont="1" applyBorder="1" applyAlignment="1">
      <alignment vertical="center"/>
    </xf>
    <xf numFmtId="0" fontId="4" fillId="2" borderId="1" xfId="1" applyNumberFormat="1" applyFont="1" applyFill="1" applyBorder="1" applyAlignment="1">
      <alignment vertical="center"/>
    </xf>
    <xf numFmtId="164" fontId="5" fillId="2" borderId="1" xfId="1" applyFont="1" applyFill="1" applyBorder="1" applyAlignment="1">
      <alignment vertical="center"/>
    </xf>
    <xf numFmtId="165" fontId="4" fillId="3" borderId="1" xfId="1" applyNumberFormat="1" applyFont="1" applyFill="1" applyBorder="1" applyAlignment="1">
      <alignment vertical="center"/>
    </xf>
    <xf numFmtId="164" fontId="4" fillId="3" borderId="1" xfId="1" applyFont="1" applyFill="1" applyBorder="1" applyAlignment="1">
      <alignment vertical="center"/>
    </xf>
    <xf numFmtId="0" fontId="6" fillId="4" borderId="1" xfId="1" applyNumberFormat="1" applyFont="1" applyFill="1" applyBorder="1" applyAlignment="1">
      <alignment vertical="center"/>
    </xf>
    <xf numFmtId="164" fontId="5" fillId="10" borderId="1" xfId="1" applyFont="1" applyFill="1" applyBorder="1" applyAlignment="1">
      <alignment vertical="center"/>
    </xf>
    <xf numFmtId="0" fontId="5" fillId="9" borderId="1" xfId="1" applyNumberFormat="1" applyFont="1" applyFill="1" applyBorder="1" applyAlignment="1">
      <alignment horizontal="center" vertical="center"/>
    </xf>
    <xf numFmtId="164" fontId="6" fillId="2" borderId="1" xfId="1" applyFont="1" applyFill="1" applyBorder="1" applyAlignment="1">
      <alignment vertical="center"/>
    </xf>
    <xf numFmtId="164" fontId="9" fillId="10" borderId="1" xfId="1" applyFont="1" applyFill="1" applyBorder="1" applyAlignment="1">
      <alignment vertical="center"/>
    </xf>
    <xf numFmtId="164" fontId="4" fillId="2" borderId="1" xfId="1" applyFont="1" applyFill="1" applyBorder="1" applyAlignment="1">
      <alignment vertical="center"/>
    </xf>
    <xf numFmtId="164" fontId="8" fillId="2" borderId="1" xfId="1" applyFont="1" applyFill="1" applyBorder="1" applyAlignment="1">
      <alignment vertical="center"/>
    </xf>
    <xf numFmtId="0" fontId="5" fillId="2" borderId="1" xfId="1" applyNumberFormat="1" applyFont="1" applyFill="1" applyBorder="1" applyAlignment="1">
      <alignment vertical="center"/>
    </xf>
    <xf numFmtId="164" fontId="9" fillId="4" borderId="1" xfId="1" applyFont="1" applyFill="1" applyBorder="1" applyAlignment="1">
      <alignment horizontal="center" vertical="top"/>
    </xf>
    <xf numFmtId="164" fontId="6" fillId="4" borderId="1" xfId="1" applyFont="1" applyFill="1" applyBorder="1" applyAlignment="1">
      <alignment horizontal="center" vertical="top"/>
    </xf>
    <xf numFmtId="0" fontId="4" fillId="6" borderId="0" xfId="0" applyFont="1" applyFill="1"/>
    <xf numFmtId="164" fontId="7" fillId="0" borderId="0" xfId="1" applyFont="1" applyAlignment="1">
      <alignment vertical="top"/>
    </xf>
    <xf numFmtId="164" fontId="15" fillId="0" borderId="1" xfId="1" applyFont="1" applyBorder="1" applyAlignment="1">
      <alignment horizontal="center" vertical="center" wrapText="1"/>
    </xf>
    <xf numFmtId="0" fontId="19" fillId="7" borderId="1" xfId="0" applyFont="1" applyFill="1" applyBorder="1" applyAlignment="1">
      <alignment vertical="center"/>
    </xf>
    <xf numFmtId="164" fontId="19" fillId="15" borderId="1" xfId="0" applyNumberFormat="1" applyFont="1" applyFill="1" applyBorder="1" applyAlignment="1">
      <alignment vertical="center"/>
    </xf>
    <xf numFmtId="164" fontId="19" fillId="13" borderId="1" xfId="0" applyNumberFormat="1" applyFont="1" applyFill="1" applyBorder="1" applyAlignment="1">
      <alignment vertical="center"/>
    </xf>
    <xf numFmtId="0" fontId="19" fillId="16" borderId="1" xfId="0" applyFont="1" applyFill="1" applyBorder="1" applyAlignment="1">
      <alignment vertical="center"/>
    </xf>
    <xf numFmtId="0" fontId="19" fillId="14" borderId="1" xfId="0" applyFont="1" applyFill="1" applyBorder="1" applyAlignment="1">
      <alignment vertical="center"/>
    </xf>
    <xf numFmtId="164" fontId="19" fillId="17" borderId="1" xfId="0" applyNumberFormat="1" applyFont="1" applyFill="1" applyBorder="1" applyAlignment="1">
      <alignment vertical="center"/>
    </xf>
    <xf numFmtId="0" fontId="18" fillId="0" borderId="1" xfId="0" applyFont="1" applyBorder="1" applyAlignment="1">
      <alignment vertical="center"/>
    </xf>
    <xf numFmtId="164" fontId="19" fillId="18" borderId="1" xfId="0" applyNumberFormat="1" applyFont="1" applyFill="1" applyBorder="1" applyAlignment="1">
      <alignment vertical="center"/>
    </xf>
    <xf numFmtId="0" fontId="19" fillId="15" borderId="1" xfId="0" applyFont="1" applyFill="1" applyBorder="1" applyAlignment="1">
      <alignment vertical="center"/>
    </xf>
    <xf numFmtId="0" fontId="19" fillId="17" borderId="1" xfId="0" applyFont="1" applyFill="1" applyBorder="1" applyAlignment="1">
      <alignment vertical="center"/>
    </xf>
    <xf numFmtId="0" fontId="19" fillId="18" borderId="1" xfId="0" applyFont="1" applyFill="1" applyBorder="1" applyAlignment="1">
      <alignment vertical="center"/>
    </xf>
    <xf numFmtId="0" fontId="19" fillId="13" borderId="1" xfId="0" applyFont="1" applyFill="1" applyBorder="1" applyAlignment="1">
      <alignment vertical="center"/>
    </xf>
    <xf numFmtId="164" fontId="20" fillId="8" borderId="1" xfId="0" applyNumberFormat="1" applyFont="1" applyFill="1" applyBorder="1" applyAlignment="1">
      <alignment vertical="center"/>
    </xf>
    <xf numFmtId="0" fontId="21" fillId="8" borderId="1" xfId="0" applyFont="1" applyFill="1" applyBorder="1" applyAlignment="1">
      <alignment vertical="center"/>
    </xf>
    <xf numFmtId="164" fontId="0" fillId="0" borderId="0" xfId="0" applyNumberFormat="1"/>
    <xf numFmtId="0" fontId="3" fillId="0" borderId="0" xfId="1" applyNumberFormat="1" applyFont="1" applyAlignment="1">
      <alignment vertical="center"/>
    </xf>
    <xf numFmtId="164" fontId="19" fillId="14" borderId="1" xfId="0" applyNumberFormat="1" applyFont="1" applyFill="1" applyBorder="1" applyAlignment="1">
      <alignment vertical="center"/>
    </xf>
    <xf numFmtId="0" fontId="2" fillId="0" borderId="0" xfId="0" applyFont="1"/>
    <xf numFmtId="0" fontId="2" fillId="4" borderId="1" xfId="0" applyFont="1" applyFill="1" applyBorder="1" applyAlignment="1">
      <alignment horizontal="center" vertical="center"/>
    </xf>
    <xf numFmtId="0" fontId="2" fillId="4" borderId="1" xfId="0" applyFont="1" applyFill="1" applyBorder="1"/>
    <xf numFmtId="164" fontId="2" fillId="4" borderId="1" xfId="1" applyFont="1" applyFill="1" applyBorder="1" applyAlignment="1">
      <alignment horizontal="center" vertical="top"/>
    </xf>
    <xf numFmtId="0" fontId="3" fillId="0" borderId="1" xfId="0" applyFont="1" applyBorder="1"/>
    <xf numFmtId="0" fontId="3" fillId="0" borderId="1" xfId="0" applyFont="1" applyBorder="1" applyAlignment="1">
      <alignment horizontal="center" vertical="center"/>
    </xf>
    <xf numFmtId="0" fontId="2" fillId="4" borderId="1" xfId="0" applyFont="1" applyFill="1" applyBorder="1" applyAlignment="1">
      <alignment horizontal="center"/>
    </xf>
    <xf numFmtId="0" fontId="3" fillId="0" borderId="1" xfId="0" applyFont="1" applyBorder="1" applyAlignment="1">
      <alignment horizontal="center"/>
    </xf>
    <xf numFmtId="0" fontId="3" fillId="0" borderId="0" xfId="0" applyFont="1" applyAlignment="1">
      <alignment horizontal="center"/>
    </xf>
    <xf numFmtId="0" fontId="2" fillId="4" borderId="1" xfId="0" applyFont="1" applyFill="1" applyBorder="1" applyAlignment="1">
      <alignment horizontal="center" vertical="top"/>
    </xf>
    <xf numFmtId="0" fontId="2" fillId="0" borderId="1" xfId="0" applyFont="1" applyBorder="1" applyAlignment="1">
      <alignment horizontal="center" vertical="center"/>
    </xf>
    <xf numFmtId="0" fontId="2" fillId="8" borderId="1" xfId="0" applyFont="1" applyFill="1" applyBorder="1" applyAlignment="1">
      <alignment horizontal="center" vertical="center"/>
    </xf>
    <xf numFmtId="164" fontId="15" fillId="10" borderId="1" xfId="1" applyFont="1" applyFill="1" applyBorder="1" applyAlignment="1">
      <alignment horizontal="center" vertical="center" wrapText="1"/>
    </xf>
    <xf numFmtId="164" fontId="5" fillId="10" borderId="1" xfId="1" applyFont="1" applyFill="1" applyBorder="1" applyAlignment="1">
      <alignment horizontal="center" vertical="center" wrapText="1"/>
    </xf>
    <xf numFmtId="0" fontId="0" fillId="7" borderId="0" xfId="0" applyFill="1"/>
    <xf numFmtId="12" fontId="3" fillId="0" borderId="0" xfId="1" applyNumberFormat="1" applyFont="1" applyAlignment="1">
      <alignment vertical="center"/>
    </xf>
    <xf numFmtId="164" fontId="4" fillId="0" borderId="1" xfId="1" applyNumberFormat="1" applyFont="1" applyBorder="1" applyAlignment="1">
      <alignment vertical="center"/>
    </xf>
    <xf numFmtId="10" fontId="8" fillId="0" borderId="0" xfId="1" applyNumberFormat="1" applyFont="1" applyBorder="1" applyAlignment="1">
      <alignment horizontal="center" vertical="center"/>
    </xf>
    <xf numFmtId="0" fontId="5" fillId="4" borderId="0" xfId="0" applyFont="1" applyFill="1" applyBorder="1" applyAlignment="1">
      <alignment horizontal="center" vertical="top"/>
    </xf>
    <xf numFmtId="0" fontId="5" fillId="19" borderId="1" xfId="0" applyFont="1" applyFill="1" applyBorder="1" applyAlignment="1">
      <alignment horizontal="center" vertical="top"/>
    </xf>
    <xf numFmtId="164" fontId="22" fillId="0" borderId="0" xfId="1" applyFont="1" applyAlignment="1">
      <alignment horizontal="right" vertical="center"/>
    </xf>
    <xf numFmtId="0" fontId="17" fillId="0" borderId="1" xfId="0" applyFont="1" applyBorder="1" applyAlignment="1">
      <alignment horizontal="center" vertical="center"/>
    </xf>
    <xf numFmtId="0" fontId="17" fillId="0" borderId="1" xfId="0" applyFont="1" applyBorder="1"/>
    <xf numFmtId="164" fontId="23" fillId="0" borderId="1" xfId="1" applyFont="1" applyBorder="1" applyAlignment="1">
      <alignment horizontal="center" vertical="center"/>
    </xf>
    <xf numFmtId="164" fontId="23" fillId="0" borderId="0" xfId="1" applyFont="1" applyBorder="1" applyAlignment="1">
      <alignment horizontal="center" vertical="center"/>
    </xf>
    <xf numFmtId="0" fontId="17" fillId="0" borderId="0" xfId="0" applyFont="1"/>
    <xf numFmtId="0" fontId="9" fillId="0" borderId="0" xfId="0" applyFont="1"/>
    <xf numFmtId="164" fontId="9" fillId="0" borderId="0" xfId="0" applyNumberFormat="1" applyFont="1"/>
    <xf numFmtId="164" fontId="17" fillId="7" borderId="1" xfId="1" applyFont="1" applyFill="1" applyBorder="1" applyAlignment="1">
      <alignment horizontal="center" vertical="center"/>
    </xf>
    <xf numFmtId="164" fontId="18" fillId="0" borderId="1" xfId="1" applyFont="1" applyBorder="1" applyAlignment="1">
      <alignment vertical="center"/>
    </xf>
    <xf numFmtId="0" fontId="2" fillId="0" borderId="0" xfId="0" quotePrefix="1" applyFont="1" applyAlignment="1" applyProtection="1">
      <alignment horizontal="center" vertical="center"/>
      <protection locked="0"/>
    </xf>
    <xf numFmtId="14" fontId="3" fillId="0" borderId="0" xfId="0" applyNumberFormat="1" applyFont="1" applyAlignment="1" applyProtection="1">
      <alignment vertical="center"/>
      <protection locked="0"/>
    </xf>
    <xf numFmtId="164" fontId="0" fillId="0" borderId="0" xfId="1" applyFont="1" applyAlignment="1">
      <alignment horizontal="center" vertical="center"/>
    </xf>
    <xf numFmtId="164" fontId="19" fillId="7" borderId="1" xfId="0" applyNumberFormat="1" applyFont="1" applyFill="1" applyBorder="1" applyAlignment="1">
      <alignment vertical="center"/>
    </xf>
    <xf numFmtId="0" fontId="9" fillId="19" borderId="1" xfId="0" applyFont="1" applyFill="1" applyBorder="1" applyAlignment="1">
      <alignment horizontal="center" vertical="center"/>
    </xf>
    <xf numFmtId="0" fontId="9" fillId="0" borderId="0" xfId="0" applyNumberFormat="1" applyFont="1" applyAlignment="1">
      <alignment horizontal="center" vertical="center"/>
    </xf>
    <xf numFmtId="164" fontId="7" fillId="0" borderId="0" xfId="1" applyFont="1" applyAlignment="1">
      <alignment horizontal="center" vertical="top"/>
    </xf>
    <xf numFmtId="164" fontId="25" fillId="0" borderId="0" xfId="1" applyFont="1" applyAlignment="1">
      <alignment vertical="center"/>
    </xf>
    <xf numFmtId="0" fontId="3" fillId="0" borderId="0" xfId="0" applyNumberFormat="1" applyFont="1" applyAlignment="1" applyProtection="1">
      <alignment vertical="center"/>
      <protection locked="0"/>
    </xf>
    <xf numFmtId="0" fontId="3" fillId="0" borderId="0" xfId="0" applyFont="1" applyAlignment="1" applyProtection="1">
      <alignment horizontal="right" vertical="center"/>
      <protection locked="0"/>
    </xf>
    <xf numFmtId="164" fontId="2" fillId="7" borderId="0" xfId="1" applyFont="1" applyFill="1" applyAlignment="1">
      <alignment horizontal="center" vertical="center"/>
    </xf>
    <xf numFmtId="0" fontId="9" fillId="10" borderId="1" xfId="1" applyNumberFormat="1" applyFont="1" applyFill="1" applyBorder="1" applyAlignment="1">
      <alignment vertical="center"/>
    </xf>
    <xf numFmtId="166" fontId="4" fillId="3" borderId="1" xfId="1" applyNumberFormat="1" applyFont="1" applyFill="1" applyBorder="1" applyAlignment="1">
      <alignment vertical="center"/>
    </xf>
    <xf numFmtId="164" fontId="5" fillId="0" borderId="1" xfId="1" applyFont="1" applyBorder="1" applyAlignment="1">
      <alignment horizontal="center" vertical="top" wrapText="1"/>
    </xf>
    <xf numFmtId="1" fontId="4" fillId="2" borderId="1" xfId="1" applyNumberFormat="1" applyFont="1" applyFill="1" applyBorder="1" applyAlignment="1">
      <alignment vertical="center"/>
    </xf>
    <xf numFmtId="1" fontId="5" fillId="2" borderId="1" xfId="1" applyNumberFormat="1" applyFont="1" applyFill="1" applyBorder="1" applyAlignment="1">
      <alignment vertical="center"/>
    </xf>
    <xf numFmtId="1" fontId="4" fillId="3" borderId="1" xfId="1" applyNumberFormat="1" applyFont="1" applyFill="1" applyBorder="1" applyAlignment="1">
      <alignment vertical="center"/>
    </xf>
    <xf numFmtId="0" fontId="2" fillId="0" borderId="0" xfId="0" applyFont="1" applyAlignment="1">
      <alignment horizontal="left"/>
    </xf>
    <xf numFmtId="0" fontId="3" fillId="0" borderId="0" xfId="0" applyFont="1" applyAlignment="1">
      <alignment vertical="center"/>
    </xf>
    <xf numFmtId="0" fontId="2" fillId="4" borderId="1" xfId="0" applyFont="1" applyFill="1" applyBorder="1" applyAlignment="1" applyProtection="1">
      <alignment horizontal="center" vertical="center"/>
      <protection hidden="1"/>
    </xf>
    <xf numFmtId="0" fontId="2" fillId="4" borderId="1" xfId="0" applyFont="1" applyFill="1" applyBorder="1" applyAlignment="1" applyProtection="1">
      <alignment horizontal="center" vertical="center"/>
      <protection locked="0"/>
    </xf>
    <xf numFmtId="0" fontId="14" fillId="0" borderId="0" xfId="0" applyFont="1" applyAlignment="1" applyProtection="1">
      <alignment horizontal="center" vertical="top"/>
      <protection locked="0"/>
    </xf>
    <xf numFmtId="0" fontId="3" fillId="0" borderId="0" xfId="0" applyFont="1" applyAlignment="1" applyProtection="1">
      <alignment vertical="top"/>
      <protection locked="0"/>
    </xf>
    <xf numFmtId="0" fontId="9" fillId="0" borderId="2" xfId="0" applyFont="1" applyBorder="1" applyAlignment="1" applyProtection="1">
      <alignment horizontal="center" vertical="center"/>
      <protection locked="0"/>
    </xf>
    <xf numFmtId="0" fontId="15" fillId="4" borderId="1" xfId="0" applyFont="1" applyFill="1" applyBorder="1" applyAlignment="1" applyProtection="1">
      <alignment horizontal="center" vertical="center" wrapText="1"/>
      <protection locked="0"/>
    </xf>
    <xf numFmtId="0" fontId="12" fillId="0" borderId="0" xfId="0" applyFont="1" applyAlignment="1" applyProtection="1">
      <alignment vertical="center"/>
      <protection locked="0"/>
    </xf>
    <xf numFmtId="164" fontId="13" fillId="0" borderId="0" xfId="0" applyNumberFormat="1" applyFont="1" applyAlignment="1" applyProtection="1">
      <alignment horizontal="center" vertical="center"/>
      <protection locked="0"/>
    </xf>
    <xf numFmtId="0" fontId="5" fillId="0" borderId="2" xfId="0" applyFont="1" applyBorder="1" applyAlignment="1" applyProtection="1">
      <alignment vertical="center"/>
    </xf>
    <xf numFmtId="0" fontId="28" fillId="0" borderId="0" xfId="0" applyFont="1" applyAlignment="1" applyProtection="1">
      <alignment horizontal="center" vertical="center"/>
      <protection locked="0"/>
    </xf>
    <xf numFmtId="164" fontId="2" fillId="7" borderId="0" xfId="1" applyFont="1" applyFill="1" applyAlignment="1">
      <alignment horizontal="center" vertical="center"/>
    </xf>
    <xf numFmtId="164" fontId="2" fillId="0" borderId="0" xfId="1" applyFont="1" applyAlignment="1">
      <alignment horizontal="center" vertical="center"/>
    </xf>
    <xf numFmtId="0" fontId="29" fillId="0" borderId="2" xfId="0" applyFont="1" applyFill="1" applyBorder="1" applyAlignment="1" applyProtection="1">
      <alignment vertical="center"/>
      <protection locked="0"/>
    </xf>
    <xf numFmtId="164" fontId="5" fillId="0" borderId="0" xfId="1" applyFont="1" applyAlignment="1">
      <alignment vertical="center"/>
    </xf>
    <xf numFmtId="0" fontId="0" fillId="8" borderId="0" xfId="0" applyFill="1"/>
    <xf numFmtId="0" fontId="12" fillId="0" borderId="0" xfId="0" applyFont="1" applyFill="1" applyAlignment="1" applyProtection="1">
      <alignment vertical="center"/>
      <protection locked="0"/>
    </xf>
    <xf numFmtId="164" fontId="12" fillId="0" borderId="0" xfId="1" applyFont="1" applyAlignment="1" applyProtection="1">
      <alignment horizontal="right" vertical="center"/>
      <protection locked="0"/>
    </xf>
    <xf numFmtId="164" fontId="12" fillId="0" borderId="0" xfId="1" applyFont="1" applyAlignment="1" applyProtection="1">
      <alignment horizontal="right" vertical="center"/>
    </xf>
    <xf numFmtId="0" fontId="9" fillId="0" borderId="1" xfId="1" applyNumberFormat="1" applyFont="1" applyBorder="1" applyAlignment="1">
      <alignment horizontal="center" vertical="center"/>
    </xf>
    <xf numFmtId="2" fontId="3" fillId="0" borderId="0" xfId="1" applyNumberFormat="1" applyFont="1" applyAlignment="1">
      <alignment vertical="center"/>
    </xf>
    <xf numFmtId="0" fontId="30" fillId="0" borderId="1" xfId="1" applyNumberFormat="1" applyFont="1" applyFill="1" applyBorder="1" applyAlignment="1">
      <alignment horizontal="center" vertical="center"/>
    </xf>
    <xf numFmtId="0" fontId="4" fillId="0" borderId="1" xfId="0" applyFont="1" applyBorder="1" applyAlignment="1" applyProtection="1">
      <alignment horizontal="center" vertical="center"/>
      <protection hidden="1"/>
    </xf>
    <xf numFmtId="0" fontId="7" fillId="0" borderId="1" xfId="0" applyFont="1" applyBorder="1" applyAlignment="1" applyProtection="1">
      <alignment vertical="center"/>
      <protection hidden="1"/>
    </xf>
    <xf numFmtId="164" fontId="25" fillId="0" borderId="1" xfId="1" applyFont="1" applyBorder="1" applyAlignment="1" applyProtection="1">
      <alignment horizontal="center" vertical="center"/>
      <protection hidden="1"/>
    </xf>
    <xf numFmtId="0" fontId="8" fillId="0" borderId="0" xfId="1" applyNumberFormat="1" applyFont="1" applyBorder="1" applyAlignment="1" applyProtection="1">
      <alignment horizontal="center" vertical="center"/>
      <protection hidden="1"/>
    </xf>
    <xf numFmtId="0" fontId="25" fillId="0" borderId="0" xfId="1" applyNumberFormat="1" applyFont="1" applyBorder="1" applyAlignment="1" applyProtection="1">
      <alignment horizontal="center" vertical="center"/>
      <protection hidden="1"/>
    </xf>
    <xf numFmtId="166" fontId="8" fillId="0" borderId="0" xfId="1" applyNumberFormat="1" applyFont="1" applyBorder="1" applyAlignment="1" applyProtection="1">
      <alignment horizontal="center" vertical="center"/>
      <protection hidden="1"/>
    </xf>
    <xf numFmtId="164" fontId="8" fillId="0" borderId="0" xfId="1" applyFont="1" applyBorder="1" applyAlignment="1" applyProtection="1">
      <alignment horizontal="center" vertical="center"/>
      <protection hidden="1"/>
    </xf>
    <xf numFmtId="0" fontId="4" fillId="6" borderId="1" xfId="0" applyFont="1" applyFill="1" applyBorder="1" applyAlignment="1" applyProtection="1">
      <alignment horizontal="center" vertical="center"/>
      <protection hidden="1"/>
    </xf>
    <xf numFmtId="0" fontId="7" fillId="6" borderId="1" xfId="0" applyFont="1" applyFill="1" applyBorder="1" applyAlignment="1" applyProtection="1">
      <alignment vertical="center"/>
      <protection hidden="1"/>
    </xf>
    <xf numFmtId="0" fontId="7" fillId="5" borderId="1" xfId="0" applyFont="1" applyFill="1" applyBorder="1" applyAlignment="1" applyProtection="1">
      <alignment vertical="center"/>
      <protection hidden="1"/>
    </xf>
    <xf numFmtId="0" fontId="19" fillId="20" borderId="0" xfId="0" applyFont="1" applyFill="1" applyAlignment="1" applyProtection="1">
      <alignment horizontal="center" vertical="center"/>
      <protection locked="0"/>
    </xf>
    <xf numFmtId="164" fontId="4" fillId="20" borderId="0" xfId="0" quotePrefix="1" applyNumberFormat="1" applyFont="1" applyFill="1" applyAlignment="1" applyProtection="1">
      <alignment horizontal="center" vertical="center"/>
      <protection locked="0"/>
    </xf>
    <xf numFmtId="0" fontId="19" fillId="18" borderId="0" xfId="0" applyFont="1" applyFill="1" applyAlignment="1" applyProtection="1">
      <alignment horizontal="center" vertical="center"/>
      <protection locked="0"/>
    </xf>
    <xf numFmtId="164" fontId="4" fillId="18" borderId="0" xfId="0" quotePrefix="1" applyNumberFormat="1" applyFont="1" applyFill="1" applyAlignment="1" applyProtection="1">
      <alignment horizontal="center" vertical="center"/>
      <protection locked="0"/>
    </xf>
    <xf numFmtId="164" fontId="4" fillId="0" borderId="0" xfId="0" applyNumberFormat="1" applyFont="1" applyProtection="1">
      <protection locked="0"/>
    </xf>
    <xf numFmtId="0" fontId="4" fillId="0" borderId="0" xfId="0" applyFont="1" applyProtection="1">
      <protection locked="0"/>
    </xf>
    <xf numFmtId="0" fontId="19" fillId="5" borderId="0" xfId="0" applyFont="1" applyFill="1" applyAlignment="1" applyProtection="1">
      <alignment horizontal="center" vertical="center"/>
      <protection locked="0"/>
    </xf>
    <xf numFmtId="164" fontId="4" fillId="5" borderId="0" xfId="0" quotePrefix="1" applyNumberFormat="1" applyFont="1" applyFill="1" applyAlignment="1" applyProtection="1">
      <alignment horizontal="center" vertical="center"/>
      <protection locked="0"/>
    </xf>
    <xf numFmtId="0" fontId="6" fillId="4" borderId="1" xfId="0" applyFont="1" applyFill="1" applyBorder="1" applyAlignment="1">
      <alignment horizontal="center" vertical="center" wrapText="1"/>
    </xf>
    <xf numFmtId="164" fontId="6" fillId="4" borderId="1" xfId="0" applyNumberFormat="1" applyFont="1" applyFill="1" applyBorder="1" applyAlignment="1">
      <alignment horizontal="center" vertical="center"/>
    </xf>
    <xf numFmtId="164" fontId="25" fillId="0" borderId="0" xfId="1" applyNumberFormat="1" applyFont="1" applyAlignment="1">
      <alignment vertical="center"/>
    </xf>
    <xf numFmtId="164" fontId="4" fillId="7" borderId="1" xfId="1" applyFont="1" applyFill="1" applyBorder="1" applyAlignment="1">
      <alignment vertical="center"/>
    </xf>
    <xf numFmtId="0" fontId="4" fillId="7" borderId="1" xfId="1" applyNumberFormat="1" applyFont="1" applyFill="1" applyBorder="1" applyAlignment="1">
      <alignment horizontal="center" vertical="center"/>
    </xf>
    <xf numFmtId="0" fontId="5" fillId="7" borderId="1" xfId="1" applyNumberFormat="1" applyFont="1" applyFill="1" applyBorder="1" applyAlignment="1">
      <alignment horizontal="center" vertical="center"/>
    </xf>
    <xf numFmtId="0" fontId="5" fillId="7" borderId="1" xfId="1" applyNumberFormat="1" applyFont="1" applyFill="1" applyBorder="1" applyAlignment="1">
      <alignment vertical="center"/>
    </xf>
    <xf numFmtId="165" fontId="4" fillId="7" borderId="1" xfId="1" applyNumberFormat="1" applyFont="1" applyFill="1" applyBorder="1" applyAlignment="1">
      <alignment vertical="center"/>
    </xf>
    <xf numFmtId="164" fontId="8" fillId="7" borderId="1" xfId="1" applyFont="1" applyFill="1" applyBorder="1" applyAlignment="1">
      <alignment vertical="center"/>
    </xf>
    <xf numFmtId="164" fontId="5" fillId="7" borderId="1" xfId="1" applyFont="1" applyFill="1" applyBorder="1" applyAlignment="1">
      <alignment vertical="center"/>
    </xf>
    <xf numFmtId="167" fontId="31" fillId="0" borderId="1" xfId="2" applyNumberFormat="1" applyFont="1" applyFill="1" applyBorder="1" applyAlignment="1" applyProtection="1">
      <alignment horizontal="center" vertical="center"/>
      <protection hidden="1"/>
    </xf>
    <xf numFmtId="164" fontId="4" fillId="0" borderId="0" xfId="1" applyFont="1" applyProtection="1">
      <protection locked="0"/>
    </xf>
    <xf numFmtId="0" fontId="4" fillId="7" borderId="1" xfId="1" applyNumberFormat="1" applyFont="1" applyFill="1" applyBorder="1" applyAlignment="1">
      <alignment vertical="center"/>
    </xf>
    <xf numFmtId="1" fontId="4" fillId="7" borderId="1" xfId="1" applyNumberFormat="1" applyFont="1" applyFill="1" applyBorder="1" applyAlignment="1">
      <alignment vertical="center"/>
    </xf>
    <xf numFmtId="1" fontId="5" fillId="7" borderId="1" xfId="1" applyNumberFormat="1" applyFont="1" applyFill="1" applyBorder="1" applyAlignment="1">
      <alignment vertical="center"/>
    </xf>
    <xf numFmtId="164" fontId="6" fillId="7" borderId="1" xfId="1" applyFont="1" applyFill="1" applyBorder="1" applyAlignment="1">
      <alignment vertical="center"/>
    </xf>
    <xf numFmtId="0" fontId="9" fillId="7" borderId="1" xfId="1" applyNumberFormat="1" applyFont="1" applyFill="1" applyBorder="1" applyAlignment="1">
      <alignment vertical="center"/>
    </xf>
    <xf numFmtId="0" fontId="30" fillId="7" borderId="1" xfId="1" applyNumberFormat="1" applyFont="1" applyFill="1" applyBorder="1" applyAlignment="1">
      <alignment horizontal="center" vertical="center"/>
    </xf>
    <xf numFmtId="0" fontId="9" fillId="7" borderId="1" xfId="1" applyNumberFormat="1" applyFont="1" applyFill="1" applyBorder="1" applyAlignment="1">
      <alignment horizontal="center" vertical="center"/>
    </xf>
    <xf numFmtId="164" fontId="4" fillId="7" borderId="1" xfId="1" applyNumberFormat="1" applyFont="1" applyFill="1" applyBorder="1" applyAlignment="1">
      <alignment vertical="center"/>
    </xf>
    <xf numFmtId="166" fontId="4" fillId="7" borderId="1" xfId="1" applyNumberFormat="1" applyFont="1" applyFill="1" applyBorder="1" applyAlignment="1">
      <alignment vertical="center"/>
    </xf>
    <xf numFmtId="164" fontId="9" fillId="7" borderId="1" xfId="1" applyFont="1" applyFill="1" applyBorder="1" applyAlignment="1">
      <alignment vertical="center"/>
    </xf>
    <xf numFmtId="164" fontId="4" fillId="7" borderId="1" xfId="1" applyFont="1" applyFill="1" applyBorder="1" applyAlignment="1">
      <alignment horizontal="center" vertical="center"/>
    </xf>
    <xf numFmtId="168" fontId="3" fillId="0" borderId="0" xfId="1" applyNumberFormat="1" applyFont="1" applyAlignment="1">
      <alignment vertical="center"/>
    </xf>
    <xf numFmtId="164" fontId="34" fillId="0" borderId="1" xfId="1" applyFont="1" applyBorder="1" applyAlignment="1">
      <alignment horizontal="center" vertical="center"/>
    </xf>
    <xf numFmtId="164" fontId="33" fillId="0" borderId="1" xfId="1" applyFont="1" applyBorder="1" applyAlignment="1">
      <alignment horizontal="center" vertical="center"/>
    </xf>
    <xf numFmtId="0" fontId="2" fillId="21" borderId="1" xfId="0" applyFont="1" applyFill="1" applyBorder="1" applyAlignment="1">
      <alignment horizontal="center" vertical="center"/>
    </xf>
    <xf numFmtId="164" fontId="2" fillId="21" borderId="1" xfId="0" applyNumberFormat="1" applyFont="1" applyFill="1" applyBorder="1" applyAlignment="1">
      <alignment horizontal="center" vertical="center" wrapText="1"/>
    </xf>
    <xf numFmtId="0" fontId="2" fillId="21" borderId="1" xfId="0" applyFont="1" applyFill="1" applyBorder="1" applyAlignment="1">
      <alignment horizontal="center" vertical="top"/>
    </xf>
    <xf numFmtId="164" fontId="2" fillId="21" borderId="1" xfId="1" applyFont="1" applyFill="1" applyBorder="1" applyAlignment="1">
      <alignment horizontal="center" vertical="top"/>
    </xf>
    <xf numFmtId="0" fontId="0" fillId="0" borderId="0" xfId="0" applyAlignment="1">
      <alignment horizontal="center" vertical="center"/>
    </xf>
    <xf numFmtId="164" fontId="5" fillId="4" borderId="1" xfId="1" quotePrefix="1" applyFont="1" applyFill="1" applyBorder="1" applyAlignment="1">
      <alignment horizontal="center" vertical="top" wrapText="1"/>
    </xf>
    <xf numFmtId="164" fontId="5" fillId="4" borderId="1" xfId="1" quotePrefix="1" applyFont="1" applyFill="1" applyBorder="1" applyAlignment="1">
      <alignment horizontal="left" vertical="top" wrapText="1"/>
    </xf>
    <xf numFmtId="169" fontId="3" fillId="0" borderId="0" xfId="1" applyNumberFormat="1" applyFont="1" applyAlignment="1">
      <alignment vertical="center"/>
    </xf>
    <xf numFmtId="170" fontId="4" fillId="3" borderId="1" xfId="1" applyNumberFormat="1" applyFont="1" applyFill="1" applyBorder="1" applyAlignment="1">
      <alignment vertical="center"/>
    </xf>
    <xf numFmtId="164" fontId="0" fillId="0" borderId="0" xfId="0" applyNumberFormat="1" applyFill="1" applyBorder="1"/>
    <xf numFmtId="166" fontId="4" fillId="2" borderId="1" xfId="1" applyNumberFormat="1" applyFont="1" applyFill="1" applyBorder="1" applyAlignment="1">
      <alignment vertical="center"/>
    </xf>
    <xf numFmtId="164" fontId="4" fillId="2" borderId="1" xfId="1" applyNumberFormat="1" applyFont="1" applyFill="1" applyBorder="1" applyAlignment="1">
      <alignment vertical="center"/>
    </xf>
    <xf numFmtId="2" fontId="30" fillId="0" borderId="1" xfId="1" applyNumberFormat="1" applyFont="1" applyFill="1" applyBorder="1" applyAlignment="1">
      <alignment horizontal="center" vertical="center"/>
    </xf>
    <xf numFmtId="166" fontId="3" fillId="0" borderId="0" xfId="1" applyNumberFormat="1" applyFont="1" applyAlignment="1">
      <alignment vertical="center"/>
    </xf>
    <xf numFmtId="0" fontId="0" fillId="10" borderId="0" xfId="0" applyFill="1"/>
    <xf numFmtId="164" fontId="3" fillId="7" borderId="1" xfId="1" applyFont="1" applyFill="1" applyBorder="1" applyAlignment="1">
      <alignment horizontal="center" vertical="center"/>
    </xf>
    <xf numFmtId="0" fontId="38" fillId="0" borderId="1" xfId="0" applyFont="1" applyBorder="1" applyAlignment="1">
      <alignment horizontal="left" vertical="center" wrapText="1"/>
    </xf>
    <xf numFmtId="0" fontId="36" fillId="12" borderId="1" xfId="1" quotePrefix="1" applyNumberFormat="1" applyFont="1" applyFill="1" applyBorder="1" applyAlignment="1">
      <alignment horizontal="center" vertical="center"/>
    </xf>
    <xf numFmtId="0" fontId="38" fillId="7" borderId="1" xfId="0" applyFont="1" applyFill="1" applyBorder="1" applyAlignment="1">
      <alignment horizontal="left" vertical="center" wrapText="1"/>
    </xf>
    <xf numFmtId="0" fontId="36" fillId="7" borderId="1" xfId="1" quotePrefix="1" applyNumberFormat="1" applyFont="1" applyFill="1" applyBorder="1" applyAlignment="1">
      <alignment horizontal="center" vertical="center"/>
    </xf>
    <xf numFmtId="164" fontId="3" fillId="0" borderId="0" xfId="0" applyNumberFormat="1" applyFont="1"/>
    <xf numFmtId="164" fontId="39" fillId="0" borderId="0" xfId="0" applyNumberFormat="1" applyFont="1" applyAlignment="1">
      <alignment horizontal="center" vertical="center"/>
    </xf>
    <xf numFmtId="0" fontId="33" fillId="7" borderId="1" xfId="1" applyNumberFormat="1" applyFont="1" applyFill="1" applyBorder="1" applyAlignment="1">
      <alignment vertical="center"/>
    </xf>
    <xf numFmtId="164" fontId="3" fillId="0" borderId="0" xfId="1" applyFont="1"/>
    <xf numFmtId="0" fontId="39" fillId="0" borderId="0" xfId="0" applyFont="1"/>
    <xf numFmtId="164" fontId="39" fillId="5" borderId="0" xfId="1" applyFont="1" applyFill="1" applyAlignment="1">
      <alignment horizontal="center" vertical="center"/>
    </xf>
    <xf numFmtId="164" fontId="2" fillId="5" borderId="0" xfId="1" applyFont="1" applyFill="1" applyAlignment="1">
      <alignment horizontal="center" vertical="center"/>
    </xf>
    <xf numFmtId="164" fontId="0" fillId="7" borderId="0" xfId="0" applyNumberFormat="1" applyFill="1"/>
    <xf numFmtId="0" fontId="41" fillId="0" borderId="0" xfId="0" applyFont="1" applyAlignment="1">
      <alignment horizontal="center" vertical="center"/>
    </xf>
    <xf numFmtId="0" fontId="41" fillId="0" borderId="0" xfId="0" applyFont="1" applyAlignment="1">
      <alignment vertical="center"/>
    </xf>
    <xf numFmtId="166" fontId="42" fillId="0" borderId="1" xfId="1" applyNumberFormat="1" applyFont="1" applyBorder="1" applyAlignment="1">
      <alignment horizontal="center" vertical="center"/>
    </xf>
    <xf numFmtId="0" fontId="41" fillId="0" borderId="1" xfId="0" pivotButton="1" applyFont="1" applyBorder="1" applyAlignment="1">
      <alignment horizontal="center" vertical="center"/>
    </xf>
    <xf numFmtId="0" fontId="41" fillId="0" borderId="0" xfId="0" applyFont="1" applyAlignment="1">
      <alignment horizontal="left" vertical="center"/>
    </xf>
    <xf numFmtId="164" fontId="41" fillId="0" borderId="0" xfId="0" applyNumberFormat="1" applyFont="1" applyAlignment="1">
      <alignment vertical="center"/>
    </xf>
    <xf numFmtId="164" fontId="41" fillId="0" borderId="0" xfId="0" applyNumberFormat="1" applyFont="1" applyAlignment="1">
      <alignment horizontal="center" vertical="center"/>
    </xf>
    <xf numFmtId="164" fontId="40" fillId="7" borderId="1" xfId="1" applyNumberFormat="1" applyFont="1" applyFill="1" applyBorder="1" applyAlignment="1">
      <alignment horizontal="center" vertical="center"/>
    </xf>
    <xf numFmtId="0" fontId="40" fillId="7" borderId="1" xfId="1" applyNumberFormat="1" applyFont="1" applyFill="1" applyBorder="1" applyAlignment="1">
      <alignment horizontal="center" vertical="center"/>
    </xf>
    <xf numFmtId="0" fontId="2" fillId="0" borderId="1" xfId="0" applyFont="1" applyBorder="1" applyAlignment="1">
      <alignment horizontal="center" vertical="center"/>
    </xf>
    <xf numFmtId="0" fontId="2" fillId="4" borderId="1" xfId="0" applyFont="1" applyFill="1" applyBorder="1" applyAlignment="1">
      <alignment horizontal="center" vertical="center"/>
    </xf>
    <xf numFmtId="0" fontId="2" fillId="10" borderId="0" xfId="0" applyFont="1" applyFill="1" applyAlignment="1">
      <alignment horizontal="center" vertical="center" wrapText="1"/>
    </xf>
    <xf numFmtId="0" fontId="33" fillId="0" borderId="1" xfId="0" applyFont="1" applyBorder="1" applyAlignment="1">
      <alignment horizontal="center" vertical="center"/>
    </xf>
    <xf numFmtId="164" fontId="2" fillId="7" borderId="0" xfId="1" applyFont="1" applyFill="1" applyAlignment="1">
      <alignment horizontal="center" vertical="center"/>
    </xf>
    <xf numFmtId="0" fontId="37" fillId="7" borderId="3" xfId="0" applyFont="1" applyFill="1" applyBorder="1" applyAlignment="1">
      <alignment horizontal="center" vertical="center"/>
    </xf>
    <xf numFmtId="0" fontId="37" fillId="7" borderId="4" xfId="0" applyFont="1" applyFill="1" applyBorder="1" applyAlignment="1">
      <alignment horizontal="center" vertical="center"/>
    </xf>
    <xf numFmtId="164" fontId="16" fillId="12" borderId="0" xfId="0" applyNumberFormat="1" applyFont="1" applyFill="1" applyAlignment="1" applyProtection="1">
      <alignment horizontal="center" vertical="center"/>
      <protection locked="0"/>
    </xf>
    <xf numFmtId="0" fontId="16" fillId="12" borderId="2" xfId="0" applyFont="1" applyFill="1" applyBorder="1" applyAlignment="1" applyProtection="1">
      <alignment horizontal="center" vertical="center"/>
      <protection locked="0"/>
    </xf>
    <xf numFmtId="0" fontId="24" fillId="0" borderId="0" xfId="0" applyNumberFormat="1" applyFont="1" applyAlignment="1" applyProtection="1">
      <alignment horizontal="center" vertical="center" wrapText="1"/>
      <protection locked="0"/>
    </xf>
    <xf numFmtId="0" fontId="24" fillId="0" borderId="2" xfId="0" applyNumberFormat="1" applyFont="1" applyBorder="1" applyAlignment="1" applyProtection="1">
      <alignment horizontal="center" vertical="center" wrapText="1"/>
      <protection locked="0"/>
    </xf>
    <xf numFmtId="164" fontId="2" fillId="11" borderId="1" xfId="0" applyNumberFormat="1" applyFont="1" applyFill="1" applyBorder="1" applyAlignment="1" applyProtection="1">
      <alignment horizontal="center" vertical="center" wrapText="1"/>
      <protection locked="0"/>
    </xf>
    <xf numFmtId="164" fontId="7" fillId="7" borderId="1" xfId="0" applyNumberFormat="1" applyFont="1" applyFill="1" applyBorder="1" applyAlignment="1" applyProtection="1">
      <alignment horizontal="center" vertical="center" wrapText="1"/>
      <protection locked="0"/>
    </xf>
    <xf numFmtId="164" fontId="16" fillId="7" borderId="1" xfId="0" applyNumberFormat="1" applyFont="1" applyFill="1" applyBorder="1" applyAlignment="1" applyProtection="1">
      <alignment horizontal="center" vertical="center"/>
      <protection locked="0"/>
    </xf>
    <xf numFmtId="164" fontId="5" fillId="11" borderId="1" xfId="0" applyNumberFormat="1" applyFont="1" applyFill="1" applyBorder="1" applyAlignment="1" applyProtection="1">
      <alignment horizontal="center" vertical="center" wrapText="1"/>
      <protection locked="0"/>
    </xf>
    <xf numFmtId="0" fontId="9" fillId="0" borderId="2" xfId="0" applyFont="1" applyBorder="1" applyAlignment="1" applyProtection="1">
      <alignment horizontal="right" vertical="center"/>
    </xf>
    <xf numFmtId="0" fontId="27" fillId="0" borderId="0" xfId="0" applyFont="1" applyAlignment="1" applyProtection="1">
      <alignment horizontal="left" vertical="center"/>
    </xf>
    <xf numFmtId="0" fontId="2" fillId="0" borderId="0" xfId="0" applyFont="1" applyAlignment="1" applyProtection="1">
      <alignment horizontal="left" vertical="top"/>
    </xf>
    <xf numFmtId="0" fontId="2" fillId="0" borderId="0" xfId="0" applyFont="1" applyAlignment="1" applyProtection="1">
      <alignment horizontal="right" vertical="center" wrapText="1"/>
    </xf>
    <xf numFmtId="0" fontId="2" fillId="0" borderId="0" xfId="0" applyFont="1" applyBorder="1" applyAlignment="1" applyProtection="1">
      <alignment horizontal="left" vertical="top"/>
    </xf>
    <xf numFmtId="0" fontId="2" fillId="0" borderId="0" xfId="0" applyFont="1" applyAlignment="1" applyProtection="1">
      <alignment horizontal="center" vertical="center" wrapText="1"/>
    </xf>
    <xf numFmtId="0" fontId="26" fillId="0" borderId="0" xfId="0" applyFont="1" applyBorder="1" applyAlignment="1" applyProtection="1">
      <alignment horizontal="center" vertical="center"/>
    </xf>
  </cellXfs>
  <cellStyles count="3">
    <cellStyle name="Comma [0]" xfId="1" builtinId="6"/>
    <cellStyle name="Normal" xfId="0" builtinId="0"/>
    <cellStyle name="Percent" xfId="2" builtinId="5"/>
  </cellStyles>
  <dxfs count="661">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FF00"/>
        </patternFill>
      </fill>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readingOrder="0"/>
    </dxf>
    <dxf>
      <alignment horizontal="center" readingOrder="0"/>
    </dxf>
    <dxf>
      <alignment horizontal="left" readingOrder="0"/>
    </dxf>
    <dxf>
      <alignment horizontal="center" readingOrder="0"/>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vertical="center" readingOrder="0"/>
    </dxf>
    <dxf>
      <font>
        <b/>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sz val="18"/>
      </font>
    </dxf>
    <dxf>
      <font>
        <sz val="18"/>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top" readingOrder="0"/>
    </dxf>
    <dxf>
      <alignment vertical="top" readingOrder="0"/>
    </dxf>
    <dxf>
      <alignment vertical="top" readingOrder="0"/>
    </dxf>
    <dxf>
      <alignment vertical="top" readingOrder="0"/>
    </dxf>
    <dxf>
      <font>
        <name val="Times New Roman"/>
        <scheme val="none"/>
      </font>
    </dxf>
    <dxf>
      <alignment horizont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left"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sz val="14"/>
        <name val="Arial"/>
        <scheme val="none"/>
      </font>
      <fill>
        <patternFill>
          <bgColor theme="8" tint="0.39994506668294322"/>
        </patternFill>
      </fill>
      <border>
        <left style="thick">
          <color auto="1"/>
        </left>
        <right style="thick">
          <color auto="1"/>
        </right>
        <top style="thick">
          <color auto="1"/>
        </top>
        <bottom style="thick">
          <color auto="1"/>
        </bottom>
      </border>
    </dxf>
    <dxf>
      <border>
        <left style="thin">
          <color theme="1"/>
        </left>
        <right style="thin">
          <color theme="1"/>
        </right>
        <top style="thin">
          <color theme="1"/>
        </top>
        <bottom style="thin">
          <color theme="1"/>
        </bottom>
      </border>
    </dxf>
  </dxfs>
  <tableStyles count="1" defaultTableStyle="TableStyleMedium2" defaultPivotStyle="PivotStyleLight16">
    <tableStyle name="Slicer Style 1 2" pivot="0" table="0" count="6">
      <tableStyleElement type="wholeTable" dxfId="660"/>
      <tableStyleElement type="headerRow" dxfId="659"/>
    </tableStyle>
  </tableStyles>
  <extLst>
    <ext xmlns:x14="http://schemas.microsoft.com/office/spreadsheetml/2009/9/main" uri="{46F421CA-312F-682f-3DD2-61675219B42D}">
      <x14:dxfs count="4">
        <dxf>
          <font>
            <b/>
            <i val="0"/>
            <sz val="12"/>
            <name val="Arial"/>
            <scheme val="none"/>
          </font>
        </dxf>
        <dxf>
          <font>
            <b/>
            <i val="0"/>
            <sz val="12"/>
            <name val="Arial"/>
            <scheme val="none"/>
          </font>
        </dxf>
        <dxf>
          <font>
            <b/>
            <i val="0"/>
            <sz val="11"/>
            <name val="Arial"/>
            <scheme val="none"/>
          </font>
          <fill>
            <patternFill>
              <bgColor theme="9" tint="0.39994506668294322"/>
            </patternFill>
          </fill>
          <border>
            <left style="thin">
              <color auto="1"/>
            </left>
            <right style="thin">
              <color auto="1"/>
            </right>
            <top style="thin">
              <color auto="1"/>
            </top>
            <bottom style="thin">
              <color auto="1"/>
            </bottom>
          </border>
        </dxf>
        <dxf>
          <font>
            <b/>
            <i val="0"/>
            <sz val="11"/>
            <name val="Arial"/>
            <scheme val="none"/>
          </font>
          <fill>
            <patternFill patternType="none">
              <bgColor auto="1"/>
            </patternFill>
          </fill>
          <border>
            <left style="thin">
              <color rgb="FF00B0F0"/>
            </left>
            <right style="thin">
              <color rgb="FF00B0F0"/>
            </right>
            <top style="thin">
              <color rgb="FF00B0F0"/>
            </top>
            <bottom style="thin">
              <color rgb="FF00B0F0"/>
            </bottom>
          </border>
        </dxf>
      </x14:dxfs>
    </ext>
    <ext xmlns:x14="http://schemas.microsoft.com/office/spreadsheetml/2009/9/main" uri="{EB79DEF2-80B8-43e5-95BD-54CBDDF9020C}">
      <x14:slicerStyles defaultSlicerStyle="SlicerStyleLight1">
        <x14:slicerStyle name="Slicer Style 1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7/relationships/slicerCache" Target="slicerCaches/slicerCach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pivotCacheDefinition" Target="pivotCache/pivotCacheDefinition1.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13</xdr:col>
      <xdr:colOff>33617</xdr:colOff>
      <xdr:row>26</xdr:row>
      <xdr:rowOff>123266</xdr:rowOff>
    </xdr:to>
    <mc:AlternateContent xmlns:mc="http://schemas.openxmlformats.org/markup-compatibility/2006">
      <mc:Choice xmlns:a14="http://schemas.microsoft.com/office/drawing/2010/main" Requires="a14">
        <xdr:graphicFrame macro="">
          <xdr:nvGraphicFramePr>
            <xdr:cNvPr id="2" name="Tên hàng"/>
            <xdr:cNvGraphicFramePr/>
          </xdr:nvGraphicFramePr>
          <xdr:xfrm>
            <a:off x="0" y="0"/>
            <a:ext cx="0" cy="0"/>
          </xdr:xfrm>
          <a:graphic>
            <a:graphicData uri="http://schemas.microsoft.com/office/drawing/2010/slicer">
              <sle:slicer xmlns:sle="http://schemas.microsoft.com/office/drawing/2010/slicer" name="Tên hàng"/>
            </a:graphicData>
          </a:graphic>
        </xdr:graphicFrame>
      </mc:Choice>
      <mc:Fallback>
        <xdr:sp macro="" textlink="">
          <xdr:nvSpPr>
            <xdr:cNvPr id="0" name=""/>
            <xdr:cNvSpPr>
              <a:spLocks noTextEdit="1"/>
            </xdr:cNvSpPr>
          </xdr:nvSpPr>
          <xdr:spPr>
            <a:xfrm>
              <a:off x="0" y="0"/>
              <a:ext cx="8538882" cy="629770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666750</xdr:colOff>
          <xdr:row>0</xdr:row>
          <xdr:rowOff>276225</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sng" strike="noStrike" baseline="0">
                  <a:solidFill>
                    <a:srgbClr val="FF0000"/>
                  </a:solidFill>
                  <a:latin typeface="Arial"/>
                  <a:cs typeface="Arial"/>
                </a:rPr>
                <a:t>Lên Đơn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33185" name="Button 1" hidden="1">
              <a:extLst>
                <a:ext uri="{63B3BB69-23CF-44E3-9099-C40C66FF867C}">
                  <a14:compatExt spid="_x0000_s73318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467393" name="Button 1" hidden="1">
              <a:extLst>
                <a:ext uri="{63B3BB69-23CF-44E3-9099-C40C66FF867C}">
                  <a14:compatExt spid="_x0000_s146739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466369" name="Button 1" hidden="1">
              <a:extLst>
                <a:ext uri="{63B3BB69-23CF-44E3-9099-C40C66FF867C}">
                  <a14:compatExt spid="_x0000_s146636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456129" name="Button 1" hidden="1">
              <a:extLst>
                <a:ext uri="{63B3BB69-23CF-44E3-9099-C40C66FF867C}">
                  <a14:compatExt spid="_x0000_s145612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455105" name="Button 1" hidden="1">
              <a:extLst>
                <a:ext uri="{63B3BB69-23CF-44E3-9099-C40C66FF867C}">
                  <a14:compatExt spid="_x0000_s145510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454081" name="Button 1" hidden="1">
              <a:extLst>
                <a:ext uri="{63B3BB69-23CF-44E3-9099-C40C66FF867C}">
                  <a14:compatExt spid="_x0000_s145408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453057" name="Button 1" hidden="1">
              <a:extLst>
                <a:ext uri="{63B3BB69-23CF-44E3-9099-C40C66FF867C}">
                  <a14:compatExt spid="_x0000_s145305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452033" name="Button 1" hidden="1">
              <a:extLst>
                <a:ext uri="{63B3BB69-23CF-44E3-9099-C40C66FF867C}">
                  <a14:compatExt spid="_x0000_s145203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451009" name="Button 1" hidden="1">
              <a:extLst>
                <a:ext uri="{63B3BB69-23CF-44E3-9099-C40C66FF867C}">
                  <a14:compatExt spid="_x0000_s145100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449985" name="Button 1" hidden="1">
              <a:extLst>
                <a:ext uri="{63B3BB69-23CF-44E3-9099-C40C66FF867C}">
                  <a14:compatExt spid="_x0000_s144998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448961" name="Button 1" hidden="1">
              <a:extLst>
                <a:ext uri="{63B3BB69-23CF-44E3-9099-C40C66FF867C}">
                  <a14:compatExt spid="_x0000_s144896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447937" name="Button 1" hidden="1">
              <a:extLst>
                <a:ext uri="{63B3BB69-23CF-44E3-9099-C40C66FF867C}">
                  <a14:compatExt spid="_x0000_s144793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446913" name="Button 1" hidden="1">
              <a:extLst>
                <a:ext uri="{63B3BB69-23CF-44E3-9099-C40C66FF867C}">
                  <a14:compatExt spid="_x0000_s144691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Windows User" refreshedDate="44798.331015277778" createdVersion="6" refreshedVersion="6" minRefreshableVersion="3" recordCount="72">
  <cacheSource type="worksheet">
    <worksheetSource ref="A1:D73" sheet="Sheet1"/>
  </cacheSource>
  <cacheFields count="4">
    <cacheField name="Trật tự" numFmtId="0">
      <sharedItems containsMixedTypes="1" containsNumber="1" containsInteger="1" minValue="1" maxValue="66" count="72">
        <s v="G1"/>
        <s v="G2"/>
        <s v="G3"/>
        <s v="G4"/>
        <s v="G5"/>
        <s v="G6"/>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sharedItems>
    </cacheField>
    <cacheField name="Tên hàng" numFmtId="0">
      <sharedItems count="82">
        <s v="0-Đùi gà Rán 10C nhỏ"/>
        <s v="0-Đùi gà Rán 10C lớn"/>
        <s v="0-Đùi gà Rán 8C lớn"/>
        <s v="0-Cánh gà rán"/>
        <s v="0-Gà lắc"/>
        <s v="0-Gà viên"/>
        <s v="Phô mai sữa que LC"/>
        <s v="Sủi thịt"/>
        <s v="Sủi tôm"/>
        <s v="Tôm viên HM"/>
        <s v="Chả tôm hình Surimi LC"/>
        <s v="Mực tẩm bột LC"/>
        <s v="Hoành thánh chiên 500gr (60 viên)"/>
        <s v="Hải sản sốt cam LC"/>
        <s v="Viên thả lẩu 3 màu"/>
        <s v="Viên thả lẩu Gà nướng mật ong (Đỏ)"/>
        <s v="Viên thả lẩu phô mai (Xanh lá)"/>
        <s v="Viên thả lẩu răng mực (Hồng)"/>
        <s v="Viên thả lẩu TOMYUM (Tím)"/>
        <s v="Viên thả lẩu trứng tôm (Vàng)"/>
        <s v="Phô mai que (13 que)"/>
        <s v="Phô mai viên (35v)"/>
        <s v="Đậu hủ phô mai"/>
        <s v="XX Đức HS ĐNA"/>
        <s v="XX Phô mai"/>
        <s v="Chả giò HS trái cây sốt Mayo"/>
        <s v="Chả giò Rế tôm mực LC"/>
        <s v="Cá Viên TVP"/>
        <s v="Cá Viên TVP nhỏ"/>
        <s v="Cá viên rau củ TVP"/>
        <s v="Tôm viên TVP"/>
        <s v="Tôm viên TVP nhỏ"/>
        <s v="Bò viên TVP"/>
        <s v="Bò viên TVP nhỏ"/>
        <s v="XX BERLING (10 Cây)"/>
        <s v="XX COCKTAIL (26 Cây)"/>
        <s v="XX Hồ lô"/>
        <s v="XX MUNICH (10 Cây)"/>
        <s v="Nem nướng"/>
        <s v="Jambon Đỏ"/>
        <s v="Giò lụa Bò"/>
        <s v="Giò lụa lá"/>
        <s v="Giò Thủ bì"/>
        <s v="XX Hotdog Phô mai"/>
        <s v="Cốm xanh"/>
        <s v="0-Bò cuộn Excel Canada"/>
        <s v="Bò lá lốt"/>
        <s v="Ốc nhồi Hải sản"/>
        <s v="Chả lụa bì Ớt xiêm xanh"/>
        <s v="Bò viên phở TVP"/>
        <s v="Sủi cảo"/>
        <s v="Khoai tây"/>
        <s v="Đậu hủ phô mai EB"/>
        <s v="Hồ lô ĐNA"/>
        <s v="Há cảo Lớn"/>
        <s v="Há cảo Mini"/>
        <s v="Thanh cua dài Liên Anh"/>
        <s v="Gà viên phô mai"/>
        <s v="Viên thả lẩu Cam-Trứng cá "/>
        <s v="Tôm hùm viên PM"/>
        <s v="Mực xoắn ống"/>
        <s v="Bánh bao ngọt không nhân"/>
        <s v="Cá viên KK"/>
        <s v="Cá viên rau củ KK"/>
        <s v="Bò viên KK"/>
        <s v="Tôm viên KK"/>
        <s v="XX Đỏ KK"/>
        <s v="XX Đức KK"/>
        <s v="Hồ lô KK"/>
        <s v="Bánh bao thả lẩu Trứng cá KK"/>
        <s v="Chả giò Chay rau nấm LC"/>
        <s v="XX Yummy"/>
        <s v="0-Chân Gà" u="1"/>
        <s v="0-Đùi tỏi Gà" u="1"/>
        <s v="0-Đùi gà Rán" u="1"/>
        <s v="Bò viên HM" u="1"/>
        <s v="0-Chân Nhỏ" u="1"/>
        <s v="Khoai tây Simplot" u="1"/>
        <s v="0-Chân To" u="1"/>
        <s v="Cá viên HM" u="1"/>
        <s v="Cá viên rau củ HM" u="1"/>
        <s v="0-Cánh Gà" u="1"/>
      </sharedItems>
    </cacheField>
    <cacheField name="Mã Hàng" numFmtId="0">
      <sharedItems count="72">
        <s v="MTG1"/>
        <s v="MTG2"/>
        <s v="MTG3"/>
        <s v="MTG4"/>
        <s v="MTG5"/>
        <s v="MTG6"/>
        <s v="MT01"/>
        <s v="MT02"/>
        <s v="MT03"/>
        <s v="MT04"/>
        <s v="MT05"/>
        <s v="MT06"/>
        <s v="MT07"/>
        <s v="MT08"/>
        <s v="MT09"/>
        <s v="MT10"/>
        <s v="MT11"/>
        <s v="MT12"/>
        <s v="MT13"/>
        <s v="MT14"/>
        <s v="MT15"/>
        <s v="MT16"/>
        <s v="MT17"/>
        <s v="MT18"/>
        <s v="MT19"/>
        <s v="MT20"/>
        <s v="MT21"/>
        <s v="MT22"/>
        <s v="MT23"/>
        <s v="MT24"/>
        <s v="MT25"/>
        <s v="MT26"/>
        <s v="MT27"/>
        <s v="MT28"/>
        <s v="MT29"/>
        <s v="MT30"/>
        <s v="MT31"/>
        <s v="MT32"/>
        <s v="MT33"/>
        <s v="MT34"/>
        <s v="MT35"/>
        <s v="MT36"/>
        <s v="MT37"/>
        <s v="MT38"/>
        <s v="MT39"/>
        <s v="MT40"/>
        <s v="MT41"/>
        <s v="MT42"/>
        <s v="MT43"/>
        <s v="MT44"/>
        <s v="MT45"/>
        <s v="MT46"/>
        <s v="MT47"/>
        <s v="MT48"/>
        <s v="MT49"/>
        <s v="MT50"/>
        <s v="MT51"/>
        <s v="MT52"/>
        <s v="MT53"/>
        <s v="MT54"/>
        <s v="MT55"/>
        <s v="MT56"/>
        <s v="MT57"/>
        <s v="MT58"/>
        <s v="MT59"/>
        <s v="MT60"/>
        <s v="MT61"/>
        <s v="MT62"/>
        <s v="MT63"/>
        <s v="MT64"/>
        <s v="MT65"/>
        <s v="MT66"/>
      </sharedItems>
    </cacheField>
    <cacheField name="Giá  bán" numFmtId="164">
      <sharedItems containsSemiMixedTypes="0" containsString="0" containsNumber="1" containsInteger="1" minValue="14000" maxValue="124000" count="35">
        <n v="110000"/>
        <n v="124000"/>
        <n v="95000"/>
        <n v="116000"/>
        <n v="48000"/>
        <n v="43000"/>
        <n v="40000"/>
        <n v="44000"/>
        <n v="30000"/>
        <n v="38000"/>
        <n v="42000"/>
        <n v="35000"/>
        <n v="45000"/>
        <n v="50000"/>
        <n v="55000"/>
        <n v="69000"/>
        <n v="32000"/>
        <n v="14000"/>
        <n v="59000"/>
        <n v="52000"/>
        <n v="65000"/>
        <n v="79000"/>
        <n v="66000"/>
        <n v="54000"/>
        <n v="105000"/>
        <n v="76000"/>
        <n v="80000"/>
        <n v="70000"/>
        <n v="47000"/>
        <n v="16000"/>
        <n v="25000"/>
        <n v="26000"/>
        <n v="28000"/>
        <n v="60000" u="1"/>
        <n v="49000" u="1"/>
      </sharedItems>
    </cacheField>
  </cacheFields>
  <extLst>
    <ext xmlns:x14="http://schemas.microsoft.com/office/spreadsheetml/2009/9/main" uri="{725AE2AE-9491-48be-B2B4-4EB974FC3084}">
      <x14:pivotCacheDefinition pivotCacheId="10"/>
    </ext>
  </extLst>
</pivotCacheDefinition>
</file>

<file path=xl/pivotCache/pivotCacheRecords1.xml><?xml version="1.0" encoding="utf-8"?>
<pivotCacheRecords xmlns="http://schemas.openxmlformats.org/spreadsheetml/2006/main" xmlns:r="http://schemas.openxmlformats.org/officeDocument/2006/relationships" count="72">
  <r>
    <x v="0"/>
    <x v="0"/>
    <x v="0"/>
    <x v="0"/>
  </r>
  <r>
    <x v="1"/>
    <x v="1"/>
    <x v="1"/>
    <x v="1"/>
  </r>
  <r>
    <x v="2"/>
    <x v="2"/>
    <x v="2"/>
    <x v="2"/>
  </r>
  <r>
    <x v="3"/>
    <x v="3"/>
    <x v="3"/>
    <x v="3"/>
  </r>
  <r>
    <x v="4"/>
    <x v="4"/>
    <x v="4"/>
    <x v="4"/>
  </r>
  <r>
    <x v="5"/>
    <x v="5"/>
    <x v="5"/>
    <x v="5"/>
  </r>
  <r>
    <x v="6"/>
    <x v="6"/>
    <x v="6"/>
    <x v="4"/>
  </r>
  <r>
    <x v="7"/>
    <x v="7"/>
    <x v="7"/>
    <x v="6"/>
  </r>
  <r>
    <x v="8"/>
    <x v="8"/>
    <x v="8"/>
    <x v="7"/>
  </r>
  <r>
    <x v="9"/>
    <x v="9"/>
    <x v="9"/>
    <x v="8"/>
  </r>
  <r>
    <x v="10"/>
    <x v="10"/>
    <x v="10"/>
    <x v="9"/>
  </r>
  <r>
    <x v="11"/>
    <x v="11"/>
    <x v="11"/>
    <x v="10"/>
  </r>
  <r>
    <x v="12"/>
    <x v="12"/>
    <x v="12"/>
    <x v="11"/>
  </r>
  <r>
    <x v="13"/>
    <x v="13"/>
    <x v="13"/>
    <x v="12"/>
  </r>
  <r>
    <x v="14"/>
    <x v="14"/>
    <x v="14"/>
    <x v="13"/>
  </r>
  <r>
    <x v="15"/>
    <x v="15"/>
    <x v="15"/>
    <x v="12"/>
  </r>
  <r>
    <x v="16"/>
    <x v="16"/>
    <x v="16"/>
    <x v="12"/>
  </r>
  <r>
    <x v="17"/>
    <x v="17"/>
    <x v="17"/>
    <x v="12"/>
  </r>
  <r>
    <x v="18"/>
    <x v="18"/>
    <x v="18"/>
    <x v="12"/>
  </r>
  <r>
    <x v="19"/>
    <x v="19"/>
    <x v="19"/>
    <x v="12"/>
  </r>
  <r>
    <x v="20"/>
    <x v="20"/>
    <x v="20"/>
    <x v="6"/>
  </r>
  <r>
    <x v="21"/>
    <x v="21"/>
    <x v="21"/>
    <x v="6"/>
  </r>
  <r>
    <x v="22"/>
    <x v="22"/>
    <x v="22"/>
    <x v="14"/>
  </r>
  <r>
    <x v="23"/>
    <x v="23"/>
    <x v="23"/>
    <x v="11"/>
  </r>
  <r>
    <x v="24"/>
    <x v="24"/>
    <x v="24"/>
    <x v="15"/>
  </r>
  <r>
    <x v="25"/>
    <x v="25"/>
    <x v="25"/>
    <x v="6"/>
  </r>
  <r>
    <x v="26"/>
    <x v="26"/>
    <x v="26"/>
    <x v="13"/>
  </r>
  <r>
    <x v="27"/>
    <x v="27"/>
    <x v="27"/>
    <x v="16"/>
  </r>
  <r>
    <x v="28"/>
    <x v="28"/>
    <x v="28"/>
    <x v="17"/>
  </r>
  <r>
    <x v="29"/>
    <x v="29"/>
    <x v="29"/>
    <x v="16"/>
  </r>
  <r>
    <x v="30"/>
    <x v="30"/>
    <x v="30"/>
    <x v="11"/>
  </r>
  <r>
    <x v="31"/>
    <x v="31"/>
    <x v="31"/>
    <x v="17"/>
  </r>
  <r>
    <x v="32"/>
    <x v="32"/>
    <x v="32"/>
    <x v="11"/>
  </r>
  <r>
    <x v="33"/>
    <x v="33"/>
    <x v="33"/>
    <x v="17"/>
  </r>
  <r>
    <x v="34"/>
    <x v="34"/>
    <x v="34"/>
    <x v="18"/>
  </r>
  <r>
    <x v="35"/>
    <x v="35"/>
    <x v="35"/>
    <x v="19"/>
  </r>
  <r>
    <x v="36"/>
    <x v="36"/>
    <x v="36"/>
    <x v="20"/>
  </r>
  <r>
    <x v="37"/>
    <x v="37"/>
    <x v="37"/>
    <x v="7"/>
  </r>
  <r>
    <x v="38"/>
    <x v="38"/>
    <x v="38"/>
    <x v="21"/>
  </r>
  <r>
    <x v="39"/>
    <x v="39"/>
    <x v="39"/>
    <x v="22"/>
  </r>
  <r>
    <x v="40"/>
    <x v="40"/>
    <x v="40"/>
    <x v="20"/>
  </r>
  <r>
    <x v="41"/>
    <x v="41"/>
    <x v="41"/>
    <x v="23"/>
  </r>
  <r>
    <x v="42"/>
    <x v="42"/>
    <x v="42"/>
    <x v="18"/>
  </r>
  <r>
    <x v="43"/>
    <x v="43"/>
    <x v="43"/>
    <x v="6"/>
  </r>
  <r>
    <x v="44"/>
    <x v="44"/>
    <x v="44"/>
    <x v="11"/>
  </r>
  <r>
    <x v="45"/>
    <x v="45"/>
    <x v="45"/>
    <x v="24"/>
  </r>
  <r>
    <x v="46"/>
    <x v="46"/>
    <x v="46"/>
    <x v="10"/>
  </r>
  <r>
    <x v="47"/>
    <x v="47"/>
    <x v="47"/>
    <x v="11"/>
  </r>
  <r>
    <x v="48"/>
    <x v="48"/>
    <x v="48"/>
    <x v="15"/>
  </r>
  <r>
    <x v="49"/>
    <x v="49"/>
    <x v="49"/>
    <x v="25"/>
  </r>
  <r>
    <x v="50"/>
    <x v="50"/>
    <x v="50"/>
    <x v="11"/>
  </r>
  <r>
    <x v="51"/>
    <x v="51"/>
    <x v="51"/>
    <x v="20"/>
  </r>
  <r>
    <x v="52"/>
    <x v="52"/>
    <x v="52"/>
    <x v="26"/>
  </r>
  <r>
    <x v="53"/>
    <x v="53"/>
    <x v="53"/>
    <x v="7"/>
  </r>
  <r>
    <x v="54"/>
    <x v="54"/>
    <x v="54"/>
    <x v="11"/>
  </r>
  <r>
    <x v="55"/>
    <x v="55"/>
    <x v="55"/>
    <x v="9"/>
  </r>
  <r>
    <x v="56"/>
    <x v="56"/>
    <x v="56"/>
    <x v="27"/>
  </r>
  <r>
    <x v="57"/>
    <x v="57"/>
    <x v="57"/>
    <x v="23"/>
  </r>
  <r>
    <x v="58"/>
    <x v="58"/>
    <x v="58"/>
    <x v="28"/>
  </r>
  <r>
    <x v="59"/>
    <x v="59"/>
    <x v="59"/>
    <x v="13"/>
  </r>
  <r>
    <x v="60"/>
    <x v="60"/>
    <x v="60"/>
    <x v="10"/>
  </r>
  <r>
    <x v="61"/>
    <x v="61"/>
    <x v="61"/>
    <x v="29"/>
  </r>
  <r>
    <x v="62"/>
    <x v="62"/>
    <x v="62"/>
    <x v="30"/>
  </r>
  <r>
    <x v="63"/>
    <x v="63"/>
    <x v="63"/>
    <x v="31"/>
  </r>
  <r>
    <x v="64"/>
    <x v="64"/>
    <x v="64"/>
    <x v="32"/>
  </r>
  <r>
    <x v="65"/>
    <x v="65"/>
    <x v="65"/>
    <x v="32"/>
  </r>
  <r>
    <x v="66"/>
    <x v="66"/>
    <x v="66"/>
    <x v="31"/>
  </r>
  <r>
    <x v="67"/>
    <x v="67"/>
    <x v="67"/>
    <x v="11"/>
  </r>
  <r>
    <x v="68"/>
    <x v="68"/>
    <x v="68"/>
    <x v="10"/>
  </r>
  <r>
    <x v="69"/>
    <x v="69"/>
    <x v="69"/>
    <x v="12"/>
  </r>
  <r>
    <x v="70"/>
    <x v="70"/>
    <x v="70"/>
    <x v="6"/>
  </r>
  <r>
    <x v="71"/>
    <x v="71"/>
    <x v="71"/>
    <x v="6"/>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5" cacheId="0" applyNumberFormats="0" applyBorderFormats="0" applyFontFormats="0" applyPatternFormats="0" applyAlignmentFormats="0" applyWidthHeightFormats="1" dataCaption="Values" updatedVersion="6" minRefreshableVersion="3" useAutoFormatting="1" rowGrandTotals="0" colGrandTotals="0" itemPrintTitles="1" createdVersion="4" indent="0" compact="0" compactData="0" multipleFieldFilters="0">
  <location ref="L1:O73" firstHeaderRow="1" firstDataRow="1" firstDataCol="4"/>
  <pivotFields count="4">
    <pivotField axis="axisRow" compact="0" outline="0" showAll="0" sortType="ascending" defaultSubtotal="0">
      <items count="72">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0"/>
        <item x="1"/>
        <item x="2"/>
        <item x="3"/>
        <item x="4"/>
        <item x="5"/>
      </items>
    </pivotField>
    <pivotField axis="axisRow" compact="0" outline="0" showAll="0" defaultSubtotal="0">
      <items count="82">
        <item x="46"/>
        <item m="1" x="75"/>
        <item x="49"/>
        <item x="32"/>
        <item x="33"/>
        <item m="1" x="79"/>
        <item m="1" x="80"/>
        <item x="29"/>
        <item x="27"/>
        <item x="28"/>
        <item x="26"/>
        <item x="48"/>
        <item x="10"/>
        <item x="44"/>
        <item x="22"/>
        <item x="52"/>
        <item x="40"/>
        <item x="41"/>
        <item x="42"/>
        <item x="54"/>
        <item x="55"/>
        <item x="13"/>
        <item x="12"/>
        <item x="39"/>
        <item m="1" x="77"/>
        <item x="11"/>
        <item x="38"/>
        <item x="47"/>
        <item x="20"/>
        <item x="21"/>
        <item x="56"/>
        <item x="9"/>
        <item x="30"/>
        <item x="31"/>
        <item x="14"/>
        <item x="15"/>
        <item x="16"/>
        <item x="17"/>
        <item x="18"/>
        <item x="19"/>
        <item x="34"/>
        <item x="35"/>
        <item x="23"/>
        <item x="36"/>
        <item x="37"/>
        <item x="24"/>
        <item x="57"/>
        <item x="58"/>
        <item x="59"/>
        <item x="60"/>
        <item m="1" x="72"/>
        <item m="1" x="81"/>
        <item m="1" x="73"/>
        <item x="45"/>
        <item x="53"/>
        <item x="43"/>
        <item x="6"/>
        <item x="25"/>
        <item x="61"/>
        <item x="62"/>
        <item x="63"/>
        <item x="64"/>
        <item x="65"/>
        <item x="66"/>
        <item x="67"/>
        <item x="68"/>
        <item x="69"/>
        <item x="70"/>
        <item x="71"/>
        <item m="1" x="76"/>
        <item m="1" x="78"/>
        <item x="50"/>
        <item m="1" x="74"/>
        <item x="51"/>
        <item x="0"/>
        <item x="1"/>
        <item x="2"/>
        <item x="4"/>
        <item x="5"/>
        <item x="7"/>
        <item x="8"/>
        <item x="3"/>
      </items>
    </pivotField>
    <pivotField axis="axisRow" compact="0" outline="0" showAll="0" defaultSubtotal="0">
      <items count="72">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8"/>
        <item x="49"/>
        <item x="50"/>
        <item x="51"/>
        <item x="52"/>
        <item x="53"/>
        <item x="54"/>
        <item x="55"/>
        <item x="56"/>
        <item x="57"/>
        <item x="58"/>
        <item x="59"/>
        <item x="60"/>
        <item x="0"/>
        <item x="1"/>
        <item x="2"/>
        <item x="47"/>
        <item x="61"/>
        <item x="62"/>
        <item x="63"/>
        <item x="64"/>
        <item x="65"/>
        <item x="66"/>
        <item x="67"/>
        <item x="68"/>
        <item x="69"/>
        <item x="70"/>
        <item x="71"/>
        <item x="3"/>
        <item x="4"/>
        <item x="5"/>
      </items>
    </pivotField>
    <pivotField axis="axisRow" compact="0" numFmtId="164" outline="0" showAll="0" defaultSubtotal="0">
      <items count="35">
        <item x="17"/>
        <item x="30"/>
        <item x="32"/>
        <item x="8"/>
        <item x="16"/>
        <item x="11"/>
        <item x="9"/>
        <item x="6"/>
        <item x="10"/>
        <item x="7"/>
        <item x="12"/>
        <item x="13"/>
        <item x="19"/>
        <item x="23"/>
        <item x="14"/>
        <item x="18"/>
        <item x="20"/>
        <item x="22"/>
        <item x="15"/>
        <item x="27"/>
        <item x="25"/>
        <item x="21"/>
        <item x="26"/>
        <item x="28"/>
        <item x="24"/>
        <item x="4"/>
        <item m="1" x="34"/>
        <item x="31"/>
        <item x="29"/>
        <item m="1" x="33"/>
        <item x="0"/>
        <item x="1"/>
        <item x="2"/>
        <item x="5"/>
        <item x="3"/>
      </items>
    </pivotField>
  </pivotFields>
  <rowFields count="4">
    <field x="0"/>
    <field x="2"/>
    <field x="1"/>
    <field x="3"/>
  </rowFields>
  <rowItems count="72">
    <i>
      <x/>
      <x/>
      <x v="56"/>
      <x v="25"/>
    </i>
    <i>
      <x v="1"/>
      <x v="1"/>
      <x v="79"/>
      <x v="7"/>
    </i>
    <i>
      <x v="2"/>
      <x v="2"/>
      <x v="80"/>
      <x v="9"/>
    </i>
    <i>
      <x v="3"/>
      <x v="3"/>
      <x v="31"/>
      <x v="3"/>
    </i>
    <i>
      <x v="4"/>
      <x v="4"/>
      <x v="12"/>
      <x v="6"/>
    </i>
    <i>
      <x v="5"/>
      <x v="5"/>
      <x v="25"/>
      <x v="8"/>
    </i>
    <i>
      <x v="6"/>
      <x v="6"/>
      <x v="22"/>
      <x v="5"/>
    </i>
    <i>
      <x v="7"/>
      <x v="7"/>
      <x v="21"/>
      <x v="10"/>
    </i>
    <i>
      <x v="8"/>
      <x v="8"/>
      <x v="34"/>
      <x v="11"/>
    </i>
    <i>
      <x v="9"/>
      <x v="9"/>
      <x v="35"/>
      <x v="10"/>
    </i>
    <i>
      <x v="10"/>
      <x v="10"/>
      <x v="36"/>
      <x v="10"/>
    </i>
    <i>
      <x v="11"/>
      <x v="11"/>
      <x v="37"/>
      <x v="10"/>
    </i>
    <i>
      <x v="12"/>
      <x v="12"/>
      <x v="38"/>
      <x v="10"/>
    </i>
    <i>
      <x v="13"/>
      <x v="13"/>
      <x v="39"/>
      <x v="10"/>
    </i>
    <i>
      <x v="14"/>
      <x v="14"/>
      <x v="28"/>
      <x v="7"/>
    </i>
    <i>
      <x v="15"/>
      <x v="15"/>
      <x v="29"/>
      <x v="7"/>
    </i>
    <i>
      <x v="16"/>
      <x v="16"/>
      <x v="14"/>
      <x v="14"/>
    </i>
    <i>
      <x v="17"/>
      <x v="17"/>
      <x v="42"/>
      <x v="5"/>
    </i>
    <i>
      <x v="18"/>
      <x v="18"/>
      <x v="45"/>
      <x v="18"/>
    </i>
    <i>
      <x v="19"/>
      <x v="19"/>
      <x v="57"/>
      <x v="7"/>
    </i>
    <i>
      <x v="20"/>
      <x v="20"/>
      <x v="10"/>
      <x v="11"/>
    </i>
    <i>
      <x v="21"/>
      <x v="21"/>
      <x v="8"/>
      <x v="4"/>
    </i>
    <i>
      <x v="22"/>
      <x v="22"/>
      <x v="9"/>
      <x/>
    </i>
    <i>
      <x v="23"/>
      <x v="23"/>
      <x v="7"/>
      <x v="4"/>
    </i>
    <i>
      <x v="24"/>
      <x v="24"/>
      <x v="32"/>
      <x v="5"/>
    </i>
    <i>
      <x v="25"/>
      <x v="25"/>
      <x v="33"/>
      <x/>
    </i>
    <i>
      <x v="26"/>
      <x v="26"/>
      <x v="3"/>
      <x v="5"/>
    </i>
    <i>
      <x v="27"/>
      <x v="27"/>
      <x v="4"/>
      <x/>
    </i>
    <i>
      <x v="28"/>
      <x v="28"/>
      <x v="40"/>
      <x v="15"/>
    </i>
    <i>
      <x v="29"/>
      <x v="29"/>
      <x v="41"/>
      <x v="12"/>
    </i>
    <i>
      <x v="30"/>
      <x v="30"/>
      <x v="43"/>
      <x v="16"/>
    </i>
    <i>
      <x v="31"/>
      <x v="31"/>
      <x v="44"/>
      <x v="9"/>
    </i>
    <i>
      <x v="32"/>
      <x v="32"/>
      <x v="26"/>
      <x v="21"/>
    </i>
    <i>
      <x v="33"/>
      <x v="33"/>
      <x v="23"/>
      <x v="17"/>
    </i>
    <i>
      <x v="34"/>
      <x v="34"/>
      <x v="16"/>
      <x v="16"/>
    </i>
    <i>
      <x v="35"/>
      <x v="35"/>
      <x v="17"/>
      <x v="13"/>
    </i>
    <i>
      <x v="36"/>
      <x v="36"/>
      <x v="18"/>
      <x v="15"/>
    </i>
    <i>
      <x v="37"/>
      <x v="37"/>
      <x v="55"/>
      <x v="7"/>
    </i>
    <i>
      <x v="38"/>
      <x v="38"/>
      <x v="13"/>
      <x v="5"/>
    </i>
    <i>
      <x v="39"/>
      <x v="39"/>
      <x v="53"/>
      <x v="24"/>
    </i>
    <i>
      <x v="40"/>
      <x v="40"/>
      <x/>
      <x v="8"/>
    </i>
    <i>
      <x v="41"/>
      <x v="57"/>
      <x v="27"/>
      <x v="5"/>
    </i>
    <i>
      <x v="42"/>
      <x v="41"/>
      <x v="11"/>
      <x v="18"/>
    </i>
    <i>
      <x v="43"/>
      <x v="42"/>
      <x v="2"/>
      <x v="20"/>
    </i>
    <i>
      <x v="44"/>
      <x v="43"/>
      <x v="71"/>
      <x v="5"/>
    </i>
    <i>
      <x v="45"/>
      <x v="44"/>
      <x v="73"/>
      <x v="16"/>
    </i>
    <i>
      <x v="46"/>
      <x v="45"/>
      <x v="15"/>
      <x v="22"/>
    </i>
    <i>
      <x v="47"/>
      <x v="46"/>
      <x v="54"/>
      <x v="9"/>
    </i>
    <i>
      <x v="48"/>
      <x v="47"/>
      <x v="19"/>
      <x v="5"/>
    </i>
    <i>
      <x v="49"/>
      <x v="48"/>
      <x v="20"/>
      <x v="6"/>
    </i>
    <i>
      <x v="50"/>
      <x v="49"/>
      <x v="30"/>
      <x v="19"/>
    </i>
    <i>
      <x v="51"/>
      <x v="50"/>
      <x v="46"/>
      <x v="13"/>
    </i>
    <i>
      <x v="52"/>
      <x v="51"/>
      <x v="47"/>
      <x v="23"/>
    </i>
    <i>
      <x v="53"/>
      <x v="52"/>
      <x v="48"/>
      <x v="11"/>
    </i>
    <i>
      <x v="54"/>
      <x v="53"/>
      <x v="49"/>
      <x v="8"/>
    </i>
    <i>
      <x v="55"/>
      <x v="58"/>
      <x v="58"/>
      <x v="28"/>
    </i>
    <i>
      <x v="56"/>
      <x v="59"/>
      <x v="59"/>
      <x v="1"/>
    </i>
    <i>
      <x v="57"/>
      <x v="60"/>
      <x v="60"/>
      <x v="27"/>
    </i>
    <i>
      <x v="58"/>
      <x v="61"/>
      <x v="61"/>
      <x v="2"/>
    </i>
    <i>
      <x v="59"/>
      <x v="62"/>
      <x v="62"/>
      <x v="2"/>
    </i>
    <i>
      <x v="60"/>
      <x v="63"/>
      <x v="63"/>
      <x v="27"/>
    </i>
    <i>
      <x v="61"/>
      <x v="64"/>
      <x v="64"/>
      <x v="5"/>
    </i>
    <i>
      <x v="62"/>
      <x v="65"/>
      <x v="65"/>
      <x v="8"/>
    </i>
    <i>
      <x v="63"/>
      <x v="66"/>
      <x v="66"/>
      <x v="10"/>
    </i>
    <i>
      <x v="64"/>
      <x v="67"/>
      <x v="67"/>
      <x v="7"/>
    </i>
    <i>
      <x v="65"/>
      <x v="68"/>
      <x v="68"/>
      <x v="7"/>
    </i>
    <i>
      <x v="66"/>
      <x v="54"/>
      <x v="74"/>
      <x v="30"/>
    </i>
    <i>
      <x v="67"/>
      <x v="55"/>
      <x v="75"/>
      <x v="31"/>
    </i>
    <i>
      <x v="68"/>
      <x v="56"/>
      <x v="76"/>
      <x v="32"/>
    </i>
    <i>
      <x v="69"/>
      <x v="69"/>
      <x v="81"/>
      <x v="34"/>
    </i>
    <i>
      <x v="70"/>
      <x v="70"/>
      <x v="77"/>
      <x v="25"/>
    </i>
    <i>
      <x v="71"/>
      <x v="71"/>
      <x v="78"/>
      <x v="33"/>
    </i>
  </rowItems>
  <colItems count="1">
    <i/>
  </colItems>
  <formats count="344">
    <format dxfId="630">
      <pivotArea field="3" type="button" dataOnly="0" labelOnly="1" outline="0" axis="axisRow" fieldPosition="3"/>
    </format>
    <format dxfId="629">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628">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627">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626">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625">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624">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623">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622">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621">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620">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619">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618">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617">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616">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615">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614">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613">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612">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611">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610">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609">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608">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607">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606">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605">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604">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603">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602">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601">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600">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599">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598">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597">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596">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595">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594">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593">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592">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591">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590">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589">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588">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587">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586">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585">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584">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583">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582">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581">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580">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579">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578">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577">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576">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575">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574">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573">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572">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571">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570">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569">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568">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567">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566">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565">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564">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563">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562">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561">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560">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559">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558">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557">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556">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555">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554">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553">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552">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551">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550">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549">
      <pivotArea field="1" type="button" dataOnly="0" labelOnly="1" outline="0" axis="axisRow" fieldPosition="2"/>
    </format>
    <format dxfId="548">
      <pivotArea dataOnly="0" labelOnly="1" outline="0" fieldPosition="0">
        <references count="1">
          <reference field="1" count="0"/>
        </references>
      </pivotArea>
    </format>
    <format dxfId="547">
      <pivotArea field="0" type="button" dataOnly="0" labelOnly="1" outline="0" axis="axisRow" fieldPosition="0"/>
    </format>
    <format dxfId="546">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545">
      <pivotArea dataOnly="0" labelOnly="1" outline="0" fieldPosition="0">
        <references count="1">
          <reference field="0" count="5">
            <x v="50"/>
            <x v="51"/>
            <x v="52"/>
            <x v="53"/>
            <x v="54"/>
          </reference>
        </references>
      </pivotArea>
    </format>
    <format dxfId="544">
      <pivotArea dataOnly="0" labelOnly="1" grandRow="1" outline="0" fieldPosition="0"/>
    </format>
    <format dxfId="543">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542">
      <pivotArea dataOnly="0" labelOnly="1" outline="0" fieldPosition="0">
        <references count="1">
          <reference field="0" count="5">
            <x v="50"/>
            <x v="51"/>
            <x v="52"/>
            <x v="53"/>
            <x v="54"/>
          </reference>
        </references>
      </pivotArea>
    </format>
    <format dxfId="541">
      <pivotArea dataOnly="0" labelOnly="1" grandRow="1" outline="0" fieldPosition="0"/>
    </format>
    <format dxfId="540">
      <pivotArea field="2" type="button" dataOnly="0" labelOnly="1" outline="0" axis="axisRow" fieldPosition="1"/>
    </format>
    <format dxfId="539">
      <pivotArea type="all" dataOnly="0" outline="0" fieldPosition="0"/>
    </format>
    <format dxfId="538">
      <pivotArea field="0" type="button" dataOnly="0" labelOnly="1" outline="0" axis="axisRow" fieldPosition="0"/>
    </format>
    <format dxfId="537">
      <pivotArea field="2" type="button" dataOnly="0" labelOnly="1" outline="0" axis="axisRow" fieldPosition="1"/>
    </format>
    <format dxfId="536">
      <pivotArea field="1" type="button" dataOnly="0" labelOnly="1" outline="0" axis="axisRow" fieldPosition="2"/>
    </format>
    <format dxfId="535">
      <pivotArea field="3" type="button" dataOnly="0" labelOnly="1" outline="0" axis="axisRow" fieldPosition="3"/>
    </format>
    <format dxfId="534">
      <pivotArea field="0" type="button" dataOnly="0" labelOnly="1" outline="0" axis="axisRow" fieldPosition="0"/>
    </format>
    <format dxfId="533">
      <pivotArea field="2" type="button" dataOnly="0" labelOnly="1" outline="0" axis="axisRow" fieldPosition="1"/>
    </format>
    <format dxfId="532">
      <pivotArea field="1" type="button" dataOnly="0" labelOnly="1" outline="0" axis="axisRow" fieldPosition="2"/>
    </format>
    <format dxfId="531">
      <pivotArea field="3" type="button" dataOnly="0" labelOnly="1" outline="0" axis="axisRow" fieldPosition="3"/>
    </format>
    <format dxfId="530">
      <pivotArea field="0" type="button" dataOnly="0" labelOnly="1" outline="0" axis="axisRow" fieldPosition="0"/>
    </format>
    <format dxfId="529">
      <pivotArea field="2" type="button" dataOnly="0" labelOnly="1" outline="0" axis="axisRow" fieldPosition="1"/>
    </format>
    <format dxfId="528">
      <pivotArea dataOnly="0" labelOnly="1" outline="0" fieldPosition="0">
        <references count="3">
          <reference field="0" count="1" selected="0">
            <x v="1"/>
          </reference>
          <reference field="1" count="1">
            <x v="5"/>
          </reference>
          <reference field="2" count="1" selected="0">
            <x v="1"/>
          </reference>
        </references>
      </pivotArea>
    </format>
    <format dxfId="527">
      <pivotArea dataOnly="0" labelOnly="1" outline="0" fieldPosition="0">
        <references count="3">
          <reference field="0" count="1" selected="0">
            <x v="2"/>
          </reference>
          <reference field="1" count="1">
            <x v="6"/>
          </reference>
          <reference field="2" count="1" selected="0">
            <x v="2"/>
          </reference>
        </references>
      </pivotArea>
    </format>
    <format dxfId="526">
      <pivotArea dataOnly="0" labelOnly="1" outline="0" fieldPosition="0">
        <references count="3">
          <reference field="0" count="1" selected="0">
            <x v="3"/>
          </reference>
          <reference field="1" count="1">
            <x v="31"/>
          </reference>
          <reference field="2" count="1" selected="0">
            <x v="3"/>
          </reference>
        </references>
      </pivotArea>
    </format>
    <format dxfId="525">
      <pivotArea dataOnly="0" labelOnly="1" outline="0" fieldPosition="0">
        <references count="3">
          <reference field="0" count="1" selected="0">
            <x v="4"/>
          </reference>
          <reference field="1" count="1">
            <x v="12"/>
          </reference>
          <reference field="2" count="1" selected="0">
            <x v="4"/>
          </reference>
        </references>
      </pivotArea>
    </format>
    <format dxfId="524">
      <pivotArea dataOnly="0" labelOnly="1" outline="0" fieldPosition="0">
        <references count="3">
          <reference field="0" count="1" selected="0">
            <x v="5"/>
          </reference>
          <reference field="1" count="1">
            <x v="25"/>
          </reference>
          <reference field="2" count="1" selected="0">
            <x v="5"/>
          </reference>
        </references>
      </pivotArea>
    </format>
    <format dxfId="523">
      <pivotArea dataOnly="0" labelOnly="1" outline="0" fieldPosition="0">
        <references count="3">
          <reference field="0" count="1" selected="0">
            <x v="7"/>
          </reference>
          <reference field="1" count="1">
            <x v="22"/>
          </reference>
          <reference field="2" count="1" selected="0">
            <x v="7"/>
          </reference>
        </references>
      </pivotArea>
    </format>
    <format dxfId="522">
      <pivotArea dataOnly="0" labelOnly="1" outline="0" fieldPosition="0">
        <references count="3">
          <reference field="0" count="1" selected="0">
            <x v="8"/>
          </reference>
          <reference field="1" count="1">
            <x v="21"/>
          </reference>
          <reference field="2" count="1" selected="0">
            <x v="8"/>
          </reference>
        </references>
      </pivotArea>
    </format>
    <format dxfId="521">
      <pivotArea dataOnly="0" labelOnly="1" outline="0" fieldPosition="0">
        <references count="3">
          <reference field="0" count="1" selected="0">
            <x v="9"/>
          </reference>
          <reference field="1" count="1">
            <x v="34"/>
          </reference>
          <reference field="2" count="1" selected="0">
            <x v="9"/>
          </reference>
        </references>
      </pivotArea>
    </format>
    <format dxfId="520">
      <pivotArea dataOnly="0" labelOnly="1" outline="0" fieldPosition="0">
        <references count="3">
          <reference field="0" count="1" selected="0">
            <x v="10"/>
          </reference>
          <reference field="1" count="1">
            <x v="35"/>
          </reference>
          <reference field="2" count="1" selected="0">
            <x v="10"/>
          </reference>
        </references>
      </pivotArea>
    </format>
    <format dxfId="519">
      <pivotArea dataOnly="0" labelOnly="1" outline="0" fieldPosition="0">
        <references count="3">
          <reference field="0" count="1" selected="0">
            <x v="11"/>
          </reference>
          <reference field="1" count="1">
            <x v="36"/>
          </reference>
          <reference field="2" count="1" selected="0">
            <x v="11"/>
          </reference>
        </references>
      </pivotArea>
    </format>
    <format dxfId="518">
      <pivotArea dataOnly="0" labelOnly="1" outline="0" fieldPosition="0">
        <references count="3">
          <reference field="0" count="1" selected="0">
            <x v="12"/>
          </reference>
          <reference field="1" count="1">
            <x v="37"/>
          </reference>
          <reference field="2" count="1" selected="0">
            <x v="12"/>
          </reference>
        </references>
      </pivotArea>
    </format>
    <format dxfId="517">
      <pivotArea dataOnly="0" labelOnly="1" outline="0" fieldPosition="0">
        <references count="3">
          <reference field="0" count="1" selected="0">
            <x v="13"/>
          </reference>
          <reference field="1" count="1">
            <x v="38"/>
          </reference>
          <reference field="2" count="1" selected="0">
            <x v="13"/>
          </reference>
        </references>
      </pivotArea>
    </format>
    <format dxfId="516">
      <pivotArea dataOnly="0" labelOnly="1" outline="0" fieldPosition="0">
        <references count="3">
          <reference field="0" count="1" selected="0">
            <x v="14"/>
          </reference>
          <reference field="1" count="1">
            <x v="39"/>
          </reference>
          <reference field="2" count="1" selected="0">
            <x v="14"/>
          </reference>
        </references>
      </pivotArea>
    </format>
    <format dxfId="515">
      <pivotArea dataOnly="0" labelOnly="1" outline="0" fieldPosition="0">
        <references count="3">
          <reference field="0" count="1" selected="0">
            <x v="15"/>
          </reference>
          <reference field="1" count="1">
            <x v="28"/>
          </reference>
          <reference field="2" count="1" selected="0">
            <x v="15"/>
          </reference>
        </references>
      </pivotArea>
    </format>
    <format dxfId="514">
      <pivotArea dataOnly="0" labelOnly="1" outline="0" fieldPosition="0">
        <references count="3">
          <reference field="0" count="1" selected="0">
            <x v="16"/>
          </reference>
          <reference field="1" count="1">
            <x v="29"/>
          </reference>
          <reference field="2" count="1" selected="0">
            <x v="16"/>
          </reference>
        </references>
      </pivotArea>
    </format>
    <format dxfId="513">
      <pivotArea dataOnly="0" labelOnly="1" outline="0" fieldPosition="0">
        <references count="3">
          <reference field="0" count="1" selected="0">
            <x v="17"/>
          </reference>
          <reference field="1" count="1">
            <x v="14"/>
          </reference>
          <reference field="2" count="1" selected="0">
            <x v="17"/>
          </reference>
        </references>
      </pivotArea>
    </format>
    <format dxfId="512">
      <pivotArea dataOnly="0" labelOnly="1" outline="0" fieldPosition="0">
        <references count="3">
          <reference field="0" count="1" selected="0">
            <x v="20"/>
          </reference>
          <reference field="1" count="1">
            <x v="42"/>
          </reference>
          <reference field="2" count="1" selected="0">
            <x v="20"/>
          </reference>
        </references>
      </pivotArea>
    </format>
    <format dxfId="511">
      <pivotArea dataOnly="0" labelOnly="1" outline="0" fieldPosition="0">
        <references count="3">
          <reference field="0" count="1" selected="0">
            <x v="22"/>
          </reference>
          <reference field="1" count="1">
            <x v="45"/>
          </reference>
          <reference field="2" count="1" selected="0">
            <x v="22"/>
          </reference>
        </references>
      </pivotArea>
    </format>
    <format dxfId="510">
      <pivotArea dataOnly="0" labelOnly="1" outline="0" fieldPosition="0">
        <references count="3">
          <reference field="0" count="1" selected="0">
            <x v="25"/>
          </reference>
          <reference field="1" count="1">
            <x v="10"/>
          </reference>
          <reference field="2" count="1" selected="0">
            <x v="25"/>
          </reference>
        </references>
      </pivotArea>
    </format>
    <format dxfId="509">
      <pivotArea dataOnly="0" labelOnly="1" outline="0" fieldPosition="0">
        <references count="3">
          <reference field="0" count="1" selected="0">
            <x v="28"/>
          </reference>
          <reference field="1" count="1">
            <x v="8"/>
          </reference>
          <reference field="2" count="1" selected="0">
            <x v="28"/>
          </reference>
        </references>
      </pivotArea>
    </format>
    <format dxfId="508">
      <pivotArea dataOnly="0" labelOnly="1" outline="0" fieldPosition="0">
        <references count="3">
          <reference field="0" count="1" selected="0">
            <x v="29"/>
          </reference>
          <reference field="1" count="1">
            <x v="9"/>
          </reference>
          <reference field="2" count="1" selected="0">
            <x v="29"/>
          </reference>
        </references>
      </pivotArea>
    </format>
    <format dxfId="507">
      <pivotArea dataOnly="0" labelOnly="1" outline="0" fieldPosition="0">
        <references count="3">
          <reference field="0" count="1" selected="0">
            <x v="30"/>
          </reference>
          <reference field="1" count="1">
            <x v="7"/>
          </reference>
          <reference field="2" count="1" selected="0">
            <x v="30"/>
          </reference>
        </references>
      </pivotArea>
    </format>
    <format dxfId="506">
      <pivotArea dataOnly="0" labelOnly="1" outline="0" fieldPosition="0">
        <references count="3">
          <reference field="0" count="1" selected="0">
            <x v="31"/>
          </reference>
          <reference field="1" count="1">
            <x v="32"/>
          </reference>
          <reference field="2" count="1" selected="0">
            <x v="31"/>
          </reference>
        </references>
      </pivotArea>
    </format>
    <format dxfId="505">
      <pivotArea dataOnly="0" labelOnly="1" outline="0" fieldPosition="0">
        <references count="3">
          <reference field="0" count="1" selected="0">
            <x v="32"/>
          </reference>
          <reference field="1" count="1">
            <x v="33"/>
          </reference>
          <reference field="2" count="1" selected="0">
            <x v="32"/>
          </reference>
        </references>
      </pivotArea>
    </format>
    <format dxfId="504">
      <pivotArea dataOnly="0" labelOnly="1" outline="0" fieldPosition="0">
        <references count="3">
          <reference field="0" count="1" selected="0">
            <x v="33"/>
          </reference>
          <reference field="1" count="1">
            <x v="3"/>
          </reference>
          <reference field="2" count="1" selected="0">
            <x v="33"/>
          </reference>
        </references>
      </pivotArea>
    </format>
    <format dxfId="503">
      <pivotArea dataOnly="0" labelOnly="1" outline="0" fieldPosition="0">
        <references count="3">
          <reference field="0" count="1" selected="0">
            <x v="34"/>
          </reference>
          <reference field="1" count="1">
            <x v="4"/>
          </reference>
          <reference field="2" count="1" selected="0">
            <x v="34"/>
          </reference>
        </references>
      </pivotArea>
    </format>
    <format dxfId="502">
      <pivotArea dataOnly="0" labelOnly="1" outline="0" fieldPosition="0">
        <references count="3">
          <reference field="0" count="1" selected="0">
            <x v="35"/>
          </reference>
          <reference field="1" count="1">
            <x v="40"/>
          </reference>
          <reference field="2" count="1" selected="0">
            <x v="35"/>
          </reference>
        </references>
      </pivotArea>
    </format>
    <format dxfId="501">
      <pivotArea dataOnly="0" labelOnly="1" outline="0" fieldPosition="0">
        <references count="3">
          <reference field="0" count="1" selected="0">
            <x v="36"/>
          </reference>
          <reference field="1" count="1">
            <x v="41"/>
          </reference>
          <reference field="2" count="1" selected="0">
            <x v="36"/>
          </reference>
        </references>
      </pivotArea>
    </format>
    <format dxfId="500">
      <pivotArea dataOnly="0" labelOnly="1" outline="0" fieldPosition="0">
        <references count="3">
          <reference field="0" count="1" selected="0">
            <x v="37"/>
          </reference>
          <reference field="1" count="1">
            <x v="43"/>
          </reference>
          <reference field="2" count="1" selected="0">
            <x v="37"/>
          </reference>
        </references>
      </pivotArea>
    </format>
    <format dxfId="499">
      <pivotArea dataOnly="0" labelOnly="1" outline="0" fieldPosition="0">
        <references count="3">
          <reference field="0" count="1" selected="0">
            <x v="38"/>
          </reference>
          <reference field="1" count="1">
            <x v="44"/>
          </reference>
          <reference field="2" count="1" selected="0">
            <x v="38"/>
          </reference>
        </references>
      </pivotArea>
    </format>
    <format dxfId="498">
      <pivotArea dataOnly="0" labelOnly="1" outline="0" fieldPosition="0">
        <references count="3">
          <reference field="0" count="1" selected="0">
            <x v="39"/>
          </reference>
          <reference field="1" count="1">
            <x v="26"/>
          </reference>
          <reference field="2" count="1" selected="0">
            <x v="39"/>
          </reference>
        </references>
      </pivotArea>
    </format>
    <format dxfId="497">
      <pivotArea dataOnly="0" labelOnly="1" outline="0" fieldPosition="0">
        <references count="3">
          <reference field="0" count="1" selected="0">
            <x v="40"/>
          </reference>
          <reference field="1" count="1">
            <x v="23"/>
          </reference>
          <reference field="2" count="1" selected="0">
            <x v="40"/>
          </reference>
        </references>
      </pivotArea>
    </format>
    <format dxfId="496">
      <pivotArea dataOnly="0" labelOnly="1" outline="0" fieldPosition="0">
        <references count="3">
          <reference field="0" count="1" selected="0">
            <x v="43"/>
          </reference>
          <reference field="1" count="1">
            <x v="16"/>
          </reference>
          <reference field="2" count="1" selected="0">
            <x v="42"/>
          </reference>
        </references>
      </pivotArea>
    </format>
    <format dxfId="495">
      <pivotArea dataOnly="0" labelOnly="1" outline="0" fieldPosition="0">
        <references count="3">
          <reference field="0" count="1" selected="0">
            <x v="44"/>
          </reference>
          <reference field="1" count="1">
            <x v="17"/>
          </reference>
          <reference field="2" count="1" selected="0">
            <x v="43"/>
          </reference>
        </references>
      </pivotArea>
    </format>
    <format dxfId="494">
      <pivotArea dataOnly="0" labelOnly="1" outline="0" fieldPosition="0">
        <references count="3">
          <reference field="0" count="1" selected="0">
            <x v="45"/>
          </reference>
          <reference field="1" count="1">
            <x v="18"/>
          </reference>
          <reference field="2" count="1" selected="0">
            <x v="44"/>
          </reference>
        </references>
      </pivotArea>
    </format>
    <format dxfId="493">
      <pivotArea dataOnly="0" labelOnly="1" outline="0" fieldPosition="0">
        <references count="3">
          <reference field="0" count="1" selected="0">
            <x v="47"/>
          </reference>
          <reference field="1" count="1">
            <x v="13"/>
          </reference>
          <reference field="2" count="1" selected="0">
            <x v="46"/>
          </reference>
        </references>
      </pivotArea>
    </format>
    <format dxfId="492">
      <pivotArea dataOnly="0" labelOnly="1" outline="0" fieldPosition="0">
        <references count="3">
          <reference field="0" count="1" selected="0">
            <x v="49"/>
          </reference>
          <reference field="1" count="1">
            <x v="0"/>
          </reference>
          <reference field="2" count="1" selected="0">
            <x v="48"/>
          </reference>
        </references>
      </pivotArea>
    </format>
    <format dxfId="491">
      <pivotArea dataOnly="0" labelOnly="1" outline="0" fieldPosition="0">
        <references count="3">
          <reference field="0" count="1" selected="0">
            <x v="50"/>
          </reference>
          <reference field="1" count="1">
            <x v="27"/>
          </reference>
          <reference field="2" count="1" selected="0">
            <x v="49"/>
          </reference>
        </references>
      </pivotArea>
    </format>
    <format dxfId="490">
      <pivotArea dataOnly="0" labelOnly="1" outline="0" fieldPosition="0">
        <references count="3">
          <reference field="0" count="1" selected="0">
            <x v="51"/>
          </reference>
          <reference field="1" count="1">
            <x v="11"/>
          </reference>
          <reference field="2" count="1" selected="0">
            <x v="50"/>
          </reference>
        </references>
      </pivotArea>
    </format>
    <format dxfId="489">
      <pivotArea dataOnly="0" labelOnly="1" outline="0" fieldPosition="0">
        <references count="3">
          <reference field="0" count="1" selected="0">
            <x v="52"/>
          </reference>
          <reference field="1" count="1">
            <x v="2"/>
          </reference>
          <reference field="2" count="1" selected="0">
            <x v="51"/>
          </reference>
        </references>
      </pivotArea>
    </format>
    <format dxfId="488">
      <pivotArea dataOnly="0" labelOnly="1" outline="0" fieldPosition="0">
        <references count="3">
          <reference field="0" count="1" selected="0">
            <x v="53"/>
          </reference>
          <reference field="1" count="1">
            <x v="1"/>
          </reference>
          <reference field="2" count="1" selected="0">
            <x v="52"/>
          </reference>
        </references>
      </pivotArea>
    </format>
    <format dxfId="487">
      <pivotArea dataOnly="0" labelOnly="1" outline="0" fieldPosition="0">
        <references count="3">
          <reference field="0" count="1" selected="0">
            <x v="54"/>
          </reference>
          <reference field="1" count="1">
            <x v="24"/>
          </reference>
          <reference field="2" count="1" selected="0">
            <x v="53"/>
          </reference>
        </references>
      </pivotArea>
    </format>
    <format dxfId="486">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485">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484">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483">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482">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481">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480">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479">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478">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477">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476">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475">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474">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473">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472">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471">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470">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469">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468">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467">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466">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465">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464">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463">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462">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461">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460">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459">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458">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457">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456">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455">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454">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453">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452">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451">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450">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449">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448">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447">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446">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445">
      <pivotArea dataOnly="0" labelOnly="1" outline="0" fieldPosition="0">
        <references count="1">
          <reference field="0" count="5">
            <x v="50"/>
            <x v="51"/>
            <x v="52"/>
            <x v="53"/>
            <x v="54"/>
          </reference>
        </references>
      </pivotArea>
    </format>
    <format dxfId="444">
      <pivotArea dataOnly="0" labelOnly="1" outline="0" fieldPosition="0">
        <references count="2">
          <reference field="0" count="1" selected="0">
            <x v="0"/>
          </reference>
          <reference field="2" count="1">
            <x v="0"/>
          </reference>
        </references>
      </pivotArea>
    </format>
    <format dxfId="443">
      <pivotArea dataOnly="0" labelOnly="1" outline="0" fieldPosition="0">
        <references count="2">
          <reference field="0" count="1" selected="0">
            <x v="1"/>
          </reference>
          <reference field="2" count="1">
            <x v="1"/>
          </reference>
        </references>
      </pivotArea>
    </format>
    <format dxfId="442">
      <pivotArea dataOnly="0" labelOnly="1" outline="0" fieldPosition="0">
        <references count="2">
          <reference field="0" count="1" selected="0">
            <x v="2"/>
          </reference>
          <reference field="2" count="1">
            <x v="2"/>
          </reference>
        </references>
      </pivotArea>
    </format>
    <format dxfId="441">
      <pivotArea dataOnly="0" labelOnly="1" outline="0" fieldPosition="0">
        <references count="2">
          <reference field="0" count="1" selected="0">
            <x v="3"/>
          </reference>
          <reference field="2" count="1">
            <x v="3"/>
          </reference>
        </references>
      </pivotArea>
    </format>
    <format dxfId="440">
      <pivotArea dataOnly="0" labelOnly="1" outline="0" fieldPosition="0">
        <references count="2">
          <reference field="0" count="1" selected="0">
            <x v="4"/>
          </reference>
          <reference field="2" count="1">
            <x v="4"/>
          </reference>
        </references>
      </pivotArea>
    </format>
    <format dxfId="439">
      <pivotArea dataOnly="0" labelOnly="1" outline="0" fieldPosition="0">
        <references count="2">
          <reference field="0" count="1" selected="0">
            <x v="5"/>
          </reference>
          <reference field="2" count="1">
            <x v="5"/>
          </reference>
        </references>
      </pivotArea>
    </format>
    <format dxfId="438">
      <pivotArea dataOnly="0" labelOnly="1" outline="0" fieldPosition="0">
        <references count="2">
          <reference field="0" count="1" selected="0">
            <x v="6"/>
          </reference>
          <reference field="2" count="1">
            <x v="6"/>
          </reference>
        </references>
      </pivotArea>
    </format>
    <format dxfId="437">
      <pivotArea dataOnly="0" labelOnly="1" outline="0" fieldPosition="0">
        <references count="2">
          <reference field="0" count="1" selected="0">
            <x v="7"/>
          </reference>
          <reference field="2" count="1">
            <x v="7"/>
          </reference>
        </references>
      </pivotArea>
    </format>
    <format dxfId="436">
      <pivotArea dataOnly="0" labelOnly="1" outline="0" fieldPosition="0">
        <references count="2">
          <reference field="0" count="1" selected="0">
            <x v="8"/>
          </reference>
          <reference field="2" count="1">
            <x v="8"/>
          </reference>
        </references>
      </pivotArea>
    </format>
    <format dxfId="435">
      <pivotArea dataOnly="0" labelOnly="1" outline="0" fieldPosition="0">
        <references count="2">
          <reference field="0" count="1" selected="0">
            <x v="9"/>
          </reference>
          <reference field="2" count="1">
            <x v="9"/>
          </reference>
        </references>
      </pivotArea>
    </format>
    <format dxfId="434">
      <pivotArea dataOnly="0" labelOnly="1" outline="0" fieldPosition="0">
        <references count="2">
          <reference field="0" count="1" selected="0">
            <x v="10"/>
          </reference>
          <reference field="2" count="1">
            <x v="10"/>
          </reference>
        </references>
      </pivotArea>
    </format>
    <format dxfId="433">
      <pivotArea dataOnly="0" labelOnly="1" outline="0" fieldPosition="0">
        <references count="2">
          <reference field="0" count="1" selected="0">
            <x v="11"/>
          </reference>
          <reference field="2" count="1">
            <x v="11"/>
          </reference>
        </references>
      </pivotArea>
    </format>
    <format dxfId="432">
      <pivotArea dataOnly="0" labelOnly="1" outline="0" fieldPosition="0">
        <references count="2">
          <reference field="0" count="1" selected="0">
            <x v="12"/>
          </reference>
          <reference field="2" count="1">
            <x v="12"/>
          </reference>
        </references>
      </pivotArea>
    </format>
    <format dxfId="431">
      <pivotArea dataOnly="0" labelOnly="1" outline="0" fieldPosition="0">
        <references count="2">
          <reference field="0" count="1" selected="0">
            <x v="13"/>
          </reference>
          <reference field="2" count="1">
            <x v="13"/>
          </reference>
        </references>
      </pivotArea>
    </format>
    <format dxfId="430">
      <pivotArea dataOnly="0" labelOnly="1" outline="0" fieldPosition="0">
        <references count="2">
          <reference field="0" count="1" selected="0">
            <x v="14"/>
          </reference>
          <reference field="2" count="1">
            <x v="14"/>
          </reference>
        </references>
      </pivotArea>
    </format>
    <format dxfId="429">
      <pivotArea dataOnly="0" labelOnly="1" outline="0" fieldPosition="0">
        <references count="2">
          <reference field="0" count="1" selected="0">
            <x v="15"/>
          </reference>
          <reference field="2" count="1">
            <x v="15"/>
          </reference>
        </references>
      </pivotArea>
    </format>
    <format dxfId="428">
      <pivotArea dataOnly="0" labelOnly="1" outline="0" fieldPosition="0">
        <references count="2">
          <reference field="0" count="1" selected="0">
            <x v="16"/>
          </reference>
          <reference field="2" count="1">
            <x v="16"/>
          </reference>
        </references>
      </pivotArea>
    </format>
    <format dxfId="427">
      <pivotArea dataOnly="0" labelOnly="1" outline="0" fieldPosition="0">
        <references count="2">
          <reference field="0" count="1" selected="0">
            <x v="17"/>
          </reference>
          <reference field="2" count="1">
            <x v="17"/>
          </reference>
        </references>
      </pivotArea>
    </format>
    <format dxfId="426">
      <pivotArea dataOnly="0" labelOnly="1" outline="0" fieldPosition="0">
        <references count="2">
          <reference field="0" count="1" selected="0">
            <x v="18"/>
          </reference>
          <reference field="2" count="1">
            <x v="18"/>
          </reference>
        </references>
      </pivotArea>
    </format>
    <format dxfId="425">
      <pivotArea dataOnly="0" labelOnly="1" outline="0" fieldPosition="0">
        <references count="2">
          <reference field="0" count="1" selected="0">
            <x v="19"/>
          </reference>
          <reference field="2" count="1">
            <x v="19"/>
          </reference>
        </references>
      </pivotArea>
    </format>
    <format dxfId="424">
      <pivotArea dataOnly="0" labelOnly="1" outline="0" fieldPosition="0">
        <references count="2">
          <reference field="0" count="1" selected="0">
            <x v="20"/>
          </reference>
          <reference field="2" count="1">
            <x v="20"/>
          </reference>
        </references>
      </pivotArea>
    </format>
    <format dxfId="423">
      <pivotArea dataOnly="0" labelOnly="1" outline="0" fieldPosition="0">
        <references count="2">
          <reference field="0" count="1" selected="0">
            <x v="21"/>
          </reference>
          <reference field="2" count="1">
            <x v="21"/>
          </reference>
        </references>
      </pivotArea>
    </format>
    <format dxfId="422">
      <pivotArea dataOnly="0" labelOnly="1" outline="0" fieldPosition="0">
        <references count="2">
          <reference field="0" count="1" selected="0">
            <x v="22"/>
          </reference>
          <reference field="2" count="1">
            <x v="22"/>
          </reference>
        </references>
      </pivotArea>
    </format>
    <format dxfId="421">
      <pivotArea dataOnly="0" labelOnly="1" outline="0" fieldPosition="0">
        <references count="2">
          <reference field="0" count="1" selected="0">
            <x v="23"/>
          </reference>
          <reference field="2" count="1">
            <x v="23"/>
          </reference>
        </references>
      </pivotArea>
    </format>
    <format dxfId="420">
      <pivotArea dataOnly="0" labelOnly="1" outline="0" fieldPosition="0">
        <references count="2">
          <reference field="0" count="1" selected="0">
            <x v="24"/>
          </reference>
          <reference field="2" count="1">
            <x v="24"/>
          </reference>
        </references>
      </pivotArea>
    </format>
    <format dxfId="419">
      <pivotArea dataOnly="0" labelOnly="1" outline="0" fieldPosition="0">
        <references count="2">
          <reference field="0" count="1" selected="0">
            <x v="25"/>
          </reference>
          <reference field="2" count="1">
            <x v="25"/>
          </reference>
        </references>
      </pivotArea>
    </format>
    <format dxfId="418">
      <pivotArea dataOnly="0" labelOnly="1" outline="0" fieldPosition="0">
        <references count="2">
          <reference field="0" count="1" selected="0">
            <x v="26"/>
          </reference>
          <reference field="2" count="1">
            <x v="26"/>
          </reference>
        </references>
      </pivotArea>
    </format>
    <format dxfId="417">
      <pivotArea dataOnly="0" labelOnly="1" outline="0" fieldPosition="0">
        <references count="2">
          <reference field="0" count="1" selected="0">
            <x v="27"/>
          </reference>
          <reference field="2" count="1">
            <x v="27"/>
          </reference>
        </references>
      </pivotArea>
    </format>
    <format dxfId="416">
      <pivotArea dataOnly="0" labelOnly="1" outline="0" fieldPosition="0">
        <references count="2">
          <reference field="0" count="1" selected="0">
            <x v="28"/>
          </reference>
          <reference field="2" count="1">
            <x v="28"/>
          </reference>
        </references>
      </pivotArea>
    </format>
    <format dxfId="415">
      <pivotArea dataOnly="0" labelOnly="1" outline="0" fieldPosition="0">
        <references count="2">
          <reference field="0" count="1" selected="0">
            <x v="29"/>
          </reference>
          <reference field="2" count="1">
            <x v="29"/>
          </reference>
        </references>
      </pivotArea>
    </format>
    <format dxfId="414">
      <pivotArea dataOnly="0" labelOnly="1" outline="0" fieldPosition="0">
        <references count="2">
          <reference field="0" count="1" selected="0">
            <x v="30"/>
          </reference>
          <reference field="2" count="1">
            <x v="30"/>
          </reference>
        </references>
      </pivotArea>
    </format>
    <format dxfId="413">
      <pivotArea dataOnly="0" labelOnly="1" outline="0" fieldPosition="0">
        <references count="2">
          <reference field="0" count="1" selected="0">
            <x v="31"/>
          </reference>
          <reference field="2" count="1">
            <x v="31"/>
          </reference>
        </references>
      </pivotArea>
    </format>
    <format dxfId="412">
      <pivotArea dataOnly="0" labelOnly="1" outline="0" fieldPosition="0">
        <references count="2">
          <reference field="0" count="1" selected="0">
            <x v="32"/>
          </reference>
          <reference field="2" count="1">
            <x v="32"/>
          </reference>
        </references>
      </pivotArea>
    </format>
    <format dxfId="411">
      <pivotArea dataOnly="0" labelOnly="1" outline="0" fieldPosition="0">
        <references count="2">
          <reference field="0" count="1" selected="0">
            <x v="33"/>
          </reference>
          <reference field="2" count="1">
            <x v="33"/>
          </reference>
        </references>
      </pivotArea>
    </format>
    <format dxfId="410">
      <pivotArea dataOnly="0" labelOnly="1" outline="0" fieldPosition="0">
        <references count="2">
          <reference field="0" count="1" selected="0">
            <x v="34"/>
          </reference>
          <reference field="2" count="1">
            <x v="34"/>
          </reference>
        </references>
      </pivotArea>
    </format>
    <format dxfId="409">
      <pivotArea dataOnly="0" labelOnly="1" outline="0" fieldPosition="0">
        <references count="2">
          <reference field="0" count="1" selected="0">
            <x v="35"/>
          </reference>
          <reference field="2" count="1">
            <x v="35"/>
          </reference>
        </references>
      </pivotArea>
    </format>
    <format dxfId="408">
      <pivotArea dataOnly="0" labelOnly="1" outline="0" fieldPosition="0">
        <references count="2">
          <reference field="0" count="1" selected="0">
            <x v="36"/>
          </reference>
          <reference field="2" count="1">
            <x v="36"/>
          </reference>
        </references>
      </pivotArea>
    </format>
    <format dxfId="407">
      <pivotArea dataOnly="0" labelOnly="1" outline="0" fieldPosition="0">
        <references count="2">
          <reference field="0" count="1" selected="0">
            <x v="37"/>
          </reference>
          <reference field="2" count="1">
            <x v="37"/>
          </reference>
        </references>
      </pivotArea>
    </format>
    <format dxfId="406">
      <pivotArea dataOnly="0" labelOnly="1" outline="0" fieldPosition="0">
        <references count="2">
          <reference field="0" count="1" selected="0">
            <x v="38"/>
          </reference>
          <reference field="2" count="1">
            <x v="38"/>
          </reference>
        </references>
      </pivotArea>
    </format>
    <format dxfId="405">
      <pivotArea dataOnly="0" labelOnly="1" outline="0" fieldPosition="0">
        <references count="2">
          <reference field="0" count="1" selected="0">
            <x v="39"/>
          </reference>
          <reference field="2" count="1">
            <x v="39"/>
          </reference>
        </references>
      </pivotArea>
    </format>
    <format dxfId="404">
      <pivotArea dataOnly="0" labelOnly="1" outline="0" fieldPosition="0">
        <references count="2">
          <reference field="0" count="1" selected="0">
            <x v="40"/>
          </reference>
          <reference field="2" count="1">
            <x v="40"/>
          </reference>
        </references>
      </pivotArea>
    </format>
    <format dxfId="403">
      <pivotArea dataOnly="0" labelOnly="1" outline="0" fieldPosition="0">
        <references count="2">
          <reference field="0" count="1" selected="0">
            <x v="42"/>
          </reference>
          <reference field="2" count="1">
            <x v="41"/>
          </reference>
        </references>
      </pivotArea>
    </format>
    <format dxfId="402">
      <pivotArea dataOnly="0" labelOnly="1" outline="0" fieldPosition="0">
        <references count="2">
          <reference field="0" count="1" selected="0">
            <x v="43"/>
          </reference>
          <reference field="2" count="1">
            <x v="42"/>
          </reference>
        </references>
      </pivotArea>
    </format>
    <format dxfId="401">
      <pivotArea dataOnly="0" labelOnly="1" outline="0" fieldPosition="0">
        <references count="2">
          <reference field="0" count="1" selected="0">
            <x v="44"/>
          </reference>
          <reference field="2" count="1">
            <x v="43"/>
          </reference>
        </references>
      </pivotArea>
    </format>
    <format dxfId="400">
      <pivotArea dataOnly="0" labelOnly="1" outline="0" fieldPosition="0">
        <references count="2">
          <reference field="0" count="1" selected="0">
            <x v="45"/>
          </reference>
          <reference field="2" count="1">
            <x v="44"/>
          </reference>
        </references>
      </pivotArea>
    </format>
    <format dxfId="399">
      <pivotArea dataOnly="0" labelOnly="1" outline="0" fieldPosition="0">
        <references count="2">
          <reference field="0" count="1" selected="0">
            <x v="46"/>
          </reference>
          <reference field="2" count="1">
            <x v="45"/>
          </reference>
        </references>
      </pivotArea>
    </format>
    <format dxfId="398">
      <pivotArea dataOnly="0" labelOnly="1" outline="0" fieldPosition="0">
        <references count="2">
          <reference field="0" count="1" selected="0">
            <x v="47"/>
          </reference>
          <reference field="2" count="1">
            <x v="46"/>
          </reference>
        </references>
      </pivotArea>
    </format>
    <format dxfId="397">
      <pivotArea dataOnly="0" labelOnly="1" outline="0" fieldPosition="0">
        <references count="2">
          <reference field="0" count="1" selected="0">
            <x v="48"/>
          </reference>
          <reference field="2" count="1">
            <x v="47"/>
          </reference>
        </references>
      </pivotArea>
    </format>
    <format dxfId="396">
      <pivotArea dataOnly="0" labelOnly="1" outline="0" fieldPosition="0">
        <references count="2">
          <reference field="0" count="1" selected="0">
            <x v="49"/>
          </reference>
          <reference field="2" count="1">
            <x v="48"/>
          </reference>
        </references>
      </pivotArea>
    </format>
    <format dxfId="395">
      <pivotArea dataOnly="0" labelOnly="1" outline="0" fieldPosition="0">
        <references count="2">
          <reference field="0" count="1" selected="0">
            <x v="50"/>
          </reference>
          <reference field="2" count="1">
            <x v="49"/>
          </reference>
        </references>
      </pivotArea>
    </format>
    <format dxfId="394">
      <pivotArea dataOnly="0" labelOnly="1" outline="0" fieldPosition="0">
        <references count="2">
          <reference field="0" count="1" selected="0">
            <x v="51"/>
          </reference>
          <reference field="2" count="1">
            <x v="50"/>
          </reference>
        </references>
      </pivotArea>
    </format>
    <format dxfId="393">
      <pivotArea dataOnly="0" labelOnly="1" outline="0" fieldPosition="0">
        <references count="2">
          <reference field="0" count="1" selected="0">
            <x v="52"/>
          </reference>
          <reference field="2" count="1">
            <x v="51"/>
          </reference>
        </references>
      </pivotArea>
    </format>
    <format dxfId="392">
      <pivotArea dataOnly="0" labelOnly="1" outline="0" fieldPosition="0">
        <references count="2">
          <reference field="0" count="1" selected="0">
            <x v="53"/>
          </reference>
          <reference field="2" count="1">
            <x v="52"/>
          </reference>
        </references>
      </pivotArea>
    </format>
    <format dxfId="391">
      <pivotArea dataOnly="0" labelOnly="1" outline="0" fieldPosition="0">
        <references count="2">
          <reference field="0" count="1" selected="0">
            <x v="54"/>
          </reference>
          <reference field="2" count="1">
            <x v="53"/>
          </reference>
        </references>
      </pivotArea>
    </format>
    <format dxfId="390">
      <pivotArea dataOnly="0" labelOnly="1" outline="0" fieldPosition="0">
        <references count="3">
          <reference field="0" count="1" selected="0">
            <x v="1"/>
          </reference>
          <reference field="1" count="1">
            <x v="5"/>
          </reference>
          <reference field="2" count="1" selected="0">
            <x v="1"/>
          </reference>
        </references>
      </pivotArea>
    </format>
    <format dxfId="389">
      <pivotArea dataOnly="0" labelOnly="1" outline="0" fieldPosition="0">
        <references count="3">
          <reference field="0" count="1" selected="0">
            <x v="2"/>
          </reference>
          <reference field="1" count="1">
            <x v="6"/>
          </reference>
          <reference field="2" count="1" selected="0">
            <x v="2"/>
          </reference>
        </references>
      </pivotArea>
    </format>
    <format dxfId="388">
      <pivotArea dataOnly="0" labelOnly="1" outline="0" fieldPosition="0">
        <references count="3">
          <reference field="0" count="1" selected="0">
            <x v="3"/>
          </reference>
          <reference field="1" count="1">
            <x v="31"/>
          </reference>
          <reference field="2" count="1" selected="0">
            <x v="3"/>
          </reference>
        </references>
      </pivotArea>
    </format>
    <format dxfId="387">
      <pivotArea dataOnly="0" labelOnly="1" outline="0" fieldPosition="0">
        <references count="3">
          <reference field="0" count="1" selected="0">
            <x v="4"/>
          </reference>
          <reference field="1" count="1">
            <x v="12"/>
          </reference>
          <reference field="2" count="1" selected="0">
            <x v="4"/>
          </reference>
        </references>
      </pivotArea>
    </format>
    <format dxfId="386">
      <pivotArea dataOnly="0" labelOnly="1" outline="0" fieldPosition="0">
        <references count="3">
          <reference field="0" count="1" selected="0">
            <x v="5"/>
          </reference>
          <reference field="1" count="1">
            <x v="25"/>
          </reference>
          <reference field="2" count="1" selected="0">
            <x v="5"/>
          </reference>
        </references>
      </pivotArea>
    </format>
    <format dxfId="385">
      <pivotArea dataOnly="0" labelOnly="1" outline="0" fieldPosition="0">
        <references count="3">
          <reference field="0" count="1" selected="0">
            <x v="7"/>
          </reference>
          <reference field="1" count="1">
            <x v="22"/>
          </reference>
          <reference field="2" count="1" selected="0">
            <x v="7"/>
          </reference>
        </references>
      </pivotArea>
    </format>
    <format dxfId="384">
      <pivotArea dataOnly="0" labelOnly="1" outline="0" fieldPosition="0">
        <references count="3">
          <reference field="0" count="1" selected="0">
            <x v="8"/>
          </reference>
          <reference field="1" count="1">
            <x v="21"/>
          </reference>
          <reference field="2" count="1" selected="0">
            <x v="8"/>
          </reference>
        </references>
      </pivotArea>
    </format>
    <format dxfId="383">
      <pivotArea dataOnly="0" labelOnly="1" outline="0" fieldPosition="0">
        <references count="3">
          <reference field="0" count="1" selected="0">
            <x v="9"/>
          </reference>
          <reference field="1" count="1">
            <x v="34"/>
          </reference>
          <reference field="2" count="1" selected="0">
            <x v="9"/>
          </reference>
        </references>
      </pivotArea>
    </format>
    <format dxfId="382">
      <pivotArea dataOnly="0" labelOnly="1" outline="0" fieldPosition="0">
        <references count="3">
          <reference field="0" count="1" selected="0">
            <x v="10"/>
          </reference>
          <reference field="1" count="1">
            <x v="35"/>
          </reference>
          <reference field="2" count="1" selected="0">
            <x v="10"/>
          </reference>
        </references>
      </pivotArea>
    </format>
    <format dxfId="381">
      <pivotArea dataOnly="0" labelOnly="1" outline="0" fieldPosition="0">
        <references count="3">
          <reference field="0" count="1" selected="0">
            <x v="11"/>
          </reference>
          <reference field="1" count="1">
            <x v="36"/>
          </reference>
          <reference field="2" count="1" selected="0">
            <x v="11"/>
          </reference>
        </references>
      </pivotArea>
    </format>
    <format dxfId="380">
      <pivotArea dataOnly="0" labelOnly="1" outline="0" fieldPosition="0">
        <references count="3">
          <reference field="0" count="1" selected="0">
            <x v="12"/>
          </reference>
          <reference field="1" count="1">
            <x v="37"/>
          </reference>
          <reference field="2" count="1" selected="0">
            <x v="12"/>
          </reference>
        </references>
      </pivotArea>
    </format>
    <format dxfId="379">
      <pivotArea dataOnly="0" labelOnly="1" outline="0" fieldPosition="0">
        <references count="3">
          <reference field="0" count="1" selected="0">
            <x v="13"/>
          </reference>
          <reference field="1" count="1">
            <x v="38"/>
          </reference>
          <reference field="2" count="1" selected="0">
            <x v="13"/>
          </reference>
        </references>
      </pivotArea>
    </format>
    <format dxfId="378">
      <pivotArea dataOnly="0" labelOnly="1" outline="0" fieldPosition="0">
        <references count="3">
          <reference field="0" count="1" selected="0">
            <x v="14"/>
          </reference>
          <reference field="1" count="1">
            <x v="39"/>
          </reference>
          <reference field="2" count="1" selected="0">
            <x v="14"/>
          </reference>
        </references>
      </pivotArea>
    </format>
    <format dxfId="377">
      <pivotArea dataOnly="0" labelOnly="1" outline="0" fieldPosition="0">
        <references count="3">
          <reference field="0" count="1" selected="0">
            <x v="15"/>
          </reference>
          <reference field="1" count="1">
            <x v="28"/>
          </reference>
          <reference field="2" count="1" selected="0">
            <x v="15"/>
          </reference>
        </references>
      </pivotArea>
    </format>
    <format dxfId="376">
      <pivotArea dataOnly="0" labelOnly="1" outline="0" fieldPosition="0">
        <references count="3">
          <reference field="0" count="1" selected="0">
            <x v="16"/>
          </reference>
          <reference field="1" count="1">
            <x v="29"/>
          </reference>
          <reference field="2" count="1" selected="0">
            <x v="16"/>
          </reference>
        </references>
      </pivotArea>
    </format>
    <format dxfId="375">
      <pivotArea dataOnly="0" labelOnly="1" outline="0" fieldPosition="0">
        <references count="3">
          <reference field="0" count="1" selected="0">
            <x v="17"/>
          </reference>
          <reference field="1" count="1">
            <x v="14"/>
          </reference>
          <reference field="2" count="1" selected="0">
            <x v="17"/>
          </reference>
        </references>
      </pivotArea>
    </format>
    <format dxfId="374">
      <pivotArea dataOnly="0" labelOnly="1" outline="0" fieldPosition="0">
        <references count="3">
          <reference field="0" count="1" selected="0">
            <x v="20"/>
          </reference>
          <reference field="1" count="1">
            <x v="42"/>
          </reference>
          <reference field="2" count="1" selected="0">
            <x v="20"/>
          </reference>
        </references>
      </pivotArea>
    </format>
    <format dxfId="373">
      <pivotArea dataOnly="0" labelOnly="1" outline="0" fieldPosition="0">
        <references count="3">
          <reference field="0" count="1" selected="0">
            <x v="22"/>
          </reference>
          <reference field="1" count="1">
            <x v="45"/>
          </reference>
          <reference field="2" count="1" selected="0">
            <x v="22"/>
          </reference>
        </references>
      </pivotArea>
    </format>
    <format dxfId="372">
      <pivotArea dataOnly="0" labelOnly="1" outline="0" fieldPosition="0">
        <references count="3">
          <reference field="0" count="1" selected="0">
            <x v="25"/>
          </reference>
          <reference field="1" count="1">
            <x v="10"/>
          </reference>
          <reference field="2" count="1" selected="0">
            <x v="25"/>
          </reference>
        </references>
      </pivotArea>
    </format>
    <format dxfId="371">
      <pivotArea dataOnly="0" labelOnly="1" outline="0" fieldPosition="0">
        <references count="3">
          <reference field="0" count="1" selected="0">
            <x v="28"/>
          </reference>
          <reference field="1" count="1">
            <x v="8"/>
          </reference>
          <reference field="2" count="1" selected="0">
            <x v="28"/>
          </reference>
        </references>
      </pivotArea>
    </format>
    <format dxfId="370">
      <pivotArea dataOnly="0" labelOnly="1" outline="0" fieldPosition="0">
        <references count="3">
          <reference field="0" count="1" selected="0">
            <x v="29"/>
          </reference>
          <reference field="1" count="1">
            <x v="9"/>
          </reference>
          <reference field="2" count="1" selected="0">
            <x v="29"/>
          </reference>
        </references>
      </pivotArea>
    </format>
    <format dxfId="369">
      <pivotArea dataOnly="0" labelOnly="1" outline="0" fieldPosition="0">
        <references count="3">
          <reference field="0" count="1" selected="0">
            <x v="30"/>
          </reference>
          <reference field="1" count="1">
            <x v="7"/>
          </reference>
          <reference field="2" count="1" selected="0">
            <x v="30"/>
          </reference>
        </references>
      </pivotArea>
    </format>
    <format dxfId="368">
      <pivotArea dataOnly="0" labelOnly="1" outline="0" fieldPosition="0">
        <references count="3">
          <reference field="0" count="1" selected="0">
            <x v="31"/>
          </reference>
          <reference field="1" count="1">
            <x v="32"/>
          </reference>
          <reference field="2" count="1" selected="0">
            <x v="31"/>
          </reference>
        </references>
      </pivotArea>
    </format>
    <format dxfId="367">
      <pivotArea dataOnly="0" labelOnly="1" outline="0" fieldPosition="0">
        <references count="3">
          <reference field="0" count="1" selected="0">
            <x v="32"/>
          </reference>
          <reference field="1" count="1">
            <x v="33"/>
          </reference>
          <reference field="2" count="1" selected="0">
            <x v="32"/>
          </reference>
        </references>
      </pivotArea>
    </format>
    <format dxfId="366">
      <pivotArea dataOnly="0" labelOnly="1" outline="0" fieldPosition="0">
        <references count="3">
          <reference field="0" count="1" selected="0">
            <x v="33"/>
          </reference>
          <reference field="1" count="1">
            <x v="3"/>
          </reference>
          <reference field="2" count="1" selected="0">
            <x v="33"/>
          </reference>
        </references>
      </pivotArea>
    </format>
    <format dxfId="365">
      <pivotArea dataOnly="0" labelOnly="1" outline="0" fieldPosition="0">
        <references count="3">
          <reference field="0" count="1" selected="0">
            <x v="34"/>
          </reference>
          <reference field="1" count="1">
            <x v="4"/>
          </reference>
          <reference field="2" count="1" selected="0">
            <x v="34"/>
          </reference>
        </references>
      </pivotArea>
    </format>
    <format dxfId="364">
      <pivotArea dataOnly="0" labelOnly="1" outline="0" fieldPosition="0">
        <references count="3">
          <reference field="0" count="1" selected="0">
            <x v="35"/>
          </reference>
          <reference field="1" count="1">
            <x v="40"/>
          </reference>
          <reference field="2" count="1" selected="0">
            <x v="35"/>
          </reference>
        </references>
      </pivotArea>
    </format>
    <format dxfId="363">
      <pivotArea dataOnly="0" labelOnly="1" outline="0" fieldPosition="0">
        <references count="3">
          <reference field="0" count="1" selected="0">
            <x v="36"/>
          </reference>
          <reference field="1" count="1">
            <x v="41"/>
          </reference>
          <reference field="2" count="1" selected="0">
            <x v="36"/>
          </reference>
        </references>
      </pivotArea>
    </format>
    <format dxfId="362">
      <pivotArea dataOnly="0" labelOnly="1" outline="0" fieldPosition="0">
        <references count="3">
          <reference field="0" count="1" selected="0">
            <x v="37"/>
          </reference>
          <reference field="1" count="1">
            <x v="43"/>
          </reference>
          <reference field="2" count="1" selected="0">
            <x v="37"/>
          </reference>
        </references>
      </pivotArea>
    </format>
    <format dxfId="361">
      <pivotArea dataOnly="0" labelOnly="1" outline="0" fieldPosition="0">
        <references count="3">
          <reference field="0" count="1" selected="0">
            <x v="38"/>
          </reference>
          <reference field="1" count="1">
            <x v="44"/>
          </reference>
          <reference field="2" count="1" selected="0">
            <x v="38"/>
          </reference>
        </references>
      </pivotArea>
    </format>
    <format dxfId="360">
      <pivotArea dataOnly="0" labelOnly="1" outline="0" fieldPosition="0">
        <references count="3">
          <reference field="0" count="1" selected="0">
            <x v="39"/>
          </reference>
          <reference field="1" count="1">
            <x v="26"/>
          </reference>
          <reference field="2" count="1" selected="0">
            <x v="39"/>
          </reference>
        </references>
      </pivotArea>
    </format>
    <format dxfId="359">
      <pivotArea dataOnly="0" labelOnly="1" outline="0" fieldPosition="0">
        <references count="3">
          <reference field="0" count="1" selected="0">
            <x v="40"/>
          </reference>
          <reference field="1" count="1">
            <x v="23"/>
          </reference>
          <reference field="2" count="1" selected="0">
            <x v="40"/>
          </reference>
        </references>
      </pivotArea>
    </format>
    <format dxfId="358">
      <pivotArea dataOnly="0" labelOnly="1" outline="0" fieldPosition="0">
        <references count="3">
          <reference field="0" count="1" selected="0">
            <x v="43"/>
          </reference>
          <reference field="1" count="1">
            <x v="16"/>
          </reference>
          <reference field="2" count="1" selected="0">
            <x v="42"/>
          </reference>
        </references>
      </pivotArea>
    </format>
    <format dxfId="357">
      <pivotArea dataOnly="0" labelOnly="1" outline="0" fieldPosition="0">
        <references count="3">
          <reference field="0" count="1" selected="0">
            <x v="44"/>
          </reference>
          <reference field="1" count="1">
            <x v="17"/>
          </reference>
          <reference field="2" count="1" selected="0">
            <x v="43"/>
          </reference>
        </references>
      </pivotArea>
    </format>
    <format dxfId="356">
      <pivotArea dataOnly="0" labelOnly="1" outline="0" fieldPosition="0">
        <references count="3">
          <reference field="0" count="1" selected="0">
            <x v="45"/>
          </reference>
          <reference field="1" count="1">
            <x v="18"/>
          </reference>
          <reference field="2" count="1" selected="0">
            <x v="44"/>
          </reference>
        </references>
      </pivotArea>
    </format>
    <format dxfId="355">
      <pivotArea dataOnly="0" labelOnly="1" outline="0" fieldPosition="0">
        <references count="3">
          <reference field="0" count="1" selected="0">
            <x v="47"/>
          </reference>
          <reference field="1" count="1">
            <x v="13"/>
          </reference>
          <reference field="2" count="1" selected="0">
            <x v="46"/>
          </reference>
        </references>
      </pivotArea>
    </format>
    <format dxfId="354">
      <pivotArea dataOnly="0" labelOnly="1" outline="0" fieldPosition="0">
        <references count="3">
          <reference field="0" count="1" selected="0">
            <x v="49"/>
          </reference>
          <reference field="1" count="1">
            <x v="0"/>
          </reference>
          <reference field="2" count="1" selected="0">
            <x v="48"/>
          </reference>
        </references>
      </pivotArea>
    </format>
    <format dxfId="353">
      <pivotArea dataOnly="0" labelOnly="1" outline="0" fieldPosition="0">
        <references count="3">
          <reference field="0" count="1" selected="0">
            <x v="50"/>
          </reference>
          <reference field="1" count="1">
            <x v="27"/>
          </reference>
          <reference field="2" count="1" selected="0">
            <x v="49"/>
          </reference>
        </references>
      </pivotArea>
    </format>
    <format dxfId="352">
      <pivotArea dataOnly="0" labelOnly="1" outline="0" fieldPosition="0">
        <references count="3">
          <reference field="0" count="1" selected="0">
            <x v="51"/>
          </reference>
          <reference field="1" count="1">
            <x v="11"/>
          </reference>
          <reference field="2" count="1" selected="0">
            <x v="50"/>
          </reference>
        </references>
      </pivotArea>
    </format>
    <format dxfId="351">
      <pivotArea dataOnly="0" labelOnly="1" outline="0" fieldPosition="0">
        <references count="3">
          <reference field="0" count="1" selected="0">
            <x v="52"/>
          </reference>
          <reference field="1" count="1">
            <x v="2"/>
          </reference>
          <reference field="2" count="1" selected="0">
            <x v="51"/>
          </reference>
        </references>
      </pivotArea>
    </format>
    <format dxfId="350">
      <pivotArea dataOnly="0" labelOnly="1" outline="0" fieldPosition="0">
        <references count="3">
          <reference field="0" count="1" selected="0">
            <x v="53"/>
          </reference>
          <reference field="1" count="1">
            <x v="1"/>
          </reference>
          <reference field="2" count="1" selected="0">
            <x v="52"/>
          </reference>
        </references>
      </pivotArea>
    </format>
    <format dxfId="349">
      <pivotArea dataOnly="0" labelOnly="1" outline="0" fieldPosition="0">
        <references count="3">
          <reference field="0" count="1" selected="0">
            <x v="54"/>
          </reference>
          <reference field="1" count="1">
            <x v="24"/>
          </reference>
          <reference field="2" count="1" selected="0">
            <x v="53"/>
          </reference>
        </references>
      </pivotArea>
    </format>
    <format dxfId="348">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347">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346">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345">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344">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343">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342">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341">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340">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339">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338">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337">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336">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335">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334">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333">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332">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331">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330">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329">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328">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327">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326">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325">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324">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323">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322">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321">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320">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319">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318">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317">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316">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315">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314">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313">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312">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311">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310">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309">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308">
      <pivotArea type="all" dataOnly="0" outline="0" fieldPosition="0"/>
    </format>
    <format dxfId="307">
      <pivotArea type="all" dataOnly="0" outline="0" fieldPosition="0"/>
    </format>
    <format dxfId="306">
      <pivotArea type="all" dataOnly="0" outline="0" fieldPosition="0"/>
    </format>
    <format dxfId="305">
      <pivotArea dataOnly="0" labelOnly="1" outline="0" fieldPosition="0">
        <references count="1">
          <reference field="0" count="3">
            <x v="0"/>
            <x v="1"/>
            <x v="2"/>
          </reference>
        </references>
      </pivotArea>
    </format>
    <format dxfId="304">
      <pivotArea dataOnly="0" labelOnly="1" outline="0" fieldPosition="0">
        <references count="2">
          <reference field="0" count="1" selected="0">
            <x v="0"/>
          </reference>
          <reference field="2" count="1">
            <x v="0"/>
          </reference>
        </references>
      </pivotArea>
    </format>
    <format dxfId="303">
      <pivotArea dataOnly="0" labelOnly="1" outline="0" fieldPosition="0">
        <references count="2">
          <reference field="0" count="1" selected="0">
            <x v="1"/>
          </reference>
          <reference field="2" count="1">
            <x v="1"/>
          </reference>
        </references>
      </pivotArea>
    </format>
    <format dxfId="302">
      <pivotArea dataOnly="0" labelOnly="1" outline="0" fieldPosition="0">
        <references count="2">
          <reference field="0" count="1" selected="0">
            <x v="2"/>
          </reference>
          <reference field="2" count="1">
            <x v="2"/>
          </reference>
        </references>
      </pivotArea>
    </format>
    <format dxfId="301">
      <pivotArea dataOnly="0" labelOnly="1" outline="0" fieldPosition="0">
        <references count="3">
          <reference field="0" count="1" selected="0">
            <x v="1"/>
          </reference>
          <reference field="1" count="1">
            <x v="5"/>
          </reference>
          <reference field="2" count="1" selected="0">
            <x v="1"/>
          </reference>
        </references>
      </pivotArea>
    </format>
    <format dxfId="300">
      <pivotArea dataOnly="0" labelOnly="1" outline="0" fieldPosition="0">
        <references count="3">
          <reference field="0" count="1" selected="0">
            <x v="2"/>
          </reference>
          <reference field="1" count="1">
            <x v="6"/>
          </reference>
          <reference field="2" count="1" selected="0">
            <x v="2"/>
          </reference>
        </references>
      </pivotArea>
    </format>
    <format dxfId="299">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298">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297">
      <pivotArea dataOnly="0" labelOnly="1" outline="0" fieldPosition="0">
        <references count="1">
          <reference field="1" count="0"/>
        </references>
      </pivotArea>
    </format>
    <format dxfId="296">
      <pivotArea dataOnly="0" labelOnly="1" outline="0" fieldPosition="0">
        <references count="1">
          <reference field="0" count="1">
            <x v="66"/>
          </reference>
        </references>
      </pivotArea>
    </format>
    <format dxfId="295">
      <pivotArea dataOnly="0" labelOnly="1" outline="0" fieldPosition="0">
        <references count="1">
          <reference field="0" count="1">
            <x v="41"/>
          </reference>
        </references>
      </pivotArea>
    </format>
    <format dxfId="294">
      <pivotArea dataOnly="0" outline="0" fieldPosition="0">
        <references count="1">
          <reference field="0" count="10">
            <x v="55"/>
            <x v="56"/>
            <x v="57"/>
            <x v="58"/>
            <x v="59"/>
            <x v="60"/>
            <x v="61"/>
            <x v="62"/>
            <x v="63"/>
            <x v="64"/>
          </reference>
        </references>
      </pivotArea>
    </format>
    <format dxfId="293">
      <pivotArea dataOnly="0" outline="0" fieldPosition="0">
        <references count="1">
          <reference field="0" count="10">
            <x v="55"/>
            <x v="56"/>
            <x v="57"/>
            <x v="58"/>
            <x v="59"/>
            <x v="60"/>
            <x v="61"/>
            <x v="62"/>
            <x v="63"/>
            <x v="64"/>
          </reference>
        </references>
      </pivotArea>
    </format>
    <format dxfId="292">
      <pivotArea dataOnly="0" labelOnly="1" outline="0" fieldPosition="0">
        <references count="1">
          <reference field="0" count="1">
            <x v="65"/>
          </reference>
        </references>
      </pivotArea>
    </format>
    <format dxfId="291">
      <pivotArea dataOnly="0" labelOnly="1" outline="0" fieldPosition="0">
        <references count="1">
          <reference field="0" count="1">
            <x v="1"/>
          </reference>
        </references>
      </pivotArea>
    </format>
    <format dxfId="290">
      <pivotArea dataOnly="0" labelOnly="1" outline="0" fieldPosition="0">
        <references count="2">
          <reference field="0" count="1" selected="0">
            <x v="1"/>
          </reference>
          <reference field="2" count="1">
            <x v="1"/>
          </reference>
        </references>
      </pivotArea>
    </format>
    <format dxfId="289">
      <pivotArea dataOnly="0" labelOnly="1" outline="0" fieldPosition="0">
        <references count="3">
          <reference field="0" count="1" selected="0">
            <x v="1"/>
          </reference>
          <reference field="1" count="1">
            <x v="5"/>
          </reference>
          <reference field="2" count="1" selected="0">
            <x v="1"/>
          </reference>
        </references>
      </pivotArea>
    </format>
    <format dxfId="288">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287">
      <pivotArea dataOnly="0" labelOnly="1" outline="0" fieldPosition="0">
        <references count="3">
          <reference field="0" count="1" selected="0">
            <x v="1"/>
          </reference>
          <reference field="1" count="1">
            <x v="5"/>
          </reference>
          <reference field="2" count="1" selected="0">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Tên_hàng" sourceName="Tên hàng">
  <pivotTables>
    <pivotTable tabId="8" name="PivotTable5"/>
  </pivotTables>
  <data>
    <tabular pivotCacheId="10" customListSort="0" showMissing="0" crossFilter="showItemsWithNoData">
      <items count="82">
        <i x="45" s="1"/>
        <i x="3" s="1"/>
        <i x="1" s="1"/>
        <i x="0" s="1"/>
        <i x="2" s="1"/>
        <i x="4" s="1"/>
        <i x="5" s="1"/>
        <i x="61" s="1"/>
        <i x="69" s="1"/>
        <i x="46" s="1"/>
        <i x="64" s="1"/>
        <i x="49" s="1"/>
        <i x="32" s="1"/>
        <i x="33" s="1"/>
        <i x="62" s="1"/>
        <i x="63" s="1"/>
        <i x="29" s="1"/>
        <i x="27" s="1"/>
        <i x="28" s="1"/>
        <i x="44" s="1"/>
        <i x="70" s="1"/>
        <i x="25" s="1"/>
        <i x="26" s="1"/>
        <i x="48" s="1"/>
        <i x="10" s="1"/>
        <i x="22" s="1"/>
        <i x="52" s="1"/>
        <i x="57" s="1"/>
        <i x="40" s="1"/>
        <i x="41" s="1"/>
        <i x="42" s="1"/>
        <i x="54" s="1"/>
        <i x="55" s="1"/>
        <i x="13" s="1"/>
        <i x="12" s="1"/>
        <i x="53" s="1"/>
        <i x="68" s="1"/>
        <i x="39" s="1"/>
        <i x="51" s="1"/>
        <i x="11" s="1"/>
        <i x="60" s="1"/>
        <i x="38" s="1"/>
        <i x="47" s="1"/>
        <i x="20" s="1"/>
        <i x="6" s="1"/>
        <i x="21" s="1"/>
        <i x="50" s="1"/>
        <i x="8" s="1"/>
        <i x="7" s="1"/>
        <i x="59" s="1"/>
        <i x="9" s="1"/>
        <i x="65" s="1"/>
        <i x="30" s="1"/>
        <i x="31" s="1"/>
        <i x="56" s="1"/>
        <i x="14" s="1"/>
        <i x="58" s="1"/>
        <i x="15" s="1"/>
        <i x="16" s="1"/>
        <i x="17" s="1"/>
        <i x="18" s="1"/>
        <i x="19" s="1"/>
        <i x="34" s="1"/>
        <i x="35" s="1"/>
        <i x="66" s="1"/>
        <i x="23" s="1"/>
        <i x="67" s="1"/>
        <i x="43" s="1"/>
        <i x="36" s="1"/>
        <i x="37" s="1"/>
        <i x="24" s="1"/>
        <i x="71" s="1"/>
        <i x="81" s="1" nd="1"/>
        <i x="72" s="1" nd="1"/>
        <i x="76" s="1" nd="1"/>
        <i x="78" s="1" nd="1"/>
        <i x="74" s="1" nd="1"/>
        <i x="73" s="1" nd="1"/>
        <i x="75" s="1" nd="1"/>
        <i x="79" s="1" nd="1"/>
        <i x="80" s="1" nd="1"/>
        <i x="77"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Tên hàng" cache="Slicer_Tên_hàng" caption="Tên hàng" columnCount="4" style="Slicer Style 1 2" rowHeight="234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7.bin"/><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1.xml"/><Relationship Id="rId4"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10.bin"/><Relationship Id="rId4" Type="http://schemas.openxmlformats.org/officeDocument/2006/relationships/ctrlProp" Target="../ctrlProps/ctrlProp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xml"/><Relationship Id="rId1" Type="http://schemas.openxmlformats.org/officeDocument/2006/relationships/printerSettings" Target="../printerSettings/printerSettings11.bin"/><Relationship Id="rId4" Type="http://schemas.openxmlformats.org/officeDocument/2006/relationships/ctrlProp" Target="../ctrlProps/ctrlProp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4.xml"/><Relationship Id="rId1" Type="http://schemas.openxmlformats.org/officeDocument/2006/relationships/printerSettings" Target="../printerSettings/printerSettings12.bin"/><Relationship Id="rId4" Type="http://schemas.openxmlformats.org/officeDocument/2006/relationships/ctrlProp" Target="../ctrlProps/ctrlProp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13.bin"/><Relationship Id="rId4" Type="http://schemas.openxmlformats.org/officeDocument/2006/relationships/ctrlProp" Target="../ctrlProps/ctrlProp5.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6.xml"/><Relationship Id="rId1" Type="http://schemas.openxmlformats.org/officeDocument/2006/relationships/printerSettings" Target="../printerSettings/printerSettings14.bin"/><Relationship Id="rId4" Type="http://schemas.openxmlformats.org/officeDocument/2006/relationships/ctrlProp" Target="../ctrlProps/ctrlProp6.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7.xml"/><Relationship Id="rId1" Type="http://schemas.openxmlformats.org/officeDocument/2006/relationships/printerSettings" Target="../printerSettings/printerSettings15.bin"/><Relationship Id="rId4" Type="http://schemas.openxmlformats.org/officeDocument/2006/relationships/ctrlProp" Target="../ctrlProps/ctrlProp7.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8.xml"/><Relationship Id="rId1" Type="http://schemas.openxmlformats.org/officeDocument/2006/relationships/printerSettings" Target="../printerSettings/printerSettings16.bin"/><Relationship Id="rId4" Type="http://schemas.openxmlformats.org/officeDocument/2006/relationships/ctrlProp" Target="../ctrlProps/ctrlProp8.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9.xml"/><Relationship Id="rId1" Type="http://schemas.openxmlformats.org/officeDocument/2006/relationships/printerSettings" Target="../printerSettings/printerSettings17.bin"/><Relationship Id="rId4" Type="http://schemas.openxmlformats.org/officeDocument/2006/relationships/ctrlProp" Target="../ctrlProps/ctrlProp9.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0.xml"/><Relationship Id="rId1" Type="http://schemas.openxmlformats.org/officeDocument/2006/relationships/printerSettings" Target="../printerSettings/printerSettings18.bin"/><Relationship Id="rId4" Type="http://schemas.openxmlformats.org/officeDocument/2006/relationships/ctrlProp" Target="../ctrlProps/ctrlProp10.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1.xml"/><Relationship Id="rId1" Type="http://schemas.openxmlformats.org/officeDocument/2006/relationships/printerSettings" Target="../printerSettings/printerSettings19.bin"/><Relationship Id="rId4" Type="http://schemas.openxmlformats.org/officeDocument/2006/relationships/ctrlProp" Target="../ctrlProps/ctrlProp11.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2.xml"/><Relationship Id="rId1" Type="http://schemas.openxmlformats.org/officeDocument/2006/relationships/printerSettings" Target="../printerSettings/printerSettings20.bin"/><Relationship Id="rId4" Type="http://schemas.openxmlformats.org/officeDocument/2006/relationships/ctrlProp" Target="../ctrlProps/ctrlProp12.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3.xml"/><Relationship Id="rId1" Type="http://schemas.openxmlformats.org/officeDocument/2006/relationships/printerSettings" Target="../printerSettings/printerSettings21.bin"/><Relationship Id="rId4" Type="http://schemas.openxmlformats.org/officeDocument/2006/relationships/ctrlProp" Target="../ctrlProps/ctrlProp13.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4.xml"/><Relationship Id="rId1" Type="http://schemas.openxmlformats.org/officeDocument/2006/relationships/printerSettings" Target="../printerSettings/printerSettings22.bin"/><Relationship Id="rId4" Type="http://schemas.openxmlformats.org/officeDocument/2006/relationships/ctrlProp" Target="../ctrlProps/ctrlProp1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BH21"/>
  <sheetViews>
    <sheetView topLeftCell="I1" zoomScale="85" zoomScaleNormal="85" workbookViewId="0">
      <selection activeCell="O10" sqref="O10"/>
    </sheetView>
  </sheetViews>
  <sheetFormatPr defaultColWidth="9.140625" defaultRowHeight="15" x14ac:dyDescent="0.25"/>
  <cols>
    <col min="1" max="1" width="0" style="105" hidden="1" customWidth="1"/>
    <col min="2" max="2" width="25.42578125" style="14" hidden="1" customWidth="1"/>
    <col min="3" max="4" width="12.5703125" style="14" hidden="1" customWidth="1"/>
    <col min="5" max="6" width="11.7109375" style="14" hidden="1" customWidth="1"/>
    <col min="7" max="7" width="10.7109375" style="14" hidden="1" customWidth="1"/>
    <col min="8" max="8" width="16.5703125" style="14" hidden="1" customWidth="1"/>
    <col min="9" max="9" width="9.7109375" style="14" bestFit="1" customWidth="1"/>
    <col min="10" max="10" width="15.5703125" style="105" bestFit="1" customWidth="1"/>
    <col min="11" max="11" width="15.5703125" style="105" customWidth="1"/>
    <col min="12" max="12" width="10.7109375" style="14" bestFit="1" customWidth="1"/>
    <col min="13" max="15" width="9.140625" style="14"/>
    <col min="16" max="16" width="10.42578125" style="14" bestFit="1" customWidth="1"/>
    <col min="17" max="17" width="10.42578125" style="14" customWidth="1"/>
    <col min="18" max="18" width="8.7109375" style="14" bestFit="1" customWidth="1"/>
    <col min="19" max="19" width="10" style="14" bestFit="1" customWidth="1"/>
    <col min="20" max="22" width="9.140625" style="14"/>
    <col min="23" max="23" width="9.7109375" style="14" customWidth="1"/>
    <col min="24" max="60" width="5.5703125" style="14" customWidth="1"/>
    <col min="61" max="16384" width="9.140625" style="14"/>
  </cols>
  <sheetData>
    <row r="1" spans="1:60" s="36" customFormat="1" ht="30" customHeight="1" x14ac:dyDescent="0.25">
      <c r="A1" s="98" t="s">
        <v>0</v>
      </c>
      <c r="B1" s="98" t="s">
        <v>16</v>
      </c>
      <c r="C1" s="98" t="s">
        <v>145</v>
      </c>
      <c r="D1" s="98" t="s">
        <v>15</v>
      </c>
      <c r="E1" s="98" t="s">
        <v>17</v>
      </c>
      <c r="F1" s="98" t="s">
        <v>18</v>
      </c>
      <c r="G1" s="98" t="s">
        <v>146</v>
      </c>
      <c r="H1" s="108" t="s">
        <v>147</v>
      </c>
      <c r="I1" s="211" t="s">
        <v>270</v>
      </c>
      <c r="J1" s="211" t="s">
        <v>267</v>
      </c>
      <c r="K1" s="211" t="s">
        <v>268</v>
      </c>
      <c r="L1" s="211" t="s">
        <v>259</v>
      </c>
      <c r="M1" s="211" t="s">
        <v>261</v>
      </c>
      <c r="N1" s="211" t="s">
        <v>274</v>
      </c>
      <c r="O1" s="211" t="s">
        <v>275</v>
      </c>
      <c r="P1" s="212" t="s">
        <v>264</v>
      </c>
      <c r="Q1" s="212" t="s">
        <v>269</v>
      </c>
      <c r="R1" s="211" t="s">
        <v>265</v>
      </c>
      <c r="S1" s="211" t="s">
        <v>266</v>
      </c>
      <c r="V1" s="250" t="s">
        <v>298</v>
      </c>
      <c r="W1" s="157">
        <f>SUM(X1:BB1)</f>
        <v>920</v>
      </c>
      <c r="X1" s="233">
        <v>250</v>
      </c>
      <c r="Y1" s="246">
        <f>COUNTIF(Y4:AA4,"&gt;0")*1000-SUM(Y4:AA4)</f>
        <v>670</v>
      </c>
      <c r="Z1" s="247"/>
      <c r="AA1" s="247"/>
      <c r="AB1" s="246">
        <f t="shared" ref="AB1" si="0">COUNTIF(AB4:AD4,"&gt;0")*1000-SUM(AB4:AD4)</f>
        <v>0</v>
      </c>
      <c r="AC1" s="247"/>
      <c r="AD1" s="247"/>
      <c r="AE1" s="246">
        <f t="shared" ref="AE1" si="1">COUNTIF(AE4:AG4,"&gt;0")*1000-SUM(AE4:AG4)</f>
        <v>0</v>
      </c>
      <c r="AF1" s="247"/>
      <c r="AG1" s="247"/>
      <c r="AH1" s="246">
        <f t="shared" ref="AH1" si="2">COUNTIF(AH4:AJ4,"&gt;0")*1000-SUM(AH4:AJ4)</f>
        <v>0</v>
      </c>
      <c r="AI1" s="247"/>
      <c r="AJ1" s="247"/>
      <c r="AK1" s="246">
        <f t="shared" ref="AK1" si="3">COUNTIF(AK4:AM4,"&gt;0")*1000-SUM(AK4:AM4)</f>
        <v>0</v>
      </c>
      <c r="AL1" s="247"/>
      <c r="AM1" s="247"/>
      <c r="AN1" s="246">
        <f t="shared" ref="AN1" si="4">COUNTIF(AN4:AP4,"&gt;0")*1000-SUM(AN4:AP4)</f>
        <v>0</v>
      </c>
      <c r="AO1" s="247"/>
      <c r="AP1" s="247"/>
      <c r="AQ1" s="246">
        <f t="shared" ref="AQ1" si="5">COUNTIF(AQ4:AS4,"&gt;0")*1000-SUM(AQ4:AS4)</f>
        <v>0</v>
      </c>
      <c r="AR1" s="247"/>
      <c r="AS1" s="247"/>
      <c r="AT1" s="246">
        <f t="shared" ref="AT1" si="6">COUNTIF(AT4:AV4,"&gt;0")*1000-SUM(AT4:AV4)</f>
        <v>0</v>
      </c>
      <c r="AU1" s="247"/>
      <c r="AV1" s="247"/>
      <c r="AW1" s="246">
        <f t="shared" ref="AW1" si="7">COUNTIF(AW4:AY4,"&gt;0")*1000-SUM(AW4:AY4)</f>
        <v>0</v>
      </c>
      <c r="AX1" s="247"/>
      <c r="AY1" s="247"/>
      <c r="AZ1" s="246">
        <f t="shared" ref="AZ1" si="8">COUNTIF(AZ4:BB4,"&gt;0")*1000-SUM(AZ4:BB4)</f>
        <v>0</v>
      </c>
      <c r="BA1" s="247"/>
      <c r="BB1" s="247"/>
    </row>
    <row r="2" spans="1:60" s="36" customFormat="1" ht="30" customHeight="1" x14ac:dyDescent="0.25">
      <c r="A2" s="98"/>
      <c r="B2" s="98"/>
      <c r="C2" s="98"/>
      <c r="D2" s="98"/>
      <c r="E2" s="98"/>
      <c r="F2" s="98"/>
      <c r="G2" s="98"/>
      <c r="H2" s="108"/>
      <c r="I2" s="213"/>
      <c r="J2" s="214">
        <f>SUBTOTAL(9,J3:J14)</f>
        <v>49774</v>
      </c>
      <c r="K2" s="214">
        <f t="shared" ref="K2:S2" si="9">SUBTOTAL(9,K3:K14)</f>
        <v>86528</v>
      </c>
      <c r="L2" s="214">
        <f t="shared" si="9"/>
        <v>19800</v>
      </c>
      <c r="M2" s="214">
        <f t="shared" si="9"/>
        <v>3095</v>
      </c>
      <c r="N2" s="214">
        <f t="shared" si="9"/>
        <v>683</v>
      </c>
      <c r="O2" s="214">
        <f t="shared" si="9"/>
        <v>2152</v>
      </c>
      <c r="P2" s="214">
        <f t="shared" si="9"/>
        <v>8098</v>
      </c>
      <c r="Q2" s="214">
        <f t="shared" si="9"/>
        <v>700</v>
      </c>
      <c r="R2" s="214">
        <f t="shared" si="9"/>
        <v>12000</v>
      </c>
      <c r="S2" s="214">
        <f t="shared" si="9"/>
        <v>40000</v>
      </c>
      <c r="V2" s="250"/>
      <c r="W2" s="157"/>
      <c r="X2" s="107" t="s">
        <v>239</v>
      </c>
      <c r="Y2" s="249" t="s">
        <v>240</v>
      </c>
      <c r="Z2" s="249"/>
      <c r="AA2" s="249"/>
      <c r="AB2" s="248" t="s">
        <v>241</v>
      </c>
      <c r="AC2" s="248"/>
      <c r="AD2" s="248"/>
      <c r="AE2" s="249" t="s">
        <v>242</v>
      </c>
      <c r="AF2" s="249"/>
      <c r="AG2" s="249"/>
      <c r="AH2" s="248" t="s">
        <v>243</v>
      </c>
      <c r="AI2" s="248"/>
      <c r="AJ2" s="248"/>
      <c r="AK2" s="249" t="s">
        <v>244</v>
      </c>
      <c r="AL2" s="249"/>
      <c r="AM2" s="249"/>
      <c r="AN2" s="248" t="s">
        <v>245</v>
      </c>
      <c r="AO2" s="248"/>
      <c r="AP2" s="248"/>
      <c r="AQ2" s="249" t="s">
        <v>297</v>
      </c>
      <c r="AR2" s="249"/>
      <c r="AS2" s="249"/>
      <c r="AT2" s="248" t="s">
        <v>235</v>
      </c>
      <c r="AU2" s="248"/>
      <c r="AV2" s="248"/>
      <c r="AW2" s="249" t="s">
        <v>236</v>
      </c>
      <c r="AX2" s="249"/>
      <c r="AY2" s="249"/>
      <c r="AZ2" s="248" t="s">
        <v>237</v>
      </c>
      <c r="BA2" s="248"/>
      <c r="BB2" s="248"/>
    </row>
    <row r="3" spans="1:60" s="97" customFormat="1" ht="20.100000000000001" customHeight="1" x14ac:dyDescent="0.2">
      <c r="A3" s="103"/>
      <c r="B3" s="99"/>
      <c r="C3" s="106">
        <v>8.6000000000000014</v>
      </c>
      <c r="D3" s="106">
        <v>36</v>
      </c>
      <c r="E3" s="106"/>
      <c r="F3" s="100">
        <v>1509.4</v>
      </c>
      <c r="G3" s="100">
        <v>0</v>
      </c>
      <c r="H3" s="100">
        <v>1509.4</v>
      </c>
      <c r="I3" s="107" t="s">
        <v>234</v>
      </c>
      <c r="J3" s="209" t="s">
        <v>276</v>
      </c>
      <c r="K3" s="210">
        <f>SUM(L3:S3)</f>
        <v>5695.3333333333339</v>
      </c>
      <c r="L3" s="26" t="s">
        <v>260</v>
      </c>
      <c r="M3" s="26">
        <v>0</v>
      </c>
      <c r="N3" s="26">
        <v>0</v>
      </c>
      <c r="O3" s="26">
        <v>0</v>
      </c>
      <c r="P3" s="26">
        <v>1162</v>
      </c>
      <c r="Q3" s="26">
        <v>200</v>
      </c>
      <c r="R3" s="26">
        <v>1000</v>
      </c>
      <c r="S3" s="26">
        <f>40/12*1000</f>
        <v>3333.3333333333335</v>
      </c>
      <c r="V3" s="250"/>
      <c r="W3" s="51"/>
      <c r="X3" s="107">
        <v>25</v>
      </c>
      <c r="Y3" s="107">
        <v>5</v>
      </c>
      <c r="Z3" s="107">
        <v>15</v>
      </c>
      <c r="AA3" s="107">
        <v>25</v>
      </c>
      <c r="AB3" s="107">
        <v>5</v>
      </c>
      <c r="AC3" s="107">
        <v>15</v>
      </c>
      <c r="AD3" s="107">
        <v>25</v>
      </c>
      <c r="AE3" s="107">
        <v>5</v>
      </c>
      <c r="AF3" s="107">
        <v>15</v>
      </c>
      <c r="AG3" s="107">
        <v>25</v>
      </c>
      <c r="AH3" s="107">
        <v>5</v>
      </c>
      <c r="AI3" s="107">
        <v>15</v>
      </c>
      <c r="AJ3" s="107">
        <v>25</v>
      </c>
      <c r="AK3" s="107">
        <v>5</v>
      </c>
      <c r="AL3" s="107">
        <v>15</v>
      </c>
      <c r="AM3" s="107">
        <v>25</v>
      </c>
      <c r="AN3" s="107">
        <v>5</v>
      </c>
      <c r="AO3" s="107">
        <v>15</v>
      </c>
      <c r="AP3" s="107">
        <v>25</v>
      </c>
      <c r="AQ3" s="107">
        <v>5</v>
      </c>
      <c r="AR3" s="107">
        <v>15</v>
      </c>
      <c r="AS3" s="107">
        <v>25</v>
      </c>
      <c r="AT3" s="107">
        <v>5</v>
      </c>
      <c r="AU3" s="107">
        <v>15</v>
      </c>
      <c r="AV3" s="107">
        <v>25</v>
      </c>
      <c r="AW3" s="107">
        <v>5</v>
      </c>
      <c r="AX3" s="107">
        <v>15</v>
      </c>
      <c r="AY3" s="107">
        <v>25</v>
      </c>
      <c r="AZ3" s="107">
        <v>5</v>
      </c>
      <c r="BA3" s="107">
        <v>15</v>
      </c>
      <c r="BB3" s="107">
        <v>25</v>
      </c>
      <c r="BC3" s="36"/>
      <c r="BD3" s="36"/>
      <c r="BE3" s="36"/>
      <c r="BF3" s="36"/>
      <c r="BG3" s="36"/>
      <c r="BH3" s="36"/>
    </row>
    <row r="4" spans="1:60" ht="20.100000000000001" customHeight="1" x14ac:dyDescent="0.25">
      <c r="A4" s="104">
        <v>1</v>
      </c>
      <c r="B4" s="101" t="s">
        <v>48</v>
      </c>
      <c r="C4" s="102">
        <v>0.5</v>
      </c>
      <c r="D4" s="102">
        <v>2</v>
      </c>
      <c r="E4" s="102">
        <v>45</v>
      </c>
      <c r="F4" s="107">
        <v>90</v>
      </c>
      <c r="G4" s="26">
        <v>0</v>
      </c>
      <c r="H4" s="107">
        <v>90</v>
      </c>
      <c r="I4" s="107" t="s">
        <v>235</v>
      </c>
      <c r="J4" s="209" t="s">
        <v>276</v>
      </c>
      <c r="K4" s="210">
        <f t="shared" ref="K4:K14" si="10">SUM(L4:S4)</f>
        <v>8337.3333333333339</v>
      </c>
      <c r="L4" s="26">
        <v>2000</v>
      </c>
      <c r="M4" s="26">
        <v>300</v>
      </c>
      <c r="N4" s="26">
        <v>0</v>
      </c>
      <c r="O4" s="26">
        <v>0</v>
      </c>
      <c r="P4" s="26">
        <v>1204</v>
      </c>
      <c r="Q4" s="26">
        <v>500</v>
      </c>
      <c r="R4" s="26">
        <v>1000</v>
      </c>
      <c r="S4" s="26">
        <f>40/12*1000</f>
        <v>3333.3333333333335</v>
      </c>
      <c r="W4" s="236">
        <f>SUM(X4:BB4)</f>
        <v>3080</v>
      </c>
      <c r="X4" s="210">
        <v>750</v>
      </c>
      <c r="Y4" s="210">
        <v>700</v>
      </c>
      <c r="Z4" s="210">
        <v>850</v>
      </c>
      <c r="AA4" s="210">
        <v>780</v>
      </c>
      <c r="AB4" s="210">
        <v>0</v>
      </c>
      <c r="AC4" s="210">
        <v>0</v>
      </c>
      <c r="AD4" s="210">
        <v>0</v>
      </c>
      <c r="AE4" s="210">
        <v>0</v>
      </c>
      <c r="AF4" s="210">
        <v>0</v>
      </c>
      <c r="AG4" s="210">
        <v>0</v>
      </c>
      <c r="AH4" s="210">
        <v>0</v>
      </c>
      <c r="AI4" s="210">
        <v>0</v>
      </c>
      <c r="AJ4" s="210">
        <v>0</v>
      </c>
      <c r="AK4" s="210">
        <v>0</v>
      </c>
      <c r="AL4" s="210">
        <v>0</v>
      </c>
      <c r="AM4" s="210">
        <v>0</v>
      </c>
      <c r="AN4" s="210">
        <v>0</v>
      </c>
      <c r="AO4" s="210">
        <v>0</v>
      </c>
      <c r="AP4" s="210">
        <v>0</v>
      </c>
      <c r="AQ4" s="210">
        <v>0</v>
      </c>
      <c r="AR4" s="210">
        <v>0</v>
      </c>
      <c r="AS4" s="210">
        <v>0</v>
      </c>
      <c r="AT4" s="210">
        <v>0</v>
      </c>
      <c r="AU4" s="210">
        <v>0</v>
      </c>
      <c r="AV4" s="210">
        <v>0</v>
      </c>
      <c r="AW4" s="210">
        <v>0</v>
      </c>
      <c r="AX4" s="210">
        <v>0</v>
      </c>
      <c r="AY4" s="210">
        <v>0</v>
      </c>
      <c r="AZ4" s="210">
        <v>0</v>
      </c>
      <c r="BA4" s="210">
        <v>0</v>
      </c>
      <c r="BB4" s="210">
        <v>0</v>
      </c>
      <c r="BC4" s="36"/>
      <c r="BD4" s="36"/>
      <c r="BE4" s="36"/>
      <c r="BF4" s="36"/>
      <c r="BG4" s="36"/>
      <c r="BH4" s="36"/>
    </row>
    <row r="5" spans="1:60" ht="20.100000000000001" customHeight="1" x14ac:dyDescent="0.25">
      <c r="A5" s="104">
        <v>2</v>
      </c>
      <c r="B5" s="101" t="s">
        <v>47</v>
      </c>
      <c r="C5" s="102">
        <v>0.5</v>
      </c>
      <c r="D5" s="102">
        <v>2</v>
      </c>
      <c r="E5" s="102">
        <v>54</v>
      </c>
      <c r="F5" s="107">
        <v>108</v>
      </c>
      <c r="G5" s="26">
        <v>0</v>
      </c>
      <c r="H5" s="107">
        <v>108</v>
      </c>
      <c r="I5" s="107" t="s">
        <v>236</v>
      </c>
      <c r="J5" s="209" t="s">
        <v>276</v>
      </c>
      <c r="K5" s="210">
        <f t="shared" si="10"/>
        <v>8224.3333333333339</v>
      </c>
      <c r="L5" s="26">
        <v>1800</v>
      </c>
      <c r="M5" s="26">
        <f>85+100+100+90</f>
        <v>375</v>
      </c>
      <c r="N5" s="26">
        <v>0</v>
      </c>
      <c r="O5" s="26">
        <f>52+200+190+70+70+70</f>
        <v>652</v>
      </c>
      <c r="P5" s="26">
        <v>1064</v>
      </c>
      <c r="Q5" s="26">
        <v>0</v>
      </c>
      <c r="R5" s="26">
        <v>1000</v>
      </c>
      <c r="S5" s="26">
        <f t="shared" ref="S5:S14" si="11">40/12*1000</f>
        <v>3333.3333333333335</v>
      </c>
      <c r="W5" s="234"/>
    </row>
    <row r="6" spans="1:60" ht="20.100000000000001" customHeight="1" x14ac:dyDescent="0.25">
      <c r="A6" s="104">
        <v>3</v>
      </c>
      <c r="B6" s="101" t="s">
        <v>32</v>
      </c>
      <c r="C6" s="102">
        <v>0.5</v>
      </c>
      <c r="D6" s="102">
        <v>2</v>
      </c>
      <c r="E6" s="102">
        <v>55.5</v>
      </c>
      <c r="F6" s="107">
        <v>111</v>
      </c>
      <c r="G6" s="26">
        <v>0</v>
      </c>
      <c r="H6" s="107">
        <v>111</v>
      </c>
      <c r="I6" s="107" t="s">
        <v>237</v>
      </c>
      <c r="J6" s="209">
        <f>4500+7200+2300+550+180+50+6</f>
        <v>14786</v>
      </c>
      <c r="K6" s="210">
        <f t="shared" si="10"/>
        <v>8312.3333333333339</v>
      </c>
      <c r="L6" s="26">
        <v>2000</v>
      </c>
      <c r="M6" s="26">
        <f>90+80+90+95+90</f>
        <v>445</v>
      </c>
      <c r="N6" s="26">
        <f>44+90+44+37</f>
        <v>215</v>
      </c>
      <c r="O6" s="26">
        <v>0</v>
      </c>
      <c r="P6" s="26">
        <v>1319</v>
      </c>
      <c r="Q6" s="26">
        <v>0</v>
      </c>
      <c r="R6" s="26">
        <v>1000</v>
      </c>
      <c r="S6" s="26">
        <f t="shared" si="11"/>
        <v>3333.3333333333335</v>
      </c>
      <c r="W6" s="237">
        <f>SUM(Y6:BH6)</f>
        <v>4200</v>
      </c>
      <c r="Y6" s="251">
        <v>4200</v>
      </c>
      <c r="Z6" s="251"/>
      <c r="AA6" s="251"/>
      <c r="AB6" s="251"/>
      <c r="AC6" s="251"/>
      <c r="AD6" s="251"/>
      <c r="AE6" s="251"/>
      <c r="AF6" s="251"/>
      <c r="AG6" s="251"/>
      <c r="AH6" s="251"/>
      <c r="AI6" s="251"/>
      <c r="AJ6" s="251"/>
      <c r="AK6" s="251"/>
      <c r="AL6" s="251"/>
      <c r="AM6" s="251"/>
      <c r="AN6" s="251"/>
      <c r="AO6" s="251"/>
      <c r="AP6" s="251"/>
      <c r="AQ6" s="251"/>
      <c r="AR6" s="251"/>
      <c r="AS6" s="251"/>
      <c r="AT6" s="251"/>
      <c r="AU6" s="251"/>
      <c r="AV6" s="251"/>
      <c r="AW6" s="251"/>
      <c r="AX6" s="251"/>
      <c r="AY6" s="251"/>
      <c r="AZ6" s="251"/>
      <c r="BA6" s="251"/>
      <c r="BB6" s="251"/>
      <c r="BC6" s="251"/>
      <c r="BD6" s="251"/>
      <c r="BE6" s="251"/>
      <c r="BF6" s="251"/>
      <c r="BG6" s="251"/>
      <c r="BH6" s="251"/>
    </row>
    <row r="7" spans="1:60" ht="20.100000000000001" customHeight="1" x14ac:dyDescent="0.25">
      <c r="A7" s="104">
        <v>4</v>
      </c>
      <c r="B7" s="101" t="s">
        <v>33</v>
      </c>
      <c r="C7" s="102">
        <v>0.5</v>
      </c>
      <c r="D7" s="102">
        <v>2</v>
      </c>
      <c r="E7" s="102">
        <v>55.5</v>
      </c>
      <c r="F7" s="107">
        <v>111</v>
      </c>
      <c r="G7" s="26">
        <v>0</v>
      </c>
      <c r="H7" s="107">
        <v>111</v>
      </c>
      <c r="I7" s="107" t="s">
        <v>238</v>
      </c>
      <c r="J7" s="209">
        <v>14000</v>
      </c>
      <c r="K7" s="210">
        <f t="shared" si="10"/>
        <v>8900.3333333333339</v>
      </c>
      <c r="L7" s="26">
        <v>2000</v>
      </c>
      <c r="M7" s="26">
        <f>200+100+105+100+100</f>
        <v>605</v>
      </c>
      <c r="N7" s="26">
        <f>88+45</f>
        <v>133</v>
      </c>
      <c r="O7" s="26">
        <v>800</v>
      </c>
      <c r="P7" s="26">
        <v>1029</v>
      </c>
      <c r="Q7" s="26">
        <v>0</v>
      </c>
      <c r="R7" s="26">
        <v>1000</v>
      </c>
      <c r="S7" s="26">
        <f t="shared" si="11"/>
        <v>3333.3333333333335</v>
      </c>
      <c r="W7" s="157"/>
      <c r="Y7" s="235"/>
      <c r="Z7" s="235"/>
      <c r="AA7" s="235"/>
      <c r="AB7" s="235"/>
      <c r="AC7" s="235"/>
      <c r="AD7" s="235"/>
      <c r="AE7" s="235"/>
      <c r="AF7" s="235"/>
      <c r="AG7" s="235"/>
      <c r="AH7" s="235"/>
      <c r="AI7" s="235"/>
      <c r="AJ7" s="235"/>
      <c r="AK7" s="235"/>
      <c r="AL7" s="235"/>
      <c r="AM7" s="235"/>
      <c r="AN7" s="235"/>
      <c r="AO7" s="235"/>
      <c r="AP7" s="235"/>
      <c r="AQ7" s="235"/>
      <c r="AR7" s="235"/>
      <c r="AS7" s="235"/>
      <c r="AT7" s="235"/>
      <c r="AU7" s="235"/>
      <c r="AV7" s="235"/>
      <c r="AW7" s="235"/>
      <c r="AX7" s="235"/>
      <c r="AY7" s="235"/>
      <c r="AZ7" s="235"/>
      <c r="BA7" s="235"/>
      <c r="BB7" s="235"/>
      <c r="BC7" s="235"/>
      <c r="BD7" s="235"/>
      <c r="BE7" s="235"/>
      <c r="BF7" s="235"/>
      <c r="BG7" s="235"/>
      <c r="BH7" s="235"/>
    </row>
    <row r="8" spans="1:60" ht="20.100000000000001" customHeight="1" x14ac:dyDescent="0.25">
      <c r="A8" s="104">
        <v>5</v>
      </c>
      <c r="B8" s="101" t="s">
        <v>46</v>
      </c>
      <c r="C8" s="102">
        <v>1</v>
      </c>
      <c r="D8" s="102">
        <v>2</v>
      </c>
      <c r="E8" s="102">
        <v>102</v>
      </c>
      <c r="F8" s="107">
        <v>204</v>
      </c>
      <c r="G8" s="26">
        <v>0</v>
      </c>
      <c r="H8" s="107">
        <v>204</v>
      </c>
      <c r="I8" s="107" t="s">
        <v>239</v>
      </c>
      <c r="J8" s="209">
        <f>10368+890</f>
        <v>11258</v>
      </c>
      <c r="K8" s="210">
        <f t="shared" si="10"/>
        <v>7290.3333333333339</v>
      </c>
      <c r="L8" s="226">
        <v>1000</v>
      </c>
      <c r="M8" s="26">
        <f>100+100+100+100+100</f>
        <v>500</v>
      </c>
      <c r="N8" s="26">
        <f>119+88</f>
        <v>207</v>
      </c>
      <c r="O8" s="26">
        <v>700</v>
      </c>
      <c r="P8" s="26">
        <v>550</v>
      </c>
      <c r="Q8" s="26">
        <v>0</v>
      </c>
      <c r="R8" s="26">
        <v>1000</v>
      </c>
      <c r="S8" s="26">
        <f t="shared" si="11"/>
        <v>3333.3333333333335</v>
      </c>
      <c r="W8" s="51">
        <f>SUM(Y8:BH8)</f>
        <v>800</v>
      </c>
      <c r="Y8" s="251">
        <f>COUNTIF(Y6,"&gt;0")*5000-Y6</f>
        <v>800</v>
      </c>
      <c r="Z8" s="251"/>
      <c r="AA8" s="251"/>
      <c r="AB8" s="251">
        <f t="shared" ref="AB8" si="12">COUNTIF(AB6,"&gt;0")*5000-AB6</f>
        <v>0</v>
      </c>
      <c r="AC8" s="251"/>
      <c r="AD8" s="251"/>
      <c r="AE8" s="251">
        <f t="shared" ref="AE8" si="13">COUNTIF(AE6,"&gt;0")*5000-AE6</f>
        <v>0</v>
      </c>
      <c r="AF8" s="251"/>
      <c r="AG8" s="251"/>
      <c r="AH8" s="251">
        <f t="shared" ref="AH8" si="14">COUNTIF(AH6,"&gt;0")*5000-AH6</f>
        <v>0</v>
      </c>
      <c r="AI8" s="251"/>
      <c r="AJ8" s="251"/>
      <c r="AK8" s="251">
        <f t="shared" ref="AK8" si="15">COUNTIF(AK6,"&gt;0")*5000-AK6</f>
        <v>0</v>
      </c>
      <c r="AL8" s="251"/>
      <c r="AM8" s="251"/>
      <c r="AN8" s="251">
        <f t="shared" ref="AN8" si="16">COUNTIF(AN6,"&gt;0")*5000-AN6</f>
        <v>0</v>
      </c>
      <c r="AO8" s="251"/>
      <c r="AP8" s="251"/>
      <c r="AQ8" s="251">
        <f t="shared" ref="AQ8" si="17">COUNTIF(AQ6,"&gt;0")*5000-AQ6</f>
        <v>0</v>
      </c>
      <c r="AR8" s="251"/>
      <c r="AS8" s="251"/>
      <c r="AT8" s="251">
        <f t="shared" ref="AT8" si="18">COUNTIF(AT6,"&gt;0")*5000-AT6</f>
        <v>0</v>
      </c>
      <c r="AU8" s="251"/>
      <c r="AV8" s="251"/>
      <c r="AW8" s="251">
        <f t="shared" ref="AW8" si="19">COUNTIF(AW6,"&gt;0")*5000-AW6</f>
        <v>0</v>
      </c>
      <c r="AX8" s="251"/>
      <c r="AY8" s="251"/>
      <c r="AZ8" s="251">
        <f t="shared" ref="AZ8" si="20">COUNTIF(AZ6,"&gt;0")*5000-AZ6</f>
        <v>0</v>
      </c>
      <c r="BA8" s="251"/>
      <c r="BB8" s="251"/>
      <c r="BC8" s="251">
        <f t="shared" ref="BC8" si="21">COUNTIF(BC6,"&gt;0")*5000-BC6</f>
        <v>0</v>
      </c>
      <c r="BD8" s="251"/>
      <c r="BE8" s="251"/>
      <c r="BF8" s="251">
        <f t="shared" ref="BF8" si="22">COUNTIF(BF6,"&gt;0")*5000-BF6</f>
        <v>0</v>
      </c>
      <c r="BG8" s="251"/>
      <c r="BH8" s="251"/>
    </row>
    <row r="9" spans="1:60" ht="20.100000000000001" customHeight="1" x14ac:dyDescent="0.25">
      <c r="A9" s="104">
        <v>6</v>
      </c>
      <c r="B9" s="101" t="s">
        <v>34</v>
      </c>
      <c r="C9" s="102">
        <v>0.5</v>
      </c>
      <c r="D9" s="102">
        <v>2</v>
      </c>
      <c r="E9" s="102">
        <v>26.5</v>
      </c>
      <c r="F9" s="107">
        <v>53</v>
      </c>
      <c r="G9" s="26">
        <v>0</v>
      </c>
      <c r="H9" s="107">
        <v>53</v>
      </c>
      <c r="I9" s="107" t="s">
        <v>240</v>
      </c>
      <c r="J9" s="209">
        <f>5000+3730+1000</f>
        <v>9730</v>
      </c>
      <c r="K9" s="210">
        <f t="shared" si="10"/>
        <v>7266.3333333333339</v>
      </c>
      <c r="L9" s="26">
        <v>1500</v>
      </c>
      <c r="M9" s="26">
        <f>100+100+100+80+80+90</f>
        <v>550</v>
      </c>
      <c r="N9" s="26">
        <v>43</v>
      </c>
      <c r="O9" s="26">
        <v>0</v>
      </c>
      <c r="P9" s="26">
        <v>840</v>
      </c>
      <c r="Q9" s="26">
        <v>0</v>
      </c>
      <c r="R9" s="26">
        <v>1000</v>
      </c>
      <c r="S9" s="26">
        <f t="shared" si="11"/>
        <v>3333.3333333333335</v>
      </c>
      <c r="T9" s="231"/>
      <c r="U9" s="231"/>
      <c r="V9" s="231"/>
      <c r="W9" s="232"/>
    </row>
    <row r="10" spans="1:60" ht="20.100000000000001" customHeight="1" x14ac:dyDescent="0.25">
      <c r="A10" s="104">
        <v>7</v>
      </c>
      <c r="B10" s="101" t="s">
        <v>35</v>
      </c>
      <c r="C10" s="102">
        <v>0.2</v>
      </c>
      <c r="D10" s="102">
        <v>2</v>
      </c>
      <c r="E10" s="102">
        <v>11.2</v>
      </c>
      <c r="F10" s="107">
        <v>22.4</v>
      </c>
      <c r="G10" s="26">
        <v>0</v>
      </c>
      <c r="H10" s="107">
        <v>22.4</v>
      </c>
      <c r="I10" s="107" t="s">
        <v>241</v>
      </c>
      <c r="J10" s="209"/>
      <c r="K10" s="210">
        <f t="shared" si="10"/>
        <v>7168.3333333333339</v>
      </c>
      <c r="L10" s="26">
        <v>1500</v>
      </c>
      <c r="M10" s="26">
        <f>80+80+80+80</f>
        <v>320</v>
      </c>
      <c r="N10" s="26">
        <f>43+42</f>
        <v>85</v>
      </c>
      <c r="O10" s="26">
        <v>0</v>
      </c>
      <c r="P10" s="26">
        <v>930</v>
      </c>
      <c r="Q10" s="26">
        <v>0</v>
      </c>
      <c r="R10" s="26">
        <v>1000</v>
      </c>
      <c r="S10" s="26">
        <f t="shared" si="11"/>
        <v>3333.3333333333335</v>
      </c>
      <c r="T10" s="14">
        <v>-850</v>
      </c>
      <c r="U10" s="231"/>
    </row>
    <row r="11" spans="1:60" ht="20.100000000000001" customHeight="1" x14ac:dyDescent="0.25">
      <c r="A11" s="104">
        <v>8</v>
      </c>
      <c r="B11" s="101" t="s">
        <v>36</v>
      </c>
      <c r="C11" s="102">
        <v>0.5</v>
      </c>
      <c r="D11" s="102">
        <v>2</v>
      </c>
      <c r="E11" s="102">
        <v>28.5</v>
      </c>
      <c r="F11" s="107">
        <v>57</v>
      </c>
      <c r="G11" s="26">
        <v>0</v>
      </c>
      <c r="H11" s="107">
        <v>57</v>
      </c>
      <c r="I11" s="107" t="s">
        <v>242</v>
      </c>
      <c r="J11" s="209"/>
      <c r="K11" s="210">
        <f t="shared" si="10"/>
        <v>6333.3333333333339</v>
      </c>
      <c r="L11" s="26">
        <v>2000</v>
      </c>
      <c r="M11" s="26">
        <v>0</v>
      </c>
      <c r="N11" s="26">
        <v>0</v>
      </c>
      <c r="O11" s="26">
        <v>0</v>
      </c>
      <c r="P11" s="26">
        <v>0</v>
      </c>
      <c r="Q11" s="26">
        <v>0</v>
      </c>
      <c r="R11" s="26">
        <v>1000</v>
      </c>
      <c r="S11" s="26">
        <f t="shared" si="11"/>
        <v>3333.3333333333335</v>
      </c>
      <c r="U11" s="231"/>
    </row>
    <row r="12" spans="1:60" ht="20.100000000000001" customHeight="1" x14ac:dyDescent="0.25">
      <c r="A12" s="104">
        <v>9</v>
      </c>
      <c r="B12" s="101" t="s">
        <v>37</v>
      </c>
      <c r="C12" s="102">
        <v>0.2</v>
      </c>
      <c r="D12" s="102">
        <v>2</v>
      </c>
      <c r="E12" s="102">
        <v>12</v>
      </c>
      <c r="F12" s="107">
        <v>24</v>
      </c>
      <c r="G12" s="26">
        <v>0</v>
      </c>
      <c r="H12" s="107">
        <v>24</v>
      </c>
      <c r="I12" s="107" t="s">
        <v>243</v>
      </c>
      <c r="J12" s="209"/>
      <c r="K12" s="210">
        <f t="shared" si="10"/>
        <v>6333.3333333333339</v>
      </c>
      <c r="L12" s="26">
        <v>2000</v>
      </c>
      <c r="M12" s="26">
        <v>0</v>
      </c>
      <c r="N12" s="26">
        <v>0</v>
      </c>
      <c r="O12" s="26">
        <v>0</v>
      </c>
      <c r="P12" s="26">
        <v>0</v>
      </c>
      <c r="Q12" s="26">
        <v>0</v>
      </c>
      <c r="R12" s="26">
        <v>1000</v>
      </c>
      <c r="S12" s="26">
        <f t="shared" si="11"/>
        <v>3333.3333333333335</v>
      </c>
      <c r="U12" s="231"/>
    </row>
    <row r="13" spans="1:60" ht="20.100000000000001" customHeight="1" x14ac:dyDescent="0.25">
      <c r="A13" s="104">
        <v>10</v>
      </c>
      <c r="B13" s="101" t="s">
        <v>38</v>
      </c>
      <c r="C13" s="102">
        <v>0.5</v>
      </c>
      <c r="D13" s="102">
        <v>2</v>
      </c>
      <c r="E13" s="102">
        <v>28.5</v>
      </c>
      <c r="F13" s="107">
        <v>57</v>
      </c>
      <c r="G13" s="26">
        <v>0</v>
      </c>
      <c r="H13" s="107">
        <v>57</v>
      </c>
      <c r="I13" s="107" t="s">
        <v>244</v>
      </c>
      <c r="J13" s="209"/>
      <c r="K13" s="210">
        <f t="shared" si="10"/>
        <v>6333.3333333333339</v>
      </c>
      <c r="L13" s="26">
        <v>2000</v>
      </c>
      <c r="M13" s="26">
        <v>0</v>
      </c>
      <c r="N13" s="26">
        <v>0</v>
      </c>
      <c r="O13" s="26">
        <v>0</v>
      </c>
      <c r="P13" s="26">
        <v>0</v>
      </c>
      <c r="Q13" s="26">
        <v>0</v>
      </c>
      <c r="R13" s="26">
        <v>1000</v>
      </c>
      <c r="S13" s="26">
        <f t="shared" si="11"/>
        <v>3333.3333333333335</v>
      </c>
    </row>
    <row r="14" spans="1:60" ht="20.100000000000001" customHeight="1" x14ac:dyDescent="0.25">
      <c r="A14" s="104">
        <v>11</v>
      </c>
      <c r="B14" s="101" t="s">
        <v>39</v>
      </c>
      <c r="C14" s="102">
        <v>0.2</v>
      </c>
      <c r="D14" s="102">
        <v>2</v>
      </c>
      <c r="E14" s="102">
        <v>12</v>
      </c>
      <c r="F14" s="107">
        <v>24</v>
      </c>
      <c r="G14" s="26">
        <v>0</v>
      </c>
      <c r="H14" s="107">
        <v>24</v>
      </c>
      <c r="I14" s="107" t="s">
        <v>245</v>
      </c>
      <c r="J14" s="209"/>
      <c r="K14" s="210">
        <f t="shared" si="10"/>
        <v>6333.3333333333339</v>
      </c>
      <c r="L14" s="26">
        <v>2000</v>
      </c>
      <c r="M14" s="26">
        <v>0</v>
      </c>
      <c r="N14" s="26">
        <v>0</v>
      </c>
      <c r="O14" s="26">
        <v>0</v>
      </c>
      <c r="P14" s="26">
        <v>0</v>
      </c>
      <c r="Q14" s="26">
        <v>0</v>
      </c>
      <c r="R14" s="26">
        <v>1000</v>
      </c>
      <c r="S14" s="26">
        <f t="shared" si="11"/>
        <v>3333.3333333333335</v>
      </c>
    </row>
    <row r="15" spans="1:60" x14ac:dyDescent="0.25">
      <c r="A15" s="104">
        <v>12</v>
      </c>
      <c r="B15" s="101" t="s">
        <v>55</v>
      </c>
      <c r="C15" s="102">
        <v>0.5</v>
      </c>
      <c r="D15" s="102">
        <v>2</v>
      </c>
      <c r="E15" s="102">
        <v>26.5</v>
      </c>
      <c r="F15" s="107">
        <v>53</v>
      </c>
      <c r="G15" s="26">
        <v>0</v>
      </c>
      <c r="H15" s="107">
        <v>53</v>
      </c>
      <c r="L15" s="105"/>
      <c r="M15" s="36"/>
      <c r="N15" s="36"/>
      <c r="O15" s="36"/>
    </row>
    <row r="16" spans="1:60" x14ac:dyDescent="0.25">
      <c r="A16" s="104">
        <v>13</v>
      </c>
      <c r="B16" s="101" t="s">
        <v>40</v>
      </c>
      <c r="C16" s="102">
        <v>0.5</v>
      </c>
      <c r="D16" s="102">
        <v>2</v>
      </c>
      <c r="E16" s="102">
        <v>36.5</v>
      </c>
      <c r="F16" s="107">
        <v>73</v>
      </c>
      <c r="G16" s="26">
        <v>0</v>
      </c>
      <c r="H16" s="107">
        <v>73</v>
      </c>
      <c r="L16" s="105"/>
      <c r="M16" s="36"/>
      <c r="N16" s="36"/>
      <c r="O16" s="36"/>
    </row>
    <row r="17" spans="1:15" x14ac:dyDescent="0.25">
      <c r="A17" s="104">
        <v>14</v>
      </c>
      <c r="B17" s="101" t="s">
        <v>44</v>
      </c>
      <c r="C17" s="102">
        <v>0.5</v>
      </c>
      <c r="D17" s="102">
        <v>2</v>
      </c>
      <c r="E17" s="102">
        <v>49</v>
      </c>
      <c r="F17" s="107">
        <v>98</v>
      </c>
      <c r="G17" s="26">
        <v>0</v>
      </c>
      <c r="H17" s="107">
        <v>98</v>
      </c>
      <c r="L17" s="105"/>
      <c r="M17" s="36"/>
      <c r="N17" s="36"/>
      <c r="O17" s="36"/>
    </row>
    <row r="18" spans="1:15" x14ac:dyDescent="0.25">
      <c r="A18" s="104">
        <v>15</v>
      </c>
      <c r="B18" s="101" t="s">
        <v>45</v>
      </c>
      <c r="C18" s="102">
        <v>0.5</v>
      </c>
      <c r="D18" s="102">
        <v>2</v>
      </c>
      <c r="E18" s="102">
        <v>43</v>
      </c>
      <c r="F18" s="107">
        <v>86</v>
      </c>
      <c r="G18" s="26">
        <v>0</v>
      </c>
      <c r="H18" s="107">
        <v>86</v>
      </c>
      <c r="L18" s="105"/>
      <c r="M18" s="36"/>
      <c r="N18" s="36"/>
      <c r="O18" s="36"/>
    </row>
    <row r="19" spans="1:15" x14ac:dyDescent="0.25">
      <c r="A19" s="104">
        <v>16</v>
      </c>
      <c r="B19" s="101" t="s">
        <v>41</v>
      </c>
      <c r="C19" s="102">
        <v>0.5</v>
      </c>
      <c r="D19" s="102">
        <v>2</v>
      </c>
      <c r="E19" s="102">
        <v>54</v>
      </c>
      <c r="F19" s="107">
        <v>108</v>
      </c>
      <c r="G19" s="26">
        <v>0</v>
      </c>
      <c r="H19" s="107">
        <v>108</v>
      </c>
      <c r="L19" s="105"/>
      <c r="M19" s="36"/>
      <c r="N19" s="36"/>
      <c r="O19" s="36"/>
    </row>
    <row r="20" spans="1:15" x14ac:dyDescent="0.25">
      <c r="A20" s="104">
        <v>17</v>
      </c>
      <c r="B20" s="101" t="s">
        <v>42</v>
      </c>
      <c r="C20" s="102">
        <v>0.5</v>
      </c>
      <c r="D20" s="102">
        <v>2</v>
      </c>
      <c r="E20" s="102">
        <v>49</v>
      </c>
      <c r="F20" s="107">
        <v>98</v>
      </c>
      <c r="G20" s="26">
        <v>0</v>
      </c>
      <c r="H20" s="107">
        <v>98</v>
      </c>
      <c r="L20" s="105"/>
      <c r="M20" s="36"/>
      <c r="N20" s="36"/>
      <c r="O20" s="36"/>
    </row>
    <row r="21" spans="1:15" x14ac:dyDescent="0.25">
      <c r="A21" s="104">
        <v>18</v>
      </c>
      <c r="B21" s="101" t="s">
        <v>43</v>
      </c>
      <c r="C21" s="102">
        <v>0.5</v>
      </c>
      <c r="D21" s="102">
        <v>2</v>
      </c>
      <c r="E21" s="102">
        <v>66</v>
      </c>
      <c r="F21" s="107">
        <v>132</v>
      </c>
      <c r="G21" s="26">
        <v>0</v>
      </c>
      <c r="H21" s="107">
        <v>132</v>
      </c>
      <c r="L21" s="105"/>
      <c r="M21" s="36"/>
      <c r="N21" s="36"/>
      <c r="O21" s="36"/>
    </row>
  </sheetData>
  <autoFilter ref="I2:S21"/>
  <mergeCells count="45">
    <mergeCell ref="BC8:BE8"/>
    <mergeCell ref="BF8:BH8"/>
    <mergeCell ref="AN8:AP8"/>
    <mergeCell ref="AQ8:AS8"/>
    <mergeCell ref="AT8:AV8"/>
    <mergeCell ref="AW8:AY8"/>
    <mergeCell ref="AZ8:BB8"/>
    <mergeCell ref="Y8:AA8"/>
    <mergeCell ref="AB8:AD8"/>
    <mergeCell ref="AE8:AG8"/>
    <mergeCell ref="AH8:AJ8"/>
    <mergeCell ref="AK8:AM8"/>
    <mergeCell ref="BC6:BE6"/>
    <mergeCell ref="BF6:BH6"/>
    <mergeCell ref="AN6:AP6"/>
    <mergeCell ref="AQ6:AS6"/>
    <mergeCell ref="AT6:AV6"/>
    <mergeCell ref="AW6:AY6"/>
    <mergeCell ref="AZ6:BB6"/>
    <mergeCell ref="Y6:AA6"/>
    <mergeCell ref="AB6:AD6"/>
    <mergeCell ref="AE6:AG6"/>
    <mergeCell ref="AH6:AJ6"/>
    <mergeCell ref="AK6:AM6"/>
    <mergeCell ref="AZ2:BB2"/>
    <mergeCell ref="Y2:AA2"/>
    <mergeCell ref="AB2:AD2"/>
    <mergeCell ref="V1:V3"/>
    <mergeCell ref="AE2:AG2"/>
    <mergeCell ref="AH2:AJ2"/>
    <mergeCell ref="AK2:AM2"/>
    <mergeCell ref="AN2:AP2"/>
    <mergeCell ref="AQ2:AS2"/>
    <mergeCell ref="AT2:AV2"/>
    <mergeCell ref="AW2:AY2"/>
    <mergeCell ref="AW1:AY1"/>
    <mergeCell ref="AZ1:BB1"/>
    <mergeCell ref="Y1:AA1"/>
    <mergeCell ref="AB1:AD1"/>
    <mergeCell ref="AE1:AG1"/>
    <mergeCell ref="AH1:AJ1"/>
    <mergeCell ref="AK1:AM1"/>
    <mergeCell ref="AN1:AP1"/>
    <mergeCell ref="AQ1:AS1"/>
    <mergeCell ref="AT1:AV1"/>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00B050"/>
  </sheetPr>
  <dimension ref="A1:AX20"/>
  <sheetViews>
    <sheetView topLeftCell="A2" zoomScale="85" zoomScaleNormal="85" workbookViewId="0">
      <pane xSplit="17" ySplit="3" topLeftCell="AP5" activePane="bottomRight" state="frozen"/>
      <selection activeCell="A2" sqref="A2"/>
      <selection pane="topRight" activeCell="R2" sqref="R2"/>
      <selection pane="bottomLeft" activeCell="A5" sqref="A5"/>
      <selection pane="bottomRight" activeCell="L7" sqref="L7"/>
    </sheetView>
  </sheetViews>
  <sheetFormatPr defaultColWidth="9.140625" defaultRowHeight="15" x14ac:dyDescent="0.25"/>
  <cols>
    <col min="1" max="1" width="16.28515625" style="59" customWidth="1"/>
    <col min="2" max="2" width="9.140625" style="59"/>
    <col min="3" max="3" width="32" style="59" customWidth="1"/>
    <col min="4" max="4" width="10" style="59" customWidth="1"/>
    <col min="5" max="5" width="9.140625" style="59" customWidth="1"/>
    <col min="6" max="6" width="11.7109375" style="59" bestFit="1" customWidth="1"/>
    <col min="7" max="7" width="10.85546875" style="59" bestFit="1" customWidth="1"/>
    <col min="8" max="8" width="12.85546875" style="59" hidden="1" customWidth="1"/>
    <col min="9" max="9" width="14.85546875" style="59" hidden="1" customWidth="1"/>
    <col min="10" max="10" width="12.7109375" style="59" customWidth="1"/>
    <col min="11" max="11" width="14.85546875" style="59" hidden="1" customWidth="1"/>
    <col min="12" max="12" width="12" style="59" customWidth="1"/>
    <col min="13" max="14" width="16.28515625" style="59" hidden="1" customWidth="1"/>
    <col min="15" max="15" width="12.7109375" style="59" customWidth="1"/>
    <col min="16" max="16" width="11.5703125" style="59" customWidth="1"/>
    <col min="17" max="17" width="10.85546875" style="59" customWidth="1"/>
    <col min="18" max="44" width="5.28515625" style="59" customWidth="1"/>
    <col min="45" max="45" width="5.85546875" style="59" customWidth="1"/>
    <col min="46" max="48" width="5.28515625" style="59" customWidth="1"/>
    <col min="49" max="49" width="9.140625" style="59"/>
    <col min="50" max="50" width="12" style="59" bestFit="1" customWidth="1"/>
    <col min="51" max="16384" width="9.140625" style="59"/>
  </cols>
  <sheetData>
    <row r="1" spans="1:50" hidden="1" x14ac:dyDescent="0.25">
      <c r="B1" s="252" t="s">
        <v>51</v>
      </c>
      <c r="C1" s="252"/>
      <c r="D1" s="252"/>
      <c r="E1" s="252"/>
      <c r="F1" s="252"/>
      <c r="G1" s="252"/>
      <c r="H1" s="252"/>
      <c r="I1" s="252"/>
      <c r="J1" s="252"/>
      <c r="K1" s="252"/>
      <c r="L1" s="252"/>
      <c r="M1" s="252"/>
      <c r="N1" s="137"/>
    </row>
    <row r="2" spans="1:50" ht="34.5" customHeight="1" x14ac:dyDescent="0.25">
      <c r="A2" s="1">
        <f>50+50+70+70</f>
        <v>240</v>
      </c>
      <c r="B2" s="157">
        <f>60+70+100</f>
        <v>230</v>
      </c>
      <c r="H2" s="159">
        <f>H14</f>
        <v>17550</v>
      </c>
      <c r="K2" s="13">
        <f>SUMPRODUCT((E5:E11)*(F5:F11))</f>
        <v>236.00000000004999</v>
      </c>
      <c r="L2" s="13">
        <f>M4-K4</f>
        <v>10331.98381921585</v>
      </c>
      <c r="M2" s="8">
        <f>M4/K4-1</f>
        <v>0.13442293005488071</v>
      </c>
      <c r="N2" s="8"/>
      <c r="O2" s="95"/>
      <c r="P2" s="218"/>
      <c r="Q2" s="165"/>
      <c r="AP2" s="95"/>
      <c r="AX2" s="187"/>
    </row>
    <row r="3" spans="1:50" ht="31.5" customHeight="1" x14ac:dyDescent="0.25">
      <c r="A3" s="51" t="s">
        <v>111</v>
      </c>
      <c r="B3" s="3" t="s">
        <v>0</v>
      </c>
      <c r="C3" s="3" t="s">
        <v>16</v>
      </c>
      <c r="D3" s="17" t="s">
        <v>54</v>
      </c>
      <c r="E3" s="140" t="s">
        <v>135</v>
      </c>
      <c r="F3" s="110" t="s">
        <v>134</v>
      </c>
      <c r="G3" s="4" t="s">
        <v>17</v>
      </c>
      <c r="H3" s="4" t="s">
        <v>18</v>
      </c>
      <c r="I3" s="9" t="s">
        <v>19</v>
      </c>
      <c r="J3" s="9" t="s">
        <v>20</v>
      </c>
      <c r="K3" s="9" t="s">
        <v>23</v>
      </c>
      <c r="L3" s="10" t="s">
        <v>21</v>
      </c>
      <c r="M3" s="11" t="s">
        <v>22</v>
      </c>
      <c r="N3" s="11" t="s">
        <v>109</v>
      </c>
      <c r="O3" s="20" t="s">
        <v>52</v>
      </c>
      <c r="P3" s="57" t="s">
        <v>125</v>
      </c>
      <c r="Q3" s="217" t="s">
        <v>299</v>
      </c>
      <c r="R3" s="21" t="s">
        <v>166</v>
      </c>
      <c r="S3" s="23" t="s">
        <v>167</v>
      </c>
      <c r="T3" s="21" t="s">
        <v>168</v>
      </c>
      <c r="U3" s="23" t="s">
        <v>169</v>
      </c>
      <c r="V3" s="21" t="s">
        <v>170</v>
      </c>
      <c r="W3" s="23" t="s">
        <v>171</v>
      </c>
      <c r="X3" s="21" t="s">
        <v>172</v>
      </c>
      <c r="Y3" s="23" t="s">
        <v>173</v>
      </c>
      <c r="Z3" s="21" t="s">
        <v>174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row>
    <row r="4" spans="1:50" s="46" customFormat="1" ht="27" customHeight="1" x14ac:dyDescent="0.25">
      <c r="A4" s="50">
        <f ca="1">SUBTOTAL(9,A5:A20)</f>
        <v>8923.0801556258139</v>
      </c>
      <c r="B4" s="16"/>
      <c r="C4" s="16"/>
      <c r="D4" s="47"/>
      <c r="E4" s="16">
        <f>SUMPRODUCT((E5:E20)*(F5:F20))</f>
        <v>1212.7500000001501</v>
      </c>
      <c r="F4" s="16">
        <f>SUBTOTAL(9,F5:F20)</f>
        <v>1281.7500000002999</v>
      </c>
      <c r="G4" s="7"/>
      <c r="H4" s="7">
        <f>SUBTOTAL(9,H5:H13)</f>
        <v>16565.000000009797</v>
      </c>
      <c r="I4" s="12"/>
      <c r="J4" s="12"/>
      <c r="K4" s="12">
        <f>SUBTOTAL(9,K5:K20)</f>
        <v>76861.766180796854</v>
      </c>
      <c r="L4" s="48"/>
      <c r="M4" s="7">
        <f>SUBTOTAL(9,M5:M20)</f>
        <v>87193.750000012704</v>
      </c>
      <c r="N4" s="7">
        <f ca="1">SUBTOTAL(9,N5:N20)</f>
        <v>73428.5</v>
      </c>
      <c r="O4" s="49">
        <f ca="1">SUBTOTAL(9,O5:O14)</f>
        <v>107.00000000030001</v>
      </c>
      <c r="P4" s="75">
        <f>SUBTOTAL(9,P5:P14)</f>
        <v>1</v>
      </c>
      <c r="Q4" s="75"/>
      <c r="R4" s="25">
        <f t="shared" ref="R4:AV4" si="0">SUBTOTAL(9,R5:R15)</f>
        <v>1</v>
      </c>
      <c r="S4" s="25">
        <f t="shared" si="0"/>
        <v>20</v>
      </c>
      <c r="T4" s="25">
        <f t="shared" si="0"/>
        <v>0</v>
      </c>
      <c r="U4" s="25">
        <f t="shared" si="0"/>
        <v>0</v>
      </c>
      <c r="V4" s="25">
        <f t="shared" si="0"/>
        <v>14</v>
      </c>
      <c r="W4" s="25">
        <f t="shared" si="0"/>
        <v>0.5</v>
      </c>
      <c r="X4" s="25">
        <f t="shared" si="0"/>
        <v>1</v>
      </c>
      <c r="Y4" s="25">
        <f t="shared" si="0"/>
        <v>8</v>
      </c>
      <c r="Z4" s="25">
        <f t="shared" si="0"/>
        <v>1</v>
      </c>
      <c r="AA4" s="25">
        <f t="shared" si="0"/>
        <v>0</v>
      </c>
      <c r="AB4" s="25">
        <f t="shared" si="0"/>
        <v>0</v>
      </c>
      <c r="AC4" s="25">
        <f t="shared" si="0"/>
        <v>3.5</v>
      </c>
      <c r="AD4" s="25">
        <f t="shared" si="0"/>
        <v>22</v>
      </c>
      <c r="AE4" s="25">
        <f t="shared" si="0"/>
        <v>0</v>
      </c>
      <c r="AF4" s="25">
        <f t="shared" si="0"/>
        <v>0</v>
      </c>
      <c r="AG4" s="25">
        <f t="shared" si="0"/>
        <v>0</v>
      </c>
      <c r="AH4" s="25">
        <f t="shared" si="0"/>
        <v>0</v>
      </c>
      <c r="AI4" s="25">
        <f t="shared" si="0"/>
        <v>0</v>
      </c>
      <c r="AJ4" s="25">
        <f t="shared" si="0"/>
        <v>6</v>
      </c>
      <c r="AK4" s="25">
        <f t="shared" si="0"/>
        <v>0</v>
      </c>
      <c r="AL4" s="25">
        <f t="shared" si="0"/>
        <v>0</v>
      </c>
      <c r="AM4" s="25">
        <f t="shared" si="0"/>
        <v>0</v>
      </c>
      <c r="AN4" s="25">
        <f t="shared" si="0"/>
        <v>0</v>
      </c>
      <c r="AO4" s="25">
        <f t="shared" si="0"/>
        <v>3</v>
      </c>
      <c r="AP4" s="25">
        <f t="shared" si="0"/>
        <v>0</v>
      </c>
      <c r="AQ4" s="25">
        <f t="shared" si="0"/>
        <v>31</v>
      </c>
      <c r="AR4" s="25">
        <f t="shared" si="0"/>
        <v>4.5</v>
      </c>
      <c r="AS4" s="25">
        <f t="shared" ca="1" si="0"/>
        <v>5</v>
      </c>
      <c r="AT4" s="25">
        <f t="shared" si="0"/>
        <v>0</v>
      </c>
      <c r="AU4" s="25">
        <f t="shared" si="0"/>
        <v>0</v>
      </c>
      <c r="AV4" s="25">
        <f t="shared" si="0"/>
        <v>0</v>
      </c>
      <c r="AW4" s="46" t="str">
        <f>SUMPRODUCT(($AW$5:$AW$52)*($E$5:$E$52))&amp;" Kg"</f>
        <v>45 Kg</v>
      </c>
      <c r="AX4" s="78">
        <f>SUBTOTAL(9,AX5:AX14)</f>
        <v>3131</v>
      </c>
    </row>
    <row r="5" spans="1:50" ht="25.5" customHeight="1" x14ac:dyDescent="0.25">
      <c r="A5" s="59">
        <f ca="1">J5*O5</f>
        <v>0</v>
      </c>
      <c r="B5" s="6">
        <v>1</v>
      </c>
      <c r="C5" s="61" t="s">
        <v>304</v>
      </c>
      <c r="D5" s="69">
        <v>99</v>
      </c>
      <c r="E5" s="62">
        <v>1.2</v>
      </c>
      <c r="F5" s="62">
        <f>30+15</f>
        <v>45</v>
      </c>
      <c r="G5" s="63">
        <v>99</v>
      </c>
      <c r="H5" s="142">
        <f t="shared" ref="H5:H13" si="1">G5*F5</f>
        <v>4455</v>
      </c>
      <c r="I5" s="143">
        <f>((H5/$H$4)*$A$2)/F5</f>
        <v>1.4343495321452429</v>
      </c>
      <c r="J5" s="219">
        <f t="shared" ref="J5:J13" si="2">G5+I5</f>
        <v>100.43434953214525</v>
      </c>
      <c r="K5" s="66">
        <f>J5*F5</f>
        <v>4519.5457289465357</v>
      </c>
      <c r="L5" s="70">
        <v>110</v>
      </c>
      <c r="M5" s="64">
        <f>L5*F5</f>
        <v>4950</v>
      </c>
      <c r="N5" s="64">
        <f ca="1">SUMPRODUCT(($Q5:$AV5)*$L5)</f>
        <v>4950</v>
      </c>
      <c r="O5" s="71">
        <f ca="1">F5-SUM(Q5:AV5)-P5</f>
        <v>0</v>
      </c>
      <c r="P5" s="166">
        <v>0</v>
      </c>
      <c r="Q5" s="223">
        <v>12</v>
      </c>
      <c r="R5" s="241">
        <v>0</v>
      </c>
      <c r="S5" s="241">
        <v>10</v>
      </c>
      <c r="T5" s="241">
        <v>0</v>
      </c>
      <c r="U5" s="241">
        <v>0</v>
      </c>
      <c r="V5" s="241">
        <v>3</v>
      </c>
      <c r="W5" s="241">
        <v>0</v>
      </c>
      <c r="X5" s="241">
        <v>1</v>
      </c>
      <c r="Y5" s="241">
        <v>7</v>
      </c>
      <c r="Z5" s="241">
        <v>0</v>
      </c>
      <c r="AA5" s="241">
        <v>0</v>
      </c>
      <c r="AB5" s="241">
        <v>0</v>
      </c>
      <c r="AC5" s="241">
        <v>1</v>
      </c>
      <c r="AD5" s="241">
        <v>10</v>
      </c>
      <c r="AE5" s="241">
        <v>0</v>
      </c>
      <c r="AF5" s="241">
        <v>0</v>
      </c>
      <c r="AG5" s="241">
        <v>0</v>
      </c>
      <c r="AH5" s="241">
        <v>0</v>
      </c>
      <c r="AI5" s="241">
        <v>0</v>
      </c>
      <c r="AJ5" s="241">
        <v>0</v>
      </c>
      <c r="AK5" s="241">
        <v>0</v>
      </c>
      <c r="AL5" s="241">
        <v>0</v>
      </c>
      <c r="AM5" s="241">
        <v>0</v>
      </c>
      <c r="AN5" s="241">
        <v>0</v>
      </c>
      <c r="AO5" s="241">
        <v>1</v>
      </c>
      <c r="AP5" s="241">
        <v>0</v>
      </c>
      <c r="AQ5" s="241">
        <v>0</v>
      </c>
      <c r="AR5" s="241">
        <v>0</v>
      </c>
      <c r="AS5" s="241">
        <f ca="1">SUMIFS('Tổng Đơn'!$F:$F,'Tổng Đơn'!$B:$B,$C5)</f>
        <v>0</v>
      </c>
      <c r="AT5" s="241">
        <v>0</v>
      </c>
      <c r="AU5" s="241">
        <v>0</v>
      </c>
      <c r="AV5" s="241">
        <v>0</v>
      </c>
      <c r="AW5" s="59">
        <v>0</v>
      </c>
      <c r="AX5" s="59">
        <f>AW5*G5</f>
        <v>0</v>
      </c>
    </row>
    <row r="6" spans="1:50" ht="25.5" customHeight="1" x14ac:dyDescent="0.25">
      <c r="A6" s="59">
        <f t="shared" ref="A6:A14" ca="1" si="3">J6*O6</f>
        <v>2455.0618774524391</v>
      </c>
      <c r="B6" s="6">
        <v>2</v>
      </c>
      <c r="C6" s="61" t="s">
        <v>305</v>
      </c>
      <c r="D6" s="69">
        <v>110</v>
      </c>
      <c r="E6" s="62">
        <v>1.5</v>
      </c>
      <c r="F6" s="62">
        <f>15+20</f>
        <v>35</v>
      </c>
      <c r="G6" s="63">
        <v>110</v>
      </c>
      <c r="H6" s="142">
        <f t="shared" si="1"/>
        <v>3850</v>
      </c>
      <c r="I6" s="143">
        <f t="shared" ref="I6:I13" si="4">((H6/$H$4)*$A$2)/F6</f>
        <v>1.5937217023836032</v>
      </c>
      <c r="J6" s="219">
        <f t="shared" si="2"/>
        <v>111.5937217023836</v>
      </c>
      <c r="K6" s="66">
        <f t="shared" ref="K6:K13" si="5">J6*F6</f>
        <v>3905.780259583426</v>
      </c>
      <c r="L6" s="70">
        <v>122</v>
      </c>
      <c r="M6" s="64">
        <f t="shared" ref="M6:M14" si="6">L6*F6</f>
        <v>4270</v>
      </c>
      <c r="N6" s="64">
        <f t="shared" ref="N6:N13" ca="1" si="7">SUMPRODUCT(($Q6:$AV6)*$L6)</f>
        <v>1586</v>
      </c>
      <c r="O6" s="71">
        <f t="shared" ref="O6:O13" ca="1" si="8">F6-SUM(Q6:AV6)-P6</f>
        <v>22</v>
      </c>
      <c r="P6" s="166"/>
      <c r="Q6" s="223"/>
      <c r="R6" s="241">
        <v>0</v>
      </c>
      <c r="S6" s="241">
        <v>0</v>
      </c>
      <c r="T6" s="241">
        <v>0</v>
      </c>
      <c r="U6" s="241">
        <v>0</v>
      </c>
      <c r="V6" s="241">
        <v>0</v>
      </c>
      <c r="W6" s="241">
        <v>0</v>
      </c>
      <c r="X6" s="241">
        <v>0</v>
      </c>
      <c r="Y6" s="241">
        <v>0</v>
      </c>
      <c r="Z6" s="241">
        <v>0</v>
      </c>
      <c r="AA6" s="241">
        <v>0</v>
      </c>
      <c r="AB6" s="241">
        <v>0</v>
      </c>
      <c r="AC6" s="241">
        <v>0</v>
      </c>
      <c r="AD6" s="241">
        <v>0</v>
      </c>
      <c r="AE6" s="241">
        <v>0</v>
      </c>
      <c r="AF6" s="241">
        <v>0</v>
      </c>
      <c r="AG6" s="241">
        <v>0</v>
      </c>
      <c r="AH6" s="241">
        <v>0</v>
      </c>
      <c r="AI6" s="241">
        <v>0</v>
      </c>
      <c r="AJ6" s="241">
        <v>0</v>
      </c>
      <c r="AK6" s="241">
        <v>0</v>
      </c>
      <c r="AL6" s="241">
        <v>0</v>
      </c>
      <c r="AM6" s="241">
        <v>0</v>
      </c>
      <c r="AN6" s="241">
        <v>0</v>
      </c>
      <c r="AO6" s="241">
        <v>1</v>
      </c>
      <c r="AP6" s="241">
        <v>0</v>
      </c>
      <c r="AQ6" s="241">
        <v>10</v>
      </c>
      <c r="AR6" s="241">
        <v>0</v>
      </c>
      <c r="AS6" s="241">
        <f ca="1">SUMIFS('Tổng Đơn'!$F:$F,'Tổng Đơn'!$B:$B,$C6)</f>
        <v>2</v>
      </c>
      <c r="AT6" s="241">
        <v>0</v>
      </c>
      <c r="AU6" s="241">
        <v>0</v>
      </c>
      <c r="AV6" s="241">
        <v>0</v>
      </c>
      <c r="AW6" s="59">
        <v>0</v>
      </c>
      <c r="AX6" s="59">
        <f t="shared" ref="AX6:AX7" si="9">AW6*G6</f>
        <v>0</v>
      </c>
    </row>
    <row r="7" spans="1:50" ht="25.5" customHeight="1" x14ac:dyDescent="0.25">
      <c r="A7" s="59">
        <f t="shared" ca="1" si="3"/>
        <v>842.02535466343988</v>
      </c>
      <c r="B7" s="6">
        <v>3</v>
      </c>
      <c r="C7" s="61" t="s">
        <v>306</v>
      </c>
      <c r="D7" s="69">
        <v>83</v>
      </c>
      <c r="E7" s="62">
        <v>1</v>
      </c>
      <c r="F7" s="62">
        <f>10</f>
        <v>10</v>
      </c>
      <c r="G7" s="63">
        <v>83</v>
      </c>
      <c r="H7" s="142">
        <f t="shared" si="1"/>
        <v>830</v>
      </c>
      <c r="I7" s="143">
        <f t="shared" si="4"/>
        <v>1.2025354663439916</v>
      </c>
      <c r="J7" s="219">
        <f t="shared" si="2"/>
        <v>84.202535466343988</v>
      </c>
      <c r="K7" s="66">
        <f t="shared" si="5"/>
        <v>842.02535466343988</v>
      </c>
      <c r="L7" s="70">
        <v>95</v>
      </c>
      <c r="M7" s="64">
        <f t="shared" si="6"/>
        <v>950</v>
      </c>
      <c r="N7" s="64">
        <f t="shared" ca="1" si="7"/>
        <v>0</v>
      </c>
      <c r="O7" s="71">
        <f t="shared" ca="1" si="8"/>
        <v>10</v>
      </c>
      <c r="P7" s="166"/>
      <c r="Q7" s="223"/>
      <c r="R7" s="241">
        <v>0</v>
      </c>
      <c r="S7" s="241">
        <v>0</v>
      </c>
      <c r="T7" s="241">
        <v>0</v>
      </c>
      <c r="U7" s="241">
        <v>0</v>
      </c>
      <c r="V7" s="241">
        <v>0</v>
      </c>
      <c r="W7" s="241">
        <v>0</v>
      </c>
      <c r="X7" s="241">
        <v>0</v>
      </c>
      <c r="Y7" s="241">
        <v>0</v>
      </c>
      <c r="Z7" s="241">
        <v>0</v>
      </c>
      <c r="AA7" s="241">
        <v>0</v>
      </c>
      <c r="AB7" s="241">
        <v>0</v>
      </c>
      <c r="AC7" s="241">
        <v>0</v>
      </c>
      <c r="AD7" s="241">
        <v>0</v>
      </c>
      <c r="AE7" s="241">
        <v>0</v>
      </c>
      <c r="AF7" s="241">
        <v>0</v>
      </c>
      <c r="AG7" s="241">
        <v>0</v>
      </c>
      <c r="AH7" s="241">
        <v>0</v>
      </c>
      <c r="AI7" s="241">
        <v>0</v>
      </c>
      <c r="AJ7" s="241">
        <v>0</v>
      </c>
      <c r="AK7" s="241">
        <v>0</v>
      </c>
      <c r="AL7" s="241">
        <v>0</v>
      </c>
      <c r="AM7" s="241">
        <v>0</v>
      </c>
      <c r="AN7" s="241">
        <v>0</v>
      </c>
      <c r="AO7" s="241">
        <v>0</v>
      </c>
      <c r="AP7" s="241">
        <v>0</v>
      </c>
      <c r="AQ7" s="241">
        <v>0</v>
      </c>
      <c r="AR7" s="241">
        <v>0</v>
      </c>
      <c r="AS7" s="241">
        <f ca="1">SUMIFS('Tổng Đơn'!$F:$F,'Tổng Đơn'!$B:$B,$C7)</f>
        <v>0</v>
      </c>
      <c r="AT7" s="241">
        <v>0</v>
      </c>
      <c r="AU7" s="241">
        <v>0</v>
      </c>
      <c r="AV7" s="241">
        <v>0</v>
      </c>
      <c r="AW7" s="59">
        <v>0</v>
      </c>
      <c r="AX7" s="59">
        <f t="shared" si="9"/>
        <v>0</v>
      </c>
    </row>
    <row r="8" spans="1:50" ht="25.5" customHeight="1" x14ac:dyDescent="0.25">
      <c r="A8" s="59">
        <f t="shared" ca="1" si="3"/>
        <v>417.96921219438224</v>
      </c>
      <c r="B8" s="6">
        <v>4</v>
      </c>
      <c r="C8" s="61" t="s">
        <v>320</v>
      </c>
      <c r="D8" s="69">
        <v>103</v>
      </c>
      <c r="E8" s="62">
        <v>1.2</v>
      </c>
      <c r="F8" s="62">
        <f>5+5</f>
        <v>10</v>
      </c>
      <c r="G8" s="63">
        <v>103</v>
      </c>
      <c r="H8" s="142">
        <f t="shared" si="1"/>
        <v>1030</v>
      </c>
      <c r="I8" s="143">
        <f t="shared" si="4"/>
        <v>1.4923030485955557</v>
      </c>
      <c r="J8" s="219">
        <f t="shared" si="2"/>
        <v>104.49230304859556</v>
      </c>
      <c r="K8" s="66">
        <f t="shared" si="5"/>
        <v>1044.9230304859557</v>
      </c>
      <c r="L8" s="70">
        <v>116</v>
      </c>
      <c r="M8" s="64">
        <f t="shared" si="6"/>
        <v>1160</v>
      </c>
      <c r="N8" s="64">
        <f t="shared" ca="1" si="7"/>
        <v>696</v>
      </c>
      <c r="O8" s="71">
        <f t="shared" ca="1" si="8"/>
        <v>4</v>
      </c>
      <c r="P8" s="166"/>
      <c r="Q8" s="223"/>
      <c r="R8" s="241">
        <v>0</v>
      </c>
      <c r="S8" s="241">
        <v>0</v>
      </c>
      <c r="T8" s="241">
        <v>0</v>
      </c>
      <c r="U8" s="241">
        <v>0</v>
      </c>
      <c r="V8" s="241">
        <v>0</v>
      </c>
      <c r="W8" s="241">
        <v>0</v>
      </c>
      <c r="X8" s="241">
        <v>0</v>
      </c>
      <c r="Y8" s="241">
        <v>0</v>
      </c>
      <c r="Z8" s="241">
        <v>0</v>
      </c>
      <c r="AA8" s="241">
        <v>0</v>
      </c>
      <c r="AB8" s="241">
        <v>0</v>
      </c>
      <c r="AC8" s="241">
        <v>0</v>
      </c>
      <c r="AD8" s="241">
        <v>0</v>
      </c>
      <c r="AE8" s="241">
        <v>0</v>
      </c>
      <c r="AF8" s="241">
        <v>0</v>
      </c>
      <c r="AG8" s="241">
        <v>0</v>
      </c>
      <c r="AH8" s="241">
        <v>0</v>
      </c>
      <c r="AI8" s="241">
        <v>0</v>
      </c>
      <c r="AJ8" s="241">
        <v>0</v>
      </c>
      <c r="AK8" s="241">
        <v>0</v>
      </c>
      <c r="AL8" s="241">
        <v>0</v>
      </c>
      <c r="AM8" s="241">
        <v>0</v>
      </c>
      <c r="AN8" s="241">
        <v>0</v>
      </c>
      <c r="AO8" s="241">
        <v>0</v>
      </c>
      <c r="AP8" s="241">
        <v>0</v>
      </c>
      <c r="AQ8" s="241">
        <v>5</v>
      </c>
      <c r="AR8" s="241">
        <v>1</v>
      </c>
      <c r="AS8" s="241">
        <f ca="1">SUMIFS('Tổng Đơn'!$F:$F,'Tổng Đơn'!$B:$B,$C8)</f>
        <v>0</v>
      </c>
      <c r="AT8" s="241">
        <v>0</v>
      </c>
      <c r="AU8" s="241">
        <v>0</v>
      </c>
      <c r="AV8" s="241">
        <v>0</v>
      </c>
      <c r="AW8" s="59">
        <v>5</v>
      </c>
      <c r="AX8" s="59">
        <f t="shared" ref="AX8:AX14" si="10">AW8*G8</f>
        <v>515</v>
      </c>
    </row>
    <row r="9" spans="1:50" ht="25.5" customHeight="1" x14ac:dyDescent="0.25">
      <c r="A9" s="59">
        <f t="shared" ca="1" si="3"/>
        <v>284.05674615152191</v>
      </c>
      <c r="B9" s="6">
        <v>5</v>
      </c>
      <c r="C9" s="61" t="s">
        <v>307</v>
      </c>
      <c r="D9" s="69">
        <v>80</v>
      </c>
      <c r="E9" s="62">
        <v>0.5</v>
      </c>
      <c r="F9" s="62">
        <f>5+10</f>
        <v>15</v>
      </c>
      <c r="G9" s="63">
        <v>40</v>
      </c>
      <c r="H9" s="142">
        <f t="shared" si="1"/>
        <v>600</v>
      </c>
      <c r="I9" s="143">
        <f t="shared" si="4"/>
        <v>0.57953516450312847</v>
      </c>
      <c r="J9" s="219">
        <f t="shared" si="2"/>
        <v>40.579535164503127</v>
      </c>
      <c r="K9" s="66">
        <f t="shared" si="5"/>
        <v>608.69302746754693</v>
      </c>
      <c r="L9" s="70">
        <v>48</v>
      </c>
      <c r="M9" s="64">
        <f t="shared" si="6"/>
        <v>720</v>
      </c>
      <c r="N9" s="64">
        <f t="shared" ca="1" si="7"/>
        <v>384</v>
      </c>
      <c r="O9" s="71">
        <f t="shared" ca="1" si="8"/>
        <v>7</v>
      </c>
      <c r="P9" s="166"/>
      <c r="Q9" s="223"/>
      <c r="R9" s="241">
        <v>0</v>
      </c>
      <c r="S9" s="241">
        <v>0</v>
      </c>
      <c r="T9" s="241">
        <v>0</v>
      </c>
      <c r="U9" s="241">
        <v>0</v>
      </c>
      <c r="V9" s="241">
        <v>0</v>
      </c>
      <c r="W9" s="241">
        <v>0</v>
      </c>
      <c r="X9" s="241">
        <v>0</v>
      </c>
      <c r="Y9" s="241">
        <v>0</v>
      </c>
      <c r="Z9" s="241">
        <v>0</v>
      </c>
      <c r="AA9" s="241">
        <v>0</v>
      </c>
      <c r="AB9" s="241">
        <v>0</v>
      </c>
      <c r="AC9" s="241">
        <v>0</v>
      </c>
      <c r="AD9" s="241">
        <v>0</v>
      </c>
      <c r="AE9" s="241">
        <v>0</v>
      </c>
      <c r="AF9" s="241">
        <v>0</v>
      </c>
      <c r="AG9" s="241">
        <v>0</v>
      </c>
      <c r="AH9" s="241">
        <v>0</v>
      </c>
      <c r="AI9" s="241">
        <v>0</v>
      </c>
      <c r="AJ9" s="241">
        <v>0</v>
      </c>
      <c r="AK9" s="241">
        <v>0</v>
      </c>
      <c r="AL9" s="241">
        <v>0</v>
      </c>
      <c r="AM9" s="241">
        <v>0</v>
      </c>
      <c r="AN9" s="241">
        <v>0</v>
      </c>
      <c r="AO9" s="241">
        <v>0</v>
      </c>
      <c r="AP9" s="241">
        <v>0</v>
      </c>
      <c r="AQ9" s="241">
        <v>5</v>
      </c>
      <c r="AR9" s="241">
        <v>2</v>
      </c>
      <c r="AS9" s="241">
        <f ca="1">SUMIFS('Tổng Đơn'!$F:$F,'Tổng Đơn'!$B:$B,$C9)</f>
        <v>1</v>
      </c>
      <c r="AT9" s="241">
        <v>0</v>
      </c>
      <c r="AU9" s="241">
        <v>0</v>
      </c>
      <c r="AV9" s="241">
        <v>0</v>
      </c>
      <c r="AW9" s="59">
        <v>10</v>
      </c>
      <c r="AX9" s="59">
        <f t="shared" si="10"/>
        <v>400</v>
      </c>
    </row>
    <row r="10" spans="1:50" ht="25.5" customHeight="1" x14ac:dyDescent="0.25">
      <c r="A10" s="59">
        <f t="shared" ca="1" si="3"/>
        <v>3.449260488982766E-9</v>
      </c>
      <c r="B10" s="6">
        <v>6</v>
      </c>
      <c r="C10" s="61" t="s">
        <v>308</v>
      </c>
      <c r="D10" s="69">
        <v>68</v>
      </c>
      <c r="E10" s="62">
        <v>0.5</v>
      </c>
      <c r="F10" s="62">
        <v>1E-10</v>
      </c>
      <c r="G10" s="63">
        <v>34</v>
      </c>
      <c r="H10" s="142">
        <f t="shared" si="1"/>
        <v>3.4000000000000003E-9</v>
      </c>
      <c r="I10" s="143">
        <f t="shared" si="4"/>
        <v>0.49260488982765921</v>
      </c>
      <c r="J10" s="219">
        <f t="shared" si="2"/>
        <v>34.49260488982766</v>
      </c>
      <c r="K10" s="66">
        <f t="shared" si="5"/>
        <v>3.449260488982766E-9</v>
      </c>
      <c r="L10" s="70">
        <v>43</v>
      </c>
      <c r="M10" s="64">
        <f t="shared" si="6"/>
        <v>4.3000000000000005E-9</v>
      </c>
      <c r="N10" s="64">
        <f t="shared" ca="1" si="7"/>
        <v>0</v>
      </c>
      <c r="O10" s="71">
        <f t="shared" ca="1" si="8"/>
        <v>1E-10</v>
      </c>
      <c r="P10" s="166"/>
      <c r="Q10" s="223"/>
      <c r="R10" s="241">
        <v>0</v>
      </c>
      <c r="S10" s="241">
        <v>0</v>
      </c>
      <c r="T10" s="241">
        <v>0</v>
      </c>
      <c r="U10" s="241">
        <v>0</v>
      </c>
      <c r="V10" s="241">
        <v>0</v>
      </c>
      <c r="W10" s="241">
        <v>0</v>
      </c>
      <c r="X10" s="241">
        <v>0</v>
      </c>
      <c r="Y10" s="241">
        <v>0</v>
      </c>
      <c r="Z10" s="241">
        <v>0</v>
      </c>
      <c r="AA10" s="241">
        <v>0</v>
      </c>
      <c r="AB10" s="241">
        <v>0</v>
      </c>
      <c r="AC10" s="241">
        <v>0</v>
      </c>
      <c r="AD10" s="241">
        <v>0</v>
      </c>
      <c r="AE10" s="241">
        <v>0</v>
      </c>
      <c r="AF10" s="241">
        <v>0</v>
      </c>
      <c r="AG10" s="241">
        <v>0</v>
      </c>
      <c r="AH10" s="241">
        <v>0</v>
      </c>
      <c r="AI10" s="241">
        <v>0</v>
      </c>
      <c r="AJ10" s="241">
        <v>0</v>
      </c>
      <c r="AK10" s="241">
        <v>0</v>
      </c>
      <c r="AL10" s="241">
        <v>0</v>
      </c>
      <c r="AM10" s="241">
        <v>0</v>
      </c>
      <c r="AN10" s="241">
        <v>0</v>
      </c>
      <c r="AO10" s="241">
        <v>0</v>
      </c>
      <c r="AP10" s="241">
        <v>0</v>
      </c>
      <c r="AQ10" s="241">
        <v>0</v>
      </c>
      <c r="AR10" s="241">
        <v>0</v>
      </c>
      <c r="AS10" s="241">
        <f ca="1">SUMIFS('Tổng Đơn'!$F:$F,'Tổng Đơn'!$B:$B,$C10)</f>
        <v>0</v>
      </c>
      <c r="AT10" s="241">
        <v>0</v>
      </c>
      <c r="AU10" s="241">
        <v>0</v>
      </c>
      <c r="AV10" s="241">
        <v>0</v>
      </c>
      <c r="AW10" s="59">
        <v>20</v>
      </c>
      <c r="AX10" s="59">
        <f t="shared" si="10"/>
        <v>680</v>
      </c>
    </row>
    <row r="11" spans="1:50" ht="25.5" customHeight="1" x14ac:dyDescent="0.25">
      <c r="A11" s="59">
        <f t="shared" ca="1" si="3"/>
        <v>2059.4114095985337</v>
      </c>
      <c r="B11" s="6">
        <v>7</v>
      </c>
      <c r="C11" s="61" t="s">
        <v>296</v>
      </c>
      <c r="D11" s="69">
        <v>58</v>
      </c>
      <c r="E11" s="62">
        <v>1</v>
      </c>
      <c r="F11" s="62">
        <f>20+30+50</f>
        <v>100</v>
      </c>
      <c r="G11" s="63">
        <v>58</v>
      </c>
      <c r="H11" s="142">
        <f t="shared" si="1"/>
        <v>5800</v>
      </c>
      <c r="I11" s="143">
        <f t="shared" si="4"/>
        <v>0.84032598852953611</v>
      </c>
      <c r="J11" s="219">
        <f t="shared" si="2"/>
        <v>58.840325988529536</v>
      </c>
      <c r="K11" s="66">
        <f t="shared" si="5"/>
        <v>5884.0325988529539</v>
      </c>
      <c r="L11" s="70">
        <v>65</v>
      </c>
      <c r="M11" s="64">
        <f t="shared" si="6"/>
        <v>6500</v>
      </c>
      <c r="N11" s="64">
        <f t="shared" ca="1" si="7"/>
        <v>4225</v>
      </c>
      <c r="O11" s="71">
        <f t="shared" ca="1" si="8"/>
        <v>35</v>
      </c>
      <c r="P11" s="166">
        <v>0</v>
      </c>
      <c r="Q11" s="223">
        <v>15</v>
      </c>
      <c r="R11" s="241">
        <v>1</v>
      </c>
      <c r="S11" s="241">
        <v>10</v>
      </c>
      <c r="T11" s="241">
        <v>0</v>
      </c>
      <c r="U11" s="241">
        <v>0</v>
      </c>
      <c r="V11" s="241">
        <v>11</v>
      </c>
      <c r="W11" s="241">
        <v>0</v>
      </c>
      <c r="X11" s="241">
        <v>0</v>
      </c>
      <c r="Y11" s="241">
        <v>0</v>
      </c>
      <c r="Z11" s="241">
        <v>1</v>
      </c>
      <c r="AA11" s="241">
        <v>0</v>
      </c>
      <c r="AB11" s="241">
        <v>0</v>
      </c>
      <c r="AC11" s="241">
        <v>2</v>
      </c>
      <c r="AD11" s="241">
        <v>10</v>
      </c>
      <c r="AE11" s="241">
        <v>0</v>
      </c>
      <c r="AF11" s="241">
        <v>0</v>
      </c>
      <c r="AG11" s="241">
        <v>0</v>
      </c>
      <c r="AH11" s="241">
        <v>0</v>
      </c>
      <c r="AI11" s="241">
        <v>0</v>
      </c>
      <c r="AJ11" s="241">
        <v>0</v>
      </c>
      <c r="AK11" s="241">
        <v>0</v>
      </c>
      <c r="AL11" s="241">
        <v>0</v>
      </c>
      <c r="AM11" s="241">
        <v>0</v>
      </c>
      <c r="AN11" s="241">
        <v>0</v>
      </c>
      <c r="AO11" s="241">
        <v>1</v>
      </c>
      <c r="AP11" s="241">
        <v>0</v>
      </c>
      <c r="AQ11" s="241">
        <v>11</v>
      </c>
      <c r="AR11" s="241">
        <v>1</v>
      </c>
      <c r="AS11" s="241">
        <f ca="1">SUMIFS('Tổng Đơn'!$F:$F,'Tổng Đơn'!$B:$B,$C11)</f>
        <v>2</v>
      </c>
      <c r="AT11" s="241">
        <v>0</v>
      </c>
      <c r="AU11" s="241">
        <v>0</v>
      </c>
      <c r="AV11" s="241">
        <v>0</v>
      </c>
      <c r="AW11" s="59">
        <v>0</v>
      </c>
      <c r="AX11" s="59">
        <f t="shared" si="10"/>
        <v>0</v>
      </c>
    </row>
    <row r="12" spans="1:50" ht="25.5" customHeight="1" x14ac:dyDescent="0.25">
      <c r="A12" s="59">
        <f t="shared" ca="1" si="3"/>
        <v>2.942016299426477E-9</v>
      </c>
      <c r="B12" s="6">
        <v>8</v>
      </c>
      <c r="C12" s="61" t="s">
        <v>310</v>
      </c>
      <c r="D12" s="69">
        <v>58</v>
      </c>
      <c r="E12" s="62">
        <v>0.5</v>
      </c>
      <c r="F12" s="62">
        <v>1E-10</v>
      </c>
      <c r="G12" s="63">
        <v>29</v>
      </c>
      <c r="H12" s="142">
        <f t="shared" si="1"/>
        <v>2.8999999999999999E-9</v>
      </c>
      <c r="I12" s="143">
        <f t="shared" si="4"/>
        <v>0.42016299426476805</v>
      </c>
      <c r="J12" s="219">
        <f t="shared" si="2"/>
        <v>29.420162994264768</v>
      </c>
      <c r="K12" s="66">
        <f t="shared" si="5"/>
        <v>2.942016299426477E-9</v>
      </c>
      <c r="L12" s="70">
        <v>40</v>
      </c>
      <c r="M12" s="64">
        <f t="shared" si="6"/>
        <v>4.0000000000000002E-9</v>
      </c>
      <c r="N12" s="64">
        <f t="shared" ca="1" si="7"/>
        <v>0</v>
      </c>
      <c r="O12" s="71">
        <f t="shared" ca="1" si="8"/>
        <v>1E-10</v>
      </c>
      <c r="P12" s="166"/>
      <c r="Q12" s="223"/>
      <c r="R12" s="241">
        <v>0</v>
      </c>
      <c r="S12" s="241">
        <v>0</v>
      </c>
      <c r="T12" s="241">
        <v>0</v>
      </c>
      <c r="U12" s="241">
        <v>0</v>
      </c>
      <c r="V12" s="241">
        <v>0</v>
      </c>
      <c r="W12" s="241">
        <v>0</v>
      </c>
      <c r="X12" s="241">
        <v>0</v>
      </c>
      <c r="Y12" s="241">
        <v>0</v>
      </c>
      <c r="Z12" s="241">
        <v>0</v>
      </c>
      <c r="AA12" s="241">
        <v>0</v>
      </c>
      <c r="AB12" s="241">
        <v>0</v>
      </c>
      <c r="AC12" s="241">
        <v>0</v>
      </c>
      <c r="AD12" s="241">
        <v>0</v>
      </c>
      <c r="AE12" s="241">
        <v>0</v>
      </c>
      <c r="AF12" s="241">
        <v>0</v>
      </c>
      <c r="AG12" s="241">
        <v>0</v>
      </c>
      <c r="AH12" s="241">
        <v>0</v>
      </c>
      <c r="AI12" s="241">
        <v>0</v>
      </c>
      <c r="AJ12" s="241">
        <v>0</v>
      </c>
      <c r="AK12" s="241">
        <v>0</v>
      </c>
      <c r="AL12" s="241">
        <v>0</v>
      </c>
      <c r="AM12" s="241">
        <v>0</v>
      </c>
      <c r="AN12" s="241">
        <v>0</v>
      </c>
      <c r="AO12" s="241">
        <v>0</v>
      </c>
      <c r="AP12" s="241">
        <v>0</v>
      </c>
      <c r="AQ12" s="241">
        <v>0</v>
      </c>
      <c r="AR12" s="241">
        <v>0</v>
      </c>
      <c r="AS12" s="241">
        <f ca="1">SUMIFS('Tổng Đơn'!$F:$F,'Tổng Đơn'!$B:$B,$C12)</f>
        <v>0</v>
      </c>
      <c r="AT12" s="241">
        <v>0</v>
      </c>
      <c r="AU12" s="241">
        <v>0</v>
      </c>
      <c r="AV12" s="241">
        <v>0</v>
      </c>
      <c r="AW12" s="59">
        <v>24</v>
      </c>
      <c r="AX12" s="59">
        <f t="shared" si="10"/>
        <v>696</v>
      </c>
    </row>
    <row r="13" spans="1:50" ht="25.5" customHeight="1" x14ac:dyDescent="0.25">
      <c r="A13" s="59">
        <f t="shared" ca="1" si="3"/>
        <v>3.5507093268940238E-9</v>
      </c>
      <c r="B13" s="6">
        <v>9</v>
      </c>
      <c r="C13" s="61" t="s">
        <v>309</v>
      </c>
      <c r="D13" s="69">
        <v>70</v>
      </c>
      <c r="E13" s="62">
        <v>0.5</v>
      </c>
      <c r="F13" s="62">
        <v>1E-10</v>
      </c>
      <c r="G13" s="63">
        <v>35</v>
      </c>
      <c r="H13" s="142">
        <f t="shared" si="1"/>
        <v>3.5000000000000003E-9</v>
      </c>
      <c r="I13" s="143">
        <f t="shared" si="4"/>
        <v>0.50709326894023732</v>
      </c>
      <c r="J13" s="219">
        <f t="shared" si="2"/>
        <v>35.507093268940238</v>
      </c>
      <c r="K13" s="66">
        <f t="shared" si="5"/>
        <v>3.5507093268940238E-9</v>
      </c>
      <c r="L13" s="70">
        <v>44</v>
      </c>
      <c r="M13" s="64">
        <f t="shared" si="6"/>
        <v>4.4000000000000005E-9</v>
      </c>
      <c r="N13" s="64">
        <f t="shared" ca="1" si="7"/>
        <v>0</v>
      </c>
      <c r="O13" s="71">
        <f t="shared" ca="1" si="8"/>
        <v>1E-10</v>
      </c>
      <c r="P13" s="166"/>
      <c r="Q13" s="223"/>
      <c r="R13" s="241">
        <v>0</v>
      </c>
      <c r="S13" s="241">
        <v>0</v>
      </c>
      <c r="T13" s="241">
        <v>0</v>
      </c>
      <c r="U13" s="241">
        <v>0</v>
      </c>
      <c r="V13" s="241">
        <v>0</v>
      </c>
      <c r="W13" s="241">
        <v>0</v>
      </c>
      <c r="X13" s="241">
        <v>0</v>
      </c>
      <c r="Y13" s="241">
        <v>0</v>
      </c>
      <c r="Z13" s="241">
        <v>0</v>
      </c>
      <c r="AA13" s="241">
        <v>0</v>
      </c>
      <c r="AB13" s="241">
        <v>0</v>
      </c>
      <c r="AC13" s="241">
        <v>0</v>
      </c>
      <c r="AD13" s="241">
        <v>0</v>
      </c>
      <c r="AE13" s="241">
        <v>0</v>
      </c>
      <c r="AF13" s="241">
        <v>0</v>
      </c>
      <c r="AG13" s="241">
        <v>0</v>
      </c>
      <c r="AH13" s="241">
        <v>0</v>
      </c>
      <c r="AI13" s="241">
        <v>0</v>
      </c>
      <c r="AJ13" s="241">
        <v>0</v>
      </c>
      <c r="AK13" s="241">
        <v>0</v>
      </c>
      <c r="AL13" s="241">
        <v>0</v>
      </c>
      <c r="AM13" s="241">
        <v>0</v>
      </c>
      <c r="AN13" s="241">
        <v>0</v>
      </c>
      <c r="AO13" s="241">
        <v>0</v>
      </c>
      <c r="AP13" s="241">
        <v>0</v>
      </c>
      <c r="AQ13" s="241">
        <v>0</v>
      </c>
      <c r="AR13" s="241">
        <v>0</v>
      </c>
      <c r="AS13" s="241">
        <f ca="1">SUMIFS('Tổng Đơn'!$F:$F,'Tổng Đơn'!$B:$B,$C13)</f>
        <v>0</v>
      </c>
      <c r="AT13" s="241">
        <v>0</v>
      </c>
      <c r="AU13" s="241">
        <v>0</v>
      </c>
      <c r="AV13" s="241">
        <v>0</v>
      </c>
      <c r="AW13" s="59">
        <v>24</v>
      </c>
      <c r="AX13" s="59">
        <f t="shared" si="10"/>
        <v>840</v>
      </c>
    </row>
    <row r="14" spans="1:50" ht="25.5" customHeight="1" x14ac:dyDescent="0.25">
      <c r="A14" s="59">
        <f t="shared" ca="1" si="3"/>
        <v>2864.5555555555552</v>
      </c>
      <c r="B14" s="6">
        <v>10</v>
      </c>
      <c r="C14" s="61" t="s">
        <v>215</v>
      </c>
      <c r="D14" s="69">
        <v>195</v>
      </c>
      <c r="E14" s="62">
        <v>0.5</v>
      </c>
      <c r="F14" s="62">
        <f>60+60+60</f>
        <v>180</v>
      </c>
      <c r="G14" s="63">
        <f>D14/(1/E14)</f>
        <v>97.5</v>
      </c>
      <c r="H14" s="142">
        <f>G14*F14</f>
        <v>17550</v>
      </c>
      <c r="I14" s="143">
        <f>((H14/$H$2)*$B$2)/F14</f>
        <v>1.2777777777777777</v>
      </c>
      <c r="J14" s="219">
        <f>G14+I14</f>
        <v>98.777777777777771</v>
      </c>
      <c r="K14" s="66">
        <f>J14*F14</f>
        <v>17780</v>
      </c>
      <c r="L14" s="70">
        <v>105</v>
      </c>
      <c r="M14" s="64">
        <f t="shared" si="6"/>
        <v>18900</v>
      </c>
      <c r="N14" s="64">
        <f ca="1">SUMPRODUCT(($Q14:$AV14)*$L14)</f>
        <v>15750</v>
      </c>
      <c r="O14" s="138">
        <f ca="1">F14-SUM(Q14:AV14)-P14</f>
        <v>29</v>
      </c>
      <c r="P14" s="166">
        <v>1</v>
      </c>
      <c r="Q14" s="223">
        <v>139.5</v>
      </c>
      <c r="R14" s="241">
        <v>0</v>
      </c>
      <c r="S14" s="241">
        <v>0</v>
      </c>
      <c r="T14" s="241">
        <v>0</v>
      </c>
      <c r="U14" s="241">
        <v>0</v>
      </c>
      <c r="V14" s="241">
        <v>0</v>
      </c>
      <c r="W14" s="241">
        <v>0.5</v>
      </c>
      <c r="X14" s="241">
        <v>0</v>
      </c>
      <c r="Y14" s="241">
        <v>1</v>
      </c>
      <c r="Z14" s="241">
        <v>0</v>
      </c>
      <c r="AA14" s="241">
        <v>0</v>
      </c>
      <c r="AB14" s="241">
        <v>0</v>
      </c>
      <c r="AC14" s="241">
        <v>0.5</v>
      </c>
      <c r="AD14" s="241">
        <v>2</v>
      </c>
      <c r="AE14" s="241">
        <v>0</v>
      </c>
      <c r="AF14" s="241">
        <v>0</v>
      </c>
      <c r="AG14" s="241">
        <v>0</v>
      </c>
      <c r="AH14" s="241">
        <v>0</v>
      </c>
      <c r="AI14" s="241">
        <v>0</v>
      </c>
      <c r="AJ14" s="241">
        <v>6</v>
      </c>
      <c r="AK14" s="241">
        <v>0</v>
      </c>
      <c r="AL14" s="241">
        <v>0</v>
      </c>
      <c r="AM14" s="241">
        <v>0</v>
      </c>
      <c r="AN14" s="241">
        <v>0</v>
      </c>
      <c r="AO14" s="241">
        <v>0</v>
      </c>
      <c r="AP14" s="241">
        <v>0</v>
      </c>
      <c r="AQ14" s="241">
        <v>0</v>
      </c>
      <c r="AR14" s="241">
        <v>0.5</v>
      </c>
      <c r="AS14" s="241">
        <f ca="1">SUMIFS('Tổng Đơn'!$F:$F,'Tổng Đơn'!$B:$B,$C14)</f>
        <v>0</v>
      </c>
      <c r="AT14" s="241">
        <v>0</v>
      </c>
      <c r="AU14" s="241">
        <v>0</v>
      </c>
      <c r="AV14" s="241">
        <v>0</v>
      </c>
      <c r="AW14" s="59">
        <v>0</v>
      </c>
      <c r="AX14" s="59">
        <f t="shared" si="10"/>
        <v>0</v>
      </c>
    </row>
    <row r="15" spans="1:50" ht="25.5" customHeight="1" x14ac:dyDescent="0.25">
      <c r="B15" s="6"/>
      <c r="C15" s="61"/>
      <c r="D15" s="69"/>
      <c r="E15" s="62"/>
      <c r="F15" s="62"/>
      <c r="G15" s="141"/>
      <c r="H15" s="142"/>
      <c r="I15" s="143"/>
      <c r="J15" s="143"/>
      <c r="K15" s="66"/>
      <c r="L15" s="70"/>
      <c r="M15" s="64"/>
      <c r="N15" s="64"/>
      <c r="O15" s="138"/>
      <c r="P15" s="166"/>
      <c r="Q15" s="164"/>
      <c r="R15" s="6"/>
      <c r="S15" s="6"/>
      <c r="T15" s="6"/>
      <c r="U15" s="6"/>
      <c r="V15" s="6"/>
      <c r="W15" s="6"/>
      <c r="X15" s="6"/>
      <c r="Y15" s="6"/>
      <c r="Z15" s="6"/>
      <c r="AA15" s="6"/>
      <c r="AB15" s="6"/>
      <c r="AC15" s="6"/>
      <c r="AD15" s="6"/>
      <c r="AE15" s="6"/>
      <c r="AF15" s="6"/>
      <c r="AG15" s="6"/>
      <c r="AH15" s="6"/>
      <c r="AI15" s="6"/>
      <c r="AJ15" s="6"/>
      <c r="AK15" s="6"/>
      <c r="AL15" s="6"/>
      <c r="AM15" s="6"/>
      <c r="AN15" s="6"/>
      <c r="AO15" s="6"/>
      <c r="AP15" s="6"/>
      <c r="AQ15" s="6"/>
      <c r="AR15" s="6"/>
      <c r="AS15" s="6"/>
      <c r="AT15" s="6"/>
      <c r="AU15" s="6"/>
      <c r="AV15" s="6"/>
    </row>
    <row r="16" spans="1:50" ht="35.25" hidden="1" customHeight="1" x14ac:dyDescent="0.25">
      <c r="B16" s="189" t="s">
        <v>255</v>
      </c>
      <c r="C16" s="188" t="s">
        <v>292</v>
      </c>
      <c r="D16" s="190">
        <v>31.5</v>
      </c>
      <c r="E16" s="197">
        <v>1</v>
      </c>
      <c r="F16" s="197">
        <v>108</v>
      </c>
      <c r="G16" s="198">
        <v>31.5</v>
      </c>
      <c r="H16" s="199">
        <v>3402</v>
      </c>
      <c r="I16" s="198">
        <v>1.3559989031236921</v>
      </c>
      <c r="J16" s="198">
        <v>32.855998903123691</v>
      </c>
      <c r="K16" s="188">
        <v>3548.4478815373586</v>
      </c>
      <c r="L16" s="200">
        <v>50</v>
      </c>
      <c r="M16" s="194">
        <v>5400</v>
      </c>
      <c r="N16" s="194">
        <v>4385</v>
      </c>
      <c r="O16" s="201">
        <v>0</v>
      </c>
      <c r="P16" s="202">
        <v>20.3</v>
      </c>
      <c r="Q16" s="203">
        <v>87.7</v>
      </c>
      <c r="R16" s="189">
        <v>0</v>
      </c>
      <c r="S16" s="189">
        <v>0</v>
      </c>
      <c r="T16" s="189">
        <v>0</v>
      </c>
      <c r="U16" s="189">
        <v>0</v>
      </c>
      <c r="V16" s="189">
        <v>0</v>
      </c>
      <c r="W16" s="189">
        <v>0</v>
      </c>
      <c r="X16" s="189">
        <v>0</v>
      </c>
      <c r="Y16" s="189">
        <v>0</v>
      </c>
      <c r="Z16" s="189">
        <v>0</v>
      </c>
      <c r="AA16" s="189">
        <v>0</v>
      </c>
      <c r="AB16" s="189">
        <v>0</v>
      </c>
      <c r="AC16" s="189">
        <v>0</v>
      </c>
      <c r="AD16" s="189">
        <v>0</v>
      </c>
      <c r="AE16" s="189">
        <v>0</v>
      </c>
      <c r="AF16" s="189">
        <v>0</v>
      </c>
      <c r="AG16" s="189">
        <v>0</v>
      </c>
      <c r="AH16" s="189">
        <v>0</v>
      </c>
      <c r="AI16" s="189">
        <v>0</v>
      </c>
      <c r="AJ16" s="189">
        <v>0</v>
      </c>
      <c r="AK16" s="189">
        <v>0</v>
      </c>
      <c r="AL16" s="189">
        <v>0</v>
      </c>
      <c r="AM16" s="189">
        <v>0</v>
      </c>
      <c r="AN16" s="189">
        <v>0</v>
      </c>
      <c r="AO16" s="189">
        <v>0</v>
      </c>
      <c r="AP16" s="189">
        <v>0</v>
      </c>
      <c r="AQ16" s="189">
        <v>0</v>
      </c>
      <c r="AR16" s="189">
        <v>0</v>
      </c>
      <c r="AS16" s="189">
        <v>0</v>
      </c>
      <c r="AT16" s="189">
        <v>0</v>
      </c>
      <c r="AU16" s="189">
        <v>0</v>
      </c>
      <c r="AV16" s="189">
        <v>0</v>
      </c>
    </row>
    <row r="17" spans="1:48" ht="35.25" hidden="1" customHeight="1" x14ac:dyDescent="0.25">
      <c r="B17" s="189" t="s">
        <v>255</v>
      </c>
      <c r="C17" s="188" t="s">
        <v>293</v>
      </c>
      <c r="D17" s="190">
        <v>57</v>
      </c>
      <c r="E17" s="197">
        <v>1</v>
      </c>
      <c r="F17" s="197">
        <v>135</v>
      </c>
      <c r="G17" s="198">
        <v>57</v>
      </c>
      <c r="H17" s="199">
        <v>7695</v>
      </c>
      <c r="I17" s="198">
        <v>1.6987239006164931</v>
      </c>
      <c r="J17" s="198">
        <v>58.698723900616493</v>
      </c>
      <c r="K17" s="188">
        <v>7924.3277265832266</v>
      </c>
      <c r="L17" s="200">
        <v>60</v>
      </c>
      <c r="M17" s="194">
        <v>8100</v>
      </c>
      <c r="N17" s="194">
        <v>7936.2000000000007</v>
      </c>
      <c r="O17" s="201">
        <v>0</v>
      </c>
      <c r="P17" s="202">
        <v>2.73</v>
      </c>
      <c r="Q17" s="203">
        <v>132.27000000000001</v>
      </c>
      <c r="R17" s="189">
        <v>0</v>
      </c>
      <c r="S17" s="189">
        <v>0</v>
      </c>
      <c r="T17" s="189">
        <v>0</v>
      </c>
      <c r="U17" s="189">
        <v>0</v>
      </c>
      <c r="V17" s="189">
        <v>0</v>
      </c>
      <c r="W17" s="189">
        <v>0</v>
      </c>
      <c r="X17" s="189">
        <v>0</v>
      </c>
      <c r="Y17" s="189">
        <v>0</v>
      </c>
      <c r="Z17" s="189">
        <v>0</v>
      </c>
      <c r="AA17" s="189">
        <v>0</v>
      </c>
      <c r="AB17" s="189">
        <v>0</v>
      </c>
      <c r="AC17" s="189">
        <v>0</v>
      </c>
      <c r="AD17" s="189">
        <v>0</v>
      </c>
      <c r="AE17" s="189">
        <v>0</v>
      </c>
      <c r="AF17" s="189">
        <v>0</v>
      </c>
      <c r="AG17" s="189">
        <v>0</v>
      </c>
      <c r="AH17" s="189">
        <v>0</v>
      </c>
      <c r="AI17" s="189">
        <v>0</v>
      </c>
      <c r="AJ17" s="189">
        <v>0</v>
      </c>
      <c r="AK17" s="189">
        <v>0</v>
      </c>
      <c r="AL17" s="189">
        <v>0</v>
      </c>
      <c r="AM17" s="189">
        <v>0</v>
      </c>
      <c r="AN17" s="189">
        <v>0</v>
      </c>
      <c r="AO17" s="189">
        <v>0</v>
      </c>
      <c r="AP17" s="189">
        <v>0</v>
      </c>
      <c r="AQ17" s="189">
        <v>0</v>
      </c>
      <c r="AR17" s="189">
        <v>0</v>
      </c>
      <c r="AS17" s="189">
        <v>0</v>
      </c>
      <c r="AT17" s="189">
        <v>0</v>
      </c>
      <c r="AU17" s="189">
        <v>0</v>
      </c>
      <c r="AV17" s="189">
        <v>0</v>
      </c>
    </row>
    <row r="18" spans="1:48" ht="35.25" hidden="1" customHeight="1" x14ac:dyDescent="0.25">
      <c r="B18" s="189" t="s">
        <v>255</v>
      </c>
      <c r="C18" s="188" t="s">
        <v>294</v>
      </c>
      <c r="D18" s="190">
        <v>53</v>
      </c>
      <c r="E18" s="197">
        <v>1</v>
      </c>
      <c r="F18" s="197">
        <v>255</v>
      </c>
      <c r="G18" s="198">
        <v>53</v>
      </c>
      <c r="H18" s="199">
        <v>13515</v>
      </c>
      <c r="I18" s="198">
        <v>1.2928624462586735</v>
      </c>
      <c r="J18" s="198">
        <v>54.292862446258674</v>
      </c>
      <c r="K18" s="188">
        <v>13844.679923795962</v>
      </c>
      <c r="L18" s="200">
        <v>70</v>
      </c>
      <c r="M18" s="194">
        <v>17850</v>
      </c>
      <c r="N18" s="194">
        <v>16732.8</v>
      </c>
      <c r="O18" s="201">
        <v>0</v>
      </c>
      <c r="P18" s="202">
        <v>15.96</v>
      </c>
      <c r="Q18" s="203">
        <v>239.04</v>
      </c>
      <c r="R18" s="189">
        <v>0</v>
      </c>
      <c r="S18" s="189">
        <v>0</v>
      </c>
      <c r="T18" s="189">
        <v>0</v>
      </c>
      <c r="U18" s="189">
        <v>0</v>
      </c>
      <c r="V18" s="189">
        <v>0</v>
      </c>
      <c r="W18" s="189">
        <v>0</v>
      </c>
      <c r="X18" s="189">
        <v>0</v>
      </c>
      <c r="Y18" s="189">
        <v>0</v>
      </c>
      <c r="Z18" s="189">
        <v>0</v>
      </c>
      <c r="AA18" s="189">
        <v>0</v>
      </c>
      <c r="AB18" s="189">
        <v>0</v>
      </c>
      <c r="AC18" s="189">
        <v>0</v>
      </c>
      <c r="AD18" s="189">
        <v>0</v>
      </c>
      <c r="AE18" s="189">
        <v>0</v>
      </c>
      <c r="AF18" s="189">
        <v>0</v>
      </c>
      <c r="AG18" s="189">
        <v>0</v>
      </c>
      <c r="AH18" s="189">
        <v>0</v>
      </c>
      <c r="AI18" s="189">
        <v>0</v>
      </c>
      <c r="AJ18" s="189">
        <v>0</v>
      </c>
      <c r="AK18" s="189">
        <v>0</v>
      </c>
      <c r="AL18" s="189">
        <v>0</v>
      </c>
      <c r="AM18" s="189">
        <v>0</v>
      </c>
      <c r="AN18" s="189">
        <v>0</v>
      </c>
      <c r="AO18" s="189">
        <v>0</v>
      </c>
      <c r="AP18" s="189">
        <v>0</v>
      </c>
      <c r="AQ18" s="189">
        <v>0</v>
      </c>
      <c r="AR18" s="189">
        <v>0</v>
      </c>
      <c r="AS18" s="189">
        <v>0</v>
      </c>
      <c r="AT18" s="189">
        <v>0</v>
      </c>
      <c r="AU18" s="189">
        <v>0</v>
      </c>
      <c r="AV18" s="189">
        <v>0</v>
      </c>
    </row>
    <row r="19" spans="1:48" ht="35.25" hidden="1" customHeight="1" x14ac:dyDescent="0.25">
      <c r="B19" s="189" t="s">
        <v>255</v>
      </c>
      <c r="C19" s="188" t="s">
        <v>295</v>
      </c>
      <c r="D19" s="190">
        <v>41</v>
      </c>
      <c r="E19" s="197">
        <v>1</v>
      </c>
      <c r="F19" s="197">
        <v>328.75</v>
      </c>
      <c r="G19" s="198">
        <v>41</v>
      </c>
      <c r="H19" s="199">
        <v>13478.75</v>
      </c>
      <c r="I19" s="198">
        <v>1.7649509532721073</v>
      </c>
      <c r="J19" s="198">
        <v>42.764950953272105</v>
      </c>
      <c r="K19" s="188">
        <v>14058.977625888205</v>
      </c>
      <c r="L19" s="200">
        <v>45</v>
      </c>
      <c r="M19" s="194">
        <v>14793.75</v>
      </c>
      <c r="N19" s="194">
        <v>13783.5</v>
      </c>
      <c r="O19" s="201">
        <v>0</v>
      </c>
      <c r="P19" s="202">
        <v>22.450000000000003</v>
      </c>
      <c r="Q19" s="203">
        <v>306.3</v>
      </c>
      <c r="R19" s="189">
        <v>0</v>
      </c>
      <c r="S19" s="189">
        <v>0</v>
      </c>
      <c r="T19" s="189">
        <v>0</v>
      </c>
      <c r="U19" s="189">
        <v>0</v>
      </c>
      <c r="V19" s="189">
        <v>0</v>
      </c>
      <c r="W19" s="189">
        <v>0</v>
      </c>
      <c r="X19" s="189">
        <v>0</v>
      </c>
      <c r="Y19" s="189">
        <v>0</v>
      </c>
      <c r="Z19" s="189">
        <v>0</v>
      </c>
      <c r="AA19" s="189">
        <v>0</v>
      </c>
      <c r="AB19" s="189">
        <v>0</v>
      </c>
      <c r="AC19" s="189">
        <v>0</v>
      </c>
      <c r="AD19" s="189">
        <v>0</v>
      </c>
      <c r="AE19" s="189">
        <v>0</v>
      </c>
      <c r="AF19" s="189">
        <v>0</v>
      </c>
      <c r="AG19" s="189">
        <v>0</v>
      </c>
      <c r="AH19" s="189">
        <v>0</v>
      </c>
      <c r="AI19" s="189">
        <v>0</v>
      </c>
      <c r="AJ19" s="189">
        <v>0</v>
      </c>
      <c r="AK19" s="189">
        <v>0</v>
      </c>
      <c r="AL19" s="189">
        <v>0</v>
      </c>
      <c r="AM19" s="189">
        <v>0</v>
      </c>
      <c r="AN19" s="189">
        <v>0</v>
      </c>
      <c r="AO19" s="189">
        <v>0</v>
      </c>
      <c r="AP19" s="189">
        <v>0</v>
      </c>
      <c r="AQ19" s="189">
        <v>0</v>
      </c>
      <c r="AR19" s="189">
        <v>0</v>
      </c>
      <c r="AS19" s="189">
        <v>0</v>
      </c>
      <c r="AT19" s="189">
        <v>0</v>
      </c>
      <c r="AU19" s="189">
        <v>0</v>
      </c>
      <c r="AV19" s="189">
        <v>0</v>
      </c>
    </row>
    <row r="20" spans="1:48" ht="35.25" hidden="1" customHeight="1" x14ac:dyDescent="0.25">
      <c r="A20" s="59">
        <v>0</v>
      </c>
      <c r="B20" s="189" t="s">
        <v>255</v>
      </c>
      <c r="C20" s="188" t="s">
        <v>258</v>
      </c>
      <c r="D20" s="190">
        <v>46</v>
      </c>
      <c r="E20" s="197">
        <v>1</v>
      </c>
      <c r="F20" s="197">
        <v>60</v>
      </c>
      <c r="G20" s="198">
        <v>46</v>
      </c>
      <c r="H20" s="199">
        <v>2760</v>
      </c>
      <c r="I20" s="198">
        <v>2.338883716371833</v>
      </c>
      <c r="J20" s="198">
        <v>48.338883716371832</v>
      </c>
      <c r="K20" s="188">
        <v>2900.33302298231</v>
      </c>
      <c r="L20" s="200">
        <v>60</v>
      </c>
      <c r="M20" s="194">
        <v>3600</v>
      </c>
      <c r="N20" s="194">
        <v>3000</v>
      </c>
      <c r="O20" s="201">
        <v>0</v>
      </c>
      <c r="P20" s="202">
        <v>10</v>
      </c>
      <c r="Q20" s="203">
        <v>50</v>
      </c>
      <c r="R20" s="189">
        <v>0</v>
      </c>
      <c r="S20" s="189">
        <v>0</v>
      </c>
      <c r="T20" s="189">
        <v>0</v>
      </c>
      <c r="U20" s="189">
        <v>0</v>
      </c>
      <c r="V20" s="189">
        <v>0</v>
      </c>
      <c r="W20" s="189">
        <v>0</v>
      </c>
      <c r="X20" s="189">
        <v>0</v>
      </c>
      <c r="Y20" s="189">
        <v>0</v>
      </c>
      <c r="Z20" s="189">
        <v>0</v>
      </c>
      <c r="AA20" s="189">
        <v>0</v>
      </c>
      <c r="AB20" s="189">
        <v>0</v>
      </c>
      <c r="AC20" s="189">
        <v>0</v>
      </c>
      <c r="AD20" s="189">
        <v>0</v>
      </c>
      <c r="AE20" s="189">
        <v>0</v>
      </c>
      <c r="AF20" s="189">
        <v>0</v>
      </c>
      <c r="AG20" s="189">
        <v>0</v>
      </c>
      <c r="AH20" s="189">
        <v>0</v>
      </c>
      <c r="AI20" s="189">
        <v>0</v>
      </c>
      <c r="AJ20" s="189">
        <v>0</v>
      </c>
      <c r="AK20" s="189">
        <v>0</v>
      </c>
      <c r="AL20" s="189">
        <v>0</v>
      </c>
      <c r="AM20" s="189">
        <v>0</v>
      </c>
      <c r="AN20" s="189">
        <v>0</v>
      </c>
      <c r="AO20" s="189">
        <v>0</v>
      </c>
      <c r="AP20" s="189">
        <v>0</v>
      </c>
      <c r="AQ20" s="189">
        <v>0</v>
      </c>
      <c r="AR20" s="189">
        <v>0</v>
      </c>
      <c r="AS20" s="189">
        <v>0</v>
      </c>
      <c r="AT20" s="189">
        <v>0</v>
      </c>
      <c r="AU20" s="189">
        <v>0</v>
      </c>
      <c r="AV20" s="189">
        <v>0</v>
      </c>
    </row>
  </sheetData>
  <autoFilter ref="B4:M4"/>
  <mergeCells count="1">
    <mergeCell ref="B1:M1"/>
  </mergeCells>
  <conditionalFormatting sqref="C14:C15">
    <cfRule type="expression" dxfId="658" priority="12">
      <formula>($O14/$O14)&lt;=1/4</formula>
    </cfRule>
  </conditionalFormatting>
  <conditionalFormatting sqref="C5:C15">
    <cfRule type="expression" dxfId="657" priority="13">
      <formula>($O5/$F5)&lt;=1/4</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00B050"/>
  </sheetPr>
  <dimension ref="A1:AX24"/>
  <sheetViews>
    <sheetView topLeftCell="A2" zoomScale="85" zoomScaleNormal="85" workbookViewId="0">
      <pane xSplit="17" ySplit="3" topLeftCell="R5" activePane="bottomRight" state="frozen"/>
      <selection activeCell="A2" sqref="A2"/>
      <selection pane="topRight" activeCell="R2" sqref="R2"/>
      <selection pane="bottomLeft" activeCell="A5" sqref="A5"/>
      <selection pane="bottomRight" activeCell="P25" sqref="P25"/>
    </sheetView>
  </sheetViews>
  <sheetFormatPr defaultColWidth="9.140625" defaultRowHeight="15" x14ac:dyDescent="0.25"/>
  <cols>
    <col min="1" max="1" width="16.28515625" style="59" customWidth="1"/>
    <col min="2" max="2" width="7" style="59" customWidth="1"/>
    <col min="3" max="3" width="26.5703125" style="59" bestFit="1" customWidth="1"/>
    <col min="4" max="5" width="10" style="59" customWidth="1"/>
    <col min="6" max="6" width="10.85546875" style="59" bestFit="1" customWidth="1"/>
    <col min="7" max="7" width="16.28515625" style="59" hidden="1" customWidth="1"/>
    <col min="8" max="8" width="14.85546875" style="59" hidden="1" customWidth="1"/>
    <col min="9" max="9" width="13.42578125" style="59" customWidth="1"/>
    <col min="10" max="10" width="16.85546875" style="59" hidden="1" customWidth="1"/>
    <col min="11" max="11" width="11.42578125" style="59" customWidth="1"/>
    <col min="12" max="13" width="16.28515625" style="59" hidden="1" customWidth="1"/>
    <col min="14" max="14" width="10.140625" style="59" bestFit="1" customWidth="1"/>
    <col min="15" max="15" width="10.85546875" style="59" customWidth="1"/>
    <col min="16" max="16" width="12.5703125" style="59" customWidth="1"/>
    <col min="17" max="17" width="11.5703125" style="59" customWidth="1"/>
    <col min="18" max="19" width="5.140625" style="59" customWidth="1"/>
    <col min="20" max="20" width="4.7109375" style="59" bestFit="1" customWidth="1"/>
    <col min="21" max="48" width="5.140625" style="59" customWidth="1"/>
    <col min="49" max="16384" width="9.140625" style="59"/>
  </cols>
  <sheetData>
    <row r="1" spans="1:50" hidden="1" x14ac:dyDescent="0.25">
      <c r="B1" s="252" t="s">
        <v>51</v>
      </c>
      <c r="C1" s="252"/>
      <c r="D1" s="252"/>
      <c r="E1" s="252"/>
      <c r="F1" s="252"/>
      <c r="G1" s="252"/>
      <c r="H1" s="252"/>
      <c r="I1" s="252"/>
      <c r="J1" s="252"/>
      <c r="K1" s="252"/>
      <c r="L1" s="252"/>
      <c r="M1" s="60"/>
    </row>
    <row r="2" spans="1:50" ht="18.75" customHeight="1" x14ac:dyDescent="0.25">
      <c r="A2" s="1">
        <v>210</v>
      </c>
      <c r="J2" s="13">
        <f>SUMPRODUCT((D5:D19)*(E5:E19))</f>
        <v>320.5</v>
      </c>
      <c r="K2" s="13">
        <f>L4-J4</f>
        <v>8971.5</v>
      </c>
      <c r="L2" s="8">
        <f>L4/J4-1</f>
        <v>0.19546390404915193</v>
      </c>
      <c r="M2" s="8"/>
      <c r="R2" s="42"/>
    </row>
    <row r="3" spans="1:50" ht="31.5" customHeight="1" x14ac:dyDescent="0.25">
      <c r="A3" s="51" t="s">
        <v>111</v>
      </c>
      <c r="B3" s="3" t="s">
        <v>0</v>
      </c>
      <c r="C3" s="3" t="s">
        <v>16</v>
      </c>
      <c r="D3" s="79" t="s">
        <v>135</v>
      </c>
      <c r="E3" s="109" t="s">
        <v>134</v>
      </c>
      <c r="F3" s="4" t="s">
        <v>17</v>
      </c>
      <c r="G3" s="4" t="s">
        <v>18</v>
      </c>
      <c r="H3" s="9" t="s">
        <v>19</v>
      </c>
      <c r="I3" s="9" t="s">
        <v>20</v>
      </c>
      <c r="J3" s="9" t="s">
        <v>23</v>
      </c>
      <c r="K3" s="43" t="s">
        <v>21</v>
      </c>
      <c r="L3" s="11" t="s">
        <v>22</v>
      </c>
      <c r="M3" s="11" t="s">
        <v>109</v>
      </c>
      <c r="N3" s="20" t="s">
        <v>52</v>
      </c>
      <c r="O3" s="57" t="s">
        <v>161</v>
      </c>
      <c r="P3" s="57" t="s">
        <v>125</v>
      </c>
      <c r="Q3" s="57" t="s">
        <v>278</v>
      </c>
      <c r="R3" s="21" t="s">
        <v>166</v>
      </c>
      <c r="S3" s="23" t="s">
        <v>167</v>
      </c>
      <c r="T3" s="21" t="s">
        <v>168</v>
      </c>
      <c r="U3" s="23" t="s">
        <v>169</v>
      </c>
      <c r="V3" s="21" t="s">
        <v>170</v>
      </c>
      <c r="W3" s="23" t="s">
        <v>171</v>
      </c>
      <c r="X3" s="21" t="s">
        <v>172</v>
      </c>
      <c r="Y3" s="23" t="s">
        <v>173</v>
      </c>
      <c r="Z3" s="21" t="s">
        <v>174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W3" s="112"/>
    </row>
    <row r="4" spans="1:50" s="46" customFormat="1" ht="27" customHeight="1" x14ac:dyDescent="0.25">
      <c r="A4" s="50">
        <f>SUBTOTAL(9,A5:A24)</f>
        <v>0</v>
      </c>
      <c r="B4" s="16"/>
      <c r="C4" s="16"/>
      <c r="D4" s="16">
        <f>SUMPRODUCT((D5:D24)*(E5:E24))</f>
        <v>506.5</v>
      </c>
      <c r="E4" s="16">
        <f>SUBTOTAL(9,E5:E24)</f>
        <v>1126</v>
      </c>
      <c r="F4" s="7"/>
      <c r="G4" s="7">
        <f>SUBTOTAL(9,G5:G24)</f>
        <v>45688.5</v>
      </c>
      <c r="H4" s="12"/>
      <c r="I4" s="12"/>
      <c r="J4" s="12">
        <f>SUBTOTAL(9,J5:J24)</f>
        <v>45898.5</v>
      </c>
      <c r="K4" s="76"/>
      <c r="L4" s="7">
        <f>SUBTOTAL(9,L5:L24)</f>
        <v>54870</v>
      </c>
      <c r="M4" s="7">
        <f>SUBTOTAL(9,M5:M24)</f>
        <v>47327</v>
      </c>
      <c r="N4" s="24">
        <f>SUBTOTAL(9,N5:N24)</f>
        <v>0</v>
      </c>
      <c r="O4" s="75"/>
      <c r="P4" s="75">
        <f t="shared" ref="P4:AV4" si="0">SUBTOTAL(9,P5:P24)</f>
        <v>235</v>
      </c>
      <c r="Q4" s="75">
        <f t="shared" si="0"/>
        <v>904</v>
      </c>
      <c r="R4" s="25">
        <f t="shared" si="0"/>
        <v>0</v>
      </c>
      <c r="S4" s="25">
        <f t="shared" si="0"/>
        <v>0</v>
      </c>
      <c r="T4" s="25">
        <f t="shared" si="0"/>
        <v>0</v>
      </c>
      <c r="U4" s="25">
        <f t="shared" si="0"/>
        <v>0</v>
      </c>
      <c r="V4" s="25">
        <f t="shared" si="0"/>
        <v>0</v>
      </c>
      <c r="W4" s="25">
        <f t="shared" si="0"/>
        <v>0</v>
      </c>
      <c r="X4" s="25">
        <f t="shared" si="0"/>
        <v>0</v>
      </c>
      <c r="Y4" s="25">
        <f t="shared" si="0"/>
        <v>0</v>
      </c>
      <c r="Z4" s="25">
        <f t="shared" si="0"/>
        <v>0</v>
      </c>
      <c r="AA4" s="25">
        <f t="shared" si="0"/>
        <v>0</v>
      </c>
      <c r="AB4" s="25">
        <f t="shared" si="0"/>
        <v>0</v>
      </c>
      <c r="AC4" s="25">
        <f t="shared" si="0"/>
        <v>0</v>
      </c>
      <c r="AD4" s="25">
        <f t="shared"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X4" s="46">
        <f>SUBTOTAL(9,AX5:AX24)</f>
        <v>0</v>
      </c>
    </row>
    <row r="5" spans="1:50" ht="18.75" x14ac:dyDescent="0.25">
      <c r="A5" s="59">
        <f t="shared" ref="A5:A24" si="1">I5*N5</f>
        <v>0</v>
      </c>
      <c r="B5" s="6">
        <v>1</v>
      </c>
      <c r="C5" s="61" t="s">
        <v>48</v>
      </c>
      <c r="D5" s="62">
        <v>0.5</v>
      </c>
      <c r="E5" s="18">
        <v>16</v>
      </c>
      <c r="F5" s="63">
        <v>45</v>
      </c>
      <c r="G5" s="64">
        <f t="shared" ref="G5:G19" si="2">F5*E5</f>
        <v>720</v>
      </c>
      <c r="H5" s="65">
        <f t="shared" ref="H5:H24" si="3">((G5/$G$4)*$A$2)/E5</f>
        <v>0.20683541810302375</v>
      </c>
      <c r="I5" s="139">
        <f t="shared" ref="I5:I19" si="4">F5+H5</f>
        <v>45.206835418103026</v>
      </c>
      <c r="J5" s="66">
        <f>I5*E5</f>
        <v>723.30936668964841</v>
      </c>
      <c r="K5" s="67">
        <v>54</v>
      </c>
      <c r="L5" s="64">
        <f t="shared" ref="L5" si="5">K5*E5</f>
        <v>864</v>
      </c>
      <c r="M5" s="64">
        <f t="shared" ref="M5:M24" si="6">SUMPRODUCT($K5*($Q5:$AV5))</f>
        <v>972</v>
      </c>
      <c r="N5" s="68">
        <f t="shared" ref="N5:N24" si="7">E5-SUM(Q5:AV5)-P5-O5</f>
        <v>0</v>
      </c>
      <c r="O5" s="58">
        <v>-2</v>
      </c>
      <c r="P5" s="58"/>
      <c r="Q5" s="58">
        <v>18</v>
      </c>
      <c r="R5" s="26">
        <v>0</v>
      </c>
      <c r="S5" s="26">
        <v>0</v>
      </c>
      <c r="T5" s="26">
        <v>0</v>
      </c>
      <c r="U5" s="26">
        <v>0</v>
      </c>
      <c r="V5" s="26">
        <v>0</v>
      </c>
      <c r="W5" s="26">
        <v>0</v>
      </c>
      <c r="X5" s="26">
        <v>0</v>
      </c>
      <c r="Y5" s="26">
        <v>0</v>
      </c>
      <c r="Z5" s="26">
        <v>0</v>
      </c>
      <c r="AA5" s="26">
        <v>0</v>
      </c>
      <c r="AB5" s="26">
        <v>0</v>
      </c>
      <c r="AC5" s="26">
        <v>0</v>
      </c>
      <c r="AD5" s="26">
        <v>0</v>
      </c>
      <c r="AE5" s="26">
        <v>0</v>
      </c>
      <c r="AF5" s="26">
        <v>0</v>
      </c>
      <c r="AG5" s="26">
        <v>0</v>
      </c>
      <c r="AH5" s="26">
        <v>0</v>
      </c>
      <c r="AI5" s="26">
        <v>0</v>
      </c>
      <c r="AJ5" s="26">
        <v>0</v>
      </c>
      <c r="AK5" s="26">
        <v>0</v>
      </c>
      <c r="AL5" s="26">
        <v>0</v>
      </c>
      <c r="AM5" s="26">
        <v>0</v>
      </c>
      <c r="AN5" s="26">
        <v>0</v>
      </c>
      <c r="AO5" s="26">
        <v>0</v>
      </c>
      <c r="AP5" s="26">
        <v>0</v>
      </c>
      <c r="AQ5" s="26">
        <v>0</v>
      </c>
      <c r="AR5" s="26">
        <v>0</v>
      </c>
      <c r="AS5" s="26">
        <v>0</v>
      </c>
      <c r="AT5" s="26">
        <v>0</v>
      </c>
      <c r="AU5" s="26">
        <v>0</v>
      </c>
      <c r="AV5" s="26">
        <v>0</v>
      </c>
      <c r="AX5" s="59">
        <f t="shared" ref="AX5:AX24" si="8">AW5*F5</f>
        <v>0</v>
      </c>
    </row>
    <row r="6" spans="1:50" ht="18.75" x14ac:dyDescent="0.25">
      <c r="A6" s="59">
        <f t="shared" si="1"/>
        <v>0</v>
      </c>
      <c r="B6" s="6">
        <v>2</v>
      </c>
      <c r="C6" s="61" t="s">
        <v>47</v>
      </c>
      <c r="D6" s="62">
        <v>0.5</v>
      </c>
      <c r="E6" s="18">
        <v>76</v>
      </c>
      <c r="F6" s="63">
        <v>54</v>
      </c>
      <c r="G6" s="64">
        <f t="shared" si="2"/>
        <v>4104</v>
      </c>
      <c r="H6" s="65">
        <f t="shared" si="3"/>
        <v>0.24820250172362848</v>
      </c>
      <c r="I6" s="139">
        <f t="shared" si="4"/>
        <v>54.248202501723625</v>
      </c>
      <c r="J6" s="66">
        <f>I6*E6</f>
        <v>4122.8633901309959</v>
      </c>
      <c r="K6" s="67">
        <v>65</v>
      </c>
      <c r="L6" s="64">
        <f t="shared" ref="L6:L24" si="9">K6*E6</f>
        <v>4940</v>
      </c>
      <c r="M6" s="64">
        <f t="shared" si="6"/>
        <v>4940</v>
      </c>
      <c r="N6" s="68">
        <f t="shared" si="7"/>
        <v>0</v>
      </c>
      <c r="O6" s="58">
        <v>0</v>
      </c>
      <c r="P6" s="58"/>
      <c r="Q6" s="58">
        <v>76</v>
      </c>
      <c r="R6" s="26">
        <v>0</v>
      </c>
      <c r="S6" s="26">
        <v>0</v>
      </c>
      <c r="T6" s="26">
        <v>0</v>
      </c>
      <c r="U6" s="26">
        <v>0</v>
      </c>
      <c r="V6" s="26">
        <v>0</v>
      </c>
      <c r="W6" s="26">
        <v>0</v>
      </c>
      <c r="X6" s="26">
        <v>0</v>
      </c>
      <c r="Y6" s="26">
        <v>0</v>
      </c>
      <c r="Z6" s="26">
        <v>0</v>
      </c>
      <c r="AA6" s="26">
        <v>0</v>
      </c>
      <c r="AB6" s="26">
        <v>0</v>
      </c>
      <c r="AC6" s="26">
        <v>0</v>
      </c>
      <c r="AD6" s="26">
        <v>0</v>
      </c>
      <c r="AE6" s="26">
        <v>0</v>
      </c>
      <c r="AF6" s="26">
        <v>0</v>
      </c>
      <c r="AG6" s="26">
        <v>0</v>
      </c>
      <c r="AH6" s="26">
        <v>0</v>
      </c>
      <c r="AI6" s="26">
        <v>0</v>
      </c>
      <c r="AJ6" s="26">
        <v>0</v>
      </c>
      <c r="AK6" s="26">
        <v>0</v>
      </c>
      <c r="AL6" s="26">
        <v>0</v>
      </c>
      <c r="AM6" s="26">
        <v>0</v>
      </c>
      <c r="AN6" s="26">
        <v>0</v>
      </c>
      <c r="AO6" s="26">
        <v>0</v>
      </c>
      <c r="AP6" s="26">
        <v>0</v>
      </c>
      <c r="AQ6" s="26">
        <v>0</v>
      </c>
      <c r="AR6" s="26">
        <v>0</v>
      </c>
      <c r="AS6" s="26">
        <v>0</v>
      </c>
      <c r="AT6" s="26">
        <v>0</v>
      </c>
      <c r="AU6" s="26">
        <v>0</v>
      </c>
      <c r="AV6" s="26">
        <v>0</v>
      </c>
      <c r="AX6" s="59">
        <f t="shared" si="8"/>
        <v>0</v>
      </c>
    </row>
    <row r="7" spans="1:50" ht="18.75" x14ac:dyDescent="0.25">
      <c r="A7" s="59">
        <f t="shared" si="1"/>
        <v>0</v>
      </c>
      <c r="B7" s="6">
        <v>3</v>
      </c>
      <c r="C7" s="61" t="s">
        <v>32</v>
      </c>
      <c r="D7" s="62">
        <v>0.5</v>
      </c>
      <c r="E7" s="18">
        <v>6</v>
      </c>
      <c r="F7" s="63">
        <v>55.5</v>
      </c>
      <c r="G7" s="64">
        <f t="shared" si="2"/>
        <v>333</v>
      </c>
      <c r="H7" s="65">
        <f t="shared" si="3"/>
        <v>0.25509701566039594</v>
      </c>
      <c r="I7" s="139">
        <f t="shared" si="4"/>
        <v>55.755097015660397</v>
      </c>
      <c r="J7" s="66">
        <f t="shared" ref="J7:J19" si="10">I7*E7</f>
        <v>334.53058209396238</v>
      </c>
      <c r="K7" s="67">
        <v>66</v>
      </c>
      <c r="L7" s="64">
        <f t="shared" si="9"/>
        <v>396</v>
      </c>
      <c r="M7" s="64">
        <f t="shared" si="6"/>
        <v>528</v>
      </c>
      <c r="N7" s="68">
        <f t="shared" si="7"/>
        <v>0</v>
      </c>
      <c r="O7" s="58">
        <v>-2</v>
      </c>
      <c r="P7" s="58"/>
      <c r="Q7" s="58">
        <v>8</v>
      </c>
      <c r="R7" s="26">
        <v>0</v>
      </c>
      <c r="S7" s="26">
        <v>0</v>
      </c>
      <c r="T7" s="26">
        <v>0</v>
      </c>
      <c r="U7" s="26">
        <v>0</v>
      </c>
      <c r="V7" s="26">
        <v>0</v>
      </c>
      <c r="W7" s="26">
        <v>0</v>
      </c>
      <c r="X7" s="26">
        <v>0</v>
      </c>
      <c r="Y7" s="26">
        <v>0</v>
      </c>
      <c r="Z7" s="26">
        <v>0</v>
      </c>
      <c r="AA7" s="26">
        <v>0</v>
      </c>
      <c r="AB7" s="26">
        <v>0</v>
      </c>
      <c r="AC7" s="26">
        <v>0</v>
      </c>
      <c r="AD7" s="26">
        <v>0</v>
      </c>
      <c r="AE7" s="26">
        <v>0</v>
      </c>
      <c r="AF7" s="26">
        <v>0</v>
      </c>
      <c r="AG7" s="26">
        <v>0</v>
      </c>
      <c r="AH7" s="26">
        <v>0</v>
      </c>
      <c r="AI7" s="26">
        <v>0</v>
      </c>
      <c r="AJ7" s="26">
        <v>0</v>
      </c>
      <c r="AK7" s="26">
        <v>0</v>
      </c>
      <c r="AL7" s="26">
        <v>0</v>
      </c>
      <c r="AM7" s="26">
        <v>0</v>
      </c>
      <c r="AN7" s="26">
        <v>0</v>
      </c>
      <c r="AO7" s="26">
        <v>0</v>
      </c>
      <c r="AP7" s="26">
        <v>0</v>
      </c>
      <c r="AQ7" s="26">
        <v>0</v>
      </c>
      <c r="AR7" s="26">
        <v>0</v>
      </c>
      <c r="AS7" s="26">
        <v>0</v>
      </c>
      <c r="AT7" s="26">
        <v>0</v>
      </c>
      <c r="AU7" s="26">
        <v>0</v>
      </c>
      <c r="AV7" s="26">
        <v>0</v>
      </c>
      <c r="AX7" s="59">
        <f t="shared" si="8"/>
        <v>0</v>
      </c>
    </row>
    <row r="8" spans="1:50" ht="18.75" x14ac:dyDescent="0.25">
      <c r="A8" s="59">
        <f t="shared" si="1"/>
        <v>0</v>
      </c>
      <c r="B8" s="6">
        <v>4</v>
      </c>
      <c r="C8" s="61" t="s">
        <v>33</v>
      </c>
      <c r="D8" s="62">
        <v>0.5</v>
      </c>
      <c r="E8" s="18">
        <v>80</v>
      </c>
      <c r="F8" s="63">
        <v>55.5</v>
      </c>
      <c r="G8" s="64">
        <f t="shared" si="2"/>
        <v>4440</v>
      </c>
      <c r="H8" s="65">
        <f t="shared" si="3"/>
        <v>0.25509701566039594</v>
      </c>
      <c r="I8" s="139">
        <f t="shared" si="4"/>
        <v>55.755097015660397</v>
      </c>
      <c r="J8" s="66">
        <f t="shared" si="10"/>
        <v>4460.4077612528317</v>
      </c>
      <c r="K8" s="67">
        <v>66</v>
      </c>
      <c r="L8" s="64">
        <f t="shared" si="9"/>
        <v>5280</v>
      </c>
      <c r="M8" s="64">
        <f t="shared" si="6"/>
        <v>4686</v>
      </c>
      <c r="N8" s="68">
        <f t="shared" si="7"/>
        <v>0</v>
      </c>
      <c r="O8" s="58">
        <v>-2</v>
      </c>
      <c r="P8" s="58">
        <v>11</v>
      </c>
      <c r="Q8" s="58">
        <v>71</v>
      </c>
      <c r="R8" s="26">
        <v>0</v>
      </c>
      <c r="S8" s="26">
        <v>0</v>
      </c>
      <c r="T8" s="26">
        <v>0</v>
      </c>
      <c r="U8" s="26">
        <v>0</v>
      </c>
      <c r="V8" s="26">
        <v>0</v>
      </c>
      <c r="W8" s="26">
        <v>0</v>
      </c>
      <c r="X8" s="26">
        <v>0</v>
      </c>
      <c r="Y8" s="26">
        <v>0</v>
      </c>
      <c r="Z8" s="26">
        <v>0</v>
      </c>
      <c r="AA8" s="26">
        <v>0</v>
      </c>
      <c r="AB8" s="26">
        <v>0</v>
      </c>
      <c r="AC8" s="26">
        <v>0</v>
      </c>
      <c r="AD8" s="26">
        <v>0</v>
      </c>
      <c r="AE8" s="26">
        <v>0</v>
      </c>
      <c r="AF8" s="26">
        <v>0</v>
      </c>
      <c r="AG8" s="26">
        <v>0</v>
      </c>
      <c r="AH8" s="26">
        <v>0</v>
      </c>
      <c r="AI8" s="26">
        <v>0</v>
      </c>
      <c r="AJ8" s="26">
        <v>0</v>
      </c>
      <c r="AK8" s="26">
        <v>0</v>
      </c>
      <c r="AL8" s="26">
        <v>0</v>
      </c>
      <c r="AM8" s="26">
        <v>0</v>
      </c>
      <c r="AN8" s="26">
        <v>0</v>
      </c>
      <c r="AO8" s="26">
        <v>0</v>
      </c>
      <c r="AP8" s="26">
        <v>0</v>
      </c>
      <c r="AQ8" s="26">
        <v>0</v>
      </c>
      <c r="AR8" s="26">
        <v>0</v>
      </c>
      <c r="AS8" s="26">
        <v>0</v>
      </c>
      <c r="AT8" s="26">
        <v>0</v>
      </c>
      <c r="AU8" s="26">
        <v>0</v>
      </c>
      <c r="AV8" s="26">
        <v>0</v>
      </c>
      <c r="AX8" s="59">
        <f t="shared" si="8"/>
        <v>0</v>
      </c>
    </row>
    <row r="9" spans="1:50" ht="18.75" x14ac:dyDescent="0.25">
      <c r="A9" s="59">
        <f t="shared" si="1"/>
        <v>0</v>
      </c>
      <c r="B9" s="6">
        <v>5</v>
      </c>
      <c r="C9" s="61" t="s">
        <v>46</v>
      </c>
      <c r="D9" s="62">
        <v>1</v>
      </c>
      <c r="E9" s="18">
        <v>4</v>
      </c>
      <c r="F9" s="63">
        <v>102</v>
      </c>
      <c r="G9" s="64">
        <f t="shared" si="2"/>
        <v>408</v>
      </c>
      <c r="H9" s="65">
        <f t="shared" si="3"/>
        <v>0.46882694770018718</v>
      </c>
      <c r="I9" s="139">
        <f t="shared" si="4"/>
        <v>102.46882694770019</v>
      </c>
      <c r="J9" s="66">
        <f>I9*E9</f>
        <v>409.87530779080078</v>
      </c>
      <c r="K9" s="67">
        <v>122</v>
      </c>
      <c r="L9" s="64">
        <f t="shared" si="9"/>
        <v>488</v>
      </c>
      <c r="M9" s="64">
        <f t="shared" si="6"/>
        <v>366</v>
      </c>
      <c r="N9" s="68">
        <f t="shared" si="7"/>
        <v>0</v>
      </c>
      <c r="O9" s="58">
        <v>-2</v>
      </c>
      <c r="P9" s="58">
        <v>3</v>
      </c>
      <c r="Q9" s="58">
        <v>3</v>
      </c>
      <c r="R9" s="26">
        <v>0</v>
      </c>
      <c r="S9" s="26">
        <v>0</v>
      </c>
      <c r="T9" s="26">
        <v>0</v>
      </c>
      <c r="U9" s="26">
        <v>0</v>
      </c>
      <c r="V9" s="26">
        <v>0</v>
      </c>
      <c r="W9" s="26">
        <v>0</v>
      </c>
      <c r="X9" s="26">
        <v>0</v>
      </c>
      <c r="Y9" s="26">
        <v>0</v>
      </c>
      <c r="Z9" s="26">
        <v>0</v>
      </c>
      <c r="AA9" s="26">
        <v>0</v>
      </c>
      <c r="AB9" s="26">
        <v>0</v>
      </c>
      <c r="AC9" s="26">
        <v>0</v>
      </c>
      <c r="AD9" s="26">
        <v>0</v>
      </c>
      <c r="AE9" s="26">
        <v>0</v>
      </c>
      <c r="AF9" s="26">
        <v>0</v>
      </c>
      <c r="AG9" s="26">
        <v>0</v>
      </c>
      <c r="AH9" s="26">
        <v>0</v>
      </c>
      <c r="AI9" s="26">
        <v>0</v>
      </c>
      <c r="AJ9" s="26">
        <v>0</v>
      </c>
      <c r="AK9" s="26">
        <v>0</v>
      </c>
      <c r="AL9" s="26">
        <v>0</v>
      </c>
      <c r="AM9" s="26">
        <v>0</v>
      </c>
      <c r="AN9" s="26">
        <v>0</v>
      </c>
      <c r="AO9" s="26">
        <v>0</v>
      </c>
      <c r="AP9" s="26">
        <v>0</v>
      </c>
      <c r="AQ9" s="26">
        <v>0</v>
      </c>
      <c r="AR9" s="26">
        <v>0</v>
      </c>
      <c r="AS9" s="26">
        <v>0</v>
      </c>
      <c r="AT9" s="26">
        <v>0</v>
      </c>
      <c r="AU9" s="26">
        <v>0</v>
      </c>
      <c r="AV9" s="26">
        <v>0</v>
      </c>
      <c r="AX9" s="59">
        <f t="shared" si="8"/>
        <v>0</v>
      </c>
    </row>
    <row r="10" spans="1:50" ht="18.75" x14ac:dyDescent="0.25">
      <c r="A10" s="59">
        <f t="shared" si="1"/>
        <v>0</v>
      </c>
      <c r="B10" s="6">
        <v>6</v>
      </c>
      <c r="C10" s="61" t="s">
        <v>34</v>
      </c>
      <c r="D10" s="62">
        <v>0.5</v>
      </c>
      <c r="E10" s="18">
        <v>80</v>
      </c>
      <c r="F10" s="63">
        <v>26.5</v>
      </c>
      <c r="G10" s="64">
        <f t="shared" si="2"/>
        <v>2120</v>
      </c>
      <c r="H10" s="65">
        <f t="shared" si="3"/>
        <v>0.12180307954955842</v>
      </c>
      <c r="I10" s="139">
        <f t="shared" si="4"/>
        <v>26.621803079549558</v>
      </c>
      <c r="J10" s="66">
        <f t="shared" si="10"/>
        <v>2129.7442463639645</v>
      </c>
      <c r="K10" s="67">
        <v>32</v>
      </c>
      <c r="L10" s="64">
        <f t="shared" si="9"/>
        <v>2560</v>
      </c>
      <c r="M10" s="64">
        <f t="shared" si="6"/>
        <v>2592</v>
      </c>
      <c r="N10" s="68">
        <f t="shared" si="7"/>
        <v>0</v>
      </c>
      <c r="O10" s="58">
        <v>0</v>
      </c>
      <c r="P10" s="58">
        <v>-1</v>
      </c>
      <c r="Q10" s="58">
        <v>81</v>
      </c>
      <c r="R10" s="26">
        <v>0</v>
      </c>
      <c r="S10" s="26">
        <v>0</v>
      </c>
      <c r="T10" s="26">
        <v>0</v>
      </c>
      <c r="U10" s="26">
        <v>0</v>
      </c>
      <c r="V10" s="26">
        <v>0</v>
      </c>
      <c r="W10" s="26">
        <v>0</v>
      </c>
      <c r="X10" s="26">
        <v>0</v>
      </c>
      <c r="Y10" s="26">
        <v>0</v>
      </c>
      <c r="Z10" s="26">
        <v>0</v>
      </c>
      <c r="AA10" s="26">
        <v>0</v>
      </c>
      <c r="AB10" s="26">
        <v>0</v>
      </c>
      <c r="AC10" s="26">
        <v>0</v>
      </c>
      <c r="AD10" s="26">
        <v>0</v>
      </c>
      <c r="AE10" s="26">
        <v>0</v>
      </c>
      <c r="AF10" s="26">
        <v>0</v>
      </c>
      <c r="AG10" s="26">
        <v>0</v>
      </c>
      <c r="AH10" s="26">
        <v>0</v>
      </c>
      <c r="AI10" s="26">
        <v>0</v>
      </c>
      <c r="AJ10" s="26">
        <v>0</v>
      </c>
      <c r="AK10" s="26">
        <v>0</v>
      </c>
      <c r="AL10" s="26">
        <v>0</v>
      </c>
      <c r="AM10" s="26">
        <v>0</v>
      </c>
      <c r="AN10" s="26">
        <v>0</v>
      </c>
      <c r="AO10" s="26">
        <v>0</v>
      </c>
      <c r="AP10" s="26">
        <v>0</v>
      </c>
      <c r="AQ10" s="26">
        <v>0</v>
      </c>
      <c r="AR10" s="26">
        <v>0</v>
      </c>
      <c r="AS10" s="26">
        <v>0</v>
      </c>
      <c r="AT10" s="26">
        <v>0</v>
      </c>
      <c r="AU10" s="26">
        <v>0</v>
      </c>
      <c r="AV10" s="26">
        <v>0</v>
      </c>
      <c r="AX10" s="59">
        <f t="shared" si="8"/>
        <v>0</v>
      </c>
    </row>
    <row r="11" spans="1:50" ht="18.75" x14ac:dyDescent="0.25">
      <c r="A11" s="59">
        <f t="shared" si="1"/>
        <v>0</v>
      </c>
      <c r="B11" s="6">
        <v>7</v>
      </c>
      <c r="C11" s="61" t="s">
        <v>35</v>
      </c>
      <c r="D11" s="62">
        <v>0.2</v>
      </c>
      <c r="E11" s="18">
        <v>90</v>
      </c>
      <c r="F11" s="63">
        <v>11.2</v>
      </c>
      <c r="G11" s="64">
        <f t="shared" si="2"/>
        <v>1007.9999999999999</v>
      </c>
      <c r="H11" s="65">
        <f t="shared" si="3"/>
        <v>5.1479037394530351E-2</v>
      </c>
      <c r="I11" s="139">
        <f t="shared" si="4"/>
        <v>11.25147903739453</v>
      </c>
      <c r="J11" s="66">
        <f t="shared" si="10"/>
        <v>1012.6331133655077</v>
      </c>
      <c r="K11" s="67">
        <v>14</v>
      </c>
      <c r="L11" s="64">
        <f t="shared" si="9"/>
        <v>1260</v>
      </c>
      <c r="M11" s="64">
        <f t="shared" si="6"/>
        <v>1064</v>
      </c>
      <c r="N11" s="68">
        <f t="shared" si="7"/>
        <v>0</v>
      </c>
      <c r="O11" s="58">
        <v>0</v>
      </c>
      <c r="P11" s="58">
        <v>14</v>
      </c>
      <c r="Q11" s="58">
        <v>76</v>
      </c>
      <c r="R11" s="26">
        <v>0</v>
      </c>
      <c r="S11" s="26">
        <v>0</v>
      </c>
      <c r="T11" s="26">
        <v>0</v>
      </c>
      <c r="U11" s="26">
        <v>0</v>
      </c>
      <c r="V11" s="26">
        <v>0</v>
      </c>
      <c r="W11" s="26">
        <v>0</v>
      </c>
      <c r="X11" s="26">
        <v>0</v>
      </c>
      <c r="Y11" s="26">
        <v>0</v>
      </c>
      <c r="Z11" s="26">
        <v>0</v>
      </c>
      <c r="AA11" s="26">
        <v>0</v>
      </c>
      <c r="AB11" s="26">
        <v>0</v>
      </c>
      <c r="AC11" s="26">
        <v>0</v>
      </c>
      <c r="AD11" s="26">
        <v>0</v>
      </c>
      <c r="AE11" s="26">
        <v>0</v>
      </c>
      <c r="AF11" s="26">
        <v>0</v>
      </c>
      <c r="AG11" s="26">
        <v>0</v>
      </c>
      <c r="AH11" s="26">
        <v>0</v>
      </c>
      <c r="AI11" s="26">
        <v>0</v>
      </c>
      <c r="AJ11" s="26">
        <v>0</v>
      </c>
      <c r="AK11" s="26">
        <v>0</v>
      </c>
      <c r="AL11" s="26">
        <v>0</v>
      </c>
      <c r="AM11" s="26">
        <v>0</v>
      </c>
      <c r="AN11" s="26">
        <v>0</v>
      </c>
      <c r="AO11" s="26">
        <v>0</v>
      </c>
      <c r="AP11" s="26">
        <v>0</v>
      </c>
      <c r="AQ11" s="26">
        <v>0</v>
      </c>
      <c r="AR11" s="26">
        <v>0</v>
      </c>
      <c r="AS11" s="26">
        <v>0</v>
      </c>
      <c r="AT11" s="26">
        <v>0</v>
      </c>
      <c r="AU11" s="26">
        <v>0</v>
      </c>
      <c r="AV11" s="26">
        <v>0</v>
      </c>
      <c r="AX11" s="59">
        <f t="shared" si="8"/>
        <v>0</v>
      </c>
    </row>
    <row r="12" spans="1:50" ht="18.75" x14ac:dyDescent="0.25">
      <c r="A12" s="59">
        <f t="shared" si="1"/>
        <v>0</v>
      </c>
      <c r="B12" s="6">
        <v>8</v>
      </c>
      <c r="C12" s="61" t="s">
        <v>36</v>
      </c>
      <c r="D12" s="62">
        <v>0.5</v>
      </c>
      <c r="E12" s="18">
        <v>56</v>
      </c>
      <c r="F12" s="63">
        <v>28.5</v>
      </c>
      <c r="G12" s="64">
        <f t="shared" si="2"/>
        <v>1596</v>
      </c>
      <c r="H12" s="65">
        <f t="shared" si="3"/>
        <v>0.13099576479858169</v>
      </c>
      <c r="I12" s="139">
        <f t="shared" si="4"/>
        <v>28.63099576479858</v>
      </c>
      <c r="J12" s="66">
        <f t="shared" si="10"/>
        <v>1603.3357628287206</v>
      </c>
      <c r="K12" s="67">
        <v>35</v>
      </c>
      <c r="L12" s="64">
        <f t="shared" si="9"/>
        <v>1960</v>
      </c>
      <c r="M12" s="64">
        <f t="shared" si="6"/>
        <v>1085</v>
      </c>
      <c r="N12" s="68">
        <f t="shared" si="7"/>
        <v>0</v>
      </c>
      <c r="O12" s="58">
        <v>0</v>
      </c>
      <c r="P12" s="58">
        <v>25</v>
      </c>
      <c r="Q12" s="58">
        <v>31</v>
      </c>
      <c r="R12" s="26">
        <v>0</v>
      </c>
      <c r="S12" s="26">
        <v>0</v>
      </c>
      <c r="T12" s="26">
        <v>0</v>
      </c>
      <c r="U12" s="26">
        <v>0</v>
      </c>
      <c r="V12" s="26">
        <v>0</v>
      </c>
      <c r="W12" s="26">
        <v>0</v>
      </c>
      <c r="X12" s="26">
        <v>0</v>
      </c>
      <c r="Y12" s="26">
        <v>0</v>
      </c>
      <c r="Z12" s="26">
        <v>0</v>
      </c>
      <c r="AA12" s="26">
        <v>0</v>
      </c>
      <c r="AB12" s="26">
        <v>0</v>
      </c>
      <c r="AC12" s="26">
        <v>0</v>
      </c>
      <c r="AD12" s="26">
        <v>0</v>
      </c>
      <c r="AE12" s="26">
        <v>0</v>
      </c>
      <c r="AF12" s="26">
        <v>0</v>
      </c>
      <c r="AG12" s="26">
        <v>0</v>
      </c>
      <c r="AH12" s="26">
        <v>0</v>
      </c>
      <c r="AI12" s="26">
        <v>0</v>
      </c>
      <c r="AJ12" s="26">
        <v>0</v>
      </c>
      <c r="AK12" s="26">
        <v>0</v>
      </c>
      <c r="AL12" s="26">
        <v>0</v>
      </c>
      <c r="AM12" s="26">
        <v>0</v>
      </c>
      <c r="AN12" s="26">
        <v>0</v>
      </c>
      <c r="AO12" s="26">
        <v>0</v>
      </c>
      <c r="AP12" s="26">
        <v>0</v>
      </c>
      <c r="AQ12" s="26">
        <v>0</v>
      </c>
      <c r="AR12" s="26">
        <v>0</v>
      </c>
      <c r="AS12" s="26">
        <v>0</v>
      </c>
      <c r="AT12" s="26">
        <v>0</v>
      </c>
      <c r="AU12" s="26">
        <v>0</v>
      </c>
      <c r="AV12" s="26">
        <v>0</v>
      </c>
      <c r="AX12" s="59">
        <f t="shared" si="8"/>
        <v>0</v>
      </c>
    </row>
    <row r="13" spans="1:50" ht="18.75" x14ac:dyDescent="0.25">
      <c r="A13" s="59">
        <f t="shared" si="1"/>
        <v>0</v>
      </c>
      <c r="B13" s="6">
        <v>9</v>
      </c>
      <c r="C13" s="61" t="s">
        <v>37</v>
      </c>
      <c r="D13" s="62">
        <v>0.2</v>
      </c>
      <c r="E13" s="18">
        <v>90</v>
      </c>
      <c r="F13" s="63">
        <v>12</v>
      </c>
      <c r="G13" s="64">
        <f t="shared" si="2"/>
        <v>1080</v>
      </c>
      <c r="H13" s="65">
        <f t="shared" si="3"/>
        <v>5.5156111494139667E-2</v>
      </c>
      <c r="I13" s="139">
        <f t="shared" si="4"/>
        <v>12.05515611149414</v>
      </c>
      <c r="J13" s="66">
        <f t="shared" si="10"/>
        <v>1084.9640500344726</v>
      </c>
      <c r="K13" s="67">
        <v>14</v>
      </c>
      <c r="L13" s="64">
        <f t="shared" si="9"/>
        <v>1260</v>
      </c>
      <c r="M13" s="64">
        <f t="shared" si="6"/>
        <v>182</v>
      </c>
      <c r="N13" s="68">
        <f t="shared" si="7"/>
        <v>0</v>
      </c>
      <c r="O13" s="58">
        <v>0</v>
      </c>
      <c r="P13" s="58">
        <v>77</v>
      </c>
      <c r="Q13" s="58">
        <v>13</v>
      </c>
      <c r="R13" s="26">
        <v>0</v>
      </c>
      <c r="S13" s="26">
        <v>0</v>
      </c>
      <c r="T13" s="26">
        <v>0</v>
      </c>
      <c r="U13" s="26">
        <v>0</v>
      </c>
      <c r="V13" s="26">
        <v>0</v>
      </c>
      <c r="W13" s="26">
        <v>0</v>
      </c>
      <c r="X13" s="26">
        <v>0</v>
      </c>
      <c r="Y13" s="26">
        <v>0</v>
      </c>
      <c r="Z13" s="26">
        <v>0</v>
      </c>
      <c r="AA13" s="26">
        <v>0</v>
      </c>
      <c r="AB13" s="26">
        <v>0</v>
      </c>
      <c r="AC13" s="26">
        <v>0</v>
      </c>
      <c r="AD13" s="26">
        <v>0</v>
      </c>
      <c r="AE13" s="26">
        <v>0</v>
      </c>
      <c r="AF13" s="26">
        <v>0</v>
      </c>
      <c r="AG13" s="26">
        <v>0</v>
      </c>
      <c r="AH13" s="26">
        <v>0</v>
      </c>
      <c r="AI13" s="26">
        <v>0</v>
      </c>
      <c r="AJ13" s="26">
        <v>0</v>
      </c>
      <c r="AK13" s="26">
        <v>0</v>
      </c>
      <c r="AL13" s="26">
        <v>0</v>
      </c>
      <c r="AM13" s="26">
        <v>0</v>
      </c>
      <c r="AN13" s="26">
        <v>0</v>
      </c>
      <c r="AO13" s="26">
        <v>0</v>
      </c>
      <c r="AP13" s="26">
        <v>0</v>
      </c>
      <c r="AQ13" s="26">
        <v>0</v>
      </c>
      <c r="AR13" s="26">
        <v>0</v>
      </c>
      <c r="AS13" s="26">
        <v>0</v>
      </c>
      <c r="AT13" s="26">
        <v>0</v>
      </c>
      <c r="AU13" s="26">
        <v>0</v>
      </c>
      <c r="AV13" s="26">
        <v>0</v>
      </c>
      <c r="AX13" s="59">
        <f t="shared" si="8"/>
        <v>0</v>
      </c>
    </row>
    <row r="14" spans="1:50" ht="18.75" x14ac:dyDescent="0.25">
      <c r="A14" s="59">
        <f t="shared" si="1"/>
        <v>0</v>
      </c>
      <c r="B14" s="6">
        <v>10</v>
      </c>
      <c r="C14" s="61" t="s">
        <v>38</v>
      </c>
      <c r="D14" s="62">
        <v>0.5</v>
      </c>
      <c r="E14" s="18">
        <v>66</v>
      </c>
      <c r="F14" s="63">
        <v>28.5</v>
      </c>
      <c r="G14" s="64">
        <f t="shared" si="2"/>
        <v>1881</v>
      </c>
      <c r="H14" s="65">
        <f t="shared" si="3"/>
        <v>0.13099576479858172</v>
      </c>
      <c r="I14" s="139">
        <f t="shared" si="4"/>
        <v>28.63099576479858</v>
      </c>
      <c r="J14" s="66">
        <f t="shared" si="10"/>
        <v>1889.6457204767064</v>
      </c>
      <c r="K14" s="67">
        <v>35</v>
      </c>
      <c r="L14" s="64">
        <f t="shared" si="9"/>
        <v>2310</v>
      </c>
      <c r="M14" s="64">
        <f t="shared" si="6"/>
        <v>1505</v>
      </c>
      <c r="N14" s="68">
        <f t="shared" si="7"/>
        <v>0</v>
      </c>
      <c r="O14" s="58">
        <v>0</v>
      </c>
      <c r="P14" s="58">
        <v>23</v>
      </c>
      <c r="Q14" s="58">
        <v>43</v>
      </c>
      <c r="R14" s="26">
        <v>0</v>
      </c>
      <c r="S14" s="26">
        <v>0</v>
      </c>
      <c r="T14" s="26">
        <v>0</v>
      </c>
      <c r="U14" s="26">
        <v>0</v>
      </c>
      <c r="V14" s="26">
        <v>0</v>
      </c>
      <c r="W14" s="26">
        <v>0</v>
      </c>
      <c r="X14" s="26">
        <v>0</v>
      </c>
      <c r="Y14" s="26">
        <v>0</v>
      </c>
      <c r="Z14" s="26">
        <v>0</v>
      </c>
      <c r="AA14" s="26">
        <v>0</v>
      </c>
      <c r="AB14" s="26">
        <v>0</v>
      </c>
      <c r="AC14" s="26">
        <v>0</v>
      </c>
      <c r="AD14" s="26">
        <v>0</v>
      </c>
      <c r="AE14" s="26">
        <v>0</v>
      </c>
      <c r="AF14" s="26">
        <v>0</v>
      </c>
      <c r="AG14" s="26">
        <v>0</v>
      </c>
      <c r="AH14" s="26">
        <v>0</v>
      </c>
      <c r="AI14" s="26">
        <v>0</v>
      </c>
      <c r="AJ14" s="26">
        <v>0</v>
      </c>
      <c r="AK14" s="26">
        <v>0</v>
      </c>
      <c r="AL14" s="26">
        <v>0</v>
      </c>
      <c r="AM14" s="26">
        <v>0</v>
      </c>
      <c r="AN14" s="26">
        <v>0</v>
      </c>
      <c r="AO14" s="26">
        <v>0</v>
      </c>
      <c r="AP14" s="26">
        <v>0</v>
      </c>
      <c r="AQ14" s="26">
        <v>0</v>
      </c>
      <c r="AR14" s="26">
        <v>0</v>
      </c>
      <c r="AS14" s="26">
        <v>0</v>
      </c>
      <c r="AT14" s="26">
        <v>0</v>
      </c>
      <c r="AU14" s="26">
        <v>0</v>
      </c>
      <c r="AV14" s="26">
        <v>0</v>
      </c>
      <c r="AX14" s="59">
        <f t="shared" si="8"/>
        <v>0</v>
      </c>
    </row>
    <row r="15" spans="1:50" ht="18.75" x14ac:dyDescent="0.25">
      <c r="A15" s="59">
        <f t="shared" si="1"/>
        <v>0</v>
      </c>
      <c r="B15" s="6">
        <v>11</v>
      </c>
      <c r="C15" s="61" t="s">
        <v>39</v>
      </c>
      <c r="D15" s="62">
        <v>0.2</v>
      </c>
      <c r="E15" s="18">
        <v>15</v>
      </c>
      <c r="F15" s="63">
        <v>12</v>
      </c>
      <c r="G15" s="64">
        <f t="shared" si="2"/>
        <v>180</v>
      </c>
      <c r="H15" s="65">
        <f t="shared" si="3"/>
        <v>5.5156111494139667E-2</v>
      </c>
      <c r="I15" s="139">
        <f t="shared" si="4"/>
        <v>12.05515611149414</v>
      </c>
      <c r="J15" s="66">
        <f t="shared" si="10"/>
        <v>180.8273416724121</v>
      </c>
      <c r="K15" s="67">
        <v>14</v>
      </c>
      <c r="L15" s="64">
        <f t="shared" si="9"/>
        <v>210</v>
      </c>
      <c r="M15" s="64">
        <f t="shared" si="6"/>
        <v>168</v>
      </c>
      <c r="N15" s="68">
        <f t="shared" si="7"/>
        <v>0</v>
      </c>
      <c r="O15" s="58">
        <v>0</v>
      </c>
      <c r="P15" s="58">
        <v>3</v>
      </c>
      <c r="Q15" s="58">
        <v>12</v>
      </c>
      <c r="R15" s="26">
        <v>0</v>
      </c>
      <c r="S15" s="26">
        <v>0</v>
      </c>
      <c r="T15" s="26">
        <v>0</v>
      </c>
      <c r="U15" s="26">
        <v>0</v>
      </c>
      <c r="V15" s="26">
        <v>0</v>
      </c>
      <c r="W15" s="26">
        <v>0</v>
      </c>
      <c r="X15" s="26">
        <v>0</v>
      </c>
      <c r="Y15" s="26">
        <v>0</v>
      </c>
      <c r="Z15" s="26">
        <v>0</v>
      </c>
      <c r="AA15" s="26">
        <v>0</v>
      </c>
      <c r="AB15" s="26">
        <v>0</v>
      </c>
      <c r="AC15" s="26">
        <v>0</v>
      </c>
      <c r="AD15" s="26">
        <v>0</v>
      </c>
      <c r="AE15" s="26">
        <v>0</v>
      </c>
      <c r="AF15" s="26">
        <v>0</v>
      </c>
      <c r="AG15" s="26">
        <v>0</v>
      </c>
      <c r="AH15" s="26">
        <v>0</v>
      </c>
      <c r="AI15" s="26">
        <v>0</v>
      </c>
      <c r="AJ15" s="26">
        <v>0</v>
      </c>
      <c r="AK15" s="26">
        <v>0</v>
      </c>
      <c r="AL15" s="26">
        <v>0</v>
      </c>
      <c r="AM15" s="26">
        <v>0</v>
      </c>
      <c r="AN15" s="26">
        <v>0</v>
      </c>
      <c r="AO15" s="26">
        <v>0</v>
      </c>
      <c r="AP15" s="26">
        <v>0</v>
      </c>
      <c r="AQ15" s="26">
        <v>0</v>
      </c>
      <c r="AR15" s="26">
        <v>0</v>
      </c>
      <c r="AS15" s="26">
        <v>0</v>
      </c>
      <c r="AT15" s="26">
        <v>0</v>
      </c>
      <c r="AU15" s="26">
        <v>0</v>
      </c>
      <c r="AV15" s="26">
        <v>0</v>
      </c>
      <c r="AX15" s="59">
        <f t="shared" si="8"/>
        <v>0</v>
      </c>
    </row>
    <row r="16" spans="1:50" ht="18.75" x14ac:dyDescent="0.25">
      <c r="A16" s="59">
        <f t="shared" si="1"/>
        <v>0</v>
      </c>
      <c r="B16" s="6">
        <v>12</v>
      </c>
      <c r="C16" s="61" t="s">
        <v>55</v>
      </c>
      <c r="D16" s="62">
        <v>0.5</v>
      </c>
      <c r="E16" s="18">
        <v>40</v>
      </c>
      <c r="F16" s="63">
        <v>26.5</v>
      </c>
      <c r="G16" s="64">
        <f t="shared" si="2"/>
        <v>1060</v>
      </c>
      <c r="H16" s="65">
        <f t="shared" si="3"/>
        <v>0.12180307954955842</v>
      </c>
      <c r="I16" s="139">
        <f t="shared" si="4"/>
        <v>26.621803079549558</v>
      </c>
      <c r="J16" s="66">
        <f t="shared" si="10"/>
        <v>1064.8721231819823</v>
      </c>
      <c r="K16" s="67">
        <v>32</v>
      </c>
      <c r="L16" s="64">
        <f t="shared" si="9"/>
        <v>1280</v>
      </c>
      <c r="M16" s="64">
        <f t="shared" si="6"/>
        <v>992</v>
      </c>
      <c r="N16" s="68">
        <f t="shared" si="7"/>
        <v>0</v>
      </c>
      <c r="O16" s="58">
        <v>0</v>
      </c>
      <c r="P16" s="58">
        <v>9</v>
      </c>
      <c r="Q16" s="58">
        <v>31</v>
      </c>
      <c r="R16" s="26">
        <v>0</v>
      </c>
      <c r="S16" s="26">
        <v>0</v>
      </c>
      <c r="T16" s="26">
        <v>0</v>
      </c>
      <c r="U16" s="26">
        <v>0</v>
      </c>
      <c r="V16" s="26">
        <v>0</v>
      </c>
      <c r="W16" s="26">
        <v>0</v>
      </c>
      <c r="X16" s="26">
        <v>0</v>
      </c>
      <c r="Y16" s="26">
        <v>0</v>
      </c>
      <c r="Z16" s="26">
        <v>0</v>
      </c>
      <c r="AA16" s="26">
        <v>0</v>
      </c>
      <c r="AB16" s="26">
        <v>0</v>
      </c>
      <c r="AC16" s="26">
        <v>0</v>
      </c>
      <c r="AD16" s="26">
        <v>0</v>
      </c>
      <c r="AE16" s="26">
        <v>0</v>
      </c>
      <c r="AF16" s="26">
        <v>0</v>
      </c>
      <c r="AG16" s="26">
        <v>0</v>
      </c>
      <c r="AH16" s="26">
        <v>0</v>
      </c>
      <c r="AI16" s="26">
        <v>0</v>
      </c>
      <c r="AJ16" s="26">
        <v>0</v>
      </c>
      <c r="AK16" s="26">
        <v>0</v>
      </c>
      <c r="AL16" s="26">
        <v>0</v>
      </c>
      <c r="AM16" s="26">
        <v>0</v>
      </c>
      <c r="AN16" s="26">
        <v>0</v>
      </c>
      <c r="AO16" s="26">
        <v>0</v>
      </c>
      <c r="AP16" s="26">
        <v>0</v>
      </c>
      <c r="AQ16" s="26">
        <v>0</v>
      </c>
      <c r="AR16" s="26">
        <v>0</v>
      </c>
      <c r="AS16" s="26">
        <v>0</v>
      </c>
      <c r="AT16" s="26">
        <v>0</v>
      </c>
      <c r="AU16" s="26">
        <v>0</v>
      </c>
      <c r="AV16" s="26">
        <v>0</v>
      </c>
      <c r="AX16" s="59">
        <f t="shared" si="8"/>
        <v>0</v>
      </c>
    </row>
    <row r="17" spans="1:50" ht="18.75" x14ac:dyDescent="0.25">
      <c r="A17" s="59">
        <f t="shared" si="1"/>
        <v>0</v>
      </c>
      <c r="B17" s="6">
        <v>13</v>
      </c>
      <c r="C17" s="61" t="s">
        <v>40</v>
      </c>
      <c r="D17" s="62">
        <v>0.5</v>
      </c>
      <c r="E17" s="18">
        <v>55</v>
      </c>
      <c r="F17" s="63">
        <v>36.5</v>
      </c>
      <c r="G17" s="64">
        <f t="shared" si="2"/>
        <v>2007.5</v>
      </c>
      <c r="H17" s="65">
        <f t="shared" si="3"/>
        <v>0.16776650579467481</v>
      </c>
      <c r="I17" s="139">
        <f t="shared" si="4"/>
        <v>36.667766505794674</v>
      </c>
      <c r="J17" s="66">
        <f t="shared" si="10"/>
        <v>2016.7271578187072</v>
      </c>
      <c r="K17" s="67">
        <v>44</v>
      </c>
      <c r="L17" s="64">
        <f t="shared" si="9"/>
        <v>2420</v>
      </c>
      <c r="M17" s="64">
        <f t="shared" si="6"/>
        <v>1760</v>
      </c>
      <c r="N17" s="68">
        <f t="shared" si="7"/>
        <v>0</v>
      </c>
      <c r="O17" s="58">
        <v>0</v>
      </c>
      <c r="P17" s="58">
        <v>15</v>
      </c>
      <c r="Q17" s="58">
        <v>40</v>
      </c>
      <c r="R17" s="26">
        <v>0</v>
      </c>
      <c r="S17" s="26">
        <v>0</v>
      </c>
      <c r="T17" s="26">
        <v>0</v>
      </c>
      <c r="U17" s="26">
        <v>0</v>
      </c>
      <c r="V17" s="26">
        <v>0</v>
      </c>
      <c r="W17" s="26">
        <v>0</v>
      </c>
      <c r="X17" s="26">
        <v>0</v>
      </c>
      <c r="Y17" s="26">
        <v>0</v>
      </c>
      <c r="Z17" s="26">
        <v>0</v>
      </c>
      <c r="AA17" s="26">
        <v>0</v>
      </c>
      <c r="AB17" s="26">
        <v>0</v>
      </c>
      <c r="AC17" s="26">
        <v>0</v>
      </c>
      <c r="AD17" s="26">
        <v>0</v>
      </c>
      <c r="AE17" s="26">
        <v>0</v>
      </c>
      <c r="AF17" s="26">
        <v>0</v>
      </c>
      <c r="AG17" s="26">
        <v>0</v>
      </c>
      <c r="AH17" s="26">
        <v>0</v>
      </c>
      <c r="AI17" s="26">
        <v>0</v>
      </c>
      <c r="AJ17" s="26">
        <v>0</v>
      </c>
      <c r="AK17" s="26">
        <v>0</v>
      </c>
      <c r="AL17" s="26">
        <v>0</v>
      </c>
      <c r="AM17" s="26">
        <v>0</v>
      </c>
      <c r="AN17" s="26">
        <v>0</v>
      </c>
      <c r="AO17" s="26">
        <v>0</v>
      </c>
      <c r="AP17" s="26">
        <v>0</v>
      </c>
      <c r="AQ17" s="26">
        <v>0</v>
      </c>
      <c r="AR17" s="26">
        <v>0</v>
      </c>
      <c r="AS17" s="26">
        <v>0</v>
      </c>
      <c r="AT17" s="26">
        <v>0</v>
      </c>
      <c r="AU17" s="26">
        <v>0</v>
      </c>
      <c r="AV17" s="26">
        <v>0</v>
      </c>
      <c r="AX17" s="59">
        <f t="shared" si="8"/>
        <v>0</v>
      </c>
    </row>
    <row r="18" spans="1:50" ht="18.75" x14ac:dyDescent="0.25">
      <c r="A18" s="59">
        <f t="shared" si="1"/>
        <v>0</v>
      </c>
      <c r="B18" s="6">
        <v>14</v>
      </c>
      <c r="C18" s="61" t="s">
        <v>44</v>
      </c>
      <c r="D18" s="62">
        <v>0.5</v>
      </c>
      <c r="E18" s="18">
        <v>25</v>
      </c>
      <c r="F18" s="63">
        <v>49</v>
      </c>
      <c r="G18" s="64">
        <f t="shared" si="2"/>
        <v>1225</v>
      </c>
      <c r="H18" s="65">
        <f t="shared" si="3"/>
        <v>0.22522078860107031</v>
      </c>
      <c r="I18" s="139">
        <f t="shared" si="4"/>
        <v>49.225220788601071</v>
      </c>
      <c r="J18" s="66">
        <f t="shared" si="10"/>
        <v>1230.6305197150268</v>
      </c>
      <c r="K18" s="67">
        <v>59</v>
      </c>
      <c r="L18" s="64">
        <f t="shared" si="9"/>
        <v>1475</v>
      </c>
      <c r="M18" s="64">
        <f t="shared" si="6"/>
        <v>1357</v>
      </c>
      <c r="N18" s="68">
        <f t="shared" si="7"/>
        <v>0</v>
      </c>
      <c r="O18" s="58">
        <v>0</v>
      </c>
      <c r="P18" s="58">
        <v>2</v>
      </c>
      <c r="Q18" s="58">
        <v>23</v>
      </c>
      <c r="R18" s="26">
        <v>0</v>
      </c>
      <c r="S18" s="26">
        <v>0</v>
      </c>
      <c r="T18" s="26">
        <v>0</v>
      </c>
      <c r="U18" s="26">
        <v>0</v>
      </c>
      <c r="V18" s="26">
        <v>0</v>
      </c>
      <c r="W18" s="26">
        <v>0</v>
      </c>
      <c r="X18" s="26">
        <v>0</v>
      </c>
      <c r="Y18" s="26">
        <v>0</v>
      </c>
      <c r="Z18" s="26">
        <v>0</v>
      </c>
      <c r="AA18" s="26">
        <v>0</v>
      </c>
      <c r="AB18" s="26">
        <v>0</v>
      </c>
      <c r="AC18" s="26">
        <v>0</v>
      </c>
      <c r="AD18" s="26">
        <v>0</v>
      </c>
      <c r="AE18" s="26">
        <v>0</v>
      </c>
      <c r="AF18" s="26">
        <v>0</v>
      </c>
      <c r="AG18" s="26">
        <v>0</v>
      </c>
      <c r="AH18" s="26">
        <v>0</v>
      </c>
      <c r="AI18" s="26">
        <v>0</v>
      </c>
      <c r="AJ18" s="26">
        <v>0</v>
      </c>
      <c r="AK18" s="26">
        <v>0</v>
      </c>
      <c r="AL18" s="26">
        <v>0</v>
      </c>
      <c r="AM18" s="26">
        <v>0</v>
      </c>
      <c r="AN18" s="26">
        <v>0</v>
      </c>
      <c r="AO18" s="26">
        <v>0</v>
      </c>
      <c r="AP18" s="26">
        <v>0</v>
      </c>
      <c r="AQ18" s="26">
        <v>0</v>
      </c>
      <c r="AR18" s="26">
        <v>0</v>
      </c>
      <c r="AS18" s="26">
        <v>0</v>
      </c>
      <c r="AT18" s="26">
        <v>0</v>
      </c>
      <c r="AU18" s="26">
        <v>0</v>
      </c>
      <c r="AV18" s="26">
        <v>0</v>
      </c>
      <c r="AX18" s="59">
        <f t="shared" si="8"/>
        <v>0</v>
      </c>
    </row>
    <row r="19" spans="1:50" ht="18.75" x14ac:dyDescent="0.25">
      <c r="A19" s="59">
        <f t="shared" si="1"/>
        <v>0</v>
      </c>
      <c r="B19" s="6">
        <v>15</v>
      </c>
      <c r="C19" s="61" t="s">
        <v>45</v>
      </c>
      <c r="D19" s="62">
        <v>0.5</v>
      </c>
      <c r="E19" s="18">
        <v>55</v>
      </c>
      <c r="F19" s="63">
        <v>43</v>
      </c>
      <c r="G19" s="64">
        <f t="shared" si="2"/>
        <v>2365</v>
      </c>
      <c r="H19" s="65">
        <f t="shared" si="3"/>
        <v>0.19764273285400044</v>
      </c>
      <c r="I19" s="139">
        <f t="shared" si="4"/>
        <v>43.197642732854</v>
      </c>
      <c r="J19" s="66">
        <f t="shared" si="10"/>
        <v>2375.8703503069701</v>
      </c>
      <c r="K19" s="67">
        <v>52</v>
      </c>
      <c r="L19" s="64">
        <f t="shared" si="9"/>
        <v>2860</v>
      </c>
      <c r="M19" s="64">
        <f t="shared" si="6"/>
        <v>2028</v>
      </c>
      <c r="N19" s="68">
        <f t="shared" si="7"/>
        <v>0</v>
      </c>
      <c r="O19" s="58">
        <v>0</v>
      </c>
      <c r="P19" s="58">
        <v>16</v>
      </c>
      <c r="Q19" s="58">
        <v>39</v>
      </c>
      <c r="R19" s="26">
        <v>0</v>
      </c>
      <c r="S19" s="26">
        <v>0</v>
      </c>
      <c r="T19" s="26">
        <v>0</v>
      </c>
      <c r="U19" s="26">
        <v>0</v>
      </c>
      <c r="V19" s="26">
        <v>0</v>
      </c>
      <c r="W19" s="26">
        <v>0</v>
      </c>
      <c r="X19" s="26">
        <v>0</v>
      </c>
      <c r="Y19" s="26">
        <v>0</v>
      </c>
      <c r="Z19" s="26">
        <v>0</v>
      </c>
      <c r="AA19" s="26">
        <v>0</v>
      </c>
      <c r="AB19" s="26">
        <v>0</v>
      </c>
      <c r="AC19" s="26">
        <v>0</v>
      </c>
      <c r="AD19" s="26">
        <v>0</v>
      </c>
      <c r="AE19" s="26">
        <v>0</v>
      </c>
      <c r="AF19" s="26">
        <v>0</v>
      </c>
      <c r="AG19" s="26">
        <v>0</v>
      </c>
      <c r="AH19" s="26">
        <v>0</v>
      </c>
      <c r="AI19" s="26">
        <v>0</v>
      </c>
      <c r="AJ19" s="26">
        <v>0</v>
      </c>
      <c r="AK19" s="26">
        <v>0</v>
      </c>
      <c r="AL19" s="26">
        <v>0</v>
      </c>
      <c r="AM19" s="26">
        <v>0</v>
      </c>
      <c r="AN19" s="26">
        <v>0</v>
      </c>
      <c r="AO19" s="26">
        <v>0</v>
      </c>
      <c r="AP19" s="26">
        <v>0</v>
      </c>
      <c r="AQ19" s="26">
        <v>0</v>
      </c>
      <c r="AR19" s="26">
        <v>0</v>
      </c>
      <c r="AS19" s="26">
        <v>0</v>
      </c>
      <c r="AT19" s="26">
        <v>0</v>
      </c>
      <c r="AU19" s="26">
        <v>0</v>
      </c>
      <c r="AV19" s="26">
        <v>0</v>
      </c>
      <c r="AX19" s="59">
        <f t="shared" si="8"/>
        <v>0</v>
      </c>
    </row>
    <row r="20" spans="1:50" ht="18.75" x14ac:dyDescent="0.25">
      <c r="A20" s="59">
        <f t="shared" si="1"/>
        <v>0</v>
      </c>
      <c r="B20" s="6">
        <v>16</v>
      </c>
      <c r="C20" s="61" t="s">
        <v>41</v>
      </c>
      <c r="D20" s="62">
        <v>0.5</v>
      </c>
      <c r="E20" s="18">
        <v>10</v>
      </c>
      <c r="F20" s="63">
        <v>54</v>
      </c>
      <c r="G20" s="64">
        <f>F20*E20</f>
        <v>540</v>
      </c>
      <c r="H20" s="65">
        <f t="shared" si="3"/>
        <v>0.24820250172362851</v>
      </c>
      <c r="I20" s="139">
        <f>F20+H20</f>
        <v>54.248202501723625</v>
      </c>
      <c r="J20" s="66">
        <f>I20*E20</f>
        <v>542.48202501723631</v>
      </c>
      <c r="K20" s="67">
        <v>65</v>
      </c>
      <c r="L20" s="64">
        <f t="shared" si="9"/>
        <v>650</v>
      </c>
      <c r="M20" s="64">
        <f t="shared" si="6"/>
        <v>650</v>
      </c>
      <c r="N20" s="68">
        <f t="shared" si="7"/>
        <v>0</v>
      </c>
      <c r="O20" s="125">
        <v>-1</v>
      </c>
      <c r="P20" s="58">
        <v>1</v>
      </c>
      <c r="Q20" s="58">
        <v>10</v>
      </c>
      <c r="R20" s="26">
        <v>0</v>
      </c>
      <c r="S20" s="26">
        <v>0</v>
      </c>
      <c r="T20" s="26">
        <v>0</v>
      </c>
      <c r="U20" s="26">
        <v>0</v>
      </c>
      <c r="V20" s="26">
        <v>0</v>
      </c>
      <c r="W20" s="26">
        <v>0</v>
      </c>
      <c r="X20" s="26">
        <v>0</v>
      </c>
      <c r="Y20" s="26">
        <v>0</v>
      </c>
      <c r="Z20" s="26">
        <v>0</v>
      </c>
      <c r="AA20" s="26">
        <v>0</v>
      </c>
      <c r="AB20" s="26">
        <v>0</v>
      </c>
      <c r="AC20" s="26">
        <v>0</v>
      </c>
      <c r="AD20" s="26">
        <v>0</v>
      </c>
      <c r="AE20" s="26">
        <v>0</v>
      </c>
      <c r="AF20" s="26">
        <v>0</v>
      </c>
      <c r="AG20" s="26">
        <v>0</v>
      </c>
      <c r="AH20" s="26">
        <v>0</v>
      </c>
      <c r="AI20" s="26">
        <v>0</v>
      </c>
      <c r="AJ20" s="26">
        <v>0</v>
      </c>
      <c r="AK20" s="26">
        <v>0</v>
      </c>
      <c r="AL20" s="26">
        <v>0</v>
      </c>
      <c r="AM20" s="26">
        <v>0</v>
      </c>
      <c r="AN20" s="26">
        <v>0</v>
      </c>
      <c r="AO20" s="26">
        <v>0</v>
      </c>
      <c r="AP20" s="26">
        <v>0</v>
      </c>
      <c r="AQ20" s="26">
        <v>0</v>
      </c>
      <c r="AR20" s="26">
        <v>0</v>
      </c>
      <c r="AS20" s="26">
        <v>0</v>
      </c>
      <c r="AT20" s="26">
        <v>0</v>
      </c>
      <c r="AU20" s="26">
        <v>0</v>
      </c>
      <c r="AV20" s="26">
        <v>0</v>
      </c>
      <c r="AX20" s="59">
        <f t="shared" si="8"/>
        <v>0</v>
      </c>
    </row>
    <row r="21" spans="1:50" ht="18.75" x14ac:dyDescent="0.25">
      <c r="A21" s="59">
        <f t="shared" si="1"/>
        <v>0</v>
      </c>
      <c r="B21" s="6">
        <v>17</v>
      </c>
      <c r="C21" s="61" t="s">
        <v>42</v>
      </c>
      <c r="D21" s="62">
        <v>0.5</v>
      </c>
      <c r="E21" s="18">
        <v>90</v>
      </c>
      <c r="F21" s="63">
        <v>49</v>
      </c>
      <c r="G21" s="64">
        <f>F21*E21</f>
        <v>4410</v>
      </c>
      <c r="H21" s="65">
        <f t="shared" si="3"/>
        <v>0.22522078860107031</v>
      </c>
      <c r="I21" s="139">
        <f>F21+H21</f>
        <v>49.225220788601071</v>
      </c>
      <c r="J21" s="66">
        <f>I21*E21</f>
        <v>4430.2698709740962</v>
      </c>
      <c r="K21" s="67">
        <v>59</v>
      </c>
      <c r="L21" s="64">
        <f t="shared" si="9"/>
        <v>5310</v>
      </c>
      <c r="M21" s="64">
        <f t="shared" si="6"/>
        <v>4838</v>
      </c>
      <c r="N21" s="68">
        <f t="shared" si="7"/>
        <v>0</v>
      </c>
      <c r="O21" s="58">
        <v>-2</v>
      </c>
      <c r="P21" s="58">
        <v>10</v>
      </c>
      <c r="Q21" s="58">
        <v>82</v>
      </c>
      <c r="R21" s="26">
        <v>0</v>
      </c>
      <c r="S21" s="26">
        <v>0</v>
      </c>
      <c r="T21" s="26">
        <v>0</v>
      </c>
      <c r="U21" s="26">
        <v>0</v>
      </c>
      <c r="V21" s="26">
        <v>0</v>
      </c>
      <c r="W21" s="26">
        <v>0</v>
      </c>
      <c r="X21" s="26">
        <v>0</v>
      </c>
      <c r="Y21" s="26">
        <v>0</v>
      </c>
      <c r="Z21" s="26">
        <v>0</v>
      </c>
      <c r="AA21" s="26">
        <v>0</v>
      </c>
      <c r="AB21" s="26">
        <v>0</v>
      </c>
      <c r="AC21" s="26">
        <v>0</v>
      </c>
      <c r="AD21" s="26">
        <v>0</v>
      </c>
      <c r="AE21" s="26">
        <v>0</v>
      </c>
      <c r="AF21" s="26">
        <v>0</v>
      </c>
      <c r="AG21" s="26">
        <v>0</v>
      </c>
      <c r="AH21" s="26">
        <v>0</v>
      </c>
      <c r="AI21" s="26">
        <v>0</v>
      </c>
      <c r="AJ21" s="26">
        <v>0</v>
      </c>
      <c r="AK21" s="26">
        <v>0</v>
      </c>
      <c r="AL21" s="26">
        <v>0</v>
      </c>
      <c r="AM21" s="26">
        <v>0</v>
      </c>
      <c r="AN21" s="26">
        <v>0</v>
      </c>
      <c r="AO21" s="26">
        <v>0</v>
      </c>
      <c r="AP21" s="26">
        <v>0</v>
      </c>
      <c r="AQ21" s="26">
        <v>0</v>
      </c>
      <c r="AR21" s="26">
        <v>0</v>
      </c>
      <c r="AS21" s="26">
        <v>0</v>
      </c>
      <c r="AT21" s="26">
        <v>0</v>
      </c>
      <c r="AU21" s="26">
        <v>0</v>
      </c>
      <c r="AV21" s="26">
        <v>0</v>
      </c>
      <c r="AX21" s="59">
        <f t="shared" si="8"/>
        <v>0</v>
      </c>
    </row>
    <row r="22" spans="1:50" ht="18.75" x14ac:dyDescent="0.25">
      <c r="A22" s="59">
        <f t="shared" si="1"/>
        <v>0</v>
      </c>
      <c r="B22" s="6">
        <v>18</v>
      </c>
      <c r="C22" s="61" t="s">
        <v>43</v>
      </c>
      <c r="D22" s="62">
        <v>0.5</v>
      </c>
      <c r="E22" s="18">
        <v>25</v>
      </c>
      <c r="F22" s="63">
        <v>66</v>
      </c>
      <c r="G22" s="64">
        <f>F22*E22</f>
        <v>1650</v>
      </c>
      <c r="H22" s="65">
        <f t="shared" si="3"/>
        <v>0.30335861321776819</v>
      </c>
      <c r="I22" s="139">
        <f>F22+H22</f>
        <v>66.303358613217767</v>
      </c>
      <c r="J22" s="66">
        <f>I22*E22</f>
        <v>1657.5839653304442</v>
      </c>
      <c r="K22" s="67">
        <v>79</v>
      </c>
      <c r="L22" s="64">
        <f t="shared" si="9"/>
        <v>1975</v>
      </c>
      <c r="M22" s="64">
        <f t="shared" si="6"/>
        <v>2133</v>
      </c>
      <c r="N22" s="68">
        <f t="shared" si="7"/>
        <v>0</v>
      </c>
      <c r="O22" s="58">
        <v>-2</v>
      </c>
      <c r="P22" s="58"/>
      <c r="Q22" s="58">
        <v>27</v>
      </c>
      <c r="R22" s="26">
        <v>0</v>
      </c>
      <c r="S22" s="26">
        <v>0</v>
      </c>
      <c r="T22" s="26">
        <v>0</v>
      </c>
      <c r="U22" s="26">
        <v>0</v>
      </c>
      <c r="V22" s="26">
        <v>0</v>
      </c>
      <c r="W22" s="26">
        <v>0</v>
      </c>
      <c r="X22" s="26">
        <v>0</v>
      </c>
      <c r="Y22" s="26">
        <v>0</v>
      </c>
      <c r="Z22" s="26">
        <v>0</v>
      </c>
      <c r="AA22" s="26">
        <v>0</v>
      </c>
      <c r="AB22" s="26">
        <v>0</v>
      </c>
      <c r="AC22" s="26">
        <v>0</v>
      </c>
      <c r="AD22" s="26">
        <v>0</v>
      </c>
      <c r="AE22" s="26">
        <v>0</v>
      </c>
      <c r="AF22" s="26">
        <v>0</v>
      </c>
      <c r="AG22" s="26">
        <v>0</v>
      </c>
      <c r="AH22" s="26">
        <v>0</v>
      </c>
      <c r="AI22" s="26">
        <v>0</v>
      </c>
      <c r="AJ22" s="26">
        <v>0</v>
      </c>
      <c r="AK22" s="26">
        <v>0</v>
      </c>
      <c r="AL22" s="26">
        <v>0</v>
      </c>
      <c r="AM22" s="26">
        <v>0</v>
      </c>
      <c r="AN22" s="26">
        <v>0</v>
      </c>
      <c r="AO22" s="26">
        <v>0</v>
      </c>
      <c r="AP22" s="26">
        <v>0</v>
      </c>
      <c r="AQ22" s="26">
        <v>0</v>
      </c>
      <c r="AR22" s="26">
        <v>0</v>
      </c>
      <c r="AS22" s="26">
        <v>0</v>
      </c>
      <c r="AT22" s="26">
        <v>0</v>
      </c>
      <c r="AU22" s="26">
        <v>0</v>
      </c>
      <c r="AV22" s="26">
        <v>0</v>
      </c>
      <c r="AX22" s="59">
        <f t="shared" si="8"/>
        <v>0</v>
      </c>
    </row>
    <row r="23" spans="1:50" ht="18.75" x14ac:dyDescent="0.25">
      <c r="A23" s="59">
        <f t="shared" si="1"/>
        <v>0</v>
      </c>
      <c r="B23" s="6">
        <v>19</v>
      </c>
      <c r="C23" s="61" t="s">
        <v>141</v>
      </c>
      <c r="D23" s="62">
        <v>0.5</v>
      </c>
      <c r="E23" s="18">
        <v>200</v>
      </c>
      <c r="F23" s="63">
        <v>58</v>
      </c>
      <c r="G23" s="64">
        <f>F23*E23</f>
        <v>11600</v>
      </c>
      <c r="H23" s="65">
        <f t="shared" si="3"/>
        <v>0.26658787222167502</v>
      </c>
      <c r="I23" s="139">
        <f>F23+H23</f>
        <v>58.266587872221677</v>
      </c>
      <c r="J23" s="66">
        <f>I23*E23</f>
        <v>11653.317574444336</v>
      </c>
      <c r="K23" s="67">
        <v>69</v>
      </c>
      <c r="L23" s="64">
        <f t="shared" si="9"/>
        <v>13800</v>
      </c>
      <c r="M23" s="64">
        <f t="shared" si="6"/>
        <v>12213</v>
      </c>
      <c r="N23" s="68">
        <f t="shared" si="7"/>
        <v>0</v>
      </c>
      <c r="O23" s="58">
        <v>0</v>
      </c>
      <c r="P23" s="58">
        <v>23</v>
      </c>
      <c r="Q23" s="58">
        <v>177</v>
      </c>
      <c r="R23" s="26">
        <v>0</v>
      </c>
      <c r="S23" s="26">
        <v>0</v>
      </c>
      <c r="T23" s="26">
        <v>0</v>
      </c>
      <c r="U23" s="26">
        <v>0</v>
      </c>
      <c r="V23" s="26">
        <v>0</v>
      </c>
      <c r="W23" s="26">
        <v>0</v>
      </c>
      <c r="X23" s="26">
        <v>0</v>
      </c>
      <c r="Y23" s="26">
        <v>0</v>
      </c>
      <c r="Z23" s="26">
        <v>0</v>
      </c>
      <c r="AA23" s="26">
        <v>0</v>
      </c>
      <c r="AB23" s="26">
        <v>0</v>
      </c>
      <c r="AC23" s="26">
        <v>0</v>
      </c>
      <c r="AD23" s="26">
        <v>0</v>
      </c>
      <c r="AE23" s="26">
        <v>0</v>
      </c>
      <c r="AF23" s="26">
        <v>0</v>
      </c>
      <c r="AG23" s="26">
        <v>0</v>
      </c>
      <c r="AH23" s="26">
        <v>0</v>
      </c>
      <c r="AI23" s="26">
        <v>0</v>
      </c>
      <c r="AJ23" s="26">
        <v>0</v>
      </c>
      <c r="AK23" s="26">
        <v>0</v>
      </c>
      <c r="AL23" s="26">
        <v>0</v>
      </c>
      <c r="AM23" s="26">
        <v>0</v>
      </c>
      <c r="AN23" s="26">
        <v>0</v>
      </c>
      <c r="AO23" s="26">
        <v>0</v>
      </c>
      <c r="AP23" s="26">
        <v>0</v>
      </c>
      <c r="AQ23" s="26">
        <v>0</v>
      </c>
      <c r="AR23" s="26">
        <v>0</v>
      </c>
      <c r="AS23" s="26">
        <v>0</v>
      </c>
      <c r="AT23" s="26">
        <v>0</v>
      </c>
      <c r="AU23" s="26">
        <v>0</v>
      </c>
      <c r="AV23" s="26">
        <v>0</v>
      </c>
      <c r="AX23" s="59">
        <f t="shared" si="8"/>
        <v>0</v>
      </c>
    </row>
    <row r="24" spans="1:50" ht="18.75" x14ac:dyDescent="0.25">
      <c r="A24" s="59">
        <f t="shared" si="1"/>
        <v>0</v>
      </c>
      <c r="B24" s="6">
        <v>20</v>
      </c>
      <c r="C24" s="61" t="s">
        <v>143</v>
      </c>
      <c r="D24" s="62">
        <v>0.5</v>
      </c>
      <c r="E24" s="18">
        <v>47</v>
      </c>
      <c r="F24" s="63">
        <v>63</v>
      </c>
      <c r="G24" s="64">
        <f>F24*E24</f>
        <v>2961</v>
      </c>
      <c r="H24" s="65">
        <f t="shared" si="3"/>
        <v>0.28956958534423322</v>
      </c>
      <c r="I24" s="139">
        <f>F24+H24</f>
        <v>63.289569585344232</v>
      </c>
      <c r="J24" s="66">
        <f>I24*E24</f>
        <v>2974.6097705111788</v>
      </c>
      <c r="K24" s="67">
        <v>76</v>
      </c>
      <c r="L24" s="64">
        <f t="shared" si="9"/>
        <v>3572</v>
      </c>
      <c r="M24" s="64">
        <f t="shared" si="6"/>
        <v>3268</v>
      </c>
      <c r="N24" s="68">
        <f t="shared" si="7"/>
        <v>0</v>
      </c>
      <c r="O24" s="58">
        <v>0</v>
      </c>
      <c r="P24" s="58">
        <v>4</v>
      </c>
      <c r="Q24" s="58">
        <v>43</v>
      </c>
      <c r="R24" s="26">
        <v>0</v>
      </c>
      <c r="S24" s="26">
        <v>0</v>
      </c>
      <c r="T24" s="26">
        <v>0</v>
      </c>
      <c r="U24" s="26">
        <v>0</v>
      </c>
      <c r="V24" s="26">
        <v>0</v>
      </c>
      <c r="W24" s="26">
        <v>0</v>
      </c>
      <c r="X24" s="26">
        <v>0</v>
      </c>
      <c r="Y24" s="26">
        <v>0</v>
      </c>
      <c r="Z24" s="26">
        <v>0</v>
      </c>
      <c r="AA24" s="26">
        <v>0</v>
      </c>
      <c r="AB24" s="26">
        <v>0</v>
      </c>
      <c r="AC24" s="26">
        <v>0</v>
      </c>
      <c r="AD24" s="26">
        <v>0</v>
      </c>
      <c r="AE24" s="26">
        <v>0</v>
      </c>
      <c r="AF24" s="26">
        <v>0</v>
      </c>
      <c r="AG24" s="26">
        <v>0</v>
      </c>
      <c r="AH24" s="26">
        <v>0</v>
      </c>
      <c r="AI24" s="26">
        <v>0</v>
      </c>
      <c r="AJ24" s="26">
        <v>0</v>
      </c>
      <c r="AK24" s="26">
        <v>0</v>
      </c>
      <c r="AL24" s="26">
        <v>0</v>
      </c>
      <c r="AM24" s="26">
        <v>0</v>
      </c>
      <c r="AN24" s="26">
        <v>0</v>
      </c>
      <c r="AO24" s="26">
        <v>0</v>
      </c>
      <c r="AP24" s="26">
        <v>0</v>
      </c>
      <c r="AQ24" s="26">
        <v>0</v>
      </c>
      <c r="AR24" s="26">
        <v>0</v>
      </c>
      <c r="AS24" s="26">
        <v>0</v>
      </c>
      <c r="AT24" s="26">
        <v>0</v>
      </c>
      <c r="AU24" s="26">
        <v>0</v>
      </c>
      <c r="AV24" s="26">
        <v>0</v>
      </c>
      <c r="AX24" s="59">
        <f t="shared" si="8"/>
        <v>0</v>
      </c>
    </row>
  </sheetData>
  <autoFilter ref="B4:AW24"/>
  <mergeCells count="1">
    <mergeCell ref="B1:L1"/>
  </mergeCells>
  <conditionalFormatting sqref="C5:C24">
    <cfRule type="expression" dxfId="656" priority="18">
      <formula>($N5/$E5)&lt;=1/4</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B050"/>
  </sheetPr>
  <dimension ref="A1:AX34"/>
  <sheetViews>
    <sheetView topLeftCell="A2" zoomScale="90" zoomScaleNormal="90" workbookViewId="0">
      <pane xSplit="17" ySplit="3" topLeftCell="AQ5" activePane="bottomRight" state="frozen"/>
      <selection activeCell="A2" sqref="A2"/>
      <selection pane="topRight" activeCell="R2" sqref="R2"/>
      <selection pane="bottomLeft" activeCell="A5" sqref="A5"/>
      <selection pane="bottomRight" activeCell="AW19" sqref="AW19"/>
    </sheetView>
  </sheetViews>
  <sheetFormatPr defaultColWidth="9.140625" defaultRowHeight="15" x14ac:dyDescent="0.25"/>
  <cols>
    <col min="1" max="1" width="16.28515625" style="59" customWidth="1"/>
    <col min="2" max="2" width="6.85546875" style="59" customWidth="1"/>
    <col min="3" max="3" width="35.85546875" style="59" customWidth="1"/>
    <col min="4" max="4" width="9.7109375" style="59" customWidth="1"/>
    <col min="5" max="6" width="8.7109375" style="59" customWidth="1"/>
    <col min="7" max="7" width="10.28515625" style="59" bestFit="1" customWidth="1"/>
    <col min="8" max="8" width="11.140625" style="59" hidden="1" customWidth="1"/>
    <col min="9" max="9" width="13.28515625" style="59" hidden="1" customWidth="1"/>
    <col min="10" max="10" width="10.85546875" style="59" customWidth="1"/>
    <col min="11" max="11" width="13.28515625" style="59" hidden="1" customWidth="1"/>
    <col min="12" max="12" width="12" style="59" bestFit="1" customWidth="1"/>
    <col min="13" max="14" width="11.42578125" style="59" hidden="1" customWidth="1"/>
    <col min="15" max="15" width="9.140625" style="59" customWidth="1"/>
    <col min="16" max="17" width="12.42578125" style="59" customWidth="1"/>
    <col min="18" max="18" width="4.85546875" style="59" customWidth="1"/>
    <col min="19" max="48" width="5.28515625" style="59" customWidth="1"/>
    <col min="49" max="49" width="9.140625" style="59"/>
    <col min="50" max="50" width="12" style="59" bestFit="1" customWidth="1"/>
    <col min="51" max="16384" width="9.140625" style="59"/>
  </cols>
  <sheetData>
    <row r="1" spans="1:50" hidden="1" x14ac:dyDescent="0.25">
      <c r="B1" s="252" t="s">
        <v>51</v>
      </c>
      <c r="C1" s="252"/>
      <c r="D1" s="252"/>
      <c r="E1" s="252"/>
      <c r="F1" s="252"/>
      <c r="G1" s="252"/>
      <c r="H1" s="252"/>
      <c r="I1" s="252"/>
      <c r="J1" s="252"/>
      <c r="K1" s="252"/>
      <c r="L1" s="252"/>
      <c r="M1" s="252"/>
      <c r="N1" s="60"/>
    </row>
    <row r="2" spans="1:50" ht="24" customHeight="1" x14ac:dyDescent="0.25">
      <c r="A2" s="1">
        <f>150+160+120+70+30+100+30+150+120+30+140+30+70+120+30+30+120+60+120+190+60+30+120+100+60+140+60+40+60+50+120+60+30+60+40+80+120+60+75+75+55+40+70+40+150+40+70+40+70+40+70+40+120+40+70+60+40+60+40+70+40+70+110+100+110+110+110+160+150+110+110</f>
        <v>5715</v>
      </c>
      <c r="K2" s="13"/>
      <c r="L2" s="13">
        <f>M4-K4</f>
        <v>33378.64107990326</v>
      </c>
      <c r="M2" s="8">
        <f>M4/K4-1</f>
        <v>0.1531907810704225</v>
      </c>
      <c r="N2" s="8"/>
      <c r="AI2" s="41"/>
    </row>
    <row r="3" spans="1:50" ht="55.5" customHeight="1" x14ac:dyDescent="0.25">
      <c r="A3" s="51" t="s">
        <v>111</v>
      </c>
      <c r="B3" s="3" t="s">
        <v>0</v>
      </c>
      <c r="C3" s="3" t="s">
        <v>16</v>
      </c>
      <c r="D3" s="17" t="s">
        <v>54</v>
      </c>
      <c r="E3" s="79" t="s">
        <v>135</v>
      </c>
      <c r="F3" s="109" t="s">
        <v>134</v>
      </c>
      <c r="G3" s="4" t="s">
        <v>17</v>
      </c>
      <c r="H3" s="4" t="s">
        <v>18</v>
      </c>
      <c r="I3" s="9" t="s">
        <v>19</v>
      </c>
      <c r="J3" s="9" t="s">
        <v>20</v>
      </c>
      <c r="K3" s="9" t="s">
        <v>23</v>
      </c>
      <c r="L3" s="10" t="s">
        <v>21</v>
      </c>
      <c r="M3" s="11" t="s">
        <v>22</v>
      </c>
      <c r="N3" s="11" t="s">
        <v>109</v>
      </c>
      <c r="O3" s="20" t="s">
        <v>52</v>
      </c>
      <c r="P3" s="57" t="s">
        <v>125</v>
      </c>
      <c r="Q3" s="57" t="s">
        <v>299</v>
      </c>
      <c r="R3" s="21" t="s">
        <v>166</v>
      </c>
      <c r="S3" s="23" t="s">
        <v>167</v>
      </c>
      <c r="T3" s="21" t="s">
        <v>168</v>
      </c>
      <c r="U3" s="23" t="s">
        <v>169</v>
      </c>
      <c r="V3" s="21" t="s">
        <v>170</v>
      </c>
      <c r="W3" s="23" t="s">
        <v>171</v>
      </c>
      <c r="X3" s="21" t="s">
        <v>172</v>
      </c>
      <c r="Y3" s="23" t="s">
        <v>173</v>
      </c>
      <c r="Z3" s="21" t="s">
        <v>174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row>
    <row r="4" spans="1:50" s="46" customFormat="1" ht="27" customHeight="1" x14ac:dyDescent="0.25">
      <c r="A4" s="50">
        <f ca="1">SUBTOTAL(9,A5:A102)</f>
        <v>11848.7840337085</v>
      </c>
      <c r="B4" s="16"/>
      <c r="C4" s="16"/>
      <c r="D4" s="47"/>
      <c r="E4" s="16">
        <f>SUMPRODUCT((E5:E34)*(F5:F34))</f>
        <v>3278.5</v>
      </c>
      <c r="F4" s="16">
        <f>SUBTOTAL(9,F5:F102)</f>
        <v>6282</v>
      </c>
      <c r="G4" s="7"/>
      <c r="H4" s="7">
        <f>SUBTOTAL(9,H5:H102)</f>
        <v>212172</v>
      </c>
      <c r="I4" s="12"/>
      <c r="J4" s="12"/>
      <c r="K4" s="12">
        <f>SUBTOTAL(9,K5:K102)</f>
        <v>217889.35892009674</v>
      </c>
      <c r="L4" s="48"/>
      <c r="M4" s="7">
        <f>SUBTOTAL(9,M5:M102)</f>
        <v>251268</v>
      </c>
      <c r="N4" s="7">
        <f ca="1">SUBTOTAL(9,N5:N102)</f>
        <v>236314</v>
      </c>
      <c r="O4" s="24">
        <f ca="1">SUBTOTAL(9,O5:O102)</f>
        <v>312</v>
      </c>
      <c r="P4" s="75">
        <f>SUBTOTAL(9,P5:P102)</f>
        <v>31</v>
      </c>
      <c r="Q4" s="75">
        <f>SUBTOTAL(9,Q5:Q102)</f>
        <v>5486</v>
      </c>
      <c r="R4" s="25">
        <f t="shared" ref="R4:AV4" si="0">SUBTOTAL(9,R5:R31)</f>
        <v>17</v>
      </c>
      <c r="S4" s="25">
        <f t="shared" si="0"/>
        <v>22</v>
      </c>
      <c r="T4" s="25">
        <f t="shared" si="0"/>
        <v>38</v>
      </c>
      <c r="U4" s="25">
        <f t="shared" si="0"/>
        <v>8</v>
      </c>
      <c r="V4" s="25">
        <f t="shared" si="0"/>
        <v>14</v>
      </c>
      <c r="W4" s="25">
        <f t="shared" si="0"/>
        <v>10</v>
      </c>
      <c r="X4" s="25">
        <f t="shared" si="0"/>
        <v>14</v>
      </c>
      <c r="Y4" s="25">
        <f t="shared" si="0"/>
        <v>16</v>
      </c>
      <c r="Z4" s="25">
        <f t="shared" si="0"/>
        <v>3</v>
      </c>
      <c r="AA4" s="25">
        <f t="shared" si="0"/>
        <v>21</v>
      </c>
      <c r="AB4" s="25">
        <f t="shared" si="0"/>
        <v>22</v>
      </c>
      <c r="AC4" s="25">
        <f t="shared" si="0"/>
        <v>11</v>
      </c>
      <c r="AD4" s="25">
        <f t="shared" si="0"/>
        <v>40</v>
      </c>
      <c r="AE4" s="25">
        <f t="shared" si="0"/>
        <v>8</v>
      </c>
      <c r="AF4" s="25">
        <f t="shared" si="0"/>
        <v>9</v>
      </c>
      <c r="AG4" s="25">
        <f t="shared" si="0"/>
        <v>4</v>
      </c>
      <c r="AH4" s="25">
        <f t="shared" si="0"/>
        <v>13</v>
      </c>
      <c r="AI4" s="25">
        <f t="shared" si="0"/>
        <v>11</v>
      </c>
      <c r="AJ4" s="25">
        <f t="shared" si="0"/>
        <v>13</v>
      </c>
      <c r="AK4" s="25">
        <f t="shared" si="0"/>
        <v>34</v>
      </c>
      <c r="AL4" s="25">
        <f t="shared" si="0"/>
        <v>22</v>
      </c>
      <c r="AM4" s="25">
        <f t="shared" si="0"/>
        <v>13</v>
      </c>
      <c r="AN4" s="25">
        <f t="shared" si="0"/>
        <v>12</v>
      </c>
      <c r="AO4" s="25">
        <f t="shared" si="0"/>
        <v>22</v>
      </c>
      <c r="AP4" s="25">
        <f t="shared" si="0"/>
        <v>5</v>
      </c>
      <c r="AQ4" s="25">
        <f t="shared" si="0"/>
        <v>22</v>
      </c>
      <c r="AR4" s="25">
        <f t="shared" si="0"/>
        <v>5</v>
      </c>
      <c r="AS4" s="25">
        <f t="shared" ca="1" si="0"/>
        <v>10</v>
      </c>
      <c r="AT4" s="25">
        <f t="shared" si="0"/>
        <v>0</v>
      </c>
      <c r="AU4" s="25">
        <f t="shared" si="0"/>
        <v>0</v>
      </c>
      <c r="AV4" s="25">
        <f t="shared" si="0"/>
        <v>0</v>
      </c>
      <c r="AW4" s="133" t="str">
        <f>SUMPRODUCT(($AW$5:$AW$52)*($E$5:$E$52))&amp;" Kg"</f>
        <v>50 Kg</v>
      </c>
      <c r="AX4" s="50">
        <f>SUBTOTAL(9,AX5:AX34)</f>
        <v>2975</v>
      </c>
    </row>
    <row r="5" spans="1:50" ht="18.75" x14ac:dyDescent="0.25">
      <c r="A5" s="59">
        <f t="shared" ref="A5:A34" si="1">IFERROR(J5*O5,"")</f>
        <v>0</v>
      </c>
      <c r="B5" s="6">
        <v>1</v>
      </c>
      <c r="C5" s="61" t="s">
        <v>1</v>
      </c>
      <c r="D5" s="69">
        <v>42.5</v>
      </c>
      <c r="E5" s="6">
        <v>0.5</v>
      </c>
      <c r="F5" s="6">
        <f>430+30+40</f>
        <v>500</v>
      </c>
      <c r="G5" s="72">
        <f t="shared" ref="G5:G27" si="2">D5/(1/E5)</f>
        <v>21.25</v>
      </c>
      <c r="H5" s="64">
        <f t="shared" ref="H5:H29" si="3">G5*F5</f>
        <v>10625</v>
      </c>
      <c r="I5" s="65">
        <f t="shared" ref="I5:I24" si="4">((H5/$H$4)*$A$2)/F5</f>
        <v>0.57238349075278538</v>
      </c>
      <c r="J5" s="66">
        <f t="shared" ref="J5:J19" si="5">G5+I5</f>
        <v>21.822383490752784</v>
      </c>
      <c r="K5" s="66">
        <f t="shared" ref="K5:K24" si="6">J5*F5</f>
        <v>10911.191745376393</v>
      </c>
      <c r="L5" s="73">
        <v>25</v>
      </c>
      <c r="M5" s="64">
        <f t="shared" ref="M5:M30" si="7">L5*F5</f>
        <v>12500</v>
      </c>
      <c r="N5" s="64">
        <f t="shared" ref="N5:N30" si="8">SUMPRODUCT($L5*($Q5:$AV5))</f>
        <v>12350</v>
      </c>
      <c r="O5" s="68">
        <f t="shared" ref="O5:O30" si="9">F5-SUM(Q5:AV5)-P5</f>
        <v>0</v>
      </c>
      <c r="P5" s="58">
        <v>6</v>
      </c>
      <c r="Q5" s="58">
        <v>494</v>
      </c>
      <c r="R5" s="61">
        <v>0</v>
      </c>
      <c r="S5" s="61">
        <v>0</v>
      </c>
      <c r="T5" s="61">
        <v>0</v>
      </c>
      <c r="U5" s="61">
        <v>0</v>
      </c>
      <c r="V5" s="61">
        <v>0</v>
      </c>
      <c r="W5" s="61">
        <v>0</v>
      </c>
      <c r="X5" s="61">
        <v>0</v>
      </c>
      <c r="Y5" s="61">
        <v>0</v>
      </c>
      <c r="Z5" s="61">
        <v>0</v>
      </c>
      <c r="AA5" s="61">
        <v>0</v>
      </c>
      <c r="AB5" s="61">
        <v>0</v>
      </c>
      <c r="AC5" s="61">
        <v>0</v>
      </c>
      <c r="AD5" s="61">
        <v>0</v>
      </c>
      <c r="AE5" s="61">
        <v>0</v>
      </c>
      <c r="AF5" s="61">
        <v>0</v>
      </c>
      <c r="AG5" s="61">
        <v>0</v>
      </c>
      <c r="AH5" s="61">
        <v>0</v>
      </c>
      <c r="AI5" s="61">
        <v>0</v>
      </c>
      <c r="AJ5" s="61">
        <v>0</v>
      </c>
      <c r="AK5" s="61">
        <v>0</v>
      </c>
      <c r="AL5" s="61">
        <v>0</v>
      </c>
      <c r="AM5" s="61">
        <v>0</v>
      </c>
      <c r="AN5" s="61">
        <v>0</v>
      </c>
      <c r="AO5" s="61">
        <v>0</v>
      </c>
      <c r="AP5" s="61">
        <v>0</v>
      </c>
      <c r="AQ5" s="61">
        <v>0</v>
      </c>
      <c r="AR5" s="61">
        <v>0</v>
      </c>
      <c r="AS5" s="61">
        <f>SUMIFS('Tổng Đơn'!$F:$F,'Tổng Đơn'!$B:$B,$C5)</f>
        <v>0</v>
      </c>
      <c r="AT5" s="61">
        <v>0</v>
      </c>
      <c r="AU5" s="61">
        <v>0</v>
      </c>
      <c r="AV5" s="61">
        <v>0</v>
      </c>
      <c r="AW5" s="59">
        <v>0</v>
      </c>
      <c r="AX5" s="59">
        <f t="shared" ref="AX5:AX31" si="10">AW5*G5</f>
        <v>0</v>
      </c>
    </row>
    <row r="6" spans="1:50" ht="18.75" x14ac:dyDescent="0.25">
      <c r="A6" s="59">
        <f t="shared" si="1"/>
        <v>0</v>
      </c>
      <c r="B6" s="6">
        <v>2</v>
      </c>
      <c r="C6" s="61" t="s">
        <v>2</v>
      </c>
      <c r="D6" s="69">
        <v>44</v>
      </c>
      <c r="E6" s="6">
        <v>0.5</v>
      </c>
      <c r="F6" s="6">
        <v>80</v>
      </c>
      <c r="G6" s="72">
        <f t="shared" si="2"/>
        <v>22</v>
      </c>
      <c r="H6" s="64">
        <f t="shared" si="3"/>
        <v>1760</v>
      </c>
      <c r="I6" s="65">
        <f t="shared" si="4"/>
        <v>0.59258526101464848</v>
      </c>
      <c r="J6" s="66">
        <f t="shared" si="5"/>
        <v>22.592585261014648</v>
      </c>
      <c r="K6" s="66">
        <f t="shared" si="6"/>
        <v>1807.4068208811718</v>
      </c>
      <c r="L6" s="73">
        <v>28</v>
      </c>
      <c r="M6" s="64">
        <f t="shared" si="7"/>
        <v>2240</v>
      </c>
      <c r="N6" s="64">
        <f t="shared" si="8"/>
        <v>2268</v>
      </c>
      <c r="O6" s="68">
        <f t="shared" si="9"/>
        <v>0</v>
      </c>
      <c r="P6" s="58">
        <v>-1</v>
      </c>
      <c r="Q6" s="58">
        <v>81</v>
      </c>
      <c r="R6" s="61">
        <v>0</v>
      </c>
      <c r="S6" s="61">
        <v>0</v>
      </c>
      <c r="T6" s="61">
        <v>0</v>
      </c>
      <c r="U6" s="61">
        <v>0</v>
      </c>
      <c r="V6" s="61">
        <v>0</v>
      </c>
      <c r="W6" s="61">
        <v>0</v>
      </c>
      <c r="X6" s="61">
        <v>0</v>
      </c>
      <c r="Y6" s="61">
        <v>0</v>
      </c>
      <c r="Z6" s="61">
        <v>0</v>
      </c>
      <c r="AA6" s="61">
        <v>0</v>
      </c>
      <c r="AB6" s="61">
        <v>0</v>
      </c>
      <c r="AC6" s="61">
        <v>0</v>
      </c>
      <c r="AD6" s="61">
        <v>0</v>
      </c>
      <c r="AE6" s="61">
        <v>0</v>
      </c>
      <c r="AF6" s="61">
        <v>0</v>
      </c>
      <c r="AG6" s="61">
        <v>0</v>
      </c>
      <c r="AH6" s="61">
        <v>0</v>
      </c>
      <c r="AI6" s="61">
        <v>0</v>
      </c>
      <c r="AJ6" s="61">
        <v>0</v>
      </c>
      <c r="AK6" s="61">
        <v>0</v>
      </c>
      <c r="AL6" s="61">
        <v>0</v>
      </c>
      <c r="AM6" s="61">
        <v>0</v>
      </c>
      <c r="AN6" s="61">
        <v>0</v>
      </c>
      <c r="AO6" s="61">
        <v>0</v>
      </c>
      <c r="AP6" s="61">
        <v>0</v>
      </c>
      <c r="AQ6" s="61">
        <v>0</v>
      </c>
      <c r="AR6" s="61">
        <v>0</v>
      </c>
      <c r="AS6" s="61">
        <f>SUMIFS('Tổng Đơn'!$F:$F,'Tổng Đơn'!$B:$B,$C6)</f>
        <v>0</v>
      </c>
      <c r="AT6" s="61">
        <v>0</v>
      </c>
      <c r="AU6" s="61">
        <v>0</v>
      </c>
      <c r="AV6" s="61">
        <v>0</v>
      </c>
      <c r="AW6" s="59">
        <v>0</v>
      </c>
      <c r="AX6" s="59">
        <f t="shared" si="10"/>
        <v>0</v>
      </c>
    </row>
    <row r="7" spans="1:50" ht="18.75" x14ac:dyDescent="0.25">
      <c r="A7" s="59">
        <f t="shared" ca="1" si="1"/>
        <v>0</v>
      </c>
      <c r="B7" s="6">
        <v>3</v>
      </c>
      <c r="C7" s="61" t="s">
        <v>3</v>
      </c>
      <c r="D7" s="69">
        <v>43.5</v>
      </c>
      <c r="E7" s="6">
        <v>0.5</v>
      </c>
      <c r="F7" s="6">
        <v>70</v>
      </c>
      <c r="G7" s="72">
        <f t="shared" si="2"/>
        <v>21.75</v>
      </c>
      <c r="H7" s="64">
        <f t="shared" si="3"/>
        <v>1522.5</v>
      </c>
      <c r="I7" s="65">
        <f t="shared" si="4"/>
        <v>0.58585133759402752</v>
      </c>
      <c r="J7" s="66">
        <f t="shared" si="5"/>
        <v>22.335851337594029</v>
      </c>
      <c r="K7" s="66">
        <f t="shared" si="6"/>
        <v>1563.509593631582</v>
      </c>
      <c r="L7" s="73">
        <v>30</v>
      </c>
      <c r="M7" s="64">
        <f t="shared" si="7"/>
        <v>2100</v>
      </c>
      <c r="N7" s="64">
        <f t="shared" ca="1" si="8"/>
        <v>2100</v>
      </c>
      <c r="O7" s="68">
        <f t="shared" ca="1" si="9"/>
        <v>0</v>
      </c>
      <c r="P7" s="58"/>
      <c r="Q7" s="58">
        <v>70</v>
      </c>
      <c r="R7" s="61">
        <v>0</v>
      </c>
      <c r="S7" s="61">
        <v>0</v>
      </c>
      <c r="T7" s="61">
        <v>0</v>
      </c>
      <c r="U7" s="61">
        <v>0</v>
      </c>
      <c r="V7" s="61">
        <v>0</v>
      </c>
      <c r="W7" s="61">
        <v>0</v>
      </c>
      <c r="X7" s="61">
        <v>0</v>
      </c>
      <c r="Y7" s="61">
        <v>0</v>
      </c>
      <c r="Z7" s="61">
        <v>0</v>
      </c>
      <c r="AA7" s="61">
        <v>0</v>
      </c>
      <c r="AB7" s="61">
        <v>0</v>
      </c>
      <c r="AC7" s="61">
        <v>0</v>
      </c>
      <c r="AD7" s="61">
        <v>0</v>
      </c>
      <c r="AE7" s="61">
        <v>0</v>
      </c>
      <c r="AF7" s="61">
        <v>0</v>
      </c>
      <c r="AG7" s="61">
        <v>0</v>
      </c>
      <c r="AH7" s="61">
        <v>0</v>
      </c>
      <c r="AI7" s="61">
        <v>0</v>
      </c>
      <c r="AJ7" s="61">
        <v>0</v>
      </c>
      <c r="AK7" s="61">
        <v>0</v>
      </c>
      <c r="AL7" s="61">
        <v>0</v>
      </c>
      <c r="AM7" s="61">
        <v>0</v>
      </c>
      <c r="AN7" s="61">
        <v>0</v>
      </c>
      <c r="AO7" s="61">
        <v>0</v>
      </c>
      <c r="AP7" s="61">
        <v>0</v>
      </c>
      <c r="AQ7" s="61">
        <v>0</v>
      </c>
      <c r="AR7" s="61">
        <v>0</v>
      </c>
      <c r="AS7" s="61">
        <f ca="1">SUMIFS('Tổng Đơn'!$F:$F,'Tổng Đơn'!$B:$B,$C7)</f>
        <v>0</v>
      </c>
      <c r="AT7" s="61">
        <v>0</v>
      </c>
      <c r="AU7" s="61">
        <v>0</v>
      </c>
      <c r="AV7" s="61">
        <v>0</v>
      </c>
      <c r="AW7" s="59">
        <v>0</v>
      </c>
      <c r="AX7" s="59">
        <f t="shared" si="10"/>
        <v>0</v>
      </c>
    </row>
    <row r="8" spans="1:50" ht="18.75" x14ac:dyDescent="0.25">
      <c r="A8" s="59">
        <f t="shared" ca="1" si="1"/>
        <v>0</v>
      </c>
      <c r="B8" s="6">
        <v>4</v>
      </c>
      <c r="C8" s="61" t="s">
        <v>4</v>
      </c>
      <c r="D8" s="69">
        <v>60</v>
      </c>
      <c r="E8" s="6">
        <v>0.5</v>
      </c>
      <c r="F8" s="6">
        <f>160+22+12+30+10+26</f>
        <v>260</v>
      </c>
      <c r="G8" s="72">
        <f t="shared" si="2"/>
        <v>30</v>
      </c>
      <c r="H8" s="74">
        <f t="shared" si="3"/>
        <v>7800</v>
      </c>
      <c r="I8" s="65">
        <f t="shared" si="4"/>
        <v>0.80807081047452067</v>
      </c>
      <c r="J8" s="66">
        <f t="shared" si="5"/>
        <v>30.808070810474522</v>
      </c>
      <c r="K8" s="66">
        <f t="shared" si="6"/>
        <v>8010.0984107233753</v>
      </c>
      <c r="L8" s="73">
        <v>40</v>
      </c>
      <c r="M8" s="64">
        <f t="shared" si="7"/>
        <v>10400</v>
      </c>
      <c r="N8" s="64">
        <f t="shared" ca="1" si="8"/>
        <v>10400</v>
      </c>
      <c r="O8" s="68">
        <f t="shared" ca="1" si="9"/>
        <v>0</v>
      </c>
      <c r="P8" s="58">
        <v>0</v>
      </c>
      <c r="Q8" s="58">
        <v>251</v>
      </c>
      <c r="R8" s="61">
        <v>0</v>
      </c>
      <c r="S8" s="61">
        <v>1</v>
      </c>
      <c r="T8" s="61">
        <v>0</v>
      </c>
      <c r="U8" s="61">
        <v>3</v>
      </c>
      <c r="V8" s="61">
        <v>0</v>
      </c>
      <c r="W8" s="61">
        <v>0</v>
      </c>
      <c r="X8" s="61">
        <v>0</v>
      </c>
      <c r="Y8" s="61">
        <v>0</v>
      </c>
      <c r="Z8" s="61">
        <v>0</v>
      </c>
      <c r="AA8" s="61">
        <v>0</v>
      </c>
      <c r="AB8" s="61">
        <v>0</v>
      </c>
      <c r="AC8" s="61">
        <v>0</v>
      </c>
      <c r="AD8" s="61">
        <v>0</v>
      </c>
      <c r="AE8" s="61">
        <v>0</v>
      </c>
      <c r="AF8" s="61">
        <v>0</v>
      </c>
      <c r="AG8" s="61">
        <v>0</v>
      </c>
      <c r="AH8" s="61">
        <v>0</v>
      </c>
      <c r="AI8" s="61">
        <v>0</v>
      </c>
      <c r="AJ8" s="61">
        <v>0</v>
      </c>
      <c r="AK8" s="61">
        <v>0</v>
      </c>
      <c r="AL8" s="61">
        <v>0</v>
      </c>
      <c r="AM8" s="61">
        <v>1</v>
      </c>
      <c r="AN8" s="61">
        <v>1</v>
      </c>
      <c r="AO8" s="61">
        <v>2</v>
      </c>
      <c r="AP8" s="61">
        <v>0</v>
      </c>
      <c r="AQ8" s="61">
        <v>0</v>
      </c>
      <c r="AR8" s="61">
        <v>0</v>
      </c>
      <c r="AS8" s="61">
        <f ca="1">SUMIFS('Tổng Đơn'!$F:$F,'Tổng Đơn'!$B:$B,$C8)</f>
        <v>1</v>
      </c>
      <c r="AT8" s="61">
        <v>0</v>
      </c>
      <c r="AU8" s="61">
        <v>0</v>
      </c>
      <c r="AV8" s="61">
        <v>0</v>
      </c>
      <c r="AW8" s="59">
        <v>10</v>
      </c>
      <c r="AX8" s="59">
        <f t="shared" si="10"/>
        <v>300</v>
      </c>
    </row>
    <row r="9" spans="1:50" ht="18.75" x14ac:dyDescent="0.25">
      <c r="A9" s="59">
        <f t="shared" ca="1" si="1"/>
        <v>1152.221848311747</v>
      </c>
      <c r="B9" s="6">
        <v>5</v>
      </c>
      <c r="C9" s="61" t="s">
        <v>5</v>
      </c>
      <c r="D9" s="69">
        <v>68</v>
      </c>
      <c r="E9" s="6">
        <v>0.5</v>
      </c>
      <c r="F9" s="6">
        <f>285+40+50+20+50+50+40+60+92+36+30+50+20+50+40+30+50+30+20+60+5+40+30</f>
        <v>1178</v>
      </c>
      <c r="G9" s="72">
        <f t="shared" si="2"/>
        <v>34</v>
      </c>
      <c r="H9" s="74">
        <f t="shared" si="3"/>
        <v>40052</v>
      </c>
      <c r="I9" s="65">
        <f t="shared" si="4"/>
        <v>0.91581358520445677</v>
      </c>
      <c r="J9" s="66">
        <f t="shared" si="5"/>
        <v>34.915813585204454</v>
      </c>
      <c r="K9" s="66">
        <f t="shared" si="6"/>
        <v>41130.828403370848</v>
      </c>
      <c r="L9" s="73">
        <v>40</v>
      </c>
      <c r="M9" s="64">
        <f t="shared" si="7"/>
        <v>47120</v>
      </c>
      <c r="N9" s="64">
        <f t="shared" ca="1" si="8"/>
        <v>45760</v>
      </c>
      <c r="O9" s="68">
        <f t="shared" ca="1" si="9"/>
        <v>33</v>
      </c>
      <c r="P9" s="58">
        <v>1</v>
      </c>
      <c r="Q9" s="58">
        <v>1058</v>
      </c>
      <c r="R9" s="61">
        <v>2</v>
      </c>
      <c r="S9" s="61">
        <v>7</v>
      </c>
      <c r="T9" s="61">
        <v>5</v>
      </c>
      <c r="U9" s="61">
        <v>0</v>
      </c>
      <c r="V9" s="61">
        <v>0</v>
      </c>
      <c r="W9" s="61">
        <v>0</v>
      </c>
      <c r="X9" s="61">
        <v>6</v>
      </c>
      <c r="Y9" s="61">
        <v>2</v>
      </c>
      <c r="Z9" s="61">
        <v>1</v>
      </c>
      <c r="AA9" s="61">
        <v>5</v>
      </c>
      <c r="AB9" s="61">
        <v>10</v>
      </c>
      <c r="AC9" s="61">
        <v>0</v>
      </c>
      <c r="AD9" s="61">
        <v>2</v>
      </c>
      <c r="AE9" s="61">
        <v>1</v>
      </c>
      <c r="AF9" s="61">
        <v>5</v>
      </c>
      <c r="AG9" s="61">
        <v>0</v>
      </c>
      <c r="AH9" s="61">
        <v>5</v>
      </c>
      <c r="AI9" s="61">
        <v>7</v>
      </c>
      <c r="AJ9" s="61">
        <v>0</v>
      </c>
      <c r="AK9" s="61">
        <v>11</v>
      </c>
      <c r="AL9" s="61">
        <v>1</v>
      </c>
      <c r="AM9" s="61">
        <v>6</v>
      </c>
      <c r="AN9" s="61">
        <v>0</v>
      </c>
      <c r="AO9" s="61">
        <v>2</v>
      </c>
      <c r="AP9" s="61">
        <v>0</v>
      </c>
      <c r="AQ9" s="61">
        <v>2</v>
      </c>
      <c r="AR9" s="61">
        <v>5</v>
      </c>
      <c r="AS9" s="61">
        <f ca="1">SUMIFS('Tổng Đơn'!$F:$F,'Tổng Đơn'!$B:$B,$C9)</f>
        <v>1</v>
      </c>
      <c r="AT9" s="61">
        <v>0</v>
      </c>
      <c r="AU9" s="61">
        <v>0</v>
      </c>
      <c r="AV9" s="61">
        <v>0</v>
      </c>
      <c r="AW9" s="59">
        <v>20</v>
      </c>
      <c r="AX9" s="59">
        <f t="shared" si="10"/>
        <v>680</v>
      </c>
    </row>
    <row r="10" spans="1:50" ht="18.75" x14ac:dyDescent="0.25">
      <c r="A10" s="59">
        <f t="shared" ca="1" si="1"/>
        <v>0</v>
      </c>
      <c r="B10" s="6">
        <v>6</v>
      </c>
      <c r="C10" s="61" t="s">
        <v>6</v>
      </c>
      <c r="D10" s="69">
        <v>86</v>
      </c>
      <c r="E10" s="6">
        <v>0.5</v>
      </c>
      <c r="F10" s="6">
        <f>76+10</f>
        <v>86</v>
      </c>
      <c r="G10" s="72">
        <f t="shared" si="2"/>
        <v>43</v>
      </c>
      <c r="H10" s="74">
        <f t="shared" si="3"/>
        <v>3698</v>
      </c>
      <c r="I10" s="65">
        <f t="shared" si="4"/>
        <v>1.1582348283468131</v>
      </c>
      <c r="J10" s="66">
        <f t="shared" si="5"/>
        <v>44.158234828346814</v>
      </c>
      <c r="K10" s="66">
        <f t="shared" si="6"/>
        <v>3797.6081952378258</v>
      </c>
      <c r="L10" s="73">
        <v>50</v>
      </c>
      <c r="M10" s="64">
        <f t="shared" si="7"/>
        <v>4300</v>
      </c>
      <c r="N10" s="64">
        <f t="shared" ca="1" si="8"/>
        <v>4200</v>
      </c>
      <c r="O10" s="68">
        <f t="shared" ca="1" si="9"/>
        <v>0</v>
      </c>
      <c r="P10" s="58">
        <v>2</v>
      </c>
      <c r="Q10" s="58">
        <v>84</v>
      </c>
      <c r="R10" s="61">
        <v>0</v>
      </c>
      <c r="S10" s="61">
        <v>0</v>
      </c>
      <c r="T10" s="61">
        <v>0</v>
      </c>
      <c r="U10" s="61">
        <v>0</v>
      </c>
      <c r="V10" s="61">
        <v>0</v>
      </c>
      <c r="W10" s="61">
        <v>0</v>
      </c>
      <c r="X10" s="61">
        <v>0</v>
      </c>
      <c r="Y10" s="61">
        <v>0</v>
      </c>
      <c r="Z10" s="61">
        <v>0</v>
      </c>
      <c r="AA10" s="61">
        <v>0</v>
      </c>
      <c r="AB10" s="61">
        <v>0</v>
      </c>
      <c r="AC10" s="61">
        <v>0</v>
      </c>
      <c r="AD10" s="61">
        <v>0</v>
      </c>
      <c r="AE10" s="61">
        <v>0</v>
      </c>
      <c r="AF10" s="61">
        <v>0</v>
      </c>
      <c r="AG10" s="61">
        <v>0</v>
      </c>
      <c r="AH10" s="61">
        <v>0</v>
      </c>
      <c r="AI10" s="61">
        <v>0</v>
      </c>
      <c r="AJ10" s="61">
        <v>0</v>
      </c>
      <c r="AK10" s="61">
        <v>0</v>
      </c>
      <c r="AL10" s="61">
        <v>0</v>
      </c>
      <c r="AM10" s="61">
        <v>0</v>
      </c>
      <c r="AN10" s="61">
        <v>0</v>
      </c>
      <c r="AO10" s="61">
        <v>0</v>
      </c>
      <c r="AP10" s="61">
        <v>0</v>
      </c>
      <c r="AQ10" s="61">
        <v>0</v>
      </c>
      <c r="AR10" s="61">
        <v>0</v>
      </c>
      <c r="AS10" s="61">
        <f ca="1">SUMIFS('Tổng Đơn'!$F:$F,'Tổng Đơn'!$B:$B,$C10)</f>
        <v>0</v>
      </c>
      <c r="AT10" s="61">
        <v>0</v>
      </c>
      <c r="AU10" s="61">
        <v>0</v>
      </c>
      <c r="AV10" s="61">
        <v>0</v>
      </c>
      <c r="AW10" s="59">
        <v>0</v>
      </c>
      <c r="AX10" s="59">
        <f t="shared" si="10"/>
        <v>0</v>
      </c>
    </row>
    <row r="11" spans="1:50" ht="18.75" x14ac:dyDescent="0.25">
      <c r="A11" s="59">
        <f t="shared" si="1"/>
        <v>0</v>
      </c>
      <c r="B11" s="6">
        <v>7</v>
      </c>
      <c r="C11" s="61" t="s">
        <v>247</v>
      </c>
      <c r="D11" s="69">
        <v>55</v>
      </c>
      <c r="E11" s="6">
        <v>0.5</v>
      </c>
      <c r="F11" s="6">
        <v>20</v>
      </c>
      <c r="G11" s="72">
        <f t="shared" si="2"/>
        <v>27.5</v>
      </c>
      <c r="H11" s="74">
        <f t="shared" si="3"/>
        <v>550</v>
      </c>
      <c r="I11" s="65">
        <f t="shared" si="4"/>
        <v>0.74073157626831054</v>
      </c>
      <c r="J11" s="66">
        <f t="shared" si="5"/>
        <v>28.24073157626831</v>
      </c>
      <c r="K11" s="66">
        <f t="shared" si="6"/>
        <v>564.81463152536617</v>
      </c>
      <c r="L11" s="73">
        <v>34</v>
      </c>
      <c r="M11" s="64">
        <f t="shared" si="7"/>
        <v>680</v>
      </c>
      <c r="N11" s="64">
        <f t="shared" si="8"/>
        <v>680</v>
      </c>
      <c r="O11" s="68">
        <f t="shared" si="9"/>
        <v>0</v>
      </c>
      <c r="P11" s="58"/>
      <c r="Q11" s="58">
        <v>20</v>
      </c>
      <c r="R11" s="61">
        <v>0</v>
      </c>
      <c r="S11" s="61">
        <v>0</v>
      </c>
      <c r="T11" s="61">
        <v>0</v>
      </c>
      <c r="U11" s="61">
        <v>0</v>
      </c>
      <c r="V11" s="61">
        <v>0</v>
      </c>
      <c r="W11" s="61">
        <v>0</v>
      </c>
      <c r="X11" s="61">
        <v>0</v>
      </c>
      <c r="Y11" s="61">
        <v>0</v>
      </c>
      <c r="Z11" s="61">
        <v>0</v>
      </c>
      <c r="AA11" s="61">
        <v>0</v>
      </c>
      <c r="AB11" s="61">
        <v>0</v>
      </c>
      <c r="AC11" s="61">
        <v>0</v>
      </c>
      <c r="AD11" s="61">
        <v>0</v>
      </c>
      <c r="AE11" s="61">
        <v>0</v>
      </c>
      <c r="AF11" s="61">
        <v>0</v>
      </c>
      <c r="AG11" s="61">
        <v>0</v>
      </c>
      <c r="AH11" s="61">
        <v>0</v>
      </c>
      <c r="AI11" s="61">
        <v>0</v>
      </c>
      <c r="AJ11" s="61">
        <v>0</v>
      </c>
      <c r="AK11" s="61">
        <v>0</v>
      </c>
      <c r="AL11" s="61">
        <v>0</v>
      </c>
      <c r="AM11" s="61">
        <v>0</v>
      </c>
      <c r="AN11" s="61">
        <v>0</v>
      </c>
      <c r="AO11" s="61">
        <v>0</v>
      </c>
      <c r="AP11" s="61">
        <v>0</v>
      </c>
      <c r="AQ11" s="61">
        <v>0</v>
      </c>
      <c r="AR11" s="61">
        <v>0</v>
      </c>
      <c r="AS11" s="61">
        <f>SUMIFS('Tổng Đơn'!$F:$F,'Tổng Đơn'!$B:$B,$C11)</f>
        <v>0</v>
      </c>
      <c r="AT11" s="61">
        <v>0</v>
      </c>
      <c r="AU11" s="61">
        <v>0</v>
      </c>
      <c r="AV11" s="61">
        <v>0</v>
      </c>
      <c r="AW11" s="59">
        <v>0</v>
      </c>
      <c r="AX11" s="59">
        <f t="shared" si="10"/>
        <v>0</v>
      </c>
    </row>
    <row r="12" spans="1:50" ht="19.5" customHeight="1" x14ac:dyDescent="0.25">
      <c r="A12" s="59">
        <f t="shared" ca="1" si="1"/>
        <v>0</v>
      </c>
      <c r="B12" s="6">
        <v>8</v>
      </c>
      <c r="C12" s="61" t="s">
        <v>7</v>
      </c>
      <c r="D12" s="69">
        <v>115</v>
      </c>
      <c r="E12" s="6">
        <v>0.5</v>
      </c>
      <c r="F12" s="6">
        <v>38</v>
      </c>
      <c r="G12" s="72">
        <f t="shared" si="2"/>
        <v>57.5</v>
      </c>
      <c r="H12" s="74">
        <f t="shared" si="3"/>
        <v>2185</v>
      </c>
      <c r="I12" s="65">
        <f t="shared" si="4"/>
        <v>1.5488023867428313</v>
      </c>
      <c r="J12" s="66">
        <f t="shared" si="5"/>
        <v>59.048802386742828</v>
      </c>
      <c r="K12" s="66">
        <f t="shared" si="6"/>
        <v>2243.8544906962275</v>
      </c>
      <c r="L12" s="73">
        <v>69</v>
      </c>
      <c r="M12" s="64">
        <f t="shared" si="7"/>
        <v>2622</v>
      </c>
      <c r="N12" s="64">
        <f t="shared" ca="1" si="8"/>
        <v>1863</v>
      </c>
      <c r="O12" s="68">
        <f t="shared" ca="1" si="9"/>
        <v>0</v>
      </c>
      <c r="P12" s="58">
        <v>11</v>
      </c>
      <c r="Q12" s="58">
        <v>27</v>
      </c>
      <c r="R12" s="61">
        <v>0</v>
      </c>
      <c r="S12" s="61">
        <v>0</v>
      </c>
      <c r="T12" s="61">
        <v>0</v>
      </c>
      <c r="U12" s="61">
        <v>0</v>
      </c>
      <c r="V12" s="61">
        <v>0</v>
      </c>
      <c r="W12" s="61">
        <v>0</v>
      </c>
      <c r="X12" s="61">
        <v>0</v>
      </c>
      <c r="Y12" s="61">
        <v>0</v>
      </c>
      <c r="Z12" s="61">
        <v>0</v>
      </c>
      <c r="AA12" s="61">
        <v>0</v>
      </c>
      <c r="AB12" s="61">
        <v>0</v>
      </c>
      <c r="AC12" s="61">
        <v>0</v>
      </c>
      <c r="AD12" s="61">
        <v>0</v>
      </c>
      <c r="AE12" s="61">
        <v>0</v>
      </c>
      <c r="AF12" s="61">
        <v>0</v>
      </c>
      <c r="AG12" s="61">
        <v>0</v>
      </c>
      <c r="AH12" s="61">
        <v>0</v>
      </c>
      <c r="AI12" s="61">
        <v>0</v>
      </c>
      <c r="AJ12" s="61">
        <v>0</v>
      </c>
      <c r="AK12" s="61">
        <v>0</v>
      </c>
      <c r="AL12" s="61">
        <v>0</v>
      </c>
      <c r="AM12" s="61">
        <v>0</v>
      </c>
      <c r="AN12" s="61">
        <v>0</v>
      </c>
      <c r="AO12" s="61">
        <v>0</v>
      </c>
      <c r="AP12" s="61">
        <v>0</v>
      </c>
      <c r="AQ12" s="61">
        <v>0</v>
      </c>
      <c r="AR12" s="61">
        <v>0</v>
      </c>
      <c r="AS12" s="61">
        <f ca="1">SUMIFS('Tổng Đơn'!$F:$F,'Tổng Đơn'!$B:$B,$C12)</f>
        <v>0</v>
      </c>
      <c r="AT12" s="61">
        <v>0</v>
      </c>
      <c r="AU12" s="61">
        <v>0</v>
      </c>
      <c r="AV12" s="61">
        <v>0</v>
      </c>
      <c r="AW12" s="59">
        <v>0</v>
      </c>
      <c r="AX12" s="59">
        <f t="shared" si="10"/>
        <v>0</v>
      </c>
    </row>
    <row r="13" spans="1:50" ht="18.75" x14ac:dyDescent="0.25">
      <c r="A13" s="59">
        <f t="shared" ca="1" si="1"/>
        <v>349.15813585204455</v>
      </c>
      <c r="B13" s="6">
        <v>9</v>
      </c>
      <c r="C13" s="61" t="s">
        <v>8</v>
      </c>
      <c r="D13" s="69">
        <v>85</v>
      </c>
      <c r="E13" s="6">
        <v>0.5</v>
      </c>
      <c r="F13" s="6">
        <f>190+30</f>
        <v>220</v>
      </c>
      <c r="G13" s="72">
        <f t="shared" si="2"/>
        <v>42.5</v>
      </c>
      <c r="H13" s="74">
        <f t="shared" si="3"/>
        <v>9350</v>
      </c>
      <c r="I13" s="65">
        <f t="shared" si="4"/>
        <v>1.144766981505571</v>
      </c>
      <c r="J13" s="66">
        <f t="shared" si="5"/>
        <v>43.644766981505569</v>
      </c>
      <c r="K13" s="66">
        <f t="shared" si="6"/>
        <v>9601.8487359312257</v>
      </c>
      <c r="L13" s="73">
        <v>55</v>
      </c>
      <c r="M13" s="64">
        <f t="shared" si="7"/>
        <v>12100</v>
      </c>
      <c r="N13" s="64">
        <f t="shared" ca="1" si="8"/>
        <v>11550</v>
      </c>
      <c r="O13" s="68">
        <f t="shared" ca="1" si="9"/>
        <v>8</v>
      </c>
      <c r="P13" s="58">
        <v>2</v>
      </c>
      <c r="Q13" s="58">
        <v>210</v>
      </c>
      <c r="R13" s="61">
        <v>0</v>
      </c>
      <c r="S13" s="61">
        <v>0</v>
      </c>
      <c r="T13" s="61">
        <v>0</v>
      </c>
      <c r="U13" s="61">
        <v>0</v>
      </c>
      <c r="V13" s="61">
        <v>0</v>
      </c>
      <c r="W13" s="61">
        <v>0</v>
      </c>
      <c r="X13" s="61">
        <v>0</v>
      </c>
      <c r="Y13" s="61">
        <v>0</v>
      </c>
      <c r="Z13" s="61">
        <v>0</v>
      </c>
      <c r="AA13" s="61">
        <v>0</v>
      </c>
      <c r="AB13" s="61">
        <v>0</v>
      </c>
      <c r="AC13" s="61">
        <v>0</v>
      </c>
      <c r="AD13" s="61">
        <v>0</v>
      </c>
      <c r="AE13" s="61">
        <v>0</v>
      </c>
      <c r="AF13" s="61">
        <v>0</v>
      </c>
      <c r="AG13" s="61">
        <v>0</v>
      </c>
      <c r="AH13" s="61">
        <v>0</v>
      </c>
      <c r="AI13" s="61">
        <v>0</v>
      </c>
      <c r="AJ13" s="61">
        <v>0</v>
      </c>
      <c r="AK13" s="61">
        <v>0</v>
      </c>
      <c r="AL13" s="61">
        <v>0</v>
      </c>
      <c r="AM13" s="61">
        <v>0</v>
      </c>
      <c r="AN13" s="61">
        <v>0</v>
      </c>
      <c r="AO13" s="61">
        <v>0</v>
      </c>
      <c r="AP13" s="61">
        <v>0</v>
      </c>
      <c r="AQ13" s="61">
        <v>0</v>
      </c>
      <c r="AR13" s="61">
        <v>0</v>
      </c>
      <c r="AS13" s="61">
        <f ca="1">SUMIFS('Tổng Đơn'!$F:$F,'Tổng Đơn'!$B:$B,$C13)</f>
        <v>0</v>
      </c>
      <c r="AT13" s="61">
        <v>0</v>
      </c>
      <c r="AU13" s="61">
        <v>0</v>
      </c>
      <c r="AV13" s="61">
        <v>0</v>
      </c>
      <c r="AW13" s="59">
        <v>0</v>
      </c>
      <c r="AX13" s="59">
        <f t="shared" si="10"/>
        <v>0</v>
      </c>
    </row>
    <row r="14" spans="1:50" ht="18.75" x14ac:dyDescent="0.25">
      <c r="A14" s="59">
        <f t="shared" si="1"/>
        <v>0</v>
      </c>
      <c r="B14" s="6">
        <v>10</v>
      </c>
      <c r="C14" s="61" t="s">
        <v>9</v>
      </c>
      <c r="D14" s="69">
        <v>54</v>
      </c>
      <c r="E14" s="6">
        <v>0.5</v>
      </c>
      <c r="F14" s="6">
        <v>30</v>
      </c>
      <c r="G14" s="72">
        <f t="shared" si="2"/>
        <v>27</v>
      </c>
      <c r="H14" s="74">
        <f t="shared" si="3"/>
        <v>810</v>
      </c>
      <c r="I14" s="65">
        <f t="shared" si="4"/>
        <v>0.72726372942706863</v>
      </c>
      <c r="J14" s="66">
        <f t="shared" si="5"/>
        <v>27.727263729427069</v>
      </c>
      <c r="K14" s="66">
        <f t="shared" si="6"/>
        <v>831.81791188281204</v>
      </c>
      <c r="L14" s="73">
        <v>32</v>
      </c>
      <c r="M14" s="64">
        <f t="shared" si="7"/>
        <v>960</v>
      </c>
      <c r="N14" s="64">
        <f t="shared" si="8"/>
        <v>960</v>
      </c>
      <c r="O14" s="68">
        <f t="shared" si="9"/>
        <v>0</v>
      </c>
      <c r="P14" s="58"/>
      <c r="Q14" s="58">
        <v>30</v>
      </c>
      <c r="R14" s="61">
        <v>0</v>
      </c>
      <c r="S14" s="61">
        <v>0</v>
      </c>
      <c r="T14" s="61">
        <v>0</v>
      </c>
      <c r="U14" s="61">
        <v>0</v>
      </c>
      <c r="V14" s="61">
        <v>0</v>
      </c>
      <c r="W14" s="61">
        <v>0</v>
      </c>
      <c r="X14" s="61">
        <v>0</v>
      </c>
      <c r="Y14" s="61">
        <v>0</v>
      </c>
      <c r="Z14" s="61">
        <v>0</v>
      </c>
      <c r="AA14" s="61">
        <v>0</v>
      </c>
      <c r="AB14" s="61">
        <v>0</v>
      </c>
      <c r="AC14" s="61">
        <v>0</v>
      </c>
      <c r="AD14" s="61">
        <v>0</v>
      </c>
      <c r="AE14" s="61">
        <v>0</v>
      </c>
      <c r="AF14" s="61">
        <v>0</v>
      </c>
      <c r="AG14" s="61">
        <v>0</v>
      </c>
      <c r="AH14" s="61">
        <v>0</v>
      </c>
      <c r="AI14" s="61">
        <v>0</v>
      </c>
      <c r="AJ14" s="61">
        <v>0</v>
      </c>
      <c r="AK14" s="61">
        <v>0</v>
      </c>
      <c r="AL14" s="61">
        <v>0</v>
      </c>
      <c r="AM14" s="61">
        <v>0</v>
      </c>
      <c r="AN14" s="61">
        <v>0</v>
      </c>
      <c r="AO14" s="61">
        <v>0</v>
      </c>
      <c r="AP14" s="61">
        <v>0</v>
      </c>
      <c r="AQ14" s="61">
        <v>0</v>
      </c>
      <c r="AR14" s="61">
        <v>0</v>
      </c>
      <c r="AS14" s="61">
        <f>SUMIFS('Tổng Đơn'!$F:$F,'Tổng Đơn'!$B:$B,$C14)</f>
        <v>0</v>
      </c>
      <c r="AT14" s="61">
        <v>0</v>
      </c>
      <c r="AU14" s="61">
        <v>0</v>
      </c>
      <c r="AV14" s="61">
        <v>0</v>
      </c>
      <c r="AW14" s="59">
        <v>0</v>
      </c>
      <c r="AX14" s="59">
        <f t="shared" si="10"/>
        <v>0</v>
      </c>
    </row>
    <row r="15" spans="1:50" ht="18.75" x14ac:dyDescent="0.25">
      <c r="A15" s="59">
        <f t="shared" si="1"/>
        <v>0</v>
      </c>
      <c r="B15" s="6">
        <v>11</v>
      </c>
      <c r="C15" s="61" t="s">
        <v>10</v>
      </c>
      <c r="D15" s="69">
        <v>54</v>
      </c>
      <c r="E15" s="6">
        <v>0.5</v>
      </c>
      <c r="F15" s="6">
        <v>10</v>
      </c>
      <c r="G15" s="72">
        <f t="shared" si="2"/>
        <v>27</v>
      </c>
      <c r="H15" s="74">
        <f t="shared" si="3"/>
        <v>270</v>
      </c>
      <c r="I15" s="65">
        <f t="shared" si="4"/>
        <v>0.72726372942706863</v>
      </c>
      <c r="J15" s="66">
        <f t="shared" si="5"/>
        <v>27.727263729427069</v>
      </c>
      <c r="K15" s="66">
        <f t="shared" si="6"/>
        <v>277.27263729427068</v>
      </c>
      <c r="L15" s="73">
        <v>35</v>
      </c>
      <c r="M15" s="64">
        <f t="shared" si="7"/>
        <v>350</v>
      </c>
      <c r="N15" s="64">
        <f t="shared" si="8"/>
        <v>350</v>
      </c>
      <c r="O15" s="68">
        <f t="shared" si="9"/>
        <v>0</v>
      </c>
      <c r="P15" s="58"/>
      <c r="Q15" s="58">
        <v>10</v>
      </c>
      <c r="R15" s="61">
        <v>0</v>
      </c>
      <c r="S15" s="61">
        <v>0</v>
      </c>
      <c r="T15" s="61">
        <v>0</v>
      </c>
      <c r="U15" s="61">
        <v>0</v>
      </c>
      <c r="V15" s="61">
        <v>0</v>
      </c>
      <c r="W15" s="61">
        <v>0</v>
      </c>
      <c r="X15" s="61">
        <v>0</v>
      </c>
      <c r="Y15" s="61">
        <v>0</v>
      </c>
      <c r="Z15" s="61">
        <v>0</v>
      </c>
      <c r="AA15" s="61">
        <v>0</v>
      </c>
      <c r="AB15" s="61">
        <v>0</v>
      </c>
      <c r="AC15" s="61">
        <v>0</v>
      </c>
      <c r="AD15" s="61">
        <v>0</v>
      </c>
      <c r="AE15" s="61">
        <v>0</v>
      </c>
      <c r="AF15" s="61">
        <v>0</v>
      </c>
      <c r="AG15" s="61">
        <v>0</v>
      </c>
      <c r="AH15" s="61">
        <v>0</v>
      </c>
      <c r="AI15" s="61">
        <v>0</v>
      </c>
      <c r="AJ15" s="61">
        <v>0</v>
      </c>
      <c r="AK15" s="61">
        <v>0</v>
      </c>
      <c r="AL15" s="61">
        <v>0</v>
      </c>
      <c r="AM15" s="61">
        <v>0</v>
      </c>
      <c r="AN15" s="61">
        <v>0</v>
      </c>
      <c r="AO15" s="61">
        <v>0</v>
      </c>
      <c r="AP15" s="61">
        <v>0</v>
      </c>
      <c r="AQ15" s="61">
        <v>0</v>
      </c>
      <c r="AR15" s="61">
        <v>0</v>
      </c>
      <c r="AS15" s="61">
        <f>SUMIFS('Tổng Đơn'!$F:$F,'Tổng Đơn'!$B:$B,$C15)</f>
        <v>0</v>
      </c>
      <c r="AT15" s="61">
        <v>0</v>
      </c>
      <c r="AU15" s="61">
        <v>0</v>
      </c>
      <c r="AV15" s="61">
        <v>0</v>
      </c>
      <c r="AW15" s="59">
        <v>0</v>
      </c>
      <c r="AX15" s="59">
        <f t="shared" si="10"/>
        <v>0</v>
      </c>
    </row>
    <row r="16" spans="1:50" ht="18.75" x14ac:dyDescent="0.25">
      <c r="A16" s="59">
        <f t="shared" si="1"/>
        <v>0</v>
      </c>
      <c r="B16" s="6">
        <v>12</v>
      </c>
      <c r="C16" s="61" t="s">
        <v>11</v>
      </c>
      <c r="D16" s="69">
        <v>41</v>
      </c>
      <c r="E16" s="6">
        <v>0.5</v>
      </c>
      <c r="F16" s="6">
        <v>160</v>
      </c>
      <c r="G16" s="72">
        <f t="shared" si="2"/>
        <v>20.5</v>
      </c>
      <c r="H16" s="74">
        <f t="shared" si="3"/>
        <v>3280</v>
      </c>
      <c r="I16" s="65">
        <f t="shared" si="4"/>
        <v>0.5521817204909224</v>
      </c>
      <c r="J16" s="66">
        <f t="shared" si="5"/>
        <v>21.052181720490921</v>
      </c>
      <c r="K16" s="66">
        <f t="shared" si="6"/>
        <v>3368.3490752785474</v>
      </c>
      <c r="L16" s="73">
        <v>26</v>
      </c>
      <c r="M16" s="64">
        <f t="shared" si="7"/>
        <v>4160</v>
      </c>
      <c r="N16" s="64">
        <f t="shared" si="8"/>
        <v>4160</v>
      </c>
      <c r="O16" s="68">
        <f t="shared" si="9"/>
        <v>0</v>
      </c>
      <c r="P16" s="58"/>
      <c r="Q16" s="58">
        <v>160</v>
      </c>
      <c r="R16" s="61">
        <v>0</v>
      </c>
      <c r="S16" s="61">
        <v>0</v>
      </c>
      <c r="T16" s="61">
        <v>0</v>
      </c>
      <c r="U16" s="61">
        <v>0</v>
      </c>
      <c r="V16" s="61">
        <v>0</v>
      </c>
      <c r="W16" s="61">
        <v>0</v>
      </c>
      <c r="X16" s="61">
        <v>0</v>
      </c>
      <c r="Y16" s="61">
        <v>0</v>
      </c>
      <c r="Z16" s="61">
        <v>0</v>
      </c>
      <c r="AA16" s="61">
        <v>0</v>
      </c>
      <c r="AB16" s="61">
        <v>0</v>
      </c>
      <c r="AC16" s="61">
        <v>0</v>
      </c>
      <c r="AD16" s="61">
        <v>0</v>
      </c>
      <c r="AE16" s="61">
        <v>0</v>
      </c>
      <c r="AF16" s="61">
        <v>0</v>
      </c>
      <c r="AG16" s="61">
        <v>0</v>
      </c>
      <c r="AH16" s="61">
        <v>0</v>
      </c>
      <c r="AI16" s="61">
        <v>0</v>
      </c>
      <c r="AJ16" s="61">
        <v>0</v>
      </c>
      <c r="AK16" s="61">
        <v>0</v>
      </c>
      <c r="AL16" s="61">
        <v>0</v>
      </c>
      <c r="AM16" s="61">
        <v>0</v>
      </c>
      <c r="AN16" s="61">
        <v>0</v>
      </c>
      <c r="AO16" s="61">
        <v>0</v>
      </c>
      <c r="AP16" s="61">
        <v>0</v>
      </c>
      <c r="AQ16" s="61">
        <v>0</v>
      </c>
      <c r="AR16" s="61">
        <v>0</v>
      </c>
      <c r="AS16" s="61">
        <f>SUMIFS('Tổng Đơn'!$F:$F,'Tổng Đơn'!$B:$B,$C16)</f>
        <v>0</v>
      </c>
      <c r="AT16" s="61">
        <v>0</v>
      </c>
      <c r="AU16" s="61">
        <v>0</v>
      </c>
      <c r="AV16" s="61">
        <v>0</v>
      </c>
      <c r="AW16" s="59">
        <v>0</v>
      </c>
      <c r="AX16" s="59">
        <f t="shared" si="10"/>
        <v>0</v>
      </c>
    </row>
    <row r="17" spans="1:50" ht="18.75" x14ac:dyDescent="0.25">
      <c r="A17" s="59">
        <f t="shared" si="1"/>
        <v>0</v>
      </c>
      <c r="B17" s="6">
        <v>13</v>
      </c>
      <c r="C17" s="61" t="s">
        <v>12</v>
      </c>
      <c r="D17" s="69">
        <v>41</v>
      </c>
      <c r="E17" s="6">
        <v>0.5</v>
      </c>
      <c r="F17" s="6">
        <v>110</v>
      </c>
      <c r="G17" s="72">
        <f t="shared" si="2"/>
        <v>20.5</v>
      </c>
      <c r="H17" s="74">
        <f t="shared" si="3"/>
        <v>2255</v>
      </c>
      <c r="I17" s="65">
        <f t="shared" si="4"/>
        <v>0.55218172049092251</v>
      </c>
      <c r="J17" s="66">
        <f t="shared" si="5"/>
        <v>21.052181720490921</v>
      </c>
      <c r="K17" s="66">
        <f t="shared" si="6"/>
        <v>2315.7399892540016</v>
      </c>
      <c r="L17" s="73">
        <v>28</v>
      </c>
      <c r="M17" s="64">
        <f t="shared" si="7"/>
        <v>3080</v>
      </c>
      <c r="N17" s="64">
        <f t="shared" si="8"/>
        <v>3080</v>
      </c>
      <c r="O17" s="68">
        <f t="shared" si="9"/>
        <v>0</v>
      </c>
      <c r="P17" s="58"/>
      <c r="Q17" s="58">
        <v>110</v>
      </c>
      <c r="R17" s="61">
        <v>0</v>
      </c>
      <c r="S17" s="61">
        <v>0</v>
      </c>
      <c r="T17" s="61">
        <v>0</v>
      </c>
      <c r="U17" s="61">
        <v>0</v>
      </c>
      <c r="V17" s="61">
        <v>0</v>
      </c>
      <c r="W17" s="61">
        <v>0</v>
      </c>
      <c r="X17" s="61">
        <v>0</v>
      </c>
      <c r="Y17" s="61">
        <v>0</v>
      </c>
      <c r="Z17" s="61">
        <v>0</v>
      </c>
      <c r="AA17" s="61">
        <v>0</v>
      </c>
      <c r="AB17" s="61">
        <v>0</v>
      </c>
      <c r="AC17" s="61">
        <v>0</v>
      </c>
      <c r="AD17" s="61">
        <v>0</v>
      </c>
      <c r="AE17" s="61">
        <v>0</v>
      </c>
      <c r="AF17" s="61">
        <v>0</v>
      </c>
      <c r="AG17" s="61">
        <v>0</v>
      </c>
      <c r="AH17" s="61">
        <v>0</v>
      </c>
      <c r="AI17" s="61">
        <v>0</v>
      </c>
      <c r="AJ17" s="61">
        <v>0</v>
      </c>
      <c r="AK17" s="61">
        <v>0</v>
      </c>
      <c r="AL17" s="61">
        <v>0</v>
      </c>
      <c r="AM17" s="61">
        <v>0</v>
      </c>
      <c r="AN17" s="61">
        <v>0</v>
      </c>
      <c r="AO17" s="61">
        <v>0</v>
      </c>
      <c r="AP17" s="61">
        <v>0</v>
      </c>
      <c r="AQ17" s="61">
        <v>0</v>
      </c>
      <c r="AR17" s="61">
        <v>0</v>
      </c>
      <c r="AS17" s="61">
        <f>SUMIFS('Tổng Đơn'!$F:$F,'Tổng Đơn'!$B:$B,$C17)</f>
        <v>0</v>
      </c>
      <c r="AT17" s="61">
        <v>0</v>
      </c>
      <c r="AU17" s="61">
        <v>0</v>
      </c>
      <c r="AV17" s="61">
        <v>0</v>
      </c>
      <c r="AW17" s="59">
        <v>0</v>
      </c>
      <c r="AX17" s="59">
        <f t="shared" si="10"/>
        <v>0</v>
      </c>
    </row>
    <row r="18" spans="1:50" ht="18.75" x14ac:dyDescent="0.25">
      <c r="A18" s="59">
        <f t="shared" ca="1" si="1"/>
        <v>2634.0900542955715</v>
      </c>
      <c r="B18" s="6">
        <v>14</v>
      </c>
      <c r="C18" s="61" t="s">
        <v>13</v>
      </c>
      <c r="D18" s="69">
        <v>57</v>
      </c>
      <c r="E18" s="6">
        <v>0.5</v>
      </c>
      <c r="F18" s="6">
        <f>30+46+100+40+60+50+40+100+100+70+80+100+50+60+100+100+60+40+100</f>
        <v>1326</v>
      </c>
      <c r="G18" s="72">
        <f>D18/2</f>
        <v>28.5</v>
      </c>
      <c r="H18" s="74">
        <f t="shared" ref="H18" si="11">G18*F18</f>
        <v>37791</v>
      </c>
      <c r="I18" s="65">
        <f t="shared" si="4"/>
        <v>0.7676672699507946</v>
      </c>
      <c r="J18" s="66">
        <f t="shared" si="5"/>
        <v>29.267667269950795</v>
      </c>
      <c r="K18" s="66">
        <f t="shared" si="6"/>
        <v>38808.926799954752</v>
      </c>
      <c r="L18" s="73">
        <v>33</v>
      </c>
      <c r="M18" s="64">
        <f t="shared" ref="M18" si="12">L18*F18</f>
        <v>43758</v>
      </c>
      <c r="N18" s="64">
        <f t="shared" ca="1" si="8"/>
        <v>40755</v>
      </c>
      <c r="O18" s="68">
        <f t="shared" ca="1" si="9"/>
        <v>90</v>
      </c>
      <c r="P18" s="58">
        <v>1</v>
      </c>
      <c r="Q18" s="58">
        <v>1021</v>
      </c>
      <c r="R18" s="61">
        <v>10</v>
      </c>
      <c r="S18" s="61">
        <v>5</v>
      </c>
      <c r="T18" s="61">
        <v>29</v>
      </c>
      <c r="U18" s="61">
        <v>0</v>
      </c>
      <c r="V18" s="61">
        <v>2</v>
      </c>
      <c r="W18" s="61">
        <v>10</v>
      </c>
      <c r="X18" s="61">
        <v>6</v>
      </c>
      <c r="Y18" s="61">
        <v>1</v>
      </c>
      <c r="Z18" s="61">
        <v>0</v>
      </c>
      <c r="AA18" s="61">
        <v>12</v>
      </c>
      <c r="AB18" s="61">
        <v>10</v>
      </c>
      <c r="AC18" s="61">
        <v>5</v>
      </c>
      <c r="AD18" s="61">
        <v>15</v>
      </c>
      <c r="AE18" s="61">
        <v>4</v>
      </c>
      <c r="AF18" s="61">
        <v>0</v>
      </c>
      <c r="AG18" s="61">
        <v>2</v>
      </c>
      <c r="AH18" s="61">
        <v>5</v>
      </c>
      <c r="AI18" s="61">
        <v>0</v>
      </c>
      <c r="AJ18" s="61">
        <v>12</v>
      </c>
      <c r="AK18" s="61">
        <v>20</v>
      </c>
      <c r="AL18" s="61">
        <v>13</v>
      </c>
      <c r="AM18" s="61">
        <v>5</v>
      </c>
      <c r="AN18" s="61">
        <v>10</v>
      </c>
      <c r="AO18" s="61">
        <v>12</v>
      </c>
      <c r="AP18" s="61">
        <v>5</v>
      </c>
      <c r="AQ18" s="61">
        <v>16</v>
      </c>
      <c r="AR18" s="61">
        <v>0</v>
      </c>
      <c r="AS18" s="61">
        <f ca="1">SUMIFS('Tổng Đơn'!$F:$F,'Tổng Đơn'!$B:$B,$C18)</f>
        <v>5</v>
      </c>
      <c r="AT18" s="61">
        <v>0</v>
      </c>
      <c r="AU18" s="61">
        <v>0</v>
      </c>
      <c r="AV18" s="61">
        <v>0</v>
      </c>
      <c r="AW18" s="59">
        <v>70</v>
      </c>
      <c r="AX18" s="59">
        <f t="shared" si="10"/>
        <v>1995</v>
      </c>
    </row>
    <row r="19" spans="1:50" ht="18.75" x14ac:dyDescent="0.25">
      <c r="A19" s="59">
        <f t="shared" si="1"/>
        <v>0</v>
      </c>
      <c r="B19" s="6">
        <v>15</v>
      </c>
      <c r="C19" s="61" t="s">
        <v>14</v>
      </c>
      <c r="D19" s="69">
        <v>60</v>
      </c>
      <c r="E19" s="6">
        <v>0.5</v>
      </c>
      <c r="F19" s="6">
        <v>10</v>
      </c>
      <c r="G19" s="72">
        <f t="shared" si="2"/>
        <v>30</v>
      </c>
      <c r="H19" s="74">
        <f t="shared" si="3"/>
        <v>300</v>
      </c>
      <c r="I19" s="65">
        <f t="shared" si="4"/>
        <v>0.80807081047452056</v>
      </c>
      <c r="J19" s="66">
        <f t="shared" si="5"/>
        <v>30.808070810474522</v>
      </c>
      <c r="K19" s="66">
        <f t="shared" si="6"/>
        <v>308.08070810474521</v>
      </c>
      <c r="L19" s="73">
        <v>35</v>
      </c>
      <c r="M19" s="64">
        <f t="shared" si="7"/>
        <v>350</v>
      </c>
      <c r="N19" s="64">
        <f t="shared" si="8"/>
        <v>350</v>
      </c>
      <c r="O19" s="68">
        <f t="shared" si="9"/>
        <v>0</v>
      </c>
      <c r="P19" s="58"/>
      <c r="Q19" s="58">
        <v>10</v>
      </c>
      <c r="R19" s="61">
        <v>0</v>
      </c>
      <c r="S19" s="61">
        <v>0</v>
      </c>
      <c r="T19" s="61">
        <v>0</v>
      </c>
      <c r="U19" s="61">
        <v>0</v>
      </c>
      <c r="V19" s="61">
        <v>0</v>
      </c>
      <c r="W19" s="61">
        <v>0</v>
      </c>
      <c r="X19" s="61">
        <v>0</v>
      </c>
      <c r="Y19" s="61">
        <v>0</v>
      </c>
      <c r="Z19" s="61">
        <v>0</v>
      </c>
      <c r="AA19" s="61">
        <v>0</v>
      </c>
      <c r="AB19" s="61">
        <v>0</v>
      </c>
      <c r="AC19" s="61">
        <v>0</v>
      </c>
      <c r="AD19" s="61">
        <v>0</v>
      </c>
      <c r="AE19" s="61">
        <v>0</v>
      </c>
      <c r="AF19" s="61">
        <v>0</v>
      </c>
      <c r="AG19" s="61">
        <v>0</v>
      </c>
      <c r="AH19" s="61">
        <v>0</v>
      </c>
      <c r="AI19" s="61">
        <v>0</v>
      </c>
      <c r="AJ19" s="61">
        <v>0</v>
      </c>
      <c r="AK19" s="61">
        <v>0</v>
      </c>
      <c r="AL19" s="61">
        <v>0</v>
      </c>
      <c r="AM19" s="61">
        <v>0</v>
      </c>
      <c r="AN19" s="61">
        <v>0</v>
      </c>
      <c r="AO19" s="61">
        <v>0</v>
      </c>
      <c r="AP19" s="61">
        <v>0</v>
      </c>
      <c r="AQ19" s="61">
        <v>0</v>
      </c>
      <c r="AR19" s="61">
        <v>0</v>
      </c>
      <c r="AS19" s="61">
        <f>SUMIFS('Tổng Đơn'!$F:$F,'Tổng Đơn'!$B:$B,$C19)</f>
        <v>0</v>
      </c>
      <c r="AT19" s="61">
        <v>0</v>
      </c>
      <c r="AU19" s="61">
        <v>0</v>
      </c>
      <c r="AV19" s="61">
        <v>0</v>
      </c>
      <c r="AW19" s="59">
        <v>0</v>
      </c>
      <c r="AX19" s="59">
        <f t="shared" si="10"/>
        <v>0</v>
      </c>
    </row>
    <row r="20" spans="1:50" ht="18.75" x14ac:dyDescent="0.25">
      <c r="A20" s="59">
        <f t="shared" si="1"/>
        <v>0</v>
      </c>
      <c r="B20" s="6">
        <v>16</v>
      </c>
      <c r="C20" s="61" t="s">
        <v>140</v>
      </c>
      <c r="D20" s="69">
        <v>54</v>
      </c>
      <c r="E20" s="6">
        <v>0.5</v>
      </c>
      <c r="F20" s="6">
        <v>10</v>
      </c>
      <c r="G20" s="72">
        <f t="shared" si="2"/>
        <v>27</v>
      </c>
      <c r="H20" s="74">
        <f t="shared" si="3"/>
        <v>270</v>
      </c>
      <c r="I20" s="65">
        <f t="shared" si="4"/>
        <v>0.72726372942706863</v>
      </c>
      <c r="J20" s="66">
        <f t="shared" ref="J20:J23" si="13">G20+I20</f>
        <v>27.727263729427069</v>
      </c>
      <c r="K20" s="66">
        <f t="shared" si="6"/>
        <v>277.27263729427068</v>
      </c>
      <c r="L20" s="73">
        <v>45</v>
      </c>
      <c r="M20" s="64">
        <f t="shared" si="7"/>
        <v>450</v>
      </c>
      <c r="N20" s="64">
        <f t="shared" si="8"/>
        <v>405</v>
      </c>
      <c r="O20" s="68">
        <f t="shared" si="9"/>
        <v>0</v>
      </c>
      <c r="P20" s="58">
        <v>1</v>
      </c>
      <c r="Q20" s="58">
        <v>9</v>
      </c>
      <c r="R20" s="61">
        <v>0</v>
      </c>
      <c r="S20" s="61">
        <v>0</v>
      </c>
      <c r="T20" s="61">
        <v>0</v>
      </c>
      <c r="U20" s="61">
        <v>0</v>
      </c>
      <c r="V20" s="61">
        <v>0</v>
      </c>
      <c r="W20" s="61">
        <v>0</v>
      </c>
      <c r="X20" s="61">
        <v>0</v>
      </c>
      <c r="Y20" s="61">
        <v>0</v>
      </c>
      <c r="Z20" s="61">
        <v>0</v>
      </c>
      <c r="AA20" s="61">
        <v>0</v>
      </c>
      <c r="AB20" s="61">
        <v>0</v>
      </c>
      <c r="AC20" s="61">
        <v>0</v>
      </c>
      <c r="AD20" s="61">
        <v>0</v>
      </c>
      <c r="AE20" s="61">
        <v>0</v>
      </c>
      <c r="AF20" s="61">
        <v>0</v>
      </c>
      <c r="AG20" s="61">
        <v>0</v>
      </c>
      <c r="AH20" s="61">
        <v>0</v>
      </c>
      <c r="AI20" s="61">
        <v>0</v>
      </c>
      <c r="AJ20" s="61">
        <v>0</v>
      </c>
      <c r="AK20" s="61">
        <v>0</v>
      </c>
      <c r="AL20" s="61">
        <v>0</v>
      </c>
      <c r="AM20" s="61">
        <v>0</v>
      </c>
      <c r="AN20" s="61">
        <v>0</v>
      </c>
      <c r="AO20" s="61">
        <v>0</v>
      </c>
      <c r="AP20" s="61">
        <v>0</v>
      </c>
      <c r="AQ20" s="61">
        <v>0</v>
      </c>
      <c r="AR20" s="61">
        <v>0</v>
      </c>
      <c r="AS20" s="61">
        <f>SUMIFS('Tổng Đơn'!$F:$F,'Tổng Đơn'!$B:$B,$C20)</f>
        <v>0</v>
      </c>
      <c r="AT20" s="61">
        <v>0</v>
      </c>
      <c r="AU20" s="61">
        <v>0</v>
      </c>
      <c r="AV20" s="61">
        <v>0</v>
      </c>
      <c r="AW20" s="59">
        <v>0</v>
      </c>
      <c r="AX20" s="59">
        <f t="shared" si="10"/>
        <v>0</v>
      </c>
    </row>
    <row r="21" spans="1:50" ht="18.75" x14ac:dyDescent="0.25">
      <c r="A21" s="59">
        <f t="shared" ca="1" si="1"/>
        <v>1496.2453056953791</v>
      </c>
      <c r="B21" s="6">
        <v>17</v>
      </c>
      <c r="C21" s="61" t="s">
        <v>248</v>
      </c>
      <c r="D21" s="69">
        <v>62</v>
      </c>
      <c r="E21" s="6">
        <v>0.5</v>
      </c>
      <c r="F21" s="6">
        <f>135+80+20+10+20+10+10+10+30+20+20</f>
        <v>365</v>
      </c>
      <c r="G21" s="72">
        <f t="shared" si="2"/>
        <v>31</v>
      </c>
      <c r="H21" s="74">
        <f t="shared" si="3"/>
        <v>11315</v>
      </c>
      <c r="I21" s="65">
        <f t="shared" si="4"/>
        <v>0.83500650415700473</v>
      </c>
      <c r="J21" s="66">
        <f t="shared" si="13"/>
        <v>31.835006504157004</v>
      </c>
      <c r="K21" s="66">
        <f t="shared" si="6"/>
        <v>11619.777374017307</v>
      </c>
      <c r="L21" s="73">
        <v>40</v>
      </c>
      <c r="M21" s="64">
        <f t="shared" si="7"/>
        <v>14600</v>
      </c>
      <c r="N21" s="64">
        <f t="shared" ca="1" si="8"/>
        <v>12720</v>
      </c>
      <c r="O21" s="68">
        <f t="shared" ca="1" si="9"/>
        <v>47</v>
      </c>
      <c r="P21" s="58"/>
      <c r="Q21" s="58">
        <v>280</v>
      </c>
      <c r="R21" s="61">
        <v>1</v>
      </c>
      <c r="S21" s="61">
        <v>5</v>
      </c>
      <c r="T21" s="61">
        <v>0</v>
      </c>
      <c r="U21" s="61">
        <v>1</v>
      </c>
      <c r="V21" s="61">
        <v>0</v>
      </c>
      <c r="W21" s="61">
        <v>0</v>
      </c>
      <c r="X21" s="61">
        <v>0</v>
      </c>
      <c r="Y21" s="61">
        <v>6</v>
      </c>
      <c r="Z21" s="61">
        <v>1</v>
      </c>
      <c r="AA21" s="61">
        <v>0</v>
      </c>
      <c r="AB21" s="61">
        <v>0</v>
      </c>
      <c r="AC21" s="61">
        <v>1</v>
      </c>
      <c r="AD21" s="61">
        <v>15</v>
      </c>
      <c r="AE21" s="61">
        <v>0</v>
      </c>
      <c r="AF21" s="61">
        <v>1</v>
      </c>
      <c r="AG21" s="61">
        <v>1</v>
      </c>
      <c r="AH21" s="61">
        <v>1</v>
      </c>
      <c r="AI21" s="61">
        <v>2</v>
      </c>
      <c r="AJ21" s="61">
        <v>0</v>
      </c>
      <c r="AK21" s="61">
        <v>0</v>
      </c>
      <c r="AL21" s="61">
        <v>2</v>
      </c>
      <c r="AM21" s="61">
        <v>0</v>
      </c>
      <c r="AN21" s="61">
        <v>1</v>
      </c>
      <c r="AO21" s="61">
        <v>0</v>
      </c>
      <c r="AP21" s="61">
        <v>0</v>
      </c>
      <c r="AQ21" s="61">
        <v>0</v>
      </c>
      <c r="AR21" s="61">
        <v>0</v>
      </c>
      <c r="AS21" s="61">
        <f ca="1">SUMIFS('Tổng Đơn'!$F:$F,'Tổng Đơn'!$B:$B,$C21)</f>
        <v>0</v>
      </c>
      <c r="AT21" s="61">
        <v>0</v>
      </c>
      <c r="AU21" s="61">
        <v>0</v>
      </c>
      <c r="AV21" s="61">
        <v>0</v>
      </c>
      <c r="AW21" s="59">
        <v>0</v>
      </c>
      <c r="AX21" s="59">
        <f t="shared" si="10"/>
        <v>0</v>
      </c>
    </row>
    <row r="22" spans="1:50" ht="18.75" x14ac:dyDescent="0.25">
      <c r="A22" s="59">
        <f t="shared" ca="1" si="1"/>
        <v>0</v>
      </c>
      <c r="B22" s="6">
        <v>18</v>
      </c>
      <c r="C22" s="61" t="s">
        <v>120</v>
      </c>
      <c r="D22" s="69">
        <v>43</v>
      </c>
      <c r="E22" s="6">
        <v>0.5</v>
      </c>
      <c r="F22" s="6">
        <v>25</v>
      </c>
      <c r="G22" s="72">
        <f t="shared" si="2"/>
        <v>21.5</v>
      </c>
      <c r="H22" s="74">
        <f t="shared" si="3"/>
        <v>537.5</v>
      </c>
      <c r="I22" s="65">
        <f t="shared" si="4"/>
        <v>0.57911741417340645</v>
      </c>
      <c r="J22" s="66">
        <f t="shared" si="13"/>
        <v>22.079117414173407</v>
      </c>
      <c r="K22" s="66">
        <f t="shared" si="6"/>
        <v>551.97793535433516</v>
      </c>
      <c r="L22" s="73">
        <v>35</v>
      </c>
      <c r="M22" s="64">
        <f t="shared" si="7"/>
        <v>875</v>
      </c>
      <c r="N22" s="64">
        <f t="shared" ca="1" si="8"/>
        <v>875</v>
      </c>
      <c r="O22" s="68">
        <f t="shared" ca="1" si="9"/>
        <v>0</v>
      </c>
      <c r="P22" s="58"/>
      <c r="Q22" s="58">
        <v>25</v>
      </c>
      <c r="R22" s="61">
        <v>0</v>
      </c>
      <c r="S22" s="61">
        <v>0</v>
      </c>
      <c r="T22" s="61">
        <v>0</v>
      </c>
      <c r="U22" s="61">
        <v>0</v>
      </c>
      <c r="V22" s="61">
        <v>0</v>
      </c>
      <c r="W22" s="61">
        <v>0</v>
      </c>
      <c r="X22" s="61">
        <v>0</v>
      </c>
      <c r="Y22" s="61">
        <v>0</v>
      </c>
      <c r="Z22" s="61">
        <v>0</v>
      </c>
      <c r="AA22" s="61">
        <v>0</v>
      </c>
      <c r="AB22" s="61">
        <v>0</v>
      </c>
      <c r="AC22" s="61">
        <v>0</v>
      </c>
      <c r="AD22" s="61">
        <v>0</v>
      </c>
      <c r="AE22" s="61">
        <v>0</v>
      </c>
      <c r="AF22" s="61">
        <v>0</v>
      </c>
      <c r="AG22" s="61">
        <v>0</v>
      </c>
      <c r="AH22" s="61">
        <v>0</v>
      </c>
      <c r="AI22" s="61">
        <v>0</v>
      </c>
      <c r="AJ22" s="61">
        <v>0</v>
      </c>
      <c r="AK22" s="61">
        <v>0</v>
      </c>
      <c r="AL22" s="61">
        <v>0</v>
      </c>
      <c r="AM22" s="61">
        <v>0</v>
      </c>
      <c r="AN22" s="61">
        <v>0</v>
      </c>
      <c r="AO22" s="61">
        <v>0</v>
      </c>
      <c r="AP22" s="61">
        <v>0</v>
      </c>
      <c r="AQ22" s="61">
        <v>0</v>
      </c>
      <c r="AR22" s="61">
        <v>0</v>
      </c>
      <c r="AS22" s="61">
        <f ca="1">SUMIFS('Tổng Đơn'!$F:$F,'Tổng Đơn'!$B:$B,$C22)</f>
        <v>0</v>
      </c>
      <c r="AT22" s="61">
        <v>0</v>
      </c>
      <c r="AU22" s="61">
        <v>0</v>
      </c>
      <c r="AV22" s="61">
        <v>0</v>
      </c>
      <c r="AW22" s="59">
        <v>0</v>
      </c>
      <c r="AX22" s="59">
        <f t="shared" si="10"/>
        <v>0</v>
      </c>
    </row>
    <row r="23" spans="1:50" ht="18.75" x14ac:dyDescent="0.25">
      <c r="A23" s="59">
        <f t="shared" si="1"/>
        <v>0</v>
      </c>
      <c r="B23" s="6">
        <v>19</v>
      </c>
      <c r="C23" s="61" t="s">
        <v>152</v>
      </c>
      <c r="D23" s="69">
        <v>43.5</v>
      </c>
      <c r="E23" s="6">
        <v>0.5</v>
      </c>
      <c r="F23" s="6">
        <v>70</v>
      </c>
      <c r="G23" s="72">
        <f t="shared" si="2"/>
        <v>21.75</v>
      </c>
      <c r="H23" s="74">
        <f t="shared" si="3"/>
        <v>1522.5</v>
      </c>
      <c r="I23" s="65">
        <f t="shared" si="4"/>
        <v>0.58585133759402752</v>
      </c>
      <c r="J23" s="66">
        <f t="shared" si="13"/>
        <v>22.335851337594029</v>
      </c>
      <c r="K23" s="66">
        <f t="shared" si="6"/>
        <v>1563.509593631582</v>
      </c>
      <c r="L23" s="73">
        <v>30</v>
      </c>
      <c r="M23" s="64">
        <f t="shared" si="7"/>
        <v>2100</v>
      </c>
      <c r="N23" s="64">
        <f t="shared" si="8"/>
        <v>2070</v>
      </c>
      <c r="O23" s="68">
        <f t="shared" si="9"/>
        <v>0</v>
      </c>
      <c r="P23" s="58">
        <v>1</v>
      </c>
      <c r="Q23" s="58">
        <v>69</v>
      </c>
      <c r="R23" s="61">
        <v>0</v>
      </c>
      <c r="S23" s="61">
        <v>0</v>
      </c>
      <c r="T23" s="61">
        <v>0</v>
      </c>
      <c r="U23" s="61">
        <v>0</v>
      </c>
      <c r="V23" s="61">
        <v>0</v>
      </c>
      <c r="W23" s="61">
        <v>0</v>
      </c>
      <c r="X23" s="61">
        <v>0</v>
      </c>
      <c r="Y23" s="61">
        <v>0</v>
      </c>
      <c r="Z23" s="61">
        <v>0</v>
      </c>
      <c r="AA23" s="61">
        <v>0</v>
      </c>
      <c r="AB23" s="61">
        <v>0</v>
      </c>
      <c r="AC23" s="61">
        <v>0</v>
      </c>
      <c r="AD23" s="61">
        <v>0</v>
      </c>
      <c r="AE23" s="61">
        <v>0</v>
      </c>
      <c r="AF23" s="61">
        <v>0</v>
      </c>
      <c r="AG23" s="61">
        <v>0</v>
      </c>
      <c r="AH23" s="61">
        <v>0</v>
      </c>
      <c r="AI23" s="61">
        <v>0</v>
      </c>
      <c r="AJ23" s="61">
        <v>0</v>
      </c>
      <c r="AK23" s="61">
        <v>0</v>
      </c>
      <c r="AL23" s="61">
        <v>0</v>
      </c>
      <c r="AM23" s="61">
        <v>0</v>
      </c>
      <c r="AN23" s="61">
        <v>0</v>
      </c>
      <c r="AO23" s="61">
        <v>0</v>
      </c>
      <c r="AP23" s="61">
        <v>0</v>
      </c>
      <c r="AQ23" s="61">
        <v>0</v>
      </c>
      <c r="AR23" s="61">
        <v>0</v>
      </c>
      <c r="AS23" s="61">
        <f>SUMIFS('Tổng Đơn'!$F:$F,'Tổng Đơn'!$B:$B,$C23)</f>
        <v>0</v>
      </c>
      <c r="AT23" s="61">
        <v>0</v>
      </c>
      <c r="AU23" s="61">
        <v>0</v>
      </c>
      <c r="AV23" s="61">
        <v>0</v>
      </c>
      <c r="AW23" s="59">
        <v>0</v>
      </c>
      <c r="AX23" s="59">
        <f t="shared" si="10"/>
        <v>0</v>
      </c>
    </row>
    <row r="24" spans="1:50" ht="18.75" x14ac:dyDescent="0.25">
      <c r="A24" s="59">
        <f t="shared" ca="1" si="1"/>
        <v>2382.4908093433628</v>
      </c>
      <c r="B24" s="6">
        <v>20</v>
      </c>
      <c r="C24" s="61" t="s">
        <v>149</v>
      </c>
      <c r="D24" s="69">
        <v>145</v>
      </c>
      <c r="E24" s="6">
        <v>0.5</v>
      </c>
      <c r="F24" s="6">
        <f>76+40+40+20+20+40+20+20+40+30+30+40+30</f>
        <v>446</v>
      </c>
      <c r="G24" s="72">
        <f t="shared" si="2"/>
        <v>72.5</v>
      </c>
      <c r="H24" s="74">
        <f t="shared" si="3"/>
        <v>32335</v>
      </c>
      <c r="I24" s="65">
        <f t="shared" si="4"/>
        <v>1.9528377919800919</v>
      </c>
      <c r="J24" s="66">
        <f>G24+I24</f>
        <v>74.452837791980087</v>
      </c>
      <c r="K24" s="66">
        <f t="shared" si="6"/>
        <v>33205.965655223117</v>
      </c>
      <c r="L24" s="73">
        <v>80</v>
      </c>
      <c r="M24" s="64">
        <f t="shared" si="7"/>
        <v>35680</v>
      </c>
      <c r="N24" s="64">
        <f t="shared" ca="1" si="8"/>
        <v>33040</v>
      </c>
      <c r="O24" s="68">
        <f t="shared" ca="1" si="9"/>
        <v>32</v>
      </c>
      <c r="P24" s="58">
        <v>1</v>
      </c>
      <c r="Q24" s="58">
        <v>369</v>
      </c>
      <c r="R24" s="61">
        <v>2</v>
      </c>
      <c r="S24" s="61">
        <v>1</v>
      </c>
      <c r="T24" s="61">
        <v>3</v>
      </c>
      <c r="U24" s="61">
        <v>0</v>
      </c>
      <c r="V24" s="61">
        <v>5</v>
      </c>
      <c r="W24" s="61">
        <v>0</v>
      </c>
      <c r="X24" s="61">
        <v>0</v>
      </c>
      <c r="Y24" s="61">
        <v>3</v>
      </c>
      <c r="Z24" s="61">
        <v>0</v>
      </c>
      <c r="AA24" s="61">
        <v>3</v>
      </c>
      <c r="AB24" s="61">
        <v>2</v>
      </c>
      <c r="AC24" s="61">
        <v>3</v>
      </c>
      <c r="AD24" s="61">
        <v>4</v>
      </c>
      <c r="AE24" s="61">
        <v>1</v>
      </c>
      <c r="AF24" s="61">
        <v>1</v>
      </c>
      <c r="AG24" s="61">
        <v>1</v>
      </c>
      <c r="AH24" s="61">
        <v>2</v>
      </c>
      <c r="AI24" s="61">
        <v>2</v>
      </c>
      <c r="AJ24" s="61">
        <v>1</v>
      </c>
      <c r="AK24" s="61">
        <v>0</v>
      </c>
      <c r="AL24" s="61">
        <v>4</v>
      </c>
      <c r="AM24" s="61">
        <v>0</v>
      </c>
      <c r="AN24" s="61">
        <v>0</v>
      </c>
      <c r="AO24" s="61">
        <v>2</v>
      </c>
      <c r="AP24" s="61">
        <v>0</v>
      </c>
      <c r="AQ24" s="61">
        <v>2</v>
      </c>
      <c r="AR24" s="61">
        <v>0</v>
      </c>
      <c r="AS24" s="61">
        <f ca="1">SUMIFS('Tổng Đơn'!$F:$F,'Tổng Đơn'!$B:$B,$C24)</f>
        <v>2</v>
      </c>
      <c r="AT24" s="61">
        <v>0</v>
      </c>
      <c r="AU24" s="61">
        <v>0</v>
      </c>
      <c r="AV24" s="61">
        <v>0</v>
      </c>
      <c r="AW24" s="59">
        <v>0</v>
      </c>
      <c r="AX24" s="59">
        <f t="shared" si="10"/>
        <v>0</v>
      </c>
    </row>
    <row r="25" spans="1:50" ht="18.75" x14ac:dyDescent="0.25">
      <c r="A25" s="59">
        <f t="shared" ca="1" si="1"/>
        <v>320.40393642893503</v>
      </c>
      <c r="B25" s="6">
        <v>21</v>
      </c>
      <c r="C25" s="61" t="s">
        <v>246</v>
      </c>
      <c r="D25" s="69">
        <v>78</v>
      </c>
      <c r="E25" s="6">
        <v>0.5</v>
      </c>
      <c r="F25" s="6">
        <f>27+20+10</f>
        <v>57</v>
      </c>
      <c r="G25" s="72">
        <f t="shared" si="2"/>
        <v>39</v>
      </c>
      <c r="H25" s="74">
        <f t="shared" si="3"/>
        <v>2223</v>
      </c>
      <c r="I25" s="65">
        <f t="shared" ref="I25:I29" si="14">((H25/$H$4)*$A$2)/F25</f>
        <v>1.0504920536168769</v>
      </c>
      <c r="J25" s="66">
        <f t="shared" ref="J25:J29" si="15">G25+I25</f>
        <v>40.050492053616878</v>
      </c>
      <c r="K25" s="66">
        <f t="shared" ref="K25:K29" si="16">J25*F25</f>
        <v>2282.8780470561619</v>
      </c>
      <c r="L25" s="73">
        <v>44</v>
      </c>
      <c r="M25" s="64">
        <f t="shared" si="7"/>
        <v>2508</v>
      </c>
      <c r="N25" s="64">
        <f t="shared" ca="1" si="8"/>
        <v>2156</v>
      </c>
      <c r="O25" s="68">
        <f t="shared" ca="1" si="9"/>
        <v>8</v>
      </c>
      <c r="P25" s="58"/>
      <c r="Q25" s="58">
        <v>40</v>
      </c>
      <c r="R25" s="61">
        <v>0</v>
      </c>
      <c r="S25" s="61">
        <v>0</v>
      </c>
      <c r="T25" s="61">
        <v>0</v>
      </c>
      <c r="U25" s="61">
        <v>0</v>
      </c>
      <c r="V25" s="61">
        <v>2</v>
      </c>
      <c r="W25" s="61">
        <v>0</v>
      </c>
      <c r="X25" s="61">
        <v>0</v>
      </c>
      <c r="Y25" s="61">
        <v>4</v>
      </c>
      <c r="Z25" s="61">
        <v>0</v>
      </c>
      <c r="AA25" s="61">
        <v>0</v>
      </c>
      <c r="AB25" s="61">
        <v>0</v>
      </c>
      <c r="AC25" s="61">
        <v>1</v>
      </c>
      <c r="AD25" s="61">
        <v>0</v>
      </c>
      <c r="AE25" s="61">
        <v>0</v>
      </c>
      <c r="AF25" s="61">
        <v>2</v>
      </c>
      <c r="AG25" s="61">
        <v>0</v>
      </c>
      <c r="AH25" s="61">
        <v>0</v>
      </c>
      <c r="AI25" s="61">
        <v>0</v>
      </c>
      <c r="AJ25" s="61">
        <v>0</v>
      </c>
      <c r="AK25" s="61">
        <v>0</v>
      </c>
      <c r="AL25" s="61">
        <v>0</v>
      </c>
      <c r="AM25" s="61">
        <v>0</v>
      </c>
      <c r="AN25" s="61">
        <v>0</v>
      </c>
      <c r="AO25" s="61">
        <v>0</v>
      </c>
      <c r="AP25" s="61">
        <v>0</v>
      </c>
      <c r="AQ25" s="61">
        <v>0</v>
      </c>
      <c r="AR25" s="61">
        <v>0</v>
      </c>
      <c r="AS25" s="61">
        <f ca="1">SUMIFS('Tổng Đơn'!$F:$F,'Tổng Đơn'!$B:$B,$C25)</f>
        <v>0</v>
      </c>
      <c r="AT25" s="61">
        <v>0</v>
      </c>
      <c r="AU25" s="61">
        <v>0</v>
      </c>
      <c r="AV25" s="61">
        <v>0</v>
      </c>
      <c r="AW25" s="59">
        <v>0</v>
      </c>
      <c r="AX25" s="59">
        <f t="shared" si="10"/>
        <v>0</v>
      </c>
    </row>
    <row r="26" spans="1:50" ht="18.75" x14ac:dyDescent="0.25">
      <c r="A26" s="59">
        <f t="shared" ca="1" si="1"/>
        <v>363.53523556359931</v>
      </c>
      <c r="B26" s="6">
        <v>22</v>
      </c>
      <c r="C26" s="61" t="s">
        <v>155</v>
      </c>
      <c r="D26" s="69">
        <v>59</v>
      </c>
      <c r="E26" s="6">
        <v>0.5</v>
      </c>
      <c r="F26" s="6">
        <f>10+10+20</f>
        <v>40</v>
      </c>
      <c r="G26" s="72">
        <f t="shared" si="2"/>
        <v>29.5</v>
      </c>
      <c r="H26" s="74">
        <f t="shared" si="3"/>
        <v>1180</v>
      </c>
      <c r="I26" s="65">
        <f t="shared" si="14"/>
        <v>0.79460296363327865</v>
      </c>
      <c r="J26" s="66">
        <f t="shared" si="15"/>
        <v>30.294602963633277</v>
      </c>
      <c r="K26" s="66">
        <f t="shared" si="16"/>
        <v>1211.784118545331</v>
      </c>
      <c r="L26" s="73">
        <v>35</v>
      </c>
      <c r="M26" s="64">
        <f t="shared" si="7"/>
        <v>1400</v>
      </c>
      <c r="N26" s="64">
        <f t="shared" ca="1" si="8"/>
        <v>770</v>
      </c>
      <c r="O26" s="68">
        <f t="shared" ca="1" si="9"/>
        <v>12</v>
      </c>
      <c r="P26" s="58">
        <v>6</v>
      </c>
      <c r="Q26" s="58">
        <v>22</v>
      </c>
      <c r="R26" s="61">
        <v>0</v>
      </c>
      <c r="S26" s="61">
        <v>0</v>
      </c>
      <c r="T26" s="61">
        <v>0</v>
      </c>
      <c r="U26" s="61">
        <v>0</v>
      </c>
      <c r="V26" s="61">
        <v>0</v>
      </c>
      <c r="W26" s="61">
        <v>0</v>
      </c>
      <c r="X26" s="61">
        <v>0</v>
      </c>
      <c r="Y26" s="61">
        <v>0</v>
      </c>
      <c r="Z26" s="61">
        <v>0</v>
      </c>
      <c r="AA26" s="61">
        <v>0</v>
      </c>
      <c r="AB26" s="61">
        <v>0</v>
      </c>
      <c r="AC26" s="61">
        <v>0</v>
      </c>
      <c r="AD26" s="61">
        <v>0</v>
      </c>
      <c r="AE26" s="61">
        <v>0</v>
      </c>
      <c r="AF26" s="61">
        <v>0</v>
      </c>
      <c r="AG26" s="61">
        <v>0</v>
      </c>
      <c r="AH26" s="61">
        <v>0</v>
      </c>
      <c r="AI26" s="61">
        <v>0</v>
      </c>
      <c r="AJ26" s="61">
        <v>0</v>
      </c>
      <c r="AK26" s="61">
        <v>0</v>
      </c>
      <c r="AL26" s="61">
        <v>0</v>
      </c>
      <c r="AM26" s="61">
        <v>0</v>
      </c>
      <c r="AN26" s="61">
        <v>0</v>
      </c>
      <c r="AO26" s="61">
        <v>0</v>
      </c>
      <c r="AP26" s="61">
        <v>0</v>
      </c>
      <c r="AQ26" s="61">
        <v>0</v>
      </c>
      <c r="AR26" s="61">
        <v>0</v>
      </c>
      <c r="AS26" s="61">
        <f ca="1">SUMIFS('Tổng Đơn'!$F:$F,'Tổng Đơn'!$B:$B,$C26)</f>
        <v>0</v>
      </c>
      <c r="AT26" s="61">
        <v>0</v>
      </c>
      <c r="AU26" s="61">
        <v>0</v>
      </c>
      <c r="AV26" s="61">
        <v>0</v>
      </c>
      <c r="AW26" s="59">
        <v>0</v>
      </c>
      <c r="AX26" s="59">
        <f t="shared" si="10"/>
        <v>0</v>
      </c>
    </row>
    <row r="27" spans="1:50" ht="18.75" x14ac:dyDescent="0.25">
      <c r="A27" s="59">
        <f t="shared" ca="1" si="1"/>
        <v>388.18169221197894</v>
      </c>
      <c r="B27" s="6">
        <v>23</v>
      </c>
      <c r="C27" s="61" t="s">
        <v>156</v>
      </c>
      <c r="D27" s="69">
        <v>63</v>
      </c>
      <c r="E27" s="6">
        <v>0.5</v>
      </c>
      <c r="F27" s="6">
        <f>30+20+20+13+10+10+20</f>
        <v>123</v>
      </c>
      <c r="G27" s="222">
        <f t="shared" si="2"/>
        <v>31.5</v>
      </c>
      <c r="H27" s="74">
        <f t="shared" si="3"/>
        <v>3874.5</v>
      </c>
      <c r="I27" s="65">
        <f t="shared" si="14"/>
        <v>0.84847435099824686</v>
      </c>
      <c r="J27" s="66">
        <f t="shared" si="15"/>
        <v>32.348474350998245</v>
      </c>
      <c r="K27" s="66">
        <f t="shared" si="16"/>
        <v>3978.862345172784</v>
      </c>
      <c r="L27" s="73">
        <v>38</v>
      </c>
      <c r="M27" s="64">
        <f t="shared" si="7"/>
        <v>4674</v>
      </c>
      <c r="N27" s="64">
        <f t="shared" ca="1" si="8"/>
        <v>4180</v>
      </c>
      <c r="O27" s="68">
        <f t="shared" ca="1" si="9"/>
        <v>12</v>
      </c>
      <c r="P27" s="58">
        <v>1</v>
      </c>
      <c r="Q27" s="58">
        <v>105</v>
      </c>
      <c r="R27" s="61">
        <v>0</v>
      </c>
      <c r="S27" s="61">
        <v>0</v>
      </c>
      <c r="T27" s="61">
        <v>0</v>
      </c>
      <c r="U27" s="61">
        <v>0</v>
      </c>
      <c r="V27" s="61">
        <v>2</v>
      </c>
      <c r="W27" s="61">
        <v>0</v>
      </c>
      <c r="X27" s="61">
        <v>0</v>
      </c>
      <c r="Y27" s="61">
        <v>0</v>
      </c>
      <c r="Z27" s="61">
        <v>1</v>
      </c>
      <c r="AA27" s="61">
        <v>0</v>
      </c>
      <c r="AB27" s="61">
        <v>0</v>
      </c>
      <c r="AC27" s="61">
        <v>0</v>
      </c>
      <c r="AD27" s="61">
        <v>0</v>
      </c>
      <c r="AE27" s="61">
        <v>1</v>
      </c>
      <c r="AF27" s="61">
        <v>0</v>
      </c>
      <c r="AG27" s="61">
        <v>0</v>
      </c>
      <c r="AH27" s="61">
        <v>0</v>
      </c>
      <c r="AI27" s="61">
        <v>0</v>
      </c>
      <c r="AJ27" s="61">
        <v>0</v>
      </c>
      <c r="AK27" s="61">
        <v>1</v>
      </c>
      <c r="AL27" s="61">
        <v>0</v>
      </c>
      <c r="AM27" s="61">
        <v>0</v>
      </c>
      <c r="AN27" s="61">
        <v>0</v>
      </c>
      <c r="AO27" s="61">
        <v>0</v>
      </c>
      <c r="AP27" s="61">
        <v>0</v>
      </c>
      <c r="AQ27" s="61">
        <v>0</v>
      </c>
      <c r="AR27" s="61">
        <v>0</v>
      </c>
      <c r="AS27" s="61">
        <f ca="1">SUMIFS('Tổng Đơn'!$F:$F,'Tổng Đơn'!$B:$B,$C27)</f>
        <v>0</v>
      </c>
      <c r="AT27" s="61">
        <v>0</v>
      </c>
      <c r="AU27" s="61">
        <v>0</v>
      </c>
      <c r="AV27" s="61">
        <v>0</v>
      </c>
      <c r="AW27" s="59">
        <v>0</v>
      </c>
      <c r="AX27" s="59">
        <f t="shared" si="10"/>
        <v>0</v>
      </c>
    </row>
    <row r="28" spans="1:50" ht="18.75" x14ac:dyDescent="0.25">
      <c r="A28" s="59">
        <f t="shared" ca="1" si="1"/>
        <v>1876.7249802047395</v>
      </c>
      <c r="B28" s="6">
        <v>24</v>
      </c>
      <c r="C28" s="61" t="s">
        <v>178</v>
      </c>
      <c r="D28" s="69">
        <v>85</v>
      </c>
      <c r="E28" s="6">
        <v>0.5</v>
      </c>
      <c r="F28" s="6">
        <f>50+40+40+30+20+20+20</f>
        <v>220</v>
      </c>
      <c r="G28" s="221">
        <f>D28/(1/E28)</f>
        <v>42.5</v>
      </c>
      <c r="H28" s="74">
        <f t="shared" si="3"/>
        <v>9350</v>
      </c>
      <c r="I28" s="65">
        <f t="shared" si="14"/>
        <v>1.144766981505571</v>
      </c>
      <c r="J28" s="66">
        <f t="shared" si="15"/>
        <v>43.644766981505569</v>
      </c>
      <c r="K28" s="66">
        <f t="shared" si="16"/>
        <v>9601.8487359312257</v>
      </c>
      <c r="L28" s="73">
        <v>47</v>
      </c>
      <c r="M28" s="64">
        <f t="shared" si="7"/>
        <v>10340</v>
      </c>
      <c r="N28" s="64">
        <f t="shared" ca="1" si="8"/>
        <v>8272</v>
      </c>
      <c r="O28" s="68">
        <f t="shared" ca="1" si="9"/>
        <v>43</v>
      </c>
      <c r="P28" s="58">
        <v>1</v>
      </c>
      <c r="Q28" s="58">
        <v>164</v>
      </c>
      <c r="R28" s="61">
        <v>2</v>
      </c>
      <c r="S28" s="61">
        <v>0</v>
      </c>
      <c r="T28" s="61">
        <v>1</v>
      </c>
      <c r="U28" s="61">
        <v>0</v>
      </c>
      <c r="V28" s="61">
        <v>1</v>
      </c>
      <c r="W28" s="61">
        <v>0</v>
      </c>
      <c r="X28" s="61">
        <v>0</v>
      </c>
      <c r="Y28" s="61">
        <v>0</v>
      </c>
      <c r="Z28" s="61">
        <v>0</v>
      </c>
      <c r="AA28" s="61">
        <v>1</v>
      </c>
      <c r="AB28" s="61">
        <v>0</v>
      </c>
      <c r="AC28" s="61">
        <v>1</v>
      </c>
      <c r="AD28" s="61">
        <v>1</v>
      </c>
      <c r="AE28" s="61">
        <v>1</v>
      </c>
      <c r="AF28" s="61">
        <v>0</v>
      </c>
      <c r="AG28" s="61">
        <v>0</v>
      </c>
      <c r="AH28" s="61">
        <v>0</v>
      </c>
      <c r="AI28" s="61">
        <v>0</v>
      </c>
      <c r="AJ28" s="61">
        <v>0</v>
      </c>
      <c r="AK28" s="61">
        <v>0</v>
      </c>
      <c r="AL28" s="61">
        <v>0</v>
      </c>
      <c r="AM28" s="61">
        <v>0</v>
      </c>
      <c r="AN28" s="61">
        <v>0</v>
      </c>
      <c r="AO28" s="61">
        <v>3</v>
      </c>
      <c r="AP28" s="61">
        <v>0</v>
      </c>
      <c r="AQ28" s="61">
        <v>1</v>
      </c>
      <c r="AR28" s="61">
        <v>0</v>
      </c>
      <c r="AS28" s="61">
        <f ca="1">SUMIFS('Tổng Đơn'!$F:$F,'Tổng Đơn'!$B:$B,$C28)</f>
        <v>0</v>
      </c>
      <c r="AT28" s="61">
        <v>0</v>
      </c>
      <c r="AU28" s="61">
        <v>0</v>
      </c>
      <c r="AV28" s="61">
        <v>0</v>
      </c>
      <c r="AW28" s="59">
        <v>0</v>
      </c>
      <c r="AX28" s="59">
        <f t="shared" si="10"/>
        <v>0</v>
      </c>
    </row>
    <row r="29" spans="1:50" ht="18.75" x14ac:dyDescent="0.25">
      <c r="A29" s="59">
        <f t="shared" ca="1" si="1"/>
        <v>134.01510802556419</v>
      </c>
      <c r="B29" s="6">
        <v>25</v>
      </c>
      <c r="C29" s="61" t="s">
        <v>181</v>
      </c>
      <c r="D29" s="69">
        <v>87</v>
      </c>
      <c r="E29" s="6">
        <v>0.5</v>
      </c>
      <c r="F29" s="6">
        <v>20</v>
      </c>
      <c r="G29" s="72">
        <f>D29/2</f>
        <v>43.5</v>
      </c>
      <c r="H29" s="74">
        <f t="shared" si="3"/>
        <v>870</v>
      </c>
      <c r="I29" s="65">
        <f t="shared" si="14"/>
        <v>1.171702675188055</v>
      </c>
      <c r="J29" s="66">
        <f t="shared" si="15"/>
        <v>44.671702675188058</v>
      </c>
      <c r="K29" s="66">
        <f t="shared" si="16"/>
        <v>893.43405350376111</v>
      </c>
      <c r="L29" s="73">
        <v>50</v>
      </c>
      <c r="M29" s="64">
        <f t="shared" si="7"/>
        <v>1000</v>
      </c>
      <c r="N29" s="64">
        <f t="shared" ca="1" si="8"/>
        <v>850</v>
      </c>
      <c r="O29" s="68">
        <f t="shared" ca="1" si="9"/>
        <v>3</v>
      </c>
      <c r="P29" s="58"/>
      <c r="Q29" s="58">
        <v>12</v>
      </c>
      <c r="R29" s="61">
        <v>0</v>
      </c>
      <c r="S29" s="61">
        <v>0</v>
      </c>
      <c r="T29" s="61">
        <v>0</v>
      </c>
      <c r="U29" s="61">
        <v>4</v>
      </c>
      <c r="V29" s="61">
        <v>0</v>
      </c>
      <c r="W29" s="61">
        <v>0</v>
      </c>
      <c r="X29" s="61">
        <v>0</v>
      </c>
      <c r="Y29" s="61">
        <v>0</v>
      </c>
      <c r="Z29" s="61">
        <v>0</v>
      </c>
      <c r="AA29" s="61">
        <v>0</v>
      </c>
      <c r="AB29" s="61">
        <v>0</v>
      </c>
      <c r="AC29" s="61">
        <v>0</v>
      </c>
      <c r="AD29" s="61">
        <v>0</v>
      </c>
      <c r="AE29" s="61">
        <v>0</v>
      </c>
      <c r="AF29" s="61">
        <v>0</v>
      </c>
      <c r="AG29" s="61">
        <v>0</v>
      </c>
      <c r="AH29" s="61">
        <v>0</v>
      </c>
      <c r="AI29" s="61">
        <v>0</v>
      </c>
      <c r="AJ29" s="61">
        <v>0</v>
      </c>
      <c r="AK29" s="61">
        <v>1</v>
      </c>
      <c r="AL29" s="61">
        <v>0</v>
      </c>
      <c r="AM29" s="61">
        <v>0</v>
      </c>
      <c r="AN29" s="61">
        <v>0</v>
      </c>
      <c r="AO29" s="61">
        <v>0</v>
      </c>
      <c r="AP29" s="61">
        <v>0</v>
      </c>
      <c r="AQ29" s="61">
        <v>0</v>
      </c>
      <c r="AR29" s="61">
        <v>0</v>
      </c>
      <c r="AS29" s="61">
        <f ca="1">SUMIFS('Tổng Đơn'!$F:$F,'Tổng Đơn'!$B:$B,$C29)</f>
        <v>0</v>
      </c>
      <c r="AT29" s="61">
        <v>0</v>
      </c>
      <c r="AU29" s="61">
        <v>0</v>
      </c>
      <c r="AV29" s="61">
        <v>0</v>
      </c>
      <c r="AW29" s="59">
        <v>0</v>
      </c>
      <c r="AX29" s="59">
        <f t="shared" si="10"/>
        <v>0</v>
      </c>
    </row>
    <row r="30" spans="1:50" ht="18.75" x14ac:dyDescent="0.25">
      <c r="A30" s="59">
        <f t="shared" ca="1" si="1"/>
        <v>751.71692777557837</v>
      </c>
      <c r="B30" s="6">
        <v>26</v>
      </c>
      <c r="C30" s="61" t="s">
        <v>281</v>
      </c>
      <c r="D30" s="69">
        <v>61</v>
      </c>
      <c r="E30" s="6">
        <v>0.5</v>
      </c>
      <c r="F30" s="6">
        <f>20+40</f>
        <v>60</v>
      </c>
      <c r="G30" s="72">
        <f>D30/2</f>
        <v>30.5</v>
      </c>
      <c r="H30" s="74">
        <f t="shared" ref="H30" si="17">G30*F30</f>
        <v>1830</v>
      </c>
      <c r="I30" s="65">
        <f t="shared" ref="I30" si="18">((H30/$H$4)*$A$2)/F30</f>
        <v>0.82153865731576259</v>
      </c>
      <c r="J30" s="66">
        <f t="shared" ref="J30" si="19">G30+I30</f>
        <v>31.321538657315763</v>
      </c>
      <c r="K30" s="66">
        <f t="shared" ref="K30" si="20">J30*F30</f>
        <v>1879.2923194389457</v>
      </c>
      <c r="L30" s="73">
        <v>35</v>
      </c>
      <c r="M30" s="64">
        <f t="shared" si="7"/>
        <v>2100</v>
      </c>
      <c r="N30" s="64">
        <f t="shared" ca="1" si="8"/>
        <v>1260</v>
      </c>
      <c r="O30" s="68">
        <f t="shared" ca="1" si="9"/>
        <v>24</v>
      </c>
      <c r="P30" s="58"/>
      <c r="Q30" s="58">
        <v>19</v>
      </c>
      <c r="R30" s="61">
        <v>0</v>
      </c>
      <c r="S30" s="61">
        <v>3</v>
      </c>
      <c r="T30" s="61">
        <v>0</v>
      </c>
      <c r="U30" s="61">
        <v>0</v>
      </c>
      <c r="V30" s="61">
        <v>2</v>
      </c>
      <c r="W30" s="61">
        <v>0</v>
      </c>
      <c r="X30" s="61">
        <v>2</v>
      </c>
      <c r="Y30" s="61">
        <v>0</v>
      </c>
      <c r="Z30" s="61">
        <v>0</v>
      </c>
      <c r="AA30" s="61">
        <v>0</v>
      </c>
      <c r="AB30" s="61">
        <v>0</v>
      </c>
      <c r="AC30" s="61">
        <v>0</v>
      </c>
      <c r="AD30" s="61">
        <v>3</v>
      </c>
      <c r="AE30" s="61">
        <v>0</v>
      </c>
      <c r="AF30" s="61">
        <v>0</v>
      </c>
      <c r="AG30" s="61">
        <v>0</v>
      </c>
      <c r="AH30" s="61">
        <v>0</v>
      </c>
      <c r="AI30" s="61">
        <v>0</v>
      </c>
      <c r="AJ30" s="61">
        <v>0</v>
      </c>
      <c r="AK30" s="61">
        <v>1</v>
      </c>
      <c r="AL30" s="61">
        <v>2</v>
      </c>
      <c r="AM30" s="61">
        <v>1</v>
      </c>
      <c r="AN30" s="61">
        <v>0</v>
      </c>
      <c r="AO30" s="61">
        <v>1</v>
      </c>
      <c r="AP30" s="61">
        <v>0</v>
      </c>
      <c r="AQ30" s="61">
        <v>1</v>
      </c>
      <c r="AR30" s="61">
        <v>0</v>
      </c>
      <c r="AS30" s="61">
        <f ca="1">SUMIFS('Tổng Đơn'!$F:$F,'Tổng Đơn'!$B:$B,$C30)</f>
        <v>1</v>
      </c>
      <c r="AT30" s="61">
        <v>0</v>
      </c>
      <c r="AU30" s="61">
        <v>0</v>
      </c>
      <c r="AV30" s="61">
        <v>0</v>
      </c>
      <c r="AW30" s="59">
        <v>0</v>
      </c>
      <c r="AX30" s="59">
        <f t="shared" si="10"/>
        <v>0</v>
      </c>
    </row>
    <row r="31" spans="1:50" ht="18.75" x14ac:dyDescent="0.25">
      <c r="A31" s="59">
        <f t="shared" si="1"/>
        <v>0</v>
      </c>
      <c r="B31" s="6"/>
      <c r="C31" s="61"/>
      <c r="D31" s="69"/>
      <c r="E31" s="6"/>
      <c r="F31" s="6"/>
      <c r="G31" s="72"/>
      <c r="H31" s="74"/>
      <c r="I31" s="65"/>
      <c r="J31" s="66"/>
      <c r="K31" s="66"/>
      <c r="L31" s="73"/>
      <c r="M31" s="64"/>
      <c r="N31" s="64"/>
      <c r="O31" s="68"/>
      <c r="P31" s="58"/>
      <c r="Q31" s="58"/>
      <c r="R31" s="61"/>
      <c r="S31" s="61"/>
      <c r="T31" s="61"/>
      <c r="U31" s="61"/>
      <c r="V31" s="61"/>
      <c r="W31" s="61"/>
      <c r="X31" s="61"/>
      <c r="Y31" s="61"/>
      <c r="Z31" s="61"/>
      <c r="AA31" s="61"/>
      <c r="AB31" s="61"/>
      <c r="AC31" s="61"/>
      <c r="AD31" s="61"/>
      <c r="AE31" s="61"/>
      <c r="AF31" s="61"/>
      <c r="AG31" s="61"/>
      <c r="AH31" s="61"/>
      <c r="AI31" s="61"/>
      <c r="AJ31" s="61"/>
      <c r="AK31" s="61"/>
      <c r="AL31" s="61"/>
      <c r="AM31" s="61"/>
      <c r="AN31" s="61"/>
      <c r="AO31" s="61"/>
      <c r="AP31" s="61"/>
      <c r="AQ31" s="61"/>
      <c r="AR31" s="61"/>
      <c r="AS31" s="61"/>
      <c r="AT31" s="61"/>
      <c r="AU31" s="61"/>
      <c r="AV31" s="61"/>
      <c r="AW31" s="59">
        <v>0</v>
      </c>
      <c r="AX31" s="59">
        <f t="shared" si="10"/>
        <v>0</v>
      </c>
    </row>
    <row r="32" spans="1:50" ht="18.75" x14ac:dyDescent="0.25">
      <c r="A32" s="59">
        <f t="shared" si="1"/>
        <v>0</v>
      </c>
      <c r="B32" s="189" t="s">
        <v>255</v>
      </c>
      <c r="C32" s="188" t="s">
        <v>291</v>
      </c>
      <c r="D32" s="190">
        <v>39</v>
      </c>
      <c r="E32" s="189">
        <v>1</v>
      </c>
      <c r="F32" s="189">
        <v>275</v>
      </c>
      <c r="G32" s="188">
        <v>39</v>
      </c>
      <c r="H32" s="191">
        <v>10725</v>
      </c>
      <c r="I32" s="192">
        <v>1.0418493788235041</v>
      </c>
      <c r="J32" s="188">
        <v>40.041849378823507</v>
      </c>
      <c r="K32" s="188">
        <v>11011.508579176465</v>
      </c>
      <c r="L32" s="193">
        <v>45</v>
      </c>
      <c r="M32" s="194">
        <v>12375</v>
      </c>
      <c r="N32" s="194">
        <v>12420</v>
      </c>
      <c r="O32" s="194">
        <v>0</v>
      </c>
      <c r="P32" s="125">
        <v>-1</v>
      </c>
      <c r="Q32" s="125">
        <v>276</v>
      </c>
      <c r="R32" s="188">
        <v>0</v>
      </c>
      <c r="S32" s="188">
        <v>0</v>
      </c>
      <c r="T32" s="188">
        <v>0</v>
      </c>
      <c r="U32" s="188">
        <v>0</v>
      </c>
      <c r="V32" s="188">
        <v>0</v>
      </c>
      <c r="W32" s="188">
        <v>0</v>
      </c>
      <c r="X32" s="188">
        <v>0</v>
      </c>
      <c r="Y32" s="188">
        <v>0</v>
      </c>
      <c r="Z32" s="188">
        <v>0</v>
      </c>
      <c r="AA32" s="188">
        <v>0</v>
      </c>
      <c r="AB32" s="188">
        <v>0</v>
      </c>
      <c r="AC32" s="188">
        <v>0</v>
      </c>
      <c r="AD32" s="188">
        <v>0</v>
      </c>
      <c r="AE32" s="188">
        <v>0</v>
      </c>
      <c r="AF32" s="188">
        <v>0</v>
      </c>
      <c r="AG32" s="188">
        <v>0</v>
      </c>
      <c r="AH32" s="188">
        <v>0</v>
      </c>
      <c r="AI32" s="188">
        <v>0</v>
      </c>
      <c r="AJ32" s="188">
        <v>0</v>
      </c>
      <c r="AK32" s="188">
        <v>0</v>
      </c>
      <c r="AL32" s="188">
        <v>0</v>
      </c>
      <c r="AM32" s="188">
        <v>0</v>
      </c>
      <c r="AN32" s="188">
        <v>0</v>
      </c>
      <c r="AO32" s="188">
        <v>0</v>
      </c>
      <c r="AP32" s="188">
        <v>0</v>
      </c>
      <c r="AQ32" s="188">
        <v>0</v>
      </c>
      <c r="AR32" s="188">
        <v>0</v>
      </c>
      <c r="AS32" s="188">
        <v>0</v>
      </c>
      <c r="AT32" s="188">
        <v>0</v>
      </c>
      <c r="AU32" s="188">
        <v>0</v>
      </c>
      <c r="AV32" s="188">
        <v>0</v>
      </c>
      <c r="AW32" s="59">
        <v>0</v>
      </c>
    </row>
    <row r="33" spans="1:50" ht="18.75" x14ac:dyDescent="0.25">
      <c r="A33" s="59">
        <f t="shared" si="1"/>
        <v>0</v>
      </c>
      <c r="B33" s="189" t="s">
        <v>255</v>
      </c>
      <c r="C33" s="188" t="s">
        <v>257</v>
      </c>
      <c r="D33" s="190">
        <v>55</v>
      </c>
      <c r="E33" s="189">
        <v>0.5</v>
      </c>
      <c r="F33" s="189">
        <v>380</v>
      </c>
      <c r="G33" s="188">
        <v>27.5</v>
      </c>
      <c r="H33" s="191">
        <v>10450</v>
      </c>
      <c r="I33" s="192">
        <v>0.76523760671718355</v>
      </c>
      <c r="J33" s="188">
        <v>28.265237606717182</v>
      </c>
      <c r="K33" s="188">
        <v>10740.79029055253</v>
      </c>
      <c r="L33" s="193">
        <v>33</v>
      </c>
      <c r="M33" s="194">
        <v>12540</v>
      </c>
      <c r="N33" s="194">
        <v>12606</v>
      </c>
      <c r="O33" s="194">
        <v>0</v>
      </c>
      <c r="P33" s="125">
        <v>-2</v>
      </c>
      <c r="Q33" s="125">
        <v>368</v>
      </c>
      <c r="R33" s="188">
        <v>0</v>
      </c>
      <c r="S33" s="188">
        <v>0</v>
      </c>
      <c r="T33" s="188">
        <v>0</v>
      </c>
      <c r="U33" s="188">
        <v>0</v>
      </c>
      <c r="V33" s="188">
        <v>0</v>
      </c>
      <c r="W33" s="188">
        <v>0</v>
      </c>
      <c r="X33" s="188">
        <v>0</v>
      </c>
      <c r="Y33" s="188">
        <v>0</v>
      </c>
      <c r="Z33" s="188">
        <v>0</v>
      </c>
      <c r="AA33" s="188">
        <v>0</v>
      </c>
      <c r="AB33" s="188">
        <v>0</v>
      </c>
      <c r="AC33" s="188">
        <v>0</v>
      </c>
      <c r="AD33" s="188">
        <v>0</v>
      </c>
      <c r="AE33" s="188">
        <v>0</v>
      </c>
      <c r="AF33" s="188">
        <v>0</v>
      </c>
      <c r="AG33" s="188">
        <v>0</v>
      </c>
      <c r="AH33" s="188">
        <v>0</v>
      </c>
      <c r="AI33" s="188">
        <v>0</v>
      </c>
      <c r="AJ33" s="188">
        <v>0</v>
      </c>
      <c r="AK33" s="188">
        <v>0</v>
      </c>
      <c r="AL33" s="188">
        <v>0</v>
      </c>
      <c r="AM33" s="188">
        <v>0</v>
      </c>
      <c r="AN33" s="188">
        <v>0</v>
      </c>
      <c r="AO33" s="188">
        <v>0</v>
      </c>
      <c r="AP33" s="188">
        <v>0</v>
      </c>
      <c r="AQ33" s="188">
        <v>0</v>
      </c>
      <c r="AR33" s="188">
        <v>0</v>
      </c>
      <c r="AS33" s="188">
        <v>0</v>
      </c>
      <c r="AT33" s="188">
        <v>0</v>
      </c>
      <c r="AU33" s="188">
        <v>0</v>
      </c>
      <c r="AV33" s="188">
        <v>0</v>
      </c>
      <c r="AW33" s="59">
        <v>0</v>
      </c>
      <c r="AX33" s="59">
        <f>AW33*G33</f>
        <v>0</v>
      </c>
    </row>
    <row r="34" spans="1:50" ht="18.75" x14ac:dyDescent="0.25">
      <c r="A34" s="59">
        <f t="shared" si="1"/>
        <v>0</v>
      </c>
      <c r="B34" s="189" t="s">
        <v>255</v>
      </c>
      <c r="C34" s="188" t="s">
        <v>256</v>
      </c>
      <c r="D34" s="190">
        <v>74</v>
      </c>
      <c r="E34" s="189">
        <v>0.5</v>
      </c>
      <c r="F34" s="189">
        <v>93</v>
      </c>
      <c r="G34" s="188">
        <v>37</v>
      </c>
      <c r="H34" s="191">
        <v>3441</v>
      </c>
      <c r="I34" s="192">
        <v>0.94740952748159901</v>
      </c>
      <c r="J34" s="188">
        <v>37.947409527481597</v>
      </c>
      <c r="K34" s="188">
        <v>3529.1090860557883</v>
      </c>
      <c r="L34" s="193">
        <v>42</v>
      </c>
      <c r="M34" s="194">
        <v>3906</v>
      </c>
      <c r="N34" s="194">
        <v>3864</v>
      </c>
      <c r="O34" s="194">
        <v>0</v>
      </c>
      <c r="P34" s="125">
        <v>1</v>
      </c>
      <c r="Q34" s="125">
        <v>92</v>
      </c>
      <c r="R34" s="188">
        <v>0</v>
      </c>
      <c r="S34" s="188">
        <v>0</v>
      </c>
      <c r="T34" s="188">
        <v>0</v>
      </c>
      <c r="U34" s="188">
        <v>0</v>
      </c>
      <c r="V34" s="188">
        <v>0</v>
      </c>
      <c r="W34" s="188">
        <v>0</v>
      </c>
      <c r="X34" s="188">
        <v>0</v>
      </c>
      <c r="Y34" s="188">
        <v>0</v>
      </c>
      <c r="Z34" s="188">
        <v>0</v>
      </c>
      <c r="AA34" s="188">
        <v>0</v>
      </c>
      <c r="AB34" s="188">
        <v>0</v>
      </c>
      <c r="AC34" s="188">
        <v>0</v>
      </c>
      <c r="AD34" s="188">
        <v>0</v>
      </c>
      <c r="AE34" s="188">
        <v>0</v>
      </c>
      <c r="AF34" s="188">
        <v>0</v>
      </c>
      <c r="AG34" s="188">
        <v>0</v>
      </c>
      <c r="AH34" s="188">
        <v>0</v>
      </c>
      <c r="AI34" s="188">
        <v>0</v>
      </c>
      <c r="AJ34" s="188">
        <v>0</v>
      </c>
      <c r="AK34" s="188">
        <v>0</v>
      </c>
      <c r="AL34" s="188">
        <v>0</v>
      </c>
      <c r="AM34" s="188">
        <v>0</v>
      </c>
      <c r="AN34" s="188">
        <v>0</v>
      </c>
      <c r="AO34" s="188">
        <v>0</v>
      </c>
      <c r="AP34" s="188">
        <v>0</v>
      </c>
      <c r="AQ34" s="188">
        <v>0</v>
      </c>
      <c r="AR34" s="188">
        <v>0</v>
      </c>
      <c r="AS34" s="188">
        <v>0</v>
      </c>
      <c r="AT34" s="188">
        <v>0</v>
      </c>
      <c r="AU34" s="188">
        <v>0</v>
      </c>
      <c r="AV34" s="188">
        <v>0</v>
      </c>
      <c r="AW34" s="59">
        <v>0</v>
      </c>
      <c r="AX34" s="59">
        <f>AW34*G34</f>
        <v>0</v>
      </c>
    </row>
  </sheetData>
  <autoFilter ref="B4:AW34"/>
  <mergeCells count="1">
    <mergeCell ref="B1:M1"/>
  </mergeCells>
  <conditionalFormatting sqref="C6:C19 C24">
    <cfRule type="expression" dxfId="655" priority="25">
      <formula>($O6/$O6)&lt;=1/4</formula>
    </cfRule>
  </conditionalFormatting>
  <conditionalFormatting sqref="C20">
    <cfRule type="expression" dxfId="654" priority="24">
      <formula>($O20/$O20)&lt;=1/4</formula>
    </cfRule>
  </conditionalFormatting>
  <conditionalFormatting sqref="C21">
    <cfRule type="expression" dxfId="653" priority="22">
      <formula>($O21/$O21)&lt;=1/4</formula>
    </cfRule>
  </conditionalFormatting>
  <conditionalFormatting sqref="C22">
    <cfRule type="expression" dxfId="652" priority="20">
      <formula>($O22/$O22)&lt;=1/4</formula>
    </cfRule>
  </conditionalFormatting>
  <conditionalFormatting sqref="C23">
    <cfRule type="expression" dxfId="651" priority="18">
      <formula>($O23/$O23)&lt;=1/4</formula>
    </cfRule>
  </conditionalFormatting>
  <conditionalFormatting sqref="C25">
    <cfRule type="expression" dxfId="650" priority="14">
      <formula>($O25/$O25)&lt;=1/4</formula>
    </cfRule>
  </conditionalFormatting>
  <conditionalFormatting sqref="C26:C27">
    <cfRule type="expression" dxfId="649" priority="12">
      <formula>($O26/$O26)&lt;=1/4</formula>
    </cfRule>
  </conditionalFormatting>
  <conditionalFormatting sqref="C28">
    <cfRule type="expression" dxfId="648" priority="9">
      <formula>($O28/$O28)&lt;=1/4</formula>
    </cfRule>
  </conditionalFormatting>
  <conditionalFormatting sqref="C29:C31">
    <cfRule type="expression" dxfId="647" priority="7">
      <formula>($O29/$O29)&lt;=1/4</formula>
    </cfRule>
  </conditionalFormatting>
  <conditionalFormatting sqref="C5:C31">
    <cfRule type="expression" dxfId="646" priority="43">
      <formula>($O5/$F5)&lt;=1/4</formula>
    </cfRule>
  </conditionalFormatting>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B050"/>
  </sheetPr>
  <dimension ref="A1:AX30"/>
  <sheetViews>
    <sheetView topLeftCell="A2" zoomScale="90" zoomScaleNormal="90" workbookViewId="0">
      <pane xSplit="17" ySplit="3" topLeftCell="AQ5" activePane="bottomRight" state="frozen"/>
      <selection activeCell="A2" sqref="A2"/>
      <selection pane="topRight" activeCell="R2" sqref="R2"/>
      <selection pane="bottomLeft" activeCell="A5" sqref="A5"/>
      <selection pane="bottomRight" activeCell="AR5" sqref="AR5:AR25"/>
    </sheetView>
  </sheetViews>
  <sheetFormatPr defaultColWidth="9.140625" defaultRowHeight="15" x14ac:dyDescent="0.25"/>
  <cols>
    <col min="1" max="1" width="16.28515625" style="59" customWidth="1"/>
    <col min="2" max="2" width="9.140625" style="59"/>
    <col min="3" max="3" width="35.5703125" style="59" customWidth="1"/>
    <col min="4" max="4" width="9" style="59" customWidth="1"/>
    <col min="5" max="5" width="8.42578125" style="59" customWidth="1"/>
    <col min="6" max="6" width="12.85546875" style="59" bestFit="1" customWidth="1"/>
    <col min="7" max="7" width="9.7109375" style="59" customWidth="1"/>
    <col min="8" max="8" width="12.85546875" style="59" hidden="1" customWidth="1"/>
    <col min="9" max="9" width="14.85546875" style="59" hidden="1" customWidth="1"/>
    <col min="10" max="10" width="11.7109375" style="59" customWidth="1"/>
    <col min="11" max="11" width="14.85546875" style="59" hidden="1" customWidth="1"/>
    <col min="12" max="12" width="12" style="59" customWidth="1"/>
    <col min="13" max="14" width="16.28515625" style="59" hidden="1" customWidth="1"/>
    <col min="15" max="15" width="9.140625" style="59"/>
    <col min="16" max="16" width="13.140625" style="59" customWidth="1"/>
    <col min="17" max="17" width="11.85546875" style="59" customWidth="1"/>
    <col min="18" max="35" width="4.5703125" style="59" customWidth="1"/>
    <col min="36" max="36" width="4.7109375" style="59" bestFit="1" customWidth="1"/>
    <col min="37" max="48" width="4.5703125" style="59" customWidth="1"/>
    <col min="49" max="49" width="9.140625" style="59"/>
    <col min="50" max="50" width="12" style="59" bestFit="1" customWidth="1"/>
    <col min="51" max="16384" width="9.140625" style="59"/>
  </cols>
  <sheetData>
    <row r="1" spans="1:50" hidden="1" x14ac:dyDescent="0.25">
      <c r="B1" s="252" t="s">
        <v>51</v>
      </c>
      <c r="C1" s="252"/>
      <c r="D1" s="252"/>
      <c r="E1" s="252"/>
      <c r="F1" s="252"/>
      <c r="G1" s="252"/>
      <c r="H1" s="252"/>
      <c r="I1" s="252"/>
      <c r="J1" s="252"/>
      <c r="K1" s="252"/>
      <c r="L1" s="252"/>
      <c r="M1" s="252"/>
      <c r="N1" s="60"/>
    </row>
    <row r="2" spans="1:50" ht="34.5" customHeight="1" x14ac:dyDescent="0.25">
      <c r="A2" s="1">
        <f>370+100+80+150+170+60+300+200+40+180+50+100+30+60+30+160+60+70+70+30+50+60+40+20+90+40+30+70+40+20+60+50+60+20+20+40+60+60+60+140+40+80</f>
        <v>3460</v>
      </c>
      <c r="F2" s="13">
        <f>SUMPRODUCT((E5:E18)*(F5:F18))</f>
        <v>1187.5</v>
      </c>
      <c r="H2" s="157">
        <f>880+1311</f>
        <v>2191</v>
      </c>
      <c r="K2" s="157">
        <f>902+1343</f>
        <v>2245</v>
      </c>
      <c r="L2" s="13"/>
      <c r="M2" s="157">
        <f>1080+1520</f>
        <v>2600</v>
      </c>
      <c r="N2" s="157">
        <f>1053+1520</f>
        <v>2573</v>
      </c>
      <c r="AX2" s="134"/>
    </row>
    <row r="3" spans="1:50" ht="45.6" customHeight="1" x14ac:dyDescent="0.25">
      <c r="A3" s="51" t="s">
        <v>111</v>
      </c>
      <c r="B3" s="3" t="s">
        <v>0</v>
      </c>
      <c r="C3" s="3" t="s">
        <v>16</v>
      </c>
      <c r="D3" s="17" t="s">
        <v>54</v>
      </c>
      <c r="E3" s="5" t="s">
        <v>135</v>
      </c>
      <c r="F3" s="110" t="s">
        <v>134</v>
      </c>
      <c r="G3" s="4" t="s">
        <v>17</v>
      </c>
      <c r="H3" s="4" t="s">
        <v>18</v>
      </c>
      <c r="I3" s="9" t="s">
        <v>19</v>
      </c>
      <c r="J3" s="9" t="s">
        <v>20</v>
      </c>
      <c r="K3" s="9" t="s">
        <v>23</v>
      </c>
      <c r="L3" s="10" t="s">
        <v>21</v>
      </c>
      <c r="M3" s="11" t="s">
        <v>22</v>
      </c>
      <c r="N3" s="11" t="s">
        <v>109</v>
      </c>
      <c r="O3" s="20" t="s">
        <v>52</v>
      </c>
      <c r="P3" s="57" t="s">
        <v>125</v>
      </c>
      <c r="Q3" s="57" t="s">
        <v>299</v>
      </c>
      <c r="R3" s="21" t="s">
        <v>166</v>
      </c>
      <c r="S3" s="23" t="s">
        <v>167</v>
      </c>
      <c r="T3" s="21" t="s">
        <v>168</v>
      </c>
      <c r="U3" s="23" t="s">
        <v>169</v>
      </c>
      <c r="V3" s="21" t="s">
        <v>170</v>
      </c>
      <c r="W3" s="23" t="s">
        <v>171</v>
      </c>
      <c r="X3" s="21" t="s">
        <v>172</v>
      </c>
      <c r="Y3" s="23" t="s">
        <v>173</v>
      </c>
      <c r="Z3" s="21" t="s">
        <v>174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row>
    <row r="4" spans="1:50" s="46" customFormat="1" ht="27" customHeight="1" x14ac:dyDescent="0.25">
      <c r="A4" s="50">
        <f ca="1">SUBTOTAL(9,A5:A27)</f>
        <v>18692.55253833668</v>
      </c>
      <c r="B4" s="16"/>
      <c r="C4" s="16"/>
      <c r="D4" s="47"/>
      <c r="E4" s="16">
        <f>SUMPRODUCT((E5:E27)*(F5:F27))</f>
        <v>2120.1999999999998</v>
      </c>
      <c r="F4" s="16">
        <f>SUBTOTAL(9,F5:F27)</f>
        <v>4656</v>
      </c>
      <c r="G4" s="7"/>
      <c r="H4" s="7">
        <f>SUBTOTAL(9,H5:H27)+H2</f>
        <v>152766.78947368421</v>
      </c>
      <c r="I4" s="12"/>
      <c r="J4" s="12"/>
      <c r="K4" s="12">
        <f>SUBTOTAL(9,K5:K27)+K2</f>
        <v>156225.89886892997</v>
      </c>
      <c r="L4" s="48"/>
      <c r="M4" s="7">
        <f>SUBTOTAL(9,M5:M27)+M2</f>
        <v>183836</v>
      </c>
      <c r="N4" s="7">
        <f ca="1">SUBTOTAL(9,N5:N27)+N2</f>
        <v>161479</v>
      </c>
      <c r="O4" s="49">
        <f ca="1">SUBTOTAL(9,O5:O27)</f>
        <v>505</v>
      </c>
      <c r="P4" s="75">
        <f t="shared" ref="P4" si="0">SUBTOTAL(9,P5:P24)</f>
        <v>19</v>
      </c>
      <c r="Q4" s="75">
        <f>SUBTOTAL(9,Q5:Q27)</f>
        <v>3766</v>
      </c>
      <c r="R4" s="25">
        <f>SUBTOTAL(9,R5:R26)</f>
        <v>12</v>
      </c>
      <c r="S4" s="25">
        <f t="shared" ref="S4:AV4" si="1">SUBTOTAL(9,S5:S26)</f>
        <v>12</v>
      </c>
      <c r="T4" s="25">
        <f t="shared" si="1"/>
        <v>33</v>
      </c>
      <c r="U4" s="25">
        <f t="shared" si="1"/>
        <v>5</v>
      </c>
      <c r="V4" s="25">
        <f t="shared" si="1"/>
        <v>19</v>
      </c>
      <c r="W4" s="25">
        <f t="shared" si="1"/>
        <v>11</v>
      </c>
      <c r="X4" s="25">
        <f t="shared" si="1"/>
        <v>15</v>
      </c>
      <c r="Y4" s="25">
        <f t="shared" si="1"/>
        <v>10</v>
      </c>
      <c r="Z4" s="25">
        <f t="shared" si="1"/>
        <v>5</v>
      </c>
      <c r="AA4" s="25">
        <f t="shared" si="1"/>
        <v>19</v>
      </c>
      <c r="AB4" s="25">
        <f t="shared" si="1"/>
        <v>6</v>
      </c>
      <c r="AC4" s="25">
        <f t="shared" si="1"/>
        <v>8</v>
      </c>
      <c r="AD4" s="25">
        <f t="shared" si="1"/>
        <v>19</v>
      </c>
      <c r="AE4" s="25">
        <f t="shared" si="1"/>
        <v>21</v>
      </c>
      <c r="AF4" s="25">
        <f t="shared" si="1"/>
        <v>3</v>
      </c>
      <c r="AG4" s="25">
        <f t="shared" si="1"/>
        <v>11</v>
      </c>
      <c r="AH4" s="25">
        <f t="shared" si="1"/>
        <v>7</v>
      </c>
      <c r="AI4" s="25">
        <f t="shared" si="1"/>
        <v>9</v>
      </c>
      <c r="AJ4" s="25">
        <f t="shared" si="1"/>
        <v>5</v>
      </c>
      <c r="AK4" s="25">
        <f t="shared" si="1"/>
        <v>7</v>
      </c>
      <c r="AL4" s="25">
        <f t="shared" si="1"/>
        <v>26</v>
      </c>
      <c r="AM4" s="25">
        <f t="shared" si="1"/>
        <v>21</v>
      </c>
      <c r="AN4" s="25">
        <f t="shared" si="1"/>
        <v>17</v>
      </c>
      <c r="AO4" s="25">
        <f t="shared" si="1"/>
        <v>26</v>
      </c>
      <c r="AP4" s="25">
        <f t="shared" si="1"/>
        <v>0</v>
      </c>
      <c r="AQ4" s="25">
        <f t="shared" si="1"/>
        <v>11</v>
      </c>
      <c r="AR4" s="25">
        <f t="shared" si="1"/>
        <v>0</v>
      </c>
      <c r="AS4" s="25">
        <f t="shared" ca="1" si="1"/>
        <v>12</v>
      </c>
      <c r="AT4" s="25">
        <f t="shared" si="1"/>
        <v>0</v>
      </c>
      <c r="AU4" s="25">
        <f t="shared" si="1"/>
        <v>0</v>
      </c>
      <c r="AV4" s="25">
        <f t="shared" si="1"/>
        <v>0</v>
      </c>
      <c r="AW4" s="41" t="str">
        <f>SUMPRODUCT(($AW$5:$AW$24)*($E$5:$E$24))&amp;" Kg"</f>
        <v>32 Kg</v>
      </c>
      <c r="AX4" s="78">
        <f>SUBTOTAL(9,AX5:AX24)</f>
        <v>2376</v>
      </c>
    </row>
    <row r="5" spans="1:50" ht="18.75" x14ac:dyDescent="0.25">
      <c r="A5" s="59">
        <f t="shared" ref="A5:A25" ca="1" si="2">J5*O5</f>
        <v>1191.8972949480269</v>
      </c>
      <c r="B5" s="6">
        <v>1</v>
      </c>
      <c r="C5" s="61" t="s">
        <v>139</v>
      </c>
      <c r="D5" s="69">
        <f>G5*2</f>
        <v>63</v>
      </c>
      <c r="E5" s="62">
        <v>0.5</v>
      </c>
      <c r="F5" s="113">
        <f>160+41+55+72+72+48+24+120+24+24+24+48</f>
        <v>712</v>
      </c>
      <c r="G5" s="63">
        <v>31.5</v>
      </c>
      <c r="H5" s="64">
        <f t="shared" ref="H5:H19" si="3">G5*F5</f>
        <v>22428</v>
      </c>
      <c r="I5" s="65">
        <f t="shared" ref="I5:I19" si="4">((H5/$H$4)*$A$2)/F5</f>
        <v>0.71344040400073172</v>
      </c>
      <c r="J5" s="139">
        <f t="shared" ref="J5:J17" si="5">G5+I5</f>
        <v>32.213440404000728</v>
      </c>
      <c r="K5" s="66">
        <f>J5*F5</f>
        <v>22935.969567648517</v>
      </c>
      <c r="L5" s="70">
        <v>45</v>
      </c>
      <c r="M5" s="64">
        <f t="shared" ref="M5:M18" si="6">L5*F5</f>
        <v>32040</v>
      </c>
      <c r="N5" s="64">
        <f t="shared" ref="N5:N25" ca="1" si="7">SUMPRODUCT(($Q5:$AV5)*$L5)</f>
        <v>30285</v>
      </c>
      <c r="O5" s="71">
        <f t="shared" ref="O5:O25" ca="1" si="8">F5-SUM(Q5:AV5)-P5</f>
        <v>37</v>
      </c>
      <c r="P5" s="58">
        <f>1+1</f>
        <v>2</v>
      </c>
      <c r="Q5" s="58">
        <v>613</v>
      </c>
      <c r="R5" s="22">
        <v>3</v>
      </c>
      <c r="S5" s="22">
        <v>5</v>
      </c>
      <c r="T5" s="22">
        <v>0</v>
      </c>
      <c r="U5" s="22">
        <v>2</v>
      </c>
      <c r="V5" s="22">
        <v>11</v>
      </c>
      <c r="W5" s="22">
        <v>0</v>
      </c>
      <c r="X5" s="22">
        <v>2</v>
      </c>
      <c r="Y5" s="22">
        <v>0</v>
      </c>
      <c r="Z5" s="22">
        <v>0</v>
      </c>
      <c r="AA5" s="22">
        <v>7</v>
      </c>
      <c r="AB5" s="22">
        <v>0</v>
      </c>
      <c r="AC5" s="22">
        <v>2</v>
      </c>
      <c r="AD5" s="22">
        <v>4</v>
      </c>
      <c r="AE5" s="22">
        <v>2</v>
      </c>
      <c r="AF5" s="22">
        <v>0</v>
      </c>
      <c r="AG5" s="22">
        <v>1</v>
      </c>
      <c r="AH5" s="22">
        <v>1</v>
      </c>
      <c r="AI5" s="22">
        <v>4</v>
      </c>
      <c r="AJ5" s="22">
        <v>0</v>
      </c>
      <c r="AK5" s="22">
        <v>1</v>
      </c>
      <c r="AL5" s="22">
        <v>1</v>
      </c>
      <c r="AM5" s="22">
        <v>9</v>
      </c>
      <c r="AN5" s="22">
        <v>1</v>
      </c>
      <c r="AO5" s="22">
        <v>1</v>
      </c>
      <c r="AP5" s="22">
        <v>0</v>
      </c>
      <c r="AQ5" s="22">
        <v>0</v>
      </c>
      <c r="AR5" s="22">
        <v>0</v>
      </c>
      <c r="AS5" s="22">
        <f ca="1">SUMIFS('Tổng Đơn'!$F:$F,'Tổng Đơn'!$B:$B,$C5)</f>
        <v>3</v>
      </c>
      <c r="AT5" s="22">
        <v>0</v>
      </c>
      <c r="AU5" s="22">
        <v>0</v>
      </c>
      <c r="AV5" s="22">
        <v>0</v>
      </c>
      <c r="AW5" s="59">
        <v>24</v>
      </c>
      <c r="AX5" s="59">
        <f t="shared" ref="AX5:AX25" si="9">AW5*G5</f>
        <v>756</v>
      </c>
    </row>
    <row r="6" spans="1:50" ht="18.75" x14ac:dyDescent="0.25">
      <c r="A6" s="59">
        <f t="shared" ca="1" si="2"/>
        <v>497.00736623315413</v>
      </c>
      <c r="B6" s="6">
        <v>2</v>
      </c>
      <c r="C6" s="61" t="s">
        <v>249</v>
      </c>
      <c r="D6" s="69">
        <f t="shared" ref="D6:D11" si="10">G6*2</f>
        <v>81</v>
      </c>
      <c r="E6" s="62">
        <v>0.5</v>
      </c>
      <c r="F6" s="113">
        <f>20+60+20+20+20+20+20+20+20</f>
        <v>220</v>
      </c>
      <c r="G6" s="63">
        <v>40.5</v>
      </c>
      <c r="H6" s="64">
        <f t="shared" si="3"/>
        <v>8910</v>
      </c>
      <c r="I6" s="65">
        <f t="shared" si="4"/>
        <v>0.91728051942951228</v>
      </c>
      <c r="J6" s="139">
        <f t="shared" si="5"/>
        <v>41.417280519429511</v>
      </c>
      <c r="K6" s="66">
        <f t="shared" ref="K6:K17" si="11">J6*F6</f>
        <v>9111.801714274492</v>
      </c>
      <c r="L6" s="70">
        <v>46</v>
      </c>
      <c r="M6" s="64">
        <f t="shared" si="6"/>
        <v>10120</v>
      </c>
      <c r="N6" s="64">
        <f t="shared" ca="1" si="7"/>
        <v>9522</v>
      </c>
      <c r="O6" s="71">
        <f t="shared" ca="1" si="8"/>
        <v>12</v>
      </c>
      <c r="P6" s="58">
        <v>1</v>
      </c>
      <c r="Q6" s="58">
        <v>172</v>
      </c>
      <c r="R6" s="22">
        <v>0</v>
      </c>
      <c r="S6" s="22">
        <v>0</v>
      </c>
      <c r="T6" s="22">
        <v>0</v>
      </c>
      <c r="U6" s="22">
        <v>0</v>
      </c>
      <c r="V6" s="22">
        <v>2</v>
      </c>
      <c r="W6" s="22">
        <v>0</v>
      </c>
      <c r="X6" s="22">
        <v>6</v>
      </c>
      <c r="Y6" s="22">
        <v>0</v>
      </c>
      <c r="Z6" s="22">
        <v>0</v>
      </c>
      <c r="AA6" s="22">
        <v>0</v>
      </c>
      <c r="AB6" s="22">
        <v>0</v>
      </c>
      <c r="AC6" s="22">
        <v>0</v>
      </c>
      <c r="AD6" s="22">
        <v>0</v>
      </c>
      <c r="AE6" s="22">
        <v>4</v>
      </c>
      <c r="AF6" s="22">
        <v>0</v>
      </c>
      <c r="AG6" s="22">
        <v>5</v>
      </c>
      <c r="AH6" s="22">
        <v>0</v>
      </c>
      <c r="AI6" s="22">
        <v>0</v>
      </c>
      <c r="AJ6" s="22">
        <v>0</v>
      </c>
      <c r="AK6" s="22">
        <v>0</v>
      </c>
      <c r="AL6" s="22">
        <v>0</v>
      </c>
      <c r="AM6" s="22">
        <v>10</v>
      </c>
      <c r="AN6" s="22">
        <v>1</v>
      </c>
      <c r="AO6" s="22">
        <v>6</v>
      </c>
      <c r="AP6" s="22">
        <v>0</v>
      </c>
      <c r="AQ6" s="22">
        <v>1</v>
      </c>
      <c r="AR6" s="22">
        <v>0</v>
      </c>
      <c r="AS6" s="22">
        <f ca="1">SUMIFS('Tổng Đơn'!$F:$F,'Tổng Đơn'!$B:$B,$C6)</f>
        <v>0</v>
      </c>
      <c r="AT6" s="22">
        <v>0</v>
      </c>
      <c r="AU6" s="22">
        <v>0</v>
      </c>
      <c r="AV6" s="22">
        <v>0</v>
      </c>
      <c r="AW6" s="59">
        <v>40</v>
      </c>
      <c r="AX6" s="59">
        <f t="shared" si="9"/>
        <v>1620</v>
      </c>
    </row>
    <row r="7" spans="1:50" ht="18.75" x14ac:dyDescent="0.25">
      <c r="A7" s="59">
        <f t="shared" ca="1" si="2"/>
        <v>1761.5127332028972</v>
      </c>
      <c r="B7" s="6">
        <v>3</v>
      </c>
      <c r="C7" s="61" t="s">
        <v>27</v>
      </c>
      <c r="D7" s="69">
        <f t="shared" si="10"/>
        <v>65</v>
      </c>
      <c r="E7" s="62">
        <v>0.5</v>
      </c>
      <c r="F7" s="113">
        <f>120+40+40+40+40</f>
        <v>280</v>
      </c>
      <c r="G7" s="63">
        <v>32.5</v>
      </c>
      <c r="H7" s="64">
        <f t="shared" si="3"/>
        <v>9100</v>
      </c>
      <c r="I7" s="65">
        <f t="shared" si="4"/>
        <v>0.73608930571504072</v>
      </c>
      <c r="J7" s="139">
        <f t="shared" si="5"/>
        <v>33.236089305715041</v>
      </c>
      <c r="K7" s="66">
        <f t="shared" si="11"/>
        <v>9306.1050056002114</v>
      </c>
      <c r="L7" s="70">
        <v>38</v>
      </c>
      <c r="M7" s="64">
        <f t="shared" si="6"/>
        <v>10640</v>
      </c>
      <c r="N7" s="64">
        <f t="shared" ca="1" si="7"/>
        <v>8550</v>
      </c>
      <c r="O7" s="71">
        <f t="shared" ca="1" si="8"/>
        <v>53</v>
      </c>
      <c r="P7" s="58">
        <v>2</v>
      </c>
      <c r="Q7" s="58">
        <v>214</v>
      </c>
      <c r="R7" s="22">
        <v>0</v>
      </c>
      <c r="S7" s="22">
        <v>0</v>
      </c>
      <c r="T7" s="22">
        <v>1</v>
      </c>
      <c r="U7" s="22">
        <v>3</v>
      </c>
      <c r="V7" s="22">
        <v>0</v>
      </c>
      <c r="W7" s="22">
        <v>0</v>
      </c>
      <c r="X7" s="22">
        <v>1</v>
      </c>
      <c r="Y7" s="22">
        <v>0</v>
      </c>
      <c r="Z7" s="22">
        <v>0</v>
      </c>
      <c r="AA7" s="22">
        <v>0</v>
      </c>
      <c r="AB7" s="22">
        <v>0</v>
      </c>
      <c r="AC7" s="22">
        <v>0</v>
      </c>
      <c r="AD7" s="22">
        <v>1</v>
      </c>
      <c r="AE7" s="22">
        <v>1</v>
      </c>
      <c r="AF7" s="22">
        <v>0</v>
      </c>
      <c r="AG7" s="22">
        <v>0</v>
      </c>
      <c r="AH7" s="22">
        <v>0</v>
      </c>
      <c r="AI7" s="22">
        <v>1</v>
      </c>
      <c r="AJ7" s="22">
        <v>0</v>
      </c>
      <c r="AK7" s="22">
        <v>0</v>
      </c>
      <c r="AL7" s="22">
        <v>0</v>
      </c>
      <c r="AM7" s="22">
        <v>1</v>
      </c>
      <c r="AN7" s="22">
        <v>0</v>
      </c>
      <c r="AO7" s="22">
        <v>2</v>
      </c>
      <c r="AP7" s="22">
        <v>0</v>
      </c>
      <c r="AQ7" s="22">
        <v>0</v>
      </c>
      <c r="AR7" s="22">
        <v>0</v>
      </c>
      <c r="AS7" s="22">
        <f ca="1">SUMIFS('Tổng Đơn'!$F:$F,'Tổng Đơn'!$B:$B,$C7)</f>
        <v>0</v>
      </c>
      <c r="AT7" s="22">
        <v>0</v>
      </c>
      <c r="AU7" s="22">
        <v>0</v>
      </c>
      <c r="AV7" s="22">
        <v>0</v>
      </c>
      <c r="AW7" s="59">
        <v>0</v>
      </c>
      <c r="AX7" s="59">
        <f t="shared" si="9"/>
        <v>0</v>
      </c>
    </row>
    <row r="8" spans="1:50" ht="18.75" x14ac:dyDescent="0.25">
      <c r="A8" s="59">
        <f t="shared" ca="1" si="2"/>
        <v>1227.1786820571708</v>
      </c>
      <c r="B8" s="6">
        <v>4</v>
      </c>
      <c r="C8" s="61" t="s">
        <v>26</v>
      </c>
      <c r="D8" s="69">
        <f t="shared" si="10"/>
        <v>80</v>
      </c>
      <c r="E8" s="62">
        <v>0.5</v>
      </c>
      <c r="F8" s="113">
        <f>70+30+20+30+20+20+20+30+10+10+20+20+30+30+20+10+10+10+20+30+40</f>
        <v>500</v>
      </c>
      <c r="G8" s="63">
        <v>40</v>
      </c>
      <c r="H8" s="64">
        <f t="shared" si="3"/>
        <v>20000</v>
      </c>
      <c r="I8" s="65">
        <f t="shared" si="4"/>
        <v>0.90595606857235778</v>
      </c>
      <c r="J8" s="139">
        <f t="shared" si="5"/>
        <v>40.905956068572358</v>
      </c>
      <c r="K8" s="66">
        <f t="shared" si="11"/>
        <v>20452.978034286178</v>
      </c>
      <c r="L8" s="70">
        <v>45</v>
      </c>
      <c r="M8" s="64">
        <f t="shared" si="6"/>
        <v>22500</v>
      </c>
      <c r="N8" s="64">
        <f t="shared" ca="1" si="7"/>
        <v>21105</v>
      </c>
      <c r="O8" s="71">
        <f t="shared" ca="1" si="8"/>
        <v>30</v>
      </c>
      <c r="P8" s="58">
        <f>-1+2</f>
        <v>1</v>
      </c>
      <c r="Q8" s="58">
        <v>384</v>
      </c>
      <c r="R8" s="22">
        <v>4</v>
      </c>
      <c r="S8" s="22">
        <v>6</v>
      </c>
      <c r="T8" s="22">
        <v>1</v>
      </c>
      <c r="U8" s="22">
        <v>0</v>
      </c>
      <c r="V8" s="22">
        <v>0</v>
      </c>
      <c r="W8" s="22">
        <v>10</v>
      </c>
      <c r="X8" s="22">
        <v>6</v>
      </c>
      <c r="Y8" s="22">
        <v>0</v>
      </c>
      <c r="Z8" s="22">
        <v>2</v>
      </c>
      <c r="AA8" s="22">
        <v>6</v>
      </c>
      <c r="AB8" s="22">
        <v>0</v>
      </c>
      <c r="AC8" s="22">
        <v>0</v>
      </c>
      <c r="AD8" s="22">
        <v>7</v>
      </c>
      <c r="AE8" s="22">
        <v>10</v>
      </c>
      <c r="AF8" s="22">
        <v>0</v>
      </c>
      <c r="AG8" s="22">
        <v>0</v>
      </c>
      <c r="AH8" s="22">
        <v>2</v>
      </c>
      <c r="AI8" s="22">
        <v>2</v>
      </c>
      <c r="AJ8" s="22">
        <v>0</v>
      </c>
      <c r="AK8" s="22">
        <v>2</v>
      </c>
      <c r="AL8" s="22">
        <v>12</v>
      </c>
      <c r="AM8" s="22">
        <v>1</v>
      </c>
      <c r="AN8" s="22">
        <v>2</v>
      </c>
      <c r="AO8" s="22">
        <v>11</v>
      </c>
      <c r="AP8" s="22">
        <v>0</v>
      </c>
      <c r="AQ8" s="22">
        <v>0</v>
      </c>
      <c r="AR8" s="22">
        <v>0</v>
      </c>
      <c r="AS8" s="22">
        <f ca="1">SUMIFS('Tổng Đơn'!$F:$F,'Tổng Đơn'!$B:$B,$C8)</f>
        <v>1</v>
      </c>
      <c r="AT8" s="22">
        <v>0</v>
      </c>
      <c r="AU8" s="22">
        <v>0</v>
      </c>
      <c r="AV8" s="22">
        <v>0</v>
      </c>
      <c r="AW8" s="59">
        <v>0</v>
      </c>
      <c r="AX8" s="59">
        <f t="shared" si="9"/>
        <v>0</v>
      </c>
    </row>
    <row r="9" spans="1:50" ht="18.75" x14ac:dyDescent="0.25">
      <c r="A9" s="59">
        <f t="shared" ca="1" si="2"/>
        <v>1840.7680230857563</v>
      </c>
      <c r="B9" s="6">
        <v>5</v>
      </c>
      <c r="C9" s="61" t="s">
        <v>25</v>
      </c>
      <c r="D9" s="69">
        <f t="shared" si="10"/>
        <v>75</v>
      </c>
      <c r="E9" s="62">
        <v>0.5</v>
      </c>
      <c r="F9" s="113">
        <f>9+48+24+24+24+24+24+24+24</f>
        <v>225</v>
      </c>
      <c r="G9" s="63">
        <v>37.5</v>
      </c>
      <c r="H9" s="64">
        <f>G9*F9</f>
        <v>8437.5</v>
      </c>
      <c r="I9" s="65">
        <f>((H9/$H$4)*$A$2)/F9</f>
        <v>0.84933381428658539</v>
      </c>
      <c r="J9" s="139">
        <f t="shared" si="5"/>
        <v>38.349333814286588</v>
      </c>
      <c r="K9" s="66">
        <f t="shared" si="11"/>
        <v>8628.600108214483</v>
      </c>
      <c r="L9" s="70">
        <v>42</v>
      </c>
      <c r="M9" s="64">
        <f t="shared" si="6"/>
        <v>9450</v>
      </c>
      <c r="N9" s="64">
        <f t="shared" ca="1" si="7"/>
        <v>7392</v>
      </c>
      <c r="O9" s="71">
        <f t="shared" ca="1" si="8"/>
        <v>48</v>
      </c>
      <c r="P9" s="58">
        <v>1</v>
      </c>
      <c r="Q9" s="58">
        <v>148</v>
      </c>
      <c r="R9" s="22">
        <v>1</v>
      </c>
      <c r="S9" s="22">
        <v>0</v>
      </c>
      <c r="T9" s="22">
        <v>0</v>
      </c>
      <c r="U9" s="22">
        <v>0</v>
      </c>
      <c r="V9" s="22">
        <v>2</v>
      </c>
      <c r="W9" s="22">
        <v>0</v>
      </c>
      <c r="X9" s="22">
        <v>0</v>
      </c>
      <c r="Y9" s="22">
        <v>7</v>
      </c>
      <c r="Z9" s="22">
        <v>0</v>
      </c>
      <c r="AA9" s="22">
        <v>2</v>
      </c>
      <c r="AB9" s="22">
        <v>0</v>
      </c>
      <c r="AC9" s="22">
        <v>2</v>
      </c>
      <c r="AD9" s="22">
        <v>1</v>
      </c>
      <c r="AE9" s="22">
        <v>1</v>
      </c>
      <c r="AF9" s="22">
        <v>0</v>
      </c>
      <c r="AG9" s="22">
        <v>1</v>
      </c>
      <c r="AH9" s="22">
        <v>1</v>
      </c>
      <c r="AI9" s="22">
        <v>0</v>
      </c>
      <c r="AJ9" s="22">
        <v>2</v>
      </c>
      <c r="AK9" s="22">
        <v>2</v>
      </c>
      <c r="AL9" s="22">
        <v>0</v>
      </c>
      <c r="AM9" s="22">
        <v>0</v>
      </c>
      <c r="AN9" s="22">
        <v>2</v>
      </c>
      <c r="AO9" s="22">
        <v>0</v>
      </c>
      <c r="AP9" s="22">
        <v>0</v>
      </c>
      <c r="AQ9" s="22">
        <v>3</v>
      </c>
      <c r="AR9" s="22">
        <v>0</v>
      </c>
      <c r="AS9" s="22">
        <f ca="1">SUMIFS('Tổng Đơn'!$F:$F,'Tổng Đơn'!$B:$B,$C9)</f>
        <v>1</v>
      </c>
      <c r="AT9" s="22">
        <v>0</v>
      </c>
      <c r="AU9" s="22">
        <v>0</v>
      </c>
      <c r="AV9" s="22">
        <v>0</v>
      </c>
      <c r="AW9" s="59">
        <v>0</v>
      </c>
      <c r="AX9" s="59">
        <f t="shared" si="9"/>
        <v>0</v>
      </c>
    </row>
    <row r="10" spans="1:50" ht="18.75" x14ac:dyDescent="0.25">
      <c r="A10" s="59">
        <f t="shared" ca="1" si="2"/>
        <v>0</v>
      </c>
      <c r="B10" s="6">
        <v>6</v>
      </c>
      <c r="C10" s="61" t="s">
        <v>53</v>
      </c>
      <c r="D10" s="69">
        <f t="shared" si="10"/>
        <v>59</v>
      </c>
      <c r="E10" s="62">
        <v>0.5</v>
      </c>
      <c r="F10" s="113">
        <f>60+20+40</f>
        <v>120</v>
      </c>
      <c r="G10" s="63">
        <v>29.5</v>
      </c>
      <c r="H10" s="64">
        <f t="shared" si="3"/>
        <v>3540</v>
      </c>
      <c r="I10" s="65">
        <f t="shared" si="4"/>
        <v>0.66814260057211394</v>
      </c>
      <c r="J10" s="139">
        <f t="shared" si="5"/>
        <v>30.168142600572114</v>
      </c>
      <c r="K10" s="66">
        <f t="shared" si="11"/>
        <v>3620.1771120686535</v>
      </c>
      <c r="L10" s="70">
        <v>35</v>
      </c>
      <c r="M10" s="64">
        <f t="shared" si="6"/>
        <v>4200</v>
      </c>
      <c r="N10" s="64">
        <f t="shared" ca="1" si="7"/>
        <v>4200</v>
      </c>
      <c r="O10" s="71">
        <f t="shared" ca="1" si="8"/>
        <v>0</v>
      </c>
      <c r="P10" s="58"/>
      <c r="Q10" s="58">
        <v>120</v>
      </c>
      <c r="R10" s="22">
        <v>0</v>
      </c>
      <c r="S10" s="22">
        <v>0</v>
      </c>
      <c r="T10" s="22">
        <v>0</v>
      </c>
      <c r="U10" s="22">
        <v>0</v>
      </c>
      <c r="V10" s="22">
        <v>0</v>
      </c>
      <c r="W10" s="22">
        <v>0</v>
      </c>
      <c r="X10" s="22">
        <v>0</v>
      </c>
      <c r="Y10" s="22">
        <v>0</v>
      </c>
      <c r="Z10" s="22">
        <v>0</v>
      </c>
      <c r="AA10" s="22">
        <v>0</v>
      </c>
      <c r="AB10" s="22">
        <v>0</v>
      </c>
      <c r="AC10" s="22">
        <v>0</v>
      </c>
      <c r="AD10" s="22">
        <v>0</v>
      </c>
      <c r="AE10" s="22">
        <v>0</v>
      </c>
      <c r="AF10" s="22">
        <v>0</v>
      </c>
      <c r="AG10" s="22">
        <v>0</v>
      </c>
      <c r="AH10" s="22">
        <v>0</v>
      </c>
      <c r="AI10" s="22">
        <v>0</v>
      </c>
      <c r="AJ10" s="22">
        <v>0</v>
      </c>
      <c r="AK10" s="22">
        <v>0</v>
      </c>
      <c r="AL10" s="22">
        <v>0</v>
      </c>
      <c r="AM10" s="22">
        <v>0</v>
      </c>
      <c r="AN10" s="22">
        <v>0</v>
      </c>
      <c r="AO10" s="22">
        <v>0</v>
      </c>
      <c r="AP10" s="22">
        <v>0</v>
      </c>
      <c r="AQ10" s="22">
        <v>0</v>
      </c>
      <c r="AR10" s="22">
        <v>0</v>
      </c>
      <c r="AS10" s="22">
        <f ca="1">SUMIFS('Tổng Đơn'!$F:$F,'Tổng Đơn'!$B:$B,$C10)</f>
        <v>0</v>
      </c>
      <c r="AT10" s="22">
        <v>0</v>
      </c>
      <c r="AU10" s="22">
        <v>0</v>
      </c>
      <c r="AV10" s="22">
        <v>0</v>
      </c>
      <c r="AW10" s="59">
        <v>0</v>
      </c>
      <c r="AX10" s="59">
        <f t="shared" si="9"/>
        <v>0</v>
      </c>
    </row>
    <row r="11" spans="1:50" ht="18.75" x14ac:dyDescent="0.25">
      <c r="A11" s="59">
        <f t="shared" ca="1" si="2"/>
        <v>337.47413756572195</v>
      </c>
      <c r="B11" s="6">
        <v>7</v>
      </c>
      <c r="C11" s="61" t="s">
        <v>250</v>
      </c>
      <c r="D11" s="69">
        <f t="shared" si="10"/>
        <v>66</v>
      </c>
      <c r="E11" s="62">
        <v>0.5</v>
      </c>
      <c r="F11" s="113">
        <f>10+10</f>
        <v>20</v>
      </c>
      <c r="G11" s="63">
        <v>33</v>
      </c>
      <c r="H11" s="64">
        <f t="shared" si="3"/>
        <v>660</v>
      </c>
      <c r="I11" s="65">
        <f t="shared" si="4"/>
        <v>0.74741375657219522</v>
      </c>
      <c r="J11" s="139">
        <f t="shared" si="5"/>
        <v>33.747413756572193</v>
      </c>
      <c r="K11" s="66">
        <f t="shared" si="11"/>
        <v>674.94827513144389</v>
      </c>
      <c r="L11" s="70">
        <v>40</v>
      </c>
      <c r="M11" s="64">
        <f t="shared" si="6"/>
        <v>800</v>
      </c>
      <c r="N11" s="64">
        <f t="shared" ca="1" si="7"/>
        <v>400</v>
      </c>
      <c r="O11" s="71">
        <f t="shared" ca="1" si="8"/>
        <v>10</v>
      </c>
      <c r="P11" s="58"/>
      <c r="Q11" s="58">
        <v>10</v>
      </c>
      <c r="R11" s="22">
        <v>0</v>
      </c>
      <c r="S11" s="22">
        <v>0</v>
      </c>
      <c r="T11" s="22">
        <v>0</v>
      </c>
      <c r="U11" s="22">
        <v>0</v>
      </c>
      <c r="V11" s="22">
        <v>0</v>
      </c>
      <c r="W11" s="22">
        <v>0</v>
      </c>
      <c r="X11" s="22">
        <v>0</v>
      </c>
      <c r="Y11" s="22">
        <v>0</v>
      </c>
      <c r="Z11" s="22">
        <v>0</v>
      </c>
      <c r="AA11" s="22">
        <v>0</v>
      </c>
      <c r="AB11" s="22">
        <v>0</v>
      </c>
      <c r="AC11" s="22">
        <v>0</v>
      </c>
      <c r="AD11" s="22">
        <v>0</v>
      </c>
      <c r="AE11" s="22">
        <v>0</v>
      </c>
      <c r="AF11" s="22">
        <v>0</v>
      </c>
      <c r="AG11" s="22">
        <v>0</v>
      </c>
      <c r="AH11" s="22">
        <v>0</v>
      </c>
      <c r="AI11" s="22">
        <v>0</v>
      </c>
      <c r="AJ11" s="22">
        <v>0</v>
      </c>
      <c r="AK11" s="22">
        <v>0</v>
      </c>
      <c r="AL11" s="22">
        <v>0</v>
      </c>
      <c r="AM11" s="22">
        <v>0</v>
      </c>
      <c r="AN11" s="22">
        <v>0</v>
      </c>
      <c r="AO11" s="22">
        <v>0</v>
      </c>
      <c r="AP11" s="22">
        <v>0</v>
      </c>
      <c r="AQ11" s="22">
        <v>0</v>
      </c>
      <c r="AR11" s="22">
        <v>0</v>
      </c>
      <c r="AS11" s="22">
        <f ca="1">SUMIFS('Tổng Đơn'!$F:$F,'Tổng Đơn'!$B:$B,$C11)</f>
        <v>0</v>
      </c>
      <c r="AT11" s="22">
        <v>0</v>
      </c>
      <c r="AU11" s="22">
        <v>0</v>
      </c>
      <c r="AV11" s="22">
        <v>0</v>
      </c>
      <c r="AW11" s="59">
        <v>0</v>
      </c>
      <c r="AX11" s="59">
        <f t="shared" si="9"/>
        <v>0</v>
      </c>
    </row>
    <row r="12" spans="1:50" ht="18.75" x14ac:dyDescent="0.25">
      <c r="A12" s="59">
        <f t="shared" si="2"/>
        <v>0</v>
      </c>
      <c r="B12" s="6">
        <v>8</v>
      </c>
      <c r="C12" s="61" t="s">
        <v>24</v>
      </c>
      <c r="D12" s="69">
        <f>G12*4</f>
        <v>113.33333333333333</v>
      </c>
      <c r="E12" s="62">
        <v>0.25</v>
      </c>
      <c r="F12" s="113">
        <f>36</f>
        <v>36</v>
      </c>
      <c r="G12" s="63">
        <f>1020/36</f>
        <v>28.333333333333332</v>
      </c>
      <c r="H12" s="64">
        <f t="shared" si="3"/>
        <v>1020</v>
      </c>
      <c r="I12" s="65">
        <f t="shared" si="4"/>
        <v>0.64171888190542015</v>
      </c>
      <c r="J12" s="139">
        <f t="shared" si="5"/>
        <v>28.975052215238751</v>
      </c>
      <c r="K12" s="66">
        <f t="shared" si="11"/>
        <v>1043.1018797485951</v>
      </c>
      <c r="L12" s="70">
        <v>34</v>
      </c>
      <c r="M12" s="64">
        <f t="shared" si="6"/>
        <v>1224</v>
      </c>
      <c r="N12" s="64">
        <f t="shared" si="7"/>
        <v>1190</v>
      </c>
      <c r="O12" s="71">
        <f t="shared" si="8"/>
        <v>0</v>
      </c>
      <c r="P12" s="58">
        <v>1</v>
      </c>
      <c r="Q12" s="58">
        <v>35</v>
      </c>
      <c r="R12" s="22">
        <v>0</v>
      </c>
      <c r="S12" s="22">
        <v>0</v>
      </c>
      <c r="T12" s="22">
        <v>0</v>
      </c>
      <c r="U12" s="22">
        <v>0</v>
      </c>
      <c r="V12" s="22">
        <v>0</v>
      </c>
      <c r="W12" s="22">
        <v>0</v>
      </c>
      <c r="X12" s="22">
        <v>0</v>
      </c>
      <c r="Y12" s="22">
        <v>0</v>
      </c>
      <c r="Z12" s="22">
        <v>0</v>
      </c>
      <c r="AA12" s="22">
        <v>0</v>
      </c>
      <c r="AB12" s="22">
        <v>0</v>
      </c>
      <c r="AC12" s="22">
        <v>0</v>
      </c>
      <c r="AD12" s="22">
        <v>0</v>
      </c>
      <c r="AE12" s="22">
        <v>0</v>
      </c>
      <c r="AF12" s="22">
        <v>0</v>
      </c>
      <c r="AG12" s="22">
        <v>0</v>
      </c>
      <c r="AH12" s="22">
        <v>0</v>
      </c>
      <c r="AI12" s="22">
        <v>0</v>
      </c>
      <c r="AJ12" s="22">
        <v>0</v>
      </c>
      <c r="AK12" s="22">
        <v>0</v>
      </c>
      <c r="AL12" s="22">
        <v>0</v>
      </c>
      <c r="AM12" s="22">
        <v>0</v>
      </c>
      <c r="AN12" s="22">
        <v>0</v>
      </c>
      <c r="AO12" s="22">
        <v>0</v>
      </c>
      <c r="AP12" s="22">
        <v>0</v>
      </c>
      <c r="AQ12" s="22">
        <v>0</v>
      </c>
      <c r="AR12" s="22">
        <v>0</v>
      </c>
      <c r="AS12" s="22">
        <f>SUMIFS('Tổng Đơn'!$F:$F,'Tổng Đơn'!$B:$B,$C12)</f>
        <v>0</v>
      </c>
      <c r="AT12" s="22">
        <v>0</v>
      </c>
      <c r="AU12" s="22">
        <v>0</v>
      </c>
      <c r="AV12" s="22">
        <v>0</v>
      </c>
      <c r="AW12" s="59">
        <v>0</v>
      </c>
      <c r="AX12" s="59">
        <f t="shared" si="9"/>
        <v>0</v>
      </c>
    </row>
    <row r="13" spans="1:50" ht="18.75" x14ac:dyDescent="0.25">
      <c r="A13" s="59">
        <f t="shared" ca="1" si="2"/>
        <v>613.58934102858541</v>
      </c>
      <c r="B13" s="6">
        <v>9</v>
      </c>
      <c r="C13" s="61" t="s">
        <v>31</v>
      </c>
      <c r="D13" s="69">
        <f t="shared" ref="D13:D22" si="12">G13*2</f>
        <v>80</v>
      </c>
      <c r="E13" s="62">
        <v>0.5</v>
      </c>
      <c r="F13" s="113">
        <v>40</v>
      </c>
      <c r="G13" s="63">
        <v>40</v>
      </c>
      <c r="H13" s="64">
        <f t="shared" si="3"/>
        <v>1600</v>
      </c>
      <c r="I13" s="65">
        <f t="shared" si="4"/>
        <v>0.90595606857235766</v>
      </c>
      <c r="J13" s="139">
        <f t="shared" si="5"/>
        <v>40.905956068572358</v>
      </c>
      <c r="K13" s="66">
        <f t="shared" si="11"/>
        <v>1636.2382427428943</v>
      </c>
      <c r="L13" s="70">
        <v>45</v>
      </c>
      <c r="M13" s="64">
        <f t="shared" si="6"/>
        <v>1800</v>
      </c>
      <c r="N13" s="64">
        <f t="shared" ca="1" si="7"/>
        <v>1125</v>
      </c>
      <c r="O13" s="71">
        <f t="shared" ca="1" si="8"/>
        <v>15</v>
      </c>
      <c r="P13" s="58"/>
      <c r="Q13" s="58">
        <v>25</v>
      </c>
      <c r="R13" s="22">
        <v>0</v>
      </c>
      <c r="S13" s="22">
        <v>0</v>
      </c>
      <c r="T13" s="22">
        <v>0</v>
      </c>
      <c r="U13" s="22">
        <v>0</v>
      </c>
      <c r="V13" s="22">
        <v>0</v>
      </c>
      <c r="W13" s="22">
        <v>0</v>
      </c>
      <c r="X13" s="22">
        <v>0</v>
      </c>
      <c r="Y13" s="22">
        <v>0</v>
      </c>
      <c r="Z13" s="22">
        <v>0</v>
      </c>
      <c r="AA13" s="22">
        <v>0</v>
      </c>
      <c r="AB13" s="22">
        <v>0</v>
      </c>
      <c r="AC13" s="22">
        <v>0</v>
      </c>
      <c r="AD13" s="22">
        <v>0</v>
      </c>
      <c r="AE13" s="22">
        <v>0</v>
      </c>
      <c r="AF13" s="22">
        <v>0</v>
      </c>
      <c r="AG13" s="22">
        <v>0</v>
      </c>
      <c r="AH13" s="22">
        <v>0</v>
      </c>
      <c r="AI13" s="22">
        <v>0</v>
      </c>
      <c r="AJ13" s="22">
        <v>0</v>
      </c>
      <c r="AK13" s="22">
        <v>0</v>
      </c>
      <c r="AL13" s="22">
        <v>0</v>
      </c>
      <c r="AM13" s="22">
        <v>0</v>
      </c>
      <c r="AN13" s="22">
        <v>0</v>
      </c>
      <c r="AO13" s="22">
        <v>0</v>
      </c>
      <c r="AP13" s="22">
        <v>0</v>
      </c>
      <c r="AQ13" s="22">
        <v>0</v>
      </c>
      <c r="AR13" s="22">
        <v>0</v>
      </c>
      <c r="AS13" s="22">
        <f ca="1">SUMIFS('Tổng Đơn'!$F:$F,'Tổng Đơn'!$B:$B,$C13)</f>
        <v>0</v>
      </c>
      <c r="AT13" s="22">
        <v>0</v>
      </c>
      <c r="AU13" s="22">
        <v>0</v>
      </c>
      <c r="AV13" s="22">
        <v>0</v>
      </c>
      <c r="AW13" s="59">
        <v>0</v>
      </c>
      <c r="AX13" s="59">
        <f t="shared" si="9"/>
        <v>0</v>
      </c>
    </row>
    <row r="14" spans="1:50" ht="18.75" x14ac:dyDescent="0.25">
      <c r="A14" s="59">
        <f t="shared" ca="1" si="2"/>
        <v>1308.9905941943155</v>
      </c>
      <c r="B14" s="6">
        <v>10</v>
      </c>
      <c r="C14" s="61" t="s">
        <v>30</v>
      </c>
      <c r="D14" s="69">
        <f t="shared" si="12"/>
        <v>80</v>
      </c>
      <c r="E14" s="62">
        <v>0.5</v>
      </c>
      <c r="F14" s="113">
        <v>40</v>
      </c>
      <c r="G14" s="63">
        <v>40</v>
      </c>
      <c r="H14" s="64">
        <f t="shared" si="3"/>
        <v>1600</v>
      </c>
      <c r="I14" s="65">
        <f t="shared" si="4"/>
        <v>0.90595606857235766</v>
      </c>
      <c r="J14" s="139">
        <f t="shared" si="5"/>
        <v>40.905956068572358</v>
      </c>
      <c r="K14" s="66">
        <f t="shared" si="11"/>
        <v>1636.2382427428943</v>
      </c>
      <c r="L14" s="70">
        <v>45</v>
      </c>
      <c r="M14" s="64">
        <f t="shared" si="6"/>
        <v>1800</v>
      </c>
      <c r="N14" s="64">
        <f t="shared" ca="1" si="7"/>
        <v>360</v>
      </c>
      <c r="O14" s="71">
        <f t="shared" ca="1" si="8"/>
        <v>32</v>
      </c>
      <c r="P14" s="58"/>
      <c r="Q14" s="58">
        <v>8</v>
      </c>
      <c r="R14" s="22">
        <v>0</v>
      </c>
      <c r="S14" s="22">
        <v>0</v>
      </c>
      <c r="T14" s="22">
        <v>0</v>
      </c>
      <c r="U14" s="22">
        <v>0</v>
      </c>
      <c r="V14" s="22">
        <v>0</v>
      </c>
      <c r="W14" s="22">
        <v>0</v>
      </c>
      <c r="X14" s="22">
        <v>0</v>
      </c>
      <c r="Y14" s="22">
        <v>0</v>
      </c>
      <c r="Z14" s="22">
        <v>0</v>
      </c>
      <c r="AA14" s="22">
        <v>0</v>
      </c>
      <c r="AB14" s="22">
        <v>0</v>
      </c>
      <c r="AC14" s="22">
        <v>0</v>
      </c>
      <c r="AD14" s="22">
        <v>0</v>
      </c>
      <c r="AE14" s="22">
        <v>0</v>
      </c>
      <c r="AF14" s="22">
        <v>0</v>
      </c>
      <c r="AG14" s="22">
        <v>0</v>
      </c>
      <c r="AH14" s="22">
        <v>0</v>
      </c>
      <c r="AI14" s="22">
        <v>0</v>
      </c>
      <c r="AJ14" s="22">
        <v>0</v>
      </c>
      <c r="AK14" s="22">
        <v>0</v>
      </c>
      <c r="AL14" s="22">
        <v>0</v>
      </c>
      <c r="AM14" s="22">
        <v>0</v>
      </c>
      <c r="AN14" s="22">
        <v>0</v>
      </c>
      <c r="AO14" s="22">
        <v>0</v>
      </c>
      <c r="AP14" s="22">
        <v>0</v>
      </c>
      <c r="AQ14" s="22">
        <v>0</v>
      </c>
      <c r="AR14" s="22">
        <v>0</v>
      </c>
      <c r="AS14" s="22">
        <f ca="1">SUMIFS('Tổng Đơn'!$F:$F,'Tổng Đơn'!$B:$B,$C14)</f>
        <v>0</v>
      </c>
      <c r="AT14" s="22">
        <v>0</v>
      </c>
      <c r="AU14" s="22">
        <v>0</v>
      </c>
      <c r="AV14" s="22">
        <v>0</v>
      </c>
      <c r="AW14" s="59">
        <v>0</v>
      </c>
      <c r="AX14" s="59">
        <f t="shared" si="9"/>
        <v>0</v>
      </c>
    </row>
    <row r="15" spans="1:50" ht="18.75" x14ac:dyDescent="0.25">
      <c r="A15" s="59">
        <f t="shared" ca="1" si="2"/>
        <v>736.30720923430249</v>
      </c>
      <c r="B15" s="6">
        <v>11</v>
      </c>
      <c r="C15" s="61" t="s">
        <v>29</v>
      </c>
      <c r="D15" s="69">
        <f t="shared" si="12"/>
        <v>80</v>
      </c>
      <c r="E15" s="62">
        <v>0.5</v>
      </c>
      <c r="F15" s="113">
        <v>40</v>
      </c>
      <c r="G15" s="63">
        <v>40</v>
      </c>
      <c r="H15" s="64">
        <f t="shared" si="3"/>
        <v>1600</v>
      </c>
      <c r="I15" s="65">
        <f t="shared" si="4"/>
        <v>0.90595606857235766</v>
      </c>
      <c r="J15" s="139">
        <f t="shared" si="5"/>
        <v>40.905956068572358</v>
      </c>
      <c r="K15" s="66">
        <f t="shared" si="11"/>
        <v>1636.2382427428943</v>
      </c>
      <c r="L15" s="70">
        <v>45</v>
      </c>
      <c r="M15" s="64">
        <f t="shared" si="6"/>
        <v>1800</v>
      </c>
      <c r="N15" s="64">
        <f t="shared" ca="1" si="7"/>
        <v>990</v>
      </c>
      <c r="O15" s="71">
        <f t="shared" ca="1" si="8"/>
        <v>18</v>
      </c>
      <c r="P15" s="58"/>
      <c r="Q15" s="58">
        <v>22</v>
      </c>
      <c r="R15" s="22">
        <v>0</v>
      </c>
      <c r="S15" s="22">
        <v>0</v>
      </c>
      <c r="T15" s="22">
        <v>0</v>
      </c>
      <c r="U15" s="22">
        <v>0</v>
      </c>
      <c r="V15" s="22">
        <v>0</v>
      </c>
      <c r="W15" s="22">
        <v>0</v>
      </c>
      <c r="X15" s="22">
        <v>0</v>
      </c>
      <c r="Y15" s="22">
        <v>0</v>
      </c>
      <c r="Z15" s="22">
        <v>0</v>
      </c>
      <c r="AA15" s="22">
        <v>0</v>
      </c>
      <c r="AB15" s="22">
        <v>0</v>
      </c>
      <c r="AC15" s="22">
        <v>0</v>
      </c>
      <c r="AD15" s="22">
        <v>0</v>
      </c>
      <c r="AE15" s="22">
        <v>0</v>
      </c>
      <c r="AF15" s="22">
        <v>0</v>
      </c>
      <c r="AG15" s="22">
        <v>0</v>
      </c>
      <c r="AH15" s="22">
        <v>0</v>
      </c>
      <c r="AI15" s="22">
        <v>0</v>
      </c>
      <c r="AJ15" s="22">
        <v>0</v>
      </c>
      <c r="AK15" s="22">
        <v>0</v>
      </c>
      <c r="AL15" s="22">
        <v>0</v>
      </c>
      <c r="AM15" s="22">
        <v>0</v>
      </c>
      <c r="AN15" s="22">
        <v>0</v>
      </c>
      <c r="AO15" s="22">
        <v>0</v>
      </c>
      <c r="AP15" s="22">
        <v>0</v>
      </c>
      <c r="AQ15" s="22">
        <v>0</v>
      </c>
      <c r="AR15" s="22">
        <v>0</v>
      </c>
      <c r="AS15" s="22">
        <f ca="1">SUMIFS('Tổng Đơn'!$F:$F,'Tổng Đơn'!$B:$B,$C15)</f>
        <v>0</v>
      </c>
      <c r="AT15" s="22">
        <v>0</v>
      </c>
      <c r="AU15" s="22">
        <v>0</v>
      </c>
      <c r="AV15" s="22">
        <v>0</v>
      </c>
      <c r="AW15" s="59">
        <v>0</v>
      </c>
      <c r="AX15" s="59">
        <f t="shared" si="9"/>
        <v>0</v>
      </c>
    </row>
    <row r="16" spans="1:50" ht="18.75" x14ac:dyDescent="0.25">
      <c r="A16" s="59">
        <f t="shared" ca="1" si="2"/>
        <v>1063.5548577828813</v>
      </c>
      <c r="B16" s="6">
        <v>12</v>
      </c>
      <c r="C16" s="61" t="s">
        <v>28</v>
      </c>
      <c r="D16" s="69">
        <f t="shared" si="12"/>
        <v>80</v>
      </c>
      <c r="E16" s="62">
        <v>0.5</v>
      </c>
      <c r="F16" s="113">
        <v>40</v>
      </c>
      <c r="G16" s="63">
        <v>40</v>
      </c>
      <c r="H16" s="64">
        <f t="shared" si="3"/>
        <v>1600</v>
      </c>
      <c r="I16" s="65">
        <f t="shared" si="4"/>
        <v>0.90595606857235766</v>
      </c>
      <c r="J16" s="139">
        <f t="shared" si="5"/>
        <v>40.905956068572358</v>
      </c>
      <c r="K16" s="66">
        <f t="shared" si="11"/>
        <v>1636.2382427428943</v>
      </c>
      <c r="L16" s="70">
        <v>45</v>
      </c>
      <c r="M16" s="64">
        <f t="shared" si="6"/>
        <v>1800</v>
      </c>
      <c r="N16" s="64">
        <f t="shared" ca="1" si="7"/>
        <v>630</v>
      </c>
      <c r="O16" s="71">
        <f t="shared" ca="1" si="8"/>
        <v>26</v>
      </c>
      <c r="P16" s="58"/>
      <c r="Q16" s="58">
        <v>14</v>
      </c>
      <c r="R16" s="22">
        <v>0</v>
      </c>
      <c r="S16" s="22">
        <v>0</v>
      </c>
      <c r="T16" s="22">
        <v>0</v>
      </c>
      <c r="U16" s="22">
        <v>0</v>
      </c>
      <c r="V16" s="22">
        <v>0</v>
      </c>
      <c r="W16" s="22">
        <v>0</v>
      </c>
      <c r="X16" s="22">
        <v>0</v>
      </c>
      <c r="Y16" s="22">
        <v>0</v>
      </c>
      <c r="Z16" s="22">
        <v>0</v>
      </c>
      <c r="AA16" s="22">
        <v>0</v>
      </c>
      <c r="AB16" s="22">
        <v>0</v>
      </c>
      <c r="AC16" s="22">
        <v>0</v>
      </c>
      <c r="AD16" s="22">
        <v>0</v>
      </c>
      <c r="AE16" s="22">
        <v>0</v>
      </c>
      <c r="AF16" s="22">
        <v>0</v>
      </c>
      <c r="AG16" s="22">
        <v>0</v>
      </c>
      <c r="AH16" s="22">
        <v>0</v>
      </c>
      <c r="AI16" s="22">
        <v>0</v>
      </c>
      <c r="AJ16" s="22">
        <v>0</v>
      </c>
      <c r="AK16" s="22">
        <v>0</v>
      </c>
      <c r="AL16" s="22">
        <v>0</v>
      </c>
      <c r="AM16" s="22">
        <v>0</v>
      </c>
      <c r="AN16" s="22">
        <v>0</v>
      </c>
      <c r="AO16" s="22">
        <v>0</v>
      </c>
      <c r="AP16" s="22">
        <v>0</v>
      </c>
      <c r="AQ16" s="22">
        <v>0</v>
      </c>
      <c r="AR16" s="22">
        <v>0</v>
      </c>
      <c r="AS16" s="22">
        <f ca="1">SUMIFS('Tổng Đơn'!$F:$F,'Tổng Đơn'!$B:$B,$C16)</f>
        <v>0</v>
      </c>
      <c r="AT16" s="22">
        <v>0</v>
      </c>
      <c r="AU16" s="22">
        <v>0</v>
      </c>
      <c r="AV16" s="22">
        <v>0</v>
      </c>
      <c r="AW16" s="59">
        <v>0</v>
      </c>
      <c r="AX16" s="59">
        <f t="shared" si="9"/>
        <v>0</v>
      </c>
    </row>
    <row r="17" spans="1:50" ht="18.75" x14ac:dyDescent="0.25">
      <c r="A17" s="59">
        <f t="shared" ca="1" si="2"/>
        <v>286.34169248000649</v>
      </c>
      <c r="B17" s="6">
        <v>13</v>
      </c>
      <c r="C17" s="61" t="s">
        <v>50</v>
      </c>
      <c r="D17" s="69">
        <f t="shared" si="12"/>
        <v>80</v>
      </c>
      <c r="E17" s="62">
        <v>0.5</v>
      </c>
      <c r="F17" s="113">
        <v>40</v>
      </c>
      <c r="G17" s="63">
        <v>40</v>
      </c>
      <c r="H17" s="64">
        <f t="shared" si="3"/>
        <v>1600</v>
      </c>
      <c r="I17" s="65">
        <f t="shared" si="4"/>
        <v>0.90595606857235766</v>
      </c>
      <c r="J17" s="139">
        <f t="shared" si="5"/>
        <v>40.905956068572358</v>
      </c>
      <c r="K17" s="66">
        <f t="shared" si="11"/>
        <v>1636.2382427428943</v>
      </c>
      <c r="L17" s="70">
        <v>45</v>
      </c>
      <c r="M17" s="64">
        <f t="shared" si="6"/>
        <v>1800</v>
      </c>
      <c r="N17" s="64">
        <f t="shared" ca="1" si="7"/>
        <v>1485</v>
      </c>
      <c r="O17" s="71">
        <f t="shared" ca="1" si="8"/>
        <v>7</v>
      </c>
      <c r="P17" s="58"/>
      <c r="Q17" s="58">
        <v>33</v>
      </c>
      <c r="R17" s="22">
        <v>0</v>
      </c>
      <c r="S17" s="22">
        <v>0</v>
      </c>
      <c r="T17" s="22">
        <v>0</v>
      </c>
      <c r="U17" s="22">
        <v>0</v>
      </c>
      <c r="V17" s="22">
        <v>0</v>
      </c>
      <c r="W17" s="22">
        <v>0</v>
      </c>
      <c r="X17" s="22">
        <v>0</v>
      </c>
      <c r="Y17" s="22">
        <v>0</v>
      </c>
      <c r="Z17" s="22">
        <v>0</v>
      </c>
      <c r="AA17" s="22">
        <v>0</v>
      </c>
      <c r="AB17" s="22">
        <v>0</v>
      </c>
      <c r="AC17" s="22">
        <v>0</v>
      </c>
      <c r="AD17" s="22">
        <v>0</v>
      </c>
      <c r="AE17" s="22">
        <v>0</v>
      </c>
      <c r="AF17" s="22">
        <v>0</v>
      </c>
      <c r="AG17" s="22">
        <v>0</v>
      </c>
      <c r="AH17" s="22">
        <v>0</v>
      </c>
      <c r="AI17" s="22">
        <v>0</v>
      </c>
      <c r="AJ17" s="22">
        <v>0</v>
      </c>
      <c r="AK17" s="22">
        <v>0</v>
      </c>
      <c r="AL17" s="22">
        <v>0</v>
      </c>
      <c r="AM17" s="22">
        <v>0</v>
      </c>
      <c r="AN17" s="22">
        <v>0</v>
      </c>
      <c r="AO17" s="22">
        <v>0</v>
      </c>
      <c r="AP17" s="22">
        <v>0</v>
      </c>
      <c r="AQ17" s="22">
        <v>0</v>
      </c>
      <c r="AR17" s="22">
        <v>0</v>
      </c>
      <c r="AS17" s="22">
        <f ca="1">SUMIFS('Tổng Đơn'!$F:$F,'Tổng Đơn'!$B:$B,$C17)</f>
        <v>0</v>
      </c>
      <c r="AT17" s="22">
        <v>0</v>
      </c>
      <c r="AU17" s="22">
        <v>0</v>
      </c>
      <c r="AV17" s="22">
        <v>0</v>
      </c>
      <c r="AW17" s="59">
        <v>0</v>
      </c>
      <c r="AX17" s="59">
        <f t="shared" si="9"/>
        <v>0</v>
      </c>
    </row>
    <row r="18" spans="1:50" ht="18.75" x14ac:dyDescent="0.25">
      <c r="A18" s="59">
        <f t="shared" ca="1" si="2"/>
        <v>389.38702523432465</v>
      </c>
      <c r="B18" s="6">
        <v>14</v>
      </c>
      <c r="C18" s="61" t="s">
        <v>126</v>
      </c>
      <c r="D18" s="69">
        <f t="shared" si="12"/>
        <v>54.39473684210526</v>
      </c>
      <c r="E18" s="62">
        <v>0.5</v>
      </c>
      <c r="F18" s="113">
        <f>80</f>
        <v>80</v>
      </c>
      <c r="G18" s="63">
        <f>1033.5/38</f>
        <v>27.19736842105263</v>
      </c>
      <c r="H18" s="64">
        <f t="shared" si="3"/>
        <v>2175.7894736842104</v>
      </c>
      <c r="I18" s="65">
        <f t="shared" si="4"/>
        <v>0.61599052425627088</v>
      </c>
      <c r="J18" s="139">
        <f t="shared" ref="J18" si="13">G18+I18</f>
        <v>27.813358945308902</v>
      </c>
      <c r="K18" s="66">
        <f t="shared" ref="K18" si="14">J18*F18</f>
        <v>2225.0687156247122</v>
      </c>
      <c r="L18" s="70">
        <v>35</v>
      </c>
      <c r="M18" s="64">
        <f t="shared" si="6"/>
        <v>2800</v>
      </c>
      <c r="N18" s="64">
        <f t="shared" ca="1" si="7"/>
        <v>2310</v>
      </c>
      <c r="O18" s="71">
        <f t="shared" ca="1" si="8"/>
        <v>14</v>
      </c>
      <c r="P18" s="58"/>
      <c r="Q18" s="58">
        <v>65</v>
      </c>
      <c r="R18" s="22">
        <v>0</v>
      </c>
      <c r="S18" s="22">
        <v>0</v>
      </c>
      <c r="T18" s="22">
        <v>0</v>
      </c>
      <c r="U18" s="22">
        <v>0</v>
      </c>
      <c r="V18" s="22">
        <v>0</v>
      </c>
      <c r="W18" s="22">
        <v>0</v>
      </c>
      <c r="X18" s="22">
        <v>0</v>
      </c>
      <c r="Y18" s="22">
        <v>0</v>
      </c>
      <c r="Z18" s="22">
        <v>0</v>
      </c>
      <c r="AA18" s="22">
        <v>0</v>
      </c>
      <c r="AB18" s="22">
        <v>0</v>
      </c>
      <c r="AC18" s="22">
        <v>0</v>
      </c>
      <c r="AD18" s="22">
        <v>0</v>
      </c>
      <c r="AE18" s="22">
        <v>0</v>
      </c>
      <c r="AF18" s="22">
        <v>0</v>
      </c>
      <c r="AG18" s="22">
        <v>0</v>
      </c>
      <c r="AH18" s="22">
        <v>0</v>
      </c>
      <c r="AI18" s="22">
        <v>0</v>
      </c>
      <c r="AJ18" s="22">
        <v>0</v>
      </c>
      <c r="AK18" s="22">
        <v>1</v>
      </c>
      <c r="AL18" s="22">
        <v>0</v>
      </c>
      <c r="AM18" s="22">
        <v>0</v>
      </c>
      <c r="AN18" s="22">
        <v>0</v>
      </c>
      <c r="AO18" s="22">
        <v>0</v>
      </c>
      <c r="AP18" s="22">
        <v>0</v>
      </c>
      <c r="AQ18" s="22">
        <v>0</v>
      </c>
      <c r="AR18" s="22">
        <v>0</v>
      </c>
      <c r="AS18" s="22">
        <f ca="1">SUMIFS('Tổng Đơn'!$F:$F,'Tổng Đơn'!$B:$B,$C18)</f>
        <v>0</v>
      </c>
      <c r="AT18" s="22">
        <v>0</v>
      </c>
      <c r="AU18" s="22">
        <v>0</v>
      </c>
      <c r="AV18" s="22">
        <v>0</v>
      </c>
      <c r="AW18" s="59">
        <v>0</v>
      </c>
      <c r="AX18" s="59">
        <f t="shared" si="9"/>
        <v>0</v>
      </c>
    </row>
    <row r="19" spans="1:50" ht="18.75" x14ac:dyDescent="0.25">
      <c r="A19" s="59">
        <f t="shared" ca="1" si="2"/>
        <v>2515.7162982171999</v>
      </c>
      <c r="B19" s="6">
        <v>15</v>
      </c>
      <c r="C19" s="61" t="s">
        <v>162</v>
      </c>
      <c r="D19" s="69">
        <f t="shared" si="12"/>
        <v>120</v>
      </c>
      <c r="E19" s="62">
        <v>0.5</v>
      </c>
      <c r="F19" s="113">
        <f>60+20+20+20+20+20+20+20+60+40</f>
        <v>300</v>
      </c>
      <c r="G19" s="63">
        <v>60</v>
      </c>
      <c r="H19" s="64">
        <f t="shared" si="3"/>
        <v>18000</v>
      </c>
      <c r="I19" s="65">
        <f t="shared" si="4"/>
        <v>1.3589341028585367</v>
      </c>
      <c r="J19" s="139">
        <f t="shared" ref="J19" si="15">G19+I19</f>
        <v>61.358934102858534</v>
      </c>
      <c r="K19" s="66">
        <f t="shared" ref="K19" si="16">J19*F19</f>
        <v>18407.680230857561</v>
      </c>
      <c r="L19" s="70">
        <v>70</v>
      </c>
      <c r="M19" s="64">
        <f t="shared" ref="M19" si="17">L19*F19</f>
        <v>21000</v>
      </c>
      <c r="N19" s="64">
        <f t="shared" ca="1" si="7"/>
        <v>18060</v>
      </c>
      <c r="O19" s="71">
        <f t="shared" ca="1" si="8"/>
        <v>41</v>
      </c>
      <c r="P19" s="58">
        <v>1</v>
      </c>
      <c r="Q19" s="58">
        <v>236</v>
      </c>
      <c r="R19" s="22">
        <v>0</v>
      </c>
      <c r="S19" s="22">
        <v>0</v>
      </c>
      <c r="T19" s="22">
        <v>1</v>
      </c>
      <c r="U19" s="22">
        <v>0</v>
      </c>
      <c r="V19" s="22">
        <v>2</v>
      </c>
      <c r="W19" s="22">
        <v>0</v>
      </c>
      <c r="X19" s="22">
        <v>0</v>
      </c>
      <c r="Y19" s="22">
        <v>1</v>
      </c>
      <c r="Z19" s="22">
        <v>0</v>
      </c>
      <c r="AA19" s="22">
        <v>1</v>
      </c>
      <c r="AB19" s="22">
        <v>0</v>
      </c>
      <c r="AC19" s="22">
        <v>1</v>
      </c>
      <c r="AD19" s="22">
        <v>0</v>
      </c>
      <c r="AE19" s="22">
        <v>1</v>
      </c>
      <c r="AF19" s="22">
        <v>2</v>
      </c>
      <c r="AG19" s="22">
        <v>2</v>
      </c>
      <c r="AH19" s="22">
        <v>1</v>
      </c>
      <c r="AI19" s="22">
        <v>0</v>
      </c>
      <c r="AJ19" s="22">
        <v>1</v>
      </c>
      <c r="AK19" s="22">
        <v>0</v>
      </c>
      <c r="AL19" s="22">
        <v>1</v>
      </c>
      <c r="AM19" s="22">
        <v>0</v>
      </c>
      <c r="AN19" s="22">
        <v>1</v>
      </c>
      <c r="AO19" s="22">
        <v>2</v>
      </c>
      <c r="AP19" s="22">
        <v>0</v>
      </c>
      <c r="AQ19" s="22">
        <v>3</v>
      </c>
      <c r="AR19" s="22">
        <v>0</v>
      </c>
      <c r="AS19" s="22">
        <f ca="1">SUMIFS('Tổng Đơn'!$F:$F,'Tổng Đơn'!$B:$B,$C19)</f>
        <v>2</v>
      </c>
      <c r="AT19" s="22">
        <v>0</v>
      </c>
      <c r="AU19" s="22">
        <v>0</v>
      </c>
      <c r="AV19" s="22">
        <v>0</v>
      </c>
      <c r="AW19" s="59">
        <v>0</v>
      </c>
      <c r="AX19" s="59">
        <f t="shared" si="9"/>
        <v>0</v>
      </c>
    </row>
    <row r="20" spans="1:50" ht="18.75" x14ac:dyDescent="0.25">
      <c r="A20" s="59">
        <f t="shared" ca="1" si="2"/>
        <v>1879.1173569000428</v>
      </c>
      <c r="B20" s="6">
        <v>16</v>
      </c>
      <c r="C20" s="61" t="s">
        <v>123</v>
      </c>
      <c r="D20" s="69">
        <f t="shared" si="12"/>
        <v>75</v>
      </c>
      <c r="E20" s="62">
        <v>0.5</v>
      </c>
      <c r="F20" s="113">
        <f>161+40+80+40+40+40+40+40+40+40+40</f>
        <v>601</v>
      </c>
      <c r="G20" s="63">
        <v>37.5</v>
      </c>
      <c r="H20" s="64">
        <f t="shared" ref="H20:H25" si="18">G20*F20</f>
        <v>22537.5</v>
      </c>
      <c r="I20" s="65">
        <f t="shared" ref="I20:I21" si="19">((H20/$H$4)*$A$2)/F20</f>
        <v>0.8493338142865855</v>
      </c>
      <c r="J20" s="139">
        <f t="shared" ref="J20:J21" si="20">G20+I20</f>
        <v>38.349333814286588</v>
      </c>
      <c r="K20" s="66">
        <f t="shared" ref="K20:K21" si="21">J20*F20</f>
        <v>23047.949622386241</v>
      </c>
      <c r="L20" s="70">
        <v>42</v>
      </c>
      <c r="M20" s="64">
        <f t="shared" ref="M20:M21" si="22">L20*F20</f>
        <v>25242</v>
      </c>
      <c r="N20" s="64">
        <f t="shared" ca="1" si="7"/>
        <v>22974</v>
      </c>
      <c r="O20" s="71">
        <f t="shared" ca="1" si="8"/>
        <v>49</v>
      </c>
      <c r="P20" s="58">
        <v>5</v>
      </c>
      <c r="Q20" s="58">
        <v>494</v>
      </c>
      <c r="R20" s="22">
        <v>2</v>
      </c>
      <c r="S20" s="22">
        <v>1</v>
      </c>
      <c r="T20" s="22">
        <v>8</v>
      </c>
      <c r="U20" s="22">
        <v>0</v>
      </c>
      <c r="V20" s="22">
        <v>1</v>
      </c>
      <c r="W20" s="22">
        <v>0</v>
      </c>
      <c r="X20" s="22">
        <v>0</v>
      </c>
      <c r="Y20" s="22">
        <v>0</v>
      </c>
      <c r="Z20" s="22">
        <v>1</v>
      </c>
      <c r="AA20" s="22">
        <v>2</v>
      </c>
      <c r="AB20" s="22">
        <v>6</v>
      </c>
      <c r="AC20" s="22">
        <v>3</v>
      </c>
      <c r="AD20" s="22">
        <v>2</v>
      </c>
      <c r="AE20" s="22">
        <v>2</v>
      </c>
      <c r="AF20" s="22">
        <v>1</v>
      </c>
      <c r="AG20" s="22">
        <v>2</v>
      </c>
      <c r="AH20" s="22">
        <v>1</v>
      </c>
      <c r="AI20" s="22">
        <v>1</v>
      </c>
      <c r="AJ20" s="22">
        <v>0</v>
      </c>
      <c r="AK20" s="22">
        <v>1</v>
      </c>
      <c r="AL20" s="22">
        <v>12</v>
      </c>
      <c r="AM20" s="22">
        <v>0</v>
      </c>
      <c r="AN20" s="22">
        <v>0</v>
      </c>
      <c r="AO20" s="22">
        <v>1</v>
      </c>
      <c r="AP20" s="22">
        <v>0</v>
      </c>
      <c r="AQ20" s="22">
        <v>4</v>
      </c>
      <c r="AR20" s="22">
        <v>0</v>
      </c>
      <c r="AS20" s="22">
        <f ca="1">SUMIFS('Tổng Đơn'!$F:$F,'Tổng Đơn'!$B:$B,$C20)</f>
        <v>2</v>
      </c>
      <c r="AT20" s="22">
        <v>0</v>
      </c>
      <c r="AU20" s="22">
        <v>0</v>
      </c>
      <c r="AV20" s="22">
        <v>0</v>
      </c>
      <c r="AW20" s="59">
        <v>0</v>
      </c>
      <c r="AX20" s="59">
        <f t="shared" si="9"/>
        <v>0</v>
      </c>
    </row>
    <row r="21" spans="1:50" ht="18.75" x14ac:dyDescent="0.25">
      <c r="A21" s="59">
        <f t="shared" ca="1" si="2"/>
        <v>2249.8275837714796</v>
      </c>
      <c r="B21" s="6">
        <v>17</v>
      </c>
      <c r="C21" s="61" t="s">
        <v>175</v>
      </c>
      <c r="D21" s="69">
        <f t="shared" si="12"/>
        <v>88</v>
      </c>
      <c r="E21" s="62">
        <v>0.5</v>
      </c>
      <c r="F21" s="113">
        <f>80</f>
        <v>80</v>
      </c>
      <c r="G21" s="63">
        <v>44</v>
      </c>
      <c r="H21" s="64">
        <f t="shared" si="18"/>
        <v>3520</v>
      </c>
      <c r="I21" s="65">
        <f t="shared" si="19"/>
        <v>0.99655167542959355</v>
      </c>
      <c r="J21" s="139">
        <f t="shared" si="20"/>
        <v>44.996551675429593</v>
      </c>
      <c r="K21" s="66">
        <f t="shared" si="21"/>
        <v>3599.7241340343676</v>
      </c>
      <c r="L21" s="70">
        <v>54</v>
      </c>
      <c r="M21" s="64">
        <f t="shared" si="22"/>
        <v>4320</v>
      </c>
      <c r="N21" s="64">
        <f t="shared" ca="1" si="7"/>
        <v>1566</v>
      </c>
      <c r="O21" s="71">
        <f t="shared" ca="1" si="8"/>
        <v>50</v>
      </c>
      <c r="P21" s="58">
        <v>1</v>
      </c>
      <c r="Q21" s="58">
        <v>28</v>
      </c>
      <c r="R21" s="22">
        <v>0</v>
      </c>
      <c r="S21" s="22">
        <v>0</v>
      </c>
      <c r="T21" s="22">
        <v>0</v>
      </c>
      <c r="U21" s="22">
        <v>0</v>
      </c>
      <c r="V21" s="22">
        <v>1</v>
      </c>
      <c r="W21" s="22">
        <v>0</v>
      </c>
      <c r="X21" s="22">
        <v>0</v>
      </c>
      <c r="Y21" s="22">
        <v>0</v>
      </c>
      <c r="Z21" s="22">
        <v>0</v>
      </c>
      <c r="AA21" s="22">
        <v>0</v>
      </c>
      <c r="AB21" s="22">
        <v>0</v>
      </c>
      <c r="AC21" s="22">
        <v>0</v>
      </c>
      <c r="AD21" s="22">
        <v>0</v>
      </c>
      <c r="AE21" s="22">
        <v>0</v>
      </c>
      <c r="AF21" s="22">
        <v>0</v>
      </c>
      <c r="AG21" s="22">
        <v>0</v>
      </c>
      <c r="AH21" s="22">
        <v>0</v>
      </c>
      <c r="AI21" s="22">
        <v>0</v>
      </c>
      <c r="AJ21" s="22">
        <v>0</v>
      </c>
      <c r="AK21" s="22">
        <v>0</v>
      </c>
      <c r="AL21" s="22">
        <v>0</v>
      </c>
      <c r="AM21" s="22">
        <v>0</v>
      </c>
      <c r="AN21" s="22">
        <v>0</v>
      </c>
      <c r="AO21" s="22">
        <v>0</v>
      </c>
      <c r="AP21" s="22">
        <v>0</v>
      </c>
      <c r="AQ21" s="22">
        <v>0</v>
      </c>
      <c r="AR21" s="22">
        <v>0</v>
      </c>
      <c r="AS21" s="22">
        <f ca="1">SUMIFS('Tổng Đơn'!$F:$F,'Tổng Đơn'!$B:$B,$C21)</f>
        <v>0</v>
      </c>
      <c r="AT21" s="22">
        <v>0</v>
      </c>
      <c r="AU21" s="22">
        <v>0</v>
      </c>
      <c r="AV21" s="22">
        <v>0</v>
      </c>
      <c r="AW21" s="59">
        <v>0</v>
      </c>
      <c r="AX21" s="59">
        <f t="shared" si="9"/>
        <v>0</v>
      </c>
    </row>
    <row r="22" spans="1:50" ht="18.75" x14ac:dyDescent="0.25">
      <c r="A22" s="59">
        <f t="shared" ca="1" si="2"/>
        <v>0</v>
      </c>
      <c r="B22" s="6">
        <v>18</v>
      </c>
      <c r="C22" s="61" t="s">
        <v>180</v>
      </c>
      <c r="D22" s="69">
        <f t="shared" si="12"/>
        <v>73</v>
      </c>
      <c r="E22" s="62">
        <v>0.5</v>
      </c>
      <c r="F22" s="113">
        <f>40</f>
        <v>40</v>
      </c>
      <c r="G22" s="63">
        <v>36.5</v>
      </c>
      <c r="H22" s="64">
        <f t="shared" si="18"/>
        <v>1460</v>
      </c>
      <c r="I22" s="65">
        <f t="shared" ref="I22:I23" si="23">((H22/$H$4)*$A$2)/F22</f>
        <v>0.82668491257227639</v>
      </c>
      <c r="J22" s="139">
        <f t="shared" ref="J22:J23" si="24">G22+I22</f>
        <v>37.326684912572276</v>
      </c>
      <c r="K22" s="66">
        <f t="shared" ref="K22:K23" si="25">J22*F22</f>
        <v>1493.0673965028909</v>
      </c>
      <c r="L22" s="70">
        <v>42</v>
      </c>
      <c r="M22" s="64">
        <f t="shared" ref="M22:M23" si="26">L22*F22</f>
        <v>1680</v>
      </c>
      <c r="N22" s="64">
        <f t="shared" ca="1" si="7"/>
        <v>1680</v>
      </c>
      <c r="O22" s="71">
        <f t="shared" ca="1" si="8"/>
        <v>0</v>
      </c>
      <c r="P22" s="58">
        <v>0</v>
      </c>
      <c r="Q22" s="58">
        <v>40</v>
      </c>
      <c r="R22" s="22">
        <v>0</v>
      </c>
      <c r="S22" s="22">
        <v>0</v>
      </c>
      <c r="T22" s="22">
        <v>0</v>
      </c>
      <c r="U22" s="22">
        <v>0</v>
      </c>
      <c r="V22" s="22">
        <v>0</v>
      </c>
      <c r="W22" s="22">
        <v>0</v>
      </c>
      <c r="X22" s="22">
        <v>0</v>
      </c>
      <c r="Y22" s="22">
        <v>0</v>
      </c>
      <c r="Z22" s="22">
        <v>0</v>
      </c>
      <c r="AA22" s="22">
        <v>0</v>
      </c>
      <c r="AB22" s="22">
        <v>0</v>
      </c>
      <c r="AC22" s="22">
        <v>0</v>
      </c>
      <c r="AD22" s="22">
        <v>0</v>
      </c>
      <c r="AE22" s="22">
        <v>0</v>
      </c>
      <c r="AF22" s="22">
        <v>0</v>
      </c>
      <c r="AG22" s="22">
        <v>0</v>
      </c>
      <c r="AH22" s="22">
        <v>0</v>
      </c>
      <c r="AI22" s="22">
        <v>0</v>
      </c>
      <c r="AJ22" s="22">
        <v>0</v>
      </c>
      <c r="AK22" s="22">
        <v>0</v>
      </c>
      <c r="AL22" s="22">
        <v>0</v>
      </c>
      <c r="AM22" s="22">
        <v>0</v>
      </c>
      <c r="AN22" s="22">
        <v>0</v>
      </c>
      <c r="AO22" s="22">
        <v>0</v>
      </c>
      <c r="AP22" s="22">
        <v>0</v>
      </c>
      <c r="AQ22" s="22">
        <v>0</v>
      </c>
      <c r="AR22" s="22">
        <v>0</v>
      </c>
      <c r="AS22" s="22">
        <f ca="1">SUMIFS('Tổng Đơn'!$F:$F,'Tổng Đơn'!$B:$B,$C22)</f>
        <v>0</v>
      </c>
      <c r="AT22" s="22">
        <v>0</v>
      </c>
      <c r="AU22" s="22">
        <v>0</v>
      </c>
      <c r="AV22" s="22">
        <v>0</v>
      </c>
      <c r="AW22" s="59">
        <v>0</v>
      </c>
      <c r="AX22" s="59">
        <f t="shared" si="9"/>
        <v>0</v>
      </c>
    </row>
    <row r="23" spans="1:50" ht="18.75" x14ac:dyDescent="0.25">
      <c r="A23" s="59">
        <f t="shared" ca="1" si="2"/>
        <v>760.85078287544582</v>
      </c>
      <c r="B23" s="6">
        <v>19</v>
      </c>
      <c r="C23" s="61" t="s">
        <v>206</v>
      </c>
      <c r="D23" s="69">
        <v>24</v>
      </c>
      <c r="E23" s="62">
        <v>0.3</v>
      </c>
      <c r="F23" s="113">
        <f>260+40+80+100+40-16+80+40+40+10+40+40+20+60+20+60+80</f>
        <v>994</v>
      </c>
      <c r="G23" s="63">
        <f>D23/2</f>
        <v>12</v>
      </c>
      <c r="H23" s="64">
        <f t="shared" si="18"/>
        <v>11928</v>
      </c>
      <c r="I23" s="65">
        <f t="shared" si="23"/>
        <v>0.27178682057170739</v>
      </c>
      <c r="J23" s="139">
        <f t="shared" si="24"/>
        <v>12.271786820571707</v>
      </c>
      <c r="K23" s="66">
        <f t="shared" si="25"/>
        <v>12198.156099648277</v>
      </c>
      <c r="L23" s="70">
        <v>16</v>
      </c>
      <c r="M23" s="64">
        <f t="shared" si="26"/>
        <v>15904</v>
      </c>
      <c r="N23" s="64">
        <f t="shared" ca="1" si="7"/>
        <v>14848</v>
      </c>
      <c r="O23" s="71">
        <f t="shared" ca="1" si="8"/>
        <v>62</v>
      </c>
      <c r="P23" s="58">
        <v>4</v>
      </c>
      <c r="Q23" s="58">
        <v>874</v>
      </c>
      <c r="R23" s="22">
        <v>2</v>
      </c>
      <c r="S23" s="22">
        <v>0</v>
      </c>
      <c r="T23" s="22">
        <v>22</v>
      </c>
      <c r="U23" s="22">
        <v>0</v>
      </c>
      <c r="V23" s="22">
        <v>0</v>
      </c>
      <c r="W23" s="22">
        <v>1</v>
      </c>
      <c r="X23" s="22">
        <v>0</v>
      </c>
      <c r="Y23" s="22">
        <v>2</v>
      </c>
      <c r="Z23" s="22">
        <v>2</v>
      </c>
      <c r="AA23" s="22">
        <v>1</v>
      </c>
      <c r="AB23" s="22">
        <v>0</v>
      </c>
      <c r="AC23" s="22">
        <v>0</v>
      </c>
      <c r="AD23" s="22">
        <v>4</v>
      </c>
      <c r="AE23" s="22">
        <v>0</v>
      </c>
      <c r="AF23" s="22">
        <v>0</v>
      </c>
      <c r="AG23" s="22">
        <v>0</v>
      </c>
      <c r="AH23" s="22">
        <v>1</v>
      </c>
      <c r="AI23" s="22">
        <v>1</v>
      </c>
      <c r="AJ23" s="22">
        <v>2</v>
      </c>
      <c r="AK23" s="22">
        <v>0</v>
      </c>
      <c r="AL23" s="22">
        <v>0</v>
      </c>
      <c r="AM23" s="22">
        <v>0</v>
      </c>
      <c r="AN23" s="22">
        <v>10</v>
      </c>
      <c r="AO23" s="22">
        <v>3</v>
      </c>
      <c r="AP23" s="22">
        <v>0</v>
      </c>
      <c r="AQ23" s="22">
        <v>0</v>
      </c>
      <c r="AR23" s="22">
        <v>0</v>
      </c>
      <c r="AS23" s="22">
        <f ca="1">SUMIFS('Tổng Đơn'!$F:$F,'Tổng Đơn'!$B:$B,$C23)</f>
        <v>3</v>
      </c>
      <c r="AT23" s="22">
        <v>0</v>
      </c>
      <c r="AU23" s="22">
        <v>0</v>
      </c>
      <c r="AV23" s="22">
        <v>0</v>
      </c>
      <c r="AW23" s="59">
        <v>0</v>
      </c>
      <c r="AX23" s="59">
        <f t="shared" si="9"/>
        <v>0</v>
      </c>
    </row>
    <row r="24" spans="1:50" ht="18.75" x14ac:dyDescent="0.25">
      <c r="A24" s="59">
        <f t="shared" ca="1" si="2"/>
        <v>0</v>
      </c>
      <c r="B24" s="6">
        <v>20</v>
      </c>
      <c r="C24" s="61" t="s">
        <v>251</v>
      </c>
      <c r="D24" s="69">
        <f>G24*2</f>
        <v>68</v>
      </c>
      <c r="E24" s="62">
        <v>0.5</v>
      </c>
      <c r="F24" s="113">
        <v>10</v>
      </c>
      <c r="G24" s="63">
        <v>34</v>
      </c>
      <c r="H24" s="64">
        <f t="shared" si="18"/>
        <v>340</v>
      </c>
      <c r="I24" s="65">
        <f t="shared" ref="I24" si="27">((H24/$H$4)*$A$2)/F24</f>
        <v>0.77006265828650422</v>
      </c>
      <c r="J24" s="139">
        <f t="shared" ref="J24" si="28">G24+I24</f>
        <v>34.770062658286506</v>
      </c>
      <c r="K24" s="66">
        <f t="shared" ref="K24" si="29">J24*F24</f>
        <v>347.70062658286508</v>
      </c>
      <c r="L24" s="70">
        <v>40</v>
      </c>
      <c r="M24" s="64">
        <f t="shared" ref="M24:M25" si="30">L24*F24</f>
        <v>400</v>
      </c>
      <c r="N24" s="64">
        <f t="shared" ca="1" si="7"/>
        <v>400</v>
      </c>
      <c r="O24" s="71">
        <f t="shared" ca="1" si="8"/>
        <v>0</v>
      </c>
      <c r="P24" s="58"/>
      <c r="Q24" s="58">
        <v>10</v>
      </c>
      <c r="R24" s="22">
        <v>0</v>
      </c>
      <c r="S24" s="22">
        <v>0</v>
      </c>
      <c r="T24" s="22">
        <v>0</v>
      </c>
      <c r="U24" s="22">
        <v>0</v>
      </c>
      <c r="V24" s="22">
        <v>0</v>
      </c>
      <c r="W24" s="22">
        <v>0</v>
      </c>
      <c r="X24" s="22">
        <v>0</v>
      </c>
      <c r="Y24" s="22">
        <v>0</v>
      </c>
      <c r="Z24" s="22">
        <v>0</v>
      </c>
      <c r="AA24" s="22">
        <v>0</v>
      </c>
      <c r="AB24" s="22">
        <v>0</v>
      </c>
      <c r="AC24" s="22">
        <v>0</v>
      </c>
      <c r="AD24" s="22">
        <v>0</v>
      </c>
      <c r="AE24" s="22">
        <v>0</v>
      </c>
      <c r="AF24" s="22">
        <v>0</v>
      </c>
      <c r="AG24" s="22">
        <v>0</v>
      </c>
      <c r="AH24" s="22">
        <v>0</v>
      </c>
      <c r="AI24" s="22">
        <v>0</v>
      </c>
      <c r="AJ24" s="22">
        <v>0</v>
      </c>
      <c r="AK24" s="22">
        <v>0</v>
      </c>
      <c r="AL24" s="22">
        <v>0</v>
      </c>
      <c r="AM24" s="22">
        <v>0</v>
      </c>
      <c r="AN24" s="22">
        <v>0</v>
      </c>
      <c r="AO24" s="22">
        <v>0</v>
      </c>
      <c r="AP24" s="22">
        <v>0</v>
      </c>
      <c r="AQ24" s="22">
        <v>0</v>
      </c>
      <c r="AR24" s="22">
        <v>0</v>
      </c>
      <c r="AS24" s="22">
        <f ca="1">SUMIFS('Tổng Đơn'!$F:$F,'Tổng Đơn'!$B:$B,$C24)</f>
        <v>0</v>
      </c>
      <c r="AT24" s="22">
        <v>0</v>
      </c>
      <c r="AU24" s="22">
        <v>0</v>
      </c>
      <c r="AV24" s="22">
        <v>0</v>
      </c>
      <c r="AW24" s="59">
        <v>0</v>
      </c>
      <c r="AX24" s="59">
        <f t="shared" si="9"/>
        <v>0</v>
      </c>
    </row>
    <row r="25" spans="1:50" ht="18.75" x14ac:dyDescent="0.25">
      <c r="A25" s="59">
        <f t="shared" ca="1" si="2"/>
        <v>33.031559525372174</v>
      </c>
      <c r="B25" s="6">
        <v>21</v>
      </c>
      <c r="C25" s="61" t="s">
        <v>271</v>
      </c>
      <c r="D25" s="69">
        <f>G25*2</f>
        <v>64.599999999999994</v>
      </c>
      <c r="E25" s="62">
        <v>0.5</v>
      </c>
      <c r="F25" s="113">
        <v>40</v>
      </c>
      <c r="G25" s="63">
        <v>32.299999999999997</v>
      </c>
      <c r="H25" s="64">
        <f t="shared" si="18"/>
        <v>1292</v>
      </c>
      <c r="I25" s="65">
        <f t="shared" ref="I25" si="31">((H25/$H$4)*$A$2)/F25</f>
        <v>0.73155952537217883</v>
      </c>
      <c r="J25" s="139">
        <f t="shared" ref="J25" si="32">G25+I25</f>
        <v>33.031559525372174</v>
      </c>
      <c r="K25" s="66">
        <f t="shared" ref="K25" si="33">J25*F25</f>
        <v>1321.2623810148871</v>
      </c>
      <c r="L25" s="70">
        <v>40</v>
      </c>
      <c r="M25" s="64">
        <f t="shared" si="30"/>
        <v>1600</v>
      </c>
      <c r="N25" s="64">
        <f t="shared" ca="1" si="7"/>
        <v>1560</v>
      </c>
      <c r="O25" s="71">
        <f t="shared" ca="1" si="8"/>
        <v>1</v>
      </c>
      <c r="P25" s="58"/>
      <c r="Q25" s="58">
        <v>39</v>
      </c>
      <c r="R25" s="22">
        <v>0</v>
      </c>
      <c r="S25" s="22">
        <v>0</v>
      </c>
      <c r="T25" s="22">
        <v>0</v>
      </c>
      <c r="U25" s="22">
        <v>0</v>
      </c>
      <c r="V25" s="22">
        <v>0</v>
      </c>
      <c r="W25" s="22">
        <v>0</v>
      </c>
      <c r="X25" s="22">
        <v>0</v>
      </c>
      <c r="Y25" s="22">
        <v>0</v>
      </c>
      <c r="Z25" s="22">
        <v>0</v>
      </c>
      <c r="AA25" s="22">
        <v>0</v>
      </c>
      <c r="AB25" s="22">
        <v>0</v>
      </c>
      <c r="AC25" s="22">
        <v>0</v>
      </c>
      <c r="AD25" s="22">
        <v>0</v>
      </c>
      <c r="AE25" s="22">
        <v>0</v>
      </c>
      <c r="AF25" s="22">
        <v>0</v>
      </c>
      <c r="AG25" s="22">
        <v>0</v>
      </c>
      <c r="AH25" s="22">
        <v>0</v>
      </c>
      <c r="AI25" s="22">
        <v>0</v>
      </c>
      <c r="AJ25" s="22">
        <v>0</v>
      </c>
      <c r="AK25" s="22">
        <v>0</v>
      </c>
      <c r="AL25" s="22">
        <v>0</v>
      </c>
      <c r="AM25" s="22">
        <v>0</v>
      </c>
      <c r="AN25" s="22">
        <v>0</v>
      </c>
      <c r="AO25" s="22">
        <v>0</v>
      </c>
      <c r="AP25" s="22">
        <v>0</v>
      </c>
      <c r="AQ25" s="22">
        <v>0</v>
      </c>
      <c r="AR25" s="22">
        <v>0</v>
      </c>
      <c r="AS25" s="22">
        <f ca="1">SUMIFS('Tổng Đơn'!$F:$F,'Tổng Đơn'!$B:$B,$C25)</f>
        <v>0</v>
      </c>
      <c r="AT25" s="22">
        <v>0</v>
      </c>
      <c r="AU25" s="22">
        <v>0</v>
      </c>
      <c r="AV25" s="22">
        <v>0</v>
      </c>
      <c r="AW25" s="59">
        <v>0</v>
      </c>
      <c r="AX25" s="59">
        <f t="shared" si="9"/>
        <v>0</v>
      </c>
    </row>
    <row r="26" spans="1:50" ht="18.75" x14ac:dyDescent="0.25">
      <c r="B26" s="6"/>
      <c r="C26" s="61"/>
      <c r="D26" s="69"/>
      <c r="E26" s="62"/>
      <c r="F26" s="113"/>
      <c r="G26" s="63"/>
      <c r="H26" s="64"/>
      <c r="I26" s="65"/>
      <c r="J26" s="139"/>
      <c r="K26" s="66"/>
      <c r="L26" s="70"/>
      <c r="M26" s="64"/>
      <c r="N26" s="64"/>
      <c r="O26" s="71"/>
      <c r="P26" s="58"/>
      <c r="Q26" s="58"/>
      <c r="R26" s="22"/>
      <c r="S26" s="22"/>
      <c r="T26" s="22"/>
      <c r="U26" s="22"/>
      <c r="V26" s="22"/>
      <c r="W26" s="22"/>
      <c r="X26" s="22"/>
      <c r="Y26" s="22"/>
      <c r="Z26" s="22"/>
      <c r="AA26" s="22"/>
      <c r="AB26" s="22"/>
      <c r="AC26" s="22"/>
      <c r="AD26" s="22"/>
      <c r="AE26" s="22"/>
      <c r="AF26" s="22"/>
      <c r="AG26" s="22"/>
      <c r="AH26" s="22"/>
      <c r="AI26" s="22"/>
      <c r="AJ26" s="22"/>
      <c r="AK26" s="22"/>
      <c r="AL26" s="22"/>
      <c r="AM26" s="22"/>
      <c r="AN26" s="22"/>
      <c r="AO26" s="22"/>
      <c r="AP26" s="22"/>
      <c r="AQ26" s="22"/>
      <c r="AR26" s="22"/>
      <c r="AS26" s="22"/>
      <c r="AT26" s="22"/>
      <c r="AU26" s="22"/>
      <c r="AV26" s="22"/>
    </row>
    <row r="27" spans="1:50" ht="18.75" x14ac:dyDescent="0.25">
      <c r="A27" s="59">
        <v>0</v>
      </c>
      <c r="B27" s="189" t="s">
        <v>255</v>
      </c>
      <c r="C27" s="188" t="s">
        <v>263</v>
      </c>
      <c r="D27" s="190">
        <v>73</v>
      </c>
      <c r="E27" s="197">
        <v>0.5</v>
      </c>
      <c r="F27" s="204">
        <v>198</v>
      </c>
      <c r="G27" s="197">
        <v>36.5</v>
      </c>
      <c r="H27" s="194">
        <v>7227</v>
      </c>
      <c r="I27" s="192">
        <v>0.80008460399561587</v>
      </c>
      <c r="J27" s="205">
        <v>37.300084603995614</v>
      </c>
      <c r="K27" s="188">
        <v>7385.4167515911313</v>
      </c>
      <c r="L27" s="200">
        <v>42</v>
      </c>
      <c r="M27" s="194">
        <v>8316</v>
      </c>
      <c r="N27" s="194">
        <v>8274</v>
      </c>
      <c r="O27" s="206">
        <v>0</v>
      </c>
      <c r="P27" s="125">
        <v>1</v>
      </c>
      <c r="Q27" s="125">
        <v>182</v>
      </c>
      <c r="R27" s="207">
        <v>0</v>
      </c>
      <c r="S27" s="207">
        <v>0</v>
      </c>
      <c r="T27" s="207">
        <v>0</v>
      </c>
      <c r="U27" s="207">
        <v>0</v>
      </c>
      <c r="V27" s="207">
        <v>0</v>
      </c>
      <c r="W27" s="207">
        <v>0</v>
      </c>
      <c r="X27" s="207">
        <v>0</v>
      </c>
      <c r="Y27" s="207">
        <v>0</v>
      </c>
      <c r="Z27" s="207">
        <v>0</v>
      </c>
      <c r="AA27" s="207">
        <v>0</v>
      </c>
      <c r="AB27" s="207">
        <v>15</v>
      </c>
      <c r="AC27" s="207">
        <v>0</v>
      </c>
      <c r="AD27" s="207">
        <v>0</v>
      </c>
      <c r="AE27" s="207">
        <v>0</v>
      </c>
      <c r="AF27" s="207">
        <v>0</v>
      </c>
      <c r="AG27" s="207">
        <v>0</v>
      </c>
      <c r="AH27" s="207">
        <v>0</v>
      </c>
      <c r="AI27" s="207">
        <v>0</v>
      </c>
      <c r="AJ27" s="207">
        <v>0</v>
      </c>
      <c r="AK27" s="207">
        <v>0</v>
      </c>
      <c r="AL27" s="207">
        <v>0</v>
      </c>
      <c r="AM27" s="207">
        <v>0</v>
      </c>
      <c r="AN27" s="207">
        <v>0</v>
      </c>
      <c r="AO27" s="207">
        <v>0</v>
      </c>
      <c r="AP27" s="207">
        <v>0</v>
      </c>
      <c r="AQ27" s="207">
        <v>0</v>
      </c>
      <c r="AR27" s="207">
        <v>0</v>
      </c>
      <c r="AS27" s="207">
        <v>0</v>
      </c>
      <c r="AT27" s="207">
        <v>0</v>
      </c>
      <c r="AU27" s="207">
        <v>0</v>
      </c>
      <c r="AV27" s="207">
        <v>0</v>
      </c>
      <c r="AW27" s="59">
        <v>0</v>
      </c>
      <c r="AX27" s="59">
        <v>0</v>
      </c>
    </row>
    <row r="30" spans="1:50" x14ac:dyDescent="0.25">
      <c r="L30" s="59">
        <f>J30*5</f>
        <v>0</v>
      </c>
    </row>
  </sheetData>
  <autoFilter ref="B4:M24"/>
  <mergeCells count="1">
    <mergeCell ref="B1:M1"/>
  </mergeCells>
  <conditionalFormatting sqref="C6:C17">
    <cfRule type="expression" dxfId="645" priority="21">
      <formula>($O6/$O6)&lt;=1/4</formula>
    </cfRule>
  </conditionalFormatting>
  <conditionalFormatting sqref="C18">
    <cfRule type="expression" dxfId="644" priority="18">
      <formula>($O18/$O18)&lt;=1/4</formula>
    </cfRule>
  </conditionalFormatting>
  <conditionalFormatting sqref="C5:C18">
    <cfRule type="expression" dxfId="643" priority="29">
      <formula>($O5/$F5)&lt;=1/4</formula>
    </cfRule>
  </conditionalFormatting>
  <conditionalFormatting sqref="C19">
    <cfRule type="expression" dxfId="642" priority="9">
      <formula>($O19/$O19)&lt;=1/4</formula>
    </cfRule>
  </conditionalFormatting>
  <conditionalFormatting sqref="C19">
    <cfRule type="expression" dxfId="641" priority="10">
      <formula>($O19/$F19)&lt;=1/4</formula>
    </cfRule>
  </conditionalFormatting>
  <conditionalFormatting sqref="C20:C21">
    <cfRule type="expression" dxfId="640" priority="7">
      <formula>($O20/$O20)&lt;=1/4</formula>
    </cfRule>
  </conditionalFormatting>
  <conditionalFormatting sqref="C20:C21">
    <cfRule type="expression" dxfId="639" priority="8">
      <formula>($O20/$F20)&lt;=1/4</formula>
    </cfRule>
  </conditionalFormatting>
  <conditionalFormatting sqref="C22:C23">
    <cfRule type="expression" dxfId="638" priority="5">
      <formula>($O22/$O22)&lt;=1/4</formula>
    </cfRule>
  </conditionalFormatting>
  <conditionalFormatting sqref="C22:C23">
    <cfRule type="expression" dxfId="637" priority="6">
      <formula>($O22/$F22)&lt;=1/4</formula>
    </cfRule>
  </conditionalFormatting>
  <conditionalFormatting sqref="C24">
    <cfRule type="expression" dxfId="636" priority="3">
      <formula>($O24/$O24)&lt;=1/4</formula>
    </cfRule>
  </conditionalFormatting>
  <conditionalFormatting sqref="C24">
    <cfRule type="expression" dxfId="635" priority="4">
      <formula>($O24/$F24)&lt;=1/4</formula>
    </cfRule>
  </conditionalFormatting>
  <conditionalFormatting sqref="C25:C26">
    <cfRule type="expression" dxfId="634" priority="1">
      <formula>($O25/$O25)&lt;=1/4</formula>
    </cfRule>
  </conditionalFormatting>
  <conditionalFormatting sqref="C25:C26">
    <cfRule type="expression" dxfId="633" priority="2">
      <formula>($O25/$F25)&lt;=1/4</formula>
    </cfRule>
  </conditionalFormatting>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00B050"/>
  </sheetPr>
  <dimension ref="A1:AY12"/>
  <sheetViews>
    <sheetView topLeftCell="A2" zoomScale="90" zoomScaleNormal="90" workbookViewId="0">
      <pane xSplit="17" ySplit="3" topLeftCell="AR5" activePane="bottomRight" state="frozen"/>
      <selection activeCell="A2" sqref="A2"/>
      <selection pane="topRight" activeCell="R2" sqref="R2"/>
      <selection pane="bottomLeft" activeCell="A5" sqref="A5"/>
      <selection pane="bottomRight" activeCell="A11" sqref="A11:XFD11"/>
    </sheetView>
  </sheetViews>
  <sheetFormatPr defaultColWidth="9.140625" defaultRowHeight="15" x14ac:dyDescent="0.25"/>
  <cols>
    <col min="1" max="1" width="16.28515625" style="59" customWidth="1"/>
    <col min="2" max="2" width="9.140625" style="59"/>
    <col min="3" max="3" width="30.5703125" style="59" bestFit="1" customWidth="1"/>
    <col min="4" max="4" width="9" style="59" customWidth="1"/>
    <col min="5" max="5" width="11.140625" style="59" bestFit="1" customWidth="1"/>
    <col min="6" max="6" width="10.28515625" style="59" bestFit="1" customWidth="1"/>
    <col min="7" max="7" width="9.5703125" style="59" customWidth="1"/>
    <col min="8" max="8" width="12.85546875" style="59" hidden="1" customWidth="1"/>
    <col min="9" max="9" width="14.85546875" style="59" hidden="1" customWidth="1"/>
    <col min="10" max="10" width="12.7109375" style="59" customWidth="1"/>
    <col min="11" max="11" width="14.85546875" style="59" hidden="1" customWidth="1"/>
    <col min="12" max="12" width="12" style="59" customWidth="1"/>
    <col min="13" max="14" width="16.28515625" style="59" hidden="1" customWidth="1"/>
    <col min="15" max="15" width="9.7109375" style="59" bestFit="1" customWidth="1"/>
    <col min="16" max="16" width="13.140625" style="59" customWidth="1"/>
    <col min="17" max="17" width="12.28515625" style="59" customWidth="1"/>
    <col min="18" max="35" width="4.5703125" style="59" customWidth="1"/>
    <col min="36" max="36" width="4.7109375" style="59" bestFit="1" customWidth="1"/>
    <col min="37" max="48" width="4.5703125" style="59" customWidth="1"/>
    <col min="49" max="49" width="10.140625" style="59" bestFit="1" customWidth="1"/>
    <col min="50" max="50" width="12" style="59" bestFit="1" customWidth="1"/>
    <col min="51" max="16384" width="9.140625" style="59"/>
  </cols>
  <sheetData>
    <row r="1" spans="1:51" hidden="1" x14ac:dyDescent="0.25">
      <c r="B1" s="252" t="s">
        <v>51</v>
      </c>
      <c r="C1" s="252"/>
      <c r="D1" s="252"/>
      <c r="E1" s="252"/>
      <c r="F1" s="252"/>
      <c r="G1" s="252"/>
      <c r="H1" s="252"/>
      <c r="I1" s="252"/>
      <c r="J1" s="252"/>
      <c r="K1" s="252"/>
      <c r="L1" s="252"/>
      <c r="M1" s="252"/>
      <c r="N1" s="156"/>
    </row>
    <row r="2" spans="1:51" ht="34.5" customHeight="1" x14ac:dyDescent="0.25">
      <c r="A2" s="1">
        <f>300+200+120+200+200+200+140+190+120+60+100+95+145+70+100+165+70+80+320+100+270+80+100+140+50+170+140+170+110+140+200+60+100+140+180+80+160+100+240+120+120+300+280+120+240</f>
        <v>6785</v>
      </c>
      <c r="K2" s="13">
        <f>SUMPRODUCT((E5:E12)*(F5:F12))</f>
        <v>6652.5</v>
      </c>
      <c r="L2" s="13">
        <f>M4-K4</f>
        <v>55997.636363636353</v>
      </c>
      <c r="M2" s="8">
        <f>M4/K4-1</f>
        <v>0.18863672973401702</v>
      </c>
      <c r="N2" s="8"/>
      <c r="Q2" s="208"/>
      <c r="AW2" s="224"/>
      <c r="AX2" s="134"/>
    </row>
    <row r="3" spans="1:51" ht="43.9" customHeight="1" x14ac:dyDescent="0.25">
      <c r="A3" s="51" t="s">
        <v>111</v>
      </c>
      <c r="B3" s="3" t="s">
        <v>0</v>
      </c>
      <c r="C3" s="3" t="s">
        <v>16</v>
      </c>
      <c r="D3" s="17" t="s">
        <v>54</v>
      </c>
      <c r="E3" s="5" t="s">
        <v>135</v>
      </c>
      <c r="F3" s="110" t="s">
        <v>134</v>
      </c>
      <c r="G3" s="4" t="s">
        <v>17</v>
      </c>
      <c r="H3" s="4" t="s">
        <v>18</v>
      </c>
      <c r="I3" s="9" t="s">
        <v>19</v>
      </c>
      <c r="J3" s="9" t="s">
        <v>20</v>
      </c>
      <c r="K3" s="9" t="s">
        <v>23</v>
      </c>
      <c r="L3" s="10" t="s">
        <v>21</v>
      </c>
      <c r="M3" s="11" t="s">
        <v>22</v>
      </c>
      <c r="N3" s="11" t="s">
        <v>109</v>
      </c>
      <c r="O3" s="20" t="s">
        <v>52</v>
      </c>
      <c r="P3" s="57" t="s">
        <v>125</v>
      </c>
      <c r="Q3" s="216" t="s">
        <v>300</v>
      </c>
      <c r="R3" s="21" t="s">
        <v>166</v>
      </c>
      <c r="S3" s="23" t="s">
        <v>167</v>
      </c>
      <c r="T3" s="21" t="s">
        <v>168</v>
      </c>
      <c r="U3" s="23" t="s">
        <v>169</v>
      </c>
      <c r="V3" s="21" t="s">
        <v>170</v>
      </c>
      <c r="W3" s="23" t="s">
        <v>171</v>
      </c>
      <c r="X3" s="21" t="s">
        <v>172</v>
      </c>
      <c r="Y3" s="23" t="s">
        <v>173</v>
      </c>
      <c r="Z3" s="21" t="s">
        <v>174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X3" s="95"/>
    </row>
    <row r="4" spans="1:51" s="46" customFormat="1" ht="27" customHeight="1" x14ac:dyDescent="0.25">
      <c r="A4" s="50">
        <f ca="1">SUBTOTAL(9,A5:A12)</f>
        <v>15298.485344499963</v>
      </c>
      <c r="B4" s="16"/>
      <c r="C4" s="16"/>
      <c r="D4" s="47"/>
      <c r="E4" s="16">
        <f>SUMPRODUCT((E5:E12)*(F5:F12))</f>
        <v>6652.5</v>
      </c>
      <c r="F4" s="16">
        <f>SUBTOTAL(9,F5:F12)</f>
        <v>13305</v>
      </c>
      <c r="G4" s="7"/>
      <c r="H4" s="7">
        <f>SUBTOTAL(9,H5:H12)</f>
        <v>290069.36363636365</v>
      </c>
      <c r="I4" s="12"/>
      <c r="J4" s="12"/>
      <c r="K4" s="12">
        <f>SUBTOTAL(9,K5:K12)</f>
        <v>296854.36363636365</v>
      </c>
      <c r="L4" s="48"/>
      <c r="M4" s="7">
        <f>SUBTOTAL(9,M5:M12)</f>
        <v>352852</v>
      </c>
      <c r="N4" s="7">
        <f ca="1">SUBTOTAL(9,N5:N12)</f>
        <v>334107</v>
      </c>
      <c r="O4" s="49">
        <f ca="1">SUBTOTAL(9,O5:O12)</f>
        <v>642</v>
      </c>
      <c r="P4" s="75">
        <f>SUBTOTAL(9,P5:P12)</f>
        <v>21</v>
      </c>
      <c r="Q4" s="75"/>
      <c r="R4" s="25">
        <f t="shared" ref="R4:AV4" si="0">SUBTOTAL(9,R5:R12)</f>
        <v>77</v>
      </c>
      <c r="S4" s="25">
        <f t="shared" si="0"/>
        <v>27</v>
      </c>
      <c r="T4" s="25">
        <f t="shared" si="0"/>
        <v>81</v>
      </c>
      <c r="U4" s="25">
        <f t="shared" si="0"/>
        <v>17</v>
      </c>
      <c r="V4" s="25">
        <f t="shared" si="0"/>
        <v>79</v>
      </c>
      <c r="W4" s="25">
        <f t="shared" si="0"/>
        <v>53</v>
      </c>
      <c r="X4" s="25">
        <f t="shared" si="0"/>
        <v>68</v>
      </c>
      <c r="Y4" s="25">
        <f t="shared" si="0"/>
        <v>27</v>
      </c>
      <c r="Z4" s="25">
        <f t="shared" si="0"/>
        <v>26</v>
      </c>
      <c r="AA4" s="25">
        <f t="shared" si="0"/>
        <v>89</v>
      </c>
      <c r="AB4" s="25">
        <f t="shared" si="0"/>
        <v>51</v>
      </c>
      <c r="AC4" s="25">
        <f t="shared" si="0"/>
        <v>53</v>
      </c>
      <c r="AD4" s="25">
        <f t="shared" si="0"/>
        <v>76</v>
      </c>
      <c r="AE4" s="25">
        <f t="shared" si="0"/>
        <v>27</v>
      </c>
      <c r="AF4" s="25">
        <f t="shared" si="0"/>
        <v>17</v>
      </c>
      <c r="AG4" s="25">
        <f t="shared" si="0"/>
        <v>55</v>
      </c>
      <c r="AH4" s="25">
        <f t="shared" si="0"/>
        <v>50</v>
      </c>
      <c r="AI4" s="25">
        <f t="shared" si="0"/>
        <v>30</v>
      </c>
      <c r="AJ4" s="25">
        <f t="shared" si="0"/>
        <v>59</v>
      </c>
      <c r="AK4" s="25">
        <f t="shared" si="0"/>
        <v>52</v>
      </c>
      <c r="AL4" s="25">
        <f t="shared" si="0"/>
        <v>58</v>
      </c>
      <c r="AM4" s="25">
        <f t="shared" si="0"/>
        <v>109</v>
      </c>
      <c r="AN4" s="25">
        <f t="shared" si="0"/>
        <v>47</v>
      </c>
      <c r="AO4" s="25">
        <f t="shared" si="0"/>
        <v>70</v>
      </c>
      <c r="AP4" s="25">
        <f t="shared" si="0"/>
        <v>27</v>
      </c>
      <c r="AQ4" s="25">
        <f t="shared" si="0"/>
        <v>84</v>
      </c>
      <c r="AR4" s="25">
        <f t="shared" si="0"/>
        <v>27</v>
      </c>
      <c r="AS4" s="25">
        <f t="shared" ca="1" si="0"/>
        <v>41</v>
      </c>
      <c r="AT4" s="25">
        <f t="shared" si="0"/>
        <v>0</v>
      </c>
      <c r="AU4" s="25">
        <f t="shared" si="0"/>
        <v>0</v>
      </c>
      <c r="AV4" s="25">
        <f t="shared" si="0"/>
        <v>0</v>
      </c>
      <c r="AW4" s="41" t="str">
        <f>SUMPRODUCT(($AW$5:$AW$12)*($E$5:$E$12))&amp;" Kg"</f>
        <v>165 Kg</v>
      </c>
      <c r="AX4" s="78">
        <f>SUBTOTAL(9,AX5:AX12)</f>
        <v>7450</v>
      </c>
    </row>
    <row r="5" spans="1:51" ht="18.75" x14ac:dyDescent="0.25">
      <c r="A5" s="59">
        <f t="shared" ref="A5:A12" ca="1" si="1">J5*O5</f>
        <v>5638.8841728451789</v>
      </c>
      <c r="B5" s="6">
        <v>1</v>
      </c>
      <c r="C5" s="61" t="s">
        <v>198</v>
      </c>
      <c r="D5" s="69">
        <v>38</v>
      </c>
      <c r="E5" s="6">
        <v>0.5</v>
      </c>
      <c r="F5" s="6">
        <f>240+126+126+100+126+210+126+42+84+84+126+210+84+210+126+84+126+420+420+210+210+42+210+252+210+126+210+336+210+210+210+84+168+126+420+84+126+294+420+126+336</f>
        <v>7690</v>
      </c>
      <c r="G5" s="63">
        <f t="shared" ref="G5:G12" si="2">D5/(1/E5)</f>
        <v>19</v>
      </c>
      <c r="H5" s="64">
        <f t="shared" ref="H5:H12" si="3">G5*F5</f>
        <v>146110</v>
      </c>
      <c r="I5" s="65">
        <f t="shared" ref="I5:I12" si="4">((H5/$H$4)*$A$2)/F5</f>
        <v>0.44442818222475311</v>
      </c>
      <c r="J5" s="139">
        <f t="shared" ref="J5:J12" si="5">G5+I5</f>
        <v>19.444428182224755</v>
      </c>
      <c r="K5" s="66">
        <f>J5*F5</f>
        <v>149527.65272130838</v>
      </c>
      <c r="L5" s="70">
        <v>23</v>
      </c>
      <c r="M5" s="64">
        <f t="shared" ref="M5:M12" si="6">L5*F5</f>
        <v>176870</v>
      </c>
      <c r="N5" s="64">
        <f t="shared" ref="N5:N12" ca="1" si="7">SUMPRODUCT(($Q5:$AV5)*$L5)</f>
        <v>170039</v>
      </c>
      <c r="O5" s="71">
        <f t="shared" ref="O5:O12" ca="1" si="8">F5-SUM(Q5:AV5)-P5</f>
        <v>290</v>
      </c>
      <c r="P5" s="58">
        <v>7</v>
      </c>
      <c r="Q5" s="58">
        <v>6455</v>
      </c>
      <c r="R5" s="22">
        <v>43</v>
      </c>
      <c r="S5" s="22">
        <v>14</v>
      </c>
      <c r="T5" s="22">
        <v>46</v>
      </c>
      <c r="U5" s="22">
        <v>8</v>
      </c>
      <c r="V5" s="22">
        <v>49</v>
      </c>
      <c r="W5" s="22">
        <v>26</v>
      </c>
      <c r="X5" s="22">
        <v>56</v>
      </c>
      <c r="Y5" s="22">
        <v>18</v>
      </c>
      <c r="Z5" s="22">
        <v>23</v>
      </c>
      <c r="AA5" s="22">
        <v>55</v>
      </c>
      <c r="AB5" s="22">
        <v>31</v>
      </c>
      <c r="AC5" s="22">
        <v>29</v>
      </c>
      <c r="AD5" s="22">
        <v>43</v>
      </c>
      <c r="AE5" s="22">
        <v>18</v>
      </c>
      <c r="AF5" s="22">
        <v>7</v>
      </c>
      <c r="AG5" s="22">
        <v>38</v>
      </c>
      <c r="AH5" s="22">
        <v>25</v>
      </c>
      <c r="AI5" s="22">
        <v>15</v>
      </c>
      <c r="AJ5" s="22">
        <v>33</v>
      </c>
      <c r="AK5" s="22">
        <v>47</v>
      </c>
      <c r="AL5" s="22">
        <v>46</v>
      </c>
      <c r="AM5" s="22">
        <v>76</v>
      </c>
      <c r="AN5" s="22">
        <v>28</v>
      </c>
      <c r="AO5" s="22">
        <v>35</v>
      </c>
      <c r="AP5" s="22">
        <v>25</v>
      </c>
      <c r="AQ5" s="22">
        <v>52</v>
      </c>
      <c r="AR5" s="22">
        <v>27</v>
      </c>
      <c r="AS5" s="22">
        <f ca="1">SUMIFS('Tổng Đơn'!$F:$F,'Tổng Đơn'!$B:$B,$C5)</f>
        <v>25</v>
      </c>
      <c r="AT5" s="22">
        <v>0</v>
      </c>
      <c r="AU5" s="22">
        <v>0</v>
      </c>
      <c r="AV5" s="22">
        <v>0</v>
      </c>
      <c r="AW5" s="59">
        <f>5*42</f>
        <v>210</v>
      </c>
      <c r="AX5" s="59">
        <f>AW5*AY5/2</f>
        <v>3990</v>
      </c>
      <c r="AY5" s="59">
        <v>38</v>
      </c>
    </row>
    <row r="6" spans="1:51" ht="18.75" x14ac:dyDescent="0.25">
      <c r="A6" s="59">
        <f t="shared" ca="1" si="1"/>
        <v>107.45605048071575</v>
      </c>
      <c r="B6" s="6">
        <v>2</v>
      </c>
      <c r="C6" s="61" t="s">
        <v>199</v>
      </c>
      <c r="D6" s="69">
        <v>42</v>
      </c>
      <c r="E6" s="6">
        <v>0.5</v>
      </c>
      <c r="F6" s="6">
        <f>40+40</f>
        <v>80</v>
      </c>
      <c r="G6" s="63">
        <f t="shared" si="2"/>
        <v>21</v>
      </c>
      <c r="H6" s="64">
        <f t="shared" si="3"/>
        <v>1680</v>
      </c>
      <c r="I6" s="65">
        <f t="shared" si="4"/>
        <v>0.49121009614314826</v>
      </c>
      <c r="J6" s="139">
        <f t="shared" si="5"/>
        <v>21.491210096143149</v>
      </c>
      <c r="K6" s="66">
        <f>J6*F6</f>
        <v>1719.2968076914519</v>
      </c>
      <c r="L6" s="70">
        <v>26</v>
      </c>
      <c r="M6" s="64">
        <f t="shared" si="6"/>
        <v>2080</v>
      </c>
      <c r="N6" s="64">
        <f t="shared" ca="1" si="7"/>
        <v>1950</v>
      </c>
      <c r="O6" s="71">
        <f t="shared" ca="1" si="8"/>
        <v>5</v>
      </c>
      <c r="P6" s="58"/>
      <c r="Q6" s="58">
        <v>56</v>
      </c>
      <c r="R6" s="22">
        <v>0</v>
      </c>
      <c r="S6" s="22">
        <v>0</v>
      </c>
      <c r="T6" s="22">
        <v>0</v>
      </c>
      <c r="U6" s="22">
        <v>0</v>
      </c>
      <c r="V6" s="22">
        <v>12</v>
      </c>
      <c r="W6" s="22">
        <v>0</v>
      </c>
      <c r="X6" s="22">
        <v>0</v>
      </c>
      <c r="Y6" s="22">
        <v>0</v>
      </c>
      <c r="Z6" s="22">
        <v>0</v>
      </c>
      <c r="AA6" s="22">
        <v>0</v>
      </c>
      <c r="AB6" s="22">
        <v>0</v>
      </c>
      <c r="AC6" s="22">
        <v>0</v>
      </c>
      <c r="AD6" s="22">
        <v>1</v>
      </c>
      <c r="AE6" s="22">
        <v>0</v>
      </c>
      <c r="AF6" s="22">
        <v>0</v>
      </c>
      <c r="AG6" s="22">
        <v>1</v>
      </c>
      <c r="AH6" s="22">
        <v>0</v>
      </c>
      <c r="AI6" s="22">
        <v>0</v>
      </c>
      <c r="AJ6" s="22">
        <v>0</v>
      </c>
      <c r="AK6" s="22">
        <v>0</v>
      </c>
      <c r="AL6" s="22">
        <v>2</v>
      </c>
      <c r="AM6" s="22">
        <v>0</v>
      </c>
      <c r="AN6" s="22">
        <v>2</v>
      </c>
      <c r="AO6" s="22">
        <v>0</v>
      </c>
      <c r="AP6" s="22">
        <v>0</v>
      </c>
      <c r="AQ6" s="22">
        <v>1</v>
      </c>
      <c r="AR6" s="22">
        <v>0</v>
      </c>
      <c r="AS6" s="22">
        <f ca="1">SUMIFS('Tổng Đơn'!$F:$F,'Tổng Đơn'!$B:$B,$C6)</f>
        <v>0</v>
      </c>
      <c r="AT6" s="22">
        <v>0</v>
      </c>
      <c r="AU6" s="22">
        <v>0</v>
      </c>
      <c r="AV6" s="22">
        <v>0</v>
      </c>
      <c r="AW6" s="59">
        <v>0</v>
      </c>
      <c r="AX6" s="59">
        <f t="shared" ref="AX6:AX12" si="9">AW6*AY6/2</f>
        <v>0</v>
      </c>
      <c r="AY6" s="59">
        <v>42</v>
      </c>
    </row>
    <row r="7" spans="1:51" ht="18.75" x14ac:dyDescent="0.25">
      <c r="A7" s="59">
        <f t="shared" ca="1" si="1"/>
        <v>902.63082403801229</v>
      </c>
      <c r="B7" s="6">
        <v>3</v>
      </c>
      <c r="C7" s="61" t="s">
        <v>200</v>
      </c>
      <c r="D7" s="69">
        <v>42</v>
      </c>
      <c r="E7" s="6">
        <v>0.5</v>
      </c>
      <c r="F7" s="6">
        <f>40+42+42+42+42+42+42+42+42+42</f>
        <v>418</v>
      </c>
      <c r="G7" s="63">
        <f t="shared" si="2"/>
        <v>21</v>
      </c>
      <c r="H7" s="64">
        <f t="shared" si="3"/>
        <v>8778</v>
      </c>
      <c r="I7" s="65">
        <f t="shared" si="4"/>
        <v>0.4912100961431482</v>
      </c>
      <c r="J7" s="139">
        <f t="shared" si="5"/>
        <v>21.491210096143149</v>
      </c>
      <c r="K7" s="66">
        <f t="shared" ref="K7:K12" si="10">J7*F7</f>
        <v>8983.3258201878361</v>
      </c>
      <c r="L7" s="70">
        <v>26</v>
      </c>
      <c r="M7" s="64">
        <f t="shared" si="6"/>
        <v>10868</v>
      </c>
      <c r="N7" s="64">
        <f t="shared" ca="1" si="7"/>
        <v>9724</v>
      </c>
      <c r="O7" s="71">
        <f t="shared" ca="1" si="8"/>
        <v>42</v>
      </c>
      <c r="P7" s="58">
        <v>2</v>
      </c>
      <c r="Q7" s="58">
        <v>329</v>
      </c>
      <c r="R7" s="22">
        <v>4</v>
      </c>
      <c r="S7" s="22">
        <v>0</v>
      </c>
      <c r="T7" s="22">
        <v>7</v>
      </c>
      <c r="U7" s="22">
        <v>5</v>
      </c>
      <c r="V7" s="22">
        <v>4</v>
      </c>
      <c r="W7" s="22">
        <v>0</v>
      </c>
      <c r="X7" s="22">
        <v>0</v>
      </c>
      <c r="Y7" s="22">
        <v>1</v>
      </c>
      <c r="Z7" s="22">
        <v>0</v>
      </c>
      <c r="AA7" s="22">
        <v>2</v>
      </c>
      <c r="AB7" s="22">
        <v>0</v>
      </c>
      <c r="AC7" s="22">
        <v>0</v>
      </c>
      <c r="AD7" s="22">
        <v>4</v>
      </c>
      <c r="AE7" s="22">
        <v>0</v>
      </c>
      <c r="AF7" s="22">
        <v>0</v>
      </c>
      <c r="AG7" s="22">
        <v>0</v>
      </c>
      <c r="AH7" s="22">
        <v>1</v>
      </c>
      <c r="AI7" s="22">
        <v>3</v>
      </c>
      <c r="AJ7" s="22">
        <v>0</v>
      </c>
      <c r="AK7" s="22">
        <v>0</v>
      </c>
      <c r="AL7" s="22">
        <v>0</v>
      </c>
      <c r="AM7" s="22">
        <v>0</v>
      </c>
      <c r="AN7" s="22">
        <v>0</v>
      </c>
      <c r="AO7" s="22">
        <v>5</v>
      </c>
      <c r="AP7" s="22">
        <v>0</v>
      </c>
      <c r="AQ7" s="22">
        <v>6</v>
      </c>
      <c r="AR7" s="22">
        <v>0</v>
      </c>
      <c r="AS7" s="22">
        <f ca="1">SUMIFS('Tổng Đơn'!$F:$F,'Tổng Đơn'!$B:$B,$C7)</f>
        <v>3</v>
      </c>
      <c r="AT7" s="22">
        <v>0</v>
      </c>
      <c r="AU7" s="22">
        <v>0</v>
      </c>
      <c r="AV7" s="22">
        <v>0</v>
      </c>
      <c r="AW7" s="59">
        <v>0</v>
      </c>
      <c r="AX7" s="59">
        <f t="shared" si="9"/>
        <v>0</v>
      </c>
      <c r="AY7" s="59">
        <v>42</v>
      </c>
    </row>
    <row r="8" spans="1:51" ht="18.75" x14ac:dyDescent="0.25">
      <c r="A8" s="59">
        <f t="shared" ca="1" si="1"/>
        <v>634.50239331470254</v>
      </c>
      <c r="B8" s="6">
        <v>4</v>
      </c>
      <c r="C8" s="61" t="s">
        <v>201</v>
      </c>
      <c r="D8" s="69">
        <v>40</v>
      </c>
      <c r="E8" s="6">
        <v>0.5</v>
      </c>
      <c r="F8" s="6">
        <f>40+42+42+42+42+42</f>
        <v>250</v>
      </c>
      <c r="G8" s="63">
        <f t="shared" si="2"/>
        <v>20</v>
      </c>
      <c r="H8" s="64">
        <f t="shared" si="3"/>
        <v>5000</v>
      </c>
      <c r="I8" s="65">
        <f t="shared" si="4"/>
        <v>0.46781913918395063</v>
      </c>
      <c r="J8" s="139">
        <f t="shared" si="5"/>
        <v>20.467819139183952</v>
      </c>
      <c r="K8" s="66">
        <f t="shared" si="10"/>
        <v>5116.9547847959884</v>
      </c>
      <c r="L8" s="70">
        <v>26</v>
      </c>
      <c r="M8" s="64">
        <f t="shared" si="6"/>
        <v>6500</v>
      </c>
      <c r="N8" s="64">
        <f t="shared" ca="1" si="7"/>
        <v>5668</v>
      </c>
      <c r="O8" s="71">
        <f t="shared" ca="1" si="8"/>
        <v>31</v>
      </c>
      <c r="P8" s="58">
        <v>1</v>
      </c>
      <c r="Q8" s="58">
        <v>196</v>
      </c>
      <c r="R8" s="22">
        <v>2</v>
      </c>
      <c r="S8" s="22">
        <v>0</v>
      </c>
      <c r="T8" s="22">
        <v>6</v>
      </c>
      <c r="U8" s="22">
        <v>0</v>
      </c>
      <c r="V8" s="22">
        <v>1</v>
      </c>
      <c r="W8" s="22">
        <v>0</v>
      </c>
      <c r="X8" s="22">
        <v>0</v>
      </c>
      <c r="Y8" s="22">
        <v>0</v>
      </c>
      <c r="Z8" s="22">
        <v>0</v>
      </c>
      <c r="AA8" s="22">
        <v>2</v>
      </c>
      <c r="AB8" s="22">
        <v>4</v>
      </c>
      <c r="AC8" s="22">
        <v>1</v>
      </c>
      <c r="AD8" s="22">
        <v>1</v>
      </c>
      <c r="AE8" s="22">
        <v>0</v>
      </c>
      <c r="AF8" s="22">
        <v>0</v>
      </c>
      <c r="AG8" s="22">
        <v>0</v>
      </c>
      <c r="AH8" s="22">
        <v>1</v>
      </c>
      <c r="AI8" s="22">
        <v>2</v>
      </c>
      <c r="AJ8" s="22">
        <v>0</v>
      </c>
      <c r="AK8" s="22">
        <v>0</v>
      </c>
      <c r="AL8" s="22">
        <v>0</v>
      </c>
      <c r="AM8" s="22">
        <v>0</v>
      </c>
      <c r="AN8" s="22">
        <v>0</v>
      </c>
      <c r="AO8" s="22">
        <v>0</v>
      </c>
      <c r="AP8" s="22">
        <v>0</v>
      </c>
      <c r="AQ8" s="22">
        <v>2</v>
      </c>
      <c r="AR8" s="22">
        <v>0</v>
      </c>
      <c r="AS8" s="22">
        <f ca="1">SUMIFS('Tổng Đơn'!$F:$F,'Tổng Đơn'!$B:$B,$C8)</f>
        <v>0</v>
      </c>
      <c r="AT8" s="22">
        <v>0</v>
      </c>
      <c r="AU8" s="22">
        <v>0</v>
      </c>
      <c r="AV8" s="22">
        <v>0</v>
      </c>
      <c r="AW8" s="59">
        <v>0</v>
      </c>
      <c r="AX8" s="59">
        <f t="shared" si="9"/>
        <v>0</v>
      </c>
      <c r="AY8" s="59">
        <v>40</v>
      </c>
    </row>
    <row r="9" spans="1:51" ht="18.75" x14ac:dyDescent="0.25">
      <c r="A9" s="59">
        <f t="shared" ca="1" si="1"/>
        <v>1842.1037225265554</v>
      </c>
      <c r="B9" s="6">
        <v>5</v>
      </c>
      <c r="C9" s="61" t="s">
        <v>202</v>
      </c>
      <c r="D9" s="69">
        <f>(45*20)/22</f>
        <v>40.909090909090907</v>
      </c>
      <c r="E9" s="6">
        <v>0.5</v>
      </c>
      <c r="F9" s="6">
        <f>176+88+44+44+40+220+88+44+132+40+160+80+80+40+40+23+40+40+40+40+80+40+40+40+40+80+80+80+40+80</f>
        <v>2099</v>
      </c>
      <c r="G9" s="63">
        <f t="shared" si="2"/>
        <v>20.454545454545453</v>
      </c>
      <c r="H9" s="64">
        <f t="shared" si="3"/>
        <v>42934.090909090904</v>
      </c>
      <c r="I9" s="65">
        <f t="shared" si="4"/>
        <v>0.47845139234722228</v>
      </c>
      <c r="J9" s="139">
        <f t="shared" si="5"/>
        <v>20.932996846892674</v>
      </c>
      <c r="K9" s="66">
        <f t="shared" si="10"/>
        <v>43938.360381627725</v>
      </c>
      <c r="L9" s="70">
        <v>26</v>
      </c>
      <c r="M9" s="64">
        <f t="shared" si="6"/>
        <v>54574</v>
      </c>
      <c r="N9" s="64">
        <f t="shared" ca="1" si="7"/>
        <v>52156</v>
      </c>
      <c r="O9" s="71">
        <f t="shared" ca="1" si="8"/>
        <v>88</v>
      </c>
      <c r="P9" s="58">
        <v>5</v>
      </c>
      <c r="Q9" s="58">
        <v>1783</v>
      </c>
      <c r="R9" s="22">
        <v>16</v>
      </c>
      <c r="S9" s="22">
        <v>11</v>
      </c>
      <c r="T9" s="22">
        <v>13</v>
      </c>
      <c r="U9" s="22">
        <v>0</v>
      </c>
      <c r="V9" s="22">
        <v>5</v>
      </c>
      <c r="W9" s="22">
        <v>17</v>
      </c>
      <c r="X9" s="22">
        <v>3</v>
      </c>
      <c r="Y9" s="22">
        <v>4</v>
      </c>
      <c r="Z9" s="22">
        <v>1</v>
      </c>
      <c r="AA9" s="22">
        <v>18</v>
      </c>
      <c r="AB9" s="22">
        <v>2</v>
      </c>
      <c r="AC9" s="22">
        <v>6</v>
      </c>
      <c r="AD9" s="22">
        <v>14</v>
      </c>
      <c r="AE9" s="22">
        <v>4</v>
      </c>
      <c r="AF9" s="22">
        <v>3</v>
      </c>
      <c r="AG9" s="22">
        <v>6</v>
      </c>
      <c r="AH9" s="22">
        <v>12</v>
      </c>
      <c r="AI9" s="22">
        <v>3</v>
      </c>
      <c r="AJ9" s="22">
        <v>21</v>
      </c>
      <c r="AK9" s="22">
        <v>0</v>
      </c>
      <c r="AL9" s="22">
        <v>6</v>
      </c>
      <c r="AM9" s="22">
        <v>4</v>
      </c>
      <c r="AN9" s="22">
        <v>13</v>
      </c>
      <c r="AO9" s="22">
        <v>17</v>
      </c>
      <c r="AP9" s="22">
        <v>1</v>
      </c>
      <c r="AQ9" s="22">
        <v>18</v>
      </c>
      <c r="AR9" s="22">
        <v>0</v>
      </c>
      <c r="AS9" s="22">
        <f ca="1">SUMIFS('Tổng Đơn'!$F:$F,'Tổng Đơn'!$B:$B,$C9)</f>
        <v>5</v>
      </c>
      <c r="AT9" s="22">
        <v>0</v>
      </c>
      <c r="AU9" s="22">
        <v>0</v>
      </c>
      <c r="AV9" s="22">
        <v>0</v>
      </c>
      <c r="AW9" s="59">
        <v>40</v>
      </c>
      <c r="AX9" s="59">
        <f t="shared" si="9"/>
        <v>900</v>
      </c>
      <c r="AY9" s="59">
        <v>45</v>
      </c>
    </row>
    <row r="10" spans="1:51" ht="18.75" x14ac:dyDescent="0.25">
      <c r="A10" s="59">
        <f t="shared" ca="1" si="1"/>
        <v>2619.8808498155454</v>
      </c>
      <c r="B10" s="6">
        <v>6</v>
      </c>
      <c r="C10" s="61" t="s">
        <v>203</v>
      </c>
      <c r="D10" s="69">
        <f>(64*20)/22</f>
        <v>58.18181818181818</v>
      </c>
      <c r="E10" s="6">
        <v>0.5</v>
      </c>
      <c r="F10" s="6">
        <f>176+88+88+132+88+132+44+44+40+80+120+40+40+40+40+40+40+40+40+40+80+40+40+40+40+40+40+40+80+80+40+40</f>
        <v>1992</v>
      </c>
      <c r="G10" s="63">
        <f t="shared" si="2"/>
        <v>29.09090909090909</v>
      </c>
      <c r="H10" s="64">
        <f t="shared" si="3"/>
        <v>57949.090909090904</v>
      </c>
      <c r="I10" s="65">
        <f t="shared" si="4"/>
        <v>0.68046420244938266</v>
      </c>
      <c r="J10" s="139">
        <f t="shared" si="5"/>
        <v>29.771373293358472</v>
      </c>
      <c r="K10" s="66">
        <f t="shared" si="10"/>
        <v>59304.575600370074</v>
      </c>
      <c r="L10" s="70">
        <v>35</v>
      </c>
      <c r="M10" s="64">
        <f t="shared" si="6"/>
        <v>69720</v>
      </c>
      <c r="N10" s="64">
        <f t="shared" ca="1" si="7"/>
        <v>66745</v>
      </c>
      <c r="O10" s="71">
        <f t="shared" ca="1" si="8"/>
        <v>88</v>
      </c>
      <c r="P10" s="58">
        <v>-3</v>
      </c>
      <c r="Q10" s="58">
        <v>1743</v>
      </c>
      <c r="R10" s="22">
        <v>11</v>
      </c>
      <c r="S10" s="22">
        <v>2</v>
      </c>
      <c r="T10" s="22">
        <v>8</v>
      </c>
      <c r="U10" s="22">
        <v>3</v>
      </c>
      <c r="V10" s="22">
        <v>3</v>
      </c>
      <c r="W10" s="22">
        <v>6</v>
      </c>
      <c r="X10" s="22">
        <v>3</v>
      </c>
      <c r="Y10" s="22">
        <v>2</v>
      </c>
      <c r="Z10" s="22">
        <v>2</v>
      </c>
      <c r="AA10" s="22">
        <v>8</v>
      </c>
      <c r="AB10" s="22">
        <v>7</v>
      </c>
      <c r="AC10" s="22">
        <v>13</v>
      </c>
      <c r="AD10" s="22">
        <v>8</v>
      </c>
      <c r="AE10" s="22">
        <v>2</v>
      </c>
      <c r="AF10" s="22">
        <v>7</v>
      </c>
      <c r="AG10" s="22">
        <v>7</v>
      </c>
      <c r="AH10" s="22">
        <v>10</v>
      </c>
      <c r="AI10" s="22">
        <v>4</v>
      </c>
      <c r="AJ10" s="22">
        <v>5</v>
      </c>
      <c r="AK10" s="22">
        <v>5</v>
      </c>
      <c r="AL10" s="22">
        <v>4</v>
      </c>
      <c r="AM10" s="22">
        <v>26</v>
      </c>
      <c r="AN10" s="22">
        <v>4</v>
      </c>
      <c r="AO10" s="22">
        <v>5</v>
      </c>
      <c r="AP10" s="22">
        <v>1</v>
      </c>
      <c r="AQ10" s="22">
        <v>4</v>
      </c>
      <c r="AR10" s="22">
        <v>0</v>
      </c>
      <c r="AS10" s="22">
        <f ca="1">SUMIFS('Tổng Đơn'!$F:$F,'Tổng Đơn'!$B:$B,$C10)</f>
        <v>4</v>
      </c>
      <c r="AT10" s="22">
        <v>0</v>
      </c>
      <c r="AU10" s="22">
        <v>0</v>
      </c>
      <c r="AV10" s="22">
        <v>0</v>
      </c>
      <c r="AW10" s="59">
        <v>80</v>
      </c>
      <c r="AX10" s="59">
        <f t="shared" si="9"/>
        <v>2560</v>
      </c>
      <c r="AY10" s="59">
        <v>64</v>
      </c>
    </row>
    <row r="11" spans="1:51" ht="18.75" x14ac:dyDescent="0.25">
      <c r="A11" s="59">
        <f t="shared" ca="1" si="1"/>
        <v>1849.0813881421866</v>
      </c>
      <c r="B11" s="6">
        <v>7</v>
      </c>
      <c r="C11" s="61" t="s">
        <v>204</v>
      </c>
      <c r="D11" s="69">
        <f>(75*20)/22</f>
        <v>68.181818181818187</v>
      </c>
      <c r="E11" s="6">
        <v>0.5</v>
      </c>
      <c r="F11" s="6">
        <f>44+44+88+40+40+40+40+40</f>
        <v>376</v>
      </c>
      <c r="G11" s="63">
        <f t="shared" si="2"/>
        <v>34.090909090909093</v>
      </c>
      <c r="H11" s="64">
        <f t="shared" si="3"/>
        <v>12818.18181818182</v>
      </c>
      <c r="I11" s="65">
        <f t="shared" si="4"/>
        <v>0.79741898724537041</v>
      </c>
      <c r="J11" s="139">
        <f t="shared" si="5"/>
        <v>34.888328078154466</v>
      </c>
      <c r="K11" s="66">
        <f t="shared" si="10"/>
        <v>13118.01135738608</v>
      </c>
      <c r="L11" s="70">
        <v>40</v>
      </c>
      <c r="M11" s="64">
        <f t="shared" si="6"/>
        <v>15040</v>
      </c>
      <c r="N11" s="64">
        <f t="shared" ca="1" si="7"/>
        <v>12560</v>
      </c>
      <c r="O11" s="71">
        <f t="shared" ca="1" si="8"/>
        <v>53</v>
      </c>
      <c r="P11" s="58">
        <f>1+1+7</f>
        <v>9</v>
      </c>
      <c r="Q11" s="58">
        <v>277</v>
      </c>
      <c r="R11" s="22">
        <v>1</v>
      </c>
      <c r="S11" s="22">
        <v>0</v>
      </c>
      <c r="T11" s="22">
        <v>1</v>
      </c>
      <c r="U11" s="22">
        <v>0</v>
      </c>
      <c r="V11" s="22">
        <v>3</v>
      </c>
      <c r="W11" s="22">
        <v>0</v>
      </c>
      <c r="X11" s="22">
        <v>5</v>
      </c>
      <c r="Y11" s="22">
        <v>2</v>
      </c>
      <c r="Z11" s="22">
        <v>0</v>
      </c>
      <c r="AA11" s="22">
        <v>4</v>
      </c>
      <c r="AB11" s="22">
        <v>2</v>
      </c>
      <c r="AC11" s="22">
        <v>3</v>
      </c>
      <c r="AD11" s="22">
        <v>4</v>
      </c>
      <c r="AE11" s="22">
        <v>2</v>
      </c>
      <c r="AF11" s="22">
        <v>0</v>
      </c>
      <c r="AG11" s="22">
        <v>2</v>
      </c>
      <c r="AH11" s="22">
        <v>0</v>
      </c>
      <c r="AI11" s="22">
        <v>1</v>
      </c>
      <c r="AJ11" s="22">
        <v>0</v>
      </c>
      <c r="AK11" s="22">
        <v>0</v>
      </c>
      <c r="AL11" s="22">
        <v>0</v>
      </c>
      <c r="AM11" s="22">
        <v>2</v>
      </c>
      <c r="AN11" s="22">
        <v>0</v>
      </c>
      <c r="AO11" s="22">
        <v>1</v>
      </c>
      <c r="AP11" s="22">
        <v>0</v>
      </c>
      <c r="AQ11" s="22">
        <v>1</v>
      </c>
      <c r="AR11" s="22">
        <v>0</v>
      </c>
      <c r="AS11" s="22">
        <f ca="1">SUMIFS('Tổng Đơn'!$F:$F,'Tổng Đơn'!$B:$B,$C11)</f>
        <v>3</v>
      </c>
      <c r="AT11" s="22">
        <v>0</v>
      </c>
      <c r="AU11" s="22">
        <v>0</v>
      </c>
      <c r="AV11" s="22">
        <v>0</v>
      </c>
      <c r="AW11" s="59">
        <v>0</v>
      </c>
      <c r="AX11" s="59">
        <f>AW11*AY11/2</f>
        <v>0</v>
      </c>
      <c r="AY11" s="59">
        <v>75</v>
      </c>
    </row>
    <row r="12" spans="1:51" ht="18.75" x14ac:dyDescent="0.25">
      <c r="A12" s="59">
        <f t="shared" ca="1" si="1"/>
        <v>1703.9459433370641</v>
      </c>
      <c r="B12" s="6">
        <v>8</v>
      </c>
      <c r="C12" s="61" t="s">
        <v>205</v>
      </c>
      <c r="D12" s="69">
        <v>74</v>
      </c>
      <c r="E12" s="6">
        <v>0.5</v>
      </c>
      <c r="F12" s="6">
        <f>80+80+40+40+40+40+40+40</f>
        <v>400</v>
      </c>
      <c r="G12" s="63">
        <f t="shared" si="2"/>
        <v>37</v>
      </c>
      <c r="H12" s="64">
        <f t="shared" si="3"/>
        <v>14800</v>
      </c>
      <c r="I12" s="65">
        <f t="shared" si="4"/>
        <v>0.86546540749030865</v>
      </c>
      <c r="J12" s="139">
        <f t="shared" si="5"/>
        <v>37.865465407490312</v>
      </c>
      <c r="K12" s="66">
        <f t="shared" si="10"/>
        <v>15146.186162996124</v>
      </c>
      <c r="L12" s="70">
        <v>43</v>
      </c>
      <c r="M12" s="64">
        <f t="shared" si="6"/>
        <v>17200</v>
      </c>
      <c r="N12" s="64">
        <f t="shared" ca="1" si="7"/>
        <v>15265</v>
      </c>
      <c r="O12" s="71">
        <f t="shared" ca="1" si="8"/>
        <v>45</v>
      </c>
      <c r="P12" s="58"/>
      <c r="Q12" s="58">
        <v>326</v>
      </c>
      <c r="R12" s="22">
        <v>0</v>
      </c>
      <c r="S12" s="22">
        <v>0</v>
      </c>
      <c r="T12" s="22">
        <v>0</v>
      </c>
      <c r="U12" s="22">
        <v>1</v>
      </c>
      <c r="V12" s="22">
        <v>2</v>
      </c>
      <c r="W12" s="22">
        <v>4</v>
      </c>
      <c r="X12" s="22">
        <v>1</v>
      </c>
      <c r="Y12" s="22">
        <v>0</v>
      </c>
      <c r="Z12" s="22">
        <v>0</v>
      </c>
      <c r="AA12" s="22">
        <v>0</v>
      </c>
      <c r="AB12" s="22">
        <v>5</v>
      </c>
      <c r="AC12" s="22">
        <v>1</v>
      </c>
      <c r="AD12" s="22">
        <v>1</v>
      </c>
      <c r="AE12" s="22">
        <v>1</v>
      </c>
      <c r="AF12" s="22">
        <v>0</v>
      </c>
      <c r="AG12" s="22">
        <v>1</v>
      </c>
      <c r="AH12" s="22">
        <v>1</v>
      </c>
      <c r="AI12" s="22">
        <v>2</v>
      </c>
      <c r="AJ12" s="22">
        <v>0</v>
      </c>
      <c r="AK12" s="22">
        <v>0</v>
      </c>
      <c r="AL12" s="22">
        <v>0</v>
      </c>
      <c r="AM12" s="22">
        <v>1</v>
      </c>
      <c r="AN12" s="22">
        <v>0</v>
      </c>
      <c r="AO12" s="22">
        <v>7</v>
      </c>
      <c r="AP12" s="22">
        <v>0</v>
      </c>
      <c r="AQ12" s="22">
        <v>0</v>
      </c>
      <c r="AR12" s="22">
        <v>0</v>
      </c>
      <c r="AS12" s="22">
        <f ca="1">SUMIFS('Tổng Đơn'!$F:$F,'Tổng Đơn'!$B:$B,$C12)</f>
        <v>1</v>
      </c>
      <c r="AT12" s="22">
        <v>0</v>
      </c>
      <c r="AU12" s="22">
        <v>0</v>
      </c>
      <c r="AV12" s="22">
        <v>0</v>
      </c>
      <c r="AW12" s="59">
        <v>0</v>
      </c>
      <c r="AX12" s="59">
        <f t="shared" si="9"/>
        <v>0</v>
      </c>
      <c r="AY12" s="59">
        <v>74</v>
      </c>
    </row>
  </sheetData>
  <autoFilter ref="B4:AW12"/>
  <mergeCells count="1">
    <mergeCell ref="B1:M1"/>
  </mergeCells>
  <conditionalFormatting sqref="C6:C12">
    <cfRule type="expression" dxfId="632" priority="8">
      <formula>($O6/$O6)&lt;=1/4</formula>
    </cfRule>
  </conditionalFormatting>
  <conditionalFormatting sqref="C5:C12">
    <cfRule type="expression" dxfId="631" priority="9">
      <formula>($O5/$F5)&lt;=1/4</formula>
    </cfRule>
  </conditionalFormatting>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C000"/>
  </sheetPr>
  <dimension ref="A1:R241"/>
  <sheetViews>
    <sheetView zoomScale="85" zoomScaleNormal="85" zoomScalePageLayoutView="70" workbookViewId="0">
      <selection activeCell="Q2" sqref="Q2"/>
    </sheetView>
  </sheetViews>
  <sheetFormatPr defaultColWidth="9.140625" defaultRowHeight="15.75" x14ac:dyDescent="0.25"/>
  <cols>
    <col min="1" max="1" width="9" style="28" customWidth="1"/>
    <col min="2" max="2" width="41.85546875" style="27" customWidth="1"/>
    <col min="3" max="3" width="10.140625" style="27" bestFit="1" customWidth="1"/>
    <col min="4" max="4" width="11.5703125" style="27" customWidth="1"/>
    <col min="5" max="5" width="6.28515625" style="27" customWidth="1"/>
    <col min="6" max="8" width="6" style="27" customWidth="1"/>
    <col min="9" max="9" width="6.28515625" style="27" customWidth="1"/>
    <col min="10" max="10" width="6.7109375" style="27" customWidth="1"/>
    <col min="11" max="11" width="7.7109375" style="27" customWidth="1"/>
    <col min="12" max="12" width="9.85546875" style="28" customWidth="1"/>
    <col min="13" max="13" width="10.42578125" style="28" hidden="1" customWidth="1"/>
    <col min="14" max="14" width="37.140625" style="28" customWidth="1"/>
    <col min="15" max="15" width="16" style="28" customWidth="1"/>
    <col min="16" max="16" width="11.7109375" style="28" customWidth="1"/>
    <col min="17" max="17" width="11.85546875" style="27" customWidth="1"/>
    <col min="18" max="18" width="18.7109375" style="27" customWidth="1"/>
    <col min="19" max="16384" width="9.140625" style="27"/>
  </cols>
  <sheetData>
    <row r="1" spans="1:18" s="45" customFormat="1" ht="22.5" x14ac:dyDescent="0.25">
      <c r="A1" s="40" t="s">
        <v>93</v>
      </c>
      <c r="B1" s="40" t="s">
        <v>16</v>
      </c>
      <c r="C1" s="40" t="s">
        <v>94</v>
      </c>
      <c r="D1" s="40" t="s">
        <v>104</v>
      </c>
      <c r="E1" s="115"/>
      <c r="F1" s="115"/>
      <c r="G1" s="115"/>
      <c r="H1" s="115"/>
      <c r="I1" s="115"/>
      <c r="J1" s="115"/>
      <c r="K1" s="115"/>
      <c r="L1" s="242" t="s">
        <v>93</v>
      </c>
      <c r="M1" s="242" t="s">
        <v>94</v>
      </c>
      <c r="N1" s="242" t="s">
        <v>16</v>
      </c>
      <c r="O1" s="242" t="s">
        <v>104</v>
      </c>
      <c r="P1" s="131" t="s">
        <v>94</v>
      </c>
      <c r="Q1" s="116" t="s">
        <v>164</v>
      </c>
      <c r="R1" s="117">
        <f>SUBTOTAL(9,R2:R31)</f>
        <v>0</v>
      </c>
    </row>
    <row r="2" spans="1:18" s="122" customFormat="1" ht="18.75" x14ac:dyDescent="0.3">
      <c r="A2" s="118" t="s">
        <v>185</v>
      </c>
      <c r="B2" s="119" t="s">
        <v>304</v>
      </c>
      <c r="C2" s="118" t="s">
        <v>186</v>
      </c>
      <c r="D2" s="120">
        <v>110000</v>
      </c>
      <c r="E2" s="121"/>
      <c r="F2" s="121"/>
      <c r="G2" s="121"/>
      <c r="H2" s="121"/>
      <c r="I2" s="121"/>
      <c r="J2" s="121"/>
      <c r="K2" s="121"/>
      <c r="L2" s="239">
        <v>1</v>
      </c>
      <c r="M2" s="239" t="s">
        <v>95</v>
      </c>
      <c r="N2" s="243" t="s">
        <v>249</v>
      </c>
      <c r="O2" s="244">
        <v>48000</v>
      </c>
      <c r="P2" s="132">
        <f t="shared" ref="P2:P65" si="0">IF($N2="","",LOOKUP(2,1/($N2=$B$2:$B$100),$A$2:$A$100))</f>
        <v>1</v>
      </c>
      <c r="Q2" s="123"/>
      <c r="R2" s="124">
        <f t="shared" ref="R2:R9" si="1">O2*Q2</f>
        <v>0</v>
      </c>
    </row>
    <row r="3" spans="1:18" s="122" customFormat="1" ht="18.75" x14ac:dyDescent="0.3">
      <c r="A3" s="118" t="s">
        <v>311</v>
      </c>
      <c r="B3" s="119" t="s">
        <v>305</v>
      </c>
      <c r="C3" s="118" t="s">
        <v>316</v>
      </c>
      <c r="D3" s="120">
        <v>122000</v>
      </c>
      <c r="E3" s="121"/>
      <c r="F3" s="121"/>
      <c r="G3" s="121"/>
      <c r="H3" s="121"/>
      <c r="I3" s="121"/>
      <c r="J3" s="121"/>
      <c r="K3" s="121"/>
      <c r="L3" s="239">
        <v>2</v>
      </c>
      <c r="M3" s="239" t="s">
        <v>96</v>
      </c>
      <c r="N3" s="243" t="s">
        <v>310</v>
      </c>
      <c r="O3" s="244">
        <v>40000</v>
      </c>
      <c r="P3" s="132">
        <f t="shared" si="0"/>
        <v>2</v>
      </c>
      <c r="Q3" s="123"/>
      <c r="R3" s="124">
        <f t="shared" si="1"/>
        <v>0</v>
      </c>
    </row>
    <row r="4" spans="1:18" s="122" customFormat="1" ht="18.75" x14ac:dyDescent="0.3">
      <c r="A4" s="118" t="s">
        <v>312</v>
      </c>
      <c r="B4" s="119" t="s">
        <v>306</v>
      </c>
      <c r="C4" s="118" t="s">
        <v>317</v>
      </c>
      <c r="D4" s="120">
        <v>95000</v>
      </c>
      <c r="E4" s="121"/>
      <c r="F4" s="121"/>
      <c r="G4" s="121"/>
      <c r="H4" s="121"/>
      <c r="I4" s="121"/>
      <c r="J4" s="121"/>
      <c r="K4" s="121"/>
      <c r="L4" s="239">
        <v>3</v>
      </c>
      <c r="M4" s="239" t="s">
        <v>97</v>
      </c>
      <c r="N4" s="243" t="s">
        <v>309</v>
      </c>
      <c r="O4" s="244">
        <v>44000</v>
      </c>
      <c r="P4" s="132">
        <f t="shared" si="0"/>
        <v>3</v>
      </c>
      <c r="Q4" s="123"/>
      <c r="R4" s="124">
        <f t="shared" si="1"/>
        <v>0</v>
      </c>
    </row>
    <row r="5" spans="1:18" s="122" customFormat="1" ht="18.75" x14ac:dyDescent="0.3">
      <c r="A5" s="118" t="s">
        <v>313</v>
      </c>
      <c r="B5" s="119" t="s">
        <v>320</v>
      </c>
      <c r="C5" s="118" t="s">
        <v>318</v>
      </c>
      <c r="D5" s="120">
        <v>116000</v>
      </c>
      <c r="E5" s="121"/>
      <c r="F5" s="121"/>
      <c r="G5" s="121"/>
      <c r="H5" s="121"/>
      <c r="I5" s="121"/>
      <c r="J5" s="121"/>
      <c r="K5" s="121"/>
      <c r="L5" s="239">
        <v>4</v>
      </c>
      <c r="M5" s="240" t="s">
        <v>98</v>
      </c>
      <c r="N5" s="243" t="s">
        <v>3</v>
      </c>
      <c r="O5" s="245">
        <v>30000</v>
      </c>
      <c r="P5" s="132">
        <f t="shared" si="0"/>
        <v>4</v>
      </c>
      <c r="Q5" s="123"/>
      <c r="R5" s="124">
        <f t="shared" si="1"/>
        <v>0</v>
      </c>
    </row>
    <row r="6" spans="1:18" s="122" customFormat="1" ht="18.75" x14ac:dyDescent="0.3">
      <c r="A6" s="118" t="s">
        <v>314</v>
      </c>
      <c r="B6" s="119" t="s">
        <v>307</v>
      </c>
      <c r="C6" s="118" t="s">
        <v>319</v>
      </c>
      <c r="D6" s="120">
        <v>48000</v>
      </c>
      <c r="E6" s="121"/>
      <c r="F6" s="121"/>
      <c r="G6" s="121"/>
      <c r="H6" s="121"/>
      <c r="I6" s="121"/>
      <c r="J6" s="121"/>
      <c r="K6" s="121"/>
      <c r="L6" s="239">
        <v>5</v>
      </c>
      <c r="M6" s="240" t="s">
        <v>99</v>
      </c>
      <c r="N6" s="243" t="s">
        <v>27</v>
      </c>
      <c r="O6" s="245">
        <v>38000</v>
      </c>
      <c r="P6" s="132">
        <f t="shared" si="0"/>
        <v>5</v>
      </c>
      <c r="Q6" s="123"/>
      <c r="R6" s="124">
        <f t="shared" si="1"/>
        <v>0</v>
      </c>
    </row>
    <row r="7" spans="1:18" s="122" customFormat="1" ht="18.75" x14ac:dyDescent="0.3">
      <c r="A7" s="118" t="s">
        <v>315</v>
      </c>
      <c r="B7" s="119" t="s">
        <v>308</v>
      </c>
      <c r="C7" s="118" t="s">
        <v>321</v>
      </c>
      <c r="D7" s="120">
        <v>43000</v>
      </c>
      <c r="E7" s="121"/>
      <c r="F7" s="121"/>
      <c r="G7" s="121"/>
      <c r="H7" s="121"/>
      <c r="I7" s="121"/>
      <c r="J7" s="121"/>
      <c r="K7" s="121"/>
      <c r="L7" s="239">
        <v>6</v>
      </c>
      <c r="M7" s="240" t="s">
        <v>100</v>
      </c>
      <c r="N7" s="243" t="s">
        <v>25</v>
      </c>
      <c r="O7" s="245">
        <v>42000</v>
      </c>
      <c r="P7" s="132">
        <f t="shared" si="0"/>
        <v>6</v>
      </c>
      <c r="Q7" s="123"/>
      <c r="R7" s="124">
        <f t="shared" si="1"/>
        <v>0</v>
      </c>
    </row>
    <row r="8" spans="1:18" s="122" customFormat="1" ht="18.75" x14ac:dyDescent="0.3">
      <c r="A8" s="118">
        <v>1</v>
      </c>
      <c r="B8" s="119" t="s">
        <v>249</v>
      </c>
      <c r="C8" s="118" t="s">
        <v>95</v>
      </c>
      <c r="D8" s="120">
        <v>48000</v>
      </c>
      <c r="E8" s="121"/>
      <c r="F8" s="121"/>
      <c r="G8" s="121"/>
      <c r="H8" s="121"/>
      <c r="I8" s="121"/>
      <c r="J8" s="121"/>
      <c r="K8" s="121"/>
      <c r="L8" s="239">
        <v>7</v>
      </c>
      <c r="M8" s="240" t="s">
        <v>101</v>
      </c>
      <c r="N8" s="243" t="s">
        <v>53</v>
      </c>
      <c r="O8" s="244">
        <v>35000</v>
      </c>
      <c r="P8" s="132">
        <f t="shared" si="0"/>
        <v>7</v>
      </c>
      <c r="Q8" s="123"/>
      <c r="R8" s="124">
        <f t="shared" si="1"/>
        <v>0</v>
      </c>
    </row>
    <row r="9" spans="1:18" s="122" customFormat="1" ht="18.75" x14ac:dyDescent="0.3">
      <c r="A9" s="118">
        <v>2</v>
      </c>
      <c r="B9" s="119" t="s">
        <v>310</v>
      </c>
      <c r="C9" s="118" t="s">
        <v>96</v>
      </c>
      <c r="D9" s="120">
        <v>40000</v>
      </c>
      <c r="E9" s="121"/>
      <c r="F9" s="121"/>
      <c r="G9" s="121"/>
      <c r="H9" s="121"/>
      <c r="I9" s="121"/>
      <c r="J9" s="121"/>
      <c r="K9" s="121"/>
      <c r="L9" s="239">
        <v>8</v>
      </c>
      <c r="M9" s="240" t="s">
        <v>102</v>
      </c>
      <c r="N9" s="243" t="s">
        <v>139</v>
      </c>
      <c r="O9" s="244">
        <v>45000</v>
      </c>
      <c r="P9" s="132">
        <f t="shared" si="0"/>
        <v>8</v>
      </c>
      <c r="Q9" s="123"/>
      <c r="R9" s="124">
        <f t="shared" si="1"/>
        <v>0</v>
      </c>
    </row>
    <row r="10" spans="1:18" s="122" customFormat="1" ht="18.75" x14ac:dyDescent="0.3">
      <c r="A10" s="118">
        <v>3</v>
      </c>
      <c r="B10" s="119" t="s">
        <v>309</v>
      </c>
      <c r="C10" s="118" t="s">
        <v>97</v>
      </c>
      <c r="D10" s="120">
        <v>44000</v>
      </c>
      <c r="E10" s="121"/>
      <c r="F10" s="121"/>
      <c r="G10" s="121"/>
      <c r="H10" s="121"/>
      <c r="I10" s="121"/>
      <c r="J10" s="121"/>
      <c r="K10" s="121"/>
      <c r="L10" s="239">
        <v>9</v>
      </c>
      <c r="M10" s="240" t="s">
        <v>103</v>
      </c>
      <c r="N10" s="243" t="s">
        <v>6</v>
      </c>
      <c r="O10" s="244">
        <v>50000</v>
      </c>
      <c r="P10" s="132">
        <f t="shared" si="0"/>
        <v>9</v>
      </c>
      <c r="Q10" s="123"/>
      <c r="R10" s="124">
        <f t="shared" ref="R10:R31" si="2">O10*Q10</f>
        <v>0</v>
      </c>
    </row>
    <row r="11" spans="1:18" s="122" customFormat="1" ht="18.75" x14ac:dyDescent="0.3">
      <c r="A11" s="118">
        <v>4</v>
      </c>
      <c r="B11" s="119" t="s">
        <v>3</v>
      </c>
      <c r="C11" s="118" t="s">
        <v>98</v>
      </c>
      <c r="D11" s="120">
        <v>30000</v>
      </c>
      <c r="E11" s="121"/>
      <c r="F11" s="121"/>
      <c r="G11" s="121"/>
      <c r="H11" s="121"/>
      <c r="I11" s="121"/>
      <c r="J11" s="121"/>
      <c r="K11" s="121"/>
      <c r="L11" s="239">
        <v>10</v>
      </c>
      <c r="M11" s="240" t="s">
        <v>56</v>
      </c>
      <c r="N11" s="243" t="s">
        <v>50</v>
      </c>
      <c r="O11" s="244">
        <v>45000</v>
      </c>
      <c r="P11" s="132">
        <f t="shared" si="0"/>
        <v>10</v>
      </c>
      <c r="Q11" s="123"/>
      <c r="R11" s="124">
        <f t="shared" si="2"/>
        <v>0</v>
      </c>
    </row>
    <row r="12" spans="1:18" s="122" customFormat="1" ht="18.75" x14ac:dyDescent="0.3">
      <c r="A12" s="118">
        <v>5</v>
      </c>
      <c r="B12" s="119" t="s">
        <v>27</v>
      </c>
      <c r="C12" s="118" t="s">
        <v>99</v>
      </c>
      <c r="D12" s="120">
        <v>38000</v>
      </c>
      <c r="E12" s="121"/>
      <c r="F12" s="121"/>
      <c r="G12" s="121"/>
      <c r="H12" s="121"/>
      <c r="I12" s="121"/>
      <c r="J12" s="121"/>
      <c r="K12" s="121"/>
      <c r="L12" s="239">
        <v>11</v>
      </c>
      <c r="M12" s="240" t="s">
        <v>57</v>
      </c>
      <c r="N12" s="243" t="s">
        <v>31</v>
      </c>
      <c r="O12" s="244">
        <v>45000</v>
      </c>
      <c r="P12" s="132">
        <f t="shared" si="0"/>
        <v>11</v>
      </c>
      <c r="Q12" s="123"/>
      <c r="R12" s="124">
        <f t="shared" si="2"/>
        <v>0</v>
      </c>
    </row>
    <row r="13" spans="1:18" s="122" customFormat="1" ht="18.75" x14ac:dyDescent="0.3">
      <c r="A13" s="118">
        <v>6</v>
      </c>
      <c r="B13" s="119" t="s">
        <v>25</v>
      </c>
      <c r="C13" s="118" t="s">
        <v>100</v>
      </c>
      <c r="D13" s="120">
        <v>42000</v>
      </c>
      <c r="E13" s="121"/>
      <c r="F13" s="121"/>
      <c r="G13" s="121"/>
      <c r="H13" s="121"/>
      <c r="I13" s="121"/>
      <c r="J13" s="121"/>
      <c r="K13" s="121"/>
      <c r="L13" s="239">
        <v>12</v>
      </c>
      <c r="M13" s="240" t="s">
        <v>58</v>
      </c>
      <c r="N13" s="243" t="s">
        <v>28</v>
      </c>
      <c r="O13" s="244">
        <v>45000</v>
      </c>
      <c r="P13" s="132">
        <f t="shared" si="0"/>
        <v>12</v>
      </c>
      <c r="Q13" s="123"/>
      <c r="R13" s="124">
        <f t="shared" si="2"/>
        <v>0</v>
      </c>
    </row>
    <row r="14" spans="1:18" s="122" customFormat="1" ht="18.75" x14ac:dyDescent="0.3">
      <c r="A14" s="118">
        <v>7</v>
      </c>
      <c r="B14" s="119" t="s">
        <v>53</v>
      </c>
      <c r="C14" s="118" t="s">
        <v>101</v>
      </c>
      <c r="D14" s="120">
        <v>35000</v>
      </c>
      <c r="E14" s="121"/>
      <c r="F14" s="121"/>
      <c r="G14" s="121"/>
      <c r="H14" s="121"/>
      <c r="I14" s="121"/>
      <c r="J14" s="121"/>
      <c r="K14" s="121"/>
      <c r="L14" s="239">
        <v>13</v>
      </c>
      <c r="M14" s="240" t="s">
        <v>59</v>
      </c>
      <c r="N14" s="243" t="s">
        <v>30</v>
      </c>
      <c r="O14" s="244">
        <v>45000</v>
      </c>
      <c r="P14" s="132">
        <f t="shared" si="0"/>
        <v>13</v>
      </c>
      <c r="Q14" s="123"/>
      <c r="R14" s="124">
        <f t="shared" si="2"/>
        <v>0</v>
      </c>
    </row>
    <row r="15" spans="1:18" s="122" customFormat="1" ht="18.75" x14ac:dyDescent="0.3">
      <c r="A15" s="118">
        <v>8</v>
      </c>
      <c r="B15" s="119" t="s">
        <v>139</v>
      </c>
      <c r="C15" s="118" t="s">
        <v>102</v>
      </c>
      <c r="D15" s="120">
        <v>45000</v>
      </c>
      <c r="E15" s="121"/>
      <c r="F15" s="121"/>
      <c r="G15" s="121"/>
      <c r="H15" s="121"/>
      <c r="I15" s="121"/>
      <c r="J15" s="121"/>
      <c r="K15" s="121"/>
      <c r="L15" s="239">
        <v>14</v>
      </c>
      <c r="M15" s="240" t="s">
        <v>60</v>
      </c>
      <c r="N15" s="243" t="s">
        <v>29</v>
      </c>
      <c r="O15" s="244">
        <v>45000</v>
      </c>
      <c r="P15" s="132">
        <f t="shared" si="0"/>
        <v>14</v>
      </c>
      <c r="Q15" s="123"/>
      <c r="R15" s="124">
        <f t="shared" si="2"/>
        <v>0</v>
      </c>
    </row>
    <row r="16" spans="1:18" s="122" customFormat="1" ht="18.75" x14ac:dyDescent="0.3">
      <c r="A16" s="118">
        <v>9</v>
      </c>
      <c r="B16" s="119" t="s">
        <v>6</v>
      </c>
      <c r="C16" s="118" t="s">
        <v>103</v>
      </c>
      <c r="D16" s="120">
        <v>50000</v>
      </c>
      <c r="E16" s="121"/>
      <c r="F16" s="121"/>
      <c r="G16" s="121"/>
      <c r="H16" s="121"/>
      <c r="I16" s="121"/>
      <c r="J16" s="121"/>
      <c r="K16" s="121"/>
      <c r="L16" s="239">
        <v>15</v>
      </c>
      <c r="M16" s="240" t="s">
        <v>61</v>
      </c>
      <c r="N16" s="243" t="s">
        <v>5</v>
      </c>
      <c r="O16" s="244">
        <v>40000</v>
      </c>
      <c r="P16" s="132">
        <f t="shared" si="0"/>
        <v>15</v>
      </c>
      <c r="Q16" s="123"/>
      <c r="R16" s="124">
        <f t="shared" si="2"/>
        <v>0</v>
      </c>
    </row>
    <row r="17" spans="1:18" s="122" customFormat="1" ht="18.75" x14ac:dyDescent="0.3">
      <c r="A17" s="118">
        <v>10</v>
      </c>
      <c r="B17" s="119" t="s">
        <v>50</v>
      </c>
      <c r="C17" s="118" t="s">
        <v>56</v>
      </c>
      <c r="D17" s="120">
        <v>45000</v>
      </c>
      <c r="E17" s="121"/>
      <c r="F17" s="121"/>
      <c r="G17" s="121"/>
      <c r="H17" s="121"/>
      <c r="I17" s="121"/>
      <c r="J17" s="121"/>
      <c r="K17" s="121"/>
      <c r="L17" s="239">
        <v>16</v>
      </c>
      <c r="M17" s="240" t="s">
        <v>62</v>
      </c>
      <c r="N17" s="243" t="s">
        <v>4</v>
      </c>
      <c r="O17" s="244">
        <v>40000</v>
      </c>
      <c r="P17" s="132">
        <f t="shared" si="0"/>
        <v>16</v>
      </c>
      <c r="Q17" s="123"/>
      <c r="R17" s="124" t="s">
        <v>290</v>
      </c>
    </row>
    <row r="18" spans="1:18" s="122" customFormat="1" ht="18.75" x14ac:dyDescent="0.3">
      <c r="A18" s="118">
        <v>11</v>
      </c>
      <c r="B18" s="119" t="s">
        <v>31</v>
      </c>
      <c r="C18" s="118" t="s">
        <v>57</v>
      </c>
      <c r="D18" s="120">
        <v>45000</v>
      </c>
      <c r="E18" s="121"/>
      <c r="F18" s="121"/>
      <c r="G18" s="121"/>
      <c r="H18" s="121"/>
      <c r="I18" s="121"/>
      <c r="J18" s="121"/>
      <c r="K18" s="121"/>
      <c r="L18" s="239">
        <v>17</v>
      </c>
      <c r="M18" s="240" t="s">
        <v>63</v>
      </c>
      <c r="N18" s="243" t="s">
        <v>8</v>
      </c>
      <c r="O18" s="244">
        <v>55000</v>
      </c>
      <c r="P18" s="132">
        <f t="shared" si="0"/>
        <v>17</v>
      </c>
      <c r="Q18" s="123"/>
      <c r="R18" s="124">
        <f t="shared" si="2"/>
        <v>0</v>
      </c>
    </row>
    <row r="19" spans="1:18" s="122" customFormat="1" ht="18.75" x14ac:dyDescent="0.3">
      <c r="A19" s="118">
        <v>12</v>
      </c>
      <c r="B19" s="119" t="s">
        <v>28</v>
      </c>
      <c r="C19" s="118" t="s">
        <v>58</v>
      </c>
      <c r="D19" s="120">
        <v>45000</v>
      </c>
      <c r="E19" s="121"/>
      <c r="F19" s="121"/>
      <c r="G19" s="121"/>
      <c r="H19" s="121"/>
      <c r="I19" s="121"/>
      <c r="J19" s="121"/>
      <c r="K19" s="121"/>
      <c r="L19" s="239">
        <v>18</v>
      </c>
      <c r="M19" s="240" t="s">
        <v>64</v>
      </c>
      <c r="N19" s="243" t="s">
        <v>13</v>
      </c>
      <c r="O19" s="244">
        <v>35000</v>
      </c>
      <c r="P19" s="132">
        <f t="shared" si="0"/>
        <v>18</v>
      </c>
      <c r="Q19" s="123"/>
      <c r="R19" s="124">
        <f t="shared" si="2"/>
        <v>0</v>
      </c>
    </row>
    <row r="20" spans="1:18" s="122" customFormat="1" ht="18.75" x14ac:dyDescent="0.3">
      <c r="A20" s="118">
        <v>13</v>
      </c>
      <c r="B20" s="119" t="s">
        <v>30</v>
      </c>
      <c r="C20" s="118" t="s">
        <v>59</v>
      </c>
      <c r="D20" s="120">
        <v>45000</v>
      </c>
      <c r="E20" s="121"/>
      <c r="F20" s="121"/>
      <c r="G20" s="121"/>
      <c r="H20" s="121"/>
      <c r="I20" s="121"/>
      <c r="J20" s="121"/>
      <c r="K20" s="121"/>
      <c r="L20" s="239">
        <v>19</v>
      </c>
      <c r="M20" s="240" t="s">
        <v>65</v>
      </c>
      <c r="N20" s="243" t="s">
        <v>7</v>
      </c>
      <c r="O20" s="244">
        <v>69000</v>
      </c>
      <c r="P20" s="132">
        <f t="shared" si="0"/>
        <v>19</v>
      </c>
      <c r="Q20" s="123"/>
      <c r="R20" s="124">
        <f t="shared" si="2"/>
        <v>0</v>
      </c>
    </row>
    <row r="21" spans="1:18" s="122" customFormat="1" ht="18.75" x14ac:dyDescent="0.3">
      <c r="A21" s="118">
        <v>14</v>
      </c>
      <c r="B21" s="119" t="s">
        <v>29</v>
      </c>
      <c r="C21" s="118" t="s">
        <v>60</v>
      </c>
      <c r="D21" s="120">
        <v>45000</v>
      </c>
      <c r="E21" s="121"/>
      <c r="F21" s="121"/>
      <c r="G21" s="121"/>
      <c r="H21" s="121"/>
      <c r="I21" s="121"/>
      <c r="J21" s="121"/>
      <c r="K21" s="121"/>
      <c r="L21" s="239">
        <v>20</v>
      </c>
      <c r="M21" s="240" t="s">
        <v>66</v>
      </c>
      <c r="N21" s="243" t="s">
        <v>250</v>
      </c>
      <c r="O21" s="244">
        <v>40000</v>
      </c>
      <c r="P21" s="132">
        <f t="shared" si="0"/>
        <v>20</v>
      </c>
      <c r="Q21" s="123"/>
      <c r="R21" s="124">
        <f t="shared" si="2"/>
        <v>0</v>
      </c>
    </row>
    <row r="22" spans="1:18" s="122" customFormat="1" ht="18.75" x14ac:dyDescent="0.3">
      <c r="A22" s="118">
        <v>15</v>
      </c>
      <c r="B22" s="119" t="s">
        <v>5</v>
      </c>
      <c r="C22" s="118" t="s">
        <v>61</v>
      </c>
      <c r="D22" s="120">
        <v>40000</v>
      </c>
      <c r="E22" s="121"/>
      <c r="F22" s="121"/>
      <c r="G22" s="121"/>
      <c r="H22" s="121"/>
      <c r="I22" s="121"/>
      <c r="J22" s="121"/>
      <c r="K22" s="121"/>
      <c r="L22" s="239">
        <v>21</v>
      </c>
      <c r="M22" s="240" t="s">
        <v>67</v>
      </c>
      <c r="N22" s="243" t="s">
        <v>26</v>
      </c>
      <c r="O22" s="244">
        <v>50000</v>
      </c>
      <c r="P22" s="132">
        <f t="shared" si="0"/>
        <v>21</v>
      </c>
      <c r="Q22" s="123"/>
      <c r="R22" s="124">
        <f t="shared" si="2"/>
        <v>0</v>
      </c>
    </row>
    <row r="23" spans="1:18" s="122" customFormat="1" ht="18.75" x14ac:dyDescent="0.3">
      <c r="A23" s="118">
        <v>16</v>
      </c>
      <c r="B23" s="119" t="s">
        <v>4</v>
      </c>
      <c r="C23" s="118" t="s">
        <v>62</v>
      </c>
      <c r="D23" s="120">
        <v>40000</v>
      </c>
      <c r="E23" s="121"/>
      <c r="F23" s="121"/>
      <c r="G23" s="121"/>
      <c r="H23" s="121"/>
      <c r="I23" s="121"/>
      <c r="J23" s="121"/>
      <c r="K23" s="121"/>
      <c r="L23" s="239">
        <v>22</v>
      </c>
      <c r="M23" s="240" t="s">
        <v>68</v>
      </c>
      <c r="N23" s="243" t="s">
        <v>34</v>
      </c>
      <c r="O23" s="244">
        <v>32000</v>
      </c>
      <c r="P23" s="132">
        <f t="shared" si="0"/>
        <v>22</v>
      </c>
      <c r="Q23" s="123"/>
      <c r="R23" s="124">
        <f t="shared" si="2"/>
        <v>0</v>
      </c>
    </row>
    <row r="24" spans="1:18" s="122" customFormat="1" ht="18.75" x14ac:dyDescent="0.3">
      <c r="A24" s="118">
        <v>17</v>
      </c>
      <c r="B24" s="119" t="s">
        <v>8</v>
      </c>
      <c r="C24" s="118" t="s">
        <v>63</v>
      </c>
      <c r="D24" s="120">
        <v>55000</v>
      </c>
      <c r="E24" s="121"/>
      <c r="F24" s="121"/>
      <c r="G24" s="121"/>
      <c r="H24" s="121"/>
      <c r="I24" s="121"/>
      <c r="J24" s="121"/>
      <c r="K24" s="121"/>
      <c r="L24" s="239">
        <v>23</v>
      </c>
      <c r="M24" s="240" t="s">
        <v>69</v>
      </c>
      <c r="N24" s="243" t="s">
        <v>35</v>
      </c>
      <c r="O24" s="244">
        <v>14000</v>
      </c>
      <c r="P24" s="132">
        <f t="shared" si="0"/>
        <v>23</v>
      </c>
      <c r="Q24" s="123"/>
      <c r="R24" s="124">
        <f t="shared" si="2"/>
        <v>0</v>
      </c>
    </row>
    <row r="25" spans="1:18" s="122" customFormat="1" ht="18.75" x14ac:dyDescent="0.3">
      <c r="A25" s="118">
        <v>18</v>
      </c>
      <c r="B25" s="119" t="s">
        <v>13</v>
      </c>
      <c r="C25" s="118" t="s">
        <v>64</v>
      </c>
      <c r="D25" s="120">
        <v>35000</v>
      </c>
      <c r="E25" s="121"/>
      <c r="F25" s="121"/>
      <c r="G25" s="121"/>
      <c r="H25" s="121"/>
      <c r="I25" s="121"/>
      <c r="J25" s="121"/>
      <c r="K25" s="121"/>
      <c r="L25" s="239">
        <v>24</v>
      </c>
      <c r="M25" s="240" t="s">
        <v>70</v>
      </c>
      <c r="N25" s="243" t="s">
        <v>55</v>
      </c>
      <c r="O25" s="244">
        <v>32000</v>
      </c>
      <c r="P25" s="132">
        <f t="shared" si="0"/>
        <v>24</v>
      </c>
      <c r="Q25" s="123"/>
      <c r="R25" s="124">
        <f t="shared" si="2"/>
        <v>0</v>
      </c>
    </row>
    <row r="26" spans="1:18" s="122" customFormat="1" ht="18.75" x14ac:dyDescent="0.3">
      <c r="A26" s="118">
        <v>19</v>
      </c>
      <c r="B26" s="119" t="s">
        <v>7</v>
      </c>
      <c r="C26" s="118" t="s">
        <v>65</v>
      </c>
      <c r="D26" s="120">
        <v>69000</v>
      </c>
      <c r="E26" s="121"/>
      <c r="F26" s="121"/>
      <c r="G26" s="121"/>
      <c r="H26" s="121"/>
      <c r="I26" s="121"/>
      <c r="J26" s="121"/>
      <c r="K26" s="121"/>
      <c r="L26" s="239">
        <v>25</v>
      </c>
      <c r="M26" s="240" t="s">
        <v>71</v>
      </c>
      <c r="N26" s="243" t="s">
        <v>36</v>
      </c>
      <c r="O26" s="244">
        <v>35000</v>
      </c>
      <c r="P26" s="132">
        <f t="shared" si="0"/>
        <v>25</v>
      </c>
      <c r="Q26" s="123"/>
      <c r="R26" s="124">
        <f t="shared" si="2"/>
        <v>0</v>
      </c>
    </row>
    <row r="27" spans="1:18" s="122" customFormat="1" ht="18.75" x14ac:dyDescent="0.3">
      <c r="A27" s="118">
        <v>20</v>
      </c>
      <c r="B27" s="119" t="s">
        <v>250</v>
      </c>
      <c r="C27" s="118" t="s">
        <v>66</v>
      </c>
      <c r="D27" s="120">
        <v>40000</v>
      </c>
      <c r="E27" s="121"/>
      <c r="F27" s="121"/>
      <c r="G27" s="121"/>
      <c r="H27" s="121"/>
      <c r="I27" s="121"/>
      <c r="J27" s="121"/>
      <c r="K27" s="121"/>
      <c r="L27" s="239">
        <v>26</v>
      </c>
      <c r="M27" s="240" t="s">
        <v>72</v>
      </c>
      <c r="N27" s="243" t="s">
        <v>37</v>
      </c>
      <c r="O27" s="244">
        <v>14000</v>
      </c>
      <c r="P27" s="132">
        <f t="shared" si="0"/>
        <v>26</v>
      </c>
      <c r="Q27" s="123"/>
      <c r="R27" s="124">
        <f t="shared" si="2"/>
        <v>0</v>
      </c>
    </row>
    <row r="28" spans="1:18" s="122" customFormat="1" ht="18.75" x14ac:dyDescent="0.3">
      <c r="A28" s="118">
        <v>21</v>
      </c>
      <c r="B28" s="119" t="s">
        <v>26</v>
      </c>
      <c r="C28" s="118" t="s">
        <v>67</v>
      </c>
      <c r="D28" s="120">
        <v>50000</v>
      </c>
      <c r="E28" s="121"/>
      <c r="F28" s="121"/>
      <c r="G28" s="121"/>
      <c r="H28" s="121"/>
      <c r="I28" s="121"/>
      <c r="J28" s="121"/>
      <c r="K28" s="121"/>
      <c r="L28" s="239">
        <v>27</v>
      </c>
      <c r="M28" s="240" t="s">
        <v>73</v>
      </c>
      <c r="N28" s="243" t="s">
        <v>38</v>
      </c>
      <c r="O28" s="244">
        <v>35000</v>
      </c>
      <c r="P28" s="132">
        <f t="shared" si="0"/>
        <v>27</v>
      </c>
      <c r="Q28" s="123"/>
      <c r="R28" s="124">
        <f t="shared" si="2"/>
        <v>0</v>
      </c>
    </row>
    <row r="29" spans="1:18" s="122" customFormat="1" ht="18.75" x14ac:dyDescent="0.3">
      <c r="A29" s="118">
        <v>22</v>
      </c>
      <c r="B29" s="119" t="s">
        <v>34</v>
      </c>
      <c r="C29" s="118" t="s">
        <v>68</v>
      </c>
      <c r="D29" s="120">
        <v>32000</v>
      </c>
      <c r="E29" s="121"/>
      <c r="F29" s="121"/>
      <c r="G29" s="121"/>
      <c r="H29" s="121"/>
      <c r="I29" s="121"/>
      <c r="J29" s="121"/>
      <c r="K29" s="121"/>
      <c r="L29" s="239">
        <v>28</v>
      </c>
      <c r="M29" s="240" t="s">
        <v>74</v>
      </c>
      <c r="N29" s="243" t="s">
        <v>39</v>
      </c>
      <c r="O29" s="244">
        <v>14000</v>
      </c>
      <c r="P29" s="132">
        <f t="shared" si="0"/>
        <v>28</v>
      </c>
      <c r="Q29" s="123"/>
      <c r="R29" s="124">
        <f t="shared" si="2"/>
        <v>0</v>
      </c>
    </row>
    <row r="30" spans="1:18" s="122" customFormat="1" ht="18.75" x14ac:dyDescent="0.3">
      <c r="A30" s="118">
        <v>23</v>
      </c>
      <c r="B30" s="119" t="s">
        <v>35</v>
      </c>
      <c r="C30" s="118" t="s">
        <v>69</v>
      </c>
      <c r="D30" s="120">
        <v>14000</v>
      </c>
      <c r="E30" s="121"/>
      <c r="F30" s="121"/>
      <c r="G30" s="121"/>
      <c r="H30" s="121"/>
      <c r="I30" s="121"/>
      <c r="J30" s="121"/>
      <c r="K30" s="121"/>
      <c r="L30" s="239">
        <v>29</v>
      </c>
      <c r="M30" s="240" t="s">
        <v>75</v>
      </c>
      <c r="N30" s="243" t="s">
        <v>44</v>
      </c>
      <c r="O30" s="244">
        <v>59000</v>
      </c>
      <c r="P30" s="132">
        <f t="shared" si="0"/>
        <v>29</v>
      </c>
      <c r="Q30" s="123"/>
      <c r="R30" s="124">
        <f t="shared" si="2"/>
        <v>0</v>
      </c>
    </row>
    <row r="31" spans="1:18" s="122" customFormat="1" ht="18.75" x14ac:dyDescent="0.3">
      <c r="A31" s="118">
        <v>24</v>
      </c>
      <c r="B31" s="119" t="s">
        <v>55</v>
      </c>
      <c r="C31" s="118" t="s">
        <v>70</v>
      </c>
      <c r="D31" s="120">
        <v>32000</v>
      </c>
      <c r="E31" s="121"/>
      <c r="F31" s="121"/>
      <c r="G31" s="121"/>
      <c r="H31" s="121"/>
      <c r="I31" s="121"/>
      <c r="J31" s="121"/>
      <c r="K31" s="121"/>
      <c r="L31" s="239">
        <v>30</v>
      </c>
      <c r="M31" s="240" t="s">
        <v>76</v>
      </c>
      <c r="N31" s="243" t="s">
        <v>45</v>
      </c>
      <c r="O31" s="244">
        <v>52000</v>
      </c>
      <c r="P31" s="132">
        <f t="shared" si="0"/>
        <v>30</v>
      </c>
      <c r="Q31" s="123"/>
      <c r="R31" s="124">
        <f t="shared" si="2"/>
        <v>0</v>
      </c>
    </row>
    <row r="32" spans="1:18" s="122" customFormat="1" ht="18.75" x14ac:dyDescent="0.3">
      <c r="A32" s="118">
        <v>25</v>
      </c>
      <c r="B32" s="119" t="s">
        <v>36</v>
      </c>
      <c r="C32" s="118" t="s">
        <v>71</v>
      </c>
      <c r="D32" s="120">
        <v>35000</v>
      </c>
      <c r="E32" s="121"/>
      <c r="F32" s="121"/>
      <c r="G32" s="121"/>
      <c r="H32" s="121"/>
      <c r="I32" s="121"/>
      <c r="J32" s="121"/>
      <c r="K32" s="121"/>
      <c r="L32" s="239">
        <v>31</v>
      </c>
      <c r="M32" s="240" t="s">
        <v>77</v>
      </c>
      <c r="N32" s="243" t="s">
        <v>41</v>
      </c>
      <c r="O32" s="244">
        <v>65000</v>
      </c>
      <c r="P32" s="132">
        <f t="shared" si="0"/>
        <v>31</v>
      </c>
      <c r="Q32" s="123"/>
      <c r="R32" s="123"/>
    </row>
    <row r="33" spans="1:18" s="122" customFormat="1" ht="18.75" x14ac:dyDescent="0.3">
      <c r="A33" s="118">
        <v>26</v>
      </c>
      <c r="B33" s="119" t="s">
        <v>37</v>
      </c>
      <c r="C33" s="118" t="s">
        <v>72</v>
      </c>
      <c r="D33" s="120">
        <v>14000</v>
      </c>
      <c r="E33" s="121"/>
      <c r="F33" s="121"/>
      <c r="G33" s="121"/>
      <c r="H33" s="121"/>
      <c r="I33" s="121"/>
      <c r="J33" s="121"/>
      <c r="K33" s="121"/>
      <c r="L33" s="239">
        <v>32</v>
      </c>
      <c r="M33" s="240" t="s">
        <v>78</v>
      </c>
      <c r="N33" s="243" t="s">
        <v>40</v>
      </c>
      <c r="O33" s="244">
        <v>44000</v>
      </c>
      <c r="P33" s="132">
        <f t="shared" si="0"/>
        <v>32</v>
      </c>
      <c r="Q33" s="123"/>
      <c r="R33" s="123"/>
    </row>
    <row r="34" spans="1:18" s="122" customFormat="1" ht="18.75" x14ac:dyDescent="0.3">
      <c r="A34" s="118">
        <v>27</v>
      </c>
      <c r="B34" s="119" t="s">
        <v>38</v>
      </c>
      <c r="C34" s="118" t="s">
        <v>73</v>
      </c>
      <c r="D34" s="120">
        <v>35000</v>
      </c>
      <c r="E34" s="121"/>
      <c r="F34" s="121"/>
      <c r="G34" s="121"/>
      <c r="H34" s="121"/>
      <c r="I34" s="121"/>
      <c r="J34" s="121"/>
      <c r="K34" s="121"/>
      <c r="L34" s="239">
        <v>33</v>
      </c>
      <c r="M34" s="240" t="s">
        <v>79</v>
      </c>
      <c r="N34" s="243" t="s">
        <v>43</v>
      </c>
      <c r="O34" s="244">
        <v>79000</v>
      </c>
      <c r="P34" s="132">
        <f t="shared" si="0"/>
        <v>33</v>
      </c>
      <c r="Q34" s="123"/>
      <c r="R34" s="123"/>
    </row>
    <row r="35" spans="1:18" s="122" customFormat="1" ht="18.75" x14ac:dyDescent="0.3">
      <c r="A35" s="118">
        <v>28</v>
      </c>
      <c r="B35" s="119" t="s">
        <v>39</v>
      </c>
      <c r="C35" s="118" t="s">
        <v>74</v>
      </c>
      <c r="D35" s="120">
        <v>14000</v>
      </c>
      <c r="E35" s="121"/>
      <c r="F35" s="121"/>
      <c r="G35" s="121"/>
      <c r="H35" s="121"/>
      <c r="I35" s="121"/>
      <c r="J35" s="121"/>
      <c r="K35" s="121"/>
      <c r="L35" s="239">
        <v>34</v>
      </c>
      <c r="M35" s="240" t="s">
        <v>80</v>
      </c>
      <c r="N35" s="243" t="s">
        <v>33</v>
      </c>
      <c r="O35" s="244">
        <v>66000</v>
      </c>
      <c r="P35" s="132">
        <f t="shared" si="0"/>
        <v>34</v>
      </c>
      <c r="Q35" s="123"/>
      <c r="R35" s="123"/>
    </row>
    <row r="36" spans="1:18" s="122" customFormat="1" ht="18.75" x14ac:dyDescent="0.3">
      <c r="A36" s="118">
        <v>29</v>
      </c>
      <c r="B36" s="119" t="s">
        <v>44</v>
      </c>
      <c r="C36" s="118" t="s">
        <v>75</v>
      </c>
      <c r="D36" s="120">
        <v>59000</v>
      </c>
      <c r="E36" s="121"/>
      <c r="F36" s="121"/>
      <c r="G36" s="121"/>
      <c r="H36" s="121"/>
      <c r="I36" s="121"/>
      <c r="J36" s="121"/>
      <c r="K36" s="121"/>
      <c r="L36" s="239">
        <v>35</v>
      </c>
      <c r="M36" s="240" t="s">
        <v>81</v>
      </c>
      <c r="N36" s="243" t="s">
        <v>47</v>
      </c>
      <c r="O36" s="244">
        <v>65000</v>
      </c>
      <c r="P36" s="132">
        <f t="shared" si="0"/>
        <v>35</v>
      </c>
      <c r="Q36" s="123"/>
      <c r="R36" s="123"/>
    </row>
    <row r="37" spans="1:18" s="122" customFormat="1" ht="18.75" x14ac:dyDescent="0.3">
      <c r="A37" s="118">
        <v>30</v>
      </c>
      <c r="B37" s="119" t="s">
        <v>45</v>
      </c>
      <c r="C37" s="118" t="s">
        <v>76</v>
      </c>
      <c r="D37" s="120">
        <v>52000</v>
      </c>
      <c r="E37" s="121"/>
      <c r="F37" s="121"/>
      <c r="G37" s="121"/>
      <c r="H37" s="121"/>
      <c r="I37" s="121"/>
      <c r="J37" s="121"/>
      <c r="K37" s="121"/>
      <c r="L37" s="239">
        <v>36</v>
      </c>
      <c r="M37" s="240" t="s">
        <v>82</v>
      </c>
      <c r="N37" s="243" t="s">
        <v>48</v>
      </c>
      <c r="O37" s="244">
        <v>54000</v>
      </c>
      <c r="P37" s="132">
        <f t="shared" si="0"/>
        <v>36</v>
      </c>
      <c r="Q37" s="123"/>
      <c r="R37" s="123"/>
    </row>
    <row r="38" spans="1:18" s="122" customFormat="1" ht="18.75" x14ac:dyDescent="0.3">
      <c r="A38" s="118">
        <v>31</v>
      </c>
      <c r="B38" s="119" t="s">
        <v>41</v>
      </c>
      <c r="C38" s="118" t="s">
        <v>77</v>
      </c>
      <c r="D38" s="120">
        <v>65000</v>
      </c>
      <c r="E38" s="121"/>
      <c r="F38" s="121"/>
      <c r="G38" s="121"/>
      <c r="H38" s="121"/>
      <c r="I38" s="121"/>
      <c r="J38" s="121"/>
      <c r="K38" s="121"/>
      <c r="L38" s="239">
        <v>37</v>
      </c>
      <c r="M38" s="240" t="s">
        <v>83</v>
      </c>
      <c r="N38" s="243" t="s">
        <v>42</v>
      </c>
      <c r="O38" s="244">
        <v>59000</v>
      </c>
      <c r="P38" s="132">
        <f t="shared" si="0"/>
        <v>37</v>
      </c>
      <c r="Q38" s="123"/>
      <c r="R38" s="123"/>
    </row>
    <row r="39" spans="1:18" s="122" customFormat="1" ht="18.75" x14ac:dyDescent="0.3">
      <c r="A39" s="118">
        <v>32</v>
      </c>
      <c r="B39" s="119" t="s">
        <v>40</v>
      </c>
      <c r="C39" s="118" t="s">
        <v>78</v>
      </c>
      <c r="D39" s="120">
        <v>44000</v>
      </c>
      <c r="E39" s="121"/>
      <c r="F39" s="121"/>
      <c r="G39" s="121"/>
      <c r="H39" s="121"/>
      <c r="I39" s="121"/>
      <c r="J39" s="121"/>
      <c r="K39" s="121"/>
      <c r="L39" s="239">
        <v>38</v>
      </c>
      <c r="M39" s="240" t="s">
        <v>84</v>
      </c>
      <c r="N39" s="243" t="s">
        <v>248</v>
      </c>
      <c r="O39" s="244">
        <v>40000</v>
      </c>
      <c r="P39" s="132">
        <f t="shared" si="0"/>
        <v>38</v>
      </c>
      <c r="Q39" s="123"/>
      <c r="R39" s="123"/>
    </row>
    <row r="40" spans="1:18" s="122" customFormat="1" ht="18.75" x14ac:dyDescent="0.3">
      <c r="A40" s="118">
        <v>33</v>
      </c>
      <c r="B40" s="119" t="s">
        <v>43</v>
      </c>
      <c r="C40" s="118" t="s">
        <v>79</v>
      </c>
      <c r="D40" s="120">
        <v>79000</v>
      </c>
      <c r="E40" s="121"/>
      <c r="F40" s="121"/>
      <c r="G40" s="121"/>
      <c r="H40" s="121"/>
      <c r="I40" s="121"/>
      <c r="J40" s="121"/>
      <c r="K40" s="121"/>
      <c r="L40" s="239">
        <v>39</v>
      </c>
      <c r="M40" s="240" t="s">
        <v>85</v>
      </c>
      <c r="N40" s="243" t="s">
        <v>120</v>
      </c>
      <c r="O40" s="244">
        <v>35000</v>
      </c>
      <c r="P40" s="132">
        <f t="shared" si="0"/>
        <v>39</v>
      </c>
      <c r="Q40" s="123"/>
      <c r="R40" s="123"/>
    </row>
    <row r="41" spans="1:18" s="122" customFormat="1" ht="18.75" x14ac:dyDescent="0.3">
      <c r="A41" s="118">
        <v>34</v>
      </c>
      <c r="B41" s="119" t="s">
        <v>33</v>
      </c>
      <c r="C41" s="118" t="s">
        <v>80</v>
      </c>
      <c r="D41" s="120">
        <v>66000</v>
      </c>
      <c r="E41" s="121"/>
      <c r="F41" s="121"/>
      <c r="G41" s="121"/>
      <c r="H41" s="121"/>
      <c r="I41" s="121"/>
      <c r="J41" s="121"/>
      <c r="K41" s="121"/>
      <c r="L41" s="239">
        <v>40</v>
      </c>
      <c r="M41" s="240" t="s">
        <v>86</v>
      </c>
      <c r="N41" s="243" t="s">
        <v>215</v>
      </c>
      <c r="O41" s="244">
        <v>105000</v>
      </c>
      <c r="P41" s="132">
        <f t="shared" si="0"/>
        <v>40</v>
      </c>
      <c r="Q41" s="123"/>
      <c r="R41" s="123"/>
    </row>
    <row r="42" spans="1:18" s="122" customFormat="1" ht="18.75" x14ac:dyDescent="0.3">
      <c r="A42" s="118">
        <v>35</v>
      </c>
      <c r="B42" s="119" t="s">
        <v>47</v>
      </c>
      <c r="C42" s="118" t="s">
        <v>81</v>
      </c>
      <c r="D42" s="120">
        <v>65000</v>
      </c>
      <c r="E42" s="121"/>
      <c r="F42" s="121"/>
      <c r="G42" s="121"/>
      <c r="H42" s="121"/>
      <c r="I42" s="121"/>
      <c r="J42" s="121"/>
      <c r="K42" s="121"/>
      <c r="L42" s="239">
        <v>41</v>
      </c>
      <c r="M42" s="240" t="s">
        <v>87</v>
      </c>
      <c r="N42" s="243" t="s">
        <v>123</v>
      </c>
      <c r="O42" s="244">
        <v>42000</v>
      </c>
      <c r="P42" s="132">
        <f t="shared" si="0"/>
        <v>41</v>
      </c>
      <c r="Q42" s="123"/>
      <c r="R42" s="123"/>
    </row>
    <row r="43" spans="1:18" s="122" customFormat="1" ht="18.75" x14ac:dyDescent="0.3">
      <c r="A43" s="118">
        <v>36</v>
      </c>
      <c r="B43" s="119" t="s">
        <v>48</v>
      </c>
      <c r="C43" s="118" t="s">
        <v>82</v>
      </c>
      <c r="D43" s="120">
        <v>54000</v>
      </c>
      <c r="E43" s="121"/>
      <c r="F43" s="121"/>
      <c r="G43" s="121"/>
      <c r="H43" s="121"/>
      <c r="I43" s="121"/>
      <c r="J43" s="121"/>
      <c r="K43" s="121"/>
      <c r="L43" s="239">
        <v>42</v>
      </c>
      <c r="M43" s="240" t="s">
        <v>88</v>
      </c>
      <c r="N43" s="243" t="s">
        <v>126</v>
      </c>
      <c r="O43" s="244">
        <v>35000</v>
      </c>
      <c r="P43" s="132">
        <f t="shared" si="0"/>
        <v>42</v>
      </c>
      <c r="Q43" s="123"/>
      <c r="R43" s="123"/>
    </row>
    <row r="44" spans="1:18" s="122" customFormat="1" ht="18.75" x14ac:dyDescent="0.3">
      <c r="A44" s="118">
        <v>37</v>
      </c>
      <c r="B44" s="119" t="s">
        <v>42</v>
      </c>
      <c r="C44" s="118" t="s">
        <v>83</v>
      </c>
      <c r="D44" s="120">
        <v>59000</v>
      </c>
      <c r="E44" s="121"/>
      <c r="F44" s="121"/>
      <c r="G44" s="121"/>
      <c r="H44" s="121"/>
      <c r="I44" s="121"/>
      <c r="J44" s="121"/>
      <c r="K44" s="121"/>
      <c r="L44" s="239">
        <v>43</v>
      </c>
      <c r="M44" s="240" t="s">
        <v>89</v>
      </c>
      <c r="N44" s="243" t="s">
        <v>141</v>
      </c>
      <c r="O44" s="244">
        <v>69000</v>
      </c>
      <c r="P44" s="132">
        <f t="shared" si="0"/>
        <v>43</v>
      </c>
      <c r="Q44" s="123"/>
      <c r="R44" s="123"/>
    </row>
    <row r="45" spans="1:18" s="122" customFormat="1" ht="18.75" x14ac:dyDescent="0.3">
      <c r="A45" s="118">
        <v>38</v>
      </c>
      <c r="B45" s="119" t="s">
        <v>248</v>
      </c>
      <c r="C45" s="118" t="s">
        <v>84</v>
      </c>
      <c r="D45" s="120">
        <v>40000</v>
      </c>
      <c r="E45" s="121"/>
      <c r="F45" s="121"/>
      <c r="G45" s="121"/>
      <c r="H45" s="121"/>
      <c r="I45" s="121"/>
      <c r="J45" s="121"/>
      <c r="K45" s="121"/>
      <c r="L45" s="239">
        <v>44</v>
      </c>
      <c r="M45" s="240" t="s">
        <v>90</v>
      </c>
      <c r="N45" s="243" t="s">
        <v>143</v>
      </c>
      <c r="O45" s="244">
        <v>76000</v>
      </c>
      <c r="P45" s="132">
        <f t="shared" si="0"/>
        <v>44</v>
      </c>
      <c r="Q45" s="123"/>
      <c r="R45" s="123"/>
    </row>
    <row r="46" spans="1:18" s="122" customFormat="1" ht="18.75" x14ac:dyDescent="0.3">
      <c r="A46" s="118">
        <v>39</v>
      </c>
      <c r="B46" s="119" t="s">
        <v>120</v>
      </c>
      <c r="C46" s="118" t="s">
        <v>85</v>
      </c>
      <c r="D46" s="120">
        <v>35000</v>
      </c>
      <c r="E46" s="121"/>
      <c r="F46" s="121"/>
      <c r="G46" s="121"/>
      <c r="H46" s="121"/>
      <c r="I46" s="121"/>
      <c r="J46" s="121"/>
      <c r="K46" s="121"/>
      <c r="L46" s="239">
        <v>45</v>
      </c>
      <c r="M46" s="240" t="s">
        <v>91</v>
      </c>
      <c r="N46" s="243" t="s">
        <v>281</v>
      </c>
      <c r="O46" s="244">
        <v>35000</v>
      </c>
      <c r="P46" s="132">
        <f t="shared" si="0"/>
        <v>45</v>
      </c>
      <c r="Q46" s="123"/>
      <c r="R46" s="123"/>
    </row>
    <row r="47" spans="1:18" s="122" customFormat="1" ht="18.75" x14ac:dyDescent="0.3">
      <c r="A47" s="118">
        <v>40</v>
      </c>
      <c r="B47" s="119" t="s">
        <v>215</v>
      </c>
      <c r="C47" s="118" t="s">
        <v>86</v>
      </c>
      <c r="D47" s="120">
        <v>105000</v>
      </c>
      <c r="E47" s="121"/>
      <c r="F47" s="121"/>
      <c r="G47" s="121"/>
      <c r="H47" s="121"/>
      <c r="I47" s="121"/>
      <c r="J47" s="121"/>
      <c r="K47" s="121"/>
      <c r="L47" s="239">
        <v>46</v>
      </c>
      <c r="M47" s="240" t="s">
        <v>92</v>
      </c>
      <c r="N47" s="243" t="s">
        <v>296</v>
      </c>
      <c r="O47" s="244">
        <v>65000</v>
      </c>
      <c r="P47" s="132">
        <f t="shared" si="0"/>
        <v>46</v>
      </c>
      <c r="Q47" s="123"/>
      <c r="R47" s="123"/>
    </row>
    <row r="48" spans="1:18" s="122" customFormat="1" ht="18.75" x14ac:dyDescent="0.3">
      <c r="A48" s="118">
        <v>41</v>
      </c>
      <c r="B48" s="119" t="s">
        <v>123</v>
      </c>
      <c r="C48" s="118" t="s">
        <v>87</v>
      </c>
      <c r="D48" s="120">
        <v>42000</v>
      </c>
      <c r="E48" s="121"/>
      <c r="F48" s="121"/>
      <c r="G48" s="121"/>
      <c r="H48" s="121"/>
      <c r="I48" s="121"/>
      <c r="J48" s="121"/>
      <c r="K48" s="121"/>
      <c r="L48" s="239">
        <v>47</v>
      </c>
      <c r="M48" s="240" t="s">
        <v>110</v>
      </c>
      <c r="N48" s="243" t="s">
        <v>149</v>
      </c>
      <c r="O48" s="244">
        <v>80000</v>
      </c>
      <c r="P48" s="132">
        <f t="shared" si="0"/>
        <v>47</v>
      </c>
      <c r="Q48" s="123"/>
      <c r="R48" s="123"/>
    </row>
    <row r="49" spans="1:18" s="122" customFormat="1" ht="18.75" x14ac:dyDescent="0.3">
      <c r="A49" s="118">
        <v>42</v>
      </c>
      <c r="B49" s="119" t="s">
        <v>126</v>
      </c>
      <c r="C49" s="118" t="s">
        <v>88</v>
      </c>
      <c r="D49" s="120">
        <v>35000</v>
      </c>
      <c r="E49" s="121"/>
      <c r="F49" s="121"/>
      <c r="G49" s="121"/>
      <c r="H49" s="121"/>
      <c r="I49" s="121"/>
      <c r="J49" s="121"/>
      <c r="K49" s="121"/>
      <c r="L49" s="239">
        <v>48</v>
      </c>
      <c r="M49" s="240" t="s">
        <v>121</v>
      </c>
      <c r="N49" s="243" t="s">
        <v>246</v>
      </c>
      <c r="O49" s="244">
        <v>44000</v>
      </c>
      <c r="P49" s="132">
        <f t="shared" si="0"/>
        <v>48</v>
      </c>
      <c r="Q49" s="123"/>
      <c r="R49" s="123"/>
    </row>
    <row r="50" spans="1:18" s="122" customFormat="1" ht="18.75" x14ac:dyDescent="0.3">
      <c r="A50" s="118">
        <v>43</v>
      </c>
      <c r="B50" s="119" t="s">
        <v>141</v>
      </c>
      <c r="C50" s="118" t="s">
        <v>89</v>
      </c>
      <c r="D50" s="120">
        <v>69000</v>
      </c>
      <c r="E50" s="121"/>
      <c r="F50" s="121"/>
      <c r="G50" s="121"/>
      <c r="H50" s="121"/>
      <c r="I50" s="121"/>
      <c r="J50" s="121"/>
      <c r="K50" s="121"/>
      <c r="L50" s="239">
        <v>49</v>
      </c>
      <c r="M50" s="240" t="s">
        <v>122</v>
      </c>
      <c r="N50" s="243" t="s">
        <v>155</v>
      </c>
      <c r="O50" s="244">
        <v>35000</v>
      </c>
      <c r="P50" s="132">
        <f t="shared" si="0"/>
        <v>49</v>
      </c>
      <c r="Q50" s="123"/>
      <c r="R50" s="123"/>
    </row>
    <row r="51" spans="1:18" s="122" customFormat="1" ht="18.75" x14ac:dyDescent="0.3">
      <c r="A51" s="118">
        <v>44</v>
      </c>
      <c r="B51" s="119" t="s">
        <v>143</v>
      </c>
      <c r="C51" s="118" t="s">
        <v>90</v>
      </c>
      <c r="D51" s="120">
        <v>76000</v>
      </c>
      <c r="E51" s="121"/>
      <c r="F51" s="121"/>
      <c r="G51" s="121"/>
      <c r="H51" s="121"/>
      <c r="I51" s="121"/>
      <c r="J51" s="121"/>
      <c r="K51" s="121"/>
      <c r="L51" s="239">
        <v>50</v>
      </c>
      <c r="M51" s="240" t="s">
        <v>124</v>
      </c>
      <c r="N51" s="243" t="s">
        <v>156</v>
      </c>
      <c r="O51" s="244">
        <v>38000</v>
      </c>
      <c r="P51" s="132">
        <f t="shared" si="0"/>
        <v>50</v>
      </c>
      <c r="Q51" s="123"/>
      <c r="R51" s="123"/>
    </row>
    <row r="52" spans="1:18" s="122" customFormat="1" ht="18.75" x14ac:dyDescent="0.3">
      <c r="A52" s="118">
        <v>45</v>
      </c>
      <c r="B52" s="119" t="s">
        <v>281</v>
      </c>
      <c r="C52" s="118" t="s">
        <v>91</v>
      </c>
      <c r="D52" s="120">
        <v>35000</v>
      </c>
      <c r="E52" s="121"/>
      <c r="F52" s="121"/>
      <c r="G52" s="121"/>
      <c r="H52" s="121"/>
      <c r="I52" s="121"/>
      <c r="J52" s="121"/>
      <c r="K52" s="121"/>
      <c r="L52" s="239">
        <v>51</v>
      </c>
      <c r="M52" s="240" t="s">
        <v>136</v>
      </c>
      <c r="N52" s="243" t="s">
        <v>162</v>
      </c>
      <c r="O52" s="244">
        <v>70000</v>
      </c>
      <c r="P52" s="132">
        <f t="shared" si="0"/>
        <v>51</v>
      </c>
      <c r="Q52" s="123"/>
      <c r="R52" s="123"/>
    </row>
    <row r="53" spans="1:18" s="122" customFormat="1" ht="18.75" x14ac:dyDescent="0.3">
      <c r="A53" s="118">
        <v>46</v>
      </c>
      <c r="B53" s="119" t="s">
        <v>296</v>
      </c>
      <c r="C53" s="118" t="s">
        <v>92</v>
      </c>
      <c r="D53" s="120">
        <v>65000</v>
      </c>
      <c r="E53" s="121"/>
      <c r="F53" s="121"/>
      <c r="G53" s="121"/>
      <c r="H53" s="121"/>
      <c r="I53" s="121"/>
      <c r="J53" s="121"/>
      <c r="K53" s="121"/>
      <c r="L53" s="239">
        <v>52</v>
      </c>
      <c r="M53" s="240" t="s">
        <v>142</v>
      </c>
      <c r="N53" s="243" t="s">
        <v>175</v>
      </c>
      <c r="O53" s="244">
        <v>54000</v>
      </c>
      <c r="P53" s="132">
        <f t="shared" si="0"/>
        <v>52</v>
      </c>
      <c r="Q53" s="123"/>
      <c r="R53" s="123"/>
    </row>
    <row r="54" spans="1:18" s="122" customFormat="1" ht="18.75" x14ac:dyDescent="0.3">
      <c r="A54" s="118">
        <v>47</v>
      </c>
      <c r="B54" s="119" t="s">
        <v>149</v>
      </c>
      <c r="C54" s="118" t="s">
        <v>110</v>
      </c>
      <c r="D54" s="120">
        <v>80000</v>
      </c>
      <c r="E54" s="121"/>
      <c r="F54" s="121"/>
      <c r="G54" s="121"/>
      <c r="H54" s="121"/>
      <c r="I54" s="121"/>
      <c r="J54" s="121"/>
      <c r="K54" s="121"/>
      <c r="L54" s="239">
        <v>53</v>
      </c>
      <c r="M54" s="240" t="s">
        <v>144</v>
      </c>
      <c r="N54" s="243" t="s">
        <v>178</v>
      </c>
      <c r="O54" s="244">
        <v>47000</v>
      </c>
      <c r="P54" s="132">
        <f t="shared" si="0"/>
        <v>53</v>
      </c>
      <c r="Q54" s="123"/>
      <c r="R54" s="123"/>
    </row>
    <row r="55" spans="1:18" s="122" customFormat="1" ht="18.75" x14ac:dyDescent="0.3">
      <c r="A55" s="118">
        <v>48</v>
      </c>
      <c r="B55" s="119" t="s">
        <v>246</v>
      </c>
      <c r="C55" s="118" t="s">
        <v>121</v>
      </c>
      <c r="D55" s="120">
        <v>44000</v>
      </c>
      <c r="E55" s="121"/>
      <c r="F55" s="121"/>
      <c r="G55" s="121"/>
      <c r="H55" s="121"/>
      <c r="I55" s="121"/>
      <c r="J55" s="121"/>
      <c r="K55" s="121"/>
      <c r="L55" s="239">
        <v>54</v>
      </c>
      <c r="M55" s="240" t="s">
        <v>150</v>
      </c>
      <c r="N55" s="243" t="s">
        <v>181</v>
      </c>
      <c r="O55" s="244">
        <v>50000</v>
      </c>
      <c r="P55" s="132">
        <f t="shared" si="0"/>
        <v>54</v>
      </c>
      <c r="Q55" s="123"/>
      <c r="R55" s="123"/>
    </row>
    <row r="56" spans="1:18" s="122" customFormat="1" ht="18.75" x14ac:dyDescent="0.3">
      <c r="A56" s="118">
        <v>49</v>
      </c>
      <c r="B56" s="119" t="s">
        <v>155</v>
      </c>
      <c r="C56" s="118" t="s">
        <v>122</v>
      </c>
      <c r="D56" s="120">
        <v>35000</v>
      </c>
      <c r="E56" s="121"/>
      <c r="F56" s="121"/>
      <c r="G56" s="121"/>
      <c r="H56" s="121"/>
      <c r="I56" s="121"/>
      <c r="J56" s="121"/>
      <c r="K56" s="121"/>
      <c r="L56" s="239">
        <v>55</v>
      </c>
      <c r="M56" s="240" t="s">
        <v>151</v>
      </c>
      <c r="N56" s="243" t="s">
        <v>180</v>
      </c>
      <c r="O56" s="244">
        <v>42000</v>
      </c>
      <c r="P56" s="132">
        <f t="shared" si="0"/>
        <v>55</v>
      </c>
      <c r="Q56" s="123"/>
      <c r="R56" s="123"/>
    </row>
    <row r="57" spans="1:18" s="122" customFormat="1" ht="18.75" x14ac:dyDescent="0.3">
      <c r="A57" s="118">
        <v>50</v>
      </c>
      <c r="B57" s="119" t="s">
        <v>156</v>
      </c>
      <c r="C57" s="118" t="s">
        <v>124</v>
      </c>
      <c r="D57" s="120">
        <v>38000</v>
      </c>
      <c r="E57" s="121"/>
      <c r="F57" s="121"/>
      <c r="G57" s="121"/>
      <c r="H57" s="121"/>
      <c r="I57" s="121"/>
      <c r="J57" s="121"/>
      <c r="K57" s="121"/>
      <c r="L57" s="239">
        <v>56</v>
      </c>
      <c r="M57" s="240" t="s">
        <v>153</v>
      </c>
      <c r="N57" s="243" t="s">
        <v>206</v>
      </c>
      <c r="O57" s="244">
        <v>16000</v>
      </c>
      <c r="P57" s="132">
        <f t="shared" si="0"/>
        <v>56</v>
      </c>
      <c r="Q57" s="123"/>
      <c r="R57" s="123"/>
    </row>
    <row r="58" spans="1:18" s="122" customFormat="1" ht="18.75" x14ac:dyDescent="0.3">
      <c r="A58" s="118">
        <v>51</v>
      </c>
      <c r="B58" s="119" t="s">
        <v>162</v>
      </c>
      <c r="C58" s="118" t="s">
        <v>136</v>
      </c>
      <c r="D58" s="120">
        <v>70000</v>
      </c>
      <c r="E58" s="121"/>
      <c r="F58" s="121"/>
      <c r="G58" s="121"/>
      <c r="H58" s="121"/>
      <c r="I58" s="121"/>
      <c r="J58" s="121"/>
      <c r="K58" s="121"/>
      <c r="L58" s="239">
        <v>57</v>
      </c>
      <c r="M58" s="240" t="s">
        <v>154</v>
      </c>
      <c r="N58" s="243" t="s">
        <v>198</v>
      </c>
      <c r="O58" s="244">
        <v>25000</v>
      </c>
      <c r="P58" s="132">
        <f t="shared" si="0"/>
        <v>57</v>
      </c>
      <c r="Q58" s="123"/>
      <c r="R58" s="123"/>
    </row>
    <row r="59" spans="1:18" s="122" customFormat="1" ht="18.75" x14ac:dyDescent="0.3">
      <c r="A59" s="118">
        <v>52</v>
      </c>
      <c r="B59" s="119" t="s">
        <v>175</v>
      </c>
      <c r="C59" s="118" t="s">
        <v>142</v>
      </c>
      <c r="D59" s="120">
        <v>54000</v>
      </c>
      <c r="E59" s="121"/>
      <c r="F59" s="121"/>
      <c r="G59" s="121"/>
      <c r="H59" s="121"/>
      <c r="I59" s="121"/>
      <c r="J59" s="121"/>
      <c r="K59" s="121"/>
      <c r="L59" s="239">
        <v>58</v>
      </c>
      <c r="M59" s="240" t="s">
        <v>157</v>
      </c>
      <c r="N59" s="243" t="s">
        <v>199</v>
      </c>
      <c r="O59" s="244">
        <v>26000</v>
      </c>
      <c r="P59" s="132">
        <f t="shared" si="0"/>
        <v>58</v>
      </c>
      <c r="Q59" s="123"/>
      <c r="R59" s="123"/>
    </row>
    <row r="60" spans="1:18" s="122" customFormat="1" ht="18.75" x14ac:dyDescent="0.3">
      <c r="A60" s="118">
        <v>53</v>
      </c>
      <c r="B60" s="119" t="s">
        <v>178</v>
      </c>
      <c r="C60" s="118" t="s">
        <v>144</v>
      </c>
      <c r="D60" s="120">
        <v>47000</v>
      </c>
      <c r="E60" s="121"/>
      <c r="F60" s="121"/>
      <c r="G60" s="121"/>
      <c r="H60" s="121"/>
      <c r="I60" s="121"/>
      <c r="J60" s="121"/>
      <c r="K60" s="121"/>
      <c r="L60" s="239">
        <v>59</v>
      </c>
      <c r="M60" s="240" t="s">
        <v>158</v>
      </c>
      <c r="N60" s="243" t="s">
        <v>200</v>
      </c>
      <c r="O60" s="244">
        <v>28000</v>
      </c>
      <c r="P60" s="132">
        <f t="shared" si="0"/>
        <v>59</v>
      </c>
      <c r="Q60" s="123"/>
      <c r="R60" s="123"/>
    </row>
    <row r="61" spans="1:18" s="122" customFormat="1" ht="18.75" x14ac:dyDescent="0.3">
      <c r="A61" s="118">
        <v>54</v>
      </c>
      <c r="B61" s="119" t="s">
        <v>181</v>
      </c>
      <c r="C61" s="118" t="s">
        <v>150</v>
      </c>
      <c r="D61" s="120">
        <v>50000</v>
      </c>
      <c r="E61" s="121"/>
      <c r="F61" s="121"/>
      <c r="G61" s="121"/>
      <c r="H61" s="121"/>
      <c r="I61" s="121"/>
      <c r="J61" s="121"/>
      <c r="K61" s="121"/>
      <c r="L61" s="239">
        <v>60</v>
      </c>
      <c r="M61" s="240" t="s">
        <v>163</v>
      </c>
      <c r="N61" s="243" t="s">
        <v>201</v>
      </c>
      <c r="O61" s="244">
        <v>28000</v>
      </c>
      <c r="P61" s="132">
        <f t="shared" si="0"/>
        <v>60</v>
      </c>
      <c r="Q61" s="123"/>
      <c r="R61" s="123"/>
    </row>
    <row r="62" spans="1:18" s="122" customFormat="1" ht="18.75" x14ac:dyDescent="0.3">
      <c r="A62" s="118">
        <v>55</v>
      </c>
      <c r="B62" s="119" t="s">
        <v>180</v>
      </c>
      <c r="C62" s="118" t="s">
        <v>151</v>
      </c>
      <c r="D62" s="120">
        <v>42000</v>
      </c>
      <c r="E62" s="121"/>
      <c r="F62" s="121"/>
      <c r="G62" s="121"/>
      <c r="H62" s="121"/>
      <c r="I62" s="121"/>
      <c r="J62" s="121"/>
      <c r="K62" s="121"/>
      <c r="L62" s="239">
        <v>61</v>
      </c>
      <c r="M62" s="240" t="s">
        <v>176</v>
      </c>
      <c r="N62" s="243" t="s">
        <v>202</v>
      </c>
      <c r="O62" s="244">
        <v>26000</v>
      </c>
      <c r="P62" s="132">
        <f t="shared" si="0"/>
        <v>61</v>
      </c>
      <c r="Q62" s="123"/>
      <c r="R62" s="123"/>
    </row>
    <row r="63" spans="1:18" s="122" customFormat="1" ht="18.75" x14ac:dyDescent="0.3">
      <c r="A63" s="118">
        <v>56</v>
      </c>
      <c r="B63" s="119" t="s">
        <v>206</v>
      </c>
      <c r="C63" s="118" t="s">
        <v>153</v>
      </c>
      <c r="D63" s="120">
        <v>16000</v>
      </c>
      <c r="E63" s="121"/>
      <c r="F63" s="121"/>
      <c r="G63" s="121"/>
      <c r="H63" s="121"/>
      <c r="I63" s="121"/>
      <c r="J63" s="121"/>
      <c r="K63" s="121"/>
      <c r="L63" s="239">
        <v>62</v>
      </c>
      <c r="M63" s="240" t="s">
        <v>179</v>
      </c>
      <c r="N63" s="243" t="s">
        <v>203</v>
      </c>
      <c r="O63" s="244">
        <v>35000</v>
      </c>
      <c r="P63" s="132">
        <f t="shared" si="0"/>
        <v>62</v>
      </c>
      <c r="Q63" s="123"/>
      <c r="R63" s="123"/>
    </row>
    <row r="64" spans="1:18" s="122" customFormat="1" ht="18.75" x14ac:dyDescent="0.3">
      <c r="A64" s="118">
        <v>57</v>
      </c>
      <c r="B64" s="119" t="s">
        <v>198</v>
      </c>
      <c r="C64" s="118" t="s">
        <v>154</v>
      </c>
      <c r="D64" s="120">
        <v>25000</v>
      </c>
      <c r="E64" s="121"/>
      <c r="F64" s="121"/>
      <c r="G64" s="121"/>
      <c r="H64" s="121"/>
      <c r="I64" s="121"/>
      <c r="J64" s="121"/>
      <c r="K64" s="121"/>
      <c r="L64" s="239">
        <v>63</v>
      </c>
      <c r="M64" s="240" t="s">
        <v>182</v>
      </c>
      <c r="N64" s="243" t="s">
        <v>204</v>
      </c>
      <c r="O64" s="244">
        <v>42000</v>
      </c>
      <c r="P64" s="132">
        <f t="shared" si="0"/>
        <v>63</v>
      </c>
      <c r="Q64" s="123"/>
      <c r="R64" s="123"/>
    </row>
    <row r="65" spans="1:18" s="122" customFormat="1" ht="18.75" x14ac:dyDescent="0.3">
      <c r="A65" s="118">
        <v>58</v>
      </c>
      <c r="B65" s="119" t="s">
        <v>199</v>
      </c>
      <c r="C65" s="118" t="s">
        <v>157</v>
      </c>
      <c r="D65" s="120">
        <v>26000</v>
      </c>
      <c r="E65" s="121"/>
      <c r="F65" s="121"/>
      <c r="G65" s="121"/>
      <c r="H65" s="121"/>
      <c r="I65" s="121"/>
      <c r="J65" s="121"/>
      <c r="K65" s="121"/>
      <c r="L65" s="239">
        <v>64</v>
      </c>
      <c r="M65" s="240" t="s">
        <v>183</v>
      </c>
      <c r="N65" s="243" t="s">
        <v>205</v>
      </c>
      <c r="O65" s="244">
        <v>45000</v>
      </c>
      <c r="P65" s="132">
        <f t="shared" si="0"/>
        <v>64</v>
      </c>
      <c r="Q65" s="123"/>
      <c r="R65" s="123"/>
    </row>
    <row r="66" spans="1:18" ht="18.75" x14ac:dyDescent="0.3">
      <c r="A66" s="118">
        <v>59</v>
      </c>
      <c r="B66" s="119" t="s">
        <v>200</v>
      </c>
      <c r="C66" s="118" t="s">
        <v>158</v>
      </c>
      <c r="D66" s="120">
        <v>28000</v>
      </c>
      <c r="L66" s="239">
        <v>65</v>
      </c>
      <c r="M66" s="240" t="s">
        <v>207</v>
      </c>
      <c r="N66" s="243" t="s">
        <v>251</v>
      </c>
      <c r="O66" s="244">
        <v>40000</v>
      </c>
      <c r="P66" s="132">
        <f t="shared" ref="P66:P78" si="3">IF($N66="","",LOOKUP(2,1/($N66=$B$2:$B$100),$A$2:$A$100))</f>
        <v>65</v>
      </c>
      <c r="Q66" s="123"/>
    </row>
    <row r="67" spans="1:18" ht="18.75" x14ac:dyDescent="0.3">
      <c r="A67" s="118">
        <v>60</v>
      </c>
      <c r="B67" s="119" t="s">
        <v>201</v>
      </c>
      <c r="C67" s="118" t="s">
        <v>163</v>
      </c>
      <c r="D67" s="120">
        <v>28000</v>
      </c>
      <c r="L67" s="239">
        <v>66</v>
      </c>
      <c r="M67" s="240" t="s">
        <v>272</v>
      </c>
      <c r="N67" s="243" t="s">
        <v>271</v>
      </c>
      <c r="O67" s="244">
        <v>40000</v>
      </c>
      <c r="P67" s="132">
        <f t="shared" si="3"/>
        <v>66</v>
      </c>
      <c r="Q67" s="123"/>
    </row>
    <row r="68" spans="1:18" ht="18.75" x14ac:dyDescent="0.3">
      <c r="A68" s="118">
        <v>61</v>
      </c>
      <c r="B68" s="119" t="s">
        <v>202</v>
      </c>
      <c r="C68" s="118" t="s">
        <v>176</v>
      </c>
      <c r="D68" s="120">
        <v>26000</v>
      </c>
      <c r="L68" s="239" t="s">
        <v>185</v>
      </c>
      <c r="M68" s="240" t="s">
        <v>186</v>
      </c>
      <c r="N68" s="243" t="s">
        <v>304</v>
      </c>
      <c r="O68" s="244">
        <v>110000</v>
      </c>
      <c r="P68" s="132" t="str">
        <f t="shared" si="3"/>
        <v>G1</v>
      </c>
      <c r="Q68" s="123"/>
    </row>
    <row r="69" spans="1:18" ht="18.75" x14ac:dyDescent="0.3">
      <c r="A69" s="118">
        <v>62</v>
      </c>
      <c r="B69" s="119" t="s">
        <v>203</v>
      </c>
      <c r="C69" s="118" t="s">
        <v>179</v>
      </c>
      <c r="D69" s="120">
        <v>35000</v>
      </c>
      <c r="L69" s="240" t="s">
        <v>311</v>
      </c>
      <c r="M69" s="240" t="s">
        <v>316</v>
      </c>
      <c r="N69" s="243" t="s">
        <v>305</v>
      </c>
      <c r="O69" s="244">
        <v>124000</v>
      </c>
      <c r="P69" s="132" t="str">
        <f t="shared" si="3"/>
        <v>G2</v>
      </c>
      <c r="Q69" s="123"/>
    </row>
    <row r="70" spans="1:18" ht="18.75" x14ac:dyDescent="0.3">
      <c r="A70" s="118">
        <v>63</v>
      </c>
      <c r="B70" s="119" t="s">
        <v>204</v>
      </c>
      <c r="C70" s="118" t="s">
        <v>182</v>
      </c>
      <c r="D70" s="120">
        <v>42000</v>
      </c>
      <c r="L70" s="240" t="s">
        <v>312</v>
      </c>
      <c r="M70" s="240" t="s">
        <v>317</v>
      </c>
      <c r="N70" s="243" t="s">
        <v>306</v>
      </c>
      <c r="O70" s="244">
        <v>95000</v>
      </c>
      <c r="P70" s="132" t="str">
        <f t="shared" si="3"/>
        <v>G3</v>
      </c>
      <c r="Q70" s="123"/>
    </row>
    <row r="71" spans="1:18" ht="18.75" x14ac:dyDescent="0.3">
      <c r="A71" s="118">
        <v>64</v>
      </c>
      <c r="B71" s="119" t="s">
        <v>205</v>
      </c>
      <c r="C71" s="118" t="s">
        <v>183</v>
      </c>
      <c r="D71" s="120">
        <v>45000</v>
      </c>
      <c r="L71" s="240" t="s">
        <v>313</v>
      </c>
      <c r="M71" s="240" t="s">
        <v>318</v>
      </c>
      <c r="N71" s="243" t="s">
        <v>320</v>
      </c>
      <c r="O71" s="244">
        <v>116000</v>
      </c>
      <c r="P71" s="132" t="str">
        <f t="shared" si="3"/>
        <v>G4</v>
      </c>
      <c r="Q71" s="123"/>
    </row>
    <row r="72" spans="1:18" ht="18.75" x14ac:dyDescent="0.3">
      <c r="A72" s="118">
        <v>65</v>
      </c>
      <c r="B72" s="119" t="s">
        <v>251</v>
      </c>
      <c r="C72" s="118" t="s">
        <v>207</v>
      </c>
      <c r="D72" s="120">
        <v>40000</v>
      </c>
      <c r="L72" s="240" t="s">
        <v>314</v>
      </c>
      <c r="M72" s="240" t="s">
        <v>319</v>
      </c>
      <c r="N72" s="243" t="s">
        <v>307</v>
      </c>
      <c r="O72" s="244">
        <v>48000</v>
      </c>
      <c r="P72" s="132" t="str">
        <f t="shared" si="3"/>
        <v>G5</v>
      </c>
      <c r="Q72" s="123"/>
    </row>
    <row r="73" spans="1:18" ht="18.75" x14ac:dyDescent="0.3">
      <c r="A73" s="118">
        <v>66</v>
      </c>
      <c r="B73" s="119" t="s">
        <v>271</v>
      </c>
      <c r="C73" s="118" t="s">
        <v>272</v>
      </c>
      <c r="D73" s="120">
        <v>40000</v>
      </c>
      <c r="L73" s="240" t="s">
        <v>315</v>
      </c>
      <c r="M73" s="240" t="s">
        <v>321</v>
      </c>
      <c r="N73" s="243" t="s">
        <v>308</v>
      </c>
      <c r="O73" s="244">
        <v>43000</v>
      </c>
      <c r="P73" s="132" t="str">
        <f t="shared" si="3"/>
        <v>G6</v>
      </c>
      <c r="Q73" s="123"/>
    </row>
    <row r="74" spans="1:18" ht="18.75" x14ac:dyDescent="0.3">
      <c r="L74"/>
      <c r="M74"/>
      <c r="N74"/>
      <c r="O74"/>
      <c r="P74" s="132" t="str">
        <f t="shared" si="3"/>
        <v/>
      </c>
      <c r="Q74" s="123"/>
    </row>
    <row r="75" spans="1:18" ht="18.75" x14ac:dyDescent="0.3">
      <c r="L75"/>
      <c r="M75"/>
      <c r="N75"/>
      <c r="O75"/>
      <c r="P75" s="132" t="str">
        <f t="shared" si="3"/>
        <v/>
      </c>
      <c r="Q75" s="123"/>
    </row>
    <row r="76" spans="1:18" ht="18.75" x14ac:dyDescent="0.3">
      <c r="L76"/>
      <c r="M76"/>
      <c r="N76"/>
      <c r="O76"/>
      <c r="P76" s="132" t="str">
        <f t="shared" si="3"/>
        <v/>
      </c>
      <c r="Q76" s="123"/>
    </row>
    <row r="77" spans="1:18" ht="18.75" x14ac:dyDescent="0.3">
      <c r="L77"/>
      <c r="M77"/>
      <c r="N77"/>
      <c r="O77"/>
      <c r="P77" s="132" t="str">
        <f t="shared" si="3"/>
        <v/>
      </c>
      <c r="Q77" s="123"/>
    </row>
    <row r="78" spans="1:18" ht="18.75" x14ac:dyDescent="0.3">
      <c r="B78" s="28"/>
      <c r="C78" s="28"/>
      <c r="D78" s="28"/>
      <c r="L78"/>
      <c r="M78"/>
      <c r="N78"/>
      <c r="O78"/>
      <c r="P78" s="132" t="str">
        <f t="shared" si="3"/>
        <v/>
      </c>
      <c r="Q78" s="123"/>
    </row>
    <row r="79" spans="1:18" x14ac:dyDescent="0.25">
      <c r="L79" s="15"/>
      <c r="M79" s="15"/>
      <c r="N79" s="15"/>
      <c r="O79" s="15"/>
      <c r="P79" s="15"/>
    </row>
    <row r="80" spans="1:18" x14ac:dyDescent="0.25">
      <c r="L80" s="15"/>
      <c r="M80" s="15"/>
      <c r="N80" s="15"/>
      <c r="O80" s="15"/>
      <c r="P80" s="15"/>
    </row>
    <row r="81" spans="12:16" x14ac:dyDescent="0.25">
      <c r="L81" s="15"/>
      <c r="M81" s="15"/>
      <c r="N81" s="15"/>
      <c r="O81" s="15"/>
      <c r="P81" s="15"/>
    </row>
    <row r="82" spans="12:16" x14ac:dyDescent="0.25">
      <c r="L82" s="15"/>
      <c r="M82" s="15"/>
      <c r="N82" s="15"/>
      <c r="O82" s="15"/>
      <c r="P82" s="15"/>
    </row>
    <row r="83" spans="12:16" x14ac:dyDescent="0.25">
      <c r="L83" s="15"/>
      <c r="M83" s="15"/>
      <c r="N83" s="15"/>
      <c r="O83" s="15"/>
      <c r="P83" s="15"/>
    </row>
    <row r="84" spans="12:16" x14ac:dyDescent="0.25">
      <c r="L84" s="15"/>
      <c r="M84" s="15"/>
      <c r="N84" s="15"/>
      <c r="O84" s="15"/>
      <c r="P84" s="15"/>
    </row>
    <row r="85" spans="12:16" x14ac:dyDescent="0.25">
      <c r="L85" s="15"/>
      <c r="M85" s="15"/>
      <c r="N85" s="15"/>
      <c r="O85" s="15"/>
      <c r="P85" s="15"/>
    </row>
    <row r="86" spans="12:16" x14ac:dyDescent="0.25">
      <c r="L86" s="15"/>
      <c r="M86" s="15"/>
      <c r="N86" s="15"/>
      <c r="O86" s="15"/>
      <c r="P86" s="15"/>
    </row>
    <row r="87" spans="12:16" x14ac:dyDescent="0.25">
      <c r="L87" s="15"/>
      <c r="M87" s="15"/>
      <c r="N87" s="15"/>
      <c r="O87" s="15"/>
      <c r="P87" s="15"/>
    </row>
    <row r="88" spans="12:16" x14ac:dyDescent="0.25">
      <c r="L88" s="15"/>
      <c r="M88" s="15"/>
      <c r="N88" s="15"/>
      <c r="O88" s="15"/>
      <c r="P88" s="15"/>
    </row>
    <row r="89" spans="12:16" x14ac:dyDescent="0.25">
      <c r="L89" s="15"/>
      <c r="M89" s="15"/>
      <c r="N89" s="15"/>
      <c r="O89" s="15"/>
      <c r="P89" s="15"/>
    </row>
    <row r="90" spans="12:16" x14ac:dyDescent="0.25">
      <c r="L90" s="15"/>
      <c r="M90" s="15"/>
      <c r="N90" s="15"/>
      <c r="O90" s="15"/>
      <c r="P90" s="15"/>
    </row>
    <row r="91" spans="12:16" x14ac:dyDescent="0.25">
      <c r="L91" s="15"/>
      <c r="M91" s="15"/>
      <c r="N91" s="15"/>
      <c r="O91" s="15"/>
      <c r="P91" s="15"/>
    </row>
    <row r="92" spans="12:16" x14ac:dyDescent="0.25">
      <c r="L92" s="15"/>
      <c r="M92" s="15"/>
      <c r="N92" s="15"/>
      <c r="O92" s="15"/>
      <c r="P92" s="15"/>
    </row>
    <row r="93" spans="12:16" x14ac:dyDescent="0.25">
      <c r="L93" s="15"/>
      <c r="M93" s="15"/>
      <c r="N93" s="15"/>
      <c r="O93" s="15"/>
      <c r="P93" s="15"/>
    </row>
    <row r="94" spans="12:16" x14ac:dyDescent="0.25">
      <c r="L94" s="15"/>
      <c r="M94" s="15"/>
      <c r="N94" s="15"/>
      <c r="O94" s="15"/>
      <c r="P94" s="15"/>
    </row>
    <row r="95" spans="12:16" x14ac:dyDescent="0.25">
      <c r="L95" s="15"/>
      <c r="M95" s="15"/>
      <c r="N95" s="15"/>
      <c r="O95" s="15"/>
      <c r="P95" s="15"/>
    </row>
    <row r="96" spans="12:16" x14ac:dyDescent="0.25">
      <c r="L96" s="15"/>
      <c r="M96" s="15"/>
      <c r="N96" s="15"/>
      <c r="O96" s="15"/>
      <c r="P96" s="15"/>
    </row>
    <row r="97" spans="12:16" x14ac:dyDescent="0.25">
      <c r="L97" s="15"/>
      <c r="M97" s="15"/>
      <c r="N97" s="15"/>
      <c r="O97" s="15"/>
      <c r="P97" s="15"/>
    </row>
    <row r="98" spans="12:16" x14ac:dyDescent="0.25">
      <c r="L98" s="15"/>
      <c r="M98" s="15"/>
      <c r="N98" s="15"/>
      <c r="O98" s="15"/>
      <c r="P98" s="15"/>
    </row>
    <row r="99" spans="12:16" x14ac:dyDescent="0.25">
      <c r="L99" s="15"/>
      <c r="M99" s="15"/>
      <c r="N99" s="15"/>
      <c r="O99" s="15"/>
      <c r="P99" s="15"/>
    </row>
    <row r="100" spans="12:16" x14ac:dyDescent="0.25">
      <c r="L100" s="15"/>
      <c r="M100" s="15"/>
      <c r="N100" s="15"/>
      <c r="O100" s="15"/>
      <c r="P100" s="15"/>
    </row>
    <row r="101" spans="12:16" x14ac:dyDescent="0.25">
      <c r="L101" s="15"/>
      <c r="M101" s="15"/>
      <c r="N101" s="15"/>
      <c r="O101" s="15"/>
      <c r="P101" s="15"/>
    </row>
    <row r="102" spans="12:16" x14ac:dyDescent="0.25">
      <c r="L102" s="15"/>
      <c r="M102" s="15"/>
      <c r="N102" s="15"/>
      <c r="O102" s="15"/>
      <c r="P102" s="15"/>
    </row>
    <row r="103" spans="12:16" x14ac:dyDescent="0.25">
      <c r="L103" s="15"/>
      <c r="M103" s="15"/>
      <c r="N103" s="15"/>
      <c r="O103" s="15"/>
      <c r="P103" s="15"/>
    </row>
    <row r="104" spans="12:16" x14ac:dyDescent="0.25">
      <c r="L104" s="15"/>
      <c r="M104" s="15"/>
      <c r="N104" s="15"/>
      <c r="O104" s="15"/>
      <c r="P104" s="15"/>
    </row>
    <row r="105" spans="12:16" x14ac:dyDescent="0.25">
      <c r="L105" s="15"/>
      <c r="M105" s="15"/>
      <c r="N105" s="15"/>
      <c r="O105" s="15"/>
      <c r="P105" s="15"/>
    </row>
    <row r="106" spans="12:16" x14ac:dyDescent="0.25">
      <c r="L106" s="15"/>
      <c r="M106" s="15"/>
      <c r="N106" s="15"/>
      <c r="O106" s="15"/>
      <c r="P106" s="15"/>
    </row>
    <row r="107" spans="12:16" x14ac:dyDescent="0.25">
      <c r="L107" s="15"/>
      <c r="M107" s="15"/>
      <c r="N107" s="15"/>
      <c r="O107" s="15"/>
      <c r="P107" s="15"/>
    </row>
    <row r="108" spans="12:16" x14ac:dyDescent="0.25">
      <c r="L108" s="15"/>
      <c r="M108" s="15"/>
      <c r="N108" s="15"/>
      <c r="O108" s="15"/>
      <c r="P108" s="15"/>
    </row>
    <row r="109" spans="12:16" x14ac:dyDescent="0.25">
      <c r="L109" s="15"/>
      <c r="M109" s="15"/>
      <c r="N109" s="15"/>
      <c r="O109" s="15"/>
      <c r="P109" s="15"/>
    </row>
    <row r="110" spans="12:16" x14ac:dyDescent="0.25">
      <c r="L110" s="15"/>
      <c r="M110" s="15"/>
      <c r="N110" s="15"/>
      <c r="O110" s="15"/>
      <c r="P110" s="15"/>
    </row>
    <row r="111" spans="12:16" x14ac:dyDescent="0.25">
      <c r="L111" s="15"/>
      <c r="M111" s="15"/>
      <c r="N111" s="15"/>
      <c r="O111" s="15"/>
      <c r="P111" s="15"/>
    </row>
    <row r="112" spans="12:16" x14ac:dyDescent="0.25">
      <c r="L112" s="15"/>
      <c r="M112" s="15"/>
      <c r="N112" s="15"/>
      <c r="O112" s="15"/>
      <c r="P112" s="15"/>
    </row>
    <row r="113" spans="12:16" x14ac:dyDescent="0.25">
      <c r="L113" s="15"/>
      <c r="M113" s="15"/>
      <c r="N113" s="15"/>
      <c r="O113" s="15"/>
      <c r="P113" s="15"/>
    </row>
    <row r="114" spans="12:16" x14ac:dyDescent="0.25">
      <c r="L114" s="15"/>
      <c r="M114" s="15"/>
      <c r="N114" s="15"/>
      <c r="O114" s="15"/>
      <c r="P114" s="15"/>
    </row>
    <row r="115" spans="12:16" x14ac:dyDescent="0.25">
      <c r="L115" s="15"/>
      <c r="M115" s="15"/>
      <c r="N115" s="15"/>
      <c r="O115" s="15"/>
      <c r="P115" s="15"/>
    </row>
    <row r="116" spans="12:16" x14ac:dyDescent="0.25">
      <c r="L116" s="15"/>
      <c r="M116" s="15"/>
      <c r="N116" s="15"/>
      <c r="O116" s="15"/>
      <c r="P116" s="15"/>
    </row>
    <row r="117" spans="12:16" x14ac:dyDescent="0.25">
      <c r="L117" s="15"/>
      <c r="M117" s="15"/>
      <c r="N117" s="15"/>
      <c r="O117" s="15"/>
      <c r="P117" s="15"/>
    </row>
    <row r="118" spans="12:16" x14ac:dyDescent="0.25">
      <c r="L118" s="15"/>
      <c r="M118" s="15"/>
      <c r="N118" s="15"/>
      <c r="O118" s="15"/>
      <c r="P118" s="15"/>
    </row>
    <row r="119" spans="12:16" x14ac:dyDescent="0.25">
      <c r="L119" s="15"/>
      <c r="M119" s="15"/>
      <c r="N119" s="15"/>
      <c r="O119" s="15"/>
      <c r="P119" s="15"/>
    </row>
    <row r="120" spans="12:16" x14ac:dyDescent="0.25">
      <c r="L120" s="15"/>
      <c r="M120" s="15"/>
      <c r="N120" s="15"/>
      <c r="O120" s="15"/>
      <c r="P120" s="15"/>
    </row>
    <row r="121" spans="12:16" x14ac:dyDescent="0.25">
      <c r="L121" s="15"/>
      <c r="M121" s="15"/>
      <c r="N121" s="15"/>
      <c r="O121" s="15"/>
      <c r="P121" s="15"/>
    </row>
    <row r="122" spans="12:16" x14ac:dyDescent="0.25">
      <c r="L122" s="15"/>
      <c r="M122" s="15"/>
      <c r="N122" s="15"/>
      <c r="O122" s="15"/>
      <c r="P122" s="15"/>
    </row>
    <row r="123" spans="12:16" x14ac:dyDescent="0.25">
      <c r="L123" s="15"/>
      <c r="M123" s="15"/>
      <c r="N123" s="15"/>
      <c r="O123" s="15"/>
      <c r="P123" s="15"/>
    </row>
    <row r="124" spans="12:16" x14ac:dyDescent="0.25">
      <c r="L124" s="15"/>
      <c r="M124" s="15"/>
      <c r="N124" s="15"/>
      <c r="O124" s="15"/>
      <c r="P124" s="15"/>
    </row>
    <row r="125" spans="12:16" x14ac:dyDescent="0.25">
      <c r="L125" s="15"/>
      <c r="M125" s="15"/>
      <c r="N125" s="15"/>
      <c r="O125" s="15"/>
      <c r="P125" s="15"/>
    </row>
    <row r="126" spans="12:16" x14ac:dyDescent="0.25">
      <c r="L126" s="15"/>
      <c r="M126" s="15"/>
      <c r="N126" s="15"/>
      <c r="O126" s="15"/>
      <c r="P126" s="15"/>
    </row>
    <row r="127" spans="12:16" x14ac:dyDescent="0.25">
      <c r="L127" s="15"/>
      <c r="M127" s="15"/>
      <c r="N127" s="15"/>
      <c r="O127" s="15"/>
      <c r="P127" s="15"/>
    </row>
    <row r="128" spans="12:16" x14ac:dyDescent="0.25">
      <c r="L128" s="15"/>
      <c r="M128" s="15"/>
      <c r="N128" s="15"/>
      <c r="O128" s="15"/>
      <c r="P128" s="15"/>
    </row>
    <row r="129" spans="12:16" x14ac:dyDescent="0.25">
      <c r="L129" s="15"/>
      <c r="M129" s="15"/>
      <c r="N129" s="15"/>
      <c r="O129" s="15"/>
      <c r="P129" s="15"/>
    </row>
    <row r="130" spans="12:16" x14ac:dyDescent="0.25">
      <c r="L130" s="15"/>
      <c r="M130" s="15"/>
      <c r="N130" s="15"/>
      <c r="O130" s="15"/>
      <c r="P130" s="15"/>
    </row>
    <row r="131" spans="12:16" x14ac:dyDescent="0.25">
      <c r="L131" s="15"/>
      <c r="M131" s="15"/>
      <c r="N131" s="15"/>
      <c r="O131" s="15"/>
      <c r="P131" s="15"/>
    </row>
    <row r="132" spans="12:16" x14ac:dyDescent="0.25">
      <c r="L132" s="15"/>
      <c r="M132" s="15"/>
      <c r="N132" s="15"/>
      <c r="O132" s="15"/>
      <c r="P132" s="15"/>
    </row>
    <row r="133" spans="12:16" x14ac:dyDescent="0.25">
      <c r="L133" s="15"/>
      <c r="M133" s="15"/>
      <c r="N133" s="15"/>
      <c r="O133" s="15"/>
      <c r="P133" s="15"/>
    </row>
    <row r="134" spans="12:16" x14ac:dyDescent="0.25">
      <c r="L134" s="15"/>
      <c r="M134" s="15"/>
      <c r="N134" s="15"/>
      <c r="O134" s="15"/>
      <c r="P134" s="15"/>
    </row>
    <row r="135" spans="12:16" x14ac:dyDescent="0.25">
      <c r="L135" s="15"/>
      <c r="M135" s="15"/>
      <c r="N135" s="15"/>
      <c r="O135" s="15"/>
      <c r="P135" s="15"/>
    </row>
    <row r="136" spans="12:16" x14ac:dyDescent="0.25">
      <c r="L136" s="15"/>
      <c r="M136" s="15"/>
      <c r="N136" s="15"/>
      <c r="O136" s="15"/>
      <c r="P136" s="15"/>
    </row>
    <row r="137" spans="12:16" x14ac:dyDescent="0.25">
      <c r="L137" s="15"/>
      <c r="M137" s="15"/>
      <c r="N137" s="15"/>
      <c r="O137" s="15"/>
      <c r="P137" s="15"/>
    </row>
    <row r="138" spans="12:16" x14ac:dyDescent="0.25">
      <c r="L138" s="15"/>
      <c r="M138" s="15"/>
      <c r="N138" s="15"/>
      <c r="O138" s="15"/>
      <c r="P138" s="15"/>
    </row>
    <row r="139" spans="12:16" x14ac:dyDescent="0.25">
      <c r="L139" s="15"/>
      <c r="M139" s="15"/>
      <c r="N139" s="15"/>
      <c r="O139" s="15"/>
      <c r="P139" s="15"/>
    </row>
    <row r="140" spans="12:16" x14ac:dyDescent="0.25">
      <c r="L140" s="15"/>
      <c r="M140" s="15"/>
      <c r="N140" s="15"/>
      <c r="O140" s="15"/>
      <c r="P140" s="15"/>
    </row>
    <row r="141" spans="12:16" x14ac:dyDescent="0.25">
      <c r="L141" s="15"/>
      <c r="M141" s="15"/>
      <c r="N141" s="15"/>
      <c r="O141" s="15"/>
      <c r="P141" s="15"/>
    </row>
    <row r="142" spans="12:16" x14ac:dyDescent="0.25">
      <c r="L142" s="15"/>
      <c r="M142" s="15"/>
      <c r="N142" s="15"/>
      <c r="O142" s="15"/>
      <c r="P142" s="15"/>
    </row>
    <row r="143" spans="12:16" x14ac:dyDescent="0.25">
      <c r="L143" s="15"/>
      <c r="M143" s="15"/>
      <c r="N143" s="15"/>
      <c r="O143" s="15"/>
      <c r="P143" s="15"/>
    </row>
    <row r="144" spans="12:16" x14ac:dyDescent="0.25">
      <c r="L144" s="15"/>
      <c r="M144" s="15"/>
      <c r="N144" s="15"/>
      <c r="O144" s="15"/>
      <c r="P144" s="15"/>
    </row>
    <row r="145" spans="12:16" x14ac:dyDescent="0.25">
      <c r="L145" s="15"/>
      <c r="M145" s="15"/>
      <c r="N145" s="15"/>
      <c r="O145" s="15"/>
      <c r="P145" s="15"/>
    </row>
    <row r="146" spans="12:16" x14ac:dyDescent="0.25">
      <c r="L146" s="15"/>
      <c r="M146" s="15"/>
      <c r="N146" s="15"/>
      <c r="O146" s="15"/>
      <c r="P146" s="15"/>
    </row>
    <row r="147" spans="12:16" x14ac:dyDescent="0.25">
      <c r="L147" s="15"/>
      <c r="M147" s="15"/>
      <c r="N147" s="15"/>
      <c r="O147" s="15"/>
      <c r="P147" s="15"/>
    </row>
    <row r="148" spans="12:16" x14ac:dyDescent="0.25">
      <c r="L148" s="15"/>
      <c r="M148" s="15"/>
      <c r="N148" s="15"/>
      <c r="O148" s="15"/>
      <c r="P148" s="15"/>
    </row>
    <row r="149" spans="12:16" x14ac:dyDescent="0.25">
      <c r="L149" s="15"/>
      <c r="M149" s="15"/>
      <c r="N149" s="15"/>
      <c r="O149" s="15"/>
      <c r="P149" s="15"/>
    </row>
    <row r="150" spans="12:16" x14ac:dyDescent="0.25">
      <c r="L150" s="15"/>
      <c r="M150" s="15"/>
      <c r="N150" s="15"/>
      <c r="O150" s="15"/>
      <c r="P150" s="15"/>
    </row>
    <row r="151" spans="12:16" x14ac:dyDescent="0.25">
      <c r="L151" s="15"/>
      <c r="M151" s="15"/>
      <c r="N151" s="15"/>
      <c r="O151" s="15"/>
      <c r="P151" s="15"/>
    </row>
    <row r="152" spans="12:16" x14ac:dyDescent="0.25">
      <c r="L152" s="15"/>
      <c r="M152" s="15"/>
      <c r="N152" s="15"/>
      <c r="O152" s="15"/>
      <c r="P152" s="15"/>
    </row>
    <row r="153" spans="12:16" x14ac:dyDescent="0.25">
      <c r="L153" s="15"/>
      <c r="M153" s="15"/>
      <c r="N153" s="15"/>
      <c r="O153" s="15"/>
      <c r="P153" s="15"/>
    </row>
    <row r="154" spans="12:16" x14ac:dyDescent="0.25">
      <c r="L154" s="15"/>
      <c r="M154" s="15"/>
      <c r="N154" s="15"/>
      <c r="O154" s="15"/>
      <c r="P154" s="15"/>
    </row>
    <row r="155" spans="12:16" x14ac:dyDescent="0.25">
      <c r="L155" s="15"/>
      <c r="M155" s="15"/>
      <c r="N155" s="15"/>
      <c r="O155" s="15"/>
      <c r="P155" s="15"/>
    </row>
    <row r="156" spans="12:16" x14ac:dyDescent="0.25">
      <c r="L156" s="15"/>
      <c r="M156" s="15"/>
      <c r="N156" s="15"/>
      <c r="O156" s="15"/>
      <c r="P156" s="15"/>
    </row>
    <row r="157" spans="12:16" x14ac:dyDescent="0.25">
      <c r="L157" s="15"/>
      <c r="M157" s="15"/>
      <c r="N157" s="15"/>
      <c r="O157" s="15"/>
      <c r="P157" s="15"/>
    </row>
    <row r="158" spans="12:16" x14ac:dyDescent="0.25">
      <c r="L158" s="15"/>
      <c r="M158" s="15"/>
      <c r="N158" s="15"/>
      <c r="O158" s="15"/>
      <c r="P158" s="15"/>
    </row>
    <row r="159" spans="12:16" x14ac:dyDescent="0.25">
      <c r="L159" s="15"/>
      <c r="M159" s="15"/>
      <c r="N159" s="15"/>
      <c r="O159" s="15"/>
      <c r="P159" s="15"/>
    </row>
    <row r="160" spans="12:16" x14ac:dyDescent="0.25">
      <c r="L160" s="15"/>
      <c r="M160" s="15"/>
      <c r="N160" s="15"/>
      <c r="O160" s="15"/>
      <c r="P160" s="15"/>
    </row>
    <row r="161" spans="12:16" x14ac:dyDescent="0.25">
      <c r="L161" s="15"/>
      <c r="M161" s="15"/>
      <c r="N161" s="15"/>
      <c r="O161" s="15"/>
      <c r="P161" s="15"/>
    </row>
    <row r="162" spans="12:16" x14ac:dyDescent="0.25">
      <c r="L162" s="15"/>
      <c r="M162" s="15"/>
      <c r="N162" s="15"/>
      <c r="O162" s="15"/>
      <c r="P162" s="15"/>
    </row>
    <row r="163" spans="12:16" x14ac:dyDescent="0.25">
      <c r="L163" s="15"/>
      <c r="M163" s="15"/>
      <c r="N163" s="15"/>
      <c r="O163" s="15"/>
      <c r="P163" s="15"/>
    </row>
    <row r="164" spans="12:16" x14ac:dyDescent="0.25">
      <c r="L164" s="15"/>
      <c r="M164" s="15"/>
      <c r="N164" s="15"/>
      <c r="O164" s="15"/>
      <c r="P164" s="15"/>
    </row>
    <row r="165" spans="12:16" x14ac:dyDescent="0.25">
      <c r="L165" s="15"/>
      <c r="M165" s="15"/>
      <c r="N165" s="15"/>
      <c r="O165" s="15"/>
      <c r="P165" s="15"/>
    </row>
    <row r="166" spans="12:16" x14ac:dyDescent="0.25">
      <c r="L166" s="15"/>
      <c r="M166" s="15"/>
      <c r="N166" s="15"/>
      <c r="O166" s="15"/>
      <c r="P166" s="15"/>
    </row>
    <row r="167" spans="12:16" x14ac:dyDescent="0.25">
      <c r="L167" s="15"/>
      <c r="M167" s="15"/>
      <c r="N167" s="15"/>
      <c r="O167" s="15"/>
      <c r="P167" s="15"/>
    </row>
    <row r="168" spans="12:16" x14ac:dyDescent="0.25">
      <c r="L168" s="15"/>
      <c r="M168" s="15"/>
      <c r="N168" s="15"/>
      <c r="O168" s="15"/>
      <c r="P168" s="15"/>
    </row>
    <row r="169" spans="12:16" x14ac:dyDescent="0.25">
      <c r="L169" s="15"/>
      <c r="M169" s="15"/>
      <c r="N169" s="15"/>
      <c r="O169" s="15"/>
      <c r="P169" s="15"/>
    </row>
    <row r="170" spans="12:16" x14ac:dyDescent="0.25">
      <c r="L170" s="15"/>
      <c r="M170" s="15"/>
      <c r="N170" s="15"/>
      <c r="O170" s="15"/>
      <c r="P170" s="15"/>
    </row>
    <row r="171" spans="12:16" x14ac:dyDescent="0.25">
      <c r="L171" s="15"/>
      <c r="M171" s="15"/>
      <c r="N171" s="15"/>
      <c r="O171" s="15"/>
      <c r="P171" s="15"/>
    </row>
    <row r="172" spans="12:16" x14ac:dyDescent="0.25">
      <c r="L172" s="15"/>
      <c r="M172" s="15"/>
      <c r="N172" s="15"/>
      <c r="O172" s="15"/>
      <c r="P172" s="15"/>
    </row>
    <row r="173" spans="12:16" x14ac:dyDescent="0.25">
      <c r="L173" s="15"/>
      <c r="M173" s="15"/>
      <c r="N173" s="15"/>
      <c r="O173" s="15"/>
      <c r="P173" s="15"/>
    </row>
    <row r="174" spans="12:16" x14ac:dyDescent="0.25">
      <c r="L174" s="15"/>
      <c r="M174" s="15"/>
      <c r="N174" s="15"/>
      <c r="O174" s="15"/>
      <c r="P174" s="15"/>
    </row>
    <row r="175" spans="12:16" x14ac:dyDescent="0.25">
      <c r="L175" s="15"/>
      <c r="M175" s="15"/>
      <c r="N175" s="15"/>
      <c r="O175" s="15"/>
      <c r="P175" s="15"/>
    </row>
    <row r="176" spans="12:16" x14ac:dyDescent="0.25">
      <c r="L176" s="15"/>
      <c r="M176" s="15"/>
      <c r="N176" s="15"/>
      <c r="O176" s="15"/>
      <c r="P176" s="15"/>
    </row>
    <row r="177" spans="12:16" x14ac:dyDescent="0.25">
      <c r="L177" s="15"/>
      <c r="M177" s="15"/>
      <c r="N177" s="15"/>
      <c r="O177" s="15"/>
      <c r="P177" s="15"/>
    </row>
    <row r="178" spans="12:16" x14ac:dyDescent="0.25">
      <c r="L178" s="15"/>
      <c r="M178" s="15"/>
      <c r="N178" s="15"/>
      <c r="O178" s="15"/>
      <c r="P178" s="15"/>
    </row>
    <row r="179" spans="12:16" x14ac:dyDescent="0.25">
      <c r="L179" s="15"/>
      <c r="M179" s="15"/>
      <c r="N179" s="15"/>
      <c r="O179" s="15"/>
      <c r="P179" s="15"/>
    </row>
    <row r="180" spans="12:16" x14ac:dyDescent="0.25">
      <c r="L180" s="15"/>
      <c r="M180" s="15"/>
      <c r="N180" s="15"/>
      <c r="O180" s="15"/>
      <c r="P180" s="15"/>
    </row>
    <row r="181" spans="12:16" x14ac:dyDescent="0.25">
      <c r="L181" s="15"/>
      <c r="M181" s="15"/>
      <c r="N181" s="15"/>
      <c r="O181" s="15"/>
      <c r="P181" s="15"/>
    </row>
    <row r="182" spans="12:16" x14ac:dyDescent="0.25">
      <c r="L182" s="15"/>
      <c r="M182" s="15"/>
      <c r="N182" s="15"/>
      <c r="O182" s="15"/>
      <c r="P182" s="15"/>
    </row>
    <row r="183" spans="12:16" x14ac:dyDescent="0.25">
      <c r="L183" s="15"/>
      <c r="M183" s="15"/>
      <c r="N183" s="15"/>
      <c r="O183" s="15"/>
      <c r="P183" s="15"/>
    </row>
    <row r="184" spans="12:16" x14ac:dyDescent="0.25">
      <c r="L184" s="15"/>
      <c r="M184" s="15"/>
      <c r="N184" s="15"/>
      <c r="O184" s="15"/>
      <c r="P184" s="15"/>
    </row>
    <row r="185" spans="12:16" x14ac:dyDescent="0.25">
      <c r="L185" s="15"/>
      <c r="M185" s="15"/>
      <c r="N185" s="15"/>
      <c r="O185" s="15"/>
      <c r="P185" s="15"/>
    </row>
    <row r="186" spans="12:16" x14ac:dyDescent="0.25">
      <c r="L186" s="15"/>
      <c r="M186" s="15"/>
      <c r="N186" s="15"/>
      <c r="O186" s="15"/>
      <c r="P186" s="15"/>
    </row>
    <row r="187" spans="12:16" x14ac:dyDescent="0.25">
      <c r="L187" s="15"/>
      <c r="M187" s="15"/>
      <c r="N187" s="15"/>
      <c r="O187" s="15"/>
      <c r="P187" s="15"/>
    </row>
    <row r="188" spans="12:16" x14ac:dyDescent="0.25">
      <c r="L188" s="15"/>
      <c r="M188" s="15"/>
      <c r="N188" s="15"/>
      <c r="O188" s="15"/>
      <c r="P188" s="15"/>
    </row>
    <row r="189" spans="12:16" x14ac:dyDescent="0.25">
      <c r="L189" s="15"/>
      <c r="M189" s="15"/>
      <c r="N189" s="15"/>
      <c r="O189" s="15"/>
      <c r="P189" s="15"/>
    </row>
    <row r="190" spans="12:16" x14ac:dyDescent="0.25">
      <c r="L190" s="15"/>
      <c r="M190" s="15"/>
      <c r="N190" s="15"/>
      <c r="O190" s="15"/>
      <c r="P190" s="15"/>
    </row>
    <row r="191" spans="12:16" x14ac:dyDescent="0.25">
      <c r="L191" s="15"/>
      <c r="M191" s="15"/>
      <c r="N191" s="15"/>
      <c r="O191" s="15"/>
      <c r="P191" s="15"/>
    </row>
    <row r="192" spans="12:16" x14ac:dyDescent="0.25">
      <c r="L192" s="15"/>
      <c r="M192" s="15"/>
      <c r="N192" s="15"/>
      <c r="O192" s="15"/>
      <c r="P192" s="15"/>
    </row>
    <row r="193" spans="12:16" x14ac:dyDescent="0.25">
      <c r="L193" s="15"/>
      <c r="M193" s="15"/>
      <c r="N193" s="15"/>
      <c r="O193" s="15"/>
      <c r="P193" s="15"/>
    </row>
    <row r="194" spans="12:16" x14ac:dyDescent="0.25">
      <c r="L194" s="15"/>
      <c r="M194" s="15"/>
      <c r="N194" s="15"/>
      <c r="O194" s="15"/>
      <c r="P194" s="15"/>
    </row>
    <row r="195" spans="12:16" x14ac:dyDescent="0.25">
      <c r="L195" s="15"/>
      <c r="M195" s="15"/>
      <c r="N195" s="15"/>
      <c r="O195" s="15"/>
      <c r="P195" s="15"/>
    </row>
    <row r="196" spans="12:16" x14ac:dyDescent="0.25">
      <c r="L196" s="15"/>
      <c r="M196" s="15"/>
      <c r="N196" s="15"/>
      <c r="O196" s="15"/>
      <c r="P196" s="15"/>
    </row>
    <row r="197" spans="12:16" x14ac:dyDescent="0.25">
      <c r="L197" s="15"/>
      <c r="M197" s="15"/>
      <c r="N197" s="15"/>
      <c r="O197" s="15"/>
      <c r="P197" s="15"/>
    </row>
    <row r="198" spans="12:16" x14ac:dyDescent="0.25">
      <c r="L198" s="15"/>
      <c r="M198" s="15"/>
      <c r="N198" s="15"/>
      <c r="O198" s="15"/>
      <c r="P198" s="15"/>
    </row>
    <row r="199" spans="12:16" x14ac:dyDescent="0.25">
      <c r="L199" s="15"/>
      <c r="M199" s="15"/>
      <c r="N199" s="15"/>
      <c r="O199" s="15"/>
      <c r="P199" s="15"/>
    </row>
    <row r="200" spans="12:16" x14ac:dyDescent="0.25">
      <c r="L200" s="15"/>
      <c r="M200" s="15"/>
      <c r="N200" s="15"/>
      <c r="O200" s="15"/>
      <c r="P200" s="15"/>
    </row>
    <row r="201" spans="12:16" x14ac:dyDescent="0.25">
      <c r="L201" s="15"/>
      <c r="M201" s="15"/>
      <c r="N201" s="15"/>
      <c r="O201" s="15"/>
      <c r="P201" s="15"/>
    </row>
    <row r="202" spans="12:16" x14ac:dyDescent="0.25">
      <c r="L202" s="15"/>
      <c r="M202" s="15"/>
      <c r="N202" s="15"/>
      <c r="O202" s="15"/>
      <c r="P202" s="15"/>
    </row>
    <row r="203" spans="12:16" x14ac:dyDescent="0.25">
      <c r="L203" s="15"/>
      <c r="M203" s="15"/>
      <c r="N203" s="15"/>
      <c r="O203" s="15"/>
      <c r="P203" s="15"/>
    </row>
    <row r="204" spans="12:16" x14ac:dyDescent="0.25">
      <c r="L204" s="15"/>
      <c r="M204" s="15"/>
      <c r="N204" s="15"/>
      <c r="O204" s="15"/>
      <c r="P204" s="15"/>
    </row>
    <row r="205" spans="12:16" x14ac:dyDescent="0.25">
      <c r="L205" s="15"/>
      <c r="M205" s="15"/>
      <c r="N205" s="15"/>
      <c r="O205" s="15"/>
      <c r="P205" s="15"/>
    </row>
    <row r="206" spans="12:16" x14ac:dyDescent="0.25">
      <c r="L206" s="15"/>
      <c r="M206" s="15"/>
      <c r="N206" s="15"/>
      <c r="O206" s="15"/>
      <c r="P206" s="15"/>
    </row>
    <row r="207" spans="12:16" x14ac:dyDescent="0.25">
      <c r="L207" s="15"/>
      <c r="M207" s="15"/>
      <c r="N207" s="15"/>
      <c r="O207" s="15"/>
      <c r="P207" s="15"/>
    </row>
    <row r="208" spans="12:16" x14ac:dyDescent="0.25">
      <c r="L208" s="15"/>
      <c r="M208" s="15"/>
      <c r="N208" s="15"/>
      <c r="O208" s="15"/>
      <c r="P208" s="15"/>
    </row>
    <row r="209" spans="12:16" x14ac:dyDescent="0.25">
      <c r="L209" s="15"/>
      <c r="M209" s="15"/>
      <c r="N209" s="15"/>
      <c r="O209" s="15"/>
      <c r="P209" s="15"/>
    </row>
    <row r="210" spans="12:16" x14ac:dyDescent="0.25">
      <c r="L210" s="15"/>
      <c r="M210" s="15"/>
      <c r="N210" s="15"/>
      <c r="O210" s="15"/>
      <c r="P210" s="15"/>
    </row>
    <row r="211" spans="12:16" x14ac:dyDescent="0.25">
      <c r="L211" s="15"/>
      <c r="M211" s="15"/>
      <c r="N211" s="15"/>
      <c r="O211" s="15"/>
      <c r="P211" s="15"/>
    </row>
    <row r="212" spans="12:16" x14ac:dyDescent="0.25">
      <c r="L212" s="15"/>
      <c r="M212" s="15"/>
      <c r="N212" s="15"/>
      <c r="O212" s="15"/>
      <c r="P212" s="15"/>
    </row>
    <row r="213" spans="12:16" x14ac:dyDescent="0.25">
      <c r="L213" s="15"/>
      <c r="M213" s="15"/>
      <c r="N213" s="15"/>
      <c r="O213" s="15"/>
      <c r="P213" s="15"/>
    </row>
    <row r="214" spans="12:16" x14ac:dyDescent="0.25">
      <c r="L214" s="15"/>
      <c r="M214" s="15"/>
      <c r="N214" s="15"/>
      <c r="O214" s="15"/>
      <c r="P214" s="15"/>
    </row>
    <row r="215" spans="12:16" x14ac:dyDescent="0.25">
      <c r="L215" s="15"/>
      <c r="M215" s="15"/>
      <c r="N215" s="15"/>
      <c r="O215" s="15"/>
      <c r="P215" s="15"/>
    </row>
    <row r="216" spans="12:16" x14ac:dyDescent="0.25">
      <c r="L216" s="15"/>
      <c r="M216" s="15"/>
      <c r="N216" s="15"/>
      <c r="O216" s="15"/>
      <c r="P216" s="15"/>
    </row>
    <row r="217" spans="12:16" x14ac:dyDescent="0.25">
      <c r="L217" s="15"/>
      <c r="M217" s="15"/>
      <c r="N217" s="15"/>
      <c r="O217" s="15"/>
      <c r="P217" s="15"/>
    </row>
    <row r="218" spans="12:16" x14ac:dyDescent="0.25">
      <c r="L218" s="15"/>
      <c r="M218" s="15"/>
      <c r="N218" s="15"/>
      <c r="O218" s="15"/>
      <c r="P218" s="15"/>
    </row>
    <row r="219" spans="12:16" x14ac:dyDescent="0.25">
      <c r="L219" s="15"/>
      <c r="M219" s="15"/>
      <c r="N219" s="15"/>
      <c r="O219" s="15"/>
      <c r="P219" s="15"/>
    </row>
    <row r="220" spans="12:16" x14ac:dyDescent="0.25">
      <c r="L220" s="15"/>
      <c r="M220" s="15"/>
      <c r="N220" s="15"/>
      <c r="O220" s="15"/>
      <c r="P220" s="15"/>
    </row>
    <row r="221" spans="12:16" x14ac:dyDescent="0.25">
      <c r="L221" s="15"/>
      <c r="M221" s="15"/>
      <c r="N221" s="15"/>
      <c r="O221" s="15"/>
      <c r="P221" s="15"/>
    </row>
    <row r="222" spans="12:16" x14ac:dyDescent="0.25">
      <c r="L222" s="15"/>
      <c r="M222" s="15"/>
      <c r="N222" s="15"/>
      <c r="O222" s="15"/>
      <c r="P222" s="15"/>
    </row>
    <row r="223" spans="12:16" x14ac:dyDescent="0.25">
      <c r="L223" s="15"/>
      <c r="M223" s="15"/>
      <c r="N223" s="15"/>
      <c r="O223" s="15"/>
      <c r="P223" s="15"/>
    </row>
    <row r="224" spans="12:16" x14ac:dyDescent="0.25">
      <c r="L224" s="15"/>
      <c r="M224" s="15"/>
      <c r="N224" s="15"/>
      <c r="O224" s="15"/>
      <c r="P224" s="15"/>
    </row>
    <row r="225" spans="12:16" x14ac:dyDescent="0.25">
      <c r="L225" s="15"/>
      <c r="M225" s="15"/>
      <c r="N225" s="15"/>
      <c r="O225" s="15"/>
      <c r="P225" s="15"/>
    </row>
    <row r="226" spans="12:16" x14ac:dyDescent="0.25">
      <c r="L226" s="15"/>
      <c r="M226" s="15"/>
      <c r="N226" s="15"/>
      <c r="O226" s="15"/>
      <c r="P226" s="15"/>
    </row>
    <row r="227" spans="12:16" x14ac:dyDescent="0.25">
      <c r="L227" s="15"/>
      <c r="M227" s="15"/>
      <c r="N227" s="15"/>
      <c r="O227" s="15"/>
      <c r="P227" s="15"/>
    </row>
    <row r="228" spans="12:16" x14ac:dyDescent="0.25">
      <c r="L228" s="15"/>
      <c r="M228" s="15"/>
      <c r="N228" s="15"/>
      <c r="O228" s="15"/>
      <c r="P228" s="15"/>
    </row>
    <row r="229" spans="12:16" x14ac:dyDescent="0.25">
      <c r="L229" s="15"/>
      <c r="M229" s="15"/>
      <c r="N229" s="15"/>
      <c r="O229" s="15"/>
      <c r="P229" s="15"/>
    </row>
    <row r="230" spans="12:16" x14ac:dyDescent="0.25">
      <c r="L230" s="15"/>
      <c r="M230" s="15"/>
      <c r="N230" s="15"/>
      <c r="O230" s="15"/>
      <c r="P230" s="15"/>
    </row>
    <row r="231" spans="12:16" x14ac:dyDescent="0.25">
      <c r="L231" s="15"/>
      <c r="M231" s="15"/>
      <c r="N231" s="15"/>
      <c r="O231" s="15"/>
      <c r="P231" s="15"/>
    </row>
    <row r="232" spans="12:16" x14ac:dyDescent="0.25">
      <c r="L232" s="15"/>
      <c r="M232" s="15"/>
      <c r="N232" s="15"/>
      <c r="O232" s="15"/>
      <c r="P232" s="15"/>
    </row>
    <row r="233" spans="12:16" x14ac:dyDescent="0.25">
      <c r="L233" s="15"/>
      <c r="M233" s="15"/>
      <c r="N233" s="15"/>
      <c r="O233" s="15"/>
      <c r="P233" s="15"/>
    </row>
    <row r="234" spans="12:16" x14ac:dyDescent="0.25">
      <c r="L234" s="15"/>
      <c r="M234" s="15"/>
      <c r="N234" s="15"/>
      <c r="O234" s="15"/>
      <c r="P234" s="15"/>
    </row>
    <row r="235" spans="12:16" x14ac:dyDescent="0.25">
      <c r="L235" s="15"/>
      <c r="M235" s="15"/>
      <c r="N235" s="15"/>
      <c r="O235" s="15"/>
      <c r="P235" s="15"/>
    </row>
    <row r="236" spans="12:16" x14ac:dyDescent="0.25">
      <c r="L236" s="15"/>
      <c r="M236" s="15"/>
      <c r="N236" s="15"/>
      <c r="O236" s="15"/>
      <c r="P236" s="15"/>
    </row>
    <row r="237" spans="12:16" x14ac:dyDescent="0.25">
      <c r="L237" s="15"/>
      <c r="M237" s="15"/>
      <c r="N237" s="15"/>
      <c r="O237" s="15"/>
      <c r="P237" s="15"/>
    </row>
    <row r="238" spans="12:16" x14ac:dyDescent="0.25">
      <c r="L238" s="15"/>
      <c r="M238" s="15"/>
      <c r="N238" s="15"/>
      <c r="O238" s="15"/>
      <c r="P238" s="15"/>
    </row>
    <row r="239" spans="12:16" x14ac:dyDescent="0.25">
      <c r="L239" s="15"/>
      <c r="M239" s="15"/>
      <c r="N239" s="15"/>
      <c r="O239" s="15"/>
      <c r="P239" s="15"/>
    </row>
    <row r="240" spans="12:16" x14ac:dyDescent="0.25">
      <c r="L240" s="15"/>
      <c r="M240" s="15"/>
      <c r="N240" s="15"/>
      <c r="O240" s="15"/>
      <c r="P240" s="15"/>
    </row>
    <row r="241" spans="12:16" x14ac:dyDescent="0.25">
      <c r="L241" s="15"/>
      <c r="M241" s="15"/>
      <c r="N241" s="15"/>
      <c r="O241" s="15"/>
      <c r="P241" s="15"/>
    </row>
  </sheetData>
  <autoFilter ref="A1:D77"/>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Macro6">
                <anchor moveWithCells="1" sizeWithCells="1">
                  <from>
                    <xdr:col>0</xdr:col>
                    <xdr:colOff>0</xdr:colOff>
                    <xdr:row>0</xdr:row>
                    <xdr:rowOff>0</xdr:rowOff>
                  </from>
                  <to>
                    <xdr:col>1</xdr:col>
                    <xdr:colOff>666750</xdr:colOff>
                    <xdr:row>0</xdr:row>
                    <xdr:rowOff>276225</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7030A0"/>
  </sheetPr>
  <dimension ref="A1:R29"/>
  <sheetViews>
    <sheetView tabSelected="1" topLeftCell="G1" zoomScale="90" zoomScaleNormal="90" workbookViewId="0">
      <selection activeCell="J7" sqref="J7"/>
    </sheetView>
  </sheetViews>
  <sheetFormatPr defaultRowHeight="15" x14ac:dyDescent="0.25"/>
  <cols>
    <col min="1" max="1" width="34.42578125" hidden="1" customWidth="1"/>
    <col min="2" max="2" width="9.140625" hidden="1" customWidth="1"/>
    <col min="3" max="3" width="21.140625" hidden="1" customWidth="1"/>
    <col min="4" max="4" width="8.7109375" hidden="1" customWidth="1"/>
    <col min="5" max="5" width="9.140625" hidden="1" customWidth="1"/>
    <col min="6" max="6" width="24.5703125" hidden="1" customWidth="1"/>
    <col min="7" max="7" width="25.85546875" customWidth="1"/>
    <col min="8" max="8" width="18.28515625" customWidth="1"/>
    <col min="9" max="9" width="18.7109375" bestFit="1" customWidth="1"/>
    <col min="10" max="10" width="48.42578125" bestFit="1" customWidth="1"/>
    <col min="11" max="12" width="14.42578125" customWidth="1"/>
    <col min="13" max="13" width="36.5703125" customWidth="1"/>
    <col min="14" max="14" width="12" customWidth="1"/>
  </cols>
  <sheetData>
    <row r="1" spans="1:18" ht="30.75" customHeight="1" x14ac:dyDescent="0.25">
      <c r="B1" s="36">
        <f>SUBTOTAL(9,B5:B182)</f>
        <v>7964</v>
      </c>
      <c r="C1" s="36"/>
      <c r="D1" s="157">
        <f>SUBTOTAL(9,D2:D182)</f>
        <v>50000</v>
      </c>
      <c r="G1" s="80" t="s">
        <v>131</v>
      </c>
      <c r="H1" s="130">
        <f>60000+6217+H4+H5</f>
        <v>128017</v>
      </c>
      <c r="I1" s="81">
        <f>H1-H2-H3</f>
        <v>-715712</v>
      </c>
      <c r="J1" s="88" t="s">
        <v>129</v>
      </c>
      <c r="K1" s="253" t="s">
        <v>285</v>
      </c>
      <c r="L1" s="254"/>
      <c r="M1" s="227" t="s">
        <v>284</v>
      </c>
      <c r="N1" s="228">
        <v>50000</v>
      </c>
    </row>
    <row r="2" spans="1:18" ht="30.75" customHeight="1" x14ac:dyDescent="0.25">
      <c r="E2" s="94"/>
      <c r="G2" s="91" t="s">
        <v>128</v>
      </c>
      <c r="H2" s="82">
        <f>D1</f>
        <v>50000</v>
      </c>
      <c r="I2" s="83">
        <v>-4156</v>
      </c>
      <c r="J2" s="83" t="s">
        <v>132</v>
      </c>
      <c r="K2" s="253">
        <v>235000</v>
      </c>
      <c r="L2" s="254"/>
      <c r="M2" s="227" t="s">
        <v>283</v>
      </c>
      <c r="N2" s="228">
        <v>80000</v>
      </c>
    </row>
    <row r="3" spans="1:18" ht="30.75" customHeight="1" x14ac:dyDescent="0.25">
      <c r="G3" s="84" t="s">
        <v>130</v>
      </c>
      <c r="H3" s="96">
        <f>INT('Quốc Nhân'!K4+'La Cusina'!K4+TVP!J4+Gà!K4+Kitkool!K4)</f>
        <v>793729</v>
      </c>
      <c r="I3" s="85">
        <f>I1+I2</f>
        <v>-719868</v>
      </c>
      <c r="J3" s="89" t="s">
        <v>127</v>
      </c>
      <c r="M3" s="227" t="s">
        <v>286</v>
      </c>
      <c r="N3" s="228">
        <v>55000</v>
      </c>
    </row>
    <row r="4" spans="1:18" ht="30.75" customHeight="1" x14ac:dyDescent="0.25">
      <c r="A4" s="111" t="s">
        <v>211</v>
      </c>
      <c r="B4">
        <v>3500</v>
      </c>
      <c r="G4" s="86" t="s">
        <v>177</v>
      </c>
      <c r="H4" s="126">
        <f>35000</f>
        <v>35000</v>
      </c>
      <c r="I4" s="87">
        <f ca="1">INT('Quốc Nhân'!K4+'La Cusina'!K4+TVP!J4+Gà!K4+Kitkool!K4-('Quốc Nhân'!A4+'La Cusina'!A4+TVP!A4+Gà!A4+Kitkool!A4))</f>
        <v>738966</v>
      </c>
      <c r="J4" s="90" t="s">
        <v>137</v>
      </c>
      <c r="M4" s="227" t="s">
        <v>287</v>
      </c>
      <c r="N4" s="228">
        <v>10000</v>
      </c>
    </row>
    <row r="5" spans="1:18" ht="30.75" customHeight="1" x14ac:dyDescent="0.25">
      <c r="A5" s="111" t="s">
        <v>195</v>
      </c>
      <c r="B5">
        <v>200</v>
      </c>
      <c r="G5" s="86" t="s">
        <v>289</v>
      </c>
      <c r="H5" s="126">
        <f>7400+5000+2400+10000+5000-2000-1000</f>
        <v>26800</v>
      </c>
      <c r="I5" s="92">
        <f ca="1">I4+I3</f>
        <v>19098</v>
      </c>
      <c r="J5" s="93" t="s">
        <v>138</v>
      </c>
      <c r="M5" s="229" t="s">
        <v>288</v>
      </c>
      <c r="N5" s="230">
        <v>81600</v>
      </c>
    </row>
    <row r="6" spans="1:18" x14ac:dyDescent="0.25">
      <c r="A6" s="111" t="s">
        <v>196</v>
      </c>
      <c r="B6">
        <f>1162+1204+1064</f>
        <v>3430</v>
      </c>
      <c r="C6" t="s">
        <v>112</v>
      </c>
      <c r="D6">
        <v>400</v>
      </c>
      <c r="E6" t="s">
        <v>113</v>
      </c>
      <c r="H6" s="129"/>
      <c r="I6" s="238">
        <v>-290</v>
      </c>
      <c r="J6" s="94"/>
      <c r="K6" s="94"/>
      <c r="L6" s="94"/>
      <c r="M6" s="215"/>
      <c r="N6" s="14"/>
      <c r="O6" s="14"/>
      <c r="P6" s="14"/>
      <c r="Q6" s="14"/>
      <c r="R6" s="14"/>
    </row>
    <row r="7" spans="1:18" x14ac:dyDescent="0.25">
      <c r="A7" s="111" t="s">
        <v>197</v>
      </c>
      <c r="B7">
        <v>1000</v>
      </c>
      <c r="C7" t="s">
        <v>114</v>
      </c>
      <c r="D7">
        <v>1000</v>
      </c>
      <c r="E7" t="s">
        <v>113</v>
      </c>
      <c r="H7" s="94"/>
      <c r="I7" s="94">
        <f>6000+4600+2400+2400</f>
        <v>15400</v>
      </c>
      <c r="J7" s="94"/>
      <c r="K7" s="94"/>
      <c r="L7" s="94"/>
      <c r="M7" s="14"/>
      <c r="N7" s="14"/>
      <c r="O7" s="14"/>
      <c r="P7" s="14"/>
      <c r="Q7" s="14"/>
      <c r="R7" s="14"/>
    </row>
    <row r="8" spans="1:18" x14ac:dyDescent="0.25">
      <c r="A8" t="s">
        <v>214</v>
      </c>
      <c r="B8">
        <v>250</v>
      </c>
      <c r="C8" t="s">
        <v>115</v>
      </c>
      <c r="D8">
        <v>80</v>
      </c>
      <c r="E8" t="s">
        <v>113</v>
      </c>
      <c r="H8" s="94"/>
      <c r="I8" s="94">
        <v>900</v>
      </c>
      <c r="J8" s="94"/>
      <c r="M8" s="14"/>
      <c r="N8" s="14"/>
      <c r="O8" s="14"/>
      <c r="P8" s="14"/>
      <c r="Q8" s="14"/>
      <c r="R8" s="14"/>
    </row>
    <row r="9" spans="1:18" x14ac:dyDescent="0.25">
      <c r="A9" t="s">
        <v>216</v>
      </c>
      <c r="B9">
        <v>400</v>
      </c>
      <c r="C9" t="s">
        <v>116</v>
      </c>
      <c r="D9">
        <v>145</v>
      </c>
      <c r="E9" t="s">
        <v>117</v>
      </c>
      <c r="H9" s="94"/>
      <c r="I9" s="94">
        <v>45</v>
      </c>
      <c r="J9" s="94"/>
      <c r="N9" s="14"/>
    </row>
    <row r="10" spans="1:18" x14ac:dyDescent="0.25">
      <c r="A10" t="s">
        <v>208</v>
      </c>
      <c r="B10">
        <v>300</v>
      </c>
      <c r="C10" t="s">
        <v>118</v>
      </c>
      <c r="D10">
        <v>800</v>
      </c>
      <c r="E10" t="s">
        <v>117</v>
      </c>
      <c r="H10" s="220"/>
      <c r="I10" s="94">
        <v>68</v>
      </c>
      <c r="J10" s="94"/>
      <c r="N10" s="14"/>
    </row>
    <row r="11" spans="1:18" x14ac:dyDescent="0.25">
      <c r="A11" t="s">
        <v>209</v>
      </c>
      <c r="B11">
        <f>45+56</f>
        <v>101</v>
      </c>
      <c r="C11" t="s">
        <v>119</v>
      </c>
      <c r="D11">
        <v>1500</v>
      </c>
      <c r="E11" t="s">
        <v>117</v>
      </c>
      <c r="H11" s="220"/>
      <c r="I11" s="94">
        <v>39</v>
      </c>
      <c r="J11" s="94"/>
      <c r="N11" s="14"/>
    </row>
    <row r="12" spans="1:18" x14ac:dyDescent="0.25">
      <c r="A12" t="s">
        <v>210</v>
      </c>
      <c r="B12">
        <v>119</v>
      </c>
      <c r="C12" t="s">
        <v>133</v>
      </c>
      <c r="D12">
        <v>160</v>
      </c>
      <c r="E12" t="s">
        <v>117</v>
      </c>
      <c r="I12" s="94">
        <f>2287+230</f>
        <v>2517</v>
      </c>
      <c r="J12" s="94" t="s">
        <v>280</v>
      </c>
      <c r="N12" s="14"/>
    </row>
    <row r="13" spans="1:18" x14ac:dyDescent="0.25">
      <c r="A13" t="s">
        <v>212</v>
      </c>
      <c r="B13">
        <v>140</v>
      </c>
      <c r="C13" t="s">
        <v>148</v>
      </c>
      <c r="D13">
        <v>42</v>
      </c>
      <c r="E13" t="s">
        <v>117</v>
      </c>
      <c r="H13" s="94"/>
      <c r="I13" s="94">
        <v>190</v>
      </c>
      <c r="J13" s="94" t="s">
        <v>303</v>
      </c>
      <c r="K13" s="94"/>
      <c r="L13" s="94"/>
    </row>
    <row r="14" spans="1:18" x14ac:dyDescent="0.25">
      <c r="A14" t="s">
        <v>213</v>
      </c>
      <c r="B14">
        <v>40</v>
      </c>
      <c r="C14" s="111" t="s">
        <v>159</v>
      </c>
      <c r="D14" s="111">
        <v>7500</v>
      </c>
      <c r="E14" s="111" t="s">
        <v>117</v>
      </c>
      <c r="H14" s="94"/>
      <c r="I14" s="94">
        <v>229</v>
      </c>
      <c r="J14" s="94" t="s">
        <v>303</v>
      </c>
    </row>
    <row r="15" spans="1:18" x14ac:dyDescent="0.25">
      <c r="A15" t="s">
        <v>217</v>
      </c>
      <c r="B15">
        <v>65</v>
      </c>
      <c r="C15" t="s">
        <v>160</v>
      </c>
      <c r="D15">
        <v>160</v>
      </c>
      <c r="E15" t="s">
        <v>117</v>
      </c>
      <c r="H15" s="94"/>
      <c r="I15" s="94"/>
      <c r="J15" s="94"/>
    </row>
    <row r="16" spans="1:18" x14ac:dyDescent="0.25">
      <c r="A16" s="160" t="s">
        <v>218</v>
      </c>
      <c r="B16">
        <v>70</v>
      </c>
      <c r="C16" t="s">
        <v>165</v>
      </c>
      <c r="D16">
        <v>50</v>
      </c>
      <c r="E16" t="s">
        <v>117</v>
      </c>
      <c r="I16" s="94"/>
      <c r="J16" s="94"/>
    </row>
    <row r="17" spans="1:10" x14ac:dyDescent="0.25">
      <c r="A17" t="s">
        <v>219</v>
      </c>
      <c r="B17">
        <v>59</v>
      </c>
      <c r="C17" t="s">
        <v>148</v>
      </c>
      <c r="D17">
        <f>45+65+130+25+60+25+78+84+65+25+43+43+44+88+45+45+46+44+90+37+88</f>
        <v>1215</v>
      </c>
      <c r="E17" t="s">
        <v>117</v>
      </c>
      <c r="I17" s="94"/>
      <c r="J17" s="94"/>
    </row>
    <row r="18" spans="1:10" x14ac:dyDescent="0.25">
      <c r="A18" t="s">
        <v>220</v>
      </c>
      <c r="B18">
        <v>920</v>
      </c>
      <c r="C18" s="111" t="s">
        <v>184</v>
      </c>
      <c r="D18" s="111">
        <v>15300</v>
      </c>
      <c r="E18" t="s">
        <v>177</v>
      </c>
      <c r="J18" s="94"/>
    </row>
    <row r="19" spans="1:10" x14ac:dyDescent="0.25">
      <c r="A19" t="s">
        <v>221</v>
      </c>
      <c r="B19">
        <v>120</v>
      </c>
      <c r="C19" t="s">
        <v>187</v>
      </c>
      <c r="D19">
        <v>50</v>
      </c>
      <c r="E19" t="s">
        <v>117</v>
      </c>
      <c r="J19" s="94"/>
    </row>
    <row r="20" spans="1:10" x14ac:dyDescent="0.25">
      <c r="A20" t="s">
        <v>222</v>
      </c>
      <c r="B20">
        <v>69</v>
      </c>
      <c r="C20" s="111" t="s">
        <v>184</v>
      </c>
      <c r="D20">
        <v>15000</v>
      </c>
      <c r="J20" s="94"/>
    </row>
    <row r="21" spans="1:10" x14ac:dyDescent="0.25">
      <c r="A21" t="s">
        <v>223</v>
      </c>
      <c r="B21">
        <v>110</v>
      </c>
      <c r="C21" t="s">
        <v>262</v>
      </c>
      <c r="D21">
        <f>85+100</f>
        <v>185</v>
      </c>
    </row>
    <row r="22" spans="1:10" x14ac:dyDescent="0.25">
      <c r="A22" t="s">
        <v>224</v>
      </c>
      <c r="B22">
        <v>69</v>
      </c>
      <c r="C22" s="111" t="s">
        <v>273</v>
      </c>
      <c r="D22">
        <f>'Tổng Đơn'!G2</f>
        <v>0</v>
      </c>
    </row>
    <row r="23" spans="1:10" x14ac:dyDescent="0.25">
      <c r="A23" t="s">
        <v>225</v>
      </c>
      <c r="B23">
        <v>54</v>
      </c>
      <c r="C23" s="225" t="s">
        <v>279</v>
      </c>
      <c r="D23">
        <v>1200</v>
      </c>
    </row>
    <row r="24" spans="1:10" x14ac:dyDescent="0.25">
      <c r="A24" t="s">
        <v>226</v>
      </c>
      <c r="B24">
        <v>65</v>
      </c>
      <c r="C24" s="225" t="s">
        <v>282</v>
      </c>
      <c r="D24">
        <v>5213</v>
      </c>
    </row>
    <row r="25" spans="1:10" x14ac:dyDescent="0.25">
      <c r="A25" t="s">
        <v>227</v>
      </c>
      <c r="B25">
        <f>54+66</f>
        <v>120</v>
      </c>
    </row>
    <row r="26" spans="1:10" x14ac:dyDescent="0.25">
      <c r="A26" t="s">
        <v>229</v>
      </c>
      <c r="B26">
        <v>65</v>
      </c>
    </row>
    <row r="27" spans="1:10" x14ac:dyDescent="0.25">
      <c r="A27" t="s">
        <v>230</v>
      </c>
      <c r="B27">
        <v>66</v>
      </c>
    </row>
    <row r="28" spans="1:10" x14ac:dyDescent="0.25">
      <c r="A28" t="s">
        <v>228</v>
      </c>
      <c r="B28">
        <v>66</v>
      </c>
    </row>
    <row r="29" spans="1:10" x14ac:dyDescent="0.25">
      <c r="A29" t="s">
        <v>231</v>
      </c>
      <c r="B29">
        <v>66</v>
      </c>
    </row>
  </sheetData>
  <mergeCells count="2">
    <mergeCell ref="K1:L1"/>
    <mergeCell ref="K2:L2"/>
  </mergeCells>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0000"/>
  </sheetPr>
  <dimension ref="A1:BC76"/>
  <sheetViews>
    <sheetView zoomScale="85" zoomScaleNormal="85" workbookViewId="0">
      <pane ySplit="4" topLeftCell="A5" activePane="bottomLeft" state="frozen"/>
      <selection activeCell="L29" sqref="L2:L29"/>
      <selection pane="bottomLeft" activeCell="K2" sqref="K2"/>
    </sheetView>
  </sheetViews>
  <sheetFormatPr defaultColWidth="9.140625" defaultRowHeight="15.75" x14ac:dyDescent="0.25"/>
  <cols>
    <col min="1" max="1" width="18.7109375" style="28" customWidth="1"/>
    <col min="2" max="2" width="49.140625" style="27" customWidth="1"/>
    <col min="3" max="3" width="19.5703125" style="27" customWidth="1"/>
    <col min="4" max="4" width="15.7109375" style="27" customWidth="1"/>
    <col min="5" max="5" width="19.28515625" style="27" customWidth="1"/>
    <col min="6" max="6" width="12.5703125" style="27" customWidth="1"/>
    <col min="7" max="7" width="11.42578125" style="27" customWidth="1"/>
    <col min="8" max="8" width="12.28515625" style="27" customWidth="1"/>
    <col min="9" max="9" width="15.140625" style="27" customWidth="1"/>
    <col min="10" max="10" width="12.28515625" style="27" customWidth="1"/>
    <col min="11" max="11" width="13.7109375" style="27" customWidth="1"/>
    <col min="12" max="28" width="10.85546875" style="27" customWidth="1"/>
    <col min="29" max="36" width="9.140625" style="27"/>
    <col min="37" max="37" width="11.42578125" style="27" customWidth="1"/>
    <col min="38" max="16384" width="9.140625" style="27"/>
  </cols>
  <sheetData>
    <row r="1" spans="1:55" s="182" customFormat="1" ht="20.25" customHeight="1" x14ac:dyDescent="0.25">
      <c r="A1" s="255">
        <f ca="1">'Quốc Nhân'!N4+'La Cusina'!N4+TVP!M4+Gà!N4+Kitkool!N4-('Quốc Nhân'!K4+'La Cusina'!K4+TVP!J4+Gà!K4+Kitkool!K4-('Quốc Nhân'!A4+'La Cusina'!A4+TVP!A4+Gà!A4+Kitkool!A4))</f>
        <v>113688.51446598372</v>
      </c>
      <c r="B1" s="261" t="str">
        <f>"Tiền Hàng: "&amp;INT('Quốc Nhân'!K4+'La Cusina'!K4+TVP!J4+Gà!K4+Kitkool!K4)</f>
        <v>Tiền Hàng: 793729</v>
      </c>
      <c r="C1" s="260" t="str">
        <f ca="1">"Giá trị hàng Tồn: "&amp;INT('Quốc Nhân'!A4+'La Cusina'!A4+TVP!A4+Gà!A4+Kitkool!A4)</f>
        <v>Giá trị hàng Tồn: 54762</v>
      </c>
      <c r="D1" s="259" t="str">
        <f ca="1">"Giá trị Hàng xuất: "&amp;CHAR(10)&amp;INT('Quốc Nhân'!K4+'La Cusina'!K4+TVP!J4+Gà!K4+Kitkool!K4-('Quốc Nhân'!A4+'La Cusina'!A4+TVP!A4+Gà!A4+Kitkool!A4))</f>
        <v>Giá trị Hàng xuất: 
738966</v>
      </c>
      <c r="E1" s="262" t="str">
        <f ca="1">"Doanh Thu Tích Lũy: "&amp;INT('Quốc Nhân'!N4+'La Cusina'!N4+TVP!M4+Gà!N4+Kitkool!N4)</f>
        <v>Doanh Thu Tích Lũy: 852655</v>
      </c>
      <c r="F1" s="257">
        <v>9999</v>
      </c>
      <c r="G1" s="177">
        <f>-774-503+13</f>
        <v>-1264</v>
      </c>
      <c r="H1" s="178" t="s">
        <v>232</v>
      </c>
      <c r="I1" s="179">
        <v>-176</v>
      </c>
      <c r="J1" s="180" t="s">
        <v>233</v>
      </c>
      <c r="K1" s="196">
        <f>852+1435+230</f>
        <v>2517</v>
      </c>
      <c r="L1" s="196" t="s">
        <v>280</v>
      </c>
      <c r="M1" s="196"/>
      <c r="N1" s="196"/>
      <c r="O1" s="181"/>
      <c r="P1" s="181"/>
      <c r="Q1" s="181"/>
    </row>
    <row r="2" spans="1:55" s="182" customFormat="1" ht="20.25" customHeight="1" x14ac:dyDescent="0.25">
      <c r="A2" s="256"/>
      <c r="B2" s="261"/>
      <c r="C2" s="260"/>
      <c r="D2" s="259"/>
      <c r="E2" s="262"/>
      <c r="F2" s="258"/>
      <c r="G2" s="183">
        <v>0</v>
      </c>
      <c r="H2" s="184" t="s">
        <v>273</v>
      </c>
      <c r="I2" s="177">
        <v>-374</v>
      </c>
      <c r="J2" s="178" t="s">
        <v>252</v>
      </c>
      <c r="K2" s="196"/>
      <c r="L2" s="196"/>
      <c r="M2" s="196"/>
      <c r="N2" s="196"/>
    </row>
    <row r="3" spans="1:55" s="28" customFormat="1" ht="30" customHeight="1" x14ac:dyDescent="0.25">
      <c r="A3" s="19" t="s">
        <v>93</v>
      </c>
      <c r="B3" s="19" t="s">
        <v>16</v>
      </c>
      <c r="C3" s="19" t="s">
        <v>94</v>
      </c>
      <c r="D3" s="19" t="s">
        <v>104</v>
      </c>
      <c r="E3" s="39" t="s">
        <v>49</v>
      </c>
      <c r="F3" s="39" t="s">
        <v>106</v>
      </c>
      <c r="G3" s="19" t="s">
        <v>277</v>
      </c>
      <c r="H3" s="185" t="s">
        <v>253</v>
      </c>
      <c r="I3" s="186" t="s">
        <v>254</v>
      </c>
      <c r="J3" s="39" t="s">
        <v>107</v>
      </c>
      <c r="K3" s="39" t="s">
        <v>108</v>
      </c>
      <c r="L3" s="28">
        <v>2</v>
      </c>
      <c r="M3" s="28">
        <v>3</v>
      </c>
      <c r="N3" s="28">
        <v>4</v>
      </c>
      <c r="O3" s="28">
        <v>5</v>
      </c>
      <c r="P3" s="28">
        <v>6</v>
      </c>
      <c r="Q3" s="28">
        <v>7</v>
      </c>
      <c r="R3" s="28">
        <v>8</v>
      </c>
      <c r="S3" s="28">
        <v>9</v>
      </c>
      <c r="T3" s="28">
        <v>10</v>
      </c>
      <c r="U3" s="28">
        <v>11</v>
      </c>
      <c r="V3" s="28">
        <v>12</v>
      </c>
      <c r="W3" s="28">
        <v>13</v>
      </c>
      <c r="X3" s="28">
        <v>14</v>
      </c>
      <c r="Y3" s="28">
        <v>15</v>
      </c>
      <c r="Z3" s="28">
        <v>16</v>
      </c>
      <c r="AA3" s="28">
        <v>17</v>
      </c>
      <c r="AB3" s="28">
        <v>18</v>
      </c>
      <c r="AC3" s="28">
        <v>19</v>
      </c>
      <c r="AD3" s="28">
        <v>20</v>
      </c>
      <c r="AE3" s="28">
        <v>21</v>
      </c>
      <c r="AF3" s="28">
        <v>22</v>
      </c>
      <c r="AG3" s="28">
        <v>23</v>
      </c>
      <c r="AH3" s="28">
        <v>24</v>
      </c>
      <c r="AI3" s="28">
        <v>25</v>
      </c>
      <c r="AJ3" s="28">
        <v>26</v>
      </c>
      <c r="AK3" s="28">
        <v>27</v>
      </c>
      <c r="AL3" s="28">
        <v>28</v>
      </c>
      <c r="AM3" s="28">
        <v>29</v>
      </c>
      <c r="AN3" s="28">
        <v>30</v>
      </c>
      <c r="AO3" s="28">
        <v>31</v>
      </c>
      <c r="AP3" s="28">
        <v>32</v>
      </c>
      <c r="AQ3" s="28">
        <v>33</v>
      </c>
      <c r="AR3" s="28">
        <v>34</v>
      </c>
      <c r="AS3" s="28">
        <v>35</v>
      </c>
      <c r="AT3" s="28">
        <v>36</v>
      </c>
      <c r="AU3" s="28">
        <v>37</v>
      </c>
      <c r="AV3" s="28">
        <v>38</v>
      </c>
      <c r="AW3" s="28">
        <v>39</v>
      </c>
      <c r="AX3" s="28">
        <v>40</v>
      </c>
      <c r="AY3" s="28">
        <v>41</v>
      </c>
      <c r="AZ3" s="28">
        <v>42</v>
      </c>
      <c r="BA3" s="28">
        <v>43</v>
      </c>
      <c r="BB3" s="28">
        <v>44</v>
      </c>
      <c r="BC3" s="28">
        <v>45</v>
      </c>
    </row>
    <row r="4" spans="1:55" s="45" customFormat="1" ht="25.5" customHeight="1" x14ac:dyDescent="0.25">
      <c r="A4" s="40"/>
      <c r="B4" s="40">
        <f>SUBTOTAL(3,B5:B785)</f>
        <v>72</v>
      </c>
      <c r="C4" s="40"/>
      <c r="D4" s="40"/>
      <c r="E4" s="40"/>
      <c r="F4" s="40">
        <f ca="1">SUMPRODUCT(($E$5:$E$75)*($F$5:$F$75))</f>
        <v>36.4</v>
      </c>
      <c r="G4" s="40"/>
      <c r="H4" s="52">
        <f ca="1">SUBTOTAL(9,H5:H95)</f>
        <v>418270.16518219601</v>
      </c>
      <c r="I4" s="52">
        <f ca="1">K4-J4</f>
        <v>382270.1651821956</v>
      </c>
      <c r="J4" s="25">
        <f ca="1">SUBTOTAL(9,J5:J95)</f>
        <v>2102729.8348178044</v>
      </c>
      <c r="K4" s="44">
        <f ca="1">SUM(L4:BC4)</f>
        <v>2485000</v>
      </c>
      <c r="L4" s="56">
        <f ca="1">IFERROR(INDIRECT("'Thanh Toán ("&amp;L$3&amp;")'!$H"&amp;SUBTOTAL(3,INDIRECT("'Thanh Toán ("&amp;L$3&amp;")'!$H$8:$H$50"))+7-COUNTIF(INDIRECT("'Thanh Toán ("&amp;L$3&amp;")'!$H$8:$H$50"),""&amp;"*")),"")</f>
        <v>329000</v>
      </c>
      <c r="M4" s="56">
        <f t="shared" ref="M4:AN4" ca="1" si="0">IFERROR(INDIRECT("'Thanh Toán ("&amp;M$3&amp;")'!$H"&amp;SUBTOTAL(3,INDIRECT("'Thanh Toán ("&amp;M$3&amp;")'!$H$8:$H$50"))+7-COUNTIF(INDIRECT("'Thanh Toán ("&amp;M$3&amp;")'!$H$8:$H$50"),""&amp;"*")),"")</f>
        <v>114000</v>
      </c>
      <c r="N4" s="56">
        <f t="shared" ca="1" si="0"/>
        <v>678000</v>
      </c>
      <c r="O4" s="56">
        <f t="shared" ca="1" si="0"/>
        <v>50000</v>
      </c>
      <c r="P4" s="56">
        <f t="shared" ca="1" si="0"/>
        <v>50000</v>
      </c>
      <c r="Q4" s="56">
        <f t="shared" ca="1" si="0"/>
        <v>115000</v>
      </c>
      <c r="R4" s="56">
        <f t="shared" ca="1" si="0"/>
        <v>95000</v>
      </c>
      <c r="S4" s="56">
        <f t="shared" ca="1" si="0"/>
        <v>125000</v>
      </c>
      <c r="T4" s="56">
        <f t="shared" ca="1" si="0"/>
        <v>254000</v>
      </c>
      <c r="U4" s="56">
        <f t="shared" ca="1" si="0"/>
        <v>100000</v>
      </c>
      <c r="V4" s="56">
        <f t="shared" ca="1" si="0"/>
        <v>175000</v>
      </c>
      <c r="W4" s="56">
        <f t="shared" ca="1" si="0"/>
        <v>400000</v>
      </c>
      <c r="X4" s="56" t="str">
        <f t="shared" ca="1" si="0"/>
        <v/>
      </c>
      <c r="Y4" s="56" t="str">
        <f t="shared" ca="1" si="0"/>
        <v/>
      </c>
      <c r="Z4" s="56" t="str">
        <f t="shared" ca="1" si="0"/>
        <v/>
      </c>
      <c r="AA4" s="56" t="str">
        <f t="shared" ca="1" si="0"/>
        <v/>
      </c>
      <c r="AB4" s="56" t="str">
        <f t="shared" ca="1" si="0"/>
        <v/>
      </c>
      <c r="AC4" s="56" t="str">
        <f t="shared" ca="1" si="0"/>
        <v/>
      </c>
      <c r="AD4" s="56" t="str">
        <f t="shared" ca="1" si="0"/>
        <v/>
      </c>
      <c r="AE4" s="56" t="str">
        <f t="shared" ca="1" si="0"/>
        <v/>
      </c>
      <c r="AF4" s="56" t="str">
        <f t="shared" ca="1" si="0"/>
        <v/>
      </c>
      <c r="AG4" s="56" t="str">
        <f t="shared" ca="1" si="0"/>
        <v/>
      </c>
      <c r="AH4" s="56" t="str">
        <f t="shared" ca="1" si="0"/>
        <v/>
      </c>
      <c r="AI4" s="56" t="str">
        <f t="shared" ca="1" si="0"/>
        <v/>
      </c>
      <c r="AJ4" s="56" t="str">
        <f t="shared" ca="1" si="0"/>
        <v/>
      </c>
      <c r="AK4" s="56" t="str">
        <f t="shared" ca="1" si="0"/>
        <v/>
      </c>
      <c r="AL4" s="56" t="str">
        <f t="shared" ca="1" si="0"/>
        <v/>
      </c>
      <c r="AM4" s="56" t="str">
        <f t="shared" ca="1" si="0"/>
        <v/>
      </c>
      <c r="AN4" s="56" t="str">
        <f t="shared" ca="1" si="0"/>
        <v/>
      </c>
      <c r="AO4" s="56" t="str">
        <f t="shared" ref="AO4:BC4" ca="1" si="1">IFERROR(INDIRECT("'Thanh Toán ("&amp;AO$3&amp;")'!$H"&amp;SUBTOTAL(3,INDIRECT("'Thanh Toán ("&amp;AO$3&amp;")'!$H$8:$H$50"))+7-COUNTIF(INDIRECT("'Thanh Toán ("&amp;AO$3&amp;")'!$H$8:$H$50"),""&amp;"*")),"")</f>
        <v/>
      </c>
      <c r="AP4" s="56" t="str">
        <f t="shared" ca="1" si="1"/>
        <v/>
      </c>
      <c r="AQ4" s="56" t="str">
        <f t="shared" ca="1" si="1"/>
        <v/>
      </c>
      <c r="AR4" s="56" t="str">
        <f t="shared" ca="1" si="1"/>
        <v/>
      </c>
      <c r="AS4" s="56" t="str">
        <f t="shared" ca="1" si="1"/>
        <v/>
      </c>
      <c r="AT4" s="56" t="str">
        <f t="shared" ca="1" si="1"/>
        <v/>
      </c>
      <c r="AU4" s="56" t="str">
        <f t="shared" ca="1" si="1"/>
        <v/>
      </c>
      <c r="AV4" s="56" t="str">
        <f t="shared" ca="1" si="1"/>
        <v/>
      </c>
      <c r="AW4" s="56" t="str">
        <f t="shared" ca="1" si="1"/>
        <v/>
      </c>
      <c r="AX4" s="56" t="str">
        <f t="shared" ca="1" si="1"/>
        <v/>
      </c>
      <c r="AY4" s="56" t="str">
        <f t="shared" ca="1" si="1"/>
        <v/>
      </c>
      <c r="AZ4" s="56" t="str">
        <f t="shared" ca="1" si="1"/>
        <v/>
      </c>
      <c r="BA4" s="56" t="str">
        <f t="shared" ca="1" si="1"/>
        <v/>
      </c>
      <c r="BB4" s="56" t="str">
        <f t="shared" ca="1" si="1"/>
        <v/>
      </c>
      <c r="BC4" s="56" t="str">
        <f t="shared" ca="1" si="1"/>
        <v/>
      </c>
    </row>
    <row r="5" spans="1:55" ht="18" customHeight="1" x14ac:dyDescent="0.25">
      <c r="A5" s="167" t="s">
        <v>185</v>
      </c>
      <c r="B5" s="168" t="s">
        <v>304</v>
      </c>
      <c r="C5" s="167" t="s">
        <v>186</v>
      </c>
      <c r="D5" s="169">
        <f>VLOOKUP($C5,Sheet1!$C$2:$D$98,2,0)</f>
        <v>110000</v>
      </c>
      <c r="E5" s="170">
        <v>1.2</v>
      </c>
      <c r="F5" s="171">
        <f t="shared" ref="F5:F39" ca="1" si="2">SUM(L5:BR5)</f>
        <v>0</v>
      </c>
      <c r="G5" s="172">
        <f>IFERROR(VLOOKUP($B5,Gà!C:J,8,0),IFERROR(VLOOKUP($B5,TVP!C:J,7,0),IFERROR(VLOOKUP($B5,Kitkool!C:J,8,0),IFERROR(VLOOKUP($B5,'La Cusina'!C:J,8,0),VLOOKUP($B5,'Quốc Nhân'!C:J,8,0)))))</f>
        <v>100.43434953214525</v>
      </c>
      <c r="H5" s="173">
        <f ca="1">(D5-G5*1000)*$F5</f>
        <v>0</v>
      </c>
      <c r="I5" s="195">
        <f>D5/(G5*1000)-1</f>
        <v>9.5242817944404035E-2</v>
      </c>
      <c r="J5" s="173">
        <f ca="1">F5*G5*1000</f>
        <v>0</v>
      </c>
      <c r="K5" s="38"/>
      <c r="L5" s="2">
        <f ca="1">IFERROR(SUMIFS(INDIRECT("'Thanh Toán ("&amp;L$3&amp;")'!$F:$F"),INDIRECT("'Thanh Toán ("&amp;L$3&amp;")'!$D:$D"),'Tổng Đơn'!$B5),0)</f>
        <v>0</v>
      </c>
      <c r="M5" s="2">
        <f ca="1">IFERROR(SUMIFS(INDIRECT("'Thanh Toán ("&amp;M$3&amp;")'!$F:$F"),INDIRECT("'Thanh Toán ("&amp;M$3&amp;")'!$D:$D"),'Tổng Đơn'!$B5),0)</f>
        <v>0</v>
      </c>
      <c r="N5" s="2">
        <f ca="1">IFERROR(SUMIFS(INDIRECT("'Thanh Toán ("&amp;N$3&amp;")'!$F:$F"),INDIRECT("'Thanh Toán ("&amp;N$3&amp;")'!$D:$D"),'Tổng Đơn'!$B5),0)</f>
        <v>0</v>
      </c>
      <c r="O5" s="2">
        <f ca="1">IFERROR(SUMIFS(INDIRECT("'Thanh Toán ("&amp;O$3&amp;")'!$F:$F"),INDIRECT("'Thanh Toán ("&amp;O$3&amp;")'!$D:$D"),'Tổng Đơn'!$B5),0)</f>
        <v>0</v>
      </c>
      <c r="P5" s="2">
        <f ca="1">IFERROR(SUMIFS(INDIRECT("'Thanh Toán ("&amp;P$3&amp;")'!$F:$F"),INDIRECT("'Thanh Toán ("&amp;P$3&amp;")'!$D:$D"),'Tổng Đơn'!$B5),0)</f>
        <v>0</v>
      </c>
      <c r="Q5" s="2">
        <f ca="1">IFERROR(SUMIFS(INDIRECT("'Thanh Toán ("&amp;Q$3&amp;")'!$F:$F"),INDIRECT("'Thanh Toán ("&amp;Q$3&amp;")'!$D:$D"),'Tổng Đơn'!$B5),0)</f>
        <v>0</v>
      </c>
      <c r="R5" s="2">
        <f ca="1">IFERROR(SUMIFS(INDIRECT("'Thanh Toán ("&amp;R$3&amp;")'!$F:$F"),INDIRECT("'Thanh Toán ("&amp;R$3&amp;")'!$D:$D"),'Tổng Đơn'!$B5),0)</f>
        <v>0</v>
      </c>
      <c r="S5" s="2">
        <f ca="1">IFERROR(SUMIFS(INDIRECT("'Thanh Toán ("&amp;S$3&amp;")'!$F:$F"),INDIRECT("'Thanh Toán ("&amp;S$3&amp;")'!$D:$D"),'Tổng Đơn'!$B5),0)</f>
        <v>0</v>
      </c>
      <c r="T5" s="2">
        <f ca="1">IFERROR(SUMIFS(INDIRECT("'Thanh Toán ("&amp;T$3&amp;")'!$F:$F"),INDIRECT("'Thanh Toán ("&amp;T$3&amp;")'!$D:$D"),'Tổng Đơn'!$B5),0)</f>
        <v>0</v>
      </c>
      <c r="U5" s="2">
        <f ca="1">IFERROR(SUMIFS(INDIRECT("'Thanh Toán ("&amp;U$3&amp;")'!$F:$F"),INDIRECT("'Thanh Toán ("&amp;U$3&amp;")'!$D:$D"),'Tổng Đơn'!$B5),0)</f>
        <v>0</v>
      </c>
      <c r="V5" s="2">
        <f ca="1">IFERROR(SUMIFS(INDIRECT("'Thanh Toán ("&amp;V$3&amp;")'!$F:$F"),INDIRECT("'Thanh Toán ("&amp;V$3&amp;")'!$D:$D"),'Tổng Đơn'!$B5),0)</f>
        <v>0</v>
      </c>
      <c r="W5" s="2">
        <f ca="1">IFERROR(SUMIFS(INDIRECT("'Thanh Toán ("&amp;W$3&amp;")'!$F:$F"),INDIRECT("'Thanh Toán ("&amp;W$3&amp;")'!$D:$D"),'Tổng Đơn'!$B5),0)</f>
        <v>0</v>
      </c>
      <c r="X5" s="2">
        <f ca="1">IFERROR(SUMIFS(INDIRECT("'Thanh Toán ("&amp;X$3&amp;")'!$F:$F"),INDIRECT("'Thanh Toán ("&amp;X$3&amp;")'!$D:$D"),'Tổng Đơn'!$B5),0)</f>
        <v>0</v>
      </c>
      <c r="Y5" s="2">
        <f ca="1">IFERROR(SUMIFS(INDIRECT("'Thanh Toán ("&amp;Y$3&amp;")'!$F:$F"),INDIRECT("'Thanh Toán ("&amp;Y$3&amp;")'!$D:$D"),'Tổng Đơn'!$B5),0)</f>
        <v>0</v>
      </c>
      <c r="Z5" s="2">
        <f ca="1">IFERROR(SUMIFS(INDIRECT("'Thanh Toán ("&amp;Z$3&amp;")'!$F:$F"),INDIRECT("'Thanh Toán ("&amp;Z$3&amp;")'!$D:$D"),'Tổng Đơn'!$B5),0)</f>
        <v>0</v>
      </c>
      <c r="AA5" s="2">
        <f ca="1">IFERROR(SUMIFS(INDIRECT("'Thanh Toán ("&amp;AA$3&amp;")'!$F:$F"),INDIRECT("'Thanh Toán ("&amp;AA$3&amp;")'!$D:$D"),'Tổng Đơn'!$B5),0)</f>
        <v>0</v>
      </c>
      <c r="AB5" s="2">
        <f ca="1">IFERROR(SUMIFS(INDIRECT("'Thanh Toán ("&amp;AB$3&amp;")'!$F:$F"),INDIRECT("'Thanh Toán ("&amp;AB$3&amp;")'!$D:$D"),'Tổng Đơn'!$B5),0)</f>
        <v>0</v>
      </c>
      <c r="AC5" s="2">
        <f ca="1">IFERROR(SUMIFS(INDIRECT("'Thanh Toán ("&amp;AC$3&amp;")'!$F:$F"),INDIRECT("'Thanh Toán ("&amp;AC$3&amp;")'!$D:$D"),'Tổng Đơn'!$B5),0)</f>
        <v>0</v>
      </c>
      <c r="AD5" s="2">
        <f ca="1">IFERROR(SUMIFS(INDIRECT("'Thanh Toán ("&amp;AD$3&amp;")'!$F:$F"),INDIRECT("'Thanh Toán ("&amp;AD$3&amp;")'!$D:$D"),'Tổng Đơn'!$B5),0)</f>
        <v>0</v>
      </c>
      <c r="AE5" s="2">
        <f ca="1">IFERROR(SUMIFS(INDIRECT("'Thanh Toán ("&amp;AE$3&amp;")'!$F:$F"),INDIRECT("'Thanh Toán ("&amp;AE$3&amp;")'!$D:$D"),'Tổng Đơn'!$B5),0)</f>
        <v>0</v>
      </c>
      <c r="AF5" s="2">
        <f ca="1">IFERROR(SUMIFS(INDIRECT("'Thanh Toán ("&amp;AF$3&amp;")'!$F:$F"),INDIRECT("'Thanh Toán ("&amp;AF$3&amp;")'!$D:$D"),'Tổng Đơn'!$B5),0)</f>
        <v>0</v>
      </c>
      <c r="AG5" s="2">
        <f ca="1">IFERROR(SUMIFS(INDIRECT("'Thanh Toán ("&amp;AG$3&amp;")'!$F:$F"),INDIRECT("'Thanh Toán ("&amp;AG$3&amp;")'!$D:$D"),'Tổng Đơn'!$B5),0)</f>
        <v>0</v>
      </c>
      <c r="AH5" s="2">
        <f ca="1">IFERROR(SUMIFS(INDIRECT("'Thanh Toán ("&amp;AH$3&amp;")'!$F:$F"),INDIRECT("'Thanh Toán ("&amp;AH$3&amp;")'!$D:$D"),'Tổng Đơn'!$B5),0)</f>
        <v>0</v>
      </c>
      <c r="AI5" s="2">
        <f ca="1">IFERROR(SUMIFS(INDIRECT("'Thanh Toán ("&amp;AI$3&amp;")'!$F:$F"),INDIRECT("'Thanh Toán ("&amp;AI$3&amp;")'!$D:$D"),'Tổng Đơn'!$B5),0)</f>
        <v>0</v>
      </c>
      <c r="AJ5" s="2">
        <f ca="1">IFERROR(SUMIFS(INDIRECT("'Thanh Toán ("&amp;AJ$3&amp;")'!$F:$F"),INDIRECT("'Thanh Toán ("&amp;AJ$3&amp;")'!$D:$D"),'Tổng Đơn'!$B5),0)</f>
        <v>0</v>
      </c>
      <c r="AK5" s="2">
        <f ca="1">IFERROR(SUMIFS(INDIRECT("'Thanh Toán ("&amp;AK$3&amp;")'!$F:$F"),INDIRECT("'Thanh Toán ("&amp;AK$3&amp;")'!$D:$D"),'Tổng Đơn'!$B5),0)</f>
        <v>0</v>
      </c>
      <c r="AL5" s="2">
        <f ca="1">IFERROR(SUMIFS(INDIRECT("'Thanh Toán ("&amp;AL$3&amp;")'!$F:$F"),INDIRECT("'Thanh Toán ("&amp;AL$3&amp;")'!$D:$D"),'Tổng Đơn'!$B5),0)</f>
        <v>0</v>
      </c>
      <c r="AM5" s="2">
        <f ca="1">IFERROR(SUMIFS(INDIRECT("'Thanh Toán ("&amp;AM$3&amp;")'!$F:$F"),INDIRECT("'Thanh Toán ("&amp;AM$3&amp;")'!$D:$D"),'Tổng Đơn'!$B5),0)</f>
        <v>0</v>
      </c>
      <c r="AN5" s="2">
        <f ca="1">IFERROR(SUMIFS(INDIRECT("'Thanh Toán ("&amp;AN$3&amp;")'!$F:$F"),INDIRECT("'Thanh Toán ("&amp;AN$3&amp;")'!$D:$D"),'Tổng Đơn'!$B5),0)</f>
        <v>0</v>
      </c>
      <c r="AO5" s="2">
        <f ca="1">IFERROR(SUMIFS(INDIRECT("'Thanh Toán ("&amp;AO$3&amp;")'!$F:$F"),INDIRECT("'Thanh Toán ("&amp;AO$3&amp;")'!$D:$D"),'Tổng Đơn'!$B5),0)</f>
        <v>0</v>
      </c>
      <c r="AP5" s="2">
        <f ca="1">IFERROR(SUMIFS(INDIRECT("'Thanh Toán ("&amp;AP$3&amp;")'!$F:$F"),INDIRECT("'Thanh Toán ("&amp;AP$3&amp;")'!$D:$D"),'Tổng Đơn'!$B5),0)</f>
        <v>0</v>
      </c>
      <c r="AQ5" s="2">
        <f ca="1">IFERROR(SUMIFS(INDIRECT("'Thanh Toán ("&amp;AQ$3&amp;")'!$F:$F"),INDIRECT("'Thanh Toán ("&amp;AQ$3&amp;")'!$D:$D"),'Tổng Đơn'!$B5),0)</f>
        <v>0</v>
      </c>
      <c r="AR5" s="2">
        <f ca="1">IFERROR(SUMIFS(INDIRECT("'Thanh Toán ("&amp;AR$3&amp;")'!$F:$F"),INDIRECT("'Thanh Toán ("&amp;AR$3&amp;")'!$D:$D"),'Tổng Đơn'!$B5),0)</f>
        <v>0</v>
      </c>
      <c r="AS5" s="2">
        <f ca="1">IFERROR(SUMIFS(INDIRECT("'Thanh Toán ("&amp;AS$3&amp;")'!$F:$F"),INDIRECT("'Thanh Toán ("&amp;AS$3&amp;")'!$D:$D"),'Tổng Đơn'!$B5),0)</f>
        <v>0</v>
      </c>
      <c r="AT5" s="2">
        <f ca="1">IFERROR(SUMIFS(INDIRECT("'Thanh Toán ("&amp;AT$3&amp;")'!$F:$F"),INDIRECT("'Thanh Toán ("&amp;AT$3&amp;")'!$D:$D"),'Tổng Đơn'!$B5),0)</f>
        <v>0</v>
      </c>
      <c r="AU5" s="2">
        <f ca="1">IFERROR(SUMIFS(INDIRECT("'Thanh Toán ("&amp;AU$3&amp;")'!$F:$F"),INDIRECT("'Thanh Toán ("&amp;AU$3&amp;")'!$D:$D"),'Tổng Đơn'!$B5),0)</f>
        <v>0</v>
      </c>
      <c r="AV5" s="2">
        <f ca="1">IFERROR(SUMIFS(INDIRECT("'Thanh Toán ("&amp;AV$3&amp;")'!$F:$F"),INDIRECT("'Thanh Toán ("&amp;AV$3&amp;")'!$D:$D"),'Tổng Đơn'!$B5),0)</f>
        <v>0</v>
      </c>
      <c r="AW5" s="2">
        <f ca="1">IFERROR(SUMIFS(INDIRECT("'Thanh Toán ("&amp;AW$3&amp;")'!$F:$F"),INDIRECT("'Thanh Toán ("&amp;AW$3&amp;")'!$D:$D"),'Tổng Đơn'!$B5),0)</f>
        <v>0</v>
      </c>
      <c r="AX5" s="2">
        <f ca="1">IFERROR(SUMIFS(INDIRECT("'Thanh Toán ("&amp;AX$3&amp;")'!$F:$F"),INDIRECT("'Thanh Toán ("&amp;AX$3&amp;")'!$D:$D"),'Tổng Đơn'!$B5),0)</f>
        <v>0</v>
      </c>
      <c r="AY5" s="2">
        <f ca="1">IFERROR(SUMIFS(INDIRECT("'Thanh Toán ("&amp;AY$3&amp;")'!$F:$F"),INDIRECT("'Thanh Toán ("&amp;AY$3&amp;")'!$D:$D"),'Tổng Đơn'!$B5),0)</f>
        <v>0</v>
      </c>
      <c r="AZ5" s="2">
        <f ca="1">IFERROR(SUMIFS(INDIRECT("'Thanh Toán ("&amp;AZ$3&amp;")'!$F:$F"),INDIRECT("'Thanh Toán ("&amp;AZ$3&amp;")'!$D:$D"),'Tổng Đơn'!$B5),0)</f>
        <v>0</v>
      </c>
      <c r="BA5" s="2">
        <f ca="1">IFERROR(SUMIFS(INDIRECT("'Thanh Toán ("&amp;BA$3&amp;")'!$F:$F"),INDIRECT("'Thanh Toán ("&amp;BA$3&amp;")'!$D:$D"),'Tổng Đơn'!$B5),0)</f>
        <v>0</v>
      </c>
      <c r="BB5" s="2">
        <f ca="1">IFERROR(SUMIFS(INDIRECT("'Thanh Toán ("&amp;BB$3&amp;")'!$F:$F"),INDIRECT("'Thanh Toán ("&amp;BB$3&amp;")'!$D:$D"),'Tổng Đơn'!$B5),0)</f>
        <v>0</v>
      </c>
      <c r="BC5" s="2">
        <f ca="1">IFERROR(SUMIFS(INDIRECT("'Thanh Toán ("&amp;BC$3&amp;")'!$F:$F"),INDIRECT("'Thanh Toán ("&amp;BC$3&amp;")'!$D:$D"),'Tổng Đơn'!$B5),0)</f>
        <v>0</v>
      </c>
    </row>
    <row r="6" spans="1:55" ht="18" customHeight="1" x14ac:dyDescent="0.25">
      <c r="A6" s="167" t="s">
        <v>311</v>
      </c>
      <c r="B6" s="168" t="s">
        <v>305</v>
      </c>
      <c r="C6" s="167" t="s">
        <v>316</v>
      </c>
      <c r="D6" s="169">
        <f>VLOOKUP($C6,Sheet1!$C$2:$D$98,2,0)</f>
        <v>122000</v>
      </c>
      <c r="E6" s="170">
        <v>1.5</v>
      </c>
      <c r="F6" s="171">
        <f t="shared" ca="1" si="2"/>
        <v>2</v>
      </c>
      <c r="G6" s="172">
        <f>IFERROR(VLOOKUP($B6,Gà!C:J,8,0),IFERROR(VLOOKUP($B6,TVP!C:J,7,0),IFERROR(VLOOKUP($B6,Kitkool!C:J,8,0),IFERROR(VLOOKUP($B6,'La Cusina'!C:J,8,0),VLOOKUP($B6,'Quốc Nhân'!C:J,8,0)))))</f>
        <v>111.5937217023836</v>
      </c>
      <c r="H6" s="173">
        <f t="shared" ref="H6:H9" ca="1" si="3">(D6-G6*1000)*$F6</f>
        <v>20812.556595232803</v>
      </c>
      <c r="I6" s="195">
        <f t="shared" ref="I6:I9" si="4">D6/(G6*1000)-1</f>
        <v>9.3251467366323393E-2</v>
      </c>
      <c r="J6" s="173">
        <f t="shared" ref="J6:J9" ca="1" si="5">F6*G6*1000</f>
        <v>223187.4434047672</v>
      </c>
      <c r="K6" s="38"/>
      <c r="L6" s="2">
        <f ca="1">IFERROR(SUMIFS(INDIRECT("'Thanh Toán ("&amp;L$3&amp;")'!$F:$F"),INDIRECT("'Thanh Toán ("&amp;L$3&amp;")'!$D:$D"),'Tổng Đơn'!$B6),0)</f>
        <v>0</v>
      </c>
      <c r="M6" s="2">
        <f ca="1">IFERROR(SUMIFS(INDIRECT("'Thanh Toán ("&amp;M$3&amp;")'!$F:$F"),INDIRECT("'Thanh Toán ("&amp;M$3&amp;")'!$D:$D"),'Tổng Đơn'!$B6),0)</f>
        <v>0</v>
      </c>
      <c r="N6" s="2">
        <f ca="1">IFERROR(SUMIFS(INDIRECT("'Thanh Toán ("&amp;N$3&amp;")'!$F:$F"),INDIRECT("'Thanh Toán ("&amp;N$3&amp;")'!$D:$D"),'Tổng Đơn'!$B6),0)</f>
        <v>0</v>
      </c>
      <c r="O6" s="2">
        <f ca="1">IFERROR(SUMIFS(INDIRECT("'Thanh Toán ("&amp;O$3&amp;")'!$F:$F"),INDIRECT("'Thanh Toán ("&amp;O$3&amp;")'!$D:$D"),'Tổng Đơn'!$B6),0)</f>
        <v>0</v>
      </c>
      <c r="P6" s="2">
        <f ca="1">IFERROR(SUMIFS(INDIRECT("'Thanh Toán ("&amp;P$3&amp;")'!$F:$F"),INDIRECT("'Thanh Toán ("&amp;P$3&amp;")'!$D:$D"),'Tổng Đơn'!$B6),0)</f>
        <v>0</v>
      </c>
      <c r="Q6" s="2">
        <f ca="1">IFERROR(SUMIFS(INDIRECT("'Thanh Toán ("&amp;Q$3&amp;")'!$F:$F"),INDIRECT("'Thanh Toán ("&amp;Q$3&amp;")'!$D:$D"),'Tổng Đơn'!$B6),0)</f>
        <v>0</v>
      </c>
      <c r="R6" s="2">
        <f ca="1">IFERROR(SUMIFS(INDIRECT("'Thanh Toán ("&amp;R$3&amp;")'!$F:$F"),INDIRECT("'Thanh Toán ("&amp;R$3&amp;")'!$D:$D"),'Tổng Đơn'!$B6),0)</f>
        <v>0</v>
      </c>
      <c r="S6" s="2">
        <f ca="1">IFERROR(SUMIFS(INDIRECT("'Thanh Toán ("&amp;S$3&amp;")'!$F:$F"),INDIRECT("'Thanh Toán ("&amp;S$3&amp;")'!$D:$D"),'Tổng Đơn'!$B6),0)</f>
        <v>0</v>
      </c>
      <c r="T6" s="2">
        <f ca="1">IFERROR(SUMIFS(INDIRECT("'Thanh Toán ("&amp;T$3&amp;")'!$F:$F"),INDIRECT("'Thanh Toán ("&amp;T$3&amp;")'!$D:$D"),'Tổng Đơn'!$B6),0)</f>
        <v>0</v>
      </c>
      <c r="U6" s="2">
        <f ca="1">IFERROR(SUMIFS(INDIRECT("'Thanh Toán ("&amp;U$3&amp;")'!$F:$F"),INDIRECT("'Thanh Toán ("&amp;U$3&amp;")'!$D:$D"),'Tổng Đơn'!$B6),0)</f>
        <v>0</v>
      </c>
      <c r="V6" s="2">
        <f ca="1">IFERROR(SUMIFS(INDIRECT("'Thanh Toán ("&amp;V$3&amp;")'!$F:$F"),INDIRECT("'Thanh Toán ("&amp;V$3&amp;")'!$D:$D"),'Tổng Đơn'!$B6),0)</f>
        <v>0</v>
      </c>
      <c r="W6" s="2">
        <f ca="1">IFERROR(SUMIFS(INDIRECT("'Thanh Toán ("&amp;W$3&amp;")'!$F:$F"),INDIRECT("'Thanh Toán ("&amp;W$3&amp;")'!$D:$D"),'Tổng Đơn'!$B6),0)</f>
        <v>2</v>
      </c>
      <c r="X6" s="2">
        <f ca="1">IFERROR(SUMIFS(INDIRECT("'Thanh Toán ("&amp;X$3&amp;")'!$F:$F"),INDIRECT("'Thanh Toán ("&amp;X$3&amp;")'!$D:$D"),'Tổng Đơn'!$B6),0)</f>
        <v>0</v>
      </c>
      <c r="Y6" s="2">
        <f ca="1">IFERROR(SUMIFS(INDIRECT("'Thanh Toán ("&amp;Y$3&amp;")'!$F:$F"),INDIRECT("'Thanh Toán ("&amp;Y$3&amp;")'!$D:$D"),'Tổng Đơn'!$B6),0)</f>
        <v>0</v>
      </c>
      <c r="Z6" s="2">
        <f ca="1">IFERROR(SUMIFS(INDIRECT("'Thanh Toán ("&amp;Z$3&amp;")'!$F:$F"),INDIRECT("'Thanh Toán ("&amp;Z$3&amp;")'!$D:$D"),'Tổng Đơn'!$B6),0)</f>
        <v>0</v>
      </c>
      <c r="AA6" s="2">
        <f ca="1">IFERROR(SUMIFS(INDIRECT("'Thanh Toán ("&amp;AA$3&amp;")'!$F:$F"),INDIRECT("'Thanh Toán ("&amp;AA$3&amp;")'!$D:$D"),'Tổng Đơn'!$B6),0)</f>
        <v>0</v>
      </c>
      <c r="AB6" s="2">
        <f ca="1">IFERROR(SUMIFS(INDIRECT("'Thanh Toán ("&amp;AB$3&amp;")'!$F:$F"),INDIRECT("'Thanh Toán ("&amp;AB$3&amp;")'!$D:$D"),'Tổng Đơn'!$B6),0)</f>
        <v>0</v>
      </c>
      <c r="AC6" s="2">
        <f ca="1">IFERROR(SUMIFS(INDIRECT("'Thanh Toán ("&amp;AC$3&amp;")'!$F:$F"),INDIRECT("'Thanh Toán ("&amp;AC$3&amp;")'!$D:$D"),'Tổng Đơn'!$B6),0)</f>
        <v>0</v>
      </c>
      <c r="AD6" s="2">
        <f ca="1">IFERROR(SUMIFS(INDIRECT("'Thanh Toán ("&amp;AD$3&amp;")'!$F:$F"),INDIRECT("'Thanh Toán ("&amp;AD$3&amp;")'!$D:$D"),'Tổng Đơn'!$B6),0)</f>
        <v>0</v>
      </c>
      <c r="AE6" s="2">
        <f ca="1">IFERROR(SUMIFS(INDIRECT("'Thanh Toán ("&amp;AE$3&amp;")'!$F:$F"),INDIRECT("'Thanh Toán ("&amp;AE$3&amp;")'!$D:$D"),'Tổng Đơn'!$B6),0)</f>
        <v>0</v>
      </c>
      <c r="AF6" s="2">
        <f ca="1">IFERROR(SUMIFS(INDIRECT("'Thanh Toán ("&amp;AF$3&amp;")'!$F:$F"),INDIRECT("'Thanh Toán ("&amp;AF$3&amp;")'!$D:$D"),'Tổng Đơn'!$B6),0)</f>
        <v>0</v>
      </c>
      <c r="AG6" s="2">
        <f ca="1">IFERROR(SUMIFS(INDIRECT("'Thanh Toán ("&amp;AG$3&amp;")'!$F:$F"),INDIRECT("'Thanh Toán ("&amp;AG$3&amp;")'!$D:$D"),'Tổng Đơn'!$B6),0)</f>
        <v>0</v>
      </c>
      <c r="AH6" s="2">
        <f ca="1">IFERROR(SUMIFS(INDIRECT("'Thanh Toán ("&amp;AH$3&amp;")'!$F:$F"),INDIRECT("'Thanh Toán ("&amp;AH$3&amp;")'!$D:$D"),'Tổng Đơn'!$B6),0)</f>
        <v>0</v>
      </c>
      <c r="AI6" s="2">
        <f ca="1">IFERROR(SUMIFS(INDIRECT("'Thanh Toán ("&amp;AI$3&amp;")'!$F:$F"),INDIRECT("'Thanh Toán ("&amp;AI$3&amp;")'!$D:$D"),'Tổng Đơn'!$B6),0)</f>
        <v>0</v>
      </c>
      <c r="AJ6" s="2">
        <f ca="1">IFERROR(SUMIFS(INDIRECT("'Thanh Toán ("&amp;AJ$3&amp;")'!$F:$F"),INDIRECT("'Thanh Toán ("&amp;AJ$3&amp;")'!$D:$D"),'Tổng Đơn'!$B6),0)</f>
        <v>0</v>
      </c>
      <c r="AK6" s="2">
        <f ca="1">IFERROR(SUMIFS(INDIRECT("'Thanh Toán ("&amp;AK$3&amp;")'!$F:$F"),INDIRECT("'Thanh Toán ("&amp;AK$3&amp;")'!$D:$D"),'Tổng Đơn'!$B6),0)</f>
        <v>0</v>
      </c>
      <c r="AL6" s="2">
        <f ca="1">IFERROR(SUMIFS(INDIRECT("'Thanh Toán ("&amp;AL$3&amp;")'!$F:$F"),INDIRECT("'Thanh Toán ("&amp;AL$3&amp;")'!$D:$D"),'Tổng Đơn'!$B6),0)</f>
        <v>0</v>
      </c>
      <c r="AM6" s="2">
        <f ca="1">IFERROR(SUMIFS(INDIRECT("'Thanh Toán ("&amp;AM$3&amp;")'!$F:$F"),INDIRECT("'Thanh Toán ("&amp;AM$3&amp;")'!$D:$D"),'Tổng Đơn'!$B6),0)</f>
        <v>0</v>
      </c>
      <c r="AN6" s="2">
        <f ca="1">IFERROR(SUMIFS(INDIRECT("'Thanh Toán ("&amp;AN$3&amp;")'!$F:$F"),INDIRECT("'Thanh Toán ("&amp;AN$3&amp;")'!$D:$D"),'Tổng Đơn'!$B6),0)</f>
        <v>0</v>
      </c>
      <c r="AO6" s="2">
        <f ca="1">IFERROR(SUMIFS(INDIRECT("'Thanh Toán ("&amp;AO$3&amp;")'!$F:$F"),INDIRECT("'Thanh Toán ("&amp;AO$3&amp;")'!$D:$D"),'Tổng Đơn'!$B6),0)</f>
        <v>0</v>
      </c>
      <c r="AP6" s="2">
        <f ca="1">IFERROR(SUMIFS(INDIRECT("'Thanh Toán ("&amp;AP$3&amp;")'!$F:$F"),INDIRECT("'Thanh Toán ("&amp;AP$3&amp;")'!$D:$D"),'Tổng Đơn'!$B6),0)</f>
        <v>0</v>
      </c>
      <c r="AQ6" s="2">
        <f ca="1">IFERROR(SUMIFS(INDIRECT("'Thanh Toán ("&amp;AQ$3&amp;")'!$F:$F"),INDIRECT("'Thanh Toán ("&amp;AQ$3&amp;")'!$D:$D"),'Tổng Đơn'!$B6),0)</f>
        <v>0</v>
      </c>
      <c r="AR6" s="2">
        <f ca="1">IFERROR(SUMIFS(INDIRECT("'Thanh Toán ("&amp;AR$3&amp;")'!$F:$F"),INDIRECT("'Thanh Toán ("&amp;AR$3&amp;")'!$D:$D"),'Tổng Đơn'!$B6),0)</f>
        <v>0</v>
      </c>
      <c r="AS6" s="2">
        <f ca="1">IFERROR(SUMIFS(INDIRECT("'Thanh Toán ("&amp;AS$3&amp;")'!$F:$F"),INDIRECT("'Thanh Toán ("&amp;AS$3&amp;")'!$D:$D"),'Tổng Đơn'!$B6),0)</f>
        <v>0</v>
      </c>
      <c r="AT6" s="2">
        <f ca="1">IFERROR(SUMIFS(INDIRECT("'Thanh Toán ("&amp;AT$3&amp;")'!$F:$F"),INDIRECT("'Thanh Toán ("&amp;AT$3&amp;")'!$D:$D"),'Tổng Đơn'!$B6),0)</f>
        <v>0</v>
      </c>
      <c r="AU6" s="2">
        <f ca="1">IFERROR(SUMIFS(INDIRECT("'Thanh Toán ("&amp;AU$3&amp;")'!$F:$F"),INDIRECT("'Thanh Toán ("&amp;AU$3&amp;")'!$D:$D"),'Tổng Đơn'!$B6),0)</f>
        <v>0</v>
      </c>
      <c r="AV6" s="2">
        <f ca="1">IFERROR(SUMIFS(INDIRECT("'Thanh Toán ("&amp;AV$3&amp;")'!$F:$F"),INDIRECT("'Thanh Toán ("&amp;AV$3&amp;")'!$D:$D"),'Tổng Đơn'!$B6),0)</f>
        <v>0</v>
      </c>
      <c r="AW6" s="2">
        <f ca="1">IFERROR(SUMIFS(INDIRECT("'Thanh Toán ("&amp;AW$3&amp;")'!$F:$F"),INDIRECT("'Thanh Toán ("&amp;AW$3&amp;")'!$D:$D"),'Tổng Đơn'!$B6),0)</f>
        <v>0</v>
      </c>
      <c r="AX6" s="2">
        <f ca="1">IFERROR(SUMIFS(INDIRECT("'Thanh Toán ("&amp;AX$3&amp;")'!$F:$F"),INDIRECT("'Thanh Toán ("&amp;AX$3&amp;")'!$D:$D"),'Tổng Đơn'!$B6),0)</f>
        <v>0</v>
      </c>
      <c r="AY6" s="2">
        <f ca="1">IFERROR(SUMIFS(INDIRECT("'Thanh Toán ("&amp;AY$3&amp;")'!$F:$F"),INDIRECT("'Thanh Toán ("&amp;AY$3&amp;")'!$D:$D"),'Tổng Đơn'!$B6),0)</f>
        <v>0</v>
      </c>
      <c r="AZ6" s="2">
        <f ca="1">IFERROR(SUMIFS(INDIRECT("'Thanh Toán ("&amp;AZ$3&amp;")'!$F:$F"),INDIRECT("'Thanh Toán ("&amp;AZ$3&amp;")'!$D:$D"),'Tổng Đơn'!$B6),0)</f>
        <v>0</v>
      </c>
      <c r="BA6" s="2">
        <f ca="1">IFERROR(SUMIFS(INDIRECT("'Thanh Toán ("&amp;BA$3&amp;")'!$F:$F"),INDIRECT("'Thanh Toán ("&amp;BA$3&amp;")'!$D:$D"),'Tổng Đơn'!$B6),0)</f>
        <v>0</v>
      </c>
      <c r="BB6" s="2">
        <f ca="1">IFERROR(SUMIFS(INDIRECT("'Thanh Toán ("&amp;BB$3&amp;")'!$F:$F"),INDIRECT("'Thanh Toán ("&amp;BB$3&amp;")'!$D:$D"),'Tổng Đơn'!$B6),0)</f>
        <v>0</v>
      </c>
      <c r="BC6" s="2">
        <f ca="1">IFERROR(SUMIFS(INDIRECT("'Thanh Toán ("&amp;BC$3&amp;")'!$F:$F"),INDIRECT("'Thanh Toán ("&amp;BC$3&amp;")'!$D:$D"),'Tổng Đơn'!$B6),0)</f>
        <v>0</v>
      </c>
    </row>
    <row r="7" spans="1:55" ht="18" customHeight="1" x14ac:dyDescent="0.25">
      <c r="A7" s="167" t="s">
        <v>312</v>
      </c>
      <c r="B7" s="168" t="s">
        <v>306</v>
      </c>
      <c r="C7" s="167" t="s">
        <v>317</v>
      </c>
      <c r="D7" s="169">
        <f>VLOOKUP($C7,Sheet1!$C$2:$D$98,2,0)</f>
        <v>95000</v>
      </c>
      <c r="E7" s="170">
        <v>1</v>
      </c>
      <c r="F7" s="171">
        <f t="shared" ca="1" si="2"/>
        <v>0</v>
      </c>
      <c r="G7" s="172">
        <f>IFERROR(VLOOKUP($B7,Gà!C:J,8,0),IFERROR(VLOOKUP($B7,TVP!C:J,7,0),IFERROR(VLOOKUP($B7,Kitkool!C:J,8,0),IFERROR(VLOOKUP($B7,'La Cusina'!C:J,8,0),VLOOKUP($B7,'Quốc Nhân'!C:J,8,0)))))</f>
        <v>84.202535466343988</v>
      </c>
      <c r="H7" s="173">
        <f t="shared" ca="1" si="3"/>
        <v>0</v>
      </c>
      <c r="I7" s="195">
        <f t="shared" si="4"/>
        <v>0.1282320594487536</v>
      </c>
      <c r="J7" s="173">
        <f t="shared" ca="1" si="5"/>
        <v>0</v>
      </c>
      <c r="K7" s="38"/>
      <c r="L7" s="2">
        <f ca="1">IFERROR(SUMIFS(INDIRECT("'Thanh Toán ("&amp;L$3&amp;")'!$F:$F"),INDIRECT("'Thanh Toán ("&amp;L$3&amp;")'!$D:$D"),'Tổng Đơn'!$B7),0)</f>
        <v>0</v>
      </c>
      <c r="M7" s="2">
        <f ca="1">IFERROR(SUMIFS(INDIRECT("'Thanh Toán ("&amp;M$3&amp;")'!$F:$F"),INDIRECT("'Thanh Toán ("&amp;M$3&amp;")'!$D:$D"),'Tổng Đơn'!$B7),0)</f>
        <v>0</v>
      </c>
      <c r="N7" s="2">
        <f ca="1">IFERROR(SUMIFS(INDIRECT("'Thanh Toán ("&amp;N$3&amp;")'!$F:$F"),INDIRECT("'Thanh Toán ("&amp;N$3&amp;")'!$D:$D"),'Tổng Đơn'!$B7),0)</f>
        <v>0</v>
      </c>
      <c r="O7" s="2">
        <f ca="1">IFERROR(SUMIFS(INDIRECT("'Thanh Toán ("&amp;O$3&amp;")'!$F:$F"),INDIRECT("'Thanh Toán ("&amp;O$3&amp;")'!$D:$D"),'Tổng Đơn'!$B7),0)</f>
        <v>0</v>
      </c>
      <c r="P7" s="2">
        <f ca="1">IFERROR(SUMIFS(INDIRECT("'Thanh Toán ("&amp;P$3&amp;")'!$F:$F"),INDIRECT("'Thanh Toán ("&amp;P$3&amp;")'!$D:$D"),'Tổng Đơn'!$B7),0)</f>
        <v>0</v>
      </c>
      <c r="Q7" s="2">
        <f ca="1">IFERROR(SUMIFS(INDIRECT("'Thanh Toán ("&amp;Q$3&amp;")'!$F:$F"),INDIRECT("'Thanh Toán ("&amp;Q$3&amp;")'!$D:$D"),'Tổng Đơn'!$B7),0)</f>
        <v>0</v>
      </c>
      <c r="R7" s="2">
        <f ca="1">IFERROR(SUMIFS(INDIRECT("'Thanh Toán ("&amp;R$3&amp;")'!$F:$F"),INDIRECT("'Thanh Toán ("&amp;R$3&amp;")'!$D:$D"),'Tổng Đơn'!$B7),0)</f>
        <v>0</v>
      </c>
      <c r="S7" s="2">
        <f ca="1">IFERROR(SUMIFS(INDIRECT("'Thanh Toán ("&amp;S$3&amp;")'!$F:$F"),INDIRECT("'Thanh Toán ("&amp;S$3&amp;")'!$D:$D"),'Tổng Đơn'!$B7),0)</f>
        <v>0</v>
      </c>
      <c r="T7" s="2">
        <f ca="1">IFERROR(SUMIFS(INDIRECT("'Thanh Toán ("&amp;T$3&amp;")'!$F:$F"),INDIRECT("'Thanh Toán ("&amp;T$3&amp;")'!$D:$D"),'Tổng Đơn'!$B7),0)</f>
        <v>0</v>
      </c>
      <c r="U7" s="2">
        <f ca="1">IFERROR(SUMIFS(INDIRECT("'Thanh Toán ("&amp;U$3&amp;")'!$F:$F"),INDIRECT("'Thanh Toán ("&amp;U$3&amp;")'!$D:$D"),'Tổng Đơn'!$B7),0)</f>
        <v>0</v>
      </c>
      <c r="V7" s="2">
        <f ca="1">IFERROR(SUMIFS(INDIRECT("'Thanh Toán ("&amp;V$3&amp;")'!$F:$F"),INDIRECT("'Thanh Toán ("&amp;V$3&amp;")'!$D:$D"),'Tổng Đơn'!$B7),0)</f>
        <v>0</v>
      </c>
      <c r="W7" s="2">
        <f ca="1">IFERROR(SUMIFS(INDIRECT("'Thanh Toán ("&amp;W$3&amp;")'!$F:$F"),INDIRECT("'Thanh Toán ("&amp;W$3&amp;")'!$D:$D"),'Tổng Đơn'!$B7),0)</f>
        <v>0</v>
      </c>
      <c r="X7" s="2">
        <f ca="1">IFERROR(SUMIFS(INDIRECT("'Thanh Toán ("&amp;X$3&amp;")'!$F:$F"),INDIRECT("'Thanh Toán ("&amp;X$3&amp;")'!$D:$D"),'Tổng Đơn'!$B7),0)</f>
        <v>0</v>
      </c>
      <c r="Y7" s="2">
        <f ca="1">IFERROR(SUMIFS(INDIRECT("'Thanh Toán ("&amp;Y$3&amp;")'!$F:$F"),INDIRECT("'Thanh Toán ("&amp;Y$3&amp;")'!$D:$D"),'Tổng Đơn'!$B7),0)</f>
        <v>0</v>
      </c>
      <c r="Z7" s="2">
        <f ca="1">IFERROR(SUMIFS(INDIRECT("'Thanh Toán ("&amp;Z$3&amp;")'!$F:$F"),INDIRECT("'Thanh Toán ("&amp;Z$3&amp;")'!$D:$D"),'Tổng Đơn'!$B7),0)</f>
        <v>0</v>
      </c>
      <c r="AA7" s="2">
        <f ca="1">IFERROR(SUMIFS(INDIRECT("'Thanh Toán ("&amp;AA$3&amp;")'!$F:$F"),INDIRECT("'Thanh Toán ("&amp;AA$3&amp;")'!$D:$D"),'Tổng Đơn'!$B7),0)</f>
        <v>0</v>
      </c>
      <c r="AB7" s="2">
        <f ca="1">IFERROR(SUMIFS(INDIRECT("'Thanh Toán ("&amp;AB$3&amp;")'!$F:$F"),INDIRECT("'Thanh Toán ("&amp;AB$3&amp;")'!$D:$D"),'Tổng Đơn'!$B7),0)</f>
        <v>0</v>
      </c>
      <c r="AC7" s="2">
        <f ca="1">IFERROR(SUMIFS(INDIRECT("'Thanh Toán ("&amp;AC$3&amp;")'!$F:$F"),INDIRECT("'Thanh Toán ("&amp;AC$3&amp;")'!$D:$D"),'Tổng Đơn'!$B7),0)</f>
        <v>0</v>
      </c>
      <c r="AD7" s="2">
        <f ca="1">IFERROR(SUMIFS(INDIRECT("'Thanh Toán ("&amp;AD$3&amp;")'!$F:$F"),INDIRECT("'Thanh Toán ("&amp;AD$3&amp;")'!$D:$D"),'Tổng Đơn'!$B7),0)</f>
        <v>0</v>
      </c>
      <c r="AE7" s="2">
        <f ca="1">IFERROR(SUMIFS(INDIRECT("'Thanh Toán ("&amp;AE$3&amp;")'!$F:$F"),INDIRECT("'Thanh Toán ("&amp;AE$3&amp;")'!$D:$D"),'Tổng Đơn'!$B7),0)</f>
        <v>0</v>
      </c>
      <c r="AF7" s="2">
        <f ca="1">IFERROR(SUMIFS(INDIRECT("'Thanh Toán ("&amp;AF$3&amp;")'!$F:$F"),INDIRECT("'Thanh Toán ("&amp;AF$3&amp;")'!$D:$D"),'Tổng Đơn'!$B7),0)</f>
        <v>0</v>
      </c>
      <c r="AG7" s="2">
        <f ca="1">IFERROR(SUMIFS(INDIRECT("'Thanh Toán ("&amp;AG$3&amp;")'!$F:$F"),INDIRECT("'Thanh Toán ("&amp;AG$3&amp;")'!$D:$D"),'Tổng Đơn'!$B7),0)</f>
        <v>0</v>
      </c>
      <c r="AH7" s="2">
        <f ca="1">IFERROR(SUMIFS(INDIRECT("'Thanh Toán ("&amp;AH$3&amp;")'!$F:$F"),INDIRECT("'Thanh Toán ("&amp;AH$3&amp;")'!$D:$D"),'Tổng Đơn'!$B7),0)</f>
        <v>0</v>
      </c>
      <c r="AI7" s="2">
        <f ca="1">IFERROR(SUMIFS(INDIRECT("'Thanh Toán ("&amp;AI$3&amp;")'!$F:$F"),INDIRECT("'Thanh Toán ("&amp;AI$3&amp;")'!$D:$D"),'Tổng Đơn'!$B7),0)</f>
        <v>0</v>
      </c>
      <c r="AJ7" s="2">
        <f ca="1">IFERROR(SUMIFS(INDIRECT("'Thanh Toán ("&amp;AJ$3&amp;")'!$F:$F"),INDIRECT("'Thanh Toán ("&amp;AJ$3&amp;")'!$D:$D"),'Tổng Đơn'!$B7),0)</f>
        <v>0</v>
      </c>
      <c r="AK7" s="2">
        <f ca="1">IFERROR(SUMIFS(INDIRECT("'Thanh Toán ("&amp;AK$3&amp;")'!$F:$F"),INDIRECT("'Thanh Toán ("&amp;AK$3&amp;")'!$D:$D"),'Tổng Đơn'!$B7),0)</f>
        <v>0</v>
      </c>
      <c r="AL7" s="2">
        <f ca="1">IFERROR(SUMIFS(INDIRECT("'Thanh Toán ("&amp;AL$3&amp;")'!$F:$F"),INDIRECT("'Thanh Toán ("&amp;AL$3&amp;")'!$D:$D"),'Tổng Đơn'!$B7),0)</f>
        <v>0</v>
      </c>
      <c r="AM7" s="2">
        <f ca="1">IFERROR(SUMIFS(INDIRECT("'Thanh Toán ("&amp;AM$3&amp;")'!$F:$F"),INDIRECT("'Thanh Toán ("&amp;AM$3&amp;")'!$D:$D"),'Tổng Đơn'!$B7),0)</f>
        <v>0</v>
      </c>
      <c r="AN7" s="2">
        <f ca="1">IFERROR(SUMIFS(INDIRECT("'Thanh Toán ("&amp;AN$3&amp;")'!$F:$F"),INDIRECT("'Thanh Toán ("&amp;AN$3&amp;")'!$D:$D"),'Tổng Đơn'!$B7),0)</f>
        <v>0</v>
      </c>
      <c r="AO7" s="2">
        <f ca="1">IFERROR(SUMIFS(INDIRECT("'Thanh Toán ("&amp;AO$3&amp;")'!$F:$F"),INDIRECT("'Thanh Toán ("&amp;AO$3&amp;")'!$D:$D"),'Tổng Đơn'!$B7),0)</f>
        <v>0</v>
      </c>
      <c r="AP7" s="2">
        <f ca="1">IFERROR(SUMIFS(INDIRECT("'Thanh Toán ("&amp;AP$3&amp;")'!$F:$F"),INDIRECT("'Thanh Toán ("&amp;AP$3&amp;")'!$D:$D"),'Tổng Đơn'!$B7),0)</f>
        <v>0</v>
      </c>
      <c r="AQ7" s="2">
        <f ca="1">IFERROR(SUMIFS(INDIRECT("'Thanh Toán ("&amp;AQ$3&amp;")'!$F:$F"),INDIRECT("'Thanh Toán ("&amp;AQ$3&amp;")'!$D:$D"),'Tổng Đơn'!$B7),0)</f>
        <v>0</v>
      </c>
      <c r="AR7" s="2">
        <f ca="1">IFERROR(SUMIFS(INDIRECT("'Thanh Toán ("&amp;AR$3&amp;")'!$F:$F"),INDIRECT("'Thanh Toán ("&amp;AR$3&amp;")'!$D:$D"),'Tổng Đơn'!$B7),0)</f>
        <v>0</v>
      </c>
      <c r="AS7" s="2">
        <f ca="1">IFERROR(SUMIFS(INDIRECT("'Thanh Toán ("&amp;AS$3&amp;")'!$F:$F"),INDIRECT("'Thanh Toán ("&amp;AS$3&amp;")'!$D:$D"),'Tổng Đơn'!$B7),0)</f>
        <v>0</v>
      </c>
      <c r="AT7" s="2">
        <f ca="1">IFERROR(SUMIFS(INDIRECT("'Thanh Toán ("&amp;AT$3&amp;")'!$F:$F"),INDIRECT("'Thanh Toán ("&amp;AT$3&amp;")'!$D:$D"),'Tổng Đơn'!$B7),0)</f>
        <v>0</v>
      </c>
      <c r="AU7" s="2">
        <f ca="1">IFERROR(SUMIFS(INDIRECT("'Thanh Toán ("&amp;AU$3&amp;")'!$F:$F"),INDIRECT("'Thanh Toán ("&amp;AU$3&amp;")'!$D:$D"),'Tổng Đơn'!$B7),0)</f>
        <v>0</v>
      </c>
      <c r="AV7" s="2">
        <f ca="1">IFERROR(SUMIFS(INDIRECT("'Thanh Toán ("&amp;AV$3&amp;")'!$F:$F"),INDIRECT("'Thanh Toán ("&amp;AV$3&amp;")'!$D:$D"),'Tổng Đơn'!$B7),0)</f>
        <v>0</v>
      </c>
      <c r="AW7" s="2">
        <f ca="1">IFERROR(SUMIFS(INDIRECT("'Thanh Toán ("&amp;AW$3&amp;")'!$F:$F"),INDIRECT("'Thanh Toán ("&amp;AW$3&amp;")'!$D:$D"),'Tổng Đơn'!$B7),0)</f>
        <v>0</v>
      </c>
      <c r="AX7" s="2">
        <f ca="1">IFERROR(SUMIFS(INDIRECT("'Thanh Toán ("&amp;AX$3&amp;")'!$F:$F"),INDIRECT("'Thanh Toán ("&amp;AX$3&amp;")'!$D:$D"),'Tổng Đơn'!$B7),0)</f>
        <v>0</v>
      </c>
      <c r="AY7" s="2">
        <f ca="1">IFERROR(SUMIFS(INDIRECT("'Thanh Toán ("&amp;AY$3&amp;")'!$F:$F"),INDIRECT("'Thanh Toán ("&amp;AY$3&amp;")'!$D:$D"),'Tổng Đơn'!$B7),0)</f>
        <v>0</v>
      </c>
      <c r="AZ7" s="2">
        <f ca="1">IFERROR(SUMIFS(INDIRECT("'Thanh Toán ("&amp;AZ$3&amp;")'!$F:$F"),INDIRECT("'Thanh Toán ("&amp;AZ$3&amp;")'!$D:$D"),'Tổng Đơn'!$B7),0)</f>
        <v>0</v>
      </c>
      <c r="BA7" s="2">
        <f ca="1">IFERROR(SUMIFS(INDIRECT("'Thanh Toán ("&amp;BA$3&amp;")'!$F:$F"),INDIRECT("'Thanh Toán ("&amp;BA$3&amp;")'!$D:$D"),'Tổng Đơn'!$B7),0)</f>
        <v>0</v>
      </c>
      <c r="BB7" s="2">
        <f ca="1">IFERROR(SUMIFS(INDIRECT("'Thanh Toán ("&amp;BB$3&amp;")'!$F:$F"),INDIRECT("'Thanh Toán ("&amp;BB$3&amp;")'!$D:$D"),'Tổng Đơn'!$B7),0)</f>
        <v>0</v>
      </c>
      <c r="BC7" s="2">
        <f ca="1">IFERROR(SUMIFS(INDIRECT("'Thanh Toán ("&amp;BC$3&amp;")'!$F:$F"),INDIRECT("'Thanh Toán ("&amp;BC$3&amp;")'!$D:$D"),'Tổng Đơn'!$B7),0)</f>
        <v>0</v>
      </c>
    </row>
    <row r="8" spans="1:55" ht="18" customHeight="1" x14ac:dyDescent="0.25">
      <c r="A8" s="167" t="s">
        <v>313</v>
      </c>
      <c r="B8" s="168" t="s">
        <v>320</v>
      </c>
      <c r="C8" s="167" t="s">
        <v>318</v>
      </c>
      <c r="D8" s="169">
        <f>VLOOKUP($C8,Sheet1!$C$2:$D$98,2,0)</f>
        <v>116000</v>
      </c>
      <c r="E8" s="170">
        <v>1.2</v>
      </c>
      <c r="F8" s="171">
        <f t="shared" ca="1" si="2"/>
        <v>0</v>
      </c>
      <c r="G8" s="172">
        <f>IFERROR(VLOOKUP($B8,Gà!C:J,8,0),IFERROR(VLOOKUP($B8,TVP!C:J,7,0),IFERROR(VLOOKUP($B8,Kitkool!C:J,8,0),IFERROR(VLOOKUP($B8,'La Cusina'!C:J,8,0),VLOOKUP($B8,'Quốc Nhân'!C:J,8,0)))))</f>
        <v>104.49230304859556</v>
      </c>
      <c r="H8" s="173">
        <f t="shared" ca="1" si="3"/>
        <v>0</v>
      </c>
      <c r="I8" s="195">
        <f t="shared" si="4"/>
        <v>0.11012961352811446</v>
      </c>
      <c r="J8" s="173">
        <f t="shared" ca="1" si="5"/>
        <v>0</v>
      </c>
      <c r="K8" s="38"/>
      <c r="L8" s="2">
        <f ca="1">IFERROR(SUMIFS(INDIRECT("'Thanh Toán ("&amp;L$3&amp;")'!$F:$F"),INDIRECT("'Thanh Toán ("&amp;L$3&amp;")'!$D:$D"),'Tổng Đơn'!$B8),0)</f>
        <v>0</v>
      </c>
      <c r="M8" s="2">
        <f ca="1">IFERROR(SUMIFS(INDIRECT("'Thanh Toán ("&amp;M$3&amp;")'!$F:$F"),INDIRECT("'Thanh Toán ("&amp;M$3&amp;")'!$D:$D"),'Tổng Đơn'!$B8),0)</f>
        <v>0</v>
      </c>
      <c r="N8" s="2">
        <f ca="1">IFERROR(SUMIFS(INDIRECT("'Thanh Toán ("&amp;N$3&amp;")'!$F:$F"),INDIRECT("'Thanh Toán ("&amp;N$3&amp;")'!$D:$D"),'Tổng Đơn'!$B8),0)</f>
        <v>0</v>
      </c>
      <c r="O8" s="2">
        <f ca="1">IFERROR(SUMIFS(INDIRECT("'Thanh Toán ("&amp;O$3&amp;")'!$F:$F"),INDIRECT("'Thanh Toán ("&amp;O$3&amp;")'!$D:$D"),'Tổng Đơn'!$B8),0)</f>
        <v>0</v>
      </c>
      <c r="P8" s="2">
        <f ca="1">IFERROR(SUMIFS(INDIRECT("'Thanh Toán ("&amp;P$3&amp;")'!$F:$F"),INDIRECT("'Thanh Toán ("&amp;P$3&amp;")'!$D:$D"),'Tổng Đơn'!$B8),0)</f>
        <v>0</v>
      </c>
      <c r="Q8" s="2">
        <f ca="1">IFERROR(SUMIFS(INDIRECT("'Thanh Toán ("&amp;Q$3&amp;")'!$F:$F"),INDIRECT("'Thanh Toán ("&amp;Q$3&amp;")'!$D:$D"),'Tổng Đơn'!$B8),0)</f>
        <v>0</v>
      </c>
      <c r="R8" s="2">
        <f ca="1">IFERROR(SUMIFS(INDIRECT("'Thanh Toán ("&amp;R$3&amp;")'!$F:$F"),INDIRECT("'Thanh Toán ("&amp;R$3&amp;")'!$D:$D"),'Tổng Đơn'!$B8),0)</f>
        <v>0</v>
      </c>
      <c r="S8" s="2">
        <f ca="1">IFERROR(SUMIFS(INDIRECT("'Thanh Toán ("&amp;S$3&amp;")'!$F:$F"),INDIRECT("'Thanh Toán ("&amp;S$3&amp;")'!$D:$D"),'Tổng Đơn'!$B8),0)</f>
        <v>0</v>
      </c>
      <c r="T8" s="2">
        <f ca="1">IFERROR(SUMIFS(INDIRECT("'Thanh Toán ("&amp;T$3&amp;")'!$F:$F"),INDIRECT("'Thanh Toán ("&amp;T$3&amp;")'!$D:$D"),'Tổng Đơn'!$B8),0)</f>
        <v>0</v>
      </c>
      <c r="U8" s="2">
        <f ca="1">IFERROR(SUMIFS(INDIRECT("'Thanh Toán ("&amp;U$3&amp;")'!$F:$F"),INDIRECT("'Thanh Toán ("&amp;U$3&amp;")'!$D:$D"),'Tổng Đơn'!$B8),0)</f>
        <v>0</v>
      </c>
      <c r="V8" s="2">
        <f ca="1">IFERROR(SUMIFS(INDIRECT("'Thanh Toán ("&amp;V$3&amp;")'!$F:$F"),INDIRECT("'Thanh Toán ("&amp;V$3&amp;")'!$D:$D"),'Tổng Đơn'!$B8),0)</f>
        <v>0</v>
      </c>
      <c r="W8" s="2">
        <f ca="1">IFERROR(SUMIFS(INDIRECT("'Thanh Toán ("&amp;W$3&amp;")'!$F:$F"),INDIRECT("'Thanh Toán ("&amp;W$3&amp;")'!$D:$D"),'Tổng Đơn'!$B8),0)</f>
        <v>0</v>
      </c>
      <c r="X8" s="2">
        <f ca="1">IFERROR(SUMIFS(INDIRECT("'Thanh Toán ("&amp;X$3&amp;")'!$F:$F"),INDIRECT("'Thanh Toán ("&amp;X$3&amp;")'!$D:$D"),'Tổng Đơn'!$B8),0)</f>
        <v>0</v>
      </c>
      <c r="Y8" s="2">
        <f ca="1">IFERROR(SUMIFS(INDIRECT("'Thanh Toán ("&amp;Y$3&amp;")'!$F:$F"),INDIRECT("'Thanh Toán ("&amp;Y$3&amp;")'!$D:$D"),'Tổng Đơn'!$B8),0)</f>
        <v>0</v>
      </c>
      <c r="Z8" s="2">
        <f ca="1">IFERROR(SUMIFS(INDIRECT("'Thanh Toán ("&amp;Z$3&amp;")'!$F:$F"),INDIRECT("'Thanh Toán ("&amp;Z$3&amp;")'!$D:$D"),'Tổng Đơn'!$B8),0)</f>
        <v>0</v>
      </c>
      <c r="AA8" s="2">
        <f ca="1">IFERROR(SUMIFS(INDIRECT("'Thanh Toán ("&amp;AA$3&amp;")'!$F:$F"),INDIRECT("'Thanh Toán ("&amp;AA$3&amp;")'!$D:$D"),'Tổng Đơn'!$B8),0)</f>
        <v>0</v>
      </c>
      <c r="AB8" s="2">
        <f ca="1">IFERROR(SUMIFS(INDIRECT("'Thanh Toán ("&amp;AB$3&amp;")'!$F:$F"),INDIRECT("'Thanh Toán ("&amp;AB$3&amp;")'!$D:$D"),'Tổng Đơn'!$B8),0)</f>
        <v>0</v>
      </c>
      <c r="AC8" s="2">
        <f ca="1">IFERROR(SUMIFS(INDIRECT("'Thanh Toán ("&amp;AC$3&amp;")'!$F:$F"),INDIRECT("'Thanh Toán ("&amp;AC$3&amp;")'!$D:$D"),'Tổng Đơn'!$B8),0)</f>
        <v>0</v>
      </c>
      <c r="AD8" s="2">
        <f ca="1">IFERROR(SUMIFS(INDIRECT("'Thanh Toán ("&amp;AD$3&amp;")'!$F:$F"),INDIRECT("'Thanh Toán ("&amp;AD$3&amp;")'!$D:$D"),'Tổng Đơn'!$B8),0)</f>
        <v>0</v>
      </c>
      <c r="AE8" s="2">
        <f ca="1">IFERROR(SUMIFS(INDIRECT("'Thanh Toán ("&amp;AE$3&amp;")'!$F:$F"),INDIRECT("'Thanh Toán ("&amp;AE$3&amp;")'!$D:$D"),'Tổng Đơn'!$B8),0)</f>
        <v>0</v>
      </c>
      <c r="AF8" s="2">
        <f ca="1">IFERROR(SUMIFS(INDIRECT("'Thanh Toán ("&amp;AF$3&amp;")'!$F:$F"),INDIRECT("'Thanh Toán ("&amp;AF$3&amp;")'!$D:$D"),'Tổng Đơn'!$B8),0)</f>
        <v>0</v>
      </c>
      <c r="AG8" s="2">
        <f ca="1">IFERROR(SUMIFS(INDIRECT("'Thanh Toán ("&amp;AG$3&amp;")'!$F:$F"),INDIRECT("'Thanh Toán ("&amp;AG$3&amp;")'!$D:$D"),'Tổng Đơn'!$B8),0)</f>
        <v>0</v>
      </c>
      <c r="AH8" s="2">
        <f ca="1">IFERROR(SUMIFS(INDIRECT("'Thanh Toán ("&amp;AH$3&amp;")'!$F:$F"),INDIRECT("'Thanh Toán ("&amp;AH$3&amp;")'!$D:$D"),'Tổng Đơn'!$B8),0)</f>
        <v>0</v>
      </c>
      <c r="AI8" s="2">
        <f ca="1">IFERROR(SUMIFS(INDIRECT("'Thanh Toán ("&amp;AI$3&amp;")'!$F:$F"),INDIRECT("'Thanh Toán ("&amp;AI$3&amp;")'!$D:$D"),'Tổng Đơn'!$B8),0)</f>
        <v>0</v>
      </c>
      <c r="AJ8" s="2">
        <f ca="1">IFERROR(SUMIFS(INDIRECT("'Thanh Toán ("&amp;AJ$3&amp;")'!$F:$F"),INDIRECT("'Thanh Toán ("&amp;AJ$3&amp;")'!$D:$D"),'Tổng Đơn'!$B8),0)</f>
        <v>0</v>
      </c>
      <c r="AK8" s="2">
        <f ca="1">IFERROR(SUMIFS(INDIRECT("'Thanh Toán ("&amp;AK$3&amp;")'!$F:$F"),INDIRECT("'Thanh Toán ("&amp;AK$3&amp;")'!$D:$D"),'Tổng Đơn'!$B8),0)</f>
        <v>0</v>
      </c>
      <c r="AL8" s="2">
        <f ca="1">IFERROR(SUMIFS(INDIRECT("'Thanh Toán ("&amp;AL$3&amp;")'!$F:$F"),INDIRECT("'Thanh Toán ("&amp;AL$3&amp;")'!$D:$D"),'Tổng Đơn'!$B8),0)</f>
        <v>0</v>
      </c>
      <c r="AM8" s="2">
        <f ca="1">IFERROR(SUMIFS(INDIRECT("'Thanh Toán ("&amp;AM$3&amp;")'!$F:$F"),INDIRECT("'Thanh Toán ("&amp;AM$3&amp;")'!$D:$D"),'Tổng Đơn'!$B8),0)</f>
        <v>0</v>
      </c>
      <c r="AN8" s="2">
        <f ca="1">IFERROR(SUMIFS(INDIRECT("'Thanh Toán ("&amp;AN$3&amp;")'!$F:$F"),INDIRECT("'Thanh Toán ("&amp;AN$3&amp;")'!$D:$D"),'Tổng Đơn'!$B8),0)</f>
        <v>0</v>
      </c>
      <c r="AO8" s="2">
        <f ca="1">IFERROR(SUMIFS(INDIRECT("'Thanh Toán ("&amp;AO$3&amp;")'!$F:$F"),INDIRECT("'Thanh Toán ("&amp;AO$3&amp;")'!$D:$D"),'Tổng Đơn'!$B8),0)</f>
        <v>0</v>
      </c>
      <c r="AP8" s="2">
        <f ca="1">IFERROR(SUMIFS(INDIRECT("'Thanh Toán ("&amp;AP$3&amp;")'!$F:$F"),INDIRECT("'Thanh Toán ("&amp;AP$3&amp;")'!$D:$D"),'Tổng Đơn'!$B8),0)</f>
        <v>0</v>
      </c>
      <c r="AQ8" s="2">
        <f ca="1">IFERROR(SUMIFS(INDIRECT("'Thanh Toán ("&amp;AQ$3&amp;")'!$F:$F"),INDIRECT("'Thanh Toán ("&amp;AQ$3&amp;")'!$D:$D"),'Tổng Đơn'!$B8),0)</f>
        <v>0</v>
      </c>
      <c r="AR8" s="2">
        <f ca="1">IFERROR(SUMIFS(INDIRECT("'Thanh Toán ("&amp;AR$3&amp;")'!$F:$F"),INDIRECT("'Thanh Toán ("&amp;AR$3&amp;")'!$D:$D"),'Tổng Đơn'!$B8),0)</f>
        <v>0</v>
      </c>
      <c r="AS8" s="2">
        <f ca="1">IFERROR(SUMIFS(INDIRECT("'Thanh Toán ("&amp;AS$3&amp;")'!$F:$F"),INDIRECT("'Thanh Toán ("&amp;AS$3&amp;")'!$D:$D"),'Tổng Đơn'!$B8),0)</f>
        <v>0</v>
      </c>
      <c r="AT8" s="2">
        <f ca="1">IFERROR(SUMIFS(INDIRECT("'Thanh Toán ("&amp;AT$3&amp;")'!$F:$F"),INDIRECT("'Thanh Toán ("&amp;AT$3&amp;")'!$D:$D"),'Tổng Đơn'!$B8),0)</f>
        <v>0</v>
      </c>
      <c r="AU8" s="2">
        <f ca="1">IFERROR(SUMIFS(INDIRECT("'Thanh Toán ("&amp;AU$3&amp;")'!$F:$F"),INDIRECT("'Thanh Toán ("&amp;AU$3&amp;")'!$D:$D"),'Tổng Đơn'!$B8),0)</f>
        <v>0</v>
      </c>
      <c r="AV8" s="2">
        <f ca="1">IFERROR(SUMIFS(INDIRECT("'Thanh Toán ("&amp;AV$3&amp;")'!$F:$F"),INDIRECT("'Thanh Toán ("&amp;AV$3&amp;")'!$D:$D"),'Tổng Đơn'!$B8),0)</f>
        <v>0</v>
      </c>
      <c r="AW8" s="2">
        <f ca="1">IFERROR(SUMIFS(INDIRECT("'Thanh Toán ("&amp;AW$3&amp;")'!$F:$F"),INDIRECT("'Thanh Toán ("&amp;AW$3&amp;")'!$D:$D"),'Tổng Đơn'!$B8),0)</f>
        <v>0</v>
      </c>
      <c r="AX8" s="2">
        <f ca="1">IFERROR(SUMIFS(INDIRECT("'Thanh Toán ("&amp;AX$3&amp;")'!$F:$F"),INDIRECT("'Thanh Toán ("&amp;AX$3&amp;")'!$D:$D"),'Tổng Đơn'!$B8),0)</f>
        <v>0</v>
      </c>
      <c r="AY8" s="2">
        <f ca="1">IFERROR(SUMIFS(INDIRECT("'Thanh Toán ("&amp;AY$3&amp;")'!$F:$F"),INDIRECT("'Thanh Toán ("&amp;AY$3&amp;")'!$D:$D"),'Tổng Đơn'!$B8),0)</f>
        <v>0</v>
      </c>
      <c r="AZ8" s="2">
        <f ca="1">IFERROR(SUMIFS(INDIRECT("'Thanh Toán ("&amp;AZ$3&amp;")'!$F:$F"),INDIRECT("'Thanh Toán ("&amp;AZ$3&amp;")'!$D:$D"),'Tổng Đơn'!$B8),0)</f>
        <v>0</v>
      </c>
      <c r="BA8" s="2">
        <f ca="1">IFERROR(SUMIFS(INDIRECT("'Thanh Toán ("&amp;BA$3&amp;")'!$F:$F"),INDIRECT("'Thanh Toán ("&amp;BA$3&amp;")'!$D:$D"),'Tổng Đơn'!$B8),0)</f>
        <v>0</v>
      </c>
      <c r="BB8" s="2">
        <f ca="1">IFERROR(SUMIFS(INDIRECT("'Thanh Toán ("&amp;BB$3&amp;")'!$F:$F"),INDIRECT("'Thanh Toán ("&amp;BB$3&amp;")'!$D:$D"),'Tổng Đơn'!$B8),0)</f>
        <v>0</v>
      </c>
      <c r="BC8" s="2">
        <f ca="1">IFERROR(SUMIFS(INDIRECT("'Thanh Toán ("&amp;BC$3&amp;")'!$F:$F"),INDIRECT("'Thanh Toán ("&amp;BC$3&amp;")'!$D:$D"),'Tổng Đơn'!$B8),0)</f>
        <v>0</v>
      </c>
    </row>
    <row r="9" spans="1:55" ht="18" customHeight="1" x14ac:dyDescent="0.25">
      <c r="A9" s="167" t="s">
        <v>314</v>
      </c>
      <c r="B9" s="168" t="s">
        <v>307</v>
      </c>
      <c r="C9" s="167" t="s">
        <v>319</v>
      </c>
      <c r="D9" s="169">
        <f>VLOOKUP($C9,Sheet1!$C$2:$D$98,2,0)</f>
        <v>48000</v>
      </c>
      <c r="E9" s="170">
        <v>0.5</v>
      </c>
      <c r="F9" s="171">
        <f t="shared" ca="1" si="2"/>
        <v>1</v>
      </c>
      <c r="G9" s="172">
        <f>IFERROR(VLOOKUP($B9,Gà!C:J,8,0),IFERROR(VLOOKUP($B9,TVP!C:J,7,0),IFERROR(VLOOKUP($B9,Kitkool!C:J,8,0),IFERROR(VLOOKUP($B9,'La Cusina'!C:J,8,0),VLOOKUP($B9,'Quốc Nhân'!C:J,8,0)))))</f>
        <v>40.579535164503127</v>
      </c>
      <c r="H9" s="173">
        <f t="shared" ca="1" si="3"/>
        <v>7420.464835496874</v>
      </c>
      <c r="I9" s="195">
        <f t="shared" si="4"/>
        <v>0.18286224337995649</v>
      </c>
      <c r="J9" s="173">
        <f t="shared" ca="1" si="5"/>
        <v>40579.535164503126</v>
      </c>
      <c r="K9" s="38"/>
      <c r="L9" s="2">
        <f ca="1">IFERROR(SUMIFS(INDIRECT("'Thanh Toán ("&amp;L$3&amp;")'!$F:$F"),INDIRECT("'Thanh Toán ("&amp;L$3&amp;")'!$D:$D"),'Tổng Đơn'!$B9),0)</f>
        <v>0</v>
      </c>
      <c r="M9" s="2">
        <f ca="1">IFERROR(SUMIFS(INDIRECT("'Thanh Toán ("&amp;M$3&amp;")'!$F:$F"),INDIRECT("'Thanh Toán ("&amp;M$3&amp;")'!$D:$D"),'Tổng Đơn'!$B9),0)</f>
        <v>0</v>
      </c>
      <c r="N9" s="2">
        <f ca="1">IFERROR(SUMIFS(INDIRECT("'Thanh Toán ("&amp;N$3&amp;")'!$F:$F"),INDIRECT("'Thanh Toán ("&amp;N$3&amp;")'!$D:$D"),'Tổng Đơn'!$B9),0)</f>
        <v>0</v>
      </c>
      <c r="O9" s="2">
        <f ca="1">IFERROR(SUMIFS(INDIRECT("'Thanh Toán ("&amp;O$3&amp;")'!$F:$F"),INDIRECT("'Thanh Toán ("&amp;O$3&amp;")'!$D:$D"),'Tổng Đơn'!$B9),0)</f>
        <v>0</v>
      </c>
      <c r="P9" s="2">
        <f ca="1">IFERROR(SUMIFS(INDIRECT("'Thanh Toán ("&amp;P$3&amp;")'!$F:$F"),INDIRECT("'Thanh Toán ("&amp;P$3&amp;")'!$D:$D"),'Tổng Đơn'!$B9),0)</f>
        <v>0</v>
      </c>
      <c r="Q9" s="2">
        <f ca="1">IFERROR(SUMIFS(INDIRECT("'Thanh Toán ("&amp;Q$3&amp;")'!$F:$F"),INDIRECT("'Thanh Toán ("&amp;Q$3&amp;")'!$D:$D"),'Tổng Đơn'!$B9),0)</f>
        <v>0</v>
      </c>
      <c r="R9" s="2">
        <f ca="1">IFERROR(SUMIFS(INDIRECT("'Thanh Toán ("&amp;R$3&amp;")'!$F:$F"),INDIRECT("'Thanh Toán ("&amp;R$3&amp;")'!$D:$D"),'Tổng Đơn'!$B9),0)</f>
        <v>0</v>
      </c>
      <c r="S9" s="2">
        <f ca="1">IFERROR(SUMIFS(INDIRECT("'Thanh Toán ("&amp;S$3&amp;")'!$F:$F"),INDIRECT("'Thanh Toán ("&amp;S$3&amp;")'!$D:$D"),'Tổng Đơn'!$B9),0)</f>
        <v>0</v>
      </c>
      <c r="T9" s="2">
        <f ca="1">IFERROR(SUMIFS(INDIRECT("'Thanh Toán ("&amp;T$3&amp;")'!$F:$F"),INDIRECT("'Thanh Toán ("&amp;T$3&amp;")'!$D:$D"),'Tổng Đơn'!$B9),0)</f>
        <v>0</v>
      </c>
      <c r="U9" s="2">
        <f ca="1">IFERROR(SUMIFS(INDIRECT("'Thanh Toán ("&amp;U$3&amp;")'!$F:$F"),INDIRECT("'Thanh Toán ("&amp;U$3&amp;")'!$D:$D"),'Tổng Đơn'!$B9),0)</f>
        <v>1</v>
      </c>
      <c r="V9" s="2">
        <f ca="1">IFERROR(SUMIFS(INDIRECT("'Thanh Toán ("&amp;V$3&amp;")'!$F:$F"),INDIRECT("'Thanh Toán ("&amp;V$3&amp;")'!$D:$D"),'Tổng Đơn'!$B9),0)</f>
        <v>0</v>
      </c>
      <c r="W9" s="2">
        <f ca="1">IFERROR(SUMIFS(INDIRECT("'Thanh Toán ("&amp;W$3&amp;")'!$F:$F"),INDIRECT("'Thanh Toán ("&amp;W$3&amp;")'!$D:$D"),'Tổng Đơn'!$B9),0)</f>
        <v>0</v>
      </c>
      <c r="X9" s="2">
        <f ca="1">IFERROR(SUMIFS(INDIRECT("'Thanh Toán ("&amp;X$3&amp;")'!$F:$F"),INDIRECT("'Thanh Toán ("&amp;X$3&amp;")'!$D:$D"),'Tổng Đơn'!$B9),0)</f>
        <v>0</v>
      </c>
      <c r="Y9" s="2">
        <f ca="1">IFERROR(SUMIFS(INDIRECT("'Thanh Toán ("&amp;Y$3&amp;")'!$F:$F"),INDIRECT("'Thanh Toán ("&amp;Y$3&amp;")'!$D:$D"),'Tổng Đơn'!$B9),0)</f>
        <v>0</v>
      </c>
      <c r="Z9" s="2">
        <f ca="1">IFERROR(SUMIFS(INDIRECT("'Thanh Toán ("&amp;Z$3&amp;")'!$F:$F"),INDIRECT("'Thanh Toán ("&amp;Z$3&amp;")'!$D:$D"),'Tổng Đơn'!$B9),0)</f>
        <v>0</v>
      </c>
      <c r="AA9" s="2">
        <f ca="1">IFERROR(SUMIFS(INDIRECT("'Thanh Toán ("&amp;AA$3&amp;")'!$F:$F"),INDIRECT("'Thanh Toán ("&amp;AA$3&amp;")'!$D:$D"),'Tổng Đơn'!$B9),0)</f>
        <v>0</v>
      </c>
      <c r="AB9" s="2">
        <f ca="1">IFERROR(SUMIFS(INDIRECT("'Thanh Toán ("&amp;AB$3&amp;")'!$F:$F"),INDIRECT("'Thanh Toán ("&amp;AB$3&amp;")'!$D:$D"),'Tổng Đơn'!$B9),0)</f>
        <v>0</v>
      </c>
      <c r="AC9" s="2">
        <f ca="1">IFERROR(SUMIFS(INDIRECT("'Thanh Toán ("&amp;AC$3&amp;")'!$F:$F"),INDIRECT("'Thanh Toán ("&amp;AC$3&amp;")'!$D:$D"),'Tổng Đơn'!$B9),0)</f>
        <v>0</v>
      </c>
      <c r="AD9" s="2">
        <f ca="1">IFERROR(SUMIFS(INDIRECT("'Thanh Toán ("&amp;AD$3&amp;")'!$F:$F"),INDIRECT("'Thanh Toán ("&amp;AD$3&amp;")'!$D:$D"),'Tổng Đơn'!$B9),0)</f>
        <v>0</v>
      </c>
      <c r="AE9" s="2">
        <f ca="1">IFERROR(SUMIFS(INDIRECT("'Thanh Toán ("&amp;AE$3&amp;")'!$F:$F"),INDIRECT("'Thanh Toán ("&amp;AE$3&amp;")'!$D:$D"),'Tổng Đơn'!$B9),0)</f>
        <v>0</v>
      </c>
      <c r="AF9" s="2">
        <f ca="1">IFERROR(SUMIFS(INDIRECT("'Thanh Toán ("&amp;AF$3&amp;")'!$F:$F"),INDIRECT("'Thanh Toán ("&amp;AF$3&amp;")'!$D:$D"),'Tổng Đơn'!$B9),0)</f>
        <v>0</v>
      </c>
      <c r="AG9" s="2">
        <f ca="1">IFERROR(SUMIFS(INDIRECT("'Thanh Toán ("&amp;AG$3&amp;")'!$F:$F"),INDIRECT("'Thanh Toán ("&amp;AG$3&amp;")'!$D:$D"),'Tổng Đơn'!$B9),0)</f>
        <v>0</v>
      </c>
      <c r="AH9" s="2">
        <f ca="1">IFERROR(SUMIFS(INDIRECT("'Thanh Toán ("&amp;AH$3&amp;")'!$F:$F"),INDIRECT("'Thanh Toán ("&amp;AH$3&amp;")'!$D:$D"),'Tổng Đơn'!$B9),0)</f>
        <v>0</v>
      </c>
      <c r="AI9" s="2">
        <f ca="1">IFERROR(SUMIFS(INDIRECT("'Thanh Toán ("&amp;AI$3&amp;")'!$F:$F"),INDIRECT("'Thanh Toán ("&amp;AI$3&amp;")'!$D:$D"),'Tổng Đơn'!$B9),0)</f>
        <v>0</v>
      </c>
      <c r="AJ9" s="2">
        <f ca="1">IFERROR(SUMIFS(INDIRECT("'Thanh Toán ("&amp;AJ$3&amp;")'!$F:$F"),INDIRECT("'Thanh Toán ("&amp;AJ$3&amp;")'!$D:$D"),'Tổng Đơn'!$B9),0)</f>
        <v>0</v>
      </c>
      <c r="AK9" s="2">
        <f ca="1">IFERROR(SUMIFS(INDIRECT("'Thanh Toán ("&amp;AK$3&amp;")'!$F:$F"),INDIRECT("'Thanh Toán ("&amp;AK$3&amp;")'!$D:$D"),'Tổng Đơn'!$B9),0)</f>
        <v>0</v>
      </c>
      <c r="AL9" s="2">
        <f ca="1">IFERROR(SUMIFS(INDIRECT("'Thanh Toán ("&amp;AL$3&amp;")'!$F:$F"),INDIRECT("'Thanh Toán ("&amp;AL$3&amp;")'!$D:$D"),'Tổng Đơn'!$B9),0)</f>
        <v>0</v>
      </c>
      <c r="AM9" s="2">
        <f ca="1">IFERROR(SUMIFS(INDIRECT("'Thanh Toán ("&amp;AM$3&amp;")'!$F:$F"),INDIRECT("'Thanh Toán ("&amp;AM$3&amp;")'!$D:$D"),'Tổng Đơn'!$B9),0)</f>
        <v>0</v>
      </c>
      <c r="AN9" s="2">
        <f ca="1">IFERROR(SUMIFS(INDIRECT("'Thanh Toán ("&amp;AN$3&amp;")'!$F:$F"),INDIRECT("'Thanh Toán ("&amp;AN$3&amp;")'!$D:$D"),'Tổng Đơn'!$B9),0)</f>
        <v>0</v>
      </c>
      <c r="AO9" s="2">
        <f ca="1">IFERROR(SUMIFS(INDIRECT("'Thanh Toán ("&amp;AO$3&amp;")'!$F:$F"),INDIRECT("'Thanh Toán ("&amp;AO$3&amp;")'!$D:$D"),'Tổng Đơn'!$B9),0)</f>
        <v>0</v>
      </c>
      <c r="AP9" s="2">
        <f ca="1">IFERROR(SUMIFS(INDIRECT("'Thanh Toán ("&amp;AP$3&amp;")'!$F:$F"),INDIRECT("'Thanh Toán ("&amp;AP$3&amp;")'!$D:$D"),'Tổng Đơn'!$B9),0)</f>
        <v>0</v>
      </c>
      <c r="AQ9" s="2">
        <f ca="1">IFERROR(SUMIFS(INDIRECT("'Thanh Toán ("&amp;AQ$3&amp;")'!$F:$F"),INDIRECT("'Thanh Toán ("&amp;AQ$3&amp;")'!$D:$D"),'Tổng Đơn'!$B9),0)</f>
        <v>0</v>
      </c>
      <c r="AR9" s="2">
        <f ca="1">IFERROR(SUMIFS(INDIRECT("'Thanh Toán ("&amp;AR$3&amp;")'!$F:$F"),INDIRECT("'Thanh Toán ("&amp;AR$3&amp;")'!$D:$D"),'Tổng Đơn'!$B9),0)</f>
        <v>0</v>
      </c>
      <c r="AS9" s="2">
        <f ca="1">IFERROR(SUMIFS(INDIRECT("'Thanh Toán ("&amp;AS$3&amp;")'!$F:$F"),INDIRECT("'Thanh Toán ("&amp;AS$3&amp;")'!$D:$D"),'Tổng Đơn'!$B9),0)</f>
        <v>0</v>
      </c>
      <c r="AT9" s="2">
        <f ca="1">IFERROR(SUMIFS(INDIRECT("'Thanh Toán ("&amp;AT$3&amp;")'!$F:$F"),INDIRECT("'Thanh Toán ("&amp;AT$3&amp;")'!$D:$D"),'Tổng Đơn'!$B9),0)</f>
        <v>0</v>
      </c>
      <c r="AU9" s="2">
        <f ca="1">IFERROR(SUMIFS(INDIRECT("'Thanh Toán ("&amp;AU$3&amp;")'!$F:$F"),INDIRECT("'Thanh Toán ("&amp;AU$3&amp;")'!$D:$D"),'Tổng Đơn'!$B9),0)</f>
        <v>0</v>
      </c>
      <c r="AV9" s="2">
        <f ca="1">IFERROR(SUMIFS(INDIRECT("'Thanh Toán ("&amp;AV$3&amp;")'!$F:$F"),INDIRECT("'Thanh Toán ("&amp;AV$3&amp;")'!$D:$D"),'Tổng Đơn'!$B9),0)</f>
        <v>0</v>
      </c>
      <c r="AW9" s="2">
        <f ca="1">IFERROR(SUMIFS(INDIRECT("'Thanh Toán ("&amp;AW$3&amp;")'!$F:$F"),INDIRECT("'Thanh Toán ("&amp;AW$3&amp;")'!$D:$D"),'Tổng Đơn'!$B9),0)</f>
        <v>0</v>
      </c>
      <c r="AX9" s="2">
        <f ca="1">IFERROR(SUMIFS(INDIRECT("'Thanh Toán ("&amp;AX$3&amp;")'!$F:$F"),INDIRECT("'Thanh Toán ("&amp;AX$3&amp;")'!$D:$D"),'Tổng Đơn'!$B9),0)</f>
        <v>0</v>
      </c>
      <c r="AY9" s="2">
        <f ca="1">IFERROR(SUMIFS(INDIRECT("'Thanh Toán ("&amp;AY$3&amp;")'!$F:$F"),INDIRECT("'Thanh Toán ("&amp;AY$3&amp;")'!$D:$D"),'Tổng Đơn'!$B9),0)</f>
        <v>0</v>
      </c>
      <c r="AZ9" s="2">
        <f ca="1">IFERROR(SUMIFS(INDIRECT("'Thanh Toán ("&amp;AZ$3&amp;")'!$F:$F"),INDIRECT("'Thanh Toán ("&amp;AZ$3&amp;")'!$D:$D"),'Tổng Đơn'!$B9),0)</f>
        <v>0</v>
      </c>
      <c r="BA9" s="2">
        <f ca="1">IFERROR(SUMIFS(INDIRECT("'Thanh Toán ("&amp;BA$3&amp;")'!$F:$F"),INDIRECT("'Thanh Toán ("&amp;BA$3&amp;")'!$D:$D"),'Tổng Đơn'!$B9),0)</f>
        <v>0</v>
      </c>
      <c r="BB9" s="2">
        <f ca="1">IFERROR(SUMIFS(INDIRECT("'Thanh Toán ("&amp;BB$3&amp;")'!$F:$F"),INDIRECT("'Thanh Toán ("&amp;BB$3&amp;")'!$D:$D"),'Tổng Đơn'!$B9),0)</f>
        <v>0</v>
      </c>
      <c r="BC9" s="2">
        <f ca="1">IFERROR(SUMIFS(INDIRECT("'Thanh Toán ("&amp;BC$3&amp;")'!$F:$F"),INDIRECT("'Thanh Toán ("&amp;BC$3&amp;")'!$D:$D"),'Tổng Đơn'!$B9),0)</f>
        <v>0</v>
      </c>
    </row>
    <row r="10" spans="1:55" ht="18" customHeight="1" x14ac:dyDescent="0.25">
      <c r="A10" s="167" t="s">
        <v>315</v>
      </c>
      <c r="B10" s="168" t="s">
        <v>308</v>
      </c>
      <c r="C10" s="167" t="s">
        <v>321</v>
      </c>
      <c r="D10" s="169">
        <f>VLOOKUP($C10,Sheet1!$C$2:$D$98,2,0)</f>
        <v>43000</v>
      </c>
      <c r="E10" s="170">
        <v>0.5</v>
      </c>
      <c r="F10" s="171">
        <f t="shared" ref="F10" ca="1" si="6">SUM(L10:BR10)</f>
        <v>0</v>
      </c>
      <c r="G10" s="172">
        <f>IFERROR(VLOOKUP($B10,Gà!C:J,8,0),IFERROR(VLOOKUP($B10,TVP!C:J,7,0),IFERROR(VLOOKUP($B10,Kitkool!C:J,8,0),IFERROR(VLOOKUP($B10,'La Cusina'!C:J,8,0),VLOOKUP($B10,'Quốc Nhân'!C:J,8,0)))))</f>
        <v>34.49260488982766</v>
      </c>
      <c r="H10" s="173">
        <f t="shared" ref="H10" ca="1" si="7">(D10-G10*1000)*$F10</f>
        <v>0</v>
      </c>
      <c r="I10" s="195">
        <f t="shared" ref="I10" si="8">D10/(G10*1000)-1</f>
        <v>0.24664403101318921</v>
      </c>
      <c r="J10" s="173">
        <f t="shared" ref="J10" ca="1" si="9">F10*G10*1000</f>
        <v>0</v>
      </c>
      <c r="K10" s="38"/>
      <c r="L10" s="2">
        <f ca="1">IFERROR(SUMIFS(INDIRECT("'Thanh Toán ("&amp;L$3&amp;")'!$F:$F"),INDIRECT("'Thanh Toán ("&amp;L$3&amp;")'!$D:$D"),'Tổng Đơn'!$B10),0)</f>
        <v>0</v>
      </c>
      <c r="M10" s="2">
        <f ca="1">IFERROR(SUMIFS(INDIRECT("'Thanh Toán ("&amp;M$3&amp;")'!$F:$F"),INDIRECT("'Thanh Toán ("&amp;M$3&amp;")'!$D:$D"),'Tổng Đơn'!$B10),0)</f>
        <v>0</v>
      </c>
      <c r="N10" s="2">
        <f ca="1">IFERROR(SUMIFS(INDIRECT("'Thanh Toán ("&amp;N$3&amp;")'!$F:$F"),INDIRECT("'Thanh Toán ("&amp;N$3&amp;")'!$D:$D"),'Tổng Đơn'!$B10),0)</f>
        <v>0</v>
      </c>
      <c r="O10" s="2">
        <f ca="1">IFERROR(SUMIFS(INDIRECT("'Thanh Toán ("&amp;O$3&amp;")'!$F:$F"),INDIRECT("'Thanh Toán ("&amp;O$3&amp;")'!$D:$D"),'Tổng Đơn'!$B10),0)</f>
        <v>0</v>
      </c>
      <c r="P10" s="2">
        <f ca="1">IFERROR(SUMIFS(INDIRECT("'Thanh Toán ("&amp;P$3&amp;")'!$F:$F"),INDIRECT("'Thanh Toán ("&amp;P$3&amp;")'!$D:$D"),'Tổng Đơn'!$B10),0)</f>
        <v>0</v>
      </c>
      <c r="Q10" s="2">
        <f ca="1">IFERROR(SUMIFS(INDIRECT("'Thanh Toán ("&amp;Q$3&amp;")'!$F:$F"),INDIRECT("'Thanh Toán ("&amp;Q$3&amp;")'!$D:$D"),'Tổng Đơn'!$B10),0)</f>
        <v>0</v>
      </c>
      <c r="R10" s="2">
        <f ca="1">IFERROR(SUMIFS(INDIRECT("'Thanh Toán ("&amp;R$3&amp;")'!$F:$F"),INDIRECT("'Thanh Toán ("&amp;R$3&amp;")'!$D:$D"),'Tổng Đơn'!$B10),0)</f>
        <v>0</v>
      </c>
      <c r="S10" s="2">
        <f ca="1">IFERROR(SUMIFS(INDIRECT("'Thanh Toán ("&amp;S$3&amp;")'!$F:$F"),INDIRECT("'Thanh Toán ("&amp;S$3&amp;")'!$D:$D"),'Tổng Đơn'!$B10),0)</f>
        <v>0</v>
      </c>
      <c r="T10" s="2">
        <f ca="1">IFERROR(SUMIFS(INDIRECT("'Thanh Toán ("&amp;T$3&amp;")'!$F:$F"),INDIRECT("'Thanh Toán ("&amp;T$3&amp;")'!$D:$D"),'Tổng Đơn'!$B10),0)</f>
        <v>0</v>
      </c>
      <c r="U10" s="2">
        <f ca="1">IFERROR(SUMIFS(INDIRECT("'Thanh Toán ("&amp;U$3&amp;")'!$F:$F"),INDIRECT("'Thanh Toán ("&amp;U$3&amp;")'!$D:$D"),'Tổng Đơn'!$B10),0)</f>
        <v>0</v>
      </c>
      <c r="V10" s="2">
        <f ca="1">IFERROR(SUMIFS(INDIRECT("'Thanh Toán ("&amp;V$3&amp;")'!$F:$F"),INDIRECT("'Thanh Toán ("&amp;V$3&amp;")'!$D:$D"),'Tổng Đơn'!$B10),0)</f>
        <v>0</v>
      </c>
      <c r="W10" s="2">
        <f ca="1">IFERROR(SUMIFS(INDIRECT("'Thanh Toán ("&amp;W$3&amp;")'!$F:$F"),INDIRECT("'Thanh Toán ("&amp;W$3&amp;")'!$D:$D"),'Tổng Đơn'!$B10),0)</f>
        <v>0</v>
      </c>
      <c r="X10" s="2">
        <f ca="1">IFERROR(SUMIFS(INDIRECT("'Thanh Toán ("&amp;X$3&amp;")'!$F:$F"),INDIRECT("'Thanh Toán ("&amp;X$3&amp;")'!$D:$D"),'Tổng Đơn'!$B10),0)</f>
        <v>0</v>
      </c>
      <c r="Y10" s="2">
        <f ca="1">IFERROR(SUMIFS(INDIRECT("'Thanh Toán ("&amp;Y$3&amp;")'!$F:$F"),INDIRECT("'Thanh Toán ("&amp;Y$3&amp;")'!$D:$D"),'Tổng Đơn'!$B10),0)</f>
        <v>0</v>
      </c>
      <c r="Z10" s="2">
        <f ca="1">IFERROR(SUMIFS(INDIRECT("'Thanh Toán ("&amp;Z$3&amp;")'!$F:$F"),INDIRECT("'Thanh Toán ("&amp;Z$3&amp;")'!$D:$D"),'Tổng Đơn'!$B10),0)</f>
        <v>0</v>
      </c>
      <c r="AA10" s="2">
        <f ca="1">IFERROR(SUMIFS(INDIRECT("'Thanh Toán ("&amp;AA$3&amp;")'!$F:$F"),INDIRECT("'Thanh Toán ("&amp;AA$3&amp;")'!$D:$D"),'Tổng Đơn'!$B10),0)</f>
        <v>0</v>
      </c>
      <c r="AB10" s="2">
        <f ca="1">IFERROR(SUMIFS(INDIRECT("'Thanh Toán ("&amp;AB$3&amp;")'!$F:$F"),INDIRECT("'Thanh Toán ("&amp;AB$3&amp;")'!$D:$D"),'Tổng Đơn'!$B10),0)</f>
        <v>0</v>
      </c>
      <c r="AC10" s="2">
        <f ca="1">IFERROR(SUMIFS(INDIRECT("'Thanh Toán ("&amp;AC$3&amp;")'!$F:$F"),INDIRECT("'Thanh Toán ("&amp;AC$3&amp;")'!$D:$D"),'Tổng Đơn'!$B10),0)</f>
        <v>0</v>
      </c>
      <c r="AD10" s="2">
        <f ca="1">IFERROR(SUMIFS(INDIRECT("'Thanh Toán ("&amp;AD$3&amp;")'!$F:$F"),INDIRECT("'Thanh Toán ("&amp;AD$3&amp;")'!$D:$D"),'Tổng Đơn'!$B10),0)</f>
        <v>0</v>
      </c>
      <c r="AE10" s="2">
        <f ca="1">IFERROR(SUMIFS(INDIRECT("'Thanh Toán ("&amp;AE$3&amp;")'!$F:$F"),INDIRECT("'Thanh Toán ("&amp;AE$3&amp;")'!$D:$D"),'Tổng Đơn'!$B10),0)</f>
        <v>0</v>
      </c>
      <c r="AF10" s="2">
        <f ca="1">IFERROR(SUMIFS(INDIRECT("'Thanh Toán ("&amp;AF$3&amp;")'!$F:$F"),INDIRECT("'Thanh Toán ("&amp;AF$3&amp;")'!$D:$D"),'Tổng Đơn'!$B10),0)</f>
        <v>0</v>
      </c>
      <c r="AG10" s="2">
        <f ca="1">IFERROR(SUMIFS(INDIRECT("'Thanh Toán ("&amp;AG$3&amp;")'!$F:$F"),INDIRECT("'Thanh Toán ("&amp;AG$3&amp;")'!$D:$D"),'Tổng Đơn'!$B10),0)</f>
        <v>0</v>
      </c>
      <c r="AH10" s="2">
        <f ca="1">IFERROR(SUMIFS(INDIRECT("'Thanh Toán ("&amp;AH$3&amp;")'!$F:$F"),INDIRECT("'Thanh Toán ("&amp;AH$3&amp;")'!$D:$D"),'Tổng Đơn'!$B10),0)</f>
        <v>0</v>
      </c>
      <c r="AI10" s="2">
        <f ca="1">IFERROR(SUMIFS(INDIRECT("'Thanh Toán ("&amp;AI$3&amp;")'!$F:$F"),INDIRECT("'Thanh Toán ("&amp;AI$3&amp;")'!$D:$D"),'Tổng Đơn'!$B10),0)</f>
        <v>0</v>
      </c>
      <c r="AJ10" s="2">
        <f ca="1">IFERROR(SUMIFS(INDIRECT("'Thanh Toán ("&amp;AJ$3&amp;")'!$F:$F"),INDIRECT("'Thanh Toán ("&amp;AJ$3&amp;")'!$D:$D"),'Tổng Đơn'!$B10),0)</f>
        <v>0</v>
      </c>
      <c r="AK10" s="2">
        <f ca="1">IFERROR(SUMIFS(INDIRECT("'Thanh Toán ("&amp;AK$3&amp;")'!$F:$F"),INDIRECT("'Thanh Toán ("&amp;AK$3&amp;")'!$D:$D"),'Tổng Đơn'!$B10),0)</f>
        <v>0</v>
      </c>
      <c r="AL10" s="2">
        <f ca="1">IFERROR(SUMIFS(INDIRECT("'Thanh Toán ("&amp;AL$3&amp;")'!$F:$F"),INDIRECT("'Thanh Toán ("&amp;AL$3&amp;")'!$D:$D"),'Tổng Đơn'!$B10),0)</f>
        <v>0</v>
      </c>
      <c r="AM10" s="2">
        <f ca="1">IFERROR(SUMIFS(INDIRECT("'Thanh Toán ("&amp;AM$3&amp;")'!$F:$F"),INDIRECT("'Thanh Toán ("&amp;AM$3&amp;")'!$D:$D"),'Tổng Đơn'!$B10),0)</f>
        <v>0</v>
      </c>
      <c r="AN10" s="2">
        <f ca="1">IFERROR(SUMIFS(INDIRECT("'Thanh Toán ("&amp;AN$3&amp;")'!$F:$F"),INDIRECT("'Thanh Toán ("&amp;AN$3&amp;")'!$D:$D"),'Tổng Đơn'!$B10),0)</f>
        <v>0</v>
      </c>
      <c r="AO10" s="2">
        <f ca="1">IFERROR(SUMIFS(INDIRECT("'Thanh Toán ("&amp;AO$3&amp;")'!$F:$F"),INDIRECT("'Thanh Toán ("&amp;AO$3&amp;")'!$D:$D"),'Tổng Đơn'!$B10),0)</f>
        <v>0</v>
      </c>
      <c r="AP10" s="2">
        <f ca="1">IFERROR(SUMIFS(INDIRECT("'Thanh Toán ("&amp;AP$3&amp;")'!$F:$F"),INDIRECT("'Thanh Toán ("&amp;AP$3&amp;")'!$D:$D"),'Tổng Đơn'!$B10),0)</f>
        <v>0</v>
      </c>
      <c r="AQ10" s="2">
        <f ca="1">IFERROR(SUMIFS(INDIRECT("'Thanh Toán ("&amp;AQ$3&amp;")'!$F:$F"),INDIRECT("'Thanh Toán ("&amp;AQ$3&amp;")'!$D:$D"),'Tổng Đơn'!$B10),0)</f>
        <v>0</v>
      </c>
      <c r="AR10" s="2">
        <f ca="1">IFERROR(SUMIFS(INDIRECT("'Thanh Toán ("&amp;AR$3&amp;")'!$F:$F"),INDIRECT("'Thanh Toán ("&amp;AR$3&amp;")'!$D:$D"),'Tổng Đơn'!$B10),0)</f>
        <v>0</v>
      </c>
      <c r="AS10" s="2">
        <f ca="1">IFERROR(SUMIFS(INDIRECT("'Thanh Toán ("&amp;AS$3&amp;")'!$F:$F"),INDIRECT("'Thanh Toán ("&amp;AS$3&amp;")'!$D:$D"),'Tổng Đơn'!$B10),0)</f>
        <v>0</v>
      </c>
      <c r="AT10" s="2">
        <f ca="1">IFERROR(SUMIFS(INDIRECT("'Thanh Toán ("&amp;AT$3&amp;")'!$F:$F"),INDIRECT("'Thanh Toán ("&amp;AT$3&amp;")'!$D:$D"),'Tổng Đơn'!$B10),0)</f>
        <v>0</v>
      </c>
      <c r="AU10" s="2">
        <f ca="1">IFERROR(SUMIFS(INDIRECT("'Thanh Toán ("&amp;AU$3&amp;")'!$F:$F"),INDIRECT("'Thanh Toán ("&amp;AU$3&amp;")'!$D:$D"),'Tổng Đơn'!$B10),0)</f>
        <v>0</v>
      </c>
      <c r="AV10" s="2">
        <f ca="1">IFERROR(SUMIFS(INDIRECT("'Thanh Toán ("&amp;AV$3&amp;")'!$F:$F"),INDIRECT("'Thanh Toán ("&amp;AV$3&amp;")'!$D:$D"),'Tổng Đơn'!$B10),0)</f>
        <v>0</v>
      </c>
      <c r="AW10" s="2">
        <f ca="1">IFERROR(SUMIFS(INDIRECT("'Thanh Toán ("&amp;AW$3&amp;")'!$F:$F"),INDIRECT("'Thanh Toán ("&amp;AW$3&amp;")'!$D:$D"),'Tổng Đơn'!$B10),0)</f>
        <v>0</v>
      </c>
      <c r="AX10" s="2">
        <f ca="1">IFERROR(SUMIFS(INDIRECT("'Thanh Toán ("&amp;AX$3&amp;")'!$F:$F"),INDIRECT("'Thanh Toán ("&amp;AX$3&amp;")'!$D:$D"),'Tổng Đơn'!$B10),0)</f>
        <v>0</v>
      </c>
      <c r="AY10" s="2">
        <f ca="1">IFERROR(SUMIFS(INDIRECT("'Thanh Toán ("&amp;AY$3&amp;")'!$F:$F"),INDIRECT("'Thanh Toán ("&amp;AY$3&amp;")'!$D:$D"),'Tổng Đơn'!$B10),0)</f>
        <v>0</v>
      </c>
      <c r="AZ10" s="2">
        <f ca="1">IFERROR(SUMIFS(INDIRECT("'Thanh Toán ("&amp;AZ$3&amp;")'!$F:$F"),INDIRECT("'Thanh Toán ("&amp;AZ$3&amp;")'!$D:$D"),'Tổng Đơn'!$B10),0)</f>
        <v>0</v>
      </c>
      <c r="BA10" s="2">
        <f ca="1">IFERROR(SUMIFS(INDIRECT("'Thanh Toán ("&amp;BA$3&amp;")'!$F:$F"),INDIRECT("'Thanh Toán ("&amp;BA$3&amp;")'!$D:$D"),'Tổng Đơn'!$B10),0)</f>
        <v>0</v>
      </c>
      <c r="BB10" s="2">
        <f ca="1">IFERROR(SUMIFS(INDIRECT("'Thanh Toán ("&amp;BB$3&amp;")'!$F:$F"),INDIRECT("'Thanh Toán ("&amp;BB$3&amp;")'!$D:$D"),'Tổng Đơn'!$B10),0)</f>
        <v>0</v>
      </c>
      <c r="BC10" s="2">
        <f ca="1">IFERROR(SUMIFS(INDIRECT("'Thanh Toán ("&amp;BC$3&amp;")'!$F:$F"),INDIRECT("'Thanh Toán ("&amp;BC$3&amp;")'!$D:$D"),'Tổng Đơn'!$B10),0)</f>
        <v>0</v>
      </c>
    </row>
    <row r="11" spans="1:55" ht="18" customHeight="1" x14ac:dyDescent="0.25">
      <c r="A11" s="167">
        <v>1</v>
      </c>
      <c r="B11" s="168" t="s">
        <v>249</v>
      </c>
      <c r="C11" s="167" t="s">
        <v>95</v>
      </c>
      <c r="D11" s="169">
        <f>VLOOKUP($C11,Sheet1!$C$8:$D$98,2,0)</f>
        <v>48000</v>
      </c>
      <c r="E11" s="170">
        <v>0.5</v>
      </c>
      <c r="F11" s="171">
        <f t="shared" ca="1" si="2"/>
        <v>0</v>
      </c>
      <c r="G11" s="172">
        <f>IFERROR(VLOOKUP($B11,Gà!C:J,8,0),IFERROR(VLOOKUP($B11,TVP!C:J,7,0),IFERROR(VLOOKUP($B11,Kitkool!C:J,8,0),IFERROR(VLOOKUP($B11,'La Cusina'!C:J,8,0),VLOOKUP($B11,'Quốc Nhân'!C:J,8,0)))))</f>
        <v>41.417280519429511</v>
      </c>
      <c r="H11" s="173">
        <f t="shared" ref="H11:H72" ca="1" si="10">(D11-G11*1000)*$F11</f>
        <v>0</v>
      </c>
      <c r="I11" s="195">
        <f t="shared" ref="I11:I72" si="11">D11/(G11*1000)-1</f>
        <v>0.15893654527806156</v>
      </c>
      <c r="J11" s="173">
        <f t="shared" ref="J11:J72" ca="1" si="12">F11*G11*1000</f>
        <v>0</v>
      </c>
      <c r="K11" s="38"/>
      <c r="L11" s="2">
        <f ca="1">IFERROR(SUMIFS(INDIRECT("'Thanh Toán ("&amp;L$3&amp;")'!$F:$F"),INDIRECT("'Thanh Toán ("&amp;L$3&amp;")'!$D:$D"),'Tổng Đơn'!$B11),0)</f>
        <v>0</v>
      </c>
      <c r="M11" s="2">
        <f ca="1">IFERROR(SUMIFS(INDIRECT("'Thanh Toán ("&amp;M$3&amp;")'!$F:$F"),INDIRECT("'Thanh Toán ("&amp;M$3&amp;")'!$D:$D"),'Tổng Đơn'!$B11),0)</f>
        <v>0</v>
      </c>
      <c r="N11" s="2">
        <f ca="1">IFERROR(SUMIFS(INDIRECT("'Thanh Toán ("&amp;N$3&amp;")'!$F:$F"),INDIRECT("'Thanh Toán ("&amp;N$3&amp;")'!$D:$D"),'Tổng Đơn'!$B11),0)</f>
        <v>0</v>
      </c>
      <c r="O11" s="2">
        <f ca="1">IFERROR(SUMIFS(INDIRECT("'Thanh Toán ("&amp;O$3&amp;")'!$F:$F"),INDIRECT("'Thanh Toán ("&amp;O$3&amp;")'!$D:$D"),'Tổng Đơn'!$B11),0)</f>
        <v>0</v>
      </c>
      <c r="P11" s="2">
        <f ca="1">IFERROR(SUMIFS(INDIRECT("'Thanh Toán ("&amp;P$3&amp;")'!$F:$F"),INDIRECT("'Thanh Toán ("&amp;P$3&amp;")'!$D:$D"),'Tổng Đơn'!$B11),0)</f>
        <v>0</v>
      </c>
      <c r="Q11" s="2">
        <f ca="1">IFERROR(SUMIFS(INDIRECT("'Thanh Toán ("&amp;Q$3&amp;")'!$F:$F"),INDIRECT("'Thanh Toán ("&amp;Q$3&amp;")'!$D:$D"),'Tổng Đơn'!$B11),0)</f>
        <v>0</v>
      </c>
      <c r="R11" s="2">
        <f ca="1">IFERROR(SUMIFS(INDIRECT("'Thanh Toán ("&amp;R$3&amp;")'!$F:$F"),INDIRECT("'Thanh Toán ("&amp;R$3&amp;")'!$D:$D"),'Tổng Đơn'!$B11),0)</f>
        <v>0</v>
      </c>
      <c r="S11" s="2">
        <f ca="1">IFERROR(SUMIFS(INDIRECT("'Thanh Toán ("&amp;S$3&amp;")'!$F:$F"),INDIRECT("'Thanh Toán ("&amp;S$3&amp;")'!$D:$D"),'Tổng Đơn'!$B11),0)</f>
        <v>0</v>
      </c>
      <c r="T11" s="2">
        <f ca="1">IFERROR(SUMIFS(INDIRECT("'Thanh Toán ("&amp;T$3&amp;")'!$F:$F"),INDIRECT("'Thanh Toán ("&amp;T$3&amp;")'!$D:$D"),'Tổng Đơn'!$B11),0)</f>
        <v>0</v>
      </c>
      <c r="U11" s="2">
        <f ca="1">IFERROR(SUMIFS(INDIRECT("'Thanh Toán ("&amp;U$3&amp;")'!$F:$F"),INDIRECT("'Thanh Toán ("&amp;U$3&amp;")'!$D:$D"),'Tổng Đơn'!$B11),0)</f>
        <v>0</v>
      </c>
      <c r="V11" s="2">
        <f ca="1">IFERROR(SUMIFS(INDIRECT("'Thanh Toán ("&amp;V$3&amp;")'!$F:$F"),INDIRECT("'Thanh Toán ("&amp;V$3&amp;")'!$D:$D"),'Tổng Đơn'!$B11),0)</f>
        <v>0</v>
      </c>
      <c r="W11" s="2">
        <f ca="1">IFERROR(SUMIFS(INDIRECT("'Thanh Toán ("&amp;W$3&amp;")'!$F:$F"),INDIRECT("'Thanh Toán ("&amp;W$3&amp;")'!$D:$D"),'Tổng Đơn'!$B11),0)</f>
        <v>0</v>
      </c>
      <c r="X11" s="2">
        <f ca="1">IFERROR(SUMIFS(INDIRECT("'Thanh Toán ("&amp;X$3&amp;")'!$F:$F"),INDIRECT("'Thanh Toán ("&amp;X$3&amp;")'!$D:$D"),'Tổng Đơn'!$B11),0)</f>
        <v>0</v>
      </c>
      <c r="Y11" s="2">
        <f ca="1">IFERROR(SUMIFS(INDIRECT("'Thanh Toán ("&amp;Y$3&amp;")'!$F:$F"),INDIRECT("'Thanh Toán ("&amp;Y$3&amp;")'!$D:$D"),'Tổng Đơn'!$B11),0)</f>
        <v>0</v>
      </c>
      <c r="Z11" s="2">
        <f ca="1">IFERROR(SUMIFS(INDIRECT("'Thanh Toán ("&amp;Z$3&amp;")'!$F:$F"),INDIRECT("'Thanh Toán ("&amp;Z$3&amp;")'!$D:$D"),'Tổng Đơn'!$B11),0)</f>
        <v>0</v>
      </c>
      <c r="AA11" s="2">
        <f ca="1">IFERROR(SUMIFS(INDIRECT("'Thanh Toán ("&amp;AA$3&amp;")'!$F:$F"),INDIRECT("'Thanh Toán ("&amp;AA$3&amp;")'!$D:$D"),'Tổng Đơn'!$B11),0)</f>
        <v>0</v>
      </c>
      <c r="AB11" s="2">
        <f ca="1">IFERROR(SUMIFS(INDIRECT("'Thanh Toán ("&amp;AB$3&amp;")'!$F:$F"),INDIRECT("'Thanh Toán ("&amp;AB$3&amp;")'!$D:$D"),'Tổng Đơn'!$B11),0)</f>
        <v>0</v>
      </c>
      <c r="AC11" s="2">
        <f ca="1">IFERROR(SUMIFS(INDIRECT("'Thanh Toán ("&amp;AC$3&amp;")'!$F:$F"),INDIRECT("'Thanh Toán ("&amp;AC$3&amp;")'!$D:$D"),'Tổng Đơn'!$B11),0)</f>
        <v>0</v>
      </c>
      <c r="AD11" s="2">
        <f ca="1">IFERROR(SUMIFS(INDIRECT("'Thanh Toán ("&amp;AD$3&amp;")'!$F:$F"),INDIRECT("'Thanh Toán ("&amp;AD$3&amp;")'!$D:$D"),'Tổng Đơn'!$B11),0)</f>
        <v>0</v>
      </c>
      <c r="AE11" s="2">
        <f ca="1">IFERROR(SUMIFS(INDIRECT("'Thanh Toán ("&amp;AE$3&amp;")'!$F:$F"),INDIRECT("'Thanh Toán ("&amp;AE$3&amp;")'!$D:$D"),'Tổng Đơn'!$B11),0)</f>
        <v>0</v>
      </c>
      <c r="AF11" s="2">
        <f ca="1">IFERROR(SUMIFS(INDIRECT("'Thanh Toán ("&amp;AF$3&amp;")'!$F:$F"),INDIRECT("'Thanh Toán ("&amp;AF$3&amp;")'!$D:$D"),'Tổng Đơn'!$B11),0)</f>
        <v>0</v>
      </c>
      <c r="AG11" s="2">
        <f ca="1">IFERROR(SUMIFS(INDIRECT("'Thanh Toán ("&amp;AG$3&amp;")'!$F:$F"),INDIRECT("'Thanh Toán ("&amp;AG$3&amp;")'!$D:$D"),'Tổng Đơn'!$B11),0)</f>
        <v>0</v>
      </c>
      <c r="AH11" s="2">
        <f ca="1">IFERROR(SUMIFS(INDIRECT("'Thanh Toán ("&amp;AH$3&amp;")'!$F:$F"),INDIRECT("'Thanh Toán ("&amp;AH$3&amp;")'!$D:$D"),'Tổng Đơn'!$B11),0)</f>
        <v>0</v>
      </c>
      <c r="AI11" s="2">
        <f ca="1">IFERROR(SUMIFS(INDIRECT("'Thanh Toán ("&amp;AI$3&amp;")'!$F:$F"),INDIRECT("'Thanh Toán ("&amp;AI$3&amp;")'!$D:$D"),'Tổng Đơn'!$B11),0)</f>
        <v>0</v>
      </c>
      <c r="AJ11" s="2">
        <f ca="1">IFERROR(SUMIFS(INDIRECT("'Thanh Toán ("&amp;AJ$3&amp;")'!$F:$F"),INDIRECT("'Thanh Toán ("&amp;AJ$3&amp;")'!$D:$D"),'Tổng Đơn'!$B11),0)</f>
        <v>0</v>
      </c>
      <c r="AK11" s="2">
        <f ca="1">IFERROR(SUMIFS(INDIRECT("'Thanh Toán ("&amp;AK$3&amp;")'!$F:$F"),INDIRECT("'Thanh Toán ("&amp;AK$3&amp;")'!$D:$D"),'Tổng Đơn'!$B11),0)</f>
        <v>0</v>
      </c>
      <c r="AL11" s="2">
        <f ca="1">IFERROR(SUMIFS(INDIRECT("'Thanh Toán ("&amp;AL$3&amp;")'!$F:$F"),INDIRECT("'Thanh Toán ("&amp;AL$3&amp;")'!$D:$D"),'Tổng Đơn'!$B11),0)</f>
        <v>0</v>
      </c>
      <c r="AM11" s="2">
        <f ca="1">IFERROR(SUMIFS(INDIRECT("'Thanh Toán ("&amp;AM$3&amp;")'!$F:$F"),INDIRECT("'Thanh Toán ("&amp;AM$3&amp;")'!$D:$D"),'Tổng Đơn'!$B11),0)</f>
        <v>0</v>
      </c>
      <c r="AN11" s="2">
        <f ca="1">IFERROR(SUMIFS(INDIRECT("'Thanh Toán ("&amp;AN$3&amp;")'!$F:$F"),INDIRECT("'Thanh Toán ("&amp;AN$3&amp;")'!$D:$D"),'Tổng Đơn'!$B11),0)</f>
        <v>0</v>
      </c>
      <c r="AO11" s="2">
        <f ca="1">IFERROR(SUMIFS(INDIRECT("'Thanh Toán ("&amp;AO$3&amp;")'!$F:$F"),INDIRECT("'Thanh Toán ("&amp;AO$3&amp;")'!$D:$D"),'Tổng Đơn'!$B11),0)</f>
        <v>0</v>
      </c>
      <c r="AP11" s="2">
        <f ca="1">IFERROR(SUMIFS(INDIRECT("'Thanh Toán ("&amp;AP$3&amp;")'!$F:$F"),INDIRECT("'Thanh Toán ("&amp;AP$3&amp;")'!$D:$D"),'Tổng Đơn'!$B11),0)</f>
        <v>0</v>
      </c>
      <c r="AQ11" s="2">
        <f ca="1">IFERROR(SUMIFS(INDIRECT("'Thanh Toán ("&amp;AQ$3&amp;")'!$F:$F"),INDIRECT("'Thanh Toán ("&amp;AQ$3&amp;")'!$D:$D"),'Tổng Đơn'!$B11),0)</f>
        <v>0</v>
      </c>
      <c r="AR11" s="2">
        <f ca="1">IFERROR(SUMIFS(INDIRECT("'Thanh Toán ("&amp;AR$3&amp;")'!$F:$F"),INDIRECT("'Thanh Toán ("&amp;AR$3&amp;")'!$D:$D"),'Tổng Đơn'!$B11),0)</f>
        <v>0</v>
      </c>
      <c r="AS11" s="2">
        <f ca="1">IFERROR(SUMIFS(INDIRECT("'Thanh Toán ("&amp;AS$3&amp;")'!$F:$F"),INDIRECT("'Thanh Toán ("&amp;AS$3&amp;")'!$D:$D"),'Tổng Đơn'!$B11),0)</f>
        <v>0</v>
      </c>
      <c r="AT11" s="2">
        <f ca="1">IFERROR(SUMIFS(INDIRECT("'Thanh Toán ("&amp;AT$3&amp;")'!$F:$F"),INDIRECT("'Thanh Toán ("&amp;AT$3&amp;")'!$D:$D"),'Tổng Đơn'!$B11),0)</f>
        <v>0</v>
      </c>
      <c r="AU11" s="2">
        <f ca="1">IFERROR(SUMIFS(INDIRECT("'Thanh Toán ("&amp;AU$3&amp;")'!$F:$F"),INDIRECT("'Thanh Toán ("&amp;AU$3&amp;")'!$D:$D"),'Tổng Đơn'!$B11),0)</f>
        <v>0</v>
      </c>
      <c r="AV11" s="2">
        <f ca="1">IFERROR(SUMIFS(INDIRECT("'Thanh Toán ("&amp;AV$3&amp;")'!$F:$F"),INDIRECT("'Thanh Toán ("&amp;AV$3&amp;")'!$D:$D"),'Tổng Đơn'!$B11),0)</f>
        <v>0</v>
      </c>
      <c r="AW11" s="2">
        <f ca="1">IFERROR(SUMIFS(INDIRECT("'Thanh Toán ("&amp;AW$3&amp;")'!$F:$F"),INDIRECT("'Thanh Toán ("&amp;AW$3&amp;")'!$D:$D"),'Tổng Đơn'!$B11),0)</f>
        <v>0</v>
      </c>
      <c r="AX11" s="2">
        <f ca="1">IFERROR(SUMIFS(INDIRECT("'Thanh Toán ("&amp;AX$3&amp;")'!$F:$F"),INDIRECT("'Thanh Toán ("&amp;AX$3&amp;")'!$D:$D"),'Tổng Đơn'!$B11),0)</f>
        <v>0</v>
      </c>
      <c r="AY11" s="2">
        <f ca="1">IFERROR(SUMIFS(INDIRECT("'Thanh Toán ("&amp;AY$3&amp;")'!$F:$F"),INDIRECT("'Thanh Toán ("&amp;AY$3&amp;")'!$D:$D"),'Tổng Đơn'!$B11),0)</f>
        <v>0</v>
      </c>
      <c r="AZ11" s="2">
        <f ca="1">IFERROR(SUMIFS(INDIRECT("'Thanh Toán ("&amp;AZ$3&amp;")'!$F:$F"),INDIRECT("'Thanh Toán ("&amp;AZ$3&amp;")'!$D:$D"),'Tổng Đơn'!$B11),0)</f>
        <v>0</v>
      </c>
      <c r="BA11" s="2">
        <f ca="1">IFERROR(SUMIFS(INDIRECT("'Thanh Toán ("&amp;BA$3&amp;")'!$F:$F"),INDIRECT("'Thanh Toán ("&amp;BA$3&amp;")'!$D:$D"),'Tổng Đơn'!$B11),0)</f>
        <v>0</v>
      </c>
      <c r="BB11" s="2">
        <f ca="1">IFERROR(SUMIFS(INDIRECT("'Thanh Toán ("&amp;BB$3&amp;")'!$F:$F"),INDIRECT("'Thanh Toán ("&amp;BB$3&amp;")'!$D:$D"),'Tổng Đơn'!$B11),0)</f>
        <v>0</v>
      </c>
      <c r="BC11" s="2">
        <f ca="1">IFERROR(SUMIFS(INDIRECT("'Thanh Toán ("&amp;BC$3&amp;")'!$F:$F"),INDIRECT("'Thanh Toán ("&amp;BC$3&amp;")'!$D:$D"),'Tổng Đơn'!$B11),0)</f>
        <v>0</v>
      </c>
    </row>
    <row r="12" spans="1:55" s="77" customFormat="1" ht="18" customHeight="1" x14ac:dyDescent="0.25">
      <c r="A12" s="174">
        <v>2</v>
      </c>
      <c r="B12" s="175" t="s">
        <v>310</v>
      </c>
      <c r="C12" s="174" t="s">
        <v>96</v>
      </c>
      <c r="D12" s="169">
        <f>VLOOKUP($C12,Sheet1!$C$8:$D$98,2,0)</f>
        <v>40000</v>
      </c>
      <c r="E12" s="170">
        <v>0.5</v>
      </c>
      <c r="F12" s="171">
        <f t="shared" ca="1" si="2"/>
        <v>0</v>
      </c>
      <c r="G12" s="172">
        <f>IFERROR(VLOOKUP($B12,Gà!C:J,8,0),IFERROR(VLOOKUP($B12,TVP!C:J,7,0),IFERROR(VLOOKUP($B12,Kitkool!C:J,8,0),IFERROR(VLOOKUP($B12,'La Cusina'!C:J,8,0),VLOOKUP($B12,'Quốc Nhân'!C:J,8,0)))))</f>
        <v>29.420162994264768</v>
      </c>
      <c r="H12" s="173">
        <f t="shared" ca="1" si="10"/>
        <v>0</v>
      </c>
      <c r="I12" s="195">
        <f t="shared" si="11"/>
        <v>0.35961177399995004</v>
      </c>
      <c r="J12" s="173">
        <f t="shared" ca="1" si="12"/>
        <v>0</v>
      </c>
      <c r="K12" s="38"/>
      <c r="L12" s="2">
        <f ca="1">IFERROR(SUMIFS(INDIRECT("'Thanh Toán ("&amp;L$3&amp;")'!$F:$F"),INDIRECT("'Thanh Toán ("&amp;L$3&amp;")'!$D:$D"),'Tổng Đơn'!$B12),0)</f>
        <v>0</v>
      </c>
      <c r="M12" s="2">
        <f ca="1">IFERROR(SUMIFS(INDIRECT("'Thanh Toán ("&amp;M$3&amp;")'!$F:$F"),INDIRECT("'Thanh Toán ("&amp;M$3&amp;")'!$D:$D"),'Tổng Đơn'!$B12),0)</f>
        <v>0</v>
      </c>
      <c r="N12" s="2">
        <f ca="1">IFERROR(SUMIFS(INDIRECT("'Thanh Toán ("&amp;N$3&amp;")'!$F:$F"),INDIRECT("'Thanh Toán ("&amp;N$3&amp;")'!$D:$D"),'Tổng Đơn'!$B12),0)</f>
        <v>0</v>
      </c>
      <c r="O12" s="2">
        <f ca="1">IFERROR(SUMIFS(INDIRECT("'Thanh Toán ("&amp;O$3&amp;")'!$F:$F"),INDIRECT("'Thanh Toán ("&amp;O$3&amp;")'!$D:$D"),'Tổng Đơn'!$B12),0)</f>
        <v>0</v>
      </c>
      <c r="P12" s="2">
        <f ca="1">IFERROR(SUMIFS(INDIRECT("'Thanh Toán ("&amp;P$3&amp;")'!$F:$F"),INDIRECT("'Thanh Toán ("&amp;P$3&amp;")'!$D:$D"),'Tổng Đơn'!$B12),0)</f>
        <v>0</v>
      </c>
      <c r="Q12" s="2">
        <f ca="1">IFERROR(SUMIFS(INDIRECT("'Thanh Toán ("&amp;Q$3&amp;")'!$F:$F"),INDIRECT("'Thanh Toán ("&amp;Q$3&amp;")'!$D:$D"),'Tổng Đơn'!$B12),0)</f>
        <v>0</v>
      </c>
      <c r="R12" s="2">
        <f ca="1">IFERROR(SUMIFS(INDIRECT("'Thanh Toán ("&amp;R$3&amp;")'!$F:$F"),INDIRECT("'Thanh Toán ("&amp;R$3&amp;")'!$D:$D"),'Tổng Đơn'!$B12),0)</f>
        <v>0</v>
      </c>
      <c r="S12" s="2">
        <f ca="1">IFERROR(SUMIFS(INDIRECT("'Thanh Toán ("&amp;S$3&amp;")'!$F:$F"),INDIRECT("'Thanh Toán ("&amp;S$3&amp;")'!$D:$D"),'Tổng Đơn'!$B12),0)</f>
        <v>0</v>
      </c>
      <c r="T12" s="2">
        <f ca="1">IFERROR(SUMIFS(INDIRECT("'Thanh Toán ("&amp;T$3&amp;")'!$F:$F"),INDIRECT("'Thanh Toán ("&amp;T$3&amp;")'!$D:$D"),'Tổng Đơn'!$B12),0)</f>
        <v>0</v>
      </c>
      <c r="U12" s="2">
        <f ca="1">IFERROR(SUMIFS(INDIRECT("'Thanh Toán ("&amp;U$3&amp;")'!$F:$F"),INDIRECT("'Thanh Toán ("&amp;U$3&amp;")'!$D:$D"),'Tổng Đơn'!$B12),0)</f>
        <v>0</v>
      </c>
      <c r="V12" s="2">
        <f ca="1">IFERROR(SUMIFS(INDIRECT("'Thanh Toán ("&amp;V$3&amp;")'!$F:$F"),INDIRECT("'Thanh Toán ("&amp;V$3&amp;")'!$D:$D"),'Tổng Đơn'!$B12),0)</f>
        <v>0</v>
      </c>
      <c r="W12" s="2">
        <f ca="1">IFERROR(SUMIFS(INDIRECT("'Thanh Toán ("&amp;W$3&amp;")'!$F:$F"),INDIRECT("'Thanh Toán ("&amp;W$3&amp;")'!$D:$D"),'Tổng Đơn'!$B12),0)</f>
        <v>0</v>
      </c>
      <c r="X12" s="2">
        <f ca="1">IFERROR(SUMIFS(INDIRECT("'Thanh Toán ("&amp;X$3&amp;")'!$F:$F"),INDIRECT("'Thanh Toán ("&amp;X$3&amp;")'!$D:$D"),'Tổng Đơn'!$B12),0)</f>
        <v>0</v>
      </c>
      <c r="Y12" s="2">
        <f ca="1">IFERROR(SUMIFS(INDIRECT("'Thanh Toán ("&amp;Y$3&amp;")'!$F:$F"),INDIRECT("'Thanh Toán ("&amp;Y$3&amp;")'!$D:$D"),'Tổng Đơn'!$B12),0)</f>
        <v>0</v>
      </c>
      <c r="Z12" s="2">
        <f ca="1">IFERROR(SUMIFS(INDIRECT("'Thanh Toán ("&amp;Z$3&amp;")'!$F:$F"),INDIRECT("'Thanh Toán ("&amp;Z$3&amp;")'!$D:$D"),'Tổng Đơn'!$B12),0)</f>
        <v>0</v>
      </c>
      <c r="AA12" s="2">
        <f ca="1">IFERROR(SUMIFS(INDIRECT("'Thanh Toán ("&amp;AA$3&amp;")'!$F:$F"),INDIRECT("'Thanh Toán ("&amp;AA$3&amp;")'!$D:$D"),'Tổng Đơn'!$B12),0)</f>
        <v>0</v>
      </c>
      <c r="AB12" s="2">
        <f ca="1">IFERROR(SUMIFS(INDIRECT("'Thanh Toán ("&amp;AB$3&amp;")'!$F:$F"),INDIRECT("'Thanh Toán ("&amp;AB$3&amp;")'!$D:$D"),'Tổng Đơn'!$B12),0)</f>
        <v>0</v>
      </c>
      <c r="AC12" s="2">
        <f ca="1">IFERROR(SUMIFS(INDIRECT("'Thanh Toán ("&amp;AC$3&amp;")'!$F:$F"),INDIRECT("'Thanh Toán ("&amp;AC$3&amp;")'!$D:$D"),'Tổng Đơn'!$B12),0)</f>
        <v>0</v>
      </c>
      <c r="AD12" s="2">
        <f ca="1">IFERROR(SUMIFS(INDIRECT("'Thanh Toán ("&amp;AD$3&amp;")'!$F:$F"),INDIRECT("'Thanh Toán ("&amp;AD$3&amp;")'!$D:$D"),'Tổng Đơn'!$B12),0)</f>
        <v>0</v>
      </c>
      <c r="AE12" s="2">
        <f ca="1">IFERROR(SUMIFS(INDIRECT("'Thanh Toán ("&amp;AE$3&amp;")'!$F:$F"),INDIRECT("'Thanh Toán ("&amp;AE$3&amp;")'!$D:$D"),'Tổng Đơn'!$B12),0)</f>
        <v>0</v>
      </c>
      <c r="AF12" s="2">
        <f ca="1">IFERROR(SUMIFS(INDIRECT("'Thanh Toán ("&amp;AF$3&amp;")'!$F:$F"),INDIRECT("'Thanh Toán ("&amp;AF$3&amp;")'!$D:$D"),'Tổng Đơn'!$B12),0)</f>
        <v>0</v>
      </c>
      <c r="AG12" s="2">
        <f ca="1">IFERROR(SUMIFS(INDIRECT("'Thanh Toán ("&amp;AG$3&amp;")'!$F:$F"),INDIRECT("'Thanh Toán ("&amp;AG$3&amp;")'!$D:$D"),'Tổng Đơn'!$B12),0)</f>
        <v>0</v>
      </c>
      <c r="AH12" s="2">
        <f ca="1">IFERROR(SUMIFS(INDIRECT("'Thanh Toán ("&amp;AH$3&amp;")'!$F:$F"),INDIRECT("'Thanh Toán ("&amp;AH$3&amp;")'!$D:$D"),'Tổng Đơn'!$B12),0)</f>
        <v>0</v>
      </c>
      <c r="AI12" s="2">
        <f ca="1">IFERROR(SUMIFS(INDIRECT("'Thanh Toán ("&amp;AI$3&amp;")'!$F:$F"),INDIRECT("'Thanh Toán ("&amp;AI$3&amp;")'!$D:$D"),'Tổng Đơn'!$B12),0)</f>
        <v>0</v>
      </c>
      <c r="AJ12" s="2">
        <f ca="1">IFERROR(SUMIFS(INDIRECT("'Thanh Toán ("&amp;AJ$3&amp;")'!$F:$F"),INDIRECT("'Thanh Toán ("&amp;AJ$3&amp;")'!$D:$D"),'Tổng Đơn'!$B12),0)</f>
        <v>0</v>
      </c>
      <c r="AK12" s="2">
        <f ca="1">IFERROR(SUMIFS(INDIRECT("'Thanh Toán ("&amp;AK$3&amp;")'!$F:$F"),INDIRECT("'Thanh Toán ("&amp;AK$3&amp;")'!$D:$D"),'Tổng Đơn'!$B12),0)</f>
        <v>0</v>
      </c>
      <c r="AL12" s="2">
        <f ca="1">IFERROR(SUMIFS(INDIRECT("'Thanh Toán ("&amp;AL$3&amp;")'!$F:$F"),INDIRECT("'Thanh Toán ("&amp;AL$3&amp;")'!$D:$D"),'Tổng Đơn'!$B12),0)</f>
        <v>0</v>
      </c>
      <c r="AM12" s="2">
        <f ca="1">IFERROR(SUMIFS(INDIRECT("'Thanh Toán ("&amp;AM$3&amp;")'!$F:$F"),INDIRECT("'Thanh Toán ("&amp;AM$3&amp;")'!$D:$D"),'Tổng Đơn'!$B12),0)</f>
        <v>0</v>
      </c>
      <c r="AN12" s="2">
        <f ca="1">IFERROR(SUMIFS(INDIRECT("'Thanh Toán ("&amp;AN$3&amp;")'!$F:$F"),INDIRECT("'Thanh Toán ("&amp;AN$3&amp;")'!$D:$D"),'Tổng Đơn'!$B12),0)</f>
        <v>0</v>
      </c>
      <c r="AO12" s="2">
        <f ca="1">IFERROR(SUMIFS(INDIRECT("'Thanh Toán ("&amp;AO$3&amp;")'!$F:$F"),INDIRECT("'Thanh Toán ("&amp;AO$3&amp;")'!$D:$D"),'Tổng Đơn'!$B12),0)</f>
        <v>0</v>
      </c>
      <c r="AP12" s="2">
        <f ca="1">IFERROR(SUMIFS(INDIRECT("'Thanh Toán ("&amp;AP$3&amp;")'!$F:$F"),INDIRECT("'Thanh Toán ("&amp;AP$3&amp;")'!$D:$D"),'Tổng Đơn'!$B12),0)</f>
        <v>0</v>
      </c>
      <c r="AQ12" s="2">
        <f ca="1">IFERROR(SUMIFS(INDIRECT("'Thanh Toán ("&amp;AQ$3&amp;")'!$F:$F"),INDIRECT("'Thanh Toán ("&amp;AQ$3&amp;")'!$D:$D"),'Tổng Đơn'!$B12),0)</f>
        <v>0</v>
      </c>
      <c r="AR12" s="2">
        <f ca="1">IFERROR(SUMIFS(INDIRECT("'Thanh Toán ("&amp;AR$3&amp;")'!$F:$F"),INDIRECT("'Thanh Toán ("&amp;AR$3&amp;")'!$D:$D"),'Tổng Đơn'!$B12),0)</f>
        <v>0</v>
      </c>
      <c r="AS12" s="2">
        <f ca="1">IFERROR(SUMIFS(INDIRECT("'Thanh Toán ("&amp;AS$3&amp;")'!$F:$F"),INDIRECT("'Thanh Toán ("&amp;AS$3&amp;")'!$D:$D"),'Tổng Đơn'!$B12),0)</f>
        <v>0</v>
      </c>
      <c r="AT12" s="2">
        <f ca="1">IFERROR(SUMIFS(INDIRECT("'Thanh Toán ("&amp;AT$3&amp;")'!$F:$F"),INDIRECT("'Thanh Toán ("&amp;AT$3&amp;")'!$D:$D"),'Tổng Đơn'!$B12),0)</f>
        <v>0</v>
      </c>
      <c r="AU12" s="2">
        <f ca="1">IFERROR(SUMIFS(INDIRECT("'Thanh Toán ("&amp;AU$3&amp;")'!$F:$F"),INDIRECT("'Thanh Toán ("&amp;AU$3&amp;")'!$D:$D"),'Tổng Đơn'!$B12),0)</f>
        <v>0</v>
      </c>
      <c r="AV12" s="2">
        <f ca="1">IFERROR(SUMIFS(INDIRECT("'Thanh Toán ("&amp;AV$3&amp;")'!$F:$F"),INDIRECT("'Thanh Toán ("&amp;AV$3&amp;")'!$D:$D"),'Tổng Đơn'!$B12),0)</f>
        <v>0</v>
      </c>
      <c r="AW12" s="2">
        <f ca="1">IFERROR(SUMIFS(INDIRECT("'Thanh Toán ("&amp;AW$3&amp;")'!$F:$F"),INDIRECT("'Thanh Toán ("&amp;AW$3&amp;")'!$D:$D"),'Tổng Đơn'!$B12),0)</f>
        <v>0</v>
      </c>
      <c r="AX12" s="2">
        <f ca="1">IFERROR(SUMIFS(INDIRECT("'Thanh Toán ("&amp;AX$3&amp;")'!$F:$F"),INDIRECT("'Thanh Toán ("&amp;AX$3&amp;")'!$D:$D"),'Tổng Đơn'!$B12),0)</f>
        <v>0</v>
      </c>
      <c r="AY12" s="2">
        <f ca="1">IFERROR(SUMIFS(INDIRECT("'Thanh Toán ("&amp;AY$3&amp;")'!$F:$F"),INDIRECT("'Thanh Toán ("&amp;AY$3&amp;")'!$D:$D"),'Tổng Đơn'!$B12),0)</f>
        <v>0</v>
      </c>
      <c r="AZ12" s="2">
        <f ca="1">IFERROR(SUMIFS(INDIRECT("'Thanh Toán ("&amp;AZ$3&amp;")'!$F:$F"),INDIRECT("'Thanh Toán ("&amp;AZ$3&amp;")'!$D:$D"),'Tổng Đơn'!$B12),0)</f>
        <v>0</v>
      </c>
      <c r="BA12" s="2">
        <f ca="1">IFERROR(SUMIFS(INDIRECT("'Thanh Toán ("&amp;BA$3&amp;")'!$F:$F"),INDIRECT("'Thanh Toán ("&amp;BA$3&amp;")'!$D:$D"),'Tổng Đơn'!$B12),0)</f>
        <v>0</v>
      </c>
      <c r="BB12" s="2">
        <f ca="1">IFERROR(SUMIFS(INDIRECT("'Thanh Toán ("&amp;BB$3&amp;")'!$F:$F"),INDIRECT("'Thanh Toán ("&amp;BB$3&amp;")'!$D:$D"),'Tổng Đơn'!$B12),0)</f>
        <v>0</v>
      </c>
      <c r="BC12" s="2">
        <f ca="1">IFERROR(SUMIFS(INDIRECT("'Thanh Toán ("&amp;BC$3&amp;")'!$F:$F"),INDIRECT("'Thanh Toán ("&amp;BC$3&amp;")'!$D:$D"),'Tổng Đơn'!$B12),0)</f>
        <v>0</v>
      </c>
    </row>
    <row r="13" spans="1:55" ht="18" customHeight="1" x14ac:dyDescent="0.25">
      <c r="A13" s="167">
        <v>3</v>
      </c>
      <c r="B13" s="168" t="s">
        <v>309</v>
      </c>
      <c r="C13" s="167" t="s">
        <v>97</v>
      </c>
      <c r="D13" s="169">
        <f>VLOOKUP($C13,Sheet1!$C$8:$D$98,2,0)</f>
        <v>44000</v>
      </c>
      <c r="E13" s="170">
        <v>0.5</v>
      </c>
      <c r="F13" s="171">
        <f t="shared" ca="1" si="2"/>
        <v>0</v>
      </c>
      <c r="G13" s="172">
        <f>IFERROR(VLOOKUP($B13,Gà!C:J,8,0),IFERROR(VLOOKUP($B13,TVP!C:J,7,0),IFERROR(VLOOKUP($B13,Kitkool!C:J,8,0),IFERROR(VLOOKUP($B13,'La Cusina'!C:J,8,0),VLOOKUP($B13,'Quốc Nhân'!C:J,8,0)))))</f>
        <v>35.507093268940238</v>
      </c>
      <c r="H13" s="173">
        <f t="shared" ca="1" si="10"/>
        <v>0</v>
      </c>
      <c r="I13" s="195">
        <f t="shared" si="11"/>
        <v>0.2391890168742401</v>
      </c>
      <c r="J13" s="173">
        <f t="shared" ca="1" si="12"/>
        <v>0</v>
      </c>
      <c r="K13" s="38"/>
      <c r="L13" s="2">
        <f ca="1">IFERROR(SUMIFS(INDIRECT("'Thanh Toán ("&amp;L$3&amp;")'!$F:$F"),INDIRECT("'Thanh Toán ("&amp;L$3&amp;")'!$D:$D"),'Tổng Đơn'!$B13),0)</f>
        <v>0</v>
      </c>
      <c r="M13" s="2">
        <f ca="1">IFERROR(SUMIFS(INDIRECT("'Thanh Toán ("&amp;M$3&amp;")'!$F:$F"),INDIRECT("'Thanh Toán ("&amp;M$3&amp;")'!$D:$D"),'Tổng Đơn'!$B13),0)</f>
        <v>0</v>
      </c>
      <c r="N13" s="2">
        <f ca="1">IFERROR(SUMIFS(INDIRECT("'Thanh Toán ("&amp;N$3&amp;")'!$F:$F"),INDIRECT("'Thanh Toán ("&amp;N$3&amp;")'!$D:$D"),'Tổng Đơn'!$B13),0)</f>
        <v>0</v>
      </c>
      <c r="O13" s="2">
        <f ca="1">IFERROR(SUMIFS(INDIRECT("'Thanh Toán ("&amp;O$3&amp;")'!$F:$F"),INDIRECT("'Thanh Toán ("&amp;O$3&amp;")'!$D:$D"),'Tổng Đơn'!$B13),0)</f>
        <v>0</v>
      </c>
      <c r="P13" s="2">
        <f ca="1">IFERROR(SUMIFS(INDIRECT("'Thanh Toán ("&amp;P$3&amp;")'!$F:$F"),INDIRECT("'Thanh Toán ("&amp;P$3&amp;")'!$D:$D"),'Tổng Đơn'!$B13),0)</f>
        <v>0</v>
      </c>
      <c r="Q13" s="2">
        <f ca="1">IFERROR(SUMIFS(INDIRECT("'Thanh Toán ("&amp;Q$3&amp;")'!$F:$F"),INDIRECT("'Thanh Toán ("&amp;Q$3&amp;")'!$D:$D"),'Tổng Đơn'!$B13),0)</f>
        <v>0</v>
      </c>
      <c r="R13" s="2">
        <f ca="1">IFERROR(SUMIFS(INDIRECT("'Thanh Toán ("&amp;R$3&amp;")'!$F:$F"),INDIRECT("'Thanh Toán ("&amp;R$3&amp;")'!$D:$D"),'Tổng Đơn'!$B13),0)</f>
        <v>0</v>
      </c>
      <c r="S13" s="2">
        <f ca="1">IFERROR(SUMIFS(INDIRECT("'Thanh Toán ("&amp;S$3&amp;")'!$F:$F"),INDIRECT("'Thanh Toán ("&amp;S$3&amp;")'!$D:$D"),'Tổng Đơn'!$B13),0)</f>
        <v>0</v>
      </c>
      <c r="T13" s="2">
        <f ca="1">IFERROR(SUMIFS(INDIRECT("'Thanh Toán ("&amp;T$3&amp;")'!$F:$F"),INDIRECT("'Thanh Toán ("&amp;T$3&amp;")'!$D:$D"),'Tổng Đơn'!$B13),0)</f>
        <v>0</v>
      </c>
      <c r="U13" s="2">
        <f ca="1">IFERROR(SUMIFS(INDIRECT("'Thanh Toán ("&amp;U$3&amp;")'!$F:$F"),INDIRECT("'Thanh Toán ("&amp;U$3&amp;")'!$D:$D"),'Tổng Đơn'!$B13),0)</f>
        <v>0</v>
      </c>
      <c r="V13" s="2">
        <f ca="1">IFERROR(SUMIFS(INDIRECT("'Thanh Toán ("&amp;V$3&amp;")'!$F:$F"),INDIRECT("'Thanh Toán ("&amp;V$3&amp;")'!$D:$D"),'Tổng Đơn'!$B13),0)</f>
        <v>0</v>
      </c>
      <c r="W13" s="2">
        <f ca="1">IFERROR(SUMIFS(INDIRECT("'Thanh Toán ("&amp;W$3&amp;")'!$F:$F"),INDIRECT("'Thanh Toán ("&amp;W$3&amp;")'!$D:$D"),'Tổng Đơn'!$B13),0)</f>
        <v>0</v>
      </c>
      <c r="X13" s="2">
        <f ca="1">IFERROR(SUMIFS(INDIRECT("'Thanh Toán ("&amp;X$3&amp;")'!$F:$F"),INDIRECT("'Thanh Toán ("&amp;X$3&amp;")'!$D:$D"),'Tổng Đơn'!$B13),0)</f>
        <v>0</v>
      </c>
      <c r="Y13" s="2">
        <f ca="1">IFERROR(SUMIFS(INDIRECT("'Thanh Toán ("&amp;Y$3&amp;")'!$F:$F"),INDIRECT("'Thanh Toán ("&amp;Y$3&amp;")'!$D:$D"),'Tổng Đơn'!$B13),0)</f>
        <v>0</v>
      </c>
      <c r="Z13" s="2">
        <f ca="1">IFERROR(SUMIFS(INDIRECT("'Thanh Toán ("&amp;Z$3&amp;")'!$F:$F"),INDIRECT("'Thanh Toán ("&amp;Z$3&amp;")'!$D:$D"),'Tổng Đơn'!$B13),0)</f>
        <v>0</v>
      </c>
      <c r="AA13" s="2">
        <f ca="1">IFERROR(SUMIFS(INDIRECT("'Thanh Toán ("&amp;AA$3&amp;")'!$F:$F"),INDIRECT("'Thanh Toán ("&amp;AA$3&amp;")'!$D:$D"),'Tổng Đơn'!$B13),0)</f>
        <v>0</v>
      </c>
      <c r="AB13" s="2">
        <f ca="1">IFERROR(SUMIFS(INDIRECT("'Thanh Toán ("&amp;AB$3&amp;")'!$F:$F"),INDIRECT("'Thanh Toán ("&amp;AB$3&amp;")'!$D:$D"),'Tổng Đơn'!$B13),0)</f>
        <v>0</v>
      </c>
      <c r="AC13" s="2">
        <f ca="1">IFERROR(SUMIFS(INDIRECT("'Thanh Toán ("&amp;AC$3&amp;")'!$F:$F"),INDIRECT("'Thanh Toán ("&amp;AC$3&amp;")'!$D:$D"),'Tổng Đơn'!$B13),0)</f>
        <v>0</v>
      </c>
      <c r="AD13" s="2">
        <f ca="1">IFERROR(SUMIFS(INDIRECT("'Thanh Toán ("&amp;AD$3&amp;")'!$F:$F"),INDIRECT("'Thanh Toán ("&amp;AD$3&amp;")'!$D:$D"),'Tổng Đơn'!$B13),0)</f>
        <v>0</v>
      </c>
      <c r="AE13" s="2">
        <f ca="1">IFERROR(SUMIFS(INDIRECT("'Thanh Toán ("&amp;AE$3&amp;")'!$F:$F"),INDIRECT("'Thanh Toán ("&amp;AE$3&amp;")'!$D:$D"),'Tổng Đơn'!$B13),0)</f>
        <v>0</v>
      </c>
      <c r="AF13" s="2">
        <f ca="1">IFERROR(SUMIFS(INDIRECT("'Thanh Toán ("&amp;AF$3&amp;")'!$F:$F"),INDIRECT("'Thanh Toán ("&amp;AF$3&amp;")'!$D:$D"),'Tổng Đơn'!$B13),0)</f>
        <v>0</v>
      </c>
      <c r="AG13" s="2">
        <f ca="1">IFERROR(SUMIFS(INDIRECT("'Thanh Toán ("&amp;AG$3&amp;")'!$F:$F"),INDIRECT("'Thanh Toán ("&amp;AG$3&amp;")'!$D:$D"),'Tổng Đơn'!$B13),0)</f>
        <v>0</v>
      </c>
      <c r="AH13" s="2">
        <f ca="1">IFERROR(SUMIFS(INDIRECT("'Thanh Toán ("&amp;AH$3&amp;")'!$F:$F"),INDIRECT("'Thanh Toán ("&amp;AH$3&amp;")'!$D:$D"),'Tổng Đơn'!$B13),0)</f>
        <v>0</v>
      </c>
      <c r="AI13" s="2">
        <f ca="1">IFERROR(SUMIFS(INDIRECT("'Thanh Toán ("&amp;AI$3&amp;")'!$F:$F"),INDIRECT("'Thanh Toán ("&amp;AI$3&amp;")'!$D:$D"),'Tổng Đơn'!$B13),0)</f>
        <v>0</v>
      </c>
      <c r="AJ13" s="2">
        <f ca="1">IFERROR(SUMIFS(INDIRECT("'Thanh Toán ("&amp;AJ$3&amp;")'!$F:$F"),INDIRECT("'Thanh Toán ("&amp;AJ$3&amp;")'!$D:$D"),'Tổng Đơn'!$B13),0)</f>
        <v>0</v>
      </c>
      <c r="AK13" s="2">
        <f ca="1">IFERROR(SUMIFS(INDIRECT("'Thanh Toán ("&amp;AK$3&amp;")'!$F:$F"),INDIRECT("'Thanh Toán ("&amp;AK$3&amp;")'!$D:$D"),'Tổng Đơn'!$B13),0)</f>
        <v>0</v>
      </c>
      <c r="AL13" s="2">
        <f ca="1">IFERROR(SUMIFS(INDIRECT("'Thanh Toán ("&amp;AL$3&amp;")'!$F:$F"),INDIRECT("'Thanh Toán ("&amp;AL$3&amp;")'!$D:$D"),'Tổng Đơn'!$B13),0)</f>
        <v>0</v>
      </c>
      <c r="AM13" s="2">
        <f ca="1">IFERROR(SUMIFS(INDIRECT("'Thanh Toán ("&amp;AM$3&amp;")'!$F:$F"),INDIRECT("'Thanh Toán ("&amp;AM$3&amp;")'!$D:$D"),'Tổng Đơn'!$B13),0)</f>
        <v>0</v>
      </c>
      <c r="AN13" s="2">
        <f ca="1">IFERROR(SUMIFS(INDIRECT("'Thanh Toán ("&amp;AN$3&amp;")'!$F:$F"),INDIRECT("'Thanh Toán ("&amp;AN$3&amp;")'!$D:$D"),'Tổng Đơn'!$B13),0)</f>
        <v>0</v>
      </c>
      <c r="AO13" s="2">
        <f ca="1">IFERROR(SUMIFS(INDIRECT("'Thanh Toán ("&amp;AO$3&amp;")'!$F:$F"),INDIRECT("'Thanh Toán ("&amp;AO$3&amp;")'!$D:$D"),'Tổng Đơn'!$B13),0)</f>
        <v>0</v>
      </c>
      <c r="AP13" s="2">
        <f ca="1">IFERROR(SUMIFS(INDIRECT("'Thanh Toán ("&amp;AP$3&amp;")'!$F:$F"),INDIRECT("'Thanh Toán ("&amp;AP$3&amp;")'!$D:$D"),'Tổng Đơn'!$B13),0)</f>
        <v>0</v>
      </c>
      <c r="AQ13" s="2">
        <f ca="1">IFERROR(SUMIFS(INDIRECT("'Thanh Toán ("&amp;AQ$3&amp;")'!$F:$F"),INDIRECT("'Thanh Toán ("&amp;AQ$3&amp;")'!$D:$D"),'Tổng Đơn'!$B13),0)</f>
        <v>0</v>
      </c>
      <c r="AR13" s="2">
        <f ca="1">IFERROR(SUMIFS(INDIRECT("'Thanh Toán ("&amp;AR$3&amp;")'!$F:$F"),INDIRECT("'Thanh Toán ("&amp;AR$3&amp;")'!$D:$D"),'Tổng Đơn'!$B13),0)</f>
        <v>0</v>
      </c>
      <c r="AS13" s="2">
        <f ca="1">IFERROR(SUMIFS(INDIRECT("'Thanh Toán ("&amp;AS$3&amp;")'!$F:$F"),INDIRECT("'Thanh Toán ("&amp;AS$3&amp;")'!$D:$D"),'Tổng Đơn'!$B13),0)</f>
        <v>0</v>
      </c>
      <c r="AT13" s="2">
        <f ca="1">IFERROR(SUMIFS(INDIRECT("'Thanh Toán ("&amp;AT$3&amp;")'!$F:$F"),INDIRECT("'Thanh Toán ("&amp;AT$3&amp;")'!$D:$D"),'Tổng Đơn'!$B13),0)</f>
        <v>0</v>
      </c>
      <c r="AU13" s="2">
        <f ca="1">IFERROR(SUMIFS(INDIRECT("'Thanh Toán ("&amp;AU$3&amp;")'!$F:$F"),INDIRECT("'Thanh Toán ("&amp;AU$3&amp;")'!$D:$D"),'Tổng Đơn'!$B13),0)</f>
        <v>0</v>
      </c>
      <c r="AV13" s="2">
        <f ca="1">IFERROR(SUMIFS(INDIRECT("'Thanh Toán ("&amp;AV$3&amp;")'!$F:$F"),INDIRECT("'Thanh Toán ("&amp;AV$3&amp;")'!$D:$D"),'Tổng Đơn'!$B13),0)</f>
        <v>0</v>
      </c>
      <c r="AW13" s="2">
        <f ca="1">IFERROR(SUMIFS(INDIRECT("'Thanh Toán ("&amp;AW$3&amp;")'!$F:$F"),INDIRECT("'Thanh Toán ("&amp;AW$3&amp;")'!$D:$D"),'Tổng Đơn'!$B13),0)</f>
        <v>0</v>
      </c>
      <c r="AX13" s="2">
        <f ca="1">IFERROR(SUMIFS(INDIRECT("'Thanh Toán ("&amp;AX$3&amp;")'!$F:$F"),INDIRECT("'Thanh Toán ("&amp;AX$3&amp;")'!$D:$D"),'Tổng Đơn'!$B13),0)</f>
        <v>0</v>
      </c>
      <c r="AY13" s="2">
        <f ca="1">IFERROR(SUMIFS(INDIRECT("'Thanh Toán ("&amp;AY$3&amp;")'!$F:$F"),INDIRECT("'Thanh Toán ("&amp;AY$3&amp;")'!$D:$D"),'Tổng Đơn'!$B13),0)</f>
        <v>0</v>
      </c>
      <c r="AZ13" s="2">
        <f ca="1">IFERROR(SUMIFS(INDIRECT("'Thanh Toán ("&amp;AZ$3&amp;")'!$F:$F"),INDIRECT("'Thanh Toán ("&amp;AZ$3&amp;")'!$D:$D"),'Tổng Đơn'!$B13),0)</f>
        <v>0</v>
      </c>
      <c r="BA13" s="2">
        <f ca="1">IFERROR(SUMIFS(INDIRECT("'Thanh Toán ("&amp;BA$3&amp;")'!$F:$F"),INDIRECT("'Thanh Toán ("&amp;BA$3&amp;")'!$D:$D"),'Tổng Đơn'!$B13),0)</f>
        <v>0</v>
      </c>
      <c r="BB13" s="2">
        <f ca="1">IFERROR(SUMIFS(INDIRECT("'Thanh Toán ("&amp;BB$3&amp;")'!$F:$F"),INDIRECT("'Thanh Toán ("&amp;BB$3&amp;")'!$D:$D"),'Tổng Đơn'!$B13),0)</f>
        <v>0</v>
      </c>
      <c r="BC13" s="2">
        <f ca="1">IFERROR(SUMIFS(INDIRECT("'Thanh Toán ("&amp;BC$3&amp;")'!$F:$F"),INDIRECT("'Thanh Toán ("&amp;BC$3&amp;")'!$D:$D"),'Tổng Đơn'!$B13),0)</f>
        <v>0</v>
      </c>
    </row>
    <row r="14" spans="1:55" ht="18" customHeight="1" x14ac:dyDescent="0.25">
      <c r="A14" s="167">
        <v>4</v>
      </c>
      <c r="B14" s="168" t="s">
        <v>3</v>
      </c>
      <c r="C14" s="174" t="s">
        <v>98</v>
      </c>
      <c r="D14" s="169">
        <f>VLOOKUP($C14,Sheet1!$C$8:$D$98,2,0)</f>
        <v>30000</v>
      </c>
      <c r="E14" s="170">
        <v>0.5</v>
      </c>
      <c r="F14" s="171">
        <f t="shared" ca="1" si="2"/>
        <v>0</v>
      </c>
      <c r="G14" s="172">
        <f>IFERROR(VLOOKUP($B14,Gà!C:J,8,0),IFERROR(VLOOKUP($B14,TVP!C:J,7,0),IFERROR(VLOOKUP($B14,Kitkool!C:J,8,0),IFERROR(VLOOKUP($B14,'La Cusina'!C:J,8,0),VLOOKUP($B14,'Quốc Nhân'!C:J,8,0)))))</f>
        <v>22.335851337594029</v>
      </c>
      <c r="H14" s="173">
        <f t="shared" ca="1" si="10"/>
        <v>0</v>
      </c>
      <c r="I14" s="195">
        <f t="shared" si="11"/>
        <v>0.34313214869523478</v>
      </c>
      <c r="J14" s="173">
        <f t="shared" ca="1" si="12"/>
        <v>0</v>
      </c>
      <c r="K14" s="114">
        <f ca="1">I4/J4</f>
        <v>0.18179709007425493</v>
      </c>
      <c r="L14" s="2">
        <f ca="1">IFERROR(SUMIFS(INDIRECT("'Thanh Toán ("&amp;L$3&amp;")'!$F:$F"),INDIRECT("'Thanh Toán ("&amp;L$3&amp;")'!$D:$D"),'Tổng Đơn'!$B14),0)</f>
        <v>0</v>
      </c>
      <c r="M14" s="2">
        <f ca="1">IFERROR(SUMIFS(INDIRECT("'Thanh Toán ("&amp;M$3&amp;")'!$F:$F"),INDIRECT("'Thanh Toán ("&amp;M$3&amp;")'!$D:$D"),'Tổng Đơn'!$B14),0)</f>
        <v>0</v>
      </c>
      <c r="N14" s="2">
        <f ca="1">IFERROR(SUMIFS(INDIRECT("'Thanh Toán ("&amp;N$3&amp;")'!$F:$F"),INDIRECT("'Thanh Toán ("&amp;N$3&amp;")'!$D:$D"),'Tổng Đơn'!$B14),0)</f>
        <v>0</v>
      </c>
      <c r="O14" s="2">
        <f ca="1">IFERROR(SUMIFS(INDIRECT("'Thanh Toán ("&amp;O$3&amp;")'!$F:$F"),INDIRECT("'Thanh Toán ("&amp;O$3&amp;")'!$D:$D"),'Tổng Đơn'!$B14),0)</f>
        <v>0</v>
      </c>
      <c r="P14" s="2">
        <f ca="1">IFERROR(SUMIFS(INDIRECT("'Thanh Toán ("&amp;P$3&amp;")'!$F:$F"),INDIRECT("'Thanh Toán ("&amp;P$3&amp;")'!$D:$D"),'Tổng Đơn'!$B14),0)</f>
        <v>0</v>
      </c>
      <c r="Q14" s="2">
        <f ca="1">IFERROR(SUMIFS(INDIRECT("'Thanh Toán ("&amp;Q$3&amp;")'!$F:$F"),INDIRECT("'Thanh Toán ("&amp;Q$3&amp;")'!$D:$D"),'Tổng Đơn'!$B14),0)</f>
        <v>0</v>
      </c>
      <c r="R14" s="2">
        <f ca="1">IFERROR(SUMIFS(INDIRECT("'Thanh Toán ("&amp;R$3&amp;")'!$F:$F"),INDIRECT("'Thanh Toán ("&amp;R$3&amp;")'!$D:$D"),'Tổng Đơn'!$B14),0)</f>
        <v>0</v>
      </c>
      <c r="S14" s="2">
        <f ca="1">IFERROR(SUMIFS(INDIRECT("'Thanh Toán ("&amp;S$3&amp;")'!$F:$F"),INDIRECT("'Thanh Toán ("&amp;S$3&amp;")'!$D:$D"),'Tổng Đơn'!$B14),0)</f>
        <v>0</v>
      </c>
      <c r="T14" s="2">
        <f ca="1">IFERROR(SUMIFS(INDIRECT("'Thanh Toán ("&amp;T$3&amp;")'!$F:$F"),INDIRECT("'Thanh Toán ("&amp;T$3&amp;")'!$D:$D"),'Tổng Đơn'!$B14),0)</f>
        <v>0</v>
      </c>
      <c r="U14" s="2">
        <f ca="1">IFERROR(SUMIFS(INDIRECT("'Thanh Toán ("&amp;U$3&amp;")'!$F:$F"),INDIRECT("'Thanh Toán ("&amp;U$3&amp;")'!$D:$D"),'Tổng Đơn'!$B14),0)</f>
        <v>0</v>
      </c>
      <c r="V14" s="2">
        <f ca="1">IFERROR(SUMIFS(INDIRECT("'Thanh Toán ("&amp;V$3&amp;")'!$F:$F"),INDIRECT("'Thanh Toán ("&amp;V$3&amp;")'!$D:$D"),'Tổng Đơn'!$B14),0)</f>
        <v>0</v>
      </c>
      <c r="W14" s="2">
        <f ca="1">IFERROR(SUMIFS(INDIRECT("'Thanh Toán ("&amp;W$3&amp;")'!$F:$F"),INDIRECT("'Thanh Toán ("&amp;W$3&amp;")'!$D:$D"),'Tổng Đơn'!$B14),0)</f>
        <v>0</v>
      </c>
      <c r="X14" s="2">
        <f ca="1">IFERROR(SUMIFS(INDIRECT("'Thanh Toán ("&amp;X$3&amp;")'!$F:$F"),INDIRECT("'Thanh Toán ("&amp;X$3&amp;")'!$D:$D"),'Tổng Đơn'!$B14),0)</f>
        <v>0</v>
      </c>
      <c r="Y14" s="2">
        <f ca="1">IFERROR(SUMIFS(INDIRECT("'Thanh Toán ("&amp;Y$3&amp;")'!$F:$F"),INDIRECT("'Thanh Toán ("&amp;Y$3&amp;")'!$D:$D"),'Tổng Đơn'!$B14),0)</f>
        <v>0</v>
      </c>
      <c r="Z14" s="2">
        <f ca="1">IFERROR(SUMIFS(INDIRECT("'Thanh Toán ("&amp;Z$3&amp;")'!$F:$F"),INDIRECT("'Thanh Toán ("&amp;Z$3&amp;")'!$D:$D"),'Tổng Đơn'!$B14),0)</f>
        <v>0</v>
      </c>
      <c r="AA14" s="2">
        <f ca="1">IFERROR(SUMIFS(INDIRECT("'Thanh Toán ("&amp;AA$3&amp;")'!$F:$F"),INDIRECT("'Thanh Toán ("&amp;AA$3&amp;")'!$D:$D"),'Tổng Đơn'!$B14),0)</f>
        <v>0</v>
      </c>
      <c r="AB14" s="2">
        <f ca="1">IFERROR(SUMIFS(INDIRECT("'Thanh Toán ("&amp;AB$3&amp;")'!$F:$F"),INDIRECT("'Thanh Toán ("&amp;AB$3&amp;")'!$D:$D"),'Tổng Đơn'!$B14),0)</f>
        <v>0</v>
      </c>
      <c r="AC14" s="2">
        <f ca="1">IFERROR(SUMIFS(INDIRECT("'Thanh Toán ("&amp;AC$3&amp;")'!$F:$F"),INDIRECT("'Thanh Toán ("&amp;AC$3&amp;")'!$D:$D"),'Tổng Đơn'!$B14),0)</f>
        <v>0</v>
      </c>
      <c r="AD14" s="2">
        <f ca="1">IFERROR(SUMIFS(INDIRECT("'Thanh Toán ("&amp;AD$3&amp;")'!$F:$F"),INDIRECT("'Thanh Toán ("&amp;AD$3&amp;")'!$D:$D"),'Tổng Đơn'!$B14),0)</f>
        <v>0</v>
      </c>
      <c r="AE14" s="2">
        <f ca="1">IFERROR(SUMIFS(INDIRECT("'Thanh Toán ("&amp;AE$3&amp;")'!$F:$F"),INDIRECT("'Thanh Toán ("&amp;AE$3&amp;")'!$D:$D"),'Tổng Đơn'!$B14),0)</f>
        <v>0</v>
      </c>
      <c r="AF14" s="2">
        <f ca="1">IFERROR(SUMIFS(INDIRECT("'Thanh Toán ("&amp;AF$3&amp;")'!$F:$F"),INDIRECT("'Thanh Toán ("&amp;AF$3&amp;")'!$D:$D"),'Tổng Đơn'!$B14),0)</f>
        <v>0</v>
      </c>
      <c r="AG14" s="2">
        <f ca="1">IFERROR(SUMIFS(INDIRECT("'Thanh Toán ("&amp;AG$3&amp;")'!$F:$F"),INDIRECT("'Thanh Toán ("&amp;AG$3&amp;")'!$D:$D"),'Tổng Đơn'!$B14),0)</f>
        <v>0</v>
      </c>
      <c r="AH14" s="2">
        <f ca="1">IFERROR(SUMIFS(INDIRECT("'Thanh Toán ("&amp;AH$3&amp;")'!$F:$F"),INDIRECT("'Thanh Toán ("&amp;AH$3&amp;")'!$D:$D"),'Tổng Đơn'!$B14),0)</f>
        <v>0</v>
      </c>
      <c r="AI14" s="2">
        <f ca="1">IFERROR(SUMIFS(INDIRECT("'Thanh Toán ("&amp;AI$3&amp;")'!$F:$F"),INDIRECT("'Thanh Toán ("&amp;AI$3&amp;")'!$D:$D"),'Tổng Đơn'!$B14),0)</f>
        <v>0</v>
      </c>
      <c r="AJ14" s="2">
        <f ca="1">IFERROR(SUMIFS(INDIRECT("'Thanh Toán ("&amp;AJ$3&amp;")'!$F:$F"),INDIRECT("'Thanh Toán ("&amp;AJ$3&amp;")'!$D:$D"),'Tổng Đơn'!$B14),0)</f>
        <v>0</v>
      </c>
      <c r="AK14" s="2">
        <f ca="1">IFERROR(SUMIFS(INDIRECT("'Thanh Toán ("&amp;AK$3&amp;")'!$F:$F"),INDIRECT("'Thanh Toán ("&amp;AK$3&amp;")'!$D:$D"),'Tổng Đơn'!$B14),0)</f>
        <v>0</v>
      </c>
      <c r="AL14" s="2">
        <f ca="1">IFERROR(SUMIFS(INDIRECT("'Thanh Toán ("&amp;AL$3&amp;")'!$F:$F"),INDIRECT("'Thanh Toán ("&amp;AL$3&amp;")'!$D:$D"),'Tổng Đơn'!$B14),0)</f>
        <v>0</v>
      </c>
      <c r="AM14" s="2">
        <f ca="1">IFERROR(SUMIFS(INDIRECT("'Thanh Toán ("&amp;AM$3&amp;")'!$F:$F"),INDIRECT("'Thanh Toán ("&amp;AM$3&amp;")'!$D:$D"),'Tổng Đơn'!$B14),0)</f>
        <v>0</v>
      </c>
      <c r="AN14" s="2">
        <f ca="1">IFERROR(SUMIFS(INDIRECT("'Thanh Toán ("&amp;AN$3&amp;")'!$F:$F"),INDIRECT("'Thanh Toán ("&amp;AN$3&amp;")'!$D:$D"),'Tổng Đơn'!$B14),0)</f>
        <v>0</v>
      </c>
      <c r="AO14" s="2">
        <f ca="1">IFERROR(SUMIFS(INDIRECT("'Thanh Toán ("&amp;AO$3&amp;")'!$F:$F"),INDIRECT("'Thanh Toán ("&amp;AO$3&amp;")'!$D:$D"),'Tổng Đơn'!$B14),0)</f>
        <v>0</v>
      </c>
      <c r="AP14" s="2">
        <f ca="1">IFERROR(SUMIFS(INDIRECT("'Thanh Toán ("&amp;AP$3&amp;")'!$F:$F"),INDIRECT("'Thanh Toán ("&amp;AP$3&amp;")'!$D:$D"),'Tổng Đơn'!$B14),0)</f>
        <v>0</v>
      </c>
      <c r="AQ14" s="2">
        <f ca="1">IFERROR(SUMIFS(INDIRECT("'Thanh Toán ("&amp;AQ$3&amp;")'!$F:$F"),INDIRECT("'Thanh Toán ("&amp;AQ$3&amp;")'!$D:$D"),'Tổng Đơn'!$B14),0)</f>
        <v>0</v>
      </c>
      <c r="AR14" s="2">
        <f ca="1">IFERROR(SUMIFS(INDIRECT("'Thanh Toán ("&amp;AR$3&amp;")'!$F:$F"),INDIRECT("'Thanh Toán ("&amp;AR$3&amp;")'!$D:$D"),'Tổng Đơn'!$B14),0)</f>
        <v>0</v>
      </c>
      <c r="AS14" s="2">
        <f ca="1">IFERROR(SUMIFS(INDIRECT("'Thanh Toán ("&amp;AS$3&amp;")'!$F:$F"),INDIRECT("'Thanh Toán ("&amp;AS$3&amp;")'!$D:$D"),'Tổng Đơn'!$B14),0)</f>
        <v>0</v>
      </c>
      <c r="AT14" s="2">
        <f ca="1">IFERROR(SUMIFS(INDIRECT("'Thanh Toán ("&amp;AT$3&amp;")'!$F:$F"),INDIRECT("'Thanh Toán ("&amp;AT$3&amp;")'!$D:$D"),'Tổng Đơn'!$B14),0)</f>
        <v>0</v>
      </c>
      <c r="AU14" s="2">
        <f ca="1">IFERROR(SUMIFS(INDIRECT("'Thanh Toán ("&amp;AU$3&amp;")'!$F:$F"),INDIRECT("'Thanh Toán ("&amp;AU$3&amp;")'!$D:$D"),'Tổng Đơn'!$B14),0)</f>
        <v>0</v>
      </c>
      <c r="AV14" s="2">
        <f ca="1">IFERROR(SUMIFS(INDIRECT("'Thanh Toán ("&amp;AV$3&amp;")'!$F:$F"),INDIRECT("'Thanh Toán ("&amp;AV$3&amp;")'!$D:$D"),'Tổng Đơn'!$B14),0)</f>
        <v>0</v>
      </c>
      <c r="AW14" s="2">
        <f ca="1">IFERROR(SUMIFS(INDIRECT("'Thanh Toán ("&amp;AW$3&amp;")'!$F:$F"),INDIRECT("'Thanh Toán ("&amp;AW$3&amp;")'!$D:$D"),'Tổng Đơn'!$B14),0)</f>
        <v>0</v>
      </c>
      <c r="AX14" s="2">
        <f ca="1">IFERROR(SUMIFS(INDIRECT("'Thanh Toán ("&amp;AX$3&amp;")'!$F:$F"),INDIRECT("'Thanh Toán ("&amp;AX$3&amp;")'!$D:$D"),'Tổng Đơn'!$B14),0)</f>
        <v>0</v>
      </c>
      <c r="AY14" s="2">
        <f ca="1">IFERROR(SUMIFS(INDIRECT("'Thanh Toán ("&amp;AY$3&amp;")'!$F:$F"),INDIRECT("'Thanh Toán ("&amp;AY$3&amp;")'!$D:$D"),'Tổng Đơn'!$B14),0)</f>
        <v>0</v>
      </c>
      <c r="AZ14" s="2">
        <f ca="1">IFERROR(SUMIFS(INDIRECT("'Thanh Toán ("&amp;AZ$3&amp;")'!$F:$F"),INDIRECT("'Thanh Toán ("&amp;AZ$3&amp;")'!$D:$D"),'Tổng Đơn'!$B14),0)</f>
        <v>0</v>
      </c>
      <c r="BA14" s="2">
        <f ca="1">IFERROR(SUMIFS(INDIRECT("'Thanh Toán ("&amp;BA$3&amp;")'!$F:$F"),INDIRECT("'Thanh Toán ("&amp;BA$3&amp;")'!$D:$D"),'Tổng Đơn'!$B14),0)</f>
        <v>0</v>
      </c>
      <c r="BB14" s="2">
        <f ca="1">IFERROR(SUMIFS(INDIRECT("'Thanh Toán ("&amp;BB$3&amp;")'!$F:$F"),INDIRECT("'Thanh Toán ("&amp;BB$3&amp;")'!$D:$D"),'Tổng Đơn'!$B14),0)</f>
        <v>0</v>
      </c>
      <c r="BC14" s="2">
        <f ca="1">IFERROR(SUMIFS(INDIRECT("'Thanh Toán ("&amp;BC$3&amp;")'!$F:$F"),INDIRECT("'Thanh Toán ("&amp;BC$3&amp;")'!$D:$D"),'Tổng Đơn'!$B14),0)</f>
        <v>0</v>
      </c>
    </row>
    <row r="15" spans="1:55" ht="18" customHeight="1" x14ac:dyDescent="0.25">
      <c r="A15" s="174">
        <v>5</v>
      </c>
      <c r="B15" s="168" t="s">
        <v>27</v>
      </c>
      <c r="C15" s="167" t="s">
        <v>99</v>
      </c>
      <c r="D15" s="169">
        <f>VLOOKUP($C15,Sheet1!$C$8:$D$98,2,0)</f>
        <v>38000</v>
      </c>
      <c r="E15" s="170">
        <v>0.5</v>
      </c>
      <c r="F15" s="171">
        <f t="shared" ca="1" si="2"/>
        <v>0</v>
      </c>
      <c r="G15" s="172">
        <f>IFERROR(VLOOKUP($B15,Gà!C:J,8,0),IFERROR(VLOOKUP($B15,TVP!C:J,7,0),IFERROR(VLOOKUP($B15,Kitkool!C:J,8,0),IFERROR(VLOOKUP($B15,'La Cusina'!C:J,8,0),VLOOKUP($B15,'Quốc Nhân'!C:J,8,0)))))</f>
        <v>33.236089305715041</v>
      </c>
      <c r="H15" s="173">
        <f t="shared" ca="1" si="10"/>
        <v>0</v>
      </c>
      <c r="I15" s="195">
        <f t="shared" si="11"/>
        <v>0.14333547639931843</v>
      </c>
      <c r="J15" s="173">
        <f t="shared" ca="1" si="12"/>
        <v>0</v>
      </c>
      <c r="K15" s="38"/>
      <c r="L15" s="2">
        <f ca="1">IFERROR(SUMIFS(INDIRECT("'Thanh Toán ("&amp;L$3&amp;")'!$F:$F"),INDIRECT("'Thanh Toán ("&amp;L$3&amp;")'!$D:$D"),'Tổng Đơn'!$B15),0)</f>
        <v>0</v>
      </c>
      <c r="M15" s="2">
        <f ca="1">IFERROR(SUMIFS(INDIRECT("'Thanh Toán ("&amp;M$3&amp;")'!$F:$F"),INDIRECT("'Thanh Toán ("&amp;M$3&amp;")'!$D:$D"),'Tổng Đơn'!$B15),0)</f>
        <v>0</v>
      </c>
      <c r="N15" s="2">
        <f ca="1">IFERROR(SUMIFS(INDIRECT("'Thanh Toán ("&amp;N$3&amp;")'!$F:$F"),INDIRECT("'Thanh Toán ("&amp;N$3&amp;")'!$D:$D"),'Tổng Đơn'!$B15),0)</f>
        <v>0</v>
      </c>
      <c r="O15" s="2">
        <f ca="1">IFERROR(SUMIFS(INDIRECT("'Thanh Toán ("&amp;O$3&amp;")'!$F:$F"),INDIRECT("'Thanh Toán ("&amp;O$3&amp;")'!$D:$D"),'Tổng Đơn'!$B15),0)</f>
        <v>0</v>
      </c>
      <c r="P15" s="2">
        <f ca="1">IFERROR(SUMIFS(INDIRECT("'Thanh Toán ("&amp;P$3&amp;")'!$F:$F"),INDIRECT("'Thanh Toán ("&amp;P$3&amp;")'!$D:$D"),'Tổng Đơn'!$B15),0)</f>
        <v>0</v>
      </c>
      <c r="Q15" s="2">
        <f ca="1">IFERROR(SUMIFS(INDIRECT("'Thanh Toán ("&amp;Q$3&amp;")'!$F:$F"),INDIRECT("'Thanh Toán ("&amp;Q$3&amp;")'!$D:$D"),'Tổng Đơn'!$B15),0)</f>
        <v>0</v>
      </c>
      <c r="R15" s="2">
        <f ca="1">IFERROR(SUMIFS(INDIRECT("'Thanh Toán ("&amp;R$3&amp;")'!$F:$F"),INDIRECT("'Thanh Toán ("&amp;R$3&amp;")'!$D:$D"),'Tổng Đơn'!$B15),0)</f>
        <v>0</v>
      </c>
      <c r="S15" s="2">
        <f ca="1">IFERROR(SUMIFS(INDIRECT("'Thanh Toán ("&amp;S$3&amp;")'!$F:$F"),INDIRECT("'Thanh Toán ("&amp;S$3&amp;")'!$D:$D"),'Tổng Đơn'!$B15),0)</f>
        <v>0</v>
      </c>
      <c r="T15" s="2">
        <f ca="1">IFERROR(SUMIFS(INDIRECT("'Thanh Toán ("&amp;T$3&amp;")'!$F:$F"),INDIRECT("'Thanh Toán ("&amp;T$3&amp;")'!$D:$D"),'Tổng Đơn'!$B15),0)</f>
        <v>0</v>
      </c>
      <c r="U15" s="2">
        <f ca="1">IFERROR(SUMIFS(INDIRECT("'Thanh Toán ("&amp;U$3&amp;")'!$F:$F"),INDIRECT("'Thanh Toán ("&amp;U$3&amp;")'!$D:$D"),'Tổng Đơn'!$B15),0)</f>
        <v>0</v>
      </c>
      <c r="V15" s="2">
        <f ca="1">IFERROR(SUMIFS(INDIRECT("'Thanh Toán ("&amp;V$3&amp;")'!$F:$F"),INDIRECT("'Thanh Toán ("&amp;V$3&amp;")'!$D:$D"),'Tổng Đơn'!$B15),0)</f>
        <v>0</v>
      </c>
      <c r="W15" s="2">
        <f ca="1">IFERROR(SUMIFS(INDIRECT("'Thanh Toán ("&amp;W$3&amp;")'!$F:$F"),INDIRECT("'Thanh Toán ("&amp;W$3&amp;")'!$D:$D"),'Tổng Đơn'!$B15),0)</f>
        <v>0</v>
      </c>
      <c r="X15" s="2">
        <f ca="1">IFERROR(SUMIFS(INDIRECT("'Thanh Toán ("&amp;X$3&amp;")'!$F:$F"),INDIRECT("'Thanh Toán ("&amp;X$3&amp;")'!$D:$D"),'Tổng Đơn'!$B15),0)</f>
        <v>0</v>
      </c>
      <c r="Y15" s="2">
        <f ca="1">IFERROR(SUMIFS(INDIRECT("'Thanh Toán ("&amp;Y$3&amp;")'!$F:$F"),INDIRECT("'Thanh Toán ("&amp;Y$3&amp;")'!$D:$D"),'Tổng Đơn'!$B15),0)</f>
        <v>0</v>
      </c>
      <c r="Z15" s="2">
        <f ca="1">IFERROR(SUMIFS(INDIRECT("'Thanh Toán ("&amp;Z$3&amp;")'!$F:$F"),INDIRECT("'Thanh Toán ("&amp;Z$3&amp;")'!$D:$D"),'Tổng Đơn'!$B15),0)</f>
        <v>0</v>
      </c>
      <c r="AA15" s="2">
        <f ca="1">IFERROR(SUMIFS(INDIRECT("'Thanh Toán ("&amp;AA$3&amp;")'!$F:$F"),INDIRECT("'Thanh Toán ("&amp;AA$3&amp;")'!$D:$D"),'Tổng Đơn'!$B15),0)</f>
        <v>0</v>
      </c>
      <c r="AB15" s="2">
        <f ca="1">IFERROR(SUMIFS(INDIRECT("'Thanh Toán ("&amp;AB$3&amp;")'!$F:$F"),INDIRECT("'Thanh Toán ("&amp;AB$3&amp;")'!$D:$D"),'Tổng Đơn'!$B15),0)</f>
        <v>0</v>
      </c>
      <c r="AC15" s="2">
        <f ca="1">IFERROR(SUMIFS(INDIRECT("'Thanh Toán ("&amp;AC$3&amp;")'!$F:$F"),INDIRECT("'Thanh Toán ("&amp;AC$3&amp;")'!$D:$D"),'Tổng Đơn'!$B15),0)</f>
        <v>0</v>
      </c>
      <c r="AD15" s="2">
        <f ca="1">IFERROR(SUMIFS(INDIRECT("'Thanh Toán ("&amp;AD$3&amp;")'!$F:$F"),INDIRECT("'Thanh Toán ("&amp;AD$3&amp;")'!$D:$D"),'Tổng Đơn'!$B15),0)</f>
        <v>0</v>
      </c>
      <c r="AE15" s="2">
        <f ca="1">IFERROR(SUMIFS(INDIRECT("'Thanh Toán ("&amp;AE$3&amp;")'!$F:$F"),INDIRECT("'Thanh Toán ("&amp;AE$3&amp;")'!$D:$D"),'Tổng Đơn'!$B15),0)</f>
        <v>0</v>
      </c>
      <c r="AF15" s="2">
        <f ca="1">IFERROR(SUMIFS(INDIRECT("'Thanh Toán ("&amp;AF$3&amp;")'!$F:$F"),INDIRECT("'Thanh Toán ("&amp;AF$3&amp;")'!$D:$D"),'Tổng Đơn'!$B15),0)</f>
        <v>0</v>
      </c>
      <c r="AG15" s="2">
        <f ca="1">IFERROR(SUMIFS(INDIRECT("'Thanh Toán ("&amp;AG$3&amp;")'!$F:$F"),INDIRECT("'Thanh Toán ("&amp;AG$3&amp;")'!$D:$D"),'Tổng Đơn'!$B15),0)</f>
        <v>0</v>
      </c>
      <c r="AH15" s="2">
        <f ca="1">IFERROR(SUMIFS(INDIRECT("'Thanh Toán ("&amp;AH$3&amp;")'!$F:$F"),INDIRECT("'Thanh Toán ("&amp;AH$3&amp;")'!$D:$D"),'Tổng Đơn'!$B15),0)</f>
        <v>0</v>
      </c>
      <c r="AI15" s="2">
        <f ca="1">IFERROR(SUMIFS(INDIRECT("'Thanh Toán ("&amp;AI$3&amp;")'!$F:$F"),INDIRECT("'Thanh Toán ("&amp;AI$3&amp;")'!$D:$D"),'Tổng Đơn'!$B15),0)</f>
        <v>0</v>
      </c>
      <c r="AJ15" s="2">
        <f ca="1">IFERROR(SUMIFS(INDIRECT("'Thanh Toán ("&amp;AJ$3&amp;")'!$F:$F"),INDIRECT("'Thanh Toán ("&amp;AJ$3&amp;")'!$D:$D"),'Tổng Đơn'!$B15),0)</f>
        <v>0</v>
      </c>
      <c r="AK15" s="2">
        <f ca="1">IFERROR(SUMIFS(INDIRECT("'Thanh Toán ("&amp;AK$3&amp;")'!$F:$F"),INDIRECT("'Thanh Toán ("&amp;AK$3&amp;")'!$D:$D"),'Tổng Đơn'!$B15),0)</f>
        <v>0</v>
      </c>
      <c r="AL15" s="2">
        <f ca="1">IFERROR(SUMIFS(INDIRECT("'Thanh Toán ("&amp;AL$3&amp;")'!$F:$F"),INDIRECT("'Thanh Toán ("&amp;AL$3&amp;")'!$D:$D"),'Tổng Đơn'!$B15),0)</f>
        <v>0</v>
      </c>
      <c r="AM15" s="2">
        <f ca="1">IFERROR(SUMIFS(INDIRECT("'Thanh Toán ("&amp;AM$3&amp;")'!$F:$F"),INDIRECT("'Thanh Toán ("&amp;AM$3&amp;")'!$D:$D"),'Tổng Đơn'!$B15),0)</f>
        <v>0</v>
      </c>
      <c r="AN15" s="2">
        <f ca="1">IFERROR(SUMIFS(INDIRECT("'Thanh Toán ("&amp;AN$3&amp;")'!$F:$F"),INDIRECT("'Thanh Toán ("&amp;AN$3&amp;")'!$D:$D"),'Tổng Đơn'!$B15),0)</f>
        <v>0</v>
      </c>
      <c r="AO15" s="2">
        <f ca="1">IFERROR(SUMIFS(INDIRECT("'Thanh Toán ("&amp;AO$3&amp;")'!$F:$F"),INDIRECT("'Thanh Toán ("&amp;AO$3&amp;")'!$D:$D"),'Tổng Đơn'!$B15),0)</f>
        <v>0</v>
      </c>
      <c r="AP15" s="2">
        <f ca="1">IFERROR(SUMIFS(INDIRECT("'Thanh Toán ("&amp;AP$3&amp;")'!$F:$F"),INDIRECT("'Thanh Toán ("&amp;AP$3&amp;")'!$D:$D"),'Tổng Đơn'!$B15),0)</f>
        <v>0</v>
      </c>
      <c r="AQ15" s="2">
        <f ca="1">IFERROR(SUMIFS(INDIRECT("'Thanh Toán ("&amp;AQ$3&amp;")'!$F:$F"),INDIRECT("'Thanh Toán ("&amp;AQ$3&amp;")'!$D:$D"),'Tổng Đơn'!$B15),0)</f>
        <v>0</v>
      </c>
      <c r="AR15" s="2">
        <f ca="1">IFERROR(SUMIFS(INDIRECT("'Thanh Toán ("&amp;AR$3&amp;")'!$F:$F"),INDIRECT("'Thanh Toán ("&amp;AR$3&amp;")'!$D:$D"),'Tổng Đơn'!$B15),0)</f>
        <v>0</v>
      </c>
      <c r="AS15" s="2">
        <f ca="1">IFERROR(SUMIFS(INDIRECT("'Thanh Toán ("&amp;AS$3&amp;")'!$F:$F"),INDIRECT("'Thanh Toán ("&amp;AS$3&amp;")'!$D:$D"),'Tổng Đơn'!$B15),0)</f>
        <v>0</v>
      </c>
      <c r="AT15" s="2">
        <f ca="1">IFERROR(SUMIFS(INDIRECT("'Thanh Toán ("&amp;AT$3&amp;")'!$F:$F"),INDIRECT("'Thanh Toán ("&amp;AT$3&amp;")'!$D:$D"),'Tổng Đơn'!$B15),0)</f>
        <v>0</v>
      </c>
      <c r="AU15" s="2">
        <f ca="1">IFERROR(SUMIFS(INDIRECT("'Thanh Toán ("&amp;AU$3&amp;")'!$F:$F"),INDIRECT("'Thanh Toán ("&amp;AU$3&amp;")'!$D:$D"),'Tổng Đơn'!$B15),0)</f>
        <v>0</v>
      </c>
      <c r="AV15" s="2">
        <f ca="1">IFERROR(SUMIFS(INDIRECT("'Thanh Toán ("&amp;AV$3&amp;")'!$F:$F"),INDIRECT("'Thanh Toán ("&amp;AV$3&amp;")'!$D:$D"),'Tổng Đơn'!$B15),0)</f>
        <v>0</v>
      </c>
      <c r="AW15" s="2">
        <f ca="1">IFERROR(SUMIFS(INDIRECT("'Thanh Toán ("&amp;AW$3&amp;")'!$F:$F"),INDIRECT("'Thanh Toán ("&amp;AW$3&amp;")'!$D:$D"),'Tổng Đơn'!$B15),0)</f>
        <v>0</v>
      </c>
      <c r="AX15" s="2">
        <f ca="1">IFERROR(SUMIFS(INDIRECT("'Thanh Toán ("&amp;AX$3&amp;")'!$F:$F"),INDIRECT("'Thanh Toán ("&amp;AX$3&amp;")'!$D:$D"),'Tổng Đơn'!$B15),0)</f>
        <v>0</v>
      </c>
      <c r="AY15" s="2">
        <f ca="1">IFERROR(SUMIFS(INDIRECT("'Thanh Toán ("&amp;AY$3&amp;")'!$F:$F"),INDIRECT("'Thanh Toán ("&amp;AY$3&amp;")'!$D:$D"),'Tổng Đơn'!$B15),0)</f>
        <v>0</v>
      </c>
      <c r="AZ15" s="2">
        <f ca="1">IFERROR(SUMIFS(INDIRECT("'Thanh Toán ("&amp;AZ$3&amp;")'!$F:$F"),INDIRECT("'Thanh Toán ("&amp;AZ$3&amp;")'!$D:$D"),'Tổng Đơn'!$B15),0)</f>
        <v>0</v>
      </c>
      <c r="BA15" s="2">
        <f ca="1">IFERROR(SUMIFS(INDIRECT("'Thanh Toán ("&amp;BA$3&amp;")'!$F:$F"),INDIRECT("'Thanh Toán ("&amp;BA$3&amp;")'!$D:$D"),'Tổng Đơn'!$B15),0)</f>
        <v>0</v>
      </c>
      <c r="BB15" s="2">
        <f ca="1">IFERROR(SUMIFS(INDIRECT("'Thanh Toán ("&amp;BB$3&amp;")'!$F:$F"),INDIRECT("'Thanh Toán ("&amp;BB$3&amp;")'!$D:$D"),'Tổng Đơn'!$B15),0)</f>
        <v>0</v>
      </c>
      <c r="BC15" s="2">
        <f ca="1">IFERROR(SUMIFS(INDIRECT("'Thanh Toán ("&amp;BC$3&amp;")'!$F:$F"),INDIRECT("'Thanh Toán ("&amp;BC$3&amp;")'!$D:$D"),'Tổng Đơn'!$B15),0)</f>
        <v>0</v>
      </c>
    </row>
    <row r="16" spans="1:55" ht="18" customHeight="1" x14ac:dyDescent="0.25">
      <c r="A16" s="167">
        <v>6</v>
      </c>
      <c r="B16" s="168" t="s">
        <v>25</v>
      </c>
      <c r="C16" s="174" t="s">
        <v>100</v>
      </c>
      <c r="D16" s="169">
        <f>VLOOKUP($C16,Sheet1!$C$8:$D$98,2,0)</f>
        <v>42000</v>
      </c>
      <c r="E16" s="170">
        <v>0.5</v>
      </c>
      <c r="F16" s="171">
        <f t="shared" ca="1" si="2"/>
        <v>1</v>
      </c>
      <c r="G16" s="172">
        <f>IFERROR(VLOOKUP($B16,Gà!C:J,8,0),IFERROR(VLOOKUP($B16,TVP!C:J,7,0),IFERROR(VLOOKUP($B16,Kitkool!C:J,8,0),IFERROR(VLOOKUP($B16,'La Cusina'!C:J,8,0),VLOOKUP($B16,'Quốc Nhân'!C:J,8,0)))))</f>
        <v>38.349333814286588</v>
      </c>
      <c r="H16" s="173">
        <f t="shared" ca="1" si="10"/>
        <v>3650.6661857134095</v>
      </c>
      <c r="I16" s="195">
        <f t="shared" si="11"/>
        <v>9.5195035287768182E-2</v>
      </c>
      <c r="J16" s="173">
        <f t="shared" ca="1" si="12"/>
        <v>38349.33381428659</v>
      </c>
      <c r="K16" s="38"/>
      <c r="L16" s="2">
        <f ca="1">IFERROR(SUMIFS(INDIRECT("'Thanh Toán ("&amp;L$3&amp;")'!$F:$F"),INDIRECT("'Thanh Toán ("&amp;L$3&amp;")'!$D:$D"),'Tổng Đơn'!$B16),0)</f>
        <v>0</v>
      </c>
      <c r="M16" s="2">
        <f ca="1">IFERROR(SUMIFS(INDIRECT("'Thanh Toán ("&amp;M$3&amp;")'!$F:$F"),INDIRECT("'Thanh Toán ("&amp;M$3&amp;")'!$D:$D"),'Tổng Đơn'!$B16),0)</f>
        <v>0</v>
      </c>
      <c r="N16" s="2">
        <f ca="1">IFERROR(SUMIFS(INDIRECT("'Thanh Toán ("&amp;N$3&amp;")'!$F:$F"),INDIRECT("'Thanh Toán ("&amp;N$3&amp;")'!$D:$D"),'Tổng Đơn'!$B16),0)</f>
        <v>1</v>
      </c>
      <c r="O16" s="2">
        <f ca="1">IFERROR(SUMIFS(INDIRECT("'Thanh Toán ("&amp;O$3&amp;")'!$F:$F"),INDIRECT("'Thanh Toán ("&amp;O$3&amp;")'!$D:$D"),'Tổng Đơn'!$B16),0)</f>
        <v>0</v>
      </c>
      <c r="P16" s="2">
        <f ca="1">IFERROR(SUMIFS(INDIRECT("'Thanh Toán ("&amp;P$3&amp;")'!$F:$F"),INDIRECT("'Thanh Toán ("&amp;P$3&amp;")'!$D:$D"),'Tổng Đơn'!$B16),0)</f>
        <v>0</v>
      </c>
      <c r="Q16" s="2">
        <f ca="1">IFERROR(SUMIFS(INDIRECT("'Thanh Toán ("&amp;Q$3&amp;")'!$F:$F"),INDIRECT("'Thanh Toán ("&amp;Q$3&amp;")'!$D:$D"),'Tổng Đơn'!$B16),0)</f>
        <v>0</v>
      </c>
      <c r="R16" s="2">
        <f ca="1">IFERROR(SUMIFS(INDIRECT("'Thanh Toán ("&amp;R$3&amp;")'!$F:$F"),INDIRECT("'Thanh Toán ("&amp;R$3&amp;")'!$D:$D"),'Tổng Đơn'!$B16),0)</f>
        <v>0</v>
      </c>
      <c r="S16" s="2">
        <f ca="1">IFERROR(SUMIFS(INDIRECT("'Thanh Toán ("&amp;S$3&amp;")'!$F:$F"),INDIRECT("'Thanh Toán ("&amp;S$3&amp;")'!$D:$D"),'Tổng Đơn'!$B16),0)</f>
        <v>0</v>
      </c>
      <c r="T16" s="2">
        <f ca="1">IFERROR(SUMIFS(INDIRECT("'Thanh Toán ("&amp;T$3&amp;")'!$F:$F"),INDIRECT("'Thanh Toán ("&amp;T$3&amp;")'!$D:$D"),'Tổng Đơn'!$B16),0)</f>
        <v>0</v>
      </c>
      <c r="U16" s="2">
        <f ca="1">IFERROR(SUMIFS(INDIRECT("'Thanh Toán ("&amp;U$3&amp;")'!$F:$F"),INDIRECT("'Thanh Toán ("&amp;U$3&amp;")'!$D:$D"),'Tổng Đơn'!$B16),0)</f>
        <v>0</v>
      </c>
      <c r="V16" s="2">
        <f ca="1">IFERROR(SUMIFS(INDIRECT("'Thanh Toán ("&amp;V$3&amp;")'!$F:$F"),INDIRECT("'Thanh Toán ("&amp;V$3&amp;")'!$D:$D"),'Tổng Đơn'!$B16),0)</f>
        <v>0</v>
      </c>
      <c r="W16" s="2">
        <f ca="1">IFERROR(SUMIFS(INDIRECT("'Thanh Toán ("&amp;W$3&amp;")'!$F:$F"),INDIRECT("'Thanh Toán ("&amp;W$3&amp;")'!$D:$D"),'Tổng Đơn'!$B16),0)</f>
        <v>0</v>
      </c>
      <c r="X16" s="2">
        <f ca="1">IFERROR(SUMIFS(INDIRECT("'Thanh Toán ("&amp;X$3&amp;")'!$F:$F"),INDIRECT("'Thanh Toán ("&amp;X$3&amp;")'!$D:$D"),'Tổng Đơn'!$B16),0)</f>
        <v>0</v>
      </c>
      <c r="Y16" s="2">
        <f ca="1">IFERROR(SUMIFS(INDIRECT("'Thanh Toán ("&amp;Y$3&amp;")'!$F:$F"),INDIRECT("'Thanh Toán ("&amp;Y$3&amp;")'!$D:$D"),'Tổng Đơn'!$B16),0)</f>
        <v>0</v>
      </c>
      <c r="Z16" s="2">
        <f ca="1">IFERROR(SUMIFS(INDIRECT("'Thanh Toán ("&amp;Z$3&amp;")'!$F:$F"),INDIRECT("'Thanh Toán ("&amp;Z$3&amp;")'!$D:$D"),'Tổng Đơn'!$B16),0)</f>
        <v>0</v>
      </c>
      <c r="AA16" s="2">
        <f ca="1">IFERROR(SUMIFS(INDIRECT("'Thanh Toán ("&amp;AA$3&amp;")'!$F:$F"),INDIRECT("'Thanh Toán ("&amp;AA$3&amp;")'!$D:$D"),'Tổng Đơn'!$B16),0)</f>
        <v>0</v>
      </c>
      <c r="AB16" s="2">
        <f ca="1">IFERROR(SUMIFS(INDIRECT("'Thanh Toán ("&amp;AB$3&amp;")'!$F:$F"),INDIRECT("'Thanh Toán ("&amp;AB$3&amp;")'!$D:$D"),'Tổng Đơn'!$B16),0)</f>
        <v>0</v>
      </c>
      <c r="AC16" s="2">
        <f ca="1">IFERROR(SUMIFS(INDIRECT("'Thanh Toán ("&amp;AC$3&amp;")'!$F:$F"),INDIRECT("'Thanh Toán ("&amp;AC$3&amp;")'!$D:$D"),'Tổng Đơn'!$B16),0)</f>
        <v>0</v>
      </c>
      <c r="AD16" s="2">
        <f ca="1">IFERROR(SUMIFS(INDIRECT("'Thanh Toán ("&amp;AD$3&amp;")'!$F:$F"),INDIRECT("'Thanh Toán ("&amp;AD$3&amp;")'!$D:$D"),'Tổng Đơn'!$B16),0)</f>
        <v>0</v>
      </c>
      <c r="AE16" s="2">
        <f ca="1">IFERROR(SUMIFS(INDIRECT("'Thanh Toán ("&amp;AE$3&amp;")'!$F:$F"),INDIRECT("'Thanh Toán ("&amp;AE$3&amp;")'!$D:$D"),'Tổng Đơn'!$B16),0)</f>
        <v>0</v>
      </c>
      <c r="AF16" s="2">
        <f ca="1">IFERROR(SUMIFS(INDIRECT("'Thanh Toán ("&amp;AF$3&amp;")'!$F:$F"),INDIRECT("'Thanh Toán ("&amp;AF$3&amp;")'!$D:$D"),'Tổng Đơn'!$B16),0)</f>
        <v>0</v>
      </c>
      <c r="AG16" s="2">
        <f ca="1">IFERROR(SUMIFS(INDIRECT("'Thanh Toán ("&amp;AG$3&amp;")'!$F:$F"),INDIRECT("'Thanh Toán ("&amp;AG$3&amp;")'!$D:$D"),'Tổng Đơn'!$B16),0)</f>
        <v>0</v>
      </c>
      <c r="AH16" s="2">
        <f ca="1">IFERROR(SUMIFS(INDIRECT("'Thanh Toán ("&amp;AH$3&amp;")'!$F:$F"),INDIRECT("'Thanh Toán ("&amp;AH$3&amp;")'!$D:$D"),'Tổng Đơn'!$B16),0)</f>
        <v>0</v>
      </c>
      <c r="AI16" s="2">
        <f ca="1">IFERROR(SUMIFS(INDIRECT("'Thanh Toán ("&amp;AI$3&amp;")'!$F:$F"),INDIRECT("'Thanh Toán ("&amp;AI$3&amp;")'!$D:$D"),'Tổng Đơn'!$B16),0)</f>
        <v>0</v>
      </c>
      <c r="AJ16" s="2">
        <f ca="1">IFERROR(SUMIFS(INDIRECT("'Thanh Toán ("&amp;AJ$3&amp;")'!$F:$F"),INDIRECT("'Thanh Toán ("&amp;AJ$3&amp;")'!$D:$D"),'Tổng Đơn'!$B16),0)</f>
        <v>0</v>
      </c>
      <c r="AK16" s="2">
        <f ca="1">IFERROR(SUMIFS(INDIRECT("'Thanh Toán ("&amp;AK$3&amp;")'!$F:$F"),INDIRECT("'Thanh Toán ("&amp;AK$3&amp;")'!$D:$D"),'Tổng Đơn'!$B16),0)</f>
        <v>0</v>
      </c>
      <c r="AL16" s="2">
        <f ca="1">IFERROR(SUMIFS(INDIRECT("'Thanh Toán ("&amp;AL$3&amp;")'!$F:$F"),INDIRECT("'Thanh Toán ("&amp;AL$3&amp;")'!$D:$D"),'Tổng Đơn'!$B16),0)</f>
        <v>0</v>
      </c>
      <c r="AM16" s="2">
        <f ca="1">IFERROR(SUMIFS(INDIRECT("'Thanh Toán ("&amp;AM$3&amp;")'!$F:$F"),INDIRECT("'Thanh Toán ("&amp;AM$3&amp;")'!$D:$D"),'Tổng Đơn'!$B16),0)</f>
        <v>0</v>
      </c>
      <c r="AN16" s="2">
        <f ca="1">IFERROR(SUMIFS(INDIRECT("'Thanh Toán ("&amp;AN$3&amp;")'!$F:$F"),INDIRECT("'Thanh Toán ("&amp;AN$3&amp;")'!$D:$D"),'Tổng Đơn'!$B16),0)</f>
        <v>0</v>
      </c>
      <c r="AO16" s="2">
        <f ca="1">IFERROR(SUMIFS(INDIRECT("'Thanh Toán ("&amp;AO$3&amp;")'!$F:$F"),INDIRECT("'Thanh Toán ("&amp;AO$3&amp;")'!$D:$D"),'Tổng Đơn'!$B16),0)</f>
        <v>0</v>
      </c>
      <c r="AP16" s="2">
        <f ca="1">IFERROR(SUMIFS(INDIRECT("'Thanh Toán ("&amp;AP$3&amp;")'!$F:$F"),INDIRECT("'Thanh Toán ("&amp;AP$3&amp;")'!$D:$D"),'Tổng Đơn'!$B16),0)</f>
        <v>0</v>
      </c>
      <c r="AQ16" s="2">
        <f ca="1">IFERROR(SUMIFS(INDIRECT("'Thanh Toán ("&amp;AQ$3&amp;")'!$F:$F"),INDIRECT("'Thanh Toán ("&amp;AQ$3&amp;")'!$D:$D"),'Tổng Đơn'!$B16),0)</f>
        <v>0</v>
      </c>
      <c r="AR16" s="2">
        <f ca="1">IFERROR(SUMIFS(INDIRECT("'Thanh Toán ("&amp;AR$3&amp;")'!$F:$F"),INDIRECT("'Thanh Toán ("&amp;AR$3&amp;")'!$D:$D"),'Tổng Đơn'!$B16),0)</f>
        <v>0</v>
      </c>
      <c r="AS16" s="2">
        <f ca="1">IFERROR(SUMIFS(INDIRECT("'Thanh Toán ("&amp;AS$3&amp;")'!$F:$F"),INDIRECT("'Thanh Toán ("&amp;AS$3&amp;")'!$D:$D"),'Tổng Đơn'!$B16),0)</f>
        <v>0</v>
      </c>
      <c r="AT16" s="2">
        <f ca="1">IFERROR(SUMIFS(INDIRECT("'Thanh Toán ("&amp;AT$3&amp;")'!$F:$F"),INDIRECT("'Thanh Toán ("&amp;AT$3&amp;")'!$D:$D"),'Tổng Đơn'!$B16),0)</f>
        <v>0</v>
      </c>
      <c r="AU16" s="2">
        <f ca="1">IFERROR(SUMIFS(INDIRECT("'Thanh Toán ("&amp;AU$3&amp;")'!$F:$F"),INDIRECT("'Thanh Toán ("&amp;AU$3&amp;")'!$D:$D"),'Tổng Đơn'!$B16),0)</f>
        <v>0</v>
      </c>
      <c r="AV16" s="2">
        <f ca="1">IFERROR(SUMIFS(INDIRECT("'Thanh Toán ("&amp;AV$3&amp;")'!$F:$F"),INDIRECT("'Thanh Toán ("&amp;AV$3&amp;")'!$D:$D"),'Tổng Đơn'!$B16),0)</f>
        <v>0</v>
      </c>
      <c r="AW16" s="2">
        <f ca="1">IFERROR(SUMIFS(INDIRECT("'Thanh Toán ("&amp;AW$3&amp;")'!$F:$F"),INDIRECT("'Thanh Toán ("&amp;AW$3&amp;")'!$D:$D"),'Tổng Đơn'!$B16),0)</f>
        <v>0</v>
      </c>
      <c r="AX16" s="2">
        <f ca="1">IFERROR(SUMIFS(INDIRECT("'Thanh Toán ("&amp;AX$3&amp;")'!$F:$F"),INDIRECT("'Thanh Toán ("&amp;AX$3&amp;")'!$D:$D"),'Tổng Đơn'!$B16),0)</f>
        <v>0</v>
      </c>
      <c r="AY16" s="2">
        <f ca="1">IFERROR(SUMIFS(INDIRECT("'Thanh Toán ("&amp;AY$3&amp;")'!$F:$F"),INDIRECT("'Thanh Toán ("&amp;AY$3&amp;")'!$D:$D"),'Tổng Đơn'!$B16),0)</f>
        <v>0</v>
      </c>
      <c r="AZ16" s="2">
        <f ca="1">IFERROR(SUMIFS(INDIRECT("'Thanh Toán ("&amp;AZ$3&amp;")'!$F:$F"),INDIRECT("'Thanh Toán ("&amp;AZ$3&amp;")'!$D:$D"),'Tổng Đơn'!$B16),0)</f>
        <v>0</v>
      </c>
      <c r="BA16" s="2">
        <f ca="1">IFERROR(SUMIFS(INDIRECT("'Thanh Toán ("&amp;BA$3&amp;")'!$F:$F"),INDIRECT("'Thanh Toán ("&amp;BA$3&amp;")'!$D:$D"),'Tổng Đơn'!$B16),0)</f>
        <v>0</v>
      </c>
      <c r="BB16" s="2">
        <f ca="1">IFERROR(SUMIFS(INDIRECT("'Thanh Toán ("&amp;BB$3&amp;")'!$F:$F"),INDIRECT("'Thanh Toán ("&amp;BB$3&amp;")'!$D:$D"),'Tổng Đơn'!$B16),0)</f>
        <v>0</v>
      </c>
      <c r="BC16" s="2">
        <f ca="1">IFERROR(SUMIFS(INDIRECT("'Thanh Toán ("&amp;BC$3&amp;")'!$F:$F"),INDIRECT("'Thanh Toán ("&amp;BC$3&amp;")'!$D:$D"),'Tổng Đơn'!$B16),0)</f>
        <v>0</v>
      </c>
    </row>
    <row r="17" spans="1:55" ht="18" customHeight="1" x14ac:dyDescent="0.25">
      <c r="A17" s="167">
        <v>7</v>
      </c>
      <c r="B17" s="168" t="s">
        <v>53</v>
      </c>
      <c r="C17" s="167" t="s">
        <v>101</v>
      </c>
      <c r="D17" s="169">
        <f>VLOOKUP($C17,Sheet1!$C$8:$D$98,2,0)</f>
        <v>35000</v>
      </c>
      <c r="E17" s="170">
        <v>0.5</v>
      </c>
      <c r="F17" s="171">
        <f t="shared" ca="1" si="2"/>
        <v>0</v>
      </c>
      <c r="G17" s="172">
        <f>IFERROR(VLOOKUP($B17,Gà!C:J,8,0),IFERROR(VLOOKUP($B17,TVP!C:J,7,0),IFERROR(VLOOKUP($B17,Kitkool!C:J,8,0),IFERROR(VLOOKUP($B17,'La Cusina'!C:J,8,0),VLOOKUP($B17,'Quốc Nhân'!C:J,8,0)))))</f>
        <v>30.168142600572114</v>
      </c>
      <c r="H17" s="173">
        <f t="shared" ca="1" si="10"/>
        <v>0</v>
      </c>
      <c r="I17" s="195">
        <f t="shared" si="11"/>
        <v>0.16016423229636456</v>
      </c>
      <c r="J17" s="173">
        <f t="shared" ca="1" si="12"/>
        <v>0</v>
      </c>
      <c r="K17" s="38"/>
      <c r="L17" s="2">
        <f ca="1">IFERROR(SUMIFS(INDIRECT("'Thanh Toán ("&amp;L$3&amp;")'!$F:$F"),INDIRECT("'Thanh Toán ("&amp;L$3&amp;")'!$D:$D"),'Tổng Đơn'!$B17),0)</f>
        <v>0</v>
      </c>
      <c r="M17" s="2">
        <f ca="1">IFERROR(SUMIFS(INDIRECT("'Thanh Toán ("&amp;M$3&amp;")'!$F:$F"),INDIRECT("'Thanh Toán ("&amp;M$3&amp;")'!$D:$D"),'Tổng Đơn'!$B17),0)</f>
        <v>0</v>
      </c>
      <c r="N17" s="2">
        <f ca="1">IFERROR(SUMIFS(INDIRECT("'Thanh Toán ("&amp;N$3&amp;")'!$F:$F"),INDIRECT("'Thanh Toán ("&amp;N$3&amp;")'!$D:$D"),'Tổng Đơn'!$B17),0)</f>
        <v>0</v>
      </c>
      <c r="O17" s="2">
        <f ca="1">IFERROR(SUMIFS(INDIRECT("'Thanh Toán ("&amp;O$3&amp;")'!$F:$F"),INDIRECT("'Thanh Toán ("&amp;O$3&amp;")'!$D:$D"),'Tổng Đơn'!$B17),0)</f>
        <v>0</v>
      </c>
      <c r="P17" s="2">
        <f ca="1">IFERROR(SUMIFS(INDIRECT("'Thanh Toán ("&amp;P$3&amp;")'!$F:$F"),INDIRECT("'Thanh Toán ("&amp;P$3&amp;")'!$D:$D"),'Tổng Đơn'!$B17),0)</f>
        <v>0</v>
      </c>
      <c r="Q17" s="2">
        <f ca="1">IFERROR(SUMIFS(INDIRECT("'Thanh Toán ("&amp;Q$3&amp;")'!$F:$F"),INDIRECT("'Thanh Toán ("&amp;Q$3&amp;")'!$D:$D"),'Tổng Đơn'!$B17),0)</f>
        <v>0</v>
      </c>
      <c r="R17" s="2">
        <f ca="1">IFERROR(SUMIFS(INDIRECT("'Thanh Toán ("&amp;R$3&amp;")'!$F:$F"),INDIRECT("'Thanh Toán ("&amp;R$3&amp;")'!$D:$D"),'Tổng Đơn'!$B17),0)</f>
        <v>0</v>
      </c>
      <c r="S17" s="2">
        <f ca="1">IFERROR(SUMIFS(INDIRECT("'Thanh Toán ("&amp;S$3&amp;")'!$F:$F"),INDIRECT("'Thanh Toán ("&amp;S$3&amp;")'!$D:$D"),'Tổng Đơn'!$B17),0)</f>
        <v>0</v>
      </c>
      <c r="T17" s="2">
        <f ca="1">IFERROR(SUMIFS(INDIRECT("'Thanh Toán ("&amp;T$3&amp;")'!$F:$F"),INDIRECT("'Thanh Toán ("&amp;T$3&amp;")'!$D:$D"),'Tổng Đơn'!$B17),0)</f>
        <v>0</v>
      </c>
      <c r="U17" s="2">
        <f ca="1">IFERROR(SUMIFS(INDIRECT("'Thanh Toán ("&amp;U$3&amp;")'!$F:$F"),INDIRECT("'Thanh Toán ("&amp;U$3&amp;")'!$D:$D"),'Tổng Đơn'!$B17),0)</f>
        <v>0</v>
      </c>
      <c r="V17" s="2">
        <f ca="1">IFERROR(SUMIFS(INDIRECT("'Thanh Toán ("&amp;V$3&amp;")'!$F:$F"),INDIRECT("'Thanh Toán ("&amp;V$3&amp;")'!$D:$D"),'Tổng Đơn'!$B17),0)</f>
        <v>0</v>
      </c>
      <c r="W17" s="2">
        <f ca="1">IFERROR(SUMIFS(INDIRECT("'Thanh Toán ("&amp;W$3&amp;")'!$F:$F"),INDIRECT("'Thanh Toán ("&amp;W$3&amp;")'!$D:$D"),'Tổng Đơn'!$B17),0)</f>
        <v>0</v>
      </c>
      <c r="X17" s="2">
        <f ca="1">IFERROR(SUMIFS(INDIRECT("'Thanh Toán ("&amp;X$3&amp;")'!$F:$F"),INDIRECT("'Thanh Toán ("&amp;X$3&amp;")'!$D:$D"),'Tổng Đơn'!$B17),0)</f>
        <v>0</v>
      </c>
      <c r="Y17" s="2">
        <f ca="1">IFERROR(SUMIFS(INDIRECT("'Thanh Toán ("&amp;Y$3&amp;")'!$F:$F"),INDIRECT("'Thanh Toán ("&amp;Y$3&amp;")'!$D:$D"),'Tổng Đơn'!$B17),0)</f>
        <v>0</v>
      </c>
      <c r="Z17" s="2">
        <f ca="1">IFERROR(SUMIFS(INDIRECT("'Thanh Toán ("&amp;Z$3&amp;")'!$F:$F"),INDIRECT("'Thanh Toán ("&amp;Z$3&amp;")'!$D:$D"),'Tổng Đơn'!$B17),0)</f>
        <v>0</v>
      </c>
      <c r="AA17" s="2">
        <f ca="1">IFERROR(SUMIFS(INDIRECT("'Thanh Toán ("&amp;AA$3&amp;")'!$F:$F"),INDIRECT("'Thanh Toán ("&amp;AA$3&amp;")'!$D:$D"),'Tổng Đơn'!$B17),0)</f>
        <v>0</v>
      </c>
      <c r="AB17" s="2">
        <f ca="1">IFERROR(SUMIFS(INDIRECT("'Thanh Toán ("&amp;AB$3&amp;")'!$F:$F"),INDIRECT("'Thanh Toán ("&amp;AB$3&amp;")'!$D:$D"),'Tổng Đơn'!$B17),0)</f>
        <v>0</v>
      </c>
      <c r="AC17" s="2">
        <f ca="1">IFERROR(SUMIFS(INDIRECT("'Thanh Toán ("&amp;AC$3&amp;")'!$F:$F"),INDIRECT("'Thanh Toán ("&amp;AC$3&amp;")'!$D:$D"),'Tổng Đơn'!$B17),0)</f>
        <v>0</v>
      </c>
      <c r="AD17" s="2">
        <f ca="1">IFERROR(SUMIFS(INDIRECT("'Thanh Toán ("&amp;AD$3&amp;")'!$F:$F"),INDIRECT("'Thanh Toán ("&amp;AD$3&amp;")'!$D:$D"),'Tổng Đơn'!$B17),0)</f>
        <v>0</v>
      </c>
      <c r="AE17" s="2">
        <f ca="1">IFERROR(SUMIFS(INDIRECT("'Thanh Toán ("&amp;AE$3&amp;")'!$F:$F"),INDIRECT("'Thanh Toán ("&amp;AE$3&amp;")'!$D:$D"),'Tổng Đơn'!$B17),0)</f>
        <v>0</v>
      </c>
      <c r="AF17" s="2">
        <f ca="1">IFERROR(SUMIFS(INDIRECT("'Thanh Toán ("&amp;AF$3&amp;")'!$F:$F"),INDIRECT("'Thanh Toán ("&amp;AF$3&amp;")'!$D:$D"),'Tổng Đơn'!$B17),0)</f>
        <v>0</v>
      </c>
      <c r="AG17" s="2">
        <f ca="1">IFERROR(SUMIFS(INDIRECT("'Thanh Toán ("&amp;AG$3&amp;")'!$F:$F"),INDIRECT("'Thanh Toán ("&amp;AG$3&amp;")'!$D:$D"),'Tổng Đơn'!$B17),0)</f>
        <v>0</v>
      </c>
      <c r="AH17" s="2">
        <f ca="1">IFERROR(SUMIFS(INDIRECT("'Thanh Toán ("&amp;AH$3&amp;")'!$F:$F"),INDIRECT("'Thanh Toán ("&amp;AH$3&amp;")'!$D:$D"),'Tổng Đơn'!$B17),0)</f>
        <v>0</v>
      </c>
      <c r="AI17" s="2">
        <f ca="1">IFERROR(SUMIFS(INDIRECT("'Thanh Toán ("&amp;AI$3&amp;")'!$F:$F"),INDIRECT("'Thanh Toán ("&amp;AI$3&amp;")'!$D:$D"),'Tổng Đơn'!$B17),0)</f>
        <v>0</v>
      </c>
      <c r="AJ17" s="2">
        <f ca="1">IFERROR(SUMIFS(INDIRECT("'Thanh Toán ("&amp;AJ$3&amp;")'!$F:$F"),INDIRECT("'Thanh Toán ("&amp;AJ$3&amp;")'!$D:$D"),'Tổng Đơn'!$B17),0)</f>
        <v>0</v>
      </c>
      <c r="AK17" s="2">
        <f ca="1">IFERROR(SUMIFS(INDIRECT("'Thanh Toán ("&amp;AK$3&amp;")'!$F:$F"),INDIRECT("'Thanh Toán ("&amp;AK$3&amp;")'!$D:$D"),'Tổng Đơn'!$B17),0)</f>
        <v>0</v>
      </c>
      <c r="AL17" s="2">
        <f ca="1">IFERROR(SUMIFS(INDIRECT("'Thanh Toán ("&amp;AL$3&amp;")'!$F:$F"),INDIRECT("'Thanh Toán ("&amp;AL$3&amp;")'!$D:$D"),'Tổng Đơn'!$B17),0)</f>
        <v>0</v>
      </c>
      <c r="AM17" s="2">
        <f ca="1">IFERROR(SUMIFS(INDIRECT("'Thanh Toán ("&amp;AM$3&amp;")'!$F:$F"),INDIRECT("'Thanh Toán ("&amp;AM$3&amp;")'!$D:$D"),'Tổng Đơn'!$B17),0)</f>
        <v>0</v>
      </c>
      <c r="AN17" s="2">
        <f ca="1">IFERROR(SUMIFS(INDIRECT("'Thanh Toán ("&amp;AN$3&amp;")'!$F:$F"),INDIRECT("'Thanh Toán ("&amp;AN$3&amp;")'!$D:$D"),'Tổng Đơn'!$B17),0)</f>
        <v>0</v>
      </c>
      <c r="AO17" s="2">
        <f ca="1">IFERROR(SUMIFS(INDIRECT("'Thanh Toán ("&amp;AO$3&amp;")'!$F:$F"),INDIRECT("'Thanh Toán ("&amp;AO$3&amp;")'!$D:$D"),'Tổng Đơn'!$B17),0)</f>
        <v>0</v>
      </c>
      <c r="AP17" s="2">
        <f ca="1">IFERROR(SUMIFS(INDIRECT("'Thanh Toán ("&amp;AP$3&amp;")'!$F:$F"),INDIRECT("'Thanh Toán ("&amp;AP$3&amp;")'!$D:$D"),'Tổng Đơn'!$B17),0)</f>
        <v>0</v>
      </c>
      <c r="AQ17" s="2">
        <f ca="1">IFERROR(SUMIFS(INDIRECT("'Thanh Toán ("&amp;AQ$3&amp;")'!$F:$F"),INDIRECT("'Thanh Toán ("&amp;AQ$3&amp;")'!$D:$D"),'Tổng Đơn'!$B17),0)</f>
        <v>0</v>
      </c>
      <c r="AR17" s="2">
        <f ca="1">IFERROR(SUMIFS(INDIRECT("'Thanh Toán ("&amp;AR$3&amp;")'!$F:$F"),INDIRECT("'Thanh Toán ("&amp;AR$3&amp;")'!$D:$D"),'Tổng Đơn'!$B17),0)</f>
        <v>0</v>
      </c>
      <c r="AS17" s="2">
        <f ca="1">IFERROR(SUMIFS(INDIRECT("'Thanh Toán ("&amp;AS$3&amp;")'!$F:$F"),INDIRECT("'Thanh Toán ("&amp;AS$3&amp;")'!$D:$D"),'Tổng Đơn'!$B17),0)</f>
        <v>0</v>
      </c>
      <c r="AT17" s="2">
        <f ca="1">IFERROR(SUMIFS(INDIRECT("'Thanh Toán ("&amp;AT$3&amp;")'!$F:$F"),INDIRECT("'Thanh Toán ("&amp;AT$3&amp;")'!$D:$D"),'Tổng Đơn'!$B17),0)</f>
        <v>0</v>
      </c>
      <c r="AU17" s="2">
        <f ca="1">IFERROR(SUMIFS(INDIRECT("'Thanh Toán ("&amp;AU$3&amp;")'!$F:$F"),INDIRECT("'Thanh Toán ("&amp;AU$3&amp;")'!$D:$D"),'Tổng Đơn'!$B17),0)</f>
        <v>0</v>
      </c>
      <c r="AV17" s="2">
        <f ca="1">IFERROR(SUMIFS(INDIRECT("'Thanh Toán ("&amp;AV$3&amp;")'!$F:$F"),INDIRECT("'Thanh Toán ("&amp;AV$3&amp;")'!$D:$D"),'Tổng Đơn'!$B17),0)</f>
        <v>0</v>
      </c>
      <c r="AW17" s="2">
        <f ca="1">IFERROR(SUMIFS(INDIRECT("'Thanh Toán ("&amp;AW$3&amp;")'!$F:$F"),INDIRECT("'Thanh Toán ("&amp;AW$3&amp;")'!$D:$D"),'Tổng Đơn'!$B17),0)</f>
        <v>0</v>
      </c>
      <c r="AX17" s="2">
        <f ca="1">IFERROR(SUMIFS(INDIRECT("'Thanh Toán ("&amp;AX$3&amp;")'!$F:$F"),INDIRECT("'Thanh Toán ("&amp;AX$3&amp;")'!$D:$D"),'Tổng Đơn'!$B17),0)</f>
        <v>0</v>
      </c>
      <c r="AY17" s="2">
        <f ca="1">IFERROR(SUMIFS(INDIRECT("'Thanh Toán ("&amp;AY$3&amp;")'!$F:$F"),INDIRECT("'Thanh Toán ("&amp;AY$3&amp;")'!$D:$D"),'Tổng Đơn'!$B17),0)</f>
        <v>0</v>
      </c>
      <c r="AZ17" s="2">
        <f ca="1">IFERROR(SUMIFS(INDIRECT("'Thanh Toán ("&amp;AZ$3&amp;")'!$F:$F"),INDIRECT("'Thanh Toán ("&amp;AZ$3&amp;")'!$D:$D"),'Tổng Đơn'!$B17),0)</f>
        <v>0</v>
      </c>
      <c r="BA17" s="2">
        <f ca="1">IFERROR(SUMIFS(INDIRECT("'Thanh Toán ("&amp;BA$3&amp;")'!$F:$F"),INDIRECT("'Thanh Toán ("&amp;BA$3&amp;")'!$D:$D"),'Tổng Đơn'!$B17),0)</f>
        <v>0</v>
      </c>
      <c r="BB17" s="2">
        <f ca="1">IFERROR(SUMIFS(INDIRECT("'Thanh Toán ("&amp;BB$3&amp;")'!$F:$F"),INDIRECT("'Thanh Toán ("&amp;BB$3&amp;")'!$D:$D"),'Tổng Đơn'!$B17),0)</f>
        <v>0</v>
      </c>
      <c r="BC17" s="2">
        <f ca="1">IFERROR(SUMIFS(INDIRECT("'Thanh Toán ("&amp;BC$3&amp;")'!$F:$F"),INDIRECT("'Thanh Toán ("&amp;BC$3&amp;")'!$D:$D"),'Tổng Đơn'!$B17),0)</f>
        <v>0</v>
      </c>
    </row>
    <row r="18" spans="1:55" ht="18" customHeight="1" x14ac:dyDescent="0.25">
      <c r="A18" s="174">
        <v>8</v>
      </c>
      <c r="B18" s="168" t="s">
        <v>139</v>
      </c>
      <c r="C18" s="174" t="s">
        <v>102</v>
      </c>
      <c r="D18" s="169">
        <f>VLOOKUP($C18,Sheet1!$C$8:$D$98,2,0)</f>
        <v>45000</v>
      </c>
      <c r="E18" s="170">
        <v>0.5</v>
      </c>
      <c r="F18" s="171">
        <f t="shared" ca="1" si="2"/>
        <v>3</v>
      </c>
      <c r="G18" s="172">
        <f>IFERROR(VLOOKUP($B18,Gà!C:J,8,0),IFERROR(VLOOKUP($B18,TVP!C:J,7,0),IFERROR(VLOOKUP($B18,Kitkool!C:J,8,0),IFERROR(VLOOKUP($B18,'La Cusina'!C:J,8,0),VLOOKUP($B18,'Quốc Nhân'!C:J,8,0)))))</f>
        <v>32.213440404000728</v>
      </c>
      <c r="H18" s="173">
        <f t="shared" ca="1" si="10"/>
        <v>38359.678787997815</v>
      </c>
      <c r="I18" s="195">
        <f t="shared" si="11"/>
        <v>0.39693244296909236</v>
      </c>
      <c r="J18" s="173">
        <f t="shared" ca="1" si="12"/>
        <v>96640.321212002193</v>
      </c>
      <c r="K18" s="38"/>
      <c r="L18" s="2">
        <f ca="1">IFERROR(SUMIFS(INDIRECT("'Thanh Toán ("&amp;L$3&amp;")'!$F:$F"),INDIRECT("'Thanh Toán ("&amp;L$3&amp;")'!$D:$D"),'Tổng Đơn'!$B18),0)</f>
        <v>1</v>
      </c>
      <c r="M18" s="2">
        <f ca="1">IFERROR(SUMIFS(INDIRECT("'Thanh Toán ("&amp;M$3&amp;")'!$F:$F"),INDIRECT("'Thanh Toán ("&amp;M$3&amp;")'!$D:$D"),'Tổng Đơn'!$B18),0)</f>
        <v>0</v>
      </c>
      <c r="N18" s="2">
        <f ca="1">IFERROR(SUMIFS(INDIRECT("'Thanh Toán ("&amp;N$3&amp;")'!$F:$F"),INDIRECT("'Thanh Toán ("&amp;N$3&amp;")'!$D:$D"),'Tổng Đơn'!$B18),0)</f>
        <v>0</v>
      </c>
      <c r="O18" s="2">
        <f ca="1">IFERROR(SUMIFS(INDIRECT("'Thanh Toán ("&amp;O$3&amp;")'!$F:$F"),INDIRECT("'Thanh Toán ("&amp;O$3&amp;")'!$D:$D"),'Tổng Đơn'!$B18),0)</f>
        <v>0</v>
      </c>
      <c r="P18" s="2">
        <f ca="1">IFERROR(SUMIFS(INDIRECT("'Thanh Toán ("&amp;P$3&amp;")'!$F:$F"),INDIRECT("'Thanh Toán ("&amp;P$3&amp;")'!$D:$D"),'Tổng Đơn'!$B18),0)</f>
        <v>0</v>
      </c>
      <c r="Q18" s="2">
        <f ca="1">IFERROR(SUMIFS(INDIRECT("'Thanh Toán ("&amp;Q$3&amp;")'!$F:$F"),INDIRECT("'Thanh Toán ("&amp;Q$3&amp;")'!$D:$D"),'Tổng Đơn'!$B18),0)</f>
        <v>0</v>
      </c>
      <c r="R18" s="2">
        <f ca="1">IFERROR(SUMIFS(INDIRECT("'Thanh Toán ("&amp;R$3&amp;")'!$F:$F"),INDIRECT("'Thanh Toán ("&amp;R$3&amp;")'!$D:$D"),'Tổng Đơn'!$B18),0)</f>
        <v>1</v>
      </c>
      <c r="S18" s="2">
        <f ca="1">IFERROR(SUMIFS(INDIRECT("'Thanh Toán ("&amp;S$3&amp;")'!$F:$F"),INDIRECT("'Thanh Toán ("&amp;S$3&amp;")'!$D:$D"),'Tổng Đơn'!$B18),0)</f>
        <v>0</v>
      </c>
      <c r="T18" s="2">
        <f ca="1">IFERROR(SUMIFS(INDIRECT("'Thanh Toán ("&amp;T$3&amp;")'!$F:$F"),INDIRECT("'Thanh Toán ("&amp;T$3&amp;")'!$D:$D"),'Tổng Đơn'!$B18),0)</f>
        <v>1</v>
      </c>
      <c r="U18" s="2">
        <f ca="1">IFERROR(SUMIFS(INDIRECT("'Thanh Toán ("&amp;U$3&amp;")'!$F:$F"),INDIRECT("'Thanh Toán ("&amp;U$3&amp;")'!$D:$D"),'Tổng Đơn'!$B18),0)</f>
        <v>0</v>
      </c>
      <c r="V18" s="2">
        <f ca="1">IFERROR(SUMIFS(INDIRECT("'Thanh Toán ("&amp;V$3&amp;")'!$F:$F"),INDIRECT("'Thanh Toán ("&amp;V$3&amp;")'!$D:$D"),'Tổng Đơn'!$B18),0)</f>
        <v>0</v>
      </c>
      <c r="W18" s="2">
        <f ca="1">IFERROR(SUMIFS(INDIRECT("'Thanh Toán ("&amp;W$3&amp;")'!$F:$F"),INDIRECT("'Thanh Toán ("&amp;W$3&amp;")'!$D:$D"),'Tổng Đơn'!$B18),0)</f>
        <v>0</v>
      </c>
      <c r="X18" s="2">
        <f ca="1">IFERROR(SUMIFS(INDIRECT("'Thanh Toán ("&amp;X$3&amp;")'!$F:$F"),INDIRECT("'Thanh Toán ("&amp;X$3&amp;")'!$D:$D"),'Tổng Đơn'!$B18),0)</f>
        <v>0</v>
      </c>
      <c r="Y18" s="2">
        <f ca="1">IFERROR(SUMIFS(INDIRECT("'Thanh Toán ("&amp;Y$3&amp;")'!$F:$F"),INDIRECT("'Thanh Toán ("&amp;Y$3&amp;")'!$D:$D"),'Tổng Đơn'!$B18),0)</f>
        <v>0</v>
      </c>
      <c r="Z18" s="2">
        <f ca="1">IFERROR(SUMIFS(INDIRECT("'Thanh Toán ("&amp;Z$3&amp;")'!$F:$F"),INDIRECT("'Thanh Toán ("&amp;Z$3&amp;")'!$D:$D"),'Tổng Đơn'!$B18),0)</f>
        <v>0</v>
      </c>
      <c r="AA18" s="2">
        <f ca="1">IFERROR(SUMIFS(INDIRECT("'Thanh Toán ("&amp;AA$3&amp;")'!$F:$F"),INDIRECT("'Thanh Toán ("&amp;AA$3&amp;")'!$D:$D"),'Tổng Đơn'!$B18),0)</f>
        <v>0</v>
      </c>
      <c r="AB18" s="2">
        <f ca="1">IFERROR(SUMIFS(INDIRECT("'Thanh Toán ("&amp;AB$3&amp;")'!$F:$F"),INDIRECT("'Thanh Toán ("&amp;AB$3&amp;")'!$D:$D"),'Tổng Đơn'!$B18),0)</f>
        <v>0</v>
      </c>
      <c r="AC18" s="2">
        <f ca="1">IFERROR(SUMIFS(INDIRECT("'Thanh Toán ("&amp;AC$3&amp;")'!$F:$F"),INDIRECT("'Thanh Toán ("&amp;AC$3&amp;")'!$D:$D"),'Tổng Đơn'!$B18),0)</f>
        <v>0</v>
      </c>
      <c r="AD18" s="2">
        <f ca="1">IFERROR(SUMIFS(INDIRECT("'Thanh Toán ("&amp;AD$3&amp;")'!$F:$F"),INDIRECT("'Thanh Toán ("&amp;AD$3&amp;")'!$D:$D"),'Tổng Đơn'!$B18),0)</f>
        <v>0</v>
      </c>
      <c r="AE18" s="2">
        <f ca="1">IFERROR(SUMIFS(INDIRECT("'Thanh Toán ("&amp;AE$3&amp;")'!$F:$F"),INDIRECT("'Thanh Toán ("&amp;AE$3&amp;")'!$D:$D"),'Tổng Đơn'!$B18),0)</f>
        <v>0</v>
      </c>
      <c r="AF18" s="2">
        <f ca="1">IFERROR(SUMIFS(INDIRECT("'Thanh Toán ("&amp;AF$3&amp;")'!$F:$F"),INDIRECT("'Thanh Toán ("&amp;AF$3&amp;")'!$D:$D"),'Tổng Đơn'!$B18),0)</f>
        <v>0</v>
      </c>
      <c r="AG18" s="2">
        <f ca="1">IFERROR(SUMIFS(INDIRECT("'Thanh Toán ("&amp;AG$3&amp;")'!$F:$F"),INDIRECT("'Thanh Toán ("&amp;AG$3&amp;")'!$D:$D"),'Tổng Đơn'!$B18),0)</f>
        <v>0</v>
      </c>
      <c r="AH18" s="2">
        <f ca="1">IFERROR(SUMIFS(INDIRECT("'Thanh Toán ("&amp;AH$3&amp;")'!$F:$F"),INDIRECT("'Thanh Toán ("&amp;AH$3&amp;")'!$D:$D"),'Tổng Đơn'!$B18),0)</f>
        <v>0</v>
      </c>
      <c r="AI18" s="2">
        <f ca="1">IFERROR(SUMIFS(INDIRECT("'Thanh Toán ("&amp;AI$3&amp;")'!$F:$F"),INDIRECT("'Thanh Toán ("&amp;AI$3&amp;")'!$D:$D"),'Tổng Đơn'!$B18),0)</f>
        <v>0</v>
      </c>
      <c r="AJ18" s="2">
        <f ca="1">IFERROR(SUMIFS(INDIRECT("'Thanh Toán ("&amp;AJ$3&amp;")'!$F:$F"),INDIRECT("'Thanh Toán ("&amp;AJ$3&amp;")'!$D:$D"),'Tổng Đơn'!$B18),0)</f>
        <v>0</v>
      </c>
      <c r="AK18" s="2">
        <f ca="1">IFERROR(SUMIFS(INDIRECT("'Thanh Toán ("&amp;AK$3&amp;")'!$F:$F"),INDIRECT("'Thanh Toán ("&amp;AK$3&amp;")'!$D:$D"),'Tổng Đơn'!$B18),0)</f>
        <v>0</v>
      </c>
      <c r="AL18" s="2">
        <f ca="1">IFERROR(SUMIFS(INDIRECT("'Thanh Toán ("&amp;AL$3&amp;")'!$F:$F"),INDIRECT("'Thanh Toán ("&amp;AL$3&amp;")'!$D:$D"),'Tổng Đơn'!$B18),0)</f>
        <v>0</v>
      </c>
      <c r="AM18" s="2">
        <f ca="1">IFERROR(SUMIFS(INDIRECT("'Thanh Toán ("&amp;AM$3&amp;")'!$F:$F"),INDIRECT("'Thanh Toán ("&amp;AM$3&amp;")'!$D:$D"),'Tổng Đơn'!$B18),0)</f>
        <v>0</v>
      </c>
      <c r="AN18" s="2">
        <f ca="1">IFERROR(SUMIFS(INDIRECT("'Thanh Toán ("&amp;AN$3&amp;")'!$F:$F"),INDIRECT("'Thanh Toán ("&amp;AN$3&amp;")'!$D:$D"),'Tổng Đơn'!$B18),0)</f>
        <v>0</v>
      </c>
      <c r="AO18" s="2">
        <f ca="1">IFERROR(SUMIFS(INDIRECT("'Thanh Toán ("&amp;AO$3&amp;")'!$F:$F"),INDIRECT("'Thanh Toán ("&amp;AO$3&amp;")'!$D:$D"),'Tổng Đơn'!$B18),0)</f>
        <v>0</v>
      </c>
      <c r="AP18" s="2">
        <f ca="1">IFERROR(SUMIFS(INDIRECT("'Thanh Toán ("&amp;AP$3&amp;")'!$F:$F"),INDIRECT("'Thanh Toán ("&amp;AP$3&amp;")'!$D:$D"),'Tổng Đơn'!$B18),0)</f>
        <v>0</v>
      </c>
      <c r="AQ18" s="2">
        <f ca="1">IFERROR(SUMIFS(INDIRECT("'Thanh Toán ("&amp;AQ$3&amp;")'!$F:$F"),INDIRECT("'Thanh Toán ("&amp;AQ$3&amp;")'!$D:$D"),'Tổng Đơn'!$B18),0)</f>
        <v>0</v>
      </c>
      <c r="AR18" s="2">
        <f ca="1">IFERROR(SUMIFS(INDIRECT("'Thanh Toán ("&amp;AR$3&amp;")'!$F:$F"),INDIRECT("'Thanh Toán ("&amp;AR$3&amp;")'!$D:$D"),'Tổng Đơn'!$B18),0)</f>
        <v>0</v>
      </c>
      <c r="AS18" s="2">
        <f ca="1">IFERROR(SUMIFS(INDIRECT("'Thanh Toán ("&amp;AS$3&amp;")'!$F:$F"),INDIRECT("'Thanh Toán ("&amp;AS$3&amp;")'!$D:$D"),'Tổng Đơn'!$B18),0)</f>
        <v>0</v>
      </c>
      <c r="AT18" s="2">
        <f ca="1">IFERROR(SUMIFS(INDIRECT("'Thanh Toán ("&amp;AT$3&amp;")'!$F:$F"),INDIRECT("'Thanh Toán ("&amp;AT$3&amp;")'!$D:$D"),'Tổng Đơn'!$B18),0)</f>
        <v>0</v>
      </c>
      <c r="AU18" s="2">
        <f ca="1">IFERROR(SUMIFS(INDIRECT("'Thanh Toán ("&amp;AU$3&amp;")'!$F:$F"),INDIRECT("'Thanh Toán ("&amp;AU$3&amp;")'!$D:$D"),'Tổng Đơn'!$B18),0)</f>
        <v>0</v>
      </c>
      <c r="AV18" s="2">
        <f ca="1">IFERROR(SUMIFS(INDIRECT("'Thanh Toán ("&amp;AV$3&amp;")'!$F:$F"),INDIRECT("'Thanh Toán ("&amp;AV$3&amp;")'!$D:$D"),'Tổng Đơn'!$B18),0)</f>
        <v>0</v>
      </c>
      <c r="AW18" s="2">
        <f ca="1">IFERROR(SUMIFS(INDIRECT("'Thanh Toán ("&amp;AW$3&amp;")'!$F:$F"),INDIRECT("'Thanh Toán ("&amp;AW$3&amp;")'!$D:$D"),'Tổng Đơn'!$B18),0)</f>
        <v>0</v>
      </c>
      <c r="AX18" s="2">
        <f ca="1">IFERROR(SUMIFS(INDIRECT("'Thanh Toán ("&amp;AX$3&amp;")'!$F:$F"),INDIRECT("'Thanh Toán ("&amp;AX$3&amp;")'!$D:$D"),'Tổng Đơn'!$B18),0)</f>
        <v>0</v>
      </c>
      <c r="AY18" s="2">
        <f ca="1">IFERROR(SUMIFS(INDIRECT("'Thanh Toán ("&amp;AY$3&amp;")'!$F:$F"),INDIRECT("'Thanh Toán ("&amp;AY$3&amp;")'!$D:$D"),'Tổng Đơn'!$B18),0)</f>
        <v>0</v>
      </c>
      <c r="AZ18" s="2">
        <f ca="1">IFERROR(SUMIFS(INDIRECT("'Thanh Toán ("&amp;AZ$3&amp;")'!$F:$F"),INDIRECT("'Thanh Toán ("&amp;AZ$3&amp;")'!$D:$D"),'Tổng Đơn'!$B18),0)</f>
        <v>0</v>
      </c>
      <c r="BA18" s="2">
        <f ca="1">IFERROR(SUMIFS(INDIRECT("'Thanh Toán ("&amp;BA$3&amp;")'!$F:$F"),INDIRECT("'Thanh Toán ("&amp;BA$3&amp;")'!$D:$D"),'Tổng Đơn'!$B18),0)</f>
        <v>0</v>
      </c>
      <c r="BB18" s="2">
        <f ca="1">IFERROR(SUMIFS(INDIRECT("'Thanh Toán ("&amp;BB$3&amp;")'!$F:$F"),INDIRECT("'Thanh Toán ("&amp;BB$3&amp;")'!$D:$D"),'Tổng Đơn'!$B18),0)</f>
        <v>0</v>
      </c>
      <c r="BC18" s="2">
        <f ca="1">IFERROR(SUMIFS(INDIRECT("'Thanh Toán ("&amp;BC$3&amp;")'!$F:$F"),INDIRECT("'Thanh Toán ("&amp;BC$3&amp;")'!$D:$D"),'Tổng Đơn'!$B18),0)</f>
        <v>0</v>
      </c>
    </row>
    <row r="19" spans="1:55" ht="18" customHeight="1" x14ac:dyDescent="0.25">
      <c r="A19" s="167">
        <v>9</v>
      </c>
      <c r="B19" s="168" t="s">
        <v>6</v>
      </c>
      <c r="C19" s="167" t="s">
        <v>103</v>
      </c>
      <c r="D19" s="169">
        <f>VLOOKUP($C19,Sheet1!$C$8:$D$98,2,0)</f>
        <v>50000</v>
      </c>
      <c r="E19" s="170">
        <v>0.5</v>
      </c>
      <c r="F19" s="171">
        <f t="shared" ca="1" si="2"/>
        <v>0</v>
      </c>
      <c r="G19" s="172">
        <f>IFERROR(VLOOKUP($B19,Gà!C:J,8,0),IFERROR(VLOOKUP($B19,TVP!C:J,7,0),IFERROR(VLOOKUP($B19,Kitkool!C:J,8,0),IFERROR(VLOOKUP($B19,'La Cusina'!C:J,8,0),VLOOKUP($B19,'Quốc Nhân'!C:J,8,0)))))</f>
        <v>44.158234828346814</v>
      </c>
      <c r="H19" s="173">
        <f t="shared" ca="1" si="10"/>
        <v>0</v>
      </c>
      <c r="I19" s="195">
        <f t="shared" si="11"/>
        <v>0.13229163698144775</v>
      </c>
      <c r="J19" s="173">
        <f t="shared" ca="1" si="12"/>
        <v>0</v>
      </c>
      <c r="K19" s="38"/>
      <c r="L19" s="2">
        <f ca="1">IFERROR(SUMIFS(INDIRECT("'Thanh Toán ("&amp;L$3&amp;")'!$F:$F"),INDIRECT("'Thanh Toán ("&amp;L$3&amp;")'!$D:$D"),'Tổng Đơn'!$B19),0)</f>
        <v>0</v>
      </c>
      <c r="M19" s="2">
        <f ca="1">IFERROR(SUMIFS(INDIRECT("'Thanh Toán ("&amp;M$3&amp;")'!$F:$F"),INDIRECT("'Thanh Toán ("&amp;M$3&amp;")'!$D:$D"),'Tổng Đơn'!$B19),0)</f>
        <v>0</v>
      </c>
      <c r="N19" s="2">
        <f ca="1">IFERROR(SUMIFS(INDIRECT("'Thanh Toán ("&amp;N$3&amp;")'!$F:$F"),INDIRECT("'Thanh Toán ("&amp;N$3&amp;")'!$D:$D"),'Tổng Đơn'!$B19),0)</f>
        <v>0</v>
      </c>
      <c r="O19" s="2">
        <f ca="1">IFERROR(SUMIFS(INDIRECT("'Thanh Toán ("&amp;O$3&amp;")'!$F:$F"),INDIRECT("'Thanh Toán ("&amp;O$3&amp;")'!$D:$D"),'Tổng Đơn'!$B19),0)</f>
        <v>0</v>
      </c>
      <c r="P19" s="2">
        <f ca="1">IFERROR(SUMIFS(INDIRECT("'Thanh Toán ("&amp;P$3&amp;")'!$F:$F"),INDIRECT("'Thanh Toán ("&amp;P$3&amp;")'!$D:$D"),'Tổng Đơn'!$B19),0)</f>
        <v>0</v>
      </c>
      <c r="Q19" s="2">
        <f ca="1">IFERROR(SUMIFS(INDIRECT("'Thanh Toán ("&amp;Q$3&amp;")'!$F:$F"),INDIRECT("'Thanh Toán ("&amp;Q$3&amp;")'!$D:$D"),'Tổng Đơn'!$B19),0)</f>
        <v>0</v>
      </c>
      <c r="R19" s="2">
        <f ca="1">IFERROR(SUMIFS(INDIRECT("'Thanh Toán ("&amp;R$3&amp;")'!$F:$F"),INDIRECT("'Thanh Toán ("&amp;R$3&amp;")'!$D:$D"),'Tổng Đơn'!$B19),0)</f>
        <v>0</v>
      </c>
      <c r="S19" s="2">
        <f ca="1">IFERROR(SUMIFS(INDIRECT("'Thanh Toán ("&amp;S$3&amp;")'!$F:$F"),INDIRECT("'Thanh Toán ("&amp;S$3&amp;")'!$D:$D"),'Tổng Đơn'!$B19),0)</f>
        <v>0</v>
      </c>
      <c r="T19" s="2">
        <f ca="1">IFERROR(SUMIFS(INDIRECT("'Thanh Toán ("&amp;T$3&amp;")'!$F:$F"),INDIRECT("'Thanh Toán ("&amp;T$3&amp;")'!$D:$D"),'Tổng Đơn'!$B19),0)</f>
        <v>0</v>
      </c>
      <c r="U19" s="2">
        <f ca="1">IFERROR(SUMIFS(INDIRECT("'Thanh Toán ("&amp;U$3&amp;")'!$F:$F"),INDIRECT("'Thanh Toán ("&amp;U$3&amp;")'!$D:$D"),'Tổng Đơn'!$B19),0)</f>
        <v>0</v>
      </c>
      <c r="V19" s="2">
        <f ca="1">IFERROR(SUMIFS(INDIRECT("'Thanh Toán ("&amp;V$3&amp;")'!$F:$F"),INDIRECT("'Thanh Toán ("&amp;V$3&amp;")'!$D:$D"),'Tổng Đơn'!$B19),0)</f>
        <v>0</v>
      </c>
      <c r="W19" s="2">
        <f ca="1">IFERROR(SUMIFS(INDIRECT("'Thanh Toán ("&amp;W$3&amp;")'!$F:$F"),INDIRECT("'Thanh Toán ("&amp;W$3&amp;")'!$D:$D"),'Tổng Đơn'!$B19),0)</f>
        <v>0</v>
      </c>
      <c r="X19" s="2">
        <f ca="1">IFERROR(SUMIFS(INDIRECT("'Thanh Toán ("&amp;X$3&amp;")'!$F:$F"),INDIRECT("'Thanh Toán ("&amp;X$3&amp;")'!$D:$D"),'Tổng Đơn'!$B19),0)</f>
        <v>0</v>
      </c>
      <c r="Y19" s="2">
        <f ca="1">IFERROR(SUMIFS(INDIRECT("'Thanh Toán ("&amp;Y$3&amp;")'!$F:$F"),INDIRECT("'Thanh Toán ("&amp;Y$3&amp;")'!$D:$D"),'Tổng Đơn'!$B19),0)</f>
        <v>0</v>
      </c>
      <c r="Z19" s="2">
        <f ca="1">IFERROR(SUMIFS(INDIRECT("'Thanh Toán ("&amp;Z$3&amp;")'!$F:$F"),INDIRECT("'Thanh Toán ("&amp;Z$3&amp;")'!$D:$D"),'Tổng Đơn'!$B19),0)</f>
        <v>0</v>
      </c>
      <c r="AA19" s="2">
        <f ca="1">IFERROR(SUMIFS(INDIRECT("'Thanh Toán ("&amp;AA$3&amp;")'!$F:$F"),INDIRECT("'Thanh Toán ("&amp;AA$3&amp;")'!$D:$D"),'Tổng Đơn'!$B19),0)</f>
        <v>0</v>
      </c>
      <c r="AB19" s="2">
        <f ca="1">IFERROR(SUMIFS(INDIRECT("'Thanh Toán ("&amp;AB$3&amp;")'!$F:$F"),INDIRECT("'Thanh Toán ("&amp;AB$3&amp;")'!$D:$D"),'Tổng Đơn'!$B19),0)</f>
        <v>0</v>
      </c>
      <c r="AC19" s="2">
        <f ca="1">IFERROR(SUMIFS(INDIRECT("'Thanh Toán ("&amp;AC$3&amp;")'!$F:$F"),INDIRECT("'Thanh Toán ("&amp;AC$3&amp;")'!$D:$D"),'Tổng Đơn'!$B19),0)</f>
        <v>0</v>
      </c>
      <c r="AD19" s="2">
        <f ca="1">IFERROR(SUMIFS(INDIRECT("'Thanh Toán ("&amp;AD$3&amp;")'!$F:$F"),INDIRECT("'Thanh Toán ("&amp;AD$3&amp;")'!$D:$D"),'Tổng Đơn'!$B19),0)</f>
        <v>0</v>
      </c>
      <c r="AE19" s="2">
        <f ca="1">IFERROR(SUMIFS(INDIRECT("'Thanh Toán ("&amp;AE$3&amp;")'!$F:$F"),INDIRECT("'Thanh Toán ("&amp;AE$3&amp;")'!$D:$D"),'Tổng Đơn'!$B19),0)</f>
        <v>0</v>
      </c>
      <c r="AF19" s="2">
        <f ca="1">IFERROR(SUMIFS(INDIRECT("'Thanh Toán ("&amp;AF$3&amp;")'!$F:$F"),INDIRECT("'Thanh Toán ("&amp;AF$3&amp;")'!$D:$D"),'Tổng Đơn'!$B19),0)</f>
        <v>0</v>
      </c>
      <c r="AG19" s="2">
        <f ca="1">IFERROR(SUMIFS(INDIRECT("'Thanh Toán ("&amp;AG$3&amp;")'!$F:$F"),INDIRECT("'Thanh Toán ("&amp;AG$3&amp;")'!$D:$D"),'Tổng Đơn'!$B19),0)</f>
        <v>0</v>
      </c>
      <c r="AH19" s="2">
        <f ca="1">IFERROR(SUMIFS(INDIRECT("'Thanh Toán ("&amp;AH$3&amp;")'!$F:$F"),INDIRECT("'Thanh Toán ("&amp;AH$3&amp;")'!$D:$D"),'Tổng Đơn'!$B19),0)</f>
        <v>0</v>
      </c>
      <c r="AI19" s="2">
        <f ca="1">IFERROR(SUMIFS(INDIRECT("'Thanh Toán ("&amp;AI$3&amp;")'!$F:$F"),INDIRECT("'Thanh Toán ("&amp;AI$3&amp;")'!$D:$D"),'Tổng Đơn'!$B19),0)</f>
        <v>0</v>
      </c>
      <c r="AJ19" s="2">
        <f ca="1">IFERROR(SUMIFS(INDIRECT("'Thanh Toán ("&amp;AJ$3&amp;")'!$F:$F"),INDIRECT("'Thanh Toán ("&amp;AJ$3&amp;")'!$D:$D"),'Tổng Đơn'!$B19),0)</f>
        <v>0</v>
      </c>
      <c r="AK19" s="2">
        <f ca="1">IFERROR(SUMIFS(INDIRECT("'Thanh Toán ("&amp;AK$3&amp;")'!$F:$F"),INDIRECT("'Thanh Toán ("&amp;AK$3&amp;")'!$D:$D"),'Tổng Đơn'!$B19),0)</f>
        <v>0</v>
      </c>
      <c r="AL19" s="2">
        <f ca="1">IFERROR(SUMIFS(INDIRECT("'Thanh Toán ("&amp;AL$3&amp;")'!$F:$F"),INDIRECT("'Thanh Toán ("&amp;AL$3&amp;")'!$D:$D"),'Tổng Đơn'!$B19),0)</f>
        <v>0</v>
      </c>
      <c r="AM19" s="2">
        <f ca="1">IFERROR(SUMIFS(INDIRECT("'Thanh Toán ("&amp;AM$3&amp;")'!$F:$F"),INDIRECT("'Thanh Toán ("&amp;AM$3&amp;")'!$D:$D"),'Tổng Đơn'!$B19),0)</f>
        <v>0</v>
      </c>
      <c r="AN19" s="2">
        <f ca="1">IFERROR(SUMIFS(INDIRECT("'Thanh Toán ("&amp;AN$3&amp;")'!$F:$F"),INDIRECT("'Thanh Toán ("&amp;AN$3&amp;")'!$D:$D"),'Tổng Đơn'!$B19),0)</f>
        <v>0</v>
      </c>
      <c r="AO19" s="2">
        <f ca="1">IFERROR(SUMIFS(INDIRECT("'Thanh Toán ("&amp;AO$3&amp;")'!$F:$F"),INDIRECT("'Thanh Toán ("&amp;AO$3&amp;")'!$D:$D"),'Tổng Đơn'!$B19),0)</f>
        <v>0</v>
      </c>
      <c r="AP19" s="2">
        <f ca="1">IFERROR(SUMIFS(INDIRECT("'Thanh Toán ("&amp;AP$3&amp;")'!$F:$F"),INDIRECT("'Thanh Toán ("&amp;AP$3&amp;")'!$D:$D"),'Tổng Đơn'!$B19),0)</f>
        <v>0</v>
      </c>
      <c r="AQ19" s="2">
        <f ca="1">IFERROR(SUMIFS(INDIRECT("'Thanh Toán ("&amp;AQ$3&amp;")'!$F:$F"),INDIRECT("'Thanh Toán ("&amp;AQ$3&amp;")'!$D:$D"),'Tổng Đơn'!$B19),0)</f>
        <v>0</v>
      </c>
      <c r="AR19" s="2">
        <f ca="1">IFERROR(SUMIFS(INDIRECT("'Thanh Toán ("&amp;AR$3&amp;")'!$F:$F"),INDIRECT("'Thanh Toán ("&amp;AR$3&amp;")'!$D:$D"),'Tổng Đơn'!$B19),0)</f>
        <v>0</v>
      </c>
      <c r="AS19" s="2">
        <f ca="1">IFERROR(SUMIFS(INDIRECT("'Thanh Toán ("&amp;AS$3&amp;")'!$F:$F"),INDIRECT("'Thanh Toán ("&amp;AS$3&amp;")'!$D:$D"),'Tổng Đơn'!$B19),0)</f>
        <v>0</v>
      </c>
      <c r="AT19" s="2">
        <f ca="1">IFERROR(SUMIFS(INDIRECT("'Thanh Toán ("&amp;AT$3&amp;")'!$F:$F"),INDIRECT("'Thanh Toán ("&amp;AT$3&amp;")'!$D:$D"),'Tổng Đơn'!$B19),0)</f>
        <v>0</v>
      </c>
      <c r="AU19" s="2">
        <f ca="1">IFERROR(SUMIFS(INDIRECT("'Thanh Toán ("&amp;AU$3&amp;")'!$F:$F"),INDIRECT("'Thanh Toán ("&amp;AU$3&amp;")'!$D:$D"),'Tổng Đơn'!$B19),0)</f>
        <v>0</v>
      </c>
      <c r="AV19" s="2">
        <f ca="1">IFERROR(SUMIFS(INDIRECT("'Thanh Toán ("&amp;AV$3&amp;")'!$F:$F"),INDIRECT("'Thanh Toán ("&amp;AV$3&amp;")'!$D:$D"),'Tổng Đơn'!$B19),0)</f>
        <v>0</v>
      </c>
      <c r="AW19" s="2">
        <f ca="1">IFERROR(SUMIFS(INDIRECT("'Thanh Toán ("&amp;AW$3&amp;")'!$F:$F"),INDIRECT("'Thanh Toán ("&amp;AW$3&amp;")'!$D:$D"),'Tổng Đơn'!$B19),0)</f>
        <v>0</v>
      </c>
      <c r="AX19" s="2">
        <f ca="1">IFERROR(SUMIFS(INDIRECT("'Thanh Toán ("&amp;AX$3&amp;")'!$F:$F"),INDIRECT("'Thanh Toán ("&amp;AX$3&amp;")'!$D:$D"),'Tổng Đơn'!$B19),0)</f>
        <v>0</v>
      </c>
      <c r="AY19" s="2">
        <f ca="1">IFERROR(SUMIFS(INDIRECT("'Thanh Toán ("&amp;AY$3&amp;")'!$F:$F"),INDIRECT("'Thanh Toán ("&amp;AY$3&amp;")'!$D:$D"),'Tổng Đơn'!$B19),0)</f>
        <v>0</v>
      </c>
      <c r="AZ19" s="2">
        <f ca="1">IFERROR(SUMIFS(INDIRECT("'Thanh Toán ("&amp;AZ$3&amp;")'!$F:$F"),INDIRECT("'Thanh Toán ("&amp;AZ$3&amp;")'!$D:$D"),'Tổng Đơn'!$B19),0)</f>
        <v>0</v>
      </c>
      <c r="BA19" s="2">
        <f ca="1">IFERROR(SUMIFS(INDIRECT("'Thanh Toán ("&amp;BA$3&amp;")'!$F:$F"),INDIRECT("'Thanh Toán ("&amp;BA$3&amp;")'!$D:$D"),'Tổng Đơn'!$B19),0)</f>
        <v>0</v>
      </c>
      <c r="BB19" s="2">
        <f ca="1">IFERROR(SUMIFS(INDIRECT("'Thanh Toán ("&amp;BB$3&amp;")'!$F:$F"),INDIRECT("'Thanh Toán ("&amp;BB$3&amp;")'!$D:$D"),'Tổng Đơn'!$B19),0)</f>
        <v>0</v>
      </c>
      <c r="BC19" s="2">
        <f ca="1">IFERROR(SUMIFS(INDIRECT("'Thanh Toán ("&amp;BC$3&amp;")'!$F:$F"),INDIRECT("'Thanh Toán ("&amp;BC$3&amp;")'!$D:$D"),'Tổng Đơn'!$B19),0)</f>
        <v>0</v>
      </c>
    </row>
    <row r="20" spans="1:55" ht="18" customHeight="1" x14ac:dyDescent="0.25">
      <c r="A20" s="167">
        <v>10</v>
      </c>
      <c r="B20" s="168" t="s">
        <v>50</v>
      </c>
      <c r="C20" s="174" t="s">
        <v>56</v>
      </c>
      <c r="D20" s="169">
        <f>VLOOKUP($C20,Sheet1!$C$8:$D$98,2,0)</f>
        <v>45000</v>
      </c>
      <c r="E20" s="170">
        <v>0.5</v>
      </c>
      <c r="F20" s="171">
        <f t="shared" ca="1" si="2"/>
        <v>0</v>
      </c>
      <c r="G20" s="172">
        <f>IFERROR(VLOOKUP($B20,Gà!C:J,8,0),IFERROR(VLOOKUP($B20,TVP!C:J,7,0),IFERROR(VLOOKUP($B20,Kitkool!C:J,8,0),IFERROR(VLOOKUP($B20,'La Cusina'!C:J,8,0),VLOOKUP($B20,'Quốc Nhân'!C:J,8,0)))))</f>
        <v>40.905956068572358</v>
      </c>
      <c r="H20" s="173">
        <f t="shared" ca="1" si="10"/>
        <v>0</v>
      </c>
      <c r="I20" s="195">
        <f t="shared" si="11"/>
        <v>0.10008429883816006</v>
      </c>
      <c r="J20" s="173">
        <f t="shared" ca="1" si="12"/>
        <v>0</v>
      </c>
      <c r="K20" s="38"/>
      <c r="L20" s="2">
        <f ca="1">IFERROR(SUMIFS(INDIRECT("'Thanh Toán ("&amp;L$3&amp;")'!$F:$F"),INDIRECT("'Thanh Toán ("&amp;L$3&amp;")'!$D:$D"),'Tổng Đơn'!$B20),0)</f>
        <v>0</v>
      </c>
      <c r="M20" s="2">
        <f ca="1">IFERROR(SUMIFS(INDIRECT("'Thanh Toán ("&amp;M$3&amp;")'!$F:$F"),INDIRECT("'Thanh Toán ("&amp;M$3&amp;")'!$D:$D"),'Tổng Đơn'!$B20),0)</f>
        <v>0</v>
      </c>
      <c r="N20" s="2">
        <f ca="1">IFERROR(SUMIFS(INDIRECT("'Thanh Toán ("&amp;N$3&amp;")'!$F:$F"),INDIRECT("'Thanh Toán ("&amp;N$3&amp;")'!$D:$D"),'Tổng Đơn'!$B20),0)</f>
        <v>0</v>
      </c>
      <c r="O20" s="2">
        <f ca="1">IFERROR(SUMIFS(INDIRECT("'Thanh Toán ("&amp;O$3&amp;")'!$F:$F"),INDIRECT("'Thanh Toán ("&amp;O$3&amp;")'!$D:$D"),'Tổng Đơn'!$B20),0)</f>
        <v>0</v>
      </c>
      <c r="P20" s="2">
        <f ca="1">IFERROR(SUMIFS(INDIRECT("'Thanh Toán ("&amp;P$3&amp;")'!$F:$F"),INDIRECT("'Thanh Toán ("&amp;P$3&amp;")'!$D:$D"),'Tổng Đơn'!$B20),0)</f>
        <v>0</v>
      </c>
      <c r="Q20" s="2">
        <f ca="1">IFERROR(SUMIFS(INDIRECT("'Thanh Toán ("&amp;Q$3&amp;")'!$F:$F"),INDIRECT("'Thanh Toán ("&amp;Q$3&amp;")'!$D:$D"),'Tổng Đơn'!$B20),0)</f>
        <v>0</v>
      </c>
      <c r="R20" s="2">
        <f ca="1">IFERROR(SUMIFS(INDIRECT("'Thanh Toán ("&amp;R$3&amp;")'!$F:$F"),INDIRECT("'Thanh Toán ("&amp;R$3&amp;")'!$D:$D"),'Tổng Đơn'!$B20),0)</f>
        <v>0</v>
      </c>
      <c r="S20" s="2">
        <f ca="1">IFERROR(SUMIFS(INDIRECT("'Thanh Toán ("&amp;S$3&amp;")'!$F:$F"),INDIRECT("'Thanh Toán ("&amp;S$3&amp;")'!$D:$D"),'Tổng Đơn'!$B20),0)</f>
        <v>0</v>
      </c>
      <c r="T20" s="2">
        <f ca="1">IFERROR(SUMIFS(INDIRECT("'Thanh Toán ("&amp;T$3&amp;")'!$F:$F"),INDIRECT("'Thanh Toán ("&amp;T$3&amp;")'!$D:$D"),'Tổng Đơn'!$B20),0)</f>
        <v>0</v>
      </c>
      <c r="U20" s="2">
        <f ca="1">IFERROR(SUMIFS(INDIRECT("'Thanh Toán ("&amp;U$3&amp;")'!$F:$F"),INDIRECT("'Thanh Toán ("&amp;U$3&amp;")'!$D:$D"),'Tổng Đơn'!$B20),0)</f>
        <v>0</v>
      </c>
      <c r="V20" s="2">
        <f ca="1">IFERROR(SUMIFS(INDIRECT("'Thanh Toán ("&amp;V$3&amp;")'!$F:$F"),INDIRECT("'Thanh Toán ("&amp;V$3&amp;")'!$D:$D"),'Tổng Đơn'!$B20),0)</f>
        <v>0</v>
      </c>
      <c r="W20" s="2">
        <f ca="1">IFERROR(SUMIFS(INDIRECT("'Thanh Toán ("&amp;W$3&amp;")'!$F:$F"),INDIRECT("'Thanh Toán ("&amp;W$3&amp;")'!$D:$D"),'Tổng Đơn'!$B20),0)</f>
        <v>0</v>
      </c>
      <c r="X20" s="2">
        <f ca="1">IFERROR(SUMIFS(INDIRECT("'Thanh Toán ("&amp;X$3&amp;")'!$F:$F"),INDIRECT("'Thanh Toán ("&amp;X$3&amp;")'!$D:$D"),'Tổng Đơn'!$B20),0)</f>
        <v>0</v>
      </c>
      <c r="Y20" s="2">
        <f ca="1">IFERROR(SUMIFS(INDIRECT("'Thanh Toán ("&amp;Y$3&amp;")'!$F:$F"),INDIRECT("'Thanh Toán ("&amp;Y$3&amp;")'!$D:$D"),'Tổng Đơn'!$B20),0)</f>
        <v>0</v>
      </c>
      <c r="Z20" s="2">
        <f ca="1">IFERROR(SUMIFS(INDIRECT("'Thanh Toán ("&amp;Z$3&amp;")'!$F:$F"),INDIRECT("'Thanh Toán ("&amp;Z$3&amp;")'!$D:$D"),'Tổng Đơn'!$B20),0)</f>
        <v>0</v>
      </c>
      <c r="AA20" s="2">
        <f ca="1">IFERROR(SUMIFS(INDIRECT("'Thanh Toán ("&amp;AA$3&amp;")'!$F:$F"),INDIRECT("'Thanh Toán ("&amp;AA$3&amp;")'!$D:$D"),'Tổng Đơn'!$B20),0)</f>
        <v>0</v>
      </c>
      <c r="AB20" s="2">
        <f ca="1">IFERROR(SUMIFS(INDIRECT("'Thanh Toán ("&amp;AB$3&amp;")'!$F:$F"),INDIRECT("'Thanh Toán ("&amp;AB$3&amp;")'!$D:$D"),'Tổng Đơn'!$B20),0)</f>
        <v>0</v>
      </c>
      <c r="AC20" s="2">
        <f ca="1">IFERROR(SUMIFS(INDIRECT("'Thanh Toán ("&amp;AC$3&amp;")'!$F:$F"),INDIRECT("'Thanh Toán ("&amp;AC$3&amp;")'!$D:$D"),'Tổng Đơn'!$B20),0)</f>
        <v>0</v>
      </c>
      <c r="AD20" s="2">
        <f ca="1">IFERROR(SUMIFS(INDIRECT("'Thanh Toán ("&amp;AD$3&amp;")'!$F:$F"),INDIRECT("'Thanh Toán ("&amp;AD$3&amp;")'!$D:$D"),'Tổng Đơn'!$B20),0)</f>
        <v>0</v>
      </c>
      <c r="AE20" s="2">
        <f ca="1">IFERROR(SUMIFS(INDIRECT("'Thanh Toán ("&amp;AE$3&amp;")'!$F:$F"),INDIRECT("'Thanh Toán ("&amp;AE$3&amp;")'!$D:$D"),'Tổng Đơn'!$B20),0)</f>
        <v>0</v>
      </c>
      <c r="AF20" s="2">
        <f ca="1">IFERROR(SUMIFS(INDIRECT("'Thanh Toán ("&amp;AF$3&amp;")'!$F:$F"),INDIRECT("'Thanh Toán ("&amp;AF$3&amp;")'!$D:$D"),'Tổng Đơn'!$B20),0)</f>
        <v>0</v>
      </c>
      <c r="AG20" s="2">
        <f ca="1">IFERROR(SUMIFS(INDIRECT("'Thanh Toán ("&amp;AG$3&amp;")'!$F:$F"),INDIRECT("'Thanh Toán ("&amp;AG$3&amp;")'!$D:$D"),'Tổng Đơn'!$B20),0)</f>
        <v>0</v>
      </c>
      <c r="AH20" s="2">
        <f ca="1">IFERROR(SUMIFS(INDIRECT("'Thanh Toán ("&amp;AH$3&amp;")'!$F:$F"),INDIRECT("'Thanh Toán ("&amp;AH$3&amp;")'!$D:$D"),'Tổng Đơn'!$B20),0)</f>
        <v>0</v>
      </c>
      <c r="AI20" s="2">
        <f ca="1">IFERROR(SUMIFS(INDIRECT("'Thanh Toán ("&amp;AI$3&amp;")'!$F:$F"),INDIRECT("'Thanh Toán ("&amp;AI$3&amp;")'!$D:$D"),'Tổng Đơn'!$B20),0)</f>
        <v>0</v>
      </c>
      <c r="AJ20" s="2">
        <f ca="1">IFERROR(SUMIFS(INDIRECT("'Thanh Toán ("&amp;AJ$3&amp;")'!$F:$F"),INDIRECT("'Thanh Toán ("&amp;AJ$3&amp;")'!$D:$D"),'Tổng Đơn'!$B20),0)</f>
        <v>0</v>
      </c>
      <c r="AK20" s="2">
        <f ca="1">IFERROR(SUMIFS(INDIRECT("'Thanh Toán ("&amp;AK$3&amp;")'!$F:$F"),INDIRECT("'Thanh Toán ("&amp;AK$3&amp;")'!$D:$D"),'Tổng Đơn'!$B20),0)</f>
        <v>0</v>
      </c>
      <c r="AL20" s="2">
        <f ca="1">IFERROR(SUMIFS(INDIRECT("'Thanh Toán ("&amp;AL$3&amp;")'!$F:$F"),INDIRECT("'Thanh Toán ("&amp;AL$3&amp;")'!$D:$D"),'Tổng Đơn'!$B20),0)</f>
        <v>0</v>
      </c>
      <c r="AM20" s="2">
        <f ca="1">IFERROR(SUMIFS(INDIRECT("'Thanh Toán ("&amp;AM$3&amp;")'!$F:$F"),INDIRECT("'Thanh Toán ("&amp;AM$3&amp;")'!$D:$D"),'Tổng Đơn'!$B20),0)</f>
        <v>0</v>
      </c>
      <c r="AN20" s="2">
        <f ca="1">IFERROR(SUMIFS(INDIRECT("'Thanh Toán ("&amp;AN$3&amp;")'!$F:$F"),INDIRECT("'Thanh Toán ("&amp;AN$3&amp;")'!$D:$D"),'Tổng Đơn'!$B20),0)</f>
        <v>0</v>
      </c>
      <c r="AO20" s="2">
        <f ca="1">IFERROR(SUMIFS(INDIRECT("'Thanh Toán ("&amp;AO$3&amp;")'!$F:$F"),INDIRECT("'Thanh Toán ("&amp;AO$3&amp;")'!$D:$D"),'Tổng Đơn'!$B20),0)</f>
        <v>0</v>
      </c>
      <c r="AP20" s="2">
        <f ca="1">IFERROR(SUMIFS(INDIRECT("'Thanh Toán ("&amp;AP$3&amp;")'!$F:$F"),INDIRECT("'Thanh Toán ("&amp;AP$3&amp;")'!$D:$D"),'Tổng Đơn'!$B20),0)</f>
        <v>0</v>
      </c>
      <c r="AQ20" s="2">
        <f ca="1">IFERROR(SUMIFS(INDIRECT("'Thanh Toán ("&amp;AQ$3&amp;")'!$F:$F"),INDIRECT("'Thanh Toán ("&amp;AQ$3&amp;")'!$D:$D"),'Tổng Đơn'!$B20),0)</f>
        <v>0</v>
      </c>
      <c r="AR20" s="2">
        <f ca="1">IFERROR(SUMIFS(INDIRECT("'Thanh Toán ("&amp;AR$3&amp;")'!$F:$F"),INDIRECT("'Thanh Toán ("&amp;AR$3&amp;")'!$D:$D"),'Tổng Đơn'!$B20),0)</f>
        <v>0</v>
      </c>
      <c r="AS20" s="2">
        <f ca="1">IFERROR(SUMIFS(INDIRECT("'Thanh Toán ("&amp;AS$3&amp;")'!$F:$F"),INDIRECT("'Thanh Toán ("&amp;AS$3&amp;")'!$D:$D"),'Tổng Đơn'!$B20),0)</f>
        <v>0</v>
      </c>
      <c r="AT20" s="2">
        <f ca="1">IFERROR(SUMIFS(INDIRECT("'Thanh Toán ("&amp;AT$3&amp;")'!$F:$F"),INDIRECT("'Thanh Toán ("&amp;AT$3&amp;")'!$D:$D"),'Tổng Đơn'!$B20),0)</f>
        <v>0</v>
      </c>
      <c r="AU20" s="2">
        <f ca="1">IFERROR(SUMIFS(INDIRECT("'Thanh Toán ("&amp;AU$3&amp;")'!$F:$F"),INDIRECT("'Thanh Toán ("&amp;AU$3&amp;")'!$D:$D"),'Tổng Đơn'!$B20),0)</f>
        <v>0</v>
      </c>
      <c r="AV20" s="2">
        <f ca="1">IFERROR(SUMIFS(INDIRECT("'Thanh Toán ("&amp;AV$3&amp;")'!$F:$F"),INDIRECT("'Thanh Toán ("&amp;AV$3&amp;")'!$D:$D"),'Tổng Đơn'!$B20),0)</f>
        <v>0</v>
      </c>
      <c r="AW20" s="2">
        <f ca="1">IFERROR(SUMIFS(INDIRECT("'Thanh Toán ("&amp;AW$3&amp;")'!$F:$F"),INDIRECT("'Thanh Toán ("&amp;AW$3&amp;")'!$D:$D"),'Tổng Đơn'!$B20),0)</f>
        <v>0</v>
      </c>
      <c r="AX20" s="2">
        <f ca="1">IFERROR(SUMIFS(INDIRECT("'Thanh Toán ("&amp;AX$3&amp;")'!$F:$F"),INDIRECT("'Thanh Toán ("&amp;AX$3&amp;")'!$D:$D"),'Tổng Đơn'!$B20),0)</f>
        <v>0</v>
      </c>
      <c r="AY20" s="2">
        <f ca="1">IFERROR(SUMIFS(INDIRECT("'Thanh Toán ("&amp;AY$3&amp;")'!$F:$F"),INDIRECT("'Thanh Toán ("&amp;AY$3&amp;")'!$D:$D"),'Tổng Đơn'!$B20),0)</f>
        <v>0</v>
      </c>
      <c r="AZ20" s="2">
        <f ca="1">IFERROR(SUMIFS(INDIRECT("'Thanh Toán ("&amp;AZ$3&amp;")'!$F:$F"),INDIRECT("'Thanh Toán ("&amp;AZ$3&amp;")'!$D:$D"),'Tổng Đơn'!$B20),0)</f>
        <v>0</v>
      </c>
      <c r="BA20" s="2">
        <f ca="1">IFERROR(SUMIFS(INDIRECT("'Thanh Toán ("&amp;BA$3&amp;")'!$F:$F"),INDIRECT("'Thanh Toán ("&amp;BA$3&amp;")'!$D:$D"),'Tổng Đơn'!$B20),0)</f>
        <v>0</v>
      </c>
      <c r="BB20" s="2">
        <f ca="1">IFERROR(SUMIFS(INDIRECT("'Thanh Toán ("&amp;BB$3&amp;")'!$F:$F"),INDIRECT("'Thanh Toán ("&amp;BB$3&amp;")'!$D:$D"),'Tổng Đơn'!$B20),0)</f>
        <v>0</v>
      </c>
      <c r="BC20" s="2">
        <f ca="1">IFERROR(SUMIFS(INDIRECT("'Thanh Toán ("&amp;BC$3&amp;")'!$F:$F"),INDIRECT("'Thanh Toán ("&amp;BC$3&amp;")'!$D:$D"),'Tổng Đơn'!$B20),0)</f>
        <v>0</v>
      </c>
    </row>
    <row r="21" spans="1:55" ht="18" customHeight="1" x14ac:dyDescent="0.25">
      <c r="A21" s="174">
        <v>11</v>
      </c>
      <c r="B21" s="168" t="s">
        <v>31</v>
      </c>
      <c r="C21" s="167" t="s">
        <v>57</v>
      </c>
      <c r="D21" s="169">
        <f>VLOOKUP($C21,Sheet1!$C$8:$D$98,2,0)</f>
        <v>45000</v>
      </c>
      <c r="E21" s="170">
        <v>0.5</v>
      </c>
      <c r="F21" s="171">
        <f t="shared" ca="1" si="2"/>
        <v>0</v>
      </c>
      <c r="G21" s="172">
        <f>IFERROR(VLOOKUP($B21,Gà!C:J,8,0),IFERROR(VLOOKUP($B21,TVP!C:J,7,0),IFERROR(VLOOKUP($B21,Kitkool!C:J,8,0),IFERROR(VLOOKUP($B21,'La Cusina'!C:J,8,0),VLOOKUP($B21,'Quốc Nhân'!C:J,8,0)))))</f>
        <v>40.905956068572358</v>
      </c>
      <c r="H21" s="173">
        <f t="shared" ca="1" si="10"/>
        <v>0</v>
      </c>
      <c r="I21" s="195">
        <f t="shared" si="11"/>
        <v>0.10008429883816006</v>
      </c>
      <c r="J21" s="173">
        <f t="shared" ca="1" si="12"/>
        <v>0</v>
      </c>
      <c r="K21" s="38"/>
      <c r="L21" s="2">
        <f ca="1">IFERROR(SUMIFS(INDIRECT("'Thanh Toán ("&amp;L$3&amp;")'!$F:$F"),INDIRECT("'Thanh Toán ("&amp;L$3&amp;")'!$D:$D"),'Tổng Đơn'!$B21),0)</f>
        <v>0</v>
      </c>
      <c r="M21" s="2">
        <f ca="1">IFERROR(SUMIFS(INDIRECT("'Thanh Toán ("&amp;M$3&amp;")'!$F:$F"),INDIRECT("'Thanh Toán ("&amp;M$3&amp;")'!$D:$D"),'Tổng Đơn'!$B21),0)</f>
        <v>0</v>
      </c>
      <c r="N21" s="2">
        <f ca="1">IFERROR(SUMIFS(INDIRECT("'Thanh Toán ("&amp;N$3&amp;")'!$F:$F"),INDIRECT("'Thanh Toán ("&amp;N$3&amp;")'!$D:$D"),'Tổng Đơn'!$B21),0)</f>
        <v>0</v>
      </c>
      <c r="O21" s="2">
        <f ca="1">IFERROR(SUMIFS(INDIRECT("'Thanh Toán ("&amp;O$3&amp;")'!$F:$F"),INDIRECT("'Thanh Toán ("&amp;O$3&amp;")'!$D:$D"),'Tổng Đơn'!$B21),0)</f>
        <v>0</v>
      </c>
      <c r="P21" s="2">
        <f ca="1">IFERROR(SUMIFS(INDIRECT("'Thanh Toán ("&amp;P$3&amp;")'!$F:$F"),INDIRECT("'Thanh Toán ("&amp;P$3&amp;")'!$D:$D"),'Tổng Đơn'!$B21),0)</f>
        <v>0</v>
      </c>
      <c r="Q21" s="2">
        <f ca="1">IFERROR(SUMIFS(INDIRECT("'Thanh Toán ("&amp;Q$3&amp;")'!$F:$F"),INDIRECT("'Thanh Toán ("&amp;Q$3&amp;")'!$D:$D"),'Tổng Đơn'!$B21),0)</f>
        <v>0</v>
      </c>
      <c r="R21" s="2">
        <f ca="1">IFERROR(SUMIFS(INDIRECT("'Thanh Toán ("&amp;R$3&amp;")'!$F:$F"),INDIRECT("'Thanh Toán ("&amp;R$3&amp;")'!$D:$D"),'Tổng Đơn'!$B21),0)</f>
        <v>0</v>
      </c>
      <c r="S21" s="2">
        <f ca="1">IFERROR(SUMIFS(INDIRECT("'Thanh Toán ("&amp;S$3&amp;")'!$F:$F"),INDIRECT("'Thanh Toán ("&amp;S$3&amp;")'!$D:$D"),'Tổng Đơn'!$B21),0)</f>
        <v>0</v>
      </c>
      <c r="T21" s="2">
        <f ca="1">IFERROR(SUMIFS(INDIRECT("'Thanh Toán ("&amp;T$3&amp;")'!$F:$F"),INDIRECT("'Thanh Toán ("&amp;T$3&amp;")'!$D:$D"),'Tổng Đơn'!$B21),0)</f>
        <v>0</v>
      </c>
      <c r="U21" s="2">
        <f ca="1">IFERROR(SUMIFS(INDIRECT("'Thanh Toán ("&amp;U$3&amp;")'!$F:$F"),INDIRECT("'Thanh Toán ("&amp;U$3&amp;")'!$D:$D"),'Tổng Đơn'!$B21),0)</f>
        <v>0</v>
      </c>
      <c r="V21" s="2">
        <f ca="1">IFERROR(SUMIFS(INDIRECT("'Thanh Toán ("&amp;V$3&amp;")'!$F:$F"),INDIRECT("'Thanh Toán ("&amp;V$3&amp;")'!$D:$D"),'Tổng Đơn'!$B21),0)</f>
        <v>0</v>
      </c>
      <c r="W21" s="2">
        <f ca="1">IFERROR(SUMIFS(INDIRECT("'Thanh Toán ("&amp;W$3&amp;")'!$F:$F"),INDIRECT("'Thanh Toán ("&amp;W$3&amp;")'!$D:$D"),'Tổng Đơn'!$B21),0)</f>
        <v>0</v>
      </c>
      <c r="X21" s="2">
        <f ca="1">IFERROR(SUMIFS(INDIRECT("'Thanh Toán ("&amp;X$3&amp;")'!$F:$F"),INDIRECT("'Thanh Toán ("&amp;X$3&amp;")'!$D:$D"),'Tổng Đơn'!$B21),0)</f>
        <v>0</v>
      </c>
      <c r="Y21" s="2">
        <f ca="1">IFERROR(SUMIFS(INDIRECT("'Thanh Toán ("&amp;Y$3&amp;")'!$F:$F"),INDIRECT("'Thanh Toán ("&amp;Y$3&amp;")'!$D:$D"),'Tổng Đơn'!$B21),0)</f>
        <v>0</v>
      </c>
      <c r="Z21" s="2">
        <f ca="1">IFERROR(SUMIFS(INDIRECT("'Thanh Toán ("&amp;Z$3&amp;")'!$F:$F"),INDIRECT("'Thanh Toán ("&amp;Z$3&amp;")'!$D:$D"),'Tổng Đơn'!$B21),0)</f>
        <v>0</v>
      </c>
      <c r="AA21" s="2">
        <f ca="1">IFERROR(SUMIFS(INDIRECT("'Thanh Toán ("&amp;AA$3&amp;")'!$F:$F"),INDIRECT("'Thanh Toán ("&amp;AA$3&amp;")'!$D:$D"),'Tổng Đơn'!$B21),0)</f>
        <v>0</v>
      </c>
      <c r="AB21" s="2">
        <f ca="1">IFERROR(SUMIFS(INDIRECT("'Thanh Toán ("&amp;AB$3&amp;")'!$F:$F"),INDIRECT("'Thanh Toán ("&amp;AB$3&amp;")'!$D:$D"),'Tổng Đơn'!$B21),0)</f>
        <v>0</v>
      </c>
      <c r="AC21" s="2">
        <f ca="1">IFERROR(SUMIFS(INDIRECT("'Thanh Toán ("&amp;AC$3&amp;")'!$F:$F"),INDIRECT("'Thanh Toán ("&amp;AC$3&amp;")'!$D:$D"),'Tổng Đơn'!$B21),0)</f>
        <v>0</v>
      </c>
      <c r="AD21" s="2">
        <f ca="1">IFERROR(SUMIFS(INDIRECT("'Thanh Toán ("&amp;AD$3&amp;")'!$F:$F"),INDIRECT("'Thanh Toán ("&amp;AD$3&amp;")'!$D:$D"),'Tổng Đơn'!$B21),0)</f>
        <v>0</v>
      </c>
      <c r="AE21" s="2">
        <f ca="1">IFERROR(SUMIFS(INDIRECT("'Thanh Toán ("&amp;AE$3&amp;")'!$F:$F"),INDIRECT("'Thanh Toán ("&amp;AE$3&amp;")'!$D:$D"),'Tổng Đơn'!$B21),0)</f>
        <v>0</v>
      </c>
      <c r="AF21" s="2">
        <f ca="1">IFERROR(SUMIFS(INDIRECT("'Thanh Toán ("&amp;AF$3&amp;")'!$F:$F"),INDIRECT("'Thanh Toán ("&amp;AF$3&amp;")'!$D:$D"),'Tổng Đơn'!$B21),0)</f>
        <v>0</v>
      </c>
      <c r="AG21" s="2">
        <f ca="1">IFERROR(SUMIFS(INDIRECT("'Thanh Toán ("&amp;AG$3&amp;")'!$F:$F"),INDIRECT("'Thanh Toán ("&amp;AG$3&amp;")'!$D:$D"),'Tổng Đơn'!$B21),0)</f>
        <v>0</v>
      </c>
      <c r="AH21" s="2">
        <f ca="1">IFERROR(SUMIFS(INDIRECT("'Thanh Toán ("&amp;AH$3&amp;")'!$F:$F"),INDIRECT("'Thanh Toán ("&amp;AH$3&amp;")'!$D:$D"),'Tổng Đơn'!$B21),0)</f>
        <v>0</v>
      </c>
      <c r="AI21" s="2">
        <f ca="1">IFERROR(SUMIFS(INDIRECT("'Thanh Toán ("&amp;AI$3&amp;")'!$F:$F"),INDIRECT("'Thanh Toán ("&amp;AI$3&amp;")'!$D:$D"),'Tổng Đơn'!$B21),0)</f>
        <v>0</v>
      </c>
      <c r="AJ21" s="2">
        <f ca="1">IFERROR(SUMIFS(INDIRECT("'Thanh Toán ("&amp;AJ$3&amp;")'!$F:$F"),INDIRECT("'Thanh Toán ("&amp;AJ$3&amp;")'!$D:$D"),'Tổng Đơn'!$B21),0)</f>
        <v>0</v>
      </c>
      <c r="AK21" s="2">
        <f ca="1">IFERROR(SUMIFS(INDIRECT("'Thanh Toán ("&amp;AK$3&amp;")'!$F:$F"),INDIRECT("'Thanh Toán ("&amp;AK$3&amp;")'!$D:$D"),'Tổng Đơn'!$B21),0)</f>
        <v>0</v>
      </c>
      <c r="AL21" s="2">
        <f ca="1">IFERROR(SUMIFS(INDIRECT("'Thanh Toán ("&amp;AL$3&amp;")'!$F:$F"),INDIRECT("'Thanh Toán ("&amp;AL$3&amp;")'!$D:$D"),'Tổng Đơn'!$B21),0)</f>
        <v>0</v>
      </c>
      <c r="AM21" s="2">
        <f ca="1">IFERROR(SUMIFS(INDIRECT("'Thanh Toán ("&amp;AM$3&amp;")'!$F:$F"),INDIRECT("'Thanh Toán ("&amp;AM$3&amp;")'!$D:$D"),'Tổng Đơn'!$B21),0)</f>
        <v>0</v>
      </c>
      <c r="AN21" s="2">
        <f ca="1">IFERROR(SUMIFS(INDIRECT("'Thanh Toán ("&amp;AN$3&amp;")'!$F:$F"),INDIRECT("'Thanh Toán ("&amp;AN$3&amp;")'!$D:$D"),'Tổng Đơn'!$B21),0)</f>
        <v>0</v>
      </c>
      <c r="AO21" s="2">
        <f ca="1">IFERROR(SUMIFS(INDIRECT("'Thanh Toán ("&amp;AO$3&amp;")'!$F:$F"),INDIRECT("'Thanh Toán ("&amp;AO$3&amp;")'!$D:$D"),'Tổng Đơn'!$B21),0)</f>
        <v>0</v>
      </c>
      <c r="AP21" s="2">
        <f ca="1">IFERROR(SUMIFS(INDIRECT("'Thanh Toán ("&amp;AP$3&amp;")'!$F:$F"),INDIRECT("'Thanh Toán ("&amp;AP$3&amp;")'!$D:$D"),'Tổng Đơn'!$B21),0)</f>
        <v>0</v>
      </c>
      <c r="AQ21" s="2">
        <f ca="1">IFERROR(SUMIFS(INDIRECT("'Thanh Toán ("&amp;AQ$3&amp;")'!$F:$F"),INDIRECT("'Thanh Toán ("&amp;AQ$3&amp;")'!$D:$D"),'Tổng Đơn'!$B21),0)</f>
        <v>0</v>
      </c>
      <c r="AR21" s="2">
        <f ca="1">IFERROR(SUMIFS(INDIRECT("'Thanh Toán ("&amp;AR$3&amp;")'!$F:$F"),INDIRECT("'Thanh Toán ("&amp;AR$3&amp;")'!$D:$D"),'Tổng Đơn'!$B21),0)</f>
        <v>0</v>
      </c>
      <c r="AS21" s="2">
        <f ca="1">IFERROR(SUMIFS(INDIRECT("'Thanh Toán ("&amp;AS$3&amp;")'!$F:$F"),INDIRECT("'Thanh Toán ("&amp;AS$3&amp;")'!$D:$D"),'Tổng Đơn'!$B21),0)</f>
        <v>0</v>
      </c>
      <c r="AT21" s="2">
        <f ca="1">IFERROR(SUMIFS(INDIRECT("'Thanh Toán ("&amp;AT$3&amp;")'!$F:$F"),INDIRECT("'Thanh Toán ("&amp;AT$3&amp;")'!$D:$D"),'Tổng Đơn'!$B21),0)</f>
        <v>0</v>
      </c>
      <c r="AU21" s="2">
        <f ca="1">IFERROR(SUMIFS(INDIRECT("'Thanh Toán ("&amp;AU$3&amp;")'!$F:$F"),INDIRECT("'Thanh Toán ("&amp;AU$3&amp;")'!$D:$D"),'Tổng Đơn'!$B21),0)</f>
        <v>0</v>
      </c>
      <c r="AV21" s="2">
        <f ca="1">IFERROR(SUMIFS(INDIRECT("'Thanh Toán ("&amp;AV$3&amp;")'!$F:$F"),INDIRECT("'Thanh Toán ("&amp;AV$3&amp;")'!$D:$D"),'Tổng Đơn'!$B21),0)</f>
        <v>0</v>
      </c>
      <c r="AW21" s="2">
        <f ca="1">IFERROR(SUMIFS(INDIRECT("'Thanh Toán ("&amp;AW$3&amp;")'!$F:$F"),INDIRECT("'Thanh Toán ("&amp;AW$3&amp;")'!$D:$D"),'Tổng Đơn'!$B21),0)</f>
        <v>0</v>
      </c>
      <c r="AX21" s="2">
        <f ca="1">IFERROR(SUMIFS(INDIRECT("'Thanh Toán ("&amp;AX$3&amp;")'!$F:$F"),INDIRECT("'Thanh Toán ("&amp;AX$3&amp;")'!$D:$D"),'Tổng Đơn'!$B21),0)</f>
        <v>0</v>
      </c>
      <c r="AY21" s="2">
        <f ca="1">IFERROR(SUMIFS(INDIRECT("'Thanh Toán ("&amp;AY$3&amp;")'!$F:$F"),INDIRECT("'Thanh Toán ("&amp;AY$3&amp;")'!$D:$D"),'Tổng Đơn'!$B21),0)</f>
        <v>0</v>
      </c>
      <c r="AZ21" s="2">
        <f ca="1">IFERROR(SUMIFS(INDIRECT("'Thanh Toán ("&amp;AZ$3&amp;")'!$F:$F"),INDIRECT("'Thanh Toán ("&amp;AZ$3&amp;")'!$D:$D"),'Tổng Đơn'!$B21),0)</f>
        <v>0</v>
      </c>
      <c r="BA21" s="2">
        <f ca="1">IFERROR(SUMIFS(INDIRECT("'Thanh Toán ("&amp;BA$3&amp;")'!$F:$F"),INDIRECT("'Thanh Toán ("&amp;BA$3&amp;")'!$D:$D"),'Tổng Đơn'!$B21),0)</f>
        <v>0</v>
      </c>
      <c r="BB21" s="2">
        <f ca="1">IFERROR(SUMIFS(INDIRECT("'Thanh Toán ("&amp;BB$3&amp;")'!$F:$F"),INDIRECT("'Thanh Toán ("&amp;BB$3&amp;")'!$D:$D"),'Tổng Đơn'!$B21),0)</f>
        <v>0</v>
      </c>
      <c r="BC21" s="2">
        <f ca="1">IFERROR(SUMIFS(INDIRECT("'Thanh Toán ("&amp;BC$3&amp;")'!$F:$F"),INDIRECT("'Thanh Toán ("&amp;BC$3&amp;")'!$D:$D"),'Tổng Đơn'!$B21),0)</f>
        <v>0</v>
      </c>
    </row>
    <row r="22" spans="1:55" ht="18" customHeight="1" x14ac:dyDescent="0.25">
      <c r="A22" s="167">
        <v>12</v>
      </c>
      <c r="B22" s="168" t="s">
        <v>28</v>
      </c>
      <c r="C22" s="174" t="s">
        <v>58</v>
      </c>
      <c r="D22" s="169">
        <f>VLOOKUP($C22,Sheet1!$C$8:$D$98,2,0)</f>
        <v>45000</v>
      </c>
      <c r="E22" s="170">
        <v>0.5</v>
      </c>
      <c r="F22" s="171">
        <f t="shared" ca="1" si="2"/>
        <v>0</v>
      </c>
      <c r="G22" s="172">
        <f>IFERROR(VLOOKUP($B22,Gà!C:J,8,0),IFERROR(VLOOKUP($B22,TVP!C:J,7,0),IFERROR(VLOOKUP($B22,Kitkool!C:J,8,0),IFERROR(VLOOKUP($B22,'La Cusina'!C:J,8,0),VLOOKUP($B22,'Quốc Nhân'!C:J,8,0)))))</f>
        <v>40.905956068572358</v>
      </c>
      <c r="H22" s="173">
        <f t="shared" ca="1" si="10"/>
        <v>0</v>
      </c>
      <c r="I22" s="195">
        <f t="shared" si="11"/>
        <v>0.10008429883816006</v>
      </c>
      <c r="J22" s="173">
        <f t="shared" ca="1" si="12"/>
        <v>0</v>
      </c>
      <c r="K22" s="38"/>
      <c r="L22" s="2">
        <f ca="1">IFERROR(SUMIFS(INDIRECT("'Thanh Toán ("&amp;L$3&amp;")'!$F:$F"),INDIRECT("'Thanh Toán ("&amp;L$3&amp;")'!$D:$D"),'Tổng Đơn'!$B22),0)</f>
        <v>0</v>
      </c>
      <c r="M22" s="2">
        <f ca="1">IFERROR(SUMIFS(INDIRECT("'Thanh Toán ("&amp;M$3&amp;")'!$F:$F"),INDIRECT("'Thanh Toán ("&amp;M$3&amp;")'!$D:$D"),'Tổng Đơn'!$B22),0)</f>
        <v>0</v>
      </c>
      <c r="N22" s="2">
        <f ca="1">IFERROR(SUMIFS(INDIRECT("'Thanh Toán ("&amp;N$3&amp;")'!$F:$F"),INDIRECT("'Thanh Toán ("&amp;N$3&amp;")'!$D:$D"),'Tổng Đơn'!$B22),0)</f>
        <v>0</v>
      </c>
      <c r="O22" s="2">
        <f ca="1">IFERROR(SUMIFS(INDIRECT("'Thanh Toán ("&amp;O$3&amp;")'!$F:$F"),INDIRECT("'Thanh Toán ("&amp;O$3&amp;")'!$D:$D"),'Tổng Đơn'!$B22),0)</f>
        <v>0</v>
      </c>
      <c r="P22" s="2">
        <f ca="1">IFERROR(SUMIFS(INDIRECT("'Thanh Toán ("&amp;P$3&amp;")'!$F:$F"),INDIRECT("'Thanh Toán ("&amp;P$3&amp;")'!$D:$D"),'Tổng Đơn'!$B22),0)</f>
        <v>0</v>
      </c>
      <c r="Q22" s="2">
        <f ca="1">IFERROR(SUMIFS(INDIRECT("'Thanh Toán ("&amp;Q$3&amp;")'!$F:$F"),INDIRECT("'Thanh Toán ("&amp;Q$3&amp;")'!$D:$D"),'Tổng Đơn'!$B22),0)</f>
        <v>0</v>
      </c>
      <c r="R22" s="2">
        <f ca="1">IFERROR(SUMIFS(INDIRECT("'Thanh Toán ("&amp;R$3&amp;")'!$F:$F"),INDIRECT("'Thanh Toán ("&amp;R$3&amp;")'!$D:$D"),'Tổng Đơn'!$B22),0)</f>
        <v>0</v>
      </c>
      <c r="S22" s="2">
        <f ca="1">IFERROR(SUMIFS(INDIRECT("'Thanh Toán ("&amp;S$3&amp;")'!$F:$F"),INDIRECT("'Thanh Toán ("&amp;S$3&amp;")'!$D:$D"),'Tổng Đơn'!$B22),0)</f>
        <v>0</v>
      </c>
      <c r="T22" s="2">
        <f ca="1">IFERROR(SUMIFS(INDIRECT("'Thanh Toán ("&amp;T$3&amp;")'!$F:$F"),INDIRECT("'Thanh Toán ("&amp;T$3&amp;")'!$D:$D"),'Tổng Đơn'!$B22),0)</f>
        <v>0</v>
      </c>
      <c r="U22" s="2">
        <f ca="1">IFERROR(SUMIFS(INDIRECT("'Thanh Toán ("&amp;U$3&amp;")'!$F:$F"),INDIRECT("'Thanh Toán ("&amp;U$3&amp;")'!$D:$D"),'Tổng Đơn'!$B22),0)</f>
        <v>0</v>
      </c>
      <c r="V22" s="2">
        <f ca="1">IFERROR(SUMIFS(INDIRECT("'Thanh Toán ("&amp;V$3&amp;")'!$F:$F"),INDIRECT("'Thanh Toán ("&amp;V$3&amp;")'!$D:$D"),'Tổng Đơn'!$B22),0)</f>
        <v>0</v>
      </c>
      <c r="W22" s="2">
        <f ca="1">IFERROR(SUMIFS(INDIRECT("'Thanh Toán ("&amp;W$3&amp;")'!$F:$F"),INDIRECT("'Thanh Toán ("&amp;W$3&amp;")'!$D:$D"),'Tổng Đơn'!$B22),0)</f>
        <v>0</v>
      </c>
      <c r="X22" s="2">
        <f ca="1">IFERROR(SUMIFS(INDIRECT("'Thanh Toán ("&amp;X$3&amp;")'!$F:$F"),INDIRECT("'Thanh Toán ("&amp;X$3&amp;")'!$D:$D"),'Tổng Đơn'!$B22),0)</f>
        <v>0</v>
      </c>
      <c r="Y22" s="2">
        <f ca="1">IFERROR(SUMIFS(INDIRECT("'Thanh Toán ("&amp;Y$3&amp;")'!$F:$F"),INDIRECT("'Thanh Toán ("&amp;Y$3&amp;")'!$D:$D"),'Tổng Đơn'!$B22),0)</f>
        <v>0</v>
      </c>
      <c r="Z22" s="2">
        <f ca="1">IFERROR(SUMIFS(INDIRECT("'Thanh Toán ("&amp;Z$3&amp;")'!$F:$F"),INDIRECT("'Thanh Toán ("&amp;Z$3&amp;")'!$D:$D"),'Tổng Đơn'!$B22),0)</f>
        <v>0</v>
      </c>
      <c r="AA22" s="2">
        <f ca="1">IFERROR(SUMIFS(INDIRECT("'Thanh Toán ("&amp;AA$3&amp;")'!$F:$F"),INDIRECT("'Thanh Toán ("&amp;AA$3&amp;")'!$D:$D"),'Tổng Đơn'!$B22),0)</f>
        <v>0</v>
      </c>
      <c r="AB22" s="2">
        <f ca="1">IFERROR(SUMIFS(INDIRECT("'Thanh Toán ("&amp;AB$3&amp;")'!$F:$F"),INDIRECT("'Thanh Toán ("&amp;AB$3&amp;")'!$D:$D"),'Tổng Đơn'!$B22),0)</f>
        <v>0</v>
      </c>
      <c r="AC22" s="2">
        <f ca="1">IFERROR(SUMIFS(INDIRECT("'Thanh Toán ("&amp;AC$3&amp;")'!$F:$F"),INDIRECT("'Thanh Toán ("&amp;AC$3&amp;")'!$D:$D"),'Tổng Đơn'!$B22),0)</f>
        <v>0</v>
      </c>
      <c r="AD22" s="2">
        <f ca="1">IFERROR(SUMIFS(INDIRECT("'Thanh Toán ("&amp;AD$3&amp;")'!$F:$F"),INDIRECT("'Thanh Toán ("&amp;AD$3&amp;")'!$D:$D"),'Tổng Đơn'!$B22),0)</f>
        <v>0</v>
      </c>
      <c r="AE22" s="2">
        <f ca="1">IFERROR(SUMIFS(INDIRECT("'Thanh Toán ("&amp;AE$3&amp;")'!$F:$F"),INDIRECT("'Thanh Toán ("&amp;AE$3&amp;")'!$D:$D"),'Tổng Đơn'!$B22),0)</f>
        <v>0</v>
      </c>
      <c r="AF22" s="2">
        <f ca="1">IFERROR(SUMIFS(INDIRECT("'Thanh Toán ("&amp;AF$3&amp;")'!$F:$F"),INDIRECT("'Thanh Toán ("&amp;AF$3&amp;")'!$D:$D"),'Tổng Đơn'!$B22),0)</f>
        <v>0</v>
      </c>
      <c r="AG22" s="2">
        <f ca="1">IFERROR(SUMIFS(INDIRECT("'Thanh Toán ("&amp;AG$3&amp;")'!$F:$F"),INDIRECT("'Thanh Toán ("&amp;AG$3&amp;")'!$D:$D"),'Tổng Đơn'!$B22),0)</f>
        <v>0</v>
      </c>
      <c r="AH22" s="2">
        <f ca="1">IFERROR(SUMIFS(INDIRECT("'Thanh Toán ("&amp;AH$3&amp;")'!$F:$F"),INDIRECT("'Thanh Toán ("&amp;AH$3&amp;")'!$D:$D"),'Tổng Đơn'!$B22),0)</f>
        <v>0</v>
      </c>
      <c r="AI22" s="2">
        <f ca="1">IFERROR(SUMIFS(INDIRECT("'Thanh Toán ("&amp;AI$3&amp;")'!$F:$F"),INDIRECT("'Thanh Toán ("&amp;AI$3&amp;")'!$D:$D"),'Tổng Đơn'!$B22),0)</f>
        <v>0</v>
      </c>
      <c r="AJ22" s="2">
        <f ca="1">IFERROR(SUMIFS(INDIRECT("'Thanh Toán ("&amp;AJ$3&amp;")'!$F:$F"),INDIRECT("'Thanh Toán ("&amp;AJ$3&amp;")'!$D:$D"),'Tổng Đơn'!$B22),0)</f>
        <v>0</v>
      </c>
      <c r="AK22" s="2">
        <f ca="1">IFERROR(SUMIFS(INDIRECT("'Thanh Toán ("&amp;AK$3&amp;")'!$F:$F"),INDIRECT("'Thanh Toán ("&amp;AK$3&amp;")'!$D:$D"),'Tổng Đơn'!$B22),0)</f>
        <v>0</v>
      </c>
      <c r="AL22" s="2">
        <f ca="1">IFERROR(SUMIFS(INDIRECT("'Thanh Toán ("&amp;AL$3&amp;")'!$F:$F"),INDIRECT("'Thanh Toán ("&amp;AL$3&amp;")'!$D:$D"),'Tổng Đơn'!$B22),0)</f>
        <v>0</v>
      </c>
      <c r="AM22" s="2">
        <f ca="1">IFERROR(SUMIFS(INDIRECT("'Thanh Toán ("&amp;AM$3&amp;")'!$F:$F"),INDIRECT("'Thanh Toán ("&amp;AM$3&amp;")'!$D:$D"),'Tổng Đơn'!$B22),0)</f>
        <v>0</v>
      </c>
      <c r="AN22" s="2">
        <f ca="1">IFERROR(SUMIFS(INDIRECT("'Thanh Toán ("&amp;AN$3&amp;")'!$F:$F"),INDIRECT("'Thanh Toán ("&amp;AN$3&amp;")'!$D:$D"),'Tổng Đơn'!$B22),0)</f>
        <v>0</v>
      </c>
      <c r="AO22" s="2">
        <f ca="1">IFERROR(SUMIFS(INDIRECT("'Thanh Toán ("&amp;AO$3&amp;")'!$F:$F"),INDIRECT("'Thanh Toán ("&amp;AO$3&amp;")'!$D:$D"),'Tổng Đơn'!$B22),0)</f>
        <v>0</v>
      </c>
      <c r="AP22" s="2">
        <f ca="1">IFERROR(SUMIFS(INDIRECT("'Thanh Toán ("&amp;AP$3&amp;")'!$F:$F"),INDIRECT("'Thanh Toán ("&amp;AP$3&amp;")'!$D:$D"),'Tổng Đơn'!$B22),0)</f>
        <v>0</v>
      </c>
      <c r="AQ22" s="2">
        <f ca="1">IFERROR(SUMIFS(INDIRECT("'Thanh Toán ("&amp;AQ$3&amp;")'!$F:$F"),INDIRECT("'Thanh Toán ("&amp;AQ$3&amp;")'!$D:$D"),'Tổng Đơn'!$B22),0)</f>
        <v>0</v>
      </c>
      <c r="AR22" s="2">
        <f ca="1">IFERROR(SUMIFS(INDIRECT("'Thanh Toán ("&amp;AR$3&amp;")'!$F:$F"),INDIRECT("'Thanh Toán ("&amp;AR$3&amp;")'!$D:$D"),'Tổng Đơn'!$B22),0)</f>
        <v>0</v>
      </c>
      <c r="AS22" s="2">
        <f ca="1">IFERROR(SUMIFS(INDIRECT("'Thanh Toán ("&amp;AS$3&amp;")'!$F:$F"),INDIRECT("'Thanh Toán ("&amp;AS$3&amp;")'!$D:$D"),'Tổng Đơn'!$B22),0)</f>
        <v>0</v>
      </c>
      <c r="AT22" s="2">
        <f ca="1">IFERROR(SUMIFS(INDIRECT("'Thanh Toán ("&amp;AT$3&amp;")'!$F:$F"),INDIRECT("'Thanh Toán ("&amp;AT$3&amp;")'!$D:$D"),'Tổng Đơn'!$B22),0)</f>
        <v>0</v>
      </c>
      <c r="AU22" s="2">
        <f ca="1">IFERROR(SUMIFS(INDIRECT("'Thanh Toán ("&amp;AU$3&amp;")'!$F:$F"),INDIRECT("'Thanh Toán ("&amp;AU$3&amp;")'!$D:$D"),'Tổng Đơn'!$B22),0)</f>
        <v>0</v>
      </c>
      <c r="AV22" s="2">
        <f ca="1">IFERROR(SUMIFS(INDIRECT("'Thanh Toán ("&amp;AV$3&amp;")'!$F:$F"),INDIRECT("'Thanh Toán ("&amp;AV$3&amp;")'!$D:$D"),'Tổng Đơn'!$B22),0)</f>
        <v>0</v>
      </c>
      <c r="AW22" s="2">
        <f ca="1">IFERROR(SUMIFS(INDIRECT("'Thanh Toán ("&amp;AW$3&amp;")'!$F:$F"),INDIRECT("'Thanh Toán ("&amp;AW$3&amp;")'!$D:$D"),'Tổng Đơn'!$B22),0)</f>
        <v>0</v>
      </c>
      <c r="AX22" s="2">
        <f ca="1">IFERROR(SUMIFS(INDIRECT("'Thanh Toán ("&amp;AX$3&amp;")'!$F:$F"),INDIRECT("'Thanh Toán ("&amp;AX$3&amp;")'!$D:$D"),'Tổng Đơn'!$B22),0)</f>
        <v>0</v>
      </c>
      <c r="AY22" s="2">
        <f ca="1">IFERROR(SUMIFS(INDIRECT("'Thanh Toán ("&amp;AY$3&amp;")'!$F:$F"),INDIRECT("'Thanh Toán ("&amp;AY$3&amp;")'!$D:$D"),'Tổng Đơn'!$B22),0)</f>
        <v>0</v>
      </c>
      <c r="AZ22" s="2">
        <f ca="1">IFERROR(SUMIFS(INDIRECT("'Thanh Toán ("&amp;AZ$3&amp;")'!$F:$F"),INDIRECT("'Thanh Toán ("&amp;AZ$3&amp;")'!$D:$D"),'Tổng Đơn'!$B22),0)</f>
        <v>0</v>
      </c>
      <c r="BA22" s="2">
        <f ca="1">IFERROR(SUMIFS(INDIRECT("'Thanh Toán ("&amp;BA$3&amp;")'!$F:$F"),INDIRECT("'Thanh Toán ("&amp;BA$3&amp;")'!$D:$D"),'Tổng Đơn'!$B22),0)</f>
        <v>0</v>
      </c>
      <c r="BB22" s="2">
        <f ca="1">IFERROR(SUMIFS(INDIRECT("'Thanh Toán ("&amp;BB$3&amp;")'!$F:$F"),INDIRECT("'Thanh Toán ("&amp;BB$3&amp;")'!$D:$D"),'Tổng Đơn'!$B22),0)</f>
        <v>0</v>
      </c>
      <c r="BC22" s="2">
        <f ca="1">IFERROR(SUMIFS(INDIRECT("'Thanh Toán ("&amp;BC$3&amp;")'!$F:$F"),INDIRECT("'Thanh Toán ("&amp;BC$3&amp;")'!$D:$D"),'Tổng Đơn'!$B22),0)</f>
        <v>0</v>
      </c>
    </row>
    <row r="23" spans="1:55" ht="18" customHeight="1" x14ac:dyDescent="0.25">
      <c r="A23" s="167">
        <v>13</v>
      </c>
      <c r="B23" s="168" t="s">
        <v>30</v>
      </c>
      <c r="C23" s="167" t="s">
        <v>59</v>
      </c>
      <c r="D23" s="169">
        <f>VLOOKUP($C23,Sheet1!$C$8:$D$98,2,0)</f>
        <v>45000</v>
      </c>
      <c r="E23" s="170">
        <v>0.5</v>
      </c>
      <c r="F23" s="171">
        <f t="shared" ca="1" si="2"/>
        <v>0</v>
      </c>
      <c r="G23" s="172">
        <f>IFERROR(VLOOKUP($B23,Gà!C:J,8,0),IFERROR(VLOOKUP($B23,TVP!C:J,7,0),IFERROR(VLOOKUP($B23,Kitkool!C:J,8,0),IFERROR(VLOOKUP($B23,'La Cusina'!C:J,8,0),VLOOKUP($B23,'Quốc Nhân'!C:J,8,0)))))</f>
        <v>40.905956068572358</v>
      </c>
      <c r="H23" s="173">
        <f t="shared" ca="1" si="10"/>
        <v>0</v>
      </c>
      <c r="I23" s="195">
        <f t="shared" si="11"/>
        <v>0.10008429883816006</v>
      </c>
      <c r="J23" s="173">
        <f t="shared" ca="1" si="12"/>
        <v>0</v>
      </c>
      <c r="K23" s="38"/>
      <c r="L23" s="2">
        <f ca="1">IFERROR(SUMIFS(INDIRECT("'Thanh Toán ("&amp;L$3&amp;")'!$F:$F"),INDIRECT("'Thanh Toán ("&amp;L$3&amp;")'!$D:$D"),'Tổng Đơn'!$B23),0)</f>
        <v>0</v>
      </c>
      <c r="M23" s="2">
        <f ca="1">IFERROR(SUMIFS(INDIRECT("'Thanh Toán ("&amp;M$3&amp;")'!$F:$F"),INDIRECT("'Thanh Toán ("&amp;M$3&amp;")'!$D:$D"),'Tổng Đơn'!$B23),0)</f>
        <v>0</v>
      </c>
      <c r="N23" s="2">
        <f ca="1">IFERROR(SUMIFS(INDIRECT("'Thanh Toán ("&amp;N$3&amp;")'!$F:$F"),INDIRECT("'Thanh Toán ("&amp;N$3&amp;")'!$D:$D"),'Tổng Đơn'!$B23),0)</f>
        <v>0</v>
      </c>
      <c r="O23" s="2">
        <f ca="1">IFERROR(SUMIFS(INDIRECT("'Thanh Toán ("&amp;O$3&amp;")'!$F:$F"),INDIRECT("'Thanh Toán ("&amp;O$3&amp;")'!$D:$D"),'Tổng Đơn'!$B23),0)</f>
        <v>0</v>
      </c>
      <c r="P23" s="2">
        <f ca="1">IFERROR(SUMIFS(INDIRECT("'Thanh Toán ("&amp;P$3&amp;")'!$F:$F"),INDIRECT("'Thanh Toán ("&amp;P$3&amp;")'!$D:$D"),'Tổng Đơn'!$B23),0)</f>
        <v>0</v>
      </c>
      <c r="Q23" s="2">
        <f ca="1">IFERROR(SUMIFS(INDIRECT("'Thanh Toán ("&amp;Q$3&amp;")'!$F:$F"),INDIRECT("'Thanh Toán ("&amp;Q$3&amp;")'!$D:$D"),'Tổng Đơn'!$B23),0)</f>
        <v>0</v>
      </c>
      <c r="R23" s="2">
        <f ca="1">IFERROR(SUMIFS(INDIRECT("'Thanh Toán ("&amp;R$3&amp;")'!$F:$F"),INDIRECT("'Thanh Toán ("&amp;R$3&amp;")'!$D:$D"),'Tổng Đơn'!$B23),0)</f>
        <v>0</v>
      </c>
      <c r="S23" s="2">
        <f ca="1">IFERROR(SUMIFS(INDIRECT("'Thanh Toán ("&amp;S$3&amp;")'!$F:$F"),INDIRECT("'Thanh Toán ("&amp;S$3&amp;")'!$D:$D"),'Tổng Đơn'!$B23),0)</f>
        <v>0</v>
      </c>
      <c r="T23" s="2">
        <f ca="1">IFERROR(SUMIFS(INDIRECT("'Thanh Toán ("&amp;T$3&amp;")'!$F:$F"),INDIRECT("'Thanh Toán ("&amp;T$3&amp;")'!$D:$D"),'Tổng Đơn'!$B23),0)</f>
        <v>0</v>
      </c>
      <c r="U23" s="2">
        <f ca="1">IFERROR(SUMIFS(INDIRECT("'Thanh Toán ("&amp;U$3&amp;")'!$F:$F"),INDIRECT("'Thanh Toán ("&amp;U$3&amp;")'!$D:$D"),'Tổng Đơn'!$B23),0)</f>
        <v>0</v>
      </c>
      <c r="V23" s="2">
        <f ca="1">IFERROR(SUMIFS(INDIRECT("'Thanh Toán ("&amp;V$3&amp;")'!$F:$F"),INDIRECT("'Thanh Toán ("&amp;V$3&amp;")'!$D:$D"),'Tổng Đơn'!$B23),0)</f>
        <v>0</v>
      </c>
      <c r="W23" s="2">
        <f ca="1">IFERROR(SUMIFS(INDIRECT("'Thanh Toán ("&amp;W$3&amp;")'!$F:$F"),INDIRECT("'Thanh Toán ("&amp;W$3&amp;")'!$D:$D"),'Tổng Đơn'!$B23),0)</f>
        <v>0</v>
      </c>
      <c r="X23" s="2">
        <f ca="1">IFERROR(SUMIFS(INDIRECT("'Thanh Toán ("&amp;X$3&amp;")'!$F:$F"),INDIRECT("'Thanh Toán ("&amp;X$3&amp;")'!$D:$D"),'Tổng Đơn'!$B23),0)</f>
        <v>0</v>
      </c>
      <c r="Y23" s="2">
        <f ca="1">IFERROR(SUMIFS(INDIRECT("'Thanh Toán ("&amp;Y$3&amp;")'!$F:$F"),INDIRECT("'Thanh Toán ("&amp;Y$3&amp;")'!$D:$D"),'Tổng Đơn'!$B23),0)</f>
        <v>0</v>
      </c>
      <c r="Z23" s="2">
        <f ca="1">IFERROR(SUMIFS(INDIRECT("'Thanh Toán ("&amp;Z$3&amp;")'!$F:$F"),INDIRECT("'Thanh Toán ("&amp;Z$3&amp;")'!$D:$D"),'Tổng Đơn'!$B23),0)</f>
        <v>0</v>
      </c>
      <c r="AA23" s="2">
        <f ca="1">IFERROR(SUMIFS(INDIRECT("'Thanh Toán ("&amp;AA$3&amp;")'!$F:$F"),INDIRECT("'Thanh Toán ("&amp;AA$3&amp;")'!$D:$D"),'Tổng Đơn'!$B23),0)</f>
        <v>0</v>
      </c>
      <c r="AB23" s="2">
        <f ca="1">IFERROR(SUMIFS(INDIRECT("'Thanh Toán ("&amp;AB$3&amp;")'!$F:$F"),INDIRECT("'Thanh Toán ("&amp;AB$3&amp;")'!$D:$D"),'Tổng Đơn'!$B23),0)</f>
        <v>0</v>
      </c>
      <c r="AC23" s="2">
        <f ca="1">IFERROR(SUMIFS(INDIRECT("'Thanh Toán ("&amp;AC$3&amp;")'!$F:$F"),INDIRECT("'Thanh Toán ("&amp;AC$3&amp;")'!$D:$D"),'Tổng Đơn'!$B23),0)</f>
        <v>0</v>
      </c>
      <c r="AD23" s="2">
        <f ca="1">IFERROR(SUMIFS(INDIRECT("'Thanh Toán ("&amp;AD$3&amp;")'!$F:$F"),INDIRECT("'Thanh Toán ("&amp;AD$3&amp;")'!$D:$D"),'Tổng Đơn'!$B23),0)</f>
        <v>0</v>
      </c>
      <c r="AE23" s="2">
        <f ca="1">IFERROR(SUMIFS(INDIRECT("'Thanh Toán ("&amp;AE$3&amp;")'!$F:$F"),INDIRECT("'Thanh Toán ("&amp;AE$3&amp;")'!$D:$D"),'Tổng Đơn'!$B23),0)</f>
        <v>0</v>
      </c>
      <c r="AF23" s="2">
        <f ca="1">IFERROR(SUMIFS(INDIRECT("'Thanh Toán ("&amp;AF$3&amp;")'!$F:$F"),INDIRECT("'Thanh Toán ("&amp;AF$3&amp;")'!$D:$D"),'Tổng Đơn'!$B23),0)</f>
        <v>0</v>
      </c>
      <c r="AG23" s="2">
        <f ca="1">IFERROR(SUMIFS(INDIRECT("'Thanh Toán ("&amp;AG$3&amp;")'!$F:$F"),INDIRECT("'Thanh Toán ("&amp;AG$3&amp;")'!$D:$D"),'Tổng Đơn'!$B23),0)</f>
        <v>0</v>
      </c>
      <c r="AH23" s="2">
        <f ca="1">IFERROR(SUMIFS(INDIRECT("'Thanh Toán ("&amp;AH$3&amp;")'!$F:$F"),INDIRECT("'Thanh Toán ("&amp;AH$3&amp;")'!$D:$D"),'Tổng Đơn'!$B23),0)</f>
        <v>0</v>
      </c>
      <c r="AI23" s="2">
        <f ca="1">IFERROR(SUMIFS(INDIRECT("'Thanh Toán ("&amp;AI$3&amp;")'!$F:$F"),INDIRECT("'Thanh Toán ("&amp;AI$3&amp;")'!$D:$D"),'Tổng Đơn'!$B23),0)</f>
        <v>0</v>
      </c>
      <c r="AJ23" s="2">
        <f ca="1">IFERROR(SUMIFS(INDIRECT("'Thanh Toán ("&amp;AJ$3&amp;")'!$F:$F"),INDIRECT("'Thanh Toán ("&amp;AJ$3&amp;")'!$D:$D"),'Tổng Đơn'!$B23),0)</f>
        <v>0</v>
      </c>
      <c r="AK23" s="2">
        <f ca="1">IFERROR(SUMIFS(INDIRECT("'Thanh Toán ("&amp;AK$3&amp;")'!$F:$F"),INDIRECT("'Thanh Toán ("&amp;AK$3&amp;")'!$D:$D"),'Tổng Đơn'!$B23),0)</f>
        <v>0</v>
      </c>
      <c r="AL23" s="2">
        <f ca="1">IFERROR(SUMIFS(INDIRECT("'Thanh Toán ("&amp;AL$3&amp;")'!$F:$F"),INDIRECT("'Thanh Toán ("&amp;AL$3&amp;")'!$D:$D"),'Tổng Đơn'!$B23),0)</f>
        <v>0</v>
      </c>
      <c r="AM23" s="2">
        <f ca="1">IFERROR(SUMIFS(INDIRECT("'Thanh Toán ("&amp;AM$3&amp;")'!$F:$F"),INDIRECT("'Thanh Toán ("&amp;AM$3&amp;")'!$D:$D"),'Tổng Đơn'!$B23),0)</f>
        <v>0</v>
      </c>
      <c r="AN23" s="2">
        <f ca="1">IFERROR(SUMIFS(INDIRECT("'Thanh Toán ("&amp;AN$3&amp;")'!$F:$F"),INDIRECT("'Thanh Toán ("&amp;AN$3&amp;")'!$D:$D"),'Tổng Đơn'!$B23),0)</f>
        <v>0</v>
      </c>
      <c r="AO23" s="2">
        <f ca="1">IFERROR(SUMIFS(INDIRECT("'Thanh Toán ("&amp;AO$3&amp;")'!$F:$F"),INDIRECT("'Thanh Toán ("&amp;AO$3&amp;")'!$D:$D"),'Tổng Đơn'!$B23),0)</f>
        <v>0</v>
      </c>
      <c r="AP23" s="2">
        <f ca="1">IFERROR(SUMIFS(INDIRECT("'Thanh Toán ("&amp;AP$3&amp;")'!$F:$F"),INDIRECT("'Thanh Toán ("&amp;AP$3&amp;")'!$D:$D"),'Tổng Đơn'!$B23),0)</f>
        <v>0</v>
      </c>
      <c r="AQ23" s="2">
        <f ca="1">IFERROR(SUMIFS(INDIRECT("'Thanh Toán ("&amp;AQ$3&amp;")'!$F:$F"),INDIRECT("'Thanh Toán ("&amp;AQ$3&amp;")'!$D:$D"),'Tổng Đơn'!$B23),0)</f>
        <v>0</v>
      </c>
      <c r="AR23" s="2">
        <f ca="1">IFERROR(SUMIFS(INDIRECT("'Thanh Toán ("&amp;AR$3&amp;")'!$F:$F"),INDIRECT("'Thanh Toán ("&amp;AR$3&amp;")'!$D:$D"),'Tổng Đơn'!$B23),0)</f>
        <v>0</v>
      </c>
      <c r="AS23" s="2">
        <f ca="1">IFERROR(SUMIFS(INDIRECT("'Thanh Toán ("&amp;AS$3&amp;")'!$F:$F"),INDIRECT("'Thanh Toán ("&amp;AS$3&amp;")'!$D:$D"),'Tổng Đơn'!$B23),0)</f>
        <v>0</v>
      </c>
      <c r="AT23" s="2">
        <f ca="1">IFERROR(SUMIFS(INDIRECT("'Thanh Toán ("&amp;AT$3&amp;")'!$F:$F"),INDIRECT("'Thanh Toán ("&amp;AT$3&amp;")'!$D:$D"),'Tổng Đơn'!$B23),0)</f>
        <v>0</v>
      </c>
      <c r="AU23" s="2">
        <f ca="1">IFERROR(SUMIFS(INDIRECT("'Thanh Toán ("&amp;AU$3&amp;")'!$F:$F"),INDIRECT("'Thanh Toán ("&amp;AU$3&amp;")'!$D:$D"),'Tổng Đơn'!$B23),0)</f>
        <v>0</v>
      </c>
      <c r="AV23" s="2">
        <f ca="1">IFERROR(SUMIFS(INDIRECT("'Thanh Toán ("&amp;AV$3&amp;")'!$F:$F"),INDIRECT("'Thanh Toán ("&amp;AV$3&amp;")'!$D:$D"),'Tổng Đơn'!$B23),0)</f>
        <v>0</v>
      </c>
      <c r="AW23" s="2">
        <f ca="1">IFERROR(SUMIFS(INDIRECT("'Thanh Toán ("&amp;AW$3&amp;")'!$F:$F"),INDIRECT("'Thanh Toán ("&amp;AW$3&amp;")'!$D:$D"),'Tổng Đơn'!$B23),0)</f>
        <v>0</v>
      </c>
      <c r="AX23" s="2">
        <f ca="1">IFERROR(SUMIFS(INDIRECT("'Thanh Toán ("&amp;AX$3&amp;")'!$F:$F"),INDIRECT("'Thanh Toán ("&amp;AX$3&amp;")'!$D:$D"),'Tổng Đơn'!$B23),0)</f>
        <v>0</v>
      </c>
      <c r="AY23" s="2">
        <f ca="1">IFERROR(SUMIFS(INDIRECT("'Thanh Toán ("&amp;AY$3&amp;")'!$F:$F"),INDIRECT("'Thanh Toán ("&amp;AY$3&amp;")'!$D:$D"),'Tổng Đơn'!$B23),0)</f>
        <v>0</v>
      </c>
      <c r="AZ23" s="2">
        <f ca="1">IFERROR(SUMIFS(INDIRECT("'Thanh Toán ("&amp;AZ$3&amp;")'!$F:$F"),INDIRECT("'Thanh Toán ("&amp;AZ$3&amp;")'!$D:$D"),'Tổng Đơn'!$B23),0)</f>
        <v>0</v>
      </c>
      <c r="BA23" s="2">
        <f ca="1">IFERROR(SUMIFS(INDIRECT("'Thanh Toán ("&amp;BA$3&amp;")'!$F:$F"),INDIRECT("'Thanh Toán ("&amp;BA$3&amp;")'!$D:$D"),'Tổng Đơn'!$B23),0)</f>
        <v>0</v>
      </c>
      <c r="BB23" s="2">
        <f ca="1">IFERROR(SUMIFS(INDIRECT("'Thanh Toán ("&amp;BB$3&amp;")'!$F:$F"),INDIRECT("'Thanh Toán ("&amp;BB$3&amp;")'!$D:$D"),'Tổng Đơn'!$B23),0)</f>
        <v>0</v>
      </c>
      <c r="BC23" s="2">
        <f ca="1">IFERROR(SUMIFS(INDIRECT("'Thanh Toán ("&amp;BC$3&amp;")'!$F:$F"),INDIRECT("'Thanh Toán ("&amp;BC$3&amp;")'!$D:$D"),'Tổng Đơn'!$B23),0)</f>
        <v>0</v>
      </c>
    </row>
    <row r="24" spans="1:55" ht="18" customHeight="1" x14ac:dyDescent="0.25">
      <c r="A24" s="174">
        <v>14</v>
      </c>
      <c r="B24" s="168" t="s">
        <v>29</v>
      </c>
      <c r="C24" s="174" t="s">
        <v>60</v>
      </c>
      <c r="D24" s="169">
        <f>VLOOKUP($C24,Sheet1!$C$8:$D$98,2,0)</f>
        <v>45000</v>
      </c>
      <c r="E24" s="170">
        <v>0.5</v>
      </c>
      <c r="F24" s="171">
        <f t="shared" ca="1" si="2"/>
        <v>0</v>
      </c>
      <c r="G24" s="172">
        <f>IFERROR(VLOOKUP($B24,Gà!C:J,8,0),IFERROR(VLOOKUP($B24,TVP!C:J,7,0),IFERROR(VLOOKUP($B24,Kitkool!C:J,8,0),IFERROR(VLOOKUP($B24,'La Cusina'!C:J,8,0),VLOOKUP($B24,'Quốc Nhân'!C:J,8,0)))))</f>
        <v>40.905956068572358</v>
      </c>
      <c r="H24" s="173">
        <f t="shared" ca="1" si="10"/>
        <v>0</v>
      </c>
      <c r="I24" s="195">
        <f t="shared" si="11"/>
        <v>0.10008429883816006</v>
      </c>
      <c r="J24" s="173">
        <f t="shared" ca="1" si="12"/>
        <v>0</v>
      </c>
      <c r="K24" s="38"/>
      <c r="L24" s="2">
        <f ca="1">IFERROR(SUMIFS(INDIRECT("'Thanh Toán ("&amp;L$3&amp;")'!$F:$F"),INDIRECT("'Thanh Toán ("&amp;L$3&amp;")'!$D:$D"),'Tổng Đơn'!$B24),0)</f>
        <v>0</v>
      </c>
      <c r="M24" s="2">
        <f ca="1">IFERROR(SUMIFS(INDIRECT("'Thanh Toán ("&amp;M$3&amp;")'!$F:$F"),INDIRECT("'Thanh Toán ("&amp;M$3&amp;")'!$D:$D"),'Tổng Đơn'!$B24),0)</f>
        <v>0</v>
      </c>
      <c r="N24" s="2">
        <f ca="1">IFERROR(SUMIFS(INDIRECT("'Thanh Toán ("&amp;N$3&amp;")'!$F:$F"),INDIRECT("'Thanh Toán ("&amp;N$3&amp;")'!$D:$D"),'Tổng Đơn'!$B24),0)</f>
        <v>0</v>
      </c>
      <c r="O24" s="2">
        <f ca="1">IFERROR(SUMIFS(INDIRECT("'Thanh Toán ("&amp;O$3&amp;")'!$F:$F"),INDIRECT("'Thanh Toán ("&amp;O$3&amp;")'!$D:$D"),'Tổng Đơn'!$B24),0)</f>
        <v>0</v>
      </c>
      <c r="P24" s="2">
        <f ca="1">IFERROR(SUMIFS(INDIRECT("'Thanh Toán ("&amp;P$3&amp;")'!$F:$F"),INDIRECT("'Thanh Toán ("&amp;P$3&amp;")'!$D:$D"),'Tổng Đơn'!$B24),0)</f>
        <v>0</v>
      </c>
      <c r="Q24" s="2">
        <f ca="1">IFERROR(SUMIFS(INDIRECT("'Thanh Toán ("&amp;Q$3&amp;")'!$F:$F"),INDIRECT("'Thanh Toán ("&amp;Q$3&amp;")'!$D:$D"),'Tổng Đơn'!$B24),0)</f>
        <v>0</v>
      </c>
      <c r="R24" s="2">
        <f ca="1">IFERROR(SUMIFS(INDIRECT("'Thanh Toán ("&amp;R$3&amp;")'!$F:$F"),INDIRECT("'Thanh Toán ("&amp;R$3&amp;")'!$D:$D"),'Tổng Đơn'!$B24),0)</f>
        <v>0</v>
      </c>
      <c r="S24" s="2">
        <f ca="1">IFERROR(SUMIFS(INDIRECT("'Thanh Toán ("&amp;S$3&amp;")'!$F:$F"),INDIRECT("'Thanh Toán ("&amp;S$3&amp;")'!$D:$D"),'Tổng Đơn'!$B24),0)</f>
        <v>0</v>
      </c>
      <c r="T24" s="2">
        <f ca="1">IFERROR(SUMIFS(INDIRECT("'Thanh Toán ("&amp;T$3&amp;")'!$F:$F"),INDIRECT("'Thanh Toán ("&amp;T$3&amp;")'!$D:$D"),'Tổng Đơn'!$B24),0)</f>
        <v>0</v>
      </c>
      <c r="U24" s="2">
        <f ca="1">IFERROR(SUMIFS(INDIRECT("'Thanh Toán ("&amp;U$3&amp;")'!$F:$F"),INDIRECT("'Thanh Toán ("&amp;U$3&amp;")'!$D:$D"),'Tổng Đơn'!$B24),0)</f>
        <v>0</v>
      </c>
      <c r="V24" s="2">
        <f ca="1">IFERROR(SUMIFS(INDIRECT("'Thanh Toán ("&amp;V$3&amp;")'!$F:$F"),INDIRECT("'Thanh Toán ("&amp;V$3&amp;")'!$D:$D"),'Tổng Đơn'!$B24),0)</f>
        <v>0</v>
      </c>
      <c r="W24" s="2">
        <f ca="1">IFERROR(SUMIFS(INDIRECT("'Thanh Toán ("&amp;W$3&amp;")'!$F:$F"),INDIRECT("'Thanh Toán ("&amp;W$3&amp;")'!$D:$D"),'Tổng Đơn'!$B24),0)</f>
        <v>0</v>
      </c>
      <c r="X24" s="2">
        <f ca="1">IFERROR(SUMIFS(INDIRECT("'Thanh Toán ("&amp;X$3&amp;")'!$F:$F"),INDIRECT("'Thanh Toán ("&amp;X$3&amp;")'!$D:$D"),'Tổng Đơn'!$B24),0)</f>
        <v>0</v>
      </c>
      <c r="Y24" s="2">
        <f ca="1">IFERROR(SUMIFS(INDIRECT("'Thanh Toán ("&amp;Y$3&amp;")'!$F:$F"),INDIRECT("'Thanh Toán ("&amp;Y$3&amp;")'!$D:$D"),'Tổng Đơn'!$B24),0)</f>
        <v>0</v>
      </c>
      <c r="Z24" s="2">
        <f ca="1">IFERROR(SUMIFS(INDIRECT("'Thanh Toán ("&amp;Z$3&amp;")'!$F:$F"),INDIRECT("'Thanh Toán ("&amp;Z$3&amp;")'!$D:$D"),'Tổng Đơn'!$B24),0)</f>
        <v>0</v>
      </c>
      <c r="AA24" s="2">
        <f ca="1">IFERROR(SUMIFS(INDIRECT("'Thanh Toán ("&amp;AA$3&amp;")'!$F:$F"),INDIRECT("'Thanh Toán ("&amp;AA$3&amp;")'!$D:$D"),'Tổng Đơn'!$B24),0)</f>
        <v>0</v>
      </c>
      <c r="AB24" s="2">
        <f ca="1">IFERROR(SUMIFS(INDIRECT("'Thanh Toán ("&amp;AB$3&amp;")'!$F:$F"),INDIRECT("'Thanh Toán ("&amp;AB$3&amp;")'!$D:$D"),'Tổng Đơn'!$B24),0)</f>
        <v>0</v>
      </c>
      <c r="AC24" s="2">
        <f ca="1">IFERROR(SUMIFS(INDIRECT("'Thanh Toán ("&amp;AC$3&amp;")'!$F:$F"),INDIRECT("'Thanh Toán ("&amp;AC$3&amp;")'!$D:$D"),'Tổng Đơn'!$B24),0)</f>
        <v>0</v>
      </c>
      <c r="AD24" s="2">
        <f ca="1">IFERROR(SUMIFS(INDIRECT("'Thanh Toán ("&amp;AD$3&amp;")'!$F:$F"),INDIRECT("'Thanh Toán ("&amp;AD$3&amp;")'!$D:$D"),'Tổng Đơn'!$B24),0)</f>
        <v>0</v>
      </c>
      <c r="AE24" s="2">
        <f ca="1">IFERROR(SUMIFS(INDIRECT("'Thanh Toán ("&amp;AE$3&amp;")'!$F:$F"),INDIRECT("'Thanh Toán ("&amp;AE$3&amp;")'!$D:$D"),'Tổng Đơn'!$B24),0)</f>
        <v>0</v>
      </c>
      <c r="AF24" s="2">
        <f ca="1">IFERROR(SUMIFS(INDIRECT("'Thanh Toán ("&amp;AF$3&amp;")'!$F:$F"),INDIRECT("'Thanh Toán ("&amp;AF$3&amp;")'!$D:$D"),'Tổng Đơn'!$B24),0)</f>
        <v>0</v>
      </c>
      <c r="AG24" s="2">
        <f ca="1">IFERROR(SUMIFS(INDIRECT("'Thanh Toán ("&amp;AG$3&amp;")'!$F:$F"),INDIRECT("'Thanh Toán ("&amp;AG$3&amp;")'!$D:$D"),'Tổng Đơn'!$B24),0)</f>
        <v>0</v>
      </c>
      <c r="AH24" s="2">
        <f ca="1">IFERROR(SUMIFS(INDIRECT("'Thanh Toán ("&amp;AH$3&amp;")'!$F:$F"),INDIRECT("'Thanh Toán ("&amp;AH$3&amp;")'!$D:$D"),'Tổng Đơn'!$B24),0)</f>
        <v>0</v>
      </c>
      <c r="AI24" s="2">
        <f ca="1">IFERROR(SUMIFS(INDIRECT("'Thanh Toán ("&amp;AI$3&amp;")'!$F:$F"),INDIRECT("'Thanh Toán ("&amp;AI$3&amp;")'!$D:$D"),'Tổng Đơn'!$B24),0)</f>
        <v>0</v>
      </c>
      <c r="AJ24" s="2">
        <f ca="1">IFERROR(SUMIFS(INDIRECT("'Thanh Toán ("&amp;AJ$3&amp;")'!$F:$F"),INDIRECT("'Thanh Toán ("&amp;AJ$3&amp;")'!$D:$D"),'Tổng Đơn'!$B24),0)</f>
        <v>0</v>
      </c>
      <c r="AK24" s="2">
        <f ca="1">IFERROR(SUMIFS(INDIRECT("'Thanh Toán ("&amp;AK$3&amp;")'!$F:$F"),INDIRECT("'Thanh Toán ("&amp;AK$3&amp;")'!$D:$D"),'Tổng Đơn'!$B24),0)</f>
        <v>0</v>
      </c>
      <c r="AL24" s="2">
        <f ca="1">IFERROR(SUMIFS(INDIRECT("'Thanh Toán ("&amp;AL$3&amp;")'!$F:$F"),INDIRECT("'Thanh Toán ("&amp;AL$3&amp;")'!$D:$D"),'Tổng Đơn'!$B24),0)</f>
        <v>0</v>
      </c>
      <c r="AM24" s="2">
        <f ca="1">IFERROR(SUMIFS(INDIRECT("'Thanh Toán ("&amp;AM$3&amp;")'!$F:$F"),INDIRECT("'Thanh Toán ("&amp;AM$3&amp;")'!$D:$D"),'Tổng Đơn'!$B24),0)</f>
        <v>0</v>
      </c>
      <c r="AN24" s="2">
        <f ca="1">IFERROR(SUMIFS(INDIRECT("'Thanh Toán ("&amp;AN$3&amp;")'!$F:$F"),INDIRECT("'Thanh Toán ("&amp;AN$3&amp;")'!$D:$D"),'Tổng Đơn'!$B24),0)</f>
        <v>0</v>
      </c>
      <c r="AO24" s="2">
        <f ca="1">IFERROR(SUMIFS(INDIRECT("'Thanh Toán ("&amp;AO$3&amp;")'!$F:$F"),INDIRECT("'Thanh Toán ("&amp;AO$3&amp;")'!$D:$D"),'Tổng Đơn'!$B24),0)</f>
        <v>0</v>
      </c>
      <c r="AP24" s="2">
        <f ca="1">IFERROR(SUMIFS(INDIRECT("'Thanh Toán ("&amp;AP$3&amp;")'!$F:$F"),INDIRECT("'Thanh Toán ("&amp;AP$3&amp;")'!$D:$D"),'Tổng Đơn'!$B24),0)</f>
        <v>0</v>
      </c>
      <c r="AQ24" s="2">
        <f ca="1">IFERROR(SUMIFS(INDIRECT("'Thanh Toán ("&amp;AQ$3&amp;")'!$F:$F"),INDIRECT("'Thanh Toán ("&amp;AQ$3&amp;")'!$D:$D"),'Tổng Đơn'!$B24),0)</f>
        <v>0</v>
      </c>
      <c r="AR24" s="2">
        <f ca="1">IFERROR(SUMIFS(INDIRECT("'Thanh Toán ("&amp;AR$3&amp;")'!$F:$F"),INDIRECT("'Thanh Toán ("&amp;AR$3&amp;")'!$D:$D"),'Tổng Đơn'!$B24),0)</f>
        <v>0</v>
      </c>
      <c r="AS24" s="2">
        <f ca="1">IFERROR(SUMIFS(INDIRECT("'Thanh Toán ("&amp;AS$3&amp;")'!$F:$F"),INDIRECT("'Thanh Toán ("&amp;AS$3&amp;")'!$D:$D"),'Tổng Đơn'!$B24),0)</f>
        <v>0</v>
      </c>
      <c r="AT24" s="2">
        <f ca="1">IFERROR(SUMIFS(INDIRECT("'Thanh Toán ("&amp;AT$3&amp;")'!$F:$F"),INDIRECT("'Thanh Toán ("&amp;AT$3&amp;")'!$D:$D"),'Tổng Đơn'!$B24),0)</f>
        <v>0</v>
      </c>
      <c r="AU24" s="2">
        <f ca="1">IFERROR(SUMIFS(INDIRECT("'Thanh Toán ("&amp;AU$3&amp;")'!$F:$F"),INDIRECT("'Thanh Toán ("&amp;AU$3&amp;")'!$D:$D"),'Tổng Đơn'!$B24),0)</f>
        <v>0</v>
      </c>
      <c r="AV24" s="2">
        <f ca="1">IFERROR(SUMIFS(INDIRECT("'Thanh Toán ("&amp;AV$3&amp;")'!$F:$F"),INDIRECT("'Thanh Toán ("&amp;AV$3&amp;")'!$D:$D"),'Tổng Đơn'!$B24),0)</f>
        <v>0</v>
      </c>
      <c r="AW24" s="2">
        <f ca="1">IFERROR(SUMIFS(INDIRECT("'Thanh Toán ("&amp;AW$3&amp;")'!$F:$F"),INDIRECT("'Thanh Toán ("&amp;AW$3&amp;")'!$D:$D"),'Tổng Đơn'!$B24),0)</f>
        <v>0</v>
      </c>
      <c r="AX24" s="2">
        <f ca="1">IFERROR(SUMIFS(INDIRECT("'Thanh Toán ("&amp;AX$3&amp;")'!$F:$F"),INDIRECT("'Thanh Toán ("&amp;AX$3&amp;")'!$D:$D"),'Tổng Đơn'!$B24),0)</f>
        <v>0</v>
      </c>
      <c r="AY24" s="2">
        <f ca="1">IFERROR(SUMIFS(INDIRECT("'Thanh Toán ("&amp;AY$3&amp;")'!$F:$F"),INDIRECT("'Thanh Toán ("&amp;AY$3&amp;")'!$D:$D"),'Tổng Đơn'!$B24),0)</f>
        <v>0</v>
      </c>
      <c r="AZ24" s="2">
        <f ca="1">IFERROR(SUMIFS(INDIRECT("'Thanh Toán ("&amp;AZ$3&amp;")'!$F:$F"),INDIRECT("'Thanh Toán ("&amp;AZ$3&amp;")'!$D:$D"),'Tổng Đơn'!$B24),0)</f>
        <v>0</v>
      </c>
      <c r="BA24" s="2">
        <f ca="1">IFERROR(SUMIFS(INDIRECT("'Thanh Toán ("&amp;BA$3&amp;")'!$F:$F"),INDIRECT("'Thanh Toán ("&amp;BA$3&amp;")'!$D:$D"),'Tổng Đơn'!$B24),0)</f>
        <v>0</v>
      </c>
      <c r="BB24" s="2">
        <f ca="1">IFERROR(SUMIFS(INDIRECT("'Thanh Toán ("&amp;BB$3&amp;")'!$F:$F"),INDIRECT("'Thanh Toán ("&amp;BB$3&amp;")'!$D:$D"),'Tổng Đơn'!$B24),0)</f>
        <v>0</v>
      </c>
      <c r="BC24" s="2">
        <f ca="1">IFERROR(SUMIFS(INDIRECT("'Thanh Toán ("&amp;BC$3&amp;")'!$F:$F"),INDIRECT("'Thanh Toán ("&amp;BC$3&amp;")'!$D:$D"),'Tổng Đơn'!$B24),0)</f>
        <v>0</v>
      </c>
    </row>
    <row r="25" spans="1:55" ht="18" customHeight="1" x14ac:dyDescent="0.25">
      <c r="A25" s="167">
        <v>15</v>
      </c>
      <c r="B25" s="168" t="s">
        <v>5</v>
      </c>
      <c r="C25" s="167" t="s">
        <v>61</v>
      </c>
      <c r="D25" s="169">
        <f>VLOOKUP($C25,Sheet1!$C$8:$D$98,2,0)</f>
        <v>40000</v>
      </c>
      <c r="E25" s="170">
        <v>0.5</v>
      </c>
      <c r="F25" s="171">
        <f t="shared" ca="1" si="2"/>
        <v>1</v>
      </c>
      <c r="G25" s="172">
        <f>IFERROR(VLOOKUP($B25,Gà!C:J,8,0),IFERROR(VLOOKUP($B25,TVP!C:J,7,0),IFERROR(VLOOKUP($B25,Kitkool!C:J,8,0),IFERROR(VLOOKUP($B25,'La Cusina'!C:J,8,0),VLOOKUP($B25,'Quốc Nhân'!C:J,8,0)))))</f>
        <v>34.915813585204454</v>
      </c>
      <c r="H25" s="173">
        <f t="shared" ca="1" si="10"/>
        <v>5084.1864147955494</v>
      </c>
      <c r="I25" s="195">
        <f t="shared" si="11"/>
        <v>0.14561271506358286</v>
      </c>
      <c r="J25" s="173">
        <f t="shared" ca="1" si="12"/>
        <v>34915.813585204451</v>
      </c>
      <c r="K25" s="38"/>
      <c r="L25" s="2">
        <f ca="1">IFERROR(SUMIFS(INDIRECT("'Thanh Toán ("&amp;L$3&amp;")'!$F:$F"),INDIRECT("'Thanh Toán ("&amp;L$3&amp;")'!$D:$D"),'Tổng Đơn'!$B25),0)</f>
        <v>1</v>
      </c>
      <c r="M25" s="2">
        <f ca="1">IFERROR(SUMIFS(INDIRECT("'Thanh Toán ("&amp;M$3&amp;")'!$F:$F"),INDIRECT("'Thanh Toán ("&amp;M$3&amp;")'!$D:$D"),'Tổng Đơn'!$B25),0)</f>
        <v>0</v>
      </c>
      <c r="N25" s="2">
        <f ca="1">IFERROR(SUMIFS(INDIRECT("'Thanh Toán ("&amp;N$3&amp;")'!$F:$F"),INDIRECT("'Thanh Toán ("&amp;N$3&amp;")'!$D:$D"),'Tổng Đơn'!$B25),0)</f>
        <v>0</v>
      </c>
      <c r="O25" s="2">
        <f ca="1">IFERROR(SUMIFS(INDIRECT("'Thanh Toán ("&amp;O$3&amp;")'!$F:$F"),INDIRECT("'Thanh Toán ("&amp;O$3&amp;")'!$D:$D"),'Tổng Đơn'!$B25),0)</f>
        <v>0</v>
      </c>
      <c r="P25" s="2">
        <f ca="1">IFERROR(SUMIFS(INDIRECT("'Thanh Toán ("&amp;P$3&amp;")'!$F:$F"),INDIRECT("'Thanh Toán ("&amp;P$3&amp;")'!$D:$D"),'Tổng Đơn'!$B25),0)</f>
        <v>0</v>
      </c>
      <c r="Q25" s="2">
        <f ca="1">IFERROR(SUMIFS(INDIRECT("'Thanh Toán ("&amp;Q$3&amp;")'!$F:$F"),INDIRECT("'Thanh Toán ("&amp;Q$3&amp;")'!$D:$D"),'Tổng Đơn'!$B25),0)</f>
        <v>0</v>
      </c>
      <c r="R25" s="2">
        <f ca="1">IFERROR(SUMIFS(INDIRECT("'Thanh Toán ("&amp;R$3&amp;")'!$F:$F"),INDIRECT("'Thanh Toán ("&amp;R$3&amp;")'!$D:$D"),'Tổng Đơn'!$B25),0)</f>
        <v>0</v>
      </c>
      <c r="S25" s="2">
        <f ca="1">IFERROR(SUMIFS(INDIRECT("'Thanh Toán ("&amp;S$3&amp;")'!$F:$F"),INDIRECT("'Thanh Toán ("&amp;S$3&amp;")'!$D:$D"),'Tổng Đơn'!$B25),0)</f>
        <v>0</v>
      </c>
      <c r="T25" s="2">
        <f ca="1">IFERROR(SUMIFS(INDIRECT("'Thanh Toán ("&amp;T$3&amp;")'!$F:$F"),INDIRECT("'Thanh Toán ("&amp;T$3&amp;")'!$D:$D"),'Tổng Đơn'!$B25),0)</f>
        <v>0</v>
      </c>
      <c r="U25" s="2">
        <f ca="1">IFERROR(SUMIFS(INDIRECT("'Thanh Toán ("&amp;U$3&amp;")'!$F:$F"),INDIRECT("'Thanh Toán ("&amp;U$3&amp;")'!$D:$D"),'Tổng Đơn'!$B25),0)</f>
        <v>0</v>
      </c>
      <c r="V25" s="2">
        <f ca="1">IFERROR(SUMIFS(INDIRECT("'Thanh Toán ("&amp;V$3&amp;")'!$F:$F"),INDIRECT("'Thanh Toán ("&amp;V$3&amp;")'!$D:$D"),'Tổng Đơn'!$B25),0)</f>
        <v>0</v>
      </c>
      <c r="W25" s="2">
        <f ca="1">IFERROR(SUMIFS(INDIRECT("'Thanh Toán ("&amp;W$3&amp;")'!$F:$F"),INDIRECT("'Thanh Toán ("&amp;W$3&amp;")'!$D:$D"),'Tổng Đơn'!$B25),0)</f>
        <v>0</v>
      </c>
      <c r="X25" s="2">
        <f ca="1">IFERROR(SUMIFS(INDIRECT("'Thanh Toán ("&amp;X$3&amp;")'!$F:$F"),INDIRECT("'Thanh Toán ("&amp;X$3&amp;")'!$D:$D"),'Tổng Đơn'!$B25),0)</f>
        <v>0</v>
      </c>
      <c r="Y25" s="2">
        <f ca="1">IFERROR(SUMIFS(INDIRECT("'Thanh Toán ("&amp;Y$3&amp;")'!$F:$F"),INDIRECT("'Thanh Toán ("&amp;Y$3&amp;")'!$D:$D"),'Tổng Đơn'!$B25),0)</f>
        <v>0</v>
      </c>
      <c r="Z25" s="2">
        <f ca="1">IFERROR(SUMIFS(INDIRECT("'Thanh Toán ("&amp;Z$3&amp;")'!$F:$F"),INDIRECT("'Thanh Toán ("&amp;Z$3&amp;")'!$D:$D"),'Tổng Đơn'!$B25),0)</f>
        <v>0</v>
      </c>
      <c r="AA25" s="2">
        <f ca="1">IFERROR(SUMIFS(INDIRECT("'Thanh Toán ("&amp;AA$3&amp;")'!$F:$F"),INDIRECT("'Thanh Toán ("&amp;AA$3&amp;")'!$D:$D"),'Tổng Đơn'!$B25),0)</f>
        <v>0</v>
      </c>
      <c r="AB25" s="2">
        <f ca="1">IFERROR(SUMIFS(INDIRECT("'Thanh Toán ("&amp;AB$3&amp;")'!$F:$F"),INDIRECT("'Thanh Toán ("&amp;AB$3&amp;")'!$D:$D"),'Tổng Đơn'!$B25),0)</f>
        <v>0</v>
      </c>
      <c r="AC25" s="2">
        <f ca="1">IFERROR(SUMIFS(INDIRECT("'Thanh Toán ("&amp;AC$3&amp;")'!$F:$F"),INDIRECT("'Thanh Toán ("&amp;AC$3&amp;")'!$D:$D"),'Tổng Đơn'!$B25),0)</f>
        <v>0</v>
      </c>
      <c r="AD25" s="2">
        <f ca="1">IFERROR(SUMIFS(INDIRECT("'Thanh Toán ("&amp;AD$3&amp;")'!$F:$F"),INDIRECT("'Thanh Toán ("&amp;AD$3&amp;")'!$D:$D"),'Tổng Đơn'!$B25),0)</f>
        <v>0</v>
      </c>
      <c r="AE25" s="2">
        <f ca="1">IFERROR(SUMIFS(INDIRECT("'Thanh Toán ("&amp;AE$3&amp;")'!$F:$F"),INDIRECT("'Thanh Toán ("&amp;AE$3&amp;")'!$D:$D"),'Tổng Đơn'!$B25),0)</f>
        <v>0</v>
      </c>
      <c r="AF25" s="2">
        <f ca="1">IFERROR(SUMIFS(INDIRECT("'Thanh Toán ("&amp;AF$3&amp;")'!$F:$F"),INDIRECT("'Thanh Toán ("&amp;AF$3&amp;")'!$D:$D"),'Tổng Đơn'!$B25),0)</f>
        <v>0</v>
      </c>
      <c r="AG25" s="2">
        <f ca="1">IFERROR(SUMIFS(INDIRECT("'Thanh Toán ("&amp;AG$3&amp;")'!$F:$F"),INDIRECT("'Thanh Toán ("&amp;AG$3&amp;")'!$D:$D"),'Tổng Đơn'!$B25),0)</f>
        <v>0</v>
      </c>
      <c r="AH25" s="2">
        <f ca="1">IFERROR(SUMIFS(INDIRECT("'Thanh Toán ("&amp;AH$3&amp;")'!$F:$F"),INDIRECT("'Thanh Toán ("&amp;AH$3&amp;")'!$D:$D"),'Tổng Đơn'!$B25),0)</f>
        <v>0</v>
      </c>
      <c r="AI25" s="2">
        <f ca="1">IFERROR(SUMIFS(INDIRECT("'Thanh Toán ("&amp;AI$3&amp;")'!$F:$F"),INDIRECT("'Thanh Toán ("&amp;AI$3&amp;")'!$D:$D"),'Tổng Đơn'!$B25),0)</f>
        <v>0</v>
      </c>
      <c r="AJ25" s="2">
        <f ca="1">IFERROR(SUMIFS(INDIRECT("'Thanh Toán ("&amp;AJ$3&amp;")'!$F:$F"),INDIRECT("'Thanh Toán ("&amp;AJ$3&amp;")'!$D:$D"),'Tổng Đơn'!$B25),0)</f>
        <v>0</v>
      </c>
      <c r="AK25" s="2">
        <f ca="1">IFERROR(SUMIFS(INDIRECT("'Thanh Toán ("&amp;AK$3&amp;")'!$F:$F"),INDIRECT("'Thanh Toán ("&amp;AK$3&amp;")'!$D:$D"),'Tổng Đơn'!$B25),0)</f>
        <v>0</v>
      </c>
      <c r="AL25" s="2">
        <f ca="1">IFERROR(SUMIFS(INDIRECT("'Thanh Toán ("&amp;AL$3&amp;")'!$F:$F"),INDIRECT("'Thanh Toán ("&amp;AL$3&amp;")'!$D:$D"),'Tổng Đơn'!$B25),0)</f>
        <v>0</v>
      </c>
      <c r="AM25" s="2">
        <f ca="1">IFERROR(SUMIFS(INDIRECT("'Thanh Toán ("&amp;AM$3&amp;")'!$F:$F"),INDIRECT("'Thanh Toán ("&amp;AM$3&amp;")'!$D:$D"),'Tổng Đơn'!$B25),0)</f>
        <v>0</v>
      </c>
      <c r="AN25" s="2">
        <f ca="1">IFERROR(SUMIFS(INDIRECT("'Thanh Toán ("&amp;AN$3&amp;")'!$F:$F"),INDIRECT("'Thanh Toán ("&amp;AN$3&amp;")'!$D:$D"),'Tổng Đơn'!$B25),0)</f>
        <v>0</v>
      </c>
      <c r="AO25" s="2">
        <f ca="1">IFERROR(SUMIFS(INDIRECT("'Thanh Toán ("&amp;AO$3&amp;")'!$F:$F"),INDIRECT("'Thanh Toán ("&amp;AO$3&amp;")'!$D:$D"),'Tổng Đơn'!$B25),0)</f>
        <v>0</v>
      </c>
      <c r="AP25" s="2">
        <f ca="1">IFERROR(SUMIFS(INDIRECT("'Thanh Toán ("&amp;AP$3&amp;")'!$F:$F"),INDIRECT("'Thanh Toán ("&amp;AP$3&amp;")'!$D:$D"),'Tổng Đơn'!$B25),0)</f>
        <v>0</v>
      </c>
      <c r="AQ25" s="2">
        <f ca="1">IFERROR(SUMIFS(INDIRECT("'Thanh Toán ("&amp;AQ$3&amp;")'!$F:$F"),INDIRECT("'Thanh Toán ("&amp;AQ$3&amp;")'!$D:$D"),'Tổng Đơn'!$B25),0)</f>
        <v>0</v>
      </c>
      <c r="AR25" s="2">
        <f ca="1">IFERROR(SUMIFS(INDIRECT("'Thanh Toán ("&amp;AR$3&amp;")'!$F:$F"),INDIRECT("'Thanh Toán ("&amp;AR$3&amp;")'!$D:$D"),'Tổng Đơn'!$B25),0)</f>
        <v>0</v>
      </c>
      <c r="AS25" s="2">
        <f ca="1">IFERROR(SUMIFS(INDIRECT("'Thanh Toán ("&amp;AS$3&amp;")'!$F:$F"),INDIRECT("'Thanh Toán ("&amp;AS$3&amp;")'!$D:$D"),'Tổng Đơn'!$B25),0)</f>
        <v>0</v>
      </c>
      <c r="AT25" s="2">
        <f ca="1">IFERROR(SUMIFS(INDIRECT("'Thanh Toán ("&amp;AT$3&amp;")'!$F:$F"),INDIRECT("'Thanh Toán ("&amp;AT$3&amp;")'!$D:$D"),'Tổng Đơn'!$B25),0)</f>
        <v>0</v>
      </c>
      <c r="AU25" s="2">
        <f ca="1">IFERROR(SUMIFS(INDIRECT("'Thanh Toán ("&amp;AU$3&amp;")'!$F:$F"),INDIRECT("'Thanh Toán ("&amp;AU$3&amp;")'!$D:$D"),'Tổng Đơn'!$B25),0)</f>
        <v>0</v>
      </c>
      <c r="AV25" s="2">
        <f ca="1">IFERROR(SUMIFS(INDIRECT("'Thanh Toán ("&amp;AV$3&amp;")'!$F:$F"),INDIRECT("'Thanh Toán ("&amp;AV$3&amp;")'!$D:$D"),'Tổng Đơn'!$B25),0)</f>
        <v>0</v>
      </c>
      <c r="AW25" s="2">
        <f ca="1">IFERROR(SUMIFS(INDIRECT("'Thanh Toán ("&amp;AW$3&amp;")'!$F:$F"),INDIRECT("'Thanh Toán ("&amp;AW$3&amp;")'!$D:$D"),'Tổng Đơn'!$B25),0)</f>
        <v>0</v>
      </c>
      <c r="AX25" s="2">
        <f ca="1">IFERROR(SUMIFS(INDIRECT("'Thanh Toán ("&amp;AX$3&amp;")'!$F:$F"),INDIRECT("'Thanh Toán ("&amp;AX$3&amp;")'!$D:$D"),'Tổng Đơn'!$B25),0)</f>
        <v>0</v>
      </c>
      <c r="AY25" s="2">
        <f ca="1">IFERROR(SUMIFS(INDIRECT("'Thanh Toán ("&amp;AY$3&amp;")'!$F:$F"),INDIRECT("'Thanh Toán ("&amp;AY$3&amp;")'!$D:$D"),'Tổng Đơn'!$B25),0)</f>
        <v>0</v>
      </c>
      <c r="AZ25" s="2">
        <f ca="1">IFERROR(SUMIFS(INDIRECT("'Thanh Toán ("&amp;AZ$3&amp;")'!$F:$F"),INDIRECT("'Thanh Toán ("&amp;AZ$3&amp;")'!$D:$D"),'Tổng Đơn'!$B25),0)</f>
        <v>0</v>
      </c>
      <c r="BA25" s="2">
        <f ca="1">IFERROR(SUMIFS(INDIRECT("'Thanh Toán ("&amp;BA$3&amp;")'!$F:$F"),INDIRECT("'Thanh Toán ("&amp;BA$3&amp;")'!$D:$D"),'Tổng Đơn'!$B25),0)</f>
        <v>0</v>
      </c>
      <c r="BB25" s="2">
        <f ca="1">IFERROR(SUMIFS(INDIRECT("'Thanh Toán ("&amp;BB$3&amp;")'!$F:$F"),INDIRECT("'Thanh Toán ("&amp;BB$3&amp;")'!$D:$D"),'Tổng Đơn'!$B25),0)</f>
        <v>0</v>
      </c>
      <c r="BC25" s="2">
        <f ca="1">IFERROR(SUMIFS(INDIRECT("'Thanh Toán ("&amp;BC$3&amp;")'!$F:$F"),INDIRECT("'Thanh Toán ("&amp;BC$3&amp;")'!$D:$D"),'Tổng Đơn'!$B25),0)</f>
        <v>0</v>
      </c>
    </row>
    <row r="26" spans="1:55" ht="18" customHeight="1" x14ac:dyDescent="0.25">
      <c r="A26" s="167">
        <v>16</v>
      </c>
      <c r="B26" s="168" t="s">
        <v>4</v>
      </c>
      <c r="C26" s="174" t="s">
        <v>62</v>
      </c>
      <c r="D26" s="169">
        <f>VLOOKUP($C26,Sheet1!$C$8:$D$98,2,0)</f>
        <v>40000</v>
      </c>
      <c r="E26" s="170">
        <v>0.5</v>
      </c>
      <c r="F26" s="171">
        <f t="shared" ca="1" si="2"/>
        <v>1</v>
      </c>
      <c r="G26" s="172">
        <f>IFERROR(VLOOKUP($B26,Gà!C:J,8,0),IFERROR(VLOOKUP($B26,TVP!C:J,7,0),IFERROR(VLOOKUP($B26,Kitkool!C:J,8,0),IFERROR(VLOOKUP($B26,'La Cusina'!C:J,8,0),VLOOKUP($B26,'Quốc Nhân'!C:J,8,0)))))</f>
        <v>30.808070810474522</v>
      </c>
      <c r="H26" s="173">
        <f t="shared" ca="1" si="10"/>
        <v>9191.9291895254792</v>
      </c>
      <c r="I26" s="195">
        <f t="shared" si="11"/>
        <v>0.29836107707206039</v>
      </c>
      <c r="J26" s="173">
        <f t="shared" ca="1" si="12"/>
        <v>30808.070810474521</v>
      </c>
      <c r="K26" s="38"/>
      <c r="L26" s="2">
        <f ca="1">IFERROR(SUMIFS(INDIRECT("'Thanh Toán ("&amp;L$3&amp;")'!$F:$F"),INDIRECT("'Thanh Toán ("&amp;L$3&amp;")'!$D:$D"),'Tổng Đơn'!$B26),0)</f>
        <v>0</v>
      </c>
      <c r="M26" s="2">
        <f ca="1">IFERROR(SUMIFS(INDIRECT("'Thanh Toán ("&amp;M$3&amp;")'!$F:$F"),INDIRECT("'Thanh Toán ("&amp;M$3&amp;")'!$D:$D"),'Tổng Đơn'!$B26),0)</f>
        <v>1</v>
      </c>
      <c r="N26" s="2">
        <f ca="1">IFERROR(SUMIFS(INDIRECT("'Thanh Toán ("&amp;N$3&amp;")'!$F:$F"),INDIRECT("'Thanh Toán ("&amp;N$3&amp;")'!$D:$D"),'Tổng Đơn'!$B26),0)</f>
        <v>0</v>
      </c>
      <c r="O26" s="2">
        <f ca="1">IFERROR(SUMIFS(INDIRECT("'Thanh Toán ("&amp;O$3&amp;")'!$F:$F"),INDIRECT("'Thanh Toán ("&amp;O$3&amp;")'!$D:$D"),'Tổng Đơn'!$B26),0)</f>
        <v>0</v>
      </c>
      <c r="P26" s="2">
        <f ca="1">IFERROR(SUMIFS(INDIRECT("'Thanh Toán ("&amp;P$3&amp;")'!$F:$F"),INDIRECT("'Thanh Toán ("&amp;P$3&amp;")'!$D:$D"),'Tổng Đơn'!$B26),0)</f>
        <v>0</v>
      </c>
      <c r="Q26" s="2">
        <f ca="1">IFERROR(SUMIFS(INDIRECT("'Thanh Toán ("&amp;Q$3&amp;")'!$F:$F"),INDIRECT("'Thanh Toán ("&amp;Q$3&amp;")'!$D:$D"),'Tổng Đơn'!$B26),0)</f>
        <v>0</v>
      </c>
      <c r="R26" s="2">
        <f ca="1">IFERROR(SUMIFS(INDIRECT("'Thanh Toán ("&amp;R$3&amp;")'!$F:$F"),INDIRECT("'Thanh Toán ("&amp;R$3&amp;")'!$D:$D"),'Tổng Đơn'!$B26),0)</f>
        <v>0</v>
      </c>
      <c r="S26" s="2">
        <f ca="1">IFERROR(SUMIFS(INDIRECT("'Thanh Toán ("&amp;S$3&amp;")'!$F:$F"),INDIRECT("'Thanh Toán ("&amp;S$3&amp;")'!$D:$D"),'Tổng Đơn'!$B26),0)</f>
        <v>0</v>
      </c>
      <c r="T26" s="2">
        <f ca="1">IFERROR(SUMIFS(INDIRECT("'Thanh Toán ("&amp;T$3&amp;")'!$F:$F"),INDIRECT("'Thanh Toán ("&amp;T$3&amp;")'!$D:$D"),'Tổng Đơn'!$B26),0)</f>
        <v>0</v>
      </c>
      <c r="U26" s="2">
        <f ca="1">IFERROR(SUMIFS(INDIRECT("'Thanh Toán ("&amp;U$3&amp;")'!$F:$F"),INDIRECT("'Thanh Toán ("&amp;U$3&amp;")'!$D:$D"),'Tổng Đơn'!$B26),0)</f>
        <v>0</v>
      </c>
      <c r="V26" s="2">
        <f ca="1">IFERROR(SUMIFS(INDIRECT("'Thanh Toán ("&amp;V$3&amp;")'!$F:$F"),INDIRECT("'Thanh Toán ("&amp;V$3&amp;")'!$D:$D"),'Tổng Đơn'!$B26),0)</f>
        <v>0</v>
      </c>
      <c r="W26" s="2">
        <f ca="1">IFERROR(SUMIFS(INDIRECT("'Thanh Toán ("&amp;W$3&amp;")'!$F:$F"),INDIRECT("'Thanh Toán ("&amp;W$3&amp;")'!$D:$D"),'Tổng Đơn'!$B26),0)</f>
        <v>0</v>
      </c>
      <c r="X26" s="2">
        <f ca="1">IFERROR(SUMIFS(INDIRECT("'Thanh Toán ("&amp;X$3&amp;")'!$F:$F"),INDIRECT("'Thanh Toán ("&amp;X$3&amp;")'!$D:$D"),'Tổng Đơn'!$B26),0)</f>
        <v>0</v>
      </c>
      <c r="Y26" s="2">
        <f ca="1">IFERROR(SUMIFS(INDIRECT("'Thanh Toán ("&amp;Y$3&amp;")'!$F:$F"),INDIRECT("'Thanh Toán ("&amp;Y$3&amp;")'!$D:$D"),'Tổng Đơn'!$B26),0)</f>
        <v>0</v>
      </c>
      <c r="Z26" s="2">
        <f ca="1">IFERROR(SUMIFS(INDIRECT("'Thanh Toán ("&amp;Z$3&amp;")'!$F:$F"),INDIRECT("'Thanh Toán ("&amp;Z$3&amp;")'!$D:$D"),'Tổng Đơn'!$B26),0)</f>
        <v>0</v>
      </c>
      <c r="AA26" s="2">
        <f ca="1">IFERROR(SUMIFS(INDIRECT("'Thanh Toán ("&amp;AA$3&amp;")'!$F:$F"),INDIRECT("'Thanh Toán ("&amp;AA$3&amp;")'!$D:$D"),'Tổng Đơn'!$B26),0)</f>
        <v>0</v>
      </c>
      <c r="AB26" s="2">
        <f ca="1">IFERROR(SUMIFS(INDIRECT("'Thanh Toán ("&amp;AB$3&amp;")'!$F:$F"),INDIRECT("'Thanh Toán ("&amp;AB$3&amp;")'!$D:$D"),'Tổng Đơn'!$B26),0)</f>
        <v>0</v>
      </c>
      <c r="AC26" s="2">
        <f ca="1">IFERROR(SUMIFS(INDIRECT("'Thanh Toán ("&amp;AC$3&amp;")'!$F:$F"),INDIRECT("'Thanh Toán ("&amp;AC$3&amp;")'!$D:$D"),'Tổng Đơn'!$B26),0)</f>
        <v>0</v>
      </c>
      <c r="AD26" s="2">
        <f ca="1">IFERROR(SUMIFS(INDIRECT("'Thanh Toán ("&amp;AD$3&amp;")'!$F:$F"),INDIRECT("'Thanh Toán ("&amp;AD$3&amp;")'!$D:$D"),'Tổng Đơn'!$B26),0)</f>
        <v>0</v>
      </c>
      <c r="AE26" s="2">
        <f ca="1">IFERROR(SUMIFS(INDIRECT("'Thanh Toán ("&amp;AE$3&amp;")'!$F:$F"),INDIRECT("'Thanh Toán ("&amp;AE$3&amp;")'!$D:$D"),'Tổng Đơn'!$B26),0)</f>
        <v>0</v>
      </c>
      <c r="AF26" s="2">
        <f ca="1">IFERROR(SUMIFS(INDIRECT("'Thanh Toán ("&amp;AF$3&amp;")'!$F:$F"),INDIRECT("'Thanh Toán ("&amp;AF$3&amp;")'!$D:$D"),'Tổng Đơn'!$B26),0)</f>
        <v>0</v>
      </c>
      <c r="AG26" s="2">
        <f ca="1">IFERROR(SUMIFS(INDIRECT("'Thanh Toán ("&amp;AG$3&amp;")'!$F:$F"),INDIRECT("'Thanh Toán ("&amp;AG$3&amp;")'!$D:$D"),'Tổng Đơn'!$B26),0)</f>
        <v>0</v>
      </c>
      <c r="AH26" s="2">
        <f ca="1">IFERROR(SUMIFS(INDIRECT("'Thanh Toán ("&amp;AH$3&amp;")'!$F:$F"),INDIRECT("'Thanh Toán ("&amp;AH$3&amp;")'!$D:$D"),'Tổng Đơn'!$B26),0)</f>
        <v>0</v>
      </c>
      <c r="AI26" s="2">
        <f ca="1">IFERROR(SUMIFS(INDIRECT("'Thanh Toán ("&amp;AI$3&amp;")'!$F:$F"),INDIRECT("'Thanh Toán ("&amp;AI$3&amp;")'!$D:$D"),'Tổng Đơn'!$B26),0)</f>
        <v>0</v>
      </c>
      <c r="AJ26" s="2">
        <f ca="1">IFERROR(SUMIFS(INDIRECT("'Thanh Toán ("&amp;AJ$3&amp;")'!$F:$F"),INDIRECT("'Thanh Toán ("&amp;AJ$3&amp;")'!$D:$D"),'Tổng Đơn'!$B26),0)</f>
        <v>0</v>
      </c>
      <c r="AK26" s="2">
        <f ca="1">IFERROR(SUMIFS(INDIRECT("'Thanh Toán ("&amp;AK$3&amp;")'!$F:$F"),INDIRECT("'Thanh Toán ("&amp;AK$3&amp;")'!$D:$D"),'Tổng Đơn'!$B26),0)</f>
        <v>0</v>
      </c>
      <c r="AL26" s="2">
        <f ca="1">IFERROR(SUMIFS(INDIRECT("'Thanh Toán ("&amp;AL$3&amp;")'!$F:$F"),INDIRECT("'Thanh Toán ("&amp;AL$3&amp;")'!$D:$D"),'Tổng Đơn'!$B26),0)</f>
        <v>0</v>
      </c>
      <c r="AM26" s="2">
        <f ca="1">IFERROR(SUMIFS(INDIRECT("'Thanh Toán ("&amp;AM$3&amp;")'!$F:$F"),INDIRECT("'Thanh Toán ("&amp;AM$3&amp;")'!$D:$D"),'Tổng Đơn'!$B26),0)</f>
        <v>0</v>
      </c>
      <c r="AN26" s="2">
        <f ca="1">IFERROR(SUMIFS(INDIRECT("'Thanh Toán ("&amp;AN$3&amp;")'!$F:$F"),INDIRECT("'Thanh Toán ("&amp;AN$3&amp;")'!$D:$D"),'Tổng Đơn'!$B26),0)</f>
        <v>0</v>
      </c>
      <c r="AO26" s="2">
        <f ca="1">IFERROR(SUMIFS(INDIRECT("'Thanh Toán ("&amp;AO$3&amp;")'!$F:$F"),INDIRECT("'Thanh Toán ("&amp;AO$3&amp;")'!$D:$D"),'Tổng Đơn'!$B26),0)</f>
        <v>0</v>
      </c>
      <c r="AP26" s="2">
        <f ca="1">IFERROR(SUMIFS(INDIRECT("'Thanh Toán ("&amp;AP$3&amp;")'!$F:$F"),INDIRECT("'Thanh Toán ("&amp;AP$3&amp;")'!$D:$D"),'Tổng Đơn'!$B26),0)</f>
        <v>0</v>
      </c>
      <c r="AQ26" s="2">
        <f ca="1">IFERROR(SUMIFS(INDIRECT("'Thanh Toán ("&amp;AQ$3&amp;")'!$F:$F"),INDIRECT("'Thanh Toán ("&amp;AQ$3&amp;")'!$D:$D"),'Tổng Đơn'!$B26),0)</f>
        <v>0</v>
      </c>
      <c r="AR26" s="2">
        <f ca="1">IFERROR(SUMIFS(INDIRECT("'Thanh Toán ("&amp;AR$3&amp;")'!$F:$F"),INDIRECT("'Thanh Toán ("&amp;AR$3&amp;")'!$D:$D"),'Tổng Đơn'!$B26),0)</f>
        <v>0</v>
      </c>
      <c r="AS26" s="2">
        <f ca="1">IFERROR(SUMIFS(INDIRECT("'Thanh Toán ("&amp;AS$3&amp;")'!$F:$F"),INDIRECT("'Thanh Toán ("&amp;AS$3&amp;")'!$D:$D"),'Tổng Đơn'!$B26),0)</f>
        <v>0</v>
      </c>
      <c r="AT26" s="2">
        <f ca="1">IFERROR(SUMIFS(INDIRECT("'Thanh Toán ("&amp;AT$3&amp;")'!$F:$F"),INDIRECT("'Thanh Toán ("&amp;AT$3&amp;")'!$D:$D"),'Tổng Đơn'!$B26),0)</f>
        <v>0</v>
      </c>
      <c r="AU26" s="2">
        <f ca="1">IFERROR(SUMIFS(INDIRECT("'Thanh Toán ("&amp;AU$3&amp;")'!$F:$F"),INDIRECT("'Thanh Toán ("&amp;AU$3&amp;")'!$D:$D"),'Tổng Đơn'!$B26),0)</f>
        <v>0</v>
      </c>
      <c r="AV26" s="2">
        <f ca="1">IFERROR(SUMIFS(INDIRECT("'Thanh Toán ("&amp;AV$3&amp;")'!$F:$F"),INDIRECT("'Thanh Toán ("&amp;AV$3&amp;")'!$D:$D"),'Tổng Đơn'!$B26),0)</f>
        <v>0</v>
      </c>
      <c r="AW26" s="2">
        <f ca="1">IFERROR(SUMIFS(INDIRECT("'Thanh Toán ("&amp;AW$3&amp;")'!$F:$F"),INDIRECT("'Thanh Toán ("&amp;AW$3&amp;")'!$D:$D"),'Tổng Đơn'!$B26),0)</f>
        <v>0</v>
      </c>
      <c r="AX26" s="2">
        <f ca="1">IFERROR(SUMIFS(INDIRECT("'Thanh Toán ("&amp;AX$3&amp;")'!$F:$F"),INDIRECT("'Thanh Toán ("&amp;AX$3&amp;")'!$D:$D"),'Tổng Đơn'!$B26),0)</f>
        <v>0</v>
      </c>
      <c r="AY26" s="2">
        <f ca="1">IFERROR(SUMIFS(INDIRECT("'Thanh Toán ("&amp;AY$3&amp;")'!$F:$F"),INDIRECT("'Thanh Toán ("&amp;AY$3&amp;")'!$D:$D"),'Tổng Đơn'!$B26),0)</f>
        <v>0</v>
      </c>
      <c r="AZ26" s="2">
        <f ca="1">IFERROR(SUMIFS(INDIRECT("'Thanh Toán ("&amp;AZ$3&amp;")'!$F:$F"),INDIRECT("'Thanh Toán ("&amp;AZ$3&amp;")'!$D:$D"),'Tổng Đơn'!$B26),0)</f>
        <v>0</v>
      </c>
      <c r="BA26" s="2">
        <f ca="1">IFERROR(SUMIFS(INDIRECT("'Thanh Toán ("&amp;BA$3&amp;")'!$F:$F"),INDIRECT("'Thanh Toán ("&amp;BA$3&amp;")'!$D:$D"),'Tổng Đơn'!$B26),0)</f>
        <v>0</v>
      </c>
      <c r="BB26" s="2">
        <f ca="1">IFERROR(SUMIFS(INDIRECT("'Thanh Toán ("&amp;BB$3&amp;")'!$F:$F"),INDIRECT("'Thanh Toán ("&amp;BB$3&amp;")'!$D:$D"),'Tổng Đơn'!$B26),0)</f>
        <v>0</v>
      </c>
      <c r="BC26" s="2">
        <f ca="1">IFERROR(SUMIFS(INDIRECT("'Thanh Toán ("&amp;BC$3&amp;")'!$F:$F"),INDIRECT("'Thanh Toán ("&amp;BC$3&amp;")'!$D:$D"),'Tổng Đơn'!$B26),0)</f>
        <v>0</v>
      </c>
    </row>
    <row r="27" spans="1:55" ht="18" customHeight="1" x14ac:dyDescent="0.25">
      <c r="A27" s="174">
        <v>17</v>
      </c>
      <c r="B27" s="168" t="s">
        <v>8</v>
      </c>
      <c r="C27" s="167" t="s">
        <v>63</v>
      </c>
      <c r="D27" s="169">
        <f>VLOOKUP($C27,Sheet1!$C$8:$D$98,2,0)</f>
        <v>55000</v>
      </c>
      <c r="E27" s="170">
        <v>0.5</v>
      </c>
      <c r="F27" s="171">
        <f t="shared" ca="1" si="2"/>
        <v>0</v>
      </c>
      <c r="G27" s="172">
        <f>IFERROR(VLOOKUP($B27,Gà!C:J,8,0),IFERROR(VLOOKUP($B27,TVP!C:J,7,0),IFERROR(VLOOKUP($B27,Kitkool!C:J,8,0),IFERROR(VLOOKUP($B27,'La Cusina'!C:J,8,0),VLOOKUP($B27,'Quốc Nhân'!C:J,8,0)))))</f>
        <v>43.644766981505569</v>
      </c>
      <c r="H27" s="173">
        <f t="shared" ca="1" si="10"/>
        <v>0</v>
      </c>
      <c r="I27" s="195">
        <f t="shared" si="11"/>
        <v>0.26017398656994084</v>
      </c>
      <c r="J27" s="173">
        <f t="shared" ca="1" si="12"/>
        <v>0</v>
      </c>
      <c r="K27" s="38"/>
      <c r="L27" s="2">
        <f ca="1">IFERROR(SUMIFS(INDIRECT("'Thanh Toán ("&amp;L$3&amp;")'!$F:$F"),INDIRECT("'Thanh Toán ("&amp;L$3&amp;")'!$D:$D"),'Tổng Đơn'!$B27),0)</f>
        <v>0</v>
      </c>
      <c r="M27" s="2">
        <f ca="1">IFERROR(SUMIFS(INDIRECT("'Thanh Toán ("&amp;M$3&amp;")'!$F:$F"),INDIRECT("'Thanh Toán ("&amp;M$3&amp;")'!$D:$D"),'Tổng Đơn'!$B27),0)</f>
        <v>0</v>
      </c>
      <c r="N27" s="2">
        <f ca="1">IFERROR(SUMIFS(INDIRECT("'Thanh Toán ("&amp;N$3&amp;")'!$F:$F"),INDIRECT("'Thanh Toán ("&amp;N$3&amp;")'!$D:$D"),'Tổng Đơn'!$B27),0)</f>
        <v>0</v>
      </c>
      <c r="O27" s="2">
        <f ca="1">IFERROR(SUMIFS(INDIRECT("'Thanh Toán ("&amp;O$3&amp;")'!$F:$F"),INDIRECT("'Thanh Toán ("&amp;O$3&amp;")'!$D:$D"),'Tổng Đơn'!$B27),0)</f>
        <v>0</v>
      </c>
      <c r="P27" s="2">
        <f ca="1">IFERROR(SUMIFS(INDIRECT("'Thanh Toán ("&amp;P$3&amp;")'!$F:$F"),INDIRECT("'Thanh Toán ("&amp;P$3&amp;")'!$D:$D"),'Tổng Đơn'!$B27),0)</f>
        <v>0</v>
      </c>
      <c r="Q27" s="2">
        <f ca="1">IFERROR(SUMIFS(INDIRECT("'Thanh Toán ("&amp;Q$3&amp;")'!$F:$F"),INDIRECT("'Thanh Toán ("&amp;Q$3&amp;")'!$D:$D"),'Tổng Đơn'!$B27),0)</f>
        <v>0</v>
      </c>
      <c r="R27" s="2">
        <f ca="1">IFERROR(SUMIFS(INDIRECT("'Thanh Toán ("&amp;R$3&amp;")'!$F:$F"),INDIRECT("'Thanh Toán ("&amp;R$3&amp;")'!$D:$D"),'Tổng Đơn'!$B27),0)</f>
        <v>0</v>
      </c>
      <c r="S27" s="2">
        <f ca="1">IFERROR(SUMIFS(INDIRECT("'Thanh Toán ("&amp;S$3&amp;")'!$F:$F"),INDIRECT("'Thanh Toán ("&amp;S$3&amp;")'!$D:$D"),'Tổng Đơn'!$B27),0)</f>
        <v>0</v>
      </c>
      <c r="T27" s="2">
        <f ca="1">IFERROR(SUMIFS(INDIRECT("'Thanh Toán ("&amp;T$3&amp;")'!$F:$F"),INDIRECT("'Thanh Toán ("&amp;T$3&amp;")'!$D:$D"),'Tổng Đơn'!$B27),0)</f>
        <v>0</v>
      </c>
      <c r="U27" s="2">
        <f ca="1">IFERROR(SUMIFS(INDIRECT("'Thanh Toán ("&amp;U$3&amp;")'!$F:$F"),INDIRECT("'Thanh Toán ("&amp;U$3&amp;")'!$D:$D"),'Tổng Đơn'!$B27),0)</f>
        <v>0</v>
      </c>
      <c r="V27" s="2">
        <f ca="1">IFERROR(SUMIFS(INDIRECT("'Thanh Toán ("&amp;V$3&amp;")'!$F:$F"),INDIRECT("'Thanh Toán ("&amp;V$3&amp;")'!$D:$D"),'Tổng Đơn'!$B27),0)</f>
        <v>0</v>
      </c>
      <c r="W27" s="2">
        <f ca="1">IFERROR(SUMIFS(INDIRECT("'Thanh Toán ("&amp;W$3&amp;")'!$F:$F"),INDIRECT("'Thanh Toán ("&amp;W$3&amp;")'!$D:$D"),'Tổng Đơn'!$B27),0)</f>
        <v>0</v>
      </c>
      <c r="X27" s="2">
        <f ca="1">IFERROR(SUMIFS(INDIRECT("'Thanh Toán ("&amp;X$3&amp;")'!$F:$F"),INDIRECT("'Thanh Toán ("&amp;X$3&amp;")'!$D:$D"),'Tổng Đơn'!$B27),0)</f>
        <v>0</v>
      </c>
      <c r="Y27" s="2">
        <f ca="1">IFERROR(SUMIFS(INDIRECT("'Thanh Toán ("&amp;Y$3&amp;")'!$F:$F"),INDIRECT("'Thanh Toán ("&amp;Y$3&amp;")'!$D:$D"),'Tổng Đơn'!$B27),0)</f>
        <v>0</v>
      </c>
      <c r="Z27" s="2">
        <f ca="1">IFERROR(SUMIFS(INDIRECT("'Thanh Toán ("&amp;Z$3&amp;")'!$F:$F"),INDIRECT("'Thanh Toán ("&amp;Z$3&amp;")'!$D:$D"),'Tổng Đơn'!$B27),0)</f>
        <v>0</v>
      </c>
      <c r="AA27" s="2">
        <f ca="1">IFERROR(SUMIFS(INDIRECT("'Thanh Toán ("&amp;AA$3&amp;")'!$F:$F"),INDIRECT("'Thanh Toán ("&amp;AA$3&amp;")'!$D:$D"),'Tổng Đơn'!$B27),0)</f>
        <v>0</v>
      </c>
      <c r="AB27" s="2">
        <f ca="1">IFERROR(SUMIFS(INDIRECT("'Thanh Toán ("&amp;AB$3&amp;")'!$F:$F"),INDIRECT("'Thanh Toán ("&amp;AB$3&amp;")'!$D:$D"),'Tổng Đơn'!$B27),0)</f>
        <v>0</v>
      </c>
      <c r="AC27" s="2">
        <f ca="1">IFERROR(SUMIFS(INDIRECT("'Thanh Toán ("&amp;AC$3&amp;")'!$F:$F"),INDIRECT("'Thanh Toán ("&amp;AC$3&amp;")'!$D:$D"),'Tổng Đơn'!$B27),0)</f>
        <v>0</v>
      </c>
      <c r="AD27" s="2">
        <f ca="1">IFERROR(SUMIFS(INDIRECT("'Thanh Toán ("&amp;AD$3&amp;")'!$F:$F"),INDIRECT("'Thanh Toán ("&amp;AD$3&amp;")'!$D:$D"),'Tổng Đơn'!$B27),0)</f>
        <v>0</v>
      </c>
      <c r="AE27" s="2">
        <f ca="1">IFERROR(SUMIFS(INDIRECT("'Thanh Toán ("&amp;AE$3&amp;")'!$F:$F"),INDIRECT("'Thanh Toán ("&amp;AE$3&amp;")'!$D:$D"),'Tổng Đơn'!$B27),0)</f>
        <v>0</v>
      </c>
      <c r="AF27" s="2">
        <f ca="1">IFERROR(SUMIFS(INDIRECT("'Thanh Toán ("&amp;AF$3&amp;")'!$F:$F"),INDIRECT("'Thanh Toán ("&amp;AF$3&amp;")'!$D:$D"),'Tổng Đơn'!$B27),0)</f>
        <v>0</v>
      </c>
      <c r="AG27" s="2">
        <f ca="1">IFERROR(SUMIFS(INDIRECT("'Thanh Toán ("&amp;AG$3&amp;")'!$F:$F"),INDIRECT("'Thanh Toán ("&amp;AG$3&amp;")'!$D:$D"),'Tổng Đơn'!$B27),0)</f>
        <v>0</v>
      </c>
      <c r="AH27" s="2">
        <f ca="1">IFERROR(SUMIFS(INDIRECT("'Thanh Toán ("&amp;AH$3&amp;")'!$F:$F"),INDIRECT("'Thanh Toán ("&amp;AH$3&amp;")'!$D:$D"),'Tổng Đơn'!$B27),0)</f>
        <v>0</v>
      </c>
      <c r="AI27" s="2">
        <f ca="1">IFERROR(SUMIFS(INDIRECT("'Thanh Toán ("&amp;AI$3&amp;")'!$F:$F"),INDIRECT("'Thanh Toán ("&amp;AI$3&amp;")'!$D:$D"),'Tổng Đơn'!$B27),0)</f>
        <v>0</v>
      </c>
      <c r="AJ27" s="2">
        <f ca="1">IFERROR(SUMIFS(INDIRECT("'Thanh Toán ("&amp;AJ$3&amp;")'!$F:$F"),INDIRECT("'Thanh Toán ("&amp;AJ$3&amp;")'!$D:$D"),'Tổng Đơn'!$B27),0)</f>
        <v>0</v>
      </c>
      <c r="AK27" s="2">
        <f ca="1">IFERROR(SUMIFS(INDIRECT("'Thanh Toán ("&amp;AK$3&amp;")'!$F:$F"),INDIRECT("'Thanh Toán ("&amp;AK$3&amp;")'!$D:$D"),'Tổng Đơn'!$B27),0)</f>
        <v>0</v>
      </c>
      <c r="AL27" s="2">
        <f ca="1">IFERROR(SUMIFS(INDIRECT("'Thanh Toán ("&amp;AL$3&amp;")'!$F:$F"),INDIRECT("'Thanh Toán ("&amp;AL$3&amp;")'!$D:$D"),'Tổng Đơn'!$B27),0)</f>
        <v>0</v>
      </c>
      <c r="AM27" s="2">
        <f ca="1">IFERROR(SUMIFS(INDIRECT("'Thanh Toán ("&amp;AM$3&amp;")'!$F:$F"),INDIRECT("'Thanh Toán ("&amp;AM$3&amp;")'!$D:$D"),'Tổng Đơn'!$B27),0)</f>
        <v>0</v>
      </c>
      <c r="AN27" s="2">
        <f ca="1">IFERROR(SUMIFS(INDIRECT("'Thanh Toán ("&amp;AN$3&amp;")'!$F:$F"),INDIRECT("'Thanh Toán ("&amp;AN$3&amp;")'!$D:$D"),'Tổng Đơn'!$B27),0)</f>
        <v>0</v>
      </c>
      <c r="AO27" s="2">
        <f ca="1">IFERROR(SUMIFS(INDIRECT("'Thanh Toán ("&amp;AO$3&amp;")'!$F:$F"),INDIRECT("'Thanh Toán ("&amp;AO$3&amp;")'!$D:$D"),'Tổng Đơn'!$B27),0)</f>
        <v>0</v>
      </c>
      <c r="AP27" s="2">
        <f ca="1">IFERROR(SUMIFS(INDIRECT("'Thanh Toán ("&amp;AP$3&amp;")'!$F:$F"),INDIRECT("'Thanh Toán ("&amp;AP$3&amp;")'!$D:$D"),'Tổng Đơn'!$B27),0)</f>
        <v>0</v>
      </c>
      <c r="AQ27" s="2">
        <f ca="1">IFERROR(SUMIFS(INDIRECT("'Thanh Toán ("&amp;AQ$3&amp;")'!$F:$F"),INDIRECT("'Thanh Toán ("&amp;AQ$3&amp;")'!$D:$D"),'Tổng Đơn'!$B27),0)</f>
        <v>0</v>
      </c>
      <c r="AR27" s="2">
        <f ca="1">IFERROR(SUMIFS(INDIRECT("'Thanh Toán ("&amp;AR$3&amp;")'!$F:$F"),INDIRECT("'Thanh Toán ("&amp;AR$3&amp;")'!$D:$D"),'Tổng Đơn'!$B27),0)</f>
        <v>0</v>
      </c>
      <c r="AS27" s="2">
        <f ca="1">IFERROR(SUMIFS(INDIRECT("'Thanh Toán ("&amp;AS$3&amp;")'!$F:$F"),INDIRECT("'Thanh Toán ("&amp;AS$3&amp;")'!$D:$D"),'Tổng Đơn'!$B27),0)</f>
        <v>0</v>
      </c>
      <c r="AT27" s="2">
        <f ca="1">IFERROR(SUMIFS(INDIRECT("'Thanh Toán ("&amp;AT$3&amp;")'!$F:$F"),INDIRECT("'Thanh Toán ("&amp;AT$3&amp;")'!$D:$D"),'Tổng Đơn'!$B27),0)</f>
        <v>0</v>
      </c>
      <c r="AU27" s="2">
        <f ca="1">IFERROR(SUMIFS(INDIRECT("'Thanh Toán ("&amp;AU$3&amp;")'!$F:$F"),INDIRECT("'Thanh Toán ("&amp;AU$3&amp;")'!$D:$D"),'Tổng Đơn'!$B27),0)</f>
        <v>0</v>
      </c>
      <c r="AV27" s="2">
        <f ca="1">IFERROR(SUMIFS(INDIRECT("'Thanh Toán ("&amp;AV$3&amp;")'!$F:$F"),INDIRECT("'Thanh Toán ("&amp;AV$3&amp;")'!$D:$D"),'Tổng Đơn'!$B27),0)</f>
        <v>0</v>
      </c>
      <c r="AW27" s="2">
        <f ca="1">IFERROR(SUMIFS(INDIRECT("'Thanh Toán ("&amp;AW$3&amp;")'!$F:$F"),INDIRECT("'Thanh Toán ("&amp;AW$3&amp;")'!$D:$D"),'Tổng Đơn'!$B27),0)</f>
        <v>0</v>
      </c>
      <c r="AX27" s="2">
        <f ca="1">IFERROR(SUMIFS(INDIRECT("'Thanh Toán ("&amp;AX$3&amp;")'!$F:$F"),INDIRECT("'Thanh Toán ("&amp;AX$3&amp;")'!$D:$D"),'Tổng Đơn'!$B27),0)</f>
        <v>0</v>
      </c>
      <c r="AY27" s="2">
        <f ca="1">IFERROR(SUMIFS(INDIRECT("'Thanh Toán ("&amp;AY$3&amp;")'!$F:$F"),INDIRECT("'Thanh Toán ("&amp;AY$3&amp;")'!$D:$D"),'Tổng Đơn'!$B27),0)</f>
        <v>0</v>
      </c>
      <c r="AZ27" s="2">
        <f ca="1">IFERROR(SUMIFS(INDIRECT("'Thanh Toán ("&amp;AZ$3&amp;")'!$F:$F"),INDIRECT("'Thanh Toán ("&amp;AZ$3&amp;")'!$D:$D"),'Tổng Đơn'!$B27),0)</f>
        <v>0</v>
      </c>
      <c r="BA27" s="2">
        <f ca="1">IFERROR(SUMIFS(INDIRECT("'Thanh Toán ("&amp;BA$3&amp;")'!$F:$F"),INDIRECT("'Thanh Toán ("&amp;BA$3&amp;")'!$D:$D"),'Tổng Đơn'!$B27),0)</f>
        <v>0</v>
      </c>
      <c r="BB27" s="2">
        <f ca="1">IFERROR(SUMIFS(INDIRECT("'Thanh Toán ("&amp;BB$3&amp;")'!$F:$F"),INDIRECT("'Thanh Toán ("&amp;BB$3&amp;")'!$D:$D"),'Tổng Đơn'!$B27),0)</f>
        <v>0</v>
      </c>
      <c r="BC27" s="2">
        <f ca="1">IFERROR(SUMIFS(INDIRECT("'Thanh Toán ("&amp;BC$3&amp;")'!$F:$F"),INDIRECT("'Thanh Toán ("&amp;BC$3&amp;")'!$D:$D"),'Tổng Đơn'!$B27),0)</f>
        <v>0</v>
      </c>
    </row>
    <row r="28" spans="1:55" ht="18" customHeight="1" x14ac:dyDescent="0.25">
      <c r="A28" s="167">
        <v>18</v>
      </c>
      <c r="B28" s="168" t="s">
        <v>13</v>
      </c>
      <c r="C28" s="174" t="s">
        <v>64</v>
      </c>
      <c r="D28" s="169">
        <f>VLOOKUP($C28,Sheet1!$C$8:$D$98,2,0)</f>
        <v>35000</v>
      </c>
      <c r="E28" s="170">
        <v>0.5</v>
      </c>
      <c r="F28" s="171">
        <f t="shared" ca="1" si="2"/>
        <v>5</v>
      </c>
      <c r="G28" s="172">
        <f>IFERROR(VLOOKUP($B28,Gà!C:J,8,0),IFERROR(VLOOKUP($B28,TVP!C:J,7,0),IFERROR(VLOOKUP($B28,Kitkool!C:J,8,0),IFERROR(VLOOKUP($B28,'La Cusina'!C:J,8,0),VLOOKUP($B28,'Quốc Nhân'!C:J,8,0)))))</f>
        <v>29.267667269950795</v>
      </c>
      <c r="H28" s="173">
        <f t="shared" ca="1" si="10"/>
        <v>28661.663650246028</v>
      </c>
      <c r="I28" s="195">
        <f t="shared" si="11"/>
        <v>0.19585888677689756</v>
      </c>
      <c r="J28" s="173">
        <f t="shared" ca="1" si="12"/>
        <v>146338.33634975398</v>
      </c>
      <c r="K28" s="38"/>
      <c r="L28" s="2">
        <f ca="1">IFERROR(SUMIFS(INDIRECT("'Thanh Toán ("&amp;L$3&amp;")'!$F:$F"),INDIRECT("'Thanh Toán ("&amp;L$3&amp;")'!$D:$D"),'Tổng Đơn'!$B28),0)</f>
        <v>0</v>
      </c>
      <c r="M28" s="2">
        <f ca="1">IFERROR(SUMIFS(INDIRECT("'Thanh Toán ("&amp;M$3&amp;")'!$F:$F"),INDIRECT("'Thanh Toán ("&amp;M$3&amp;")'!$D:$D"),'Tổng Đơn'!$B28),0)</f>
        <v>0</v>
      </c>
      <c r="N28" s="2">
        <f ca="1">IFERROR(SUMIFS(INDIRECT("'Thanh Toán ("&amp;N$3&amp;")'!$F:$F"),INDIRECT("'Thanh Toán ("&amp;N$3&amp;")'!$D:$D"),'Tổng Đơn'!$B28),0)</f>
        <v>0</v>
      </c>
      <c r="O28" s="2">
        <f ca="1">IFERROR(SUMIFS(INDIRECT("'Thanh Toán ("&amp;O$3&amp;")'!$F:$F"),INDIRECT("'Thanh Toán ("&amp;O$3&amp;")'!$D:$D"),'Tổng Đơn'!$B28),0)</f>
        <v>0</v>
      </c>
      <c r="P28" s="2">
        <f ca="1">IFERROR(SUMIFS(INDIRECT("'Thanh Toán ("&amp;P$3&amp;")'!$F:$F"),INDIRECT("'Thanh Toán ("&amp;P$3&amp;")'!$D:$D"),'Tổng Đơn'!$B28),0)</f>
        <v>0</v>
      </c>
      <c r="Q28" s="2">
        <f ca="1">IFERROR(SUMIFS(INDIRECT("'Thanh Toán ("&amp;Q$3&amp;")'!$F:$F"),INDIRECT("'Thanh Toán ("&amp;Q$3&amp;")'!$D:$D"),'Tổng Đơn'!$B28),0)</f>
        <v>0</v>
      </c>
      <c r="R28" s="2">
        <f ca="1">IFERROR(SUMIFS(INDIRECT("'Thanh Toán ("&amp;R$3&amp;")'!$F:$F"),INDIRECT("'Thanh Toán ("&amp;R$3&amp;")'!$D:$D"),'Tổng Đơn'!$B28),0)</f>
        <v>0</v>
      </c>
      <c r="S28" s="2">
        <f ca="1">IFERROR(SUMIFS(INDIRECT("'Thanh Toán ("&amp;S$3&amp;")'!$F:$F"),INDIRECT("'Thanh Toán ("&amp;S$3&amp;")'!$D:$D"),'Tổng Đơn'!$B28),0)</f>
        <v>0</v>
      </c>
      <c r="T28" s="2">
        <f ca="1">IFERROR(SUMIFS(INDIRECT("'Thanh Toán ("&amp;T$3&amp;")'!$F:$F"),INDIRECT("'Thanh Toán ("&amp;T$3&amp;")'!$D:$D"),'Tổng Đơn'!$B28),0)</f>
        <v>0</v>
      </c>
      <c r="U28" s="2">
        <f ca="1">IFERROR(SUMIFS(INDIRECT("'Thanh Toán ("&amp;U$3&amp;")'!$F:$F"),INDIRECT("'Thanh Toán ("&amp;U$3&amp;")'!$D:$D"),'Tổng Đơn'!$B28),0)</f>
        <v>0</v>
      </c>
      <c r="V28" s="2">
        <f ca="1">IFERROR(SUMIFS(INDIRECT("'Thanh Toán ("&amp;V$3&amp;")'!$F:$F"),INDIRECT("'Thanh Toán ("&amp;V$3&amp;")'!$D:$D"),'Tổng Đơn'!$B28),0)</f>
        <v>5</v>
      </c>
      <c r="W28" s="2">
        <f ca="1">IFERROR(SUMIFS(INDIRECT("'Thanh Toán ("&amp;W$3&amp;")'!$F:$F"),INDIRECT("'Thanh Toán ("&amp;W$3&amp;")'!$D:$D"),'Tổng Đơn'!$B28),0)</f>
        <v>0</v>
      </c>
      <c r="X28" s="2">
        <f ca="1">IFERROR(SUMIFS(INDIRECT("'Thanh Toán ("&amp;X$3&amp;")'!$F:$F"),INDIRECT("'Thanh Toán ("&amp;X$3&amp;")'!$D:$D"),'Tổng Đơn'!$B28),0)</f>
        <v>0</v>
      </c>
      <c r="Y28" s="2">
        <f ca="1">IFERROR(SUMIFS(INDIRECT("'Thanh Toán ("&amp;Y$3&amp;")'!$F:$F"),INDIRECT("'Thanh Toán ("&amp;Y$3&amp;")'!$D:$D"),'Tổng Đơn'!$B28),0)</f>
        <v>0</v>
      </c>
      <c r="Z28" s="2">
        <f ca="1">IFERROR(SUMIFS(INDIRECT("'Thanh Toán ("&amp;Z$3&amp;")'!$F:$F"),INDIRECT("'Thanh Toán ("&amp;Z$3&amp;")'!$D:$D"),'Tổng Đơn'!$B28),0)</f>
        <v>0</v>
      </c>
      <c r="AA28" s="2">
        <f ca="1">IFERROR(SUMIFS(INDIRECT("'Thanh Toán ("&amp;AA$3&amp;")'!$F:$F"),INDIRECT("'Thanh Toán ("&amp;AA$3&amp;")'!$D:$D"),'Tổng Đơn'!$B28),0)</f>
        <v>0</v>
      </c>
      <c r="AB28" s="2">
        <f ca="1">IFERROR(SUMIFS(INDIRECT("'Thanh Toán ("&amp;AB$3&amp;")'!$F:$F"),INDIRECT("'Thanh Toán ("&amp;AB$3&amp;")'!$D:$D"),'Tổng Đơn'!$B28),0)</f>
        <v>0</v>
      </c>
      <c r="AC28" s="2">
        <f ca="1">IFERROR(SUMIFS(INDIRECT("'Thanh Toán ("&amp;AC$3&amp;")'!$F:$F"),INDIRECT("'Thanh Toán ("&amp;AC$3&amp;")'!$D:$D"),'Tổng Đơn'!$B28),0)</f>
        <v>0</v>
      </c>
      <c r="AD28" s="2">
        <f ca="1">IFERROR(SUMIFS(INDIRECT("'Thanh Toán ("&amp;AD$3&amp;")'!$F:$F"),INDIRECT("'Thanh Toán ("&amp;AD$3&amp;")'!$D:$D"),'Tổng Đơn'!$B28),0)</f>
        <v>0</v>
      </c>
      <c r="AE28" s="2">
        <f ca="1">IFERROR(SUMIFS(INDIRECT("'Thanh Toán ("&amp;AE$3&amp;")'!$F:$F"),INDIRECT("'Thanh Toán ("&amp;AE$3&amp;")'!$D:$D"),'Tổng Đơn'!$B28),0)</f>
        <v>0</v>
      </c>
      <c r="AF28" s="2">
        <f ca="1">IFERROR(SUMIFS(INDIRECT("'Thanh Toán ("&amp;AF$3&amp;")'!$F:$F"),INDIRECT("'Thanh Toán ("&amp;AF$3&amp;")'!$D:$D"),'Tổng Đơn'!$B28),0)</f>
        <v>0</v>
      </c>
      <c r="AG28" s="2">
        <f ca="1">IFERROR(SUMIFS(INDIRECT("'Thanh Toán ("&amp;AG$3&amp;")'!$F:$F"),INDIRECT("'Thanh Toán ("&amp;AG$3&amp;")'!$D:$D"),'Tổng Đơn'!$B28),0)</f>
        <v>0</v>
      </c>
      <c r="AH28" s="2">
        <f ca="1">IFERROR(SUMIFS(INDIRECT("'Thanh Toán ("&amp;AH$3&amp;")'!$F:$F"),INDIRECT("'Thanh Toán ("&amp;AH$3&amp;")'!$D:$D"),'Tổng Đơn'!$B28),0)</f>
        <v>0</v>
      </c>
      <c r="AI28" s="2">
        <f ca="1">IFERROR(SUMIFS(INDIRECT("'Thanh Toán ("&amp;AI$3&amp;")'!$F:$F"),INDIRECT("'Thanh Toán ("&amp;AI$3&amp;")'!$D:$D"),'Tổng Đơn'!$B28),0)</f>
        <v>0</v>
      </c>
      <c r="AJ28" s="2">
        <f ca="1">IFERROR(SUMIFS(INDIRECT("'Thanh Toán ("&amp;AJ$3&amp;")'!$F:$F"),INDIRECT("'Thanh Toán ("&amp;AJ$3&amp;")'!$D:$D"),'Tổng Đơn'!$B28),0)</f>
        <v>0</v>
      </c>
      <c r="AK28" s="2">
        <f ca="1">IFERROR(SUMIFS(INDIRECT("'Thanh Toán ("&amp;AK$3&amp;")'!$F:$F"),INDIRECT("'Thanh Toán ("&amp;AK$3&amp;")'!$D:$D"),'Tổng Đơn'!$B28),0)</f>
        <v>0</v>
      </c>
      <c r="AL28" s="2">
        <f ca="1">IFERROR(SUMIFS(INDIRECT("'Thanh Toán ("&amp;AL$3&amp;")'!$F:$F"),INDIRECT("'Thanh Toán ("&amp;AL$3&amp;")'!$D:$D"),'Tổng Đơn'!$B28),0)</f>
        <v>0</v>
      </c>
      <c r="AM28" s="2">
        <f ca="1">IFERROR(SUMIFS(INDIRECT("'Thanh Toán ("&amp;AM$3&amp;")'!$F:$F"),INDIRECT("'Thanh Toán ("&amp;AM$3&amp;")'!$D:$D"),'Tổng Đơn'!$B28),0)</f>
        <v>0</v>
      </c>
      <c r="AN28" s="2">
        <f ca="1">IFERROR(SUMIFS(INDIRECT("'Thanh Toán ("&amp;AN$3&amp;")'!$F:$F"),INDIRECT("'Thanh Toán ("&amp;AN$3&amp;")'!$D:$D"),'Tổng Đơn'!$B28),0)</f>
        <v>0</v>
      </c>
      <c r="AO28" s="2">
        <f ca="1">IFERROR(SUMIFS(INDIRECT("'Thanh Toán ("&amp;AO$3&amp;")'!$F:$F"),INDIRECT("'Thanh Toán ("&amp;AO$3&amp;")'!$D:$D"),'Tổng Đơn'!$B28),0)</f>
        <v>0</v>
      </c>
      <c r="AP28" s="2">
        <f ca="1">IFERROR(SUMIFS(INDIRECT("'Thanh Toán ("&amp;AP$3&amp;")'!$F:$F"),INDIRECT("'Thanh Toán ("&amp;AP$3&amp;")'!$D:$D"),'Tổng Đơn'!$B28),0)</f>
        <v>0</v>
      </c>
      <c r="AQ28" s="2">
        <f ca="1">IFERROR(SUMIFS(INDIRECT("'Thanh Toán ("&amp;AQ$3&amp;")'!$F:$F"),INDIRECT("'Thanh Toán ("&amp;AQ$3&amp;")'!$D:$D"),'Tổng Đơn'!$B28),0)</f>
        <v>0</v>
      </c>
      <c r="AR28" s="2">
        <f ca="1">IFERROR(SUMIFS(INDIRECT("'Thanh Toán ("&amp;AR$3&amp;")'!$F:$F"),INDIRECT("'Thanh Toán ("&amp;AR$3&amp;")'!$D:$D"),'Tổng Đơn'!$B28),0)</f>
        <v>0</v>
      </c>
      <c r="AS28" s="2">
        <f ca="1">IFERROR(SUMIFS(INDIRECT("'Thanh Toán ("&amp;AS$3&amp;")'!$F:$F"),INDIRECT("'Thanh Toán ("&amp;AS$3&amp;")'!$D:$D"),'Tổng Đơn'!$B28),0)</f>
        <v>0</v>
      </c>
      <c r="AT28" s="2">
        <f ca="1">IFERROR(SUMIFS(INDIRECT("'Thanh Toán ("&amp;AT$3&amp;")'!$F:$F"),INDIRECT("'Thanh Toán ("&amp;AT$3&amp;")'!$D:$D"),'Tổng Đơn'!$B28),0)</f>
        <v>0</v>
      </c>
      <c r="AU28" s="2">
        <f ca="1">IFERROR(SUMIFS(INDIRECT("'Thanh Toán ("&amp;AU$3&amp;")'!$F:$F"),INDIRECT("'Thanh Toán ("&amp;AU$3&amp;")'!$D:$D"),'Tổng Đơn'!$B28),0)</f>
        <v>0</v>
      </c>
      <c r="AV28" s="2">
        <f ca="1">IFERROR(SUMIFS(INDIRECT("'Thanh Toán ("&amp;AV$3&amp;")'!$F:$F"),INDIRECT("'Thanh Toán ("&amp;AV$3&amp;")'!$D:$D"),'Tổng Đơn'!$B28),0)</f>
        <v>0</v>
      </c>
      <c r="AW28" s="2">
        <f ca="1">IFERROR(SUMIFS(INDIRECT("'Thanh Toán ("&amp;AW$3&amp;")'!$F:$F"),INDIRECT("'Thanh Toán ("&amp;AW$3&amp;")'!$D:$D"),'Tổng Đơn'!$B28),0)</f>
        <v>0</v>
      </c>
      <c r="AX28" s="2">
        <f ca="1">IFERROR(SUMIFS(INDIRECT("'Thanh Toán ("&amp;AX$3&amp;")'!$F:$F"),INDIRECT("'Thanh Toán ("&amp;AX$3&amp;")'!$D:$D"),'Tổng Đơn'!$B28),0)</f>
        <v>0</v>
      </c>
      <c r="AY28" s="2">
        <f ca="1">IFERROR(SUMIFS(INDIRECT("'Thanh Toán ("&amp;AY$3&amp;")'!$F:$F"),INDIRECT("'Thanh Toán ("&amp;AY$3&amp;")'!$D:$D"),'Tổng Đơn'!$B28),0)</f>
        <v>0</v>
      </c>
      <c r="AZ28" s="2">
        <f ca="1">IFERROR(SUMIFS(INDIRECT("'Thanh Toán ("&amp;AZ$3&amp;")'!$F:$F"),INDIRECT("'Thanh Toán ("&amp;AZ$3&amp;")'!$D:$D"),'Tổng Đơn'!$B28),0)</f>
        <v>0</v>
      </c>
      <c r="BA28" s="2">
        <f ca="1">IFERROR(SUMIFS(INDIRECT("'Thanh Toán ("&amp;BA$3&amp;")'!$F:$F"),INDIRECT("'Thanh Toán ("&amp;BA$3&amp;")'!$D:$D"),'Tổng Đơn'!$B28),0)</f>
        <v>0</v>
      </c>
      <c r="BB28" s="2">
        <f ca="1">IFERROR(SUMIFS(INDIRECT("'Thanh Toán ("&amp;BB$3&amp;")'!$F:$F"),INDIRECT("'Thanh Toán ("&amp;BB$3&amp;")'!$D:$D"),'Tổng Đơn'!$B28),0)</f>
        <v>0</v>
      </c>
      <c r="BC28" s="2">
        <f ca="1">IFERROR(SUMIFS(INDIRECT("'Thanh Toán ("&amp;BC$3&amp;")'!$F:$F"),INDIRECT("'Thanh Toán ("&amp;BC$3&amp;")'!$D:$D"),'Tổng Đơn'!$B28),0)</f>
        <v>0</v>
      </c>
    </row>
    <row r="29" spans="1:55" ht="18" customHeight="1" x14ac:dyDescent="0.25">
      <c r="A29" s="167">
        <v>19</v>
      </c>
      <c r="B29" s="168" t="s">
        <v>7</v>
      </c>
      <c r="C29" s="167" t="s">
        <v>65</v>
      </c>
      <c r="D29" s="169">
        <f>VLOOKUP($C29,Sheet1!$C$8:$D$98,2,0)</f>
        <v>69000</v>
      </c>
      <c r="E29" s="170">
        <v>0.5</v>
      </c>
      <c r="F29" s="171">
        <f t="shared" ca="1" si="2"/>
        <v>0</v>
      </c>
      <c r="G29" s="172">
        <f>IFERROR(VLOOKUP($B29,Gà!C:J,8,0),IFERROR(VLOOKUP($B29,TVP!C:J,7,0),IFERROR(VLOOKUP($B29,Kitkool!C:J,8,0),IFERROR(VLOOKUP($B29,'La Cusina'!C:J,8,0),VLOOKUP($B29,'Quốc Nhân'!C:J,8,0)))))</f>
        <v>59.048802386742828</v>
      </c>
      <c r="H29" s="173">
        <f t="shared" ca="1" si="10"/>
        <v>0</v>
      </c>
      <c r="I29" s="195">
        <f t="shared" si="11"/>
        <v>0.16852496936485428</v>
      </c>
      <c r="J29" s="173">
        <f t="shared" ca="1" si="12"/>
        <v>0</v>
      </c>
      <c r="K29" s="38"/>
      <c r="L29" s="2">
        <f ca="1">IFERROR(SUMIFS(INDIRECT("'Thanh Toán ("&amp;L$3&amp;")'!$F:$F"),INDIRECT("'Thanh Toán ("&amp;L$3&amp;")'!$D:$D"),'Tổng Đơn'!$B29),0)</f>
        <v>0</v>
      </c>
      <c r="M29" s="2">
        <f ca="1">IFERROR(SUMIFS(INDIRECT("'Thanh Toán ("&amp;M$3&amp;")'!$F:$F"),INDIRECT("'Thanh Toán ("&amp;M$3&amp;")'!$D:$D"),'Tổng Đơn'!$B29),0)</f>
        <v>0</v>
      </c>
      <c r="N29" s="2">
        <f ca="1">IFERROR(SUMIFS(INDIRECT("'Thanh Toán ("&amp;N$3&amp;")'!$F:$F"),INDIRECT("'Thanh Toán ("&amp;N$3&amp;")'!$D:$D"),'Tổng Đơn'!$B29),0)</f>
        <v>0</v>
      </c>
      <c r="O29" s="2">
        <f ca="1">IFERROR(SUMIFS(INDIRECT("'Thanh Toán ("&amp;O$3&amp;")'!$F:$F"),INDIRECT("'Thanh Toán ("&amp;O$3&amp;")'!$D:$D"),'Tổng Đơn'!$B29),0)</f>
        <v>0</v>
      </c>
      <c r="P29" s="2">
        <f ca="1">IFERROR(SUMIFS(INDIRECT("'Thanh Toán ("&amp;P$3&amp;")'!$F:$F"),INDIRECT("'Thanh Toán ("&amp;P$3&amp;")'!$D:$D"),'Tổng Đơn'!$B29),0)</f>
        <v>0</v>
      </c>
      <c r="Q29" s="2">
        <f ca="1">IFERROR(SUMIFS(INDIRECT("'Thanh Toán ("&amp;Q$3&amp;")'!$F:$F"),INDIRECT("'Thanh Toán ("&amp;Q$3&amp;")'!$D:$D"),'Tổng Đơn'!$B29),0)</f>
        <v>0</v>
      </c>
      <c r="R29" s="2">
        <f ca="1">IFERROR(SUMIFS(INDIRECT("'Thanh Toán ("&amp;R$3&amp;")'!$F:$F"),INDIRECT("'Thanh Toán ("&amp;R$3&amp;")'!$D:$D"),'Tổng Đơn'!$B29),0)</f>
        <v>0</v>
      </c>
      <c r="S29" s="2">
        <f ca="1">IFERROR(SUMIFS(INDIRECT("'Thanh Toán ("&amp;S$3&amp;")'!$F:$F"),INDIRECT("'Thanh Toán ("&amp;S$3&amp;")'!$D:$D"),'Tổng Đơn'!$B29),0)</f>
        <v>0</v>
      </c>
      <c r="T29" s="2">
        <f ca="1">IFERROR(SUMIFS(INDIRECT("'Thanh Toán ("&amp;T$3&amp;")'!$F:$F"),INDIRECT("'Thanh Toán ("&amp;T$3&amp;")'!$D:$D"),'Tổng Đơn'!$B29),0)</f>
        <v>0</v>
      </c>
      <c r="U29" s="2">
        <f ca="1">IFERROR(SUMIFS(INDIRECT("'Thanh Toán ("&amp;U$3&amp;")'!$F:$F"),INDIRECT("'Thanh Toán ("&amp;U$3&amp;")'!$D:$D"),'Tổng Đơn'!$B29),0)</f>
        <v>0</v>
      </c>
      <c r="V29" s="2">
        <f ca="1">IFERROR(SUMIFS(INDIRECT("'Thanh Toán ("&amp;V$3&amp;")'!$F:$F"),INDIRECT("'Thanh Toán ("&amp;V$3&amp;")'!$D:$D"),'Tổng Đơn'!$B29),0)</f>
        <v>0</v>
      </c>
      <c r="W29" s="2">
        <f ca="1">IFERROR(SUMIFS(INDIRECT("'Thanh Toán ("&amp;W$3&amp;")'!$F:$F"),INDIRECT("'Thanh Toán ("&amp;W$3&amp;")'!$D:$D"),'Tổng Đơn'!$B29),0)</f>
        <v>0</v>
      </c>
      <c r="X29" s="2">
        <f ca="1">IFERROR(SUMIFS(INDIRECT("'Thanh Toán ("&amp;X$3&amp;")'!$F:$F"),INDIRECT("'Thanh Toán ("&amp;X$3&amp;")'!$D:$D"),'Tổng Đơn'!$B29),0)</f>
        <v>0</v>
      </c>
      <c r="Y29" s="2">
        <f ca="1">IFERROR(SUMIFS(INDIRECT("'Thanh Toán ("&amp;Y$3&amp;")'!$F:$F"),INDIRECT("'Thanh Toán ("&amp;Y$3&amp;")'!$D:$D"),'Tổng Đơn'!$B29),0)</f>
        <v>0</v>
      </c>
      <c r="Z29" s="2">
        <f ca="1">IFERROR(SUMIFS(INDIRECT("'Thanh Toán ("&amp;Z$3&amp;")'!$F:$F"),INDIRECT("'Thanh Toán ("&amp;Z$3&amp;")'!$D:$D"),'Tổng Đơn'!$B29),0)</f>
        <v>0</v>
      </c>
      <c r="AA29" s="2">
        <f ca="1">IFERROR(SUMIFS(INDIRECT("'Thanh Toán ("&amp;AA$3&amp;")'!$F:$F"),INDIRECT("'Thanh Toán ("&amp;AA$3&amp;")'!$D:$D"),'Tổng Đơn'!$B29),0)</f>
        <v>0</v>
      </c>
      <c r="AB29" s="2">
        <f ca="1">IFERROR(SUMIFS(INDIRECT("'Thanh Toán ("&amp;AB$3&amp;")'!$F:$F"),INDIRECT("'Thanh Toán ("&amp;AB$3&amp;")'!$D:$D"),'Tổng Đơn'!$B29),0)</f>
        <v>0</v>
      </c>
      <c r="AC29" s="2">
        <f ca="1">IFERROR(SUMIFS(INDIRECT("'Thanh Toán ("&amp;AC$3&amp;")'!$F:$F"),INDIRECT("'Thanh Toán ("&amp;AC$3&amp;")'!$D:$D"),'Tổng Đơn'!$B29),0)</f>
        <v>0</v>
      </c>
      <c r="AD29" s="2">
        <f ca="1">IFERROR(SUMIFS(INDIRECT("'Thanh Toán ("&amp;AD$3&amp;")'!$F:$F"),INDIRECT("'Thanh Toán ("&amp;AD$3&amp;")'!$D:$D"),'Tổng Đơn'!$B29),0)</f>
        <v>0</v>
      </c>
      <c r="AE29" s="2">
        <f ca="1">IFERROR(SUMIFS(INDIRECT("'Thanh Toán ("&amp;AE$3&amp;")'!$F:$F"),INDIRECT("'Thanh Toán ("&amp;AE$3&amp;")'!$D:$D"),'Tổng Đơn'!$B29),0)</f>
        <v>0</v>
      </c>
      <c r="AF29" s="2">
        <f ca="1">IFERROR(SUMIFS(INDIRECT("'Thanh Toán ("&amp;AF$3&amp;")'!$F:$F"),INDIRECT("'Thanh Toán ("&amp;AF$3&amp;")'!$D:$D"),'Tổng Đơn'!$B29),0)</f>
        <v>0</v>
      </c>
      <c r="AG29" s="2">
        <f ca="1">IFERROR(SUMIFS(INDIRECT("'Thanh Toán ("&amp;AG$3&amp;")'!$F:$F"),INDIRECT("'Thanh Toán ("&amp;AG$3&amp;")'!$D:$D"),'Tổng Đơn'!$B29),0)</f>
        <v>0</v>
      </c>
      <c r="AH29" s="2">
        <f ca="1">IFERROR(SUMIFS(INDIRECT("'Thanh Toán ("&amp;AH$3&amp;")'!$F:$F"),INDIRECT("'Thanh Toán ("&amp;AH$3&amp;")'!$D:$D"),'Tổng Đơn'!$B29),0)</f>
        <v>0</v>
      </c>
      <c r="AI29" s="2">
        <f ca="1">IFERROR(SUMIFS(INDIRECT("'Thanh Toán ("&amp;AI$3&amp;")'!$F:$F"),INDIRECT("'Thanh Toán ("&amp;AI$3&amp;")'!$D:$D"),'Tổng Đơn'!$B29),0)</f>
        <v>0</v>
      </c>
      <c r="AJ29" s="2">
        <f ca="1">IFERROR(SUMIFS(INDIRECT("'Thanh Toán ("&amp;AJ$3&amp;")'!$F:$F"),INDIRECT("'Thanh Toán ("&amp;AJ$3&amp;")'!$D:$D"),'Tổng Đơn'!$B29),0)</f>
        <v>0</v>
      </c>
      <c r="AK29" s="2">
        <f ca="1">IFERROR(SUMIFS(INDIRECT("'Thanh Toán ("&amp;AK$3&amp;")'!$F:$F"),INDIRECT("'Thanh Toán ("&amp;AK$3&amp;")'!$D:$D"),'Tổng Đơn'!$B29),0)</f>
        <v>0</v>
      </c>
      <c r="AL29" s="2">
        <f ca="1">IFERROR(SUMIFS(INDIRECT("'Thanh Toán ("&amp;AL$3&amp;")'!$F:$F"),INDIRECT("'Thanh Toán ("&amp;AL$3&amp;")'!$D:$D"),'Tổng Đơn'!$B29),0)</f>
        <v>0</v>
      </c>
      <c r="AM29" s="2">
        <f ca="1">IFERROR(SUMIFS(INDIRECT("'Thanh Toán ("&amp;AM$3&amp;")'!$F:$F"),INDIRECT("'Thanh Toán ("&amp;AM$3&amp;")'!$D:$D"),'Tổng Đơn'!$B29),0)</f>
        <v>0</v>
      </c>
      <c r="AN29" s="2">
        <f ca="1">IFERROR(SUMIFS(INDIRECT("'Thanh Toán ("&amp;AN$3&amp;")'!$F:$F"),INDIRECT("'Thanh Toán ("&amp;AN$3&amp;")'!$D:$D"),'Tổng Đơn'!$B29),0)</f>
        <v>0</v>
      </c>
      <c r="AO29" s="2">
        <f ca="1">IFERROR(SUMIFS(INDIRECT("'Thanh Toán ("&amp;AO$3&amp;")'!$F:$F"),INDIRECT("'Thanh Toán ("&amp;AO$3&amp;")'!$D:$D"),'Tổng Đơn'!$B29),0)</f>
        <v>0</v>
      </c>
      <c r="AP29" s="2">
        <f ca="1">IFERROR(SUMIFS(INDIRECT("'Thanh Toán ("&amp;AP$3&amp;")'!$F:$F"),INDIRECT("'Thanh Toán ("&amp;AP$3&amp;")'!$D:$D"),'Tổng Đơn'!$B29),0)</f>
        <v>0</v>
      </c>
      <c r="AQ29" s="2">
        <f ca="1">IFERROR(SUMIFS(INDIRECT("'Thanh Toán ("&amp;AQ$3&amp;")'!$F:$F"),INDIRECT("'Thanh Toán ("&amp;AQ$3&amp;")'!$D:$D"),'Tổng Đơn'!$B29),0)</f>
        <v>0</v>
      </c>
      <c r="AR29" s="2">
        <f ca="1">IFERROR(SUMIFS(INDIRECT("'Thanh Toán ("&amp;AR$3&amp;")'!$F:$F"),INDIRECT("'Thanh Toán ("&amp;AR$3&amp;")'!$D:$D"),'Tổng Đơn'!$B29),0)</f>
        <v>0</v>
      </c>
      <c r="AS29" s="2">
        <f ca="1">IFERROR(SUMIFS(INDIRECT("'Thanh Toán ("&amp;AS$3&amp;")'!$F:$F"),INDIRECT("'Thanh Toán ("&amp;AS$3&amp;")'!$D:$D"),'Tổng Đơn'!$B29),0)</f>
        <v>0</v>
      </c>
      <c r="AT29" s="2">
        <f ca="1">IFERROR(SUMIFS(INDIRECT("'Thanh Toán ("&amp;AT$3&amp;")'!$F:$F"),INDIRECT("'Thanh Toán ("&amp;AT$3&amp;")'!$D:$D"),'Tổng Đơn'!$B29),0)</f>
        <v>0</v>
      </c>
      <c r="AU29" s="2">
        <f ca="1">IFERROR(SUMIFS(INDIRECT("'Thanh Toán ("&amp;AU$3&amp;")'!$F:$F"),INDIRECT("'Thanh Toán ("&amp;AU$3&amp;")'!$D:$D"),'Tổng Đơn'!$B29),0)</f>
        <v>0</v>
      </c>
      <c r="AV29" s="2">
        <f ca="1">IFERROR(SUMIFS(INDIRECT("'Thanh Toán ("&amp;AV$3&amp;")'!$F:$F"),INDIRECT("'Thanh Toán ("&amp;AV$3&amp;")'!$D:$D"),'Tổng Đơn'!$B29),0)</f>
        <v>0</v>
      </c>
      <c r="AW29" s="2">
        <f ca="1">IFERROR(SUMIFS(INDIRECT("'Thanh Toán ("&amp;AW$3&amp;")'!$F:$F"),INDIRECT("'Thanh Toán ("&amp;AW$3&amp;")'!$D:$D"),'Tổng Đơn'!$B29),0)</f>
        <v>0</v>
      </c>
      <c r="AX29" s="2">
        <f ca="1">IFERROR(SUMIFS(INDIRECT("'Thanh Toán ("&amp;AX$3&amp;")'!$F:$F"),INDIRECT("'Thanh Toán ("&amp;AX$3&amp;")'!$D:$D"),'Tổng Đơn'!$B29),0)</f>
        <v>0</v>
      </c>
      <c r="AY29" s="2">
        <f ca="1">IFERROR(SUMIFS(INDIRECT("'Thanh Toán ("&amp;AY$3&amp;")'!$F:$F"),INDIRECT("'Thanh Toán ("&amp;AY$3&amp;")'!$D:$D"),'Tổng Đơn'!$B29),0)</f>
        <v>0</v>
      </c>
      <c r="AZ29" s="2">
        <f ca="1">IFERROR(SUMIFS(INDIRECT("'Thanh Toán ("&amp;AZ$3&amp;")'!$F:$F"),INDIRECT("'Thanh Toán ("&amp;AZ$3&amp;")'!$D:$D"),'Tổng Đơn'!$B29),0)</f>
        <v>0</v>
      </c>
      <c r="BA29" s="2">
        <f ca="1">IFERROR(SUMIFS(INDIRECT("'Thanh Toán ("&amp;BA$3&amp;")'!$F:$F"),INDIRECT("'Thanh Toán ("&amp;BA$3&amp;")'!$D:$D"),'Tổng Đơn'!$B29),0)</f>
        <v>0</v>
      </c>
      <c r="BB29" s="2">
        <f ca="1">IFERROR(SUMIFS(INDIRECT("'Thanh Toán ("&amp;BB$3&amp;")'!$F:$F"),INDIRECT("'Thanh Toán ("&amp;BB$3&amp;")'!$D:$D"),'Tổng Đơn'!$B29),0)</f>
        <v>0</v>
      </c>
      <c r="BC29" s="2">
        <f ca="1">IFERROR(SUMIFS(INDIRECT("'Thanh Toán ("&amp;BC$3&amp;")'!$F:$F"),INDIRECT("'Thanh Toán ("&amp;BC$3&amp;")'!$D:$D"),'Tổng Đơn'!$B29),0)</f>
        <v>0</v>
      </c>
    </row>
    <row r="30" spans="1:55" ht="18" customHeight="1" x14ac:dyDescent="0.25">
      <c r="A30" s="174">
        <v>20</v>
      </c>
      <c r="B30" s="168" t="s">
        <v>250</v>
      </c>
      <c r="C30" s="174" t="s">
        <v>66</v>
      </c>
      <c r="D30" s="169">
        <f>VLOOKUP($C30,Sheet1!$C$8:$D$98,2,0)</f>
        <v>40000</v>
      </c>
      <c r="E30" s="170">
        <v>0.5</v>
      </c>
      <c r="F30" s="171">
        <f t="shared" ca="1" si="2"/>
        <v>0</v>
      </c>
      <c r="G30" s="172">
        <f>IFERROR(VLOOKUP($B30,Gà!C:J,8,0),IFERROR(VLOOKUP($B30,TVP!C:J,7,0),IFERROR(VLOOKUP($B30,Kitkool!C:J,8,0),IFERROR(VLOOKUP($B30,'La Cusina'!C:J,8,0),VLOOKUP($B30,'Quốc Nhân'!C:J,8,0)))))</f>
        <v>33.747413756572193</v>
      </c>
      <c r="H30" s="173">
        <f t="shared" ca="1" si="10"/>
        <v>0</v>
      </c>
      <c r="I30" s="195">
        <f t="shared" si="11"/>
        <v>0.1852760122161996</v>
      </c>
      <c r="J30" s="173">
        <f t="shared" ca="1" si="12"/>
        <v>0</v>
      </c>
      <c r="K30" s="38"/>
      <c r="L30" s="2">
        <f ca="1">IFERROR(SUMIFS(INDIRECT("'Thanh Toán ("&amp;L$3&amp;")'!$F:$F"),INDIRECT("'Thanh Toán ("&amp;L$3&amp;")'!$D:$D"),'Tổng Đơn'!$B30),0)</f>
        <v>0</v>
      </c>
      <c r="M30" s="2">
        <f ca="1">IFERROR(SUMIFS(INDIRECT("'Thanh Toán ("&amp;M$3&amp;")'!$F:$F"),INDIRECT("'Thanh Toán ("&amp;M$3&amp;")'!$D:$D"),'Tổng Đơn'!$B30),0)</f>
        <v>0</v>
      </c>
      <c r="N30" s="2">
        <f ca="1">IFERROR(SUMIFS(INDIRECT("'Thanh Toán ("&amp;N$3&amp;")'!$F:$F"),INDIRECT("'Thanh Toán ("&amp;N$3&amp;")'!$D:$D"),'Tổng Đơn'!$B30),0)</f>
        <v>0</v>
      </c>
      <c r="O30" s="2">
        <f ca="1">IFERROR(SUMIFS(INDIRECT("'Thanh Toán ("&amp;O$3&amp;")'!$F:$F"),INDIRECT("'Thanh Toán ("&amp;O$3&amp;")'!$D:$D"),'Tổng Đơn'!$B30),0)</f>
        <v>0</v>
      </c>
      <c r="P30" s="2">
        <f ca="1">IFERROR(SUMIFS(INDIRECT("'Thanh Toán ("&amp;P$3&amp;")'!$F:$F"),INDIRECT("'Thanh Toán ("&amp;P$3&amp;")'!$D:$D"),'Tổng Đơn'!$B30),0)</f>
        <v>0</v>
      </c>
      <c r="Q30" s="2">
        <f ca="1">IFERROR(SUMIFS(INDIRECT("'Thanh Toán ("&amp;Q$3&amp;")'!$F:$F"),INDIRECT("'Thanh Toán ("&amp;Q$3&amp;")'!$D:$D"),'Tổng Đơn'!$B30),0)</f>
        <v>0</v>
      </c>
      <c r="R30" s="2">
        <f ca="1">IFERROR(SUMIFS(INDIRECT("'Thanh Toán ("&amp;R$3&amp;")'!$F:$F"),INDIRECT("'Thanh Toán ("&amp;R$3&amp;")'!$D:$D"),'Tổng Đơn'!$B30),0)</f>
        <v>0</v>
      </c>
      <c r="S30" s="2">
        <f ca="1">IFERROR(SUMIFS(INDIRECT("'Thanh Toán ("&amp;S$3&amp;")'!$F:$F"),INDIRECT("'Thanh Toán ("&amp;S$3&amp;")'!$D:$D"),'Tổng Đơn'!$B30),0)</f>
        <v>0</v>
      </c>
      <c r="T30" s="2">
        <f ca="1">IFERROR(SUMIFS(INDIRECT("'Thanh Toán ("&amp;T$3&amp;")'!$F:$F"),INDIRECT("'Thanh Toán ("&amp;T$3&amp;")'!$D:$D"),'Tổng Đơn'!$B30),0)</f>
        <v>0</v>
      </c>
      <c r="U30" s="2">
        <f ca="1">IFERROR(SUMIFS(INDIRECT("'Thanh Toán ("&amp;U$3&amp;")'!$F:$F"),INDIRECT("'Thanh Toán ("&amp;U$3&amp;")'!$D:$D"),'Tổng Đơn'!$B30),0)</f>
        <v>0</v>
      </c>
      <c r="V30" s="2">
        <f ca="1">IFERROR(SUMIFS(INDIRECT("'Thanh Toán ("&amp;V$3&amp;")'!$F:$F"),INDIRECT("'Thanh Toán ("&amp;V$3&amp;")'!$D:$D"),'Tổng Đơn'!$B30),0)</f>
        <v>0</v>
      </c>
      <c r="W30" s="2">
        <f ca="1">IFERROR(SUMIFS(INDIRECT("'Thanh Toán ("&amp;W$3&amp;")'!$F:$F"),INDIRECT("'Thanh Toán ("&amp;W$3&amp;")'!$D:$D"),'Tổng Đơn'!$B30),0)</f>
        <v>0</v>
      </c>
      <c r="X30" s="2">
        <f ca="1">IFERROR(SUMIFS(INDIRECT("'Thanh Toán ("&amp;X$3&amp;")'!$F:$F"),INDIRECT("'Thanh Toán ("&amp;X$3&amp;")'!$D:$D"),'Tổng Đơn'!$B30),0)</f>
        <v>0</v>
      </c>
      <c r="Y30" s="2">
        <f ca="1">IFERROR(SUMIFS(INDIRECT("'Thanh Toán ("&amp;Y$3&amp;")'!$F:$F"),INDIRECT("'Thanh Toán ("&amp;Y$3&amp;")'!$D:$D"),'Tổng Đơn'!$B30),0)</f>
        <v>0</v>
      </c>
      <c r="Z30" s="2">
        <f ca="1">IFERROR(SUMIFS(INDIRECT("'Thanh Toán ("&amp;Z$3&amp;")'!$F:$F"),INDIRECT("'Thanh Toán ("&amp;Z$3&amp;")'!$D:$D"),'Tổng Đơn'!$B30),0)</f>
        <v>0</v>
      </c>
      <c r="AA30" s="2">
        <f ca="1">IFERROR(SUMIFS(INDIRECT("'Thanh Toán ("&amp;AA$3&amp;")'!$F:$F"),INDIRECT("'Thanh Toán ("&amp;AA$3&amp;")'!$D:$D"),'Tổng Đơn'!$B30),0)</f>
        <v>0</v>
      </c>
      <c r="AB30" s="2">
        <f ca="1">IFERROR(SUMIFS(INDIRECT("'Thanh Toán ("&amp;AB$3&amp;")'!$F:$F"),INDIRECT("'Thanh Toán ("&amp;AB$3&amp;")'!$D:$D"),'Tổng Đơn'!$B30),0)</f>
        <v>0</v>
      </c>
      <c r="AC30" s="2">
        <f ca="1">IFERROR(SUMIFS(INDIRECT("'Thanh Toán ("&amp;AC$3&amp;")'!$F:$F"),INDIRECT("'Thanh Toán ("&amp;AC$3&amp;")'!$D:$D"),'Tổng Đơn'!$B30),0)</f>
        <v>0</v>
      </c>
      <c r="AD30" s="2">
        <f ca="1">IFERROR(SUMIFS(INDIRECT("'Thanh Toán ("&amp;AD$3&amp;")'!$F:$F"),INDIRECT("'Thanh Toán ("&amp;AD$3&amp;")'!$D:$D"),'Tổng Đơn'!$B30),0)</f>
        <v>0</v>
      </c>
      <c r="AE30" s="2">
        <f ca="1">IFERROR(SUMIFS(INDIRECT("'Thanh Toán ("&amp;AE$3&amp;")'!$F:$F"),INDIRECT("'Thanh Toán ("&amp;AE$3&amp;")'!$D:$D"),'Tổng Đơn'!$B30),0)</f>
        <v>0</v>
      </c>
      <c r="AF30" s="2">
        <f ca="1">IFERROR(SUMIFS(INDIRECT("'Thanh Toán ("&amp;AF$3&amp;")'!$F:$F"),INDIRECT("'Thanh Toán ("&amp;AF$3&amp;")'!$D:$D"),'Tổng Đơn'!$B30),0)</f>
        <v>0</v>
      </c>
      <c r="AG30" s="2">
        <f ca="1">IFERROR(SUMIFS(INDIRECT("'Thanh Toán ("&amp;AG$3&amp;")'!$F:$F"),INDIRECT("'Thanh Toán ("&amp;AG$3&amp;")'!$D:$D"),'Tổng Đơn'!$B30),0)</f>
        <v>0</v>
      </c>
      <c r="AH30" s="2">
        <f ca="1">IFERROR(SUMIFS(INDIRECT("'Thanh Toán ("&amp;AH$3&amp;")'!$F:$F"),INDIRECT("'Thanh Toán ("&amp;AH$3&amp;")'!$D:$D"),'Tổng Đơn'!$B30),0)</f>
        <v>0</v>
      </c>
      <c r="AI30" s="2">
        <f ca="1">IFERROR(SUMIFS(INDIRECT("'Thanh Toán ("&amp;AI$3&amp;")'!$F:$F"),INDIRECT("'Thanh Toán ("&amp;AI$3&amp;")'!$D:$D"),'Tổng Đơn'!$B30),0)</f>
        <v>0</v>
      </c>
      <c r="AJ30" s="2">
        <f ca="1">IFERROR(SUMIFS(INDIRECT("'Thanh Toán ("&amp;AJ$3&amp;")'!$F:$F"),INDIRECT("'Thanh Toán ("&amp;AJ$3&amp;")'!$D:$D"),'Tổng Đơn'!$B30),0)</f>
        <v>0</v>
      </c>
      <c r="AK30" s="2">
        <f ca="1">IFERROR(SUMIFS(INDIRECT("'Thanh Toán ("&amp;AK$3&amp;")'!$F:$F"),INDIRECT("'Thanh Toán ("&amp;AK$3&amp;")'!$D:$D"),'Tổng Đơn'!$B30),0)</f>
        <v>0</v>
      </c>
      <c r="AL30" s="2">
        <f ca="1">IFERROR(SUMIFS(INDIRECT("'Thanh Toán ("&amp;AL$3&amp;")'!$F:$F"),INDIRECT("'Thanh Toán ("&amp;AL$3&amp;")'!$D:$D"),'Tổng Đơn'!$B30),0)</f>
        <v>0</v>
      </c>
      <c r="AM30" s="2">
        <f ca="1">IFERROR(SUMIFS(INDIRECT("'Thanh Toán ("&amp;AM$3&amp;")'!$F:$F"),INDIRECT("'Thanh Toán ("&amp;AM$3&amp;")'!$D:$D"),'Tổng Đơn'!$B30),0)</f>
        <v>0</v>
      </c>
      <c r="AN30" s="2">
        <f ca="1">IFERROR(SUMIFS(INDIRECT("'Thanh Toán ("&amp;AN$3&amp;")'!$F:$F"),INDIRECT("'Thanh Toán ("&amp;AN$3&amp;")'!$D:$D"),'Tổng Đơn'!$B30),0)</f>
        <v>0</v>
      </c>
      <c r="AO30" s="2">
        <f ca="1">IFERROR(SUMIFS(INDIRECT("'Thanh Toán ("&amp;AO$3&amp;")'!$F:$F"),INDIRECT("'Thanh Toán ("&amp;AO$3&amp;")'!$D:$D"),'Tổng Đơn'!$B30),0)</f>
        <v>0</v>
      </c>
      <c r="AP30" s="2">
        <f ca="1">IFERROR(SUMIFS(INDIRECT("'Thanh Toán ("&amp;AP$3&amp;")'!$F:$F"),INDIRECT("'Thanh Toán ("&amp;AP$3&amp;")'!$D:$D"),'Tổng Đơn'!$B30),0)</f>
        <v>0</v>
      </c>
      <c r="AQ30" s="2">
        <f ca="1">IFERROR(SUMIFS(INDIRECT("'Thanh Toán ("&amp;AQ$3&amp;")'!$F:$F"),INDIRECT("'Thanh Toán ("&amp;AQ$3&amp;")'!$D:$D"),'Tổng Đơn'!$B30),0)</f>
        <v>0</v>
      </c>
      <c r="AR30" s="2">
        <f ca="1">IFERROR(SUMIFS(INDIRECT("'Thanh Toán ("&amp;AR$3&amp;")'!$F:$F"),INDIRECT("'Thanh Toán ("&amp;AR$3&amp;")'!$D:$D"),'Tổng Đơn'!$B30),0)</f>
        <v>0</v>
      </c>
      <c r="AS30" s="2">
        <f ca="1">IFERROR(SUMIFS(INDIRECT("'Thanh Toán ("&amp;AS$3&amp;")'!$F:$F"),INDIRECT("'Thanh Toán ("&amp;AS$3&amp;")'!$D:$D"),'Tổng Đơn'!$B30),0)</f>
        <v>0</v>
      </c>
      <c r="AT30" s="2">
        <f ca="1">IFERROR(SUMIFS(INDIRECT("'Thanh Toán ("&amp;AT$3&amp;")'!$F:$F"),INDIRECT("'Thanh Toán ("&amp;AT$3&amp;")'!$D:$D"),'Tổng Đơn'!$B30),0)</f>
        <v>0</v>
      </c>
      <c r="AU30" s="2">
        <f ca="1">IFERROR(SUMIFS(INDIRECT("'Thanh Toán ("&amp;AU$3&amp;")'!$F:$F"),INDIRECT("'Thanh Toán ("&amp;AU$3&amp;")'!$D:$D"),'Tổng Đơn'!$B30),0)</f>
        <v>0</v>
      </c>
      <c r="AV30" s="2">
        <f ca="1">IFERROR(SUMIFS(INDIRECT("'Thanh Toán ("&amp;AV$3&amp;")'!$F:$F"),INDIRECT("'Thanh Toán ("&amp;AV$3&amp;")'!$D:$D"),'Tổng Đơn'!$B30),0)</f>
        <v>0</v>
      </c>
      <c r="AW30" s="2">
        <f ca="1">IFERROR(SUMIFS(INDIRECT("'Thanh Toán ("&amp;AW$3&amp;")'!$F:$F"),INDIRECT("'Thanh Toán ("&amp;AW$3&amp;")'!$D:$D"),'Tổng Đơn'!$B30),0)</f>
        <v>0</v>
      </c>
      <c r="AX30" s="2">
        <f ca="1">IFERROR(SUMIFS(INDIRECT("'Thanh Toán ("&amp;AX$3&amp;")'!$F:$F"),INDIRECT("'Thanh Toán ("&amp;AX$3&amp;")'!$D:$D"),'Tổng Đơn'!$B30),0)</f>
        <v>0</v>
      </c>
      <c r="AY30" s="2">
        <f ca="1">IFERROR(SUMIFS(INDIRECT("'Thanh Toán ("&amp;AY$3&amp;")'!$F:$F"),INDIRECT("'Thanh Toán ("&amp;AY$3&amp;")'!$D:$D"),'Tổng Đơn'!$B30),0)</f>
        <v>0</v>
      </c>
      <c r="AZ30" s="2">
        <f ca="1">IFERROR(SUMIFS(INDIRECT("'Thanh Toán ("&amp;AZ$3&amp;")'!$F:$F"),INDIRECT("'Thanh Toán ("&amp;AZ$3&amp;")'!$D:$D"),'Tổng Đơn'!$B30),0)</f>
        <v>0</v>
      </c>
      <c r="BA30" s="2">
        <f ca="1">IFERROR(SUMIFS(INDIRECT("'Thanh Toán ("&amp;BA$3&amp;")'!$F:$F"),INDIRECT("'Thanh Toán ("&amp;BA$3&amp;")'!$D:$D"),'Tổng Đơn'!$B30),0)</f>
        <v>0</v>
      </c>
      <c r="BB30" s="2">
        <f ca="1">IFERROR(SUMIFS(INDIRECT("'Thanh Toán ("&amp;BB$3&amp;")'!$F:$F"),INDIRECT("'Thanh Toán ("&amp;BB$3&amp;")'!$D:$D"),'Tổng Đơn'!$B30),0)</f>
        <v>0</v>
      </c>
      <c r="BC30" s="2">
        <f ca="1">IFERROR(SUMIFS(INDIRECT("'Thanh Toán ("&amp;BC$3&amp;")'!$F:$F"),INDIRECT("'Thanh Toán ("&amp;BC$3&amp;")'!$D:$D"),'Tổng Đơn'!$B30),0)</f>
        <v>0</v>
      </c>
    </row>
    <row r="31" spans="1:55" ht="18" customHeight="1" x14ac:dyDescent="0.25">
      <c r="A31" s="167">
        <v>21</v>
      </c>
      <c r="B31" s="168" t="s">
        <v>26</v>
      </c>
      <c r="C31" s="167" t="s">
        <v>67</v>
      </c>
      <c r="D31" s="169">
        <f>VLOOKUP($C31,Sheet1!$C$8:$D$98,2,0)</f>
        <v>50000</v>
      </c>
      <c r="E31" s="170">
        <v>0.5</v>
      </c>
      <c r="F31" s="171">
        <f t="shared" ca="1" si="2"/>
        <v>1</v>
      </c>
      <c r="G31" s="172">
        <f>IFERROR(VLOOKUP($B31,Gà!C:J,8,0),IFERROR(VLOOKUP($B31,TVP!C:J,7,0),IFERROR(VLOOKUP($B31,Kitkool!C:J,8,0),IFERROR(VLOOKUP($B31,'La Cusina'!C:J,8,0),VLOOKUP($B31,'Quốc Nhân'!C:J,8,0)))))</f>
        <v>40.905956068572358</v>
      </c>
      <c r="H31" s="173">
        <f t="shared" ca="1" si="10"/>
        <v>9094.0439314276446</v>
      </c>
      <c r="I31" s="195">
        <f t="shared" si="11"/>
        <v>0.22231588759795562</v>
      </c>
      <c r="J31" s="173">
        <f t="shared" ca="1" si="12"/>
        <v>40905.956068572355</v>
      </c>
      <c r="K31" s="38"/>
      <c r="L31" s="2">
        <f ca="1">IFERROR(SUMIFS(INDIRECT("'Thanh Toán ("&amp;L$3&amp;")'!$F:$F"),INDIRECT("'Thanh Toán ("&amp;L$3&amp;")'!$D:$D"),'Tổng Đơn'!$B31),0)</f>
        <v>0</v>
      </c>
      <c r="M31" s="2">
        <f ca="1">IFERROR(SUMIFS(INDIRECT("'Thanh Toán ("&amp;M$3&amp;")'!$F:$F"),INDIRECT("'Thanh Toán ("&amp;M$3&amp;")'!$D:$D"),'Tổng Đơn'!$B31),0)</f>
        <v>0</v>
      </c>
      <c r="N31" s="2">
        <f ca="1">IFERROR(SUMIFS(INDIRECT("'Thanh Toán ("&amp;N$3&amp;")'!$F:$F"),INDIRECT("'Thanh Toán ("&amp;N$3&amp;")'!$D:$D"),'Tổng Đơn'!$B31),0)</f>
        <v>0</v>
      </c>
      <c r="O31" s="2">
        <f ca="1">IFERROR(SUMIFS(INDIRECT("'Thanh Toán ("&amp;O$3&amp;")'!$F:$F"),INDIRECT("'Thanh Toán ("&amp;O$3&amp;")'!$D:$D"),'Tổng Đơn'!$B31),0)</f>
        <v>0</v>
      </c>
      <c r="P31" s="2">
        <f ca="1">IFERROR(SUMIFS(INDIRECT("'Thanh Toán ("&amp;P$3&amp;")'!$F:$F"),INDIRECT("'Thanh Toán ("&amp;P$3&amp;")'!$D:$D"),'Tổng Đơn'!$B31),0)</f>
        <v>0</v>
      </c>
      <c r="Q31" s="2">
        <f ca="1">IFERROR(SUMIFS(INDIRECT("'Thanh Toán ("&amp;Q$3&amp;")'!$F:$F"),INDIRECT("'Thanh Toán ("&amp;Q$3&amp;")'!$D:$D"),'Tổng Đơn'!$B31),0)</f>
        <v>1</v>
      </c>
      <c r="R31" s="2">
        <f ca="1">IFERROR(SUMIFS(INDIRECT("'Thanh Toán ("&amp;R$3&amp;")'!$F:$F"),INDIRECT("'Thanh Toán ("&amp;R$3&amp;")'!$D:$D"),'Tổng Đơn'!$B31),0)</f>
        <v>0</v>
      </c>
      <c r="S31" s="2">
        <f ca="1">IFERROR(SUMIFS(INDIRECT("'Thanh Toán ("&amp;S$3&amp;")'!$F:$F"),INDIRECT("'Thanh Toán ("&amp;S$3&amp;")'!$D:$D"),'Tổng Đơn'!$B31),0)</f>
        <v>0</v>
      </c>
      <c r="T31" s="2">
        <f ca="1">IFERROR(SUMIFS(INDIRECT("'Thanh Toán ("&amp;T$3&amp;")'!$F:$F"),INDIRECT("'Thanh Toán ("&amp;T$3&amp;")'!$D:$D"),'Tổng Đơn'!$B31),0)</f>
        <v>0</v>
      </c>
      <c r="U31" s="2">
        <f ca="1">IFERROR(SUMIFS(INDIRECT("'Thanh Toán ("&amp;U$3&amp;")'!$F:$F"),INDIRECT("'Thanh Toán ("&amp;U$3&amp;")'!$D:$D"),'Tổng Đơn'!$B31),0)</f>
        <v>0</v>
      </c>
      <c r="V31" s="2">
        <f ca="1">IFERROR(SUMIFS(INDIRECT("'Thanh Toán ("&amp;V$3&amp;")'!$F:$F"),INDIRECT("'Thanh Toán ("&amp;V$3&amp;")'!$D:$D"),'Tổng Đơn'!$B31),0)</f>
        <v>0</v>
      </c>
      <c r="W31" s="2">
        <f ca="1">IFERROR(SUMIFS(INDIRECT("'Thanh Toán ("&amp;W$3&amp;")'!$F:$F"),INDIRECT("'Thanh Toán ("&amp;W$3&amp;")'!$D:$D"),'Tổng Đơn'!$B31),0)</f>
        <v>0</v>
      </c>
      <c r="X31" s="2">
        <f ca="1">IFERROR(SUMIFS(INDIRECT("'Thanh Toán ("&amp;X$3&amp;")'!$F:$F"),INDIRECT("'Thanh Toán ("&amp;X$3&amp;")'!$D:$D"),'Tổng Đơn'!$B31),0)</f>
        <v>0</v>
      </c>
      <c r="Y31" s="2">
        <f ca="1">IFERROR(SUMIFS(INDIRECT("'Thanh Toán ("&amp;Y$3&amp;")'!$F:$F"),INDIRECT("'Thanh Toán ("&amp;Y$3&amp;")'!$D:$D"),'Tổng Đơn'!$B31),0)</f>
        <v>0</v>
      </c>
      <c r="Z31" s="2">
        <f ca="1">IFERROR(SUMIFS(INDIRECT("'Thanh Toán ("&amp;Z$3&amp;")'!$F:$F"),INDIRECT("'Thanh Toán ("&amp;Z$3&amp;")'!$D:$D"),'Tổng Đơn'!$B31),0)</f>
        <v>0</v>
      </c>
      <c r="AA31" s="2">
        <f ca="1">IFERROR(SUMIFS(INDIRECT("'Thanh Toán ("&amp;AA$3&amp;")'!$F:$F"),INDIRECT("'Thanh Toán ("&amp;AA$3&amp;")'!$D:$D"),'Tổng Đơn'!$B31),0)</f>
        <v>0</v>
      </c>
      <c r="AB31" s="2">
        <f ca="1">IFERROR(SUMIFS(INDIRECT("'Thanh Toán ("&amp;AB$3&amp;")'!$F:$F"),INDIRECT("'Thanh Toán ("&amp;AB$3&amp;")'!$D:$D"),'Tổng Đơn'!$B31),0)</f>
        <v>0</v>
      </c>
      <c r="AC31" s="2">
        <f ca="1">IFERROR(SUMIFS(INDIRECT("'Thanh Toán ("&amp;AC$3&amp;")'!$F:$F"),INDIRECT("'Thanh Toán ("&amp;AC$3&amp;")'!$D:$D"),'Tổng Đơn'!$B31),0)</f>
        <v>0</v>
      </c>
      <c r="AD31" s="2">
        <f ca="1">IFERROR(SUMIFS(INDIRECT("'Thanh Toán ("&amp;AD$3&amp;")'!$F:$F"),INDIRECT("'Thanh Toán ("&amp;AD$3&amp;")'!$D:$D"),'Tổng Đơn'!$B31),0)</f>
        <v>0</v>
      </c>
      <c r="AE31" s="2">
        <f ca="1">IFERROR(SUMIFS(INDIRECT("'Thanh Toán ("&amp;AE$3&amp;")'!$F:$F"),INDIRECT("'Thanh Toán ("&amp;AE$3&amp;")'!$D:$D"),'Tổng Đơn'!$B31),0)</f>
        <v>0</v>
      </c>
      <c r="AF31" s="2">
        <f ca="1">IFERROR(SUMIFS(INDIRECT("'Thanh Toán ("&amp;AF$3&amp;")'!$F:$F"),INDIRECT("'Thanh Toán ("&amp;AF$3&amp;")'!$D:$D"),'Tổng Đơn'!$B31),0)</f>
        <v>0</v>
      </c>
      <c r="AG31" s="2">
        <f ca="1">IFERROR(SUMIFS(INDIRECT("'Thanh Toán ("&amp;AG$3&amp;")'!$F:$F"),INDIRECT("'Thanh Toán ("&amp;AG$3&amp;")'!$D:$D"),'Tổng Đơn'!$B31),0)</f>
        <v>0</v>
      </c>
      <c r="AH31" s="2">
        <f ca="1">IFERROR(SUMIFS(INDIRECT("'Thanh Toán ("&amp;AH$3&amp;")'!$F:$F"),INDIRECT("'Thanh Toán ("&amp;AH$3&amp;")'!$D:$D"),'Tổng Đơn'!$B31),0)</f>
        <v>0</v>
      </c>
      <c r="AI31" s="2">
        <f ca="1">IFERROR(SUMIFS(INDIRECT("'Thanh Toán ("&amp;AI$3&amp;")'!$F:$F"),INDIRECT("'Thanh Toán ("&amp;AI$3&amp;")'!$D:$D"),'Tổng Đơn'!$B31),0)</f>
        <v>0</v>
      </c>
      <c r="AJ31" s="2">
        <f ca="1">IFERROR(SUMIFS(INDIRECT("'Thanh Toán ("&amp;AJ$3&amp;")'!$F:$F"),INDIRECT("'Thanh Toán ("&amp;AJ$3&amp;")'!$D:$D"),'Tổng Đơn'!$B31),0)</f>
        <v>0</v>
      </c>
      <c r="AK31" s="2">
        <f ca="1">IFERROR(SUMIFS(INDIRECT("'Thanh Toán ("&amp;AK$3&amp;")'!$F:$F"),INDIRECT("'Thanh Toán ("&amp;AK$3&amp;")'!$D:$D"),'Tổng Đơn'!$B31),0)</f>
        <v>0</v>
      </c>
      <c r="AL31" s="2">
        <f ca="1">IFERROR(SUMIFS(INDIRECT("'Thanh Toán ("&amp;AL$3&amp;")'!$F:$F"),INDIRECT("'Thanh Toán ("&amp;AL$3&amp;")'!$D:$D"),'Tổng Đơn'!$B31),0)</f>
        <v>0</v>
      </c>
      <c r="AM31" s="2">
        <f ca="1">IFERROR(SUMIFS(INDIRECT("'Thanh Toán ("&amp;AM$3&amp;")'!$F:$F"),INDIRECT("'Thanh Toán ("&amp;AM$3&amp;")'!$D:$D"),'Tổng Đơn'!$B31),0)</f>
        <v>0</v>
      </c>
      <c r="AN31" s="2">
        <f ca="1">IFERROR(SUMIFS(INDIRECT("'Thanh Toán ("&amp;AN$3&amp;")'!$F:$F"),INDIRECT("'Thanh Toán ("&amp;AN$3&amp;")'!$D:$D"),'Tổng Đơn'!$B31),0)</f>
        <v>0</v>
      </c>
      <c r="AO31" s="2">
        <f ca="1">IFERROR(SUMIFS(INDIRECT("'Thanh Toán ("&amp;AO$3&amp;")'!$F:$F"),INDIRECT("'Thanh Toán ("&amp;AO$3&amp;")'!$D:$D"),'Tổng Đơn'!$B31),0)</f>
        <v>0</v>
      </c>
      <c r="AP31" s="2">
        <f ca="1">IFERROR(SUMIFS(INDIRECT("'Thanh Toán ("&amp;AP$3&amp;")'!$F:$F"),INDIRECT("'Thanh Toán ("&amp;AP$3&amp;")'!$D:$D"),'Tổng Đơn'!$B31),0)</f>
        <v>0</v>
      </c>
      <c r="AQ31" s="2">
        <f ca="1">IFERROR(SUMIFS(INDIRECT("'Thanh Toán ("&amp;AQ$3&amp;")'!$F:$F"),INDIRECT("'Thanh Toán ("&amp;AQ$3&amp;")'!$D:$D"),'Tổng Đơn'!$B31),0)</f>
        <v>0</v>
      </c>
      <c r="AR31" s="2">
        <f ca="1">IFERROR(SUMIFS(INDIRECT("'Thanh Toán ("&amp;AR$3&amp;")'!$F:$F"),INDIRECT("'Thanh Toán ("&amp;AR$3&amp;")'!$D:$D"),'Tổng Đơn'!$B31),0)</f>
        <v>0</v>
      </c>
      <c r="AS31" s="2">
        <f ca="1">IFERROR(SUMIFS(INDIRECT("'Thanh Toán ("&amp;AS$3&amp;")'!$F:$F"),INDIRECT("'Thanh Toán ("&amp;AS$3&amp;")'!$D:$D"),'Tổng Đơn'!$B31),0)</f>
        <v>0</v>
      </c>
      <c r="AT31" s="2">
        <f ca="1">IFERROR(SUMIFS(INDIRECT("'Thanh Toán ("&amp;AT$3&amp;")'!$F:$F"),INDIRECT("'Thanh Toán ("&amp;AT$3&amp;")'!$D:$D"),'Tổng Đơn'!$B31),0)</f>
        <v>0</v>
      </c>
      <c r="AU31" s="2">
        <f ca="1">IFERROR(SUMIFS(INDIRECT("'Thanh Toán ("&amp;AU$3&amp;")'!$F:$F"),INDIRECT("'Thanh Toán ("&amp;AU$3&amp;")'!$D:$D"),'Tổng Đơn'!$B31),0)</f>
        <v>0</v>
      </c>
      <c r="AV31" s="2">
        <f ca="1">IFERROR(SUMIFS(INDIRECT("'Thanh Toán ("&amp;AV$3&amp;")'!$F:$F"),INDIRECT("'Thanh Toán ("&amp;AV$3&amp;")'!$D:$D"),'Tổng Đơn'!$B31),0)</f>
        <v>0</v>
      </c>
      <c r="AW31" s="2">
        <f ca="1">IFERROR(SUMIFS(INDIRECT("'Thanh Toán ("&amp;AW$3&amp;")'!$F:$F"),INDIRECT("'Thanh Toán ("&amp;AW$3&amp;")'!$D:$D"),'Tổng Đơn'!$B31),0)</f>
        <v>0</v>
      </c>
      <c r="AX31" s="2">
        <f ca="1">IFERROR(SUMIFS(INDIRECT("'Thanh Toán ("&amp;AX$3&amp;")'!$F:$F"),INDIRECT("'Thanh Toán ("&amp;AX$3&amp;")'!$D:$D"),'Tổng Đơn'!$B31),0)</f>
        <v>0</v>
      </c>
      <c r="AY31" s="2">
        <f ca="1">IFERROR(SUMIFS(INDIRECT("'Thanh Toán ("&amp;AY$3&amp;")'!$F:$F"),INDIRECT("'Thanh Toán ("&amp;AY$3&amp;")'!$D:$D"),'Tổng Đơn'!$B31),0)</f>
        <v>0</v>
      </c>
      <c r="AZ31" s="2">
        <f ca="1">IFERROR(SUMIFS(INDIRECT("'Thanh Toán ("&amp;AZ$3&amp;")'!$F:$F"),INDIRECT("'Thanh Toán ("&amp;AZ$3&amp;")'!$D:$D"),'Tổng Đơn'!$B31),0)</f>
        <v>0</v>
      </c>
      <c r="BA31" s="2">
        <f ca="1">IFERROR(SUMIFS(INDIRECT("'Thanh Toán ("&amp;BA$3&amp;")'!$F:$F"),INDIRECT("'Thanh Toán ("&amp;BA$3&amp;")'!$D:$D"),'Tổng Đơn'!$B31),0)</f>
        <v>0</v>
      </c>
      <c r="BB31" s="2">
        <f ca="1">IFERROR(SUMIFS(INDIRECT("'Thanh Toán ("&amp;BB$3&amp;")'!$F:$F"),INDIRECT("'Thanh Toán ("&amp;BB$3&amp;")'!$D:$D"),'Tổng Đơn'!$B31),0)</f>
        <v>0</v>
      </c>
      <c r="BC31" s="2">
        <f ca="1">IFERROR(SUMIFS(INDIRECT("'Thanh Toán ("&amp;BC$3&amp;")'!$F:$F"),INDIRECT("'Thanh Toán ("&amp;BC$3&amp;")'!$D:$D"),'Tổng Đơn'!$B31),0)</f>
        <v>0</v>
      </c>
    </row>
    <row r="32" spans="1:55" ht="18" customHeight="1" x14ac:dyDescent="0.25">
      <c r="A32" s="167">
        <v>22</v>
      </c>
      <c r="B32" s="168" t="s">
        <v>34</v>
      </c>
      <c r="C32" s="174" t="s">
        <v>68</v>
      </c>
      <c r="D32" s="169">
        <f>VLOOKUP($C32,Sheet1!$C$8:$D$98,2,0)</f>
        <v>32000</v>
      </c>
      <c r="E32" s="170">
        <v>0.5</v>
      </c>
      <c r="F32" s="171">
        <f t="shared" ca="1" si="2"/>
        <v>0</v>
      </c>
      <c r="G32" s="172">
        <f>IFERROR(VLOOKUP($B32,Gà!C:J,8,0),IFERROR(VLOOKUP($B32,TVP!C:J,7,0),IFERROR(VLOOKUP($B32,Kitkool!C:J,8,0),IFERROR(VLOOKUP($B32,'La Cusina'!C:J,8,0),VLOOKUP($B32,'Quốc Nhân'!C:J,8,0)))))</f>
        <v>26.621803079549558</v>
      </c>
      <c r="H32" s="173">
        <f t="shared" ca="1" si="10"/>
        <v>0</v>
      </c>
      <c r="I32" s="195">
        <f t="shared" si="11"/>
        <v>0.20202226364531595</v>
      </c>
      <c r="J32" s="173">
        <f t="shared" ca="1" si="12"/>
        <v>0</v>
      </c>
      <c r="K32" s="38"/>
      <c r="L32" s="2">
        <f ca="1">IFERROR(SUMIFS(INDIRECT("'Thanh Toán ("&amp;L$3&amp;")'!$F:$F"),INDIRECT("'Thanh Toán ("&amp;L$3&amp;")'!$D:$D"),'Tổng Đơn'!$B32),0)</f>
        <v>0</v>
      </c>
      <c r="M32" s="2">
        <f ca="1">IFERROR(SUMIFS(INDIRECT("'Thanh Toán ("&amp;M$3&amp;")'!$F:$F"),INDIRECT("'Thanh Toán ("&amp;M$3&amp;")'!$D:$D"),'Tổng Đơn'!$B32),0)</f>
        <v>0</v>
      </c>
      <c r="N32" s="2">
        <f ca="1">IFERROR(SUMIFS(INDIRECT("'Thanh Toán ("&amp;N$3&amp;")'!$F:$F"),INDIRECT("'Thanh Toán ("&amp;N$3&amp;")'!$D:$D"),'Tổng Đơn'!$B32),0)</f>
        <v>0</v>
      </c>
      <c r="O32" s="2">
        <f ca="1">IFERROR(SUMIFS(INDIRECT("'Thanh Toán ("&amp;O$3&amp;")'!$F:$F"),INDIRECT("'Thanh Toán ("&amp;O$3&amp;")'!$D:$D"),'Tổng Đơn'!$B32),0)</f>
        <v>0</v>
      </c>
      <c r="P32" s="2">
        <f ca="1">IFERROR(SUMIFS(INDIRECT("'Thanh Toán ("&amp;P$3&amp;")'!$F:$F"),INDIRECT("'Thanh Toán ("&amp;P$3&amp;")'!$D:$D"),'Tổng Đơn'!$B32),0)</f>
        <v>0</v>
      </c>
      <c r="Q32" s="2">
        <f ca="1">IFERROR(SUMIFS(INDIRECT("'Thanh Toán ("&amp;Q$3&amp;")'!$F:$F"),INDIRECT("'Thanh Toán ("&amp;Q$3&amp;")'!$D:$D"),'Tổng Đơn'!$B32),0)</f>
        <v>0</v>
      </c>
      <c r="R32" s="2">
        <f ca="1">IFERROR(SUMIFS(INDIRECT("'Thanh Toán ("&amp;R$3&amp;")'!$F:$F"),INDIRECT("'Thanh Toán ("&amp;R$3&amp;")'!$D:$D"),'Tổng Đơn'!$B32),0)</f>
        <v>0</v>
      </c>
      <c r="S32" s="2">
        <f ca="1">IFERROR(SUMIFS(INDIRECT("'Thanh Toán ("&amp;S$3&amp;")'!$F:$F"),INDIRECT("'Thanh Toán ("&amp;S$3&amp;")'!$D:$D"),'Tổng Đơn'!$B32),0)</f>
        <v>0</v>
      </c>
      <c r="T32" s="2">
        <f ca="1">IFERROR(SUMIFS(INDIRECT("'Thanh Toán ("&amp;T$3&amp;")'!$F:$F"),INDIRECT("'Thanh Toán ("&amp;T$3&amp;")'!$D:$D"),'Tổng Đơn'!$B32),0)</f>
        <v>0</v>
      </c>
      <c r="U32" s="2">
        <f ca="1">IFERROR(SUMIFS(INDIRECT("'Thanh Toán ("&amp;U$3&amp;")'!$F:$F"),INDIRECT("'Thanh Toán ("&amp;U$3&amp;")'!$D:$D"),'Tổng Đơn'!$B32),0)</f>
        <v>0</v>
      </c>
      <c r="V32" s="2">
        <f ca="1">IFERROR(SUMIFS(INDIRECT("'Thanh Toán ("&amp;V$3&amp;")'!$F:$F"),INDIRECT("'Thanh Toán ("&amp;V$3&amp;")'!$D:$D"),'Tổng Đơn'!$B32),0)</f>
        <v>0</v>
      </c>
      <c r="W32" s="2">
        <f ca="1">IFERROR(SUMIFS(INDIRECT("'Thanh Toán ("&amp;W$3&amp;")'!$F:$F"),INDIRECT("'Thanh Toán ("&amp;W$3&amp;")'!$D:$D"),'Tổng Đơn'!$B32),0)</f>
        <v>0</v>
      </c>
      <c r="X32" s="2">
        <f ca="1">IFERROR(SUMIFS(INDIRECT("'Thanh Toán ("&amp;X$3&amp;")'!$F:$F"),INDIRECT("'Thanh Toán ("&amp;X$3&amp;")'!$D:$D"),'Tổng Đơn'!$B32),0)</f>
        <v>0</v>
      </c>
      <c r="Y32" s="2">
        <f ca="1">IFERROR(SUMIFS(INDIRECT("'Thanh Toán ("&amp;Y$3&amp;")'!$F:$F"),INDIRECT("'Thanh Toán ("&amp;Y$3&amp;")'!$D:$D"),'Tổng Đơn'!$B32),0)</f>
        <v>0</v>
      </c>
      <c r="Z32" s="2">
        <f ca="1">IFERROR(SUMIFS(INDIRECT("'Thanh Toán ("&amp;Z$3&amp;")'!$F:$F"),INDIRECT("'Thanh Toán ("&amp;Z$3&amp;")'!$D:$D"),'Tổng Đơn'!$B32),0)</f>
        <v>0</v>
      </c>
      <c r="AA32" s="2">
        <f ca="1">IFERROR(SUMIFS(INDIRECT("'Thanh Toán ("&amp;AA$3&amp;")'!$F:$F"),INDIRECT("'Thanh Toán ("&amp;AA$3&amp;")'!$D:$D"),'Tổng Đơn'!$B32),0)</f>
        <v>0</v>
      </c>
      <c r="AB32" s="2">
        <f ca="1">IFERROR(SUMIFS(INDIRECT("'Thanh Toán ("&amp;AB$3&amp;")'!$F:$F"),INDIRECT("'Thanh Toán ("&amp;AB$3&amp;")'!$D:$D"),'Tổng Đơn'!$B32),0)</f>
        <v>0</v>
      </c>
      <c r="AC32" s="2">
        <f ca="1">IFERROR(SUMIFS(INDIRECT("'Thanh Toán ("&amp;AC$3&amp;")'!$F:$F"),INDIRECT("'Thanh Toán ("&amp;AC$3&amp;")'!$D:$D"),'Tổng Đơn'!$B32),0)</f>
        <v>0</v>
      </c>
      <c r="AD32" s="2">
        <f ca="1">IFERROR(SUMIFS(INDIRECT("'Thanh Toán ("&amp;AD$3&amp;")'!$F:$F"),INDIRECT("'Thanh Toán ("&amp;AD$3&amp;")'!$D:$D"),'Tổng Đơn'!$B32),0)</f>
        <v>0</v>
      </c>
      <c r="AE32" s="2">
        <f ca="1">IFERROR(SUMIFS(INDIRECT("'Thanh Toán ("&amp;AE$3&amp;")'!$F:$F"),INDIRECT("'Thanh Toán ("&amp;AE$3&amp;")'!$D:$D"),'Tổng Đơn'!$B32),0)</f>
        <v>0</v>
      </c>
      <c r="AF32" s="2">
        <f ca="1">IFERROR(SUMIFS(INDIRECT("'Thanh Toán ("&amp;AF$3&amp;")'!$F:$F"),INDIRECT("'Thanh Toán ("&amp;AF$3&amp;")'!$D:$D"),'Tổng Đơn'!$B32),0)</f>
        <v>0</v>
      </c>
      <c r="AG32" s="2">
        <f ca="1">IFERROR(SUMIFS(INDIRECT("'Thanh Toán ("&amp;AG$3&amp;")'!$F:$F"),INDIRECT("'Thanh Toán ("&amp;AG$3&amp;")'!$D:$D"),'Tổng Đơn'!$B32),0)</f>
        <v>0</v>
      </c>
      <c r="AH32" s="2">
        <f ca="1">IFERROR(SUMIFS(INDIRECT("'Thanh Toán ("&amp;AH$3&amp;")'!$F:$F"),INDIRECT("'Thanh Toán ("&amp;AH$3&amp;")'!$D:$D"),'Tổng Đơn'!$B32),0)</f>
        <v>0</v>
      </c>
      <c r="AI32" s="2">
        <f ca="1">IFERROR(SUMIFS(INDIRECT("'Thanh Toán ("&amp;AI$3&amp;")'!$F:$F"),INDIRECT("'Thanh Toán ("&amp;AI$3&amp;")'!$D:$D"),'Tổng Đơn'!$B32),0)</f>
        <v>0</v>
      </c>
      <c r="AJ32" s="2">
        <f ca="1">IFERROR(SUMIFS(INDIRECT("'Thanh Toán ("&amp;AJ$3&amp;")'!$F:$F"),INDIRECT("'Thanh Toán ("&amp;AJ$3&amp;")'!$D:$D"),'Tổng Đơn'!$B32),0)</f>
        <v>0</v>
      </c>
      <c r="AK32" s="2">
        <f ca="1">IFERROR(SUMIFS(INDIRECT("'Thanh Toán ("&amp;AK$3&amp;")'!$F:$F"),INDIRECT("'Thanh Toán ("&amp;AK$3&amp;")'!$D:$D"),'Tổng Đơn'!$B32),0)</f>
        <v>0</v>
      </c>
      <c r="AL32" s="2">
        <f ca="1">IFERROR(SUMIFS(INDIRECT("'Thanh Toán ("&amp;AL$3&amp;")'!$F:$F"),INDIRECT("'Thanh Toán ("&amp;AL$3&amp;")'!$D:$D"),'Tổng Đơn'!$B32),0)</f>
        <v>0</v>
      </c>
      <c r="AM32" s="2">
        <f ca="1">IFERROR(SUMIFS(INDIRECT("'Thanh Toán ("&amp;AM$3&amp;")'!$F:$F"),INDIRECT("'Thanh Toán ("&amp;AM$3&amp;")'!$D:$D"),'Tổng Đơn'!$B32),0)</f>
        <v>0</v>
      </c>
      <c r="AN32" s="2">
        <f ca="1">IFERROR(SUMIFS(INDIRECT("'Thanh Toán ("&amp;AN$3&amp;")'!$F:$F"),INDIRECT("'Thanh Toán ("&amp;AN$3&amp;")'!$D:$D"),'Tổng Đơn'!$B32),0)</f>
        <v>0</v>
      </c>
      <c r="AO32" s="2">
        <f ca="1">IFERROR(SUMIFS(INDIRECT("'Thanh Toán ("&amp;AO$3&amp;")'!$F:$F"),INDIRECT("'Thanh Toán ("&amp;AO$3&amp;")'!$D:$D"),'Tổng Đơn'!$B32),0)</f>
        <v>0</v>
      </c>
      <c r="AP32" s="2">
        <f ca="1">IFERROR(SUMIFS(INDIRECT("'Thanh Toán ("&amp;AP$3&amp;")'!$F:$F"),INDIRECT("'Thanh Toán ("&amp;AP$3&amp;")'!$D:$D"),'Tổng Đơn'!$B32),0)</f>
        <v>0</v>
      </c>
      <c r="AQ32" s="2">
        <f ca="1">IFERROR(SUMIFS(INDIRECT("'Thanh Toán ("&amp;AQ$3&amp;")'!$F:$F"),INDIRECT("'Thanh Toán ("&amp;AQ$3&amp;")'!$D:$D"),'Tổng Đơn'!$B32),0)</f>
        <v>0</v>
      </c>
      <c r="AR32" s="2">
        <f ca="1">IFERROR(SUMIFS(INDIRECT("'Thanh Toán ("&amp;AR$3&amp;")'!$F:$F"),INDIRECT("'Thanh Toán ("&amp;AR$3&amp;")'!$D:$D"),'Tổng Đơn'!$B32),0)</f>
        <v>0</v>
      </c>
      <c r="AS32" s="2">
        <f ca="1">IFERROR(SUMIFS(INDIRECT("'Thanh Toán ("&amp;AS$3&amp;")'!$F:$F"),INDIRECT("'Thanh Toán ("&amp;AS$3&amp;")'!$D:$D"),'Tổng Đơn'!$B32),0)</f>
        <v>0</v>
      </c>
      <c r="AT32" s="2">
        <f ca="1">IFERROR(SUMIFS(INDIRECT("'Thanh Toán ("&amp;AT$3&amp;")'!$F:$F"),INDIRECT("'Thanh Toán ("&amp;AT$3&amp;")'!$D:$D"),'Tổng Đơn'!$B32),0)</f>
        <v>0</v>
      </c>
      <c r="AU32" s="2">
        <f ca="1">IFERROR(SUMIFS(INDIRECT("'Thanh Toán ("&amp;AU$3&amp;")'!$F:$F"),INDIRECT("'Thanh Toán ("&amp;AU$3&amp;")'!$D:$D"),'Tổng Đơn'!$B32),0)</f>
        <v>0</v>
      </c>
      <c r="AV32" s="2">
        <f ca="1">IFERROR(SUMIFS(INDIRECT("'Thanh Toán ("&amp;AV$3&amp;")'!$F:$F"),INDIRECT("'Thanh Toán ("&amp;AV$3&amp;")'!$D:$D"),'Tổng Đơn'!$B32),0)</f>
        <v>0</v>
      </c>
      <c r="AW32" s="2">
        <f ca="1">IFERROR(SUMIFS(INDIRECT("'Thanh Toán ("&amp;AW$3&amp;")'!$F:$F"),INDIRECT("'Thanh Toán ("&amp;AW$3&amp;")'!$D:$D"),'Tổng Đơn'!$B32),0)</f>
        <v>0</v>
      </c>
      <c r="AX32" s="2">
        <f ca="1">IFERROR(SUMIFS(INDIRECT("'Thanh Toán ("&amp;AX$3&amp;")'!$F:$F"),INDIRECT("'Thanh Toán ("&amp;AX$3&amp;")'!$D:$D"),'Tổng Đơn'!$B32),0)</f>
        <v>0</v>
      </c>
      <c r="AY32" s="2">
        <f ca="1">IFERROR(SUMIFS(INDIRECT("'Thanh Toán ("&amp;AY$3&amp;")'!$F:$F"),INDIRECT("'Thanh Toán ("&amp;AY$3&amp;")'!$D:$D"),'Tổng Đơn'!$B32),0)</f>
        <v>0</v>
      </c>
      <c r="AZ32" s="2">
        <f ca="1">IFERROR(SUMIFS(INDIRECT("'Thanh Toán ("&amp;AZ$3&amp;")'!$F:$F"),INDIRECT("'Thanh Toán ("&amp;AZ$3&amp;")'!$D:$D"),'Tổng Đơn'!$B32),0)</f>
        <v>0</v>
      </c>
      <c r="BA32" s="2">
        <f ca="1">IFERROR(SUMIFS(INDIRECT("'Thanh Toán ("&amp;BA$3&amp;")'!$F:$F"),INDIRECT("'Thanh Toán ("&amp;BA$3&amp;")'!$D:$D"),'Tổng Đơn'!$B32),0)</f>
        <v>0</v>
      </c>
      <c r="BB32" s="2">
        <f ca="1">IFERROR(SUMIFS(INDIRECT("'Thanh Toán ("&amp;BB$3&amp;")'!$F:$F"),INDIRECT("'Thanh Toán ("&amp;BB$3&amp;")'!$D:$D"),'Tổng Đơn'!$B32),0)</f>
        <v>0</v>
      </c>
      <c r="BC32" s="2">
        <f ca="1">IFERROR(SUMIFS(INDIRECT("'Thanh Toán ("&amp;BC$3&amp;")'!$F:$F"),INDIRECT("'Thanh Toán ("&amp;BC$3&amp;")'!$D:$D"),'Tổng Đơn'!$B32),0)</f>
        <v>0</v>
      </c>
    </row>
    <row r="33" spans="1:55" ht="18" customHeight="1" x14ac:dyDescent="0.25">
      <c r="A33" s="174">
        <v>23</v>
      </c>
      <c r="B33" s="168" t="s">
        <v>35</v>
      </c>
      <c r="C33" s="167" t="s">
        <v>69</v>
      </c>
      <c r="D33" s="169">
        <f>VLOOKUP($C33,Sheet1!$C$8:$D$98,2,0)</f>
        <v>14000</v>
      </c>
      <c r="E33" s="170">
        <v>0.2</v>
      </c>
      <c r="F33" s="171">
        <f t="shared" ca="1" si="2"/>
        <v>0</v>
      </c>
      <c r="G33" s="172">
        <f>IFERROR(VLOOKUP($B33,Gà!C:J,8,0),IFERROR(VLOOKUP($B33,TVP!C:J,7,0),IFERROR(VLOOKUP($B33,Kitkool!C:J,8,0),IFERROR(VLOOKUP($B33,'La Cusina'!C:J,8,0),VLOOKUP($B33,'Quốc Nhân'!C:J,8,0)))))</f>
        <v>11.25147903739453</v>
      </c>
      <c r="H33" s="173">
        <f t="shared" ca="1" si="10"/>
        <v>0</v>
      </c>
      <c r="I33" s="195">
        <f t="shared" si="11"/>
        <v>0.24428085885159634</v>
      </c>
      <c r="J33" s="173">
        <f t="shared" ca="1" si="12"/>
        <v>0</v>
      </c>
      <c r="K33" s="38"/>
      <c r="L33" s="2">
        <f ca="1">IFERROR(SUMIFS(INDIRECT("'Thanh Toán ("&amp;L$3&amp;")'!$F:$F"),INDIRECT("'Thanh Toán ("&amp;L$3&amp;")'!$D:$D"),'Tổng Đơn'!$B33),0)</f>
        <v>0</v>
      </c>
      <c r="M33" s="2">
        <f ca="1">IFERROR(SUMIFS(INDIRECT("'Thanh Toán ("&amp;M$3&amp;")'!$F:$F"),INDIRECT("'Thanh Toán ("&amp;M$3&amp;")'!$D:$D"),'Tổng Đơn'!$B33),0)</f>
        <v>0</v>
      </c>
      <c r="N33" s="2">
        <f ca="1">IFERROR(SUMIFS(INDIRECT("'Thanh Toán ("&amp;N$3&amp;")'!$F:$F"),INDIRECT("'Thanh Toán ("&amp;N$3&amp;")'!$D:$D"),'Tổng Đơn'!$B33),0)</f>
        <v>0</v>
      </c>
      <c r="O33" s="2">
        <f ca="1">IFERROR(SUMIFS(INDIRECT("'Thanh Toán ("&amp;O$3&amp;")'!$F:$F"),INDIRECT("'Thanh Toán ("&amp;O$3&amp;")'!$D:$D"),'Tổng Đơn'!$B33),0)</f>
        <v>0</v>
      </c>
      <c r="P33" s="2">
        <f ca="1">IFERROR(SUMIFS(INDIRECT("'Thanh Toán ("&amp;P$3&amp;")'!$F:$F"),INDIRECT("'Thanh Toán ("&amp;P$3&amp;")'!$D:$D"),'Tổng Đơn'!$B33),0)</f>
        <v>0</v>
      </c>
      <c r="Q33" s="2">
        <f ca="1">IFERROR(SUMIFS(INDIRECT("'Thanh Toán ("&amp;Q$3&amp;")'!$F:$F"),INDIRECT("'Thanh Toán ("&amp;Q$3&amp;")'!$D:$D"),'Tổng Đơn'!$B33),0)</f>
        <v>0</v>
      </c>
      <c r="R33" s="2">
        <f ca="1">IFERROR(SUMIFS(INDIRECT("'Thanh Toán ("&amp;R$3&amp;")'!$F:$F"),INDIRECT("'Thanh Toán ("&amp;R$3&amp;")'!$D:$D"),'Tổng Đơn'!$B33),0)</f>
        <v>0</v>
      </c>
      <c r="S33" s="2">
        <f ca="1">IFERROR(SUMIFS(INDIRECT("'Thanh Toán ("&amp;S$3&amp;")'!$F:$F"),INDIRECT("'Thanh Toán ("&amp;S$3&amp;")'!$D:$D"),'Tổng Đơn'!$B33),0)</f>
        <v>0</v>
      </c>
      <c r="T33" s="2">
        <f ca="1">IFERROR(SUMIFS(INDIRECT("'Thanh Toán ("&amp;T$3&amp;")'!$F:$F"),INDIRECT("'Thanh Toán ("&amp;T$3&amp;")'!$D:$D"),'Tổng Đơn'!$B33),0)</f>
        <v>0</v>
      </c>
      <c r="U33" s="2">
        <f ca="1">IFERROR(SUMIFS(INDIRECT("'Thanh Toán ("&amp;U$3&amp;")'!$F:$F"),INDIRECT("'Thanh Toán ("&amp;U$3&amp;")'!$D:$D"),'Tổng Đơn'!$B33),0)</f>
        <v>0</v>
      </c>
      <c r="V33" s="2">
        <f ca="1">IFERROR(SUMIFS(INDIRECT("'Thanh Toán ("&amp;V$3&amp;")'!$F:$F"),INDIRECT("'Thanh Toán ("&amp;V$3&amp;")'!$D:$D"),'Tổng Đơn'!$B33),0)</f>
        <v>0</v>
      </c>
      <c r="W33" s="2">
        <f ca="1">IFERROR(SUMIFS(INDIRECT("'Thanh Toán ("&amp;W$3&amp;")'!$F:$F"),INDIRECT("'Thanh Toán ("&amp;W$3&amp;")'!$D:$D"),'Tổng Đơn'!$B33),0)</f>
        <v>0</v>
      </c>
      <c r="X33" s="2">
        <f ca="1">IFERROR(SUMIFS(INDIRECT("'Thanh Toán ("&amp;X$3&amp;")'!$F:$F"),INDIRECT("'Thanh Toán ("&amp;X$3&amp;")'!$D:$D"),'Tổng Đơn'!$B33),0)</f>
        <v>0</v>
      </c>
      <c r="Y33" s="2">
        <f ca="1">IFERROR(SUMIFS(INDIRECT("'Thanh Toán ("&amp;Y$3&amp;")'!$F:$F"),INDIRECT("'Thanh Toán ("&amp;Y$3&amp;")'!$D:$D"),'Tổng Đơn'!$B33),0)</f>
        <v>0</v>
      </c>
      <c r="Z33" s="2">
        <f ca="1">IFERROR(SUMIFS(INDIRECT("'Thanh Toán ("&amp;Z$3&amp;")'!$F:$F"),INDIRECT("'Thanh Toán ("&amp;Z$3&amp;")'!$D:$D"),'Tổng Đơn'!$B33),0)</f>
        <v>0</v>
      </c>
      <c r="AA33" s="2">
        <f ca="1">IFERROR(SUMIFS(INDIRECT("'Thanh Toán ("&amp;AA$3&amp;")'!$F:$F"),INDIRECT("'Thanh Toán ("&amp;AA$3&amp;")'!$D:$D"),'Tổng Đơn'!$B33),0)</f>
        <v>0</v>
      </c>
      <c r="AB33" s="2">
        <f ca="1">IFERROR(SUMIFS(INDIRECT("'Thanh Toán ("&amp;AB$3&amp;")'!$F:$F"),INDIRECT("'Thanh Toán ("&amp;AB$3&amp;")'!$D:$D"),'Tổng Đơn'!$B33),0)</f>
        <v>0</v>
      </c>
      <c r="AC33" s="2">
        <f ca="1">IFERROR(SUMIFS(INDIRECT("'Thanh Toán ("&amp;AC$3&amp;")'!$F:$F"),INDIRECT("'Thanh Toán ("&amp;AC$3&amp;")'!$D:$D"),'Tổng Đơn'!$B33),0)</f>
        <v>0</v>
      </c>
      <c r="AD33" s="2">
        <f ca="1">IFERROR(SUMIFS(INDIRECT("'Thanh Toán ("&amp;AD$3&amp;")'!$F:$F"),INDIRECT("'Thanh Toán ("&amp;AD$3&amp;")'!$D:$D"),'Tổng Đơn'!$B33),0)</f>
        <v>0</v>
      </c>
      <c r="AE33" s="2">
        <f ca="1">IFERROR(SUMIFS(INDIRECT("'Thanh Toán ("&amp;AE$3&amp;")'!$F:$F"),INDIRECT("'Thanh Toán ("&amp;AE$3&amp;")'!$D:$D"),'Tổng Đơn'!$B33),0)</f>
        <v>0</v>
      </c>
      <c r="AF33" s="2">
        <f ca="1">IFERROR(SUMIFS(INDIRECT("'Thanh Toán ("&amp;AF$3&amp;")'!$F:$F"),INDIRECT("'Thanh Toán ("&amp;AF$3&amp;")'!$D:$D"),'Tổng Đơn'!$B33),0)</f>
        <v>0</v>
      </c>
      <c r="AG33" s="2">
        <f ca="1">IFERROR(SUMIFS(INDIRECT("'Thanh Toán ("&amp;AG$3&amp;")'!$F:$F"),INDIRECT("'Thanh Toán ("&amp;AG$3&amp;")'!$D:$D"),'Tổng Đơn'!$B33),0)</f>
        <v>0</v>
      </c>
      <c r="AH33" s="2">
        <f ca="1">IFERROR(SUMIFS(INDIRECT("'Thanh Toán ("&amp;AH$3&amp;")'!$F:$F"),INDIRECT("'Thanh Toán ("&amp;AH$3&amp;")'!$D:$D"),'Tổng Đơn'!$B33),0)</f>
        <v>0</v>
      </c>
      <c r="AI33" s="2">
        <f ca="1">IFERROR(SUMIFS(INDIRECT("'Thanh Toán ("&amp;AI$3&amp;")'!$F:$F"),INDIRECT("'Thanh Toán ("&amp;AI$3&amp;")'!$D:$D"),'Tổng Đơn'!$B33),0)</f>
        <v>0</v>
      </c>
      <c r="AJ33" s="2">
        <f ca="1">IFERROR(SUMIFS(INDIRECT("'Thanh Toán ("&amp;AJ$3&amp;")'!$F:$F"),INDIRECT("'Thanh Toán ("&amp;AJ$3&amp;")'!$D:$D"),'Tổng Đơn'!$B33),0)</f>
        <v>0</v>
      </c>
      <c r="AK33" s="2">
        <f ca="1">IFERROR(SUMIFS(INDIRECT("'Thanh Toán ("&amp;AK$3&amp;")'!$F:$F"),INDIRECT("'Thanh Toán ("&amp;AK$3&amp;")'!$D:$D"),'Tổng Đơn'!$B33),0)</f>
        <v>0</v>
      </c>
      <c r="AL33" s="2">
        <f ca="1">IFERROR(SUMIFS(INDIRECT("'Thanh Toán ("&amp;AL$3&amp;")'!$F:$F"),INDIRECT("'Thanh Toán ("&amp;AL$3&amp;")'!$D:$D"),'Tổng Đơn'!$B33),0)</f>
        <v>0</v>
      </c>
      <c r="AM33" s="2">
        <f ca="1">IFERROR(SUMIFS(INDIRECT("'Thanh Toán ("&amp;AM$3&amp;")'!$F:$F"),INDIRECT("'Thanh Toán ("&amp;AM$3&amp;")'!$D:$D"),'Tổng Đơn'!$B33),0)</f>
        <v>0</v>
      </c>
      <c r="AN33" s="2">
        <f ca="1">IFERROR(SUMIFS(INDIRECT("'Thanh Toán ("&amp;AN$3&amp;")'!$F:$F"),INDIRECT("'Thanh Toán ("&amp;AN$3&amp;")'!$D:$D"),'Tổng Đơn'!$B33),0)</f>
        <v>0</v>
      </c>
      <c r="AO33" s="2">
        <f ca="1">IFERROR(SUMIFS(INDIRECT("'Thanh Toán ("&amp;AO$3&amp;")'!$F:$F"),INDIRECT("'Thanh Toán ("&amp;AO$3&amp;")'!$D:$D"),'Tổng Đơn'!$B33),0)</f>
        <v>0</v>
      </c>
      <c r="AP33" s="2">
        <f ca="1">IFERROR(SUMIFS(INDIRECT("'Thanh Toán ("&amp;AP$3&amp;")'!$F:$F"),INDIRECT("'Thanh Toán ("&amp;AP$3&amp;")'!$D:$D"),'Tổng Đơn'!$B33),0)</f>
        <v>0</v>
      </c>
      <c r="AQ33" s="2">
        <f ca="1">IFERROR(SUMIFS(INDIRECT("'Thanh Toán ("&amp;AQ$3&amp;")'!$F:$F"),INDIRECT("'Thanh Toán ("&amp;AQ$3&amp;")'!$D:$D"),'Tổng Đơn'!$B33),0)</f>
        <v>0</v>
      </c>
      <c r="AR33" s="2">
        <f ca="1">IFERROR(SUMIFS(INDIRECT("'Thanh Toán ("&amp;AR$3&amp;")'!$F:$F"),INDIRECT("'Thanh Toán ("&amp;AR$3&amp;")'!$D:$D"),'Tổng Đơn'!$B33),0)</f>
        <v>0</v>
      </c>
      <c r="AS33" s="2">
        <f ca="1">IFERROR(SUMIFS(INDIRECT("'Thanh Toán ("&amp;AS$3&amp;")'!$F:$F"),INDIRECT("'Thanh Toán ("&amp;AS$3&amp;")'!$D:$D"),'Tổng Đơn'!$B33),0)</f>
        <v>0</v>
      </c>
      <c r="AT33" s="2">
        <f ca="1">IFERROR(SUMIFS(INDIRECT("'Thanh Toán ("&amp;AT$3&amp;")'!$F:$F"),INDIRECT("'Thanh Toán ("&amp;AT$3&amp;")'!$D:$D"),'Tổng Đơn'!$B33),0)</f>
        <v>0</v>
      </c>
      <c r="AU33" s="2">
        <f ca="1">IFERROR(SUMIFS(INDIRECT("'Thanh Toán ("&amp;AU$3&amp;")'!$F:$F"),INDIRECT("'Thanh Toán ("&amp;AU$3&amp;")'!$D:$D"),'Tổng Đơn'!$B33),0)</f>
        <v>0</v>
      </c>
      <c r="AV33" s="2">
        <f ca="1">IFERROR(SUMIFS(INDIRECT("'Thanh Toán ("&amp;AV$3&amp;")'!$F:$F"),INDIRECT("'Thanh Toán ("&amp;AV$3&amp;")'!$D:$D"),'Tổng Đơn'!$B33),0)</f>
        <v>0</v>
      </c>
      <c r="AW33" s="2">
        <f ca="1">IFERROR(SUMIFS(INDIRECT("'Thanh Toán ("&amp;AW$3&amp;")'!$F:$F"),INDIRECT("'Thanh Toán ("&amp;AW$3&amp;")'!$D:$D"),'Tổng Đơn'!$B33),0)</f>
        <v>0</v>
      </c>
      <c r="AX33" s="2">
        <f ca="1">IFERROR(SUMIFS(INDIRECT("'Thanh Toán ("&amp;AX$3&amp;")'!$F:$F"),INDIRECT("'Thanh Toán ("&amp;AX$3&amp;")'!$D:$D"),'Tổng Đơn'!$B33),0)</f>
        <v>0</v>
      </c>
      <c r="AY33" s="2">
        <f ca="1">IFERROR(SUMIFS(INDIRECT("'Thanh Toán ("&amp;AY$3&amp;")'!$F:$F"),INDIRECT("'Thanh Toán ("&amp;AY$3&amp;")'!$D:$D"),'Tổng Đơn'!$B33),0)</f>
        <v>0</v>
      </c>
      <c r="AZ33" s="2">
        <f ca="1">IFERROR(SUMIFS(INDIRECT("'Thanh Toán ("&amp;AZ$3&amp;")'!$F:$F"),INDIRECT("'Thanh Toán ("&amp;AZ$3&amp;")'!$D:$D"),'Tổng Đơn'!$B33),0)</f>
        <v>0</v>
      </c>
      <c r="BA33" s="2">
        <f ca="1">IFERROR(SUMIFS(INDIRECT("'Thanh Toán ("&amp;BA$3&amp;")'!$F:$F"),INDIRECT("'Thanh Toán ("&amp;BA$3&amp;")'!$D:$D"),'Tổng Đơn'!$B33),0)</f>
        <v>0</v>
      </c>
      <c r="BB33" s="2">
        <f ca="1">IFERROR(SUMIFS(INDIRECT("'Thanh Toán ("&amp;BB$3&amp;")'!$F:$F"),INDIRECT("'Thanh Toán ("&amp;BB$3&amp;")'!$D:$D"),'Tổng Đơn'!$B33),0)</f>
        <v>0</v>
      </c>
      <c r="BC33" s="2">
        <f ca="1">IFERROR(SUMIFS(INDIRECT("'Thanh Toán ("&amp;BC$3&amp;")'!$F:$F"),INDIRECT("'Thanh Toán ("&amp;BC$3&amp;")'!$D:$D"),'Tổng Đơn'!$B33),0)</f>
        <v>0</v>
      </c>
    </row>
    <row r="34" spans="1:55" ht="18" customHeight="1" x14ac:dyDescent="0.25">
      <c r="A34" s="167">
        <v>24</v>
      </c>
      <c r="B34" s="168" t="s">
        <v>55</v>
      </c>
      <c r="C34" s="174" t="s">
        <v>70</v>
      </c>
      <c r="D34" s="169">
        <f>VLOOKUP($C34,Sheet1!$C$8:$D$98,2,0)</f>
        <v>32000</v>
      </c>
      <c r="E34" s="170">
        <v>0.5</v>
      </c>
      <c r="F34" s="171">
        <f t="shared" ca="1" si="2"/>
        <v>0</v>
      </c>
      <c r="G34" s="172">
        <f>IFERROR(VLOOKUP($B34,Gà!C:J,8,0),IFERROR(VLOOKUP($B34,TVP!C:J,7,0),IFERROR(VLOOKUP($B34,Kitkool!C:J,8,0),IFERROR(VLOOKUP($B34,'La Cusina'!C:J,8,0),VLOOKUP($B34,'Quốc Nhân'!C:J,8,0)))))</f>
        <v>26.621803079549558</v>
      </c>
      <c r="H34" s="173">
        <f t="shared" ca="1" si="10"/>
        <v>0</v>
      </c>
      <c r="I34" s="195">
        <f t="shared" si="11"/>
        <v>0.20202226364531595</v>
      </c>
      <c r="J34" s="173">
        <f t="shared" ca="1" si="12"/>
        <v>0</v>
      </c>
      <c r="K34" s="38"/>
      <c r="L34" s="2">
        <f ca="1">IFERROR(SUMIFS(INDIRECT("'Thanh Toán ("&amp;L$3&amp;")'!$F:$F"),INDIRECT("'Thanh Toán ("&amp;L$3&amp;")'!$D:$D"),'Tổng Đơn'!$B34),0)</f>
        <v>0</v>
      </c>
      <c r="M34" s="2">
        <f ca="1">IFERROR(SUMIFS(INDIRECT("'Thanh Toán ("&amp;M$3&amp;")'!$F:$F"),INDIRECT("'Thanh Toán ("&amp;M$3&amp;")'!$D:$D"),'Tổng Đơn'!$B34),0)</f>
        <v>0</v>
      </c>
      <c r="N34" s="2">
        <f ca="1">IFERROR(SUMIFS(INDIRECT("'Thanh Toán ("&amp;N$3&amp;")'!$F:$F"),INDIRECT("'Thanh Toán ("&amp;N$3&amp;")'!$D:$D"),'Tổng Đơn'!$B34),0)</f>
        <v>0</v>
      </c>
      <c r="O34" s="2">
        <f ca="1">IFERROR(SUMIFS(INDIRECT("'Thanh Toán ("&amp;O$3&amp;")'!$F:$F"),INDIRECT("'Thanh Toán ("&amp;O$3&amp;")'!$D:$D"),'Tổng Đơn'!$B34),0)</f>
        <v>0</v>
      </c>
      <c r="P34" s="2">
        <f ca="1">IFERROR(SUMIFS(INDIRECT("'Thanh Toán ("&amp;P$3&amp;")'!$F:$F"),INDIRECT("'Thanh Toán ("&amp;P$3&amp;")'!$D:$D"),'Tổng Đơn'!$B34),0)</f>
        <v>0</v>
      </c>
      <c r="Q34" s="2">
        <f ca="1">IFERROR(SUMIFS(INDIRECT("'Thanh Toán ("&amp;Q$3&amp;")'!$F:$F"),INDIRECT("'Thanh Toán ("&amp;Q$3&amp;")'!$D:$D"),'Tổng Đơn'!$B34),0)</f>
        <v>0</v>
      </c>
      <c r="R34" s="2">
        <f ca="1">IFERROR(SUMIFS(INDIRECT("'Thanh Toán ("&amp;R$3&amp;")'!$F:$F"),INDIRECT("'Thanh Toán ("&amp;R$3&amp;")'!$D:$D"),'Tổng Đơn'!$B34),0)</f>
        <v>0</v>
      </c>
      <c r="S34" s="2">
        <f ca="1">IFERROR(SUMIFS(INDIRECT("'Thanh Toán ("&amp;S$3&amp;")'!$F:$F"),INDIRECT("'Thanh Toán ("&amp;S$3&amp;")'!$D:$D"),'Tổng Đơn'!$B34),0)</f>
        <v>0</v>
      </c>
      <c r="T34" s="2">
        <f ca="1">IFERROR(SUMIFS(INDIRECT("'Thanh Toán ("&amp;T$3&amp;")'!$F:$F"),INDIRECT("'Thanh Toán ("&amp;T$3&amp;")'!$D:$D"),'Tổng Đơn'!$B34),0)</f>
        <v>0</v>
      </c>
      <c r="U34" s="2">
        <f ca="1">IFERROR(SUMIFS(INDIRECT("'Thanh Toán ("&amp;U$3&amp;")'!$F:$F"),INDIRECT("'Thanh Toán ("&amp;U$3&amp;")'!$D:$D"),'Tổng Đơn'!$B34),0)</f>
        <v>0</v>
      </c>
      <c r="V34" s="2">
        <f ca="1">IFERROR(SUMIFS(INDIRECT("'Thanh Toán ("&amp;V$3&amp;")'!$F:$F"),INDIRECT("'Thanh Toán ("&amp;V$3&amp;")'!$D:$D"),'Tổng Đơn'!$B34),0)</f>
        <v>0</v>
      </c>
      <c r="W34" s="2">
        <f ca="1">IFERROR(SUMIFS(INDIRECT("'Thanh Toán ("&amp;W$3&amp;")'!$F:$F"),INDIRECT("'Thanh Toán ("&amp;W$3&amp;")'!$D:$D"),'Tổng Đơn'!$B34),0)</f>
        <v>0</v>
      </c>
      <c r="X34" s="2">
        <f ca="1">IFERROR(SUMIFS(INDIRECT("'Thanh Toán ("&amp;X$3&amp;")'!$F:$F"),INDIRECT("'Thanh Toán ("&amp;X$3&amp;")'!$D:$D"),'Tổng Đơn'!$B34),0)</f>
        <v>0</v>
      </c>
      <c r="Y34" s="2">
        <f ca="1">IFERROR(SUMIFS(INDIRECT("'Thanh Toán ("&amp;Y$3&amp;")'!$F:$F"),INDIRECT("'Thanh Toán ("&amp;Y$3&amp;")'!$D:$D"),'Tổng Đơn'!$B34),0)</f>
        <v>0</v>
      </c>
      <c r="Z34" s="2">
        <f ca="1">IFERROR(SUMIFS(INDIRECT("'Thanh Toán ("&amp;Z$3&amp;")'!$F:$F"),INDIRECT("'Thanh Toán ("&amp;Z$3&amp;")'!$D:$D"),'Tổng Đơn'!$B34),0)</f>
        <v>0</v>
      </c>
      <c r="AA34" s="2">
        <f ca="1">IFERROR(SUMIFS(INDIRECT("'Thanh Toán ("&amp;AA$3&amp;")'!$F:$F"),INDIRECT("'Thanh Toán ("&amp;AA$3&amp;")'!$D:$D"),'Tổng Đơn'!$B34),0)</f>
        <v>0</v>
      </c>
      <c r="AB34" s="2">
        <f ca="1">IFERROR(SUMIFS(INDIRECT("'Thanh Toán ("&amp;AB$3&amp;")'!$F:$F"),INDIRECT("'Thanh Toán ("&amp;AB$3&amp;")'!$D:$D"),'Tổng Đơn'!$B34),0)</f>
        <v>0</v>
      </c>
      <c r="AC34" s="2">
        <f ca="1">IFERROR(SUMIFS(INDIRECT("'Thanh Toán ("&amp;AC$3&amp;")'!$F:$F"),INDIRECT("'Thanh Toán ("&amp;AC$3&amp;")'!$D:$D"),'Tổng Đơn'!$B34),0)</f>
        <v>0</v>
      </c>
      <c r="AD34" s="2">
        <f ca="1">IFERROR(SUMIFS(INDIRECT("'Thanh Toán ("&amp;AD$3&amp;")'!$F:$F"),INDIRECT("'Thanh Toán ("&amp;AD$3&amp;")'!$D:$D"),'Tổng Đơn'!$B34),0)</f>
        <v>0</v>
      </c>
      <c r="AE34" s="2">
        <f ca="1">IFERROR(SUMIFS(INDIRECT("'Thanh Toán ("&amp;AE$3&amp;")'!$F:$F"),INDIRECT("'Thanh Toán ("&amp;AE$3&amp;")'!$D:$D"),'Tổng Đơn'!$B34),0)</f>
        <v>0</v>
      </c>
      <c r="AF34" s="2">
        <f ca="1">IFERROR(SUMIFS(INDIRECT("'Thanh Toán ("&amp;AF$3&amp;")'!$F:$F"),INDIRECT("'Thanh Toán ("&amp;AF$3&amp;")'!$D:$D"),'Tổng Đơn'!$B34),0)</f>
        <v>0</v>
      </c>
      <c r="AG34" s="2">
        <f ca="1">IFERROR(SUMIFS(INDIRECT("'Thanh Toán ("&amp;AG$3&amp;")'!$F:$F"),INDIRECT("'Thanh Toán ("&amp;AG$3&amp;")'!$D:$D"),'Tổng Đơn'!$B34),0)</f>
        <v>0</v>
      </c>
      <c r="AH34" s="2">
        <f ca="1">IFERROR(SUMIFS(INDIRECT("'Thanh Toán ("&amp;AH$3&amp;")'!$F:$F"),INDIRECT("'Thanh Toán ("&amp;AH$3&amp;")'!$D:$D"),'Tổng Đơn'!$B34),0)</f>
        <v>0</v>
      </c>
      <c r="AI34" s="2">
        <f ca="1">IFERROR(SUMIFS(INDIRECT("'Thanh Toán ("&amp;AI$3&amp;")'!$F:$F"),INDIRECT("'Thanh Toán ("&amp;AI$3&amp;")'!$D:$D"),'Tổng Đơn'!$B34),0)</f>
        <v>0</v>
      </c>
      <c r="AJ34" s="2">
        <f ca="1">IFERROR(SUMIFS(INDIRECT("'Thanh Toán ("&amp;AJ$3&amp;")'!$F:$F"),INDIRECT("'Thanh Toán ("&amp;AJ$3&amp;")'!$D:$D"),'Tổng Đơn'!$B34),0)</f>
        <v>0</v>
      </c>
      <c r="AK34" s="2">
        <f ca="1">IFERROR(SUMIFS(INDIRECT("'Thanh Toán ("&amp;AK$3&amp;")'!$F:$F"),INDIRECT("'Thanh Toán ("&amp;AK$3&amp;")'!$D:$D"),'Tổng Đơn'!$B34),0)</f>
        <v>0</v>
      </c>
      <c r="AL34" s="2">
        <f ca="1">IFERROR(SUMIFS(INDIRECT("'Thanh Toán ("&amp;AL$3&amp;")'!$F:$F"),INDIRECT("'Thanh Toán ("&amp;AL$3&amp;")'!$D:$D"),'Tổng Đơn'!$B34),0)</f>
        <v>0</v>
      </c>
      <c r="AM34" s="2">
        <f ca="1">IFERROR(SUMIFS(INDIRECT("'Thanh Toán ("&amp;AM$3&amp;")'!$F:$F"),INDIRECT("'Thanh Toán ("&amp;AM$3&amp;")'!$D:$D"),'Tổng Đơn'!$B34),0)</f>
        <v>0</v>
      </c>
      <c r="AN34" s="2">
        <f ca="1">IFERROR(SUMIFS(INDIRECT("'Thanh Toán ("&amp;AN$3&amp;")'!$F:$F"),INDIRECT("'Thanh Toán ("&amp;AN$3&amp;")'!$D:$D"),'Tổng Đơn'!$B34),0)</f>
        <v>0</v>
      </c>
      <c r="AO34" s="2">
        <f ca="1">IFERROR(SUMIFS(INDIRECT("'Thanh Toán ("&amp;AO$3&amp;")'!$F:$F"),INDIRECT("'Thanh Toán ("&amp;AO$3&amp;")'!$D:$D"),'Tổng Đơn'!$B34),0)</f>
        <v>0</v>
      </c>
      <c r="AP34" s="2">
        <f ca="1">IFERROR(SUMIFS(INDIRECT("'Thanh Toán ("&amp;AP$3&amp;")'!$F:$F"),INDIRECT("'Thanh Toán ("&amp;AP$3&amp;")'!$D:$D"),'Tổng Đơn'!$B34),0)</f>
        <v>0</v>
      </c>
      <c r="AQ34" s="2">
        <f ca="1">IFERROR(SUMIFS(INDIRECT("'Thanh Toán ("&amp;AQ$3&amp;")'!$F:$F"),INDIRECT("'Thanh Toán ("&amp;AQ$3&amp;")'!$D:$D"),'Tổng Đơn'!$B34),0)</f>
        <v>0</v>
      </c>
      <c r="AR34" s="2">
        <f ca="1">IFERROR(SUMIFS(INDIRECT("'Thanh Toán ("&amp;AR$3&amp;")'!$F:$F"),INDIRECT("'Thanh Toán ("&amp;AR$3&amp;")'!$D:$D"),'Tổng Đơn'!$B34),0)</f>
        <v>0</v>
      </c>
      <c r="AS34" s="2">
        <f ca="1">IFERROR(SUMIFS(INDIRECT("'Thanh Toán ("&amp;AS$3&amp;")'!$F:$F"),INDIRECT("'Thanh Toán ("&amp;AS$3&amp;")'!$D:$D"),'Tổng Đơn'!$B34),0)</f>
        <v>0</v>
      </c>
      <c r="AT34" s="2">
        <f ca="1">IFERROR(SUMIFS(INDIRECT("'Thanh Toán ("&amp;AT$3&amp;")'!$F:$F"),INDIRECT("'Thanh Toán ("&amp;AT$3&amp;")'!$D:$D"),'Tổng Đơn'!$B34),0)</f>
        <v>0</v>
      </c>
      <c r="AU34" s="2">
        <f ca="1">IFERROR(SUMIFS(INDIRECT("'Thanh Toán ("&amp;AU$3&amp;")'!$F:$F"),INDIRECT("'Thanh Toán ("&amp;AU$3&amp;")'!$D:$D"),'Tổng Đơn'!$B34),0)</f>
        <v>0</v>
      </c>
      <c r="AV34" s="2">
        <f ca="1">IFERROR(SUMIFS(INDIRECT("'Thanh Toán ("&amp;AV$3&amp;")'!$F:$F"),INDIRECT("'Thanh Toán ("&amp;AV$3&amp;")'!$D:$D"),'Tổng Đơn'!$B34),0)</f>
        <v>0</v>
      </c>
      <c r="AW34" s="2">
        <f ca="1">IFERROR(SUMIFS(INDIRECT("'Thanh Toán ("&amp;AW$3&amp;")'!$F:$F"),INDIRECT("'Thanh Toán ("&amp;AW$3&amp;")'!$D:$D"),'Tổng Đơn'!$B34),0)</f>
        <v>0</v>
      </c>
      <c r="AX34" s="2">
        <f ca="1">IFERROR(SUMIFS(INDIRECT("'Thanh Toán ("&amp;AX$3&amp;")'!$F:$F"),INDIRECT("'Thanh Toán ("&amp;AX$3&amp;")'!$D:$D"),'Tổng Đơn'!$B34),0)</f>
        <v>0</v>
      </c>
      <c r="AY34" s="2">
        <f ca="1">IFERROR(SUMIFS(INDIRECT("'Thanh Toán ("&amp;AY$3&amp;")'!$F:$F"),INDIRECT("'Thanh Toán ("&amp;AY$3&amp;")'!$D:$D"),'Tổng Đơn'!$B34),0)</f>
        <v>0</v>
      </c>
      <c r="AZ34" s="2">
        <f ca="1">IFERROR(SUMIFS(INDIRECT("'Thanh Toán ("&amp;AZ$3&amp;")'!$F:$F"),INDIRECT("'Thanh Toán ("&amp;AZ$3&amp;")'!$D:$D"),'Tổng Đơn'!$B34),0)</f>
        <v>0</v>
      </c>
      <c r="BA34" s="2">
        <f ca="1">IFERROR(SUMIFS(INDIRECT("'Thanh Toán ("&amp;BA$3&amp;")'!$F:$F"),INDIRECT("'Thanh Toán ("&amp;BA$3&amp;")'!$D:$D"),'Tổng Đơn'!$B34),0)</f>
        <v>0</v>
      </c>
      <c r="BB34" s="2">
        <f ca="1">IFERROR(SUMIFS(INDIRECT("'Thanh Toán ("&amp;BB$3&amp;")'!$F:$F"),INDIRECT("'Thanh Toán ("&amp;BB$3&amp;")'!$D:$D"),'Tổng Đơn'!$B34),0)</f>
        <v>0</v>
      </c>
      <c r="BC34" s="2">
        <f ca="1">IFERROR(SUMIFS(INDIRECT("'Thanh Toán ("&amp;BC$3&amp;")'!$F:$F"),INDIRECT("'Thanh Toán ("&amp;BC$3&amp;")'!$D:$D"),'Tổng Đơn'!$B34),0)</f>
        <v>0</v>
      </c>
    </row>
    <row r="35" spans="1:55" ht="18" customHeight="1" x14ac:dyDescent="0.25">
      <c r="A35" s="167">
        <v>25</v>
      </c>
      <c r="B35" s="168" t="s">
        <v>36</v>
      </c>
      <c r="C35" s="167" t="s">
        <v>71</v>
      </c>
      <c r="D35" s="169">
        <f>VLOOKUP($C35,Sheet1!$C$8:$D$98,2,0)</f>
        <v>35000</v>
      </c>
      <c r="E35" s="170">
        <v>0.5</v>
      </c>
      <c r="F35" s="171">
        <f t="shared" ca="1" si="2"/>
        <v>0</v>
      </c>
      <c r="G35" s="172">
        <f>IFERROR(VLOOKUP($B35,Gà!C:J,8,0),IFERROR(VLOOKUP($B35,TVP!C:J,7,0),IFERROR(VLOOKUP($B35,Kitkool!C:J,8,0),IFERROR(VLOOKUP($B35,'La Cusina'!C:J,8,0),VLOOKUP($B35,'Quốc Nhân'!C:J,8,0)))))</f>
        <v>28.63099576479858</v>
      </c>
      <c r="H35" s="173">
        <f t="shared" ca="1" si="10"/>
        <v>0</v>
      </c>
      <c r="I35" s="195">
        <f t="shared" si="11"/>
        <v>0.22245137009981408</v>
      </c>
      <c r="J35" s="173">
        <f t="shared" ca="1" si="12"/>
        <v>0</v>
      </c>
      <c r="K35" s="38"/>
      <c r="L35" s="2">
        <f ca="1">IFERROR(SUMIFS(INDIRECT("'Thanh Toán ("&amp;L$3&amp;")'!$F:$F"),INDIRECT("'Thanh Toán ("&amp;L$3&amp;")'!$D:$D"),'Tổng Đơn'!$B35),0)</f>
        <v>0</v>
      </c>
      <c r="M35" s="2">
        <f ca="1">IFERROR(SUMIFS(INDIRECT("'Thanh Toán ("&amp;M$3&amp;")'!$F:$F"),INDIRECT("'Thanh Toán ("&amp;M$3&amp;")'!$D:$D"),'Tổng Đơn'!$B35),0)</f>
        <v>0</v>
      </c>
      <c r="N35" s="2">
        <f ca="1">IFERROR(SUMIFS(INDIRECT("'Thanh Toán ("&amp;N$3&amp;")'!$F:$F"),INDIRECT("'Thanh Toán ("&amp;N$3&amp;")'!$D:$D"),'Tổng Đơn'!$B35),0)</f>
        <v>0</v>
      </c>
      <c r="O35" s="2">
        <f ca="1">IFERROR(SUMIFS(INDIRECT("'Thanh Toán ("&amp;O$3&amp;")'!$F:$F"),INDIRECT("'Thanh Toán ("&amp;O$3&amp;")'!$D:$D"),'Tổng Đơn'!$B35),0)</f>
        <v>0</v>
      </c>
      <c r="P35" s="2">
        <f ca="1">IFERROR(SUMIFS(INDIRECT("'Thanh Toán ("&amp;P$3&amp;")'!$F:$F"),INDIRECT("'Thanh Toán ("&amp;P$3&amp;")'!$D:$D"),'Tổng Đơn'!$B35),0)</f>
        <v>0</v>
      </c>
      <c r="Q35" s="2">
        <f ca="1">IFERROR(SUMIFS(INDIRECT("'Thanh Toán ("&amp;Q$3&amp;")'!$F:$F"),INDIRECT("'Thanh Toán ("&amp;Q$3&amp;")'!$D:$D"),'Tổng Đơn'!$B35),0)</f>
        <v>0</v>
      </c>
      <c r="R35" s="2">
        <f ca="1">IFERROR(SUMIFS(INDIRECT("'Thanh Toán ("&amp;R$3&amp;")'!$F:$F"),INDIRECT("'Thanh Toán ("&amp;R$3&amp;")'!$D:$D"),'Tổng Đơn'!$B35),0)</f>
        <v>0</v>
      </c>
      <c r="S35" s="2">
        <f ca="1">IFERROR(SUMIFS(INDIRECT("'Thanh Toán ("&amp;S$3&amp;")'!$F:$F"),INDIRECT("'Thanh Toán ("&amp;S$3&amp;")'!$D:$D"),'Tổng Đơn'!$B35),0)</f>
        <v>0</v>
      </c>
      <c r="T35" s="2">
        <f ca="1">IFERROR(SUMIFS(INDIRECT("'Thanh Toán ("&amp;T$3&amp;")'!$F:$F"),INDIRECT("'Thanh Toán ("&amp;T$3&amp;")'!$D:$D"),'Tổng Đơn'!$B35),0)</f>
        <v>0</v>
      </c>
      <c r="U35" s="2">
        <f ca="1">IFERROR(SUMIFS(INDIRECT("'Thanh Toán ("&amp;U$3&amp;")'!$F:$F"),INDIRECT("'Thanh Toán ("&amp;U$3&amp;")'!$D:$D"),'Tổng Đơn'!$B35),0)</f>
        <v>0</v>
      </c>
      <c r="V35" s="2">
        <f ca="1">IFERROR(SUMIFS(INDIRECT("'Thanh Toán ("&amp;V$3&amp;")'!$F:$F"),INDIRECT("'Thanh Toán ("&amp;V$3&amp;")'!$D:$D"),'Tổng Đơn'!$B35),0)</f>
        <v>0</v>
      </c>
      <c r="W35" s="2">
        <f ca="1">IFERROR(SUMIFS(INDIRECT("'Thanh Toán ("&amp;W$3&amp;")'!$F:$F"),INDIRECT("'Thanh Toán ("&amp;W$3&amp;")'!$D:$D"),'Tổng Đơn'!$B35),0)</f>
        <v>0</v>
      </c>
      <c r="X35" s="2">
        <f ca="1">IFERROR(SUMIFS(INDIRECT("'Thanh Toán ("&amp;X$3&amp;")'!$F:$F"),INDIRECT("'Thanh Toán ("&amp;X$3&amp;")'!$D:$D"),'Tổng Đơn'!$B35),0)</f>
        <v>0</v>
      </c>
      <c r="Y35" s="2">
        <f ca="1">IFERROR(SUMIFS(INDIRECT("'Thanh Toán ("&amp;Y$3&amp;")'!$F:$F"),INDIRECT("'Thanh Toán ("&amp;Y$3&amp;")'!$D:$D"),'Tổng Đơn'!$B35),0)</f>
        <v>0</v>
      </c>
      <c r="Z35" s="2">
        <f ca="1">IFERROR(SUMIFS(INDIRECT("'Thanh Toán ("&amp;Z$3&amp;")'!$F:$F"),INDIRECT("'Thanh Toán ("&amp;Z$3&amp;")'!$D:$D"),'Tổng Đơn'!$B35),0)</f>
        <v>0</v>
      </c>
      <c r="AA35" s="2">
        <f ca="1">IFERROR(SUMIFS(INDIRECT("'Thanh Toán ("&amp;AA$3&amp;")'!$F:$F"),INDIRECT("'Thanh Toán ("&amp;AA$3&amp;")'!$D:$D"),'Tổng Đơn'!$B35),0)</f>
        <v>0</v>
      </c>
      <c r="AB35" s="2">
        <f ca="1">IFERROR(SUMIFS(INDIRECT("'Thanh Toán ("&amp;AB$3&amp;")'!$F:$F"),INDIRECT("'Thanh Toán ("&amp;AB$3&amp;")'!$D:$D"),'Tổng Đơn'!$B35),0)</f>
        <v>0</v>
      </c>
      <c r="AC35" s="2">
        <f ca="1">IFERROR(SUMIFS(INDIRECT("'Thanh Toán ("&amp;AC$3&amp;")'!$F:$F"),INDIRECT("'Thanh Toán ("&amp;AC$3&amp;")'!$D:$D"),'Tổng Đơn'!$B35),0)</f>
        <v>0</v>
      </c>
      <c r="AD35" s="2">
        <f ca="1">IFERROR(SUMIFS(INDIRECT("'Thanh Toán ("&amp;AD$3&amp;")'!$F:$F"),INDIRECT("'Thanh Toán ("&amp;AD$3&amp;")'!$D:$D"),'Tổng Đơn'!$B35),0)</f>
        <v>0</v>
      </c>
      <c r="AE35" s="2">
        <f ca="1">IFERROR(SUMIFS(INDIRECT("'Thanh Toán ("&amp;AE$3&amp;")'!$F:$F"),INDIRECT("'Thanh Toán ("&amp;AE$3&amp;")'!$D:$D"),'Tổng Đơn'!$B35),0)</f>
        <v>0</v>
      </c>
      <c r="AF35" s="2">
        <f ca="1">IFERROR(SUMIFS(INDIRECT("'Thanh Toán ("&amp;AF$3&amp;")'!$F:$F"),INDIRECT("'Thanh Toán ("&amp;AF$3&amp;")'!$D:$D"),'Tổng Đơn'!$B35),0)</f>
        <v>0</v>
      </c>
      <c r="AG35" s="2">
        <f ca="1">IFERROR(SUMIFS(INDIRECT("'Thanh Toán ("&amp;AG$3&amp;")'!$F:$F"),INDIRECT("'Thanh Toán ("&amp;AG$3&amp;")'!$D:$D"),'Tổng Đơn'!$B35),0)</f>
        <v>0</v>
      </c>
      <c r="AH35" s="2">
        <f ca="1">IFERROR(SUMIFS(INDIRECT("'Thanh Toán ("&amp;AH$3&amp;")'!$F:$F"),INDIRECT("'Thanh Toán ("&amp;AH$3&amp;")'!$D:$D"),'Tổng Đơn'!$B35),0)</f>
        <v>0</v>
      </c>
      <c r="AI35" s="2">
        <f ca="1">IFERROR(SUMIFS(INDIRECT("'Thanh Toán ("&amp;AI$3&amp;")'!$F:$F"),INDIRECT("'Thanh Toán ("&amp;AI$3&amp;")'!$D:$D"),'Tổng Đơn'!$B35),0)</f>
        <v>0</v>
      </c>
      <c r="AJ35" s="2">
        <f ca="1">IFERROR(SUMIFS(INDIRECT("'Thanh Toán ("&amp;AJ$3&amp;")'!$F:$F"),INDIRECT("'Thanh Toán ("&amp;AJ$3&amp;")'!$D:$D"),'Tổng Đơn'!$B35),0)</f>
        <v>0</v>
      </c>
      <c r="AK35" s="2">
        <f ca="1">IFERROR(SUMIFS(INDIRECT("'Thanh Toán ("&amp;AK$3&amp;")'!$F:$F"),INDIRECT("'Thanh Toán ("&amp;AK$3&amp;")'!$D:$D"),'Tổng Đơn'!$B35),0)</f>
        <v>0</v>
      </c>
      <c r="AL35" s="2">
        <f ca="1">IFERROR(SUMIFS(INDIRECT("'Thanh Toán ("&amp;AL$3&amp;")'!$F:$F"),INDIRECT("'Thanh Toán ("&amp;AL$3&amp;")'!$D:$D"),'Tổng Đơn'!$B35),0)</f>
        <v>0</v>
      </c>
      <c r="AM35" s="2">
        <f ca="1">IFERROR(SUMIFS(INDIRECT("'Thanh Toán ("&amp;AM$3&amp;")'!$F:$F"),INDIRECT("'Thanh Toán ("&amp;AM$3&amp;")'!$D:$D"),'Tổng Đơn'!$B35),0)</f>
        <v>0</v>
      </c>
      <c r="AN35" s="2">
        <f ca="1">IFERROR(SUMIFS(INDIRECT("'Thanh Toán ("&amp;AN$3&amp;")'!$F:$F"),INDIRECT("'Thanh Toán ("&amp;AN$3&amp;")'!$D:$D"),'Tổng Đơn'!$B35),0)</f>
        <v>0</v>
      </c>
      <c r="AO35" s="2">
        <f ca="1">IFERROR(SUMIFS(INDIRECT("'Thanh Toán ("&amp;AO$3&amp;")'!$F:$F"),INDIRECT("'Thanh Toán ("&amp;AO$3&amp;")'!$D:$D"),'Tổng Đơn'!$B35),0)</f>
        <v>0</v>
      </c>
      <c r="AP35" s="2">
        <f ca="1">IFERROR(SUMIFS(INDIRECT("'Thanh Toán ("&amp;AP$3&amp;")'!$F:$F"),INDIRECT("'Thanh Toán ("&amp;AP$3&amp;")'!$D:$D"),'Tổng Đơn'!$B35),0)</f>
        <v>0</v>
      </c>
      <c r="AQ35" s="2">
        <f ca="1">IFERROR(SUMIFS(INDIRECT("'Thanh Toán ("&amp;AQ$3&amp;")'!$F:$F"),INDIRECT("'Thanh Toán ("&amp;AQ$3&amp;")'!$D:$D"),'Tổng Đơn'!$B35),0)</f>
        <v>0</v>
      </c>
      <c r="AR35" s="2">
        <f ca="1">IFERROR(SUMIFS(INDIRECT("'Thanh Toán ("&amp;AR$3&amp;")'!$F:$F"),INDIRECT("'Thanh Toán ("&amp;AR$3&amp;")'!$D:$D"),'Tổng Đơn'!$B35),0)</f>
        <v>0</v>
      </c>
      <c r="AS35" s="2">
        <f ca="1">IFERROR(SUMIFS(INDIRECT("'Thanh Toán ("&amp;AS$3&amp;")'!$F:$F"),INDIRECT("'Thanh Toán ("&amp;AS$3&amp;")'!$D:$D"),'Tổng Đơn'!$B35),0)</f>
        <v>0</v>
      </c>
      <c r="AT35" s="2">
        <f ca="1">IFERROR(SUMIFS(INDIRECT("'Thanh Toán ("&amp;AT$3&amp;")'!$F:$F"),INDIRECT("'Thanh Toán ("&amp;AT$3&amp;")'!$D:$D"),'Tổng Đơn'!$B35),0)</f>
        <v>0</v>
      </c>
      <c r="AU35" s="2">
        <f ca="1">IFERROR(SUMIFS(INDIRECT("'Thanh Toán ("&amp;AU$3&amp;")'!$F:$F"),INDIRECT("'Thanh Toán ("&amp;AU$3&amp;")'!$D:$D"),'Tổng Đơn'!$B35),0)</f>
        <v>0</v>
      </c>
      <c r="AV35" s="2">
        <f ca="1">IFERROR(SUMIFS(INDIRECT("'Thanh Toán ("&amp;AV$3&amp;")'!$F:$F"),INDIRECT("'Thanh Toán ("&amp;AV$3&amp;")'!$D:$D"),'Tổng Đơn'!$B35),0)</f>
        <v>0</v>
      </c>
      <c r="AW35" s="2">
        <f ca="1">IFERROR(SUMIFS(INDIRECT("'Thanh Toán ("&amp;AW$3&amp;")'!$F:$F"),INDIRECT("'Thanh Toán ("&amp;AW$3&amp;")'!$D:$D"),'Tổng Đơn'!$B35),0)</f>
        <v>0</v>
      </c>
      <c r="AX35" s="2">
        <f ca="1">IFERROR(SUMIFS(INDIRECT("'Thanh Toán ("&amp;AX$3&amp;")'!$F:$F"),INDIRECT("'Thanh Toán ("&amp;AX$3&amp;")'!$D:$D"),'Tổng Đơn'!$B35),0)</f>
        <v>0</v>
      </c>
      <c r="AY35" s="2">
        <f ca="1">IFERROR(SUMIFS(INDIRECT("'Thanh Toán ("&amp;AY$3&amp;")'!$F:$F"),INDIRECT("'Thanh Toán ("&amp;AY$3&amp;")'!$D:$D"),'Tổng Đơn'!$B35),0)</f>
        <v>0</v>
      </c>
      <c r="AZ35" s="2">
        <f ca="1">IFERROR(SUMIFS(INDIRECT("'Thanh Toán ("&amp;AZ$3&amp;")'!$F:$F"),INDIRECT("'Thanh Toán ("&amp;AZ$3&amp;")'!$D:$D"),'Tổng Đơn'!$B35),0)</f>
        <v>0</v>
      </c>
      <c r="BA35" s="2">
        <f ca="1">IFERROR(SUMIFS(INDIRECT("'Thanh Toán ("&amp;BA$3&amp;")'!$F:$F"),INDIRECT("'Thanh Toán ("&amp;BA$3&amp;")'!$D:$D"),'Tổng Đơn'!$B35),0)</f>
        <v>0</v>
      </c>
      <c r="BB35" s="2">
        <f ca="1">IFERROR(SUMIFS(INDIRECT("'Thanh Toán ("&amp;BB$3&amp;")'!$F:$F"),INDIRECT("'Thanh Toán ("&amp;BB$3&amp;")'!$D:$D"),'Tổng Đơn'!$B35),0)</f>
        <v>0</v>
      </c>
      <c r="BC35" s="2">
        <f ca="1">IFERROR(SUMIFS(INDIRECT("'Thanh Toán ("&amp;BC$3&amp;")'!$F:$F"),INDIRECT("'Thanh Toán ("&amp;BC$3&amp;")'!$D:$D"),'Tổng Đơn'!$B35),0)</f>
        <v>0</v>
      </c>
    </row>
    <row r="36" spans="1:55" ht="18" customHeight="1" x14ac:dyDescent="0.25">
      <c r="A36" s="174">
        <v>26</v>
      </c>
      <c r="B36" s="168" t="s">
        <v>37</v>
      </c>
      <c r="C36" s="174" t="s">
        <v>72</v>
      </c>
      <c r="D36" s="169">
        <f>VLOOKUP($C36,Sheet1!$C$8:$D$98,2,0)</f>
        <v>14000</v>
      </c>
      <c r="E36" s="170">
        <v>0.2</v>
      </c>
      <c r="F36" s="171">
        <f t="shared" ca="1" si="2"/>
        <v>0</v>
      </c>
      <c r="G36" s="172">
        <f>IFERROR(VLOOKUP($B36,Gà!C:J,8,0),IFERROR(VLOOKUP($B36,TVP!C:J,7,0),IFERROR(VLOOKUP($B36,Kitkool!C:J,8,0),IFERROR(VLOOKUP($B36,'La Cusina'!C:J,8,0),VLOOKUP($B36,'Quốc Nhân'!C:J,8,0)))))</f>
        <v>12.05515611149414</v>
      </c>
      <c r="H36" s="173">
        <f t="shared" ca="1" si="10"/>
        <v>0</v>
      </c>
      <c r="I36" s="195">
        <f t="shared" si="11"/>
        <v>0.16132880159482332</v>
      </c>
      <c r="J36" s="173">
        <f t="shared" ca="1" si="12"/>
        <v>0</v>
      </c>
      <c r="K36" s="38"/>
      <c r="L36" s="2">
        <f ca="1">IFERROR(SUMIFS(INDIRECT("'Thanh Toán ("&amp;L$3&amp;")'!$F:$F"),INDIRECT("'Thanh Toán ("&amp;L$3&amp;")'!$D:$D"),'Tổng Đơn'!$B36),0)</f>
        <v>0</v>
      </c>
      <c r="M36" s="2">
        <f ca="1">IFERROR(SUMIFS(INDIRECT("'Thanh Toán ("&amp;M$3&amp;")'!$F:$F"),INDIRECT("'Thanh Toán ("&amp;M$3&amp;")'!$D:$D"),'Tổng Đơn'!$B36),0)</f>
        <v>0</v>
      </c>
      <c r="N36" s="2">
        <f ca="1">IFERROR(SUMIFS(INDIRECT("'Thanh Toán ("&amp;N$3&amp;")'!$F:$F"),INDIRECT("'Thanh Toán ("&amp;N$3&amp;")'!$D:$D"),'Tổng Đơn'!$B36),0)</f>
        <v>0</v>
      </c>
      <c r="O36" s="2">
        <f ca="1">IFERROR(SUMIFS(INDIRECT("'Thanh Toán ("&amp;O$3&amp;")'!$F:$F"),INDIRECT("'Thanh Toán ("&amp;O$3&amp;")'!$D:$D"),'Tổng Đơn'!$B36),0)</f>
        <v>0</v>
      </c>
      <c r="P36" s="2">
        <f ca="1">IFERROR(SUMIFS(INDIRECT("'Thanh Toán ("&amp;P$3&amp;")'!$F:$F"),INDIRECT("'Thanh Toán ("&amp;P$3&amp;")'!$D:$D"),'Tổng Đơn'!$B36),0)</f>
        <v>0</v>
      </c>
      <c r="Q36" s="2">
        <f ca="1">IFERROR(SUMIFS(INDIRECT("'Thanh Toán ("&amp;Q$3&amp;")'!$F:$F"),INDIRECT("'Thanh Toán ("&amp;Q$3&amp;")'!$D:$D"),'Tổng Đơn'!$B36),0)</f>
        <v>0</v>
      </c>
      <c r="R36" s="2">
        <f ca="1">IFERROR(SUMIFS(INDIRECT("'Thanh Toán ("&amp;R$3&amp;")'!$F:$F"),INDIRECT("'Thanh Toán ("&amp;R$3&amp;")'!$D:$D"),'Tổng Đơn'!$B36),0)</f>
        <v>0</v>
      </c>
      <c r="S36" s="2">
        <f ca="1">IFERROR(SUMIFS(INDIRECT("'Thanh Toán ("&amp;S$3&amp;")'!$F:$F"),INDIRECT("'Thanh Toán ("&amp;S$3&amp;")'!$D:$D"),'Tổng Đơn'!$B36),0)</f>
        <v>0</v>
      </c>
      <c r="T36" s="2">
        <f ca="1">IFERROR(SUMIFS(INDIRECT("'Thanh Toán ("&amp;T$3&amp;")'!$F:$F"),INDIRECT("'Thanh Toán ("&amp;T$3&amp;")'!$D:$D"),'Tổng Đơn'!$B36),0)</f>
        <v>0</v>
      </c>
      <c r="U36" s="2">
        <f ca="1">IFERROR(SUMIFS(INDIRECT("'Thanh Toán ("&amp;U$3&amp;")'!$F:$F"),INDIRECT("'Thanh Toán ("&amp;U$3&amp;")'!$D:$D"),'Tổng Đơn'!$B36),0)</f>
        <v>0</v>
      </c>
      <c r="V36" s="2">
        <f ca="1">IFERROR(SUMIFS(INDIRECT("'Thanh Toán ("&amp;V$3&amp;")'!$F:$F"),INDIRECT("'Thanh Toán ("&amp;V$3&amp;")'!$D:$D"),'Tổng Đơn'!$B36),0)</f>
        <v>0</v>
      </c>
      <c r="W36" s="2">
        <f ca="1">IFERROR(SUMIFS(INDIRECT("'Thanh Toán ("&amp;W$3&amp;")'!$F:$F"),INDIRECT("'Thanh Toán ("&amp;W$3&amp;")'!$D:$D"),'Tổng Đơn'!$B36),0)</f>
        <v>0</v>
      </c>
      <c r="X36" s="2">
        <f ca="1">IFERROR(SUMIFS(INDIRECT("'Thanh Toán ("&amp;X$3&amp;")'!$F:$F"),INDIRECT("'Thanh Toán ("&amp;X$3&amp;")'!$D:$D"),'Tổng Đơn'!$B36),0)</f>
        <v>0</v>
      </c>
      <c r="Y36" s="2">
        <f ca="1">IFERROR(SUMIFS(INDIRECT("'Thanh Toán ("&amp;Y$3&amp;")'!$F:$F"),INDIRECT("'Thanh Toán ("&amp;Y$3&amp;")'!$D:$D"),'Tổng Đơn'!$B36),0)</f>
        <v>0</v>
      </c>
      <c r="Z36" s="2">
        <f ca="1">IFERROR(SUMIFS(INDIRECT("'Thanh Toán ("&amp;Z$3&amp;")'!$F:$F"),INDIRECT("'Thanh Toán ("&amp;Z$3&amp;")'!$D:$D"),'Tổng Đơn'!$B36),0)</f>
        <v>0</v>
      </c>
      <c r="AA36" s="2">
        <f ca="1">IFERROR(SUMIFS(INDIRECT("'Thanh Toán ("&amp;AA$3&amp;")'!$F:$F"),INDIRECT("'Thanh Toán ("&amp;AA$3&amp;")'!$D:$D"),'Tổng Đơn'!$B36),0)</f>
        <v>0</v>
      </c>
      <c r="AB36" s="2">
        <f ca="1">IFERROR(SUMIFS(INDIRECT("'Thanh Toán ("&amp;AB$3&amp;")'!$F:$F"),INDIRECT("'Thanh Toán ("&amp;AB$3&amp;")'!$D:$D"),'Tổng Đơn'!$B36),0)</f>
        <v>0</v>
      </c>
      <c r="AC36" s="2">
        <f ca="1">IFERROR(SUMIFS(INDIRECT("'Thanh Toán ("&amp;AC$3&amp;")'!$F:$F"),INDIRECT("'Thanh Toán ("&amp;AC$3&amp;")'!$D:$D"),'Tổng Đơn'!$B36),0)</f>
        <v>0</v>
      </c>
      <c r="AD36" s="2">
        <f ca="1">IFERROR(SUMIFS(INDIRECT("'Thanh Toán ("&amp;AD$3&amp;")'!$F:$F"),INDIRECT("'Thanh Toán ("&amp;AD$3&amp;")'!$D:$D"),'Tổng Đơn'!$B36),0)</f>
        <v>0</v>
      </c>
      <c r="AE36" s="2">
        <f ca="1">IFERROR(SUMIFS(INDIRECT("'Thanh Toán ("&amp;AE$3&amp;")'!$F:$F"),INDIRECT("'Thanh Toán ("&amp;AE$3&amp;")'!$D:$D"),'Tổng Đơn'!$B36),0)</f>
        <v>0</v>
      </c>
      <c r="AF36" s="2">
        <f ca="1">IFERROR(SUMIFS(INDIRECT("'Thanh Toán ("&amp;AF$3&amp;")'!$F:$F"),INDIRECT("'Thanh Toán ("&amp;AF$3&amp;")'!$D:$D"),'Tổng Đơn'!$B36),0)</f>
        <v>0</v>
      </c>
      <c r="AG36" s="2">
        <f ca="1">IFERROR(SUMIFS(INDIRECT("'Thanh Toán ("&amp;AG$3&amp;")'!$F:$F"),INDIRECT("'Thanh Toán ("&amp;AG$3&amp;")'!$D:$D"),'Tổng Đơn'!$B36),0)</f>
        <v>0</v>
      </c>
      <c r="AH36" s="2">
        <f ca="1">IFERROR(SUMIFS(INDIRECT("'Thanh Toán ("&amp;AH$3&amp;")'!$F:$F"),INDIRECT("'Thanh Toán ("&amp;AH$3&amp;")'!$D:$D"),'Tổng Đơn'!$B36),0)</f>
        <v>0</v>
      </c>
      <c r="AI36" s="2">
        <f ca="1">IFERROR(SUMIFS(INDIRECT("'Thanh Toán ("&amp;AI$3&amp;")'!$F:$F"),INDIRECT("'Thanh Toán ("&amp;AI$3&amp;")'!$D:$D"),'Tổng Đơn'!$B36),0)</f>
        <v>0</v>
      </c>
      <c r="AJ36" s="2">
        <f ca="1">IFERROR(SUMIFS(INDIRECT("'Thanh Toán ("&amp;AJ$3&amp;")'!$F:$F"),INDIRECT("'Thanh Toán ("&amp;AJ$3&amp;")'!$D:$D"),'Tổng Đơn'!$B36),0)</f>
        <v>0</v>
      </c>
      <c r="AK36" s="2">
        <f ca="1">IFERROR(SUMIFS(INDIRECT("'Thanh Toán ("&amp;AK$3&amp;")'!$F:$F"),INDIRECT("'Thanh Toán ("&amp;AK$3&amp;")'!$D:$D"),'Tổng Đơn'!$B36),0)</f>
        <v>0</v>
      </c>
      <c r="AL36" s="2">
        <f ca="1">IFERROR(SUMIFS(INDIRECT("'Thanh Toán ("&amp;AL$3&amp;")'!$F:$F"),INDIRECT("'Thanh Toán ("&amp;AL$3&amp;")'!$D:$D"),'Tổng Đơn'!$B36),0)</f>
        <v>0</v>
      </c>
      <c r="AM36" s="2">
        <f ca="1">IFERROR(SUMIFS(INDIRECT("'Thanh Toán ("&amp;AM$3&amp;")'!$F:$F"),INDIRECT("'Thanh Toán ("&amp;AM$3&amp;")'!$D:$D"),'Tổng Đơn'!$B36),0)</f>
        <v>0</v>
      </c>
      <c r="AN36" s="2">
        <f ca="1">IFERROR(SUMIFS(INDIRECT("'Thanh Toán ("&amp;AN$3&amp;")'!$F:$F"),INDIRECT("'Thanh Toán ("&amp;AN$3&amp;")'!$D:$D"),'Tổng Đơn'!$B36),0)</f>
        <v>0</v>
      </c>
      <c r="AO36" s="2">
        <f ca="1">IFERROR(SUMIFS(INDIRECT("'Thanh Toán ("&amp;AO$3&amp;")'!$F:$F"),INDIRECT("'Thanh Toán ("&amp;AO$3&amp;")'!$D:$D"),'Tổng Đơn'!$B36),0)</f>
        <v>0</v>
      </c>
      <c r="AP36" s="2">
        <f ca="1">IFERROR(SUMIFS(INDIRECT("'Thanh Toán ("&amp;AP$3&amp;")'!$F:$F"),INDIRECT("'Thanh Toán ("&amp;AP$3&amp;")'!$D:$D"),'Tổng Đơn'!$B36),0)</f>
        <v>0</v>
      </c>
      <c r="AQ36" s="2">
        <f ca="1">IFERROR(SUMIFS(INDIRECT("'Thanh Toán ("&amp;AQ$3&amp;")'!$F:$F"),INDIRECT("'Thanh Toán ("&amp;AQ$3&amp;")'!$D:$D"),'Tổng Đơn'!$B36),0)</f>
        <v>0</v>
      </c>
      <c r="AR36" s="2">
        <f ca="1">IFERROR(SUMIFS(INDIRECT("'Thanh Toán ("&amp;AR$3&amp;")'!$F:$F"),INDIRECT("'Thanh Toán ("&amp;AR$3&amp;")'!$D:$D"),'Tổng Đơn'!$B36),0)</f>
        <v>0</v>
      </c>
      <c r="AS36" s="2">
        <f ca="1">IFERROR(SUMIFS(INDIRECT("'Thanh Toán ("&amp;AS$3&amp;")'!$F:$F"),INDIRECT("'Thanh Toán ("&amp;AS$3&amp;")'!$D:$D"),'Tổng Đơn'!$B36),0)</f>
        <v>0</v>
      </c>
      <c r="AT36" s="2">
        <f ca="1">IFERROR(SUMIFS(INDIRECT("'Thanh Toán ("&amp;AT$3&amp;")'!$F:$F"),INDIRECT("'Thanh Toán ("&amp;AT$3&amp;")'!$D:$D"),'Tổng Đơn'!$B36),0)</f>
        <v>0</v>
      </c>
      <c r="AU36" s="2">
        <f ca="1">IFERROR(SUMIFS(INDIRECT("'Thanh Toán ("&amp;AU$3&amp;")'!$F:$F"),INDIRECT("'Thanh Toán ("&amp;AU$3&amp;")'!$D:$D"),'Tổng Đơn'!$B36),0)</f>
        <v>0</v>
      </c>
      <c r="AV36" s="2">
        <f ca="1">IFERROR(SUMIFS(INDIRECT("'Thanh Toán ("&amp;AV$3&amp;")'!$F:$F"),INDIRECT("'Thanh Toán ("&amp;AV$3&amp;")'!$D:$D"),'Tổng Đơn'!$B36),0)</f>
        <v>0</v>
      </c>
      <c r="AW36" s="2">
        <f ca="1">IFERROR(SUMIFS(INDIRECT("'Thanh Toán ("&amp;AW$3&amp;")'!$F:$F"),INDIRECT("'Thanh Toán ("&amp;AW$3&amp;")'!$D:$D"),'Tổng Đơn'!$B36),0)</f>
        <v>0</v>
      </c>
      <c r="AX36" s="2">
        <f ca="1">IFERROR(SUMIFS(INDIRECT("'Thanh Toán ("&amp;AX$3&amp;")'!$F:$F"),INDIRECT("'Thanh Toán ("&amp;AX$3&amp;")'!$D:$D"),'Tổng Đơn'!$B36),0)</f>
        <v>0</v>
      </c>
      <c r="AY36" s="2">
        <f ca="1">IFERROR(SUMIFS(INDIRECT("'Thanh Toán ("&amp;AY$3&amp;")'!$F:$F"),INDIRECT("'Thanh Toán ("&amp;AY$3&amp;")'!$D:$D"),'Tổng Đơn'!$B36),0)</f>
        <v>0</v>
      </c>
      <c r="AZ36" s="2">
        <f ca="1">IFERROR(SUMIFS(INDIRECT("'Thanh Toán ("&amp;AZ$3&amp;")'!$F:$F"),INDIRECT("'Thanh Toán ("&amp;AZ$3&amp;")'!$D:$D"),'Tổng Đơn'!$B36),0)</f>
        <v>0</v>
      </c>
      <c r="BA36" s="2">
        <f ca="1">IFERROR(SUMIFS(INDIRECT("'Thanh Toán ("&amp;BA$3&amp;")'!$F:$F"),INDIRECT("'Thanh Toán ("&amp;BA$3&amp;")'!$D:$D"),'Tổng Đơn'!$B36),0)</f>
        <v>0</v>
      </c>
      <c r="BB36" s="2">
        <f ca="1">IFERROR(SUMIFS(INDIRECT("'Thanh Toán ("&amp;BB$3&amp;")'!$F:$F"),INDIRECT("'Thanh Toán ("&amp;BB$3&amp;")'!$D:$D"),'Tổng Đơn'!$B36),0)</f>
        <v>0</v>
      </c>
      <c r="BC36" s="2">
        <f ca="1">IFERROR(SUMIFS(INDIRECT("'Thanh Toán ("&amp;BC$3&amp;")'!$F:$F"),INDIRECT("'Thanh Toán ("&amp;BC$3&amp;")'!$D:$D"),'Tổng Đơn'!$B36),0)</f>
        <v>0</v>
      </c>
    </row>
    <row r="37" spans="1:55" ht="18" customHeight="1" x14ac:dyDescent="0.25">
      <c r="A37" s="167">
        <v>27</v>
      </c>
      <c r="B37" s="168" t="s">
        <v>38</v>
      </c>
      <c r="C37" s="167" t="s">
        <v>73</v>
      </c>
      <c r="D37" s="169">
        <f>VLOOKUP($C37,Sheet1!$C$8:$D$98,2,0)</f>
        <v>35000</v>
      </c>
      <c r="E37" s="170">
        <v>0.5</v>
      </c>
      <c r="F37" s="171">
        <f t="shared" ca="1" si="2"/>
        <v>0</v>
      </c>
      <c r="G37" s="172">
        <f>IFERROR(VLOOKUP($B37,Gà!C:J,8,0),IFERROR(VLOOKUP($B37,TVP!C:J,7,0),IFERROR(VLOOKUP($B37,Kitkool!C:J,8,0),IFERROR(VLOOKUP($B37,'La Cusina'!C:J,8,0),VLOOKUP($B37,'Quốc Nhân'!C:J,8,0)))))</f>
        <v>28.63099576479858</v>
      </c>
      <c r="H37" s="173">
        <f t="shared" ca="1" si="10"/>
        <v>0</v>
      </c>
      <c r="I37" s="195">
        <f t="shared" si="11"/>
        <v>0.22245137009981408</v>
      </c>
      <c r="J37" s="173">
        <f t="shared" ca="1" si="12"/>
        <v>0</v>
      </c>
      <c r="K37" s="38"/>
      <c r="L37" s="2">
        <f ca="1">IFERROR(SUMIFS(INDIRECT("'Thanh Toán ("&amp;L$3&amp;")'!$F:$F"),INDIRECT("'Thanh Toán ("&amp;L$3&amp;")'!$D:$D"),'Tổng Đơn'!$B37),0)</f>
        <v>0</v>
      </c>
      <c r="M37" s="2">
        <f ca="1">IFERROR(SUMIFS(INDIRECT("'Thanh Toán ("&amp;M$3&amp;")'!$F:$F"),INDIRECT("'Thanh Toán ("&amp;M$3&amp;")'!$D:$D"),'Tổng Đơn'!$B37),0)</f>
        <v>0</v>
      </c>
      <c r="N37" s="2">
        <f ca="1">IFERROR(SUMIFS(INDIRECT("'Thanh Toán ("&amp;N$3&amp;")'!$F:$F"),INDIRECT("'Thanh Toán ("&amp;N$3&amp;")'!$D:$D"),'Tổng Đơn'!$B37),0)</f>
        <v>0</v>
      </c>
      <c r="O37" s="2">
        <f ca="1">IFERROR(SUMIFS(INDIRECT("'Thanh Toán ("&amp;O$3&amp;")'!$F:$F"),INDIRECT("'Thanh Toán ("&amp;O$3&amp;")'!$D:$D"),'Tổng Đơn'!$B37),0)</f>
        <v>0</v>
      </c>
      <c r="P37" s="2">
        <f ca="1">IFERROR(SUMIFS(INDIRECT("'Thanh Toán ("&amp;P$3&amp;")'!$F:$F"),INDIRECT("'Thanh Toán ("&amp;P$3&amp;")'!$D:$D"),'Tổng Đơn'!$B37),0)</f>
        <v>0</v>
      </c>
      <c r="Q37" s="2">
        <f ca="1">IFERROR(SUMIFS(INDIRECT("'Thanh Toán ("&amp;Q$3&amp;")'!$F:$F"),INDIRECT("'Thanh Toán ("&amp;Q$3&amp;")'!$D:$D"),'Tổng Đơn'!$B37),0)</f>
        <v>0</v>
      </c>
      <c r="R37" s="2">
        <f ca="1">IFERROR(SUMIFS(INDIRECT("'Thanh Toán ("&amp;R$3&amp;")'!$F:$F"),INDIRECT("'Thanh Toán ("&amp;R$3&amp;")'!$D:$D"),'Tổng Đơn'!$B37),0)</f>
        <v>0</v>
      </c>
      <c r="S37" s="2">
        <f ca="1">IFERROR(SUMIFS(INDIRECT("'Thanh Toán ("&amp;S$3&amp;")'!$F:$F"),INDIRECT("'Thanh Toán ("&amp;S$3&amp;")'!$D:$D"),'Tổng Đơn'!$B37),0)</f>
        <v>0</v>
      </c>
      <c r="T37" s="2">
        <f ca="1">IFERROR(SUMIFS(INDIRECT("'Thanh Toán ("&amp;T$3&amp;")'!$F:$F"),INDIRECT("'Thanh Toán ("&amp;T$3&amp;")'!$D:$D"),'Tổng Đơn'!$B37),0)</f>
        <v>0</v>
      </c>
      <c r="U37" s="2">
        <f ca="1">IFERROR(SUMIFS(INDIRECT("'Thanh Toán ("&amp;U$3&amp;")'!$F:$F"),INDIRECT("'Thanh Toán ("&amp;U$3&amp;")'!$D:$D"),'Tổng Đơn'!$B37),0)</f>
        <v>0</v>
      </c>
      <c r="V37" s="2">
        <f ca="1">IFERROR(SUMIFS(INDIRECT("'Thanh Toán ("&amp;V$3&amp;")'!$F:$F"),INDIRECT("'Thanh Toán ("&amp;V$3&amp;")'!$D:$D"),'Tổng Đơn'!$B37),0)</f>
        <v>0</v>
      </c>
      <c r="W37" s="2">
        <f ca="1">IFERROR(SUMIFS(INDIRECT("'Thanh Toán ("&amp;W$3&amp;")'!$F:$F"),INDIRECT("'Thanh Toán ("&amp;W$3&amp;")'!$D:$D"),'Tổng Đơn'!$B37),0)</f>
        <v>0</v>
      </c>
      <c r="X37" s="2">
        <f ca="1">IFERROR(SUMIFS(INDIRECT("'Thanh Toán ("&amp;X$3&amp;")'!$F:$F"),INDIRECT("'Thanh Toán ("&amp;X$3&amp;")'!$D:$D"),'Tổng Đơn'!$B37),0)</f>
        <v>0</v>
      </c>
      <c r="Y37" s="2">
        <f ca="1">IFERROR(SUMIFS(INDIRECT("'Thanh Toán ("&amp;Y$3&amp;")'!$F:$F"),INDIRECT("'Thanh Toán ("&amp;Y$3&amp;")'!$D:$D"),'Tổng Đơn'!$B37),0)</f>
        <v>0</v>
      </c>
      <c r="Z37" s="2">
        <f ca="1">IFERROR(SUMIFS(INDIRECT("'Thanh Toán ("&amp;Z$3&amp;")'!$F:$F"),INDIRECT("'Thanh Toán ("&amp;Z$3&amp;")'!$D:$D"),'Tổng Đơn'!$B37),0)</f>
        <v>0</v>
      </c>
      <c r="AA37" s="2">
        <f ca="1">IFERROR(SUMIFS(INDIRECT("'Thanh Toán ("&amp;AA$3&amp;")'!$F:$F"),INDIRECT("'Thanh Toán ("&amp;AA$3&amp;")'!$D:$D"),'Tổng Đơn'!$B37),0)</f>
        <v>0</v>
      </c>
      <c r="AB37" s="2">
        <f ca="1">IFERROR(SUMIFS(INDIRECT("'Thanh Toán ("&amp;AB$3&amp;")'!$F:$F"),INDIRECT("'Thanh Toán ("&amp;AB$3&amp;")'!$D:$D"),'Tổng Đơn'!$B37),0)</f>
        <v>0</v>
      </c>
      <c r="AC37" s="2">
        <f ca="1">IFERROR(SUMIFS(INDIRECT("'Thanh Toán ("&amp;AC$3&amp;")'!$F:$F"),INDIRECT("'Thanh Toán ("&amp;AC$3&amp;")'!$D:$D"),'Tổng Đơn'!$B37),0)</f>
        <v>0</v>
      </c>
      <c r="AD37" s="2">
        <f ca="1">IFERROR(SUMIFS(INDIRECT("'Thanh Toán ("&amp;AD$3&amp;")'!$F:$F"),INDIRECT("'Thanh Toán ("&amp;AD$3&amp;")'!$D:$D"),'Tổng Đơn'!$B37),0)</f>
        <v>0</v>
      </c>
      <c r="AE37" s="2">
        <f ca="1">IFERROR(SUMIFS(INDIRECT("'Thanh Toán ("&amp;AE$3&amp;")'!$F:$F"),INDIRECT("'Thanh Toán ("&amp;AE$3&amp;")'!$D:$D"),'Tổng Đơn'!$B37),0)</f>
        <v>0</v>
      </c>
      <c r="AF37" s="2">
        <f ca="1">IFERROR(SUMIFS(INDIRECT("'Thanh Toán ("&amp;AF$3&amp;")'!$F:$F"),INDIRECT("'Thanh Toán ("&amp;AF$3&amp;")'!$D:$D"),'Tổng Đơn'!$B37),0)</f>
        <v>0</v>
      </c>
      <c r="AG37" s="2">
        <f ca="1">IFERROR(SUMIFS(INDIRECT("'Thanh Toán ("&amp;AG$3&amp;")'!$F:$F"),INDIRECT("'Thanh Toán ("&amp;AG$3&amp;")'!$D:$D"),'Tổng Đơn'!$B37),0)</f>
        <v>0</v>
      </c>
      <c r="AH37" s="2">
        <f ca="1">IFERROR(SUMIFS(INDIRECT("'Thanh Toán ("&amp;AH$3&amp;")'!$F:$F"),INDIRECT("'Thanh Toán ("&amp;AH$3&amp;")'!$D:$D"),'Tổng Đơn'!$B37),0)</f>
        <v>0</v>
      </c>
      <c r="AI37" s="2">
        <f ca="1">IFERROR(SUMIFS(INDIRECT("'Thanh Toán ("&amp;AI$3&amp;")'!$F:$F"),INDIRECT("'Thanh Toán ("&amp;AI$3&amp;")'!$D:$D"),'Tổng Đơn'!$B37),0)</f>
        <v>0</v>
      </c>
      <c r="AJ37" s="2">
        <f ca="1">IFERROR(SUMIFS(INDIRECT("'Thanh Toán ("&amp;AJ$3&amp;")'!$F:$F"),INDIRECT("'Thanh Toán ("&amp;AJ$3&amp;")'!$D:$D"),'Tổng Đơn'!$B37),0)</f>
        <v>0</v>
      </c>
      <c r="AK37" s="2">
        <f ca="1">IFERROR(SUMIFS(INDIRECT("'Thanh Toán ("&amp;AK$3&amp;")'!$F:$F"),INDIRECT("'Thanh Toán ("&amp;AK$3&amp;")'!$D:$D"),'Tổng Đơn'!$B37),0)</f>
        <v>0</v>
      </c>
      <c r="AL37" s="2">
        <f ca="1">IFERROR(SUMIFS(INDIRECT("'Thanh Toán ("&amp;AL$3&amp;")'!$F:$F"),INDIRECT("'Thanh Toán ("&amp;AL$3&amp;")'!$D:$D"),'Tổng Đơn'!$B37),0)</f>
        <v>0</v>
      </c>
      <c r="AM37" s="2">
        <f ca="1">IFERROR(SUMIFS(INDIRECT("'Thanh Toán ("&amp;AM$3&amp;")'!$F:$F"),INDIRECT("'Thanh Toán ("&amp;AM$3&amp;")'!$D:$D"),'Tổng Đơn'!$B37),0)</f>
        <v>0</v>
      </c>
      <c r="AN37" s="2">
        <f ca="1">IFERROR(SUMIFS(INDIRECT("'Thanh Toán ("&amp;AN$3&amp;")'!$F:$F"),INDIRECT("'Thanh Toán ("&amp;AN$3&amp;")'!$D:$D"),'Tổng Đơn'!$B37),0)</f>
        <v>0</v>
      </c>
      <c r="AO37" s="2">
        <f ca="1">IFERROR(SUMIFS(INDIRECT("'Thanh Toán ("&amp;AO$3&amp;")'!$F:$F"),INDIRECT("'Thanh Toán ("&amp;AO$3&amp;")'!$D:$D"),'Tổng Đơn'!$B37),0)</f>
        <v>0</v>
      </c>
      <c r="AP37" s="2">
        <f ca="1">IFERROR(SUMIFS(INDIRECT("'Thanh Toán ("&amp;AP$3&amp;")'!$F:$F"),INDIRECT("'Thanh Toán ("&amp;AP$3&amp;")'!$D:$D"),'Tổng Đơn'!$B37),0)</f>
        <v>0</v>
      </c>
      <c r="AQ37" s="2">
        <f ca="1">IFERROR(SUMIFS(INDIRECT("'Thanh Toán ("&amp;AQ$3&amp;")'!$F:$F"),INDIRECT("'Thanh Toán ("&amp;AQ$3&amp;")'!$D:$D"),'Tổng Đơn'!$B37),0)</f>
        <v>0</v>
      </c>
      <c r="AR37" s="2">
        <f ca="1">IFERROR(SUMIFS(INDIRECT("'Thanh Toán ("&amp;AR$3&amp;")'!$F:$F"),INDIRECT("'Thanh Toán ("&amp;AR$3&amp;")'!$D:$D"),'Tổng Đơn'!$B37),0)</f>
        <v>0</v>
      </c>
      <c r="AS37" s="2">
        <f ca="1">IFERROR(SUMIFS(INDIRECT("'Thanh Toán ("&amp;AS$3&amp;")'!$F:$F"),INDIRECT("'Thanh Toán ("&amp;AS$3&amp;")'!$D:$D"),'Tổng Đơn'!$B37),0)</f>
        <v>0</v>
      </c>
      <c r="AT37" s="2">
        <f ca="1">IFERROR(SUMIFS(INDIRECT("'Thanh Toán ("&amp;AT$3&amp;")'!$F:$F"),INDIRECT("'Thanh Toán ("&amp;AT$3&amp;")'!$D:$D"),'Tổng Đơn'!$B37),0)</f>
        <v>0</v>
      </c>
      <c r="AU37" s="2">
        <f ca="1">IFERROR(SUMIFS(INDIRECT("'Thanh Toán ("&amp;AU$3&amp;")'!$F:$F"),INDIRECT("'Thanh Toán ("&amp;AU$3&amp;")'!$D:$D"),'Tổng Đơn'!$B37),0)</f>
        <v>0</v>
      </c>
      <c r="AV37" s="2">
        <f ca="1">IFERROR(SUMIFS(INDIRECT("'Thanh Toán ("&amp;AV$3&amp;")'!$F:$F"),INDIRECT("'Thanh Toán ("&amp;AV$3&amp;")'!$D:$D"),'Tổng Đơn'!$B37),0)</f>
        <v>0</v>
      </c>
      <c r="AW37" s="2">
        <f ca="1">IFERROR(SUMIFS(INDIRECT("'Thanh Toán ("&amp;AW$3&amp;")'!$F:$F"),INDIRECT("'Thanh Toán ("&amp;AW$3&amp;")'!$D:$D"),'Tổng Đơn'!$B37),0)</f>
        <v>0</v>
      </c>
      <c r="AX37" s="2">
        <f ca="1">IFERROR(SUMIFS(INDIRECT("'Thanh Toán ("&amp;AX$3&amp;")'!$F:$F"),INDIRECT("'Thanh Toán ("&amp;AX$3&amp;")'!$D:$D"),'Tổng Đơn'!$B37),0)</f>
        <v>0</v>
      </c>
      <c r="AY37" s="2">
        <f ca="1">IFERROR(SUMIFS(INDIRECT("'Thanh Toán ("&amp;AY$3&amp;")'!$F:$F"),INDIRECT("'Thanh Toán ("&amp;AY$3&amp;")'!$D:$D"),'Tổng Đơn'!$B37),0)</f>
        <v>0</v>
      </c>
      <c r="AZ37" s="2">
        <f ca="1">IFERROR(SUMIFS(INDIRECT("'Thanh Toán ("&amp;AZ$3&amp;")'!$F:$F"),INDIRECT("'Thanh Toán ("&amp;AZ$3&amp;")'!$D:$D"),'Tổng Đơn'!$B37),0)</f>
        <v>0</v>
      </c>
      <c r="BA37" s="2">
        <f ca="1">IFERROR(SUMIFS(INDIRECT("'Thanh Toán ("&amp;BA$3&amp;")'!$F:$F"),INDIRECT("'Thanh Toán ("&amp;BA$3&amp;")'!$D:$D"),'Tổng Đơn'!$B37),0)</f>
        <v>0</v>
      </c>
      <c r="BB37" s="2">
        <f ca="1">IFERROR(SUMIFS(INDIRECT("'Thanh Toán ("&amp;BB$3&amp;")'!$F:$F"),INDIRECT("'Thanh Toán ("&amp;BB$3&amp;")'!$D:$D"),'Tổng Đơn'!$B37),0)</f>
        <v>0</v>
      </c>
      <c r="BC37" s="2">
        <f ca="1">IFERROR(SUMIFS(INDIRECT("'Thanh Toán ("&amp;BC$3&amp;")'!$F:$F"),INDIRECT("'Thanh Toán ("&amp;BC$3&amp;")'!$D:$D"),'Tổng Đơn'!$B37),0)</f>
        <v>0</v>
      </c>
    </row>
    <row r="38" spans="1:55" ht="18" customHeight="1" x14ac:dyDescent="0.25">
      <c r="A38" s="167">
        <v>28</v>
      </c>
      <c r="B38" s="168" t="s">
        <v>39</v>
      </c>
      <c r="C38" s="174" t="s">
        <v>74</v>
      </c>
      <c r="D38" s="169">
        <f>VLOOKUP($C38,Sheet1!$C$8:$D$98,2,0)</f>
        <v>14000</v>
      </c>
      <c r="E38" s="170">
        <v>0.2</v>
      </c>
      <c r="F38" s="171">
        <f t="shared" ca="1" si="2"/>
        <v>0</v>
      </c>
      <c r="G38" s="172">
        <f>IFERROR(VLOOKUP($B38,Gà!C:J,8,0),IFERROR(VLOOKUP($B38,TVP!C:J,7,0),IFERROR(VLOOKUP($B38,Kitkool!C:J,8,0),IFERROR(VLOOKUP($B38,'La Cusina'!C:J,8,0),VLOOKUP($B38,'Quốc Nhân'!C:J,8,0)))))</f>
        <v>12.05515611149414</v>
      </c>
      <c r="H38" s="173">
        <f t="shared" ca="1" si="10"/>
        <v>0</v>
      </c>
      <c r="I38" s="195">
        <f t="shared" si="11"/>
        <v>0.16132880159482332</v>
      </c>
      <c r="J38" s="173">
        <f t="shared" ca="1" si="12"/>
        <v>0</v>
      </c>
      <c r="K38" s="38"/>
      <c r="L38" s="2">
        <f ca="1">IFERROR(SUMIFS(INDIRECT("'Thanh Toán ("&amp;L$3&amp;")'!$F:$F"),INDIRECT("'Thanh Toán ("&amp;L$3&amp;")'!$D:$D"),'Tổng Đơn'!$B38),0)</f>
        <v>0</v>
      </c>
      <c r="M38" s="2">
        <f ca="1">IFERROR(SUMIFS(INDIRECT("'Thanh Toán ("&amp;M$3&amp;")'!$F:$F"),INDIRECT("'Thanh Toán ("&amp;M$3&amp;")'!$D:$D"),'Tổng Đơn'!$B38),0)</f>
        <v>0</v>
      </c>
      <c r="N38" s="2">
        <f ca="1">IFERROR(SUMIFS(INDIRECT("'Thanh Toán ("&amp;N$3&amp;")'!$F:$F"),INDIRECT("'Thanh Toán ("&amp;N$3&amp;")'!$D:$D"),'Tổng Đơn'!$B38),0)</f>
        <v>0</v>
      </c>
      <c r="O38" s="2">
        <f ca="1">IFERROR(SUMIFS(INDIRECT("'Thanh Toán ("&amp;O$3&amp;")'!$F:$F"),INDIRECT("'Thanh Toán ("&amp;O$3&amp;")'!$D:$D"),'Tổng Đơn'!$B38),0)</f>
        <v>0</v>
      </c>
      <c r="P38" s="2">
        <f ca="1">IFERROR(SUMIFS(INDIRECT("'Thanh Toán ("&amp;P$3&amp;")'!$F:$F"),INDIRECT("'Thanh Toán ("&amp;P$3&amp;")'!$D:$D"),'Tổng Đơn'!$B38),0)</f>
        <v>0</v>
      </c>
      <c r="Q38" s="2">
        <f ca="1">IFERROR(SUMIFS(INDIRECT("'Thanh Toán ("&amp;Q$3&amp;")'!$F:$F"),INDIRECT("'Thanh Toán ("&amp;Q$3&amp;")'!$D:$D"),'Tổng Đơn'!$B38),0)</f>
        <v>0</v>
      </c>
      <c r="R38" s="2">
        <f ca="1">IFERROR(SUMIFS(INDIRECT("'Thanh Toán ("&amp;R$3&amp;")'!$F:$F"),INDIRECT("'Thanh Toán ("&amp;R$3&amp;")'!$D:$D"),'Tổng Đơn'!$B38),0)</f>
        <v>0</v>
      </c>
      <c r="S38" s="2">
        <f ca="1">IFERROR(SUMIFS(INDIRECT("'Thanh Toán ("&amp;S$3&amp;")'!$F:$F"),INDIRECT("'Thanh Toán ("&amp;S$3&amp;")'!$D:$D"),'Tổng Đơn'!$B38),0)</f>
        <v>0</v>
      </c>
      <c r="T38" s="2">
        <f ca="1">IFERROR(SUMIFS(INDIRECT("'Thanh Toán ("&amp;T$3&amp;")'!$F:$F"),INDIRECT("'Thanh Toán ("&amp;T$3&amp;")'!$D:$D"),'Tổng Đơn'!$B38),0)</f>
        <v>0</v>
      </c>
      <c r="U38" s="2">
        <f ca="1">IFERROR(SUMIFS(INDIRECT("'Thanh Toán ("&amp;U$3&amp;")'!$F:$F"),INDIRECT("'Thanh Toán ("&amp;U$3&amp;")'!$D:$D"),'Tổng Đơn'!$B38),0)</f>
        <v>0</v>
      </c>
      <c r="V38" s="2">
        <f ca="1">IFERROR(SUMIFS(INDIRECT("'Thanh Toán ("&amp;V$3&amp;")'!$F:$F"),INDIRECT("'Thanh Toán ("&amp;V$3&amp;")'!$D:$D"),'Tổng Đơn'!$B38),0)</f>
        <v>0</v>
      </c>
      <c r="W38" s="2">
        <f ca="1">IFERROR(SUMIFS(INDIRECT("'Thanh Toán ("&amp;W$3&amp;")'!$F:$F"),INDIRECT("'Thanh Toán ("&amp;W$3&amp;")'!$D:$D"),'Tổng Đơn'!$B38),0)</f>
        <v>0</v>
      </c>
      <c r="X38" s="2">
        <f ca="1">IFERROR(SUMIFS(INDIRECT("'Thanh Toán ("&amp;X$3&amp;")'!$F:$F"),INDIRECT("'Thanh Toán ("&amp;X$3&amp;")'!$D:$D"),'Tổng Đơn'!$B38),0)</f>
        <v>0</v>
      </c>
      <c r="Y38" s="2">
        <f ca="1">IFERROR(SUMIFS(INDIRECT("'Thanh Toán ("&amp;Y$3&amp;")'!$F:$F"),INDIRECT("'Thanh Toán ("&amp;Y$3&amp;")'!$D:$D"),'Tổng Đơn'!$B38),0)</f>
        <v>0</v>
      </c>
      <c r="Z38" s="2">
        <f ca="1">IFERROR(SUMIFS(INDIRECT("'Thanh Toán ("&amp;Z$3&amp;")'!$F:$F"),INDIRECT("'Thanh Toán ("&amp;Z$3&amp;")'!$D:$D"),'Tổng Đơn'!$B38),0)</f>
        <v>0</v>
      </c>
      <c r="AA38" s="2">
        <f ca="1">IFERROR(SUMIFS(INDIRECT("'Thanh Toán ("&amp;AA$3&amp;")'!$F:$F"),INDIRECT("'Thanh Toán ("&amp;AA$3&amp;")'!$D:$D"),'Tổng Đơn'!$B38),0)</f>
        <v>0</v>
      </c>
      <c r="AB38" s="2">
        <f ca="1">IFERROR(SUMIFS(INDIRECT("'Thanh Toán ("&amp;AB$3&amp;")'!$F:$F"),INDIRECT("'Thanh Toán ("&amp;AB$3&amp;")'!$D:$D"),'Tổng Đơn'!$B38),0)</f>
        <v>0</v>
      </c>
      <c r="AC38" s="2">
        <f ca="1">IFERROR(SUMIFS(INDIRECT("'Thanh Toán ("&amp;AC$3&amp;")'!$F:$F"),INDIRECT("'Thanh Toán ("&amp;AC$3&amp;")'!$D:$D"),'Tổng Đơn'!$B38),0)</f>
        <v>0</v>
      </c>
      <c r="AD38" s="2">
        <f ca="1">IFERROR(SUMIFS(INDIRECT("'Thanh Toán ("&amp;AD$3&amp;")'!$F:$F"),INDIRECT("'Thanh Toán ("&amp;AD$3&amp;")'!$D:$D"),'Tổng Đơn'!$B38),0)</f>
        <v>0</v>
      </c>
      <c r="AE38" s="2">
        <f ca="1">IFERROR(SUMIFS(INDIRECT("'Thanh Toán ("&amp;AE$3&amp;")'!$F:$F"),INDIRECT("'Thanh Toán ("&amp;AE$3&amp;")'!$D:$D"),'Tổng Đơn'!$B38),0)</f>
        <v>0</v>
      </c>
      <c r="AF38" s="2">
        <f ca="1">IFERROR(SUMIFS(INDIRECT("'Thanh Toán ("&amp;AF$3&amp;")'!$F:$F"),INDIRECT("'Thanh Toán ("&amp;AF$3&amp;")'!$D:$D"),'Tổng Đơn'!$B38),0)</f>
        <v>0</v>
      </c>
      <c r="AG38" s="2">
        <f ca="1">IFERROR(SUMIFS(INDIRECT("'Thanh Toán ("&amp;AG$3&amp;")'!$F:$F"),INDIRECT("'Thanh Toán ("&amp;AG$3&amp;")'!$D:$D"),'Tổng Đơn'!$B38),0)</f>
        <v>0</v>
      </c>
      <c r="AH38" s="2">
        <f ca="1">IFERROR(SUMIFS(INDIRECT("'Thanh Toán ("&amp;AH$3&amp;")'!$F:$F"),INDIRECT("'Thanh Toán ("&amp;AH$3&amp;")'!$D:$D"),'Tổng Đơn'!$B38),0)</f>
        <v>0</v>
      </c>
      <c r="AI38" s="2">
        <f ca="1">IFERROR(SUMIFS(INDIRECT("'Thanh Toán ("&amp;AI$3&amp;")'!$F:$F"),INDIRECT("'Thanh Toán ("&amp;AI$3&amp;")'!$D:$D"),'Tổng Đơn'!$B38),0)</f>
        <v>0</v>
      </c>
      <c r="AJ38" s="2">
        <f ca="1">IFERROR(SUMIFS(INDIRECT("'Thanh Toán ("&amp;AJ$3&amp;")'!$F:$F"),INDIRECT("'Thanh Toán ("&amp;AJ$3&amp;")'!$D:$D"),'Tổng Đơn'!$B38),0)</f>
        <v>0</v>
      </c>
      <c r="AK38" s="2">
        <f ca="1">IFERROR(SUMIFS(INDIRECT("'Thanh Toán ("&amp;AK$3&amp;")'!$F:$F"),INDIRECT("'Thanh Toán ("&amp;AK$3&amp;")'!$D:$D"),'Tổng Đơn'!$B38),0)</f>
        <v>0</v>
      </c>
      <c r="AL38" s="2">
        <f ca="1">IFERROR(SUMIFS(INDIRECT("'Thanh Toán ("&amp;AL$3&amp;")'!$F:$F"),INDIRECT("'Thanh Toán ("&amp;AL$3&amp;")'!$D:$D"),'Tổng Đơn'!$B38),0)</f>
        <v>0</v>
      </c>
      <c r="AM38" s="2">
        <f ca="1">IFERROR(SUMIFS(INDIRECT("'Thanh Toán ("&amp;AM$3&amp;")'!$F:$F"),INDIRECT("'Thanh Toán ("&amp;AM$3&amp;")'!$D:$D"),'Tổng Đơn'!$B38),0)</f>
        <v>0</v>
      </c>
      <c r="AN38" s="2">
        <f ca="1">IFERROR(SUMIFS(INDIRECT("'Thanh Toán ("&amp;AN$3&amp;")'!$F:$F"),INDIRECT("'Thanh Toán ("&amp;AN$3&amp;")'!$D:$D"),'Tổng Đơn'!$B38),0)</f>
        <v>0</v>
      </c>
      <c r="AO38" s="2">
        <f ca="1">IFERROR(SUMIFS(INDIRECT("'Thanh Toán ("&amp;AO$3&amp;")'!$F:$F"),INDIRECT("'Thanh Toán ("&amp;AO$3&amp;")'!$D:$D"),'Tổng Đơn'!$B38),0)</f>
        <v>0</v>
      </c>
      <c r="AP38" s="2">
        <f ca="1">IFERROR(SUMIFS(INDIRECT("'Thanh Toán ("&amp;AP$3&amp;")'!$F:$F"),INDIRECT("'Thanh Toán ("&amp;AP$3&amp;")'!$D:$D"),'Tổng Đơn'!$B38),0)</f>
        <v>0</v>
      </c>
      <c r="AQ38" s="2">
        <f ca="1">IFERROR(SUMIFS(INDIRECT("'Thanh Toán ("&amp;AQ$3&amp;")'!$F:$F"),INDIRECT("'Thanh Toán ("&amp;AQ$3&amp;")'!$D:$D"),'Tổng Đơn'!$B38),0)</f>
        <v>0</v>
      </c>
      <c r="AR38" s="2">
        <f ca="1">IFERROR(SUMIFS(INDIRECT("'Thanh Toán ("&amp;AR$3&amp;")'!$F:$F"),INDIRECT("'Thanh Toán ("&amp;AR$3&amp;")'!$D:$D"),'Tổng Đơn'!$B38),0)</f>
        <v>0</v>
      </c>
      <c r="AS38" s="2">
        <f ca="1">IFERROR(SUMIFS(INDIRECT("'Thanh Toán ("&amp;AS$3&amp;")'!$F:$F"),INDIRECT("'Thanh Toán ("&amp;AS$3&amp;")'!$D:$D"),'Tổng Đơn'!$B38),0)</f>
        <v>0</v>
      </c>
      <c r="AT38" s="2">
        <f ca="1">IFERROR(SUMIFS(INDIRECT("'Thanh Toán ("&amp;AT$3&amp;")'!$F:$F"),INDIRECT("'Thanh Toán ("&amp;AT$3&amp;")'!$D:$D"),'Tổng Đơn'!$B38),0)</f>
        <v>0</v>
      </c>
      <c r="AU38" s="2">
        <f ca="1">IFERROR(SUMIFS(INDIRECT("'Thanh Toán ("&amp;AU$3&amp;")'!$F:$F"),INDIRECT("'Thanh Toán ("&amp;AU$3&amp;")'!$D:$D"),'Tổng Đơn'!$B38),0)</f>
        <v>0</v>
      </c>
      <c r="AV38" s="2">
        <f ca="1">IFERROR(SUMIFS(INDIRECT("'Thanh Toán ("&amp;AV$3&amp;")'!$F:$F"),INDIRECT("'Thanh Toán ("&amp;AV$3&amp;")'!$D:$D"),'Tổng Đơn'!$B38),0)</f>
        <v>0</v>
      </c>
      <c r="AW38" s="2">
        <f ca="1">IFERROR(SUMIFS(INDIRECT("'Thanh Toán ("&amp;AW$3&amp;")'!$F:$F"),INDIRECT("'Thanh Toán ("&amp;AW$3&amp;")'!$D:$D"),'Tổng Đơn'!$B38),0)</f>
        <v>0</v>
      </c>
      <c r="AX38" s="2">
        <f ca="1">IFERROR(SUMIFS(INDIRECT("'Thanh Toán ("&amp;AX$3&amp;")'!$F:$F"),INDIRECT("'Thanh Toán ("&amp;AX$3&amp;")'!$D:$D"),'Tổng Đơn'!$B38),0)</f>
        <v>0</v>
      </c>
      <c r="AY38" s="2">
        <f ca="1">IFERROR(SUMIFS(INDIRECT("'Thanh Toán ("&amp;AY$3&amp;")'!$F:$F"),INDIRECT("'Thanh Toán ("&amp;AY$3&amp;")'!$D:$D"),'Tổng Đơn'!$B38),0)</f>
        <v>0</v>
      </c>
      <c r="AZ38" s="2">
        <f ca="1">IFERROR(SUMIFS(INDIRECT("'Thanh Toán ("&amp;AZ$3&amp;")'!$F:$F"),INDIRECT("'Thanh Toán ("&amp;AZ$3&amp;")'!$D:$D"),'Tổng Đơn'!$B38),0)</f>
        <v>0</v>
      </c>
      <c r="BA38" s="2">
        <f ca="1">IFERROR(SUMIFS(INDIRECT("'Thanh Toán ("&amp;BA$3&amp;")'!$F:$F"),INDIRECT("'Thanh Toán ("&amp;BA$3&amp;")'!$D:$D"),'Tổng Đơn'!$B38),0)</f>
        <v>0</v>
      </c>
      <c r="BB38" s="2">
        <f ca="1">IFERROR(SUMIFS(INDIRECT("'Thanh Toán ("&amp;BB$3&amp;")'!$F:$F"),INDIRECT("'Thanh Toán ("&amp;BB$3&amp;")'!$D:$D"),'Tổng Đơn'!$B38),0)</f>
        <v>0</v>
      </c>
      <c r="BC38" s="2">
        <f ca="1">IFERROR(SUMIFS(INDIRECT("'Thanh Toán ("&amp;BC$3&amp;")'!$F:$F"),INDIRECT("'Thanh Toán ("&amp;BC$3&amp;")'!$D:$D"),'Tổng Đơn'!$B38),0)</f>
        <v>0</v>
      </c>
    </row>
    <row r="39" spans="1:55" ht="18" customHeight="1" x14ac:dyDescent="0.25">
      <c r="A39" s="174">
        <v>29</v>
      </c>
      <c r="B39" s="168" t="s">
        <v>44</v>
      </c>
      <c r="C39" s="167" t="s">
        <v>75</v>
      </c>
      <c r="D39" s="169">
        <f>VLOOKUP($C39,Sheet1!$C$8:$D$98,2,0)</f>
        <v>59000</v>
      </c>
      <c r="E39" s="170">
        <v>0.5</v>
      </c>
      <c r="F39" s="171">
        <f t="shared" ca="1" si="2"/>
        <v>0</v>
      </c>
      <c r="G39" s="172">
        <f>IFERROR(VLOOKUP($B39,Gà!C:J,8,0),IFERROR(VLOOKUP($B39,TVP!C:J,7,0),IFERROR(VLOOKUP($B39,Kitkool!C:J,8,0),IFERROR(VLOOKUP($B39,'La Cusina'!C:J,8,0),VLOOKUP($B39,'Quốc Nhân'!C:J,8,0)))))</f>
        <v>49.225220788601071</v>
      </c>
      <c r="H39" s="173">
        <f t="shared" ca="1" si="10"/>
        <v>0</v>
      </c>
      <c r="I39" s="195">
        <f t="shared" si="11"/>
        <v>0.19857258240398679</v>
      </c>
      <c r="J39" s="173">
        <f t="shared" ca="1" si="12"/>
        <v>0</v>
      </c>
      <c r="K39" s="38"/>
      <c r="L39" s="2">
        <f ca="1">IFERROR(SUMIFS(INDIRECT("'Thanh Toán ("&amp;L$3&amp;")'!$F:$F"),INDIRECT("'Thanh Toán ("&amp;L$3&amp;")'!$D:$D"),'Tổng Đơn'!$B39),0)</f>
        <v>0</v>
      </c>
      <c r="M39" s="2">
        <f ca="1">IFERROR(SUMIFS(INDIRECT("'Thanh Toán ("&amp;M$3&amp;")'!$F:$F"),INDIRECT("'Thanh Toán ("&amp;M$3&amp;")'!$D:$D"),'Tổng Đơn'!$B39),0)</f>
        <v>0</v>
      </c>
      <c r="N39" s="2">
        <f ca="1">IFERROR(SUMIFS(INDIRECT("'Thanh Toán ("&amp;N$3&amp;")'!$F:$F"),INDIRECT("'Thanh Toán ("&amp;N$3&amp;")'!$D:$D"),'Tổng Đơn'!$B39),0)</f>
        <v>0</v>
      </c>
      <c r="O39" s="2">
        <f ca="1">IFERROR(SUMIFS(INDIRECT("'Thanh Toán ("&amp;O$3&amp;")'!$F:$F"),INDIRECT("'Thanh Toán ("&amp;O$3&amp;")'!$D:$D"),'Tổng Đơn'!$B39),0)</f>
        <v>0</v>
      </c>
      <c r="P39" s="2">
        <f ca="1">IFERROR(SUMIFS(INDIRECT("'Thanh Toán ("&amp;P$3&amp;")'!$F:$F"),INDIRECT("'Thanh Toán ("&amp;P$3&amp;")'!$D:$D"),'Tổng Đơn'!$B39),0)</f>
        <v>0</v>
      </c>
      <c r="Q39" s="2">
        <f ca="1">IFERROR(SUMIFS(INDIRECT("'Thanh Toán ("&amp;Q$3&amp;")'!$F:$F"),INDIRECT("'Thanh Toán ("&amp;Q$3&amp;")'!$D:$D"),'Tổng Đơn'!$B39),0)</f>
        <v>0</v>
      </c>
      <c r="R39" s="2">
        <f ca="1">IFERROR(SUMIFS(INDIRECT("'Thanh Toán ("&amp;R$3&amp;")'!$F:$F"),INDIRECT("'Thanh Toán ("&amp;R$3&amp;")'!$D:$D"),'Tổng Đơn'!$B39),0)</f>
        <v>0</v>
      </c>
      <c r="S39" s="2">
        <f ca="1">IFERROR(SUMIFS(INDIRECT("'Thanh Toán ("&amp;S$3&amp;")'!$F:$F"),INDIRECT("'Thanh Toán ("&amp;S$3&amp;")'!$D:$D"),'Tổng Đơn'!$B39),0)</f>
        <v>0</v>
      </c>
      <c r="T39" s="2">
        <f ca="1">IFERROR(SUMIFS(INDIRECT("'Thanh Toán ("&amp;T$3&amp;")'!$F:$F"),INDIRECT("'Thanh Toán ("&amp;T$3&amp;")'!$D:$D"),'Tổng Đơn'!$B39),0)</f>
        <v>0</v>
      </c>
      <c r="U39" s="2">
        <f ca="1">IFERROR(SUMIFS(INDIRECT("'Thanh Toán ("&amp;U$3&amp;")'!$F:$F"),INDIRECT("'Thanh Toán ("&amp;U$3&amp;")'!$D:$D"),'Tổng Đơn'!$B39),0)</f>
        <v>0</v>
      </c>
      <c r="V39" s="2">
        <f ca="1">IFERROR(SUMIFS(INDIRECT("'Thanh Toán ("&amp;V$3&amp;")'!$F:$F"),INDIRECT("'Thanh Toán ("&amp;V$3&amp;")'!$D:$D"),'Tổng Đơn'!$B39),0)</f>
        <v>0</v>
      </c>
      <c r="W39" s="2">
        <f ca="1">IFERROR(SUMIFS(INDIRECT("'Thanh Toán ("&amp;W$3&amp;")'!$F:$F"),INDIRECT("'Thanh Toán ("&amp;W$3&amp;")'!$D:$D"),'Tổng Đơn'!$B39),0)</f>
        <v>0</v>
      </c>
      <c r="X39" s="2">
        <f ca="1">IFERROR(SUMIFS(INDIRECT("'Thanh Toán ("&amp;X$3&amp;")'!$F:$F"),INDIRECT("'Thanh Toán ("&amp;X$3&amp;")'!$D:$D"),'Tổng Đơn'!$B39),0)</f>
        <v>0</v>
      </c>
      <c r="Y39" s="2">
        <f ca="1">IFERROR(SUMIFS(INDIRECT("'Thanh Toán ("&amp;Y$3&amp;")'!$F:$F"),INDIRECT("'Thanh Toán ("&amp;Y$3&amp;")'!$D:$D"),'Tổng Đơn'!$B39),0)</f>
        <v>0</v>
      </c>
      <c r="Z39" s="2">
        <f ca="1">IFERROR(SUMIFS(INDIRECT("'Thanh Toán ("&amp;Z$3&amp;")'!$F:$F"),INDIRECT("'Thanh Toán ("&amp;Z$3&amp;")'!$D:$D"),'Tổng Đơn'!$B39),0)</f>
        <v>0</v>
      </c>
      <c r="AA39" s="2">
        <f ca="1">IFERROR(SUMIFS(INDIRECT("'Thanh Toán ("&amp;AA$3&amp;")'!$F:$F"),INDIRECT("'Thanh Toán ("&amp;AA$3&amp;")'!$D:$D"),'Tổng Đơn'!$B39),0)</f>
        <v>0</v>
      </c>
      <c r="AB39" s="2">
        <f ca="1">IFERROR(SUMIFS(INDIRECT("'Thanh Toán ("&amp;AB$3&amp;")'!$F:$F"),INDIRECT("'Thanh Toán ("&amp;AB$3&amp;")'!$D:$D"),'Tổng Đơn'!$B39),0)</f>
        <v>0</v>
      </c>
      <c r="AC39" s="2">
        <f ca="1">IFERROR(SUMIFS(INDIRECT("'Thanh Toán ("&amp;AC$3&amp;")'!$F:$F"),INDIRECT("'Thanh Toán ("&amp;AC$3&amp;")'!$D:$D"),'Tổng Đơn'!$B39),0)</f>
        <v>0</v>
      </c>
      <c r="AD39" s="2">
        <f ca="1">IFERROR(SUMIFS(INDIRECT("'Thanh Toán ("&amp;AD$3&amp;")'!$F:$F"),INDIRECT("'Thanh Toán ("&amp;AD$3&amp;")'!$D:$D"),'Tổng Đơn'!$B39),0)</f>
        <v>0</v>
      </c>
      <c r="AE39" s="2">
        <f ca="1">IFERROR(SUMIFS(INDIRECT("'Thanh Toán ("&amp;AE$3&amp;")'!$F:$F"),INDIRECT("'Thanh Toán ("&amp;AE$3&amp;")'!$D:$D"),'Tổng Đơn'!$B39),0)</f>
        <v>0</v>
      </c>
      <c r="AF39" s="2">
        <f ca="1">IFERROR(SUMIFS(INDIRECT("'Thanh Toán ("&amp;AF$3&amp;")'!$F:$F"),INDIRECT("'Thanh Toán ("&amp;AF$3&amp;")'!$D:$D"),'Tổng Đơn'!$B39),0)</f>
        <v>0</v>
      </c>
      <c r="AG39" s="2">
        <f ca="1">IFERROR(SUMIFS(INDIRECT("'Thanh Toán ("&amp;AG$3&amp;")'!$F:$F"),INDIRECT("'Thanh Toán ("&amp;AG$3&amp;")'!$D:$D"),'Tổng Đơn'!$B39),0)</f>
        <v>0</v>
      </c>
      <c r="AH39" s="2">
        <f ca="1">IFERROR(SUMIFS(INDIRECT("'Thanh Toán ("&amp;AH$3&amp;")'!$F:$F"),INDIRECT("'Thanh Toán ("&amp;AH$3&amp;")'!$D:$D"),'Tổng Đơn'!$B39),0)</f>
        <v>0</v>
      </c>
      <c r="AI39" s="2">
        <f ca="1">IFERROR(SUMIFS(INDIRECT("'Thanh Toán ("&amp;AI$3&amp;")'!$F:$F"),INDIRECT("'Thanh Toán ("&amp;AI$3&amp;")'!$D:$D"),'Tổng Đơn'!$B39),0)</f>
        <v>0</v>
      </c>
      <c r="AJ39" s="2">
        <f ca="1">IFERROR(SUMIFS(INDIRECT("'Thanh Toán ("&amp;AJ$3&amp;")'!$F:$F"),INDIRECT("'Thanh Toán ("&amp;AJ$3&amp;")'!$D:$D"),'Tổng Đơn'!$B39),0)</f>
        <v>0</v>
      </c>
      <c r="AK39" s="2">
        <f ca="1">IFERROR(SUMIFS(INDIRECT("'Thanh Toán ("&amp;AK$3&amp;")'!$F:$F"),INDIRECT("'Thanh Toán ("&amp;AK$3&amp;")'!$D:$D"),'Tổng Đơn'!$B39),0)</f>
        <v>0</v>
      </c>
      <c r="AL39" s="2">
        <f ca="1">IFERROR(SUMIFS(INDIRECT("'Thanh Toán ("&amp;AL$3&amp;")'!$F:$F"),INDIRECT("'Thanh Toán ("&amp;AL$3&amp;")'!$D:$D"),'Tổng Đơn'!$B39),0)</f>
        <v>0</v>
      </c>
      <c r="AM39" s="2">
        <f ca="1">IFERROR(SUMIFS(INDIRECT("'Thanh Toán ("&amp;AM$3&amp;")'!$F:$F"),INDIRECT("'Thanh Toán ("&amp;AM$3&amp;")'!$D:$D"),'Tổng Đơn'!$B39),0)</f>
        <v>0</v>
      </c>
      <c r="AN39" s="2">
        <f ca="1">IFERROR(SUMIFS(INDIRECT("'Thanh Toán ("&amp;AN$3&amp;")'!$F:$F"),INDIRECT("'Thanh Toán ("&amp;AN$3&amp;")'!$D:$D"),'Tổng Đơn'!$B39),0)</f>
        <v>0</v>
      </c>
      <c r="AO39" s="2">
        <f ca="1">IFERROR(SUMIFS(INDIRECT("'Thanh Toán ("&amp;AO$3&amp;")'!$F:$F"),INDIRECT("'Thanh Toán ("&amp;AO$3&amp;")'!$D:$D"),'Tổng Đơn'!$B39),0)</f>
        <v>0</v>
      </c>
      <c r="AP39" s="2">
        <f ca="1">IFERROR(SUMIFS(INDIRECT("'Thanh Toán ("&amp;AP$3&amp;")'!$F:$F"),INDIRECT("'Thanh Toán ("&amp;AP$3&amp;")'!$D:$D"),'Tổng Đơn'!$B39),0)</f>
        <v>0</v>
      </c>
      <c r="AQ39" s="2">
        <f ca="1">IFERROR(SUMIFS(INDIRECT("'Thanh Toán ("&amp;AQ$3&amp;")'!$F:$F"),INDIRECT("'Thanh Toán ("&amp;AQ$3&amp;")'!$D:$D"),'Tổng Đơn'!$B39),0)</f>
        <v>0</v>
      </c>
      <c r="AR39" s="2">
        <f ca="1">IFERROR(SUMIFS(INDIRECT("'Thanh Toán ("&amp;AR$3&amp;")'!$F:$F"),INDIRECT("'Thanh Toán ("&amp;AR$3&amp;")'!$D:$D"),'Tổng Đơn'!$B39),0)</f>
        <v>0</v>
      </c>
      <c r="AS39" s="2">
        <f ca="1">IFERROR(SUMIFS(INDIRECT("'Thanh Toán ("&amp;AS$3&amp;")'!$F:$F"),INDIRECT("'Thanh Toán ("&amp;AS$3&amp;")'!$D:$D"),'Tổng Đơn'!$B39),0)</f>
        <v>0</v>
      </c>
      <c r="AT39" s="2">
        <f ca="1">IFERROR(SUMIFS(INDIRECT("'Thanh Toán ("&amp;AT$3&amp;")'!$F:$F"),INDIRECT("'Thanh Toán ("&amp;AT$3&amp;")'!$D:$D"),'Tổng Đơn'!$B39),0)</f>
        <v>0</v>
      </c>
      <c r="AU39" s="2">
        <f ca="1">IFERROR(SUMIFS(INDIRECT("'Thanh Toán ("&amp;AU$3&amp;")'!$F:$F"),INDIRECT("'Thanh Toán ("&amp;AU$3&amp;")'!$D:$D"),'Tổng Đơn'!$B39),0)</f>
        <v>0</v>
      </c>
      <c r="AV39" s="2">
        <f ca="1">IFERROR(SUMIFS(INDIRECT("'Thanh Toán ("&amp;AV$3&amp;")'!$F:$F"),INDIRECT("'Thanh Toán ("&amp;AV$3&amp;")'!$D:$D"),'Tổng Đơn'!$B39),0)</f>
        <v>0</v>
      </c>
      <c r="AW39" s="2">
        <f ca="1">IFERROR(SUMIFS(INDIRECT("'Thanh Toán ("&amp;AW$3&amp;")'!$F:$F"),INDIRECT("'Thanh Toán ("&amp;AW$3&amp;")'!$D:$D"),'Tổng Đơn'!$B39),0)</f>
        <v>0</v>
      </c>
      <c r="AX39" s="2">
        <f ca="1">IFERROR(SUMIFS(INDIRECT("'Thanh Toán ("&amp;AX$3&amp;")'!$F:$F"),INDIRECT("'Thanh Toán ("&amp;AX$3&amp;")'!$D:$D"),'Tổng Đơn'!$B39),0)</f>
        <v>0</v>
      </c>
      <c r="AY39" s="2">
        <f ca="1">IFERROR(SUMIFS(INDIRECT("'Thanh Toán ("&amp;AY$3&amp;")'!$F:$F"),INDIRECT("'Thanh Toán ("&amp;AY$3&amp;")'!$D:$D"),'Tổng Đơn'!$B39),0)</f>
        <v>0</v>
      </c>
      <c r="AZ39" s="2">
        <f ca="1">IFERROR(SUMIFS(INDIRECT("'Thanh Toán ("&amp;AZ$3&amp;")'!$F:$F"),INDIRECT("'Thanh Toán ("&amp;AZ$3&amp;")'!$D:$D"),'Tổng Đơn'!$B39),0)</f>
        <v>0</v>
      </c>
      <c r="BA39" s="2">
        <f ca="1">IFERROR(SUMIFS(INDIRECT("'Thanh Toán ("&amp;BA$3&amp;")'!$F:$F"),INDIRECT("'Thanh Toán ("&amp;BA$3&amp;")'!$D:$D"),'Tổng Đơn'!$B39),0)</f>
        <v>0</v>
      </c>
      <c r="BB39" s="2">
        <f ca="1">IFERROR(SUMIFS(INDIRECT("'Thanh Toán ("&amp;BB$3&amp;")'!$F:$F"),INDIRECT("'Thanh Toán ("&amp;BB$3&amp;")'!$D:$D"),'Tổng Đơn'!$B39),0)</f>
        <v>0</v>
      </c>
      <c r="BC39" s="2">
        <f ca="1">IFERROR(SUMIFS(INDIRECT("'Thanh Toán ("&amp;BC$3&amp;")'!$F:$F"),INDIRECT("'Thanh Toán ("&amp;BC$3&amp;")'!$D:$D"),'Tổng Đơn'!$B39),0)</f>
        <v>0</v>
      </c>
    </row>
    <row r="40" spans="1:55" ht="18" customHeight="1" x14ac:dyDescent="0.25">
      <c r="A40" s="167">
        <v>30</v>
      </c>
      <c r="B40" s="168" t="s">
        <v>45</v>
      </c>
      <c r="C40" s="174" t="s">
        <v>76</v>
      </c>
      <c r="D40" s="169">
        <f>VLOOKUP($C40,Sheet1!$C$8:$D$98,2,0)</f>
        <v>52000</v>
      </c>
      <c r="E40" s="170">
        <v>0.5</v>
      </c>
      <c r="F40" s="171">
        <f t="shared" ref="F40:F70" ca="1" si="13">SUM(L40:BR40)</f>
        <v>0</v>
      </c>
      <c r="G40" s="172">
        <f>IFERROR(VLOOKUP($B40,Gà!C:J,8,0),IFERROR(VLOOKUP($B40,TVP!C:J,7,0),IFERROR(VLOOKUP($B40,Kitkool!C:J,8,0),IFERROR(VLOOKUP($B40,'La Cusina'!C:J,8,0),VLOOKUP($B40,'Quốc Nhân'!C:J,8,0)))))</f>
        <v>43.197642732854</v>
      </c>
      <c r="H40" s="173">
        <f t="shared" ca="1" si="10"/>
        <v>0</v>
      </c>
      <c r="I40" s="195">
        <f t="shared" si="11"/>
        <v>0.20376938902852126</v>
      </c>
      <c r="J40" s="173">
        <f t="shared" ca="1" si="12"/>
        <v>0</v>
      </c>
      <c r="K40" s="38"/>
      <c r="L40" s="2">
        <f ca="1">IFERROR(SUMIFS(INDIRECT("'Thanh Toán ("&amp;L$3&amp;")'!$F:$F"),INDIRECT("'Thanh Toán ("&amp;L$3&amp;")'!$D:$D"),'Tổng Đơn'!$B40),0)</f>
        <v>0</v>
      </c>
      <c r="M40" s="2">
        <f ca="1">IFERROR(SUMIFS(INDIRECT("'Thanh Toán ("&amp;M$3&amp;")'!$F:$F"),INDIRECT("'Thanh Toán ("&amp;M$3&amp;")'!$D:$D"),'Tổng Đơn'!$B40),0)</f>
        <v>0</v>
      </c>
      <c r="N40" s="2">
        <f ca="1">IFERROR(SUMIFS(INDIRECT("'Thanh Toán ("&amp;N$3&amp;")'!$F:$F"),INDIRECT("'Thanh Toán ("&amp;N$3&amp;")'!$D:$D"),'Tổng Đơn'!$B40),0)</f>
        <v>0</v>
      </c>
      <c r="O40" s="2">
        <f ca="1">IFERROR(SUMIFS(INDIRECT("'Thanh Toán ("&amp;O$3&amp;")'!$F:$F"),INDIRECT("'Thanh Toán ("&amp;O$3&amp;")'!$D:$D"),'Tổng Đơn'!$B40),0)</f>
        <v>0</v>
      </c>
      <c r="P40" s="2">
        <f ca="1">IFERROR(SUMIFS(INDIRECT("'Thanh Toán ("&amp;P$3&amp;")'!$F:$F"),INDIRECT("'Thanh Toán ("&amp;P$3&amp;")'!$D:$D"),'Tổng Đơn'!$B40),0)</f>
        <v>0</v>
      </c>
      <c r="Q40" s="2">
        <f ca="1">IFERROR(SUMIFS(INDIRECT("'Thanh Toán ("&amp;Q$3&amp;")'!$F:$F"),INDIRECT("'Thanh Toán ("&amp;Q$3&amp;")'!$D:$D"),'Tổng Đơn'!$B40),0)</f>
        <v>0</v>
      </c>
      <c r="R40" s="2">
        <f ca="1">IFERROR(SUMIFS(INDIRECT("'Thanh Toán ("&amp;R$3&amp;")'!$F:$F"),INDIRECT("'Thanh Toán ("&amp;R$3&amp;")'!$D:$D"),'Tổng Đơn'!$B40),0)</f>
        <v>0</v>
      </c>
      <c r="S40" s="2">
        <f ca="1">IFERROR(SUMIFS(INDIRECT("'Thanh Toán ("&amp;S$3&amp;")'!$F:$F"),INDIRECT("'Thanh Toán ("&amp;S$3&amp;")'!$D:$D"),'Tổng Đơn'!$B40),0)</f>
        <v>0</v>
      </c>
      <c r="T40" s="2">
        <f ca="1">IFERROR(SUMIFS(INDIRECT("'Thanh Toán ("&amp;T$3&amp;")'!$F:$F"),INDIRECT("'Thanh Toán ("&amp;T$3&amp;")'!$D:$D"),'Tổng Đơn'!$B40),0)</f>
        <v>0</v>
      </c>
      <c r="U40" s="2">
        <f ca="1">IFERROR(SUMIFS(INDIRECT("'Thanh Toán ("&amp;U$3&amp;")'!$F:$F"),INDIRECT("'Thanh Toán ("&amp;U$3&amp;")'!$D:$D"),'Tổng Đơn'!$B40),0)</f>
        <v>0</v>
      </c>
      <c r="V40" s="2">
        <f ca="1">IFERROR(SUMIFS(INDIRECT("'Thanh Toán ("&amp;V$3&amp;")'!$F:$F"),INDIRECT("'Thanh Toán ("&amp;V$3&amp;")'!$D:$D"),'Tổng Đơn'!$B40),0)</f>
        <v>0</v>
      </c>
      <c r="W40" s="2">
        <f ca="1">IFERROR(SUMIFS(INDIRECT("'Thanh Toán ("&amp;W$3&amp;")'!$F:$F"),INDIRECT("'Thanh Toán ("&amp;W$3&amp;")'!$D:$D"),'Tổng Đơn'!$B40),0)</f>
        <v>0</v>
      </c>
      <c r="X40" s="2">
        <f ca="1">IFERROR(SUMIFS(INDIRECT("'Thanh Toán ("&amp;X$3&amp;")'!$F:$F"),INDIRECT("'Thanh Toán ("&amp;X$3&amp;")'!$D:$D"),'Tổng Đơn'!$B40),0)</f>
        <v>0</v>
      </c>
      <c r="Y40" s="2">
        <f ca="1">IFERROR(SUMIFS(INDIRECT("'Thanh Toán ("&amp;Y$3&amp;")'!$F:$F"),INDIRECT("'Thanh Toán ("&amp;Y$3&amp;")'!$D:$D"),'Tổng Đơn'!$B40),0)</f>
        <v>0</v>
      </c>
      <c r="Z40" s="2">
        <f ca="1">IFERROR(SUMIFS(INDIRECT("'Thanh Toán ("&amp;Z$3&amp;")'!$F:$F"),INDIRECT("'Thanh Toán ("&amp;Z$3&amp;")'!$D:$D"),'Tổng Đơn'!$B40),0)</f>
        <v>0</v>
      </c>
      <c r="AA40" s="2">
        <f ca="1">IFERROR(SUMIFS(INDIRECT("'Thanh Toán ("&amp;AA$3&amp;")'!$F:$F"),INDIRECT("'Thanh Toán ("&amp;AA$3&amp;")'!$D:$D"),'Tổng Đơn'!$B40),0)</f>
        <v>0</v>
      </c>
      <c r="AB40" s="2">
        <f ca="1">IFERROR(SUMIFS(INDIRECT("'Thanh Toán ("&amp;AB$3&amp;")'!$F:$F"),INDIRECT("'Thanh Toán ("&amp;AB$3&amp;")'!$D:$D"),'Tổng Đơn'!$B40),0)</f>
        <v>0</v>
      </c>
      <c r="AC40" s="2">
        <f ca="1">IFERROR(SUMIFS(INDIRECT("'Thanh Toán ("&amp;AC$3&amp;")'!$F:$F"),INDIRECT("'Thanh Toán ("&amp;AC$3&amp;")'!$D:$D"),'Tổng Đơn'!$B40),0)</f>
        <v>0</v>
      </c>
      <c r="AD40" s="2">
        <f ca="1">IFERROR(SUMIFS(INDIRECT("'Thanh Toán ("&amp;AD$3&amp;")'!$F:$F"),INDIRECT("'Thanh Toán ("&amp;AD$3&amp;")'!$D:$D"),'Tổng Đơn'!$B40),0)</f>
        <v>0</v>
      </c>
      <c r="AE40" s="2">
        <f ca="1">IFERROR(SUMIFS(INDIRECT("'Thanh Toán ("&amp;AE$3&amp;")'!$F:$F"),INDIRECT("'Thanh Toán ("&amp;AE$3&amp;")'!$D:$D"),'Tổng Đơn'!$B40),0)</f>
        <v>0</v>
      </c>
      <c r="AF40" s="2">
        <f ca="1">IFERROR(SUMIFS(INDIRECT("'Thanh Toán ("&amp;AF$3&amp;")'!$F:$F"),INDIRECT("'Thanh Toán ("&amp;AF$3&amp;")'!$D:$D"),'Tổng Đơn'!$B40),0)</f>
        <v>0</v>
      </c>
      <c r="AG40" s="2">
        <f ca="1">IFERROR(SUMIFS(INDIRECT("'Thanh Toán ("&amp;AG$3&amp;")'!$F:$F"),INDIRECT("'Thanh Toán ("&amp;AG$3&amp;")'!$D:$D"),'Tổng Đơn'!$B40),0)</f>
        <v>0</v>
      </c>
      <c r="AH40" s="2">
        <f ca="1">IFERROR(SUMIFS(INDIRECT("'Thanh Toán ("&amp;AH$3&amp;")'!$F:$F"),INDIRECT("'Thanh Toán ("&amp;AH$3&amp;")'!$D:$D"),'Tổng Đơn'!$B40),0)</f>
        <v>0</v>
      </c>
      <c r="AI40" s="2">
        <f ca="1">IFERROR(SUMIFS(INDIRECT("'Thanh Toán ("&amp;AI$3&amp;")'!$F:$F"),INDIRECT("'Thanh Toán ("&amp;AI$3&amp;")'!$D:$D"),'Tổng Đơn'!$B40),0)</f>
        <v>0</v>
      </c>
      <c r="AJ40" s="2">
        <f ca="1">IFERROR(SUMIFS(INDIRECT("'Thanh Toán ("&amp;AJ$3&amp;")'!$F:$F"),INDIRECT("'Thanh Toán ("&amp;AJ$3&amp;")'!$D:$D"),'Tổng Đơn'!$B40),0)</f>
        <v>0</v>
      </c>
      <c r="AK40" s="2">
        <f ca="1">IFERROR(SUMIFS(INDIRECT("'Thanh Toán ("&amp;AK$3&amp;")'!$F:$F"),INDIRECT("'Thanh Toán ("&amp;AK$3&amp;")'!$D:$D"),'Tổng Đơn'!$B40),0)</f>
        <v>0</v>
      </c>
      <c r="AL40" s="2">
        <f ca="1">IFERROR(SUMIFS(INDIRECT("'Thanh Toán ("&amp;AL$3&amp;")'!$F:$F"),INDIRECT("'Thanh Toán ("&amp;AL$3&amp;")'!$D:$D"),'Tổng Đơn'!$B40),0)</f>
        <v>0</v>
      </c>
      <c r="AM40" s="2">
        <f ca="1">IFERROR(SUMIFS(INDIRECT("'Thanh Toán ("&amp;AM$3&amp;")'!$F:$F"),INDIRECT("'Thanh Toán ("&amp;AM$3&amp;")'!$D:$D"),'Tổng Đơn'!$B40),0)</f>
        <v>0</v>
      </c>
      <c r="AN40" s="2">
        <f ca="1">IFERROR(SUMIFS(INDIRECT("'Thanh Toán ("&amp;AN$3&amp;")'!$F:$F"),INDIRECT("'Thanh Toán ("&amp;AN$3&amp;")'!$D:$D"),'Tổng Đơn'!$B40),0)</f>
        <v>0</v>
      </c>
      <c r="AO40" s="2">
        <f ca="1">IFERROR(SUMIFS(INDIRECT("'Thanh Toán ("&amp;AO$3&amp;")'!$F:$F"),INDIRECT("'Thanh Toán ("&amp;AO$3&amp;")'!$D:$D"),'Tổng Đơn'!$B40),0)</f>
        <v>0</v>
      </c>
      <c r="AP40" s="2">
        <f ca="1">IFERROR(SUMIFS(INDIRECT("'Thanh Toán ("&amp;AP$3&amp;")'!$F:$F"),INDIRECT("'Thanh Toán ("&amp;AP$3&amp;")'!$D:$D"),'Tổng Đơn'!$B40),0)</f>
        <v>0</v>
      </c>
      <c r="AQ40" s="2">
        <f ca="1">IFERROR(SUMIFS(INDIRECT("'Thanh Toán ("&amp;AQ$3&amp;")'!$F:$F"),INDIRECT("'Thanh Toán ("&amp;AQ$3&amp;")'!$D:$D"),'Tổng Đơn'!$B40),0)</f>
        <v>0</v>
      </c>
      <c r="AR40" s="2">
        <f ca="1">IFERROR(SUMIFS(INDIRECT("'Thanh Toán ("&amp;AR$3&amp;")'!$F:$F"),INDIRECT("'Thanh Toán ("&amp;AR$3&amp;")'!$D:$D"),'Tổng Đơn'!$B40),0)</f>
        <v>0</v>
      </c>
      <c r="AS40" s="2">
        <f ca="1">IFERROR(SUMIFS(INDIRECT("'Thanh Toán ("&amp;AS$3&amp;")'!$F:$F"),INDIRECT("'Thanh Toán ("&amp;AS$3&amp;")'!$D:$D"),'Tổng Đơn'!$B40),0)</f>
        <v>0</v>
      </c>
      <c r="AT40" s="2">
        <f ca="1">IFERROR(SUMIFS(INDIRECT("'Thanh Toán ("&amp;AT$3&amp;")'!$F:$F"),INDIRECT("'Thanh Toán ("&amp;AT$3&amp;")'!$D:$D"),'Tổng Đơn'!$B40),0)</f>
        <v>0</v>
      </c>
      <c r="AU40" s="2">
        <f ca="1">IFERROR(SUMIFS(INDIRECT("'Thanh Toán ("&amp;AU$3&amp;")'!$F:$F"),INDIRECT("'Thanh Toán ("&amp;AU$3&amp;")'!$D:$D"),'Tổng Đơn'!$B40),0)</f>
        <v>0</v>
      </c>
      <c r="AV40" s="2">
        <f ca="1">IFERROR(SUMIFS(INDIRECT("'Thanh Toán ("&amp;AV$3&amp;")'!$F:$F"),INDIRECT("'Thanh Toán ("&amp;AV$3&amp;")'!$D:$D"),'Tổng Đơn'!$B40),0)</f>
        <v>0</v>
      </c>
      <c r="AW40" s="2">
        <f ca="1">IFERROR(SUMIFS(INDIRECT("'Thanh Toán ("&amp;AW$3&amp;")'!$F:$F"),INDIRECT("'Thanh Toán ("&amp;AW$3&amp;")'!$D:$D"),'Tổng Đơn'!$B40),0)</f>
        <v>0</v>
      </c>
      <c r="AX40" s="2">
        <f ca="1">IFERROR(SUMIFS(INDIRECT("'Thanh Toán ("&amp;AX$3&amp;")'!$F:$F"),INDIRECT("'Thanh Toán ("&amp;AX$3&amp;")'!$D:$D"),'Tổng Đơn'!$B40),0)</f>
        <v>0</v>
      </c>
      <c r="AY40" s="2">
        <f ca="1">IFERROR(SUMIFS(INDIRECT("'Thanh Toán ("&amp;AY$3&amp;")'!$F:$F"),INDIRECT("'Thanh Toán ("&amp;AY$3&amp;")'!$D:$D"),'Tổng Đơn'!$B40),0)</f>
        <v>0</v>
      </c>
      <c r="AZ40" s="2">
        <f ca="1">IFERROR(SUMIFS(INDIRECT("'Thanh Toán ("&amp;AZ$3&amp;")'!$F:$F"),INDIRECT("'Thanh Toán ("&amp;AZ$3&amp;")'!$D:$D"),'Tổng Đơn'!$B40),0)</f>
        <v>0</v>
      </c>
      <c r="BA40" s="2">
        <f ca="1">IFERROR(SUMIFS(INDIRECT("'Thanh Toán ("&amp;BA$3&amp;")'!$F:$F"),INDIRECT("'Thanh Toán ("&amp;BA$3&amp;")'!$D:$D"),'Tổng Đơn'!$B40),0)</f>
        <v>0</v>
      </c>
      <c r="BB40" s="2">
        <f ca="1">IFERROR(SUMIFS(INDIRECT("'Thanh Toán ("&amp;BB$3&amp;")'!$F:$F"),INDIRECT("'Thanh Toán ("&amp;BB$3&amp;")'!$D:$D"),'Tổng Đơn'!$B40),0)</f>
        <v>0</v>
      </c>
      <c r="BC40" s="2">
        <f ca="1">IFERROR(SUMIFS(INDIRECT("'Thanh Toán ("&amp;BC$3&amp;")'!$F:$F"),INDIRECT("'Thanh Toán ("&amp;BC$3&amp;")'!$D:$D"),'Tổng Đơn'!$B40),0)</f>
        <v>0</v>
      </c>
    </row>
    <row r="41" spans="1:55" ht="18" customHeight="1" x14ac:dyDescent="0.25">
      <c r="A41" s="167">
        <v>31</v>
      </c>
      <c r="B41" s="168" t="s">
        <v>41</v>
      </c>
      <c r="C41" s="167" t="s">
        <v>77</v>
      </c>
      <c r="D41" s="169">
        <f>VLOOKUP($C41,Sheet1!$C$8:$D$98,2,0)</f>
        <v>65000</v>
      </c>
      <c r="E41" s="170">
        <v>0.5</v>
      </c>
      <c r="F41" s="171">
        <f t="shared" ca="1" si="13"/>
        <v>0</v>
      </c>
      <c r="G41" s="172">
        <f>IFERROR(VLOOKUP($B41,Gà!C:J,8,0),IFERROR(VLOOKUP($B41,TVP!C:J,7,0),IFERROR(VLOOKUP($B41,Kitkool!C:J,8,0),IFERROR(VLOOKUP($B41,'La Cusina'!C:J,8,0),VLOOKUP($B41,'Quốc Nhân'!C:J,8,0)))))</f>
        <v>54.248202501723625</v>
      </c>
      <c r="H41" s="173">
        <f t="shared" ca="1" si="10"/>
        <v>0</v>
      </c>
      <c r="I41" s="195">
        <f t="shared" si="11"/>
        <v>0.19819638259783368</v>
      </c>
      <c r="J41" s="173">
        <f t="shared" ca="1" si="12"/>
        <v>0</v>
      </c>
      <c r="K41" s="38"/>
      <c r="L41" s="2">
        <f ca="1">IFERROR(SUMIFS(INDIRECT("'Thanh Toán ("&amp;L$3&amp;")'!$F:$F"),INDIRECT("'Thanh Toán ("&amp;L$3&amp;")'!$D:$D"),'Tổng Đơn'!$B41),0)</f>
        <v>0</v>
      </c>
      <c r="M41" s="2">
        <f ca="1">IFERROR(SUMIFS(INDIRECT("'Thanh Toán ("&amp;M$3&amp;")'!$F:$F"),INDIRECT("'Thanh Toán ("&amp;M$3&amp;")'!$D:$D"),'Tổng Đơn'!$B41),0)</f>
        <v>0</v>
      </c>
      <c r="N41" s="2">
        <f ca="1">IFERROR(SUMIFS(INDIRECT("'Thanh Toán ("&amp;N$3&amp;")'!$F:$F"),INDIRECT("'Thanh Toán ("&amp;N$3&amp;")'!$D:$D"),'Tổng Đơn'!$B41),0)</f>
        <v>0</v>
      </c>
      <c r="O41" s="2">
        <f ca="1">IFERROR(SUMIFS(INDIRECT("'Thanh Toán ("&amp;O$3&amp;")'!$F:$F"),INDIRECT("'Thanh Toán ("&amp;O$3&amp;")'!$D:$D"),'Tổng Đơn'!$B41),0)</f>
        <v>0</v>
      </c>
      <c r="P41" s="2">
        <f ca="1">IFERROR(SUMIFS(INDIRECT("'Thanh Toán ("&amp;P$3&amp;")'!$F:$F"),INDIRECT("'Thanh Toán ("&amp;P$3&amp;")'!$D:$D"),'Tổng Đơn'!$B41),0)</f>
        <v>0</v>
      </c>
      <c r="Q41" s="2">
        <f ca="1">IFERROR(SUMIFS(INDIRECT("'Thanh Toán ("&amp;Q$3&amp;")'!$F:$F"),INDIRECT("'Thanh Toán ("&amp;Q$3&amp;")'!$D:$D"),'Tổng Đơn'!$B41),0)</f>
        <v>0</v>
      </c>
      <c r="R41" s="2">
        <f ca="1">IFERROR(SUMIFS(INDIRECT("'Thanh Toán ("&amp;R$3&amp;")'!$F:$F"),INDIRECT("'Thanh Toán ("&amp;R$3&amp;")'!$D:$D"),'Tổng Đơn'!$B41),0)</f>
        <v>0</v>
      </c>
      <c r="S41" s="2">
        <f ca="1">IFERROR(SUMIFS(INDIRECT("'Thanh Toán ("&amp;S$3&amp;")'!$F:$F"),INDIRECT("'Thanh Toán ("&amp;S$3&amp;")'!$D:$D"),'Tổng Đơn'!$B41),0)</f>
        <v>0</v>
      </c>
      <c r="T41" s="2">
        <f ca="1">IFERROR(SUMIFS(INDIRECT("'Thanh Toán ("&amp;T$3&amp;")'!$F:$F"),INDIRECT("'Thanh Toán ("&amp;T$3&amp;")'!$D:$D"),'Tổng Đơn'!$B41),0)</f>
        <v>0</v>
      </c>
      <c r="U41" s="2">
        <f ca="1">IFERROR(SUMIFS(INDIRECT("'Thanh Toán ("&amp;U$3&amp;")'!$F:$F"),INDIRECT("'Thanh Toán ("&amp;U$3&amp;")'!$D:$D"),'Tổng Đơn'!$B41),0)</f>
        <v>0</v>
      </c>
      <c r="V41" s="2">
        <f ca="1">IFERROR(SUMIFS(INDIRECT("'Thanh Toán ("&amp;V$3&amp;")'!$F:$F"),INDIRECT("'Thanh Toán ("&amp;V$3&amp;")'!$D:$D"),'Tổng Đơn'!$B41),0)</f>
        <v>0</v>
      </c>
      <c r="W41" s="2">
        <f ca="1">IFERROR(SUMIFS(INDIRECT("'Thanh Toán ("&amp;W$3&amp;")'!$F:$F"),INDIRECT("'Thanh Toán ("&amp;W$3&amp;")'!$D:$D"),'Tổng Đơn'!$B41),0)</f>
        <v>0</v>
      </c>
      <c r="X41" s="2">
        <f ca="1">IFERROR(SUMIFS(INDIRECT("'Thanh Toán ("&amp;X$3&amp;")'!$F:$F"),INDIRECT("'Thanh Toán ("&amp;X$3&amp;")'!$D:$D"),'Tổng Đơn'!$B41),0)</f>
        <v>0</v>
      </c>
      <c r="Y41" s="2">
        <f ca="1">IFERROR(SUMIFS(INDIRECT("'Thanh Toán ("&amp;Y$3&amp;")'!$F:$F"),INDIRECT("'Thanh Toán ("&amp;Y$3&amp;")'!$D:$D"),'Tổng Đơn'!$B41),0)</f>
        <v>0</v>
      </c>
      <c r="Z41" s="2">
        <f ca="1">IFERROR(SUMIFS(INDIRECT("'Thanh Toán ("&amp;Z$3&amp;")'!$F:$F"),INDIRECT("'Thanh Toán ("&amp;Z$3&amp;")'!$D:$D"),'Tổng Đơn'!$B41),0)</f>
        <v>0</v>
      </c>
      <c r="AA41" s="2">
        <f ca="1">IFERROR(SUMIFS(INDIRECT("'Thanh Toán ("&amp;AA$3&amp;")'!$F:$F"),INDIRECT("'Thanh Toán ("&amp;AA$3&amp;")'!$D:$D"),'Tổng Đơn'!$B41),0)</f>
        <v>0</v>
      </c>
      <c r="AB41" s="2">
        <f ca="1">IFERROR(SUMIFS(INDIRECT("'Thanh Toán ("&amp;AB$3&amp;")'!$F:$F"),INDIRECT("'Thanh Toán ("&amp;AB$3&amp;")'!$D:$D"),'Tổng Đơn'!$B41),0)</f>
        <v>0</v>
      </c>
      <c r="AC41" s="2">
        <f ca="1">IFERROR(SUMIFS(INDIRECT("'Thanh Toán ("&amp;AC$3&amp;")'!$F:$F"),INDIRECT("'Thanh Toán ("&amp;AC$3&amp;")'!$D:$D"),'Tổng Đơn'!$B41),0)</f>
        <v>0</v>
      </c>
      <c r="AD41" s="2">
        <f ca="1">IFERROR(SUMIFS(INDIRECT("'Thanh Toán ("&amp;AD$3&amp;")'!$F:$F"),INDIRECT("'Thanh Toán ("&amp;AD$3&amp;")'!$D:$D"),'Tổng Đơn'!$B41),0)</f>
        <v>0</v>
      </c>
      <c r="AE41" s="2">
        <f ca="1">IFERROR(SUMIFS(INDIRECT("'Thanh Toán ("&amp;AE$3&amp;")'!$F:$F"),INDIRECT("'Thanh Toán ("&amp;AE$3&amp;")'!$D:$D"),'Tổng Đơn'!$B41),0)</f>
        <v>0</v>
      </c>
      <c r="AF41" s="2">
        <f ca="1">IFERROR(SUMIFS(INDIRECT("'Thanh Toán ("&amp;AF$3&amp;")'!$F:$F"),INDIRECT("'Thanh Toán ("&amp;AF$3&amp;")'!$D:$D"),'Tổng Đơn'!$B41),0)</f>
        <v>0</v>
      </c>
      <c r="AG41" s="2">
        <f ca="1">IFERROR(SUMIFS(INDIRECT("'Thanh Toán ("&amp;AG$3&amp;")'!$F:$F"),INDIRECT("'Thanh Toán ("&amp;AG$3&amp;")'!$D:$D"),'Tổng Đơn'!$B41),0)</f>
        <v>0</v>
      </c>
      <c r="AH41" s="2">
        <f ca="1">IFERROR(SUMIFS(INDIRECT("'Thanh Toán ("&amp;AH$3&amp;")'!$F:$F"),INDIRECT("'Thanh Toán ("&amp;AH$3&amp;")'!$D:$D"),'Tổng Đơn'!$B41),0)</f>
        <v>0</v>
      </c>
      <c r="AI41" s="2">
        <f ca="1">IFERROR(SUMIFS(INDIRECT("'Thanh Toán ("&amp;AI$3&amp;")'!$F:$F"),INDIRECT("'Thanh Toán ("&amp;AI$3&amp;")'!$D:$D"),'Tổng Đơn'!$B41),0)</f>
        <v>0</v>
      </c>
      <c r="AJ41" s="2">
        <f ca="1">IFERROR(SUMIFS(INDIRECT("'Thanh Toán ("&amp;AJ$3&amp;")'!$F:$F"),INDIRECT("'Thanh Toán ("&amp;AJ$3&amp;")'!$D:$D"),'Tổng Đơn'!$B41),0)</f>
        <v>0</v>
      </c>
      <c r="AK41" s="2">
        <f ca="1">IFERROR(SUMIFS(INDIRECT("'Thanh Toán ("&amp;AK$3&amp;")'!$F:$F"),INDIRECT("'Thanh Toán ("&amp;AK$3&amp;")'!$D:$D"),'Tổng Đơn'!$B41),0)</f>
        <v>0</v>
      </c>
      <c r="AL41" s="2">
        <f ca="1">IFERROR(SUMIFS(INDIRECT("'Thanh Toán ("&amp;AL$3&amp;")'!$F:$F"),INDIRECT("'Thanh Toán ("&amp;AL$3&amp;")'!$D:$D"),'Tổng Đơn'!$B41),0)</f>
        <v>0</v>
      </c>
      <c r="AM41" s="2">
        <f ca="1">IFERROR(SUMIFS(INDIRECT("'Thanh Toán ("&amp;AM$3&amp;")'!$F:$F"),INDIRECT("'Thanh Toán ("&amp;AM$3&amp;")'!$D:$D"),'Tổng Đơn'!$B41),0)</f>
        <v>0</v>
      </c>
      <c r="AN41" s="2">
        <f ca="1">IFERROR(SUMIFS(INDIRECT("'Thanh Toán ("&amp;AN$3&amp;")'!$F:$F"),INDIRECT("'Thanh Toán ("&amp;AN$3&amp;")'!$D:$D"),'Tổng Đơn'!$B41),0)</f>
        <v>0</v>
      </c>
      <c r="AO41" s="2">
        <f ca="1">IFERROR(SUMIFS(INDIRECT("'Thanh Toán ("&amp;AO$3&amp;")'!$F:$F"),INDIRECT("'Thanh Toán ("&amp;AO$3&amp;")'!$D:$D"),'Tổng Đơn'!$B41),0)</f>
        <v>0</v>
      </c>
      <c r="AP41" s="2">
        <f ca="1">IFERROR(SUMIFS(INDIRECT("'Thanh Toán ("&amp;AP$3&amp;")'!$F:$F"),INDIRECT("'Thanh Toán ("&amp;AP$3&amp;")'!$D:$D"),'Tổng Đơn'!$B41),0)</f>
        <v>0</v>
      </c>
      <c r="AQ41" s="2">
        <f ca="1">IFERROR(SUMIFS(INDIRECT("'Thanh Toán ("&amp;AQ$3&amp;")'!$F:$F"),INDIRECT("'Thanh Toán ("&amp;AQ$3&amp;")'!$D:$D"),'Tổng Đơn'!$B41),0)</f>
        <v>0</v>
      </c>
      <c r="AR41" s="2">
        <f ca="1">IFERROR(SUMIFS(INDIRECT("'Thanh Toán ("&amp;AR$3&amp;")'!$F:$F"),INDIRECT("'Thanh Toán ("&amp;AR$3&amp;")'!$D:$D"),'Tổng Đơn'!$B41),0)</f>
        <v>0</v>
      </c>
      <c r="AS41" s="2">
        <f ca="1">IFERROR(SUMIFS(INDIRECT("'Thanh Toán ("&amp;AS$3&amp;")'!$F:$F"),INDIRECT("'Thanh Toán ("&amp;AS$3&amp;")'!$D:$D"),'Tổng Đơn'!$B41),0)</f>
        <v>0</v>
      </c>
      <c r="AT41" s="2">
        <f ca="1">IFERROR(SUMIFS(INDIRECT("'Thanh Toán ("&amp;AT$3&amp;")'!$F:$F"),INDIRECT("'Thanh Toán ("&amp;AT$3&amp;")'!$D:$D"),'Tổng Đơn'!$B41),0)</f>
        <v>0</v>
      </c>
      <c r="AU41" s="2">
        <f ca="1">IFERROR(SUMIFS(INDIRECT("'Thanh Toán ("&amp;AU$3&amp;")'!$F:$F"),INDIRECT("'Thanh Toán ("&amp;AU$3&amp;")'!$D:$D"),'Tổng Đơn'!$B41),0)</f>
        <v>0</v>
      </c>
      <c r="AV41" s="2">
        <f ca="1">IFERROR(SUMIFS(INDIRECT("'Thanh Toán ("&amp;AV$3&amp;")'!$F:$F"),INDIRECT("'Thanh Toán ("&amp;AV$3&amp;")'!$D:$D"),'Tổng Đơn'!$B41),0)</f>
        <v>0</v>
      </c>
      <c r="AW41" s="2">
        <f ca="1">IFERROR(SUMIFS(INDIRECT("'Thanh Toán ("&amp;AW$3&amp;")'!$F:$F"),INDIRECT("'Thanh Toán ("&amp;AW$3&amp;")'!$D:$D"),'Tổng Đơn'!$B41),0)</f>
        <v>0</v>
      </c>
      <c r="AX41" s="2">
        <f ca="1">IFERROR(SUMIFS(INDIRECT("'Thanh Toán ("&amp;AX$3&amp;")'!$F:$F"),INDIRECT("'Thanh Toán ("&amp;AX$3&amp;")'!$D:$D"),'Tổng Đơn'!$B41),0)</f>
        <v>0</v>
      </c>
      <c r="AY41" s="2">
        <f ca="1">IFERROR(SUMIFS(INDIRECT("'Thanh Toán ("&amp;AY$3&amp;")'!$F:$F"),INDIRECT("'Thanh Toán ("&amp;AY$3&amp;")'!$D:$D"),'Tổng Đơn'!$B41),0)</f>
        <v>0</v>
      </c>
      <c r="AZ41" s="2">
        <f ca="1">IFERROR(SUMIFS(INDIRECT("'Thanh Toán ("&amp;AZ$3&amp;")'!$F:$F"),INDIRECT("'Thanh Toán ("&amp;AZ$3&amp;")'!$D:$D"),'Tổng Đơn'!$B41),0)</f>
        <v>0</v>
      </c>
      <c r="BA41" s="2">
        <f ca="1">IFERROR(SUMIFS(INDIRECT("'Thanh Toán ("&amp;BA$3&amp;")'!$F:$F"),INDIRECT("'Thanh Toán ("&amp;BA$3&amp;")'!$D:$D"),'Tổng Đơn'!$B41),0)</f>
        <v>0</v>
      </c>
      <c r="BB41" s="2">
        <f ca="1">IFERROR(SUMIFS(INDIRECT("'Thanh Toán ("&amp;BB$3&amp;")'!$F:$F"),INDIRECT("'Thanh Toán ("&amp;BB$3&amp;")'!$D:$D"),'Tổng Đơn'!$B41),0)</f>
        <v>0</v>
      </c>
      <c r="BC41" s="2">
        <f ca="1">IFERROR(SUMIFS(INDIRECT("'Thanh Toán ("&amp;BC$3&amp;")'!$F:$F"),INDIRECT("'Thanh Toán ("&amp;BC$3&amp;")'!$D:$D"),'Tổng Đơn'!$B41),0)</f>
        <v>0</v>
      </c>
    </row>
    <row r="42" spans="1:55" ht="18" customHeight="1" x14ac:dyDescent="0.25">
      <c r="A42" s="174">
        <v>32</v>
      </c>
      <c r="B42" s="168" t="s">
        <v>40</v>
      </c>
      <c r="C42" s="174" t="s">
        <v>78</v>
      </c>
      <c r="D42" s="169">
        <f>VLOOKUP($C42,Sheet1!$C$8:$D$98,2,0)</f>
        <v>44000</v>
      </c>
      <c r="E42" s="170">
        <v>0.5</v>
      </c>
      <c r="F42" s="171">
        <f t="shared" ca="1" si="13"/>
        <v>0</v>
      </c>
      <c r="G42" s="172">
        <f>IFERROR(VLOOKUP($B42,Gà!C:J,8,0),IFERROR(VLOOKUP($B42,TVP!C:J,7,0),IFERROR(VLOOKUP($B42,Kitkool!C:J,8,0),IFERROR(VLOOKUP($B42,'La Cusina'!C:J,8,0),VLOOKUP($B42,'Quốc Nhân'!C:J,8,0)))))</f>
        <v>36.667766505794674</v>
      </c>
      <c r="H42" s="173">
        <f t="shared" ca="1" si="10"/>
        <v>0</v>
      </c>
      <c r="I42" s="195">
        <f t="shared" si="11"/>
        <v>0.19996400634455336</v>
      </c>
      <c r="J42" s="173">
        <f t="shared" ca="1" si="12"/>
        <v>0</v>
      </c>
      <c r="K42" s="38"/>
      <c r="L42" s="2">
        <f ca="1">IFERROR(SUMIFS(INDIRECT("'Thanh Toán ("&amp;L$3&amp;")'!$F:$F"),INDIRECT("'Thanh Toán ("&amp;L$3&amp;")'!$D:$D"),'Tổng Đơn'!$B42),0)</f>
        <v>0</v>
      </c>
      <c r="M42" s="2">
        <f ca="1">IFERROR(SUMIFS(INDIRECT("'Thanh Toán ("&amp;M$3&amp;")'!$F:$F"),INDIRECT("'Thanh Toán ("&amp;M$3&amp;")'!$D:$D"),'Tổng Đơn'!$B42),0)</f>
        <v>0</v>
      </c>
      <c r="N42" s="2">
        <f ca="1">IFERROR(SUMIFS(INDIRECT("'Thanh Toán ("&amp;N$3&amp;")'!$F:$F"),INDIRECT("'Thanh Toán ("&amp;N$3&amp;")'!$D:$D"),'Tổng Đơn'!$B42),0)</f>
        <v>0</v>
      </c>
      <c r="O42" s="2">
        <f ca="1">IFERROR(SUMIFS(INDIRECT("'Thanh Toán ("&amp;O$3&amp;")'!$F:$F"),INDIRECT("'Thanh Toán ("&amp;O$3&amp;")'!$D:$D"),'Tổng Đơn'!$B42),0)</f>
        <v>0</v>
      </c>
      <c r="P42" s="2">
        <f ca="1">IFERROR(SUMIFS(INDIRECT("'Thanh Toán ("&amp;P$3&amp;")'!$F:$F"),INDIRECT("'Thanh Toán ("&amp;P$3&amp;")'!$D:$D"),'Tổng Đơn'!$B42),0)</f>
        <v>0</v>
      </c>
      <c r="Q42" s="2">
        <f ca="1">IFERROR(SUMIFS(INDIRECT("'Thanh Toán ("&amp;Q$3&amp;")'!$F:$F"),INDIRECT("'Thanh Toán ("&amp;Q$3&amp;")'!$D:$D"),'Tổng Đơn'!$B42),0)</f>
        <v>0</v>
      </c>
      <c r="R42" s="2">
        <f ca="1">IFERROR(SUMIFS(INDIRECT("'Thanh Toán ("&amp;R$3&amp;")'!$F:$F"),INDIRECT("'Thanh Toán ("&amp;R$3&amp;")'!$D:$D"),'Tổng Đơn'!$B42),0)</f>
        <v>0</v>
      </c>
      <c r="S42" s="2">
        <f ca="1">IFERROR(SUMIFS(INDIRECT("'Thanh Toán ("&amp;S$3&amp;")'!$F:$F"),INDIRECT("'Thanh Toán ("&amp;S$3&amp;")'!$D:$D"),'Tổng Đơn'!$B42),0)</f>
        <v>0</v>
      </c>
      <c r="T42" s="2">
        <f ca="1">IFERROR(SUMIFS(INDIRECT("'Thanh Toán ("&amp;T$3&amp;")'!$F:$F"),INDIRECT("'Thanh Toán ("&amp;T$3&amp;")'!$D:$D"),'Tổng Đơn'!$B42),0)</f>
        <v>0</v>
      </c>
      <c r="U42" s="2">
        <f ca="1">IFERROR(SUMIFS(INDIRECT("'Thanh Toán ("&amp;U$3&amp;")'!$F:$F"),INDIRECT("'Thanh Toán ("&amp;U$3&amp;")'!$D:$D"),'Tổng Đơn'!$B42),0)</f>
        <v>0</v>
      </c>
      <c r="V42" s="2">
        <f ca="1">IFERROR(SUMIFS(INDIRECT("'Thanh Toán ("&amp;V$3&amp;")'!$F:$F"),INDIRECT("'Thanh Toán ("&amp;V$3&amp;")'!$D:$D"),'Tổng Đơn'!$B42),0)</f>
        <v>0</v>
      </c>
      <c r="W42" s="2">
        <f ca="1">IFERROR(SUMIFS(INDIRECT("'Thanh Toán ("&amp;W$3&amp;")'!$F:$F"),INDIRECT("'Thanh Toán ("&amp;W$3&amp;")'!$D:$D"),'Tổng Đơn'!$B42),0)</f>
        <v>0</v>
      </c>
      <c r="X42" s="2">
        <f ca="1">IFERROR(SUMIFS(INDIRECT("'Thanh Toán ("&amp;X$3&amp;")'!$F:$F"),INDIRECT("'Thanh Toán ("&amp;X$3&amp;")'!$D:$D"),'Tổng Đơn'!$B42),0)</f>
        <v>0</v>
      </c>
      <c r="Y42" s="2">
        <f ca="1">IFERROR(SUMIFS(INDIRECT("'Thanh Toán ("&amp;Y$3&amp;")'!$F:$F"),INDIRECT("'Thanh Toán ("&amp;Y$3&amp;")'!$D:$D"),'Tổng Đơn'!$B42),0)</f>
        <v>0</v>
      </c>
      <c r="Z42" s="2">
        <f ca="1">IFERROR(SUMIFS(INDIRECT("'Thanh Toán ("&amp;Z$3&amp;")'!$F:$F"),INDIRECT("'Thanh Toán ("&amp;Z$3&amp;")'!$D:$D"),'Tổng Đơn'!$B42),0)</f>
        <v>0</v>
      </c>
      <c r="AA42" s="2">
        <f ca="1">IFERROR(SUMIFS(INDIRECT("'Thanh Toán ("&amp;AA$3&amp;")'!$F:$F"),INDIRECT("'Thanh Toán ("&amp;AA$3&amp;")'!$D:$D"),'Tổng Đơn'!$B42),0)</f>
        <v>0</v>
      </c>
      <c r="AB42" s="2">
        <f ca="1">IFERROR(SUMIFS(INDIRECT("'Thanh Toán ("&amp;AB$3&amp;")'!$F:$F"),INDIRECT("'Thanh Toán ("&amp;AB$3&amp;")'!$D:$D"),'Tổng Đơn'!$B42),0)</f>
        <v>0</v>
      </c>
      <c r="AC42" s="2">
        <f ca="1">IFERROR(SUMIFS(INDIRECT("'Thanh Toán ("&amp;AC$3&amp;")'!$F:$F"),INDIRECT("'Thanh Toán ("&amp;AC$3&amp;")'!$D:$D"),'Tổng Đơn'!$B42),0)</f>
        <v>0</v>
      </c>
      <c r="AD42" s="2">
        <f ca="1">IFERROR(SUMIFS(INDIRECT("'Thanh Toán ("&amp;AD$3&amp;")'!$F:$F"),INDIRECT("'Thanh Toán ("&amp;AD$3&amp;")'!$D:$D"),'Tổng Đơn'!$B42),0)</f>
        <v>0</v>
      </c>
      <c r="AE42" s="2">
        <f ca="1">IFERROR(SUMIFS(INDIRECT("'Thanh Toán ("&amp;AE$3&amp;")'!$F:$F"),INDIRECT("'Thanh Toán ("&amp;AE$3&amp;")'!$D:$D"),'Tổng Đơn'!$B42),0)</f>
        <v>0</v>
      </c>
      <c r="AF42" s="2">
        <f ca="1">IFERROR(SUMIFS(INDIRECT("'Thanh Toán ("&amp;AF$3&amp;")'!$F:$F"),INDIRECT("'Thanh Toán ("&amp;AF$3&amp;")'!$D:$D"),'Tổng Đơn'!$B42),0)</f>
        <v>0</v>
      </c>
      <c r="AG42" s="2">
        <f ca="1">IFERROR(SUMIFS(INDIRECT("'Thanh Toán ("&amp;AG$3&amp;")'!$F:$F"),INDIRECT("'Thanh Toán ("&amp;AG$3&amp;")'!$D:$D"),'Tổng Đơn'!$B42),0)</f>
        <v>0</v>
      </c>
      <c r="AH42" s="2">
        <f ca="1">IFERROR(SUMIFS(INDIRECT("'Thanh Toán ("&amp;AH$3&amp;")'!$F:$F"),INDIRECT("'Thanh Toán ("&amp;AH$3&amp;")'!$D:$D"),'Tổng Đơn'!$B42),0)</f>
        <v>0</v>
      </c>
      <c r="AI42" s="2">
        <f ca="1">IFERROR(SUMIFS(INDIRECT("'Thanh Toán ("&amp;AI$3&amp;")'!$F:$F"),INDIRECT("'Thanh Toán ("&amp;AI$3&amp;")'!$D:$D"),'Tổng Đơn'!$B42),0)</f>
        <v>0</v>
      </c>
      <c r="AJ42" s="2">
        <f ca="1">IFERROR(SUMIFS(INDIRECT("'Thanh Toán ("&amp;AJ$3&amp;")'!$F:$F"),INDIRECT("'Thanh Toán ("&amp;AJ$3&amp;")'!$D:$D"),'Tổng Đơn'!$B42),0)</f>
        <v>0</v>
      </c>
      <c r="AK42" s="2">
        <f ca="1">IFERROR(SUMIFS(INDIRECT("'Thanh Toán ("&amp;AK$3&amp;")'!$F:$F"),INDIRECT("'Thanh Toán ("&amp;AK$3&amp;")'!$D:$D"),'Tổng Đơn'!$B42),0)</f>
        <v>0</v>
      </c>
      <c r="AL42" s="2">
        <f ca="1">IFERROR(SUMIFS(INDIRECT("'Thanh Toán ("&amp;AL$3&amp;")'!$F:$F"),INDIRECT("'Thanh Toán ("&amp;AL$3&amp;")'!$D:$D"),'Tổng Đơn'!$B42),0)</f>
        <v>0</v>
      </c>
      <c r="AM42" s="2">
        <f ca="1">IFERROR(SUMIFS(INDIRECT("'Thanh Toán ("&amp;AM$3&amp;")'!$F:$F"),INDIRECT("'Thanh Toán ("&amp;AM$3&amp;")'!$D:$D"),'Tổng Đơn'!$B42),0)</f>
        <v>0</v>
      </c>
      <c r="AN42" s="2">
        <f ca="1">IFERROR(SUMIFS(INDIRECT("'Thanh Toán ("&amp;AN$3&amp;")'!$F:$F"),INDIRECT("'Thanh Toán ("&amp;AN$3&amp;")'!$D:$D"),'Tổng Đơn'!$B42),0)</f>
        <v>0</v>
      </c>
      <c r="AO42" s="2">
        <f ca="1">IFERROR(SUMIFS(INDIRECT("'Thanh Toán ("&amp;AO$3&amp;")'!$F:$F"),INDIRECT("'Thanh Toán ("&amp;AO$3&amp;")'!$D:$D"),'Tổng Đơn'!$B42),0)</f>
        <v>0</v>
      </c>
      <c r="AP42" s="2">
        <f ca="1">IFERROR(SUMIFS(INDIRECT("'Thanh Toán ("&amp;AP$3&amp;")'!$F:$F"),INDIRECT("'Thanh Toán ("&amp;AP$3&amp;")'!$D:$D"),'Tổng Đơn'!$B42),0)</f>
        <v>0</v>
      </c>
      <c r="AQ42" s="2">
        <f ca="1">IFERROR(SUMIFS(INDIRECT("'Thanh Toán ("&amp;AQ$3&amp;")'!$F:$F"),INDIRECT("'Thanh Toán ("&amp;AQ$3&amp;")'!$D:$D"),'Tổng Đơn'!$B42),0)</f>
        <v>0</v>
      </c>
      <c r="AR42" s="2">
        <f ca="1">IFERROR(SUMIFS(INDIRECT("'Thanh Toán ("&amp;AR$3&amp;")'!$F:$F"),INDIRECT("'Thanh Toán ("&amp;AR$3&amp;")'!$D:$D"),'Tổng Đơn'!$B42),0)</f>
        <v>0</v>
      </c>
      <c r="AS42" s="2">
        <f ca="1">IFERROR(SUMIFS(INDIRECT("'Thanh Toán ("&amp;AS$3&amp;")'!$F:$F"),INDIRECT("'Thanh Toán ("&amp;AS$3&amp;")'!$D:$D"),'Tổng Đơn'!$B42),0)</f>
        <v>0</v>
      </c>
      <c r="AT42" s="2">
        <f ca="1">IFERROR(SUMIFS(INDIRECT("'Thanh Toán ("&amp;AT$3&amp;")'!$F:$F"),INDIRECT("'Thanh Toán ("&amp;AT$3&amp;")'!$D:$D"),'Tổng Đơn'!$B42),0)</f>
        <v>0</v>
      </c>
      <c r="AU42" s="2">
        <f ca="1">IFERROR(SUMIFS(INDIRECT("'Thanh Toán ("&amp;AU$3&amp;")'!$F:$F"),INDIRECT("'Thanh Toán ("&amp;AU$3&amp;")'!$D:$D"),'Tổng Đơn'!$B42),0)</f>
        <v>0</v>
      </c>
      <c r="AV42" s="2">
        <f ca="1">IFERROR(SUMIFS(INDIRECT("'Thanh Toán ("&amp;AV$3&amp;")'!$F:$F"),INDIRECT("'Thanh Toán ("&amp;AV$3&amp;")'!$D:$D"),'Tổng Đơn'!$B42),0)</f>
        <v>0</v>
      </c>
      <c r="AW42" s="2">
        <f ca="1">IFERROR(SUMIFS(INDIRECT("'Thanh Toán ("&amp;AW$3&amp;")'!$F:$F"),INDIRECT("'Thanh Toán ("&amp;AW$3&amp;")'!$D:$D"),'Tổng Đơn'!$B42),0)</f>
        <v>0</v>
      </c>
      <c r="AX42" s="2">
        <f ca="1">IFERROR(SUMIFS(INDIRECT("'Thanh Toán ("&amp;AX$3&amp;")'!$F:$F"),INDIRECT("'Thanh Toán ("&amp;AX$3&amp;")'!$D:$D"),'Tổng Đơn'!$B42),0)</f>
        <v>0</v>
      </c>
      <c r="AY42" s="2">
        <f ca="1">IFERROR(SUMIFS(INDIRECT("'Thanh Toán ("&amp;AY$3&amp;")'!$F:$F"),INDIRECT("'Thanh Toán ("&amp;AY$3&amp;")'!$D:$D"),'Tổng Đơn'!$B42),0)</f>
        <v>0</v>
      </c>
      <c r="AZ42" s="2">
        <f ca="1">IFERROR(SUMIFS(INDIRECT("'Thanh Toán ("&amp;AZ$3&amp;")'!$F:$F"),INDIRECT("'Thanh Toán ("&amp;AZ$3&amp;")'!$D:$D"),'Tổng Đơn'!$B42),0)</f>
        <v>0</v>
      </c>
      <c r="BA42" s="2">
        <f ca="1">IFERROR(SUMIFS(INDIRECT("'Thanh Toán ("&amp;BA$3&amp;")'!$F:$F"),INDIRECT("'Thanh Toán ("&amp;BA$3&amp;")'!$D:$D"),'Tổng Đơn'!$B42),0)</f>
        <v>0</v>
      </c>
      <c r="BB42" s="2">
        <f ca="1">IFERROR(SUMIFS(INDIRECT("'Thanh Toán ("&amp;BB$3&amp;")'!$F:$F"),INDIRECT("'Thanh Toán ("&amp;BB$3&amp;")'!$D:$D"),'Tổng Đơn'!$B42),0)</f>
        <v>0</v>
      </c>
      <c r="BC42" s="2">
        <f ca="1">IFERROR(SUMIFS(INDIRECT("'Thanh Toán ("&amp;BC$3&amp;")'!$F:$F"),INDIRECT("'Thanh Toán ("&amp;BC$3&amp;")'!$D:$D"),'Tổng Đơn'!$B42),0)</f>
        <v>0</v>
      </c>
    </row>
    <row r="43" spans="1:55" ht="18" customHeight="1" x14ac:dyDescent="0.25">
      <c r="A43" s="167">
        <v>33</v>
      </c>
      <c r="B43" s="168" t="s">
        <v>43</v>
      </c>
      <c r="C43" s="167" t="s">
        <v>79</v>
      </c>
      <c r="D43" s="169">
        <f>VLOOKUP($C43,Sheet1!$C$8:$D$98,2,0)</f>
        <v>79000</v>
      </c>
      <c r="E43" s="170">
        <v>0.5</v>
      </c>
      <c r="F43" s="171">
        <f t="shared" ca="1" si="13"/>
        <v>0</v>
      </c>
      <c r="G43" s="172">
        <f>IFERROR(VLOOKUP($B43,Gà!C:J,8,0),IFERROR(VLOOKUP($B43,TVP!C:J,7,0),IFERROR(VLOOKUP($B43,Kitkool!C:J,8,0),IFERROR(VLOOKUP($B43,'La Cusina'!C:J,8,0),VLOOKUP($B43,'Quốc Nhân'!C:J,8,0)))))</f>
        <v>66.303358613217767</v>
      </c>
      <c r="H43" s="173">
        <f t="shared" ca="1" si="10"/>
        <v>0</v>
      </c>
      <c r="I43" s="195">
        <f t="shared" si="11"/>
        <v>0.19149318605183163</v>
      </c>
      <c r="J43" s="173">
        <f t="shared" ca="1" si="12"/>
        <v>0</v>
      </c>
      <c r="K43" s="38"/>
      <c r="L43" s="2">
        <f ca="1">IFERROR(SUMIFS(INDIRECT("'Thanh Toán ("&amp;L$3&amp;")'!$F:$F"),INDIRECT("'Thanh Toán ("&amp;L$3&amp;")'!$D:$D"),'Tổng Đơn'!$B43),0)</f>
        <v>0</v>
      </c>
      <c r="M43" s="2">
        <f ca="1">IFERROR(SUMIFS(INDIRECT("'Thanh Toán ("&amp;M$3&amp;")'!$F:$F"),INDIRECT("'Thanh Toán ("&amp;M$3&amp;")'!$D:$D"),'Tổng Đơn'!$B43),0)</f>
        <v>0</v>
      </c>
      <c r="N43" s="2">
        <f ca="1">IFERROR(SUMIFS(INDIRECT("'Thanh Toán ("&amp;N$3&amp;")'!$F:$F"),INDIRECT("'Thanh Toán ("&amp;N$3&amp;")'!$D:$D"),'Tổng Đơn'!$B43),0)</f>
        <v>0</v>
      </c>
      <c r="O43" s="2">
        <f ca="1">IFERROR(SUMIFS(INDIRECT("'Thanh Toán ("&amp;O$3&amp;")'!$F:$F"),INDIRECT("'Thanh Toán ("&amp;O$3&amp;")'!$D:$D"),'Tổng Đơn'!$B43),0)</f>
        <v>0</v>
      </c>
      <c r="P43" s="2">
        <f ca="1">IFERROR(SUMIFS(INDIRECT("'Thanh Toán ("&amp;P$3&amp;")'!$F:$F"),INDIRECT("'Thanh Toán ("&amp;P$3&amp;")'!$D:$D"),'Tổng Đơn'!$B43),0)</f>
        <v>0</v>
      </c>
      <c r="Q43" s="2">
        <f ca="1">IFERROR(SUMIFS(INDIRECT("'Thanh Toán ("&amp;Q$3&amp;")'!$F:$F"),INDIRECT("'Thanh Toán ("&amp;Q$3&amp;")'!$D:$D"),'Tổng Đơn'!$B43),0)</f>
        <v>0</v>
      </c>
      <c r="R43" s="2">
        <f ca="1">IFERROR(SUMIFS(INDIRECT("'Thanh Toán ("&amp;R$3&amp;")'!$F:$F"),INDIRECT("'Thanh Toán ("&amp;R$3&amp;")'!$D:$D"),'Tổng Đơn'!$B43),0)</f>
        <v>0</v>
      </c>
      <c r="S43" s="2">
        <f ca="1">IFERROR(SUMIFS(INDIRECT("'Thanh Toán ("&amp;S$3&amp;")'!$F:$F"),INDIRECT("'Thanh Toán ("&amp;S$3&amp;")'!$D:$D"),'Tổng Đơn'!$B43),0)</f>
        <v>0</v>
      </c>
      <c r="T43" s="2">
        <f ca="1">IFERROR(SUMIFS(INDIRECT("'Thanh Toán ("&amp;T$3&amp;")'!$F:$F"),INDIRECT("'Thanh Toán ("&amp;T$3&amp;")'!$D:$D"),'Tổng Đơn'!$B43),0)</f>
        <v>0</v>
      </c>
      <c r="U43" s="2">
        <f ca="1">IFERROR(SUMIFS(INDIRECT("'Thanh Toán ("&amp;U$3&amp;")'!$F:$F"),INDIRECT("'Thanh Toán ("&amp;U$3&amp;")'!$D:$D"),'Tổng Đơn'!$B43),0)</f>
        <v>0</v>
      </c>
      <c r="V43" s="2">
        <f ca="1">IFERROR(SUMIFS(INDIRECT("'Thanh Toán ("&amp;V$3&amp;")'!$F:$F"),INDIRECT("'Thanh Toán ("&amp;V$3&amp;")'!$D:$D"),'Tổng Đơn'!$B43),0)</f>
        <v>0</v>
      </c>
      <c r="W43" s="2">
        <f ca="1">IFERROR(SUMIFS(INDIRECT("'Thanh Toán ("&amp;W$3&amp;")'!$F:$F"),INDIRECT("'Thanh Toán ("&amp;W$3&amp;")'!$D:$D"),'Tổng Đơn'!$B43),0)</f>
        <v>0</v>
      </c>
      <c r="X43" s="2">
        <f ca="1">IFERROR(SUMIFS(INDIRECT("'Thanh Toán ("&amp;X$3&amp;")'!$F:$F"),INDIRECT("'Thanh Toán ("&amp;X$3&amp;")'!$D:$D"),'Tổng Đơn'!$B43),0)</f>
        <v>0</v>
      </c>
      <c r="Y43" s="2">
        <f ca="1">IFERROR(SUMIFS(INDIRECT("'Thanh Toán ("&amp;Y$3&amp;")'!$F:$F"),INDIRECT("'Thanh Toán ("&amp;Y$3&amp;")'!$D:$D"),'Tổng Đơn'!$B43),0)</f>
        <v>0</v>
      </c>
      <c r="Z43" s="2">
        <f ca="1">IFERROR(SUMIFS(INDIRECT("'Thanh Toán ("&amp;Z$3&amp;")'!$F:$F"),INDIRECT("'Thanh Toán ("&amp;Z$3&amp;")'!$D:$D"),'Tổng Đơn'!$B43),0)</f>
        <v>0</v>
      </c>
      <c r="AA43" s="2">
        <f ca="1">IFERROR(SUMIFS(INDIRECT("'Thanh Toán ("&amp;AA$3&amp;")'!$F:$F"),INDIRECT("'Thanh Toán ("&amp;AA$3&amp;")'!$D:$D"),'Tổng Đơn'!$B43),0)</f>
        <v>0</v>
      </c>
      <c r="AB43" s="2">
        <f ca="1">IFERROR(SUMIFS(INDIRECT("'Thanh Toán ("&amp;AB$3&amp;")'!$F:$F"),INDIRECT("'Thanh Toán ("&amp;AB$3&amp;")'!$D:$D"),'Tổng Đơn'!$B43),0)</f>
        <v>0</v>
      </c>
      <c r="AC43" s="2">
        <f ca="1">IFERROR(SUMIFS(INDIRECT("'Thanh Toán ("&amp;AC$3&amp;")'!$F:$F"),INDIRECT("'Thanh Toán ("&amp;AC$3&amp;")'!$D:$D"),'Tổng Đơn'!$B43),0)</f>
        <v>0</v>
      </c>
      <c r="AD43" s="2">
        <f ca="1">IFERROR(SUMIFS(INDIRECT("'Thanh Toán ("&amp;AD$3&amp;")'!$F:$F"),INDIRECT("'Thanh Toán ("&amp;AD$3&amp;")'!$D:$D"),'Tổng Đơn'!$B43),0)</f>
        <v>0</v>
      </c>
      <c r="AE43" s="2">
        <f ca="1">IFERROR(SUMIFS(INDIRECT("'Thanh Toán ("&amp;AE$3&amp;")'!$F:$F"),INDIRECT("'Thanh Toán ("&amp;AE$3&amp;")'!$D:$D"),'Tổng Đơn'!$B43),0)</f>
        <v>0</v>
      </c>
      <c r="AF43" s="2">
        <f ca="1">IFERROR(SUMIFS(INDIRECT("'Thanh Toán ("&amp;AF$3&amp;")'!$F:$F"),INDIRECT("'Thanh Toán ("&amp;AF$3&amp;")'!$D:$D"),'Tổng Đơn'!$B43),0)</f>
        <v>0</v>
      </c>
      <c r="AG43" s="2">
        <f ca="1">IFERROR(SUMIFS(INDIRECT("'Thanh Toán ("&amp;AG$3&amp;")'!$F:$F"),INDIRECT("'Thanh Toán ("&amp;AG$3&amp;")'!$D:$D"),'Tổng Đơn'!$B43),0)</f>
        <v>0</v>
      </c>
      <c r="AH43" s="2">
        <f ca="1">IFERROR(SUMIFS(INDIRECT("'Thanh Toán ("&amp;AH$3&amp;")'!$F:$F"),INDIRECT("'Thanh Toán ("&amp;AH$3&amp;")'!$D:$D"),'Tổng Đơn'!$B43),0)</f>
        <v>0</v>
      </c>
      <c r="AI43" s="2">
        <f ca="1">IFERROR(SUMIFS(INDIRECT("'Thanh Toán ("&amp;AI$3&amp;")'!$F:$F"),INDIRECT("'Thanh Toán ("&amp;AI$3&amp;")'!$D:$D"),'Tổng Đơn'!$B43),0)</f>
        <v>0</v>
      </c>
      <c r="AJ43" s="2">
        <f ca="1">IFERROR(SUMIFS(INDIRECT("'Thanh Toán ("&amp;AJ$3&amp;")'!$F:$F"),INDIRECT("'Thanh Toán ("&amp;AJ$3&amp;")'!$D:$D"),'Tổng Đơn'!$B43),0)</f>
        <v>0</v>
      </c>
      <c r="AK43" s="2">
        <f ca="1">IFERROR(SUMIFS(INDIRECT("'Thanh Toán ("&amp;AK$3&amp;")'!$F:$F"),INDIRECT("'Thanh Toán ("&amp;AK$3&amp;")'!$D:$D"),'Tổng Đơn'!$B43),0)</f>
        <v>0</v>
      </c>
      <c r="AL43" s="2">
        <f ca="1">IFERROR(SUMIFS(INDIRECT("'Thanh Toán ("&amp;AL$3&amp;")'!$F:$F"),INDIRECT("'Thanh Toán ("&amp;AL$3&amp;")'!$D:$D"),'Tổng Đơn'!$B43),0)</f>
        <v>0</v>
      </c>
      <c r="AM43" s="2">
        <f ca="1">IFERROR(SUMIFS(INDIRECT("'Thanh Toán ("&amp;AM$3&amp;")'!$F:$F"),INDIRECT("'Thanh Toán ("&amp;AM$3&amp;")'!$D:$D"),'Tổng Đơn'!$B43),0)</f>
        <v>0</v>
      </c>
      <c r="AN43" s="2">
        <f ca="1">IFERROR(SUMIFS(INDIRECT("'Thanh Toán ("&amp;AN$3&amp;")'!$F:$F"),INDIRECT("'Thanh Toán ("&amp;AN$3&amp;")'!$D:$D"),'Tổng Đơn'!$B43),0)</f>
        <v>0</v>
      </c>
      <c r="AO43" s="2">
        <f ca="1">IFERROR(SUMIFS(INDIRECT("'Thanh Toán ("&amp;AO$3&amp;")'!$F:$F"),INDIRECT("'Thanh Toán ("&amp;AO$3&amp;")'!$D:$D"),'Tổng Đơn'!$B43),0)</f>
        <v>0</v>
      </c>
      <c r="AP43" s="2">
        <f ca="1">IFERROR(SUMIFS(INDIRECT("'Thanh Toán ("&amp;AP$3&amp;")'!$F:$F"),INDIRECT("'Thanh Toán ("&amp;AP$3&amp;")'!$D:$D"),'Tổng Đơn'!$B43),0)</f>
        <v>0</v>
      </c>
      <c r="AQ43" s="2">
        <f ca="1">IFERROR(SUMIFS(INDIRECT("'Thanh Toán ("&amp;AQ$3&amp;")'!$F:$F"),INDIRECT("'Thanh Toán ("&amp;AQ$3&amp;")'!$D:$D"),'Tổng Đơn'!$B43),0)</f>
        <v>0</v>
      </c>
      <c r="AR43" s="2">
        <f ca="1">IFERROR(SUMIFS(INDIRECT("'Thanh Toán ("&amp;AR$3&amp;")'!$F:$F"),INDIRECT("'Thanh Toán ("&amp;AR$3&amp;")'!$D:$D"),'Tổng Đơn'!$B43),0)</f>
        <v>0</v>
      </c>
      <c r="AS43" s="2">
        <f ca="1">IFERROR(SUMIFS(INDIRECT("'Thanh Toán ("&amp;AS$3&amp;")'!$F:$F"),INDIRECT("'Thanh Toán ("&amp;AS$3&amp;")'!$D:$D"),'Tổng Đơn'!$B43),0)</f>
        <v>0</v>
      </c>
      <c r="AT43" s="2">
        <f ca="1">IFERROR(SUMIFS(INDIRECT("'Thanh Toán ("&amp;AT$3&amp;")'!$F:$F"),INDIRECT("'Thanh Toán ("&amp;AT$3&amp;")'!$D:$D"),'Tổng Đơn'!$B43),0)</f>
        <v>0</v>
      </c>
      <c r="AU43" s="2">
        <f ca="1">IFERROR(SUMIFS(INDIRECT("'Thanh Toán ("&amp;AU$3&amp;")'!$F:$F"),INDIRECT("'Thanh Toán ("&amp;AU$3&amp;")'!$D:$D"),'Tổng Đơn'!$B43),0)</f>
        <v>0</v>
      </c>
      <c r="AV43" s="2">
        <f ca="1">IFERROR(SUMIFS(INDIRECT("'Thanh Toán ("&amp;AV$3&amp;")'!$F:$F"),INDIRECT("'Thanh Toán ("&amp;AV$3&amp;")'!$D:$D"),'Tổng Đơn'!$B43),0)</f>
        <v>0</v>
      </c>
      <c r="AW43" s="2">
        <f ca="1">IFERROR(SUMIFS(INDIRECT("'Thanh Toán ("&amp;AW$3&amp;")'!$F:$F"),INDIRECT("'Thanh Toán ("&amp;AW$3&amp;")'!$D:$D"),'Tổng Đơn'!$B43),0)</f>
        <v>0</v>
      </c>
      <c r="AX43" s="2">
        <f ca="1">IFERROR(SUMIFS(INDIRECT("'Thanh Toán ("&amp;AX$3&amp;")'!$F:$F"),INDIRECT("'Thanh Toán ("&amp;AX$3&amp;")'!$D:$D"),'Tổng Đơn'!$B43),0)</f>
        <v>0</v>
      </c>
      <c r="AY43" s="2">
        <f ca="1">IFERROR(SUMIFS(INDIRECT("'Thanh Toán ("&amp;AY$3&amp;")'!$F:$F"),INDIRECT("'Thanh Toán ("&amp;AY$3&amp;")'!$D:$D"),'Tổng Đơn'!$B43),0)</f>
        <v>0</v>
      </c>
      <c r="AZ43" s="2">
        <f ca="1">IFERROR(SUMIFS(INDIRECT("'Thanh Toán ("&amp;AZ$3&amp;")'!$F:$F"),INDIRECT("'Thanh Toán ("&amp;AZ$3&amp;")'!$D:$D"),'Tổng Đơn'!$B43),0)</f>
        <v>0</v>
      </c>
      <c r="BA43" s="2">
        <f ca="1">IFERROR(SUMIFS(INDIRECT("'Thanh Toán ("&amp;BA$3&amp;")'!$F:$F"),INDIRECT("'Thanh Toán ("&amp;BA$3&amp;")'!$D:$D"),'Tổng Đơn'!$B43),0)</f>
        <v>0</v>
      </c>
      <c r="BB43" s="2">
        <f ca="1">IFERROR(SUMIFS(INDIRECT("'Thanh Toán ("&amp;BB$3&amp;")'!$F:$F"),INDIRECT("'Thanh Toán ("&amp;BB$3&amp;")'!$D:$D"),'Tổng Đơn'!$B43),0)</f>
        <v>0</v>
      </c>
      <c r="BC43" s="2">
        <f ca="1">IFERROR(SUMIFS(INDIRECT("'Thanh Toán ("&amp;BC$3&amp;")'!$F:$F"),INDIRECT("'Thanh Toán ("&amp;BC$3&amp;")'!$D:$D"),'Tổng Đơn'!$B43),0)</f>
        <v>0</v>
      </c>
    </row>
    <row r="44" spans="1:55" ht="18" customHeight="1" x14ac:dyDescent="0.25">
      <c r="A44" s="167">
        <v>34</v>
      </c>
      <c r="B44" s="168" t="s">
        <v>33</v>
      </c>
      <c r="C44" s="174" t="s">
        <v>80</v>
      </c>
      <c r="D44" s="169">
        <f>VLOOKUP($C44,Sheet1!$C$8:$D$98,2,0)</f>
        <v>66000</v>
      </c>
      <c r="E44" s="170">
        <v>0.5</v>
      </c>
      <c r="F44" s="171">
        <f t="shared" ca="1" si="13"/>
        <v>0</v>
      </c>
      <c r="G44" s="172">
        <f>IFERROR(VLOOKUP($B44,Gà!C:J,8,0),IFERROR(VLOOKUP($B44,TVP!C:J,7,0),IFERROR(VLOOKUP($B44,Kitkool!C:J,8,0),IFERROR(VLOOKUP($B44,'La Cusina'!C:J,8,0),VLOOKUP($B44,'Quốc Nhân'!C:J,8,0)))))</f>
        <v>55.755097015660397</v>
      </c>
      <c r="H44" s="173">
        <f t="shared" ca="1" si="10"/>
        <v>0</v>
      </c>
      <c r="I44" s="195">
        <f t="shared" si="11"/>
        <v>0.18374827652908632</v>
      </c>
      <c r="J44" s="173">
        <f t="shared" ca="1" si="12"/>
        <v>0</v>
      </c>
      <c r="K44" s="38"/>
      <c r="L44" s="2">
        <f ca="1">IFERROR(SUMIFS(INDIRECT("'Thanh Toán ("&amp;L$3&amp;")'!$F:$F"),INDIRECT("'Thanh Toán ("&amp;L$3&amp;")'!$D:$D"),'Tổng Đơn'!$B44),0)</f>
        <v>0</v>
      </c>
      <c r="M44" s="2">
        <f ca="1">IFERROR(SUMIFS(INDIRECT("'Thanh Toán ("&amp;M$3&amp;")'!$F:$F"),INDIRECT("'Thanh Toán ("&amp;M$3&amp;")'!$D:$D"),'Tổng Đơn'!$B44),0)</f>
        <v>0</v>
      </c>
      <c r="N44" s="2">
        <f ca="1">IFERROR(SUMIFS(INDIRECT("'Thanh Toán ("&amp;N$3&amp;")'!$F:$F"),INDIRECT("'Thanh Toán ("&amp;N$3&amp;")'!$D:$D"),'Tổng Đơn'!$B44),0)</f>
        <v>0</v>
      </c>
      <c r="O44" s="2">
        <f ca="1">IFERROR(SUMIFS(INDIRECT("'Thanh Toán ("&amp;O$3&amp;")'!$F:$F"),INDIRECT("'Thanh Toán ("&amp;O$3&amp;")'!$D:$D"),'Tổng Đơn'!$B44),0)</f>
        <v>0</v>
      </c>
      <c r="P44" s="2">
        <f ca="1">IFERROR(SUMIFS(INDIRECT("'Thanh Toán ("&amp;P$3&amp;")'!$F:$F"),INDIRECT("'Thanh Toán ("&amp;P$3&amp;")'!$D:$D"),'Tổng Đơn'!$B44),0)</f>
        <v>0</v>
      </c>
      <c r="Q44" s="2">
        <f ca="1">IFERROR(SUMIFS(INDIRECT("'Thanh Toán ("&amp;Q$3&amp;")'!$F:$F"),INDIRECT("'Thanh Toán ("&amp;Q$3&amp;")'!$D:$D"),'Tổng Đơn'!$B44),0)</f>
        <v>0</v>
      </c>
      <c r="R44" s="2">
        <f ca="1">IFERROR(SUMIFS(INDIRECT("'Thanh Toán ("&amp;R$3&amp;")'!$F:$F"),INDIRECT("'Thanh Toán ("&amp;R$3&amp;")'!$D:$D"),'Tổng Đơn'!$B44),0)</f>
        <v>0</v>
      </c>
      <c r="S44" s="2">
        <f ca="1">IFERROR(SUMIFS(INDIRECT("'Thanh Toán ("&amp;S$3&amp;")'!$F:$F"),INDIRECT("'Thanh Toán ("&amp;S$3&amp;")'!$D:$D"),'Tổng Đơn'!$B44),0)</f>
        <v>0</v>
      </c>
      <c r="T44" s="2">
        <f ca="1">IFERROR(SUMIFS(INDIRECT("'Thanh Toán ("&amp;T$3&amp;")'!$F:$F"),INDIRECT("'Thanh Toán ("&amp;T$3&amp;")'!$D:$D"),'Tổng Đơn'!$B44),0)</f>
        <v>0</v>
      </c>
      <c r="U44" s="2">
        <f ca="1">IFERROR(SUMIFS(INDIRECT("'Thanh Toán ("&amp;U$3&amp;")'!$F:$F"),INDIRECT("'Thanh Toán ("&amp;U$3&amp;")'!$D:$D"),'Tổng Đơn'!$B44),0)</f>
        <v>0</v>
      </c>
      <c r="V44" s="2">
        <f ca="1">IFERROR(SUMIFS(INDIRECT("'Thanh Toán ("&amp;V$3&amp;")'!$F:$F"),INDIRECT("'Thanh Toán ("&amp;V$3&amp;")'!$D:$D"),'Tổng Đơn'!$B44),0)</f>
        <v>0</v>
      </c>
      <c r="W44" s="2">
        <f ca="1">IFERROR(SUMIFS(INDIRECT("'Thanh Toán ("&amp;W$3&amp;")'!$F:$F"),INDIRECT("'Thanh Toán ("&amp;W$3&amp;")'!$D:$D"),'Tổng Đơn'!$B44),0)</f>
        <v>0</v>
      </c>
      <c r="X44" s="2">
        <f ca="1">IFERROR(SUMIFS(INDIRECT("'Thanh Toán ("&amp;X$3&amp;")'!$F:$F"),INDIRECT("'Thanh Toán ("&amp;X$3&amp;")'!$D:$D"),'Tổng Đơn'!$B44),0)</f>
        <v>0</v>
      </c>
      <c r="Y44" s="2">
        <f ca="1">IFERROR(SUMIFS(INDIRECT("'Thanh Toán ("&amp;Y$3&amp;")'!$F:$F"),INDIRECT("'Thanh Toán ("&amp;Y$3&amp;")'!$D:$D"),'Tổng Đơn'!$B44),0)</f>
        <v>0</v>
      </c>
      <c r="Z44" s="2">
        <f ca="1">IFERROR(SUMIFS(INDIRECT("'Thanh Toán ("&amp;Z$3&amp;")'!$F:$F"),INDIRECT("'Thanh Toán ("&amp;Z$3&amp;")'!$D:$D"),'Tổng Đơn'!$B44),0)</f>
        <v>0</v>
      </c>
      <c r="AA44" s="2">
        <f ca="1">IFERROR(SUMIFS(INDIRECT("'Thanh Toán ("&amp;AA$3&amp;")'!$F:$F"),INDIRECT("'Thanh Toán ("&amp;AA$3&amp;")'!$D:$D"),'Tổng Đơn'!$B44),0)</f>
        <v>0</v>
      </c>
      <c r="AB44" s="2">
        <f ca="1">IFERROR(SUMIFS(INDIRECT("'Thanh Toán ("&amp;AB$3&amp;")'!$F:$F"),INDIRECT("'Thanh Toán ("&amp;AB$3&amp;")'!$D:$D"),'Tổng Đơn'!$B44),0)</f>
        <v>0</v>
      </c>
      <c r="AC44" s="2">
        <f ca="1">IFERROR(SUMIFS(INDIRECT("'Thanh Toán ("&amp;AC$3&amp;")'!$F:$F"),INDIRECT("'Thanh Toán ("&amp;AC$3&amp;")'!$D:$D"),'Tổng Đơn'!$B44),0)</f>
        <v>0</v>
      </c>
      <c r="AD44" s="2">
        <f ca="1">IFERROR(SUMIFS(INDIRECT("'Thanh Toán ("&amp;AD$3&amp;")'!$F:$F"),INDIRECT("'Thanh Toán ("&amp;AD$3&amp;")'!$D:$D"),'Tổng Đơn'!$B44),0)</f>
        <v>0</v>
      </c>
      <c r="AE44" s="2">
        <f ca="1">IFERROR(SUMIFS(INDIRECT("'Thanh Toán ("&amp;AE$3&amp;")'!$F:$F"),INDIRECT("'Thanh Toán ("&amp;AE$3&amp;")'!$D:$D"),'Tổng Đơn'!$B44),0)</f>
        <v>0</v>
      </c>
      <c r="AF44" s="2">
        <f ca="1">IFERROR(SUMIFS(INDIRECT("'Thanh Toán ("&amp;AF$3&amp;")'!$F:$F"),INDIRECT("'Thanh Toán ("&amp;AF$3&amp;")'!$D:$D"),'Tổng Đơn'!$B44),0)</f>
        <v>0</v>
      </c>
      <c r="AG44" s="2">
        <f ca="1">IFERROR(SUMIFS(INDIRECT("'Thanh Toán ("&amp;AG$3&amp;")'!$F:$F"),INDIRECT("'Thanh Toán ("&amp;AG$3&amp;")'!$D:$D"),'Tổng Đơn'!$B44),0)</f>
        <v>0</v>
      </c>
      <c r="AH44" s="2">
        <f ca="1">IFERROR(SUMIFS(INDIRECT("'Thanh Toán ("&amp;AH$3&amp;")'!$F:$F"),INDIRECT("'Thanh Toán ("&amp;AH$3&amp;")'!$D:$D"),'Tổng Đơn'!$B44),0)</f>
        <v>0</v>
      </c>
      <c r="AI44" s="2">
        <f ca="1">IFERROR(SUMIFS(INDIRECT("'Thanh Toán ("&amp;AI$3&amp;")'!$F:$F"),INDIRECT("'Thanh Toán ("&amp;AI$3&amp;")'!$D:$D"),'Tổng Đơn'!$B44),0)</f>
        <v>0</v>
      </c>
      <c r="AJ44" s="2">
        <f ca="1">IFERROR(SUMIFS(INDIRECT("'Thanh Toán ("&amp;AJ$3&amp;")'!$F:$F"),INDIRECT("'Thanh Toán ("&amp;AJ$3&amp;")'!$D:$D"),'Tổng Đơn'!$B44),0)</f>
        <v>0</v>
      </c>
      <c r="AK44" s="2">
        <f ca="1">IFERROR(SUMIFS(INDIRECT("'Thanh Toán ("&amp;AK$3&amp;")'!$F:$F"),INDIRECT("'Thanh Toán ("&amp;AK$3&amp;")'!$D:$D"),'Tổng Đơn'!$B44),0)</f>
        <v>0</v>
      </c>
      <c r="AL44" s="2">
        <f ca="1">IFERROR(SUMIFS(INDIRECT("'Thanh Toán ("&amp;AL$3&amp;")'!$F:$F"),INDIRECT("'Thanh Toán ("&amp;AL$3&amp;")'!$D:$D"),'Tổng Đơn'!$B44),0)</f>
        <v>0</v>
      </c>
      <c r="AM44" s="2">
        <f ca="1">IFERROR(SUMIFS(INDIRECT("'Thanh Toán ("&amp;AM$3&amp;")'!$F:$F"),INDIRECT("'Thanh Toán ("&amp;AM$3&amp;")'!$D:$D"),'Tổng Đơn'!$B44),0)</f>
        <v>0</v>
      </c>
      <c r="AN44" s="2">
        <f ca="1">IFERROR(SUMIFS(INDIRECT("'Thanh Toán ("&amp;AN$3&amp;")'!$F:$F"),INDIRECT("'Thanh Toán ("&amp;AN$3&amp;")'!$D:$D"),'Tổng Đơn'!$B44),0)</f>
        <v>0</v>
      </c>
      <c r="AO44" s="2">
        <f ca="1">IFERROR(SUMIFS(INDIRECT("'Thanh Toán ("&amp;AO$3&amp;")'!$F:$F"),INDIRECT("'Thanh Toán ("&amp;AO$3&amp;")'!$D:$D"),'Tổng Đơn'!$B44),0)</f>
        <v>0</v>
      </c>
      <c r="AP44" s="2">
        <f ca="1">IFERROR(SUMIFS(INDIRECT("'Thanh Toán ("&amp;AP$3&amp;")'!$F:$F"),INDIRECT("'Thanh Toán ("&amp;AP$3&amp;")'!$D:$D"),'Tổng Đơn'!$B44),0)</f>
        <v>0</v>
      </c>
      <c r="AQ44" s="2">
        <f ca="1">IFERROR(SUMIFS(INDIRECT("'Thanh Toán ("&amp;AQ$3&amp;")'!$F:$F"),INDIRECT("'Thanh Toán ("&amp;AQ$3&amp;")'!$D:$D"),'Tổng Đơn'!$B44),0)</f>
        <v>0</v>
      </c>
      <c r="AR44" s="2">
        <f ca="1">IFERROR(SUMIFS(INDIRECT("'Thanh Toán ("&amp;AR$3&amp;")'!$F:$F"),INDIRECT("'Thanh Toán ("&amp;AR$3&amp;")'!$D:$D"),'Tổng Đơn'!$B44),0)</f>
        <v>0</v>
      </c>
      <c r="AS44" s="2">
        <f ca="1">IFERROR(SUMIFS(INDIRECT("'Thanh Toán ("&amp;AS$3&amp;")'!$F:$F"),INDIRECT("'Thanh Toán ("&amp;AS$3&amp;")'!$D:$D"),'Tổng Đơn'!$B44),0)</f>
        <v>0</v>
      </c>
      <c r="AT44" s="2">
        <f ca="1">IFERROR(SUMIFS(INDIRECT("'Thanh Toán ("&amp;AT$3&amp;")'!$F:$F"),INDIRECT("'Thanh Toán ("&amp;AT$3&amp;")'!$D:$D"),'Tổng Đơn'!$B44),0)</f>
        <v>0</v>
      </c>
      <c r="AU44" s="2">
        <f ca="1">IFERROR(SUMIFS(INDIRECT("'Thanh Toán ("&amp;AU$3&amp;")'!$F:$F"),INDIRECT("'Thanh Toán ("&amp;AU$3&amp;")'!$D:$D"),'Tổng Đơn'!$B44),0)</f>
        <v>0</v>
      </c>
      <c r="AV44" s="2">
        <f ca="1">IFERROR(SUMIFS(INDIRECT("'Thanh Toán ("&amp;AV$3&amp;")'!$F:$F"),INDIRECT("'Thanh Toán ("&amp;AV$3&amp;")'!$D:$D"),'Tổng Đơn'!$B44),0)</f>
        <v>0</v>
      </c>
      <c r="AW44" s="2">
        <f ca="1">IFERROR(SUMIFS(INDIRECT("'Thanh Toán ("&amp;AW$3&amp;")'!$F:$F"),INDIRECT("'Thanh Toán ("&amp;AW$3&amp;")'!$D:$D"),'Tổng Đơn'!$B44),0)</f>
        <v>0</v>
      </c>
      <c r="AX44" s="2">
        <f ca="1">IFERROR(SUMIFS(INDIRECT("'Thanh Toán ("&amp;AX$3&amp;")'!$F:$F"),INDIRECT("'Thanh Toán ("&amp;AX$3&amp;")'!$D:$D"),'Tổng Đơn'!$B44),0)</f>
        <v>0</v>
      </c>
      <c r="AY44" s="2">
        <f ca="1">IFERROR(SUMIFS(INDIRECT("'Thanh Toán ("&amp;AY$3&amp;")'!$F:$F"),INDIRECT("'Thanh Toán ("&amp;AY$3&amp;")'!$D:$D"),'Tổng Đơn'!$B44),0)</f>
        <v>0</v>
      </c>
      <c r="AZ44" s="2">
        <f ca="1">IFERROR(SUMIFS(INDIRECT("'Thanh Toán ("&amp;AZ$3&amp;")'!$F:$F"),INDIRECT("'Thanh Toán ("&amp;AZ$3&amp;")'!$D:$D"),'Tổng Đơn'!$B44),0)</f>
        <v>0</v>
      </c>
      <c r="BA44" s="2">
        <f ca="1">IFERROR(SUMIFS(INDIRECT("'Thanh Toán ("&amp;BA$3&amp;")'!$F:$F"),INDIRECT("'Thanh Toán ("&amp;BA$3&amp;")'!$D:$D"),'Tổng Đơn'!$B44),0)</f>
        <v>0</v>
      </c>
      <c r="BB44" s="2">
        <f ca="1">IFERROR(SUMIFS(INDIRECT("'Thanh Toán ("&amp;BB$3&amp;")'!$F:$F"),INDIRECT("'Thanh Toán ("&amp;BB$3&amp;")'!$D:$D"),'Tổng Đơn'!$B44),0)</f>
        <v>0</v>
      </c>
      <c r="BC44" s="2">
        <f ca="1">IFERROR(SUMIFS(INDIRECT("'Thanh Toán ("&amp;BC$3&amp;")'!$F:$F"),INDIRECT("'Thanh Toán ("&amp;BC$3&amp;")'!$D:$D"),'Tổng Đơn'!$B44),0)</f>
        <v>0</v>
      </c>
    </row>
    <row r="45" spans="1:55" ht="18" customHeight="1" x14ac:dyDescent="0.25">
      <c r="A45" s="174">
        <v>35</v>
      </c>
      <c r="B45" s="168" t="s">
        <v>47</v>
      </c>
      <c r="C45" s="167" t="s">
        <v>81</v>
      </c>
      <c r="D45" s="169">
        <f>VLOOKUP($C45,Sheet1!$C$8:$D$98,2,0)</f>
        <v>65000</v>
      </c>
      <c r="E45" s="170">
        <v>0.5</v>
      </c>
      <c r="F45" s="171">
        <f t="shared" ca="1" si="13"/>
        <v>0</v>
      </c>
      <c r="G45" s="172">
        <f>IFERROR(VLOOKUP($B45,Gà!C:J,8,0),IFERROR(VLOOKUP($B45,TVP!C:J,7,0),IFERROR(VLOOKUP($B45,Kitkool!C:J,8,0),IFERROR(VLOOKUP($B45,'La Cusina'!C:J,8,0),VLOOKUP($B45,'Quốc Nhân'!C:J,8,0)))))</f>
        <v>54.248202501723625</v>
      </c>
      <c r="H45" s="173">
        <f t="shared" ca="1" si="10"/>
        <v>0</v>
      </c>
      <c r="I45" s="195">
        <f t="shared" si="11"/>
        <v>0.19819638259783368</v>
      </c>
      <c r="J45" s="173">
        <f t="shared" ca="1" si="12"/>
        <v>0</v>
      </c>
      <c r="K45" s="38"/>
      <c r="L45" s="2">
        <f ca="1">IFERROR(SUMIFS(INDIRECT("'Thanh Toán ("&amp;L$3&amp;")'!$F:$F"),INDIRECT("'Thanh Toán ("&amp;L$3&amp;")'!$D:$D"),'Tổng Đơn'!$B45),0)</f>
        <v>0</v>
      </c>
      <c r="M45" s="2">
        <f ca="1">IFERROR(SUMIFS(INDIRECT("'Thanh Toán ("&amp;M$3&amp;")'!$F:$F"),INDIRECT("'Thanh Toán ("&amp;M$3&amp;")'!$D:$D"),'Tổng Đơn'!$B45),0)</f>
        <v>0</v>
      </c>
      <c r="N45" s="2">
        <f ca="1">IFERROR(SUMIFS(INDIRECT("'Thanh Toán ("&amp;N$3&amp;")'!$F:$F"),INDIRECT("'Thanh Toán ("&amp;N$3&amp;")'!$D:$D"),'Tổng Đơn'!$B45),0)</f>
        <v>0</v>
      </c>
      <c r="O45" s="2">
        <f ca="1">IFERROR(SUMIFS(INDIRECT("'Thanh Toán ("&amp;O$3&amp;")'!$F:$F"),INDIRECT("'Thanh Toán ("&amp;O$3&amp;")'!$D:$D"),'Tổng Đơn'!$B45),0)</f>
        <v>0</v>
      </c>
      <c r="P45" s="2">
        <f ca="1">IFERROR(SUMIFS(INDIRECT("'Thanh Toán ("&amp;P$3&amp;")'!$F:$F"),INDIRECT("'Thanh Toán ("&amp;P$3&amp;")'!$D:$D"),'Tổng Đơn'!$B45),0)</f>
        <v>0</v>
      </c>
      <c r="Q45" s="2">
        <f ca="1">IFERROR(SUMIFS(INDIRECT("'Thanh Toán ("&amp;Q$3&amp;")'!$F:$F"),INDIRECT("'Thanh Toán ("&amp;Q$3&amp;")'!$D:$D"),'Tổng Đơn'!$B45),0)</f>
        <v>0</v>
      </c>
      <c r="R45" s="2">
        <f ca="1">IFERROR(SUMIFS(INDIRECT("'Thanh Toán ("&amp;R$3&amp;")'!$F:$F"),INDIRECT("'Thanh Toán ("&amp;R$3&amp;")'!$D:$D"),'Tổng Đơn'!$B45),0)</f>
        <v>0</v>
      </c>
      <c r="S45" s="2">
        <f ca="1">IFERROR(SUMIFS(INDIRECT("'Thanh Toán ("&amp;S$3&amp;")'!$F:$F"),INDIRECT("'Thanh Toán ("&amp;S$3&amp;")'!$D:$D"),'Tổng Đơn'!$B45),0)</f>
        <v>0</v>
      </c>
      <c r="T45" s="2">
        <f ca="1">IFERROR(SUMIFS(INDIRECT("'Thanh Toán ("&amp;T$3&amp;")'!$F:$F"),INDIRECT("'Thanh Toán ("&amp;T$3&amp;")'!$D:$D"),'Tổng Đơn'!$B45),0)</f>
        <v>0</v>
      </c>
      <c r="U45" s="2">
        <f ca="1">IFERROR(SUMIFS(INDIRECT("'Thanh Toán ("&amp;U$3&amp;")'!$F:$F"),INDIRECT("'Thanh Toán ("&amp;U$3&amp;")'!$D:$D"),'Tổng Đơn'!$B45),0)</f>
        <v>0</v>
      </c>
      <c r="V45" s="2">
        <f ca="1">IFERROR(SUMIFS(INDIRECT("'Thanh Toán ("&amp;V$3&amp;")'!$F:$F"),INDIRECT("'Thanh Toán ("&amp;V$3&amp;")'!$D:$D"),'Tổng Đơn'!$B45),0)</f>
        <v>0</v>
      </c>
      <c r="W45" s="2">
        <f ca="1">IFERROR(SUMIFS(INDIRECT("'Thanh Toán ("&amp;W$3&amp;")'!$F:$F"),INDIRECT("'Thanh Toán ("&amp;W$3&amp;")'!$D:$D"),'Tổng Đơn'!$B45),0)</f>
        <v>0</v>
      </c>
      <c r="X45" s="2">
        <f ca="1">IFERROR(SUMIFS(INDIRECT("'Thanh Toán ("&amp;X$3&amp;")'!$F:$F"),INDIRECT("'Thanh Toán ("&amp;X$3&amp;")'!$D:$D"),'Tổng Đơn'!$B45),0)</f>
        <v>0</v>
      </c>
      <c r="Y45" s="2">
        <f ca="1">IFERROR(SUMIFS(INDIRECT("'Thanh Toán ("&amp;Y$3&amp;")'!$F:$F"),INDIRECT("'Thanh Toán ("&amp;Y$3&amp;")'!$D:$D"),'Tổng Đơn'!$B45),0)</f>
        <v>0</v>
      </c>
      <c r="Z45" s="2">
        <f ca="1">IFERROR(SUMIFS(INDIRECT("'Thanh Toán ("&amp;Z$3&amp;")'!$F:$F"),INDIRECT("'Thanh Toán ("&amp;Z$3&amp;")'!$D:$D"),'Tổng Đơn'!$B45),0)</f>
        <v>0</v>
      </c>
      <c r="AA45" s="2">
        <f ca="1">IFERROR(SUMIFS(INDIRECT("'Thanh Toán ("&amp;AA$3&amp;")'!$F:$F"),INDIRECT("'Thanh Toán ("&amp;AA$3&amp;")'!$D:$D"),'Tổng Đơn'!$B45),0)</f>
        <v>0</v>
      </c>
      <c r="AB45" s="2">
        <f ca="1">IFERROR(SUMIFS(INDIRECT("'Thanh Toán ("&amp;AB$3&amp;")'!$F:$F"),INDIRECT("'Thanh Toán ("&amp;AB$3&amp;")'!$D:$D"),'Tổng Đơn'!$B45),0)</f>
        <v>0</v>
      </c>
      <c r="AC45" s="2">
        <f ca="1">IFERROR(SUMIFS(INDIRECT("'Thanh Toán ("&amp;AC$3&amp;")'!$F:$F"),INDIRECT("'Thanh Toán ("&amp;AC$3&amp;")'!$D:$D"),'Tổng Đơn'!$B45),0)</f>
        <v>0</v>
      </c>
      <c r="AD45" s="2">
        <f ca="1">IFERROR(SUMIFS(INDIRECT("'Thanh Toán ("&amp;AD$3&amp;")'!$F:$F"),INDIRECT("'Thanh Toán ("&amp;AD$3&amp;")'!$D:$D"),'Tổng Đơn'!$B45),0)</f>
        <v>0</v>
      </c>
      <c r="AE45" s="2">
        <f ca="1">IFERROR(SUMIFS(INDIRECT("'Thanh Toán ("&amp;AE$3&amp;")'!$F:$F"),INDIRECT("'Thanh Toán ("&amp;AE$3&amp;")'!$D:$D"),'Tổng Đơn'!$B45),0)</f>
        <v>0</v>
      </c>
      <c r="AF45" s="2">
        <f ca="1">IFERROR(SUMIFS(INDIRECT("'Thanh Toán ("&amp;AF$3&amp;")'!$F:$F"),INDIRECT("'Thanh Toán ("&amp;AF$3&amp;")'!$D:$D"),'Tổng Đơn'!$B45),0)</f>
        <v>0</v>
      </c>
      <c r="AG45" s="2">
        <f ca="1">IFERROR(SUMIFS(INDIRECT("'Thanh Toán ("&amp;AG$3&amp;")'!$F:$F"),INDIRECT("'Thanh Toán ("&amp;AG$3&amp;")'!$D:$D"),'Tổng Đơn'!$B45),0)</f>
        <v>0</v>
      </c>
      <c r="AH45" s="2">
        <f ca="1">IFERROR(SUMIFS(INDIRECT("'Thanh Toán ("&amp;AH$3&amp;")'!$F:$F"),INDIRECT("'Thanh Toán ("&amp;AH$3&amp;")'!$D:$D"),'Tổng Đơn'!$B45),0)</f>
        <v>0</v>
      </c>
      <c r="AI45" s="2">
        <f ca="1">IFERROR(SUMIFS(INDIRECT("'Thanh Toán ("&amp;AI$3&amp;")'!$F:$F"),INDIRECT("'Thanh Toán ("&amp;AI$3&amp;")'!$D:$D"),'Tổng Đơn'!$B45),0)</f>
        <v>0</v>
      </c>
      <c r="AJ45" s="2">
        <f ca="1">IFERROR(SUMIFS(INDIRECT("'Thanh Toán ("&amp;AJ$3&amp;")'!$F:$F"),INDIRECT("'Thanh Toán ("&amp;AJ$3&amp;")'!$D:$D"),'Tổng Đơn'!$B45),0)</f>
        <v>0</v>
      </c>
      <c r="AK45" s="2">
        <f ca="1">IFERROR(SUMIFS(INDIRECT("'Thanh Toán ("&amp;AK$3&amp;")'!$F:$F"),INDIRECT("'Thanh Toán ("&amp;AK$3&amp;")'!$D:$D"),'Tổng Đơn'!$B45),0)</f>
        <v>0</v>
      </c>
      <c r="AL45" s="2">
        <f ca="1">IFERROR(SUMIFS(INDIRECT("'Thanh Toán ("&amp;AL$3&amp;")'!$F:$F"),INDIRECT("'Thanh Toán ("&amp;AL$3&amp;")'!$D:$D"),'Tổng Đơn'!$B45),0)</f>
        <v>0</v>
      </c>
      <c r="AM45" s="2">
        <f ca="1">IFERROR(SUMIFS(INDIRECT("'Thanh Toán ("&amp;AM$3&amp;")'!$F:$F"),INDIRECT("'Thanh Toán ("&amp;AM$3&amp;")'!$D:$D"),'Tổng Đơn'!$B45),0)</f>
        <v>0</v>
      </c>
      <c r="AN45" s="2">
        <f ca="1">IFERROR(SUMIFS(INDIRECT("'Thanh Toán ("&amp;AN$3&amp;")'!$F:$F"),INDIRECT("'Thanh Toán ("&amp;AN$3&amp;")'!$D:$D"),'Tổng Đơn'!$B45),0)</f>
        <v>0</v>
      </c>
      <c r="AO45" s="2">
        <f ca="1">IFERROR(SUMIFS(INDIRECT("'Thanh Toán ("&amp;AO$3&amp;")'!$F:$F"),INDIRECT("'Thanh Toán ("&amp;AO$3&amp;")'!$D:$D"),'Tổng Đơn'!$B45),0)</f>
        <v>0</v>
      </c>
      <c r="AP45" s="2">
        <f ca="1">IFERROR(SUMIFS(INDIRECT("'Thanh Toán ("&amp;AP$3&amp;")'!$F:$F"),INDIRECT("'Thanh Toán ("&amp;AP$3&amp;")'!$D:$D"),'Tổng Đơn'!$B45),0)</f>
        <v>0</v>
      </c>
      <c r="AQ45" s="2">
        <f ca="1">IFERROR(SUMIFS(INDIRECT("'Thanh Toán ("&amp;AQ$3&amp;")'!$F:$F"),INDIRECT("'Thanh Toán ("&amp;AQ$3&amp;")'!$D:$D"),'Tổng Đơn'!$B45),0)</f>
        <v>0</v>
      </c>
      <c r="AR45" s="2">
        <f ca="1">IFERROR(SUMIFS(INDIRECT("'Thanh Toán ("&amp;AR$3&amp;")'!$F:$F"),INDIRECT("'Thanh Toán ("&amp;AR$3&amp;")'!$D:$D"),'Tổng Đơn'!$B45),0)</f>
        <v>0</v>
      </c>
      <c r="AS45" s="2">
        <f ca="1">IFERROR(SUMIFS(INDIRECT("'Thanh Toán ("&amp;AS$3&amp;")'!$F:$F"),INDIRECT("'Thanh Toán ("&amp;AS$3&amp;")'!$D:$D"),'Tổng Đơn'!$B45),0)</f>
        <v>0</v>
      </c>
      <c r="AT45" s="2">
        <f ca="1">IFERROR(SUMIFS(INDIRECT("'Thanh Toán ("&amp;AT$3&amp;")'!$F:$F"),INDIRECT("'Thanh Toán ("&amp;AT$3&amp;")'!$D:$D"),'Tổng Đơn'!$B45),0)</f>
        <v>0</v>
      </c>
      <c r="AU45" s="2">
        <f ca="1">IFERROR(SUMIFS(INDIRECT("'Thanh Toán ("&amp;AU$3&amp;")'!$F:$F"),INDIRECT("'Thanh Toán ("&amp;AU$3&amp;")'!$D:$D"),'Tổng Đơn'!$B45),0)</f>
        <v>0</v>
      </c>
      <c r="AV45" s="2">
        <f ca="1">IFERROR(SUMIFS(INDIRECT("'Thanh Toán ("&amp;AV$3&amp;")'!$F:$F"),INDIRECT("'Thanh Toán ("&amp;AV$3&amp;")'!$D:$D"),'Tổng Đơn'!$B45),0)</f>
        <v>0</v>
      </c>
      <c r="AW45" s="2">
        <f ca="1">IFERROR(SUMIFS(INDIRECT("'Thanh Toán ("&amp;AW$3&amp;")'!$F:$F"),INDIRECT("'Thanh Toán ("&amp;AW$3&amp;")'!$D:$D"),'Tổng Đơn'!$B45),0)</f>
        <v>0</v>
      </c>
      <c r="AX45" s="2">
        <f ca="1">IFERROR(SUMIFS(INDIRECT("'Thanh Toán ("&amp;AX$3&amp;")'!$F:$F"),INDIRECT("'Thanh Toán ("&amp;AX$3&amp;")'!$D:$D"),'Tổng Đơn'!$B45),0)</f>
        <v>0</v>
      </c>
      <c r="AY45" s="2">
        <f ca="1">IFERROR(SUMIFS(INDIRECT("'Thanh Toán ("&amp;AY$3&amp;")'!$F:$F"),INDIRECT("'Thanh Toán ("&amp;AY$3&amp;")'!$D:$D"),'Tổng Đơn'!$B45),0)</f>
        <v>0</v>
      </c>
      <c r="AZ45" s="2">
        <f ca="1">IFERROR(SUMIFS(INDIRECT("'Thanh Toán ("&amp;AZ$3&amp;")'!$F:$F"),INDIRECT("'Thanh Toán ("&amp;AZ$3&amp;")'!$D:$D"),'Tổng Đơn'!$B45),0)</f>
        <v>0</v>
      </c>
      <c r="BA45" s="2">
        <f ca="1">IFERROR(SUMIFS(INDIRECT("'Thanh Toán ("&amp;BA$3&amp;")'!$F:$F"),INDIRECT("'Thanh Toán ("&amp;BA$3&amp;")'!$D:$D"),'Tổng Đơn'!$B45),0)</f>
        <v>0</v>
      </c>
      <c r="BB45" s="2">
        <f ca="1">IFERROR(SUMIFS(INDIRECT("'Thanh Toán ("&amp;BB$3&amp;")'!$F:$F"),INDIRECT("'Thanh Toán ("&amp;BB$3&amp;")'!$D:$D"),'Tổng Đơn'!$B45),0)</f>
        <v>0</v>
      </c>
      <c r="BC45" s="2">
        <f ca="1">IFERROR(SUMIFS(INDIRECT("'Thanh Toán ("&amp;BC$3&amp;")'!$F:$F"),INDIRECT("'Thanh Toán ("&amp;BC$3&amp;")'!$D:$D"),'Tổng Đơn'!$B45),0)</f>
        <v>0</v>
      </c>
    </row>
    <row r="46" spans="1:55" ht="18" customHeight="1" x14ac:dyDescent="0.25">
      <c r="A46" s="167">
        <v>36</v>
      </c>
      <c r="B46" s="168" t="s">
        <v>48</v>
      </c>
      <c r="C46" s="174" t="s">
        <v>82</v>
      </c>
      <c r="D46" s="169">
        <f>VLOOKUP($C46,Sheet1!$C$8:$D$98,2,0)</f>
        <v>54000</v>
      </c>
      <c r="E46" s="170">
        <v>0.5</v>
      </c>
      <c r="F46" s="171">
        <f t="shared" ca="1" si="13"/>
        <v>0</v>
      </c>
      <c r="G46" s="172">
        <f>IFERROR(VLOOKUP($B46,Gà!C:J,8,0),IFERROR(VLOOKUP($B46,TVP!C:J,7,0),IFERROR(VLOOKUP($B46,Kitkool!C:J,8,0),IFERROR(VLOOKUP($B46,'La Cusina'!C:J,8,0),VLOOKUP($B46,'Quốc Nhân'!C:J,8,0)))))</f>
        <v>45.206835418103026</v>
      </c>
      <c r="H46" s="173">
        <f t="shared" ca="1" si="10"/>
        <v>0</v>
      </c>
      <c r="I46" s="195">
        <f t="shared" si="11"/>
        <v>0.19450962449753262</v>
      </c>
      <c r="J46" s="173">
        <f t="shared" ca="1" si="12"/>
        <v>0</v>
      </c>
      <c r="K46" s="38"/>
      <c r="L46" s="2">
        <f ca="1">IFERROR(SUMIFS(INDIRECT("'Thanh Toán ("&amp;L$3&amp;")'!$F:$F"),INDIRECT("'Thanh Toán ("&amp;L$3&amp;")'!$D:$D"),'Tổng Đơn'!$B46),0)</f>
        <v>0</v>
      </c>
      <c r="M46" s="2">
        <f ca="1">IFERROR(SUMIFS(INDIRECT("'Thanh Toán ("&amp;M$3&amp;")'!$F:$F"),INDIRECT("'Thanh Toán ("&amp;M$3&amp;")'!$D:$D"),'Tổng Đơn'!$B46),0)</f>
        <v>0</v>
      </c>
      <c r="N46" s="2">
        <f ca="1">IFERROR(SUMIFS(INDIRECT("'Thanh Toán ("&amp;N$3&amp;")'!$F:$F"),INDIRECT("'Thanh Toán ("&amp;N$3&amp;")'!$D:$D"),'Tổng Đơn'!$B46),0)</f>
        <v>0</v>
      </c>
      <c r="O46" s="2">
        <f ca="1">IFERROR(SUMIFS(INDIRECT("'Thanh Toán ("&amp;O$3&amp;")'!$F:$F"),INDIRECT("'Thanh Toán ("&amp;O$3&amp;")'!$D:$D"),'Tổng Đơn'!$B46),0)</f>
        <v>0</v>
      </c>
      <c r="P46" s="2">
        <f ca="1">IFERROR(SUMIFS(INDIRECT("'Thanh Toán ("&amp;P$3&amp;")'!$F:$F"),INDIRECT("'Thanh Toán ("&amp;P$3&amp;")'!$D:$D"),'Tổng Đơn'!$B46),0)</f>
        <v>0</v>
      </c>
      <c r="Q46" s="2">
        <f ca="1">IFERROR(SUMIFS(INDIRECT("'Thanh Toán ("&amp;Q$3&amp;")'!$F:$F"),INDIRECT("'Thanh Toán ("&amp;Q$3&amp;")'!$D:$D"),'Tổng Đơn'!$B46),0)</f>
        <v>0</v>
      </c>
      <c r="R46" s="2">
        <f ca="1">IFERROR(SUMIFS(INDIRECT("'Thanh Toán ("&amp;R$3&amp;")'!$F:$F"),INDIRECT("'Thanh Toán ("&amp;R$3&amp;")'!$D:$D"),'Tổng Đơn'!$B46),0)</f>
        <v>0</v>
      </c>
      <c r="S46" s="2">
        <f ca="1">IFERROR(SUMIFS(INDIRECT("'Thanh Toán ("&amp;S$3&amp;")'!$F:$F"),INDIRECT("'Thanh Toán ("&amp;S$3&amp;")'!$D:$D"),'Tổng Đơn'!$B46),0)</f>
        <v>0</v>
      </c>
      <c r="T46" s="2">
        <f ca="1">IFERROR(SUMIFS(INDIRECT("'Thanh Toán ("&amp;T$3&amp;")'!$F:$F"),INDIRECT("'Thanh Toán ("&amp;T$3&amp;")'!$D:$D"),'Tổng Đơn'!$B46),0)</f>
        <v>0</v>
      </c>
      <c r="U46" s="2">
        <f ca="1">IFERROR(SUMIFS(INDIRECT("'Thanh Toán ("&amp;U$3&amp;")'!$F:$F"),INDIRECT("'Thanh Toán ("&amp;U$3&amp;")'!$D:$D"),'Tổng Đơn'!$B46),0)</f>
        <v>0</v>
      </c>
      <c r="V46" s="2">
        <f ca="1">IFERROR(SUMIFS(INDIRECT("'Thanh Toán ("&amp;V$3&amp;")'!$F:$F"),INDIRECT("'Thanh Toán ("&amp;V$3&amp;")'!$D:$D"),'Tổng Đơn'!$B46),0)</f>
        <v>0</v>
      </c>
      <c r="W46" s="2">
        <f ca="1">IFERROR(SUMIFS(INDIRECT("'Thanh Toán ("&amp;W$3&amp;")'!$F:$F"),INDIRECT("'Thanh Toán ("&amp;W$3&amp;")'!$D:$D"),'Tổng Đơn'!$B46),0)</f>
        <v>0</v>
      </c>
      <c r="X46" s="2">
        <f ca="1">IFERROR(SUMIFS(INDIRECT("'Thanh Toán ("&amp;X$3&amp;")'!$F:$F"),INDIRECT("'Thanh Toán ("&amp;X$3&amp;")'!$D:$D"),'Tổng Đơn'!$B46),0)</f>
        <v>0</v>
      </c>
      <c r="Y46" s="2">
        <f ca="1">IFERROR(SUMIFS(INDIRECT("'Thanh Toán ("&amp;Y$3&amp;")'!$F:$F"),INDIRECT("'Thanh Toán ("&amp;Y$3&amp;")'!$D:$D"),'Tổng Đơn'!$B46),0)</f>
        <v>0</v>
      </c>
      <c r="Z46" s="2">
        <f ca="1">IFERROR(SUMIFS(INDIRECT("'Thanh Toán ("&amp;Z$3&amp;")'!$F:$F"),INDIRECT("'Thanh Toán ("&amp;Z$3&amp;")'!$D:$D"),'Tổng Đơn'!$B46),0)</f>
        <v>0</v>
      </c>
      <c r="AA46" s="2">
        <f ca="1">IFERROR(SUMIFS(INDIRECT("'Thanh Toán ("&amp;AA$3&amp;")'!$F:$F"),INDIRECT("'Thanh Toán ("&amp;AA$3&amp;")'!$D:$D"),'Tổng Đơn'!$B46),0)</f>
        <v>0</v>
      </c>
      <c r="AB46" s="2">
        <f ca="1">IFERROR(SUMIFS(INDIRECT("'Thanh Toán ("&amp;AB$3&amp;")'!$F:$F"),INDIRECT("'Thanh Toán ("&amp;AB$3&amp;")'!$D:$D"),'Tổng Đơn'!$B46),0)</f>
        <v>0</v>
      </c>
      <c r="AC46" s="2">
        <f ca="1">IFERROR(SUMIFS(INDIRECT("'Thanh Toán ("&amp;AC$3&amp;")'!$F:$F"),INDIRECT("'Thanh Toán ("&amp;AC$3&amp;")'!$D:$D"),'Tổng Đơn'!$B46),0)</f>
        <v>0</v>
      </c>
      <c r="AD46" s="2">
        <f ca="1">IFERROR(SUMIFS(INDIRECT("'Thanh Toán ("&amp;AD$3&amp;")'!$F:$F"),INDIRECT("'Thanh Toán ("&amp;AD$3&amp;")'!$D:$D"),'Tổng Đơn'!$B46),0)</f>
        <v>0</v>
      </c>
      <c r="AE46" s="2">
        <f ca="1">IFERROR(SUMIFS(INDIRECT("'Thanh Toán ("&amp;AE$3&amp;")'!$F:$F"),INDIRECT("'Thanh Toán ("&amp;AE$3&amp;")'!$D:$D"),'Tổng Đơn'!$B46),0)</f>
        <v>0</v>
      </c>
      <c r="AF46" s="2">
        <f ca="1">IFERROR(SUMIFS(INDIRECT("'Thanh Toán ("&amp;AF$3&amp;")'!$F:$F"),INDIRECT("'Thanh Toán ("&amp;AF$3&amp;")'!$D:$D"),'Tổng Đơn'!$B46),0)</f>
        <v>0</v>
      </c>
      <c r="AG46" s="2">
        <f ca="1">IFERROR(SUMIFS(INDIRECT("'Thanh Toán ("&amp;AG$3&amp;")'!$F:$F"),INDIRECT("'Thanh Toán ("&amp;AG$3&amp;")'!$D:$D"),'Tổng Đơn'!$B46),0)</f>
        <v>0</v>
      </c>
      <c r="AH46" s="2">
        <f ca="1">IFERROR(SUMIFS(INDIRECT("'Thanh Toán ("&amp;AH$3&amp;")'!$F:$F"),INDIRECT("'Thanh Toán ("&amp;AH$3&amp;")'!$D:$D"),'Tổng Đơn'!$B46),0)</f>
        <v>0</v>
      </c>
      <c r="AI46" s="2">
        <f ca="1">IFERROR(SUMIFS(INDIRECT("'Thanh Toán ("&amp;AI$3&amp;")'!$F:$F"),INDIRECT("'Thanh Toán ("&amp;AI$3&amp;")'!$D:$D"),'Tổng Đơn'!$B46),0)</f>
        <v>0</v>
      </c>
      <c r="AJ46" s="2">
        <f ca="1">IFERROR(SUMIFS(INDIRECT("'Thanh Toán ("&amp;AJ$3&amp;")'!$F:$F"),INDIRECT("'Thanh Toán ("&amp;AJ$3&amp;")'!$D:$D"),'Tổng Đơn'!$B46),0)</f>
        <v>0</v>
      </c>
      <c r="AK46" s="2">
        <f ca="1">IFERROR(SUMIFS(INDIRECT("'Thanh Toán ("&amp;AK$3&amp;")'!$F:$F"),INDIRECT("'Thanh Toán ("&amp;AK$3&amp;")'!$D:$D"),'Tổng Đơn'!$B46),0)</f>
        <v>0</v>
      </c>
      <c r="AL46" s="2">
        <f ca="1">IFERROR(SUMIFS(INDIRECT("'Thanh Toán ("&amp;AL$3&amp;")'!$F:$F"),INDIRECT("'Thanh Toán ("&amp;AL$3&amp;")'!$D:$D"),'Tổng Đơn'!$B46),0)</f>
        <v>0</v>
      </c>
      <c r="AM46" s="2">
        <f ca="1">IFERROR(SUMIFS(INDIRECT("'Thanh Toán ("&amp;AM$3&amp;")'!$F:$F"),INDIRECT("'Thanh Toán ("&amp;AM$3&amp;")'!$D:$D"),'Tổng Đơn'!$B46),0)</f>
        <v>0</v>
      </c>
      <c r="AN46" s="2">
        <f ca="1">IFERROR(SUMIFS(INDIRECT("'Thanh Toán ("&amp;AN$3&amp;")'!$F:$F"),INDIRECT("'Thanh Toán ("&amp;AN$3&amp;")'!$D:$D"),'Tổng Đơn'!$B46),0)</f>
        <v>0</v>
      </c>
      <c r="AO46" s="2">
        <f ca="1">IFERROR(SUMIFS(INDIRECT("'Thanh Toán ("&amp;AO$3&amp;")'!$F:$F"),INDIRECT("'Thanh Toán ("&amp;AO$3&amp;")'!$D:$D"),'Tổng Đơn'!$B46),0)</f>
        <v>0</v>
      </c>
      <c r="AP46" s="2">
        <f ca="1">IFERROR(SUMIFS(INDIRECT("'Thanh Toán ("&amp;AP$3&amp;")'!$F:$F"),INDIRECT("'Thanh Toán ("&amp;AP$3&amp;")'!$D:$D"),'Tổng Đơn'!$B46),0)</f>
        <v>0</v>
      </c>
      <c r="AQ46" s="2">
        <f ca="1">IFERROR(SUMIFS(INDIRECT("'Thanh Toán ("&amp;AQ$3&amp;")'!$F:$F"),INDIRECT("'Thanh Toán ("&amp;AQ$3&amp;")'!$D:$D"),'Tổng Đơn'!$B46),0)</f>
        <v>0</v>
      </c>
      <c r="AR46" s="2">
        <f ca="1">IFERROR(SUMIFS(INDIRECT("'Thanh Toán ("&amp;AR$3&amp;")'!$F:$F"),INDIRECT("'Thanh Toán ("&amp;AR$3&amp;")'!$D:$D"),'Tổng Đơn'!$B46),0)</f>
        <v>0</v>
      </c>
      <c r="AS46" s="2">
        <f ca="1">IFERROR(SUMIFS(INDIRECT("'Thanh Toán ("&amp;AS$3&amp;")'!$F:$F"),INDIRECT("'Thanh Toán ("&amp;AS$3&amp;")'!$D:$D"),'Tổng Đơn'!$B46),0)</f>
        <v>0</v>
      </c>
      <c r="AT46" s="2">
        <f ca="1">IFERROR(SUMIFS(INDIRECT("'Thanh Toán ("&amp;AT$3&amp;")'!$F:$F"),INDIRECT("'Thanh Toán ("&amp;AT$3&amp;")'!$D:$D"),'Tổng Đơn'!$B46),0)</f>
        <v>0</v>
      </c>
      <c r="AU46" s="2">
        <f ca="1">IFERROR(SUMIFS(INDIRECT("'Thanh Toán ("&amp;AU$3&amp;")'!$F:$F"),INDIRECT("'Thanh Toán ("&amp;AU$3&amp;")'!$D:$D"),'Tổng Đơn'!$B46),0)</f>
        <v>0</v>
      </c>
      <c r="AV46" s="2">
        <f ca="1">IFERROR(SUMIFS(INDIRECT("'Thanh Toán ("&amp;AV$3&amp;")'!$F:$F"),INDIRECT("'Thanh Toán ("&amp;AV$3&amp;")'!$D:$D"),'Tổng Đơn'!$B46),0)</f>
        <v>0</v>
      </c>
      <c r="AW46" s="2">
        <f ca="1">IFERROR(SUMIFS(INDIRECT("'Thanh Toán ("&amp;AW$3&amp;")'!$F:$F"),INDIRECT("'Thanh Toán ("&amp;AW$3&amp;")'!$D:$D"),'Tổng Đơn'!$B46),0)</f>
        <v>0</v>
      </c>
      <c r="AX46" s="2">
        <f ca="1">IFERROR(SUMIFS(INDIRECT("'Thanh Toán ("&amp;AX$3&amp;")'!$F:$F"),INDIRECT("'Thanh Toán ("&amp;AX$3&amp;")'!$D:$D"),'Tổng Đơn'!$B46),0)</f>
        <v>0</v>
      </c>
      <c r="AY46" s="2">
        <f ca="1">IFERROR(SUMIFS(INDIRECT("'Thanh Toán ("&amp;AY$3&amp;")'!$F:$F"),INDIRECT("'Thanh Toán ("&amp;AY$3&amp;")'!$D:$D"),'Tổng Đơn'!$B46),0)</f>
        <v>0</v>
      </c>
      <c r="AZ46" s="2">
        <f ca="1">IFERROR(SUMIFS(INDIRECT("'Thanh Toán ("&amp;AZ$3&amp;")'!$F:$F"),INDIRECT("'Thanh Toán ("&amp;AZ$3&amp;")'!$D:$D"),'Tổng Đơn'!$B46),0)</f>
        <v>0</v>
      </c>
      <c r="BA46" s="2">
        <f ca="1">IFERROR(SUMIFS(INDIRECT("'Thanh Toán ("&amp;BA$3&amp;")'!$F:$F"),INDIRECT("'Thanh Toán ("&amp;BA$3&amp;")'!$D:$D"),'Tổng Đơn'!$B46),0)</f>
        <v>0</v>
      </c>
      <c r="BB46" s="2">
        <f ca="1">IFERROR(SUMIFS(INDIRECT("'Thanh Toán ("&amp;BB$3&amp;")'!$F:$F"),INDIRECT("'Thanh Toán ("&amp;BB$3&amp;")'!$D:$D"),'Tổng Đơn'!$B46),0)</f>
        <v>0</v>
      </c>
      <c r="BC46" s="2">
        <f ca="1">IFERROR(SUMIFS(INDIRECT("'Thanh Toán ("&amp;BC$3&amp;")'!$F:$F"),INDIRECT("'Thanh Toán ("&amp;BC$3&amp;")'!$D:$D"),'Tổng Đơn'!$B46),0)</f>
        <v>0</v>
      </c>
    </row>
    <row r="47" spans="1:55" ht="18" customHeight="1" x14ac:dyDescent="0.25">
      <c r="A47" s="167">
        <v>37</v>
      </c>
      <c r="B47" s="168" t="s">
        <v>42</v>
      </c>
      <c r="C47" s="167" t="s">
        <v>83</v>
      </c>
      <c r="D47" s="169">
        <f>VLOOKUP($C47,Sheet1!$C$8:$D$98,2,0)</f>
        <v>59000</v>
      </c>
      <c r="E47" s="170">
        <v>0.5</v>
      </c>
      <c r="F47" s="171">
        <f t="shared" ca="1" si="13"/>
        <v>0</v>
      </c>
      <c r="G47" s="172">
        <f>IFERROR(VLOOKUP($B47,Gà!C:J,8,0),IFERROR(VLOOKUP($B47,TVP!C:J,7,0),IFERROR(VLOOKUP($B47,Kitkool!C:J,8,0),IFERROR(VLOOKUP($B47,'La Cusina'!C:J,8,0),VLOOKUP($B47,'Quốc Nhân'!C:J,8,0)))))</f>
        <v>49.225220788601071</v>
      </c>
      <c r="H47" s="173">
        <f t="shared" ca="1" si="10"/>
        <v>0</v>
      </c>
      <c r="I47" s="195">
        <f t="shared" si="11"/>
        <v>0.19857258240398679</v>
      </c>
      <c r="J47" s="173">
        <f t="shared" ca="1" si="12"/>
        <v>0</v>
      </c>
      <c r="K47" s="38"/>
      <c r="L47" s="2">
        <f ca="1">IFERROR(SUMIFS(INDIRECT("'Thanh Toán ("&amp;L$3&amp;")'!$F:$F"),INDIRECT("'Thanh Toán ("&amp;L$3&amp;")'!$D:$D"),'Tổng Đơn'!$B47),0)</f>
        <v>0</v>
      </c>
      <c r="M47" s="2">
        <f ca="1">IFERROR(SUMIFS(INDIRECT("'Thanh Toán ("&amp;M$3&amp;")'!$F:$F"),INDIRECT("'Thanh Toán ("&amp;M$3&amp;")'!$D:$D"),'Tổng Đơn'!$B47),0)</f>
        <v>0</v>
      </c>
      <c r="N47" s="2">
        <f ca="1">IFERROR(SUMIFS(INDIRECT("'Thanh Toán ("&amp;N$3&amp;")'!$F:$F"),INDIRECT("'Thanh Toán ("&amp;N$3&amp;")'!$D:$D"),'Tổng Đơn'!$B47),0)</f>
        <v>0</v>
      </c>
      <c r="O47" s="2">
        <f ca="1">IFERROR(SUMIFS(INDIRECT("'Thanh Toán ("&amp;O$3&amp;")'!$F:$F"),INDIRECT("'Thanh Toán ("&amp;O$3&amp;")'!$D:$D"),'Tổng Đơn'!$B47),0)</f>
        <v>0</v>
      </c>
      <c r="P47" s="2">
        <f ca="1">IFERROR(SUMIFS(INDIRECT("'Thanh Toán ("&amp;P$3&amp;")'!$F:$F"),INDIRECT("'Thanh Toán ("&amp;P$3&amp;")'!$D:$D"),'Tổng Đơn'!$B47),0)</f>
        <v>0</v>
      </c>
      <c r="Q47" s="2">
        <f ca="1">IFERROR(SUMIFS(INDIRECT("'Thanh Toán ("&amp;Q$3&amp;")'!$F:$F"),INDIRECT("'Thanh Toán ("&amp;Q$3&amp;")'!$D:$D"),'Tổng Đơn'!$B47),0)</f>
        <v>0</v>
      </c>
      <c r="R47" s="2">
        <f ca="1">IFERROR(SUMIFS(INDIRECT("'Thanh Toán ("&amp;R$3&amp;")'!$F:$F"),INDIRECT("'Thanh Toán ("&amp;R$3&amp;")'!$D:$D"),'Tổng Đơn'!$B47),0)</f>
        <v>0</v>
      </c>
      <c r="S47" s="2">
        <f ca="1">IFERROR(SUMIFS(INDIRECT("'Thanh Toán ("&amp;S$3&amp;")'!$F:$F"),INDIRECT("'Thanh Toán ("&amp;S$3&amp;")'!$D:$D"),'Tổng Đơn'!$B47),0)</f>
        <v>0</v>
      </c>
      <c r="T47" s="2">
        <f ca="1">IFERROR(SUMIFS(INDIRECT("'Thanh Toán ("&amp;T$3&amp;")'!$F:$F"),INDIRECT("'Thanh Toán ("&amp;T$3&amp;")'!$D:$D"),'Tổng Đơn'!$B47),0)</f>
        <v>0</v>
      </c>
      <c r="U47" s="2">
        <f ca="1">IFERROR(SUMIFS(INDIRECT("'Thanh Toán ("&amp;U$3&amp;")'!$F:$F"),INDIRECT("'Thanh Toán ("&amp;U$3&amp;")'!$D:$D"),'Tổng Đơn'!$B47),0)</f>
        <v>0</v>
      </c>
      <c r="V47" s="2">
        <f ca="1">IFERROR(SUMIFS(INDIRECT("'Thanh Toán ("&amp;V$3&amp;")'!$F:$F"),INDIRECT("'Thanh Toán ("&amp;V$3&amp;")'!$D:$D"),'Tổng Đơn'!$B47),0)</f>
        <v>0</v>
      </c>
      <c r="W47" s="2">
        <f ca="1">IFERROR(SUMIFS(INDIRECT("'Thanh Toán ("&amp;W$3&amp;")'!$F:$F"),INDIRECT("'Thanh Toán ("&amp;W$3&amp;")'!$D:$D"),'Tổng Đơn'!$B47),0)</f>
        <v>0</v>
      </c>
      <c r="X47" s="2">
        <f ca="1">IFERROR(SUMIFS(INDIRECT("'Thanh Toán ("&amp;X$3&amp;")'!$F:$F"),INDIRECT("'Thanh Toán ("&amp;X$3&amp;")'!$D:$D"),'Tổng Đơn'!$B47),0)</f>
        <v>0</v>
      </c>
      <c r="Y47" s="2">
        <f ca="1">IFERROR(SUMIFS(INDIRECT("'Thanh Toán ("&amp;Y$3&amp;")'!$F:$F"),INDIRECT("'Thanh Toán ("&amp;Y$3&amp;")'!$D:$D"),'Tổng Đơn'!$B47),0)</f>
        <v>0</v>
      </c>
      <c r="Z47" s="2">
        <f ca="1">IFERROR(SUMIFS(INDIRECT("'Thanh Toán ("&amp;Z$3&amp;")'!$F:$F"),INDIRECT("'Thanh Toán ("&amp;Z$3&amp;")'!$D:$D"),'Tổng Đơn'!$B47),0)</f>
        <v>0</v>
      </c>
      <c r="AA47" s="2">
        <f ca="1">IFERROR(SUMIFS(INDIRECT("'Thanh Toán ("&amp;AA$3&amp;")'!$F:$F"),INDIRECT("'Thanh Toán ("&amp;AA$3&amp;")'!$D:$D"),'Tổng Đơn'!$B47),0)</f>
        <v>0</v>
      </c>
      <c r="AB47" s="2">
        <f ca="1">IFERROR(SUMIFS(INDIRECT("'Thanh Toán ("&amp;AB$3&amp;")'!$F:$F"),INDIRECT("'Thanh Toán ("&amp;AB$3&amp;")'!$D:$D"),'Tổng Đơn'!$B47),0)</f>
        <v>0</v>
      </c>
      <c r="AC47" s="2">
        <f ca="1">IFERROR(SUMIFS(INDIRECT("'Thanh Toán ("&amp;AC$3&amp;")'!$F:$F"),INDIRECT("'Thanh Toán ("&amp;AC$3&amp;")'!$D:$D"),'Tổng Đơn'!$B47),0)</f>
        <v>0</v>
      </c>
      <c r="AD47" s="2">
        <f ca="1">IFERROR(SUMIFS(INDIRECT("'Thanh Toán ("&amp;AD$3&amp;")'!$F:$F"),INDIRECT("'Thanh Toán ("&amp;AD$3&amp;")'!$D:$D"),'Tổng Đơn'!$B47),0)</f>
        <v>0</v>
      </c>
      <c r="AE47" s="2">
        <f ca="1">IFERROR(SUMIFS(INDIRECT("'Thanh Toán ("&amp;AE$3&amp;")'!$F:$F"),INDIRECT("'Thanh Toán ("&amp;AE$3&amp;")'!$D:$D"),'Tổng Đơn'!$B47),0)</f>
        <v>0</v>
      </c>
      <c r="AF47" s="2">
        <f ca="1">IFERROR(SUMIFS(INDIRECT("'Thanh Toán ("&amp;AF$3&amp;")'!$F:$F"),INDIRECT("'Thanh Toán ("&amp;AF$3&amp;")'!$D:$D"),'Tổng Đơn'!$B47),0)</f>
        <v>0</v>
      </c>
      <c r="AG47" s="2">
        <f ca="1">IFERROR(SUMIFS(INDIRECT("'Thanh Toán ("&amp;AG$3&amp;")'!$F:$F"),INDIRECT("'Thanh Toán ("&amp;AG$3&amp;")'!$D:$D"),'Tổng Đơn'!$B47),0)</f>
        <v>0</v>
      </c>
      <c r="AH47" s="2">
        <f ca="1">IFERROR(SUMIFS(INDIRECT("'Thanh Toán ("&amp;AH$3&amp;")'!$F:$F"),INDIRECT("'Thanh Toán ("&amp;AH$3&amp;")'!$D:$D"),'Tổng Đơn'!$B47),0)</f>
        <v>0</v>
      </c>
      <c r="AI47" s="2">
        <f ca="1">IFERROR(SUMIFS(INDIRECT("'Thanh Toán ("&amp;AI$3&amp;")'!$F:$F"),INDIRECT("'Thanh Toán ("&amp;AI$3&amp;")'!$D:$D"),'Tổng Đơn'!$B47),0)</f>
        <v>0</v>
      </c>
      <c r="AJ47" s="2">
        <f ca="1">IFERROR(SUMIFS(INDIRECT("'Thanh Toán ("&amp;AJ$3&amp;")'!$F:$F"),INDIRECT("'Thanh Toán ("&amp;AJ$3&amp;")'!$D:$D"),'Tổng Đơn'!$B47),0)</f>
        <v>0</v>
      </c>
      <c r="AK47" s="2">
        <f ca="1">IFERROR(SUMIFS(INDIRECT("'Thanh Toán ("&amp;AK$3&amp;")'!$F:$F"),INDIRECT("'Thanh Toán ("&amp;AK$3&amp;")'!$D:$D"),'Tổng Đơn'!$B47),0)</f>
        <v>0</v>
      </c>
      <c r="AL47" s="2">
        <f ca="1">IFERROR(SUMIFS(INDIRECT("'Thanh Toán ("&amp;AL$3&amp;")'!$F:$F"),INDIRECT("'Thanh Toán ("&amp;AL$3&amp;")'!$D:$D"),'Tổng Đơn'!$B47),0)</f>
        <v>0</v>
      </c>
      <c r="AM47" s="2">
        <f ca="1">IFERROR(SUMIFS(INDIRECT("'Thanh Toán ("&amp;AM$3&amp;")'!$F:$F"),INDIRECT("'Thanh Toán ("&amp;AM$3&amp;")'!$D:$D"),'Tổng Đơn'!$B47),0)</f>
        <v>0</v>
      </c>
      <c r="AN47" s="2">
        <f ca="1">IFERROR(SUMIFS(INDIRECT("'Thanh Toán ("&amp;AN$3&amp;")'!$F:$F"),INDIRECT("'Thanh Toán ("&amp;AN$3&amp;")'!$D:$D"),'Tổng Đơn'!$B47),0)</f>
        <v>0</v>
      </c>
      <c r="AO47" s="2">
        <f ca="1">IFERROR(SUMIFS(INDIRECT("'Thanh Toán ("&amp;AO$3&amp;")'!$F:$F"),INDIRECT("'Thanh Toán ("&amp;AO$3&amp;")'!$D:$D"),'Tổng Đơn'!$B47),0)</f>
        <v>0</v>
      </c>
      <c r="AP47" s="2">
        <f ca="1">IFERROR(SUMIFS(INDIRECT("'Thanh Toán ("&amp;AP$3&amp;")'!$F:$F"),INDIRECT("'Thanh Toán ("&amp;AP$3&amp;")'!$D:$D"),'Tổng Đơn'!$B47),0)</f>
        <v>0</v>
      </c>
      <c r="AQ47" s="2">
        <f ca="1">IFERROR(SUMIFS(INDIRECT("'Thanh Toán ("&amp;AQ$3&amp;")'!$F:$F"),INDIRECT("'Thanh Toán ("&amp;AQ$3&amp;")'!$D:$D"),'Tổng Đơn'!$B47),0)</f>
        <v>0</v>
      </c>
      <c r="AR47" s="2">
        <f ca="1">IFERROR(SUMIFS(INDIRECT("'Thanh Toán ("&amp;AR$3&amp;")'!$F:$F"),INDIRECT("'Thanh Toán ("&amp;AR$3&amp;")'!$D:$D"),'Tổng Đơn'!$B47),0)</f>
        <v>0</v>
      </c>
      <c r="AS47" s="2">
        <f ca="1">IFERROR(SUMIFS(INDIRECT("'Thanh Toán ("&amp;AS$3&amp;")'!$F:$F"),INDIRECT("'Thanh Toán ("&amp;AS$3&amp;")'!$D:$D"),'Tổng Đơn'!$B47),0)</f>
        <v>0</v>
      </c>
      <c r="AT47" s="2">
        <f ca="1">IFERROR(SUMIFS(INDIRECT("'Thanh Toán ("&amp;AT$3&amp;")'!$F:$F"),INDIRECT("'Thanh Toán ("&amp;AT$3&amp;")'!$D:$D"),'Tổng Đơn'!$B47),0)</f>
        <v>0</v>
      </c>
      <c r="AU47" s="2">
        <f ca="1">IFERROR(SUMIFS(INDIRECT("'Thanh Toán ("&amp;AU$3&amp;")'!$F:$F"),INDIRECT("'Thanh Toán ("&amp;AU$3&amp;")'!$D:$D"),'Tổng Đơn'!$B47),0)</f>
        <v>0</v>
      </c>
      <c r="AV47" s="2">
        <f ca="1">IFERROR(SUMIFS(INDIRECT("'Thanh Toán ("&amp;AV$3&amp;")'!$F:$F"),INDIRECT("'Thanh Toán ("&amp;AV$3&amp;")'!$D:$D"),'Tổng Đơn'!$B47),0)</f>
        <v>0</v>
      </c>
      <c r="AW47" s="2">
        <f ca="1">IFERROR(SUMIFS(INDIRECT("'Thanh Toán ("&amp;AW$3&amp;")'!$F:$F"),INDIRECT("'Thanh Toán ("&amp;AW$3&amp;")'!$D:$D"),'Tổng Đơn'!$B47),0)</f>
        <v>0</v>
      </c>
      <c r="AX47" s="2">
        <f ca="1">IFERROR(SUMIFS(INDIRECT("'Thanh Toán ("&amp;AX$3&amp;")'!$F:$F"),INDIRECT("'Thanh Toán ("&amp;AX$3&amp;")'!$D:$D"),'Tổng Đơn'!$B47),0)</f>
        <v>0</v>
      </c>
      <c r="AY47" s="2">
        <f ca="1">IFERROR(SUMIFS(INDIRECT("'Thanh Toán ("&amp;AY$3&amp;")'!$F:$F"),INDIRECT("'Thanh Toán ("&amp;AY$3&amp;")'!$D:$D"),'Tổng Đơn'!$B47),0)</f>
        <v>0</v>
      </c>
      <c r="AZ47" s="2">
        <f ca="1">IFERROR(SUMIFS(INDIRECT("'Thanh Toán ("&amp;AZ$3&amp;")'!$F:$F"),INDIRECT("'Thanh Toán ("&amp;AZ$3&amp;")'!$D:$D"),'Tổng Đơn'!$B47),0)</f>
        <v>0</v>
      </c>
      <c r="BA47" s="2">
        <f ca="1">IFERROR(SUMIFS(INDIRECT("'Thanh Toán ("&amp;BA$3&amp;")'!$F:$F"),INDIRECT("'Thanh Toán ("&amp;BA$3&amp;")'!$D:$D"),'Tổng Đơn'!$B47),0)</f>
        <v>0</v>
      </c>
      <c r="BB47" s="2">
        <f ca="1">IFERROR(SUMIFS(INDIRECT("'Thanh Toán ("&amp;BB$3&amp;")'!$F:$F"),INDIRECT("'Thanh Toán ("&amp;BB$3&amp;")'!$D:$D"),'Tổng Đơn'!$B47),0)</f>
        <v>0</v>
      </c>
      <c r="BC47" s="2">
        <f ca="1">IFERROR(SUMIFS(INDIRECT("'Thanh Toán ("&amp;BC$3&amp;")'!$F:$F"),INDIRECT("'Thanh Toán ("&amp;BC$3&amp;")'!$D:$D"),'Tổng Đơn'!$B47),0)</f>
        <v>0</v>
      </c>
    </row>
    <row r="48" spans="1:55" ht="18" customHeight="1" x14ac:dyDescent="0.25">
      <c r="A48" s="174">
        <v>38</v>
      </c>
      <c r="B48" s="168" t="s">
        <v>248</v>
      </c>
      <c r="C48" s="174" t="s">
        <v>84</v>
      </c>
      <c r="D48" s="169">
        <f>VLOOKUP($C48,Sheet1!$C$8:$D$98,2,0)</f>
        <v>40000</v>
      </c>
      <c r="E48" s="170">
        <v>0.5</v>
      </c>
      <c r="F48" s="171">
        <f t="shared" ca="1" si="13"/>
        <v>0</v>
      </c>
      <c r="G48" s="172">
        <f>IFERROR(VLOOKUP($B48,Gà!C:J,8,0),IFERROR(VLOOKUP($B48,TVP!C:J,7,0),IFERROR(VLOOKUP($B48,Kitkool!C:J,8,0),IFERROR(VLOOKUP($B48,'La Cusina'!C:J,8,0),VLOOKUP($B48,'Quốc Nhân'!C:J,8,0)))))</f>
        <v>31.835006504157004</v>
      </c>
      <c r="H48" s="173">
        <f t="shared" ca="1" si="10"/>
        <v>0</v>
      </c>
      <c r="I48" s="195">
        <f t="shared" si="11"/>
        <v>0.25647846168263899</v>
      </c>
      <c r="J48" s="173">
        <f t="shared" ca="1" si="12"/>
        <v>0</v>
      </c>
      <c r="K48" s="38"/>
      <c r="L48" s="2">
        <f ca="1">IFERROR(SUMIFS(INDIRECT("'Thanh Toán ("&amp;L$3&amp;")'!$F:$F"),INDIRECT("'Thanh Toán ("&amp;L$3&amp;")'!$D:$D"),'Tổng Đơn'!$B48),0)</f>
        <v>0</v>
      </c>
      <c r="M48" s="2">
        <f ca="1">IFERROR(SUMIFS(INDIRECT("'Thanh Toán ("&amp;M$3&amp;")'!$F:$F"),INDIRECT("'Thanh Toán ("&amp;M$3&amp;")'!$D:$D"),'Tổng Đơn'!$B48),0)</f>
        <v>0</v>
      </c>
      <c r="N48" s="2">
        <f ca="1">IFERROR(SUMIFS(INDIRECT("'Thanh Toán ("&amp;N$3&amp;")'!$F:$F"),INDIRECT("'Thanh Toán ("&amp;N$3&amp;")'!$D:$D"),'Tổng Đơn'!$B48),0)</f>
        <v>0</v>
      </c>
      <c r="O48" s="2">
        <f ca="1">IFERROR(SUMIFS(INDIRECT("'Thanh Toán ("&amp;O$3&amp;")'!$F:$F"),INDIRECT("'Thanh Toán ("&amp;O$3&amp;")'!$D:$D"),'Tổng Đơn'!$B48),0)</f>
        <v>0</v>
      </c>
      <c r="P48" s="2">
        <f ca="1">IFERROR(SUMIFS(INDIRECT("'Thanh Toán ("&amp;P$3&amp;")'!$F:$F"),INDIRECT("'Thanh Toán ("&amp;P$3&amp;")'!$D:$D"),'Tổng Đơn'!$B48),0)</f>
        <v>0</v>
      </c>
      <c r="Q48" s="2">
        <f ca="1">IFERROR(SUMIFS(INDIRECT("'Thanh Toán ("&amp;Q$3&amp;")'!$F:$F"),INDIRECT("'Thanh Toán ("&amp;Q$3&amp;")'!$D:$D"),'Tổng Đơn'!$B48),0)</f>
        <v>0</v>
      </c>
      <c r="R48" s="2">
        <f ca="1">IFERROR(SUMIFS(INDIRECT("'Thanh Toán ("&amp;R$3&amp;")'!$F:$F"),INDIRECT("'Thanh Toán ("&amp;R$3&amp;")'!$D:$D"),'Tổng Đơn'!$B48),0)</f>
        <v>0</v>
      </c>
      <c r="S48" s="2">
        <f ca="1">IFERROR(SUMIFS(INDIRECT("'Thanh Toán ("&amp;S$3&amp;")'!$F:$F"),INDIRECT("'Thanh Toán ("&amp;S$3&amp;")'!$D:$D"),'Tổng Đơn'!$B48),0)</f>
        <v>0</v>
      </c>
      <c r="T48" s="2">
        <f ca="1">IFERROR(SUMIFS(INDIRECT("'Thanh Toán ("&amp;T$3&amp;")'!$F:$F"),INDIRECT("'Thanh Toán ("&amp;T$3&amp;")'!$D:$D"),'Tổng Đơn'!$B48),0)</f>
        <v>0</v>
      </c>
      <c r="U48" s="2">
        <f ca="1">IFERROR(SUMIFS(INDIRECT("'Thanh Toán ("&amp;U$3&amp;")'!$F:$F"),INDIRECT("'Thanh Toán ("&amp;U$3&amp;")'!$D:$D"),'Tổng Đơn'!$B48),0)</f>
        <v>0</v>
      </c>
      <c r="V48" s="2">
        <f ca="1">IFERROR(SUMIFS(INDIRECT("'Thanh Toán ("&amp;V$3&amp;")'!$F:$F"),INDIRECT("'Thanh Toán ("&amp;V$3&amp;")'!$D:$D"),'Tổng Đơn'!$B48),0)</f>
        <v>0</v>
      </c>
      <c r="W48" s="2">
        <f ca="1">IFERROR(SUMIFS(INDIRECT("'Thanh Toán ("&amp;W$3&amp;")'!$F:$F"),INDIRECT("'Thanh Toán ("&amp;W$3&amp;")'!$D:$D"),'Tổng Đơn'!$B48),0)</f>
        <v>0</v>
      </c>
      <c r="X48" s="2">
        <f ca="1">IFERROR(SUMIFS(INDIRECT("'Thanh Toán ("&amp;X$3&amp;")'!$F:$F"),INDIRECT("'Thanh Toán ("&amp;X$3&amp;")'!$D:$D"),'Tổng Đơn'!$B48),0)</f>
        <v>0</v>
      </c>
      <c r="Y48" s="2">
        <f ca="1">IFERROR(SUMIFS(INDIRECT("'Thanh Toán ("&amp;Y$3&amp;")'!$F:$F"),INDIRECT("'Thanh Toán ("&amp;Y$3&amp;")'!$D:$D"),'Tổng Đơn'!$B48),0)</f>
        <v>0</v>
      </c>
      <c r="Z48" s="2">
        <f ca="1">IFERROR(SUMIFS(INDIRECT("'Thanh Toán ("&amp;Z$3&amp;")'!$F:$F"),INDIRECT("'Thanh Toán ("&amp;Z$3&amp;")'!$D:$D"),'Tổng Đơn'!$B48),0)</f>
        <v>0</v>
      </c>
      <c r="AA48" s="2">
        <f ca="1">IFERROR(SUMIFS(INDIRECT("'Thanh Toán ("&amp;AA$3&amp;")'!$F:$F"),INDIRECT("'Thanh Toán ("&amp;AA$3&amp;")'!$D:$D"),'Tổng Đơn'!$B48),0)</f>
        <v>0</v>
      </c>
      <c r="AB48" s="2">
        <f ca="1">IFERROR(SUMIFS(INDIRECT("'Thanh Toán ("&amp;AB$3&amp;")'!$F:$F"),INDIRECT("'Thanh Toán ("&amp;AB$3&amp;")'!$D:$D"),'Tổng Đơn'!$B48),0)</f>
        <v>0</v>
      </c>
      <c r="AC48" s="2">
        <f ca="1">IFERROR(SUMIFS(INDIRECT("'Thanh Toán ("&amp;AC$3&amp;")'!$F:$F"),INDIRECT("'Thanh Toán ("&amp;AC$3&amp;")'!$D:$D"),'Tổng Đơn'!$B48),0)</f>
        <v>0</v>
      </c>
      <c r="AD48" s="2">
        <f ca="1">IFERROR(SUMIFS(INDIRECT("'Thanh Toán ("&amp;AD$3&amp;")'!$F:$F"),INDIRECT("'Thanh Toán ("&amp;AD$3&amp;")'!$D:$D"),'Tổng Đơn'!$B48),0)</f>
        <v>0</v>
      </c>
      <c r="AE48" s="2">
        <f ca="1">IFERROR(SUMIFS(INDIRECT("'Thanh Toán ("&amp;AE$3&amp;")'!$F:$F"),INDIRECT("'Thanh Toán ("&amp;AE$3&amp;")'!$D:$D"),'Tổng Đơn'!$B48),0)</f>
        <v>0</v>
      </c>
      <c r="AF48" s="2">
        <f ca="1">IFERROR(SUMIFS(INDIRECT("'Thanh Toán ("&amp;AF$3&amp;")'!$F:$F"),INDIRECT("'Thanh Toán ("&amp;AF$3&amp;")'!$D:$D"),'Tổng Đơn'!$B48),0)</f>
        <v>0</v>
      </c>
      <c r="AG48" s="2">
        <f ca="1">IFERROR(SUMIFS(INDIRECT("'Thanh Toán ("&amp;AG$3&amp;")'!$F:$F"),INDIRECT("'Thanh Toán ("&amp;AG$3&amp;")'!$D:$D"),'Tổng Đơn'!$B48),0)</f>
        <v>0</v>
      </c>
      <c r="AH48" s="2">
        <f ca="1">IFERROR(SUMIFS(INDIRECT("'Thanh Toán ("&amp;AH$3&amp;")'!$F:$F"),INDIRECT("'Thanh Toán ("&amp;AH$3&amp;")'!$D:$D"),'Tổng Đơn'!$B48),0)</f>
        <v>0</v>
      </c>
      <c r="AI48" s="2">
        <f ca="1">IFERROR(SUMIFS(INDIRECT("'Thanh Toán ("&amp;AI$3&amp;")'!$F:$F"),INDIRECT("'Thanh Toán ("&amp;AI$3&amp;")'!$D:$D"),'Tổng Đơn'!$B48),0)</f>
        <v>0</v>
      </c>
      <c r="AJ48" s="2">
        <f ca="1">IFERROR(SUMIFS(INDIRECT("'Thanh Toán ("&amp;AJ$3&amp;")'!$F:$F"),INDIRECT("'Thanh Toán ("&amp;AJ$3&amp;")'!$D:$D"),'Tổng Đơn'!$B48),0)</f>
        <v>0</v>
      </c>
      <c r="AK48" s="2">
        <f ca="1">IFERROR(SUMIFS(INDIRECT("'Thanh Toán ("&amp;AK$3&amp;")'!$F:$F"),INDIRECT("'Thanh Toán ("&amp;AK$3&amp;")'!$D:$D"),'Tổng Đơn'!$B48),0)</f>
        <v>0</v>
      </c>
      <c r="AL48" s="2">
        <f ca="1">IFERROR(SUMIFS(INDIRECT("'Thanh Toán ("&amp;AL$3&amp;")'!$F:$F"),INDIRECT("'Thanh Toán ("&amp;AL$3&amp;")'!$D:$D"),'Tổng Đơn'!$B48),0)</f>
        <v>0</v>
      </c>
      <c r="AM48" s="2">
        <f ca="1">IFERROR(SUMIFS(INDIRECT("'Thanh Toán ("&amp;AM$3&amp;")'!$F:$F"),INDIRECT("'Thanh Toán ("&amp;AM$3&amp;")'!$D:$D"),'Tổng Đơn'!$B48),0)</f>
        <v>0</v>
      </c>
      <c r="AN48" s="2">
        <f ca="1">IFERROR(SUMIFS(INDIRECT("'Thanh Toán ("&amp;AN$3&amp;")'!$F:$F"),INDIRECT("'Thanh Toán ("&amp;AN$3&amp;")'!$D:$D"),'Tổng Đơn'!$B48),0)</f>
        <v>0</v>
      </c>
      <c r="AO48" s="2">
        <f ca="1">IFERROR(SUMIFS(INDIRECT("'Thanh Toán ("&amp;AO$3&amp;")'!$F:$F"),INDIRECT("'Thanh Toán ("&amp;AO$3&amp;")'!$D:$D"),'Tổng Đơn'!$B48),0)</f>
        <v>0</v>
      </c>
      <c r="AP48" s="2">
        <f ca="1">IFERROR(SUMIFS(INDIRECT("'Thanh Toán ("&amp;AP$3&amp;")'!$F:$F"),INDIRECT("'Thanh Toán ("&amp;AP$3&amp;")'!$D:$D"),'Tổng Đơn'!$B48),0)</f>
        <v>0</v>
      </c>
      <c r="AQ48" s="2">
        <f ca="1">IFERROR(SUMIFS(INDIRECT("'Thanh Toán ("&amp;AQ$3&amp;")'!$F:$F"),INDIRECT("'Thanh Toán ("&amp;AQ$3&amp;")'!$D:$D"),'Tổng Đơn'!$B48),0)</f>
        <v>0</v>
      </c>
      <c r="AR48" s="2">
        <f ca="1">IFERROR(SUMIFS(INDIRECT("'Thanh Toán ("&amp;AR$3&amp;")'!$F:$F"),INDIRECT("'Thanh Toán ("&amp;AR$3&amp;")'!$D:$D"),'Tổng Đơn'!$B48),0)</f>
        <v>0</v>
      </c>
      <c r="AS48" s="2">
        <f ca="1">IFERROR(SUMIFS(INDIRECT("'Thanh Toán ("&amp;AS$3&amp;")'!$F:$F"),INDIRECT("'Thanh Toán ("&amp;AS$3&amp;")'!$D:$D"),'Tổng Đơn'!$B48),0)</f>
        <v>0</v>
      </c>
      <c r="AT48" s="2">
        <f ca="1">IFERROR(SUMIFS(INDIRECT("'Thanh Toán ("&amp;AT$3&amp;")'!$F:$F"),INDIRECT("'Thanh Toán ("&amp;AT$3&amp;")'!$D:$D"),'Tổng Đơn'!$B48),0)</f>
        <v>0</v>
      </c>
      <c r="AU48" s="2">
        <f ca="1">IFERROR(SUMIFS(INDIRECT("'Thanh Toán ("&amp;AU$3&amp;")'!$F:$F"),INDIRECT("'Thanh Toán ("&amp;AU$3&amp;")'!$D:$D"),'Tổng Đơn'!$B48),0)</f>
        <v>0</v>
      </c>
      <c r="AV48" s="2">
        <f ca="1">IFERROR(SUMIFS(INDIRECT("'Thanh Toán ("&amp;AV$3&amp;")'!$F:$F"),INDIRECT("'Thanh Toán ("&amp;AV$3&amp;")'!$D:$D"),'Tổng Đơn'!$B48),0)</f>
        <v>0</v>
      </c>
      <c r="AW48" s="2">
        <f ca="1">IFERROR(SUMIFS(INDIRECT("'Thanh Toán ("&amp;AW$3&amp;")'!$F:$F"),INDIRECT("'Thanh Toán ("&amp;AW$3&amp;")'!$D:$D"),'Tổng Đơn'!$B48),0)</f>
        <v>0</v>
      </c>
      <c r="AX48" s="2">
        <f ca="1">IFERROR(SUMIFS(INDIRECT("'Thanh Toán ("&amp;AX$3&amp;")'!$F:$F"),INDIRECT("'Thanh Toán ("&amp;AX$3&amp;")'!$D:$D"),'Tổng Đơn'!$B48),0)</f>
        <v>0</v>
      </c>
      <c r="AY48" s="2">
        <f ca="1">IFERROR(SUMIFS(INDIRECT("'Thanh Toán ("&amp;AY$3&amp;")'!$F:$F"),INDIRECT("'Thanh Toán ("&amp;AY$3&amp;")'!$D:$D"),'Tổng Đơn'!$B48),0)</f>
        <v>0</v>
      </c>
      <c r="AZ48" s="2">
        <f ca="1">IFERROR(SUMIFS(INDIRECT("'Thanh Toán ("&amp;AZ$3&amp;")'!$F:$F"),INDIRECT("'Thanh Toán ("&amp;AZ$3&amp;")'!$D:$D"),'Tổng Đơn'!$B48),0)</f>
        <v>0</v>
      </c>
      <c r="BA48" s="2">
        <f ca="1">IFERROR(SUMIFS(INDIRECT("'Thanh Toán ("&amp;BA$3&amp;")'!$F:$F"),INDIRECT("'Thanh Toán ("&amp;BA$3&amp;")'!$D:$D"),'Tổng Đơn'!$B48),0)</f>
        <v>0</v>
      </c>
      <c r="BB48" s="2">
        <f ca="1">IFERROR(SUMIFS(INDIRECT("'Thanh Toán ("&amp;BB$3&amp;")'!$F:$F"),INDIRECT("'Thanh Toán ("&amp;BB$3&amp;")'!$D:$D"),'Tổng Đơn'!$B48),0)</f>
        <v>0</v>
      </c>
      <c r="BC48" s="2">
        <f ca="1">IFERROR(SUMIFS(INDIRECT("'Thanh Toán ("&amp;BC$3&amp;")'!$F:$F"),INDIRECT("'Thanh Toán ("&amp;BC$3&amp;")'!$D:$D"),'Tổng Đơn'!$B48),0)</f>
        <v>0</v>
      </c>
    </row>
    <row r="49" spans="1:55" ht="18" customHeight="1" x14ac:dyDescent="0.25">
      <c r="A49" s="167">
        <v>39</v>
      </c>
      <c r="B49" s="168" t="s">
        <v>120</v>
      </c>
      <c r="C49" s="167" t="s">
        <v>85</v>
      </c>
      <c r="D49" s="169">
        <f>VLOOKUP($C49,Sheet1!$C$8:$D$98,2,0)</f>
        <v>35000</v>
      </c>
      <c r="E49" s="170">
        <v>0.5</v>
      </c>
      <c r="F49" s="171">
        <f t="shared" ca="1" si="13"/>
        <v>0</v>
      </c>
      <c r="G49" s="172">
        <f>IFERROR(VLOOKUP($B49,Gà!C:J,8,0),IFERROR(VLOOKUP($B49,TVP!C:J,7,0),IFERROR(VLOOKUP($B49,Kitkool!C:J,8,0),IFERROR(VLOOKUP($B49,'La Cusina'!C:J,8,0),VLOOKUP($B49,'Quốc Nhân'!C:J,8,0)))))</f>
        <v>22.079117414173407</v>
      </c>
      <c r="H49" s="173">
        <f t="shared" ca="1" si="10"/>
        <v>0</v>
      </c>
      <c r="I49" s="195">
        <f t="shared" si="11"/>
        <v>0.58520829177402689</v>
      </c>
      <c r="J49" s="173">
        <f t="shared" ca="1" si="12"/>
        <v>0</v>
      </c>
      <c r="K49" s="38"/>
      <c r="L49" s="2">
        <f ca="1">IFERROR(SUMIFS(INDIRECT("'Thanh Toán ("&amp;L$3&amp;")'!$F:$F"),INDIRECT("'Thanh Toán ("&amp;L$3&amp;")'!$D:$D"),'Tổng Đơn'!$B49),0)</f>
        <v>0</v>
      </c>
      <c r="M49" s="2">
        <f ca="1">IFERROR(SUMIFS(INDIRECT("'Thanh Toán ("&amp;M$3&amp;")'!$F:$F"),INDIRECT("'Thanh Toán ("&amp;M$3&amp;")'!$D:$D"),'Tổng Đơn'!$B49),0)</f>
        <v>0</v>
      </c>
      <c r="N49" s="2">
        <f ca="1">IFERROR(SUMIFS(INDIRECT("'Thanh Toán ("&amp;N$3&amp;")'!$F:$F"),INDIRECT("'Thanh Toán ("&amp;N$3&amp;")'!$D:$D"),'Tổng Đơn'!$B49),0)</f>
        <v>0</v>
      </c>
      <c r="O49" s="2">
        <f ca="1">IFERROR(SUMIFS(INDIRECT("'Thanh Toán ("&amp;O$3&amp;")'!$F:$F"),INDIRECT("'Thanh Toán ("&amp;O$3&amp;")'!$D:$D"),'Tổng Đơn'!$B49),0)</f>
        <v>0</v>
      </c>
      <c r="P49" s="2">
        <f ca="1">IFERROR(SUMIFS(INDIRECT("'Thanh Toán ("&amp;P$3&amp;")'!$F:$F"),INDIRECT("'Thanh Toán ("&amp;P$3&amp;")'!$D:$D"),'Tổng Đơn'!$B49),0)</f>
        <v>0</v>
      </c>
      <c r="Q49" s="2">
        <f ca="1">IFERROR(SUMIFS(INDIRECT("'Thanh Toán ("&amp;Q$3&amp;")'!$F:$F"),INDIRECT("'Thanh Toán ("&amp;Q$3&amp;")'!$D:$D"),'Tổng Đơn'!$B49),0)</f>
        <v>0</v>
      </c>
      <c r="R49" s="2">
        <f ca="1">IFERROR(SUMIFS(INDIRECT("'Thanh Toán ("&amp;R$3&amp;")'!$F:$F"),INDIRECT("'Thanh Toán ("&amp;R$3&amp;")'!$D:$D"),'Tổng Đơn'!$B49),0)</f>
        <v>0</v>
      </c>
      <c r="S49" s="2">
        <f ca="1">IFERROR(SUMIFS(INDIRECT("'Thanh Toán ("&amp;S$3&amp;")'!$F:$F"),INDIRECT("'Thanh Toán ("&amp;S$3&amp;")'!$D:$D"),'Tổng Đơn'!$B49),0)</f>
        <v>0</v>
      </c>
      <c r="T49" s="2">
        <f ca="1">IFERROR(SUMIFS(INDIRECT("'Thanh Toán ("&amp;T$3&amp;")'!$F:$F"),INDIRECT("'Thanh Toán ("&amp;T$3&amp;")'!$D:$D"),'Tổng Đơn'!$B49),0)</f>
        <v>0</v>
      </c>
      <c r="U49" s="2">
        <f ca="1">IFERROR(SUMIFS(INDIRECT("'Thanh Toán ("&amp;U$3&amp;")'!$F:$F"),INDIRECT("'Thanh Toán ("&amp;U$3&amp;")'!$D:$D"),'Tổng Đơn'!$B49),0)</f>
        <v>0</v>
      </c>
      <c r="V49" s="2">
        <f ca="1">IFERROR(SUMIFS(INDIRECT("'Thanh Toán ("&amp;V$3&amp;")'!$F:$F"),INDIRECT("'Thanh Toán ("&amp;V$3&amp;")'!$D:$D"),'Tổng Đơn'!$B49),0)</f>
        <v>0</v>
      </c>
      <c r="W49" s="2">
        <f ca="1">IFERROR(SUMIFS(INDIRECT("'Thanh Toán ("&amp;W$3&amp;")'!$F:$F"),INDIRECT("'Thanh Toán ("&amp;W$3&amp;")'!$D:$D"),'Tổng Đơn'!$B49),0)</f>
        <v>0</v>
      </c>
      <c r="X49" s="2">
        <f ca="1">IFERROR(SUMIFS(INDIRECT("'Thanh Toán ("&amp;X$3&amp;")'!$F:$F"),INDIRECT("'Thanh Toán ("&amp;X$3&amp;")'!$D:$D"),'Tổng Đơn'!$B49),0)</f>
        <v>0</v>
      </c>
      <c r="Y49" s="2">
        <f ca="1">IFERROR(SUMIFS(INDIRECT("'Thanh Toán ("&amp;Y$3&amp;")'!$F:$F"),INDIRECT("'Thanh Toán ("&amp;Y$3&amp;")'!$D:$D"),'Tổng Đơn'!$B49),0)</f>
        <v>0</v>
      </c>
      <c r="Z49" s="2">
        <f ca="1">IFERROR(SUMIFS(INDIRECT("'Thanh Toán ("&amp;Z$3&amp;")'!$F:$F"),INDIRECT("'Thanh Toán ("&amp;Z$3&amp;")'!$D:$D"),'Tổng Đơn'!$B49),0)</f>
        <v>0</v>
      </c>
      <c r="AA49" s="2">
        <f ca="1">IFERROR(SUMIFS(INDIRECT("'Thanh Toán ("&amp;AA$3&amp;")'!$F:$F"),INDIRECT("'Thanh Toán ("&amp;AA$3&amp;")'!$D:$D"),'Tổng Đơn'!$B49),0)</f>
        <v>0</v>
      </c>
      <c r="AB49" s="2">
        <f ca="1">IFERROR(SUMIFS(INDIRECT("'Thanh Toán ("&amp;AB$3&amp;")'!$F:$F"),INDIRECT("'Thanh Toán ("&amp;AB$3&amp;")'!$D:$D"),'Tổng Đơn'!$B49),0)</f>
        <v>0</v>
      </c>
      <c r="AC49" s="2">
        <f ca="1">IFERROR(SUMIFS(INDIRECT("'Thanh Toán ("&amp;AC$3&amp;")'!$F:$F"),INDIRECT("'Thanh Toán ("&amp;AC$3&amp;")'!$D:$D"),'Tổng Đơn'!$B49),0)</f>
        <v>0</v>
      </c>
      <c r="AD49" s="2">
        <f ca="1">IFERROR(SUMIFS(INDIRECT("'Thanh Toán ("&amp;AD$3&amp;")'!$F:$F"),INDIRECT("'Thanh Toán ("&amp;AD$3&amp;")'!$D:$D"),'Tổng Đơn'!$B49),0)</f>
        <v>0</v>
      </c>
      <c r="AE49" s="2">
        <f ca="1">IFERROR(SUMIFS(INDIRECT("'Thanh Toán ("&amp;AE$3&amp;")'!$F:$F"),INDIRECT("'Thanh Toán ("&amp;AE$3&amp;")'!$D:$D"),'Tổng Đơn'!$B49),0)</f>
        <v>0</v>
      </c>
      <c r="AF49" s="2">
        <f ca="1">IFERROR(SUMIFS(INDIRECT("'Thanh Toán ("&amp;AF$3&amp;")'!$F:$F"),INDIRECT("'Thanh Toán ("&amp;AF$3&amp;")'!$D:$D"),'Tổng Đơn'!$B49),0)</f>
        <v>0</v>
      </c>
      <c r="AG49" s="2">
        <f ca="1">IFERROR(SUMIFS(INDIRECT("'Thanh Toán ("&amp;AG$3&amp;")'!$F:$F"),INDIRECT("'Thanh Toán ("&amp;AG$3&amp;")'!$D:$D"),'Tổng Đơn'!$B49),0)</f>
        <v>0</v>
      </c>
      <c r="AH49" s="2">
        <f ca="1">IFERROR(SUMIFS(INDIRECT("'Thanh Toán ("&amp;AH$3&amp;")'!$F:$F"),INDIRECT("'Thanh Toán ("&amp;AH$3&amp;")'!$D:$D"),'Tổng Đơn'!$B49),0)</f>
        <v>0</v>
      </c>
      <c r="AI49" s="2">
        <f ca="1">IFERROR(SUMIFS(INDIRECT("'Thanh Toán ("&amp;AI$3&amp;")'!$F:$F"),INDIRECT("'Thanh Toán ("&amp;AI$3&amp;")'!$D:$D"),'Tổng Đơn'!$B49),0)</f>
        <v>0</v>
      </c>
      <c r="AJ49" s="2">
        <f ca="1">IFERROR(SUMIFS(INDIRECT("'Thanh Toán ("&amp;AJ$3&amp;")'!$F:$F"),INDIRECT("'Thanh Toán ("&amp;AJ$3&amp;")'!$D:$D"),'Tổng Đơn'!$B49),0)</f>
        <v>0</v>
      </c>
      <c r="AK49" s="2">
        <f ca="1">IFERROR(SUMIFS(INDIRECT("'Thanh Toán ("&amp;AK$3&amp;")'!$F:$F"),INDIRECT("'Thanh Toán ("&amp;AK$3&amp;")'!$D:$D"),'Tổng Đơn'!$B49),0)</f>
        <v>0</v>
      </c>
      <c r="AL49" s="2">
        <f ca="1">IFERROR(SUMIFS(INDIRECT("'Thanh Toán ("&amp;AL$3&amp;")'!$F:$F"),INDIRECT("'Thanh Toán ("&amp;AL$3&amp;")'!$D:$D"),'Tổng Đơn'!$B49),0)</f>
        <v>0</v>
      </c>
      <c r="AM49" s="2">
        <f ca="1">IFERROR(SUMIFS(INDIRECT("'Thanh Toán ("&amp;AM$3&amp;")'!$F:$F"),INDIRECT("'Thanh Toán ("&amp;AM$3&amp;")'!$D:$D"),'Tổng Đơn'!$B49),0)</f>
        <v>0</v>
      </c>
      <c r="AN49" s="2">
        <f ca="1">IFERROR(SUMIFS(INDIRECT("'Thanh Toán ("&amp;AN$3&amp;")'!$F:$F"),INDIRECT("'Thanh Toán ("&amp;AN$3&amp;")'!$D:$D"),'Tổng Đơn'!$B49),0)</f>
        <v>0</v>
      </c>
      <c r="AO49" s="2">
        <f ca="1">IFERROR(SUMIFS(INDIRECT("'Thanh Toán ("&amp;AO$3&amp;")'!$F:$F"),INDIRECT("'Thanh Toán ("&amp;AO$3&amp;")'!$D:$D"),'Tổng Đơn'!$B49),0)</f>
        <v>0</v>
      </c>
      <c r="AP49" s="2">
        <f ca="1">IFERROR(SUMIFS(INDIRECT("'Thanh Toán ("&amp;AP$3&amp;")'!$F:$F"),INDIRECT("'Thanh Toán ("&amp;AP$3&amp;")'!$D:$D"),'Tổng Đơn'!$B49),0)</f>
        <v>0</v>
      </c>
      <c r="AQ49" s="2">
        <f ca="1">IFERROR(SUMIFS(INDIRECT("'Thanh Toán ("&amp;AQ$3&amp;")'!$F:$F"),INDIRECT("'Thanh Toán ("&amp;AQ$3&amp;")'!$D:$D"),'Tổng Đơn'!$B49),0)</f>
        <v>0</v>
      </c>
      <c r="AR49" s="2">
        <f ca="1">IFERROR(SUMIFS(INDIRECT("'Thanh Toán ("&amp;AR$3&amp;")'!$F:$F"),INDIRECT("'Thanh Toán ("&amp;AR$3&amp;")'!$D:$D"),'Tổng Đơn'!$B49),0)</f>
        <v>0</v>
      </c>
      <c r="AS49" s="2">
        <f ca="1">IFERROR(SUMIFS(INDIRECT("'Thanh Toán ("&amp;AS$3&amp;")'!$F:$F"),INDIRECT("'Thanh Toán ("&amp;AS$3&amp;")'!$D:$D"),'Tổng Đơn'!$B49),0)</f>
        <v>0</v>
      </c>
      <c r="AT49" s="2">
        <f ca="1">IFERROR(SUMIFS(INDIRECT("'Thanh Toán ("&amp;AT$3&amp;")'!$F:$F"),INDIRECT("'Thanh Toán ("&amp;AT$3&amp;")'!$D:$D"),'Tổng Đơn'!$B49),0)</f>
        <v>0</v>
      </c>
      <c r="AU49" s="2">
        <f ca="1">IFERROR(SUMIFS(INDIRECT("'Thanh Toán ("&amp;AU$3&amp;")'!$F:$F"),INDIRECT("'Thanh Toán ("&amp;AU$3&amp;")'!$D:$D"),'Tổng Đơn'!$B49),0)</f>
        <v>0</v>
      </c>
      <c r="AV49" s="2">
        <f ca="1">IFERROR(SUMIFS(INDIRECT("'Thanh Toán ("&amp;AV$3&amp;")'!$F:$F"),INDIRECT("'Thanh Toán ("&amp;AV$3&amp;")'!$D:$D"),'Tổng Đơn'!$B49),0)</f>
        <v>0</v>
      </c>
      <c r="AW49" s="2">
        <f ca="1">IFERROR(SUMIFS(INDIRECT("'Thanh Toán ("&amp;AW$3&amp;")'!$F:$F"),INDIRECT("'Thanh Toán ("&amp;AW$3&amp;")'!$D:$D"),'Tổng Đơn'!$B49),0)</f>
        <v>0</v>
      </c>
      <c r="AX49" s="2">
        <f ca="1">IFERROR(SUMIFS(INDIRECT("'Thanh Toán ("&amp;AX$3&amp;")'!$F:$F"),INDIRECT("'Thanh Toán ("&amp;AX$3&amp;")'!$D:$D"),'Tổng Đơn'!$B49),0)</f>
        <v>0</v>
      </c>
      <c r="AY49" s="2">
        <f ca="1">IFERROR(SUMIFS(INDIRECT("'Thanh Toán ("&amp;AY$3&amp;")'!$F:$F"),INDIRECT("'Thanh Toán ("&amp;AY$3&amp;")'!$D:$D"),'Tổng Đơn'!$B49),0)</f>
        <v>0</v>
      </c>
      <c r="AZ49" s="2">
        <f ca="1">IFERROR(SUMIFS(INDIRECT("'Thanh Toán ("&amp;AZ$3&amp;")'!$F:$F"),INDIRECT("'Thanh Toán ("&amp;AZ$3&amp;")'!$D:$D"),'Tổng Đơn'!$B49),0)</f>
        <v>0</v>
      </c>
      <c r="BA49" s="2">
        <f ca="1">IFERROR(SUMIFS(INDIRECT("'Thanh Toán ("&amp;BA$3&amp;")'!$F:$F"),INDIRECT("'Thanh Toán ("&amp;BA$3&amp;")'!$D:$D"),'Tổng Đơn'!$B49),0)</f>
        <v>0</v>
      </c>
      <c r="BB49" s="2">
        <f ca="1">IFERROR(SUMIFS(INDIRECT("'Thanh Toán ("&amp;BB$3&amp;")'!$F:$F"),INDIRECT("'Thanh Toán ("&amp;BB$3&amp;")'!$D:$D"),'Tổng Đơn'!$B49),0)</f>
        <v>0</v>
      </c>
      <c r="BC49" s="2">
        <f ca="1">IFERROR(SUMIFS(INDIRECT("'Thanh Toán ("&amp;BC$3&amp;")'!$F:$F"),INDIRECT("'Thanh Toán ("&amp;BC$3&amp;")'!$D:$D"),'Tổng Đơn'!$B49),0)</f>
        <v>0</v>
      </c>
    </row>
    <row r="50" spans="1:55" ht="18" customHeight="1" x14ac:dyDescent="0.25">
      <c r="A50" s="167">
        <v>40</v>
      </c>
      <c r="B50" s="168" t="s">
        <v>215</v>
      </c>
      <c r="C50" s="174" t="s">
        <v>86</v>
      </c>
      <c r="D50" s="169">
        <f>VLOOKUP($C50,Sheet1!$C$8:$D$98,2,0)</f>
        <v>105000</v>
      </c>
      <c r="E50" s="170">
        <v>0.5</v>
      </c>
      <c r="F50" s="171">
        <f t="shared" ca="1" si="13"/>
        <v>0</v>
      </c>
      <c r="G50" s="172">
        <f>IFERROR(VLOOKUP($B50,Gà!C:J,8,0),IFERROR(VLOOKUP($B50,TVP!C:J,7,0),IFERROR(VLOOKUP($B50,Kitkool!C:J,8,0),IFERROR(VLOOKUP($B50,'La Cusina'!C:J,8,0),VLOOKUP($B50,'Quốc Nhân'!C:J,8,0)))))</f>
        <v>98.777777777777771</v>
      </c>
      <c r="H50" s="173">
        <f t="shared" ca="1" si="10"/>
        <v>0</v>
      </c>
      <c r="I50" s="195">
        <f t="shared" si="11"/>
        <v>6.2992125984252079E-2</v>
      </c>
      <c r="J50" s="173">
        <f t="shared" ca="1" si="12"/>
        <v>0</v>
      </c>
      <c r="K50" s="38"/>
      <c r="L50" s="2">
        <f ca="1">IFERROR(SUMIFS(INDIRECT("'Thanh Toán ("&amp;L$3&amp;")'!$F:$F"),INDIRECT("'Thanh Toán ("&amp;L$3&amp;")'!$D:$D"),'Tổng Đơn'!$B50),0)</f>
        <v>0</v>
      </c>
      <c r="M50" s="2">
        <f ca="1">IFERROR(SUMIFS(INDIRECT("'Thanh Toán ("&amp;M$3&amp;")'!$F:$F"),INDIRECT("'Thanh Toán ("&amp;M$3&amp;")'!$D:$D"),'Tổng Đơn'!$B50),0)</f>
        <v>0</v>
      </c>
      <c r="N50" s="2">
        <f ca="1">IFERROR(SUMIFS(INDIRECT("'Thanh Toán ("&amp;N$3&amp;")'!$F:$F"),INDIRECT("'Thanh Toán ("&amp;N$3&amp;")'!$D:$D"),'Tổng Đơn'!$B50),0)</f>
        <v>0</v>
      </c>
      <c r="O50" s="2">
        <f ca="1">IFERROR(SUMIFS(INDIRECT("'Thanh Toán ("&amp;O$3&amp;")'!$F:$F"),INDIRECT("'Thanh Toán ("&amp;O$3&amp;")'!$D:$D"),'Tổng Đơn'!$B50),0)</f>
        <v>0</v>
      </c>
      <c r="P50" s="2">
        <f ca="1">IFERROR(SUMIFS(INDIRECT("'Thanh Toán ("&amp;P$3&amp;")'!$F:$F"),INDIRECT("'Thanh Toán ("&amp;P$3&amp;")'!$D:$D"),'Tổng Đơn'!$B50),0)</f>
        <v>0</v>
      </c>
      <c r="Q50" s="2">
        <f ca="1">IFERROR(SUMIFS(INDIRECT("'Thanh Toán ("&amp;Q$3&amp;")'!$F:$F"),INDIRECT("'Thanh Toán ("&amp;Q$3&amp;")'!$D:$D"),'Tổng Đơn'!$B50),0)</f>
        <v>0</v>
      </c>
      <c r="R50" s="2">
        <f ca="1">IFERROR(SUMIFS(INDIRECT("'Thanh Toán ("&amp;R$3&amp;")'!$F:$F"),INDIRECT("'Thanh Toán ("&amp;R$3&amp;")'!$D:$D"),'Tổng Đơn'!$B50),0)</f>
        <v>0</v>
      </c>
      <c r="S50" s="2">
        <f ca="1">IFERROR(SUMIFS(INDIRECT("'Thanh Toán ("&amp;S$3&amp;")'!$F:$F"),INDIRECT("'Thanh Toán ("&amp;S$3&amp;")'!$D:$D"),'Tổng Đơn'!$B50),0)</f>
        <v>0</v>
      </c>
      <c r="T50" s="2">
        <f ca="1">IFERROR(SUMIFS(INDIRECT("'Thanh Toán ("&amp;T$3&amp;")'!$F:$F"),INDIRECT("'Thanh Toán ("&amp;T$3&amp;")'!$D:$D"),'Tổng Đơn'!$B50),0)</f>
        <v>0</v>
      </c>
      <c r="U50" s="2">
        <f ca="1">IFERROR(SUMIFS(INDIRECT("'Thanh Toán ("&amp;U$3&amp;")'!$F:$F"),INDIRECT("'Thanh Toán ("&amp;U$3&amp;")'!$D:$D"),'Tổng Đơn'!$B50),0)</f>
        <v>0</v>
      </c>
      <c r="V50" s="2">
        <f ca="1">IFERROR(SUMIFS(INDIRECT("'Thanh Toán ("&amp;V$3&amp;")'!$F:$F"),INDIRECT("'Thanh Toán ("&amp;V$3&amp;")'!$D:$D"),'Tổng Đơn'!$B50),0)</f>
        <v>0</v>
      </c>
      <c r="W50" s="2">
        <f ca="1">IFERROR(SUMIFS(INDIRECT("'Thanh Toán ("&amp;W$3&amp;")'!$F:$F"),INDIRECT("'Thanh Toán ("&amp;W$3&amp;")'!$D:$D"),'Tổng Đơn'!$B50),0)</f>
        <v>0</v>
      </c>
      <c r="X50" s="2">
        <f ca="1">IFERROR(SUMIFS(INDIRECT("'Thanh Toán ("&amp;X$3&amp;")'!$F:$F"),INDIRECT("'Thanh Toán ("&amp;X$3&amp;")'!$D:$D"),'Tổng Đơn'!$B50),0)</f>
        <v>0</v>
      </c>
      <c r="Y50" s="2">
        <f ca="1">IFERROR(SUMIFS(INDIRECT("'Thanh Toán ("&amp;Y$3&amp;")'!$F:$F"),INDIRECT("'Thanh Toán ("&amp;Y$3&amp;")'!$D:$D"),'Tổng Đơn'!$B50),0)</f>
        <v>0</v>
      </c>
      <c r="Z50" s="2">
        <f ca="1">IFERROR(SUMIFS(INDIRECT("'Thanh Toán ("&amp;Z$3&amp;")'!$F:$F"),INDIRECT("'Thanh Toán ("&amp;Z$3&amp;")'!$D:$D"),'Tổng Đơn'!$B50),0)</f>
        <v>0</v>
      </c>
      <c r="AA50" s="2">
        <f ca="1">IFERROR(SUMIFS(INDIRECT("'Thanh Toán ("&amp;AA$3&amp;")'!$F:$F"),INDIRECT("'Thanh Toán ("&amp;AA$3&amp;")'!$D:$D"),'Tổng Đơn'!$B50),0)</f>
        <v>0</v>
      </c>
      <c r="AB50" s="2">
        <f ca="1">IFERROR(SUMIFS(INDIRECT("'Thanh Toán ("&amp;AB$3&amp;")'!$F:$F"),INDIRECT("'Thanh Toán ("&amp;AB$3&amp;")'!$D:$D"),'Tổng Đơn'!$B50),0)</f>
        <v>0</v>
      </c>
      <c r="AC50" s="2">
        <f ca="1">IFERROR(SUMIFS(INDIRECT("'Thanh Toán ("&amp;AC$3&amp;")'!$F:$F"),INDIRECT("'Thanh Toán ("&amp;AC$3&amp;")'!$D:$D"),'Tổng Đơn'!$B50),0)</f>
        <v>0</v>
      </c>
      <c r="AD50" s="2">
        <f ca="1">IFERROR(SUMIFS(INDIRECT("'Thanh Toán ("&amp;AD$3&amp;")'!$F:$F"),INDIRECT("'Thanh Toán ("&amp;AD$3&amp;")'!$D:$D"),'Tổng Đơn'!$B50),0)</f>
        <v>0</v>
      </c>
      <c r="AE50" s="2">
        <f ca="1">IFERROR(SUMIFS(INDIRECT("'Thanh Toán ("&amp;AE$3&amp;")'!$F:$F"),INDIRECT("'Thanh Toán ("&amp;AE$3&amp;")'!$D:$D"),'Tổng Đơn'!$B50),0)</f>
        <v>0</v>
      </c>
      <c r="AF50" s="2">
        <f ca="1">IFERROR(SUMIFS(INDIRECT("'Thanh Toán ("&amp;AF$3&amp;")'!$F:$F"),INDIRECT("'Thanh Toán ("&amp;AF$3&amp;")'!$D:$D"),'Tổng Đơn'!$B50),0)</f>
        <v>0</v>
      </c>
      <c r="AG50" s="2">
        <f ca="1">IFERROR(SUMIFS(INDIRECT("'Thanh Toán ("&amp;AG$3&amp;")'!$F:$F"),INDIRECT("'Thanh Toán ("&amp;AG$3&amp;")'!$D:$D"),'Tổng Đơn'!$B50),0)</f>
        <v>0</v>
      </c>
      <c r="AH50" s="2">
        <f ca="1">IFERROR(SUMIFS(INDIRECT("'Thanh Toán ("&amp;AH$3&amp;")'!$F:$F"),INDIRECT("'Thanh Toán ("&amp;AH$3&amp;")'!$D:$D"),'Tổng Đơn'!$B50),0)</f>
        <v>0</v>
      </c>
      <c r="AI50" s="2">
        <f ca="1">IFERROR(SUMIFS(INDIRECT("'Thanh Toán ("&amp;AI$3&amp;")'!$F:$F"),INDIRECT("'Thanh Toán ("&amp;AI$3&amp;")'!$D:$D"),'Tổng Đơn'!$B50),0)</f>
        <v>0</v>
      </c>
      <c r="AJ50" s="2">
        <f ca="1">IFERROR(SUMIFS(INDIRECT("'Thanh Toán ("&amp;AJ$3&amp;")'!$F:$F"),INDIRECT("'Thanh Toán ("&amp;AJ$3&amp;")'!$D:$D"),'Tổng Đơn'!$B50),0)</f>
        <v>0</v>
      </c>
      <c r="AK50" s="2">
        <f ca="1">IFERROR(SUMIFS(INDIRECT("'Thanh Toán ("&amp;AK$3&amp;")'!$F:$F"),INDIRECT("'Thanh Toán ("&amp;AK$3&amp;")'!$D:$D"),'Tổng Đơn'!$B50),0)</f>
        <v>0</v>
      </c>
      <c r="AL50" s="2">
        <f ca="1">IFERROR(SUMIFS(INDIRECT("'Thanh Toán ("&amp;AL$3&amp;")'!$F:$F"),INDIRECT("'Thanh Toán ("&amp;AL$3&amp;")'!$D:$D"),'Tổng Đơn'!$B50),0)</f>
        <v>0</v>
      </c>
      <c r="AM50" s="2">
        <f ca="1">IFERROR(SUMIFS(INDIRECT("'Thanh Toán ("&amp;AM$3&amp;")'!$F:$F"),INDIRECT("'Thanh Toán ("&amp;AM$3&amp;")'!$D:$D"),'Tổng Đơn'!$B50),0)</f>
        <v>0</v>
      </c>
      <c r="AN50" s="2">
        <f ca="1">IFERROR(SUMIFS(INDIRECT("'Thanh Toán ("&amp;AN$3&amp;")'!$F:$F"),INDIRECT("'Thanh Toán ("&amp;AN$3&amp;")'!$D:$D"),'Tổng Đơn'!$B50),0)</f>
        <v>0</v>
      </c>
      <c r="AO50" s="2">
        <f ca="1">IFERROR(SUMIFS(INDIRECT("'Thanh Toán ("&amp;AO$3&amp;")'!$F:$F"),INDIRECT("'Thanh Toán ("&amp;AO$3&amp;")'!$D:$D"),'Tổng Đơn'!$B50),0)</f>
        <v>0</v>
      </c>
      <c r="AP50" s="2">
        <f ca="1">IFERROR(SUMIFS(INDIRECT("'Thanh Toán ("&amp;AP$3&amp;")'!$F:$F"),INDIRECT("'Thanh Toán ("&amp;AP$3&amp;")'!$D:$D"),'Tổng Đơn'!$B50),0)</f>
        <v>0</v>
      </c>
      <c r="AQ50" s="2">
        <f ca="1">IFERROR(SUMIFS(INDIRECT("'Thanh Toán ("&amp;AQ$3&amp;")'!$F:$F"),INDIRECT("'Thanh Toán ("&amp;AQ$3&amp;")'!$D:$D"),'Tổng Đơn'!$B50),0)</f>
        <v>0</v>
      </c>
      <c r="AR50" s="2">
        <f ca="1">IFERROR(SUMIFS(INDIRECT("'Thanh Toán ("&amp;AR$3&amp;")'!$F:$F"),INDIRECT("'Thanh Toán ("&amp;AR$3&amp;")'!$D:$D"),'Tổng Đơn'!$B50),0)</f>
        <v>0</v>
      </c>
      <c r="AS50" s="2">
        <f ca="1">IFERROR(SUMIFS(INDIRECT("'Thanh Toán ("&amp;AS$3&amp;")'!$F:$F"),INDIRECT("'Thanh Toán ("&amp;AS$3&amp;")'!$D:$D"),'Tổng Đơn'!$B50),0)</f>
        <v>0</v>
      </c>
      <c r="AT50" s="2">
        <f ca="1">IFERROR(SUMIFS(INDIRECT("'Thanh Toán ("&amp;AT$3&amp;")'!$F:$F"),INDIRECT("'Thanh Toán ("&amp;AT$3&amp;")'!$D:$D"),'Tổng Đơn'!$B50),0)</f>
        <v>0</v>
      </c>
      <c r="AU50" s="2">
        <f ca="1">IFERROR(SUMIFS(INDIRECT("'Thanh Toán ("&amp;AU$3&amp;")'!$F:$F"),INDIRECT("'Thanh Toán ("&amp;AU$3&amp;")'!$D:$D"),'Tổng Đơn'!$B50),0)</f>
        <v>0</v>
      </c>
      <c r="AV50" s="2">
        <f ca="1">IFERROR(SUMIFS(INDIRECT("'Thanh Toán ("&amp;AV$3&amp;")'!$F:$F"),INDIRECT("'Thanh Toán ("&amp;AV$3&amp;")'!$D:$D"),'Tổng Đơn'!$B50),0)</f>
        <v>0</v>
      </c>
      <c r="AW50" s="2">
        <f ca="1">IFERROR(SUMIFS(INDIRECT("'Thanh Toán ("&amp;AW$3&amp;")'!$F:$F"),INDIRECT("'Thanh Toán ("&amp;AW$3&amp;")'!$D:$D"),'Tổng Đơn'!$B50),0)</f>
        <v>0</v>
      </c>
      <c r="AX50" s="2">
        <f ca="1">IFERROR(SUMIFS(INDIRECT("'Thanh Toán ("&amp;AX$3&amp;")'!$F:$F"),INDIRECT("'Thanh Toán ("&amp;AX$3&amp;")'!$D:$D"),'Tổng Đơn'!$B50),0)</f>
        <v>0</v>
      </c>
      <c r="AY50" s="2">
        <f ca="1">IFERROR(SUMIFS(INDIRECT("'Thanh Toán ("&amp;AY$3&amp;")'!$F:$F"),INDIRECT("'Thanh Toán ("&amp;AY$3&amp;")'!$D:$D"),'Tổng Đơn'!$B50),0)</f>
        <v>0</v>
      </c>
      <c r="AZ50" s="2">
        <f ca="1">IFERROR(SUMIFS(INDIRECT("'Thanh Toán ("&amp;AZ$3&amp;")'!$F:$F"),INDIRECT("'Thanh Toán ("&amp;AZ$3&amp;")'!$D:$D"),'Tổng Đơn'!$B50),0)</f>
        <v>0</v>
      </c>
      <c r="BA50" s="2">
        <f ca="1">IFERROR(SUMIFS(INDIRECT("'Thanh Toán ("&amp;BA$3&amp;")'!$F:$F"),INDIRECT("'Thanh Toán ("&amp;BA$3&amp;")'!$D:$D"),'Tổng Đơn'!$B50),0)</f>
        <v>0</v>
      </c>
      <c r="BB50" s="2">
        <f ca="1">IFERROR(SUMIFS(INDIRECT("'Thanh Toán ("&amp;BB$3&amp;")'!$F:$F"),INDIRECT("'Thanh Toán ("&amp;BB$3&amp;")'!$D:$D"),'Tổng Đơn'!$B50),0)</f>
        <v>0</v>
      </c>
      <c r="BC50" s="2">
        <f ca="1">IFERROR(SUMIFS(INDIRECT("'Thanh Toán ("&amp;BC$3&amp;")'!$F:$F"),INDIRECT("'Thanh Toán ("&amp;BC$3&amp;")'!$D:$D"),'Tổng Đơn'!$B50),0)</f>
        <v>0</v>
      </c>
    </row>
    <row r="51" spans="1:55" ht="18" customHeight="1" x14ac:dyDescent="0.25">
      <c r="A51" s="174">
        <v>41</v>
      </c>
      <c r="B51" s="168" t="s">
        <v>123</v>
      </c>
      <c r="C51" s="167" t="s">
        <v>87</v>
      </c>
      <c r="D51" s="169">
        <f>VLOOKUP($C51,Sheet1!$C$8:$D$98,2,0)</f>
        <v>42000</v>
      </c>
      <c r="E51" s="170">
        <v>0.5</v>
      </c>
      <c r="F51" s="171">
        <f t="shared" ca="1" si="13"/>
        <v>2</v>
      </c>
      <c r="G51" s="172">
        <f>IFERROR(VLOOKUP($B51,Gà!C:J,8,0),IFERROR(VLOOKUP($B51,TVP!C:J,7,0),IFERROR(VLOOKUP($B51,Kitkool!C:J,8,0),IFERROR(VLOOKUP($B51,'La Cusina'!C:J,8,0),VLOOKUP($B51,'Quốc Nhân'!C:J,8,0)))))</f>
        <v>38.349333814286588</v>
      </c>
      <c r="H51" s="173">
        <f t="shared" ca="1" si="10"/>
        <v>7301.332371426819</v>
      </c>
      <c r="I51" s="195">
        <f t="shared" si="11"/>
        <v>9.5195035287768182E-2</v>
      </c>
      <c r="J51" s="173">
        <f t="shared" ca="1" si="12"/>
        <v>76698.667628573181</v>
      </c>
      <c r="K51" s="38"/>
      <c r="L51" s="2">
        <f ca="1">IFERROR(SUMIFS(INDIRECT("'Thanh Toán ("&amp;L$3&amp;")'!$F:$F"),INDIRECT("'Thanh Toán ("&amp;L$3&amp;")'!$D:$D"),'Tổng Đơn'!$B51),0)</f>
        <v>0</v>
      </c>
      <c r="M51" s="2">
        <f ca="1">IFERROR(SUMIFS(INDIRECT("'Thanh Toán ("&amp;M$3&amp;")'!$F:$F"),INDIRECT("'Thanh Toán ("&amp;M$3&amp;")'!$D:$D"),'Tổng Đơn'!$B51),0)</f>
        <v>0</v>
      </c>
      <c r="N51" s="2">
        <f ca="1">IFERROR(SUMIFS(INDIRECT("'Thanh Toán ("&amp;N$3&amp;")'!$F:$F"),INDIRECT("'Thanh Toán ("&amp;N$3&amp;")'!$D:$D"),'Tổng Đơn'!$B51),0)</f>
        <v>2</v>
      </c>
      <c r="O51" s="2">
        <f ca="1">IFERROR(SUMIFS(INDIRECT("'Thanh Toán ("&amp;O$3&amp;")'!$F:$F"),INDIRECT("'Thanh Toán ("&amp;O$3&amp;")'!$D:$D"),'Tổng Đơn'!$B51),0)</f>
        <v>0</v>
      </c>
      <c r="P51" s="2">
        <f ca="1">IFERROR(SUMIFS(INDIRECT("'Thanh Toán ("&amp;P$3&amp;")'!$F:$F"),INDIRECT("'Thanh Toán ("&amp;P$3&amp;")'!$D:$D"),'Tổng Đơn'!$B51),0)</f>
        <v>0</v>
      </c>
      <c r="Q51" s="2">
        <f ca="1">IFERROR(SUMIFS(INDIRECT("'Thanh Toán ("&amp;Q$3&amp;")'!$F:$F"),INDIRECT("'Thanh Toán ("&amp;Q$3&amp;")'!$D:$D"),'Tổng Đơn'!$B51),0)</f>
        <v>0</v>
      </c>
      <c r="R51" s="2">
        <f ca="1">IFERROR(SUMIFS(INDIRECT("'Thanh Toán ("&amp;R$3&amp;")'!$F:$F"),INDIRECT("'Thanh Toán ("&amp;R$3&amp;")'!$D:$D"),'Tổng Đơn'!$B51),0)</f>
        <v>0</v>
      </c>
      <c r="S51" s="2">
        <f ca="1">IFERROR(SUMIFS(INDIRECT("'Thanh Toán ("&amp;S$3&amp;")'!$F:$F"),INDIRECT("'Thanh Toán ("&amp;S$3&amp;")'!$D:$D"),'Tổng Đơn'!$B51),0)</f>
        <v>0</v>
      </c>
      <c r="T51" s="2">
        <f ca="1">IFERROR(SUMIFS(INDIRECT("'Thanh Toán ("&amp;T$3&amp;")'!$F:$F"),INDIRECT("'Thanh Toán ("&amp;T$3&amp;")'!$D:$D"),'Tổng Đơn'!$B51),0)</f>
        <v>0</v>
      </c>
      <c r="U51" s="2">
        <f ca="1">IFERROR(SUMIFS(INDIRECT("'Thanh Toán ("&amp;U$3&amp;")'!$F:$F"),INDIRECT("'Thanh Toán ("&amp;U$3&amp;")'!$D:$D"),'Tổng Đơn'!$B51),0)</f>
        <v>0</v>
      </c>
      <c r="V51" s="2">
        <f ca="1">IFERROR(SUMIFS(INDIRECT("'Thanh Toán ("&amp;V$3&amp;")'!$F:$F"),INDIRECT("'Thanh Toán ("&amp;V$3&amp;")'!$D:$D"),'Tổng Đơn'!$B51),0)</f>
        <v>0</v>
      </c>
      <c r="W51" s="2">
        <f ca="1">IFERROR(SUMIFS(INDIRECT("'Thanh Toán ("&amp;W$3&amp;")'!$F:$F"),INDIRECT("'Thanh Toán ("&amp;W$3&amp;")'!$D:$D"),'Tổng Đơn'!$B51),0)</f>
        <v>0</v>
      </c>
      <c r="X51" s="2">
        <f ca="1">IFERROR(SUMIFS(INDIRECT("'Thanh Toán ("&amp;X$3&amp;")'!$F:$F"),INDIRECT("'Thanh Toán ("&amp;X$3&amp;")'!$D:$D"),'Tổng Đơn'!$B51),0)</f>
        <v>0</v>
      </c>
      <c r="Y51" s="2">
        <f ca="1">IFERROR(SUMIFS(INDIRECT("'Thanh Toán ("&amp;Y$3&amp;")'!$F:$F"),INDIRECT("'Thanh Toán ("&amp;Y$3&amp;")'!$D:$D"),'Tổng Đơn'!$B51),0)</f>
        <v>0</v>
      </c>
      <c r="Z51" s="2">
        <f ca="1">IFERROR(SUMIFS(INDIRECT("'Thanh Toán ("&amp;Z$3&amp;")'!$F:$F"),INDIRECT("'Thanh Toán ("&amp;Z$3&amp;")'!$D:$D"),'Tổng Đơn'!$B51),0)</f>
        <v>0</v>
      </c>
      <c r="AA51" s="2">
        <f ca="1">IFERROR(SUMIFS(INDIRECT("'Thanh Toán ("&amp;AA$3&amp;")'!$F:$F"),INDIRECT("'Thanh Toán ("&amp;AA$3&amp;")'!$D:$D"),'Tổng Đơn'!$B51),0)</f>
        <v>0</v>
      </c>
      <c r="AB51" s="2">
        <f ca="1">IFERROR(SUMIFS(INDIRECT("'Thanh Toán ("&amp;AB$3&amp;")'!$F:$F"),INDIRECT("'Thanh Toán ("&amp;AB$3&amp;")'!$D:$D"),'Tổng Đơn'!$B51),0)</f>
        <v>0</v>
      </c>
      <c r="AC51" s="2">
        <f ca="1">IFERROR(SUMIFS(INDIRECT("'Thanh Toán ("&amp;AC$3&amp;")'!$F:$F"),INDIRECT("'Thanh Toán ("&amp;AC$3&amp;")'!$D:$D"),'Tổng Đơn'!$B51),0)</f>
        <v>0</v>
      </c>
      <c r="AD51" s="2">
        <f ca="1">IFERROR(SUMIFS(INDIRECT("'Thanh Toán ("&amp;AD$3&amp;")'!$F:$F"),INDIRECT("'Thanh Toán ("&amp;AD$3&amp;")'!$D:$D"),'Tổng Đơn'!$B51),0)</f>
        <v>0</v>
      </c>
      <c r="AE51" s="2">
        <f ca="1">IFERROR(SUMIFS(INDIRECT("'Thanh Toán ("&amp;AE$3&amp;")'!$F:$F"),INDIRECT("'Thanh Toán ("&amp;AE$3&amp;")'!$D:$D"),'Tổng Đơn'!$B51),0)</f>
        <v>0</v>
      </c>
      <c r="AF51" s="2">
        <f ca="1">IFERROR(SUMIFS(INDIRECT("'Thanh Toán ("&amp;AF$3&amp;")'!$F:$F"),INDIRECT("'Thanh Toán ("&amp;AF$3&amp;")'!$D:$D"),'Tổng Đơn'!$B51),0)</f>
        <v>0</v>
      </c>
      <c r="AG51" s="2">
        <f ca="1">IFERROR(SUMIFS(INDIRECT("'Thanh Toán ("&amp;AG$3&amp;")'!$F:$F"),INDIRECT("'Thanh Toán ("&amp;AG$3&amp;")'!$D:$D"),'Tổng Đơn'!$B51),0)</f>
        <v>0</v>
      </c>
      <c r="AH51" s="2">
        <f ca="1">IFERROR(SUMIFS(INDIRECT("'Thanh Toán ("&amp;AH$3&amp;")'!$F:$F"),INDIRECT("'Thanh Toán ("&amp;AH$3&amp;")'!$D:$D"),'Tổng Đơn'!$B51),0)</f>
        <v>0</v>
      </c>
      <c r="AI51" s="2">
        <f ca="1">IFERROR(SUMIFS(INDIRECT("'Thanh Toán ("&amp;AI$3&amp;")'!$F:$F"),INDIRECT("'Thanh Toán ("&amp;AI$3&amp;")'!$D:$D"),'Tổng Đơn'!$B51),0)</f>
        <v>0</v>
      </c>
      <c r="AJ51" s="2">
        <f ca="1">IFERROR(SUMIFS(INDIRECT("'Thanh Toán ("&amp;AJ$3&amp;")'!$F:$F"),INDIRECT("'Thanh Toán ("&amp;AJ$3&amp;")'!$D:$D"),'Tổng Đơn'!$B51),0)</f>
        <v>0</v>
      </c>
      <c r="AK51" s="2">
        <f ca="1">IFERROR(SUMIFS(INDIRECT("'Thanh Toán ("&amp;AK$3&amp;")'!$F:$F"),INDIRECT("'Thanh Toán ("&amp;AK$3&amp;")'!$D:$D"),'Tổng Đơn'!$B51),0)</f>
        <v>0</v>
      </c>
      <c r="AL51" s="2">
        <f ca="1">IFERROR(SUMIFS(INDIRECT("'Thanh Toán ("&amp;AL$3&amp;")'!$F:$F"),INDIRECT("'Thanh Toán ("&amp;AL$3&amp;")'!$D:$D"),'Tổng Đơn'!$B51),0)</f>
        <v>0</v>
      </c>
      <c r="AM51" s="2">
        <f ca="1">IFERROR(SUMIFS(INDIRECT("'Thanh Toán ("&amp;AM$3&amp;")'!$F:$F"),INDIRECT("'Thanh Toán ("&amp;AM$3&amp;")'!$D:$D"),'Tổng Đơn'!$B51),0)</f>
        <v>0</v>
      </c>
      <c r="AN51" s="2">
        <f ca="1">IFERROR(SUMIFS(INDIRECT("'Thanh Toán ("&amp;AN$3&amp;")'!$F:$F"),INDIRECT("'Thanh Toán ("&amp;AN$3&amp;")'!$D:$D"),'Tổng Đơn'!$B51),0)</f>
        <v>0</v>
      </c>
      <c r="AO51" s="2">
        <f ca="1">IFERROR(SUMIFS(INDIRECT("'Thanh Toán ("&amp;AO$3&amp;")'!$F:$F"),INDIRECT("'Thanh Toán ("&amp;AO$3&amp;")'!$D:$D"),'Tổng Đơn'!$B51),0)</f>
        <v>0</v>
      </c>
      <c r="AP51" s="2">
        <f ca="1">IFERROR(SUMIFS(INDIRECT("'Thanh Toán ("&amp;AP$3&amp;")'!$F:$F"),INDIRECT("'Thanh Toán ("&amp;AP$3&amp;")'!$D:$D"),'Tổng Đơn'!$B51),0)</f>
        <v>0</v>
      </c>
      <c r="AQ51" s="2">
        <f ca="1">IFERROR(SUMIFS(INDIRECT("'Thanh Toán ("&amp;AQ$3&amp;")'!$F:$F"),INDIRECT("'Thanh Toán ("&amp;AQ$3&amp;")'!$D:$D"),'Tổng Đơn'!$B51),0)</f>
        <v>0</v>
      </c>
      <c r="AR51" s="2">
        <f ca="1">IFERROR(SUMIFS(INDIRECT("'Thanh Toán ("&amp;AR$3&amp;")'!$F:$F"),INDIRECT("'Thanh Toán ("&amp;AR$3&amp;")'!$D:$D"),'Tổng Đơn'!$B51),0)</f>
        <v>0</v>
      </c>
      <c r="AS51" s="2">
        <f ca="1">IFERROR(SUMIFS(INDIRECT("'Thanh Toán ("&amp;AS$3&amp;")'!$F:$F"),INDIRECT("'Thanh Toán ("&amp;AS$3&amp;")'!$D:$D"),'Tổng Đơn'!$B51),0)</f>
        <v>0</v>
      </c>
      <c r="AT51" s="2">
        <f ca="1">IFERROR(SUMIFS(INDIRECT("'Thanh Toán ("&amp;AT$3&amp;")'!$F:$F"),INDIRECT("'Thanh Toán ("&amp;AT$3&amp;")'!$D:$D"),'Tổng Đơn'!$B51),0)</f>
        <v>0</v>
      </c>
      <c r="AU51" s="2">
        <f ca="1">IFERROR(SUMIFS(INDIRECT("'Thanh Toán ("&amp;AU$3&amp;")'!$F:$F"),INDIRECT("'Thanh Toán ("&amp;AU$3&amp;")'!$D:$D"),'Tổng Đơn'!$B51),0)</f>
        <v>0</v>
      </c>
      <c r="AV51" s="2">
        <f ca="1">IFERROR(SUMIFS(INDIRECT("'Thanh Toán ("&amp;AV$3&amp;")'!$F:$F"),INDIRECT("'Thanh Toán ("&amp;AV$3&amp;")'!$D:$D"),'Tổng Đơn'!$B51),0)</f>
        <v>0</v>
      </c>
      <c r="AW51" s="2">
        <f ca="1">IFERROR(SUMIFS(INDIRECT("'Thanh Toán ("&amp;AW$3&amp;")'!$F:$F"),INDIRECT("'Thanh Toán ("&amp;AW$3&amp;")'!$D:$D"),'Tổng Đơn'!$B51),0)</f>
        <v>0</v>
      </c>
      <c r="AX51" s="2">
        <f ca="1">IFERROR(SUMIFS(INDIRECT("'Thanh Toán ("&amp;AX$3&amp;")'!$F:$F"),INDIRECT("'Thanh Toán ("&amp;AX$3&amp;")'!$D:$D"),'Tổng Đơn'!$B51),0)</f>
        <v>0</v>
      </c>
      <c r="AY51" s="2">
        <f ca="1">IFERROR(SUMIFS(INDIRECT("'Thanh Toán ("&amp;AY$3&amp;")'!$F:$F"),INDIRECT("'Thanh Toán ("&amp;AY$3&amp;")'!$D:$D"),'Tổng Đơn'!$B51),0)</f>
        <v>0</v>
      </c>
      <c r="AZ51" s="2">
        <f ca="1">IFERROR(SUMIFS(INDIRECT("'Thanh Toán ("&amp;AZ$3&amp;")'!$F:$F"),INDIRECT("'Thanh Toán ("&amp;AZ$3&amp;")'!$D:$D"),'Tổng Đơn'!$B51),0)</f>
        <v>0</v>
      </c>
      <c r="BA51" s="2">
        <f ca="1">IFERROR(SUMIFS(INDIRECT("'Thanh Toán ("&amp;BA$3&amp;")'!$F:$F"),INDIRECT("'Thanh Toán ("&amp;BA$3&amp;")'!$D:$D"),'Tổng Đơn'!$B51),0)</f>
        <v>0</v>
      </c>
      <c r="BB51" s="2">
        <f ca="1">IFERROR(SUMIFS(INDIRECT("'Thanh Toán ("&amp;BB$3&amp;")'!$F:$F"),INDIRECT("'Thanh Toán ("&amp;BB$3&amp;")'!$D:$D"),'Tổng Đơn'!$B51),0)</f>
        <v>0</v>
      </c>
      <c r="BC51" s="2">
        <f ca="1">IFERROR(SUMIFS(INDIRECT("'Thanh Toán ("&amp;BC$3&amp;")'!$F:$F"),INDIRECT("'Thanh Toán ("&amp;BC$3&amp;")'!$D:$D"),'Tổng Đơn'!$B51),0)</f>
        <v>0</v>
      </c>
    </row>
    <row r="52" spans="1:55" ht="18" customHeight="1" x14ac:dyDescent="0.25">
      <c r="A52" s="167">
        <v>42</v>
      </c>
      <c r="B52" s="168" t="s">
        <v>126</v>
      </c>
      <c r="C52" s="174" t="s">
        <v>88</v>
      </c>
      <c r="D52" s="169">
        <f>VLOOKUP($C52,Sheet1!$C$8:$D$98,2,0)</f>
        <v>35000</v>
      </c>
      <c r="E52" s="170">
        <v>0.5</v>
      </c>
      <c r="F52" s="171">
        <f t="shared" ca="1" si="13"/>
        <v>0</v>
      </c>
      <c r="G52" s="172">
        <f>IFERROR(VLOOKUP($B52,Gà!C:J,8,0),IFERROR(VLOOKUP($B52,TVP!C:J,7,0),IFERROR(VLOOKUP($B52,Kitkool!C:J,8,0),IFERROR(VLOOKUP($B52,'La Cusina'!C:J,8,0),VLOOKUP($B52,'Quốc Nhân'!C:J,8,0)))))</f>
        <v>27.813358945308902</v>
      </c>
      <c r="H52" s="173">
        <f t="shared" ca="1" si="10"/>
        <v>0</v>
      </c>
      <c r="I52" s="195">
        <f t="shared" si="11"/>
        <v>0.25838810295522485</v>
      </c>
      <c r="J52" s="173">
        <f t="shared" ca="1" si="12"/>
        <v>0</v>
      </c>
      <c r="K52" s="38"/>
      <c r="L52" s="2">
        <f ca="1">IFERROR(SUMIFS(INDIRECT("'Thanh Toán ("&amp;L$3&amp;")'!$F:$F"),INDIRECT("'Thanh Toán ("&amp;L$3&amp;")'!$D:$D"),'Tổng Đơn'!$B52),0)</f>
        <v>0</v>
      </c>
      <c r="M52" s="2">
        <f ca="1">IFERROR(SUMIFS(INDIRECT("'Thanh Toán ("&amp;M$3&amp;")'!$F:$F"),INDIRECT("'Thanh Toán ("&amp;M$3&amp;")'!$D:$D"),'Tổng Đơn'!$B52),0)</f>
        <v>0</v>
      </c>
      <c r="N52" s="2">
        <f ca="1">IFERROR(SUMIFS(INDIRECT("'Thanh Toán ("&amp;N$3&amp;")'!$F:$F"),INDIRECT("'Thanh Toán ("&amp;N$3&amp;")'!$D:$D"),'Tổng Đơn'!$B52),0)</f>
        <v>0</v>
      </c>
      <c r="O52" s="2">
        <f ca="1">IFERROR(SUMIFS(INDIRECT("'Thanh Toán ("&amp;O$3&amp;")'!$F:$F"),INDIRECT("'Thanh Toán ("&amp;O$3&amp;")'!$D:$D"),'Tổng Đơn'!$B52),0)</f>
        <v>0</v>
      </c>
      <c r="P52" s="2">
        <f ca="1">IFERROR(SUMIFS(INDIRECT("'Thanh Toán ("&amp;P$3&amp;")'!$F:$F"),INDIRECT("'Thanh Toán ("&amp;P$3&amp;")'!$D:$D"),'Tổng Đơn'!$B52),0)</f>
        <v>0</v>
      </c>
      <c r="Q52" s="2">
        <f ca="1">IFERROR(SUMIFS(INDIRECT("'Thanh Toán ("&amp;Q$3&amp;")'!$F:$F"),INDIRECT("'Thanh Toán ("&amp;Q$3&amp;")'!$D:$D"),'Tổng Đơn'!$B52),0)</f>
        <v>0</v>
      </c>
      <c r="R52" s="2">
        <f ca="1">IFERROR(SUMIFS(INDIRECT("'Thanh Toán ("&amp;R$3&amp;")'!$F:$F"),INDIRECT("'Thanh Toán ("&amp;R$3&amp;")'!$D:$D"),'Tổng Đơn'!$B52),0)</f>
        <v>0</v>
      </c>
      <c r="S52" s="2">
        <f ca="1">IFERROR(SUMIFS(INDIRECT("'Thanh Toán ("&amp;S$3&amp;")'!$F:$F"),INDIRECT("'Thanh Toán ("&amp;S$3&amp;")'!$D:$D"),'Tổng Đơn'!$B52),0)</f>
        <v>0</v>
      </c>
      <c r="T52" s="2">
        <f ca="1">IFERROR(SUMIFS(INDIRECT("'Thanh Toán ("&amp;T$3&amp;")'!$F:$F"),INDIRECT("'Thanh Toán ("&amp;T$3&amp;")'!$D:$D"),'Tổng Đơn'!$B52),0)</f>
        <v>0</v>
      </c>
      <c r="U52" s="2">
        <f ca="1">IFERROR(SUMIFS(INDIRECT("'Thanh Toán ("&amp;U$3&amp;")'!$F:$F"),INDIRECT("'Thanh Toán ("&amp;U$3&amp;")'!$D:$D"),'Tổng Đơn'!$B52),0)</f>
        <v>0</v>
      </c>
      <c r="V52" s="2">
        <f ca="1">IFERROR(SUMIFS(INDIRECT("'Thanh Toán ("&amp;V$3&amp;")'!$F:$F"),INDIRECT("'Thanh Toán ("&amp;V$3&amp;")'!$D:$D"),'Tổng Đơn'!$B52),0)</f>
        <v>0</v>
      </c>
      <c r="W52" s="2">
        <f ca="1">IFERROR(SUMIFS(INDIRECT("'Thanh Toán ("&amp;W$3&amp;")'!$F:$F"),INDIRECT("'Thanh Toán ("&amp;W$3&amp;")'!$D:$D"),'Tổng Đơn'!$B52),0)</f>
        <v>0</v>
      </c>
      <c r="X52" s="2">
        <f ca="1">IFERROR(SUMIFS(INDIRECT("'Thanh Toán ("&amp;X$3&amp;")'!$F:$F"),INDIRECT("'Thanh Toán ("&amp;X$3&amp;")'!$D:$D"),'Tổng Đơn'!$B52),0)</f>
        <v>0</v>
      </c>
      <c r="Y52" s="2">
        <f ca="1">IFERROR(SUMIFS(INDIRECT("'Thanh Toán ("&amp;Y$3&amp;")'!$F:$F"),INDIRECT("'Thanh Toán ("&amp;Y$3&amp;")'!$D:$D"),'Tổng Đơn'!$B52),0)</f>
        <v>0</v>
      </c>
      <c r="Z52" s="2">
        <f ca="1">IFERROR(SUMIFS(INDIRECT("'Thanh Toán ("&amp;Z$3&amp;")'!$F:$F"),INDIRECT("'Thanh Toán ("&amp;Z$3&amp;")'!$D:$D"),'Tổng Đơn'!$B52),0)</f>
        <v>0</v>
      </c>
      <c r="AA52" s="2">
        <f ca="1">IFERROR(SUMIFS(INDIRECT("'Thanh Toán ("&amp;AA$3&amp;")'!$F:$F"),INDIRECT("'Thanh Toán ("&amp;AA$3&amp;")'!$D:$D"),'Tổng Đơn'!$B52),0)</f>
        <v>0</v>
      </c>
      <c r="AB52" s="2">
        <f ca="1">IFERROR(SUMIFS(INDIRECT("'Thanh Toán ("&amp;AB$3&amp;")'!$F:$F"),INDIRECT("'Thanh Toán ("&amp;AB$3&amp;")'!$D:$D"),'Tổng Đơn'!$B52),0)</f>
        <v>0</v>
      </c>
      <c r="AC52" s="2">
        <f ca="1">IFERROR(SUMIFS(INDIRECT("'Thanh Toán ("&amp;AC$3&amp;")'!$F:$F"),INDIRECT("'Thanh Toán ("&amp;AC$3&amp;")'!$D:$D"),'Tổng Đơn'!$B52),0)</f>
        <v>0</v>
      </c>
      <c r="AD52" s="2">
        <f ca="1">IFERROR(SUMIFS(INDIRECT("'Thanh Toán ("&amp;AD$3&amp;")'!$F:$F"),INDIRECT("'Thanh Toán ("&amp;AD$3&amp;")'!$D:$D"),'Tổng Đơn'!$B52),0)</f>
        <v>0</v>
      </c>
      <c r="AE52" s="2">
        <f ca="1">IFERROR(SUMIFS(INDIRECT("'Thanh Toán ("&amp;AE$3&amp;")'!$F:$F"),INDIRECT("'Thanh Toán ("&amp;AE$3&amp;")'!$D:$D"),'Tổng Đơn'!$B52),0)</f>
        <v>0</v>
      </c>
      <c r="AF52" s="2">
        <f ca="1">IFERROR(SUMIFS(INDIRECT("'Thanh Toán ("&amp;AF$3&amp;")'!$F:$F"),INDIRECT("'Thanh Toán ("&amp;AF$3&amp;")'!$D:$D"),'Tổng Đơn'!$B52),0)</f>
        <v>0</v>
      </c>
      <c r="AG52" s="2">
        <f ca="1">IFERROR(SUMIFS(INDIRECT("'Thanh Toán ("&amp;AG$3&amp;")'!$F:$F"),INDIRECT("'Thanh Toán ("&amp;AG$3&amp;")'!$D:$D"),'Tổng Đơn'!$B52),0)</f>
        <v>0</v>
      </c>
      <c r="AH52" s="2">
        <f ca="1">IFERROR(SUMIFS(INDIRECT("'Thanh Toán ("&amp;AH$3&amp;")'!$F:$F"),INDIRECT("'Thanh Toán ("&amp;AH$3&amp;")'!$D:$D"),'Tổng Đơn'!$B52),0)</f>
        <v>0</v>
      </c>
      <c r="AI52" s="2">
        <f ca="1">IFERROR(SUMIFS(INDIRECT("'Thanh Toán ("&amp;AI$3&amp;")'!$F:$F"),INDIRECT("'Thanh Toán ("&amp;AI$3&amp;")'!$D:$D"),'Tổng Đơn'!$B52),0)</f>
        <v>0</v>
      </c>
      <c r="AJ52" s="2">
        <f ca="1">IFERROR(SUMIFS(INDIRECT("'Thanh Toán ("&amp;AJ$3&amp;")'!$F:$F"),INDIRECT("'Thanh Toán ("&amp;AJ$3&amp;")'!$D:$D"),'Tổng Đơn'!$B52),0)</f>
        <v>0</v>
      </c>
      <c r="AK52" s="2">
        <f ca="1">IFERROR(SUMIFS(INDIRECT("'Thanh Toán ("&amp;AK$3&amp;")'!$F:$F"),INDIRECT("'Thanh Toán ("&amp;AK$3&amp;")'!$D:$D"),'Tổng Đơn'!$B52),0)</f>
        <v>0</v>
      </c>
      <c r="AL52" s="2">
        <f ca="1">IFERROR(SUMIFS(INDIRECT("'Thanh Toán ("&amp;AL$3&amp;")'!$F:$F"),INDIRECT("'Thanh Toán ("&amp;AL$3&amp;")'!$D:$D"),'Tổng Đơn'!$B52),0)</f>
        <v>0</v>
      </c>
      <c r="AM52" s="2">
        <f ca="1">IFERROR(SUMIFS(INDIRECT("'Thanh Toán ("&amp;AM$3&amp;")'!$F:$F"),INDIRECT("'Thanh Toán ("&amp;AM$3&amp;")'!$D:$D"),'Tổng Đơn'!$B52),0)</f>
        <v>0</v>
      </c>
      <c r="AN52" s="2">
        <f ca="1">IFERROR(SUMIFS(INDIRECT("'Thanh Toán ("&amp;AN$3&amp;")'!$F:$F"),INDIRECT("'Thanh Toán ("&amp;AN$3&amp;")'!$D:$D"),'Tổng Đơn'!$B52),0)</f>
        <v>0</v>
      </c>
      <c r="AO52" s="2">
        <f ca="1">IFERROR(SUMIFS(INDIRECT("'Thanh Toán ("&amp;AO$3&amp;")'!$F:$F"),INDIRECT("'Thanh Toán ("&amp;AO$3&amp;")'!$D:$D"),'Tổng Đơn'!$B52),0)</f>
        <v>0</v>
      </c>
      <c r="AP52" s="2">
        <f ca="1">IFERROR(SUMIFS(INDIRECT("'Thanh Toán ("&amp;AP$3&amp;")'!$F:$F"),INDIRECT("'Thanh Toán ("&amp;AP$3&amp;")'!$D:$D"),'Tổng Đơn'!$B52),0)</f>
        <v>0</v>
      </c>
      <c r="AQ52" s="2">
        <f ca="1">IFERROR(SUMIFS(INDIRECT("'Thanh Toán ("&amp;AQ$3&amp;")'!$F:$F"),INDIRECT("'Thanh Toán ("&amp;AQ$3&amp;")'!$D:$D"),'Tổng Đơn'!$B52),0)</f>
        <v>0</v>
      </c>
      <c r="AR52" s="2">
        <f ca="1">IFERROR(SUMIFS(INDIRECT("'Thanh Toán ("&amp;AR$3&amp;")'!$F:$F"),INDIRECT("'Thanh Toán ("&amp;AR$3&amp;")'!$D:$D"),'Tổng Đơn'!$B52),0)</f>
        <v>0</v>
      </c>
      <c r="AS52" s="2">
        <f ca="1">IFERROR(SUMIFS(INDIRECT("'Thanh Toán ("&amp;AS$3&amp;")'!$F:$F"),INDIRECT("'Thanh Toán ("&amp;AS$3&amp;")'!$D:$D"),'Tổng Đơn'!$B52),0)</f>
        <v>0</v>
      </c>
      <c r="AT52" s="2">
        <f ca="1">IFERROR(SUMIFS(INDIRECT("'Thanh Toán ("&amp;AT$3&amp;")'!$F:$F"),INDIRECT("'Thanh Toán ("&amp;AT$3&amp;")'!$D:$D"),'Tổng Đơn'!$B52),0)</f>
        <v>0</v>
      </c>
      <c r="AU52" s="2">
        <f ca="1">IFERROR(SUMIFS(INDIRECT("'Thanh Toán ("&amp;AU$3&amp;")'!$F:$F"),INDIRECT("'Thanh Toán ("&amp;AU$3&amp;")'!$D:$D"),'Tổng Đơn'!$B52),0)</f>
        <v>0</v>
      </c>
      <c r="AV52" s="2">
        <f ca="1">IFERROR(SUMIFS(INDIRECT("'Thanh Toán ("&amp;AV$3&amp;")'!$F:$F"),INDIRECT("'Thanh Toán ("&amp;AV$3&amp;")'!$D:$D"),'Tổng Đơn'!$B52),0)</f>
        <v>0</v>
      </c>
      <c r="AW52" s="2">
        <f ca="1">IFERROR(SUMIFS(INDIRECT("'Thanh Toán ("&amp;AW$3&amp;")'!$F:$F"),INDIRECT("'Thanh Toán ("&amp;AW$3&amp;")'!$D:$D"),'Tổng Đơn'!$B52),0)</f>
        <v>0</v>
      </c>
      <c r="AX52" s="2">
        <f ca="1">IFERROR(SUMIFS(INDIRECT("'Thanh Toán ("&amp;AX$3&amp;")'!$F:$F"),INDIRECT("'Thanh Toán ("&amp;AX$3&amp;")'!$D:$D"),'Tổng Đơn'!$B52),0)</f>
        <v>0</v>
      </c>
      <c r="AY52" s="2">
        <f ca="1">IFERROR(SUMIFS(INDIRECT("'Thanh Toán ("&amp;AY$3&amp;")'!$F:$F"),INDIRECT("'Thanh Toán ("&amp;AY$3&amp;")'!$D:$D"),'Tổng Đơn'!$B52),0)</f>
        <v>0</v>
      </c>
      <c r="AZ52" s="2">
        <f ca="1">IFERROR(SUMIFS(INDIRECT("'Thanh Toán ("&amp;AZ$3&amp;")'!$F:$F"),INDIRECT("'Thanh Toán ("&amp;AZ$3&amp;")'!$D:$D"),'Tổng Đơn'!$B52),0)</f>
        <v>0</v>
      </c>
      <c r="BA52" s="2">
        <f ca="1">IFERROR(SUMIFS(INDIRECT("'Thanh Toán ("&amp;BA$3&amp;")'!$F:$F"),INDIRECT("'Thanh Toán ("&amp;BA$3&amp;")'!$D:$D"),'Tổng Đơn'!$B52),0)</f>
        <v>0</v>
      </c>
      <c r="BB52" s="2">
        <f ca="1">IFERROR(SUMIFS(INDIRECT("'Thanh Toán ("&amp;BB$3&amp;")'!$F:$F"),INDIRECT("'Thanh Toán ("&amp;BB$3&amp;")'!$D:$D"),'Tổng Đơn'!$B52),0)</f>
        <v>0</v>
      </c>
      <c r="BC52" s="2">
        <f ca="1">IFERROR(SUMIFS(INDIRECT("'Thanh Toán ("&amp;BC$3&amp;")'!$F:$F"),INDIRECT("'Thanh Toán ("&amp;BC$3&amp;")'!$D:$D"),'Tổng Đơn'!$B52),0)</f>
        <v>0</v>
      </c>
    </row>
    <row r="53" spans="1:55" ht="18" customHeight="1" x14ac:dyDescent="0.25">
      <c r="A53" s="167">
        <v>43</v>
      </c>
      <c r="B53" s="168" t="s">
        <v>141</v>
      </c>
      <c r="C53" s="167" t="s">
        <v>89</v>
      </c>
      <c r="D53" s="169">
        <f>VLOOKUP($C53,Sheet1!$C$8:$D$98,2,0)</f>
        <v>69000</v>
      </c>
      <c r="E53" s="170">
        <v>0.5</v>
      </c>
      <c r="F53" s="171">
        <f t="shared" ca="1" si="13"/>
        <v>0</v>
      </c>
      <c r="G53" s="172">
        <f>IFERROR(VLOOKUP($B53,Gà!C:J,8,0),IFERROR(VLOOKUP($B53,TVP!C:J,7,0),IFERROR(VLOOKUP($B53,Kitkool!C:J,8,0),IFERROR(VLOOKUP($B53,'La Cusina'!C:J,8,0),VLOOKUP($B53,'Quốc Nhân'!C:J,8,0)))))</f>
        <v>58.266587872221677</v>
      </c>
      <c r="H53" s="173">
        <f t="shared" ca="1" si="10"/>
        <v>0</v>
      </c>
      <c r="I53" s="195">
        <f t="shared" si="11"/>
        <v>0.1842121277346227</v>
      </c>
      <c r="J53" s="173">
        <f t="shared" ca="1" si="12"/>
        <v>0</v>
      </c>
      <c r="K53" s="38"/>
      <c r="L53" s="2">
        <f ca="1">IFERROR(SUMIFS(INDIRECT("'Thanh Toán ("&amp;L$3&amp;")'!$F:$F"),INDIRECT("'Thanh Toán ("&amp;L$3&amp;")'!$D:$D"),'Tổng Đơn'!$B53),0)</f>
        <v>0</v>
      </c>
      <c r="M53" s="2">
        <f ca="1">IFERROR(SUMIFS(INDIRECT("'Thanh Toán ("&amp;M$3&amp;")'!$F:$F"),INDIRECT("'Thanh Toán ("&amp;M$3&amp;")'!$D:$D"),'Tổng Đơn'!$B53),0)</f>
        <v>0</v>
      </c>
      <c r="N53" s="2">
        <f ca="1">IFERROR(SUMIFS(INDIRECT("'Thanh Toán ("&amp;N$3&amp;")'!$F:$F"),INDIRECT("'Thanh Toán ("&amp;N$3&amp;")'!$D:$D"),'Tổng Đơn'!$B53),0)</f>
        <v>0</v>
      </c>
      <c r="O53" s="2">
        <f ca="1">IFERROR(SUMIFS(INDIRECT("'Thanh Toán ("&amp;O$3&amp;")'!$F:$F"),INDIRECT("'Thanh Toán ("&amp;O$3&amp;")'!$D:$D"),'Tổng Đơn'!$B53),0)</f>
        <v>0</v>
      </c>
      <c r="P53" s="2">
        <f ca="1">IFERROR(SUMIFS(INDIRECT("'Thanh Toán ("&amp;P$3&amp;")'!$F:$F"),INDIRECT("'Thanh Toán ("&amp;P$3&amp;")'!$D:$D"),'Tổng Đơn'!$B53),0)</f>
        <v>0</v>
      </c>
      <c r="Q53" s="2">
        <f ca="1">IFERROR(SUMIFS(INDIRECT("'Thanh Toán ("&amp;Q$3&amp;")'!$F:$F"),INDIRECT("'Thanh Toán ("&amp;Q$3&amp;")'!$D:$D"),'Tổng Đơn'!$B53),0)</f>
        <v>0</v>
      </c>
      <c r="R53" s="2">
        <f ca="1">IFERROR(SUMIFS(INDIRECT("'Thanh Toán ("&amp;R$3&amp;")'!$F:$F"),INDIRECT("'Thanh Toán ("&amp;R$3&amp;")'!$D:$D"),'Tổng Đơn'!$B53),0)</f>
        <v>0</v>
      </c>
      <c r="S53" s="2">
        <f ca="1">IFERROR(SUMIFS(INDIRECT("'Thanh Toán ("&amp;S$3&amp;")'!$F:$F"),INDIRECT("'Thanh Toán ("&amp;S$3&amp;")'!$D:$D"),'Tổng Đơn'!$B53),0)</f>
        <v>0</v>
      </c>
      <c r="T53" s="2">
        <f ca="1">IFERROR(SUMIFS(INDIRECT("'Thanh Toán ("&amp;T$3&amp;")'!$F:$F"),INDIRECT("'Thanh Toán ("&amp;T$3&amp;")'!$D:$D"),'Tổng Đơn'!$B53),0)</f>
        <v>0</v>
      </c>
      <c r="U53" s="2">
        <f ca="1">IFERROR(SUMIFS(INDIRECT("'Thanh Toán ("&amp;U$3&amp;")'!$F:$F"),INDIRECT("'Thanh Toán ("&amp;U$3&amp;")'!$D:$D"),'Tổng Đơn'!$B53),0)</f>
        <v>0</v>
      </c>
      <c r="V53" s="2">
        <f ca="1">IFERROR(SUMIFS(INDIRECT("'Thanh Toán ("&amp;V$3&amp;")'!$F:$F"),INDIRECT("'Thanh Toán ("&amp;V$3&amp;")'!$D:$D"),'Tổng Đơn'!$B53),0)</f>
        <v>0</v>
      </c>
      <c r="W53" s="2">
        <f ca="1">IFERROR(SUMIFS(INDIRECT("'Thanh Toán ("&amp;W$3&amp;")'!$F:$F"),INDIRECT("'Thanh Toán ("&amp;W$3&amp;")'!$D:$D"),'Tổng Đơn'!$B53),0)</f>
        <v>0</v>
      </c>
      <c r="X53" s="2">
        <f ca="1">IFERROR(SUMIFS(INDIRECT("'Thanh Toán ("&amp;X$3&amp;")'!$F:$F"),INDIRECT("'Thanh Toán ("&amp;X$3&amp;")'!$D:$D"),'Tổng Đơn'!$B53),0)</f>
        <v>0</v>
      </c>
      <c r="Y53" s="2">
        <f ca="1">IFERROR(SUMIFS(INDIRECT("'Thanh Toán ("&amp;Y$3&amp;")'!$F:$F"),INDIRECT("'Thanh Toán ("&amp;Y$3&amp;")'!$D:$D"),'Tổng Đơn'!$B53),0)</f>
        <v>0</v>
      </c>
      <c r="Z53" s="2">
        <f ca="1">IFERROR(SUMIFS(INDIRECT("'Thanh Toán ("&amp;Z$3&amp;")'!$F:$F"),INDIRECT("'Thanh Toán ("&amp;Z$3&amp;")'!$D:$D"),'Tổng Đơn'!$B53),0)</f>
        <v>0</v>
      </c>
      <c r="AA53" s="2">
        <f ca="1">IFERROR(SUMIFS(INDIRECT("'Thanh Toán ("&amp;AA$3&amp;")'!$F:$F"),INDIRECT("'Thanh Toán ("&amp;AA$3&amp;")'!$D:$D"),'Tổng Đơn'!$B53),0)</f>
        <v>0</v>
      </c>
      <c r="AB53" s="2">
        <f ca="1">IFERROR(SUMIFS(INDIRECT("'Thanh Toán ("&amp;AB$3&amp;")'!$F:$F"),INDIRECT("'Thanh Toán ("&amp;AB$3&amp;")'!$D:$D"),'Tổng Đơn'!$B53),0)</f>
        <v>0</v>
      </c>
      <c r="AC53" s="2">
        <f ca="1">IFERROR(SUMIFS(INDIRECT("'Thanh Toán ("&amp;AC$3&amp;")'!$F:$F"),INDIRECT("'Thanh Toán ("&amp;AC$3&amp;")'!$D:$D"),'Tổng Đơn'!$B53),0)</f>
        <v>0</v>
      </c>
      <c r="AD53" s="2">
        <f ca="1">IFERROR(SUMIFS(INDIRECT("'Thanh Toán ("&amp;AD$3&amp;")'!$F:$F"),INDIRECT("'Thanh Toán ("&amp;AD$3&amp;")'!$D:$D"),'Tổng Đơn'!$B53),0)</f>
        <v>0</v>
      </c>
      <c r="AE53" s="2">
        <f ca="1">IFERROR(SUMIFS(INDIRECT("'Thanh Toán ("&amp;AE$3&amp;")'!$F:$F"),INDIRECT("'Thanh Toán ("&amp;AE$3&amp;")'!$D:$D"),'Tổng Đơn'!$B53),0)</f>
        <v>0</v>
      </c>
      <c r="AF53" s="2">
        <f ca="1">IFERROR(SUMIFS(INDIRECT("'Thanh Toán ("&amp;AF$3&amp;")'!$F:$F"),INDIRECT("'Thanh Toán ("&amp;AF$3&amp;")'!$D:$D"),'Tổng Đơn'!$B53),0)</f>
        <v>0</v>
      </c>
      <c r="AG53" s="2">
        <f ca="1">IFERROR(SUMIFS(INDIRECT("'Thanh Toán ("&amp;AG$3&amp;")'!$F:$F"),INDIRECT("'Thanh Toán ("&amp;AG$3&amp;")'!$D:$D"),'Tổng Đơn'!$B53),0)</f>
        <v>0</v>
      </c>
      <c r="AH53" s="2">
        <f ca="1">IFERROR(SUMIFS(INDIRECT("'Thanh Toán ("&amp;AH$3&amp;")'!$F:$F"),INDIRECT("'Thanh Toán ("&amp;AH$3&amp;")'!$D:$D"),'Tổng Đơn'!$B53),0)</f>
        <v>0</v>
      </c>
      <c r="AI53" s="2">
        <f ca="1">IFERROR(SUMIFS(INDIRECT("'Thanh Toán ("&amp;AI$3&amp;")'!$F:$F"),INDIRECT("'Thanh Toán ("&amp;AI$3&amp;")'!$D:$D"),'Tổng Đơn'!$B53),0)</f>
        <v>0</v>
      </c>
      <c r="AJ53" s="2">
        <f ca="1">IFERROR(SUMIFS(INDIRECT("'Thanh Toán ("&amp;AJ$3&amp;")'!$F:$F"),INDIRECT("'Thanh Toán ("&amp;AJ$3&amp;")'!$D:$D"),'Tổng Đơn'!$B53),0)</f>
        <v>0</v>
      </c>
      <c r="AK53" s="2">
        <f ca="1">IFERROR(SUMIFS(INDIRECT("'Thanh Toán ("&amp;AK$3&amp;")'!$F:$F"),INDIRECT("'Thanh Toán ("&amp;AK$3&amp;")'!$D:$D"),'Tổng Đơn'!$B53),0)</f>
        <v>0</v>
      </c>
      <c r="AL53" s="2">
        <f ca="1">IFERROR(SUMIFS(INDIRECT("'Thanh Toán ("&amp;AL$3&amp;")'!$F:$F"),INDIRECT("'Thanh Toán ("&amp;AL$3&amp;")'!$D:$D"),'Tổng Đơn'!$B53),0)</f>
        <v>0</v>
      </c>
      <c r="AM53" s="2">
        <f ca="1">IFERROR(SUMIFS(INDIRECT("'Thanh Toán ("&amp;AM$3&amp;")'!$F:$F"),INDIRECT("'Thanh Toán ("&amp;AM$3&amp;")'!$D:$D"),'Tổng Đơn'!$B53),0)</f>
        <v>0</v>
      </c>
      <c r="AN53" s="2">
        <f ca="1">IFERROR(SUMIFS(INDIRECT("'Thanh Toán ("&amp;AN$3&amp;")'!$F:$F"),INDIRECT("'Thanh Toán ("&amp;AN$3&amp;")'!$D:$D"),'Tổng Đơn'!$B53),0)</f>
        <v>0</v>
      </c>
      <c r="AO53" s="2">
        <f ca="1">IFERROR(SUMIFS(INDIRECT("'Thanh Toán ("&amp;AO$3&amp;")'!$F:$F"),INDIRECT("'Thanh Toán ("&amp;AO$3&amp;")'!$D:$D"),'Tổng Đơn'!$B53),0)</f>
        <v>0</v>
      </c>
      <c r="AP53" s="2">
        <f ca="1">IFERROR(SUMIFS(INDIRECT("'Thanh Toán ("&amp;AP$3&amp;")'!$F:$F"),INDIRECT("'Thanh Toán ("&amp;AP$3&amp;")'!$D:$D"),'Tổng Đơn'!$B53),0)</f>
        <v>0</v>
      </c>
      <c r="AQ53" s="2">
        <f ca="1">IFERROR(SUMIFS(INDIRECT("'Thanh Toán ("&amp;AQ$3&amp;")'!$F:$F"),INDIRECT("'Thanh Toán ("&amp;AQ$3&amp;")'!$D:$D"),'Tổng Đơn'!$B53),0)</f>
        <v>0</v>
      </c>
      <c r="AR53" s="2">
        <f ca="1">IFERROR(SUMIFS(INDIRECT("'Thanh Toán ("&amp;AR$3&amp;")'!$F:$F"),INDIRECT("'Thanh Toán ("&amp;AR$3&amp;")'!$D:$D"),'Tổng Đơn'!$B53),0)</f>
        <v>0</v>
      </c>
      <c r="AS53" s="2">
        <f ca="1">IFERROR(SUMIFS(INDIRECT("'Thanh Toán ("&amp;AS$3&amp;")'!$F:$F"),INDIRECT("'Thanh Toán ("&amp;AS$3&amp;")'!$D:$D"),'Tổng Đơn'!$B53),0)</f>
        <v>0</v>
      </c>
      <c r="AT53" s="2">
        <f ca="1">IFERROR(SUMIFS(INDIRECT("'Thanh Toán ("&amp;AT$3&amp;")'!$F:$F"),INDIRECT("'Thanh Toán ("&amp;AT$3&amp;")'!$D:$D"),'Tổng Đơn'!$B53),0)</f>
        <v>0</v>
      </c>
      <c r="AU53" s="2">
        <f ca="1">IFERROR(SUMIFS(INDIRECT("'Thanh Toán ("&amp;AU$3&amp;")'!$F:$F"),INDIRECT("'Thanh Toán ("&amp;AU$3&amp;")'!$D:$D"),'Tổng Đơn'!$B53),0)</f>
        <v>0</v>
      </c>
      <c r="AV53" s="2">
        <f ca="1">IFERROR(SUMIFS(INDIRECT("'Thanh Toán ("&amp;AV$3&amp;")'!$F:$F"),INDIRECT("'Thanh Toán ("&amp;AV$3&amp;")'!$D:$D"),'Tổng Đơn'!$B53),0)</f>
        <v>0</v>
      </c>
      <c r="AW53" s="2">
        <f ca="1">IFERROR(SUMIFS(INDIRECT("'Thanh Toán ("&amp;AW$3&amp;")'!$F:$F"),INDIRECT("'Thanh Toán ("&amp;AW$3&amp;")'!$D:$D"),'Tổng Đơn'!$B53),0)</f>
        <v>0</v>
      </c>
      <c r="AX53" s="2">
        <f ca="1">IFERROR(SUMIFS(INDIRECT("'Thanh Toán ("&amp;AX$3&amp;")'!$F:$F"),INDIRECT("'Thanh Toán ("&amp;AX$3&amp;")'!$D:$D"),'Tổng Đơn'!$B53),0)</f>
        <v>0</v>
      </c>
      <c r="AY53" s="2">
        <f ca="1">IFERROR(SUMIFS(INDIRECT("'Thanh Toán ("&amp;AY$3&amp;")'!$F:$F"),INDIRECT("'Thanh Toán ("&amp;AY$3&amp;")'!$D:$D"),'Tổng Đơn'!$B53),0)</f>
        <v>0</v>
      </c>
      <c r="AZ53" s="2">
        <f ca="1">IFERROR(SUMIFS(INDIRECT("'Thanh Toán ("&amp;AZ$3&amp;")'!$F:$F"),INDIRECT("'Thanh Toán ("&amp;AZ$3&amp;")'!$D:$D"),'Tổng Đơn'!$B53),0)</f>
        <v>0</v>
      </c>
      <c r="BA53" s="2">
        <f ca="1">IFERROR(SUMIFS(INDIRECT("'Thanh Toán ("&amp;BA$3&amp;")'!$F:$F"),INDIRECT("'Thanh Toán ("&amp;BA$3&amp;")'!$D:$D"),'Tổng Đơn'!$B53),0)</f>
        <v>0</v>
      </c>
      <c r="BB53" s="2">
        <f ca="1">IFERROR(SUMIFS(INDIRECT("'Thanh Toán ("&amp;BB$3&amp;")'!$F:$F"),INDIRECT("'Thanh Toán ("&amp;BB$3&amp;")'!$D:$D"),'Tổng Đơn'!$B53),0)</f>
        <v>0</v>
      </c>
      <c r="BC53" s="2">
        <f ca="1">IFERROR(SUMIFS(INDIRECT("'Thanh Toán ("&amp;BC$3&amp;")'!$F:$F"),INDIRECT("'Thanh Toán ("&amp;BC$3&amp;")'!$D:$D"),'Tổng Đơn'!$B53),0)</f>
        <v>0</v>
      </c>
    </row>
    <row r="54" spans="1:55" ht="18" customHeight="1" x14ac:dyDescent="0.25">
      <c r="A54" s="174">
        <v>44</v>
      </c>
      <c r="B54" s="168" t="s">
        <v>143</v>
      </c>
      <c r="C54" s="174" t="s">
        <v>90</v>
      </c>
      <c r="D54" s="169">
        <f>VLOOKUP($C54,Sheet1!$C$8:$D$98,2,0)</f>
        <v>76000</v>
      </c>
      <c r="E54" s="170">
        <v>0.5</v>
      </c>
      <c r="F54" s="171">
        <f t="shared" ca="1" si="13"/>
        <v>0</v>
      </c>
      <c r="G54" s="172">
        <f>IFERROR(VLOOKUP($B54,Gà!C:J,8,0),IFERROR(VLOOKUP($B54,TVP!C:J,7,0),IFERROR(VLOOKUP($B54,Kitkool!C:J,8,0),IFERROR(VLOOKUP($B54,'La Cusina'!C:J,8,0),VLOOKUP($B54,'Quốc Nhân'!C:J,8,0)))))</f>
        <v>63.289569585344232</v>
      </c>
      <c r="H54" s="173">
        <f t="shared" ca="1" si="10"/>
        <v>0</v>
      </c>
      <c r="I54" s="195">
        <f t="shared" si="11"/>
        <v>0.20082978124090589</v>
      </c>
      <c r="J54" s="173">
        <f t="shared" ca="1" si="12"/>
        <v>0</v>
      </c>
      <c r="K54" s="38"/>
      <c r="L54" s="2">
        <f ca="1">IFERROR(SUMIFS(INDIRECT("'Thanh Toán ("&amp;L$3&amp;")'!$F:$F"),INDIRECT("'Thanh Toán ("&amp;L$3&amp;")'!$D:$D"),'Tổng Đơn'!$B54),0)</f>
        <v>0</v>
      </c>
      <c r="M54" s="2">
        <f ca="1">IFERROR(SUMIFS(INDIRECT("'Thanh Toán ("&amp;M$3&amp;")'!$F:$F"),INDIRECT("'Thanh Toán ("&amp;M$3&amp;")'!$D:$D"),'Tổng Đơn'!$B54),0)</f>
        <v>0</v>
      </c>
      <c r="N54" s="2">
        <f ca="1">IFERROR(SUMIFS(INDIRECT("'Thanh Toán ("&amp;N$3&amp;")'!$F:$F"),INDIRECT("'Thanh Toán ("&amp;N$3&amp;")'!$D:$D"),'Tổng Đơn'!$B54),0)</f>
        <v>0</v>
      </c>
      <c r="O54" s="2">
        <f ca="1">IFERROR(SUMIFS(INDIRECT("'Thanh Toán ("&amp;O$3&amp;")'!$F:$F"),INDIRECT("'Thanh Toán ("&amp;O$3&amp;")'!$D:$D"),'Tổng Đơn'!$B54),0)</f>
        <v>0</v>
      </c>
      <c r="P54" s="2">
        <f ca="1">IFERROR(SUMIFS(INDIRECT("'Thanh Toán ("&amp;P$3&amp;")'!$F:$F"),INDIRECT("'Thanh Toán ("&amp;P$3&amp;")'!$D:$D"),'Tổng Đơn'!$B54),0)</f>
        <v>0</v>
      </c>
      <c r="Q54" s="2">
        <f ca="1">IFERROR(SUMIFS(INDIRECT("'Thanh Toán ("&amp;Q$3&amp;")'!$F:$F"),INDIRECT("'Thanh Toán ("&amp;Q$3&amp;")'!$D:$D"),'Tổng Đơn'!$B54),0)</f>
        <v>0</v>
      </c>
      <c r="R54" s="2">
        <f ca="1">IFERROR(SUMIFS(INDIRECT("'Thanh Toán ("&amp;R$3&amp;")'!$F:$F"),INDIRECT("'Thanh Toán ("&amp;R$3&amp;")'!$D:$D"),'Tổng Đơn'!$B54),0)</f>
        <v>0</v>
      </c>
      <c r="S54" s="2">
        <f ca="1">IFERROR(SUMIFS(INDIRECT("'Thanh Toán ("&amp;S$3&amp;")'!$F:$F"),INDIRECT("'Thanh Toán ("&amp;S$3&amp;")'!$D:$D"),'Tổng Đơn'!$B54),0)</f>
        <v>0</v>
      </c>
      <c r="T54" s="2">
        <f ca="1">IFERROR(SUMIFS(INDIRECT("'Thanh Toán ("&amp;T$3&amp;")'!$F:$F"),INDIRECT("'Thanh Toán ("&amp;T$3&amp;")'!$D:$D"),'Tổng Đơn'!$B54),0)</f>
        <v>0</v>
      </c>
      <c r="U54" s="2">
        <f ca="1">IFERROR(SUMIFS(INDIRECT("'Thanh Toán ("&amp;U$3&amp;")'!$F:$F"),INDIRECT("'Thanh Toán ("&amp;U$3&amp;")'!$D:$D"),'Tổng Đơn'!$B54),0)</f>
        <v>0</v>
      </c>
      <c r="V54" s="2">
        <f ca="1">IFERROR(SUMIFS(INDIRECT("'Thanh Toán ("&amp;V$3&amp;")'!$F:$F"),INDIRECT("'Thanh Toán ("&amp;V$3&amp;")'!$D:$D"),'Tổng Đơn'!$B54),0)</f>
        <v>0</v>
      </c>
      <c r="W54" s="2">
        <f ca="1">IFERROR(SUMIFS(INDIRECT("'Thanh Toán ("&amp;W$3&amp;")'!$F:$F"),INDIRECT("'Thanh Toán ("&amp;W$3&amp;")'!$D:$D"),'Tổng Đơn'!$B54),0)</f>
        <v>0</v>
      </c>
      <c r="X54" s="2">
        <f ca="1">IFERROR(SUMIFS(INDIRECT("'Thanh Toán ("&amp;X$3&amp;")'!$F:$F"),INDIRECT("'Thanh Toán ("&amp;X$3&amp;")'!$D:$D"),'Tổng Đơn'!$B54),0)</f>
        <v>0</v>
      </c>
      <c r="Y54" s="2">
        <f ca="1">IFERROR(SUMIFS(INDIRECT("'Thanh Toán ("&amp;Y$3&amp;")'!$F:$F"),INDIRECT("'Thanh Toán ("&amp;Y$3&amp;")'!$D:$D"),'Tổng Đơn'!$B54),0)</f>
        <v>0</v>
      </c>
      <c r="Z54" s="2">
        <f ca="1">IFERROR(SUMIFS(INDIRECT("'Thanh Toán ("&amp;Z$3&amp;")'!$F:$F"),INDIRECT("'Thanh Toán ("&amp;Z$3&amp;")'!$D:$D"),'Tổng Đơn'!$B54),0)</f>
        <v>0</v>
      </c>
      <c r="AA54" s="2">
        <f ca="1">IFERROR(SUMIFS(INDIRECT("'Thanh Toán ("&amp;AA$3&amp;")'!$F:$F"),INDIRECT("'Thanh Toán ("&amp;AA$3&amp;")'!$D:$D"),'Tổng Đơn'!$B54),0)</f>
        <v>0</v>
      </c>
      <c r="AB54" s="2">
        <f ca="1">IFERROR(SUMIFS(INDIRECT("'Thanh Toán ("&amp;AB$3&amp;")'!$F:$F"),INDIRECT("'Thanh Toán ("&amp;AB$3&amp;")'!$D:$D"),'Tổng Đơn'!$B54),0)</f>
        <v>0</v>
      </c>
      <c r="AC54" s="2">
        <f ca="1">IFERROR(SUMIFS(INDIRECT("'Thanh Toán ("&amp;AC$3&amp;")'!$F:$F"),INDIRECT("'Thanh Toán ("&amp;AC$3&amp;")'!$D:$D"),'Tổng Đơn'!$B54),0)</f>
        <v>0</v>
      </c>
      <c r="AD54" s="2">
        <f ca="1">IFERROR(SUMIFS(INDIRECT("'Thanh Toán ("&amp;AD$3&amp;")'!$F:$F"),INDIRECT("'Thanh Toán ("&amp;AD$3&amp;")'!$D:$D"),'Tổng Đơn'!$B54),0)</f>
        <v>0</v>
      </c>
      <c r="AE54" s="2">
        <f ca="1">IFERROR(SUMIFS(INDIRECT("'Thanh Toán ("&amp;AE$3&amp;")'!$F:$F"),INDIRECT("'Thanh Toán ("&amp;AE$3&amp;")'!$D:$D"),'Tổng Đơn'!$B54),0)</f>
        <v>0</v>
      </c>
      <c r="AF54" s="2">
        <f ca="1">IFERROR(SUMIFS(INDIRECT("'Thanh Toán ("&amp;AF$3&amp;")'!$F:$F"),INDIRECT("'Thanh Toán ("&amp;AF$3&amp;")'!$D:$D"),'Tổng Đơn'!$B54),0)</f>
        <v>0</v>
      </c>
      <c r="AG54" s="2">
        <f ca="1">IFERROR(SUMIFS(INDIRECT("'Thanh Toán ("&amp;AG$3&amp;")'!$F:$F"),INDIRECT("'Thanh Toán ("&amp;AG$3&amp;")'!$D:$D"),'Tổng Đơn'!$B54),0)</f>
        <v>0</v>
      </c>
      <c r="AH54" s="2">
        <f ca="1">IFERROR(SUMIFS(INDIRECT("'Thanh Toán ("&amp;AH$3&amp;")'!$F:$F"),INDIRECT("'Thanh Toán ("&amp;AH$3&amp;")'!$D:$D"),'Tổng Đơn'!$B54),0)</f>
        <v>0</v>
      </c>
      <c r="AI54" s="2">
        <f ca="1">IFERROR(SUMIFS(INDIRECT("'Thanh Toán ("&amp;AI$3&amp;")'!$F:$F"),INDIRECT("'Thanh Toán ("&amp;AI$3&amp;")'!$D:$D"),'Tổng Đơn'!$B54),0)</f>
        <v>0</v>
      </c>
      <c r="AJ54" s="2">
        <f ca="1">IFERROR(SUMIFS(INDIRECT("'Thanh Toán ("&amp;AJ$3&amp;")'!$F:$F"),INDIRECT("'Thanh Toán ("&amp;AJ$3&amp;")'!$D:$D"),'Tổng Đơn'!$B54),0)</f>
        <v>0</v>
      </c>
      <c r="AK54" s="2">
        <f ca="1">IFERROR(SUMIFS(INDIRECT("'Thanh Toán ("&amp;AK$3&amp;")'!$F:$F"),INDIRECT("'Thanh Toán ("&amp;AK$3&amp;")'!$D:$D"),'Tổng Đơn'!$B54),0)</f>
        <v>0</v>
      </c>
      <c r="AL54" s="2">
        <f ca="1">IFERROR(SUMIFS(INDIRECT("'Thanh Toán ("&amp;AL$3&amp;")'!$F:$F"),INDIRECT("'Thanh Toán ("&amp;AL$3&amp;")'!$D:$D"),'Tổng Đơn'!$B54),0)</f>
        <v>0</v>
      </c>
      <c r="AM54" s="2">
        <f ca="1">IFERROR(SUMIFS(INDIRECT("'Thanh Toán ("&amp;AM$3&amp;")'!$F:$F"),INDIRECT("'Thanh Toán ("&amp;AM$3&amp;")'!$D:$D"),'Tổng Đơn'!$B54),0)</f>
        <v>0</v>
      </c>
      <c r="AN54" s="2">
        <f ca="1">IFERROR(SUMIFS(INDIRECT("'Thanh Toán ("&amp;AN$3&amp;")'!$F:$F"),INDIRECT("'Thanh Toán ("&amp;AN$3&amp;")'!$D:$D"),'Tổng Đơn'!$B54),0)</f>
        <v>0</v>
      </c>
      <c r="AO54" s="2">
        <f ca="1">IFERROR(SUMIFS(INDIRECT("'Thanh Toán ("&amp;AO$3&amp;")'!$F:$F"),INDIRECT("'Thanh Toán ("&amp;AO$3&amp;")'!$D:$D"),'Tổng Đơn'!$B54),0)</f>
        <v>0</v>
      </c>
      <c r="AP54" s="2">
        <f ca="1">IFERROR(SUMIFS(INDIRECT("'Thanh Toán ("&amp;AP$3&amp;")'!$F:$F"),INDIRECT("'Thanh Toán ("&amp;AP$3&amp;")'!$D:$D"),'Tổng Đơn'!$B54),0)</f>
        <v>0</v>
      </c>
      <c r="AQ54" s="2">
        <f ca="1">IFERROR(SUMIFS(INDIRECT("'Thanh Toán ("&amp;AQ$3&amp;")'!$F:$F"),INDIRECT("'Thanh Toán ("&amp;AQ$3&amp;")'!$D:$D"),'Tổng Đơn'!$B54),0)</f>
        <v>0</v>
      </c>
      <c r="AR54" s="2">
        <f ca="1">IFERROR(SUMIFS(INDIRECT("'Thanh Toán ("&amp;AR$3&amp;")'!$F:$F"),INDIRECT("'Thanh Toán ("&amp;AR$3&amp;")'!$D:$D"),'Tổng Đơn'!$B54),0)</f>
        <v>0</v>
      </c>
      <c r="AS54" s="2">
        <f ca="1">IFERROR(SUMIFS(INDIRECT("'Thanh Toán ("&amp;AS$3&amp;")'!$F:$F"),INDIRECT("'Thanh Toán ("&amp;AS$3&amp;")'!$D:$D"),'Tổng Đơn'!$B54),0)</f>
        <v>0</v>
      </c>
      <c r="AT54" s="2">
        <f ca="1">IFERROR(SUMIFS(INDIRECT("'Thanh Toán ("&amp;AT$3&amp;")'!$F:$F"),INDIRECT("'Thanh Toán ("&amp;AT$3&amp;")'!$D:$D"),'Tổng Đơn'!$B54),0)</f>
        <v>0</v>
      </c>
      <c r="AU54" s="2">
        <f ca="1">IFERROR(SUMIFS(INDIRECT("'Thanh Toán ("&amp;AU$3&amp;")'!$F:$F"),INDIRECT("'Thanh Toán ("&amp;AU$3&amp;")'!$D:$D"),'Tổng Đơn'!$B54),0)</f>
        <v>0</v>
      </c>
      <c r="AV54" s="2">
        <f ca="1">IFERROR(SUMIFS(INDIRECT("'Thanh Toán ("&amp;AV$3&amp;")'!$F:$F"),INDIRECT("'Thanh Toán ("&amp;AV$3&amp;")'!$D:$D"),'Tổng Đơn'!$B54),0)</f>
        <v>0</v>
      </c>
      <c r="AW54" s="2">
        <f ca="1">IFERROR(SUMIFS(INDIRECT("'Thanh Toán ("&amp;AW$3&amp;")'!$F:$F"),INDIRECT("'Thanh Toán ("&amp;AW$3&amp;")'!$D:$D"),'Tổng Đơn'!$B54),0)</f>
        <v>0</v>
      </c>
      <c r="AX54" s="2">
        <f ca="1">IFERROR(SUMIFS(INDIRECT("'Thanh Toán ("&amp;AX$3&amp;")'!$F:$F"),INDIRECT("'Thanh Toán ("&amp;AX$3&amp;")'!$D:$D"),'Tổng Đơn'!$B54),0)</f>
        <v>0</v>
      </c>
      <c r="AY54" s="2">
        <f ca="1">IFERROR(SUMIFS(INDIRECT("'Thanh Toán ("&amp;AY$3&amp;")'!$F:$F"),INDIRECT("'Thanh Toán ("&amp;AY$3&amp;")'!$D:$D"),'Tổng Đơn'!$B54),0)</f>
        <v>0</v>
      </c>
      <c r="AZ54" s="2">
        <f ca="1">IFERROR(SUMIFS(INDIRECT("'Thanh Toán ("&amp;AZ$3&amp;")'!$F:$F"),INDIRECT("'Thanh Toán ("&amp;AZ$3&amp;")'!$D:$D"),'Tổng Đơn'!$B54),0)</f>
        <v>0</v>
      </c>
      <c r="BA54" s="2">
        <f ca="1">IFERROR(SUMIFS(INDIRECT("'Thanh Toán ("&amp;BA$3&amp;")'!$F:$F"),INDIRECT("'Thanh Toán ("&amp;BA$3&amp;")'!$D:$D"),'Tổng Đơn'!$B54),0)</f>
        <v>0</v>
      </c>
      <c r="BB54" s="2">
        <f ca="1">IFERROR(SUMIFS(INDIRECT("'Thanh Toán ("&amp;BB$3&amp;")'!$F:$F"),INDIRECT("'Thanh Toán ("&amp;BB$3&amp;")'!$D:$D"),'Tổng Đơn'!$B54),0)</f>
        <v>0</v>
      </c>
      <c r="BC54" s="2">
        <f ca="1">IFERROR(SUMIFS(INDIRECT("'Thanh Toán ("&amp;BC$3&amp;")'!$F:$F"),INDIRECT("'Thanh Toán ("&amp;BC$3&amp;")'!$D:$D"),'Tổng Đơn'!$B54),0)</f>
        <v>0</v>
      </c>
    </row>
    <row r="55" spans="1:55" ht="18" customHeight="1" x14ac:dyDescent="0.25">
      <c r="A55" s="167">
        <v>45</v>
      </c>
      <c r="B55" s="168" t="s">
        <v>281</v>
      </c>
      <c r="C55" s="167" t="s">
        <v>91</v>
      </c>
      <c r="D55" s="169">
        <f>VLOOKUP($C55,Sheet1!$C$8:$D$98,2,0)</f>
        <v>35000</v>
      </c>
      <c r="E55" s="170">
        <v>0.5</v>
      </c>
      <c r="F55" s="171">
        <f t="shared" ca="1" si="13"/>
        <v>1</v>
      </c>
      <c r="G55" s="172">
        <f>IFERROR(VLOOKUP($B55,Gà!C:J,8,0),IFERROR(VLOOKUP($B55,TVP!C:J,7,0),IFERROR(VLOOKUP($B55,Kitkool!C:J,8,0),IFERROR(VLOOKUP($B55,'La Cusina'!C:J,8,0),VLOOKUP($B55,'Quốc Nhân'!C:J,8,0)))))</f>
        <v>31.321538657315763</v>
      </c>
      <c r="H55" s="173">
        <f t="shared" ca="1" si="10"/>
        <v>3678.461342684237</v>
      </c>
      <c r="I55" s="195">
        <f t="shared" si="11"/>
        <v>0.11744191059480591</v>
      </c>
      <c r="J55" s="173">
        <f t="shared" ca="1" si="12"/>
        <v>31321.538657315763</v>
      </c>
      <c r="K55" s="38"/>
      <c r="L55" s="2">
        <f ca="1">IFERROR(SUMIFS(INDIRECT("'Thanh Toán ("&amp;L$3&amp;")'!$F:$F"),INDIRECT("'Thanh Toán ("&amp;L$3&amp;")'!$D:$D"),'Tổng Đơn'!$B55),0)</f>
        <v>1</v>
      </c>
      <c r="M55" s="2">
        <f ca="1">IFERROR(SUMIFS(INDIRECT("'Thanh Toán ("&amp;M$3&amp;")'!$F:$F"),INDIRECT("'Thanh Toán ("&amp;M$3&amp;")'!$D:$D"),'Tổng Đơn'!$B55),0)</f>
        <v>0</v>
      </c>
      <c r="N55" s="2">
        <f ca="1">IFERROR(SUMIFS(INDIRECT("'Thanh Toán ("&amp;N$3&amp;")'!$F:$F"),INDIRECT("'Thanh Toán ("&amp;N$3&amp;")'!$D:$D"),'Tổng Đơn'!$B55),0)</f>
        <v>0</v>
      </c>
      <c r="O55" s="2">
        <f ca="1">IFERROR(SUMIFS(INDIRECT("'Thanh Toán ("&amp;O$3&amp;")'!$F:$F"),INDIRECT("'Thanh Toán ("&amp;O$3&amp;")'!$D:$D"),'Tổng Đơn'!$B55),0)</f>
        <v>0</v>
      </c>
      <c r="P55" s="2">
        <f ca="1">IFERROR(SUMIFS(INDIRECT("'Thanh Toán ("&amp;P$3&amp;")'!$F:$F"),INDIRECT("'Thanh Toán ("&amp;P$3&amp;")'!$D:$D"),'Tổng Đơn'!$B55),0)</f>
        <v>0</v>
      </c>
      <c r="Q55" s="2">
        <f ca="1">IFERROR(SUMIFS(INDIRECT("'Thanh Toán ("&amp;Q$3&amp;")'!$F:$F"),INDIRECT("'Thanh Toán ("&amp;Q$3&amp;")'!$D:$D"),'Tổng Đơn'!$B55),0)</f>
        <v>0</v>
      </c>
      <c r="R55" s="2">
        <f ca="1">IFERROR(SUMIFS(INDIRECT("'Thanh Toán ("&amp;R$3&amp;")'!$F:$F"),INDIRECT("'Thanh Toán ("&amp;R$3&amp;")'!$D:$D"),'Tổng Đơn'!$B55),0)</f>
        <v>0</v>
      </c>
      <c r="S55" s="2">
        <f ca="1">IFERROR(SUMIFS(INDIRECT("'Thanh Toán ("&amp;S$3&amp;")'!$F:$F"),INDIRECT("'Thanh Toán ("&amp;S$3&amp;")'!$D:$D"),'Tổng Đơn'!$B55),0)</f>
        <v>0</v>
      </c>
      <c r="T55" s="2">
        <f ca="1">IFERROR(SUMIFS(INDIRECT("'Thanh Toán ("&amp;T$3&amp;")'!$F:$F"),INDIRECT("'Thanh Toán ("&amp;T$3&amp;")'!$D:$D"),'Tổng Đơn'!$B55),0)</f>
        <v>0</v>
      </c>
      <c r="U55" s="2">
        <f ca="1">IFERROR(SUMIFS(INDIRECT("'Thanh Toán ("&amp;U$3&amp;")'!$F:$F"),INDIRECT("'Thanh Toán ("&amp;U$3&amp;")'!$D:$D"),'Tổng Đơn'!$B55),0)</f>
        <v>0</v>
      </c>
      <c r="V55" s="2">
        <f ca="1">IFERROR(SUMIFS(INDIRECT("'Thanh Toán ("&amp;V$3&amp;")'!$F:$F"),INDIRECT("'Thanh Toán ("&amp;V$3&amp;")'!$D:$D"),'Tổng Đơn'!$B55),0)</f>
        <v>0</v>
      </c>
      <c r="W55" s="2">
        <f ca="1">IFERROR(SUMIFS(INDIRECT("'Thanh Toán ("&amp;W$3&amp;")'!$F:$F"),INDIRECT("'Thanh Toán ("&amp;W$3&amp;")'!$D:$D"),'Tổng Đơn'!$B55),0)</f>
        <v>0</v>
      </c>
      <c r="X55" s="2">
        <f ca="1">IFERROR(SUMIFS(INDIRECT("'Thanh Toán ("&amp;X$3&amp;")'!$F:$F"),INDIRECT("'Thanh Toán ("&amp;X$3&amp;")'!$D:$D"),'Tổng Đơn'!$B55),0)</f>
        <v>0</v>
      </c>
      <c r="Y55" s="2">
        <f ca="1">IFERROR(SUMIFS(INDIRECT("'Thanh Toán ("&amp;Y$3&amp;")'!$F:$F"),INDIRECT("'Thanh Toán ("&amp;Y$3&amp;")'!$D:$D"),'Tổng Đơn'!$B55),0)</f>
        <v>0</v>
      </c>
      <c r="Z55" s="2">
        <f ca="1">IFERROR(SUMIFS(INDIRECT("'Thanh Toán ("&amp;Z$3&amp;")'!$F:$F"),INDIRECT("'Thanh Toán ("&amp;Z$3&amp;")'!$D:$D"),'Tổng Đơn'!$B55),0)</f>
        <v>0</v>
      </c>
      <c r="AA55" s="2">
        <f ca="1">IFERROR(SUMIFS(INDIRECT("'Thanh Toán ("&amp;AA$3&amp;")'!$F:$F"),INDIRECT("'Thanh Toán ("&amp;AA$3&amp;")'!$D:$D"),'Tổng Đơn'!$B55),0)</f>
        <v>0</v>
      </c>
      <c r="AB55" s="2">
        <f ca="1">IFERROR(SUMIFS(INDIRECT("'Thanh Toán ("&amp;AB$3&amp;")'!$F:$F"),INDIRECT("'Thanh Toán ("&amp;AB$3&amp;")'!$D:$D"),'Tổng Đơn'!$B55),0)</f>
        <v>0</v>
      </c>
      <c r="AC55" s="2">
        <f ca="1">IFERROR(SUMIFS(INDIRECT("'Thanh Toán ("&amp;AC$3&amp;")'!$F:$F"),INDIRECT("'Thanh Toán ("&amp;AC$3&amp;")'!$D:$D"),'Tổng Đơn'!$B55),0)</f>
        <v>0</v>
      </c>
      <c r="AD55" s="2">
        <f ca="1">IFERROR(SUMIFS(INDIRECT("'Thanh Toán ("&amp;AD$3&amp;")'!$F:$F"),INDIRECT("'Thanh Toán ("&amp;AD$3&amp;")'!$D:$D"),'Tổng Đơn'!$B55),0)</f>
        <v>0</v>
      </c>
      <c r="AE55" s="2">
        <f ca="1">IFERROR(SUMIFS(INDIRECT("'Thanh Toán ("&amp;AE$3&amp;")'!$F:$F"),INDIRECT("'Thanh Toán ("&amp;AE$3&amp;")'!$D:$D"),'Tổng Đơn'!$B55),0)</f>
        <v>0</v>
      </c>
      <c r="AF55" s="2">
        <f ca="1">IFERROR(SUMIFS(INDIRECT("'Thanh Toán ("&amp;AF$3&amp;")'!$F:$F"),INDIRECT("'Thanh Toán ("&amp;AF$3&amp;")'!$D:$D"),'Tổng Đơn'!$B55),0)</f>
        <v>0</v>
      </c>
      <c r="AG55" s="2">
        <f ca="1">IFERROR(SUMIFS(INDIRECT("'Thanh Toán ("&amp;AG$3&amp;")'!$F:$F"),INDIRECT("'Thanh Toán ("&amp;AG$3&amp;")'!$D:$D"),'Tổng Đơn'!$B55),0)</f>
        <v>0</v>
      </c>
      <c r="AH55" s="2">
        <f ca="1">IFERROR(SUMIFS(INDIRECT("'Thanh Toán ("&amp;AH$3&amp;")'!$F:$F"),INDIRECT("'Thanh Toán ("&amp;AH$3&amp;")'!$D:$D"),'Tổng Đơn'!$B55),0)</f>
        <v>0</v>
      </c>
      <c r="AI55" s="2">
        <f ca="1">IFERROR(SUMIFS(INDIRECT("'Thanh Toán ("&amp;AI$3&amp;")'!$F:$F"),INDIRECT("'Thanh Toán ("&amp;AI$3&amp;")'!$D:$D"),'Tổng Đơn'!$B55),0)</f>
        <v>0</v>
      </c>
      <c r="AJ55" s="2">
        <f ca="1">IFERROR(SUMIFS(INDIRECT("'Thanh Toán ("&amp;AJ$3&amp;")'!$F:$F"),INDIRECT("'Thanh Toán ("&amp;AJ$3&amp;")'!$D:$D"),'Tổng Đơn'!$B55),0)</f>
        <v>0</v>
      </c>
      <c r="AK55" s="2">
        <f ca="1">IFERROR(SUMIFS(INDIRECT("'Thanh Toán ("&amp;AK$3&amp;")'!$F:$F"),INDIRECT("'Thanh Toán ("&amp;AK$3&amp;")'!$D:$D"),'Tổng Đơn'!$B55),0)</f>
        <v>0</v>
      </c>
      <c r="AL55" s="2">
        <f ca="1">IFERROR(SUMIFS(INDIRECT("'Thanh Toán ("&amp;AL$3&amp;")'!$F:$F"),INDIRECT("'Thanh Toán ("&amp;AL$3&amp;")'!$D:$D"),'Tổng Đơn'!$B55),0)</f>
        <v>0</v>
      </c>
      <c r="AM55" s="2">
        <f ca="1">IFERROR(SUMIFS(INDIRECT("'Thanh Toán ("&amp;AM$3&amp;")'!$F:$F"),INDIRECT("'Thanh Toán ("&amp;AM$3&amp;")'!$D:$D"),'Tổng Đơn'!$B55),0)</f>
        <v>0</v>
      </c>
      <c r="AN55" s="2">
        <f ca="1">IFERROR(SUMIFS(INDIRECT("'Thanh Toán ("&amp;AN$3&amp;")'!$F:$F"),INDIRECT("'Thanh Toán ("&amp;AN$3&amp;")'!$D:$D"),'Tổng Đơn'!$B55),0)</f>
        <v>0</v>
      </c>
      <c r="AO55" s="2">
        <f ca="1">IFERROR(SUMIFS(INDIRECT("'Thanh Toán ("&amp;AO$3&amp;")'!$F:$F"),INDIRECT("'Thanh Toán ("&amp;AO$3&amp;")'!$D:$D"),'Tổng Đơn'!$B55),0)</f>
        <v>0</v>
      </c>
      <c r="AP55" s="2">
        <f ca="1">IFERROR(SUMIFS(INDIRECT("'Thanh Toán ("&amp;AP$3&amp;")'!$F:$F"),INDIRECT("'Thanh Toán ("&amp;AP$3&amp;")'!$D:$D"),'Tổng Đơn'!$B55),0)</f>
        <v>0</v>
      </c>
      <c r="AQ55" s="2">
        <f ca="1">IFERROR(SUMIFS(INDIRECT("'Thanh Toán ("&amp;AQ$3&amp;")'!$F:$F"),INDIRECT("'Thanh Toán ("&amp;AQ$3&amp;")'!$D:$D"),'Tổng Đơn'!$B55),0)</f>
        <v>0</v>
      </c>
      <c r="AR55" s="2">
        <f ca="1">IFERROR(SUMIFS(INDIRECT("'Thanh Toán ("&amp;AR$3&amp;")'!$F:$F"),INDIRECT("'Thanh Toán ("&amp;AR$3&amp;")'!$D:$D"),'Tổng Đơn'!$B55),0)</f>
        <v>0</v>
      </c>
      <c r="AS55" s="2">
        <f ca="1">IFERROR(SUMIFS(INDIRECT("'Thanh Toán ("&amp;AS$3&amp;")'!$F:$F"),INDIRECT("'Thanh Toán ("&amp;AS$3&amp;")'!$D:$D"),'Tổng Đơn'!$B55),0)</f>
        <v>0</v>
      </c>
      <c r="AT55" s="2">
        <f ca="1">IFERROR(SUMIFS(INDIRECT("'Thanh Toán ("&amp;AT$3&amp;")'!$F:$F"),INDIRECT("'Thanh Toán ("&amp;AT$3&amp;")'!$D:$D"),'Tổng Đơn'!$B55),0)</f>
        <v>0</v>
      </c>
      <c r="AU55" s="2">
        <f ca="1">IFERROR(SUMIFS(INDIRECT("'Thanh Toán ("&amp;AU$3&amp;")'!$F:$F"),INDIRECT("'Thanh Toán ("&amp;AU$3&amp;")'!$D:$D"),'Tổng Đơn'!$B55),0)</f>
        <v>0</v>
      </c>
      <c r="AV55" s="2">
        <f ca="1">IFERROR(SUMIFS(INDIRECT("'Thanh Toán ("&amp;AV$3&amp;")'!$F:$F"),INDIRECT("'Thanh Toán ("&amp;AV$3&amp;")'!$D:$D"),'Tổng Đơn'!$B55),0)</f>
        <v>0</v>
      </c>
      <c r="AW55" s="2">
        <f ca="1">IFERROR(SUMIFS(INDIRECT("'Thanh Toán ("&amp;AW$3&amp;")'!$F:$F"),INDIRECT("'Thanh Toán ("&amp;AW$3&amp;")'!$D:$D"),'Tổng Đơn'!$B55),0)</f>
        <v>0</v>
      </c>
      <c r="AX55" s="2">
        <f ca="1">IFERROR(SUMIFS(INDIRECT("'Thanh Toán ("&amp;AX$3&amp;")'!$F:$F"),INDIRECT("'Thanh Toán ("&amp;AX$3&amp;")'!$D:$D"),'Tổng Đơn'!$B55),0)</f>
        <v>0</v>
      </c>
      <c r="AY55" s="2">
        <f ca="1">IFERROR(SUMIFS(INDIRECT("'Thanh Toán ("&amp;AY$3&amp;")'!$F:$F"),INDIRECT("'Thanh Toán ("&amp;AY$3&amp;")'!$D:$D"),'Tổng Đơn'!$B55),0)</f>
        <v>0</v>
      </c>
      <c r="AZ55" s="2">
        <f ca="1">IFERROR(SUMIFS(INDIRECT("'Thanh Toán ("&amp;AZ$3&amp;")'!$F:$F"),INDIRECT("'Thanh Toán ("&amp;AZ$3&amp;")'!$D:$D"),'Tổng Đơn'!$B55),0)</f>
        <v>0</v>
      </c>
      <c r="BA55" s="2">
        <f ca="1">IFERROR(SUMIFS(INDIRECT("'Thanh Toán ("&amp;BA$3&amp;")'!$F:$F"),INDIRECT("'Thanh Toán ("&amp;BA$3&amp;")'!$D:$D"),'Tổng Đơn'!$B55),0)</f>
        <v>0</v>
      </c>
      <c r="BB55" s="2">
        <f ca="1">IFERROR(SUMIFS(INDIRECT("'Thanh Toán ("&amp;BB$3&amp;")'!$F:$F"),INDIRECT("'Thanh Toán ("&amp;BB$3&amp;")'!$D:$D"),'Tổng Đơn'!$B55),0)</f>
        <v>0</v>
      </c>
      <c r="BC55" s="2">
        <f ca="1">IFERROR(SUMIFS(INDIRECT("'Thanh Toán ("&amp;BC$3&amp;")'!$F:$F"),INDIRECT("'Thanh Toán ("&amp;BC$3&amp;")'!$D:$D"),'Tổng Đơn'!$B55),0)</f>
        <v>0</v>
      </c>
    </row>
    <row r="56" spans="1:55" ht="18" customHeight="1" x14ac:dyDescent="0.25">
      <c r="A56" s="167">
        <v>46</v>
      </c>
      <c r="B56" s="176" t="s">
        <v>296</v>
      </c>
      <c r="C56" s="167" t="s">
        <v>92</v>
      </c>
      <c r="D56" s="169">
        <f>VLOOKUP($C56,Sheet1!$C$8:$D$98,2,0)</f>
        <v>65000</v>
      </c>
      <c r="E56" s="170">
        <v>1</v>
      </c>
      <c r="F56" s="171">
        <f t="shared" ca="1" si="13"/>
        <v>2</v>
      </c>
      <c r="G56" s="172">
        <f>IFERROR(VLOOKUP($B56,Gà!C:J,8,0),IFERROR(VLOOKUP($B56,TVP!C:J,7,0),IFERROR(VLOOKUP($B56,Kitkool!C:J,8,0),IFERROR(VLOOKUP($B56,'La Cusina'!C:J,8,0),VLOOKUP($B56,'Quốc Nhân'!C:J,8,0)))))</f>
        <v>58.840325988529536</v>
      </c>
      <c r="H56" s="173">
        <f t="shared" ca="1" si="10"/>
        <v>12319.348022940932</v>
      </c>
      <c r="I56" s="195">
        <f t="shared" si="11"/>
        <v>0.10468456637495938</v>
      </c>
      <c r="J56" s="173">
        <f t="shared" ca="1" si="12"/>
        <v>117680.65197705907</v>
      </c>
      <c r="K56" s="38"/>
      <c r="L56" s="2">
        <f ca="1">IFERROR(SUMIFS(INDIRECT("'Thanh Toán ("&amp;L$3&amp;")'!$F:$F"),INDIRECT("'Thanh Toán ("&amp;L$3&amp;")'!$D:$D"),'Tổng Đơn'!$B56),0)</f>
        <v>0</v>
      </c>
      <c r="M56" s="2">
        <f ca="1">IFERROR(SUMIFS(INDIRECT("'Thanh Toán ("&amp;M$3&amp;")'!$F:$F"),INDIRECT("'Thanh Toán ("&amp;M$3&amp;")'!$D:$D"),'Tổng Đơn'!$B56),0)</f>
        <v>0</v>
      </c>
      <c r="N56" s="2">
        <f ca="1">IFERROR(SUMIFS(INDIRECT("'Thanh Toán ("&amp;N$3&amp;")'!$F:$F"),INDIRECT("'Thanh Toán ("&amp;N$3&amp;")'!$D:$D"),'Tổng Đơn'!$B56),0)</f>
        <v>0</v>
      </c>
      <c r="O56" s="2">
        <f ca="1">IFERROR(SUMIFS(INDIRECT("'Thanh Toán ("&amp;O$3&amp;")'!$F:$F"),INDIRECT("'Thanh Toán ("&amp;O$3&amp;")'!$D:$D"),'Tổng Đơn'!$B56),0)</f>
        <v>0</v>
      </c>
      <c r="P56" s="2">
        <f ca="1">IFERROR(SUMIFS(INDIRECT("'Thanh Toán ("&amp;P$3&amp;")'!$F:$F"),INDIRECT("'Thanh Toán ("&amp;P$3&amp;")'!$D:$D"),'Tổng Đơn'!$B56),0)</f>
        <v>0</v>
      </c>
      <c r="Q56" s="2">
        <f ca="1">IFERROR(SUMIFS(INDIRECT("'Thanh Toán ("&amp;Q$3&amp;")'!$F:$F"),INDIRECT("'Thanh Toán ("&amp;Q$3&amp;")'!$D:$D"),'Tổng Đơn'!$B56),0)</f>
        <v>1</v>
      </c>
      <c r="R56" s="2">
        <f ca="1">IFERROR(SUMIFS(INDIRECT("'Thanh Toán ("&amp;R$3&amp;")'!$F:$F"),INDIRECT("'Thanh Toán ("&amp;R$3&amp;")'!$D:$D"),'Tổng Đơn'!$B56),0)</f>
        <v>0</v>
      </c>
      <c r="S56" s="2">
        <f ca="1">IFERROR(SUMIFS(INDIRECT("'Thanh Toán ("&amp;S$3&amp;")'!$F:$F"),INDIRECT("'Thanh Toán ("&amp;S$3&amp;")'!$D:$D"),'Tổng Đơn'!$B56),0)</f>
        <v>1</v>
      </c>
      <c r="T56" s="2">
        <f ca="1">IFERROR(SUMIFS(INDIRECT("'Thanh Toán ("&amp;T$3&amp;")'!$F:$F"),INDIRECT("'Thanh Toán ("&amp;T$3&amp;")'!$D:$D"),'Tổng Đơn'!$B56),0)</f>
        <v>0</v>
      </c>
      <c r="U56" s="2">
        <f ca="1">IFERROR(SUMIFS(INDIRECT("'Thanh Toán ("&amp;U$3&amp;")'!$F:$F"),INDIRECT("'Thanh Toán ("&amp;U$3&amp;")'!$D:$D"),'Tổng Đơn'!$B56),0)</f>
        <v>0</v>
      </c>
      <c r="V56" s="2">
        <f ca="1">IFERROR(SUMIFS(INDIRECT("'Thanh Toán ("&amp;V$3&amp;")'!$F:$F"),INDIRECT("'Thanh Toán ("&amp;V$3&amp;")'!$D:$D"),'Tổng Đơn'!$B56),0)</f>
        <v>0</v>
      </c>
      <c r="W56" s="2">
        <f ca="1">IFERROR(SUMIFS(INDIRECT("'Thanh Toán ("&amp;W$3&amp;")'!$F:$F"),INDIRECT("'Thanh Toán ("&amp;W$3&amp;")'!$D:$D"),'Tổng Đơn'!$B56),0)</f>
        <v>0</v>
      </c>
      <c r="X56" s="2">
        <f ca="1">IFERROR(SUMIFS(INDIRECT("'Thanh Toán ("&amp;X$3&amp;")'!$F:$F"),INDIRECT("'Thanh Toán ("&amp;X$3&amp;")'!$D:$D"),'Tổng Đơn'!$B56),0)</f>
        <v>0</v>
      </c>
      <c r="Y56" s="2">
        <f ca="1">IFERROR(SUMIFS(INDIRECT("'Thanh Toán ("&amp;Y$3&amp;")'!$F:$F"),INDIRECT("'Thanh Toán ("&amp;Y$3&amp;")'!$D:$D"),'Tổng Đơn'!$B56),0)</f>
        <v>0</v>
      </c>
      <c r="Z56" s="2">
        <f ca="1">IFERROR(SUMIFS(INDIRECT("'Thanh Toán ("&amp;Z$3&amp;")'!$F:$F"),INDIRECT("'Thanh Toán ("&amp;Z$3&amp;")'!$D:$D"),'Tổng Đơn'!$B56),0)</f>
        <v>0</v>
      </c>
      <c r="AA56" s="2">
        <f ca="1">IFERROR(SUMIFS(INDIRECT("'Thanh Toán ("&amp;AA$3&amp;")'!$F:$F"),INDIRECT("'Thanh Toán ("&amp;AA$3&amp;")'!$D:$D"),'Tổng Đơn'!$B56),0)</f>
        <v>0</v>
      </c>
      <c r="AB56" s="2">
        <f ca="1">IFERROR(SUMIFS(INDIRECT("'Thanh Toán ("&amp;AB$3&amp;")'!$F:$F"),INDIRECT("'Thanh Toán ("&amp;AB$3&amp;")'!$D:$D"),'Tổng Đơn'!$B56),0)</f>
        <v>0</v>
      </c>
      <c r="AC56" s="2">
        <f ca="1">IFERROR(SUMIFS(INDIRECT("'Thanh Toán ("&amp;AC$3&amp;")'!$F:$F"),INDIRECT("'Thanh Toán ("&amp;AC$3&amp;")'!$D:$D"),'Tổng Đơn'!$B56),0)</f>
        <v>0</v>
      </c>
      <c r="AD56" s="2">
        <f ca="1">IFERROR(SUMIFS(INDIRECT("'Thanh Toán ("&amp;AD$3&amp;")'!$F:$F"),INDIRECT("'Thanh Toán ("&amp;AD$3&amp;")'!$D:$D"),'Tổng Đơn'!$B56),0)</f>
        <v>0</v>
      </c>
      <c r="AE56" s="2">
        <f ca="1">IFERROR(SUMIFS(INDIRECT("'Thanh Toán ("&amp;AE$3&amp;")'!$F:$F"),INDIRECT("'Thanh Toán ("&amp;AE$3&amp;")'!$D:$D"),'Tổng Đơn'!$B56),0)</f>
        <v>0</v>
      </c>
      <c r="AF56" s="2">
        <f ca="1">IFERROR(SUMIFS(INDIRECT("'Thanh Toán ("&amp;AF$3&amp;")'!$F:$F"),INDIRECT("'Thanh Toán ("&amp;AF$3&amp;")'!$D:$D"),'Tổng Đơn'!$B56),0)</f>
        <v>0</v>
      </c>
      <c r="AG56" s="2">
        <f ca="1">IFERROR(SUMIFS(INDIRECT("'Thanh Toán ("&amp;AG$3&amp;")'!$F:$F"),INDIRECT("'Thanh Toán ("&amp;AG$3&amp;")'!$D:$D"),'Tổng Đơn'!$B56),0)</f>
        <v>0</v>
      </c>
      <c r="AH56" s="2">
        <f ca="1">IFERROR(SUMIFS(INDIRECT("'Thanh Toán ("&amp;AH$3&amp;")'!$F:$F"),INDIRECT("'Thanh Toán ("&amp;AH$3&amp;")'!$D:$D"),'Tổng Đơn'!$B56),0)</f>
        <v>0</v>
      </c>
      <c r="AI56" s="2">
        <f ca="1">IFERROR(SUMIFS(INDIRECT("'Thanh Toán ("&amp;AI$3&amp;")'!$F:$F"),INDIRECT("'Thanh Toán ("&amp;AI$3&amp;")'!$D:$D"),'Tổng Đơn'!$B56),0)</f>
        <v>0</v>
      </c>
      <c r="AJ56" s="2">
        <f ca="1">IFERROR(SUMIFS(INDIRECT("'Thanh Toán ("&amp;AJ$3&amp;")'!$F:$F"),INDIRECT("'Thanh Toán ("&amp;AJ$3&amp;")'!$D:$D"),'Tổng Đơn'!$B56),0)</f>
        <v>0</v>
      </c>
      <c r="AK56" s="2">
        <f ca="1">IFERROR(SUMIFS(INDIRECT("'Thanh Toán ("&amp;AK$3&amp;")'!$F:$F"),INDIRECT("'Thanh Toán ("&amp;AK$3&amp;")'!$D:$D"),'Tổng Đơn'!$B56),0)</f>
        <v>0</v>
      </c>
      <c r="AL56" s="2">
        <f ca="1">IFERROR(SUMIFS(INDIRECT("'Thanh Toán ("&amp;AL$3&amp;")'!$F:$F"),INDIRECT("'Thanh Toán ("&amp;AL$3&amp;")'!$D:$D"),'Tổng Đơn'!$B56),0)</f>
        <v>0</v>
      </c>
      <c r="AM56" s="2">
        <f ca="1">IFERROR(SUMIFS(INDIRECT("'Thanh Toán ("&amp;AM$3&amp;")'!$F:$F"),INDIRECT("'Thanh Toán ("&amp;AM$3&amp;")'!$D:$D"),'Tổng Đơn'!$B56),0)</f>
        <v>0</v>
      </c>
      <c r="AN56" s="2">
        <f ca="1">IFERROR(SUMIFS(INDIRECT("'Thanh Toán ("&amp;AN$3&amp;")'!$F:$F"),INDIRECT("'Thanh Toán ("&amp;AN$3&amp;")'!$D:$D"),'Tổng Đơn'!$B56),0)</f>
        <v>0</v>
      </c>
      <c r="AO56" s="2">
        <f ca="1">IFERROR(SUMIFS(INDIRECT("'Thanh Toán ("&amp;AO$3&amp;")'!$F:$F"),INDIRECT("'Thanh Toán ("&amp;AO$3&amp;")'!$D:$D"),'Tổng Đơn'!$B56),0)</f>
        <v>0</v>
      </c>
      <c r="AP56" s="2">
        <f ca="1">IFERROR(SUMIFS(INDIRECT("'Thanh Toán ("&amp;AP$3&amp;")'!$F:$F"),INDIRECT("'Thanh Toán ("&amp;AP$3&amp;")'!$D:$D"),'Tổng Đơn'!$B56),0)</f>
        <v>0</v>
      </c>
      <c r="AQ56" s="2">
        <f ca="1">IFERROR(SUMIFS(INDIRECT("'Thanh Toán ("&amp;AQ$3&amp;")'!$F:$F"),INDIRECT("'Thanh Toán ("&amp;AQ$3&amp;")'!$D:$D"),'Tổng Đơn'!$B56),0)</f>
        <v>0</v>
      </c>
      <c r="AR56" s="2">
        <f ca="1">IFERROR(SUMIFS(INDIRECT("'Thanh Toán ("&amp;AR$3&amp;")'!$F:$F"),INDIRECT("'Thanh Toán ("&amp;AR$3&amp;")'!$D:$D"),'Tổng Đơn'!$B56),0)</f>
        <v>0</v>
      </c>
      <c r="AS56" s="2">
        <f ca="1">IFERROR(SUMIFS(INDIRECT("'Thanh Toán ("&amp;AS$3&amp;")'!$F:$F"),INDIRECT("'Thanh Toán ("&amp;AS$3&amp;")'!$D:$D"),'Tổng Đơn'!$B56),0)</f>
        <v>0</v>
      </c>
      <c r="AT56" s="2">
        <f ca="1">IFERROR(SUMIFS(INDIRECT("'Thanh Toán ("&amp;AT$3&amp;")'!$F:$F"),INDIRECT("'Thanh Toán ("&amp;AT$3&amp;")'!$D:$D"),'Tổng Đơn'!$B56),0)</f>
        <v>0</v>
      </c>
      <c r="AU56" s="2">
        <f ca="1">IFERROR(SUMIFS(INDIRECT("'Thanh Toán ("&amp;AU$3&amp;")'!$F:$F"),INDIRECT("'Thanh Toán ("&amp;AU$3&amp;")'!$D:$D"),'Tổng Đơn'!$B56),0)</f>
        <v>0</v>
      </c>
      <c r="AV56" s="2">
        <f ca="1">IFERROR(SUMIFS(INDIRECT("'Thanh Toán ("&amp;AV$3&amp;")'!$F:$F"),INDIRECT("'Thanh Toán ("&amp;AV$3&amp;")'!$D:$D"),'Tổng Đơn'!$B56),0)</f>
        <v>0</v>
      </c>
      <c r="AW56" s="2">
        <f ca="1">IFERROR(SUMIFS(INDIRECT("'Thanh Toán ("&amp;AW$3&amp;")'!$F:$F"),INDIRECT("'Thanh Toán ("&amp;AW$3&amp;")'!$D:$D"),'Tổng Đơn'!$B56),0)</f>
        <v>0</v>
      </c>
      <c r="AX56" s="2">
        <f ca="1">IFERROR(SUMIFS(INDIRECT("'Thanh Toán ("&amp;AX$3&amp;")'!$F:$F"),INDIRECT("'Thanh Toán ("&amp;AX$3&amp;")'!$D:$D"),'Tổng Đơn'!$B56),0)</f>
        <v>0</v>
      </c>
      <c r="AY56" s="2">
        <f ca="1">IFERROR(SUMIFS(INDIRECT("'Thanh Toán ("&amp;AY$3&amp;")'!$F:$F"),INDIRECT("'Thanh Toán ("&amp;AY$3&amp;")'!$D:$D"),'Tổng Đơn'!$B56),0)</f>
        <v>0</v>
      </c>
      <c r="AZ56" s="2">
        <f ca="1">IFERROR(SUMIFS(INDIRECT("'Thanh Toán ("&amp;AZ$3&amp;")'!$F:$F"),INDIRECT("'Thanh Toán ("&amp;AZ$3&amp;")'!$D:$D"),'Tổng Đơn'!$B56),0)</f>
        <v>0</v>
      </c>
      <c r="BA56" s="2">
        <f ca="1">IFERROR(SUMIFS(INDIRECT("'Thanh Toán ("&amp;BA$3&amp;")'!$F:$F"),INDIRECT("'Thanh Toán ("&amp;BA$3&amp;")'!$D:$D"),'Tổng Đơn'!$B56),0)</f>
        <v>0</v>
      </c>
      <c r="BB56" s="2">
        <f ca="1">IFERROR(SUMIFS(INDIRECT("'Thanh Toán ("&amp;BB$3&amp;")'!$F:$F"),INDIRECT("'Thanh Toán ("&amp;BB$3&amp;")'!$D:$D"),'Tổng Đơn'!$B56),0)</f>
        <v>0</v>
      </c>
      <c r="BC56" s="2">
        <f ca="1">IFERROR(SUMIFS(INDIRECT("'Thanh Toán ("&amp;BC$3&amp;")'!$F:$F"),INDIRECT("'Thanh Toán ("&amp;BC$3&amp;")'!$D:$D"),'Tổng Đơn'!$B56),0)</f>
        <v>0</v>
      </c>
    </row>
    <row r="57" spans="1:55" ht="18" customHeight="1" x14ac:dyDescent="0.25">
      <c r="A57" s="174">
        <v>47</v>
      </c>
      <c r="B57" s="176" t="s">
        <v>149</v>
      </c>
      <c r="C57" s="167" t="s">
        <v>110</v>
      </c>
      <c r="D57" s="169">
        <f>VLOOKUP($C57,Sheet1!$C$8:$D$98,2,0)</f>
        <v>80000</v>
      </c>
      <c r="E57" s="170">
        <v>0.5</v>
      </c>
      <c r="F57" s="171">
        <f t="shared" ca="1" si="13"/>
        <v>2</v>
      </c>
      <c r="G57" s="172">
        <f>IFERROR(VLOOKUP($B57,Gà!C:J,8,0),IFERROR(VLOOKUP($B57,TVP!C:J,7,0),IFERROR(VLOOKUP($B57,Kitkool!C:J,8,0),IFERROR(VLOOKUP($B57,'La Cusina'!C:J,8,0),VLOOKUP($B57,'Quốc Nhân'!C:J,8,0)))))</f>
        <v>74.452837791980087</v>
      </c>
      <c r="H57" s="173">
        <f t="shared" ca="1" si="10"/>
        <v>11094.324416039832</v>
      </c>
      <c r="I57" s="195">
        <f t="shared" si="11"/>
        <v>7.4505718956187961E-2</v>
      </c>
      <c r="J57" s="173">
        <f t="shared" ca="1" si="12"/>
        <v>148905.67558396017</v>
      </c>
      <c r="K57" s="38"/>
      <c r="L57" s="2">
        <f ca="1">IFERROR(SUMIFS(INDIRECT("'Thanh Toán ("&amp;L$3&amp;")'!$F:$F"),INDIRECT("'Thanh Toán ("&amp;L$3&amp;")'!$D:$D"),'Tổng Đơn'!$B57),0)</f>
        <v>0</v>
      </c>
      <c r="M57" s="2">
        <f ca="1">IFERROR(SUMIFS(INDIRECT("'Thanh Toán ("&amp;M$3&amp;")'!$F:$F"),INDIRECT("'Thanh Toán ("&amp;M$3&amp;")'!$D:$D"),'Tổng Đơn'!$B57),0)</f>
        <v>0</v>
      </c>
      <c r="N57" s="2">
        <f ca="1">IFERROR(SUMIFS(INDIRECT("'Thanh Toán ("&amp;N$3&amp;")'!$F:$F"),INDIRECT("'Thanh Toán ("&amp;N$3&amp;")'!$D:$D"),'Tổng Đơn'!$B57),0)</f>
        <v>2</v>
      </c>
      <c r="O57" s="2">
        <f ca="1">IFERROR(SUMIFS(INDIRECT("'Thanh Toán ("&amp;O$3&amp;")'!$F:$F"),INDIRECT("'Thanh Toán ("&amp;O$3&amp;")'!$D:$D"),'Tổng Đơn'!$B57),0)</f>
        <v>0</v>
      </c>
      <c r="P57" s="2">
        <f ca="1">IFERROR(SUMIFS(INDIRECT("'Thanh Toán ("&amp;P$3&amp;")'!$F:$F"),INDIRECT("'Thanh Toán ("&amp;P$3&amp;")'!$D:$D"),'Tổng Đơn'!$B57),0)</f>
        <v>0</v>
      </c>
      <c r="Q57" s="2">
        <f ca="1">IFERROR(SUMIFS(INDIRECT("'Thanh Toán ("&amp;Q$3&amp;")'!$F:$F"),INDIRECT("'Thanh Toán ("&amp;Q$3&amp;")'!$D:$D"),'Tổng Đơn'!$B57),0)</f>
        <v>0</v>
      </c>
      <c r="R57" s="2">
        <f ca="1">IFERROR(SUMIFS(INDIRECT("'Thanh Toán ("&amp;R$3&amp;")'!$F:$F"),INDIRECT("'Thanh Toán ("&amp;R$3&amp;")'!$D:$D"),'Tổng Đơn'!$B57),0)</f>
        <v>0</v>
      </c>
      <c r="S57" s="2">
        <f ca="1">IFERROR(SUMIFS(INDIRECT("'Thanh Toán ("&amp;S$3&amp;")'!$F:$F"),INDIRECT("'Thanh Toán ("&amp;S$3&amp;")'!$D:$D"),'Tổng Đơn'!$B57),0)</f>
        <v>0</v>
      </c>
      <c r="T57" s="2">
        <f ca="1">IFERROR(SUMIFS(INDIRECT("'Thanh Toán ("&amp;T$3&amp;")'!$F:$F"),INDIRECT("'Thanh Toán ("&amp;T$3&amp;")'!$D:$D"),'Tổng Đơn'!$B57),0)</f>
        <v>0</v>
      </c>
      <c r="U57" s="2">
        <f ca="1">IFERROR(SUMIFS(INDIRECT("'Thanh Toán ("&amp;U$3&amp;")'!$F:$F"),INDIRECT("'Thanh Toán ("&amp;U$3&amp;")'!$D:$D"),'Tổng Đơn'!$B57),0)</f>
        <v>0</v>
      </c>
      <c r="V57" s="2">
        <f ca="1">IFERROR(SUMIFS(INDIRECT("'Thanh Toán ("&amp;V$3&amp;")'!$F:$F"),INDIRECT("'Thanh Toán ("&amp;V$3&amp;")'!$D:$D"),'Tổng Đơn'!$B57),0)</f>
        <v>0</v>
      </c>
      <c r="W57" s="2">
        <f ca="1">IFERROR(SUMIFS(INDIRECT("'Thanh Toán ("&amp;W$3&amp;")'!$F:$F"),INDIRECT("'Thanh Toán ("&amp;W$3&amp;")'!$D:$D"),'Tổng Đơn'!$B57),0)</f>
        <v>0</v>
      </c>
      <c r="X57" s="2">
        <f ca="1">IFERROR(SUMIFS(INDIRECT("'Thanh Toán ("&amp;X$3&amp;")'!$F:$F"),INDIRECT("'Thanh Toán ("&amp;X$3&amp;")'!$D:$D"),'Tổng Đơn'!$B57),0)</f>
        <v>0</v>
      </c>
      <c r="Y57" s="2">
        <f ca="1">IFERROR(SUMIFS(INDIRECT("'Thanh Toán ("&amp;Y$3&amp;")'!$F:$F"),INDIRECT("'Thanh Toán ("&amp;Y$3&amp;")'!$D:$D"),'Tổng Đơn'!$B57),0)</f>
        <v>0</v>
      </c>
      <c r="Z57" s="2">
        <f ca="1">IFERROR(SUMIFS(INDIRECT("'Thanh Toán ("&amp;Z$3&amp;")'!$F:$F"),INDIRECT("'Thanh Toán ("&amp;Z$3&amp;")'!$D:$D"),'Tổng Đơn'!$B57),0)</f>
        <v>0</v>
      </c>
      <c r="AA57" s="2">
        <f ca="1">IFERROR(SUMIFS(INDIRECT("'Thanh Toán ("&amp;AA$3&amp;")'!$F:$F"),INDIRECT("'Thanh Toán ("&amp;AA$3&amp;")'!$D:$D"),'Tổng Đơn'!$B57),0)</f>
        <v>0</v>
      </c>
      <c r="AB57" s="2">
        <f ca="1">IFERROR(SUMIFS(INDIRECT("'Thanh Toán ("&amp;AB$3&amp;")'!$F:$F"),INDIRECT("'Thanh Toán ("&amp;AB$3&amp;")'!$D:$D"),'Tổng Đơn'!$B57),0)</f>
        <v>0</v>
      </c>
      <c r="AC57" s="2">
        <f ca="1">IFERROR(SUMIFS(INDIRECT("'Thanh Toán ("&amp;AC$3&amp;")'!$F:$F"),INDIRECT("'Thanh Toán ("&amp;AC$3&amp;")'!$D:$D"),'Tổng Đơn'!$B57),0)</f>
        <v>0</v>
      </c>
      <c r="AD57" s="2">
        <f ca="1">IFERROR(SUMIFS(INDIRECT("'Thanh Toán ("&amp;AD$3&amp;")'!$F:$F"),INDIRECT("'Thanh Toán ("&amp;AD$3&amp;")'!$D:$D"),'Tổng Đơn'!$B57),0)</f>
        <v>0</v>
      </c>
      <c r="AE57" s="2">
        <f ca="1">IFERROR(SUMIFS(INDIRECT("'Thanh Toán ("&amp;AE$3&amp;")'!$F:$F"),INDIRECT("'Thanh Toán ("&amp;AE$3&amp;")'!$D:$D"),'Tổng Đơn'!$B57),0)</f>
        <v>0</v>
      </c>
      <c r="AF57" s="2">
        <f ca="1">IFERROR(SUMIFS(INDIRECT("'Thanh Toán ("&amp;AF$3&amp;")'!$F:$F"),INDIRECT("'Thanh Toán ("&amp;AF$3&amp;")'!$D:$D"),'Tổng Đơn'!$B57),0)</f>
        <v>0</v>
      </c>
      <c r="AG57" s="2">
        <f ca="1">IFERROR(SUMIFS(INDIRECT("'Thanh Toán ("&amp;AG$3&amp;")'!$F:$F"),INDIRECT("'Thanh Toán ("&amp;AG$3&amp;")'!$D:$D"),'Tổng Đơn'!$B57),0)</f>
        <v>0</v>
      </c>
      <c r="AH57" s="2">
        <f ca="1">IFERROR(SUMIFS(INDIRECT("'Thanh Toán ("&amp;AH$3&amp;")'!$F:$F"),INDIRECT("'Thanh Toán ("&amp;AH$3&amp;")'!$D:$D"),'Tổng Đơn'!$B57),0)</f>
        <v>0</v>
      </c>
      <c r="AI57" s="2">
        <f ca="1">IFERROR(SUMIFS(INDIRECT("'Thanh Toán ("&amp;AI$3&amp;")'!$F:$F"),INDIRECT("'Thanh Toán ("&amp;AI$3&amp;")'!$D:$D"),'Tổng Đơn'!$B57),0)</f>
        <v>0</v>
      </c>
      <c r="AJ57" s="2">
        <f ca="1">IFERROR(SUMIFS(INDIRECT("'Thanh Toán ("&amp;AJ$3&amp;")'!$F:$F"),INDIRECT("'Thanh Toán ("&amp;AJ$3&amp;")'!$D:$D"),'Tổng Đơn'!$B57),0)</f>
        <v>0</v>
      </c>
      <c r="AK57" s="2">
        <f ca="1">IFERROR(SUMIFS(INDIRECT("'Thanh Toán ("&amp;AK$3&amp;")'!$F:$F"),INDIRECT("'Thanh Toán ("&amp;AK$3&amp;")'!$D:$D"),'Tổng Đơn'!$B57),0)</f>
        <v>0</v>
      </c>
      <c r="AL57" s="2">
        <f ca="1">IFERROR(SUMIFS(INDIRECT("'Thanh Toán ("&amp;AL$3&amp;")'!$F:$F"),INDIRECT("'Thanh Toán ("&amp;AL$3&amp;")'!$D:$D"),'Tổng Đơn'!$B57),0)</f>
        <v>0</v>
      </c>
      <c r="AM57" s="2">
        <f ca="1">IFERROR(SUMIFS(INDIRECT("'Thanh Toán ("&amp;AM$3&amp;")'!$F:$F"),INDIRECT("'Thanh Toán ("&amp;AM$3&amp;")'!$D:$D"),'Tổng Đơn'!$B57),0)</f>
        <v>0</v>
      </c>
      <c r="AN57" s="2">
        <f ca="1">IFERROR(SUMIFS(INDIRECT("'Thanh Toán ("&amp;AN$3&amp;")'!$F:$F"),INDIRECT("'Thanh Toán ("&amp;AN$3&amp;")'!$D:$D"),'Tổng Đơn'!$B57),0)</f>
        <v>0</v>
      </c>
      <c r="AO57" s="2">
        <f ca="1">IFERROR(SUMIFS(INDIRECT("'Thanh Toán ("&amp;AO$3&amp;")'!$F:$F"),INDIRECT("'Thanh Toán ("&amp;AO$3&amp;")'!$D:$D"),'Tổng Đơn'!$B57),0)</f>
        <v>0</v>
      </c>
      <c r="AP57" s="2">
        <f ca="1">IFERROR(SUMIFS(INDIRECT("'Thanh Toán ("&amp;AP$3&amp;")'!$F:$F"),INDIRECT("'Thanh Toán ("&amp;AP$3&amp;")'!$D:$D"),'Tổng Đơn'!$B57),0)</f>
        <v>0</v>
      </c>
      <c r="AQ57" s="2">
        <f ca="1">IFERROR(SUMIFS(INDIRECT("'Thanh Toán ("&amp;AQ$3&amp;")'!$F:$F"),INDIRECT("'Thanh Toán ("&amp;AQ$3&amp;")'!$D:$D"),'Tổng Đơn'!$B57),0)</f>
        <v>0</v>
      </c>
      <c r="AR57" s="2">
        <f ca="1">IFERROR(SUMIFS(INDIRECT("'Thanh Toán ("&amp;AR$3&amp;")'!$F:$F"),INDIRECT("'Thanh Toán ("&amp;AR$3&amp;")'!$D:$D"),'Tổng Đơn'!$B57),0)</f>
        <v>0</v>
      </c>
      <c r="AS57" s="2">
        <f ca="1">IFERROR(SUMIFS(INDIRECT("'Thanh Toán ("&amp;AS$3&amp;")'!$F:$F"),INDIRECT("'Thanh Toán ("&amp;AS$3&amp;")'!$D:$D"),'Tổng Đơn'!$B57),0)</f>
        <v>0</v>
      </c>
      <c r="AT57" s="2">
        <f ca="1">IFERROR(SUMIFS(INDIRECT("'Thanh Toán ("&amp;AT$3&amp;")'!$F:$F"),INDIRECT("'Thanh Toán ("&amp;AT$3&amp;")'!$D:$D"),'Tổng Đơn'!$B57),0)</f>
        <v>0</v>
      </c>
      <c r="AU57" s="2">
        <f ca="1">IFERROR(SUMIFS(INDIRECT("'Thanh Toán ("&amp;AU$3&amp;")'!$F:$F"),INDIRECT("'Thanh Toán ("&amp;AU$3&amp;")'!$D:$D"),'Tổng Đơn'!$B57),0)</f>
        <v>0</v>
      </c>
      <c r="AV57" s="2">
        <f ca="1">IFERROR(SUMIFS(INDIRECT("'Thanh Toán ("&amp;AV$3&amp;")'!$F:$F"),INDIRECT("'Thanh Toán ("&amp;AV$3&amp;")'!$D:$D"),'Tổng Đơn'!$B57),0)</f>
        <v>0</v>
      </c>
      <c r="AW57" s="2">
        <f ca="1">IFERROR(SUMIFS(INDIRECT("'Thanh Toán ("&amp;AW$3&amp;")'!$F:$F"),INDIRECT("'Thanh Toán ("&amp;AW$3&amp;")'!$D:$D"),'Tổng Đơn'!$B57),0)</f>
        <v>0</v>
      </c>
      <c r="AX57" s="2">
        <f ca="1">IFERROR(SUMIFS(INDIRECT("'Thanh Toán ("&amp;AX$3&amp;")'!$F:$F"),INDIRECT("'Thanh Toán ("&amp;AX$3&amp;")'!$D:$D"),'Tổng Đơn'!$B57),0)</f>
        <v>0</v>
      </c>
      <c r="AY57" s="2">
        <f ca="1">IFERROR(SUMIFS(INDIRECT("'Thanh Toán ("&amp;AY$3&amp;")'!$F:$F"),INDIRECT("'Thanh Toán ("&amp;AY$3&amp;")'!$D:$D"),'Tổng Đơn'!$B57),0)</f>
        <v>0</v>
      </c>
      <c r="AZ57" s="2">
        <f ca="1">IFERROR(SUMIFS(INDIRECT("'Thanh Toán ("&amp;AZ$3&amp;")'!$F:$F"),INDIRECT("'Thanh Toán ("&amp;AZ$3&amp;")'!$D:$D"),'Tổng Đơn'!$B57),0)</f>
        <v>0</v>
      </c>
      <c r="BA57" s="2">
        <f ca="1">IFERROR(SUMIFS(INDIRECT("'Thanh Toán ("&amp;BA$3&amp;")'!$F:$F"),INDIRECT("'Thanh Toán ("&amp;BA$3&amp;")'!$D:$D"),'Tổng Đơn'!$B57),0)</f>
        <v>0</v>
      </c>
      <c r="BB57" s="2">
        <f ca="1">IFERROR(SUMIFS(INDIRECT("'Thanh Toán ("&amp;BB$3&amp;")'!$F:$F"),INDIRECT("'Thanh Toán ("&amp;BB$3&amp;")'!$D:$D"),'Tổng Đơn'!$B57),0)</f>
        <v>0</v>
      </c>
      <c r="BC57" s="2">
        <f ca="1">IFERROR(SUMIFS(INDIRECT("'Thanh Toán ("&amp;BC$3&amp;")'!$F:$F"),INDIRECT("'Thanh Toán ("&amp;BC$3&amp;")'!$D:$D"),'Tổng Đơn'!$B57),0)</f>
        <v>0</v>
      </c>
    </row>
    <row r="58" spans="1:55" ht="18" customHeight="1" x14ac:dyDescent="0.25">
      <c r="A58" s="167">
        <v>48</v>
      </c>
      <c r="B58" s="176" t="s">
        <v>246</v>
      </c>
      <c r="C58" s="167" t="s">
        <v>121</v>
      </c>
      <c r="D58" s="169">
        <f>VLOOKUP($C58,Sheet1!$C$8:$D$98,2,0)</f>
        <v>44000</v>
      </c>
      <c r="E58" s="170">
        <v>0.5</v>
      </c>
      <c r="F58" s="171">
        <f t="shared" ca="1" si="13"/>
        <v>0</v>
      </c>
      <c r="G58" s="172">
        <f>IFERROR(VLOOKUP($B58,Gà!C:J,8,0),IFERROR(VLOOKUP($B58,TVP!C:J,7,0),IFERROR(VLOOKUP($B58,Kitkool!C:J,8,0),IFERROR(VLOOKUP($B58,'La Cusina'!C:J,8,0),VLOOKUP($B58,'Quốc Nhân'!C:J,8,0)))))</f>
        <v>40.050492053616878</v>
      </c>
      <c r="H58" s="173">
        <f t="shared" ca="1" si="10"/>
        <v>0</v>
      </c>
      <c r="I58" s="195">
        <f t="shared" si="11"/>
        <v>9.8613219060974089E-2</v>
      </c>
      <c r="J58" s="173">
        <f t="shared" ca="1" si="12"/>
        <v>0</v>
      </c>
      <c r="K58" s="38"/>
      <c r="L58" s="2">
        <f ca="1">IFERROR(SUMIFS(INDIRECT("'Thanh Toán ("&amp;L$3&amp;")'!$F:$F"),INDIRECT("'Thanh Toán ("&amp;L$3&amp;")'!$D:$D"),'Tổng Đơn'!$B58),0)</f>
        <v>0</v>
      </c>
      <c r="M58" s="2">
        <f ca="1">IFERROR(SUMIFS(INDIRECT("'Thanh Toán ("&amp;M$3&amp;")'!$F:$F"),INDIRECT("'Thanh Toán ("&amp;M$3&amp;")'!$D:$D"),'Tổng Đơn'!$B58),0)</f>
        <v>0</v>
      </c>
      <c r="N58" s="2">
        <f ca="1">IFERROR(SUMIFS(INDIRECT("'Thanh Toán ("&amp;N$3&amp;")'!$F:$F"),INDIRECT("'Thanh Toán ("&amp;N$3&amp;")'!$D:$D"),'Tổng Đơn'!$B58),0)</f>
        <v>0</v>
      </c>
      <c r="O58" s="2">
        <f ca="1">IFERROR(SUMIFS(INDIRECT("'Thanh Toán ("&amp;O$3&amp;")'!$F:$F"),INDIRECT("'Thanh Toán ("&amp;O$3&amp;")'!$D:$D"),'Tổng Đơn'!$B58),0)</f>
        <v>0</v>
      </c>
      <c r="P58" s="2">
        <f ca="1">IFERROR(SUMIFS(INDIRECT("'Thanh Toán ("&amp;P$3&amp;")'!$F:$F"),INDIRECT("'Thanh Toán ("&amp;P$3&amp;")'!$D:$D"),'Tổng Đơn'!$B58),0)</f>
        <v>0</v>
      </c>
      <c r="Q58" s="2">
        <f ca="1">IFERROR(SUMIFS(INDIRECT("'Thanh Toán ("&amp;Q$3&amp;")'!$F:$F"),INDIRECT("'Thanh Toán ("&amp;Q$3&amp;")'!$D:$D"),'Tổng Đơn'!$B58),0)</f>
        <v>0</v>
      </c>
      <c r="R58" s="2">
        <f ca="1">IFERROR(SUMIFS(INDIRECT("'Thanh Toán ("&amp;R$3&amp;")'!$F:$F"),INDIRECT("'Thanh Toán ("&amp;R$3&amp;")'!$D:$D"),'Tổng Đơn'!$B58),0)</f>
        <v>0</v>
      </c>
      <c r="S58" s="2">
        <f ca="1">IFERROR(SUMIFS(INDIRECT("'Thanh Toán ("&amp;S$3&amp;")'!$F:$F"),INDIRECT("'Thanh Toán ("&amp;S$3&amp;")'!$D:$D"),'Tổng Đơn'!$B58),0)</f>
        <v>0</v>
      </c>
      <c r="T58" s="2">
        <f ca="1">IFERROR(SUMIFS(INDIRECT("'Thanh Toán ("&amp;T$3&amp;")'!$F:$F"),INDIRECT("'Thanh Toán ("&amp;T$3&amp;")'!$D:$D"),'Tổng Đơn'!$B58),0)</f>
        <v>0</v>
      </c>
      <c r="U58" s="2">
        <f ca="1">IFERROR(SUMIFS(INDIRECT("'Thanh Toán ("&amp;U$3&amp;")'!$F:$F"),INDIRECT("'Thanh Toán ("&amp;U$3&amp;")'!$D:$D"),'Tổng Đơn'!$B58),0)</f>
        <v>0</v>
      </c>
      <c r="V58" s="2">
        <f ca="1">IFERROR(SUMIFS(INDIRECT("'Thanh Toán ("&amp;V$3&amp;")'!$F:$F"),INDIRECT("'Thanh Toán ("&amp;V$3&amp;")'!$D:$D"),'Tổng Đơn'!$B58),0)</f>
        <v>0</v>
      </c>
      <c r="W58" s="2">
        <f ca="1">IFERROR(SUMIFS(INDIRECT("'Thanh Toán ("&amp;W$3&amp;")'!$F:$F"),INDIRECT("'Thanh Toán ("&amp;W$3&amp;")'!$D:$D"),'Tổng Đơn'!$B58),0)</f>
        <v>0</v>
      </c>
      <c r="X58" s="2">
        <f ca="1">IFERROR(SUMIFS(INDIRECT("'Thanh Toán ("&amp;X$3&amp;")'!$F:$F"),INDIRECT("'Thanh Toán ("&amp;X$3&amp;")'!$D:$D"),'Tổng Đơn'!$B58),0)</f>
        <v>0</v>
      </c>
      <c r="Y58" s="2">
        <f ca="1">IFERROR(SUMIFS(INDIRECT("'Thanh Toán ("&amp;Y$3&amp;")'!$F:$F"),INDIRECT("'Thanh Toán ("&amp;Y$3&amp;")'!$D:$D"),'Tổng Đơn'!$B58),0)</f>
        <v>0</v>
      </c>
      <c r="Z58" s="2">
        <f ca="1">IFERROR(SUMIFS(INDIRECT("'Thanh Toán ("&amp;Z$3&amp;")'!$F:$F"),INDIRECT("'Thanh Toán ("&amp;Z$3&amp;")'!$D:$D"),'Tổng Đơn'!$B58),0)</f>
        <v>0</v>
      </c>
      <c r="AA58" s="2">
        <f ca="1">IFERROR(SUMIFS(INDIRECT("'Thanh Toán ("&amp;AA$3&amp;")'!$F:$F"),INDIRECT("'Thanh Toán ("&amp;AA$3&amp;")'!$D:$D"),'Tổng Đơn'!$B58),0)</f>
        <v>0</v>
      </c>
      <c r="AB58" s="2">
        <f ca="1">IFERROR(SUMIFS(INDIRECT("'Thanh Toán ("&amp;AB$3&amp;")'!$F:$F"),INDIRECT("'Thanh Toán ("&amp;AB$3&amp;")'!$D:$D"),'Tổng Đơn'!$B58),0)</f>
        <v>0</v>
      </c>
      <c r="AC58" s="2">
        <f ca="1">IFERROR(SUMIFS(INDIRECT("'Thanh Toán ("&amp;AC$3&amp;")'!$F:$F"),INDIRECT("'Thanh Toán ("&amp;AC$3&amp;")'!$D:$D"),'Tổng Đơn'!$B58),0)</f>
        <v>0</v>
      </c>
      <c r="AD58" s="2">
        <f ca="1">IFERROR(SUMIFS(INDIRECT("'Thanh Toán ("&amp;AD$3&amp;")'!$F:$F"),INDIRECT("'Thanh Toán ("&amp;AD$3&amp;")'!$D:$D"),'Tổng Đơn'!$B58),0)</f>
        <v>0</v>
      </c>
      <c r="AE58" s="2">
        <f ca="1">IFERROR(SUMIFS(INDIRECT("'Thanh Toán ("&amp;AE$3&amp;")'!$F:$F"),INDIRECT("'Thanh Toán ("&amp;AE$3&amp;")'!$D:$D"),'Tổng Đơn'!$B58),0)</f>
        <v>0</v>
      </c>
      <c r="AF58" s="2">
        <f ca="1">IFERROR(SUMIFS(INDIRECT("'Thanh Toán ("&amp;AF$3&amp;")'!$F:$F"),INDIRECT("'Thanh Toán ("&amp;AF$3&amp;")'!$D:$D"),'Tổng Đơn'!$B58),0)</f>
        <v>0</v>
      </c>
      <c r="AG58" s="2">
        <f ca="1">IFERROR(SUMIFS(INDIRECT("'Thanh Toán ("&amp;AG$3&amp;")'!$F:$F"),INDIRECT("'Thanh Toán ("&amp;AG$3&amp;")'!$D:$D"),'Tổng Đơn'!$B58),0)</f>
        <v>0</v>
      </c>
      <c r="AH58" s="2">
        <f ca="1">IFERROR(SUMIFS(INDIRECT("'Thanh Toán ("&amp;AH$3&amp;")'!$F:$F"),INDIRECT("'Thanh Toán ("&amp;AH$3&amp;")'!$D:$D"),'Tổng Đơn'!$B58),0)</f>
        <v>0</v>
      </c>
      <c r="AI58" s="2">
        <f ca="1">IFERROR(SUMIFS(INDIRECT("'Thanh Toán ("&amp;AI$3&amp;")'!$F:$F"),INDIRECT("'Thanh Toán ("&amp;AI$3&amp;")'!$D:$D"),'Tổng Đơn'!$B58),0)</f>
        <v>0</v>
      </c>
      <c r="AJ58" s="2">
        <f ca="1">IFERROR(SUMIFS(INDIRECT("'Thanh Toán ("&amp;AJ$3&amp;")'!$F:$F"),INDIRECT("'Thanh Toán ("&amp;AJ$3&amp;")'!$D:$D"),'Tổng Đơn'!$B58),0)</f>
        <v>0</v>
      </c>
      <c r="AK58" s="2">
        <f ca="1">IFERROR(SUMIFS(INDIRECT("'Thanh Toán ("&amp;AK$3&amp;")'!$F:$F"),INDIRECT("'Thanh Toán ("&amp;AK$3&amp;")'!$D:$D"),'Tổng Đơn'!$B58),0)</f>
        <v>0</v>
      </c>
      <c r="AL58" s="2">
        <f ca="1">IFERROR(SUMIFS(INDIRECT("'Thanh Toán ("&amp;AL$3&amp;")'!$F:$F"),INDIRECT("'Thanh Toán ("&amp;AL$3&amp;")'!$D:$D"),'Tổng Đơn'!$B58),0)</f>
        <v>0</v>
      </c>
      <c r="AM58" s="2">
        <f ca="1">IFERROR(SUMIFS(INDIRECT("'Thanh Toán ("&amp;AM$3&amp;")'!$F:$F"),INDIRECT("'Thanh Toán ("&amp;AM$3&amp;")'!$D:$D"),'Tổng Đơn'!$B58),0)</f>
        <v>0</v>
      </c>
      <c r="AN58" s="2">
        <f ca="1">IFERROR(SUMIFS(INDIRECT("'Thanh Toán ("&amp;AN$3&amp;")'!$F:$F"),INDIRECT("'Thanh Toán ("&amp;AN$3&amp;")'!$D:$D"),'Tổng Đơn'!$B58),0)</f>
        <v>0</v>
      </c>
      <c r="AO58" s="2">
        <f ca="1">IFERROR(SUMIFS(INDIRECT("'Thanh Toán ("&amp;AO$3&amp;")'!$F:$F"),INDIRECT("'Thanh Toán ("&amp;AO$3&amp;")'!$D:$D"),'Tổng Đơn'!$B58),0)</f>
        <v>0</v>
      </c>
      <c r="AP58" s="2">
        <f ca="1">IFERROR(SUMIFS(INDIRECT("'Thanh Toán ("&amp;AP$3&amp;")'!$F:$F"),INDIRECT("'Thanh Toán ("&amp;AP$3&amp;")'!$D:$D"),'Tổng Đơn'!$B58),0)</f>
        <v>0</v>
      </c>
      <c r="AQ58" s="2">
        <f ca="1">IFERROR(SUMIFS(INDIRECT("'Thanh Toán ("&amp;AQ$3&amp;")'!$F:$F"),INDIRECT("'Thanh Toán ("&amp;AQ$3&amp;")'!$D:$D"),'Tổng Đơn'!$B58),0)</f>
        <v>0</v>
      </c>
      <c r="AR58" s="2">
        <f ca="1">IFERROR(SUMIFS(INDIRECT("'Thanh Toán ("&amp;AR$3&amp;")'!$F:$F"),INDIRECT("'Thanh Toán ("&amp;AR$3&amp;")'!$D:$D"),'Tổng Đơn'!$B58),0)</f>
        <v>0</v>
      </c>
      <c r="AS58" s="2">
        <f ca="1">IFERROR(SUMIFS(INDIRECT("'Thanh Toán ("&amp;AS$3&amp;")'!$F:$F"),INDIRECT("'Thanh Toán ("&amp;AS$3&amp;")'!$D:$D"),'Tổng Đơn'!$B58),0)</f>
        <v>0</v>
      </c>
      <c r="AT58" s="2">
        <f ca="1">IFERROR(SUMIFS(INDIRECT("'Thanh Toán ("&amp;AT$3&amp;")'!$F:$F"),INDIRECT("'Thanh Toán ("&amp;AT$3&amp;")'!$D:$D"),'Tổng Đơn'!$B58),0)</f>
        <v>0</v>
      </c>
      <c r="AU58" s="2">
        <f ca="1">IFERROR(SUMIFS(INDIRECT("'Thanh Toán ("&amp;AU$3&amp;")'!$F:$F"),INDIRECT("'Thanh Toán ("&amp;AU$3&amp;")'!$D:$D"),'Tổng Đơn'!$B58),0)</f>
        <v>0</v>
      </c>
      <c r="AV58" s="2">
        <f ca="1">IFERROR(SUMIFS(INDIRECT("'Thanh Toán ("&amp;AV$3&amp;")'!$F:$F"),INDIRECT("'Thanh Toán ("&amp;AV$3&amp;")'!$D:$D"),'Tổng Đơn'!$B58),0)</f>
        <v>0</v>
      </c>
      <c r="AW58" s="2">
        <f ca="1">IFERROR(SUMIFS(INDIRECT("'Thanh Toán ("&amp;AW$3&amp;")'!$F:$F"),INDIRECT("'Thanh Toán ("&amp;AW$3&amp;")'!$D:$D"),'Tổng Đơn'!$B58),0)</f>
        <v>0</v>
      </c>
      <c r="AX58" s="2">
        <f ca="1">IFERROR(SUMIFS(INDIRECT("'Thanh Toán ("&amp;AX$3&amp;")'!$F:$F"),INDIRECT("'Thanh Toán ("&amp;AX$3&amp;")'!$D:$D"),'Tổng Đơn'!$B58),0)</f>
        <v>0</v>
      </c>
      <c r="AY58" s="2">
        <f ca="1">IFERROR(SUMIFS(INDIRECT("'Thanh Toán ("&amp;AY$3&amp;")'!$F:$F"),INDIRECT("'Thanh Toán ("&amp;AY$3&amp;")'!$D:$D"),'Tổng Đơn'!$B58),0)</f>
        <v>0</v>
      </c>
      <c r="AZ58" s="2">
        <f ca="1">IFERROR(SUMIFS(INDIRECT("'Thanh Toán ("&amp;AZ$3&amp;")'!$F:$F"),INDIRECT("'Thanh Toán ("&amp;AZ$3&amp;")'!$D:$D"),'Tổng Đơn'!$B58),0)</f>
        <v>0</v>
      </c>
      <c r="BA58" s="2">
        <f ca="1">IFERROR(SUMIFS(INDIRECT("'Thanh Toán ("&amp;BA$3&amp;")'!$F:$F"),INDIRECT("'Thanh Toán ("&amp;BA$3&amp;")'!$D:$D"),'Tổng Đơn'!$B58),0)</f>
        <v>0</v>
      </c>
      <c r="BB58" s="2">
        <f ca="1">IFERROR(SUMIFS(INDIRECT("'Thanh Toán ("&amp;BB$3&amp;")'!$F:$F"),INDIRECT("'Thanh Toán ("&amp;BB$3&amp;")'!$D:$D"),'Tổng Đơn'!$B58),0)</f>
        <v>0</v>
      </c>
      <c r="BC58" s="2">
        <f ca="1">IFERROR(SUMIFS(INDIRECT("'Thanh Toán ("&amp;BC$3&amp;")'!$F:$F"),INDIRECT("'Thanh Toán ("&amp;BC$3&amp;")'!$D:$D"),'Tổng Đơn'!$B58),0)</f>
        <v>0</v>
      </c>
    </row>
    <row r="59" spans="1:55" ht="18" customHeight="1" x14ac:dyDescent="0.25">
      <c r="A59" s="167">
        <v>49</v>
      </c>
      <c r="B59" s="176" t="s">
        <v>155</v>
      </c>
      <c r="C59" s="167" t="s">
        <v>122</v>
      </c>
      <c r="D59" s="169">
        <f>VLOOKUP($C59,Sheet1!$C$8:$D$98,2,0)</f>
        <v>35000</v>
      </c>
      <c r="E59" s="170">
        <v>0.5</v>
      </c>
      <c r="F59" s="171">
        <f t="shared" ca="1" si="13"/>
        <v>0</v>
      </c>
      <c r="G59" s="172">
        <f>IFERROR(VLOOKUP($B59,Gà!C:J,8,0),IFERROR(VLOOKUP($B59,TVP!C:J,7,0),IFERROR(VLOOKUP($B59,Kitkool!C:J,8,0),IFERROR(VLOOKUP($B59,'La Cusina'!C:J,8,0),VLOOKUP($B59,'Quốc Nhân'!C:J,8,0)))))</f>
        <v>30.294602963633277</v>
      </c>
      <c r="H59" s="173">
        <f t="shared" ca="1" si="10"/>
        <v>0</v>
      </c>
      <c r="I59" s="195">
        <f t="shared" si="11"/>
        <v>0.15532129739462985</v>
      </c>
      <c r="J59" s="173">
        <f t="shared" ca="1" si="12"/>
        <v>0</v>
      </c>
      <c r="K59" s="38"/>
      <c r="L59" s="2">
        <f ca="1">IFERROR(SUMIFS(INDIRECT("'Thanh Toán ("&amp;L$3&amp;")'!$F:$F"),INDIRECT("'Thanh Toán ("&amp;L$3&amp;")'!$D:$D"),'Tổng Đơn'!$B59),0)</f>
        <v>0</v>
      </c>
      <c r="M59" s="2">
        <f ca="1">IFERROR(SUMIFS(INDIRECT("'Thanh Toán ("&amp;M$3&amp;")'!$F:$F"),INDIRECT("'Thanh Toán ("&amp;M$3&amp;")'!$D:$D"),'Tổng Đơn'!$B59),0)</f>
        <v>0</v>
      </c>
      <c r="N59" s="2">
        <f ca="1">IFERROR(SUMIFS(INDIRECT("'Thanh Toán ("&amp;N$3&amp;")'!$F:$F"),INDIRECT("'Thanh Toán ("&amp;N$3&amp;")'!$D:$D"),'Tổng Đơn'!$B59),0)</f>
        <v>0</v>
      </c>
      <c r="O59" s="2">
        <f ca="1">IFERROR(SUMIFS(INDIRECT("'Thanh Toán ("&amp;O$3&amp;")'!$F:$F"),INDIRECT("'Thanh Toán ("&amp;O$3&amp;")'!$D:$D"),'Tổng Đơn'!$B59),0)</f>
        <v>0</v>
      </c>
      <c r="P59" s="2">
        <f ca="1">IFERROR(SUMIFS(INDIRECT("'Thanh Toán ("&amp;P$3&amp;")'!$F:$F"),INDIRECT("'Thanh Toán ("&amp;P$3&amp;")'!$D:$D"),'Tổng Đơn'!$B59),0)</f>
        <v>0</v>
      </c>
      <c r="Q59" s="2">
        <f ca="1">IFERROR(SUMIFS(INDIRECT("'Thanh Toán ("&amp;Q$3&amp;")'!$F:$F"),INDIRECT("'Thanh Toán ("&amp;Q$3&amp;")'!$D:$D"),'Tổng Đơn'!$B59),0)</f>
        <v>0</v>
      </c>
      <c r="R59" s="2">
        <f ca="1">IFERROR(SUMIFS(INDIRECT("'Thanh Toán ("&amp;R$3&amp;")'!$F:$F"),INDIRECT("'Thanh Toán ("&amp;R$3&amp;")'!$D:$D"),'Tổng Đơn'!$B59),0)</f>
        <v>0</v>
      </c>
      <c r="S59" s="2">
        <f ca="1">IFERROR(SUMIFS(INDIRECT("'Thanh Toán ("&amp;S$3&amp;")'!$F:$F"),INDIRECT("'Thanh Toán ("&amp;S$3&amp;")'!$D:$D"),'Tổng Đơn'!$B59),0)</f>
        <v>0</v>
      </c>
      <c r="T59" s="2">
        <f ca="1">IFERROR(SUMIFS(INDIRECT("'Thanh Toán ("&amp;T$3&amp;")'!$F:$F"),INDIRECT("'Thanh Toán ("&amp;T$3&amp;")'!$D:$D"),'Tổng Đơn'!$B59),0)</f>
        <v>0</v>
      </c>
      <c r="U59" s="2">
        <f ca="1">IFERROR(SUMIFS(INDIRECT("'Thanh Toán ("&amp;U$3&amp;")'!$F:$F"),INDIRECT("'Thanh Toán ("&amp;U$3&amp;")'!$D:$D"),'Tổng Đơn'!$B59),0)</f>
        <v>0</v>
      </c>
      <c r="V59" s="2">
        <f ca="1">IFERROR(SUMIFS(INDIRECT("'Thanh Toán ("&amp;V$3&amp;")'!$F:$F"),INDIRECT("'Thanh Toán ("&amp;V$3&amp;")'!$D:$D"),'Tổng Đơn'!$B59),0)</f>
        <v>0</v>
      </c>
      <c r="W59" s="2">
        <f ca="1">IFERROR(SUMIFS(INDIRECT("'Thanh Toán ("&amp;W$3&amp;")'!$F:$F"),INDIRECT("'Thanh Toán ("&amp;W$3&amp;")'!$D:$D"),'Tổng Đơn'!$B59),0)</f>
        <v>0</v>
      </c>
      <c r="X59" s="2">
        <f ca="1">IFERROR(SUMIFS(INDIRECT("'Thanh Toán ("&amp;X$3&amp;")'!$F:$F"),INDIRECT("'Thanh Toán ("&amp;X$3&amp;")'!$D:$D"),'Tổng Đơn'!$B59),0)</f>
        <v>0</v>
      </c>
      <c r="Y59" s="2">
        <f ca="1">IFERROR(SUMIFS(INDIRECT("'Thanh Toán ("&amp;Y$3&amp;")'!$F:$F"),INDIRECT("'Thanh Toán ("&amp;Y$3&amp;")'!$D:$D"),'Tổng Đơn'!$B59),0)</f>
        <v>0</v>
      </c>
      <c r="Z59" s="2">
        <f ca="1">IFERROR(SUMIFS(INDIRECT("'Thanh Toán ("&amp;Z$3&amp;")'!$F:$F"),INDIRECT("'Thanh Toán ("&amp;Z$3&amp;")'!$D:$D"),'Tổng Đơn'!$B59),0)</f>
        <v>0</v>
      </c>
      <c r="AA59" s="2">
        <f ca="1">IFERROR(SUMIFS(INDIRECT("'Thanh Toán ("&amp;AA$3&amp;")'!$F:$F"),INDIRECT("'Thanh Toán ("&amp;AA$3&amp;")'!$D:$D"),'Tổng Đơn'!$B59),0)</f>
        <v>0</v>
      </c>
      <c r="AB59" s="2">
        <f ca="1">IFERROR(SUMIFS(INDIRECT("'Thanh Toán ("&amp;AB$3&amp;")'!$F:$F"),INDIRECT("'Thanh Toán ("&amp;AB$3&amp;")'!$D:$D"),'Tổng Đơn'!$B59),0)</f>
        <v>0</v>
      </c>
      <c r="AC59" s="2">
        <f ca="1">IFERROR(SUMIFS(INDIRECT("'Thanh Toán ("&amp;AC$3&amp;")'!$F:$F"),INDIRECT("'Thanh Toán ("&amp;AC$3&amp;")'!$D:$D"),'Tổng Đơn'!$B59),0)</f>
        <v>0</v>
      </c>
      <c r="AD59" s="2">
        <f ca="1">IFERROR(SUMIFS(INDIRECT("'Thanh Toán ("&amp;AD$3&amp;")'!$F:$F"),INDIRECT("'Thanh Toán ("&amp;AD$3&amp;")'!$D:$D"),'Tổng Đơn'!$B59),0)</f>
        <v>0</v>
      </c>
      <c r="AE59" s="2">
        <f ca="1">IFERROR(SUMIFS(INDIRECT("'Thanh Toán ("&amp;AE$3&amp;")'!$F:$F"),INDIRECT("'Thanh Toán ("&amp;AE$3&amp;")'!$D:$D"),'Tổng Đơn'!$B59),0)</f>
        <v>0</v>
      </c>
      <c r="AF59" s="2">
        <f ca="1">IFERROR(SUMIFS(INDIRECT("'Thanh Toán ("&amp;AF$3&amp;")'!$F:$F"),INDIRECT("'Thanh Toán ("&amp;AF$3&amp;")'!$D:$D"),'Tổng Đơn'!$B59),0)</f>
        <v>0</v>
      </c>
      <c r="AG59" s="2">
        <f ca="1">IFERROR(SUMIFS(INDIRECT("'Thanh Toán ("&amp;AG$3&amp;")'!$F:$F"),INDIRECT("'Thanh Toán ("&amp;AG$3&amp;")'!$D:$D"),'Tổng Đơn'!$B59),0)</f>
        <v>0</v>
      </c>
      <c r="AH59" s="2">
        <f ca="1">IFERROR(SUMIFS(INDIRECT("'Thanh Toán ("&amp;AH$3&amp;")'!$F:$F"),INDIRECT("'Thanh Toán ("&amp;AH$3&amp;")'!$D:$D"),'Tổng Đơn'!$B59),0)</f>
        <v>0</v>
      </c>
      <c r="AI59" s="2">
        <f ca="1">IFERROR(SUMIFS(INDIRECT("'Thanh Toán ("&amp;AI$3&amp;")'!$F:$F"),INDIRECT("'Thanh Toán ("&amp;AI$3&amp;")'!$D:$D"),'Tổng Đơn'!$B59),0)</f>
        <v>0</v>
      </c>
      <c r="AJ59" s="2">
        <f ca="1">IFERROR(SUMIFS(INDIRECT("'Thanh Toán ("&amp;AJ$3&amp;")'!$F:$F"),INDIRECT("'Thanh Toán ("&amp;AJ$3&amp;")'!$D:$D"),'Tổng Đơn'!$B59),0)</f>
        <v>0</v>
      </c>
      <c r="AK59" s="2">
        <f ca="1">IFERROR(SUMIFS(INDIRECT("'Thanh Toán ("&amp;AK$3&amp;")'!$F:$F"),INDIRECT("'Thanh Toán ("&amp;AK$3&amp;")'!$D:$D"),'Tổng Đơn'!$B59),0)</f>
        <v>0</v>
      </c>
      <c r="AL59" s="2">
        <f ca="1">IFERROR(SUMIFS(INDIRECT("'Thanh Toán ("&amp;AL$3&amp;")'!$F:$F"),INDIRECT("'Thanh Toán ("&amp;AL$3&amp;")'!$D:$D"),'Tổng Đơn'!$B59),0)</f>
        <v>0</v>
      </c>
      <c r="AM59" s="2">
        <f ca="1">IFERROR(SUMIFS(INDIRECT("'Thanh Toán ("&amp;AM$3&amp;")'!$F:$F"),INDIRECT("'Thanh Toán ("&amp;AM$3&amp;")'!$D:$D"),'Tổng Đơn'!$B59),0)</f>
        <v>0</v>
      </c>
      <c r="AN59" s="2">
        <f ca="1">IFERROR(SUMIFS(INDIRECT("'Thanh Toán ("&amp;AN$3&amp;")'!$F:$F"),INDIRECT("'Thanh Toán ("&amp;AN$3&amp;")'!$D:$D"),'Tổng Đơn'!$B59),0)</f>
        <v>0</v>
      </c>
      <c r="AO59" s="2">
        <f ca="1">IFERROR(SUMIFS(INDIRECT("'Thanh Toán ("&amp;AO$3&amp;")'!$F:$F"),INDIRECT("'Thanh Toán ("&amp;AO$3&amp;")'!$D:$D"),'Tổng Đơn'!$B59),0)</f>
        <v>0</v>
      </c>
      <c r="AP59" s="2">
        <f ca="1">IFERROR(SUMIFS(INDIRECT("'Thanh Toán ("&amp;AP$3&amp;")'!$F:$F"),INDIRECT("'Thanh Toán ("&amp;AP$3&amp;")'!$D:$D"),'Tổng Đơn'!$B59),0)</f>
        <v>0</v>
      </c>
      <c r="AQ59" s="2">
        <f ca="1">IFERROR(SUMIFS(INDIRECT("'Thanh Toán ("&amp;AQ$3&amp;")'!$F:$F"),INDIRECT("'Thanh Toán ("&amp;AQ$3&amp;")'!$D:$D"),'Tổng Đơn'!$B59),0)</f>
        <v>0</v>
      </c>
      <c r="AR59" s="2">
        <f ca="1">IFERROR(SUMIFS(INDIRECT("'Thanh Toán ("&amp;AR$3&amp;")'!$F:$F"),INDIRECT("'Thanh Toán ("&amp;AR$3&amp;")'!$D:$D"),'Tổng Đơn'!$B59),0)</f>
        <v>0</v>
      </c>
      <c r="AS59" s="2">
        <f ca="1">IFERROR(SUMIFS(INDIRECT("'Thanh Toán ("&amp;AS$3&amp;")'!$F:$F"),INDIRECT("'Thanh Toán ("&amp;AS$3&amp;")'!$D:$D"),'Tổng Đơn'!$B59),0)</f>
        <v>0</v>
      </c>
      <c r="AT59" s="2">
        <f ca="1">IFERROR(SUMIFS(INDIRECT("'Thanh Toán ("&amp;AT$3&amp;")'!$F:$F"),INDIRECT("'Thanh Toán ("&amp;AT$3&amp;")'!$D:$D"),'Tổng Đơn'!$B59),0)</f>
        <v>0</v>
      </c>
      <c r="AU59" s="2">
        <f ca="1">IFERROR(SUMIFS(INDIRECT("'Thanh Toán ("&amp;AU$3&amp;")'!$F:$F"),INDIRECT("'Thanh Toán ("&amp;AU$3&amp;")'!$D:$D"),'Tổng Đơn'!$B59),0)</f>
        <v>0</v>
      </c>
      <c r="AV59" s="2">
        <f ca="1">IFERROR(SUMIFS(INDIRECT("'Thanh Toán ("&amp;AV$3&amp;")'!$F:$F"),INDIRECT("'Thanh Toán ("&amp;AV$3&amp;")'!$D:$D"),'Tổng Đơn'!$B59),0)</f>
        <v>0</v>
      </c>
      <c r="AW59" s="2">
        <f ca="1">IFERROR(SUMIFS(INDIRECT("'Thanh Toán ("&amp;AW$3&amp;")'!$F:$F"),INDIRECT("'Thanh Toán ("&amp;AW$3&amp;")'!$D:$D"),'Tổng Đơn'!$B59),0)</f>
        <v>0</v>
      </c>
      <c r="AX59" s="2">
        <f ca="1">IFERROR(SUMIFS(INDIRECT("'Thanh Toán ("&amp;AX$3&amp;")'!$F:$F"),INDIRECT("'Thanh Toán ("&amp;AX$3&amp;")'!$D:$D"),'Tổng Đơn'!$B59),0)</f>
        <v>0</v>
      </c>
      <c r="AY59" s="2">
        <f ca="1">IFERROR(SUMIFS(INDIRECT("'Thanh Toán ("&amp;AY$3&amp;")'!$F:$F"),INDIRECT("'Thanh Toán ("&amp;AY$3&amp;")'!$D:$D"),'Tổng Đơn'!$B59),0)</f>
        <v>0</v>
      </c>
      <c r="AZ59" s="2">
        <f ca="1">IFERROR(SUMIFS(INDIRECT("'Thanh Toán ("&amp;AZ$3&amp;")'!$F:$F"),INDIRECT("'Thanh Toán ("&amp;AZ$3&amp;")'!$D:$D"),'Tổng Đơn'!$B59),0)</f>
        <v>0</v>
      </c>
      <c r="BA59" s="2">
        <f ca="1">IFERROR(SUMIFS(INDIRECT("'Thanh Toán ("&amp;BA$3&amp;")'!$F:$F"),INDIRECT("'Thanh Toán ("&amp;BA$3&amp;")'!$D:$D"),'Tổng Đơn'!$B59),0)</f>
        <v>0</v>
      </c>
      <c r="BB59" s="2">
        <f ca="1">IFERROR(SUMIFS(INDIRECT("'Thanh Toán ("&amp;BB$3&amp;")'!$F:$F"),INDIRECT("'Thanh Toán ("&amp;BB$3&amp;")'!$D:$D"),'Tổng Đơn'!$B59),0)</f>
        <v>0</v>
      </c>
      <c r="BC59" s="2">
        <f ca="1">IFERROR(SUMIFS(INDIRECT("'Thanh Toán ("&amp;BC$3&amp;")'!$F:$F"),INDIRECT("'Thanh Toán ("&amp;BC$3&amp;")'!$D:$D"),'Tổng Đơn'!$B59),0)</f>
        <v>0</v>
      </c>
    </row>
    <row r="60" spans="1:55" ht="18" customHeight="1" x14ac:dyDescent="0.25">
      <c r="A60" s="174">
        <v>50</v>
      </c>
      <c r="B60" s="176" t="s">
        <v>156</v>
      </c>
      <c r="C60" s="167" t="s">
        <v>124</v>
      </c>
      <c r="D60" s="169">
        <f>VLOOKUP($C60,Sheet1!$C$8:$D$98,2,0)</f>
        <v>38000</v>
      </c>
      <c r="E60" s="170">
        <v>0.5</v>
      </c>
      <c r="F60" s="171">
        <f t="shared" ca="1" si="13"/>
        <v>0</v>
      </c>
      <c r="G60" s="172">
        <f>IFERROR(VLOOKUP($B60,Gà!C:J,8,0),IFERROR(VLOOKUP($B60,TVP!C:J,7,0),IFERROR(VLOOKUP($B60,Kitkool!C:J,8,0),IFERROR(VLOOKUP($B60,'La Cusina'!C:J,8,0),VLOOKUP($B60,'Quốc Nhân'!C:J,8,0)))))</f>
        <v>32.348474350998245</v>
      </c>
      <c r="H60" s="173">
        <f t="shared" ca="1" si="10"/>
        <v>0</v>
      </c>
      <c r="I60" s="195">
        <f t="shared" si="11"/>
        <v>0.17470764116043558</v>
      </c>
      <c r="J60" s="173">
        <f t="shared" ca="1" si="12"/>
        <v>0</v>
      </c>
      <c r="K60" s="38"/>
      <c r="L60" s="2">
        <f ca="1">IFERROR(SUMIFS(INDIRECT("'Thanh Toán ("&amp;L$3&amp;")'!$F:$F"),INDIRECT("'Thanh Toán ("&amp;L$3&amp;")'!$D:$D"),'Tổng Đơn'!$B60),0)</f>
        <v>0</v>
      </c>
      <c r="M60" s="2">
        <f ca="1">IFERROR(SUMIFS(INDIRECT("'Thanh Toán ("&amp;M$3&amp;")'!$F:$F"),INDIRECT("'Thanh Toán ("&amp;M$3&amp;")'!$D:$D"),'Tổng Đơn'!$B60),0)</f>
        <v>0</v>
      </c>
      <c r="N60" s="2">
        <f ca="1">IFERROR(SUMIFS(INDIRECT("'Thanh Toán ("&amp;N$3&amp;")'!$F:$F"),INDIRECT("'Thanh Toán ("&amp;N$3&amp;")'!$D:$D"),'Tổng Đơn'!$B60),0)</f>
        <v>0</v>
      </c>
      <c r="O60" s="2">
        <f ca="1">IFERROR(SUMIFS(INDIRECT("'Thanh Toán ("&amp;O$3&amp;")'!$F:$F"),INDIRECT("'Thanh Toán ("&amp;O$3&amp;")'!$D:$D"),'Tổng Đơn'!$B60),0)</f>
        <v>0</v>
      </c>
      <c r="P60" s="2">
        <f ca="1">IFERROR(SUMIFS(INDIRECT("'Thanh Toán ("&amp;P$3&amp;")'!$F:$F"),INDIRECT("'Thanh Toán ("&amp;P$3&amp;")'!$D:$D"),'Tổng Đơn'!$B60),0)</f>
        <v>0</v>
      </c>
      <c r="Q60" s="2">
        <f ca="1">IFERROR(SUMIFS(INDIRECT("'Thanh Toán ("&amp;Q$3&amp;")'!$F:$F"),INDIRECT("'Thanh Toán ("&amp;Q$3&amp;")'!$D:$D"),'Tổng Đơn'!$B60),0)</f>
        <v>0</v>
      </c>
      <c r="R60" s="2">
        <f ca="1">IFERROR(SUMIFS(INDIRECT("'Thanh Toán ("&amp;R$3&amp;")'!$F:$F"),INDIRECT("'Thanh Toán ("&amp;R$3&amp;")'!$D:$D"),'Tổng Đơn'!$B60),0)</f>
        <v>0</v>
      </c>
      <c r="S60" s="2">
        <f ca="1">IFERROR(SUMIFS(INDIRECT("'Thanh Toán ("&amp;S$3&amp;")'!$F:$F"),INDIRECT("'Thanh Toán ("&amp;S$3&amp;")'!$D:$D"),'Tổng Đơn'!$B60),0)</f>
        <v>0</v>
      </c>
      <c r="T60" s="2">
        <f ca="1">IFERROR(SUMIFS(INDIRECT("'Thanh Toán ("&amp;T$3&amp;")'!$F:$F"),INDIRECT("'Thanh Toán ("&amp;T$3&amp;")'!$D:$D"),'Tổng Đơn'!$B60),0)</f>
        <v>0</v>
      </c>
      <c r="U60" s="2">
        <f ca="1">IFERROR(SUMIFS(INDIRECT("'Thanh Toán ("&amp;U$3&amp;")'!$F:$F"),INDIRECT("'Thanh Toán ("&amp;U$3&amp;")'!$D:$D"),'Tổng Đơn'!$B60),0)</f>
        <v>0</v>
      </c>
      <c r="V60" s="2">
        <f ca="1">IFERROR(SUMIFS(INDIRECT("'Thanh Toán ("&amp;V$3&amp;")'!$F:$F"),INDIRECT("'Thanh Toán ("&amp;V$3&amp;")'!$D:$D"),'Tổng Đơn'!$B60),0)</f>
        <v>0</v>
      </c>
      <c r="W60" s="2">
        <f ca="1">IFERROR(SUMIFS(INDIRECT("'Thanh Toán ("&amp;W$3&amp;")'!$F:$F"),INDIRECT("'Thanh Toán ("&amp;W$3&amp;")'!$D:$D"),'Tổng Đơn'!$B60),0)</f>
        <v>0</v>
      </c>
      <c r="X60" s="2">
        <f ca="1">IFERROR(SUMIFS(INDIRECT("'Thanh Toán ("&amp;X$3&amp;")'!$F:$F"),INDIRECT("'Thanh Toán ("&amp;X$3&amp;")'!$D:$D"),'Tổng Đơn'!$B60),0)</f>
        <v>0</v>
      </c>
      <c r="Y60" s="2">
        <f ca="1">IFERROR(SUMIFS(INDIRECT("'Thanh Toán ("&amp;Y$3&amp;")'!$F:$F"),INDIRECT("'Thanh Toán ("&amp;Y$3&amp;")'!$D:$D"),'Tổng Đơn'!$B60),0)</f>
        <v>0</v>
      </c>
      <c r="Z60" s="2">
        <f ca="1">IFERROR(SUMIFS(INDIRECT("'Thanh Toán ("&amp;Z$3&amp;")'!$F:$F"),INDIRECT("'Thanh Toán ("&amp;Z$3&amp;")'!$D:$D"),'Tổng Đơn'!$B60),0)</f>
        <v>0</v>
      </c>
      <c r="AA60" s="2">
        <f ca="1">IFERROR(SUMIFS(INDIRECT("'Thanh Toán ("&amp;AA$3&amp;")'!$F:$F"),INDIRECT("'Thanh Toán ("&amp;AA$3&amp;")'!$D:$D"),'Tổng Đơn'!$B60),0)</f>
        <v>0</v>
      </c>
      <c r="AB60" s="2">
        <f ca="1">IFERROR(SUMIFS(INDIRECT("'Thanh Toán ("&amp;AB$3&amp;")'!$F:$F"),INDIRECT("'Thanh Toán ("&amp;AB$3&amp;")'!$D:$D"),'Tổng Đơn'!$B60),0)</f>
        <v>0</v>
      </c>
      <c r="AC60" s="2">
        <f ca="1">IFERROR(SUMIFS(INDIRECT("'Thanh Toán ("&amp;AC$3&amp;")'!$F:$F"),INDIRECT("'Thanh Toán ("&amp;AC$3&amp;")'!$D:$D"),'Tổng Đơn'!$B60),0)</f>
        <v>0</v>
      </c>
      <c r="AD60" s="2">
        <f ca="1">IFERROR(SUMIFS(INDIRECT("'Thanh Toán ("&amp;AD$3&amp;")'!$F:$F"),INDIRECT("'Thanh Toán ("&amp;AD$3&amp;")'!$D:$D"),'Tổng Đơn'!$B60),0)</f>
        <v>0</v>
      </c>
      <c r="AE60" s="2">
        <f ca="1">IFERROR(SUMIFS(INDIRECT("'Thanh Toán ("&amp;AE$3&amp;")'!$F:$F"),INDIRECT("'Thanh Toán ("&amp;AE$3&amp;")'!$D:$D"),'Tổng Đơn'!$B60),0)</f>
        <v>0</v>
      </c>
      <c r="AF60" s="2">
        <f ca="1">IFERROR(SUMIFS(INDIRECT("'Thanh Toán ("&amp;AF$3&amp;")'!$F:$F"),INDIRECT("'Thanh Toán ("&amp;AF$3&amp;")'!$D:$D"),'Tổng Đơn'!$B60),0)</f>
        <v>0</v>
      </c>
      <c r="AG60" s="2">
        <f ca="1">IFERROR(SUMIFS(INDIRECT("'Thanh Toán ("&amp;AG$3&amp;")'!$F:$F"),INDIRECT("'Thanh Toán ("&amp;AG$3&amp;")'!$D:$D"),'Tổng Đơn'!$B60),0)</f>
        <v>0</v>
      </c>
      <c r="AH60" s="2">
        <f ca="1">IFERROR(SUMIFS(INDIRECT("'Thanh Toán ("&amp;AH$3&amp;")'!$F:$F"),INDIRECT("'Thanh Toán ("&amp;AH$3&amp;")'!$D:$D"),'Tổng Đơn'!$B60),0)</f>
        <v>0</v>
      </c>
      <c r="AI60" s="2">
        <f ca="1">IFERROR(SUMIFS(INDIRECT("'Thanh Toán ("&amp;AI$3&amp;")'!$F:$F"),INDIRECT("'Thanh Toán ("&amp;AI$3&amp;")'!$D:$D"),'Tổng Đơn'!$B60),0)</f>
        <v>0</v>
      </c>
      <c r="AJ60" s="2">
        <f ca="1">IFERROR(SUMIFS(INDIRECT("'Thanh Toán ("&amp;AJ$3&amp;")'!$F:$F"),INDIRECT("'Thanh Toán ("&amp;AJ$3&amp;")'!$D:$D"),'Tổng Đơn'!$B60),0)</f>
        <v>0</v>
      </c>
      <c r="AK60" s="2">
        <f ca="1">IFERROR(SUMIFS(INDIRECT("'Thanh Toán ("&amp;AK$3&amp;")'!$F:$F"),INDIRECT("'Thanh Toán ("&amp;AK$3&amp;")'!$D:$D"),'Tổng Đơn'!$B60),0)</f>
        <v>0</v>
      </c>
      <c r="AL60" s="2">
        <f ca="1">IFERROR(SUMIFS(INDIRECT("'Thanh Toán ("&amp;AL$3&amp;")'!$F:$F"),INDIRECT("'Thanh Toán ("&amp;AL$3&amp;")'!$D:$D"),'Tổng Đơn'!$B60),0)</f>
        <v>0</v>
      </c>
      <c r="AM60" s="2">
        <f ca="1">IFERROR(SUMIFS(INDIRECT("'Thanh Toán ("&amp;AM$3&amp;")'!$F:$F"),INDIRECT("'Thanh Toán ("&amp;AM$3&amp;")'!$D:$D"),'Tổng Đơn'!$B60),0)</f>
        <v>0</v>
      </c>
      <c r="AN60" s="2">
        <f ca="1">IFERROR(SUMIFS(INDIRECT("'Thanh Toán ("&amp;AN$3&amp;")'!$F:$F"),INDIRECT("'Thanh Toán ("&amp;AN$3&amp;")'!$D:$D"),'Tổng Đơn'!$B60),0)</f>
        <v>0</v>
      </c>
      <c r="AO60" s="2">
        <f ca="1">IFERROR(SUMIFS(INDIRECT("'Thanh Toán ("&amp;AO$3&amp;")'!$F:$F"),INDIRECT("'Thanh Toán ("&amp;AO$3&amp;")'!$D:$D"),'Tổng Đơn'!$B60),0)</f>
        <v>0</v>
      </c>
      <c r="AP60" s="2">
        <f ca="1">IFERROR(SUMIFS(INDIRECT("'Thanh Toán ("&amp;AP$3&amp;")'!$F:$F"),INDIRECT("'Thanh Toán ("&amp;AP$3&amp;")'!$D:$D"),'Tổng Đơn'!$B60),0)</f>
        <v>0</v>
      </c>
      <c r="AQ60" s="2">
        <f ca="1">IFERROR(SUMIFS(INDIRECT("'Thanh Toán ("&amp;AQ$3&amp;")'!$F:$F"),INDIRECT("'Thanh Toán ("&amp;AQ$3&amp;")'!$D:$D"),'Tổng Đơn'!$B60),0)</f>
        <v>0</v>
      </c>
      <c r="AR60" s="2">
        <f ca="1">IFERROR(SUMIFS(INDIRECT("'Thanh Toán ("&amp;AR$3&amp;")'!$F:$F"),INDIRECT("'Thanh Toán ("&amp;AR$3&amp;")'!$D:$D"),'Tổng Đơn'!$B60),0)</f>
        <v>0</v>
      </c>
      <c r="AS60" s="2">
        <f ca="1">IFERROR(SUMIFS(INDIRECT("'Thanh Toán ("&amp;AS$3&amp;")'!$F:$F"),INDIRECT("'Thanh Toán ("&amp;AS$3&amp;")'!$D:$D"),'Tổng Đơn'!$B60),0)</f>
        <v>0</v>
      </c>
      <c r="AT60" s="2">
        <f ca="1">IFERROR(SUMIFS(INDIRECT("'Thanh Toán ("&amp;AT$3&amp;")'!$F:$F"),INDIRECT("'Thanh Toán ("&amp;AT$3&amp;")'!$D:$D"),'Tổng Đơn'!$B60),0)</f>
        <v>0</v>
      </c>
      <c r="AU60" s="2">
        <f ca="1">IFERROR(SUMIFS(INDIRECT("'Thanh Toán ("&amp;AU$3&amp;")'!$F:$F"),INDIRECT("'Thanh Toán ("&amp;AU$3&amp;")'!$D:$D"),'Tổng Đơn'!$B60),0)</f>
        <v>0</v>
      </c>
      <c r="AV60" s="2">
        <f ca="1">IFERROR(SUMIFS(INDIRECT("'Thanh Toán ("&amp;AV$3&amp;")'!$F:$F"),INDIRECT("'Thanh Toán ("&amp;AV$3&amp;")'!$D:$D"),'Tổng Đơn'!$B60),0)</f>
        <v>0</v>
      </c>
      <c r="AW60" s="2">
        <f ca="1">IFERROR(SUMIFS(INDIRECT("'Thanh Toán ("&amp;AW$3&amp;")'!$F:$F"),INDIRECT("'Thanh Toán ("&amp;AW$3&amp;")'!$D:$D"),'Tổng Đơn'!$B60),0)</f>
        <v>0</v>
      </c>
      <c r="AX60" s="2">
        <f ca="1">IFERROR(SUMIFS(INDIRECT("'Thanh Toán ("&amp;AX$3&amp;")'!$F:$F"),INDIRECT("'Thanh Toán ("&amp;AX$3&amp;")'!$D:$D"),'Tổng Đơn'!$B60),0)</f>
        <v>0</v>
      </c>
      <c r="AY60" s="2">
        <f ca="1">IFERROR(SUMIFS(INDIRECT("'Thanh Toán ("&amp;AY$3&amp;")'!$F:$F"),INDIRECT("'Thanh Toán ("&amp;AY$3&amp;")'!$D:$D"),'Tổng Đơn'!$B60),0)</f>
        <v>0</v>
      </c>
      <c r="AZ60" s="2">
        <f ca="1">IFERROR(SUMIFS(INDIRECT("'Thanh Toán ("&amp;AZ$3&amp;")'!$F:$F"),INDIRECT("'Thanh Toán ("&amp;AZ$3&amp;")'!$D:$D"),'Tổng Đơn'!$B60),0)</f>
        <v>0</v>
      </c>
      <c r="BA60" s="2">
        <f ca="1">IFERROR(SUMIFS(INDIRECT("'Thanh Toán ("&amp;BA$3&amp;")'!$F:$F"),INDIRECT("'Thanh Toán ("&amp;BA$3&amp;")'!$D:$D"),'Tổng Đơn'!$B60),0)</f>
        <v>0</v>
      </c>
      <c r="BB60" s="2">
        <f ca="1">IFERROR(SUMIFS(INDIRECT("'Thanh Toán ("&amp;BB$3&amp;")'!$F:$F"),INDIRECT("'Thanh Toán ("&amp;BB$3&amp;")'!$D:$D"),'Tổng Đơn'!$B60),0)</f>
        <v>0</v>
      </c>
      <c r="BC60" s="2">
        <f ca="1">IFERROR(SUMIFS(INDIRECT("'Thanh Toán ("&amp;BC$3&amp;")'!$F:$F"),INDIRECT("'Thanh Toán ("&amp;BC$3&amp;")'!$D:$D"),'Tổng Đơn'!$B60),0)</f>
        <v>0</v>
      </c>
    </row>
    <row r="61" spans="1:55" ht="18" customHeight="1" x14ac:dyDescent="0.25">
      <c r="A61" s="167">
        <v>51</v>
      </c>
      <c r="B61" s="176" t="s">
        <v>162</v>
      </c>
      <c r="C61" s="167" t="s">
        <v>136</v>
      </c>
      <c r="D61" s="169">
        <f>VLOOKUP($C61,Sheet1!$C$8:$D$98,2,0)</f>
        <v>70000</v>
      </c>
      <c r="E61" s="170">
        <v>0.5</v>
      </c>
      <c r="F61" s="171">
        <f t="shared" ca="1" si="13"/>
        <v>2</v>
      </c>
      <c r="G61" s="172">
        <f>IFERROR(VLOOKUP($B61,Gà!C:J,8,0),IFERROR(VLOOKUP($B61,TVP!C:J,7,0),IFERROR(VLOOKUP($B61,Kitkool!C:J,8,0),IFERROR(VLOOKUP($B61,'La Cusina'!C:J,8,0),VLOOKUP($B61,'Quốc Nhân'!C:J,8,0)))))</f>
        <v>61.358934102858534</v>
      </c>
      <c r="H61" s="173">
        <f t="shared" ca="1" si="10"/>
        <v>17282.131794282934</v>
      </c>
      <c r="I61" s="195">
        <f t="shared" si="11"/>
        <v>0.14082816175809199</v>
      </c>
      <c r="J61" s="173">
        <f t="shared" ca="1" si="12"/>
        <v>122717.86820571707</v>
      </c>
      <c r="K61" s="38"/>
      <c r="L61" s="2">
        <f ca="1">IFERROR(SUMIFS(INDIRECT("'Thanh Toán ("&amp;L$3&amp;")'!$F:$F"),INDIRECT("'Thanh Toán ("&amp;L$3&amp;")'!$D:$D"),'Tổng Đơn'!$B61),0)</f>
        <v>0</v>
      </c>
      <c r="M61" s="2">
        <f ca="1">IFERROR(SUMIFS(INDIRECT("'Thanh Toán ("&amp;M$3&amp;")'!$F:$F"),INDIRECT("'Thanh Toán ("&amp;M$3&amp;")'!$D:$D"),'Tổng Đơn'!$B61),0)</f>
        <v>0</v>
      </c>
      <c r="N61" s="2">
        <f ca="1">IFERROR(SUMIFS(INDIRECT("'Thanh Toán ("&amp;N$3&amp;")'!$F:$F"),INDIRECT("'Thanh Toán ("&amp;N$3&amp;")'!$D:$D"),'Tổng Đơn'!$B61),0)</f>
        <v>2</v>
      </c>
      <c r="O61" s="2">
        <f ca="1">IFERROR(SUMIFS(INDIRECT("'Thanh Toán ("&amp;O$3&amp;")'!$F:$F"),INDIRECT("'Thanh Toán ("&amp;O$3&amp;")'!$D:$D"),'Tổng Đơn'!$B61),0)</f>
        <v>0</v>
      </c>
      <c r="P61" s="2">
        <f ca="1">IFERROR(SUMIFS(INDIRECT("'Thanh Toán ("&amp;P$3&amp;")'!$F:$F"),INDIRECT("'Thanh Toán ("&amp;P$3&amp;")'!$D:$D"),'Tổng Đơn'!$B61),0)</f>
        <v>0</v>
      </c>
      <c r="Q61" s="2">
        <f ca="1">IFERROR(SUMIFS(INDIRECT("'Thanh Toán ("&amp;Q$3&amp;")'!$F:$F"),INDIRECT("'Thanh Toán ("&amp;Q$3&amp;")'!$D:$D"),'Tổng Đơn'!$B61),0)</f>
        <v>0</v>
      </c>
      <c r="R61" s="2">
        <f ca="1">IFERROR(SUMIFS(INDIRECT("'Thanh Toán ("&amp;R$3&amp;")'!$F:$F"),INDIRECT("'Thanh Toán ("&amp;R$3&amp;")'!$D:$D"),'Tổng Đơn'!$B61),0)</f>
        <v>0</v>
      </c>
      <c r="S61" s="2">
        <f ca="1">IFERROR(SUMIFS(INDIRECT("'Thanh Toán ("&amp;S$3&amp;")'!$F:$F"),INDIRECT("'Thanh Toán ("&amp;S$3&amp;")'!$D:$D"),'Tổng Đơn'!$B61),0)</f>
        <v>0</v>
      </c>
      <c r="T61" s="2">
        <f ca="1">IFERROR(SUMIFS(INDIRECT("'Thanh Toán ("&amp;T$3&amp;")'!$F:$F"),INDIRECT("'Thanh Toán ("&amp;T$3&amp;")'!$D:$D"),'Tổng Đơn'!$B61),0)</f>
        <v>0</v>
      </c>
      <c r="U61" s="2">
        <f ca="1">IFERROR(SUMIFS(INDIRECT("'Thanh Toán ("&amp;U$3&amp;")'!$F:$F"),INDIRECT("'Thanh Toán ("&amp;U$3&amp;")'!$D:$D"),'Tổng Đơn'!$B61),0)</f>
        <v>0</v>
      </c>
      <c r="V61" s="2">
        <f ca="1">IFERROR(SUMIFS(INDIRECT("'Thanh Toán ("&amp;V$3&amp;")'!$F:$F"),INDIRECT("'Thanh Toán ("&amp;V$3&amp;")'!$D:$D"),'Tổng Đơn'!$B61),0)</f>
        <v>0</v>
      </c>
      <c r="W61" s="2">
        <f ca="1">IFERROR(SUMIFS(INDIRECT("'Thanh Toán ("&amp;W$3&amp;")'!$F:$F"),INDIRECT("'Thanh Toán ("&amp;W$3&amp;")'!$D:$D"),'Tổng Đơn'!$B61),0)</f>
        <v>0</v>
      </c>
      <c r="X61" s="2">
        <f ca="1">IFERROR(SUMIFS(INDIRECT("'Thanh Toán ("&amp;X$3&amp;")'!$F:$F"),INDIRECT("'Thanh Toán ("&amp;X$3&amp;")'!$D:$D"),'Tổng Đơn'!$B61),0)</f>
        <v>0</v>
      </c>
      <c r="Y61" s="2">
        <f ca="1">IFERROR(SUMIFS(INDIRECT("'Thanh Toán ("&amp;Y$3&amp;")'!$F:$F"),INDIRECT("'Thanh Toán ("&amp;Y$3&amp;")'!$D:$D"),'Tổng Đơn'!$B61),0)</f>
        <v>0</v>
      </c>
      <c r="Z61" s="2">
        <f ca="1">IFERROR(SUMIFS(INDIRECT("'Thanh Toán ("&amp;Z$3&amp;")'!$F:$F"),INDIRECT("'Thanh Toán ("&amp;Z$3&amp;")'!$D:$D"),'Tổng Đơn'!$B61),0)</f>
        <v>0</v>
      </c>
      <c r="AA61" s="2">
        <f ca="1">IFERROR(SUMIFS(INDIRECT("'Thanh Toán ("&amp;AA$3&amp;")'!$F:$F"),INDIRECT("'Thanh Toán ("&amp;AA$3&amp;")'!$D:$D"),'Tổng Đơn'!$B61),0)</f>
        <v>0</v>
      </c>
      <c r="AB61" s="2">
        <f ca="1">IFERROR(SUMIFS(INDIRECT("'Thanh Toán ("&amp;AB$3&amp;")'!$F:$F"),INDIRECT("'Thanh Toán ("&amp;AB$3&amp;")'!$D:$D"),'Tổng Đơn'!$B61),0)</f>
        <v>0</v>
      </c>
      <c r="AC61" s="2">
        <f ca="1">IFERROR(SUMIFS(INDIRECT("'Thanh Toán ("&amp;AC$3&amp;")'!$F:$F"),INDIRECT("'Thanh Toán ("&amp;AC$3&amp;")'!$D:$D"),'Tổng Đơn'!$B61),0)</f>
        <v>0</v>
      </c>
      <c r="AD61" s="2">
        <f ca="1">IFERROR(SUMIFS(INDIRECT("'Thanh Toán ("&amp;AD$3&amp;")'!$F:$F"),INDIRECT("'Thanh Toán ("&amp;AD$3&amp;")'!$D:$D"),'Tổng Đơn'!$B61),0)</f>
        <v>0</v>
      </c>
      <c r="AE61" s="2">
        <f ca="1">IFERROR(SUMIFS(INDIRECT("'Thanh Toán ("&amp;AE$3&amp;")'!$F:$F"),INDIRECT("'Thanh Toán ("&amp;AE$3&amp;")'!$D:$D"),'Tổng Đơn'!$B61),0)</f>
        <v>0</v>
      </c>
      <c r="AF61" s="2">
        <f ca="1">IFERROR(SUMIFS(INDIRECT("'Thanh Toán ("&amp;AF$3&amp;")'!$F:$F"),INDIRECT("'Thanh Toán ("&amp;AF$3&amp;")'!$D:$D"),'Tổng Đơn'!$B61),0)</f>
        <v>0</v>
      </c>
      <c r="AG61" s="2">
        <f ca="1">IFERROR(SUMIFS(INDIRECT("'Thanh Toán ("&amp;AG$3&amp;")'!$F:$F"),INDIRECT("'Thanh Toán ("&amp;AG$3&amp;")'!$D:$D"),'Tổng Đơn'!$B61),0)</f>
        <v>0</v>
      </c>
      <c r="AH61" s="2">
        <f ca="1">IFERROR(SUMIFS(INDIRECT("'Thanh Toán ("&amp;AH$3&amp;")'!$F:$F"),INDIRECT("'Thanh Toán ("&amp;AH$3&amp;")'!$D:$D"),'Tổng Đơn'!$B61),0)</f>
        <v>0</v>
      </c>
      <c r="AI61" s="2">
        <f ca="1">IFERROR(SUMIFS(INDIRECT("'Thanh Toán ("&amp;AI$3&amp;")'!$F:$F"),INDIRECT("'Thanh Toán ("&amp;AI$3&amp;")'!$D:$D"),'Tổng Đơn'!$B61),0)</f>
        <v>0</v>
      </c>
      <c r="AJ61" s="2">
        <f ca="1">IFERROR(SUMIFS(INDIRECT("'Thanh Toán ("&amp;AJ$3&amp;")'!$F:$F"),INDIRECT("'Thanh Toán ("&amp;AJ$3&amp;")'!$D:$D"),'Tổng Đơn'!$B61),0)</f>
        <v>0</v>
      </c>
      <c r="AK61" s="2">
        <f ca="1">IFERROR(SUMIFS(INDIRECT("'Thanh Toán ("&amp;AK$3&amp;")'!$F:$F"),INDIRECT("'Thanh Toán ("&amp;AK$3&amp;")'!$D:$D"),'Tổng Đơn'!$B61),0)</f>
        <v>0</v>
      </c>
      <c r="AL61" s="2">
        <f ca="1">IFERROR(SUMIFS(INDIRECT("'Thanh Toán ("&amp;AL$3&amp;")'!$F:$F"),INDIRECT("'Thanh Toán ("&amp;AL$3&amp;")'!$D:$D"),'Tổng Đơn'!$B61),0)</f>
        <v>0</v>
      </c>
      <c r="AM61" s="2">
        <f ca="1">IFERROR(SUMIFS(INDIRECT("'Thanh Toán ("&amp;AM$3&amp;")'!$F:$F"),INDIRECT("'Thanh Toán ("&amp;AM$3&amp;")'!$D:$D"),'Tổng Đơn'!$B61),0)</f>
        <v>0</v>
      </c>
      <c r="AN61" s="2">
        <f ca="1">IFERROR(SUMIFS(INDIRECT("'Thanh Toán ("&amp;AN$3&amp;")'!$F:$F"),INDIRECT("'Thanh Toán ("&amp;AN$3&amp;")'!$D:$D"),'Tổng Đơn'!$B61),0)</f>
        <v>0</v>
      </c>
      <c r="AO61" s="2">
        <f ca="1">IFERROR(SUMIFS(INDIRECT("'Thanh Toán ("&amp;AO$3&amp;")'!$F:$F"),INDIRECT("'Thanh Toán ("&amp;AO$3&amp;")'!$D:$D"),'Tổng Đơn'!$B61),0)</f>
        <v>0</v>
      </c>
      <c r="AP61" s="2">
        <f ca="1">IFERROR(SUMIFS(INDIRECT("'Thanh Toán ("&amp;AP$3&amp;")'!$F:$F"),INDIRECT("'Thanh Toán ("&amp;AP$3&amp;")'!$D:$D"),'Tổng Đơn'!$B61),0)</f>
        <v>0</v>
      </c>
      <c r="AQ61" s="2">
        <f ca="1">IFERROR(SUMIFS(INDIRECT("'Thanh Toán ("&amp;AQ$3&amp;")'!$F:$F"),INDIRECT("'Thanh Toán ("&amp;AQ$3&amp;")'!$D:$D"),'Tổng Đơn'!$B61),0)</f>
        <v>0</v>
      </c>
      <c r="AR61" s="2">
        <f ca="1">IFERROR(SUMIFS(INDIRECT("'Thanh Toán ("&amp;AR$3&amp;")'!$F:$F"),INDIRECT("'Thanh Toán ("&amp;AR$3&amp;")'!$D:$D"),'Tổng Đơn'!$B61),0)</f>
        <v>0</v>
      </c>
      <c r="AS61" s="2">
        <f ca="1">IFERROR(SUMIFS(INDIRECT("'Thanh Toán ("&amp;AS$3&amp;")'!$F:$F"),INDIRECT("'Thanh Toán ("&amp;AS$3&amp;")'!$D:$D"),'Tổng Đơn'!$B61),0)</f>
        <v>0</v>
      </c>
      <c r="AT61" s="2">
        <f ca="1">IFERROR(SUMIFS(INDIRECT("'Thanh Toán ("&amp;AT$3&amp;")'!$F:$F"),INDIRECT("'Thanh Toán ("&amp;AT$3&amp;")'!$D:$D"),'Tổng Đơn'!$B61),0)</f>
        <v>0</v>
      </c>
      <c r="AU61" s="2">
        <f ca="1">IFERROR(SUMIFS(INDIRECT("'Thanh Toán ("&amp;AU$3&amp;")'!$F:$F"),INDIRECT("'Thanh Toán ("&amp;AU$3&amp;")'!$D:$D"),'Tổng Đơn'!$B61),0)</f>
        <v>0</v>
      </c>
      <c r="AV61" s="2">
        <f ca="1">IFERROR(SUMIFS(INDIRECT("'Thanh Toán ("&amp;AV$3&amp;")'!$F:$F"),INDIRECT("'Thanh Toán ("&amp;AV$3&amp;")'!$D:$D"),'Tổng Đơn'!$B61),0)</f>
        <v>0</v>
      </c>
      <c r="AW61" s="2">
        <f ca="1">IFERROR(SUMIFS(INDIRECT("'Thanh Toán ("&amp;AW$3&amp;")'!$F:$F"),INDIRECT("'Thanh Toán ("&amp;AW$3&amp;")'!$D:$D"),'Tổng Đơn'!$B61),0)</f>
        <v>0</v>
      </c>
      <c r="AX61" s="2">
        <f ca="1">IFERROR(SUMIFS(INDIRECT("'Thanh Toán ("&amp;AX$3&amp;")'!$F:$F"),INDIRECT("'Thanh Toán ("&amp;AX$3&amp;")'!$D:$D"),'Tổng Đơn'!$B61),0)</f>
        <v>0</v>
      </c>
      <c r="AY61" s="2">
        <f ca="1">IFERROR(SUMIFS(INDIRECT("'Thanh Toán ("&amp;AY$3&amp;")'!$F:$F"),INDIRECT("'Thanh Toán ("&amp;AY$3&amp;")'!$D:$D"),'Tổng Đơn'!$B61),0)</f>
        <v>0</v>
      </c>
      <c r="AZ61" s="2">
        <f ca="1">IFERROR(SUMIFS(INDIRECT("'Thanh Toán ("&amp;AZ$3&amp;")'!$F:$F"),INDIRECT("'Thanh Toán ("&amp;AZ$3&amp;")'!$D:$D"),'Tổng Đơn'!$B61),0)</f>
        <v>0</v>
      </c>
      <c r="BA61" s="2">
        <f ca="1">IFERROR(SUMIFS(INDIRECT("'Thanh Toán ("&amp;BA$3&amp;")'!$F:$F"),INDIRECT("'Thanh Toán ("&amp;BA$3&amp;")'!$D:$D"),'Tổng Đơn'!$B61),0)</f>
        <v>0</v>
      </c>
      <c r="BB61" s="2">
        <f ca="1">IFERROR(SUMIFS(INDIRECT("'Thanh Toán ("&amp;BB$3&amp;")'!$F:$F"),INDIRECT("'Thanh Toán ("&amp;BB$3&amp;")'!$D:$D"),'Tổng Đơn'!$B61),0)</f>
        <v>0</v>
      </c>
      <c r="BC61" s="2">
        <f ca="1">IFERROR(SUMIFS(INDIRECT("'Thanh Toán ("&amp;BC$3&amp;")'!$F:$F"),INDIRECT("'Thanh Toán ("&amp;BC$3&amp;")'!$D:$D"),'Tổng Đơn'!$B61),0)</f>
        <v>0</v>
      </c>
    </row>
    <row r="62" spans="1:55" ht="18" customHeight="1" x14ac:dyDescent="0.25">
      <c r="A62" s="167">
        <v>52</v>
      </c>
      <c r="B62" s="176" t="s">
        <v>175</v>
      </c>
      <c r="C62" s="167" t="s">
        <v>142</v>
      </c>
      <c r="D62" s="169">
        <f>VLOOKUP($C62,Sheet1!$C$8:$D$98,2,0)</f>
        <v>54000</v>
      </c>
      <c r="E62" s="170">
        <v>0.5</v>
      </c>
      <c r="F62" s="171">
        <f t="shared" ca="1" si="13"/>
        <v>0</v>
      </c>
      <c r="G62" s="172">
        <f>IFERROR(VLOOKUP($B62,Gà!C:J,8,0),IFERROR(VLOOKUP($B62,TVP!C:J,7,0),IFERROR(VLOOKUP($B62,Kitkool!C:J,8,0),IFERROR(VLOOKUP($B62,'La Cusina'!C:J,8,0),VLOOKUP($B62,'Quốc Nhân'!C:J,8,0)))))</f>
        <v>44.996551675429593</v>
      </c>
      <c r="H62" s="173">
        <f t="shared" ca="1" si="10"/>
        <v>0</v>
      </c>
      <c r="I62" s="195">
        <f t="shared" si="11"/>
        <v>0.2000919623689017</v>
      </c>
      <c r="J62" s="173">
        <f t="shared" ca="1" si="12"/>
        <v>0</v>
      </c>
      <c r="K62" s="38"/>
      <c r="L62" s="2">
        <f ca="1">IFERROR(SUMIFS(INDIRECT("'Thanh Toán ("&amp;L$3&amp;")'!$F:$F"),INDIRECT("'Thanh Toán ("&amp;L$3&amp;")'!$D:$D"),'Tổng Đơn'!$B62),0)</f>
        <v>0</v>
      </c>
      <c r="M62" s="2">
        <f ca="1">IFERROR(SUMIFS(INDIRECT("'Thanh Toán ("&amp;M$3&amp;")'!$F:$F"),INDIRECT("'Thanh Toán ("&amp;M$3&amp;")'!$D:$D"),'Tổng Đơn'!$B62),0)</f>
        <v>0</v>
      </c>
      <c r="N62" s="2">
        <f ca="1">IFERROR(SUMIFS(INDIRECT("'Thanh Toán ("&amp;N$3&amp;")'!$F:$F"),INDIRECT("'Thanh Toán ("&amp;N$3&amp;")'!$D:$D"),'Tổng Đơn'!$B62),0)</f>
        <v>0</v>
      </c>
      <c r="O62" s="2">
        <f ca="1">IFERROR(SUMIFS(INDIRECT("'Thanh Toán ("&amp;O$3&amp;")'!$F:$F"),INDIRECT("'Thanh Toán ("&amp;O$3&amp;")'!$D:$D"),'Tổng Đơn'!$B62),0)</f>
        <v>0</v>
      </c>
      <c r="P62" s="2">
        <f ca="1">IFERROR(SUMIFS(INDIRECT("'Thanh Toán ("&amp;P$3&amp;")'!$F:$F"),INDIRECT("'Thanh Toán ("&amp;P$3&amp;")'!$D:$D"),'Tổng Đơn'!$B62),0)</f>
        <v>0</v>
      </c>
      <c r="Q62" s="2">
        <f ca="1">IFERROR(SUMIFS(INDIRECT("'Thanh Toán ("&amp;Q$3&amp;")'!$F:$F"),INDIRECT("'Thanh Toán ("&amp;Q$3&amp;")'!$D:$D"),'Tổng Đơn'!$B62),0)</f>
        <v>0</v>
      </c>
      <c r="R62" s="2">
        <f ca="1">IFERROR(SUMIFS(INDIRECT("'Thanh Toán ("&amp;R$3&amp;")'!$F:$F"),INDIRECT("'Thanh Toán ("&amp;R$3&amp;")'!$D:$D"),'Tổng Đơn'!$B62),0)</f>
        <v>0</v>
      </c>
      <c r="S62" s="2">
        <f ca="1">IFERROR(SUMIFS(INDIRECT("'Thanh Toán ("&amp;S$3&amp;")'!$F:$F"),INDIRECT("'Thanh Toán ("&amp;S$3&amp;")'!$D:$D"),'Tổng Đơn'!$B62),0)</f>
        <v>0</v>
      </c>
      <c r="T62" s="2">
        <f ca="1">IFERROR(SUMIFS(INDIRECT("'Thanh Toán ("&amp;T$3&amp;")'!$F:$F"),INDIRECT("'Thanh Toán ("&amp;T$3&amp;")'!$D:$D"),'Tổng Đơn'!$B62),0)</f>
        <v>0</v>
      </c>
      <c r="U62" s="2">
        <f ca="1">IFERROR(SUMIFS(INDIRECT("'Thanh Toán ("&amp;U$3&amp;")'!$F:$F"),INDIRECT("'Thanh Toán ("&amp;U$3&amp;")'!$D:$D"),'Tổng Đơn'!$B62),0)</f>
        <v>0</v>
      </c>
      <c r="V62" s="2">
        <f ca="1">IFERROR(SUMIFS(INDIRECT("'Thanh Toán ("&amp;V$3&amp;")'!$F:$F"),INDIRECT("'Thanh Toán ("&amp;V$3&amp;")'!$D:$D"),'Tổng Đơn'!$B62),0)</f>
        <v>0</v>
      </c>
      <c r="W62" s="2">
        <f ca="1">IFERROR(SUMIFS(INDIRECT("'Thanh Toán ("&amp;W$3&amp;")'!$F:$F"),INDIRECT("'Thanh Toán ("&amp;W$3&amp;")'!$D:$D"),'Tổng Đơn'!$B62),0)</f>
        <v>0</v>
      </c>
      <c r="X62" s="2">
        <f ca="1">IFERROR(SUMIFS(INDIRECT("'Thanh Toán ("&amp;X$3&amp;")'!$F:$F"),INDIRECT("'Thanh Toán ("&amp;X$3&amp;")'!$D:$D"),'Tổng Đơn'!$B62),0)</f>
        <v>0</v>
      </c>
      <c r="Y62" s="2">
        <f ca="1">IFERROR(SUMIFS(INDIRECT("'Thanh Toán ("&amp;Y$3&amp;")'!$F:$F"),INDIRECT("'Thanh Toán ("&amp;Y$3&amp;")'!$D:$D"),'Tổng Đơn'!$B62),0)</f>
        <v>0</v>
      </c>
      <c r="Z62" s="2">
        <f ca="1">IFERROR(SUMIFS(INDIRECT("'Thanh Toán ("&amp;Z$3&amp;")'!$F:$F"),INDIRECT("'Thanh Toán ("&amp;Z$3&amp;")'!$D:$D"),'Tổng Đơn'!$B62),0)</f>
        <v>0</v>
      </c>
      <c r="AA62" s="2">
        <f ca="1">IFERROR(SUMIFS(INDIRECT("'Thanh Toán ("&amp;AA$3&amp;")'!$F:$F"),INDIRECT("'Thanh Toán ("&amp;AA$3&amp;")'!$D:$D"),'Tổng Đơn'!$B62),0)</f>
        <v>0</v>
      </c>
      <c r="AB62" s="2">
        <f ca="1">IFERROR(SUMIFS(INDIRECT("'Thanh Toán ("&amp;AB$3&amp;")'!$F:$F"),INDIRECT("'Thanh Toán ("&amp;AB$3&amp;")'!$D:$D"),'Tổng Đơn'!$B62),0)</f>
        <v>0</v>
      </c>
      <c r="AC62" s="2">
        <f ca="1">IFERROR(SUMIFS(INDIRECT("'Thanh Toán ("&amp;AC$3&amp;")'!$F:$F"),INDIRECT("'Thanh Toán ("&amp;AC$3&amp;")'!$D:$D"),'Tổng Đơn'!$B62),0)</f>
        <v>0</v>
      </c>
      <c r="AD62" s="2">
        <f ca="1">IFERROR(SUMIFS(INDIRECT("'Thanh Toán ("&amp;AD$3&amp;")'!$F:$F"),INDIRECT("'Thanh Toán ("&amp;AD$3&amp;")'!$D:$D"),'Tổng Đơn'!$B62),0)</f>
        <v>0</v>
      </c>
      <c r="AE62" s="2">
        <f ca="1">IFERROR(SUMIFS(INDIRECT("'Thanh Toán ("&amp;AE$3&amp;")'!$F:$F"),INDIRECT("'Thanh Toán ("&amp;AE$3&amp;")'!$D:$D"),'Tổng Đơn'!$B62),0)</f>
        <v>0</v>
      </c>
      <c r="AF62" s="2">
        <f ca="1">IFERROR(SUMIFS(INDIRECT("'Thanh Toán ("&amp;AF$3&amp;")'!$F:$F"),INDIRECT("'Thanh Toán ("&amp;AF$3&amp;")'!$D:$D"),'Tổng Đơn'!$B62),0)</f>
        <v>0</v>
      </c>
      <c r="AG62" s="2">
        <f ca="1">IFERROR(SUMIFS(INDIRECT("'Thanh Toán ("&amp;AG$3&amp;")'!$F:$F"),INDIRECT("'Thanh Toán ("&amp;AG$3&amp;")'!$D:$D"),'Tổng Đơn'!$B62),0)</f>
        <v>0</v>
      </c>
      <c r="AH62" s="2">
        <f ca="1">IFERROR(SUMIFS(INDIRECT("'Thanh Toán ("&amp;AH$3&amp;")'!$F:$F"),INDIRECT("'Thanh Toán ("&amp;AH$3&amp;")'!$D:$D"),'Tổng Đơn'!$B62),0)</f>
        <v>0</v>
      </c>
      <c r="AI62" s="2">
        <f ca="1">IFERROR(SUMIFS(INDIRECT("'Thanh Toán ("&amp;AI$3&amp;")'!$F:$F"),INDIRECT("'Thanh Toán ("&amp;AI$3&amp;")'!$D:$D"),'Tổng Đơn'!$B62),0)</f>
        <v>0</v>
      </c>
      <c r="AJ62" s="2">
        <f ca="1">IFERROR(SUMIFS(INDIRECT("'Thanh Toán ("&amp;AJ$3&amp;")'!$F:$F"),INDIRECT("'Thanh Toán ("&amp;AJ$3&amp;")'!$D:$D"),'Tổng Đơn'!$B62),0)</f>
        <v>0</v>
      </c>
      <c r="AK62" s="2">
        <f ca="1">IFERROR(SUMIFS(INDIRECT("'Thanh Toán ("&amp;AK$3&amp;")'!$F:$F"),INDIRECT("'Thanh Toán ("&amp;AK$3&amp;")'!$D:$D"),'Tổng Đơn'!$B62),0)</f>
        <v>0</v>
      </c>
      <c r="AL62" s="2">
        <f ca="1">IFERROR(SUMIFS(INDIRECT("'Thanh Toán ("&amp;AL$3&amp;")'!$F:$F"),INDIRECT("'Thanh Toán ("&amp;AL$3&amp;")'!$D:$D"),'Tổng Đơn'!$B62),0)</f>
        <v>0</v>
      </c>
      <c r="AM62" s="2">
        <f ca="1">IFERROR(SUMIFS(INDIRECT("'Thanh Toán ("&amp;AM$3&amp;")'!$F:$F"),INDIRECT("'Thanh Toán ("&amp;AM$3&amp;")'!$D:$D"),'Tổng Đơn'!$B62),0)</f>
        <v>0</v>
      </c>
      <c r="AN62" s="2">
        <f ca="1">IFERROR(SUMIFS(INDIRECT("'Thanh Toán ("&amp;AN$3&amp;")'!$F:$F"),INDIRECT("'Thanh Toán ("&amp;AN$3&amp;")'!$D:$D"),'Tổng Đơn'!$B62),0)</f>
        <v>0</v>
      </c>
      <c r="AO62" s="2">
        <f ca="1">IFERROR(SUMIFS(INDIRECT("'Thanh Toán ("&amp;AO$3&amp;")'!$F:$F"),INDIRECT("'Thanh Toán ("&amp;AO$3&amp;")'!$D:$D"),'Tổng Đơn'!$B62),0)</f>
        <v>0</v>
      </c>
      <c r="AP62" s="2">
        <f ca="1">IFERROR(SUMIFS(INDIRECT("'Thanh Toán ("&amp;AP$3&amp;")'!$F:$F"),INDIRECT("'Thanh Toán ("&amp;AP$3&amp;")'!$D:$D"),'Tổng Đơn'!$B62),0)</f>
        <v>0</v>
      </c>
      <c r="AQ62" s="2">
        <f ca="1">IFERROR(SUMIFS(INDIRECT("'Thanh Toán ("&amp;AQ$3&amp;")'!$F:$F"),INDIRECT("'Thanh Toán ("&amp;AQ$3&amp;")'!$D:$D"),'Tổng Đơn'!$B62),0)</f>
        <v>0</v>
      </c>
      <c r="AR62" s="2">
        <f ca="1">IFERROR(SUMIFS(INDIRECT("'Thanh Toán ("&amp;AR$3&amp;")'!$F:$F"),INDIRECT("'Thanh Toán ("&amp;AR$3&amp;")'!$D:$D"),'Tổng Đơn'!$B62),0)</f>
        <v>0</v>
      </c>
      <c r="AS62" s="2">
        <f ca="1">IFERROR(SUMIFS(INDIRECT("'Thanh Toán ("&amp;AS$3&amp;")'!$F:$F"),INDIRECT("'Thanh Toán ("&amp;AS$3&amp;")'!$D:$D"),'Tổng Đơn'!$B62),0)</f>
        <v>0</v>
      </c>
      <c r="AT62" s="2">
        <f ca="1">IFERROR(SUMIFS(INDIRECT("'Thanh Toán ("&amp;AT$3&amp;")'!$F:$F"),INDIRECT("'Thanh Toán ("&amp;AT$3&amp;")'!$D:$D"),'Tổng Đơn'!$B62),0)</f>
        <v>0</v>
      </c>
      <c r="AU62" s="2">
        <f ca="1">IFERROR(SUMIFS(INDIRECT("'Thanh Toán ("&amp;AU$3&amp;")'!$F:$F"),INDIRECT("'Thanh Toán ("&amp;AU$3&amp;")'!$D:$D"),'Tổng Đơn'!$B62),0)</f>
        <v>0</v>
      </c>
      <c r="AV62" s="2">
        <f ca="1">IFERROR(SUMIFS(INDIRECT("'Thanh Toán ("&amp;AV$3&amp;")'!$F:$F"),INDIRECT("'Thanh Toán ("&amp;AV$3&amp;")'!$D:$D"),'Tổng Đơn'!$B62),0)</f>
        <v>0</v>
      </c>
      <c r="AW62" s="2">
        <f ca="1">IFERROR(SUMIFS(INDIRECT("'Thanh Toán ("&amp;AW$3&amp;")'!$F:$F"),INDIRECT("'Thanh Toán ("&amp;AW$3&amp;")'!$D:$D"),'Tổng Đơn'!$B62),0)</f>
        <v>0</v>
      </c>
      <c r="AX62" s="2">
        <f ca="1">IFERROR(SUMIFS(INDIRECT("'Thanh Toán ("&amp;AX$3&amp;")'!$F:$F"),INDIRECT("'Thanh Toán ("&amp;AX$3&amp;")'!$D:$D"),'Tổng Đơn'!$B62),0)</f>
        <v>0</v>
      </c>
      <c r="AY62" s="2">
        <f ca="1">IFERROR(SUMIFS(INDIRECT("'Thanh Toán ("&amp;AY$3&amp;")'!$F:$F"),INDIRECT("'Thanh Toán ("&amp;AY$3&amp;")'!$D:$D"),'Tổng Đơn'!$B62),0)</f>
        <v>0</v>
      </c>
      <c r="AZ62" s="2">
        <f ca="1">IFERROR(SUMIFS(INDIRECT("'Thanh Toán ("&amp;AZ$3&amp;")'!$F:$F"),INDIRECT("'Thanh Toán ("&amp;AZ$3&amp;")'!$D:$D"),'Tổng Đơn'!$B62),0)</f>
        <v>0</v>
      </c>
      <c r="BA62" s="2">
        <f ca="1">IFERROR(SUMIFS(INDIRECT("'Thanh Toán ("&amp;BA$3&amp;")'!$F:$F"),INDIRECT("'Thanh Toán ("&amp;BA$3&amp;")'!$D:$D"),'Tổng Đơn'!$B62),0)</f>
        <v>0</v>
      </c>
      <c r="BB62" s="2">
        <f ca="1">IFERROR(SUMIFS(INDIRECT("'Thanh Toán ("&amp;BB$3&amp;")'!$F:$F"),INDIRECT("'Thanh Toán ("&amp;BB$3&amp;")'!$D:$D"),'Tổng Đơn'!$B62),0)</f>
        <v>0</v>
      </c>
      <c r="BC62" s="2">
        <f ca="1">IFERROR(SUMIFS(INDIRECT("'Thanh Toán ("&amp;BC$3&amp;")'!$F:$F"),INDIRECT("'Thanh Toán ("&amp;BC$3&amp;")'!$D:$D"),'Tổng Đơn'!$B62),0)</f>
        <v>0</v>
      </c>
    </row>
    <row r="63" spans="1:55" ht="18" customHeight="1" x14ac:dyDescent="0.25">
      <c r="A63" s="174">
        <v>53</v>
      </c>
      <c r="B63" s="176" t="s">
        <v>178</v>
      </c>
      <c r="C63" s="167" t="s">
        <v>144</v>
      </c>
      <c r="D63" s="169">
        <f>VLOOKUP($C63,Sheet1!$C$8:$D$98,2,0)</f>
        <v>47000</v>
      </c>
      <c r="E63" s="170">
        <v>0.5</v>
      </c>
      <c r="F63" s="171">
        <f t="shared" ca="1" si="13"/>
        <v>0</v>
      </c>
      <c r="G63" s="172">
        <f>IFERROR(VLOOKUP($B63,Gà!C:J,8,0),IFERROR(VLOOKUP($B63,TVP!C:J,7,0),IFERROR(VLOOKUP($B63,Kitkool!C:J,8,0),IFERROR(VLOOKUP($B63,'La Cusina'!C:J,8,0),VLOOKUP($B63,'Quốc Nhân'!C:J,8,0)))))</f>
        <v>43.644766981505569</v>
      </c>
      <c r="H63" s="173">
        <f t="shared" ca="1" si="10"/>
        <v>0</v>
      </c>
      <c r="I63" s="195">
        <f t="shared" si="11"/>
        <v>7.6875952159767724E-2</v>
      </c>
      <c r="J63" s="173">
        <f t="shared" ca="1" si="12"/>
        <v>0</v>
      </c>
      <c r="K63" s="38"/>
      <c r="L63" s="2">
        <f ca="1">IFERROR(SUMIFS(INDIRECT("'Thanh Toán ("&amp;L$3&amp;")'!$F:$F"),INDIRECT("'Thanh Toán ("&amp;L$3&amp;")'!$D:$D"),'Tổng Đơn'!$B63),0)</f>
        <v>0</v>
      </c>
      <c r="M63" s="2">
        <f ca="1">IFERROR(SUMIFS(INDIRECT("'Thanh Toán ("&amp;M$3&amp;")'!$F:$F"),INDIRECT("'Thanh Toán ("&amp;M$3&amp;")'!$D:$D"),'Tổng Đơn'!$B63),0)</f>
        <v>0</v>
      </c>
      <c r="N63" s="2">
        <f ca="1">IFERROR(SUMIFS(INDIRECT("'Thanh Toán ("&amp;N$3&amp;")'!$F:$F"),INDIRECT("'Thanh Toán ("&amp;N$3&amp;")'!$D:$D"),'Tổng Đơn'!$B63),0)</f>
        <v>0</v>
      </c>
      <c r="O63" s="2">
        <f ca="1">IFERROR(SUMIFS(INDIRECT("'Thanh Toán ("&amp;O$3&amp;")'!$F:$F"),INDIRECT("'Thanh Toán ("&amp;O$3&amp;")'!$D:$D"),'Tổng Đơn'!$B63),0)</f>
        <v>0</v>
      </c>
      <c r="P63" s="2">
        <f ca="1">IFERROR(SUMIFS(INDIRECT("'Thanh Toán ("&amp;P$3&amp;")'!$F:$F"),INDIRECT("'Thanh Toán ("&amp;P$3&amp;")'!$D:$D"),'Tổng Đơn'!$B63),0)</f>
        <v>0</v>
      </c>
      <c r="Q63" s="2">
        <f ca="1">IFERROR(SUMIFS(INDIRECT("'Thanh Toán ("&amp;Q$3&amp;")'!$F:$F"),INDIRECT("'Thanh Toán ("&amp;Q$3&amp;")'!$D:$D"),'Tổng Đơn'!$B63),0)</f>
        <v>0</v>
      </c>
      <c r="R63" s="2">
        <f ca="1">IFERROR(SUMIFS(INDIRECT("'Thanh Toán ("&amp;R$3&amp;")'!$F:$F"),INDIRECT("'Thanh Toán ("&amp;R$3&amp;")'!$D:$D"),'Tổng Đơn'!$B63),0)</f>
        <v>0</v>
      </c>
      <c r="S63" s="2">
        <f ca="1">IFERROR(SUMIFS(INDIRECT("'Thanh Toán ("&amp;S$3&amp;")'!$F:$F"),INDIRECT("'Thanh Toán ("&amp;S$3&amp;")'!$D:$D"),'Tổng Đơn'!$B63),0)</f>
        <v>0</v>
      </c>
      <c r="T63" s="2">
        <f ca="1">IFERROR(SUMIFS(INDIRECT("'Thanh Toán ("&amp;T$3&amp;")'!$F:$F"),INDIRECT("'Thanh Toán ("&amp;T$3&amp;")'!$D:$D"),'Tổng Đơn'!$B63),0)</f>
        <v>0</v>
      </c>
      <c r="U63" s="2">
        <f ca="1">IFERROR(SUMIFS(INDIRECT("'Thanh Toán ("&amp;U$3&amp;")'!$F:$F"),INDIRECT("'Thanh Toán ("&amp;U$3&amp;")'!$D:$D"),'Tổng Đơn'!$B63),0)</f>
        <v>0</v>
      </c>
      <c r="V63" s="2">
        <f ca="1">IFERROR(SUMIFS(INDIRECT("'Thanh Toán ("&amp;V$3&amp;")'!$F:$F"),INDIRECT("'Thanh Toán ("&amp;V$3&amp;")'!$D:$D"),'Tổng Đơn'!$B63),0)</f>
        <v>0</v>
      </c>
      <c r="W63" s="2">
        <f ca="1">IFERROR(SUMIFS(INDIRECT("'Thanh Toán ("&amp;W$3&amp;")'!$F:$F"),INDIRECT("'Thanh Toán ("&amp;W$3&amp;")'!$D:$D"),'Tổng Đơn'!$B63),0)</f>
        <v>0</v>
      </c>
      <c r="X63" s="2">
        <f ca="1">IFERROR(SUMIFS(INDIRECT("'Thanh Toán ("&amp;X$3&amp;")'!$F:$F"),INDIRECT("'Thanh Toán ("&amp;X$3&amp;")'!$D:$D"),'Tổng Đơn'!$B63),0)</f>
        <v>0</v>
      </c>
      <c r="Y63" s="2">
        <f ca="1">IFERROR(SUMIFS(INDIRECT("'Thanh Toán ("&amp;Y$3&amp;")'!$F:$F"),INDIRECT("'Thanh Toán ("&amp;Y$3&amp;")'!$D:$D"),'Tổng Đơn'!$B63),0)</f>
        <v>0</v>
      </c>
      <c r="Z63" s="2">
        <f ca="1">IFERROR(SUMIFS(INDIRECT("'Thanh Toán ("&amp;Z$3&amp;")'!$F:$F"),INDIRECT("'Thanh Toán ("&amp;Z$3&amp;")'!$D:$D"),'Tổng Đơn'!$B63),0)</f>
        <v>0</v>
      </c>
      <c r="AA63" s="2">
        <f ca="1">IFERROR(SUMIFS(INDIRECT("'Thanh Toán ("&amp;AA$3&amp;")'!$F:$F"),INDIRECT("'Thanh Toán ("&amp;AA$3&amp;")'!$D:$D"),'Tổng Đơn'!$B63),0)</f>
        <v>0</v>
      </c>
      <c r="AB63" s="2">
        <f ca="1">IFERROR(SUMIFS(INDIRECT("'Thanh Toán ("&amp;AB$3&amp;")'!$F:$F"),INDIRECT("'Thanh Toán ("&amp;AB$3&amp;")'!$D:$D"),'Tổng Đơn'!$B63),0)</f>
        <v>0</v>
      </c>
      <c r="AC63" s="2">
        <f ca="1">IFERROR(SUMIFS(INDIRECT("'Thanh Toán ("&amp;AC$3&amp;")'!$F:$F"),INDIRECT("'Thanh Toán ("&amp;AC$3&amp;")'!$D:$D"),'Tổng Đơn'!$B63),0)</f>
        <v>0</v>
      </c>
      <c r="AD63" s="2">
        <f ca="1">IFERROR(SUMIFS(INDIRECT("'Thanh Toán ("&amp;AD$3&amp;")'!$F:$F"),INDIRECT("'Thanh Toán ("&amp;AD$3&amp;")'!$D:$D"),'Tổng Đơn'!$B63),0)</f>
        <v>0</v>
      </c>
      <c r="AE63" s="2">
        <f ca="1">IFERROR(SUMIFS(INDIRECT("'Thanh Toán ("&amp;AE$3&amp;")'!$F:$F"),INDIRECT("'Thanh Toán ("&amp;AE$3&amp;")'!$D:$D"),'Tổng Đơn'!$B63),0)</f>
        <v>0</v>
      </c>
      <c r="AF63" s="2">
        <f ca="1">IFERROR(SUMIFS(INDIRECT("'Thanh Toán ("&amp;AF$3&amp;")'!$F:$F"),INDIRECT("'Thanh Toán ("&amp;AF$3&amp;")'!$D:$D"),'Tổng Đơn'!$B63),0)</f>
        <v>0</v>
      </c>
      <c r="AG63" s="2">
        <f ca="1">IFERROR(SUMIFS(INDIRECT("'Thanh Toán ("&amp;AG$3&amp;")'!$F:$F"),INDIRECT("'Thanh Toán ("&amp;AG$3&amp;")'!$D:$D"),'Tổng Đơn'!$B63),0)</f>
        <v>0</v>
      </c>
      <c r="AH63" s="2">
        <f ca="1">IFERROR(SUMIFS(INDIRECT("'Thanh Toán ("&amp;AH$3&amp;")'!$F:$F"),INDIRECT("'Thanh Toán ("&amp;AH$3&amp;")'!$D:$D"),'Tổng Đơn'!$B63),0)</f>
        <v>0</v>
      </c>
      <c r="AI63" s="2">
        <f ca="1">IFERROR(SUMIFS(INDIRECT("'Thanh Toán ("&amp;AI$3&amp;")'!$F:$F"),INDIRECT("'Thanh Toán ("&amp;AI$3&amp;")'!$D:$D"),'Tổng Đơn'!$B63),0)</f>
        <v>0</v>
      </c>
      <c r="AJ63" s="2">
        <f ca="1">IFERROR(SUMIFS(INDIRECT("'Thanh Toán ("&amp;AJ$3&amp;")'!$F:$F"),INDIRECT("'Thanh Toán ("&amp;AJ$3&amp;")'!$D:$D"),'Tổng Đơn'!$B63),0)</f>
        <v>0</v>
      </c>
      <c r="AK63" s="2">
        <f ca="1">IFERROR(SUMIFS(INDIRECT("'Thanh Toán ("&amp;AK$3&amp;")'!$F:$F"),INDIRECT("'Thanh Toán ("&amp;AK$3&amp;")'!$D:$D"),'Tổng Đơn'!$B63),0)</f>
        <v>0</v>
      </c>
      <c r="AL63" s="2">
        <f ca="1">IFERROR(SUMIFS(INDIRECT("'Thanh Toán ("&amp;AL$3&amp;")'!$F:$F"),INDIRECT("'Thanh Toán ("&amp;AL$3&amp;")'!$D:$D"),'Tổng Đơn'!$B63),0)</f>
        <v>0</v>
      </c>
      <c r="AM63" s="2">
        <f ca="1">IFERROR(SUMIFS(INDIRECT("'Thanh Toán ("&amp;AM$3&amp;")'!$F:$F"),INDIRECT("'Thanh Toán ("&amp;AM$3&amp;")'!$D:$D"),'Tổng Đơn'!$B63),0)</f>
        <v>0</v>
      </c>
      <c r="AN63" s="2">
        <f ca="1">IFERROR(SUMIFS(INDIRECT("'Thanh Toán ("&amp;AN$3&amp;")'!$F:$F"),INDIRECT("'Thanh Toán ("&amp;AN$3&amp;")'!$D:$D"),'Tổng Đơn'!$B63),0)</f>
        <v>0</v>
      </c>
      <c r="AO63" s="2">
        <f ca="1">IFERROR(SUMIFS(INDIRECT("'Thanh Toán ("&amp;AO$3&amp;")'!$F:$F"),INDIRECT("'Thanh Toán ("&amp;AO$3&amp;")'!$D:$D"),'Tổng Đơn'!$B63),0)</f>
        <v>0</v>
      </c>
      <c r="AP63" s="2">
        <f ca="1">IFERROR(SUMIFS(INDIRECT("'Thanh Toán ("&amp;AP$3&amp;")'!$F:$F"),INDIRECT("'Thanh Toán ("&amp;AP$3&amp;")'!$D:$D"),'Tổng Đơn'!$B63),0)</f>
        <v>0</v>
      </c>
      <c r="AQ63" s="2">
        <f ca="1">IFERROR(SUMIFS(INDIRECT("'Thanh Toán ("&amp;AQ$3&amp;")'!$F:$F"),INDIRECT("'Thanh Toán ("&amp;AQ$3&amp;")'!$D:$D"),'Tổng Đơn'!$B63),0)</f>
        <v>0</v>
      </c>
      <c r="AR63" s="2">
        <f ca="1">IFERROR(SUMIFS(INDIRECT("'Thanh Toán ("&amp;AR$3&amp;")'!$F:$F"),INDIRECT("'Thanh Toán ("&amp;AR$3&amp;")'!$D:$D"),'Tổng Đơn'!$B63),0)</f>
        <v>0</v>
      </c>
      <c r="AS63" s="2">
        <f ca="1">IFERROR(SUMIFS(INDIRECT("'Thanh Toán ("&amp;AS$3&amp;")'!$F:$F"),INDIRECT("'Thanh Toán ("&amp;AS$3&amp;")'!$D:$D"),'Tổng Đơn'!$B63),0)</f>
        <v>0</v>
      </c>
      <c r="AT63" s="2">
        <f ca="1">IFERROR(SUMIFS(INDIRECT("'Thanh Toán ("&amp;AT$3&amp;")'!$F:$F"),INDIRECT("'Thanh Toán ("&amp;AT$3&amp;")'!$D:$D"),'Tổng Đơn'!$B63),0)</f>
        <v>0</v>
      </c>
      <c r="AU63" s="2">
        <f ca="1">IFERROR(SUMIFS(INDIRECT("'Thanh Toán ("&amp;AU$3&amp;")'!$F:$F"),INDIRECT("'Thanh Toán ("&amp;AU$3&amp;")'!$D:$D"),'Tổng Đơn'!$B63),0)</f>
        <v>0</v>
      </c>
      <c r="AV63" s="2">
        <f ca="1">IFERROR(SUMIFS(INDIRECT("'Thanh Toán ("&amp;AV$3&amp;")'!$F:$F"),INDIRECT("'Thanh Toán ("&amp;AV$3&amp;")'!$D:$D"),'Tổng Đơn'!$B63),0)</f>
        <v>0</v>
      </c>
      <c r="AW63" s="2">
        <f ca="1">IFERROR(SUMIFS(INDIRECT("'Thanh Toán ("&amp;AW$3&amp;")'!$F:$F"),INDIRECT("'Thanh Toán ("&amp;AW$3&amp;")'!$D:$D"),'Tổng Đơn'!$B63),0)</f>
        <v>0</v>
      </c>
      <c r="AX63" s="2">
        <f ca="1">IFERROR(SUMIFS(INDIRECT("'Thanh Toán ("&amp;AX$3&amp;")'!$F:$F"),INDIRECT("'Thanh Toán ("&amp;AX$3&amp;")'!$D:$D"),'Tổng Đơn'!$B63),0)</f>
        <v>0</v>
      </c>
      <c r="AY63" s="2">
        <f ca="1">IFERROR(SUMIFS(INDIRECT("'Thanh Toán ("&amp;AY$3&amp;")'!$F:$F"),INDIRECT("'Thanh Toán ("&amp;AY$3&amp;")'!$D:$D"),'Tổng Đơn'!$B63),0)</f>
        <v>0</v>
      </c>
      <c r="AZ63" s="2">
        <f ca="1">IFERROR(SUMIFS(INDIRECT("'Thanh Toán ("&amp;AZ$3&amp;")'!$F:$F"),INDIRECT("'Thanh Toán ("&amp;AZ$3&amp;")'!$D:$D"),'Tổng Đơn'!$B63),0)</f>
        <v>0</v>
      </c>
      <c r="BA63" s="2">
        <f ca="1">IFERROR(SUMIFS(INDIRECT("'Thanh Toán ("&amp;BA$3&amp;")'!$F:$F"),INDIRECT("'Thanh Toán ("&amp;BA$3&amp;")'!$D:$D"),'Tổng Đơn'!$B63),0)</f>
        <v>0</v>
      </c>
      <c r="BB63" s="2">
        <f ca="1">IFERROR(SUMIFS(INDIRECT("'Thanh Toán ("&amp;BB$3&amp;")'!$F:$F"),INDIRECT("'Thanh Toán ("&amp;BB$3&amp;")'!$D:$D"),'Tổng Đơn'!$B63),0)</f>
        <v>0</v>
      </c>
      <c r="BC63" s="2">
        <f ca="1">IFERROR(SUMIFS(INDIRECT("'Thanh Toán ("&amp;BC$3&amp;")'!$F:$F"),INDIRECT("'Thanh Toán ("&amp;BC$3&amp;")'!$D:$D"),'Tổng Đơn'!$B63),0)</f>
        <v>0</v>
      </c>
    </row>
    <row r="64" spans="1:55" ht="18" customHeight="1" x14ac:dyDescent="0.25">
      <c r="A64" s="167">
        <v>54</v>
      </c>
      <c r="B64" s="176" t="s">
        <v>181</v>
      </c>
      <c r="C64" s="167" t="s">
        <v>150</v>
      </c>
      <c r="D64" s="169">
        <f>VLOOKUP($C64,Sheet1!$C$8:$D$98,2,0)</f>
        <v>50000</v>
      </c>
      <c r="E64" s="170">
        <v>0.5</v>
      </c>
      <c r="F64" s="171">
        <f t="shared" ca="1" si="13"/>
        <v>0</v>
      </c>
      <c r="G64" s="172">
        <f>IFERROR(VLOOKUP($B64,Gà!C:J,8,0),IFERROR(VLOOKUP($B64,TVP!C:J,7,0),IFERROR(VLOOKUP($B64,Kitkool!C:J,8,0),IFERROR(VLOOKUP($B64,'La Cusina'!C:J,8,0),VLOOKUP($B64,'Quốc Nhân'!C:J,8,0)))))</f>
        <v>44.671702675188058</v>
      </c>
      <c r="H64" s="173">
        <f t="shared" ca="1" si="10"/>
        <v>0</v>
      </c>
      <c r="I64" s="195">
        <f t="shared" si="11"/>
        <v>0.11927679057936236</v>
      </c>
      <c r="J64" s="173">
        <f t="shared" ca="1" si="12"/>
        <v>0</v>
      </c>
      <c r="K64" s="38"/>
      <c r="L64" s="2">
        <f ca="1">IFERROR(SUMIFS(INDIRECT("'Thanh Toán ("&amp;L$3&amp;")'!$F:$F"),INDIRECT("'Thanh Toán ("&amp;L$3&amp;")'!$D:$D"),'Tổng Đơn'!$B64),0)</f>
        <v>0</v>
      </c>
      <c r="M64" s="2">
        <f ca="1">IFERROR(SUMIFS(INDIRECT("'Thanh Toán ("&amp;M$3&amp;")'!$F:$F"),INDIRECT("'Thanh Toán ("&amp;M$3&amp;")'!$D:$D"),'Tổng Đơn'!$B64),0)</f>
        <v>0</v>
      </c>
      <c r="N64" s="2">
        <f ca="1">IFERROR(SUMIFS(INDIRECT("'Thanh Toán ("&amp;N$3&amp;")'!$F:$F"),INDIRECT("'Thanh Toán ("&amp;N$3&amp;")'!$D:$D"),'Tổng Đơn'!$B64),0)</f>
        <v>0</v>
      </c>
      <c r="O64" s="2">
        <f ca="1">IFERROR(SUMIFS(INDIRECT("'Thanh Toán ("&amp;O$3&amp;")'!$F:$F"),INDIRECT("'Thanh Toán ("&amp;O$3&amp;")'!$D:$D"),'Tổng Đơn'!$B64),0)</f>
        <v>0</v>
      </c>
      <c r="P64" s="2">
        <f ca="1">IFERROR(SUMIFS(INDIRECT("'Thanh Toán ("&amp;P$3&amp;")'!$F:$F"),INDIRECT("'Thanh Toán ("&amp;P$3&amp;")'!$D:$D"),'Tổng Đơn'!$B64),0)</f>
        <v>0</v>
      </c>
      <c r="Q64" s="2">
        <f ca="1">IFERROR(SUMIFS(INDIRECT("'Thanh Toán ("&amp;Q$3&amp;")'!$F:$F"),INDIRECT("'Thanh Toán ("&amp;Q$3&amp;")'!$D:$D"),'Tổng Đơn'!$B64),0)</f>
        <v>0</v>
      </c>
      <c r="R64" s="2">
        <f ca="1">IFERROR(SUMIFS(INDIRECT("'Thanh Toán ("&amp;R$3&amp;")'!$F:$F"),INDIRECT("'Thanh Toán ("&amp;R$3&amp;")'!$D:$D"),'Tổng Đơn'!$B64),0)</f>
        <v>0</v>
      </c>
      <c r="S64" s="2">
        <f ca="1">IFERROR(SUMIFS(INDIRECT("'Thanh Toán ("&amp;S$3&amp;")'!$F:$F"),INDIRECT("'Thanh Toán ("&amp;S$3&amp;")'!$D:$D"),'Tổng Đơn'!$B64),0)</f>
        <v>0</v>
      </c>
      <c r="T64" s="2">
        <f ca="1">IFERROR(SUMIFS(INDIRECT("'Thanh Toán ("&amp;T$3&amp;")'!$F:$F"),INDIRECT("'Thanh Toán ("&amp;T$3&amp;")'!$D:$D"),'Tổng Đơn'!$B64),0)</f>
        <v>0</v>
      </c>
      <c r="U64" s="2">
        <f ca="1">IFERROR(SUMIFS(INDIRECT("'Thanh Toán ("&amp;U$3&amp;")'!$F:$F"),INDIRECT("'Thanh Toán ("&amp;U$3&amp;")'!$D:$D"),'Tổng Đơn'!$B64),0)</f>
        <v>0</v>
      </c>
      <c r="V64" s="2">
        <f ca="1">IFERROR(SUMIFS(INDIRECT("'Thanh Toán ("&amp;V$3&amp;")'!$F:$F"),INDIRECT("'Thanh Toán ("&amp;V$3&amp;")'!$D:$D"),'Tổng Đơn'!$B64),0)</f>
        <v>0</v>
      </c>
      <c r="W64" s="2">
        <f ca="1">IFERROR(SUMIFS(INDIRECT("'Thanh Toán ("&amp;W$3&amp;")'!$F:$F"),INDIRECT("'Thanh Toán ("&amp;W$3&amp;")'!$D:$D"),'Tổng Đơn'!$B64),0)</f>
        <v>0</v>
      </c>
      <c r="X64" s="2">
        <f ca="1">IFERROR(SUMIFS(INDIRECT("'Thanh Toán ("&amp;X$3&amp;")'!$F:$F"),INDIRECT("'Thanh Toán ("&amp;X$3&amp;")'!$D:$D"),'Tổng Đơn'!$B64),0)</f>
        <v>0</v>
      </c>
      <c r="Y64" s="2">
        <f ca="1">IFERROR(SUMIFS(INDIRECT("'Thanh Toán ("&amp;Y$3&amp;")'!$F:$F"),INDIRECT("'Thanh Toán ("&amp;Y$3&amp;")'!$D:$D"),'Tổng Đơn'!$B64),0)</f>
        <v>0</v>
      </c>
      <c r="Z64" s="2">
        <f ca="1">IFERROR(SUMIFS(INDIRECT("'Thanh Toán ("&amp;Z$3&amp;")'!$F:$F"),INDIRECT("'Thanh Toán ("&amp;Z$3&amp;")'!$D:$D"),'Tổng Đơn'!$B64),0)</f>
        <v>0</v>
      </c>
      <c r="AA64" s="2">
        <f ca="1">IFERROR(SUMIFS(INDIRECT("'Thanh Toán ("&amp;AA$3&amp;")'!$F:$F"),INDIRECT("'Thanh Toán ("&amp;AA$3&amp;")'!$D:$D"),'Tổng Đơn'!$B64),0)</f>
        <v>0</v>
      </c>
      <c r="AB64" s="2">
        <f ca="1">IFERROR(SUMIFS(INDIRECT("'Thanh Toán ("&amp;AB$3&amp;")'!$F:$F"),INDIRECT("'Thanh Toán ("&amp;AB$3&amp;")'!$D:$D"),'Tổng Đơn'!$B64),0)</f>
        <v>0</v>
      </c>
      <c r="AC64" s="2">
        <f ca="1">IFERROR(SUMIFS(INDIRECT("'Thanh Toán ("&amp;AC$3&amp;")'!$F:$F"),INDIRECT("'Thanh Toán ("&amp;AC$3&amp;")'!$D:$D"),'Tổng Đơn'!$B64),0)</f>
        <v>0</v>
      </c>
      <c r="AD64" s="2">
        <f ca="1">IFERROR(SUMIFS(INDIRECT("'Thanh Toán ("&amp;AD$3&amp;")'!$F:$F"),INDIRECT("'Thanh Toán ("&amp;AD$3&amp;")'!$D:$D"),'Tổng Đơn'!$B64),0)</f>
        <v>0</v>
      </c>
      <c r="AE64" s="2">
        <f ca="1">IFERROR(SUMIFS(INDIRECT("'Thanh Toán ("&amp;AE$3&amp;")'!$F:$F"),INDIRECT("'Thanh Toán ("&amp;AE$3&amp;")'!$D:$D"),'Tổng Đơn'!$B64),0)</f>
        <v>0</v>
      </c>
      <c r="AF64" s="2">
        <f ca="1">IFERROR(SUMIFS(INDIRECT("'Thanh Toán ("&amp;AF$3&amp;")'!$F:$F"),INDIRECT("'Thanh Toán ("&amp;AF$3&amp;")'!$D:$D"),'Tổng Đơn'!$B64),0)</f>
        <v>0</v>
      </c>
      <c r="AG64" s="2">
        <f ca="1">IFERROR(SUMIFS(INDIRECT("'Thanh Toán ("&amp;AG$3&amp;")'!$F:$F"),INDIRECT("'Thanh Toán ("&amp;AG$3&amp;")'!$D:$D"),'Tổng Đơn'!$B64),0)</f>
        <v>0</v>
      </c>
      <c r="AH64" s="2">
        <f ca="1">IFERROR(SUMIFS(INDIRECT("'Thanh Toán ("&amp;AH$3&amp;")'!$F:$F"),INDIRECT("'Thanh Toán ("&amp;AH$3&amp;")'!$D:$D"),'Tổng Đơn'!$B64),0)</f>
        <v>0</v>
      </c>
      <c r="AI64" s="2">
        <f ca="1">IFERROR(SUMIFS(INDIRECT("'Thanh Toán ("&amp;AI$3&amp;")'!$F:$F"),INDIRECT("'Thanh Toán ("&amp;AI$3&amp;")'!$D:$D"),'Tổng Đơn'!$B64),0)</f>
        <v>0</v>
      </c>
      <c r="AJ64" s="2">
        <f ca="1">IFERROR(SUMIFS(INDIRECT("'Thanh Toán ("&amp;AJ$3&amp;")'!$F:$F"),INDIRECT("'Thanh Toán ("&amp;AJ$3&amp;")'!$D:$D"),'Tổng Đơn'!$B64),0)</f>
        <v>0</v>
      </c>
      <c r="AK64" s="2">
        <f ca="1">IFERROR(SUMIFS(INDIRECT("'Thanh Toán ("&amp;AK$3&amp;")'!$F:$F"),INDIRECT("'Thanh Toán ("&amp;AK$3&amp;")'!$D:$D"),'Tổng Đơn'!$B64),0)</f>
        <v>0</v>
      </c>
      <c r="AL64" s="2">
        <f ca="1">IFERROR(SUMIFS(INDIRECT("'Thanh Toán ("&amp;AL$3&amp;")'!$F:$F"),INDIRECT("'Thanh Toán ("&amp;AL$3&amp;")'!$D:$D"),'Tổng Đơn'!$B64),0)</f>
        <v>0</v>
      </c>
      <c r="AM64" s="2">
        <f ca="1">IFERROR(SUMIFS(INDIRECT("'Thanh Toán ("&amp;AM$3&amp;")'!$F:$F"),INDIRECT("'Thanh Toán ("&amp;AM$3&amp;")'!$D:$D"),'Tổng Đơn'!$B64),0)</f>
        <v>0</v>
      </c>
      <c r="AN64" s="2">
        <f ca="1">IFERROR(SUMIFS(INDIRECT("'Thanh Toán ("&amp;AN$3&amp;")'!$F:$F"),INDIRECT("'Thanh Toán ("&amp;AN$3&amp;")'!$D:$D"),'Tổng Đơn'!$B64),0)</f>
        <v>0</v>
      </c>
      <c r="AO64" s="2">
        <f ca="1">IFERROR(SUMIFS(INDIRECT("'Thanh Toán ("&amp;AO$3&amp;")'!$F:$F"),INDIRECT("'Thanh Toán ("&amp;AO$3&amp;")'!$D:$D"),'Tổng Đơn'!$B64),0)</f>
        <v>0</v>
      </c>
      <c r="AP64" s="2">
        <f ca="1">IFERROR(SUMIFS(INDIRECT("'Thanh Toán ("&amp;AP$3&amp;")'!$F:$F"),INDIRECT("'Thanh Toán ("&amp;AP$3&amp;")'!$D:$D"),'Tổng Đơn'!$B64),0)</f>
        <v>0</v>
      </c>
      <c r="AQ64" s="2">
        <f ca="1">IFERROR(SUMIFS(INDIRECT("'Thanh Toán ("&amp;AQ$3&amp;")'!$F:$F"),INDIRECT("'Thanh Toán ("&amp;AQ$3&amp;")'!$D:$D"),'Tổng Đơn'!$B64),0)</f>
        <v>0</v>
      </c>
      <c r="AR64" s="2">
        <f ca="1">IFERROR(SUMIFS(INDIRECT("'Thanh Toán ("&amp;AR$3&amp;")'!$F:$F"),INDIRECT("'Thanh Toán ("&amp;AR$3&amp;")'!$D:$D"),'Tổng Đơn'!$B64),0)</f>
        <v>0</v>
      </c>
      <c r="AS64" s="2">
        <f ca="1">IFERROR(SUMIFS(INDIRECT("'Thanh Toán ("&amp;AS$3&amp;")'!$F:$F"),INDIRECT("'Thanh Toán ("&amp;AS$3&amp;")'!$D:$D"),'Tổng Đơn'!$B64),0)</f>
        <v>0</v>
      </c>
      <c r="AT64" s="2">
        <f ca="1">IFERROR(SUMIFS(INDIRECT("'Thanh Toán ("&amp;AT$3&amp;")'!$F:$F"),INDIRECT("'Thanh Toán ("&amp;AT$3&amp;")'!$D:$D"),'Tổng Đơn'!$B64),0)</f>
        <v>0</v>
      </c>
      <c r="AU64" s="2">
        <f ca="1">IFERROR(SUMIFS(INDIRECT("'Thanh Toán ("&amp;AU$3&amp;")'!$F:$F"),INDIRECT("'Thanh Toán ("&amp;AU$3&amp;")'!$D:$D"),'Tổng Đơn'!$B64),0)</f>
        <v>0</v>
      </c>
      <c r="AV64" s="2">
        <f ca="1">IFERROR(SUMIFS(INDIRECT("'Thanh Toán ("&amp;AV$3&amp;")'!$F:$F"),INDIRECT("'Thanh Toán ("&amp;AV$3&amp;")'!$D:$D"),'Tổng Đơn'!$B64),0)</f>
        <v>0</v>
      </c>
      <c r="AW64" s="2">
        <f ca="1">IFERROR(SUMIFS(INDIRECT("'Thanh Toán ("&amp;AW$3&amp;")'!$F:$F"),INDIRECT("'Thanh Toán ("&amp;AW$3&amp;")'!$D:$D"),'Tổng Đơn'!$B64),0)</f>
        <v>0</v>
      </c>
      <c r="AX64" s="2">
        <f ca="1">IFERROR(SUMIFS(INDIRECT("'Thanh Toán ("&amp;AX$3&amp;")'!$F:$F"),INDIRECT("'Thanh Toán ("&amp;AX$3&amp;")'!$D:$D"),'Tổng Đơn'!$B64),0)</f>
        <v>0</v>
      </c>
      <c r="AY64" s="2">
        <f ca="1">IFERROR(SUMIFS(INDIRECT("'Thanh Toán ("&amp;AY$3&amp;")'!$F:$F"),INDIRECT("'Thanh Toán ("&amp;AY$3&amp;")'!$D:$D"),'Tổng Đơn'!$B64),0)</f>
        <v>0</v>
      </c>
      <c r="AZ64" s="2">
        <f ca="1">IFERROR(SUMIFS(INDIRECT("'Thanh Toán ("&amp;AZ$3&amp;")'!$F:$F"),INDIRECT("'Thanh Toán ("&amp;AZ$3&amp;")'!$D:$D"),'Tổng Đơn'!$B64),0)</f>
        <v>0</v>
      </c>
      <c r="BA64" s="2">
        <f ca="1">IFERROR(SUMIFS(INDIRECT("'Thanh Toán ("&amp;BA$3&amp;")'!$F:$F"),INDIRECT("'Thanh Toán ("&amp;BA$3&amp;")'!$D:$D"),'Tổng Đơn'!$B64),0)</f>
        <v>0</v>
      </c>
      <c r="BB64" s="2">
        <f ca="1">IFERROR(SUMIFS(INDIRECT("'Thanh Toán ("&amp;BB$3&amp;")'!$F:$F"),INDIRECT("'Thanh Toán ("&amp;BB$3&amp;")'!$D:$D"),'Tổng Đơn'!$B64),0)</f>
        <v>0</v>
      </c>
      <c r="BC64" s="2">
        <f ca="1">IFERROR(SUMIFS(INDIRECT("'Thanh Toán ("&amp;BC$3&amp;")'!$F:$F"),INDIRECT("'Thanh Toán ("&amp;BC$3&amp;")'!$D:$D"),'Tổng Đơn'!$B64),0)</f>
        <v>0</v>
      </c>
    </row>
    <row r="65" spans="1:55" ht="18" customHeight="1" x14ac:dyDescent="0.25">
      <c r="A65" s="167">
        <v>55</v>
      </c>
      <c r="B65" s="176" t="s">
        <v>180</v>
      </c>
      <c r="C65" s="167" t="s">
        <v>151</v>
      </c>
      <c r="D65" s="169">
        <f>VLOOKUP($C65,Sheet1!$C$8:$D$98,2,0)</f>
        <v>42000</v>
      </c>
      <c r="E65" s="170">
        <v>0.5</v>
      </c>
      <c r="F65" s="171">
        <f t="shared" ca="1" si="13"/>
        <v>0</v>
      </c>
      <c r="G65" s="172">
        <f>IFERROR(VLOOKUP($B65,Gà!C:J,8,0),IFERROR(VLOOKUP($B65,TVP!C:J,7,0),IFERROR(VLOOKUP($B65,Kitkool!C:J,8,0),IFERROR(VLOOKUP($B65,'La Cusina'!C:J,8,0),VLOOKUP($B65,'Quốc Nhân'!C:J,8,0)))))</f>
        <v>37.326684912572276</v>
      </c>
      <c r="H65" s="173">
        <f t="shared" ca="1" si="10"/>
        <v>0</v>
      </c>
      <c r="I65" s="195">
        <f t="shared" si="11"/>
        <v>0.12520037872030998</v>
      </c>
      <c r="J65" s="173">
        <f t="shared" ca="1" si="12"/>
        <v>0</v>
      </c>
      <c r="K65" s="38"/>
      <c r="L65" s="2">
        <f ca="1">IFERROR(SUMIFS(INDIRECT("'Thanh Toán ("&amp;L$3&amp;")'!$F:$F"),INDIRECT("'Thanh Toán ("&amp;L$3&amp;")'!$D:$D"),'Tổng Đơn'!$B65),0)</f>
        <v>0</v>
      </c>
      <c r="M65" s="2">
        <f ca="1">IFERROR(SUMIFS(INDIRECT("'Thanh Toán ("&amp;M$3&amp;")'!$F:$F"),INDIRECT("'Thanh Toán ("&amp;M$3&amp;")'!$D:$D"),'Tổng Đơn'!$B65),0)</f>
        <v>0</v>
      </c>
      <c r="N65" s="2">
        <f ca="1">IFERROR(SUMIFS(INDIRECT("'Thanh Toán ("&amp;N$3&amp;")'!$F:$F"),INDIRECT("'Thanh Toán ("&amp;N$3&amp;")'!$D:$D"),'Tổng Đơn'!$B65),0)</f>
        <v>0</v>
      </c>
      <c r="O65" s="2">
        <f ca="1">IFERROR(SUMIFS(INDIRECT("'Thanh Toán ("&amp;O$3&amp;")'!$F:$F"),INDIRECT("'Thanh Toán ("&amp;O$3&amp;")'!$D:$D"),'Tổng Đơn'!$B65),0)</f>
        <v>0</v>
      </c>
      <c r="P65" s="2">
        <f ca="1">IFERROR(SUMIFS(INDIRECT("'Thanh Toán ("&amp;P$3&amp;")'!$F:$F"),INDIRECT("'Thanh Toán ("&amp;P$3&amp;")'!$D:$D"),'Tổng Đơn'!$B65),0)</f>
        <v>0</v>
      </c>
      <c r="Q65" s="2">
        <f ca="1">IFERROR(SUMIFS(INDIRECT("'Thanh Toán ("&amp;Q$3&amp;")'!$F:$F"),INDIRECT("'Thanh Toán ("&amp;Q$3&amp;")'!$D:$D"),'Tổng Đơn'!$B65),0)</f>
        <v>0</v>
      </c>
      <c r="R65" s="2">
        <f ca="1">IFERROR(SUMIFS(INDIRECT("'Thanh Toán ("&amp;R$3&amp;")'!$F:$F"),INDIRECT("'Thanh Toán ("&amp;R$3&amp;")'!$D:$D"),'Tổng Đơn'!$B65),0)</f>
        <v>0</v>
      </c>
      <c r="S65" s="2">
        <f ca="1">IFERROR(SUMIFS(INDIRECT("'Thanh Toán ("&amp;S$3&amp;")'!$F:$F"),INDIRECT("'Thanh Toán ("&amp;S$3&amp;")'!$D:$D"),'Tổng Đơn'!$B65),0)</f>
        <v>0</v>
      </c>
      <c r="T65" s="2">
        <f ca="1">IFERROR(SUMIFS(INDIRECT("'Thanh Toán ("&amp;T$3&amp;")'!$F:$F"),INDIRECT("'Thanh Toán ("&amp;T$3&amp;")'!$D:$D"),'Tổng Đơn'!$B65),0)</f>
        <v>0</v>
      </c>
      <c r="U65" s="2">
        <f ca="1">IFERROR(SUMIFS(INDIRECT("'Thanh Toán ("&amp;U$3&amp;")'!$F:$F"),INDIRECT("'Thanh Toán ("&amp;U$3&amp;")'!$D:$D"),'Tổng Đơn'!$B65),0)</f>
        <v>0</v>
      </c>
      <c r="V65" s="2">
        <f ca="1">IFERROR(SUMIFS(INDIRECT("'Thanh Toán ("&amp;V$3&amp;")'!$F:$F"),INDIRECT("'Thanh Toán ("&amp;V$3&amp;")'!$D:$D"),'Tổng Đơn'!$B65),0)</f>
        <v>0</v>
      </c>
      <c r="W65" s="2">
        <f ca="1">IFERROR(SUMIFS(INDIRECT("'Thanh Toán ("&amp;W$3&amp;")'!$F:$F"),INDIRECT("'Thanh Toán ("&amp;W$3&amp;")'!$D:$D"),'Tổng Đơn'!$B65),0)</f>
        <v>0</v>
      </c>
      <c r="X65" s="2">
        <f ca="1">IFERROR(SUMIFS(INDIRECT("'Thanh Toán ("&amp;X$3&amp;")'!$F:$F"),INDIRECT("'Thanh Toán ("&amp;X$3&amp;")'!$D:$D"),'Tổng Đơn'!$B65),0)</f>
        <v>0</v>
      </c>
      <c r="Y65" s="2">
        <f ca="1">IFERROR(SUMIFS(INDIRECT("'Thanh Toán ("&amp;Y$3&amp;")'!$F:$F"),INDIRECT("'Thanh Toán ("&amp;Y$3&amp;")'!$D:$D"),'Tổng Đơn'!$B65),0)</f>
        <v>0</v>
      </c>
      <c r="Z65" s="2">
        <f ca="1">IFERROR(SUMIFS(INDIRECT("'Thanh Toán ("&amp;Z$3&amp;")'!$F:$F"),INDIRECT("'Thanh Toán ("&amp;Z$3&amp;")'!$D:$D"),'Tổng Đơn'!$B65),0)</f>
        <v>0</v>
      </c>
      <c r="AA65" s="2">
        <f ca="1">IFERROR(SUMIFS(INDIRECT("'Thanh Toán ("&amp;AA$3&amp;")'!$F:$F"),INDIRECT("'Thanh Toán ("&amp;AA$3&amp;")'!$D:$D"),'Tổng Đơn'!$B65),0)</f>
        <v>0</v>
      </c>
      <c r="AB65" s="2">
        <f ca="1">IFERROR(SUMIFS(INDIRECT("'Thanh Toán ("&amp;AB$3&amp;")'!$F:$F"),INDIRECT("'Thanh Toán ("&amp;AB$3&amp;")'!$D:$D"),'Tổng Đơn'!$B65),0)</f>
        <v>0</v>
      </c>
      <c r="AC65" s="2">
        <f ca="1">IFERROR(SUMIFS(INDIRECT("'Thanh Toán ("&amp;AC$3&amp;")'!$F:$F"),INDIRECT("'Thanh Toán ("&amp;AC$3&amp;")'!$D:$D"),'Tổng Đơn'!$B65),0)</f>
        <v>0</v>
      </c>
      <c r="AD65" s="2">
        <f ca="1">IFERROR(SUMIFS(INDIRECT("'Thanh Toán ("&amp;AD$3&amp;")'!$F:$F"),INDIRECT("'Thanh Toán ("&amp;AD$3&amp;")'!$D:$D"),'Tổng Đơn'!$B65),0)</f>
        <v>0</v>
      </c>
      <c r="AE65" s="2">
        <f ca="1">IFERROR(SUMIFS(INDIRECT("'Thanh Toán ("&amp;AE$3&amp;")'!$F:$F"),INDIRECT("'Thanh Toán ("&amp;AE$3&amp;")'!$D:$D"),'Tổng Đơn'!$B65),0)</f>
        <v>0</v>
      </c>
      <c r="AF65" s="2">
        <f ca="1">IFERROR(SUMIFS(INDIRECT("'Thanh Toán ("&amp;AF$3&amp;")'!$F:$F"),INDIRECT("'Thanh Toán ("&amp;AF$3&amp;")'!$D:$D"),'Tổng Đơn'!$B65),0)</f>
        <v>0</v>
      </c>
      <c r="AG65" s="2">
        <f ca="1">IFERROR(SUMIFS(INDIRECT("'Thanh Toán ("&amp;AG$3&amp;")'!$F:$F"),INDIRECT("'Thanh Toán ("&amp;AG$3&amp;")'!$D:$D"),'Tổng Đơn'!$B65),0)</f>
        <v>0</v>
      </c>
      <c r="AH65" s="2">
        <f ca="1">IFERROR(SUMIFS(INDIRECT("'Thanh Toán ("&amp;AH$3&amp;")'!$F:$F"),INDIRECT("'Thanh Toán ("&amp;AH$3&amp;")'!$D:$D"),'Tổng Đơn'!$B65),0)</f>
        <v>0</v>
      </c>
      <c r="AI65" s="2">
        <f ca="1">IFERROR(SUMIFS(INDIRECT("'Thanh Toán ("&amp;AI$3&amp;")'!$F:$F"),INDIRECT("'Thanh Toán ("&amp;AI$3&amp;")'!$D:$D"),'Tổng Đơn'!$B65),0)</f>
        <v>0</v>
      </c>
      <c r="AJ65" s="2">
        <f ca="1">IFERROR(SUMIFS(INDIRECT("'Thanh Toán ("&amp;AJ$3&amp;")'!$F:$F"),INDIRECT("'Thanh Toán ("&amp;AJ$3&amp;")'!$D:$D"),'Tổng Đơn'!$B65),0)</f>
        <v>0</v>
      </c>
      <c r="AK65" s="2">
        <f ca="1">IFERROR(SUMIFS(INDIRECT("'Thanh Toán ("&amp;AK$3&amp;")'!$F:$F"),INDIRECT("'Thanh Toán ("&amp;AK$3&amp;")'!$D:$D"),'Tổng Đơn'!$B65),0)</f>
        <v>0</v>
      </c>
      <c r="AL65" s="2">
        <f ca="1">IFERROR(SUMIFS(INDIRECT("'Thanh Toán ("&amp;AL$3&amp;")'!$F:$F"),INDIRECT("'Thanh Toán ("&amp;AL$3&amp;")'!$D:$D"),'Tổng Đơn'!$B65),0)</f>
        <v>0</v>
      </c>
      <c r="AM65" s="2">
        <f ca="1">IFERROR(SUMIFS(INDIRECT("'Thanh Toán ("&amp;AM$3&amp;")'!$F:$F"),INDIRECT("'Thanh Toán ("&amp;AM$3&amp;")'!$D:$D"),'Tổng Đơn'!$B65),0)</f>
        <v>0</v>
      </c>
      <c r="AN65" s="2">
        <f ca="1">IFERROR(SUMIFS(INDIRECT("'Thanh Toán ("&amp;AN$3&amp;")'!$F:$F"),INDIRECT("'Thanh Toán ("&amp;AN$3&amp;")'!$D:$D"),'Tổng Đơn'!$B65),0)</f>
        <v>0</v>
      </c>
      <c r="AO65" s="2">
        <f ca="1">IFERROR(SUMIFS(INDIRECT("'Thanh Toán ("&amp;AO$3&amp;")'!$F:$F"),INDIRECT("'Thanh Toán ("&amp;AO$3&amp;")'!$D:$D"),'Tổng Đơn'!$B65),0)</f>
        <v>0</v>
      </c>
      <c r="AP65" s="2">
        <f ca="1">IFERROR(SUMIFS(INDIRECT("'Thanh Toán ("&amp;AP$3&amp;")'!$F:$F"),INDIRECT("'Thanh Toán ("&amp;AP$3&amp;")'!$D:$D"),'Tổng Đơn'!$B65),0)</f>
        <v>0</v>
      </c>
      <c r="AQ65" s="2">
        <f ca="1">IFERROR(SUMIFS(INDIRECT("'Thanh Toán ("&amp;AQ$3&amp;")'!$F:$F"),INDIRECT("'Thanh Toán ("&amp;AQ$3&amp;")'!$D:$D"),'Tổng Đơn'!$B65),0)</f>
        <v>0</v>
      </c>
      <c r="AR65" s="2">
        <f ca="1">IFERROR(SUMIFS(INDIRECT("'Thanh Toán ("&amp;AR$3&amp;")'!$F:$F"),INDIRECT("'Thanh Toán ("&amp;AR$3&amp;")'!$D:$D"),'Tổng Đơn'!$B65),0)</f>
        <v>0</v>
      </c>
      <c r="AS65" s="2">
        <f ca="1">IFERROR(SUMIFS(INDIRECT("'Thanh Toán ("&amp;AS$3&amp;")'!$F:$F"),INDIRECT("'Thanh Toán ("&amp;AS$3&amp;")'!$D:$D"),'Tổng Đơn'!$B65),0)</f>
        <v>0</v>
      </c>
      <c r="AT65" s="2">
        <f ca="1">IFERROR(SUMIFS(INDIRECT("'Thanh Toán ("&amp;AT$3&amp;")'!$F:$F"),INDIRECT("'Thanh Toán ("&amp;AT$3&amp;")'!$D:$D"),'Tổng Đơn'!$B65),0)</f>
        <v>0</v>
      </c>
      <c r="AU65" s="2">
        <f ca="1">IFERROR(SUMIFS(INDIRECT("'Thanh Toán ("&amp;AU$3&amp;")'!$F:$F"),INDIRECT("'Thanh Toán ("&amp;AU$3&amp;")'!$D:$D"),'Tổng Đơn'!$B65),0)</f>
        <v>0</v>
      </c>
      <c r="AV65" s="2">
        <f ca="1">IFERROR(SUMIFS(INDIRECT("'Thanh Toán ("&amp;AV$3&amp;")'!$F:$F"),INDIRECT("'Thanh Toán ("&amp;AV$3&amp;")'!$D:$D"),'Tổng Đơn'!$B65),0)</f>
        <v>0</v>
      </c>
      <c r="AW65" s="2">
        <f ca="1">IFERROR(SUMIFS(INDIRECT("'Thanh Toán ("&amp;AW$3&amp;")'!$F:$F"),INDIRECT("'Thanh Toán ("&amp;AW$3&amp;")'!$D:$D"),'Tổng Đơn'!$B65),0)</f>
        <v>0</v>
      </c>
      <c r="AX65" s="2">
        <f ca="1">IFERROR(SUMIFS(INDIRECT("'Thanh Toán ("&amp;AX$3&amp;")'!$F:$F"),INDIRECT("'Thanh Toán ("&amp;AX$3&amp;")'!$D:$D"),'Tổng Đơn'!$B65),0)</f>
        <v>0</v>
      </c>
      <c r="AY65" s="2">
        <f ca="1">IFERROR(SUMIFS(INDIRECT("'Thanh Toán ("&amp;AY$3&amp;")'!$F:$F"),INDIRECT("'Thanh Toán ("&amp;AY$3&amp;")'!$D:$D"),'Tổng Đơn'!$B65),0)</f>
        <v>0</v>
      </c>
      <c r="AZ65" s="2">
        <f ca="1">IFERROR(SUMIFS(INDIRECT("'Thanh Toán ("&amp;AZ$3&amp;")'!$F:$F"),INDIRECT("'Thanh Toán ("&amp;AZ$3&amp;")'!$D:$D"),'Tổng Đơn'!$B65),0)</f>
        <v>0</v>
      </c>
      <c r="BA65" s="2">
        <f ca="1">IFERROR(SUMIFS(INDIRECT("'Thanh Toán ("&amp;BA$3&amp;")'!$F:$F"),INDIRECT("'Thanh Toán ("&amp;BA$3&amp;")'!$D:$D"),'Tổng Đơn'!$B65),0)</f>
        <v>0</v>
      </c>
      <c r="BB65" s="2">
        <f ca="1">IFERROR(SUMIFS(INDIRECT("'Thanh Toán ("&amp;BB$3&amp;")'!$F:$F"),INDIRECT("'Thanh Toán ("&amp;BB$3&amp;")'!$D:$D"),'Tổng Đơn'!$B65),0)</f>
        <v>0</v>
      </c>
      <c r="BC65" s="2">
        <f ca="1">IFERROR(SUMIFS(INDIRECT("'Thanh Toán ("&amp;BC$3&amp;")'!$F:$F"),INDIRECT("'Thanh Toán ("&amp;BC$3&amp;")'!$D:$D"),'Tổng Đơn'!$B65),0)</f>
        <v>0</v>
      </c>
    </row>
    <row r="66" spans="1:55" ht="18" customHeight="1" x14ac:dyDescent="0.25">
      <c r="A66" s="174">
        <v>56</v>
      </c>
      <c r="B66" s="176" t="s">
        <v>206</v>
      </c>
      <c r="C66" s="167" t="s">
        <v>153</v>
      </c>
      <c r="D66" s="169">
        <f>VLOOKUP($C66,Sheet1!$C$8:$D$98,2,0)</f>
        <v>16000</v>
      </c>
      <c r="E66" s="170">
        <v>0.3</v>
      </c>
      <c r="F66" s="171">
        <f t="shared" ca="1" si="13"/>
        <v>3</v>
      </c>
      <c r="G66" s="172">
        <f>IFERROR(VLOOKUP($B66,Gà!C:J,8,0),IFERROR(VLOOKUP($B66,TVP!C:J,7,0),IFERROR(VLOOKUP($B66,Kitkool!C:J,8,0),IFERROR(VLOOKUP($B66,'La Cusina'!C:J,8,0),VLOOKUP($B66,'Quốc Nhân'!C:J,8,0)))))</f>
        <v>12.271786820571707</v>
      </c>
      <c r="H66" s="173">
        <f t="shared" ca="1" si="10"/>
        <v>11184.639538284877</v>
      </c>
      <c r="I66" s="195">
        <f t="shared" si="11"/>
        <v>0.30380361343781925</v>
      </c>
      <c r="J66" s="173">
        <f t="shared" ca="1" si="12"/>
        <v>36815.360461715121</v>
      </c>
      <c r="K66" s="38"/>
      <c r="L66" s="2">
        <f ca="1">IFERROR(SUMIFS(INDIRECT("'Thanh Toán ("&amp;L$3&amp;")'!$F:$F"),INDIRECT("'Thanh Toán ("&amp;L$3&amp;")'!$D:$D"),'Tổng Đơn'!$B66),0)</f>
        <v>1</v>
      </c>
      <c r="M66" s="2">
        <f ca="1">IFERROR(SUMIFS(INDIRECT("'Thanh Toán ("&amp;M$3&amp;")'!$F:$F"),INDIRECT("'Thanh Toán ("&amp;M$3&amp;")'!$D:$D"),'Tổng Đơn'!$B66),0)</f>
        <v>0</v>
      </c>
      <c r="N66" s="2">
        <f ca="1">IFERROR(SUMIFS(INDIRECT("'Thanh Toán ("&amp;N$3&amp;")'!$F:$F"),INDIRECT("'Thanh Toán ("&amp;N$3&amp;")'!$D:$D"),'Tổng Đơn'!$B66),0)</f>
        <v>2</v>
      </c>
      <c r="O66" s="2">
        <f ca="1">IFERROR(SUMIFS(INDIRECT("'Thanh Toán ("&amp;O$3&amp;")'!$F:$F"),INDIRECT("'Thanh Toán ("&amp;O$3&amp;")'!$D:$D"),'Tổng Đơn'!$B66),0)</f>
        <v>0</v>
      </c>
      <c r="P66" s="2">
        <f ca="1">IFERROR(SUMIFS(INDIRECT("'Thanh Toán ("&amp;P$3&amp;")'!$F:$F"),INDIRECT("'Thanh Toán ("&amp;P$3&amp;")'!$D:$D"),'Tổng Đơn'!$B66),0)</f>
        <v>0</v>
      </c>
      <c r="Q66" s="2">
        <f ca="1">IFERROR(SUMIFS(INDIRECT("'Thanh Toán ("&amp;Q$3&amp;")'!$F:$F"),INDIRECT("'Thanh Toán ("&amp;Q$3&amp;")'!$D:$D"),'Tổng Đơn'!$B66),0)</f>
        <v>0</v>
      </c>
      <c r="R66" s="2">
        <f ca="1">IFERROR(SUMIFS(INDIRECT("'Thanh Toán ("&amp;R$3&amp;")'!$F:$F"),INDIRECT("'Thanh Toán ("&amp;R$3&amp;")'!$D:$D"),'Tổng Đơn'!$B66),0)</f>
        <v>0</v>
      </c>
      <c r="S66" s="2">
        <f ca="1">IFERROR(SUMIFS(INDIRECT("'Thanh Toán ("&amp;S$3&amp;")'!$F:$F"),INDIRECT("'Thanh Toán ("&amp;S$3&amp;")'!$D:$D"),'Tổng Đơn'!$B66),0)</f>
        <v>0</v>
      </c>
      <c r="T66" s="2">
        <f ca="1">IFERROR(SUMIFS(INDIRECT("'Thanh Toán ("&amp;T$3&amp;")'!$F:$F"),INDIRECT("'Thanh Toán ("&amp;T$3&amp;")'!$D:$D"),'Tổng Đơn'!$B66),0)</f>
        <v>0</v>
      </c>
      <c r="U66" s="2">
        <f ca="1">IFERROR(SUMIFS(INDIRECT("'Thanh Toán ("&amp;U$3&amp;")'!$F:$F"),INDIRECT("'Thanh Toán ("&amp;U$3&amp;")'!$D:$D"),'Tổng Đơn'!$B66),0)</f>
        <v>0</v>
      </c>
      <c r="V66" s="2">
        <f ca="1">IFERROR(SUMIFS(INDIRECT("'Thanh Toán ("&amp;V$3&amp;")'!$F:$F"),INDIRECT("'Thanh Toán ("&amp;V$3&amp;")'!$D:$D"),'Tổng Đơn'!$B66),0)</f>
        <v>0</v>
      </c>
      <c r="W66" s="2">
        <f ca="1">IFERROR(SUMIFS(INDIRECT("'Thanh Toán ("&amp;W$3&amp;")'!$F:$F"),INDIRECT("'Thanh Toán ("&amp;W$3&amp;")'!$D:$D"),'Tổng Đơn'!$B66),0)</f>
        <v>0</v>
      </c>
      <c r="X66" s="2">
        <f ca="1">IFERROR(SUMIFS(INDIRECT("'Thanh Toán ("&amp;X$3&amp;")'!$F:$F"),INDIRECT("'Thanh Toán ("&amp;X$3&amp;")'!$D:$D"),'Tổng Đơn'!$B66),0)</f>
        <v>0</v>
      </c>
      <c r="Y66" s="2">
        <f ca="1">IFERROR(SUMIFS(INDIRECT("'Thanh Toán ("&amp;Y$3&amp;")'!$F:$F"),INDIRECT("'Thanh Toán ("&amp;Y$3&amp;")'!$D:$D"),'Tổng Đơn'!$B66),0)</f>
        <v>0</v>
      </c>
      <c r="Z66" s="2">
        <f ca="1">IFERROR(SUMIFS(INDIRECT("'Thanh Toán ("&amp;Z$3&amp;")'!$F:$F"),INDIRECT("'Thanh Toán ("&amp;Z$3&amp;")'!$D:$D"),'Tổng Đơn'!$B66),0)</f>
        <v>0</v>
      </c>
      <c r="AA66" s="2">
        <f ca="1">IFERROR(SUMIFS(INDIRECT("'Thanh Toán ("&amp;AA$3&amp;")'!$F:$F"),INDIRECT("'Thanh Toán ("&amp;AA$3&amp;")'!$D:$D"),'Tổng Đơn'!$B66),0)</f>
        <v>0</v>
      </c>
      <c r="AB66" s="2">
        <f ca="1">IFERROR(SUMIFS(INDIRECT("'Thanh Toán ("&amp;AB$3&amp;")'!$F:$F"),INDIRECT("'Thanh Toán ("&amp;AB$3&amp;")'!$D:$D"),'Tổng Đơn'!$B66),0)</f>
        <v>0</v>
      </c>
      <c r="AC66" s="2">
        <f ca="1">IFERROR(SUMIFS(INDIRECT("'Thanh Toán ("&amp;AC$3&amp;")'!$F:$F"),INDIRECT("'Thanh Toán ("&amp;AC$3&amp;")'!$D:$D"),'Tổng Đơn'!$B66),0)</f>
        <v>0</v>
      </c>
      <c r="AD66" s="2">
        <f ca="1">IFERROR(SUMIFS(INDIRECT("'Thanh Toán ("&amp;AD$3&amp;")'!$F:$F"),INDIRECT("'Thanh Toán ("&amp;AD$3&amp;")'!$D:$D"),'Tổng Đơn'!$B66),0)</f>
        <v>0</v>
      </c>
      <c r="AE66" s="2">
        <f ca="1">IFERROR(SUMIFS(INDIRECT("'Thanh Toán ("&amp;AE$3&amp;")'!$F:$F"),INDIRECT("'Thanh Toán ("&amp;AE$3&amp;")'!$D:$D"),'Tổng Đơn'!$B66),0)</f>
        <v>0</v>
      </c>
      <c r="AF66" s="2">
        <f ca="1">IFERROR(SUMIFS(INDIRECT("'Thanh Toán ("&amp;AF$3&amp;")'!$F:$F"),INDIRECT("'Thanh Toán ("&amp;AF$3&amp;")'!$D:$D"),'Tổng Đơn'!$B66),0)</f>
        <v>0</v>
      </c>
      <c r="AG66" s="2">
        <f ca="1">IFERROR(SUMIFS(INDIRECT("'Thanh Toán ("&amp;AG$3&amp;")'!$F:$F"),INDIRECT("'Thanh Toán ("&amp;AG$3&amp;")'!$D:$D"),'Tổng Đơn'!$B66),0)</f>
        <v>0</v>
      </c>
      <c r="AH66" s="2">
        <f ca="1">IFERROR(SUMIFS(INDIRECT("'Thanh Toán ("&amp;AH$3&amp;")'!$F:$F"),INDIRECT("'Thanh Toán ("&amp;AH$3&amp;")'!$D:$D"),'Tổng Đơn'!$B66),0)</f>
        <v>0</v>
      </c>
      <c r="AI66" s="2">
        <f ca="1">IFERROR(SUMIFS(INDIRECT("'Thanh Toán ("&amp;AI$3&amp;")'!$F:$F"),INDIRECT("'Thanh Toán ("&amp;AI$3&amp;")'!$D:$D"),'Tổng Đơn'!$B66),0)</f>
        <v>0</v>
      </c>
      <c r="AJ66" s="2">
        <f ca="1">IFERROR(SUMIFS(INDIRECT("'Thanh Toán ("&amp;AJ$3&amp;")'!$F:$F"),INDIRECT("'Thanh Toán ("&amp;AJ$3&amp;")'!$D:$D"),'Tổng Đơn'!$B66),0)</f>
        <v>0</v>
      </c>
      <c r="AK66" s="2">
        <f ca="1">IFERROR(SUMIFS(INDIRECT("'Thanh Toán ("&amp;AK$3&amp;")'!$F:$F"),INDIRECT("'Thanh Toán ("&amp;AK$3&amp;")'!$D:$D"),'Tổng Đơn'!$B66),0)</f>
        <v>0</v>
      </c>
      <c r="AL66" s="2">
        <f ca="1">IFERROR(SUMIFS(INDIRECT("'Thanh Toán ("&amp;AL$3&amp;")'!$F:$F"),INDIRECT("'Thanh Toán ("&amp;AL$3&amp;")'!$D:$D"),'Tổng Đơn'!$B66),0)</f>
        <v>0</v>
      </c>
      <c r="AM66" s="2">
        <f ca="1">IFERROR(SUMIFS(INDIRECT("'Thanh Toán ("&amp;AM$3&amp;")'!$F:$F"),INDIRECT("'Thanh Toán ("&amp;AM$3&amp;")'!$D:$D"),'Tổng Đơn'!$B66),0)</f>
        <v>0</v>
      </c>
      <c r="AN66" s="2">
        <f ca="1">IFERROR(SUMIFS(INDIRECT("'Thanh Toán ("&amp;AN$3&amp;")'!$F:$F"),INDIRECT("'Thanh Toán ("&amp;AN$3&amp;")'!$D:$D"),'Tổng Đơn'!$B66),0)</f>
        <v>0</v>
      </c>
      <c r="AO66" s="2">
        <f ca="1">IFERROR(SUMIFS(INDIRECT("'Thanh Toán ("&amp;AO$3&amp;")'!$F:$F"),INDIRECT("'Thanh Toán ("&amp;AO$3&amp;")'!$D:$D"),'Tổng Đơn'!$B66),0)</f>
        <v>0</v>
      </c>
      <c r="AP66" s="2">
        <f ca="1">IFERROR(SUMIFS(INDIRECT("'Thanh Toán ("&amp;AP$3&amp;")'!$F:$F"),INDIRECT("'Thanh Toán ("&amp;AP$3&amp;")'!$D:$D"),'Tổng Đơn'!$B66),0)</f>
        <v>0</v>
      </c>
      <c r="AQ66" s="2">
        <f ca="1">IFERROR(SUMIFS(INDIRECT("'Thanh Toán ("&amp;AQ$3&amp;")'!$F:$F"),INDIRECT("'Thanh Toán ("&amp;AQ$3&amp;")'!$D:$D"),'Tổng Đơn'!$B66),0)</f>
        <v>0</v>
      </c>
      <c r="AR66" s="2">
        <f ca="1">IFERROR(SUMIFS(INDIRECT("'Thanh Toán ("&amp;AR$3&amp;")'!$F:$F"),INDIRECT("'Thanh Toán ("&amp;AR$3&amp;")'!$D:$D"),'Tổng Đơn'!$B66),0)</f>
        <v>0</v>
      </c>
      <c r="AS66" s="2">
        <f ca="1">IFERROR(SUMIFS(INDIRECT("'Thanh Toán ("&amp;AS$3&amp;")'!$F:$F"),INDIRECT("'Thanh Toán ("&amp;AS$3&amp;")'!$D:$D"),'Tổng Đơn'!$B66),0)</f>
        <v>0</v>
      </c>
      <c r="AT66" s="2">
        <f ca="1">IFERROR(SUMIFS(INDIRECT("'Thanh Toán ("&amp;AT$3&amp;")'!$F:$F"),INDIRECT("'Thanh Toán ("&amp;AT$3&amp;")'!$D:$D"),'Tổng Đơn'!$B66),0)</f>
        <v>0</v>
      </c>
      <c r="AU66" s="2">
        <f ca="1">IFERROR(SUMIFS(INDIRECT("'Thanh Toán ("&amp;AU$3&amp;")'!$F:$F"),INDIRECT("'Thanh Toán ("&amp;AU$3&amp;")'!$D:$D"),'Tổng Đơn'!$B66),0)</f>
        <v>0</v>
      </c>
      <c r="AV66" s="2">
        <f ca="1">IFERROR(SUMIFS(INDIRECT("'Thanh Toán ("&amp;AV$3&amp;")'!$F:$F"),INDIRECT("'Thanh Toán ("&amp;AV$3&amp;")'!$D:$D"),'Tổng Đơn'!$B66),0)</f>
        <v>0</v>
      </c>
      <c r="AW66" s="2">
        <f ca="1">IFERROR(SUMIFS(INDIRECT("'Thanh Toán ("&amp;AW$3&amp;")'!$F:$F"),INDIRECT("'Thanh Toán ("&amp;AW$3&amp;")'!$D:$D"),'Tổng Đơn'!$B66),0)</f>
        <v>0</v>
      </c>
      <c r="AX66" s="2">
        <f ca="1">IFERROR(SUMIFS(INDIRECT("'Thanh Toán ("&amp;AX$3&amp;")'!$F:$F"),INDIRECT("'Thanh Toán ("&amp;AX$3&amp;")'!$D:$D"),'Tổng Đơn'!$B66),0)</f>
        <v>0</v>
      </c>
      <c r="AY66" s="2">
        <f ca="1">IFERROR(SUMIFS(INDIRECT("'Thanh Toán ("&amp;AY$3&amp;")'!$F:$F"),INDIRECT("'Thanh Toán ("&amp;AY$3&amp;")'!$D:$D"),'Tổng Đơn'!$B66),0)</f>
        <v>0</v>
      </c>
      <c r="AZ66" s="2">
        <f ca="1">IFERROR(SUMIFS(INDIRECT("'Thanh Toán ("&amp;AZ$3&amp;")'!$F:$F"),INDIRECT("'Thanh Toán ("&amp;AZ$3&amp;")'!$D:$D"),'Tổng Đơn'!$B66),0)</f>
        <v>0</v>
      </c>
      <c r="BA66" s="2">
        <f ca="1">IFERROR(SUMIFS(INDIRECT("'Thanh Toán ("&amp;BA$3&amp;")'!$F:$F"),INDIRECT("'Thanh Toán ("&amp;BA$3&amp;")'!$D:$D"),'Tổng Đơn'!$B66),0)</f>
        <v>0</v>
      </c>
      <c r="BB66" s="2">
        <f ca="1">IFERROR(SUMIFS(INDIRECT("'Thanh Toán ("&amp;BB$3&amp;")'!$F:$F"),INDIRECT("'Thanh Toán ("&amp;BB$3&amp;")'!$D:$D"),'Tổng Đơn'!$B66),0)</f>
        <v>0</v>
      </c>
      <c r="BC66" s="2">
        <f ca="1">IFERROR(SUMIFS(INDIRECT("'Thanh Toán ("&amp;BC$3&amp;")'!$F:$F"),INDIRECT("'Thanh Toán ("&amp;BC$3&amp;")'!$D:$D"),'Tổng Đơn'!$B66),0)</f>
        <v>0</v>
      </c>
    </row>
    <row r="67" spans="1:55" ht="18" customHeight="1" x14ac:dyDescent="0.25">
      <c r="A67" s="167">
        <v>57</v>
      </c>
      <c r="B67" s="176" t="s">
        <v>198</v>
      </c>
      <c r="C67" s="167" t="s">
        <v>154</v>
      </c>
      <c r="D67" s="169">
        <f>VLOOKUP($C67,Sheet1!$C$8:$D$98,2,0)</f>
        <v>25000</v>
      </c>
      <c r="E67" s="170">
        <v>0.5</v>
      </c>
      <c r="F67" s="171">
        <f t="shared" ca="1" si="13"/>
        <v>25</v>
      </c>
      <c r="G67" s="172">
        <f>IFERROR(VLOOKUP($B67,Gà!C:J,8,0),IFERROR(VLOOKUP($B67,TVP!C:J,7,0),IFERROR(VLOOKUP($B67,Kitkool!C:J,8,0),IFERROR(VLOOKUP($B67,'La Cusina'!C:J,8,0),VLOOKUP($B67,'Quốc Nhân'!C:J,8,0)))))</f>
        <v>19.444428182224755</v>
      </c>
      <c r="H67" s="173">
        <f t="shared" ca="1" si="10"/>
        <v>138889.29544438116</v>
      </c>
      <c r="I67" s="195">
        <f t="shared" si="11"/>
        <v>0.28571536101297679</v>
      </c>
      <c r="J67" s="173">
        <f t="shared" ca="1" si="12"/>
        <v>486110.70455561887</v>
      </c>
      <c r="K67" s="38"/>
      <c r="L67" s="2">
        <f ca="1">IFERROR(SUMIFS(INDIRECT("'Thanh Toán ("&amp;L$3&amp;")'!$F:$F"),INDIRECT("'Thanh Toán ("&amp;L$3&amp;")'!$D:$D"),'Tổng Đơn'!$B67),0)</f>
        <v>4</v>
      </c>
      <c r="M67" s="2">
        <f ca="1">IFERROR(SUMIFS(INDIRECT("'Thanh Toán ("&amp;M$3&amp;")'!$F:$F"),INDIRECT("'Thanh Toán ("&amp;M$3&amp;")'!$D:$D"),'Tổng Đơn'!$B67),0)</f>
        <v>2</v>
      </c>
      <c r="N67" s="2">
        <f ca="1">IFERROR(SUMIFS(INDIRECT("'Thanh Toán ("&amp;N$3&amp;")'!$F:$F"),INDIRECT("'Thanh Toán ("&amp;N$3&amp;")'!$D:$D"),'Tổng Đơn'!$B67),0)</f>
        <v>6</v>
      </c>
      <c r="O67" s="2">
        <f ca="1">IFERROR(SUMIFS(INDIRECT("'Thanh Toán ("&amp;O$3&amp;")'!$F:$F"),INDIRECT("'Thanh Toán ("&amp;O$3&amp;")'!$D:$D"),'Tổng Đơn'!$B67),0)</f>
        <v>1</v>
      </c>
      <c r="P67" s="2">
        <f ca="1">IFERROR(SUMIFS(INDIRECT("'Thanh Toán ("&amp;P$3&amp;")'!$F:$F"),INDIRECT("'Thanh Toán ("&amp;P$3&amp;")'!$D:$D"),'Tổng Đơn'!$B67),0)</f>
        <v>2</v>
      </c>
      <c r="Q67" s="2">
        <f ca="1">IFERROR(SUMIFS(INDIRECT("'Thanh Toán ("&amp;Q$3&amp;")'!$F:$F"),INDIRECT("'Thanh Toán ("&amp;Q$3&amp;")'!$D:$D"),'Tổng Đơn'!$B67),0)</f>
        <v>0</v>
      </c>
      <c r="R67" s="2">
        <f ca="1">IFERROR(SUMIFS(INDIRECT("'Thanh Toán ("&amp;R$3&amp;")'!$F:$F"),INDIRECT("'Thanh Toán ("&amp;R$3&amp;")'!$D:$D"),'Tổng Đơn'!$B67),0)</f>
        <v>2</v>
      </c>
      <c r="S67" s="2">
        <f ca="1">IFERROR(SUMIFS(INDIRECT("'Thanh Toán ("&amp;S$3&amp;")'!$F:$F"),INDIRECT("'Thanh Toán ("&amp;S$3&amp;")'!$D:$D"),'Tổng Đơn'!$B67),0)</f>
        <v>1</v>
      </c>
      <c r="T67" s="2">
        <f ca="1">IFERROR(SUMIFS(INDIRECT("'Thanh Toán ("&amp;T$3&amp;")'!$F:$F"),INDIRECT("'Thanh Toán ("&amp;T$3&amp;")'!$D:$D"),'Tổng Đơn'!$B67),0)</f>
        <v>2</v>
      </c>
      <c r="U67" s="2">
        <f ca="1">IFERROR(SUMIFS(INDIRECT("'Thanh Toán ("&amp;U$3&amp;")'!$F:$F"),INDIRECT("'Thanh Toán ("&amp;U$3&amp;")'!$D:$D"),'Tổng Đơn'!$B67),0)</f>
        <v>1</v>
      </c>
      <c r="V67" s="2">
        <f ca="1">IFERROR(SUMIFS(INDIRECT("'Thanh Toán ("&amp;V$3&amp;")'!$F:$F"),INDIRECT("'Thanh Toán ("&amp;V$3&amp;")'!$D:$D"),'Tổng Đơn'!$B67),0)</f>
        <v>0</v>
      </c>
      <c r="W67" s="2">
        <f ca="1">IFERROR(SUMIFS(INDIRECT("'Thanh Toán ("&amp;W$3&amp;")'!$F:$F"),INDIRECT("'Thanh Toán ("&amp;W$3&amp;")'!$D:$D"),'Tổng Đơn'!$B67),0)</f>
        <v>4</v>
      </c>
      <c r="X67" s="2">
        <f ca="1">IFERROR(SUMIFS(INDIRECT("'Thanh Toán ("&amp;X$3&amp;")'!$F:$F"),INDIRECT("'Thanh Toán ("&amp;X$3&amp;")'!$D:$D"),'Tổng Đơn'!$B67),0)</f>
        <v>0</v>
      </c>
      <c r="Y67" s="2">
        <f ca="1">IFERROR(SUMIFS(INDIRECT("'Thanh Toán ("&amp;Y$3&amp;")'!$F:$F"),INDIRECT("'Thanh Toán ("&amp;Y$3&amp;")'!$D:$D"),'Tổng Đơn'!$B67),0)</f>
        <v>0</v>
      </c>
      <c r="Z67" s="2">
        <f ca="1">IFERROR(SUMIFS(INDIRECT("'Thanh Toán ("&amp;Z$3&amp;")'!$F:$F"),INDIRECT("'Thanh Toán ("&amp;Z$3&amp;")'!$D:$D"),'Tổng Đơn'!$B67),0)</f>
        <v>0</v>
      </c>
      <c r="AA67" s="2">
        <f ca="1">IFERROR(SUMIFS(INDIRECT("'Thanh Toán ("&amp;AA$3&amp;")'!$F:$F"),INDIRECT("'Thanh Toán ("&amp;AA$3&amp;")'!$D:$D"),'Tổng Đơn'!$B67),0)</f>
        <v>0</v>
      </c>
      <c r="AB67" s="2">
        <f ca="1">IFERROR(SUMIFS(INDIRECT("'Thanh Toán ("&amp;AB$3&amp;")'!$F:$F"),INDIRECT("'Thanh Toán ("&amp;AB$3&amp;")'!$D:$D"),'Tổng Đơn'!$B67),0)</f>
        <v>0</v>
      </c>
      <c r="AC67" s="2">
        <f ca="1">IFERROR(SUMIFS(INDIRECT("'Thanh Toán ("&amp;AC$3&amp;")'!$F:$F"),INDIRECT("'Thanh Toán ("&amp;AC$3&amp;")'!$D:$D"),'Tổng Đơn'!$B67),0)</f>
        <v>0</v>
      </c>
      <c r="AD67" s="2">
        <f ca="1">IFERROR(SUMIFS(INDIRECT("'Thanh Toán ("&amp;AD$3&amp;")'!$F:$F"),INDIRECT("'Thanh Toán ("&amp;AD$3&amp;")'!$D:$D"),'Tổng Đơn'!$B67),0)</f>
        <v>0</v>
      </c>
      <c r="AE67" s="2">
        <f ca="1">IFERROR(SUMIFS(INDIRECT("'Thanh Toán ("&amp;AE$3&amp;")'!$F:$F"),INDIRECT("'Thanh Toán ("&amp;AE$3&amp;")'!$D:$D"),'Tổng Đơn'!$B67),0)</f>
        <v>0</v>
      </c>
      <c r="AF67" s="2">
        <f ca="1">IFERROR(SUMIFS(INDIRECT("'Thanh Toán ("&amp;AF$3&amp;")'!$F:$F"),INDIRECT("'Thanh Toán ("&amp;AF$3&amp;")'!$D:$D"),'Tổng Đơn'!$B67),0)</f>
        <v>0</v>
      </c>
      <c r="AG67" s="2">
        <f ca="1">IFERROR(SUMIFS(INDIRECT("'Thanh Toán ("&amp;AG$3&amp;")'!$F:$F"),INDIRECT("'Thanh Toán ("&amp;AG$3&amp;")'!$D:$D"),'Tổng Đơn'!$B67),0)</f>
        <v>0</v>
      </c>
      <c r="AH67" s="2">
        <f ca="1">IFERROR(SUMIFS(INDIRECT("'Thanh Toán ("&amp;AH$3&amp;")'!$F:$F"),INDIRECT("'Thanh Toán ("&amp;AH$3&amp;")'!$D:$D"),'Tổng Đơn'!$B67),0)</f>
        <v>0</v>
      </c>
      <c r="AI67" s="2">
        <f ca="1">IFERROR(SUMIFS(INDIRECT("'Thanh Toán ("&amp;AI$3&amp;")'!$F:$F"),INDIRECT("'Thanh Toán ("&amp;AI$3&amp;")'!$D:$D"),'Tổng Đơn'!$B67),0)</f>
        <v>0</v>
      </c>
      <c r="AJ67" s="2">
        <f ca="1">IFERROR(SUMIFS(INDIRECT("'Thanh Toán ("&amp;AJ$3&amp;")'!$F:$F"),INDIRECT("'Thanh Toán ("&amp;AJ$3&amp;")'!$D:$D"),'Tổng Đơn'!$B67),0)</f>
        <v>0</v>
      </c>
      <c r="AK67" s="2">
        <f ca="1">IFERROR(SUMIFS(INDIRECT("'Thanh Toán ("&amp;AK$3&amp;")'!$F:$F"),INDIRECT("'Thanh Toán ("&amp;AK$3&amp;")'!$D:$D"),'Tổng Đơn'!$B67),0)</f>
        <v>0</v>
      </c>
      <c r="AL67" s="2">
        <f ca="1">IFERROR(SUMIFS(INDIRECT("'Thanh Toán ("&amp;AL$3&amp;")'!$F:$F"),INDIRECT("'Thanh Toán ("&amp;AL$3&amp;")'!$D:$D"),'Tổng Đơn'!$B67),0)</f>
        <v>0</v>
      </c>
      <c r="AM67" s="2">
        <f ca="1">IFERROR(SUMIFS(INDIRECT("'Thanh Toán ("&amp;AM$3&amp;")'!$F:$F"),INDIRECT("'Thanh Toán ("&amp;AM$3&amp;")'!$D:$D"),'Tổng Đơn'!$B67),0)</f>
        <v>0</v>
      </c>
      <c r="AN67" s="2">
        <f ca="1">IFERROR(SUMIFS(INDIRECT("'Thanh Toán ("&amp;AN$3&amp;")'!$F:$F"),INDIRECT("'Thanh Toán ("&amp;AN$3&amp;")'!$D:$D"),'Tổng Đơn'!$B67),0)</f>
        <v>0</v>
      </c>
      <c r="AO67" s="2">
        <f ca="1">IFERROR(SUMIFS(INDIRECT("'Thanh Toán ("&amp;AO$3&amp;")'!$F:$F"),INDIRECT("'Thanh Toán ("&amp;AO$3&amp;")'!$D:$D"),'Tổng Đơn'!$B67),0)</f>
        <v>0</v>
      </c>
      <c r="AP67" s="2">
        <f ca="1">IFERROR(SUMIFS(INDIRECT("'Thanh Toán ("&amp;AP$3&amp;")'!$F:$F"),INDIRECT("'Thanh Toán ("&amp;AP$3&amp;")'!$D:$D"),'Tổng Đơn'!$B67),0)</f>
        <v>0</v>
      </c>
      <c r="AQ67" s="2">
        <f ca="1">IFERROR(SUMIFS(INDIRECT("'Thanh Toán ("&amp;AQ$3&amp;")'!$F:$F"),INDIRECT("'Thanh Toán ("&amp;AQ$3&amp;")'!$D:$D"),'Tổng Đơn'!$B67),0)</f>
        <v>0</v>
      </c>
      <c r="AR67" s="2">
        <f ca="1">IFERROR(SUMIFS(INDIRECT("'Thanh Toán ("&amp;AR$3&amp;")'!$F:$F"),INDIRECT("'Thanh Toán ("&amp;AR$3&amp;")'!$D:$D"),'Tổng Đơn'!$B67),0)</f>
        <v>0</v>
      </c>
      <c r="AS67" s="2">
        <f ca="1">IFERROR(SUMIFS(INDIRECT("'Thanh Toán ("&amp;AS$3&amp;")'!$F:$F"),INDIRECT("'Thanh Toán ("&amp;AS$3&amp;")'!$D:$D"),'Tổng Đơn'!$B67),0)</f>
        <v>0</v>
      </c>
      <c r="AT67" s="2">
        <f ca="1">IFERROR(SUMIFS(INDIRECT("'Thanh Toán ("&amp;AT$3&amp;")'!$F:$F"),INDIRECT("'Thanh Toán ("&amp;AT$3&amp;")'!$D:$D"),'Tổng Đơn'!$B67),0)</f>
        <v>0</v>
      </c>
      <c r="AU67" s="2">
        <f ca="1">IFERROR(SUMIFS(INDIRECT("'Thanh Toán ("&amp;AU$3&amp;")'!$F:$F"),INDIRECT("'Thanh Toán ("&amp;AU$3&amp;")'!$D:$D"),'Tổng Đơn'!$B67),0)</f>
        <v>0</v>
      </c>
      <c r="AV67" s="2">
        <f ca="1">IFERROR(SUMIFS(INDIRECT("'Thanh Toán ("&amp;AV$3&amp;")'!$F:$F"),INDIRECT("'Thanh Toán ("&amp;AV$3&amp;")'!$D:$D"),'Tổng Đơn'!$B67),0)</f>
        <v>0</v>
      </c>
      <c r="AW67" s="2">
        <f ca="1">IFERROR(SUMIFS(INDIRECT("'Thanh Toán ("&amp;AW$3&amp;")'!$F:$F"),INDIRECT("'Thanh Toán ("&amp;AW$3&amp;")'!$D:$D"),'Tổng Đơn'!$B67),0)</f>
        <v>0</v>
      </c>
      <c r="AX67" s="2">
        <f ca="1">IFERROR(SUMIFS(INDIRECT("'Thanh Toán ("&amp;AX$3&amp;")'!$F:$F"),INDIRECT("'Thanh Toán ("&amp;AX$3&amp;")'!$D:$D"),'Tổng Đơn'!$B67),0)</f>
        <v>0</v>
      </c>
      <c r="AY67" s="2">
        <f ca="1">IFERROR(SUMIFS(INDIRECT("'Thanh Toán ("&amp;AY$3&amp;")'!$F:$F"),INDIRECT("'Thanh Toán ("&amp;AY$3&amp;")'!$D:$D"),'Tổng Đơn'!$B67),0)</f>
        <v>0</v>
      </c>
      <c r="AZ67" s="2">
        <f ca="1">IFERROR(SUMIFS(INDIRECT("'Thanh Toán ("&amp;AZ$3&amp;")'!$F:$F"),INDIRECT("'Thanh Toán ("&amp;AZ$3&amp;")'!$D:$D"),'Tổng Đơn'!$B67),0)</f>
        <v>0</v>
      </c>
      <c r="BA67" s="2">
        <f ca="1">IFERROR(SUMIFS(INDIRECT("'Thanh Toán ("&amp;BA$3&amp;")'!$F:$F"),INDIRECT("'Thanh Toán ("&amp;BA$3&amp;")'!$D:$D"),'Tổng Đơn'!$B67),0)</f>
        <v>0</v>
      </c>
      <c r="BB67" s="2">
        <f ca="1">IFERROR(SUMIFS(INDIRECT("'Thanh Toán ("&amp;BB$3&amp;")'!$F:$F"),INDIRECT("'Thanh Toán ("&amp;BB$3&amp;")'!$D:$D"),'Tổng Đơn'!$B67),0)</f>
        <v>0</v>
      </c>
      <c r="BC67" s="2">
        <f ca="1">IFERROR(SUMIFS(INDIRECT("'Thanh Toán ("&amp;BC$3&amp;")'!$F:$F"),INDIRECT("'Thanh Toán ("&amp;BC$3&amp;")'!$D:$D"),'Tổng Đơn'!$B67),0)</f>
        <v>0</v>
      </c>
    </row>
    <row r="68" spans="1:55" ht="18" customHeight="1" x14ac:dyDescent="0.25">
      <c r="A68" s="167">
        <v>58</v>
      </c>
      <c r="B68" s="176" t="s">
        <v>199</v>
      </c>
      <c r="C68" s="167" t="s">
        <v>157</v>
      </c>
      <c r="D68" s="169">
        <f>VLOOKUP($C68,Sheet1!$C$8:$D$98,2,0)</f>
        <v>26000</v>
      </c>
      <c r="E68" s="170">
        <v>0.5</v>
      </c>
      <c r="F68" s="171">
        <f t="shared" ca="1" si="13"/>
        <v>0</v>
      </c>
      <c r="G68" s="172">
        <f>IFERROR(VLOOKUP($B68,Gà!C:J,8,0),IFERROR(VLOOKUP($B68,TVP!C:J,7,0),IFERROR(VLOOKUP($B68,Kitkool!C:J,8,0),IFERROR(VLOOKUP($B68,'La Cusina'!C:J,8,0),VLOOKUP($B68,'Quốc Nhân'!C:J,8,0)))))</f>
        <v>21.491210096143149</v>
      </c>
      <c r="H68" s="173">
        <f t="shared" ca="1" si="10"/>
        <v>0</v>
      </c>
      <c r="I68" s="195">
        <f t="shared" si="11"/>
        <v>0.20979693017221046</v>
      </c>
      <c r="J68" s="173">
        <f t="shared" ca="1" si="12"/>
        <v>0</v>
      </c>
      <c r="K68" s="38"/>
      <c r="L68" s="2">
        <f ca="1">IFERROR(SUMIFS(INDIRECT("'Thanh Toán ("&amp;L$3&amp;")'!$F:$F"),INDIRECT("'Thanh Toán ("&amp;L$3&amp;")'!$D:$D"),'Tổng Đơn'!$B68),0)</f>
        <v>0</v>
      </c>
      <c r="M68" s="2">
        <f ca="1">IFERROR(SUMIFS(INDIRECT("'Thanh Toán ("&amp;M$3&amp;")'!$F:$F"),INDIRECT("'Thanh Toán ("&amp;M$3&amp;")'!$D:$D"),'Tổng Đơn'!$B68),0)</f>
        <v>0</v>
      </c>
      <c r="N68" s="2">
        <f ca="1">IFERROR(SUMIFS(INDIRECT("'Thanh Toán ("&amp;N$3&amp;")'!$F:$F"),INDIRECT("'Thanh Toán ("&amp;N$3&amp;")'!$D:$D"),'Tổng Đơn'!$B68),0)</f>
        <v>0</v>
      </c>
      <c r="O68" s="2">
        <f ca="1">IFERROR(SUMIFS(INDIRECT("'Thanh Toán ("&amp;O$3&amp;")'!$F:$F"),INDIRECT("'Thanh Toán ("&amp;O$3&amp;")'!$D:$D"),'Tổng Đơn'!$B68),0)</f>
        <v>0</v>
      </c>
      <c r="P68" s="2">
        <f ca="1">IFERROR(SUMIFS(INDIRECT("'Thanh Toán ("&amp;P$3&amp;")'!$F:$F"),INDIRECT("'Thanh Toán ("&amp;P$3&amp;")'!$D:$D"),'Tổng Đơn'!$B68),0)</f>
        <v>0</v>
      </c>
      <c r="Q68" s="2">
        <f ca="1">IFERROR(SUMIFS(INDIRECT("'Thanh Toán ("&amp;Q$3&amp;")'!$F:$F"),INDIRECT("'Thanh Toán ("&amp;Q$3&amp;")'!$D:$D"),'Tổng Đơn'!$B68),0)</f>
        <v>0</v>
      </c>
      <c r="R68" s="2">
        <f ca="1">IFERROR(SUMIFS(INDIRECT("'Thanh Toán ("&amp;R$3&amp;")'!$F:$F"),INDIRECT("'Thanh Toán ("&amp;R$3&amp;")'!$D:$D"),'Tổng Đơn'!$B68),0)</f>
        <v>0</v>
      </c>
      <c r="S68" s="2">
        <f ca="1">IFERROR(SUMIFS(INDIRECT("'Thanh Toán ("&amp;S$3&amp;")'!$F:$F"),INDIRECT("'Thanh Toán ("&amp;S$3&amp;")'!$D:$D"),'Tổng Đơn'!$B68),0)</f>
        <v>0</v>
      </c>
      <c r="T68" s="2">
        <f ca="1">IFERROR(SUMIFS(INDIRECT("'Thanh Toán ("&amp;T$3&amp;")'!$F:$F"),INDIRECT("'Thanh Toán ("&amp;T$3&amp;")'!$D:$D"),'Tổng Đơn'!$B68),0)</f>
        <v>0</v>
      </c>
      <c r="U68" s="2">
        <f ca="1">IFERROR(SUMIFS(INDIRECT("'Thanh Toán ("&amp;U$3&amp;")'!$F:$F"),INDIRECT("'Thanh Toán ("&amp;U$3&amp;")'!$D:$D"),'Tổng Đơn'!$B68),0)</f>
        <v>0</v>
      </c>
      <c r="V68" s="2">
        <f ca="1">IFERROR(SUMIFS(INDIRECT("'Thanh Toán ("&amp;V$3&amp;")'!$F:$F"),INDIRECT("'Thanh Toán ("&amp;V$3&amp;")'!$D:$D"),'Tổng Đơn'!$B68),0)</f>
        <v>0</v>
      </c>
      <c r="W68" s="2">
        <f ca="1">IFERROR(SUMIFS(INDIRECT("'Thanh Toán ("&amp;W$3&amp;")'!$F:$F"),INDIRECT("'Thanh Toán ("&amp;W$3&amp;")'!$D:$D"),'Tổng Đơn'!$B68),0)</f>
        <v>0</v>
      </c>
      <c r="X68" s="2">
        <f ca="1">IFERROR(SUMIFS(INDIRECT("'Thanh Toán ("&amp;X$3&amp;")'!$F:$F"),INDIRECT("'Thanh Toán ("&amp;X$3&amp;")'!$D:$D"),'Tổng Đơn'!$B68),0)</f>
        <v>0</v>
      </c>
      <c r="Y68" s="2">
        <f ca="1">IFERROR(SUMIFS(INDIRECT("'Thanh Toán ("&amp;Y$3&amp;")'!$F:$F"),INDIRECT("'Thanh Toán ("&amp;Y$3&amp;")'!$D:$D"),'Tổng Đơn'!$B68),0)</f>
        <v>0</v>
      </c>
      <c r="Z68" s="2">
        <f ca="1">IFERROR(SUMIFS(INDIRECT("'Thanh Toán ("&amp;Z$3&amp;")'!$F:$F"),INDIRECT("'Thanh Toán ("&amp;Z$3&amp;")'!$D:$D"),'Tổng Đơn'!$B68),0)</f>
        <v>0</v>
      </c>
      <c r="AA68" s="2">
        <f ca="1">IFERROR(SUMIFS(INDIRECT("'Thanh Toán ("&amp;AA$3&amp;")'!$F:$F"),INDIRECT("'Thanh Toán ("&amp;AA$3&amp;")'!$D:$D"),'Tổng Đơn'!$B68),0)</f>
        <v>0</v>
      </c>
      <c r="AB68" s="2">
        <f ca="1">IFERROR(SUMIFS(INDIRECT("'Thanh Toán ("&amp;AB$3&amp;")'!$F:$F"),INDIRECT("'Thanh Toán ("&amp;AB$3&amp;")'!$D:$D"),'Tổng Đơn'!$B68),0)</f>
        <v>0</v>
      </c>
      <c r="AC68" s="2">
        <f ca="1">IFERROR(SUMIFS(INDIRECT("'Thanh Toán ("&amp;AC$3&amp;")'!$F:$F"),INDIRECT("'Thanh Toán ("&amp;AC$3&amp;")'!$D:$D"),'Tổng Đơn'!$B68),0)</f>
        <v>0</v>
      </c>
      <c r="AD68" s="2">
        <f ca="1">IFERROR(SUMIFS(INDIRECT("'Thanh Toán ("&amp;AD$3&amp;")'!$F:$F"),INDIRECT("'Thanh Toán ("&amp;AD$3&amp;")'!$D:$D"),'Tổng Đơn'!$B68),0)</f>
        <v>0</v>
      </c>
      <c r="AE68" s="2">
        <f ca="1">IFERROR(SUMIFS(INDIRECT("'Thanh Toán ("&amp;AE$3&amp;")'!$F:$F"),INDIRECT("'Thanh Toán ("&amp;AE$3&amp;")'!$D:$D"),'Tổng Đơn'!$B68),0)</f>
        <v>0</v>
      </c>
      <c r="AF68" s="2">
        <f ca="1">IFERROR(SUMIFS(INDIRECT("'Thanh Toán ("&amp;AF$3&amp;")'!$F:$F"),INDIRECT("'Thanh Toán ("&amp;AF$3&amp;")'!$D:$D"),'Tổng Đơn'!$B68),0)</f>
        <v>0</v>
      </c>
      <c r="AG68" s="2">
        <f ca="1">IFERROR(SUMIFS(INDIRECT("'Thanh Toán ("&amp;AG$3&amp;")'!$F:$F"),INDIRECT("'Thanh Toán ("&amp;AG$3&amp;")'!$D:$D"),'Tổng Đơn'!$B68),0)</f>
        <v>0</v>
      </c>
      <c r="AH68" s="2">
        <f ca="1">IFERROR(SUMIFS(INDIRECT("'Thanh Toán ("&amp;AH$3&amp;")'!$F:$F"),INDIRECT("'Thanh Toán ("&amp;AH$3&amp;")'!$D:$D"),'Tổng Đơn'!$B68),0)</f>
        <v>0</v>
      </c>
      <c r="AI68" s="2">
        <f ca="1">IFERROR(SUMIFS(INDIRECT("'Thanh Toán ("&amp;AI$3&amp;")'!$F:$F"),INDIRECT("'Thanh Toán ("&amp;AI$3&amp;")'!$D:$D"),'Tổng Đơn'!$B68),0)</f>
        <v>0</v>
      </c>
      <c r="AJ68" s="2">
        <f ca="1">IFERROR(SUMIFS(INDIRECT("'Thanh Toán ("&amp;AJ$3&amp;")'!$F:$F"),INDIRECT("'Thanh Toán ("&amp;AJ$3&amp;")'!$D:$D"),'Tổng Đơn'!$B68),0)</f>
        <v>0</v>
      </c>
      <c r="AK68" s="2">
        <f ca="1">IFERROR(SUMIFS(INDIRECT("'Thanh Toán ("&amp;AK$3&amp;")'!$F:$F"),INDIRECT("'Thanh Toán ("&amp;AK$3&amp;")'!$D:$D"),'Tổng Đơn'!$B68),0)</f>
        <v>0</v>
      </c>
      <c r="AL68" s="2">
        <f ca="1">IFERROR(SUMIFS(INDIRECT("'Thanh Toán ("&amp;AL$3&amp;")'!$F:$F"),INDIRECT("'Thanh Toán ("&amp;AL$3&amp;")'!$D:$D"),'Tổng Đơn'!$B68),0)</f>
        <v>0</v>
      </c>
      <c r="AM68" s="2">
        <f ca="1">IFERROR(SUMIFS(INDIRECT("'Thanh Toán ("&amp;AM$3&amp;")'!$F:$F"),INDIRECT("'Thanh Toán ("&amp;AM$3&amp;")'!$D:$D"),'Tổng Đơn'!$B68),0)</f>
        <v>0</v>
      </c>
      <c r="AN68" s="2">
        <f ca="1">IFERROR(SUMIFS(INDIRECT("'Thanh Toán ("&amp;AN$3&amp;")'!$F:$F"),INDIRECT("'Thanh Toán ("&amp;AN$3&amp;")'!$D:$D"),'Tổng Đơn'!$B68),0)</f>
        <v>0</v>
      </c>
      <c r="AO68" s="2">
        <f ca="1">IFERROR(SUMIFS(INDIRECT("'Thanh Toán ("&amp;AO$3&amp;")'!$F:$F"),INDIRECT("'Thanh Toán ("&amp;AO$3&amp;")'!$D:$D"),'Tổng Đơn'!$B68),0)</f>
        <v>0</v>
      </c>
      <c r="AP68" s="2">
        <f ca="1">IFERROR(SUMIFS(INDIRECT("'Thanh Toán ("&amp;AP$3&amp;")'!$F:$F"),INDIRECT("'Thanh Toán ("&amp;AP$3&amp;")'!$D:$D"),'Tổng Đơn'!$B68),0)</f>
        <v>0</v>
      </c>
      <c r="AQ68" s="2">
        <f ca="1">IFERROR(SUMIFS(INDIRECT("'Thanh Toán ("&amp;AQ$3&amp;")'!$F:$F"),INDIRECT("'Thanh Toán ("&amp;AQ$3&amp;")'!$D:$D"),'Tổng Đơn'!$B68),0)</f>
        <v>0</v>
      </c>
      <c r="AR68" s="2">
        <f ca="1">IFERROR(SUMIFS(INDIRECT("'Thanh Toán ("&amp;AR$3&amp;")'!$F:$F"),INDIRECT("'Thanh Toán ("&amp;AR$3&amp;")'!$D:$D"),'Tổng Đơn'!$B68),0)</f>
        <v>0</v>
      </c>
      <c r="AS68" s="2">
        <f ca="1">IFERROR(SUMIFS(INDIRECT("'Thanh Toán ("&amp;AS$3&amp;")'!$F:$F"),INDIRECT("'Thanh Toán ("&amp;AS$3&amp;")'!$D:$D"),'Tổng Đơn'!$B68),0)</f>
        <v>0</v>
      </c>
      <c r="AT68" s="2">
        <f ca="1">IFERROR(SUMIFS(INDIRECT("'Thanh Toán ("&amp;AT$3&amp;")'!$F:$F"),INDIRECT("'Thanh Toán ("&amp;AT$3&amp;")'!$D:$D"),'Tổng Đơn'!$B68),0)</f>
        <v>0</v>
      </c>
      <c r="AU68" s="2">
        <f ca="1">IFERROR(SUMIFS(INDIRECT("'Thanh Toán ("&amp;AU$3&amp;")'!$F:$F"),INDIRECT("'Thanh Toán ("&amp;AU$3&amp;")'!$D:$D"),'Tổng Đơn'!$B68),0)</f>
        <v>0</v>
      </c>
      <c r="AV68" s="2">
        <f ca="1">IFERROR(SUMIFS(INDIRECT("'Thanh Toán ("&amp;AV$3&amp;")'!$F:$F"),INDIRECT("'Thanh Toán ("&amp;AV$3&amp;")'!$D:$D"),'Tổng Đơn'!$B68),0)</f>
        <v>0</v>
      </c>
      <c r="AW68" s="2">
        <f ca="1">IFERROR(SUMIFS(INDIRECT("'Thanh Toán ("&amp;AW$3&amp;")'!$F:$F"),INDIRECT("'Thanh Toán ("&amp;AW$3&amp;")'!$D:$D"),'Tổng Đơn'!$B68),0)</f>
        <v>0</v>
      </c>
      <c r="AX68" s="2">
        <f ca="1">IFERROR(SUMIFS(INDIRECT("'Thanh Toán ("&amp;AX$3&amp;")'!$F:$F"),INDIRECT("'Thanh Toán ("&amp;AX$3&amp;")'!$D:$D"),'Tổng Đơn'!$B68),0)</f>
        <v>0</v>
      </c>
      <c r="AY68" s="2">
        <f ca="1">IFERROR(SUMIFS(INDIRECT("'Thanh Toán ("&amp;AY$3&amp;")'!$F:$F"),INDIRECT("'Thanh Toán ("&amp;AY$3&amp;")'!$D:$D"),'Tổng Đơn'!$B68),0)</f>
        <v>0</v>
      </c>
      <c r="AZ68" s="2">
        <f ca="1">IFERROR(SUMIFS(INDIRECT("'Thanh Toán ("&amp;AZ$3&amp;")'!$F:$F"),INDIRECT("'Thanh Toán ("&amp;AZ$3&amp;")'!$D:$D"),'Tổng Đơn'!$B68),0)</f>
        <v>0</v>
      </c>
      <c r="BA68" s="2">
        <f ca="1">IFERROR(SUMIFS(INDIRECT("'Thanh Toán ("&amp;BA$3&amp;")'!$F:$F"),INDIRECT("'Thanh Toán ("&amp;BA$3&amp;")'!$D:$D"),'Tổng Đơn'!$B68),0)</f>
        <v>0</v>
      </c>
      <c r="BB68" s="2">
        <f ca="1">IFERROR(SUMIFS(INDIRECT("'Thanh Toán ("&amp;BB$3&amp;")'!$F:$F"),INDIRECT("'Thanh Toán ("&amp;BB$3&amp;")'!$D:$D"),'Tổng Đơn'!$B68),0)</f>
        <v>0</v>
      </c>
      <c r="BC68" s="2">
        <f ca="1">IFERROR(SUMIFS(INDIRECT("'Thanh Toán ("&amp;BC$3&amp;")'!$F:$F"),INDIRECT("'Thanh Toán ("&amp;BC$3&amp;")'!$D:$D"),'Tổng Đơn'!$B68),0)</f>
        <v>0</v>
      </c>
    </row>
    <row r="69" spans="1:55" ht="18" customHeight="1" x14ac:dyDescent="0.25">
      <c r="A69" s="174">
        <v>59</v>
      </c>
      <c r="B69" s="176" t="s">
        <v>200</v>
      </c>
      <c r="C69" s="167" t="s">
        <v>158</v>
      </c>
      <c r="D69" s="169">
        <f>VLOOKUP($C69,Sheet1!$C$8:$D$98,2,0)</f>
        <v>28000</v>
      </c>
      <c r="E69" s="170">
        <v>0.5</v>
      </c>
      <c r="F69" s="171">
        <f t="shared" ca="1" si="13"/>
        <v>3</v>
      </c>
      <c r="G69" s="172">
        <f>IFERROR(VLOOKUP($B69,Gà!C:J,8,0),IFERROR(VLOOKUP($B69,TVP!C:J,7,0),IFERROR(VLOOKUP($B69,Kitkool!C:J,8,0),IFERROR(VLOOKUP($B69,'La Cusina'!C:J,8,0),VLOOKUP($B69,'Quốc Nhân'!C:J,8,0)))))</f>
        <v>21.491210096143149</v>
      </c>
      <c r="H69" s="173">
        <f t="shared" ca="1" si="10"/>
        <v>19526.369711570551</v>
      </c>
      <c r="I69" s="195">
        <f t="shared" si="11"/>
        <v>0.30285823249314969</v>
      </c>
      <c r="J69" s="173">
        <f t="shared" ca="1" si="12"/>
        <v>64473.630288429449</v>
      </c>
      <c r="K69" s="38"/>
      <c r="L69" s="2">
        <f ca="1">IFERROR(SUMIFS(INDIRECT("'Thanh Toán ("&amp;L$3&amp;")'!$F:$F"),INDIRECT("'Thanh Toán ("&amp;L$3&amp;")'!$D:$D"),'Tổng Đơn'!$B69),0)</f>
        <v>0</v>
      </c>
      <c r="M69" s="2">
        <f ca="1">IFERROR(SUMIFS(INDIRECT("'Thanh Toán ("&amp;M$3&amp;")'!$F:$F"),INDIRECT("'Thanh Toán ("&amp;M$3&amp;")'!$D:$D"),'Tổng Đơn'!$B69),0)</f>
        <v>0</v>
      </c>
      <c r="N69" s="2">
        <f ca="1">IFERROR(SUMIFS(INDIRECT("'Thanh Toán ("&amp;N$3&amp;")'!$F:$F"),INDIRECT("'Thanh Toán ("&amp;N$3&amp;")'!$D:$D"),'Tổng Đơn'!$B69),0)</f>
        <v>0</v>
      </c>
      <c r="O69" s="2">
        <f ca="1">IFERROR(SUMIFS(INDIRECT("'Thanh Toán ("&amp;O$3&amp;")'!$F:$F"),INDIRECT("'Thanh Toán ("&amp;O$3&amp;")'!$D:$D"),'Tổng Đơn'!$B69),0)</f>
        <v>0</v>
      </c>
      <c r="P69" s="2">
        <f ca="1">IFERROR(SUMIFS(INDIRECT("'Thanh Toán ("&amp;P$3&amp;")'!$F:$F"),INDIRECT("'Thanh Toán ("&amp;P$3&amp;")'!$D:$D"),'Tổng Đơn'!$B69),0)</f>
        <v>0</v>
      </c>
      <c r="Q69" s="2">
        <f ca="1">IFERROR(SUMIFS(INDIRECT("'Thanh Toán ("&amp;Q$3&amp;")'!$F:$F"),INDIRECT("'Thanh Toán ("&amp;Q$3&amp;")'!$D:$D"),'Tổng Đơn'!$B69),0)</f>
        <v>0</v>
      </c>
      <c r="R69" s="2">
        <f ca="1">IFERROR(SUMIFS(INDIRECT("'Thanh Toán ("&amp;R$3&amp;")'!$F:$F"),INDIRECT("'Thanh Toán ("&amp;R$3&amp;")'!$D:$D"),'Tổng Đơn'!$B69),0)</f>
        <v>0</v>
      </c>
      <c r="S69" s="2">
        <f ca="1">IFERROR(SUMIFS(INDIRECT("'Thanh Toán ("&amp;S$3&amp;")'!$F:$F"),INDIRECT("'Thanh Toán ("&amp;S$3&amp;")'!$D:$D"),'Tổng Đơn'!$B69),0)</f>
        <v>0</v>
      </c>
      <c r="T69" s="2">
        <f ca="1">IFERROR(SUMIFS(INDIRECT("'Thanh Toán ("&amp;T$3&amp;")'!$F:$F"),INDIRECT("'Thanh Toán ("&amp;T$3&amp;")'!$D:$D"),'Tổng Đơn'!$B69),0)</f>
        <v>0</v>
      </c>
      <c r="U69" s="2">
        <f ca="1">IFERROR(SUMIFS(INDIRECT("'Thanh Toán ("&amp;U$3&amp;")'!$F:$F"),INDIRECT("'Thanh Toán ("&amp;U$3&amp;")'!$D:$D"),'Tổng Đơn'!$B69),0)</f>
        <v>1</v>
      </c>
      <c r="V69" s="2">
        <f ca="1">IFERROR(SUMIFS(INDIRECT("'Thanh Toán ("&amp;V$3&amp;")'!$F:$F"),INDIRECT("'Thanh Toán ("&amp;V$3&amp;")'!$D:$D"),'Tổng Đơn'!$B69),0)</f>
        <v>0</v>
      </c>
      <c r="W69" s="2">
        <f ca="1">IFERROR(SUMIFS(INDIRECT("'Thanh Toán ("&amp;W$3&amp;")'!$F:$F"),INDIRECT("'Thanh Toán ("&amp;W$3&amp;")'!$D:$D"),'Tổng Đơn'!$B69),0)</f>
        <v>2</v>
      </c>
      <c r="X69" s="2">
        <f ca="1">IFERROR(SUMIFS(INDIRECT("'Thanh Toán ("&amp;X$3&amp;")'!$F:$F"),INDIRECT("'Thanh Toán ("&amp;X$3&amp;")'!$D:$D"),'Tổng Đơn'!$B69),0)</f>
        <v>0</v>
      </c>
      <c r="Y69" s="2">
        <f ca="1">IFERROR(SUMIFS(INDIRECT("'Thanh Toán ("&amp;Y$3&amp;")'!$F:$F"),INDIRECT("'Thanh Toán ("&amp;Y$3&amp;")'!$D:$D"),'Tổng Đơn'!$B69),0)</f>
        <v>0</v>
      </c>
      <c r="Z69" s="2">
        <f ca="1">IFERROR(SUMIFS(INDIRECT("'Thanh Toán ("&amp;Z$3&amp;")'!$F:$F"),INDIRECT("'Thanh Toán ("&amp;Z$3&amp;")'!$D:$D"),'Tổng Đơn'!$B69),0)</f>
        <v>0</v>
      </c>
      <c r="AA69" s="2">
        <f ca="1">IFERROR(SUMIFS(INDIRECT("'Thanh Toán ("&amp;AA$3&amp;")'!$F:$F"),INDIRECT("'Thanh Toán ("&amp;AA$3&amp;")'!$D:$D"),'Tổng Đơn'!$B69),0)</f>
        <v>0</v>
      </c>
      <c r="AB69" s="2">
        <f ca="1">IFERROR(SUMIFS(INDIRECT("'Thanh Toán ("&amp;AB$3&amp;")'!$F:$F"),INDIRECT("'Thanh Toán ("&amp;AB$3&amp;")'!$D:$D"),'Tổng Đơn'!$B69),0)</f>
        <v>0</v>
      </c>
      <c r="AC69" s="2">
        <f ca="1">IFERROR(SUMIFS(INDIRECT("'Thanh Toán ("&amp;AC$3&amp;")'!$F:$F"),INDIRECT("'Thanh Toán ("&amp;AC$3&amp;")'!$D:$D"),'Tổng Đơn'!$B69),0)</f>
        <v>0</v>
      </c>
      <c r="AD69" s="2">
        <f ca="1">IFERROR(SUMIFS(INDIRECT("'Thanh Toán ("&amp;AD$3&amp;")'!$F:$F"),INDIRECT("'Thanh Toán ("&amp;AD$3&amp;")'!$D:$D"),'Tổng Đơn'!$B69),0)</f>
        <v>0</v>
      </c>
      <c r="AE69" s="2">
        <f ca="1">IFERROR(SUMIFS(INDIRECT("'Thanh Toán ("&amp;AE$3&amp;")'!$F:$F"),INDIRECT("'Thanh Toán ("&amp;AE$3&amp;")'!$D:$D"),'Tổng Đơn'!$B69),0)</f>
        <v>0</v>
      </c>
      <c r="AF69" s="2">
        <f ca="1">IFERROR(SUMIFS(INDIRECT("'Thanh Toán ("&amp;AF$3&amp;")'!$F:$F"),INDIRECT("'Thanh Toán ("&amp;AF$3&amp;")'!$D:$D"),'Tổng Đơn'!$B69),0)</f>
        <v>0</v>
      </c>
      <c r="AG69" s="2">
        <f ca="1">IFERROR(SUMIFS(INDIRECT("'Thanh Toán ("&amp;AG$3&amp;")'!$F:$F"),INDIRECT("'Thanh Toán ("&amp;AG$3&amp;")'!$D:$D"),'Tổng Đơn'!$B69),0)</f>
        <v>0</v>
      </c>
      <c r="AH69" s="2">
        <f ca="1">IFERROR(SUMIFS(INDIRECT("'Thanh Toán ("&amp;AH$3&amp;")'!$F:$F"),INDIRECT("'Thanh Toán ("&amp;AH$3&amp;")'!$D:$D"),'Tổng Đơn'!$B69),0)</f>
        <v>0</v>
      </c>
      <c r="AI69" s="2">
        <f ca="1">IFERROR(SUMIFS(INDIRECT("'Thanh Toán ("&amp;AI$3&amp;")'!$F:$F"),INDIRECT("'Thanh Toán ("&amp;AI$3&amp;")'!$D:$D"),'Tổng Đơn'!$B69),0)</f>
        <v>0</v>
      </c>
      <c r="AJ69" s="2">
        <f ca="1">IFERROR(SUMIFS(INDIRECT("'Thanh Toán ("&amp;AJ$3&amp;")'!$F:$F"),INDIRECT("'Thanh Toán ("&amp;AJ$3&amp;")'!$D:$D"),'Tổng Đơn'!$B69),0)</f>
        <v>0</v>
      </c>
      <c r="AK69" s="2">
        <f ca="1">IFERROR(SUMIFS(INDIRECT("'Thanh Toán ("&amp;AK$3&amp;")'!$F:$F"),INDIRECT("'Thanh Toán ("&amp;AK$3&amp;")'!$D:$D"),'Tổng Đơn'!$B69),0)</f>
        <v>0</v>
      </c>
      <c r="AL69" s="2">
        <f ca="1">IFERROR(SUMIFS(INDIRECT("'Thanh Toán ("&amp;AL$3&amp;")'!$F:$F"),INDIRECT("'Thanh Toán ("&amp;AL$3&amp;")'!$D:$D"),'Tổng Đơn'!$B69),0)</f>
        <v>0</v>
      </c>
      <c r="AM69" s="2">
        <f ca="1">IFERROR(SUMIFS(INDIRECT("'Thanh Toán ("&amp;AM$3&amp;")'!$F:$F"),INDIRECT("'Thanh Toán ("&amp;AM$3&amp;")'!$D:$D"),'Tổng Đơn'!$B69),0)</f>
        <v>0</v>
      </c>
      <c r="AN69" s="2">
        <f ca="1">IFERROR(SUMIFS(INDIRECT("'Thanh Toán ("&amp;AN$3&amp;")'!$F:$F"),INDIRECT("'Thanh Toán ("&amp;AN$3&amp;")'!$D:$D"),'Tổng Đơn'!$B69),0)</f>
        <v>0</v>
      </c>
      <c r="AO69" s="2">
        <f ca="1">IFERROR(SUMIFS(INDIRECT("'Thanh Toán ("&amp;AO$3&amp;")'!$F:$F"),INDIRECT("'Thanh Toán ("&amp;AO$3&amp;")'!$D:$D"),'Tổng Đơn'!$B69),0)</f>
        <v>0</v>
      </c>
      <c r="AP69" s="2">
        <f ca="1">IFERROR(SUMIFS(INDIRECT("'Thanh Toán ("&amp;AP$3&amp;")'!$F:$F"),INDIRECT("'Thanh Toán ("&amp;AP$3&amp;")'!$D:$D"),'Tổng Đơn'!$B69),0)</f>
        <v>0</v>
      </c>
      <c r="AQ69" s="2">
        <f ca="1">IFERROR(SUMIFS(INDIRECT("'Thanh Toán ("&amp;AQ$3&amp;")'!$F:$F"),INDIRECT("'Thanh Toán ("&amp;AQ$3&amp;")'!$D:$D"),'Tổng Đơn'!$B69),0)</f>
        <v>0</v>
      </c>
      <c r="AR69" s="2">
        <f ca="1">IFERROR(SUMIFS(INDIRECT("'Thanh Toán ("&amp;AR$3&amp;")'!$F:$F"),INDIRECT("'Thanh Toán ("&amp;AR$3&amp;")'!$D:$D"),'Tổng Đơn'!$B69),0)</f>
        <v>0</v>
      </c>
      <c r="AS69" s="2">
        <f ca="1">IFERROR(SUMIFS(INDIRECT("'Thanh Toán ("&amp;AS$3&amp;")'!$F:$F"),INDIRECT("'Thanh Toán ("&amp;AS$3&amp;")'!$D:$D"),'Tổng Đơn'!$B69),0)</f>
        <v>0</v>
      </c>
      <c r="AT69" s="2">
        <f ca="1">IFERROR(SUMIFS(INDIRECT("'Thanh Toán ("&amp;AT$3&amp;")'!$F:$F"),INDIRECT("'Thanh Toán ("&amp;AT$3&amp;")'!$D:$D"),'Tổng Đơn'!$B69),0)</f>
        <v>0</v>
      </c>
      <c r="AU69" s="2">
        <f ca="1">IFERROR(SUMIFS(INDIRECT("'Thanh Toán ("&amp;AU$3&amp;")'!$F:$F"),INDIRECT("'Thanh Toán ("&amp;AU$3&amp;")'!$D:$D"),'Tổng Đơn'!$B69),0)</f>
        <v>0</v>
      </c>
      <c r="AV69" s="2">
        <f ca="1">IFERROR(SUMIFS(INDIRECT("'Thanh Toán ("&amp;AV$3&amp;")'!$F:$F"),INDIRECT("'Thanh Toán ("&amp;AV$3&amp;")'!$D:$D"),'Tổng Đơn'!$B69),0)</f>
        <v>0</v>
      </c>
      <c r="AW69" s="2">
        <f ca="1">IFERROR(SUMIFS(INDIRECT("'Thanh Toán ("&amp;AW$3&amp;")'!$F:$F"),INDIRECT("'Thanh Toán ("&amp;AW$3&amp;")'!$D:$D"),'Tổng Đơn'!$B69),0)</f>
        <v>0</v>
      </c>
      <c r="AX69" s="2">
        <f ca="1">IFERROR(SUMIFS(INDIRECT("'Thanh Toán ("&amp;AX$3&amp;")'!$F:$F"),INDIRECT("'Thanh Toán ("&amp;AX$3&amp;")'!$D:$D"),'Tổng Đơn'!$B69),0)</f>
        <v>0</v>
      </c>
      <c r="AY69" s="2">
        <f ca="1">IFERROR(SUMIFS(INDIRECT("'Thanh Toán ("&amp;AY$3&amp;")'!$F:$F"),INDIRECT("'Thanh Toán ("&amp;AY$3&amp;")'!$D:$D"),'Tổng Đơn'!$B69),0)</f>
        <v>0</v>
      </c>
      <c r="AZ69" s="2">
        <f ca="1">IFERROR(SUMIFS(INDIRECT("'Thanh Toán ("&amp;AZ$3&amp;")'!$F:$F"),INDIRECT("'Thanh Toán ("&amp;AZ$3&amp;")'!$D:$D"),'Tổng Đơn'!$B69),0)</f>
        <v>0</v>
      </c>
      <c r="BA69" s="2">
        <f ca="1">IFERROR(SUMIFS(INDIRECT("'Thanh Toán ("&amp;BA$3&amp;")'!$F:$F"),INDIRECT("'Thanh Toán ("&amp;BA$3&amp;")'!$D:$D"),'Tổng Đơn'!$B69),0)</f>
        <v>0</v>
      </c>
      <c r="BB69" s="2">
        <f ca="1">IFERROR(SUMIFS(INDIRECT("'Thanh Toán ("&amp;BB$3&amp;")'!$F:$F"),INDIRECT("'Thanh Toán ("&amp;BB$3&amp;")'!$D:$D"),'Tổng Đơn'!$B69),0)</f>
        <v>0</v>
      </c>
      <c r="BC69" s="2">
        <f ca="1">IFERROR(SUMIFS(INDIRECT("'Thanh Toán ("&amp;BC$3&amp;")'!$F:$F"),INDIRECT("'Thanh Toán ("&amp;BC$3&amp;")'!$D:$D"),'Tổng Đơn'!$B69),0)</f>
        <v>0</v>
      </c>
    </row>
    <row r="70" spans="1:55" ht="18" customHeight="1" x14ac:dyDescent="0.25">
      <c r="A70" s="167">
        <v>60</v>
      </c>
      <c r="B70" s="176" t="s">
        <v>201</v>
      </c>
      <c r="C70" s="167" t="s">
        <v>163</v>
      </c>
      <c r="D70" s="169">
        <f>VLOOKUP($C70,Sheet1!$C$8:$D$98,2,0)</f>
        <v>28000</v>
      </c>
      <c r="E70" s="170">
        <v>0.5</v>
      </c>
      <c r="F70" s="171">
        <f t="shared" ca="1" si="13"/>
        <v>0</v>
      </c>
      <c r="G70" s="172">
        <f>IFERROR(VLOOKUP($B70,Gà!C:J,8,0),IFERROR(VLOOKUP($B70,TVP!C:J,7,0),IFERROR(VLOOKUP($B70,Kitkool!C:J,8,0),IFERROR(VLOOKUP($B70,'La Cusina'!C:J,8,0),VLOOKUP($B70,'Quốc Nhân'!C:J,8,0)))))</f>
        <v>20.467819139183952</v>
      </c>
      <c r="H70" s="173">
        <f t="shared" ca="1" si="10"/>
        <v>0</v>
      </c>
      <c r="I70" s="195">
        <f t="shared" si="11"/>
        <v>0.36800114411780727</v>
      </c>
      <c r="J70" s="173">
        <f t="shared" ca="1" si="12"/>
        <v>0</v>
      </c>
      <c r="K70" s="38"/>
      <c r="L70" s="2">
        <f ca="1">IFERROR(SUMIFS(INDIRECT("'Thanh Toán ("&amp;L$3&amp;")'!$F:$F"),INDIRECT("'Thanh Toán ("&amp;L$3&amp;")'!$D:$D"),'Tổng Đơn'!$B70),0)</f>
        <v>0</v>
      </c>
      <c r="M70" s="2">
        <f ca="1">IFERROR(SUMIFS(INDIRECT("'Thanh Toán ("&amp;M$3&amp;")'!$F:$F"),INDIRECT("'Thanh Toán ("&amp;M$3&amp;")'!$D:$D"),'Tổng Đơn'!$B70),0)</f>
        <v>0</v>
      </c>
      <c r="N70" s="2">
        <f ca="1">IFERROR(SUMIFS(INDIRECT("'Thanh Toán ("&amp;N$3&amp;")'!$F:$F"),INDIRECT("'Thanh Toán ("&amp;N$3&amp;")'!$D:$D"),'Tổng Đơn'!$B70),0)</f>
        <v>0</v>
      </c>
      <c r="O70" s="2">
        <f ca="1">IFERROR(SUMIFS(INDIRECT("'Thanh Toán ("&amp;O$3&amp;")'!$F:$F"),INDIRECT("'Thanh Toán ("&amp;O$3&amp;")'!$D:$D"),'Tổng Đơn'!$B70),0)</f>
        <v>0</v>
      </c>
      <c r="P70" s="2">
        <f ca="1">IFERROR(SUMIFS(INDIRECT("'Thanh Toán ("&amp;P$3&amp;")'!$F:$F"),INDIRECT("'Thanh Toán ("&amp;P$3&amp;")'!$D:$D"),'Tổng Đơn'!$B70),0)</f>
        <v>0</v>
      </c>
      <c r="Q70" s="2">
        <f ca="1">IFERROR(SUMIFS(INDIRECT("'Thanh Toán ("&amp;Q$3&amp;")'!$F:$F"),INDIRECT("'Thanh Toán ("&amp;Q$3&amp;")'!$D:$D"),'Tổng Đơn'!$B70),0)</f>
        <v>0</v>
      </c>
      <c r="R70" s="2">
        <f ca="1">IFERROR(SUMIFS(INDIRECT("'Thanh Toán ("&amp;R$3&amp;")'!$F:$F"),INDIRECT("'Thanh Toán ("&amp;R$3&amp;")'!$D:$D"),'Tổng Đơn'!$B70),0)</f>
        <v>0</v>
      </c>
      <c r="S70" s="2">
        <f ca="1">IFERROR(SUMIFS(INDIRECT("'Thanh Toán ("&amp;S$3&amp;")'!$F:$F"),INDIRECT("'Thanh Toán ("&amp;S$3&amp;")'!$D:$D"),'Tổng Đơn'!$B70),0)</f>
        <v>0</v>
      </c>
      <c r="T70" s="2">
        <f ca="1">IFERROR(SUMIFS(INDIRECT("'Thanh Toán ("&amp;T$3&amp;")'!$F:$F"),INDIRECT("'Thanh Toán ("&amp;T$3&amp;")'!$D:$D"),'Tổng Đơn'!$B70),0)</f>
        <v>0</v>
      </c>
      <c r="U70" s="2">
        <f ca="1">IFERROR(SUMIFS(INDIRECT("'Thanh Toán ("&amp;U$3&amp;")'!$F:$F"),INDIRECT("'Thanh Toán ("&amp;U$3&amp;")'!$D:$D"),'Tổng Đơn'!$B70),0)</f>
        <v>0</v>
      </c>
      <c r="V70" s="2">
        <f ca="1">IFERROR(SUMIFS(INDIRECT("'Thanh Toán ("&amp;V$3&amp;")'!$F:$F"),INDIRECT("'Thanh Toán ("&amp;V$3&amp;")'!$D:$D"),'Tổng Đơn'!$B70),0)</f>
        <v>0</v>
      </c>
      <c r="W70" s="2">
        <f ca="1">IFERROR(SUMIFS(INDIRECT("'Thanh Toán ("&amp;W$3&amp;")'!$F:$F"),INDIRECT("'Thanh Toán ("&amp;W$3&amp;")'!$D:$D"),'Tổng Đơn'!$B70),0)</f>
        <v>0</v>
      </c>
      <c r="X70" s="2">
        <f ca="1">IFERROR(SUMIFS(INDIRECT("'Thanh Toán ("&amp;X$3&amp;")'!$F:$F"),INDIRECT("'Thanh Toán ("&amp;X$3&amp;")'!$D:$D"),'Tổng Đơn'!$B70),0)</f>
        <v>0</v>
      </c>
      <c r="Y70" s="2">
        <f ca="1">IFERROR(SUMIFS(INDIRECT("'Thanh Toán ("&amp;Y$3&amp;")'!$F:$F"),INDIRECT("'Thanh Toán ("&amp;Y$3&amp;")'!$D:$D"),'Tổng Đơn'!$B70),0)</f>
        <v>0</v>
      </c>
      <c r="Z70" s="2">
        <f ca="1">IFERROR(SUMIFS(INDIRECT("'Thanh Toán ("&amp;Z$3&amp;")'!$F:$F"),INDIRECT("'Thanh Toán ("&amp;Z$3&amp;")'!$D:$D"),'Tổng Đơn'!$B70),0)</f>
        <v>0</v>
      </c>
      <c r="AA70" s="2">
        <f ca="1">IFERROR(SUMIFS(INDIRECT("'Thanh Toán ("&amp;AA$3&amp;")'!$F:$F"),INDIRECT("'Thanh Toán ("&amp;AA$3&amp;")'!$D:$D"),'Tổng Đơn'!$B70),0)</f>
        <v>0</v>
      </c>
      <c r="AB70" s="2">
        <f ca="1">IFERROR(SUMIFS(INDIRECT("'Thanh Toán ("&amp;AB$3&amp;")'!$F:$F"),INDIRECT("'Thanh Toán ("&amp;AB$3&amp;")'!$D:$D"),'Tổng Đơn'!$B70),0)</f>
        <v>0</v>
      </c>
      <c r="AC70" s="2">
        <f ca="1">IFERROR(SUMIFS(INDIRECT("'Thanh Toán ("&amp;AC$3&amp;")'!$F:$F"),INDIRECT("'Thanh Toán ("&amp;AC$3&amp;")'!$D:$D"),'Tổng Đơn'!$B70),0)</f>
        <v>0</v>
      </c>
      <c r="AD70" s="2">
        <f ca="1">IFERROR(SUMIFS(INDIRECT("'Thanh Toán ("&amp;AD$3&amp;")'!$F:$F"),INDIRECT("'Thanh Toán ("&amp;AD$3&amp;")'!$D:$D"),'Tổng Đơn'!$B70),0)</f>
        <v>0</v>
      </c>
      <c r="AE70" s="2">
        <f ca="1">IFERROR(SUMIFS(INDIRECT("'Thanh Toán ("&amp;AE$3&amp;")'!$F:$F"),INDIRECT("'Thanh Toán ("&amp;AE$3&amp;")'!$D:$D"),'Tổng Đơn'!$B70),0)</f>
        <v>0</v>
      </c>
      <c r="AF70" s="2">
        <f ca="1">IFERROR(SUMIFS(INDIRECT("'Thanh Toán ("&amp;AF$3&amp;")'!$F:$F"),INDIRECT("'Thanh Toán ("&amp;AF$3&amp;")'!$D:$D"),'Tổng Đơn'!$B70),0)</f>
        <v>0</v>
      </c>
      <c r="AG70" s="2">
        <f ca="1">IFERROR(SUMIFS(INDIRECT("'Thanh Toán ("&amp;AG$3&amp;")'!$F:$F"),INDIRECT("'Thanh Toán ("&amp;AG$3&amp;")'!$D:$D"),'Tổng Đơn'!$B70),0)</f>
        <v>0</v>
      </c>
      <c r="AH70" s="2">
        <f ca="1">IFERROR(SUMIFS(INDIRECT("'Thanh Toán ("&amp;AH$3&amp;")'!$F:$F"),INDIRECT("'Thanh Toán ("&amp;AH$3&amp;")'!$D:$D"),'Tổng Đơn'!$B70),0)</f>
        <v>0</v>
      </c>
      <c r="AI70" s="2">
        <f ca="1">IFERROR(SUMIFS(INDIRECT("'Thanh Toán ("&amp;AI$3&amp;")'!$F:$F"),INDIRECT("'Thanh Toán ("&amp;AI$3&amp;")'!$D:$D"),'Tổng Đơn'!$B70),0)</f>
        <v>0</v>
      </c>
      <c r="AJ70" s="2">
        <f ca="1">IFERROR(SUMIFS(INDIRECT("'Thanh Toán ("&amp;AJ$3&amp;")'!$F:$F"),INDIRECT("'Thanh Toán ("&amp;AJ$3&amp;")'!$D:$D"),'Tổng Đơn'!$B70),0)</f>
        <v>0</v>
      </c>
      <c r="AK70" s="2">
        <f ca="1">IFERROR(SUMIFS(INDIRECT("'Thanh Toán ("&amp;AK$3&amp;")'!$F:$F"),INDIRECT("'Thanh Toán ("&amp;AK$3&amp;")'!$D:$D"),'Tổng Đơn'!$B70),0)</f>
        <v>0</v>
      </c>
      <c r="AL70" s="2">
        <f ca="1">IFERROR(SUMIFS(INDIRECT("'Thanh Toán ("&amp;AL$3&amp;")'!$F:$F"),INDIRECT("'Thanh Toán ("&amp;AL$3&amp;")'!$D:$D"),'Tổng Đơn'!$B70),0)</f>
        <v>0</v>
      </c>
      <c r="AM70" s="2">
        <f ca="1">IFERROR(SUMIFS(INDIRECT("'Thanh Toán ("&amp;AM$3&amp;")'!$F:$F"),INDIRECT("'Thanh Toán ("&amp;AM$3&amp;")'!$D:$D"),'Tổng Đơn'!$B70),0)</f>
        <v>0</v>
      </c>
      <c r="AN70" s="2">
        <f ca="1">IFERROR(SUMIFS(INDIRECT("'Thanh Toán ("&amp;AN$3&amp;")'!$F:$F"),INDIRECT("'Thanh Toán ("&amp;AN$3&amp;")'!$D:$D"),'Tổng Đơn'!$B70),0)</f>
        <v>0</v>
      </c>
      <c r="AO70" s="2">
        <f ca="1">IFERROR(SUMIFS(INDIRECT("'Thanh Toán ("&amp;AO$3&amp;")'!$F:$F"),INDIRECT("'Thanh Toán ("&amp;AO$3&amp;")'!$D:$D"),'Tổng Đơn'!$B70),0)</f>
        <v>0</v>
      </c>
      <c r="AP70" s="2">
        <f ca="1">IFERROR(SUMIFS(INDIRECT("'Thanh Toán ("&amp;AP$3&amp;")'!$F:$F"),INDIRECT("'Thanh Toán ("&amp;AP$3&amp;")'!$D:$D"),'Tổng Đơn'!$B70),0)</f>
        <v>0</v>
      </c>
      <c r="AQ70" s="2">
        <f ca="1">IFERROR(SUMIFS(INDIRECT("'Thanh Toán ("&amp;AQ$3&amp;")'!$F:$F"),INDIRECT("'Thanh Toán ("&amp;AQ$3&amp;")'!$D:$D"),'Tổng Đơn'!$B70),0)</f>
        <v>0</v>
      </c>
      <c r="AR70" s="2">
        <f ca="1">IFERROR(SUMIFS(INDIRECT("'Thanh Toán ("&amp;AR$3&amp;")'!$F:$F"),INDIRECT("'Thanh Toán ("&amp;AR$3&amp;")'!$D:$D"),'Tổng Đơn'!$B70),0)</f>
        <v>0</v>
      </c>
      <c r="AS70" s="2">
        <f ca="1">IFERROR(SUMIFS(INDIRECT("'Thanh Toán ("&amp;AS$3&amp;")'!$F:$F"),INDIRECT("'Thanh Toán ("&amp;AS$3&amp;")'!$D:$D"),'Tổng Đơn'!$B70),0)</f>
        <v>0</v>
      </c>
      <c r="AT70" s="2">
        <f ca="1">IFERROR(SUMIFS(INDIRECT("'Thanh Toán ("&amp;AT$3&amp;")'!$F:$F"),INDIRECT("'Thanh Toán ("&amp;AT$3&amp;")'!$D:$D"),'Tổng Đơn'!$B70),0)</f>
        <v>0</v>
      </c>
      <c r="AU70" s="2">
        <f ca="1">IFERROR(SUMIFS(INDIRECT("'Thanh Toán ("&amp;AU$3&amp;")'!$F:$F"),INDIRECT("'Thanh Toán ("&amp;AU$3&amp;")'!$D:$D"),'Tổng Đơn'!$B70),0)</f>
        <v>0</v>
      </c>
      <c r="AV70" s="2">
        <f ca="1">IFERROR(SUMIFS(INDIRECT("'Thanh Toán ("&amp;AV$3&amp;")'!$F:$F"),INDIRECT("'Thanh Toán ("&amp;AV$3&amp;")'!$D:$D"),'Tổng Đơn'!$B70),0)</f>
        <v>0</v>
      </c>
      <c r="AW70" s="2">
        <f ca="1">IFERROR(SUMIFS(INDIRECT("'Thanh Toán ("&amp;AW$3&amp;")'!$F:$F"),INDIRECT("'Thanh Toán ("&amp;AW$3&amp;")'!$D:$D"),'Tổng Đơn'!$B70),0)</f>
        <v>0</v>
      </c>
      <c r="AX70" s="2">
        <f ca="1">IFERROR(SUMIFS(INDIRECT("'Thanh Toán ("&amp;AX$3&amp;")'!$F:$F"),INDIRECT("'Thanh Toán ("&amp;AX$3&amp;")'!$D:$D"),'Tổng Đơn'!$B70),0)</f>
        <v>0</v>
      </c>
      <c r="AY70" s="2">
        <f ca="1">IFERROR(SUMIFS(INDIRECT("'Thanh Toán ("&amp;AY$3&amp;")'!$F:$F"),INDIRECT("'Thanh Toán ("&amp;AY$3&amp;")'!$D:$D"),'Tổng Đơn'!$B70),0)</f>
        <v>0</v>
      </c>
      <c r="AZ70" s="2">
        <f ca="1">IFERROR(SUMIFS(INDIRECT("'Thanh Toán ("&amp;AZ$3&amp;")'!$F:$F"),INDIRECT("'Thanh Toán ("&amp;AZ$3&amp;")'!$D:$D"),'Tổng Đơn'!$B70),0)</f>
        <v>0</v>
      </c>
      <c r="BA70" s="2">
        <f ca="1">IFERROR(SUMIFS(INDIRECT("'Thanh Toán ("&amp;BA$3&amp;")'!$F:$F"),INDIRECT("'Thanh Toán ("&amp;BA$3&amp;")'!$D:$D"),'Tổng Đơn'!$B70),0)</f>
        <v>0</v>
      </c>
      <c r="BB70" s="2">
        <f ca="1">IFERROR(SUMIFS(INDIRECT("'Thanh Toán ("&amp;BB$3&amp;")'!$F:$F"),INDIRECT("'Thanh Toán ("&amp;BB$3&amp;")'!$D:$D"),'Tổng Đơn'!$B70),0)</f>
        <v>0</v>
      </c>
      <c r="BC70" s="2">
        <f ca="1">IFERROR(SUMIFS(INDIRECT("'Thanh Toán ("&amp;BC$3&amp;")'!$F:$F"),INDIRECT("'Thanh Toán ("&amp;BC$3&amp;")'!$D:$D"),'Tổng Đơn'!$B70),0)</f>
        <v>0</v>
      </c>
    </row>
    <row r="71" spans="1:55" ht="18" customHeight="1" x14ac:dyDescent="0.25">
      <c r="A71" s="167">
        <v>61</v>
      </c>
      <c r="B71" s="176" t="s">
        <v>202</v>
      </c>
      <c r="C71" s="167" t="s">
        <v>176</v>
      </c>
      <c r="D71" s="169">
        <f>VLOOKUP($C71,Sheet1!$C$8:$D$98,2,0)</f>
        <v>26000</v>
      </c>
      <c r="E71" s="170">
        <v>0.5</v>
      </c>
      <c r="F71" s="171">
        <f t="shared" ref="F71:F76" ca="1" si="14">SUM(L71:BR71)</f>
        <v>5</v>
      </c>
      <c r="G71" s="172">
        <f>IFERROR(VLOOKUP($B71,Gà!C:J,8,0),IFERROR(VLOOKUP($B71,TVP!C:J,7,0),IFERROR(VLOOKUP($B71,Kitkool!C:J,8,0),IFERROR(VLOOKUP($B71,'La Cusina'!C:J,8,0),VLOOKUP($B71,'Quốc Nhân'!C:J,8,0)))))</f>
        <v>20.932996846892674</v>
      </c>
      <c r="H71" s="173">
        <f t="shared" ca="1" si="10"/>
        <v>25335.015765536627</v>
      </c>
      <c r="I71" s="195">
        <f t="shared" si="11"/>
        <v>0.24205818164346971</v>
      </c>
      <c r="J71" s="173">
        <f t="shared" ca="1" si="12"/>
        <v>104664.98423446338</v>
      </c>
      <c r="K71" s="38"/>
      <c r="L71" s="2">
        <f ca="1">IFERROR(SUMIFS(INDIRECT("'Thanh Toán ("&amp;L$3&amp;")'!$F:$F"),INDIRECT("'Thanh Toán ("&amp;L$3&amp;")'!$D:$D"),'Tổng Đơn'!$B71),0)</f>
        <v>1</v>
      </c>
      <c r="M71" s="2">
        <f ca="1">IFERROR(SUMIFS(INDIRECT("'Thanh Toán ("&amp;M$3&amp;")'!$F:$F"),INDIRECT("'Thanh Toán ("&amp;M$3&amp;")'!$D:$D"),'Tổng Đơn'!$B71),0)</f>
        <v>1</v>
      </c>
      <c r="N71" s="2">
        <f ca="1">IFERROR(SUMIFS(INDIRECT("'Thanh Toán ("&amp;N$3&amp;")'!$F:$F"),INDIRECT("'Thanh Toán ("&amp;N$3&amp;")'!$D:$D"),'Tổng Đơn'!$B71),0)</f>
        <v>0</v>
      </c>
      <c r="O71" s="2">
        <f ca="1">IFERROR(SUMIFS(INDIRECT("'Thanh Toán ("&amp;O$3&amp;")'!$F:$F"),INDIRECT("'Thanh Toán ("&amp;O$3&amp;")'!$D:$D"),'Tổng Đơn'!$B71),0)</f>
        <v>1</v>
      </c>
      <c r="P71" s="2">
        <f ca="1">IFERROR(SUMIFS(INDIRECT("'Thanh Toán ("&amp;P$3&amp;")'!$F:$F"),INDIRECT("'Thanh Toán ("&amp;P$3&amp;")'!$D:$D"),'Tổng Đơn'!$B71),0)</f>
        <v>0</v>
      </c>
      <c r="Q71" s="2">
        <f ca="1">IFERROR(SUMIFS(INDIRECT("'Thanh Toán ("&amp;Q$3&amp;")'!$F:$F"),INDIRECT("'Thanh Toán ("&amp;Q$3&amp;")'!$D:$D"),'Tổng Đơn'!$B71),0)</f>
        <v>0</v>
      </c>
      <c r="R71" s="2">
        <f ca="1">IFERROR(SUMIFS(INDIRECT("'Thanh Toán ("&amp;R$3&amp;")'!$F:$F"),INDIRECT("'Thanh Toán ("&amp;R$3&amp;")'!$D:$D"),'Tổng Đơn'!$B71),0)</f>
        <v>0</v>
      </c>
      <c r="S71" s="2">
        <f ca="1">IFERROR(SUMIFS(INDIRECT("'Thanh Toán ("&amp;S$3&amp;")'!$F:$F"),INDIRECT("'Thanh Toán ("&amp;S$3&amp;")'!$D:$D"),'Tổng Đơn'!$B71),0)</f>
        <v>0</v>
      </c>
      <c r="T71" s="2">
        <f ca="1">IFERROR(SUMIFS(INDIRECT("'Thanh Toán ("&amp;T$3&amp;")'!$F:$F"),INDIRECT("'Thanh Toán ("&amp;T$3&amp;")'!$D:$D"),'Tổng Đơn'!$B71),0)</f>
        <v>2</v>
      </c>
      <c r="U71" s="2">
        <f ca="1">IFERROR(SUMIFS(INDIRECT("'Thanh Toán ("&amp;U$3&amp;")'!$F:$F"),INDIRECT("'Thanh Toán ("&amp;U$3&amp;")'!$D:$D"),'Tổng Đơn'!$B71),0)</f>
        <v>0</v>
      </c>
      <c r="V71" s="2">
        <f ca="1">IFERROR(SUMIFS(INDIRECT("'Thanh Toán ("&amp;V$3&amp;")'!$F:$F"),INDIRECT("'Thanh Toán ("&amp;V$3&amp;")'!$D:$D"),'Tổng Đơn'!$B71),0)</f>
        <v>0</v>
      </c>
      <c r="W71" s="2">
        <f ca="1">IFERROR(SUMIFS(INDIRECT("'Thanh Toán ("&amp;W$3&amp;")'!$F:$F"),INDIRECT("'Thanh Toán ("&amp;W$3&amp;")'!$D:$D"),'Tổng Đơn'!$B71),0)</f>
        <v>0</v>
      </c>
      <c r="X71" s="2">
        <f ca="1">IFERROR(SUMIFS(INDIRECT("'Thanh Toán ("&amp;X$3&amp;")'!$F:$F"),INDIRECT("'Thanh Toán ("&amp;X$3&amp;")'!$D:$D"),'Tổng Đơn'!$B71),0)</f>
        <v>0</v>
      </c>
      <c r="Y71" s="2">
        <f ca="1">IFERROR(SUMIFS(INDIRECT("'Thanh Toán ("&amp;Y$3&amp;")'!$F:$F"),INDIRECT("'Thanh Toán ("&amp;Y$3&amp;")'!$D:$D"),'Tổng Đơn'!$B71),0)</f>
        <v>0</v>
      </c>
      <c r="Z71" s="2">
        <f ca="1">IFERROR(SUMIFS(INDIRECT("'Thanh Toán ("&amp;Z$3&amp;")'!$F:$F"),INDIRECT("'Thanh Toán ("&amp;Z$3&amp;")'!$D:$D"),'Tổng Đơn'!$B71),0)</f>
        <v>0</v>
      </c>
      <c r="AA71" s="2">
        <f ca="1">IFERROR(SUMIFS(INDIRECT("'Thanh Toán ("&amp;AA$3&amp;")'!$F:$F"),INDIRECT("'Thanh Toán ("&amp;AA$3&amp;")'!$D:$D"),'Tổng Đơn'!$B71),0)</f>
        <v>0</v>
      </c>
      <c r="AB71" s="2">
        <f ca="1">IFERROR(SUMIFS(INDIRECT("'Thanh Toán ("&amp;AB$3&amp;")'!$F:$F"),INDIRECT("'Thanh Toán ("&amp;AB$3&amp;")'!$D:$D"),'Tổng Đơn'!$B71),0)</f>
        <v>0</v>
      </c>
      <c r="AC71" s="2">
        <f ca="1">IFERROR(SUMIFS(INDIRECT("'Thanh Toán ("&amp;AC$3&amp;")'!$F:$F"),INDIRECT("'Thanh Toán ("&amp;AC$3&amp;")'!$D:$D"),'Tổng Đơn'!$B71),0)</f>
        <v>0</v>
      </c>
      <c r="AD71" s="2">
        <f ca="1">IFERROR(SUMIFS(INDIRECT("'Thanh Toán ("&amp;AD$3&amp;")'!$F:$F"),INDIRECT("'Thanh Toán ("&amp;AD$3&amp;")'!$D:$D"),'Tổng Đơn'!$B71),0)</f>
        <v>0</v>
      </c>
      <c r="AE71" s="2">
        <f ca="1">IFERROR(SUMIFS(INDIRECT("'Thanh Toán ("&amp;AE$3&amp;")'!$F:$F"),INDIRECT("'Thanh Toán ("&amp;AE$3&amp;")'!$D:$D"),'Tổng Đơn'!$B71),0)</f>
        <v>0</v>
      </c>
      <c r="AF71" s="2">
        <f ca="1">IFERROR(SUMIFS(INDIRECT("'Thanh Toán ("&amp;AF$3&amp;")'!$F:$F"),INDIRECT("'Thanh Toán ("&amp;AF$3&amp;")'!$D:$D"),'Tổng Đơn'!$B71),0)</f>
        <v>0</v>
      </c>
      <c r="AG71" s="2">
        <f ca="1">IFERROR(SUMIFS(INDIRECT("'Thanh Toán ("&amp;AG$3&amp;")'!$F:$F"),INDIRECT("'Thanh Toán ("&amp;AG$3&amp;")'!$D:$D"),'Tổng Đơn'!$B71),0)</f>
        <v>0</v>
      </c>
      <c r="AH71" s="2">
        <f ca="1">IFERROR(SUMIFS(INDIRECT("'Thanh Toán ("&amp;AH$3&amp;")'!$F:$F"),INDIRECT("'Thanh Toán ("&amp;AH$3&amp;")'!$D:$D"),'Tổng Đơn'!$B71),0)</f>
        <v>0</v>
      </c>
      <c r="AI71" s="2">
        <f ca="1">IFERROR(SUMIFS(INDIRECT("'Thanh Toán ("&amp;AI$3&amp;")'!$F:$F"),INDIRECT("'Thanh Toán ("&amp;AI$3&amp;")'!$D:$D"),'Tổng Đơn'!$B71),0)</f>
        <v>0</v>
      </c>
      <c r="AJ71" s="2">
        <f ca="1">IFERROR(SUMIFS(INDIRECT("'Thanh Toán ("&amp;AJ$3&amp;")'!$F:$F"),INDIRECT("'Thanh Toán ("&amp;AJ$3&amp;")'!$D:$D"),'Tổng Đơn'!$B71),0)</f>
        <v>0</v>
      </c>
      <c r="AK71" s="2">
        <f ca="1">IFERROR(SUMIFS(INDIRECT("'Thanh Toán ("&amp;AK$3&amp;")'!$F:$F"),INDIRECT("'Thanh Toán ("&amp;AK$3&amp;")'!$D:$D"),'Tổng Đơn'!$B71),0)</f>
        <v>0</v>
      </c>
      <c r="AL71" s="2">
        <f ca="1">IFERROR(SUMIFS(INDIRECT("'Thanh Toán ("&amp;AL$3&amp;")'!$F:$F"),INDIRECT("'Thanh Toán ("&amp;AL$3&amp;")'!$D:$D"),'Tổng Đơn'!$B71),0)</f>
        <v>0</v>
      </c>
      <c r="AM71" s="2">
        <f ca="1">IFERROR(SUMIFS(INDIRECT("'Thanh Toán ("&amp;AM$3&amp;")'!$F:$F"),INDIRECT("'Thanh Toán ("&amp;AM$3&amp;")'!$D:$D"),'Tổng Đơn'!$B71),0)</f>
        <v>0</v>
      </c>
      <c r="AN71" s="2">
        <f ca="1">IFERROR(SUMIFS(INDIRECT("'Thanh Toán ("&amp;AN$3&amp;")'!$F:$F"),INDIRECT("'Thanh Toán ("&amp;AN$3&amp;")'!$D:$D"),'Tổng Đơn'!$B71),0)</f>
        <v>0</v>
      </c>
      <c r="AO71" s="2">
        <f ca="1">IFERROR(SUMIFS(INDIRECT("'Thanh Toán ("&amp;AO$3&amp;")'!$F:$F"),INDIRECT("'Thanh Toán ("&amp;AO$3&amp;")'!$D:$D"),'Tổng Đơn'!$B71),0)</f>
        <v>0</v>
      </c>
      <c r="AP71" s="2">
        <f ca="1">IFERROR(SUMIFS(INDIRECT("'Thanh Toán ("&amp;AP$3&amp;")'!$F:$F"),INDIRECT("'Thanh Toán ("&amp;AP$3&amp;")'!$D:$D"),'Tổng Đơn'!$B71),0)</f>
        <v>0</v>
      </c>
      <c r="AQ71" s="2">
        <f ca="1">IFERROR(SUMIFS(INDIRECT("'Thanh Toán ("&amp;AQ$3&amp;")'!$F:$F"),INDIRECT("'Thanh Toán ("&amp;AQ$3&amp;")'!$D:$D"),'Tổng Đơn'!$B71),0)</f>
        <v>0</v>
      </c>
      <c r="AR71" s="2">
        <f ca="1">IFERROR(SUMIFS(INDIRECT("'Thanh Toán ("&amp;AR$3&amp;")'!$F:$F"),INDIRECT("'Thanh Toán ("&amp;AR$3&amp;")'!$D:$D"),'Tổng Đơn'!$B71),0)</f>
        <v>0</v>
      </c>
      <c r="AS71" s="2">
        <f ca="1">IFERROR(SUMIFS(INDIRECT("'Thanh Toán ("&amp;AS$3&amp;")'!$F:$F"),INDIRECT("'Thanh Toán ("&amp;AS$3&amp;")'!$D:$D"),'Tổng Đơn'!$B71),0)</f>
        <v>0</v>
      </c>
      <c r="AT71" s="2">
        <f ca="1">IFERROR(SUMIFS(INDIRECT("'Thanh Toán ("&amp;AT$3&amp;")'!$F:$F"),INDIRECT("'Thanh Toán ("&amp;AT$3&amp;")'!$D:$D"),'Tổng Đơn'!$B71),0)</f>
        <v>0</v>
      </c>
      <c r="AU71" s="2">
        <f ca="1">IFERROR(SUMIFS(INDIRECT("'Thanh Toán ("&amp;AU$3&amp;")'!$F:$F"),INDIRECT("'Thanh Toán ("&amp;AU$3&amp;")'!$D:$D"),'Tổng Đơn'!$B71),0)</f>
        <v>0</v>
      </c>
      <c r="AV71" s="2">
        <f ca="1">IFERROR(SUMIFS(INDIRECT("'Thanh Toán ("&amp;AV$3&amp;")'!$F:$F"),INDIRECT("'Thanh Toán ("&amp;AV$3&amp;")'!$D:$D"),'Tổng Đơn'!$B71),0)</f>
        <v>0</v>
      </c>
      <c r="AW71" s="2">
        <f ca="1">IFERROR(SUMIFS(INDIRECT("'Thanh Toán ("&amp;AW$3&amp;")'!$F:$F"),INDIRECT("'Thanh Toán ("&amp;AW$3&amp;")'!$D:$D"),'Tổng Đơn'!$B71),0)</f>
        <v>0</v>
      </c>
      <c r="AX71" s="2">
        <f ca="1">IFERROR(SUMIFS(INDIRECT("'Thanh Toán ("&amp;AX$3&amp;")'!$F:$F"),INDIRECT("'Thanh Toán ("&amp;AX$3&amp;")'!$D:$D"),'Tổng Đơn'!$B71),0)</f>
        <v>0</v>
      </c>
      <c r="AY71" s="2">
        <f ca="1">IFERROR(SUMIFS(INDIRECT("'Thanh Toán ("&amp;AY$3&amp;")'!$F:$F"),INDIRECT("'Thanh Toán ("&amp;AY$3&amp;")'!$D:$D"),'Tổng Đơn'!$B71),0)</f>
        <v>0</v>
      </c>
      <c r="AZ71" s="2">
        <f ca="1">IFERROR(SUMIFS(INDIRECT("'Thanh Toán ("&amp;AZ$3&amp;")'!$F:$F"),INDIRECT("'Thanh Toán ("&amp;AZ$3&amp;")'!$D:$D"),'Tổng Đơn'!$B71),0)</f>
        <v>0</v>
      </c>
      <c r="BA71" s="2">
        <f ca="1">IFERROR(SUMIFS(INDIRECT("'Thanh Toán ("&amp;BA$3&amp;")'!$F:$F"),INDIRECT("'Thanh Toán ("&amp;BA$3&amp;")'!$D:$D"),'Tổng Đơn'!$B71),0)</f>
        <v>0</v>
      </c>
      <c r="BB71" s="2">
        <f ca="1">IFERROR(SUMIFS(INDIRECT("'Thanh Toán ("&amp;BB$3&amp;")'!$F:$F"),INDIRECT("'Thanh Toán ("&amp;BB$3&amp;")'!$D:$D"),'Tổng Đơn'!$B71),0)</f>
        <v>0</v>
      </c>
      <c r="BC71" s="2">
        <f ca="1">IFERROR(SUMIFS(INDIRECT("'Thanh Toán ("&amp;BC$3&amp;")'!$F:$F"),INDIRECT("'Thanh Toán ("&amp;BC$3&amp;")'!$D:$D"),'Tổng Đơn'!$B71),0)</f>
        <v>0</v>
      </c>
    </row>
    <row r="72" spans="1:55" ht="18" customHeight="1" x14ac:dyDescent="0.25">
      <c r="A72" s="174">
        <v>62</v>
      </c>
      <c r="B72" s="176" t="s">
        <v>203</v>
      </c>
      <c r="C72" s="167" t="s">
        <v>179</v>
      </c>
      <c r="D72" s="169">
        <f>VLOOKUP($C72,Sheet1!$C$8:$D$98,2,0)</f>
        <v>35000</v>
      </c>
      <c r="E72" s="170">
        <v>0.5</v>
      </c>
      <c r="F72" s="171">
        <f t="shared" ca="1" si="14"/>
        <v>4</v>
      </c>
      <c r="G72" s="172">
        <f>IFERROR(VLOOKUP($B72,Gà!C:J,8,0),IFERROR(VLOOKUP($B72,TVP!C:J,7,0),IFERROR(VLOOKUP($B72,Kitkool!C:J,8,0),IFERROR(VLOOKUP($B72,'La Cusina'!C:J,8,0),VLOOKUP($B72,'Quốc Nhân'!C:J,8,0)))))</f>
        <v>29.771373293358472</v>
      </c>
      <c r="H72" s="173">
        <f t="shared" ca="1" si="10"/>
        <v>20914.50682656611</v>
      </c>
      <c r="I72" s="195">
        <f t="shared" si="11"/>
        <v>0.17562598322624079</v>
      </c>
      <c r="J72" s="173">
        <f t="shared" ca="1" si="12"/>
        <v>119085.49317343389</v>
      </c>
      <c r="K72" s="38"/>
      <c r="L72" s="2">
        <f ca="1">IFERROR(SUMIFS(INDIRECT("'Thanh Toán ("&amp;L$3&amp;")'!$F:$F"),INDIRECT("'Thanh Toán ("&amp;L$3&amp;")'!$D:$D"),'Tổng Đơn'!$B72),0)</f>
        <v>1</v>
      </c>
      <c r="M72" s="2">
        <f ca="1">IFERROR(SUMIFS(INDIRECT("'Thanh Toán ("&amp;M$3&amp;")'!$F:$F"),INDIRECT("'Thanh Toán ("&amp;M$3&amp;")'!$D:$D"),'Tổng Đơn'!$B72),0)</f>
        <v>0</v>
      </c>
      <c r="N72" s="2">
        <f ca="1">IFERROR(SUMIFS(INDIRECT("'Thanh Toán ("&amp;N$3&amp;")'!$F:$F"),INDIRECT("'Thanh Toán ("&amp;N$3&amp;")'!$D:$D"),'Tổng Đơn'!$B72),0)</f>
        <v>0</v>
      </c>
      <c r="O72" s="2">
        <f ca="1">IFERROR(SUMIFS(INDIRECT("'Thanh Toán ("&amp;O$3&amp;")'!$F:$F"),INDIRECT("'Thanh Toán ("&amp;O$3&amp;")'!$D:$D"),'Tổng Đơn'!$B72),0)</f>
        <v>0</v>
      </c>
      <c r="P72" s="2">
        <f ca="1">IFERROR(SUMIFS(INDIRECT("'Thanh Toán ("&amp;P$3&amp;")'!$F:$F"),INDIRECT("'Thanh Toán ("&amp;P$3&amp;")'!$D:$D"),'Tổng Đơn'!$B72),0)</f>
        <v>0</v>
      </c>
      <c r="Q72" s="2">
        <f ca="1">IFERROR(SUMIFS(INDIRECT("'Thanh Toán ("&amp;Q$3&amp;")'!$F:$F"),INDIRECT("'Thanh Toán ("&amp;Q$3&amp;")'!$D:$D"),'Tổng Đơn'!$B72),0)</f>
        <v>0</v>
      </c>
      <c r="R72" s="2">
        <f ca="1">IFERROR(SUMIFS(INDIRECT("'Thanh Toán ("&amp;R$3&amp;")'!$F:$F"),INDIRECT("'Thanh Toán ("&amp;R$3&amp;")'!$D:$D"),'Tổng Đơn'!$B72),0)</f>
        <v>0</v>
      </c>
      <c r="S72" s="2">
        <f ca="1">IFERROR(SUMIFS(INDIRECT("'Thanh Toán ("&amp;S$3&amp;")'!$F:$F"),INDIRECT("'Thanh Toán ("&amp;S$3&amp;")'!$D:$D"),'Tổng Đơn'!$B72),0)</f>
        <v>1</v>
      </c>
      <c r="T72" s="2">
        <f ca="1">IFERROR(SUMIFS(INDIRECT("'Thanh Toán ("&amp;T$3&amp;")'!$F:$F"),INDIRECT("'Thanh Toán ("&amp;T$3&amp;")'!$D:$D"),'Tổng Đơn'!$B72),0)</f>
        <v>2</v>
      </c>
      <c r="U72" s="2">
        <f ca="1">IFERROR(SUMIFS(INDIRECT("'Thanh Toán ("&amp;U$3&amp;")'!$F:$F"),INDIRECT("'Thanh Toán ("&amp;U$3&amp;")'!$D:$D"),'Tổng Đơn'!$B72),0)</f>
        <v>0</v>
      </c>
      <c r="V72" s="2">
        <f ca="1">IFERROR(SUMIFS(INDIRECT("'Thanh Toán ("&amp;V$3&amp;")'!$F:$F"),INDIRECT("'Thanh Toán ("&amp;V$3&amp;")'!$D:$D"),'Tổng Đơn'!$B72),0)</f>
        <v>0</v>
      </c>
      <c r="W72" s="2">
        <f ca="1">IFERROR(SUMIFS(INDIRECT("'Thanh Toán ("&amp;W$3&amp;")'!$F:$F"),INDIRECT("'Thanh Toán ("&amp;W$3&amp;")'!$D:$D"),'Tổng Đơn'!$B72),0)</f>
        <v>0</v>
      </c>
      <c r="X72" s="2">
        <f ca="1">IFERROR(SUMIFS(INDIRECT("'Thanh Toán ("&amp;X$3&amp;")'!$F:$F"),INDIRECT("'Thanh Toán ("&amp;X$3&amp;")'!$D:$D"),'Tổng Đơn'!$B72),0)</f>
        <v>0</v>
      </c>
      <c r="Y72" s="2">
        <f ca="1">IFERROR(SUMIFS(INDIRECT("'Thanh Toán ("&amp;Y$3&amp;")'!$F:$F"),INDIRECT("'Thanh Toán ("&amp;Y$3&amp;")'!$D:$D"),'Tổng Đơn'!$B72),0)</f>
        <v>0</v>
      </c>
      <c r="Z72" s="2">
        <f ca="1">IFERROR(SUMIFS(INDIRECT("'Thanh Toán ("&amp;Z$3&amp;")'!$F:$F"),INDIRECT("'Thanh Toán ("&amp;Z$3&amp;")'!$D:$D"),'Tổng Đơn'!$B72),0)</f>
        <v>0</v>
      </c>
      <c r="AA72" s="2">
        <f ca="1">IFERROR(SUMIFS(INDIRECT("'Thanh Toán ("&amp;AA$3&amp;")'!$F:$F"),INDIRECT("'Thanh Toán ("&amp;AA$3&amp;")'!$D:$D"),'Tổng Đơn'!$B72),0)</f>
        <v>0</v>
      </c>
      <c r="AB72" s="2">
        <f ca="1">IFERROR(SUMIFS(INDIRECT("'Thanh Toán ("&amp;AB$3&amp;")'!$F:$F"),INDIRECT("'Thanh Toán ("&amp;AB$3&amp;")'!$D:$D"),'Tổng Đơn'!$B72),0)</f>
        <v>0</v>
      </c>
      <c r="AC72" s="2">
        <f ca="1">IFERROR(SUMIFS(INDIRECT("'Thanh Toán ("&amp;AC$3&amp;")'!$F:$F"),INDIRECT("'Thanh Toán ("&amp;AC$3&amp;")'!$D:$D"),'Tổng Đơn'!$B72),0)</f>
        <v>0</v>
      </c>
      <c r="AD72" s="2">
        <f ca="1">IFERROR(SUMIFS(INDIRECT("'Thanh Toán ("&amp;AD$3&amp;")'!$F:$F"),INDIRECT("'Thanh Toán ("&amp;AD$3&amp;")'!$D:$D"),'Tổng Đơn'!$B72),0)</f>
        <v>0</v>
      </c>
      <c r="AE72" s="2">
        <f ca="1">IFERROR(SUMIFS(INDIRECT("'Thanh Toán ("&amp;AE$3&amp;")'!$F:$F"),INDIRECT("'Thanh Toán ("&amp;AE$3&amp;")'!$D:$D"),'Tổng Đơn'!$B72),0)</f>
        <v>0</v>
      </c>
      <c r="AF72" s="2">
        <f ca="1">IFERROR(SUMIFS(INDIRECT("'Thanh Toán ("&amp;AF$3&amp;")'!$F:$F"),INDIRECT("'Thanh Toán ("&amp;AF$3&amp;")'!$D:$D"),'Tổng Đơn'!$B72),0)</f>
        <v>0</v>
      </c>
      <c r="AG72" s="2">
        <f ca="1">IFERROR(SUMIFS(INDIRECT("'Thanh Toán ("&amp;AG$3&amp;")'!$F:$F"),INDIRECT("'Thanh Toán ("&amp;AG$3&amp;")'!$D:$D"),'Tổng Đơn'!$B72),0)</f>
        <v>0</v>
      </c>
      <c r="AH72" s="2">
        <f ca="1">IFERROR(SUMIFS(INDIRECT("'Thanh Toán ("&amp;AH$3&amp;")'!$F:$F"),INDIRECT("'Thanh Toán ("&amp;AH$3&amp;")'!$D:$D"),'Tổng Đơn'!$B72),0)</f>
        <v>0</v>
      </c>
      <c r="AI72" s="2">
        <f ca="1">IFERROR(SUMIFS(INDIRECT("'Thanh Toán ("&amp;AI$3&amp;")'!$F:$F"),INDIRECT("'Thanh Toán ("&amp;AI$3&amp;")'!$D:$D"),'Tổng Đơn'!$B72),0)</f>
        <v>0</v>
      </c>
      <c r="AJ72" s="2">
        <f ca="1">IFERROR(SUMIFS(INDIRECT("'Thanh Toán ("&amp;AJ$3&amp;")'!$F:$F"),INDIRECT("'Thanh Toán ("&amp;AJ$3&amp;")'!$D:$D"),'Tổng Đơn'!$B72),0)</f>
        <v>0</v>
      </c>
      <c r="AK72" s="2">
        <f ca="1">IFERROR(SUMIFS(INDIRECT("'Thanh Toán ("&amp;AK$3&amp;")'!$F:$F"),INDIRECT("'Thanh Toán ("&amp;AK$3&amp;")'!$D:$D"),'Tổng Đơn'!$B72),0)</f>
        <v>0</v>
      </c>
      <c r="AL72" s="2">
        <f ca="1">IFERROR(SUMIFS(INDIRECT("'Thanh Toán ("&amp;AL$3&amp;")'!$F:$F"),INDIRECT("'Thanh Toán ("&amp;AL$3&amp;")'!$D:$D"),'Tổng Đơn'!$B72),0)</f>
        <v>0</v>
      </c>
      <c r="AM72" s="2">
        <f ca="1">IFERROR(SUMIFS(INDIRECT("'Thanh Toán ("&amp;AM$3&amp;")'!$F:$F"),INDIRECT("'Thanh Toán ("&amp;AM$3&amp;")'!$D:$D"),'Tổng Đơn'!$B72),0)</f>
        <v>0</v>
      </c>
      <c r="AN72" s="2">
        <f ca="1">IFERROR(SUMIFS(INDIRECT("'Thanh Toán ("&amp;AN$3&amp;")'!$F:$F"),INDIRECT("'Thanh Toán ("&amp;AN$3&amp;")'!$D:$D"),'Tổng Đơn'!$B72),0)</f>
        <v>0</v>
      </c>
      <c r="AO72" s="2">
        <f ca="1">IFERROR(SUMIFS(INDIRECT("'Thanh Toán ("&amp;AO$3&amp;")'!$F:$F"),INDIRECT("'Thanh Toán ("&amp;AO$3&amp;")'!$D:$D"),'Tổng Đơn'!$B72),0)</f>
        <v>0</v>
      </c>
      <c r="AP72" s="2">
        <f ca="1">IFERROR(SUMIFS(INDIRECT("'Thanh Toán ("&amp;AP$3&amp;")'!$F:$F"),INDIRECT("'Thanh Toán ("&amp;AP$3&amp;")'!$D:$D"),'Tổng Đơn'!$B72),0)</f>
        <v>0</v>
      </c>
      <c r="AQ72" s="2">
        <f ca="1">IFERROR(SUMIFS(INDIRECT("'Thanh Toán ("&amp;AQ$3&amp;")'!$F:$F"),INDIRECT("'Thanh Toán ("&amp;AQ$3&amp;")'!$D:$D"),'Tổng Đơn'!$B72),0)</f>
        <v>0</v>
      </c>
      <c r="AR72" s="2">
        <f ca="1">IFERROR(SUMIFS(INDIRECT("'Thanh Toán ("&amp;AR$3&amp;")'!$F:$F"),INDIRECT("'Thanh Toán ("&amp;AR$3&amp;")'!$D:$D"),'Tổng Đơn'!$B72),0)</f>
        <v>0</v>
      </c>
      <c r="AS72" s="2">
        <f ca="1">IFERROR(SUMIFS(INDIRECT("'Thanh Toán ("&amp;AS$3&amp;")'!$F:$F"),INDIRECT("'Thanh Toán ("&amp;AS$3&amp;")'!$D:$D"),'Tổng Đơn'!$B72),0)</f>
        <v>0</v>
      </c>
      <c r="AT72" s="2">
        <f ca="1">IFERROR(SUMIFS(INDIRECT("'Thanh Toán ("&amp;AT$3&amp;")'!$F:$F"),INDIRECT("'Thanh Toán ("&amp;AT$3&amp;")'!$D:$D"),'Tổng Đơn'!$B72),0)</f>
        <v>0</v>
      </c>
      <c r="AU72" s="2">
        <f ca="1">IFERROR(SUMIFS(INDIRECT("'Thanh Toán ("&amp;AU$3&amp;")'!$F:$F"),INDIRECT("'Thanh Toán ("&amp;AU$3&amp;")'!$D:$D"),'Tổng Đơn'!$B72),0)</f>
        <v>0</v>
      </c>
      <c r="AV72" s="2">
        <f ca="1">IFERROR(SUMIFS(INDIRECT("'Thanh Toán ("&amp;AV$3&amp;")'!$F:$F"),INDIRECT("'Thanh Toán ("&amp;AV$3&amp;")'!$D:$D"),'Tổng Đơn'!$B72),0)</f>
        <v>0</v>
      </c>
      <c r="AW72" s="2">
        <f ca="1">IFERROR(SUMIFS(INDIRECT("'Thanh Toán ("&amp;AW$3&amp;")'!$F:$F"),INDIRECT("'Thanh Toán ("&amp;AW$3&amp;")'!$D:$D"),'Tổng Đơn'!$B72),0)</f>
        <v>0</v>
      </c>
      <c r="AX72" s="2">
        <f ca="1">IFERROR(SUMIFS(INDIRECT("'Thanh Toán ("&amp;AX$3&amp;")'!$F:$F"),INDIRECT("'Thanh Toán ("&amp;AX$3&amp;")'!$D:$D"),'Tổng Đơn'!$B72),0)</f>
        <v>0</v>
      </c>
      <c r="AY72" s="2">
        <f ca="1">IFERROR(SUMIFS(INDIRECT("'Thanh Toán ("&amp;AY$3&amp;")'!$F:$F"),INDIRECT("'Thanh Toán ("&amp;AY$3&amp;")'!$D:$D"),'Tổng Đơn'!$B72),0)</f>
        <v>0</v>
      </c>
      <c r="AZ72" s="2">
        <f ca="1">IFERROR(SUMIFS(INDIRECT("'Thanh Toán ("&amp;AZ$3&amp;")'!$F:$F"),INDIRECT("'Thanh Toán ("&amp;AZ$3&amp;")'!$D:$D"),'Tổng Đơn'!$B72),0)</f>
        <v>0</v>
      </c>
      <c r="BA72" s="2">
        <f ca="1">IFERROR(SUMIFS(INDIRECT("'Thanh Toán ("&amp;BA$3&amp;")'!$F:$F"),INDIRECT("'Thanh Toán ("&amp;BA$3&amp;")'!$D:$D"),'Tổng Đơn'!$B72),0)</f>
        <v>0</v>
      </c>
      <c r="BB72" s="2">
        <f ca="1">IFERROR(SUMIFS(INDIRECT("'Thanh Toán ("&amp;BB$3&amp;")'!$F:$F"),INDIRECT("'Thanh Toán ("&amp;BB$3&amp;")'!$D:$D"),'Tổng Đơn'!$B72),0)</f>
        <v>0</v>
      </c>
      <c r="BC72" s="2">
        <f ca="1">IFERROR(SUMIFS(INDIRECT("'Thanh Toán ("&amp;BC$3&amp;")'!$F:$F"),INDIRECT("'Thanh Toán ("&amp;BC$3&amp;")'!$D:$D"),'Tổng Đơn'!$B72),0)</f>
        <v>0</v>
      </c>
    </row>
    <row r="73" spans="1:55" ht="18" customHeight="1" x14ac:dyDescent="0.25">
      <c r="A73" s="167">
        <v>63</v>
      </c>
      <c r="B73" s="176" t="s">
        <v>204</v>
      </c>
      <c r="C73" s="167" t="s">
        <v>182</v>
      </c>
      <c r="D73" s="169">
        <f>VLOOKUP($C73,Sheet1!$C$8:$D$98,2,0)</f>
        <v>42000</v>
      </c>
      <c r="E73" s="170">
        <v>0.5</v>
      </c>
      <c r="F73" s="171">
        <f t="shared" ca="1" si="14"/>
        <v>3</v>
      </c>
      <c r="G73" s="172">
        <f>IFERROR(VLOOKUP($B73,Gà!C:J,8,0),IFERROR(VLOOKUP($B73,TVP!C:J,7,0),IFERROR(VLOOKUP($B73,Kitkool!C:J,8,0),IFERROR(VLOOKUP($B73,'La Cusina'!C:J,8,0),VLOOKUP($B73,'Quốc Nhân'!C:J,8,0)))))</f>
        <v>34.888328078154466</v>
      </c>
      <c r="H73" s="173">
        <f t="shared" ref="H73:H76" ca="1" si="15">(D73-G73*1000)*$F73</f>
        <v>21335.015765536598</v>
      </c>
      <c r="I73" s="195">
        <f t="shared" ref="I73:I76" si="16">D73/(G73*1000)-1</f>
        <v>0.20384100682367023</v>
      </c>
      <c r="J73" s="173">
        <f t="shared" ref="J73:J75" ca="1" si="17">F73*G73*1000</f>
        <v>104664.98423446339</v>
      </c>
      <c r="K73" s="38"/>
      <c r="L73" s="2">
        <f ca="1">IFERROR(SUMIFS(INDIRECT("'Thanh Toán ("&amp;L$3&amp;")'!$F:$F"),INDIRECT("'Thanh Toán ("&amp;L$3&amp;")'!$D:$D"),'Tổng Đơn'!$B73),0)</f>
        <v>0</v>
      </c>
      <c r="M73" s="2">
        <f ca="1">IFERROR(SUMIFS(INDIRECT("'Thanh Toán ("&amp;M$3&amp;")'!$F:$F"),INDIRECT("'Thanh Toán ("&amp;M$3&amp;")'!$D:$D"),'Tổng Đơn'!$B73),0)</f>
        <v>0</v>
      </c>
      <c r="N73" s="2">
        <f ca="1">IFERROR(SUMIFS(INDIRECT("'Thanh Toán ("&amp;N$3&amp;")'!$F:$F"),INDIRECT("'Thanh Toán ("&amp;N$3&amp;")'!$D:$D"),'Tổng Đơn'!$B73),0)</f>
        <v>2</v>
      </c>
      <c r="O73" s="2">
        <f ca="1">IFERROR(SUMIFS(INDIRECT("'Thanh Toán ("&amp;O$3&amp;")'!$F:$F"),INDIRECT("'Thanh Toán ("&amp;O$3&amp;")'!$D:$D"),'Tổng Đơn'!$B73),0)</f>
        <v>0</v>
      </c>
      <c r="P73" s="2">
        <f ca="1">IFERROR(SUMIFS(INDIRECT("'Thanh Toán ("&amp;P$3&amp;")'!$F:$F"),INDIRECT("'Thanh Toán ("&amp;P$3&amp;")'!$D:$D"),'Tổng Đơn'!$B73),0)</f>
        <v>0</v>
      </c>
      <c r="Q73" s="2">
        <f ca="1">IFERROR(SUMIFS(INDIRECT("'Thanh Toán ("&amp;Q$3&amp;")'!$F:$F"),INDIRECT("'Thanh Toán ("&amp;Q$3&amp;")'!$D:$D"),'Tổng Đơn'!$B73),0)</f>
        <v>0</v>
      </c>
      <c r="R73" s="2">
        <f ca="1">IFERROR(SUMIFS(INDIRECT("'Thanh Toán ("&amp;R$3&amp;")'!$F:$F"),INDIRECT("'Thanh Toán ("&amp;R$3&amp;")'!$D:$D"),'Tổng Đơn'!$B73),0)</f>
        <v>0</v>
      </c>
      <c r="S73" s="2">
        <f ca="1">IFERROR(SUMIFS(INDIRECT("'Thanh Toán ("&amp;S$3&amp;")'!$F:$F"),INDIRECT("'Thanh Toán ("&amp;S$3&amp;")'!$D:$D"),'Tổng Đơn'!$B73),0)</f>
        <v>0</v>
      </c>
      <c r="T73" s="2">
        <f ca="1">IFERROR(SUMIFS(INDIRECT("'Thanh Toán ("&amp;T$3&amp;")'!$F:$F"),INDIRECT("'Thanh Toán ("&amp;T$3&amp;")'!$D:$D"),'Tổng Đơn'!$B73),0)</f>
        <v>1</v>
      </c>
      <c r="U73" s="2">
        <f ca="1">IFERROR(SUMIFS(INDIRECT("'Thanh Toán ("&amp;U$3&amp;")'!$F:$F"),INDIRECT("'Thanh Toán ("&amp;U$3&amp;")'!$D:$D"),'Tổng Đơn'!$B73),0)</f>
        <v>0</v>
      </c>
      <c r="V73" s="2">
        <f ca="1">IFERROR(SUMIFS(INDIRECT("'Thanh Toán ("&amp;V$3&amp;")'!$F:$F"),INDIRECT("'Thanh Toán ("&amp;V$3&amp;")'!$D:$D"),'Tổng Đơn'!$B73),0)</f>
        <v>0</v>
      </c>
      <c r="W73" s="2">
        <f ca="1">IFERROR(SUMIFS(INDIRECT("'Thanh Toán ("&amp;W$3&amp;")'!$F:$F"),INDIRECT("'Thanh Toán ("&amp;W$3&amp;")'!$D:$D"),'Tổng Đơn'!$B73),0)</f>
        <v>0</v>
      </c>
      <c r="X73" s="2">
        <f ca="1">IFERROR(SUMIFS(INDIRECT("'Thanh Toán ("&amp;X$3&amp;")'!$F:$F"),INDIRECT("'Thanh Toán ("&amp;X$3&amp;")'!$D:$D"),'Tổng Đơn'!$B73),0)</f>
        <v>0</v>
      </c>
      <c r="Y73" s="2">
        <f ca="1">IFERROR(SUMIFS(INDIRECT("'Thanh Toán ("&amp;Y$3&amp;")'!$F:$F"),INDIRECT("'Thanh Toán ("&amp;Y$3&amp;")'!$D:$D"),'Tổng Đơn'!$B73),0)</f>
        <v>0</v>
      </c>
      <c r="Z73" s="2">
        <f ca="1">IFERROR(SUMIFS(INDIRECT("'Thanh Toán ("&amp;Z$3&amp;")'!$F:$F"),INDIRECT("'Thanh Toán ("&amp;Z$3&amp;")'!$D:$D"),'Tổng Đơn'!$B73),0)</f>
        <v>0</v>
      </c>
      <c r="AA73" s="2">
        <f ca="1">IFERROR(SUMIFS(INDIRECT("'Thanh Toán ("&amp;AA$3&amp;")'!$F:$F"),INDIRECT("'Thanh Toán ("&amp;AA$3&amp;")'!$D:$D"),'Tổng Đơn'!$B73),0)</f>
        <v>0</v>
      </c>
      <c r="AB73" s="2">
        <f ca="1">IFERROR(SUMIFS(INDIRECT("'Thanh Toán ("&amp;AB$3&amp;")'!$F:$F"),INDIRECT("'Thanh Toán ("&amp;AB$3&amp;")'!$D:$D"),'Tổng Đơn'!$B73),0)</f>
        <v>0</v>
      </c>
      <c r="AC73" s="2">
        <f ca="1">IFERROR(SUMIFS(INDIRECT("'Thanh Toán ("&amp;AC$3&amp;")'!$F:$F"),INDIRECT("'Thanh Toán ("&amp;AC$3&amp;")'!$D:$D"),'Tổng Đơn'!$B73),0)</f>
        <v>0</v>
      </c>
      <c r="AD73" s="2">
        <f ca="1">IFERROR(SUMIFS(INDIRECT("'Thanh Toán ("&amp;AD$3&amp;")'!$F:$F"),INDIRECT("'Thanh Toán ("&amp;AD$3&amp;")'!$D:$D"),'Tổng Đơn'!$B73),0)</f>
        <v>0</v>
      </c>
      <c r="AE73" s="2">
        <f ca="1">IFERROR(SUMIFS(INDIRECT("'Thanh Toán ("&amp;AE$3&amp;")'!$F:$F"),INDIRECT("'Thanh Toán ("&amp;AE$3&amp;")'!$D:$D"),'Tổng Đơn'!$B73),0)</f>
        <v>0</v>
      </c>
      <c r="AF73" s="2">
        <f ca="1">IFERROR(SUMIFS(INDIRECT("'Thanh Toán ("&amp;AF$3&amp;")'!$F:$F"),INDIRECT("'Thanh Toán ("&amp;AF$3&amp;")'!$D:$D"),'Tổng Đơn'!$B73),0)</f>
        <v>0</v>
      </c>
      <c r="AG73" s="2">
        <f ca="1">IFERROR(SUMIFS(INDIRECT("'Thanh Toán ("&amp;AG$3&amp;")'!$F:$F"),INDIRECT("'Thanh Toán ("&amp;AG$3&amp;")'!$D:$D"),'Tổng Đơn'!$B73),0)</f>
        <v>0</v>
      </c>
      <c r="AH73" s="2">
        <f ca="1">IFERROR(SUMIFS(INDIRECT("'Thanh Toán ("&amp;AH$3&amp;")'!$F:$F"),INDIRECT("'Thanh Toán ("&amp;AH$3&amp;")'!$D:$D"),'Tổng Đơn'!$B73),0)</f>
        <v>0</v>
      </c>
      <c r="AI73" s="2">
        <f ca="1">IFERROR(SUMIFS(INDIRECT("'Thanh Toán ("&amp;AI$3&amp;")'!$F:$F"),INDIRECT("'Thanh Toán ("&amp;AI$3&amp;")'!$D:$D"),'Tổng Đơn'!$B73),0)</f>
        <v>0</v>
      </c>
      <c r="AJ73" s="2">
        <f ca="1">IFERROR(SUMIFS(INDIRECT("'Thanh Toán ("&amp;AJ$3&amp;")'!$F:$F"),INDIRECT("'Thanh Toán ("&amp;AJ$3&amp;")'!$D:$D"),'Tổng Đơn'!$B73),0)</f>
        <v>0</v>
      </c>
      <c r="AK73" s="2">
        <f ca="1">IFERROR(SUMIFS(INDIRECT("'Thanh Toán ("&amp;AK$3&amp;")'!$F:$F"),INDIRECT("'Thanh Toán ("&amp;AK$3&amp;")'!$D:$D"),'Tổng Đơn'!$B73),0)</f>
        <v>0</v>
      </c>
      <c r="AL73" s="2">
        <f ca="1">IFERROR(SUMIFS(INDIRECT("'Thanh Toán ("&amp;AL$3&amp;")'!$F:$F"),INDIRECT("'Thanh Toán ("&amp;AL$3&amp;")'!$D:$D"),'Tổng Đơn'!$B73),0)</f>
        <v>0</v>
      </c>
      <c r="AM73" s="2">
        <f ca="1">IFERROR(SUMIFS(INDIRECT("'Thanh Toán ("&amp;AM$3&amp;")'!$F:$F"),INDIRECT("'Thanh Toán ("&amp;AM$3&amp;")'!$D:$D"),'Tổng Đơn'!$B73),0)</f>
        <v>0</v>
      </c>
      <c r="AN73" s="2">
        <f ca="1">IFERROR(SUMIFS(INDIRECT("'Thanh Toán ("&amp;AN$3&amp;")'!$F:$F"),INDIRECT("'Thanh Toán ("&amp;AN$3&amp;")'!$D:$D"),'Tổng Đơn'!$B73),0)</f>
        <v>0</v>
      </c>
      <c r="AO73" s="2">
        <f ca="1">IFERROR(SUMIFS(INDIRECT("'Thanh Toán ("&amp;AO$3&amp;")'!$F:$F"),INDIRECT("'Thanh Toán ("&amp;AO$3&amp;")'!$D:$D"),'Tổng Đơn'!$B73),0)</f>
        <v>0</v>
      </c>
      <c r="AP73" s="2">
        <f ca="1">IFERROR(SUMIFS(INDIRECT("'Thanh Toán ("&amp;AP$3&amp;")'!$F:$F"),INDIRECT("'Thanh Toán ("&amp;AP$3&amp;")'!$D:$D"),'Tổng Đơn'!$B73),0)</f>
        <v>0</v>
      </c>
      <c r="AQ73" s="2">
        <f ca="1">IFERROR(SUMIFS(INDIRECT("'Thanh Toán ("&amp;AQ$3&amp;")'!$F:$F"),INDIRECT("'Thanh Toán ("&amp;AQ$3&amp;")'!$D:$D"),'Tổng Đơn'!$B73),0)</f>
        <v>0</v>
      </c>
      <c r="AR73" s="2">
        <f ca="1">IFERROR(SUMIFS(INDIRECT("'Thanh Toán ("&amp;AR$3&amp;")'!$F:$F"),INDIRECT("'Thanh Toán ("&amp;AR$3&amp;")'!$D:$D"),'Tổng Đơn'!$B73),0)</f>
        <v>0</v>
      </c>
      <c r="AS73" s="2">
        <f ca="1">IFERROR(SUMIFS(INDIRECT("'Thanh Toán ("&amp;AS$3&amp;")'!$F:$F"),INDIRECT("'Thanh Toán ("&amp;AS$3&amp;")'!$D:$D"),'Tổng Đơn'!$B73),0)</f>
        <v>0</v>
      </c>
      <c r="AT73" s="2">
        <f ca="1">IFERROR(SUMIFS(INDIRECT("'Thanh Toán ("&amp;AT$3&amp;")'!$F:$F"),INDIRECT("'Thanh Toán ("&amp;AT$3&amp;")'!$D:$D"),'Tổng Đơn'!$B73),0)</f>
        <v>0</v>
      </c>
      <c r="AU73" s="2">
        <f ca="1">IFERROR(SUMIFS(INDIRECT("'Thanh Toán ("&amp;AU$3&amp;")'!$F:$F"),INDIRECT("'Thanh Toán ("&amp;AU$3&amp;")'!$D:$D"),'Tổng Đơn'!$B73),0)</f>
        <v>0</v>
      </c>
      <c r="AV73" s="2">
        <f ca="1">IFERROR(SUMIFS(INDIRECT("'Thanh Toán ("&amp;AV$3&amp;")'!$F:$F"),INDIRECT("'Thanh Toán ("&amp;AV$3&amp;")'!$D:$D"),'Tổng Đơn'!$B73),0)</f>
        <v>0</v>
      </c>
      <c r="AW73" s="2">
        <f ca="1">IFERROR(SUMIFS(INDIRECT("'Thanh Toán ("&amp;AW$3&amp;")'!$F:$F"),INDIRECT("'Thanh Toán ("&amp;AW$3&amp;")'!$D:$D"),'Tổng Đơn'!$B73),0)</f>
        <v>0</v>
      </c>
      <c r="AX73" s="2">
        <f ca="1">IFERROR(SUMIFS(INDIRECT("'Thanh Toán ("&amp;AX$3&amp;")'!$F:$F"),INDIRECT("'Thanh Toán ("&amp;AX$3&amp;")'!$D:$D"),'Tổng Đơn'!$B73),0)</f>
        <v>0</v>
      </c>
      <c r="AY73" s="2">
        <f ca="1">IFERROR(SUMIFS(INDIRECT("'Thanh Toán ("&amp;AY$3&amp;")'!$F:$F"),INDIRECT("'Thanh Toán ("&amp;AY$3&amp;")'!$D:$D"),'Tổng Đơn'!$B73),0)</f>
        <v>0</v>
      </c>
      <c r="AZ73" s="2">
        <f ca="1">IFERROR(SUMIFS(INDIRECT("'Thanh Toán ("&amp;AZ$3&amp;")'!$F:$F"),INDIRECT("'Thanh Toán ("&amp;AZ$3&amp;")'!$D:$D"),'Tổng Đơn'!$B73),0)</f>
        <v>0</v>
      </c>
      <c r="BA73" s="2">
        <f ca="1">IFERROR(SUMIFS(INDIRECT("'Thanh Toán ("&amp;BA$3&amp;")'!$F:$F"),INDIRECT("'Thanh Toán ("&amp;BA$3&amp;")'!$D:$D"),'Tổng Đơn'!$B73),0)</f>
        <v>0</v>
      </c>
      <c r="BB73" s="2">
        <f ca="1">IFERROR(SUMIFS(INDIRECT("'Thanh Toán ("&amp;BB$3&amp;")'!$F:$F"),INDIRECT("'Thanh Toán ("&amp;BB$3&amp;")'!$D:$D"),'Tổng Đơn'!$B73),0)</f>
        <v>0</v>
      </c>
      <c r="BC73" s="2">
        <f ca="1">IFERROR(SUMIFS(INDIRECT("'Thanh Toán ("&amp;BC$3&amp;")'!$F:$F"),INDIRECT("'Thanh Toán ("&amp;BC$3&amp;")'!$D:$D"),'Tổng Đơn'!$B73),0)</f>
        <v>0</v>
      </c>
    </row>
    <row r="74" spans="1:55" ht="18" customHeight="1" x14ac:dyDescent="0.25">
      <c r="A74" s="167">
        <v>64</v>
      </c>
      <c r="B74" s="176" t="s">
        <v>205</v>
      </c>
      <c r="C74" s="167" t="s">
        <v>183</v>
      </c>
      <c r="D74" s="169">
        <f>VLOOKUP($C74,Sheet1!$C$8:$D$98,2,0)</f>
        <v>45000</v>
      </c>
      <c r="E74" s="170">
        <v>0.5</v>
      </c>
      <c r="F74" s="171">
        <f t="shared" ca="1" si="14"/>
        <v>1</v>
      </c>
      <c r="G74" s="172">
        <f>IFERROR(VLOOKUP($B74,Gà!C:J,8,0),IFERROR(VLOOKUP($B74,TVP!C:J,7,0),IFERROR(VLOOKUP($B74,Kitkool!C:J,8,0),IFERROR(VLOOKUP($B74,'La Cusina'!C:J,8,0),VLOOKUP($B74,'Quốc Nhân'!C:J,8,0)))))</f>
        <v>37.865465407490312</v>
      </c>
      <c r="H74" s="173">
        <f t="shared" ca="1" si="15"/>
        <v>7134.5345925096844</v>
      </c>
      <c r="I74" s="195">
        <f t="shared" si="16"/>
        <v>0.18841798234172424</v>
      </c>
      <c r="J74" s="173">
        <f t="shared" ca="1" si="17"/>
        <v>37865.465407490316</v>
      </c>
      <c r="K74" s="38"/>
      <c r="L74" s="2">
        <f ca="1">IFERROR(SUMIFS(INDIRECT("'Thanh Toán ("&amp;L$3&amp;")'!$F:$F"),INDIRECT("'Thanh Toán ("&amp;L$3&amp;")'!$D:$D"),'Tổng Đơn'!$B74),0)</f>
        <v>1</v>
      </c>
      <c r="M74" s="2">
        <f ca="1">IFERROR(SUMIFS(INDIRECT("'Thanh Toán ("&amp;M$3&amp;")'!$F:$F"),INDIRECT("'Thanh Toán ("&amp;M$3&amp;")'!$D:$D"),'Tổng Đơn'!$B74),0)</f>
        <v>0</v>
      </c>
      <c r="N74" s="2">
        <f ca="1">IFERROR(SUMIFS(INDIRECT("'Thanh Toán ("&amp;N$3&amp;")'!$F:$F"),INDIRECT("'Thanh Toán ("&amp;N$3&amp;")'!$D:$D"),'Tổng Đơn'!$B74),0)</f>
        <v>0</v>
      </c>
      <c r="O74" s="2">
        <f ca="1">IFERROR(SUMIFS(INDIRECT("'Thanh Toán ("&amp;O$3&amp;")'!$F:$F"),INDIRECT("'Thanh Toán ("&amp;O$3&amp;")'!$D:$D"),'Tổng Đơn'!$B74),0)</f>
        <v>0</v>
      </c>
      <c r="P74" s="2">
        <f ca="1">IFERROR(SUMIFS(INDIRECT("'Thanh Toán ("&amp;P$3&amp;")'!$F:$F"),INDIRECT("'Thanh Toán ("&amp;P$3&amp;")'!$D:$D"),'Tổng Đơn'!$B74),0)</f>
        <v>0</v>
      </c>
      <c r="Q74" s="2">
        <f ca="1">IFERROR(SUMIFS(INDIRECT("'Thanh Toán ("&amp;Q$3&amp;")'!$F:$F"),INDIRECT("'Thanh Toán ("&amp;Q$3&amp;")'!$D:$D"),'Tổng Đơn'!$B74),0)</f>
        <v>0</v>
      </c>
      <c r="R74" s="2">
        <f ca="1">IFERROR(SUMIFS(INDIRECT("'Thanh Toán ("&amp;R$3&amp;")'!$F:$F"),INDIRECT("'Thanh Toán ("&amp;R$3&amp;")'!$D:$D"),'Tổng Đơn'!$B74),0)</f>
        <v>0</v>
      </c>
      <c r="S74" s="2">
        <f ca="1">IFERROR(SUMIFS(INDIRECT("'Thanh Toán ("&amp;S$3&amp;")'!$F:$F"),INDIRECT("'Thanh Toán ("&amp;S$3&amp;")'!$D:$D"),'Tổng Đơn'!$B74),0)</f>
        <v>0</v>
      </c>
      <c r="T74" s="2">
        <f ca="1">IFERROR(SUMIFS(INDIRECT("'Thanh Toán ("&amp;T$3&amp;")'!$F:$F"),INDIRECT("'Thanh Toán ("&amp;T$3&amp;")'!$D:$D"),'Tổng Đơn'!$B74),0)</f>
        <v>0</v>
      </c>
      <c r="U74" s="2">
        <f ca="1">IFERROR(SUMIFS(INDIRECT("'Thanh Toán ("&amp;U$3&amp;")'!$F:$F"),INDIRECT("'Thanh Toán ("&amp;U$3&amp;")'!$D:$D"),'Tổng Đơn'!$B74),0)</f>
        <v>0</v>
      </c>
      <c r="V74" s="2">
        <f ca="1">IFERROR(SUMIFS(INDIRECT("'Thanh Toán ("&amp;V$3&amp;")'!$F:$F"),INDIRECT("'Thanh Toán ("&amp;V$3&amp;")'!$D:$D"),'Tổng Đơn'!$B74),0)</f>
        <v>0</v>
      </c>
      <c r="W74" s="2">
        <f ca="1">IFERROR(SUMIFS(INDIRECT("'Thanh Toán ("&amp;W$3&amp;")'!$F:$F"),INDIRECT("'Thanh Toán ("&amp;W$3&amp;")'!$D:$D"),'Tổng Đơn'!$B74),0)</f>
        <v>0</v>
      </c>
      <c r="X74" s="2">
        <f ca="1">IFERROR(SUMIFS(INDIRECT("'Thanh Toán ("&amp;X$3&amp;")'!$F:$F"),INDIRECT("'Thanh Toán ("&amp;X$3&amp;")'!$D:$D"),'Tổng Đơn'!$B74),0)</f>
        <v>0</v>
      </c>
      <c r="Y74" s="2">
        <f ca="1">IFERROR(SUMIFS(INDIRECT("'Thanh Toán ("&amp;Y$3&amp;")'!$F:$F"),INDIRECT("'Thanh Toán ("&amp;Y$3&amp;")'!$D:$D"),'Tổng Đơn'!$B74),0)</f>
        <v>0</v>
      </c>
      <c r="Z74" s="2">
        <f ca="1">IFERROR(SUMIFS(INDIRECT("'Thanh Toán ("&amp;Z$3&amp;")'!$F:$F"),INDIRECT("'Thanh Toán ("&amp;Z$3&amp;")'!$D:$D"),'Tổng Đơn'!$B74),0)</f>
        <v>0</v>
      </c>
      <c r="AA74" s="2">
        <f ca="1">IFERROR(SUMIFS(INDIRECT("'Thanh Toán ("&amp;AA$3&amp;")'!$F:$F"),INDIRECT("'Thanh Toán ("&amp;AA$3&amp;")'!$D:$D"),'Tổng Đơn'!$B74),0)</f>
        <v>0</v>
      </c>
      <c r="AB74" s="2">
        <f ca="1">IFERROR(SUMIFS(INDIRECT("'Thanh Toán ("&amp;AB$3&amp;")'!$F:$F"),INDIRECT("'Thanh Toán ("&amp;AB$3&amp;")'!$D:$D"),'Tổng Đơn'!$B74),0)</f>
        <v>0</v>
      </c>
      <c r="AC74" s="2">
        <f ca="1">IFERROR(SUMIFS(INDIRECT("'Thanh Toán ("&amp;AC$3&amp;")'!$F:$F"),INDIRECT("'Thanh Toán ("&amp;AC$3&amp;")'!$D:$D"),'Tổng Đơn'!$B74),0)</f>
        <v>0</v>
      </c>
      <c r="AD74" s="2">
        <f ca="1">IFERROR(SUMIFS(INDIRECT("'Thanh Toán ("&amp;AD$3&amp;")'!$F:$F"),INDIRECT("'Thanh Toán ("&amp;AD$3&amp;")'!$D:$D"),'Tổng Đơn'!$B74),0)</f>
        <v>0</v>
      </c>
      <c r="AE74" s="2">
        <f ca="1">IFERROR(SUMIFS(INDIRECT("'Thanh Toán ("&amp;AE$3&amp;")'!$F:$F"),INDIRECT("'Thanh Toán ("&amp;AE$3&amp;")'!$D:$D"),'Tổng Đơn'!$B74),0)</f>
        <v>0</v>
      </c>
      <c r="AF74" s="2">
        <f ca="1">IFERROR(SUMIFS(INDIRECT("'Thanh Toán ("&amp;AF$3&amp;")'!$F:$F"),INDIRECT("'Thanh Toán ("&amp;AF$3&amp;")'!$D:$D"),'Tổng Đơn'!$B74),0)</f>
        <v>0</v>
      </c>
      <c r="AG74" s="2">
        <f ca="1">IFERROR(SUMIFS(INDIRECT("'Thanh Toán ("&amp;AG$3&amp;")'!$F:$F"),INDIRECT("'Thanh Toán ("&amp;AG$3&amp;")'!$D:$D"),'Tổng Đơn'!$B74),0)</f>
        <v>0</v>
      </c>
      <c r="AH74" s="2">
        <f ca="1">IFERROR(SUMIFS(INDIRECT("'Thanh Toán ("&amp;AH$3&amp;")'!$F:$F"),INDIRECT("'Thanh Toán ("&amp;AH$3&amp;")'!$D:$D"),'Tổng Đơn'!$B74),0)</f>
        <v>0</v>
      </c>
      <c r="AI74" s="2">
        <f ca="1">IFERROR(SUMIFS(INDIRECT("'Thanh Toán ("&amp;AI$3&amp;")'!$F:$F"),INDIRECT("'Thanh Toán ("&amp;AI$3&amp;")'!$D:$D"),'Tổng Đơn'!$B74),0)</f>
        <v>0</v>
      </c>
      <c r="AJ74" s="2">
        <f ca="1">IFERROR(SUMIFS(INDIRECT("'Thanh Toán ("&amp;AJ$3&amp;")'!$F:$F"),INDIRECT("'Thanh Toán ("&amp;AJ$3&amp;")'!$D:$D"),'Tổng Đơn'!$B74),0)</f>
        <v>0</v>
      </c>
      <c r="AK74" s="2">
        <f ca="1">IFERROR(SUMIFS(INDIRECT("'Thanh Toán ("&amp;AK$3&amp;")'!$F:$F"),INDIRECT("'Thanh Toán ("&amp;AK$3&amp;")'!$D:$D"),'Tổng Đơn'!$B74),0)</f>
        <v>0</v>
      </c>
      <c r="AL74" s="2">
        <f ca="1">IFERROR(SUMIFS(INDIRECT("'Thanh Toán ("&amp;AL$3&amp;")'!$F:$F"),INDIRECT("'Thanh Toán ("&amp;AL$3&amp;")'!$D:$D"),'Tổng Đơn'!$B74),0)</f>
        <v>0</v>
      </c>
      <c r="AM74" s="2">
        <f ca="1">IFERROR(SUMIFS(INDIRECT("'Thanh Toán ("&amp;AM$3&amp;")'!$F:$F"),INDIRECT("'Thanh Toán ("&amp;AM$3&amp;")'!$D:$D"),'Tổng Đơn'!$B74),0)</f>
        <v>0</v>
      </c>
      <c r="AN74" s="2">
        <f ca="1">IFERROR(SUMIFS(INDIRECT("'Thanh Toán ("&amp;AN$3&amp;")'!$F:$F"),INDIRECT("'Thanh Toán ("&amp;AN$3&amp;")'!$D:$D"),'Tổng Đơn'!$B74),0)</f>
        <v>0</v>
      </c>
      <c r="AO74" s="2">
        <f ca="1">IFERROR(SUMIFS(INDIRECT("'Thanh Toán ("&amp;AO$3&amp;")'!$F:$F"),INDIRECT("'Thanh Toán ("&amp;AO$3&amp;")'!$D:$D"),'Tổng Đơn'!$B74),0)</f>
        <v>0</v>
      </c>
      <c r="AP74" s="2">
        <f ca="1">IFERROR(SUMIFS(INDIRECT("'Thanh Toán ("&amp;AP$3&amp;")'!$F:$F"),INDIRECT("'Thanh Toán ("&amp;AP$3&amp;")'!$D:$D"),'Tổng Đơn'!$B74),0)</f>
        <v>0</v>
      </c>
      <c r="AQ74" s="2">
        <f ca="1">IFERROR(SUMIFS(INDIRECT("'Thanh Toán ("&amp;AQ$3&amp;")'!$F:$F"),INDIRECT("'Thanh Toán ("&amp;AQ$3&amp;")'!$D:$D"),'Tổng Đơn'!$B74),0)</f>
        <v>0</v>
      </c>
      <c r="AR74" s="2">
        <f ca="1">IFERROR(SUMIFS(INDIRECT("'Thanh Toán ("&amp;AR$3&amp;")'!$F:$F"),INDIRECT("'Thanh Toán ("&amp;AR$3&amp;")'!$D:$D"),'Tổng Đơn'!$B74),0)</f>
        <v>0</v>
      </c>
      <c r="AS74" s="2">
        <f ca="1">IFERROR(SUMIFS(INDIRECT("'Thanh Toán ("&amp;AS$3&amp;")'!$F:$F"),INDIRECT("'Thanh Toán ("&amp;AS$3&amp;")'!$D:$D"),'Tổng Đơn'!$B74),0)</f>
        <v>0</v>
      </c>
      <c r="AT74" s="2">
        <f ca="1">IFERROR(SUMIFS(INDIRECT("'Thanh Toán ("&amp;AT$3&amp;")'!$F:$F"),INDIRECT("'Thanh Toán ("&amp;AT$3&amp;")'!$D:$D"),'Tổng Đơn'!$B74),0)</f>
        <v>0</v>
      </c>
      <c r="AU74" s="2">
        <f ca="1">IFERROR(SUMIFS(INDIRECT("'Thanh Toán ("&amp;AU$3&amp;")'!$F:$F"),INDIRECT("'Thanh Toán ("&amp;AU$3&amp;")'!$D:$D"),'Tổng Đơn'!$B74),0)</f>
        <v>0</v>
      </c>
      <c r="AV74" s="2">
        <f ca="1">IFERROR(SUMIFS(INDIRECT("'Thanh Toán ("&amp;AV$3&amp;")'!$F:$F"),INDIRECT("'Thanh Toán ("&amp;AV$3&amp;")'!$D:$D"),'Tổng Đơn'!$B74),0)</f>
        <v>0</v>
      </c>
      <c r="AW74" s="2">
        <f ca="1">IFERROR(SUMIFS(INDIRECT("'Thanh Toán ("&amp;AW$3&amp;")'!$F:$F"),INDIRECT("'Thanh Toán ("&amp;AW$3&amp;")'!$D:$D"),'Tổng Đơn'!$B74),0)</f>
        <v>0</v>
      </c>
      <c r="AX74" s="2">
        <f ca="1">IFERROR(SUMIFS(INDIRECT("'Thanh Toán ("&amp;AX$3&amp;")'!$F:$F"),INDIRECT("'Thanh Toán ("&amp;AX$3&amp;")'!$D:$D"),'Tổng Đơn'!$B74),0)</f>
        <v>0</v>
      </c>
      <c r="AY74" s="2">
        <f ca="1">IFERROR(SUMIFS(INDIRECT("'Thanh Toán ("&amp;AY$3&amp;")'!$F:$F"),INDIRECT("'Thanh Toán ("&amp;AY$3&amp;")'!$D:$D"),'Tổng Đơn'!$B74),0)</f>
        <v>0</v>
      </c>
      <c r="AZ74" s="2">
        <f ca="1">IFERROR(SUMIFS(INDIRECT("'Thanh Toán ("&amp;AZ$3&amp;")'!$F:$F"),INDIRECT("'Thanh Toán ("&amp;AZ$3&amp;")'!$D:$D"),'Tổng Đơn'!$B74),0)</f>
        <v>0</v>
      </c>
      <c r="BA74" s="2">
        <f ca="1">IFERROR(SUMIFS(INDIRECT("'Thanh Toán ("&amp;BA$3&amp;")'!$F:$F"),INDIRECT("'Thanh Toán ("&amp;BA$3&amp;")'!$D:$D"),'Tổng Đơn'!$B74),0)</f>
        <v>0</v>
      </c>
      <c r="BB74" s="2">
        <f ca="1">IFERROR(SUMIFS(INDIRECT("'Thanh Toán ("&amp;BB$3&amp;")'!$F:$F"),INDIRECT("'Thanh Toán ("&amp;BB$3&amp;")'!$D:$D"),'Tổng Đơn'!$B74),0)</f>
        <v>0</v>
      </c>
      <c r="BC74" s="2">
        <f ca="1">IFERROR(SUMIFS(INDIRECT("'Thanh Toán ("&amp;BC$3&amp;")'!$F:$F"),INDIRECT("'Thanh Toán ("&amp;BC$3&amp;")'!$D:$D"),'Tổng Đơn'!$B74),0)</f>
        <v>0</v>
      </c>
    </row>
    <row r="75" spans="1:55" ht="18" customHeight="1" x14ac:dyDescent="0.25">
      <c r="A75" s="174">
        <v>65</v>
      </c>
      <c r="B75" s="176" t="s">
        <v>251</v>
      </c>
      <c r="C75" s="167" t="s">
        <v>207</v>
      </c>
      <c r="D75" s="169">
        <f>VLOOKUP($C75,Sheet1!$C$8:$D$98,2,0)</f>
        <v>40000</v>
      </c>
      <c r="E75" s="170">
        <v>0.5</v>
      </c>
      <c r="F75" s="171">
        <f t="shared" ca="1" si="14"/>
        <v>0</v>
      </c>
      <c r="G75" s="172">
        <f>IFERROR(VLOOKUP($B75,Gà!C:J,8,0),IFERROR(VLOOKUP($B75,TVP!C:J,7,0),IFERROR(VLOOKUP($B75,Kitkool!C:J,8,0),IFERROR(VLOOKUP($B75,'La Cusina'!C:J,8,0),VLOOKUP($B75,'Quốc Nhân'!C:J,8,0)))))</f>
        <v>34.770062658286506</v>
      </c>
      <c r="H75" s="173">
        <f t="shared" ca="1" si="15"/>
        <v>0</v>
      </c>
      <c r="I75" s="195">
        <f t="shared" si="16"/>
        <v>0.15041495303336982</v>
      </c>
      <c r="J75" s="173">
        <f t="shared" ca="1" si="17"/>
        <v>0</v>
      </c>
      <c r="K75" s="38"/>
      <c r="L75" s="2">
        <f ca="1">IFERROR(SUMIFS(INDIRECT("'Thanh Toán ("&amp;L$3&amp;")'!$F:$F"),INDIRECT("'Thanh Toán ("&amp;L$3&amp;")'!$D:$D"),'Tổng Đơn'!$B75),0)</f>
        <v>0</v>
      </c>
      <c r="M75" s="2">
        <f ca="1">IFERROR(SUMIFS(INDIRECT("'Thanh Toán ("&amp;M$3&amp;")'!$F:$F"),INDIRECT("'Thanh Toán ("&amp;M$3&amp;")'!$D:$D"),'Tổng Đơn'!$B75),0)</f>
        <v>0</v>
      </c>
      <c r="N75" s="2">
        <f ca="1">IFERROR(SUMIFS(INDIRECT("'Thanh Toán ("&amp;N$3&amp;")'!$F:$F"),INDIRECT("'Thanh Toán ("&amp;N$3&amp;")'!$D:$D"),'Tổng Đơn'!$B75),0)</f>
        <v>0</v>
      </c>
      <c r="O75" s="2">
        <f ca="1">IFERROR(SUMIFS(INDIRECT("'Thanh Toán ("&amp;O$3&amp;")'!$F:$F"),INDIRECT("'Thanh Toán ("&amp;O$3&amp;")'!$D:$D"),'Tổng Đơn'!$B75),0)</f>
        <v>0</v>
      </c>
      <c r="P75" s="2">
        <f ca="1">IFERROR(SUMIFS(INDIRECT("'Thanh Toán ("&amp;P$3&amp;")'!$F:$F"),INDIRECT("'Thanh Toán ("&amp;P$3&amp;")'!$D:$D"),'Tổng Đơn'!$B75),0)</f>
        <v>0</v>
      </c>
      <c r="Q75" s="2">
        <f ca="1">IFERROR(SUMIFS(INDIRECT("'Thanh Toán ("&amp;Q$3&amp;")'!$F:$F"),INDIRECT("'Thanh Toán ("&amp;Q$3&amp;")'!$D:$D"),'Tổng Đơn'!$B75),0)</f>
        <v>0</v>
      </c>
      <c r="R75" s="2">
        <f ca="1">IFERROR(SUMIFS(INDIRECT("'Thanh Toán ("&amp;R$3&amp;")'!$F:$F"),INDIRECT("'Thanh Toán ("&amp;R$3&amp;")'!$D:$D"),'Tổng Đơn'!$B75),0)</f>
        <v>0</v>
      </c>
      <c r="S75" s="2">
        <f ca="1">IFERROR(SUMIFS(INDIRECT("'Thanh Toán ("&amp;S$3&amp;")'!$F:$F"),INDIRECT("'Thanh Toán ("&amp;S$3&amp;")'!$D:$D"),'Tổng Đơn'!$B75),0)</f>
        <v>0</v>
      </c>
      <c r="T75" s="2">
        <f ca="1">IFERROR(SUMIFS(INDIRECT("'Thanh Toán ("&amp;T$3&amp;")'!$F:$F"),INDIRECT("'Thanh Toán ("&amp;T$3&amp;")'!$D:$D"),'Tổng Đơn'!$B75),0)</f>
        <v>0</v>
      </c>
      <c r="U75" s="2">
        <f ca="1">IFERROR(SUMIFS(INDIRECT("'Thanh Toán ("&amp;U$3&amp;")'!$F:$F"),INDIRECT("'Thanh Toán ("&amp;U$3&amp;")'!$D:$D"),'Tổng Đơn'!$B75),0)</f>
        <v>0</v>
      </c>
      <c r="V75" s="2">
        <f ca="1">IFERROR(SUMIFS(INDIRECT("'Thanh Toán ("&amp;V$3&amp;")'!$F:$F"),INDIRECT("'Thanh Toán ("&amp;V$3&amp;")'!$D:$D"),'Tổng Đơn'!$B75),0)</f>
        <v>0</v>
      </c>
      <c r="W75" s="2">
        <f ca="1">IFERROR(SUMIFS(INDIRECT("'Thanh Toán ("&amp;W$3&amp;")'!$F:$F"),INDIRECT("'Thanh Toán ("&amp;W$3&amp;")'!$D:$D"),'Tổng Đơn'!$B75),0)</f>
        <v>0</v>
      </c>
      <c r="X75" s="2">
        <f ca="1">IFERROR(SUMIFS(INDIRECT("'Thanh Toán ("&amp;X$3&amp;")'!$F:$F"),INDIRECT("'Thanh Toán ("&amp;X$3&amp;")'!$D:$D"),'Tổng Đơn'!$B75),0)</f>
        <v>0</v>
      </c>
      <c r="Y75" s="2">
        <f ca="1">IFERROR(SUMIFS(INDIRECT("'Thanh Toán ("&amp;Y$3&amp;")'!$F:$F"),INDIRECT("'Thanh Toán ("&amp;Y$3&amp;")'!$D:$D"),'Tổng Đơn'!$B75),0)</f>
        <v>0</v>
      </c>
      <c r="Z75" s="2">
        <f ca="1">IFERROR(SUMIFS(INDIRECT("'Thanh Toán ("&amp;Z$3&amp;")'!$F:$F"),INDIRECT("'Thanh Toán ("&amp;Z$3&amp;")'!$D:$D"),'Tổng Đơn'!$B75),0)</f>
        <v>0</v>
      </c>
      <c r="AA75" s="2">
        <f ca="1">IFERROR(SUMIFS(INDIRECT("'Thanh Toán ("&amp;AA$3&amp;")'!$F:$F"),INDIRECT("'Thanh Toán ("&amp;AA$3&amp;")'!$D:$D"),'Tổng Đơn'!$B75),0)</f>
        <v>0</v>
      </c>
      <c r="AB75" s="2">
        <f ca="1">IFERROR(SUMIFS(INDIRECT("'Thanh Toán ("&amp;AB$3&amp;")'!$F:$F"),INDIRECT("'Thanh Toán ("&amp;AB$3&amp;")'!$D:$D"),'Tổng Đơn'!$B75),0)</f>
        <v>0</v>
      </c>
      <c r="AC75" s="2">
        <f ca="1">IFERROR(SUMIFS(INDIRECT("'Thanh Toán ("&amp;AC$3&amp;")'!$F:$F"),INDIRECT("'Thanh Toán ("&amp;AC$3&amp;")'!$D:$D"),'Tổng Đơn'!$B75),0)</f>
        <v>0</v>
      </c>
      <c r="AD75" s="2">
        <f ca="1">IFERROR(SUMIFS(INDIRECT("'Thanh Toán ("&amp;AD$3&amp;")'!$F:$F"),INDIRECT("'Thanh Toán ("&amp;AD$3&amp;")'!$D:$D"),'Tổng Đơn'!$B75),0)</f>
        <v>0</v>
      </c>
      <c r="AE75" s="2">
        <f ca="1">IFERROR(SUMIFS(INDIRECT("'Thanh Toán ("&amp;AE$3&amp;")'!$F:$F"),INDIRECT("'Thanh Toán ("&amp;AE$3&amp;")'!$D:$D"),'Tổng Đơn'!$B75),0)</f>
        <v>0</v>
      </c>
      <c r="AF75" s="2">
        <f ca="1">IFERROR(SUMIFS(INDIRECT("'Thanh Toán ("&amp;AF$3&amp;")'!$F:$F"),INDIRECT("'Thanh Toán ("&amp;AF$3&amp;")'!$D:$D"),'Tổng Đơn'!$B75),0)</f>
        <v>0</v>
      </c>
      <c r="AG75" s="2">
        <f ca="1">IFERROR(SUMIFS(INDIRECT("'Thanh Toán ("&amp;AG$3&amp;")'!$F:$F"),INDIRECT("'Thanh Toán ("&amp;AG$3&amp;")'!$D:$D"),'Tổng Đơn'!$B75),0)</f>
        <v>0</v>
      </c>
      <c r="AH75" s="2">
        <f ca="1">IFERROR(SUMIFS(INDIRECT("'Thanh Toán ("&amp;AH$3&amp;")'!$F:$F"),INDIRECT("'Thanh Toán ("&amp;AH$3&amp;")'!$D:$D"),'Tổng Đơn'!$B75),0)</f>
        <v>0</v>
      </c>
      <c r="AI75" s="2">
        <f ca="1">IFERROR(SUMIFS(INDIRECT("'Thanh Toán ("&amp;AI$3&amp;")'!$F:$F"),INDIRECT("'Thanh Toán ("&amp;AI$3&amp;")'!$D:$D"),'Tổng Đơn'!$B75),0)</f>
        <v>0</v>
      </c>
      <c r="AJ75" s="2">
        <f ca="1">IFERROR(SUMIFS(INDIRECT("'Thanh Toán ("&amp;AJ$3&amp;")'!$F:$F"),INDIRECT("'Thanh Toán ("&amp;AJ$3&amp;")'!$D:$D"),'Tổng Đơn'!$B75),0)</f>
        <v>0</v>
      </c>
      <c r="AK75" s="2">
        <f ca="1">IFERROR(SUMIFS(INDIRECT("'Thanh Toán ("&amp;AK$3&amp;")'!$F:$F"),INDIRECT("'Thanh Toán ("&amp;AK$3&amp;")'!$D:$D"),'Tổng Đơn'!$B75),0)</f>
        <v>0</v>
      </c>
      <c r="AL75" s="2">
        <f ca="1">IFERROR(SUMIFS(INDIRECT("'Thanh Toán ("&amp;AL$3&amp;")'!$F:$F"),INDIRECT("'Thanh Toán ("&amp;AL$3&amp;")'!$D:$D"),'Tổng Đơn'!$B75),0)</f>
        <v>0</v>
      </c>
      <c r="AM75" s="2">
        <f ca="1">IFERROR(SUMIFS(INDIRECT("'Thanh Toán ("&amp;AM$3&amp;")'!$F:$F"),INDIRECT("'Thanh Toán ("&amp;AM$3&amp;")'!$D:$D"),'Tổng Đơn'!$B75),0)</f>
        <v>0</v>
      </c>
      <c r="AN75" s="2">
        <f ca="1">IFERROR(SUMIFS(INDIRECT("'Thanh Toán ("&amp;AN$3&amp;")'!$F:$F"),INDIRECT("'Thanh Toán ("&amp;AN$3&amp;")'!$D:$D"),'Tổng Đơn'!$B75),0)</f>
        <v>0</v>
      </c>
      <c r="AO75" s="2">
        <f ca="1">IFERROR(SUMIFS(INDIRECT("'Thanh Toán ("&amp;AO$3&amp;")'!$F:$F"),INDIRECT("'Thanh Toán ("&amp;AO$3&amp;")'!$D:$D"),'Tổng Đơn'!$B75),0)</f>
        <v>0</v>
      </c>
      <c r="AP75" s="2">
        <f ca="1">IFERROR(SUMIFS(INDIRECT("'Thanh Toán ("&amp;AP$3&amp;")'!$F:$F"),INDIRECT("'Thanh Toán ("&amp;AP$3&amp;")'!$D:$D"),'Tổng Đơn'!$B75),0)</f>
        <v>0</v>
      </c>
      <c r="AQ75" s="2">
        <f ca="1">IFERROR(SUMIFS(INDIRECT("'Thanh Toán ("&amp;AQ$3&amp;")'!$F:$F"),INDIRECT("'Thanh Toán ("&amp;AQ$3&amp;")'!$D:$D"),'Tổng Đơn'!$B75),0)</f>
        <v>0</v>
      </c>
      <c r="AR75" s="2">
        <f ca="1">IFERROR(SUMIFS(INDIRECT("'Thanh Toán ("&amp;AR$3&amp;")'!$F:$F"),INDIRECT("'Thanh Toán ("&amp;AR$3&amp;")'!$D:$D"),'Tổng Đơn'!$B75),0)</f>
        <v>0</v>
      </c>
      <c r="AS75" s="2">
        <f ca="1">IFERROR(SUMIFS(INDIRECT("'Thanh Toán ("&amp;AS$3&amp;")'!$F:$F"),INDIRECT("'Thanh Toán ("&amp;AS$3&amp;")'!$D:$D"),'Tổng Đơn'!$B75),0)</f>
        <v>0</v>
      </c>
      <c r="AT75" s="2">
        <f ca="1">IFERROR(SUMIFS(INDIRECT("'Thanh Toán ("&amp;AT$3&amp;")'!$F:$F"),INDIRECT("'Thanh Toán ("&amp;AT$3&amp;")'!$D:$D"),'Tổng Đơn'!$B75),0)</f>
        <v>0</v>
      </c>
      <c r="AU75" s="2">
        <f ca="1">IFERROR(SUMIFS(INDIRECT("'Thanh Toán ("&amp;AU$3&amp;")'!$F:$F"),INDIRECT("'Thanh Toán ("&amp;AU$3&amp;")'!$D:$D"),'Tổng Đơn'!$B75),0)</f>
        <v>0</v>
      </c>
      <c r="AV75" s="2">
        <f ca="1">IFERROR(SUMIFS(INDIRECT("'Thanh Toán ("&amp;AV$3&amp;")'!$F:$F"),INDIRECT("'Thanh Toán ("&amp;AV$3&amp;")'!$D:$D"),'Tổng Đơn'!$B75),0)</f>
        <v>0</v>
      </c>
      <c r="AW75" s="2">
        <f ca="1">IFERROR(SUMIFS(INDIRECT("'Thanh Toán ("&amp;AW$3&amp;")'!$F:$F"),INDIRECT("'Thanh Toán ("&amp;AW$3&amp;")'!$D:$D"),'Tổng Đơn'!$B75),0)</f>
        <v>0</v>
      </c>
      <c r="AX75" s="2">
        <f ca="1">IFERROR(SUMIFS(INDIRECT("'Thanh Toán ("&amp;AX$3&amp;")'!$F:$F"),INDIRECT("'Thanh Toán ("&amp;AX$3&amp;")'!$D:$D"),'Tổng Đơn'!$B75),0)</f>
        <v>0</v>
      </c>
      <c r="AY75" s="2">
        <f ca="1">IFERROR(SUMIFS(INDIRECT("'Thanh Toán ("&amp;AY$3&amp;")'!$F:$F"),INDIRECT("'Thanh Toán ("&amp;AY$3&amp;")'!$D:$D"),'Tổng Đơn'!$B75),0)</f>
        <v>0</v>
      </c>
      <c r="AZ75" s="2">
        <f ca="1">IFERROR(SUMIFS(INDIRECT("'Thanh Toán ("&amp;AZ$3&amp;")'!$F:$F"),INDIRECT("'Thanh Toán ("&amp;AZ$3&amp;")'!$D:$D"),'Tổng Đơn'!$B75),0)</f>
        <v>0</v>
      </c>
      <c r="BA75" s="2">
        <f ca="1">IFERROR(SUMIFS(INDIRECT("'Thanh Toán ("&amp;BA$3&amp;")'!$F:$F"),INDIRECT("'Thanh Toán ("&amp;BA$3&amp;")'!$D:$D"),'Tổng Đơn'!$B75),0)</f>
        <v>0</v>
      </c>
      <c r="BB75" s="2">
        <f ca="1">IFERROR(SUMIFS(INDIRECT("'Thanh Toán ("&amp;BB$3&amp;")'!$F:$F"),INDIRECT("'Thanh Toán ("&amp;BB$3&amp;")'!$D:$D"),'Tổng Đơn'!$B75),0)</f>
        <v>0</v>
      </c>
      <c r="BC75" s="2">
        <f ca="1">IFERROR(SUMIFS(INDIRECT("'Thanh Toán ("&amp;BC$3&amp;")'!$F:$F"),INDIRECT("'Thanh Toán ("&amp;BC$3&amp;")'!$D:$D"),'Tổng Đơn'!$B75),0)</f>
        <v>0</v>
      </c>
    </row>
    <row r="76" spans="1:55" ht="18" customHeight="1" x14ac:dyDescent="0.25">
      <c r="A76" s="174">
        <v>66</v>
      </c>
      <c r="B76" s="176" t="s">
        <v>271</v>
      </c>
      <c r="C76" s="167" t="s">
        <v>272</v>
      </c>
      <c r="D76" s="169">
        <f>VLOOKUP($C76,Sheet1!$C$8:$D$98,2,0)</f>
        <v>40000</v>
      </c>
      <c r="E76" s="170">
        <v>0.5</v>
      </c>
      <c r="F76" s="171">
        <f t="shared" ca="1" si="14"/>
        <v>0</v>
      </c>
      <c r="G76" s="172">
        <f>IFERROR(VLOOKUP($B76,Gà!C:J,8,0),IFERROR(VLOOKUP($B76,TVP!C:J,7,0),IFERROR(VLOOKUP($B76,Kitkool!C:J,8,0),IFERROR(VLOOKUP($B76,'La Cusina'!C:J,8,0),VLOOKUP($B76,'Quốc Nhân'!C:J,8,0)))))</f>
        <v>33.031559525372174</v>
      </c>
      <c r="H76" s="173">
        <f t="shared" ca="1" si="15"/>
        <v>0</v>
      </c>
      <c r="I76" s="195">
        <f t="shared" si="16"/>
        <v>0.21096310845617894</v>
      </c>
      <c r="J76" s="173">
        <f t="shared" ref="J76" ca="1" si="18">F76*G76*1000</f>
        <v>0</v>
      </c>
      <c r="K76" s="38"/>
      <c r="L76" s="2">
        <f ca="1">IFERROR(SUMIFS(INDIRECT("'Thanh Toán ("&amp;L$3&amp;")'!$F:$F"),INDIRECT("'Thanh Toán ("&amp;L$3&amp;")'!$D:$D"),'Tổng Đơn'!$B76),0)</f>
        <v>0</v>
      </c>
      <c r="M76" s="2">
        <f ca="1">IFERROR(SUMIFS(INDIRECT("'Thanh Toán ("&amp;M$3&amp;")'!$F:$F"),INDIRECT("'Thanh Toán ("&amp;M$3&amp;")'!$D:$D"),'Tổng Đơn'!$B76),0)</f>
        <v>0</v>
      </c>
      <c r="N76" s="2">
        <f ca="1">IFERROR(SUMIFS(INDIRECT("'Thanh Toán ("&amp;N$3&amp;")'!$F:$F"),INDIRECT("'Thanh Toán ("&amp;N$3&amp;")'!$D:$D"),'Tổng Đơn'!$B76),0)</f>
        <v>0</v>
      </c>
      <c r="O76" s="2">
        <f ca="1">IFERROR(SUMIFS(INDIRECT("'Thanh Toán ("&amp;O$3&amp;")'!$F:$F"),INDIRECT("'Thanh Toán ("&amp;O$3&amp;")'!$D:$D"),'Tổng Đơn'!$B76),0)</f>
        <v>0</v>
      </c>
      <c r="P76" s="2">
        <f ca="1">IFERROR(SUMIFS(INDIRECT("'Thanh Toán ("&amp;P$3&amp;")'!$F:$F"),INDIRECT("'Thanh Toán ("&amp;P$3&amp;")'!$D:$D"),'Tổng Đơn'!$B76),0)</f>
        <v>0</v>
      </c>
      <c r="Q76" s="2">
        <f ca="1">IFERROR(SUMIFS(INDIRECT("'Thanh Toán ("&amp;Q$3&amp;")'!$F:$F"),INDIRECT("'Thanh Toán ("&amp;Q$3&amp;")'!$D:$D"),'Tổng Đơn'!$B76),0)</f>
        <v>0</v>
      </c>
      <c r="R76" s="2">
        <f ca="1">IFERROR(SUMIFS(INDIRECT("'Thanh Toán ("&amp;R$3&amp;")'!$F:$F"),INDIRECT("'Thanh Toán ("&amp;R$3&amp;")'!$D:$D"),'Tổng Đơn'!$B76),0)</f>
        <v>0</v>
      </c>
      <c r="S76" s="2">
        <f ca="1">IFERROR(SUMIFS(INDIRECT("'Thanh Toán ("&amp;S$3&amp;")'!$F:$F"),INDIRECT("'Thanh Toán ("&amp;S$3&amp;")'!$D:$D"),'Tổng Đơn'!$B76),0)</f>
        <v>0</v>
      </c>
      <c r="T76" s="2">
        <f ca="1">IFERROR(SUMIFS(INDIRECT("'Thanh Toán ("&amp;T$3&amp;")'!$F:$F"),INDIRECT("'Thanh Toán ("&amp;T$3&amp;")'!$D:$D"),'Tổng Đơn'!$B76),0)</f>
        <v>0</v>
      </c>
      <c r="U76" s="2">
        <f ca="1">IFERROR(SUMIFS(INDIRECT("'Thanh Toán ("&amp;U$3&amp;")'!$F:$F"),INDIRECT("'Thanh Toán ("&amp;U$3&amp;")'!$D:$D"),'Tổng Đơn'!$B76),0)</f>
        <v>0</v>
      </c>
      <c r="V76" s="2">
        <f ca="1">IFERROR(SUMIFS(INDIRECT("'Thanh Toán ("&amp;V$3&amp;")'!$F:$F"),INDIRECT("'Thanh Toán ("&amp;V$3&amp;")'!$D:$D"),'Tổng Đơn'!$B76),0)</f>
        <v>0</v>
      </c>
      <c r="W76" s="2">
        <f ca="1">IFERROR(SUMIFS(INDIRECT("'Thanh Toán ("&amp;W$3&amp;")'!$F:$F"),INDIRECT("'Thanh Toán ("&amp;W$3&amp;")'!$D:$D"),'Tổng Đơn'!$B76),0)</f>
        <v>0</v>
      </c>
      <c r="X76" s="2">
        <f ca="1">IFERROR(SUMIFS(INDIRECT("'Thanh Toán ("&amp;X$3&amp;")'!$F:$F"),INDIRECT("'Thanh Toán ("&amp;X$3&amp;")'!$D:$D"),'Tổng Đơn'!$B76),0)</f>
        <v>0</v>
      </c>
      <c r="Y76" s="2">
        <f ca="1">IFERROR(SUMIFS(INDIRECT("'Thanh Toán ("&amp;Y$3&amp;")'!$F:$F"),INDIRECT("'Thanh Toán ("&amp;Y$3&amp;")'!$D:$D"),'Tổng Đơn'!$B76),0)</f>
        <v>0</v>
      </c>
      <c r="Z76" s="2">
        <f ca="1">IFERROR(SUMIFS(INDIRECT("'Thanh Toán ("&amp;Z$3&amp;")'!$F:$F"),INDIRECT("'Thanh Toán ("&amp;Z$3&amp;")'!$D:$D"),'Tổng Đơn'!$B76),0)</f>
        <v>0</v>
      </c>
      <c r="AA76" s="2">
        <f ca="1">IFERROR(SUMIFS(INDIRECT("'Thanh Toán ("&amp;AA$3&amp;")'!$F:$F"),INDIRECT("'Thanh Toán ("&amp;AA$3&amp;")'!$D:$D"),'Tổng Đơn'!$B76),0)</f>
        <v>0</v>
      </c>
      <c r="AB76" s="2">
        <f ca="1">IFERROR(SUMIFS(INDIRECT("'Thanh Toán ("&amp;AB$3&amp;")'!$F:$F"),INDIRECT("'Thanh Toán ("&amp;AB$3&amp;")'!$D:$D"),'Tổng Đơn'!$B76),0)</f>
        <v>0</v>
      </c>
      <c r="AC76" s="2">
        <f ca="1">IFERROR(SUMIFS(INDIRECT("'Thanh Toán ("&amp;AC$3&amp;")'!$F:$F"),INDIRECT("'Thanh Toán ("&amp;AC$3&amp;")'!$D:$D"),'Tổng Đơn'!$B76),0)</f>
        <v>0</v>
      </c>
      <c r="AD76" s="2">
        <f ca="1">IFERROR(SUMIFS(INDIRECT("'Thanh Toán ("&amp;AD$3&amp;")'!$F:$F"),INDIRECT("'Thanh Toán ("&amp;AD$3&amp;")'!$D:$D"),'Tổng Đơn'!$B76),0)</f>
        <v>0</v>
      </c>
      <c r="AE76" s="2">
        <f ca="1">IFERROR(SUMIFS(INDIRECT("'Thanh Toán ("&amp;AE$3&amp;")'!$F:$F"),INDIRECT("'Thanh Toán ("&amp;AE$3&amp;")'!$D:$D"),'Tổng Đơn'!$B76),0)</f>
        <v>0</v>
      </c>
      <c r="AF76" s="2">
        <f ca="1">IFERROR(SUMIFS(INDIRECT("'Thanh Toán ("&amp;AF$3&amp;")'!$F:$F"),INDIRECT("'Thanh Toán ("&amp;AF$3&amp;")'!$D:$D"),'Tổng Đơn'!$B76),0)</f>
        <v>0</v>
      </c>
      <c r="AG76" s="2">
        <f ca="1">IFERROR(SUMIFS(INDIRECT("'Thanh Toán ("&amp;AG$3&amp;")'!$F:$F"),INDIRECT("'Thanh Toán ("&amp;AG$3&amp;")'!$D:$D"),'Tổng Đơn'!$B76),0)</f>
        <v>0</v>
      </c>
      <c r="AH76" s="2">
        <f ca="1">IFERROR(SUMIFS(INDIRECT("'Thanh Toán ("&amp;AH$3&amp;")'!$F:$F"),INDIRECT("'Thanh Toán ("&amp;AH$3&amp;")'!$D:$D"),'Tổng Đơn'!$B76),0)</f>
        <v>0</v>
      </c>
      <c r="AI76" s="2">
        <f ca="1">IFERROR(SUMIFS(INDIRECT("'Thanh Toán ("&amp;AI$3&amp;")'!$F:$F"),INDIRECT("'Thanh Toán ("&amp;AI$3&amp;")'!$D:$D"),'Tổng Đơn'!$B76),0)</f>
        <v>0</v>
      </c>
      <c r="AJ76" s="2">
        <f ca="1">IFERROR(SUMIFS(INDIRECT("'Thanh Toán ("&amp;AJ$3&amp;")'!$F:$F"),INDIRECT("'Thanh Toán ("&amp;AJ$3&amp;")'!$D:$D"),'Tổng Đơn'!$B76),0)</f>
        <v>0</v>
      </c>
      <c r="AK76" s="2">
        <f ca="1">IFERROR(SUMIFS(INDIRECT("'Thanh Toán ("&amp;AK$3&amp;")'!$F:$F"),INDIRECT("'Thanh Toán ("&amp;AK$3&amp;")'!$D:$D"),'Tổng Đơn'!$B76),0)</f>
        <v>0</v>
      </c>
      <c r="AL76" s="2">
        <f ca="1">IFERROR(SUMIFS(INDIRECT("'Thanh Toán ("&amp;AL$3&amp;")'!$F:$F"),INDIRECT("'Thanh Toán ("&amp;AL$3&amp;")'!$D:$D"),'Tổng Đơn'!$B76),0)</f>
        <v>0</v>
      </c>
      <c r="AM76" s="2">
        <f ca="1">IFERROR(SUMIFS(INDIRECT("'Thanh Toán ("&amp;AM$3&amp;")'!$F:$F"),INDIRECT("'Thanh Toán ("&amp;AM$3&amp;")'!$D:$D"),'Tổng Đơn'!$B76),0)</f>
        <v>0</v>
      </c>
      <c r="AN76" s="2">
        <f ca="1">IFERROR(SUMIFS(INDIRECT("'Thanh Toán ("&amp;AN$3&amp;")'!$F:$F"),INDIRECT("'Thanh Toán ("&amp;AN$3&amp;")'!$D:$D"),'Tổng Đơn'!$B76),0)</f>
        <v>0</v>
      </c>
      <c r="AO76" s="2">
        <f ca="1">IFERROR(SUMIFS(INDIRECT("'Thanh Toán ("&amp;AO$3&amp;")'!$F:$F"),INDIRECT("'Thanh Toán ("&amp;AO$3&amp;")'!$D:$D"),'Tổng Đơn'!$B76),0)</f>
        <v>0</v>
      </c>
      <c r="AP76" s="2">
        <f ca="1">IFERROR(SUMIFS(INDIRECT("'Thanh Toán ("&amp;AP$3&amp;")'!$F:$F"),INDIRECT("'Thanh Toán ("&amp;AP$3&amp;")'!$D:$D"),'Tổng Đơn'!$B76),0)</f>
        <v>0</v>
      </c>
      <c r="AQ76" s="2">
        <f ca="1">IFERROR(SUMIFS(INDIRECT("'Thanh Toán ("&amp;AQ$3&amp;")'!$F:$F"),INDIRECT("'Thanh Toán ("&amp;AQ$3&amp;")'!$D:$D"),'Tổng Đơn'!$B76),0)</f>
        <v>0</v>
      </c>
      <c r="AR76" s="2">
        <f ca="1">IFERROR(SUMIFS(INDIRECT("'Thanh Toán ("&amp;AR$3&amp;")'!$F:$F"),INDIRECT("'Thanh Toán ("&amp;AR$3&amp;")'!$D:$D"),'Tổng Đơn'!$B76),0)</f>
        <v>0</v>
      </c>
      <c r="AS76" s="2">
        <f ca="1">IFERROR(SUMIFS(INDIRECT("'Thanh Toán ("&amp;AS$3&amp;")'!$F:$F"),INDIRECT("'Thanh Toán ("&amp;AS$3&amp;")'!$D:$D"),'Tổng Đơn'!$B76),0)</f>
        <v>0</v>
      </c>
      <c r="AT76" s="2">
        <f ca="1">IFERROR(SUMIFS(INDIRECT("'Thanh Toán ("&amp;AT$3&amp;")'!$F:$F"),INDIRECT("'Thanh Toán ("&amp;AT$3&amp;")'!$D:$D"),'Tổng Đơn'!$B76),0)</f>
        <v>0</v>
      </c>
      <c r="AU76" s="2">
        <f ca="1">IFERROR(SUMIFS(INDIRECT("'Thanh Toán ("&amp;AU$3&amp;")'!$F:$F"),INDIRECT("'Thanh Toán ("&amp;AU$3&amp;")'!$D:$D"),'Tổng Đơn'!$B76),0)</f>
        <v>0</v>
      </c>
      <c r="AV76" s="2">
        <f ca="1">IFERROR(SUMIFS(INDIRECT("'Thanh Toán ("&amp;AV$3&amp;")'!$F:$F"),INDIRECT("'Thanh Toán ("&amp;AV$3&amp;")'!$D:$D"),'Tổng Đơn'!$B76),0)</f>
        <v>0</v>
      </c>
      <c r="AW76" s="2">
        <f ca="1">IFERROR(SUMIFS(INDIRECT("'Thanh Toán ("&amp;AW$3&amp;")'!$F:$F"),INDIRECT("'Thanh Toán ("&amp;AW$3&amp;")'!$D:$D"),'Tổng Đơn'!$B76),0)</f>
        <v>0</v>
      </c>
      <c r="AX76" s="2">
        <f ca="1">IFERROR(SUMIFS(INDIRECT("'Thanh Toán ("&amp;AX$3&amp;")'!$F:$F"),INDIRECT("'Thanh Toán ("&amp;AX$3&amp;")'!$D:$D"),'Tổng Đơn'!$B76),0)</f>
        <v>0</v>
      </c>
      <c r="AY76" s="2">
        <f ca="1">IFERROR(SUMIFS(INDIRECT("'Thanh Toán ("&amp;AY$3&amp;")'!$F:$F"),INDIRECT("'Thanh Toán ("&amp;AY$3&amp;")'!$D:$D"),'Tổng Đơn'!$B76),0)</f>
        <v>0</v>
      </c>
      <c r="AZ76" s="2">
        <f ca="1">IFERROR(SUMIFS(INDIRECT("'Thanh Toán ("&amp;AZ$3&amp;")'!$F:$F"),INDIRECT("'Thanh Toán ("&amp;AZ$3&amp;")'!$D:$D"),'Tổng Đơn'!$B76),0)</f>
        <v>0</v>
      </c>
      <c r="BA76" s="2">
        <f ca="1">IFERROR(SUMIFS(INDIRECT("'Thanh Toán ("&amp;BA$3&amp;")'!$F:$F"),INDIRECT("'Thanh Toán ("&amp;BA$3&amp;")'!$D:$D"),'Tổng Đơn'!$B76),0)</f>
        <v>0</v>
      </c>
      <c r="BB76" s="2">
        <f ca="1">IFERROR(SUMIFS(INDIRECT("'Thanh Toán ("&amp;BB$3&amp;")'!$F:$F"),INDIRECT("'Thanh Toán ("&amp;BB$3&amp;")'!$D:$D"),'Tổng Đơn'!$B76),0)</f>
        <v>0</v>
      </c>
      <c r="BC76" s="2">
        <f ca="1">IFERROR(SUMIFS(INDIRECT("'Thanh Toán ("&amp;BC$3&amp;")'!$F:$F"),INDIRECT("'Thanh Toán ("&amp;BC$3&amp;")'!$D:$D"),'Tổng Đơn'!$B76),0)</f>
        <v>0</v>
      </c>
    </row>
  </sheetData>
  <sheetProtection formatCells="0" formatColumns="0" formatRows="0" insertColumns="0" insertRows="0" insertHyperlinks="0" deleteColumns="0" deleteRows="0" sort="0" autoFilter="0" pivotTables="0"/>
  <autoFilter ref="A4:AO76"/>
  <mergeCells count="6">
    <mergeCell ref="A1:A2"/>
    <mergeCell ref="F1:F2"/>
    <mergeCell ref="D1:D2"/>
    <mergeCell ref="C1:C2"/>
    <mergeCell ref="B1:B2"/>
    <mergeCell ref="E1:E2"/>
  </mergeCells>
  <conditionalFormatting sqref="I5:I76">
    <cfRule type="cellIs" dxfId="286" priority="2" operator="lessThan">
      <formula>0.1</formula>
    </cfRule>
  </conditionalFormatting>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4" t="s">
        <v>188</v>
      </c>
      <c r="D1" s="264"/>
      <c r="E1" s="264"/>
      <c r="F1" s="264"/>
      <c r="G1" s="264"/>
      <c r="H1" s="264"/>
    </row>
    <row r="2" spans="1:14" ht="15.75" customHeight="1" x14ac:dyDescent="0.25">
      <c r="C2" s="264"/>
      <c r="D2" s="264"/>
      <c r="E2" s="264"/>
      <c r="F2" s="264"/>
      <c r="G2" s="264"/>
      <c r="H2" s="264"/>
    </row>
    <row r="3" spans="1:14" ht="15" customHeight="1" x14ac:dyDescent="0.25">
      <c r="C3" s="265" t="s">
        <v>190</v>
      </c>
      <c r="D3" s="265"/>
      <c r="E3" s="265"/>
      <c r="F3" s="266" t="s">
        <v>192</v>
      </c>
      <c r="G3" s="266"/>
      <c r="H3" s="266"/>
    </row>
    <row r="4" spans="1:14" x14ac:dyDescent="0.25">
      <c r="C4" s="267" t="s">
        <v>191</v>
      </c>
      <c r="D4" s="267"/>
      <c r="E4" s="267"/>
      <c r="F4" s="268" t="s">
        <v>193</v>
      </c>
      <c r="G4" s="268"/>
      <c r="H4" s="268"/>
    </row>
    <row r="5" spans="1:14" s="145" customFormat="1" ht="21" customHeight="1" x14ac:dyDescent="0.25">
      <c r="C5" s="269" t="s">
        <v>189</v>
      </c>
      <c r="D5" s="269"/>
      <c r="E5" s="269"/>
      <c r="F5" s="269"/>
      <c r="G5" s="269"/>
      <c r="H5" s="269"/>
    </row>
    <row r="6" spans="1:14" s="145" customFormat="1" ht="17.25" customHeight="1" x14ac:dyDescent="0.25">
      <c r="C6" s="154" t="s">
        <v>194</v>
      </c>
      <c r="D6" s="158"/>
      <c r="E6" s="150"/>
      <c r="F6" s="150"/>
      <c r="G6" s="263" t="str">
        <f ca="1">"Ngày "&amp;DAY(TODAY())&amp;" Tháng "&amp;MONTH(TODAY())&amp;" Năm "&amp;YEAR(TODAY())</f>
        <v>Ngày 29 Tháng 8 Năm 2022</v>
      </c>
      <c r="H6" s="263"/>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0</v>
      </c>
      <c r="L7" s="145"/>
    </row>
    <row r="8" spans="1:14" s="29" customFormat="1" ht="14.25" customHeight="1" x14ac:dyDescent="0.25">
      <c r="A8" s="155"/>
      <c r="B8" s="155"/>
      <c r="C8" s="30" t="str">
        <f t="shared" ref="C8:C22" si="0">IF(OR(SUM($C7,$A8&lt;&gt;"")=0,$A8=""),"",SUM($C7,$A8&lt;&gt;""))</f>
        <v/>
      </c>
      <c r="D8" s="152" t="str">
        <f>IFERROR(VLOOKUP($A8,Sheet1!$A$1:$B$98,2,0),"")</f>
        <v/>
      </c>
      <c r="E8" s="30" t="str">
        <f>IFERROR(VLOOKUP($A8,'Tổng Đơn'!$A$5:$E$75,5,0),"")</f>
        <v/>
      </c>
      <c r="F8" s="30" t="str">
        <f t="shared" ref="F8:F22" si="1">IF($B8="","",B8)</f>
        <v/>
      </c>
      <c r="G8" s="162" t="str">
        <f>IFERROR(VLOOKUP($A8,Sheet1!$A1:$D$98,4,0),"")</f>
        <v/>
      </c>
      <c r="H8" s="153" t="str">
        <f>IF($C7=MAX($C$8:$C$56),SUM($H7:$H$8),IFERROR($G8*$F8,""))</f>
        <v/>
      </c>
      <c r="I8" s="55" t="str">
        <f t="shared" ref="I8:I37" si="2">IF(TYPE($A8)&lt;&gt;1,"",IFERROR(F8*E8,""))</f>
        <v/>
      </c>
      <c r="L8" s="32"/>
    </row>
    <row r="9" spans="1:14" s="29" customFormat="1" ht="14.25" customHeight="1" x14ac:dyDescent="0.25">
      <c r="A9" s="155"/>
      <c r="B9" s="155"/>
      <c r="C9" s="30" t="str">
        <f t="shared" si="0"/>
        <v/>
      </c>
      <c r="D9" s="152" t="str">
        <f>IFERROR(VLOOKUP($A9,Sheet1!$A$1:$B$98,2,0),"")</f>
        <v/>
      </c>
      <c r="E9" s="30" t="str">
        <f>IFERROR(VLOOKUP($A9,'Tổng Đơn'!$A$5:$E$76,5,0),"")</f>
        <v/>
      </c>
      <c r="F9" s="30" t="str">
        <f t="shared" si="1"/>
        <v/>
      </c>
      <c r="G9" s="162" t="str">
        <f>IF(AND($C9="",$C8&lt;&gt;""),"Tổng Cộng",IFERROR(VLOOKUP($A9,Sheet1!$A$1:$D$98,4,0),""))</f>
        <v/>
      </c>
      <c r="H9" s="153" t="str">
        <f>IF($C8=MAX($C$8:$C$56),SUM($H$8:$H8),IFERROR($G9*$F9,""))</f>
        <v/>
      </c>
      <c r="I9" s="55" t="str">
        <f t="shared" si="2"/>
        <v/>
      </c>
      <c r="L9" s="31"/>
    </row>
    <row r="10" spans="1:14" s="29" customFormat="1" ht="14.25" customHeight="1" x14ac:dyDescent="0.25">
      <c r="A10" s="155"/>
      <c r="B10" s="155"/>
      <c r="C10" s="30" t="str">
        <f t="shared" si="0"/>
        <v/>
      </c>
      <c r="D10" s="152" t="str">
        <f>IFERROR(VLOOKUP($A10,Sheet1!$A$1:$B$98,2,0),"")</f>
        <v/>
      </c>
      <c r="E10" s="30" t="str">
        <f>IFERROR(VLOOKUP($A10,'Tổng Đơn'!$A$5:$E$76,5,0),"")</f>
        <v/>
      </c>
      <c r="F10" s="30" t="str">
        <f t="shared" si="1"/>
        <v/>
      </c>
      <c r="G10" s="162" t="str">
        <f>IF(AND($C10="",$C9&lt;&gt;""),"Tổng Cộng",IFERROR(VLOOKUP($A10,Sheet1!$A$1:$D$98,4,0),""))</f>
        <v/>
      </c>
      <c r="H10" s="153" t="str">
        <f>IF($C9=MAX($C$8:$C$56),SUM($H$8:$H9),IFERROR($G10*$F10,""))</f>
        <v/>
      </c>
      <c r="I10" s="55" t="str">
        <f t="shared" si="2"/>
        <v/>
      </c>
      <c r="L10" s="31"/>
    </row>
    <row r="11" spans="1:14" s="29" customFormat="1" ht="14.25" customHeight="1" x14ac:dyDescent="0.25">
      <c r="A11" s="155"/>
      <c r="B11" s="155"/>
      <c r="C11" s="30" t="str">
        <f t="shared" si="0"/>
        <v/>
      </c>
      <c r="D11" s="152" t="str">
        <f>IFERROR(VLOOKUP($A11,Sheet1!$A$1:$B$98,2,0),"")</f>
        <v/>
      </c>
      <c r="E11" s="30" t="str">
        <f>IFERROR(VLOOKUP($A11,'Tổng Đơn'!$A$5:$E$76,5,0),"")</f>
        <v/>
      </c>
      <c r="F11" s="30" t="str">
        <f t="shared" si="1"/>
        <v/>
      </c>
      <c r="G11" s="162" t="str">
        <f>IF(AND($C11="",$C10&lt;&gt;""),"Tổng Cộng",IFERROR(VLOOKUP($A11,Sheet1!$A$1:$D$98,4,0),""))</f>
        <v/>
      </c>
      <c r="H11" s="153" t="str">
        <f>IF($C10=MAX($C$8:$C$56),SUM($H$8:$H10),IFERROR($G11*$F11,""))</f>
        <v/>
      </c>
      <c r="I11" s="55" t="str">
        <f t="shared" si="2"/>
        <v/>
      </c>
      <c r="L11" s="31"/>
    </row>
    <row r="12" spans="1:14" s="29" customFormat="1" ht="14.25" customHeight="1" x14ac:dyDescent="0.25">
      <c r="A12" s="155"/>
      <c r="B12" s="155"/>
      <c r="C12" s="30" t="str">
        <f t="shared" si="0"/>
        <v/>
      </c>
      <c r="D12" s="152" t="str">
        <f>IFERROR(VLOOKUP($A12,Sheet1!$A$1:$B$98,2,0),"")</f>
        <v/>
      </c>
      <c r="E12" s="30" t="str">
        <f>IFERROR(VLOOKUP($A12,'Tổng Đơn'!$A$5:$E$76,5,0),"")</f>
        <v/>
      </c>
      <c r="F12" s="30" t="str">
        <f t="shared" si="1"/>
        <v/>
      </c>
      <c r="G12" s="162"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c r="B13" s="155"/>
      <c r="C13" s="30" t="str">
        <f t="shared" si="0"/>
        <v/>
      </c>
      <c r="D13" s="152" t="str">
        <f>IFERROR(VLOOKUP($A13,Sheet1!$A$1:$B$98,2,0),"")</f>
        <v/>
      </c>
      <c r="E13" s="30" t="str">
        <f>IFERROR(VLOOKUP($A13,'Tổng Đơn'!$A$5:$E$76,5,0),"")</f>
        <v/>
      </c>
      <c r="F13" s="30" t="str">
        <f t="shared" si="1"/>
        <v/>
      </c>
      <c r="G13" s="162" t="str">
        <f>IF(AND($C13="",$C12&lt;&gt;""),"Tổng Cộng",IFERROR(VLOOKUP($A13,Sheet1!$A$1:$D$98,4,0),""))</f>
        <v/>
      </c>
      <c r="H13" s="153" t="str">
        <f>IF($C12=MAX($C$8:$C$56),SUM($H$8:$H12),IFERROR($G13*$F13,""))</f>
        <v/>
      </c>
      <c r="I13" s="55" t="str">
        <f t="shared" si="2"/>
        <v/>
      </c>
      <c r="L13" s="31"/>
    </row>
    <row r="14" spans="1:14" s="29" customFormat="1" ht="14.25" customHeight="1" x14ac:dyDescent="0.25">
      <c r="A14" s="155"/>
      <c r="B14" s="155"/>
      <c r="C14" s="30" t="str">
        <f t="shared" si="0"/>
        <v/>
      </c>
      <c r="D14" s="152" t="str">
        <f>IFERROR(VLOOKUP($A14,Sheet1!$A$1:$B$98,2,0),"")</f>
        <v/>
      </c>
      <c r="E14" s="30" t="str">
        <f>IFERROR(VLOOKUP($A14,'Tổng Đơn'!$A$5:$E$76,5,0),"")</f>
        <v/>
      </c>
      <c r="F14" s="30" t="str">
        <f t="shared" si="1"/>
        <v/>
      </c>
      <c r="G14" s="162" t="str">
        <f>IF(AND($C14="",$C13&lt;&gt;""),"Tổng Cộng",IFERROR(VLOOKUP($A14,Sheet1!$A$1:$D$98,4,0),""))</f>
        <v/>
      </c>
      <c r="H14" s="153" t="str">
        <f>IF($C13=MAX($C$8:$C$56),SUM($H$8:$H13),IFERROR($G14*$F14,""))</f>
        <v/>
      </c>
      <c r="I14" s="55" t="str">
        <f t="shared" si="2"/>
        <v/>
      </c>
      <c r="L14" s="31"/>
      <c r="M14" s="136"/>
    </row>
    <row r="15" spans="1:14" s="29" customFormat="1" ht="14.25" customHeight="1" x14ac:dyDescent="0.25">
      <c r="A15" s="155"/>
      <c r="B15" s="155"/>
      <c r="C15" s="30" t="str">
        <f t="shared" si="0"/>
        <v/>
      </c>
      <c r="D15" s="152" t="str">
        <f>IFERROR(VLOOKUP($A15,Sheet1!$A$1:$B$98,2,0),"")</f>
        <v/>
      </c>
      <c r="E15" s="30" t="str">
        <f>IFERROR(VLOOKUP($A15,'Tổng Đơn'!$A$5:$E$75,5,0),"")</f>
        <v/>
      </c>
      <c r="F15" s="30" t="str">
        <f t="shared" si="1"/>
        <v/>
      </c>
      <c r="G15" s="162" t="str">
        <f>IF(AND($C15="",$C14&lt;&gt;""),"Tổng Cộng",IFERROR(VLOOKUP($A15,Sheet1!$A$1:$D$98,4,0),""))</f>
        <v/>
      </c>
      <c r="H15" s="153" t="str">
        <f>IF($C14=MAX($C$8:$C$56),SUM($H$8:$H14),IFERROR($G15*$F15,""))</f>
        <v/>
      </c>
      <c r="I15" s="55" t="str">
        <f t="shared" si="2"/>
        <v/>
      </c>
      <c r="L15" s="31"/>
    </row>
    <row r="16" spans="1:14" s="29" customFormat="1" ht="14.25" customHeight="1" x14ac:dyDescent="0.25">
      <c r="A16" s="155"/>
      <c r="B16" s="155"/>
      <c r="C16" s="30" t="str">
        <f t="shared" si="0"/>
        <v/>
      </c>
      <c r="D16" s="152" t="str">
        <f>IFERROR(VLOOKUP($A16,Sheet1!$A$1:$B$98,2,0),"")</f>
        <v/>
      </c>
      <c r="E16" s="30" t="str">
        <f>IFERROR(VLOOKUP($A16,'Tổng Đơn'!$A$5:$E$75,5,0),"")</f>
        <v/>
      </c>
      <c r="F16" s="30" t="str">
        <f t="shared" si="1"/>
        <v/>
      </c>
      <c r="G16" s="162" t="str">
        <f>IF(AND($C16="",$C15&lt;&gt;""),"Tổng Cộng",IFERROR(VLOOKUP($A16,Sheet1!$A$1:$D$98,4,0),""))</f>
        <v/>
      </c>
      <c r="H16" s="153" t="str">
        <f>IF($C15=MAX($C$8:$C$56),SUM($H$8:$H15),IFERROR($G16*$F16,""))</f>
        <v/>
      </c>
      <c r="I16" s="55" t="str">
        <f t="shared" si="2"/>
        <v/>
      </c>
      <c r="L16" s="31"/>
    </row>
    <row r="17" spans="1:12" s="29" customFormat="1" ht="14.25" customHeight="1" x14ac:dyDescent="0.25">
      <c r="A17" s="155"/>
      <c r="B17" s="155"/>
      <c r="C17" s="30" t="str">
        <f t="shared" si="0"/>
        <v/>
      </c>
      <c r="D17" s="161" t="str">
        <f>IFERROR(VLOOKUP($A17,Sheet1!$A$1:$B$98,2,0),"")</f>
        <v/>
      </c>
      <c r="E17" s="30" t="str">
        <f>IFERROR(VLOOKUP($A17,'Tổng Đơn'!$A$5:$E$75,5,0),"")</f>
        <v/>
      </c>
      <c r="F17" s="30" t="str">
        <f t="shared" si="1"/>
        <v/>
      </c>
      <c r="G17" s="162" t="str">
        <f>IF(AND($C17="",$C16&lt;&gt;""),"Tổng Cộng",IFERROR(VLOOKUP($A17,Sheet1!$A$1:$D$98,4,0),""))</f>
        <v/>
      </c>
      <c r="H17" s="153" t="str">
        <f>IF($C16=MAX($C$8:$C$56),SUM($H$8:$H16),IFERROR($G17*$F17,""))</f>
        <v/>
      </c>
      <c r="I17" s="55" t="str">
        <f t="shared" si="2"/>
        <v/>
      </c>
      <c r="L17" s="31"/>
    </row>
    <row r="18" spans="1:12" s="29" customFormat="1" ht="14.25" customHeight="1" x14ac:dyDescent="0.25">
      <c r="A18" s="155"/>
      <c r="B18" s="155"/>
      <c r="C18" s="30" t="str">
        <f t="shared" si="0"/>
        <v/>
      </c>
      <c r="D18" s="161" t="str">
        <f>IFERROR(VLOOKUP($A18,Sheet1!$A$1:$B$98,2,0),"")</f>
        <v/>
      </c>
      <c r="E18" s="30" t="str">
        <f>IFERROR(VLOOKUP($A18,'Tổng Đơn'!$A$5:$E$75,5,0),"")</f>
        <v/>
      </c>
      <c r="F18" s="30" t="str">
        <f t="shared" si="1"/>
        <v/>
      </c>
      <c r="G18" s="162" t="str">
        <f>IF(AND($C18="",$C17&lt;&gt;""),"Tổng Cộng",IFERROR(VLOOKUP($A18,Sheet1!$A$1:$D$98,4,0),""))</f>
        <v/>
      </c>
      <c r="H18" s="153" t="str">
        <f>IF($C17=MAX($C$8:$C$56),SUM($H$8:$H17),IFERROR($G18*$F18,""))</f>
        <v/>
      </c>
      <c r="I18" s="55" t="str">
        <f t="shared" si="2"/>
        <v/>
      </c>
      <c r="L18" s="31"/>
    </row>
    <row r="19" spans="1:12" s="29" customFormat="1" ht="14.25" customHeight="1" x14ac:dyDescent="0.25">
      <c r="A19" s="155"/>
      <c r="B19" s="155"/>
      <c r="C19" s="30" t="str">
        <f t="shared" si="0"/>
        <v/>
      </c>
      <c r="D19" s="161" t="str">
        <f>IFERROR(VLOOKUP($A19,Sheet1!$A$1:$B$98,2,0),"")</f>
        <v/>
      </c>
      <c r="E19" s="30" t="str">
        <f>IFERROR(VLOOKUP($A19,'Tổng Đơn'!$A$5:$E$75,5,0),"")</f>
        <v/>
      </c>
      <c r="F19" s="30" t="str">
        <f t="shared" si="1"/>
        <v/>
      </c>
      <c r="G19" s="162" t="str">
        <f>IF(AND($C19="",$C18&lt;&gt;""),"Tổng Cộng",IFERROR(VLOOKUP($A19,Sheet1!$A$1:$D$98,4,0),""))</f>
        <v/>
      </c>
      <c r="H19" s="153" t="str">
        <f>IF($C18=MAX($C$8:$C$56),SUM($H$8:$H18),IFERROR($G19*$F19,""))</f>
        <v/>
      </c>
      <c r="I19" s="55" t="str">
        <f t="shared" si="2"/>
        <v/>
      </c>
      <c r="L19" s="31"/>
    </row>
    <row r="20" spans="1:12" s="29" customFormat="1" ht="14.25" customHeight="1" x14ac:dyDescent="0.25">
      <c r="A20" s="155"/>
      <c r="B20" s="155"/>
      <c r="C20" s="30" t="str">
        <f t="shared" si="0"/>
        <v/>
      </c>
      <c r="D20" s="161" t="str">
        <f>IFERROR(VLOOKUP($A20,Sheet1!$A$1:$B$98,2,0),"")</f>
        <v/>
      </c>
      <c r="E20" s="30" t="str">
        <f>IFERROR(VLOOKUP($A20,'Tổng Đơn'!$A$5:$E$75,5,0),"")</f>
        <v/>
      </c>
      <c r="F20" s="30" t="str">
        <f t="shared" si="1"/>
        <v/>
      </c>
      <c r="G20" s="162" t="str">
        <f>IF(AND($C20="",$C19&lt;&gt;""),"Tổng Cộng",IFERROR(VLOOKUP($A20,Sheet1!$A$1:$D$98,4,0),""))</f>
        <v/>
      </c>
      <c r="H20" s="153" t="str">
        <f>IF($C19=MAX($C$8:$C$56),SUM($H$8:$H19),IFERROR($G20*$F20,""))</f>
        <v/>
      </c>
      <c r="I20" s="55" t="str">
        <f t="shared" si="2"/>
        <v/>
      </c>
      <c r="L20" s="31"/>
    </row>
    <row r="21" spans="1:12" s="29" customFormat="1" ht="14.25" customHeight="1" x14ac:dyDescent="0.25">
      <c r="A21" s="155"/>
      <c r="B21" s="155"/>
      <c r="C21" s="30" t="str">
        <f t="shared" si="0"/>
        <v/>
      </c>
      <c r="D21" s="161" t="str">
        <f>IFERROR(VLOOKUP($A21,Sheet1!$A$1:$B$98,2,0),"")</f>
        <v/>
      </c>
      <c r="E21" s="30" t="str">
        <f>IFERROR(VLOOKUP($A21,'Tổng Đơn'!$A$5:$E$75,5,0),"")</f>
        <v/>
      </c>
      <c r="F21" s="30" t="str">
        <f t="shared" si="1"/>
        <v/>
      </c>
      <c r="G21" s="162" t="str">
        <f>IF(AND($C21="",$C20&lt;&gt;""),"Tổng Cộng",IFERROR(VLOOKUP($A21,Sheet1!$A$1:$D$98,4,0),""))</f>
        <v/>
      </c>
      <c r="H21" s="153" t="str">
        <f>IF($C20=MAX($C$8:$C$56),SUM($H$8:$H20),IFERROR($G21*$F21,""))</f>
        <v/>
      </c>
      <c r="I21" s="55" t="str">
        <f t="shared" si="2"/>
        <v/>
      </c>
      <c r="L21" s="31"/>
    </row>
    <row r="22" spans="1:12" s="29" customFormat="1" ht="14.25" customHeight="1" x14ac:dyDescent="0.25">
      <c r="A22" s="155"/>
      <c r="B22" s="155"/>
      <c r="C22" s="30" t="str">
        <f t="shared" si="0"/>
        <v/>
      </c>
      <c r="D22" s="152" t="str">
        <f>IFERROR(VLOOKUP($A22,Sheet1!$A$1:$B$98,2,0),"")</f>
        <v/>
      </c>
      <c r="E22" s="30" t="str">
        <f>IFERROR(VLOOKUP($A22,'Tổng Đơn'!$A$5:$E$75,5,0),"")</f>
        <v/>
      </c>
      <c r="F22" s="30" t="str">
        <f t="shared" si="1"/>
        <v/>
      </c>
      <c r="G22" s="162" t="str">
        <f>IF(AND($C22="",$C21&lt;&gt;""),"Tổng Cộng",IFERROR(VLOOKUP($A22,Sheet1!$A$1:$D$98,4,0),""))</f>
        <v/>
      </c>
      <c r="H22" s="153" t="str">
        <f>IF($C21=MAX($C$8:$C$56),SUM($H$8:$H21),IFERROR($G22*$F22,""))</f>
        <v/>
      </c>
      <c r="I22" s="55" t="str">
        <f t="shared" si="2"/>
        <v/>
      </c>
      <c r="L22" s="31"/>
    </row>
    <row r="23" spans="1:12" s="29" customFormat="1" ht="14.25" customHeight="1" x14ac:dyDescent="0.25">
      <c r="A23" s="155"/>
      <c r="B23" s="155"/>
      <c r="C23" s="30" t="str">
        <f t="shared" ref="C23:C37" si="3">IF(OR(SUM($C22,$A23&lt;&gt;"")=0,$A23=""),"",SUM($C22,$A23&lt;&gt;""))</f>
        <v/>
      </c>
      <c r="D23" s="152" t="str">
        <f>IFERROR(VLOOKUP($A23,Sheet1!$A$1:$B$98,2,0),"")</f>
        <v/>
      </c>
      <c r="E23" s="30" t="str">
        <f>IFERROR(VLOOKUP($A23,'Tổng Đơn'!$A$5:$E$75,5,0),"")</f>
        <v/>
      </c>
      <c r="F23" s="30" t="str">
        <f t="shared" ref="F23:F37" si="4">IF($B23="","",B23)</f>
        <v/>
      </c>
      <c r="G23" s="162" t="str">
        <f>IF(AND($C23="",$C22&lt;&gt;""),"Tổng Cộng",IFERROR(VLOOKUP($A23,Sheet1!$A$1:$D$98,4,0),""))</f>
        <v/>
      </c>
      <c r="H23" s="153" t="str">
        <f>IF($C22=MAX($C$8:$C$56),SUM($H$8:$H22),IFERROR($G23*$F23,""))</f>
        <v/>
      </c>
      <c r="I23" s="55" t="str">
        <f t="shared" si="2"/>
        <v/>
      </c>
      <c r="L23" s="31"/>
    </row>
    <row r="24" spans="1:12" s="29" customFormat="1" ht="14.25" customHeight="1" x14ac:dyDescent="0.25">
      <c r="A24" s="155"/>
      <c r="B24" s="155"/>
      <c r="C24" s="30" t="str">
        <f t="shared" si="3"/>
        <v/>
      </c>
      <c r="D24" s="152" t="str">
        <f>IFERROR(VLOOKUP($A24,Sheet1!$A$1:$B$98,2,0),"")</f>
        <v/>
      </c>
      <c r="E24" s="30" t="str">
        <f>IFERROR(VLOOKUP($A24,'Tổng Đơn'!$A$5:$E$75,5,0),"")</f>
        <v/>
      </c>
      <c r="F24" s="30" t="str">
        <f t="shared" si="4"/>
        <v/>
      </c>
      <c r="G24" s="162" t="str">
        <f>IF(AND($C24="",$C23&lt;&gt;""),"Tổng Cộng",IFERROR(VLOOKUP($A24,Sheet1!$A$1:$D$98,4,0),""))</f>
        <v/>
      </c>
      <c r="H24" s="153" t="str">
        <f>IF($C23=MAX($C$8:$C$56),SUM($H$8:$H23),IFERROR($G24*$F24,""))</f>
        <v/>
      </c>
      <c r="I24" s="55" t="str">
        <f t="shared" si="2"/>
        <v/>
      </c>
      <c r="L24" s="31"/>
    </row>
    <row r="25" spans="1:12" s="29" customFormat="1" ht="14.25" customHeight="1" x14ac:dyDescent="0.25">
      <c r="A25" s="155"/>
      <c r="B25" s="155"/>
      <c r="C25" s="30" t="str">
        <f t="shared" si="3"/>
        <v/>
      </c>
      <c r="D25" s="152" t="str">
        <f>IFERROR(VLOOKUP($A25,Sheet1!$A$1:$B$98,2,0),"")</f>
        <v/>
      </c>
      <c r="E25" s="30" t="str">
        <f>IFERROR(VLOOKUP($A25,'Tổng Đơn'!$A$5:$E$75,5,0),"")</f>
        <v/>
      </c>
      <c r="F25" s="30" t="str">
        <f t="shared" si="4"/>
        <v/>
      </c>
      <c r="G25" s="162" t="str">
        <f>IF(AND($C25="",$C24&lt;&gt;""),"Tổng Cộng",IFERROR(VLOOKUP($A25,Sheet1!$A$1:$D$98,4,0),""))</f>
        <v/>
      </c>
      <c r="H25" s="153" t="str">
        <f>IF($C24=MAX($C$8:$C$56),SUM($H$8:$H24),IFERROR($G25*$F25,""))</f>
        <v/>
      </c>
      <c r="I25" s="55" t="str">
        <f t="shared" si="2"/>
        <v/>
      </c>
      <c r="L25" s="31"/>
    </row>
    <row r="26" spans="1:12" s="29" customFormat="1" ht="14.25" customHeight="1" x14ac:dyDescent="0.25">
      <c r="A26" s="155"/>
      <c r="B26" s="155"/>
      <c r="C26" s="30" t="str">
        <f t="shared" si="3"/>
        <v/>
      </c>
      <c r="D26" s="152" t="str">
        <f>IFERROR(VLOOKUP($A26,Sheet1!$A$1:$B$98,2,0),"")</f>
        <v/>
      </c>
      <c r="E26" s="30" t="str">
        <f>IFERROR(VLOOKUP($A26,'Tổng Đơn'!$A$5:$E$75,5,0),"")</f>
        <v/>
      </c>
      <c r="F26" s="30" t="str">
        <f t="shared" si="4"/>
        <v/>
      </c>
      <c r="G26" s="162" t="str">
        <f>IF(AND($C26="",$C25&lt;&gt;""),"Tổng Cộng",IFERROR(VLOOKUP($A26,Sheet1!$A$1:$D$98,4,0),""))</f>
        <v/>
      </c>
      <c r="H26" s="153" t="str">
        <f>IF($C25=MAX($C$8:$C$56),SUM($H$8:$H25),IFERROR($G26*$F26,""))</f>
        <v/>
      </c>
      <c r="I26" s="55" t="str">
        <f t="shared" si="2"/>
        <v/>
      </c>
      <c r="L26" s="31"/>
    </row>
    <row r="27" spans="1:12" s="29" customFormat="1" ht="14.25" customHeight="1" x14ac:dyDescent="0.25">
      <c r="A27" s="155"/>
      <c r="B27" s="155"/>
      <c r="C27" s="30" t="str">
        <f t="shared" si="3"/>
        <v/>
      </c>
      <c r="D27" s="152" t="str">
        <f>IFERROR(VLOOKUP($A27,Sheet1!$A$1:$B$98,2,0),"")</f>
        <v/>
      </c>
      <c r="E27" s="30" t="str">
        <f>IFERROR(VLOOKUP($A27,'Tổng Đơn'!$A$5:$E$75,5,0),"")</f>
        <v/>
      </c>
      <c r="F27" s="30" t="str">
        <f t="shared" si="4"/>
        <v/>
      </c>
      <c r="G27" s="162" t="str">
        <f>IF(AND($C27="",$C26&lt;&gt;""),"Tổng Cộng",IFERROR(VLOOKUP($A27,Sheet1!$A$1:$D$98,4,0),""))</f>
        <v/>
      </c>
      <c r="H27" s="153" t="str">
        <f>IF($C26=MAX($C$8:$C$56),SUM($H$8:$H26),IFERROR($G27*$F27,""))</f>
        <v/>
      </c>
      <c r="I27" s="55" t="str">
        <f t="shared" si="2"/>
        <v/>
      </c>
      <c r="L27" s="31"/>
    </row>
    <row r="28" spans="1:12" s="29" customFormat="1" ht="14.25" customHeight="1" x14ac:dyDescent="0.25">
      <c r="A28" s="155"/>
      <c r="B28" s="155"/>
      <c r="C28" s="30" t="str">
        <f t="shared" si="3"/>
        <v/>
      </c>
      <c r="D28" s="152" t="str">
        <f>IFERROR(VLOOKUP($A28,Sheet1!$A$1:$B$98,2,0),"")</f>
        <v/>
      </c>
      <c r="E28" s="30" t="str">
        <f>IFERROR(VLOOKUP($A28,'Tổng Đơn'!$A$5:$E$75,5,0),"")</f>
        <v/>
      </c>
      <c r="F28" s="30" t="str">
        <f t="shared" si="4"/>
        <v/>
      </c>
      <c r="G28" s="162" t="str">
        <f>IF(AND($C28="",$C27&lt;&gt;""),"Tổng Cộng",IFERROR(VLOOKUP($A28,Sheet1!$A$1:$D$98,4,0),""))</f>
        <v/>
      </c>
      <c r="H28" s="153" t="str">
        <f>IF($C27=MAX($C$8:$C$56),SUM($H$8:$H27),IFERROR($G28*$F28,""))</f>
        <v/>
      </c>
      <c r="I28" s="55" t="str">
        <f t="shared" si="2"/>
        <v/>
      </c>
      <c r="L28" s="31"/>
    </row>
    <row r="29" spans="1:12" s="29" customFormat="1" ht="14.25" customHeight="1" x14ac:dyDescent="0.25">
      <c r="A29" s="155"/>
      <c r="B29" s="155"/>
      <c r="C29" s="30" t="str">
        <f t="shared" si="3"/>
        <v/>
      </c>
      <c r="D29" s="152" t="str">
        <f>IFERROR(VLOOKUP($A29,Sheet1!$A$1:$B$98,2,0),"")</f>
        <v/>
      </c>
      <c r="E29" s="30" t="str">
        <f>IFERROR(VLOOKUP($A29,'Tổng Đơn'!$A$5:$E$75,5,0),"")</f>
        <v/>
      </c>
      <c r="F29" s="30" t="str">
        <f t="shared" si="4"/>
        <v/>
      </c>
      <c r="G29" s="162" t="str">
        <f>IF(AND($C29="",$C28&lt;&gt;""),"Tổng Cộng",IFERROR(VLOOKUP($A29,Sheet1!$A$1:$D$98,4,0),""))</f>
        <v/>
      </c>
      <c r="H29" s="153" t="str">
        <f>IF($C28=MAX($C$8:$C$56),SUM($H$8:$H28),IFERROR($G29*$F29,""))</f>
        <v/>
      </c>
      <c r="I29" s="55" t="str">
        <f t="shared" si="2"/>
        <v/>
      </c>
      <c r="L29" s="31"/>
    </row>
    <row r="30" spans="1:12" s="29" customFormat="1" ht="14.25" customHeight="1" x14ac:dyDescent="0.25">
      <c r="A30" s="155"/>
      <c r="B30" s="155"/>
      <c r="C30" s="30" t="str">
        <f t="shared" si="3"/>
        <v/>
      </c>
      <c r="D30" s="152" t="str">
        <f>IFERROR(VLOOKUP($A30,Sheet1!$A$1:$B$98,2,0),"")</f>
        <v/>
      </c>
      <c r="E30" s="30" t="str">
        <f>IFERROR(VLOOKUP($A30,'Tổng Đơn'!$A$5:$E$75,5,0),"")</f>
        <v/>
      </c>
      <c r="F30" s="30" t="str">
        <f t="shared" si="4"/>
        <v/>
      </c>
      <c r="G30" s="162" t="str">
        <f>IF(AND($C30="",$C29&lt;&gt;""),"Tổng Cộng",IFERROR(VLOOKUP($A30,Sheet1!$A$1:$D$98,4,0),""))</f>
        <v/>
      </c>
      <c r="H30" s="153" t="str">
        <f>IF($C29=MAX($C$8:$C$56),SUM($H$8:$H29),IFERROR($G30*$F30,""))</f>
        <v/>
      </c>
      <c r="I30" s="55" t="str">
        <f t="shared" si="2"/>
        <v/>
      </c>
      <c r="L30" s="31"/>
    </row>
    <row r="31" spans="1:12" s="29" customFormat="1" ht="14.25" customHeight="1" x14ac:dyDescent="0.25">
      <c r="A31" s="155"/>
      <c r="B31" s="155"/>
      <c r="C31" s="30" t="str">
        <f t="shared" si="3"/>
        <v/>
      </c>
      <c r="D31" s="152" t="str">
        <f>IFERROR(VLOOKUP($A31,Sheet1!$A$1:$B$98,2,0),"")</f>
        <v/>
      </c>
      <c r="E31" s="30" t="str">
        <f>IFERROR(VLOOKUP($A31,'Tổng Đơn'!$A$5:$E$75,5,0),"")</f>
        <v/>
      </c>
      <c r="F31" s="30" t="str">
        <f t="shared" si="4"/>
        <v/>
      </c>
      <c r="G31" s="162" t="str">
        <f>IF(AND($C31="",$C30&lt;&gt;""),"Tổng Cộng",IFERROR(VLOOKUP($A31,Sheet1!$A$1:$D$98,4,0),""))</f>
        <v/>
      </c>
      <c r="H31" s="153" t="str">
        <f>IF($C30=MAX($C$8:$C$56),SUM($H$8:$H30),IFERROR($G31*$F31,""))</f>
        <v/>
      </c>
      <c r="I31" s="55" t="str">
        <f t="shared" si="2"/>
        <v/>
      </c>
      <c r="L31" s="31"/>
    </row>
    <row r="32" spans="1:12" s="29" customFormat="1" ht="14.25" customHeight="1" x14ac:dyDescent="0.25">
      <c r="A32" s="155"/>
      <c r="B32" s="155"/>
      <c r="C32" s="30" t="str">
        <f t="shared" si="3"/>
        <v/>
      </c>
      <c r="D32" s="152" t="str">
        <f>IFERROR(VLOOKUP($A32,Sheet1!$A$1:$B$98,2,0),"")</f>
        <v/>
      </c>
      <c r="E32" s="30" t="str">
        <f>IFERROR(VLOOKUP($A32,'Tổng Đơn'!$A$5:$E$75,5,0),"")</f>
        <v/>
      </c>
      <c r="F32" s="30" t="str">
        <f t="shared" si="4"/>
        <v/>
      </c>
      <c r="G32" s="162" t="str">
        <f>IF(AND($C32="",$C31&lt;&gt;""),"Tổng Cộng",IFERROR(VLOOKUP($A32,Sheet1!$A$1:$D$98,4,0),""))</f>
        <v/>
      </c>
      <c r="H32" s="153" t="str">
        <f>IF($C31=MAX($C$8:$C$56),SUM($H$8:$H31),IFERROR($G32*$F32,""))</f>
        <v/>
      </c>
      <c r="I32" s="55" t="str">
        <f t="shared" si="2"/>
        <v/>
      </c>
      <c r="L32" s="31"/>
    </row>
    <row r="33" spans="1:12" s="29" customFormat="1" ht="14.25" customHeight="1" x14ac:dyDescent="0.25">
      <c r="A33" s="155"/>
      <c r="B33" s="155"/>
      <c r="C33" s="30" t="str">
        <f t="shared" si="3"/>
        <v/>
      </c>
      <c r="D33" s="152" t="str">
        <f>IFERROR(VLOOKUP($A33,Sheet1!$A$1:$B$98,2,0),"")</f>
        <v/>
      </c>
      <c r="E33" s="30" t="str">
        <f>IFERROR(VLOOKUP($A33,'Tổng Đơn'!$A$5:$E$75,5,0),"")</f>
        <v/>
      </c>
      <c r="F33" s="30" t="str">
        <f t="shared" si="4"/>
        <v/>
      </c>
      <c r="G33" s="162" t="str">
        <f>IF(AND($C33="",$C32&lt;&gt;""),"Tổng Cộng",IFERROR(VLOOKUP($A33,Sheet1!$A$1:$D$98,4,0),""))</f>
        <v/>
      </c>
      <c r="H33" s="153" t="str">
        <f>IF($C32=MAX($C$8:$C$56),SUM($H$8:$H32),IFERROR($G33*$F33,""))</f>
        <v/>
      </c>
      <c r="I33" s="55" t="str">
        <f t="shared" si="2"/>
        <v/>
      </c>
      <c r="L33" s="31"/>
    </row>
    <row r="34" spans="1:12" s="29" customFormat="1" ht="14.25" customHeight="1" x14ac:dyDescent="0.25">
      <c r="A34" s="155"/>
      <c r="B34" s="155"/>
      <c r="C34" s="30" t="str">
        <f t="shared" si="3"/>
        <v/>
      </c>
      <c r="D34" s="152" t="str">
        <f>IFERROR(VLOOKUP($A34,Sheet1!$A$1:$B$98,2,0),"")</f>
        <v/>
      </c>
      <c r="E34" s="30" t="str">
        <f>IFERROR(VLOOKUP($A34,'Tổng Đơn'!$A$5:$E$75,5,0),"")</f>
        <v/>
      </c>
      <c r="F34" s="30" t="str">
        <f t="shared" si="4"/>
        <v/>
      </c>
      <c r="G34" s="162" t="str">
        <f>IF(AND($C34="",$C33&lt;&gt;""),"Tổng Cộng",IFERROR(VLOOKUP($A34,Sheet1!$A$1:$D$98,4,0),""))</f>
        <v/>
      </c>
      <c r="H34" s="153" t="str">
        <f>IF($C33=MAX($C$8:$C$56),SUM($H$8:$H33),IFERROR($G34*$F34,""))</f>
        <v/>
      </c>
      <c r="I34" s="55" t="str">
        <f t="shared" si="2"/>
        <v/>
      </c>
      <c r="L34" s="31"/>
    </row>
    <row r="35" spans="1:12" s="29" customFormat="1" ht="14.25" customHeight="1" x14ac:dyDescent="0.25">
      <c r="A35" s="155"/>
      <c r="B35" s="155"/>
      <c r="C35" s="30" t="str">
        <f t="shared" si="3"/>
        <v/>
      </c>
      <c r="D35" s="152" t="str">
        <f>IFERROR(VLOOKUP($A35,Sheet1!$A$1:$B$98,2,0),"")</f>
        <v/>
      </c>
      <c r="E35" s="30" t="str">
        <f>IFERROR(VLOOKUP($A35,'Tổng Đơn'!$A$5:$E$75,5,0),"")</f>
        <v/>
      </c>
      <c r="F35" s="30" t="str">
        <f t="shared" si="4"/>
        <v/>
      </c>
      <c r="G35" s="162" t="str">
        <f>IF(AND($C35="",$C34&lt;&gt;""),"Tổng Cộng",IFERROR(VLOOKUP($A35,Sheet1!$A$1:$D$98,4,0),""))</f>
        <v/>
      </c>
      <c r="H35" s="153" t="str">
        <f>IF($C34=MAX($C$8:$C$56),SUM($H$8:$H34),IFERROR($G35*$F35,""))</f>
        <v/>
      </c>
      <c r="I35" s="55" t="str">
        <f t="shared" si="2"/>
        <v/>
      </c>
      <c r="L35" s="31"/>
    </row>
    <row r="36" spans="1:12" s="29" customFormat="1" ht="14.25" customHeight="1" x14ac:dyDescent="0.25">
      <c r="A36" s="155"/>
      <c r="B36" s="155"/>
      <c r="C36" s="30" t="str">
        <f t="shared" si="3"/>
        <v/>
      </c>
      <c r="D36" s="152" t="str">
        <f>IFERROR(VLOOKUP($A36,Sheet1!$A$1:$B$98,2,0),"")</f>
        <v/>
      </c>
      <c r="E36" s="30" t="str">
        <f>IFERROR(VLOOKUP($A36,'Tổng Đơn'!$A$5:$E$75,5,0),"")</f>
        <v/>
      </c>
      <c r="F36" s="30" t="str">
        <f t="shared" si="4"/>
        <v/>
      </c>
      <c r="G36" s="162" t="str">
        <f>IF(AND($C36="",$C35&lt;&gt;""),"Tổng Cộng",IFERROR(VLOOKUP($A36,Sheet1!$A$1:$D$98,4,0),""))</f>
        <v/>
      </c>
      <c r="H36" s="153" t="str">
        <f>IF($C35=MAX($C$8:$C$56),SUM($H$8:$H35),IFERROR($G36*$F36,""))</f>
        <v/>
      </c>
      <c r="I36" s="55" t="str">
        <f t="shared" si="2"/>
        <v/>
      </c>
      <c r="L36" s="31"/>
    </row>
    <row r="37" spans="1:12" s="29" customFormat="1" ht="14.25" customHeight="1" x14ac:dyDescent="0.25">
      <c r="A37" s="155"/>
      <c r="B37" s="155"/>
      <c r="C37" s="30" t="str">
        <f t="shared" si="3"/>
        <v/>
      </c>
      <c r="D37" s="152" t="str">
        <f>IFERROR(VLOOKUP($A37,Sheet1!$A$1:$B$98,2,0),"")</f>
        <v/>
      </c>
      <c r="E37" s="30" t="str">
        <f>IFERROR(VLOOKUP($A37,'Tổng Đơn'!$A$5:$E$75,5,0),"")</f>
        <v/>
      </c>
      <c r="F37" s="30" t="str">
        <f t="shared" si="4"/>
        <v/>
      </c>
      <c r="G37" s="162"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3"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285" priority="68">
      <formula>$C22=MAX($C$8:$C$37)</formula>
    </cfRule>
  </conditionalFormatting>
  <conditionalFormatting sqref="C23:C37">
    <cfRule type="expression" dxfId="284" priority="67">
      <formula>$C22=MAX($C$8:$C$37)</formula>
    </cfRule>
  </conditionalFormatting>
  <conditionalFormatting sqref="E23:E38">
    <cfRule type="expression" dxfId="283" priority="69">
      <formula>AND($A23="",$F23&lt;&gt;"")</formula>
    </cfRule>
  </conditionalFormatting>
  <conditionalFormatting sqref="F23:F38">
    <cfRule type="expression" dxfId="282" priority="70">
      <formula>AND($F23="",$A23&lt;&gt;"")</formula>
    </cfRule>
  </conditionalFormatting>
  <conditionalFormatting sqref="D20:H22">
    <cfRule type="expression" dxfId="281" priority="16">
      <formula>$C19=MAX($C$8:$C$37)</formula>
    </cfRule>
  </conditionalFormatting>
  <conditionalFormatting sqref="C20:C22">
    <cfRule type="expression" dxfId="280" priority="15">
      <formula>$C19=MAX($C$8:$C$37)</formula>
    </cfRule>
  </conditionalFormatting>
  <conditionalFormatting sqref="E20:E22">
    <cfRule type="expression" dxfId="279" priority="17">
      <formula>AND($A20="",$F20&lt;&gt;"")</formula>
    </cfRule>
  </conditionalFormatting>
  <conditionalFormatting sqref="F20:F22">
    <cfRule type="expression" dxfId="278" priority="18">
      <formula>AND($F20="",$A20&lt;&gt;"")</formula>
    </cfRule>
  </conditionalFormatting>
  <conditionalFormatting sqref="D17:H19">
    <cfRule type="expression" dxfId="277" priority="12">
      <formula>$C16=MAX($C$8:$C$37)</formula>
    </cfRule>
  </conditionalFormatting>
  <conditionalFormatting sqref="C17:C19">
    <cfRule type="expression" dxfId="276" priority="11">
      <formula>$C16=MAX($C$8:$C$37)</formula>
    </cfRule>
  </conditionalFormatting>
  <conditionalFormatting sqref="E17:E19">
    <cfRule type="expression" dxfId="275" priority="13">
      <formula>AND($A17="",$F17&lt;&gt;"")</formula>
    </cfRule>
  </conditionalFormatting>
  <conditionalFormatting sqref="F17:F19">
    <cfRule type="expression" dxfId="274" priority="14">
      <formula>AND($F17="",$A17&lt;&gt;"")</formula>
    </cfRule>
  </conditionalFormatting>
  <conditionalFormatting sqref="D15:H16 D9:G14">
    <cfRule type="expression" dxfId="273" priority="8">
      <formula>$C8=MAX($C$8:$C$37)</formula>
    </cfRule>
  </conditionalFormatting>
  <conditionalFormatting sqref="C9:C16">
    <cfRule type="expression" dxfId="272" priority="7">
      <formula>$C8=MAX($C$8:$C$37)</formula>
    </cfRule>
  </conditionalFormatting>
  <conditionalFormatting sqref="E9:E16">
    <cfRule type="expression" dxfId="271" priority="9">
      <formula>AND($A9="",$F9&lt;&gt;"")</formula>
    </cfRule>
  </conditionalFormatting>
  <conditionalFormatting sqref="F9:F16">
    <cfRule type="expression" dxfId="270" priority="10">
      <formula>AND($F9="",$A9&lt;&gt;"")</formula>
    </cfRule>
  </conditionalFormatting>
  <conditionalFormatting sqref="D8:G8">
    <cfRule type="expression" dxfId="269" priority="4">
      <formula>$C7=MAX($C$8:$C$37)</formula>
    </cfRule>
  </conditionalFormatting>
  <conditionalFormatting sqref="C8">
    <cfRule type="expression" dxfId="268" priority="3">
      <formula>$C7=MAX($C$8:$C$37)</formula>
    </cfRule>
  </conditionalFormatting>
  <conditionalFormatting sqref="E8">
    <cfRule type="expression" dxfId="267" priority="5">
      <formula>AND($A8="",$F8&lt;&gt;"")</formula>
    </cfRule>
  </conditionalFormatting>
  <conditionalFormatting sqref="F8">
    <cfRule type="expression" dxfId="266" priority="6">
      <formula>AND($F8="",$A8&lt;&gt;"")</formula>
    </cfRule>
  </conditionalFormatting>
  <conditionalFormatting sqref="H9:H14">
    <cfRule type="expression" dxfId="265" priority="2">
      <formula>$C8=MAX($C$8:$C$37)</formula>
    </cfRule>
  </conditionalFormatting>
  <conditionalFormatting sqref="H8">
    <cfRule type="expression" dxfId="264"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3318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5">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4" t="s">
        <v>188</v>
      </c>
      <c r="D1" s="264"/>
      <c r="E1" s="264"/>
      <c r="F1" s="264"/>
      <c r="G1" s="264"/>
      <c r="H1" s="264"/>
    </row>
    <row r="2" spans="1:14" ht="15.75" customHeight="1" x14ac:dyDescent="0.25">
      <c r="C2" s="264"/>
      <c r="D2" s="264"/>
      <c r="E2" s="264"/>
      <c r="F2" s="264"/>
      <c r="G2" s="264"/>
      <c r="H2" s="264"/>
    </row>
    <row r="3" spans="1:14" ht="15" customHeight="1" x14ac:dyDescent="0.25">
      <c r="C3" s="265" t="s">
        <v>190</v>
      </c>
      <c r="D3" s="265"/>
      <c r="E3" s="265"/>
      <c r="F3" s="266" t="s">
        <v>192</v>
      </c>
      <c r="G3" s="266"/>
      <c r="H3" s="266"/>
    </row>
    <row r="4" spans="1:14" x14ac:dyDescent="0.25">
      <c r="C4" s="267" t="s">
        <v>191</v>
      </c>
      <c r="D4" s="267"/>
      <c r="E4" s="267"/>
      <c r="F4" s="268" t="s">
        <v>193</v>
      </c>
      <c r="G4" s="268"/>
      <c r="H4" s="268"/>
    </row>
    <row r="5" spans="1:14" s="145" customFormat="1" ht="21" customHeight="1" x14ac:dyDescent="0.25">
      <c r="C5" s="269" t="s">
        <v>189</v>
      </c>
      <c r="D5" s="269"/>
      <c r="E5" s="269"/>
      <c r="F5" s="269"/>
      <c r="G5" s="269"/>
      <c r="H5" s="269"/>
    </row>
    <row r="6" spans="1:14" s="145" customFormat="1" ht="17.25" customHeight="1" x14ac:dyDescent="0.25">
      <c r="C6" s="154" t="s">
        <v>194</v>
      </c>
      <c r="D6" s="158" t="s">
        <v>333</v>
      </c>
      <c r="E6" s="150"/>
      <c r="F6" s="150"/>
      <c r="G6" s="263" t="str">
        <f ca="1">"Ngày "&amp;DAY(TODAY())&amp;" Tháng "&amp;MONTH(TODAY())&amp;" Năm "&amp;YEAR(TODAY())</f>
        <v>Ngày 29 Tháng 8 Năm 2022</v>
      </c>
      <c r="H6" s="263"/>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3</v>
      </c>
      <c r="L7" s="145"/>
    </row>
    <row r="8" spans="1:14" s="29" customFormat="1" ht="14.25" customHeight="1" x14ac:dyDescent="0.25">
      <c r="A8" s="155">
        <v>57</v>
      </c>
      <c r="B8" s="155">
        <v>4</v>
      </c>
      <c r="C8" s="30">
        <f t="shared" ref="C8:C37" si="0">IF(OR(SUM($C7,$A8&lt;&gt;"")=0,$A8=""),"",SUM($C7,$A8&lt;&gt;""))</f>
        <v>1</v>
      </c>
      <c r="D8" s="152" t="str">
        <f>IFERROR(VLOOKUP($A8,Sheet1!$A$1:$B$98,2,0),"")</f>
        <v>Cá viên KK</v>
      </c>
      <c r="E8" s="30">
        <f>IFERROR(VLOOKUP($A8,'Tổng Đơn'!$A$5:$E$75,5,0),"")</f>
        <v>0.5</v>
      </c>
      <c r="F8" s="30">
        <f t="shared" ref="F8:F37" si="1">IF($B8="","",B8)</f>
        <v>4</v>
      </c>
      <c r="G8" s="162">
        <f>IFERROR(VLOOKUP($A8,Sheet1!$A1:$D$98,4,0),"")</f>
        <v>25000</v>
      </c>
      <c r="H8" s="153">
        <f>IF($C7=MAX($C$8:$C$56),SUM($H7:$H$8),IFERROR($G8*$F8,""))</f>
        <v>100000</v>
      </c>
      <c r="I8" s="55">
        <f t="shared" ref="I8:I37" si="2">IF(TYPE($A8)&lt;&gt;1,"",IFERROR(F8*E8,""))</f>
        <v>2</v>
      </c>
      <c r="L8" s="32"/>
    </row>
    <row r="9" spans="1:14" s="29" customFormat="1" ht="14.25" customHeight="1" x14ac:dyDescent="0.25">
      <c r="A9" s="155">
        <v>59</v>
      </c>
      <c r="B9" s="155">
        <v>2</v>
      </c>
      <c r="C9" s="30">
        <f t="shared" si="0"/>
        <v>2</v>
      </c>
      <c r="D9" s="152" t="str">
        <f>IFERROR(VLOOKUP($A9,Sheet1!$A$1:$B$98,2,0),"")</f>
        <v>Bò viên KK</v>
      </c>
      <c r="E9" s="30">
        <f>IFERROR(VLOOKUP($A9,'Tổng Đơn'!$A$5:$E$76,5,0),"")</f>
        <v>0.5</v>
      </c>
      <c r="F9" s="30">
        <f t="shared" si="1"/>
        <v>2</v>
      </c>
      <c r="G9" s="162">
        <f>IF(AND($C9="",$C8&lt;&gt;""),"Tổng Cộng",IFERROR(VLOOKUP($A9,Sheet1!$A$1:$D$98,4,0),""))</f>
        <v>28000</v>
      </c>
      <c r="H9" s="153">
        <f>IF($C8=MAX($C$8:$C$56),SUM($H$8:$H8),IFERROR($G9*$F9,""))</f>
        <v>56000</v>
      </c>
      <c r="I9" s="55">
        <f t="shared" si="2"/>
        <v>1</v>
      </c>
      <c r="L9" s="31"/>
    </row>
    <row r="10" spans="1:14" s="29" customFormat="1" ht="14.25" customHeight="1" x14ac:dyDescent="0.25">
      <c r="A10" s="155" t="s">
        <v>311</v>
      </c>
      <c r="B10" s="155">
        <v>2</v>
      </c>
      <c r="C10" s="30">
        <f t="shared" si="0"/>
        <v>3</v>
      </c>
      <c r="D10" s="152" t="str">
        <f>IFERROR(VLOOKUP($A10,Sheet1!$A$1:$B$98,2,0),"")</f>
        <v>0-Đùi gà Rán 10C lớn</v>
      </c>
      <c r="E10" s="30">
        <f>IFERROR(VLOOKUP($A10,'Tổng Đơn'!$A$5:$E$76,5,0),"")</f>
        <v>1.5</v>
      </c>
      <c r="F10" s="30">
        <f t="shared" si="1"/>
        <v>2</v>
      </c>
      <c r="G10" s="162">
        <f>IF(AND($C10="",$C9&lt;&gt;""),"Tổng Cộng",IFERROR(VLOOKUP($A10,Sheet1!$A$1:$D$98,4,0),""))</f>
        <v>122000</v>
      </c>
      <c r="H10" s="153">
        <f>IF($C9=MAX($C$8:$C$56),SUM($H$8:$H9),IFERROR($G10*$F10,""))</f>
        <v>244000</v>
      </c>
      <c r="I10" s="55" t="str">
        <f t="shared" si="2"/>
        <v/>
      </c>
      <c r="L10" s="31"/>
    </row>
    <row r="11" spans="1:14" s="29" customFormat="1" ht="14.25" customHeight="1" x14ac:dyDescent="0.25">
      <c r="A11" s="155" t="s">
        <v>301</v>
      </c>
      <c r="B11" s="155"/>
      <c r="C11" s="30" t="str">
        <f t="shared" si="0"/>
        <v/>
      </c>
      <c r="D11" s="152" t="str">
        <f>IFERROR(VLOOKUP($A11,Sheet1!$A$1:$B$98,2,0),"")</f>
        <v/>
      </c>
      <c r="E11" s="30" t="str">
        <f>IFERROR(VLOOKUP($A11,'Tổng Đơn'!$A$5:$E$76,5,0),"")</f>
        <v/>
      </c>
      <c r="F11" s="30" t="str">
        <f t="shared" si="1"/>
        <v/>
      </c>
      <c r="G11" s="162" t="str">
        <f>IF(AND($C11="",$C10&lt;&gt;""),"Tổng Cộng",IFERROR(VLOOKUP($A11,Sheet1!$A$1:$D$98,4,0),""))</f>
        <v>Tổng Cộng</v>
      </c>
      <c r="H11" s="153">
        <f>IF($C10=MAX($C$8:$C$56),SUM($H$8:$H10),IFERROR($G11*$F11,""))</f>
        <v>400000</v>
      </c>
      <c r="I11" s="55" t="str">
        <f t="shared" si="2"/>
        <v/>
      </c>
      <c r="L11" s="31"/>
    </row>
    <row r="12" spans="1:14" s="29" customFormat="1" ht="14.25" customHeight="1" x14ac:dyDescent="0.25">
      <c r="A12" s="155" t="s">
        <v>301</v>
      </c>
      <c r="B12" s="155"/>
      <c r="C12" s="30" t="str">
        <f t="shared" si="0"/>
        <v/>
      </c>
      <c r="D12" s="152" t="str">
        <f>IFERROR(VLOOKUP($A12,Sheet1!$A$1:$B$98,2,0),"")</f>
        <v/>
      </c>
      <c r="E12" s="30" t="str">
        <f>IFERROR(VLOOKUP($A12,'Tổng Đơn'!$A$5:$E$76,5,0),"")</f>
        <v/>
      </c>
      <c r="F12" s="30" t="str">
        <f t="shared" si="1"/>
        <v/>
      </c>
      <c r="G12" s="162"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301</v>
      </c>
      <c r="B13" s="155"/>
      <c r="C13" s="30" t="str">
        <f t="shared" si="0"/>
        <v/>
      </c>
      <c r="D13" s="152" t="str">
        <f>IFERROR(VLOOKUP($A13,Sheet1!$A$1:$B$98,2,0),"")</f>
        <v/>
      </c>
      <c r="E13" s="30" t="str">
        <f>IFERROR(VLOOKUP($A13,'Tổng Đơn'!$A$5:$E$76,5,0),"")</f>
        <v/>
      </c>
      <c r="F13" s="30" t="str">
        <f t="shared" si="1"/>
        <v/>
      </c>
      <c r="G13" s="162" t="str">
        <f>IF(AND($C13="",$C12&lt;&gt;""),"Tổng Cộng",IFERROR(VLOOKUP($A13,Sheet1!$A$1:$D$98,4,0),""))</f>
        <v/>
      </c>
      <c r="H13" s="153" t="str">
        <f>IF($C12=MAX($C$8:$C$56),SUM($H$8:$H12),IFERROR($G13*$F13,""))</f>
        <v/>
      </c>
      <c r="I13" s="55" t="str">
        <f t="shared" si="2"/>
        <v/>
      </c>
      <c r="L13" s="31"/>
    </row>
    <row r="14" spans="1:14" s="29" customFormat="1" ht="14.25" customHeight="1" x14ac:dyDescent="0.25">
      <c r="A14" s="155" t="s">
        <v>301</v>
      </c>
      <c r="B14" s="155"/>
      <c r="C14" s="30" t="str">
        <f t="shared" si="0"/>
        <v/>
      </c>
      <c r="D14" s="152" t="str">
        <f>IFERROR(VLOOKUP($A14,Sheet1!$A$1:$B$98,2,0),"")</f>
        <v/>
      </c>
      <c r="E14" s="30" t="str">
        <f>IFERROR(VLOOKUP($A14,'Tổng Đơn'!$A$5:$E$76,5,0),"")</f>
        <v/>
      </c>
      <c r="F14" s="30" t="str">
        <f t="shared" si="1"/>
        <v/>
      </c>
      <c r="G14" s="162"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301</v>
      </c>
      <c r="B15" s="155"/>
      <c r="C15" s="30" t="str">
        <f t="shared" si="0"/>
        <v/>
      </c>
      <c r="D15" s="152" t="str">
        <f>IFERROR(VLOOKUP($A15,Sheet1!$A$1:$B$98,2,0),"")</f>
        <v/>
      </c>
      <c r="E15" s="30" t="str">
        <f>IFERROR(VLOOKUP($A15,'Tổng Đơn'!$A$5:$E$75,5,0),"")</f>
        <v/>
      </c>
      <c r="F15" s="30" t="str">
        <f t="shared" si="1"/>
        <v/>
      </c>
      <c r="G15" s="162" t="str">
        <f>IF(AND($C15="",$C14&lt;&gt;""),"Tổng Cộng",IFERROR(VLOOKUP($A15,Sheet1!$A$1:$D$98,4,0),""))</f>
        <v/>
      </c>
      <c r="H15" s="153" t="str">
        <f>IF($C14=MAX($C$8:$C$56),SUM($H$8:$H14),IFERROR($G15*$F15,""))</f>
        <v/>
      </c>
      <c r="I15" s="55" t="str">
        <f t="shared" si="2"/>
        <v/>
      </c>
      <c r="L15" s="31"/>
    </row>
    <row r="16" spans="1:14" s="29" customFormat="1" ht="14.25" customHeight="1" x14ac:dyDescent="0.25">
      <c r="A16" s="155" t="s">
        <v>301</v>
      </c>
      <c r="B16" s="155"/>
      <c r="C16" s="30" t="str">
        <f t="shared" si="0"/>
        <v/>
      </c>
      <c r="D16" s="152" t="str">
        <f>IFERROR(VLOOKUP($A16,Sheet1!$A$1:$B$98,2,0),"")</f>
        <v/>
      </c>
      <c r="E16" s="30" t="str">
        <f>IFERROR(VLOOKUP($A16,'Tổng Đơn'!$A$5:$E$75,5,0),"")</f>
        <v/>
      </c>
      <c r="F16" s="30" t="str">
        <f t="shared" si="1"/>
        <v/>
      </c>
      <c r="G16" s="162" t="str">
        <f>IF(AND($C16="",$C15&lt;&gt;""),"Tổng Cộng",IFERROR(VLOOKUP($A16,Sheet1!$A$1:$D$98,4,0),""))</f>
        <v/>
      </c>
      <c r="H16" s="153" t="str">
        <f>IF($C15=MAX($C$8:$C$56),SUM($H$8:$H15),IFERROR($G16*$F16,""))</f>
        <v/>
      </c>
      <c r="I16" s="55" t="str">
        <f t="shared" si="2"/>
        <v/>
      </c>
      <c r="L16" s="31"/>
    </row>
    <row r="17" spans="1:12" s="29" customFormat="1" ht="14.25" customHeight="1" x14ac:dyDescent="0.25">
      <c r="A17" s="155" t="s">
        <v>301</v>
      </c>
      <c r="B17" s="155"/>
      <c r="C17" s="30" t="str">
        <f t="shared" si="0"/>
        <v/>
      </c>
      <c r="D17" s="161" t="str">
        <f>IFERROR(VLOOKUP($A17,Sheet1!$A$1:$B$98,2,0),"")</f>
        <v/>
      </c>
      <c r="E17" s="30" t="str">
        <f>IFERROR(VLOOKUP($A17,'Tổng Đơn'!$A$5:$E$75,5,0),"")</f>
        <v/>
      </c>
      <c r="F17" s="30" t="str">
        <f t="shared" si="1"/>
        <v/>
      </c>
      <c r="G17" s="162" t="str">
        <f>IF(AND($C17="",$C16&lt;&gt;""),"Tổng Cộng",IFERROR(VLOOKUP($A17,Sheet1!$A$1:$D$98,4,0),""))</f>
        <v/>
      </c>
      <c r="H17" s="153" t="str">
        <f>IF($C16=MAX($C$8:$C$56),SUM($H$8:$H16),IFERROR($G17*$F17,""))</f>
        <v/>
      </c>
      <c r="I17" s="55" t="str">
        <f t="shared" si="2"/>
        <v/>
      </c>
      <c r="L17" s="31"/>
    </row>
    <row r="18" spans="1:12" s="29" customFormat="1" ht="14.25" customHeight="1" x14ac:dyDescent="0.25">
      <c r="A18" s="155" t="s">
        <v>301</v>
      </c>
      <c r="B18" s="155"/>
      <c r="C18" s="30" t="str">
        <f t="shared" si="0"/>
        <v/>
      </c>
      <c r="D18" s="161" t="str">
        <f>IFERROR(VLOOKUP($A18,Sheet1!$A$1:$B$98,2,0),"")</f>
        <v/>
      </c>
      <c r="E18" s="30" t="str">
        <f>IFERROR(VLOOKUP($A18,'Tổng Đơn'!$A$5:$E$75,5,0),"")</f>
        <v/>
      </c>
      <c r="F18" s="30" t="str">
        <f t="shared" si="1"/>
        <v/>
      </c>
      <c r="G18" s="162" t="str">
        <f>IF(AND($C18="",$C17&lt;&gt;""),"Tổng Cộng",IFERROR(VLOOKUP($A18,Sheet1!$A$1:$D$98,4,0),""))</f>
        <v/>
      </c>
      <c r="H18" s="153" t="str">
        <f>IF($C17=MAX($C$8:$C$56),SUM($H$8:$H17),IFERROR($G18*$F18,""))</f>
        <v/>
      </c>
      <c r="I18" s="55" t="str">
        <f t="shared" si="2"/>
        <v/>
      </c>
      <c r="L18" s="31"/>
    </row>
    <row r="19" spans="1:12" s="29" customFormat="1" ht="14.25" customHeight="1" x14ac:dyDescent="0.25">
      <c r="A19" s="155" t="s">
        <v>301</v>
      </c>
      <c r="B19" s="155"/>
      <c r="C19" s="30" t="str">
        <f t="shared" si="0"/>
        <v/>
      </c>
      <c r="D19" s="161" t="str">
        <f>IFERROR(VLOOKUP($A19,Sheet1!$A$1:$B$98,2,0),"")</f>
        <v/>
      </c>
      <c r="E19" s="30" t="str">
        <f>IFERROR(VLOOKUP($A19,'Tổng Đơn'!$A$5:$E$75,5,0),"")</f>
        <v/>
      </c>
      <c r="F19" s="30" t="str">
        <f t="shared" si="1"/>
        <v/>
      </c>
      <c r="G19" s="162" t="str">
        <f>IF(AND($C19="",$C18&lt;&gt;""),"Tổng Cộng",IFERROR(VLOOKUP($A19,Sheet1!$A$1:$D$98,4,0),""))</f>
        <v/>
      </c>
      <c r="H19" s="153" t="str">
        <f>IF($C18=MAX($C$8:$C$56),SUM($H$8:$H18),IFERROR($G19*$F19,""))</f>
        <v/>
      </c>
      <c r="I19" s="55" t="str">
        <f t="shared" si="2"/>
        <v/>
      </c>
      <c r="L19" s="31"/>
    </row>
    <row r="20" spans="1:12" s="29" customFormat="1" ht="14.25" customHeight="1" x14ac:dyDescent="0.25">
      <c r="A20" s="155" t="s">
        <v>301</v>
      </c>
      <c r="B20" s="155"/>
      <c r="C20" s="30" t="str">
        <f t="shared" si="0"/>
        <v/>
      </c>
      <c r="D20" s="161" t="str">
        <f>IFERROR(VLOOKUP($A20,Sheet1!$A$1:$B$98,2,0),"")</f>
        <v/>
      </c>
      <c r="E20" s="30" t="str">
        <f>IFERROR(VLOOKUP($A20,'Tổng Đơn'!$A$5:$E$75,5,0),"")</f>
        <v/>
      </c>
      <c r="F20" s="30" t="str">
        <f t="shared" si="1"/>
        <v/>
      </c>
      <c r="G20" s="162" t="str">
        <f>IF(AND($C20="",$C19&lt;&gt;""),"Tổng Cộng",IFERROR(VLOOKUP($A20,Sheet1!$A$1:$D$98,4,0),""))</f>
        <v/>
      </c>
      <c r="H20" s="153" t="str">
        <f>IF($C19=MAX($C$8:$C$56),SUM($H$8:$H19),IFERROR($G20*$F20,""))</f>
        <v/>
      </c>
      <c r="I20" s="55" t="str">
        <f t="shared" si="2"/>
        <v/>
      </c>
      <c r="L20" s="31"/>
    </row>
    <row r="21" spans="1:12" s="29" customFormat="1" ht="14.25" customHeight="1" x14ac:dyDescent="0.25">
      <c r="A21" s="155" t="s">
        <v>301</v>
      </c>
      <c r="B21" s="155"/>
      <c r="C21" s="30" t="str">
        <f t="shared" si="0"/>
        <v/>
      </c>
      <c r="D21" s="161" t="str">
        <f>IFERROR(VLOOKUP($A21,Sheet1!$A$1:$B$98,2,0),"")</f>
        <v/>
      </c>
      <c r="E21" s="30" t="str">
        <f>IFERROR(VLOOKUP($A21,'Tổng Đơn'!$A$5:$E$75,5,0),"")</f>
        <v/>
      </c>
      <c r="F21" s="30" t="str">
        <f t="shared" si="1"/>
        <v/>
      </c>
      <c r="G21" s="162" t="str">
        <f>IF(AND($C21="",$C20&lt;&gt;""),"Tổng Cộng",IFERROR(VLOOKUP($A21,Sheet1!$A$1:$D$98,4,0),""))</f>
        <v/>
      </c>
      <c r="H21" s="153" t="str">
        <f>IF($C20=MAX($C$8:$C$56),SUM($H$8:$H20),IFERROR($G21*$F21,""))</f>
        <v/>
      </c>
      <c r="I21" s="55" t="str">
        <f t="shared" si="2"/>
        <v/>
      </c>
      <c r="L21" s="31"/>
    </row>
    <row r="22" spans="1:12" s="29" customFormat="1" ht="14.25" customHeight="1" x14ac:dyDescent="0.25">
      <c r="A22" s="155" t="s">
        <v>301</v>
      </c>
      <c r="B22" s="155"/>
      <c r="C22" s="30" t="str">
        <f t="shared" si="0"/>
        <v/>
      </c>
      <c r="D22" s="152" t="str">
        <f>IFERROR(VLOOKUP($A22,Sheet1!$A$1:$B$98,2,0),"")</f>
        <v/>
      </c>
      <c r="E22" s="30" t="str">
        <f>IFERROR(VLOOKUP($A22,'Tổng Đơn'!$A$5:$E$75,5,0),"")</f>
        <v/>
      </c>
      <c r="F22" s="30" t="str">
        <f t="shared" si="1"/>
        <v/>
      </c>
      <c r="G22" s="162" t="str">
        <f>IF(AND($C22="",$C21&lt;&gt;""),"Tổng Cộng",IFERROR(VLOOKUP($A22,Sheet1!$A$1:$D$98,4,0),""))</f>
        <v/>
      </c>
      <c r="H22" s="153" t="str">
        <f>IF($C21=MAX($C$8:$C$56),SUM($H$8:$H21),IFERROR($G22*$F22,""))</f>
        <v/>
      </c>
      <c r="I22" s="55" t="str">
        <f t="shared" si="2"/>
        <v/>
      </c>
      <c r="L22" s="31"/>
    </row>
    <row r="23" spans="1:12" s="29" customFormat="1" ht="14.25" customHeight="1" x14ac:dyDescent="0.25">
      <c r="A23" s="155" t="s">
        <v>301</v>
      </c>
      <c r="B23" s="155"/>
      <c r="C23" s="30" t="str">
        <f t="shared" si="0"/>
        <v/>
      </c>
      <c r="D23" s="152" t="str">
        <f>IFERROR(VLOOKUP($A23,Sheet1!$A$1:$B$98,2,0),"")</f>
        <v/>
      </c>
      <c r="E23" s="30" t="str">
        <f>IFERROR(VLOOKUP($A23,'Tổng Đơn'!$A$5:$E$75,5,0),"")</f>
        <v/>
      </c>
      <c r="F23" s="30" t="str">
        <f t="shared" si="1"/>
        <v/>
      </c>
      <c r="G23" s="162" t="str">
        <f>IF(AND($C23="",$C22&lt;&gt;""),"Tổng Cộng",IFERROR(VLOOKUP($A23,Sheet1!$A$1:$D$98,4,0),""))</f>
        <v/>
      </c>
      <c r="H23" s="153" t="str">
        <f>IF($C22=MAX($C$8:$C$56),SUM($H$8:$H22),IFERROR($G23*$F23,""))</f>
        <v/>
      </c>
      <c r="I23" s="55" t="str">
        <f t="shared" si="2"/>
        <v/>
      </c>
      <c r="L23" s="31"/>
    </row>
    <row r="24" spans="1:12" s="29" customFormat="1" ht="14.25" customHeight="1" x14ac:dyDescent="0.25">
      <c r="A24" s="155" t="s">
        <v>301</v>
      </c>
      <c r="B24" s="155"/>
      <c r="C24" s="30" t="str">
        <f t="shared" si="0"/>
        <v/>
      </c>
      <c r="D24" s="152" t="str">
        <f>IFERROR(VLOOKUP($A24,Sheet1!$A$1:$B$98,2,0),"")</f>
        <v/>
      </c>
      <c r="E24" s="30" t="str">
        <f>IFERROR(VLOOKUP($A24,'Tổng Đơn'!$A$5:$E$75,5,0),"")</f>
        <v/>
      </c>
      <c r="F24" s="30" t="str">
        <f t="shared" si="1"/>
        <v/>
      </c>
      <c r="G24" s="162" t="str">
        <f>IF(AND($C24="",$C23&lt;&gt;""),"Tổng Cộng",IFERROR(VLOOKUP($A24,Sheet1!$A$1:$D$98,4,0),""))</f>
        <v/>
      </c>
      <c r="H24" s="153" t="str">
        <f>IF($C23=MAX($C$8:$C$56),SUM($H$8:$H23),IFERROR($G24*$F24,""))</f>
        <v/>
      </c>
      <c r="I24" s="55" t="str">
        <f t="shared" si="2"/>
        <v/>
      </c>
      <c r="L24" s="31"/>
    </row>
    <row r="25" spans="1:12" s="29" customFormat="1" ht="14.25" customHeight="1" x14ac:dyDescent="0.25">
      <c r="A25" s="155" t="s">
        <v>301</v>
      </c>
      <c r="B25" s="155"/>
      <c r="C25" s="30" t="str">
        <f t="shared" si="0"/>
        <v/>
      </c>
      <c r="D25" s="152" t="str">
        <f>IFERROR(VLOOKUP($A25,Sheet1!$A$1:$B$98,2,0),"")</f>
        <v/>
      </c>
      <c r="E25" s="30" t="str">
        <f>IFERROR(VLOOKUP($A25,'Tổng Đơn'!$A$5:$E$75,5,0),"")</f>
        <v/>
      </c>
      <c r="F25" s="30" t="str">
        <f t="shared" si="1"/>
        <v/>
      </c>
      <c r="G25" s="162" t="str">
        <f>IF(AND($C25="",$C24&lt;&gt;""),"Tổng Cộng",IFERROR(VLOOKUP($A25,Sheet1!$A$1:$D$98,4,0),""))</f>
        <v/>
      </c>
      <c r="H25" s="153" t="str">
        <f>IF($C24=MAX($C$8:$C$56),SUM($H$8:$H24),IFERROR($G25*$F25,""))</f>
        <v/>
      </c>
      <c r="I25" s="55" t="str">
        <f t="shared" si="2"/>
        <v/>
      </c>
      <c r="L25" s="31"/>
    </row>
    <row r="26" spans="1:12" s="29" customFormat="1" ht="14.25" customHeight="1" x14ac:dyDescent="0.25">
      <c r="A26" s="155" t="s">
        <v>301</v>
      </c>
      <c r="B26" s="155"/>
      <c r="C26" s="30" t="str">
        <f t="shared" si="0"/>
        <v/>
      </c>
      <c r="D26" s="152" t="str">
        <f>IFERROR(VLOOKUP($A26,Sheet1!$A$1:$B$98,2,0),"")</f>
        <v/>
      </c>
      <c r="E26" s="30" t="str">
        <f>IFERROR(VLOOKUP($A26,'Tổng Đơn'!$A$5:$E$75,5,0),"")</f>
        <v/>
      </c>
      <c r="F26" s="30" t="str">
        <f t="shared" si="1"/>
        <v/>
      </c>
      <c r="G26" s="162" t="str">
        <f>IF(AND($C26="",$C25&lt;&gt;""),"Tổng Cộng",IFERROR(VLOOKUP($A26,Sheet1!$A$1:$D$98,4,0),""))</f>
        <v/>
      </c>
      <c r="H26" s="153" t="str">
        <f>IF($C25=MAX($C$8:$C$56),SUM($H$8:$H25),IFERROR($G26*$F26,""))</f>
        <v/>
      </c>
      <c r="I26" s="55" t="str">
        <f t="shared" si="2"/>
        <v/>
      </c>
      <c r="L26" s="31"/>
    </row>
    <row r="27" spans="1:12" s="29" customFormat="1" ht="14.25" customHeight="1" x14ac:dyDescent="0.25">
      <c r="A27" s="155" t="s">
        <v>301</v>
      </c>
      <c r="B27" s="155"/>
      <c r="C27" s="30" t="str">
        <f t="shared" si="0"/>
        <v/>
      </c>
      <c r="D27" s="152" t="str">
        <f>IFERROR(VLOOKUP($A27,Sheet1!$A$1:$B$98,2,0),"")</f>
        <v/>
      </c>
      <c r="E27" s="30" t="str">
        <f>IFERROR(VLOOKUP($A27,'Tổng Đơn'!$A$5:$E$75,5,0),"")</f>
        <v/>
      </c>
      <c r="F27" s="30" t="str">
        <f t="shared" si="1"/>
        <v/>
      </c>
      <c r="G27" s="162" t="str">
        <f>IF(AND($C27="",$C26&lt;&gt;""),"Tổng Cộng",IFERROR(VLOOKUP($A27,Sheet1!$A$1:$D$98,4,0),""))</f>
        <v/>
      </c>
      <c r="H27" s="153" t="str">
        <f>IF($C26=MAX($C$8:$C$56),SUM($H$8:$H26),IFERROR($G27*$F27,""))</f>
        <v/>
      </c>
      <c r="I27" s="55" t="str">
        <f t="shared" si="2"/>
        <v/>
      </c>
      <c r="L27" s="31"/>
    </row>
    <row r="28" spans="1:12" s="29" customFormat="1" ht="14.25" customHeight="1" x14ac:dyDescent="0.25">
      <c r="A28" s="155" t="s">
        <v>301</v>
      </c>
      <c r="B28" s="155"/>
      <c r="C28" s="30" t="str">
        <f t="shared" si="0"/>
        <v/>
      </c>
      <c r="D28" s="152" t="str">
        <f>IFERROR(VLOOKUP($A28,Sheet1!$A$1:$B$98,2,0),"")</f>
        <v/>
      </c>
      <c r="E28" s="30" t="str">
        <f>IFERROR(VLOOKUP($A28,'Tổng Đơn'!$A$5:$E$75,5,0),"")</f>
        <v/>
      </c>
      <c r="F28" s="30" t="str">
        <f t="shared" si="1"/>
        <v/>
      </c>
      <c r="G28" s="162" t="str">
        <f>IF(AND($C28="",$C27&lt;&gt;""),"Tổng Cộng",IFERROR(VLOOKUP($A28,Sheet1!$A$1:$D$98,4,0),""))</f>
        <v/>
      </c>
      <c r="H28" s="153" t="str">
        <f>IF($C27=MAX($C$8:$C$56),SUM($H$8:$H27),IFERROR($G28*$F28,""))</f>
        <v/>
      </c>
      <c r="I28" s="55" t="str">
        <f t="shared" si="2"/>
        <v/>
      </c>
      <c r="L28" s="31"/>
    </row>
    <row r="29" spans="1:12" s="29" customFormat="1" ht="14.25" customHeight="1" x14ac:dyDescent="0.25">
      <c r="A29" s="155" t="s">
        <v>301</v>
      </c>
      <c r="B29" s="155"/>
      <c r="C29" s="30" t="str">
        <f t="shared" si="0"/>
        <v/>
      </c>
      <c r="D29" s="152" t="str">
        <f>IFERROR(VLOOKUP($A29,Sheet1!$A$1:$B$98,2,0),"")</f>
        <v/>
      </c>
      <c r="E29" s="30" t="str">
        <f>IFERROR(VLOOKUP($A29,'Tổng Đơn'!$A$5:$E$75,5,0),"")</f>
        <v/>
      </c>
      <c r="F29" s="30" t="str">
        <f t="shared" si="1"/>
        <v/>
      </c>
      <c r="G29" s="162" t="str">
        <f>IF(AND($C29="",$C28&lt;&gt;""),"Tổng Cộng",IFERROR(VLOOKUP($A29,Sheet1!$A$1:$D$98,4,0),""))</f>
        <v/>
      </c>
      <c r="H29" s="153" t="str">
        <f>IF($C28=MAX($C$8:$C$56),SUM($H$8:$H28),IFERROR($G29*$F29,""))</f>
        <v/>
      </c>
      <c r="I29" s="55" t="str">
        <f t="shared" si="2"/>
        <v/>
      </c>
      <c r="L29" s="31"/>
    </row>
    <row r="30" spans="1:12" s="29" customFormat="1" ht="14.25" customHeight="1" x14ac:dyDescent="0.25">
      <c r="A30" s="155" t="s">
        <v>301</v>
      </c>
      <c r="B30" s="155"/>
      <c r="C30" s="30" t="str">
        <f t="shared" si="0"/>
        <v/>
      </c>
      <c r="D30" s="152" t="str">
        <f>IFERROR(VLOOKUP($A30,Sheet1!$A$1:$B$98,2,0),"")</f>
        <v/>
      </c>
      <c r="E30" s="30" t="str">
        <f>IFERROR(VLOOKUP($A30,'Tổng Đơn'!$A$5:$E$75,5,0),"")</f>
        <v/>
      </c>
      <c r="F30" s="30" t="str">
        <f t="shared" si="1"/>
        <v/>
      </c>
      <c r="G30" s="162" t="str">
        <f>IF(AND($C30="",$C29&lt;&gt;""),"Tổng Cộng",IFERROR(VLOOKUP($A30,Sheet1!$A$1:$D$98,4,0),""))</f>
        <v/>
      </c>
      <c r="H30" s="153" t="str">
        <f>IF($C29=MAX($C$8:$C$56),SUM($H$8:$H29),IFERROR($G30*$F30,""))</f>
        <v/>
      </c>
      <c r="I30" s="55" t="str">
        <f t="shared" si="2"/>
        <v/>
      </c>
      <c r="L30" s="31"/>
    </row>
    <row r="31" spans="1:12" s="29" customFormat="1" ht="14.25" customHeight="1" x14ac:dyDescent="0.25">
      <c r="A31" s="155" t="s">
        <v>301</v>
      </c>
      <c r="B31" s="155"/>
      <c r="C31" s="30" t="str">
        <f t="shared" si="0"/>
        <v/>
      </c>
      <c r="D31" s="152" t="str">
        <f>IFERROR(VLOOKUP($A31,Sheet1!$A$1:$B$98,2,0),"")</f>
        <v/>
      </c>
      <c r="E31" s="30" t="str">
        <f>IFERROR(VLOOKUP($A31,'Tổng Đơn'!$A$5:$E$75,5,0),"")</f>
        <v/>
      </c>
      <c r="F31" s="30" t="str">
        <f t="shared" si="1"/>
        <v/>
      </c>
      <c r="G31" s="162" t="str">
        <f>IF(AND($C31="",$C30&lt;&gt;""),"Tổng Cộng",IFERROR(VLOOKUP($A31,Sheet1!$A$1:$D$98,4,0),""))</f>
        <v/>
      </c>
      <c r="H31" s="153" t="str">
        <f>IF($C30=MAX($C$8:$C$56),SUM($H$8:$H30),IFERROR($G31*$F31,""))</f>
        <v/>
      </c>
      <c r="I31" s="55" t="str">
        <f t="shared" si="2"/>
        <v/>
      </c>
      <c r="L31" s="31"/>
    </row>
    <row r="32" spans="1:12" s="29" customFormat="1" ht="14.25" customHeight="1" x14ac:dyDescent="0.25">
      <c r="A32" s="155" t="s">
        <v>301</v>
      </c>
      <c r="B32" s="155"/>
      <c r="C32" s="30" t="str">
        <f t="shared" si="0"/>
        <v/>
      </c>
      <c r="D32" s="152" t="str">
        <f>IFERROR(VLOOKUP($A32,Sheet1!$A$1:$B$98,2,0),"")</f>
        <v/>
      </c>
      <c r="E32" s="30" t="str">
        <f>IFERROR(VLOOKUP($A32,'Tổng Đơn'!$A$5:$E$75,5,0),"")</f>
        <v/>
      </c>
      <c r="F32" s="30" t="str">
        <f t="shared" si="1"/>
        <v/>
      </c>
      <c r="G32" s="162" t="str">
        <f>IF(AND($C32="",$C31&lt;&gt;""),"Tổng Cộng",IFERROR(VLOOKUP($A32,Sheet1!$A$1:$D$98,4,0),""))</f>
        <v/>
      </c>
      <c r="H32" s="153" t="str">
        <f>IF($C31=MAX($C$8:$C$56),SUM($H$8:$H31),IFERROR($G32*$F32,""))</f>
        <v/>
      </c>
      <c r="I32" s="55" t="str">
        <f t="shared" si="2"/>
        <v/>
      </c>
      <c r="L32" s="31"/>
    </row>
    <row r="33" spans="1:12" s="29" customFormat="1" ht="14.25" customHeight="1" x14ac:dyDescent="0.25">
      <c r="A33" s="155" t="s">
        <v>301</v>
      </c>
      <c r="B33" s="155"/>
      <c r="C33" s="30" t="str">
        <f t="shared" si="0"/>
        <v/>
      </c>
      <c r="D33" s="152" t="str">
        <f>IFERROR(VLOOKUP($A33,Sheet1!$A$1:$B$98,2,0),"")</f>
        <v/>
      </c>
      <c r="E33" s="30" t="str">
        <f>IFERROR(VLOOKUP($A33,'Tổng Đơn'!$A$5:$E$75,5,0),"")</f>
        <v/>
      </c>
      <c r="F33" s="30" t="str">
        <f t="shared" si="1"/>
        <v/>
      </c>
      <c r="G33" s="162" t="str">
        <f>IF(AND($C33="",$C32&lt;&gt;""),"Tổng Cộng",IFERROR(VLOOKUP($A33,Sheet1!$A$1:$D$98,4,0),""))</f>
        <v/>
      </c>
      <c r="H33" s="153" t="str">
        <f>IF($C32=MAX($C$8:$C$56),SUM($H$8:$H32),IFERROR($G33*$F33,""))</f>
        <v/>
      </c>
      <c r="I33" s="55" t="str">
        <f t="shared" si="2"/>
        <v/>
      </c>
      <c r="L33" s="31"/>
    </row>
    <row r="34" spans="1:12" s="29" customFormat="1" ht="14.25" customHeight="1" x14ac:dyDescent="0.25">
      <c r="A34" s="155" t="s">
        <v>301</v>
      </c>
      <c r="B34" s="155"/>
      <c r="C34" s="30" t="str">
        <f t="shared" si="0"/>
        <v/>
      </c>
      <c r="D34" s="152" t="str">
        <f>IFERROR(VLOOKUP($A34,Sheet1!$A$1:$B$98,2,0),"")</f>
        <v/>
      </c>
      <c r="E34" s="30" t="str">
        <f>IFERROR(VLOOKUP($A34,'Tổng Đơn'!$A$5:$E$75,5,0),"")</f>
        <v/>
      </c>
      <c r="F34" s="30" t="str">
        <f t="shared" si="1"/>
        <v/>
      </c>
      <c r="G34" s="162" t="str">
        <f>IF(AND($C34="",$C33&lt;&gt;""),"Tổng Cộng",IFERROR(VLOOKUP($A34,Sheet1!$A$1:$D$98,4,0),""))</f>
        <v/>
      </c>
      <c r="H34" s="153" t="str">
        <f>IF($C33=MAX($C$8:$C$56),SUM($H$8:$H33),IFERROR($G34*$F34,""))</f>
        <v/>
      </c>
      <c r="I34" s="55" t="str">
        <f t="shared" si="2"/>
        <v/>
      </c>
      <c r="L34" s="31"/>
    </row>
    <row r="35" spans="1:12" s="29" customFormat="1" ht="14.25" customHeight="1" x14ac:dyDescent="0.25">
      <c r="A35" s="155" t="s">
        <v>301</v>
      </c>
      <c r="B35" s="155"/>
      <c r="C35" s="30" t="str">
        <f t="shared" si="0"/>
        <v/>
      </c>
      <c r="D35" s="152" t="str">
        <f>IFERROR(VLOOKUP($A35,Sheet1!$A$1:$B$98,2,0),"")</f>
        <v/>
      </c>
      <c r="E35" s="30" t="str">
        <f>IFERROR(VLOOKUP($A35,'Tổng Đơn'!$A$5:$E$75,5,0),"")</f>
        <v/>
      </c>
      <c r="F35" s="30" t="str">
        <f t="shared" si="1"/>
        <v/>
      </c>
      <c r="G35" s="162" t="str">
        <f>IF(AND($C35="",$C34&lt;&gt;""),"Tổng Cộng",IFERROR(VLOOKUP($A35,Sheet1!$A$1:$D$98,4,0),""))</f>
        <v/>
      </c>
      <c r="H35" s="153" t="str">
        <f>IF($C34=MAX($C$8:$C$56),SUM($H$8:$H34),IFERROR($G35*$F35,""))</f>
        <v/>
      </c>
      <c r="I35" s="55" t="str">
        <f t="shared" si="2"/>
        <v/>
      </c>
      <c r="L35" s="31"/>
    </row>
    <row r="36" spans="1:12" s="29" customFormat="1" ht="14.25" customHeight="1" x14ac:dyDescent="0.25">
      <c r="A36" s="155" t="s">
        <v>301</v>
      </c>
      <c r="B36" s="155"/>
      <c r="C36" s="30" t="str">
        <f t="shared" si="0"/>
        <v/>
      </c>
      <c r="D36" s="152" t="str">
        <f>IFERROR(VLOOKUP($A36,Sheet1!$A$1:$B$98,2,0),"")</f>
        <v/>
      </c>
      <c r="E36" s="30" t="str">
        <f>IFERROR(VLOOKUP($A36,'Tổng Đơn'!$A$5:$E$75,5,0),"")</f>
        <v/>
      </c>
      <c r="F36" s="30" t="str">
        <f t="shared" si="1"/>
        <v/>
      </c>
      <c r="G36" s="162" t="str">
        <f>IF(AND($C36="",$C35&lt;&gt;""),"Tổng Cộng",IFERROR(VLOOKUP($A36,Sheet1!$A$1:$D$98,4,0),""))</f>
        <v/>
      </c>
      <c r="H36" s="153" t="str">
        <f>IF($C35=MAX($C$8:$C$56),SUM($H$8:$H35),IFERROR($G36*$F36,""))</f>
        <v/>
      </c>
      <c r="I36" s="55" t="str">
        <f t="shared" si="2"/>
        <v/>
      </c>
      <c r="L36" s="31"/>
    </row>
    <row r="37" spans="1:12" s="29" customFormat="1" ht="14.25" customHeight="1" x14ac:dyDescent="0.25">
      <c r="A37" s="155" t="s">
        <v>301</v>
      </c>
      <c r="B37" s="155"/>
      <c r="C37" s="30" t="str">
        <f t="shared" si="0"/>
        <v/>
      </c>
      <c r="D37" s="152" t="str">
        <f>IFERROR(VLOOKUP($A37,Sheet1!$A$1:$B$98,2,0),"")</f>
        <v/>
      </c>
      <c r="E37" s="30" t="str">
        <f>IFERROR(VLOOKUP($A37,'Tổng Đơn'!$A$5:$E$75,5,0),"")</f>
        <v/>
      </c>
      <c r="F37" s="30" t="str">
        <f t="shared" si="1"/>
        <v/>
      </c>
      <c r="G37" s="162"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3"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21" priority="20">
      <formula>$C22=MAX($C$8:$C$37)</formula>
    </cfRule>
  </conditionalFormatting>
  <conditionalFormatting sqref="C23:C37">
    <cfRule type="expression" dxfId="20" priority="19">
      <formula>$C22=MAX($C$8:$C$37)</formula>
    </cfRule>
  </conditionalFormatting>
  <conditionalFormatting sqref="E23:E38">
    <cfRule type="expression" dxfId="19" priority="21">
      <formula>AND($A23="",$F23&lt;&gt;"")</formula>
    </cfRule>
  </conditionalFormatting>
  <conditionalFormatting sqref="F23:F38">
    <cfRule type="expression" dxfId="18" priority="22">
      <formula>AND($F23="",$A23&lt;&gt;"")</formula>
    </cfRule>
  </conditionalFormatting>
  <conditionalFormatting sqref="D20:H22">
    <cfRule type="expression" dxfId="17" priority="16">
      <formula>$C19=MAX($C$8:$C$37)</formula>
    </cfRule>
  </conditionalFormatting>
  <conditionalFormatting sqref="C20:C22">
    <cfRule type="expression" dxfId="16" priority="15">
      <formula>$C19=MAX($C$8:$C$37)</formula>
    </cfRule>
  </conditionalFormatting>
  <conditionalFormatting sqref="E20:E22">
    <cfRule type="expression" dxfId="15" priority="17">
      <formula>AND($A20="",$F20&lt;&gt;"")</formula>
    </cfRule>
  </conditionalFormatting>
  <conditionalFormatting sqref="F20:F22">
    <cfRule type="expression" dxfId="14" priority="18">
      <formula>AND($F20="",$A20&lt;&gt;"")</formula>
    </cfRule>
  </conditionalFormatting>
  <conditionalFormatting sqref="D17:H19">
    <cfRule type="expression" dxfId="13" priority="12">
      <formula>$C16=MAX($C$8:$C$37)</formula>
    </cfRule>
  </conditionalFormatting>
  <conditionalFormatting sqref="C17:C19">
    <cfRule type="expression" dxfId="12" priority="11">
      <formula>$C16=MAX($C$8:$C$37)</formula>
    </cfRule>
  </conditionalFormatting>
  <conditionalFormatting sqref="E17:E19">
    <cfRule type="expression" dxfId="11" priority="13">
      <formula>AND($A17="",$F17&lt;&gt;"")</formula>
    </cfRule>
  </conditionalFormatting>
  <conditionalFormatting sqref="F17:F19">
    <cfRule type="expression" dxfId="10" priority="14">
      <formula>AND($F17="",$A17&lt;&gt;"")</formula>
    </cfRule>
  </conditionalFormatting>
  <conditionalFormatting sqref="D15:H16 D9:G14">
    <cfRule type="expression" dxfId="9" priority="8">
      <formula>$C8=MAX($C$8:$C$37)</formula>
    </cfRule>
  </conditionalFormatting>
  <conditionalFormatting sqref="C9:C16">
    <cfRule type="expression" dxfId="8" priority="7">
      <formula>$C8=MAX($C$8:$C$37)</formula>
    </cfRule>
  </conditionalFormatting>
  <conditionalFormatting sqref="E9:E16">
    <cfRule type="expression" dxfId="7" priority="9">
      <formula>AND($A9="",$F9&lt;&gt;"")</formula>
    </cfRule>
  </conditionalFormatting>
  <conditionalFormatting sqref="F9:F16">
    <cfRule type="expression" dxfId="6" priority="10">
      <formula>AND($F9="",$A9&lt;&gt;"")</formula>
    </cfRule>
  </conditionalFormatting>
  <conditionalFormatting sqref="D8:G8">
    <cfRule type="expression" dxfId="5" priority="4">
      <formula>$C7=MAX($C$8:$C$37)</formula>
    </cfRule>
  </conditionalFormatting>
  <conditionalFormatting sqref="C8">
    <cfRule type="expression" dxfId="4" priority="3">
      <formula>$C7=MAX($C$8:$C$37)</formula>
    </cfRule>
  </conditionalFormatting>
  <conditionalFormatting sqref="E8">
    <cfRule type="expression" dxfId="3" priority="5">
      <formula>AND($A8="",$F8&lt;&gt;"")</formula>
    </cfRule>
  </conditionalFormatting>
  <conditionalFormatting sqref="F8">
    <cfRule type="expression" dxfId="2" priority="6">
      <formula>AND($F8="",$A8&lt;&gt;"")</formula>
    </cfRule>
  </conditionalFormatting>
  <conditionalFormatting sqref="H9:H14">
    <cfRule type="expression" dxfId="1" priority="2">
      <formula>$C8=MAX($C$8:$C$37)</formula>
    </cfRule>
  </conditionalFormatting>
  <conditionalFormatting sqref="H8">
    <cfRule type="expression" dxfId="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46739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4">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4" t="s">
        <v>188</v>
      </c>
      <c r="D1" s="264"/>
      <c r="E1" s="264"/>
      <c r="F1" s="264"/>
      <c r="G1" s="264"/>
      <c r="H1" s="264"/>
    </row>
    <row r="2" spans="1:14" ht="15.75" customHeight="1" x14ac:dyDescent="0.25">
      <c r="C2" s="264"/>
      <c r="D2" s="264"/>
      <c r="E2" s="264"/>
      <c r="F2" s="264"/>
      <c r="G2" s="264"/>
      <c r="H2" s="264"/>
    </row>
    <row r="3" spans="1:14" ht="15" customHeight="1" x14ac:dyDescent="0.25">
      <c r="C3" s="265" t="s">
        <v>190</v>
      </c>
      <c r="D3" s="265"/>
      <c r="E3" s="265"/>
      <c r="F3" s="266" t="s">
        <v>192</v>
      </c>
      <c r="G3" s="266"/>
      <c r="H3" s="266"/>
    </row>
    <row r="4" spans="1:14" x14ac:dyDescent="0.25">
      <c r="C4" s="267" t="s">
        <v>191</v>
      </c>
      <c r="D4" s="267"/>
      <c r="E4" s="267"/>
      <c r="F4" s="268" t="s">
        <v>193</v>
      </c>
      <c r="G4" s="268"/>
      <c r="H4" s="268"/>
    </row>
    <row r="5" spans="1:14" s="145" customFormat="1" ht="21" customHeight="1" x14ac:dyDescent="0.25">
      <c r="C5" s="269" t="s">
        <v>189</v>
      </c>
      <c r="D5" s="269"/>
      <c r="E5" s="269"/>
      <c r="F5" s="269"/>
      <c r="G5" s="269"/>
      <c r="H5" s="269"/>
    </row>
    <row r="6" spans="1:14" s="145" customFormat="1" ht="17.25" customHeight="1" x14ac:dyDescent="0.25">
      <c r="C6" s="154" t="s">
        <v>194</v>
      </c>
      <c r="D6" s="158" t="s">
        <v>332</v>
      </c>
      <c r="E6" s="150"/>
      <c r="F6" s="150"/>
      <c r="G6" s="263" t="str">
        <f ca="1">"Ngày "&amp;DAY(TODAY())&amp;" Tháng "&amp;MONTH(TODAY())&amp;" Năm "&amp;YEAR(TODAY())</f>
        <v>Ngày 29 Tháng 8 Năm 2022</v>
      </c>
      <c r="H6" s="263"/>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2.5</v>
      </c>
      <c r="L7" s="145"/>
    </row>
    <row r="8" spans="1:14" s="29" customFormat="1" ht="14.25" customHeight="1" x14ac:dyDescent="0.25">
      <c r="A8" s="155">
        <v>18</v>
      </c>
      <c r="B8" s="155">
        <v>5</v>
      </c>
      <c r="C8" s="30">
        <f t="shared" ref="C8:C37" si="0">IF(OR(SUM($C7,$A8&lt;&gt;"")=0,$A8=""),"",SUM($C7,$A8&lt;&gt;""))</f>
        <v>1</v>
      </c>
      <c r="D8" s="152" t="str">
        <f>IFERROR(VLOOKUP($A8,Sheet1!$A$1:$B$98,2,0),"")</f>
        <v>XX Đức HS ĐNA</v>
      </c>
      <c r="E8" s="30">
        <f>IFERROR(VLOOKUP($A8,'Tổng Đơn'!$A$5:$E$75,5,0),"")</f>
        <v>0.5</v>
      </c>
      <c r="F8" s="30">
        <f t="shared" ref="F8:F37" si="1">IF($B8="","",B8)</f>
        <v>5</v>
      </c>
      <c r="G8" s="162">
        <f>IFERROR(VLOOKUP($A8,Sheet1!$A1:$D$98,4,0),"")</f>
        <v>35000</v>
      </c>
      <c r="H8" s="153">
        <f>IF($C7=MAX($C$8:$C$56),SUM($H7:$H$8),IFERROR($G8*$F8,""))</f>
        <v>175000</v>
      </c>
      <c r="I8" s="55">
        <f t="shared" ref="I8:I37" si="2">IF(TYPE($A8)&lt;&gt;1,"",IFERROR(F8*E8,""))</f>
        <v>2.5</v>
      </c>
      <c r="L8" s="32"/>
    </row>
    <row r="9" spans="1:14" s="29" customFormat="1" ht="14.25" customHeight="1" x14ac:dyDescent="0.25">
      <c r="A9" s="155" t="s">
        <v>301</v>
      </c>
      <c r="B9" s="155"/>
      <c r="C9" s="30" t="str">
        <f t="shared" si="0"/>
        <v/>
      </c>
      <c r="D9" s="152" t="str">
        <f>IFERROR(VLOOKUP($A9,Sheet1!$A$1:$B$98,2,0),"")</f>
        <v/>
      </c>
      <c r="E9" s="30" t="str">
        <f>IFERROR(VLOOKUP($A9,'Tổng Đơn'!$A$5:$E$76,5,0),"")</f>
        <v/>
      </c>
      <c r="F9" s="30" t="str">
        <f t="shared" si="1"/>
        <v/>
      </c>
      <c r="G9" s="162" t="str">
        <f>IF(AND($C9="",$C8&lt;&gt;""),"Tổng Cộng",IFERROR(VLOOKUP($A9,Sheet1!$A$1:$D$98,4,0),""))</f>
        <v>Tổng Cộng</v>
      </c>
      <c r="H9" s="153">
        <f>IF($C8=MAX($C$8:$C$56),SUM($H$8:$H8),IFERROR($G9*$F9,""))</f>
        <v>175000</v>
      </c>
      <c r="I9" s="55" t="str">
        <f t="shared" si="2"/>
        <v/>
      </c>
      <c r="L9" s="31"/>
    </row>
    <row r="10" spans="1:14" s="29" customFormat="1" ht="14.25" customHeight="1" x14ac:dyDescent="0.25">
      <c r="A10" s="155" t="s">
        <v>301</v>
      </c>
      <c r="B10" s="155"/>
      <c r="C10" s="30" t="str">
        <f t="shared" si="0"/>
        <v/>
      </c>
      <c r="D10" s="152" t="str">
        <f>IFERROR(VLOOKUP($A10,Sheet1!$A$1:$B$98,2,0),"")</f>
        <v/>
      </c>
      <c r="E10" s="30" t="str">
        <f>IFERROR(VLOOKUP($A10,'Tổng Đơn'!$A$5:$E$76,5,0),"")</f>
        <v/>
      </c>
      <c r="F10" s="30" t="str">
        <f t="shared" si="1"/>
        <v/>
      </c>
      <c r="G10" s="162" t="str">
        <f>IF(AND($C10="",$C9&lt;&gt;""),"Tổng Cộng",IFERROR(VLOOKUP($A10,Sheet1!$A$1:$D$98,4,0),""))</f>
        <v/>
      </c>
      <c r="H10" s="153" t="str">
        <f>IF($C9=MAX($C$8:$C$56),SUM($H$8:$H9),IFERROR($G10*$F10,""))</f>
        <v/>
      </c>
      <c r="I10" s="55" t="str">
        <f t="shared" si="2"/>
        <v/>
      </c>
      <c r="L10" s="31"/>
    </row>
    <row r="11" spans="1:14" s="29" customFormat="1" ht="14.25" customHeight="1" x14ac:dyDescent="0.25">
      <c r="A11" s="155" t="s">
        <v>301</v>
      </c>
      <c r="B11" s="155"/>
      <c r="C11" s="30" t="str">
        <f t="shared" si="0"/>
        <v/>
      </c>
      <c r="D11" s="152" t="str">
        <f>IFERROR(VLOOKUP($A11,Sheet1!$A$1:$B$98,2,0),"")</f>
        <v/>
      </c>
      <c r="E11" s="30" t="str">
        <f>IFERROR(VLOOKUP($A11,'Tổng Đơn'!$A$5:$E$76,5,0),"")</f>
        <v/>
      </c>
      <c r="F11" s="30" t="str">
        <f t="shared" si="1"/>
        <v/>
      </c>
      <c r="G11" s="162" t="str">
        <f>IF(AND($C11="",$C10&lt;&gt;""),"Tổng Cộng",IFERROR(VLOOKUP($A11,Sheet1!$A$1:$D$98,4,0),""))</f>
        <v/>
      </c>
      <c r="H11" s="153" t="str">
        <f>IF($C10=MAX($C$8:$C$56),SUM($H$8:$H10),IFERROR($G11*$F11,""))</f>
        <v/>
      </c>
      <c r="I11" s="55" t="str">
        <f t="shared" si="2"/>
        <v/>
      </c>
      <c r="L11" s="31"/>
    </row>
    <row r="12" spans="1:14" s="29" customFormat="1" ht="14.25" customHeight="1" x14ac:dyDescent="0.25">
      <c r="A12" s="155" t="s">
        <v>301</v>
      </c>
      <c r="B12" s="155"/>
      <c r="C12" s="30" t="str">
        <f t="shared" si="0"/>
        <v/>
      </c>
      <c r="D12" s="152" t="str">
        <f>IFERROR(VLOOKUP($A12,Sheet1!$A$1:$B$98,2,0),"")</f>
        <v/>
      </c>
      <c r="E12" s="30" t="str">
        <f>IFERROR(VLOOKUP($A12,'Tổng Đơn'!$A$5:$E$76,5,0),"")</f>
        <v/>
      </c>
      <c r="F12" s="30" t="str">
        <f t="shared" si="1"/>
        <v/>
      </c>
      <c r="G12" s="162"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301</v>
      </c>
      <c r="B13" s="155"/>
      <c r="C13" s="30" t="str">
        <f t="shared" si="0"/>
        <v/>
      </c>
      <c r="D13" s="152" t="str">
        <f>IFERROR(VLOOKUP($A13,Sheet1!$A$1:$B$98,2,0),"")</f>
        <v/>
      </c>
      <c r="E13" s="30" t="str">
        <f>IFERROR(VLOOKUP($A13,'Tổng Đơn'!$A$5:$E$76,5,0),"")</f>
        <v/>
      </c>
      <c r="F13" s="30" t="str">
        <f t="shared" si="1"/>
        <v/>
      </c>
      <c r="G13" s="162" t="str">
        <f>IF(AND($C13="",$C12&lt;&gt;""),"Tổng Cộng",IFERROR(VLOOKUP($A13,Sheet1!$A$1:$D$98,4,0),""))</f>
        <v/>
      </c>
      <c r="H13" s="153" t="str">
        <f>IF($C12=MAX($C$8:$C$56),SUM($H$8:$H12),IFERROR($G13*$F13,""))</f>
        <v/>
      </c>
      <c r="I13" s="55" t="str">
        <f t="shared" si="2"/>
        <v/>
      </c>
      <c r="L13" s="31"/>
    </row>
    <row r="14" spans="1:14" s="29" customFormat="1" ht="14.25" customHeight="1" x14ac:dyDescent="0.25">
      <c r="A14" s="155" t="s">
        <v>301</v>
      </c>
      <c r="B14" s="155"/>
      <c r="C14" s="30" t="str">
        <f t="shared" si="0"/>
        <v/>
      </c>
      <c r="D14" s="152" t="str">
        <f>IFERROR(VLOOKUP($A14,Sheet1!$A$1:$B$98,2,0),"")</f>
        <v/>
      </c>
      <c r="E14" s="30" t="str">
        <f>IFERROR(VLOOKUP($A14,'Tổng Đơn'!$A$5:$E$76,5,0),"")</f>
        <v/>
      </c>
      <c r="F14" s="30" t="str">
        <f t="shared" si="1"/>
        <v/>
      </c>
      <c r="G14" s="162"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301</v>
      </c>
      <c r="B15" s="155"/>
      <c r="C15" s="30" t="str">
        <f t="shared" si="0"/>
        <v/>
      </c>
      <c r="D15" s="152" t="str">
        <f>IFERROR(VLOOKUP($A15,Sheet1!$A$1:$B$98,2,0),"")</f>
        <v/>
      </c>
      <c r="E15" s="30" t="str">
        <f>IFERROR(VLOOKUP($A15,'Tổng Đơn'!$A$5:$E$75,5,0),"")</f>
        <v/>
      </c>
      <c r="F15" s="30" t="str">
        <f t="shared" si="1"/>
        <v/>
      </c>
      <c r="G15" s="162" t="str">
        <f>IF(AND($C15="",$C14&lt;&gt;""),"Tổng Cộng",IFERROR(VLOOKUP($A15,Sheet1!$A$1:$D$98,4,0),""))</f>
        <v/>
      </c>
      <c r="H15" s="153" t="str">
        <f>IF($C14=MAX($C$8:$C$56),SUM($H$8:$H14),IFERROR($G15*$F15,""))</f>
        <v/>
      </c>
      <c r="I15" s="55" t="str">
        <f t="shared" si="2"/>
        <v/>
      </c>
      <c r="L15" s="31"/>
    </row>
    <row r="16" spans="1:14" s="29" customFormat="1" ht="14.25" customHeight="1" x14ac:dyDescent="0.25">
      <c r="A16" s="155" t="s">
        <v>301</v>
      </c>
      <c r="B16" s="155"/>
      <c r="C16" s="30" t="str">
        <f t="shared" si="0"/>
        <v/>
      </c>
      <c r="D16" s="152" t="str">
        <f>IFERROR(VLOOKUP($A16,Sheet1!$A$1:$B$98,2,0),"")</f>
        <v/>
      </c>
      <c r="E16" s="30" t="str">
        <f>IFERROR(VLOOKUP($A16,'Tổng Đơn'!$A$5:$E$75,5,0),"")</f>
        <v/>
      </c>
      <c r="F16" s="30" t="str">
        <f t="shared" si="1"/>
        <v/>
      </c>
      <c r="G16" s="162" t="str">
        <f>IF(AND($C16="",$C15&lt;&gt;""),"Tổng Cộng",IFERROR(VLOOKUP($A16,Sheet1!$A$1:$D$98,4,0),""))</f>
        <v/>
      </c>
      <c r="H16" s="153" t="str">
        <f>IF($C15=MAX($C$8:$C$56),SUM($H$8:$H15),IFERROR($G16*$F16,""))</f>
        <v/>
      </c>
      <c r="I16" s="55" t="str">
        <f t="shared" si="2"/>
        <v/>
      </c>
      <c r="L16" s="31"/>
    </row>
    <row r="17" spans="1:12" s="29" customFormat="1" ht="14.25" customHeight="1" x14ac:dyDescent="0.25">
      <c r="A17" s="155" t="s">
        <v>301</v>
      </c>
      <c r="B17" s="155"/>
      <c r="C17" s="30" t="str">
        <f t="shared" si="0"/>
        <v/>
      </c>
      <c r="D17" s="161" t="str">
        <f>IFERROR(VLOOKUP($A17,Sheet1!$A$1:$B$98,2,0),"")</f>
        <v/>
      </c>
      <c r="E17" s="30" t="str">
        <f>IFERROR(VLOOKUP($A17,'Tổng Đơn'!$A$5:$E$75,5,0),"")</f>
        <v/>
      </c>
      <c r="F17" s="30" t="str">
        <f t="shared" si="1"/>
        <v/>
      </c>
      <c r="G17" s="162" t="str">
        <f>IF(AND($C17="",$C16&lt;&gt;""),"Tổng Cộng",IFERROR(VLOOKUP($A17,Sheet1!$A$1:$D$98,4,0),""))</f>
        <v/>
      </c>
      <c r="H17" s="153" t="str">
        <f>IF($C16=MAX($C$8:$C$56),SUM($H$8:$H16),IFERROR($G17*$F17,""))</f>
        <v/>
      </c>
      <c r="I17" s="55" t="str">
        <f t="shared" si="2"/>
        <v/>
      </c>
      <c r="L17" s="31"/>
    </row>
    <row r="18" spans="1:12" s="29" customFormat="1" ht="14.25" customHeight="1" x14ac:dyDescent="0.25">
      <c r="A18" s="155" t="s">
        <v>301</v>
      </c>
      <c r="B18" s="155"/>
      <c r="C18" s="30" t="str">
        <f t="shared" si="0"/>
        <v/>
      </c>
      <c r="D18" s="161" t="str">
        <f>IFERROR(VLOOKUP($A18,Sheet1!$A$1:$B$98,2,0),"")</f>
        <v/>
      </c>
      <c r="E18" s="30" t="str">
        <f>IFERROR(VLOOKUP($A18,'Tổng Đơn'!$A$5:$E$75,5,0),"")</f>
        <v/>
      </c>
      <c r="F18" s="30" t="str">
        <f t="shared" si="1"/>
        <v/>
      </c>
      <c r="G18" s="162" t="str">
        <f>IF(AND($C18="",$C17&lt;&gt;""),"Tổng Cộng",IFERROR(VLOOKUP($A18,Sheet1!$A$1:$D$98,4,0),""))</f>
        <v/>
      </c>
      <c r="H18" s="153" t="str">
        <f>IF($C17=MAX($C$8:$C$56),SUM($H$8:$H17),IFERROR($G18*$F18,""))</f>
        <v/>
      </c>
      <c r="I18" s="55" t="str">
        <f t="shared" si="2"/>
        <v/>
      </c>
      <c r="L18" s="31"/>
    </row>
    <row r="19" spans="1:12" s="29" customFormat="1" ht="14.25" customHeight="1" x14ac:dyDescent="0.25">
      <c r="A19" s="155" t="s">
        <v>301</v>
      </c>
      <c r="B19" s="155"/>
      <c r="C19" s="30" t="str">
        <f t="shared" si="0"/>
        <v/>
      </c>
      <c r="D19" s="161" t="str">
        <f>IFERROR(VLOOKUP($A19,Sheet1!$A$1:$B$98,2,0),"")</f>
        <v/>
      </c>
      <c r="E19" s="30" t="str">
        <f>IFERROR(VLOOKUP($A19,'Tổng Đơn'!$A$5:$E$75,5,0),"")</f>
        <v/>
      </c>
      <c r="F19" s="30" t="str">
        <f t="shared" si="1"/>
        <v/>
      </c>
      <c r="G19" s="162" t="str">
        <f>IF(AND($C19="",$C18&lt;&gt;""),"Tổng Cộng",IFERROR(VLOOKUP($A19,Sheet1!$A$1:$D$98,4,0),""))</f>
        <v/>
      </c>
      <c r="H19" s="153" t="str">
        <f>IF($C18=MAX($C$8:$C$56),SUM($H$8:$H18),IFERROR($G19*$F19,""))</f>
        <v/>
      </c>
      <c r="I19" s="55" t="str">
        <f t="shared" si="2"/>
        <v/>
      </c>
      <c r="L19" s="31"/>
    </row>
    <row r="20" spans="1:12" s="29" customFormat="1" ht="14.25" customHeight="1" x14ac:dyDescent="0.25">
      <c r="A20" s="155" t="s">
        <v>301</v>
      </c>
      <c r="B20" s="155"/>
      <c r="C20" s="30" t="str">
        <f t="shared" si="0"/>
        <v/>
      </c>
      <c r="D20" s="161" t="str">
        <f>IFERROR(VLOOKUP($A20,Sheet1!$A$1:$B$98,2,0),"")</f>
        <v/>
      </c>
      <c r="E20" s="30" t="str">
        <f>IFERROR(VLOOKUP($A20,'Tổng Đơn'!$A$5:$E$75,5,0),"")</f>
        <v/>
      </c>
      <c r="F20" s="30" t="str">
        <f t="shared" si="1"/>
        <v/>
      </c>
      <c r="G20" s="162" t="str">
        <f>IF(AND($C20="",$C19&lt;&gt;""),"Tổng Cộng",IFERROR(VLOOKUP($A20,Sheet1!$A$1:$D$98,4,0),""))</f>
        <v/>
      </c>
      <c r="H20" s="153" t="str">
        <f>IF($C19=MAX($C$8:$C$56),SUM($H$8:$H19),IFERROR($G20*$F20,""))</f>
        <v/>
      </c>
      <c r="I20" s="55" t="str">
        <f t="shared" si="2"/>
        <v/>
      </c>
      <c r="L20" s="31"/>
    </row>
    <row r="21" spans="1:12" s="29" customFormat="1" ht="14.25" customHeight="1" x14ac:dyDescent="0.25">
      <c r="A21" s="155" t="s">
        <v>301</v>
      </c>
      <c r="B21" s="155"/>
      <c r="C21" s="30" t="str">
        <f t="shared" si="0"/>
        <v/>
      </c>
      <c r="D21" s="161" t="str">
        <f>IFERROR(VLOOKUP($A21,Sheet1!$A$1:$B$98,2,0),"")</f>
        <v/>
      </c>
      <c r="E21" s="30" t="str">
        <f>IFERROR(VLOOKUP($A21,'Tổng Đơn'!$A$5:$E$75,5,0),"")</f>
        <v/>
      </c>
      <c r="F21" s="30" t="str">
        <f t="shared" si="1"/>
        <v/>
      </c>
      <c r="G21" s="162" t="str">
        <f>IF(AND($C21="",$C20&lt;&gt;""),"Tổng Cộng",IFERROR(VLOOKUP($A21,Sheet1!$A$1:$D$98,4,0),""))</f>
        <v/>
      </c>
      <c r="H21" s="153" t="str">
        <f>IF($C20=MAX($C$8:$C$56),SUM($H$8:$H20),IFERROR($G21*$F21,""))</f>
        <v/>
      </c>
      <c r="I21" s="55" t="str">
        <f t="shared" si="2"/>
        <v/>
      </c>
      <c r="L21" s="31"/>
    </row>
    <row r="22" spans="1:12" s="29" customFormat="1" ht="14.25" customHeight="1" x14ac:dyDescent="0.25">
      <c r="A22" s="155" t="s">
        <v>301</v>
      </c>
      <c r="B22" s="155"/>
      <c r="C22" s="30" t="str">
        <f t="shared" si="0"/>
        <v/>
      </c>
      <c r="D22" s="152" t="str">
        <f>IFERROR(VLOOKUP($A22,Sheet1!$A$1:$B$98,2,0),"")</f>
        <v/>
      </c>
      <c r="E22" s="30" t="str">
        <f>IFERROR(VLOOKUP($A22,'Tổng Đơn'!$A$5:$E$75,5,0),"")</f>
        <v/>
      </c>
      <c r="F22" s="30" t="str">
        <f t="shared" si="1"/>
        <v/>
      </c>
      <c r="G22" s="162" t="str">
        <f>IF(AND($C22="",$C21&lt;&gt;""),"Tổng Cộng",IFERROR(VLOOKUP($A22,Sheet1!$A$1:$D$98,4,0),""))</f>
        <v/>
      </c>
      <c r="H22" s="153" t="str">
        <f>IF($C21=MAX($C$8:$C$56),SUM($H$8:$H21),IFERROR($G22*$F22,""))</f>
        <v/>
      </c>
      <c r="I22" s="55" t="str">
        <f t="shared" si="2"/>
        <v/>
      </c>
      <c r="L22" s="31"/>
    </row>
    <row r="23" spans="1:12" s="29" customFormat="1" ht="14.25" customHeight="1" x14ac:dyDescent="0.25">
      <c r="A23" s="155" t="s">
        <v>301</v>
      </c>
      <c r="B23" s="155"/>
      <c r="C23" s="30" t="str">
        <f t="shared" si="0"/>
        <v/>
      </c>
      <c r="D23" s="152" t="str">
        <f>IFERROR(VLOOKUP($A23,Sheet1!$A$1:$B$98,2,0),"")</f>
        <v/>
      </c>
      <c r="E23" s="30" t="str">
        <f>IFERROR(VLOOKUP($A23,'Tổng Đơn'!$A$5:$E$75,5,0),"")</f>
        <v/>
      </c>
      <c r="F23" s="30" t="str">
        <f t="shared" si="1"/>
        <v/>
      </c>
      <c r="G23" s="162" t="str">
        <f>IF(AND($C23="",$C22&lt;&gt;""),"Tổng Cộng",IFERROR(VLOOKUP($A23,Sheet1!$A$1:$D$98,4,0),""))</f>
        <v/>
      </c>
      <c r="H23" s="153" t="str">
        <f>IF($C22=MAX($C$8:$C$56),SUM($H$8:$H22),IFERROR($G23*$F23,""))</f>
        <v/>
      </c>
      <c r="I23" s="55" t="str">
        <f t="shared" si="2"/>
        <v/>
      </c>
      <c r="L23" s="31"/>
    </row>
    <row r="24" spans="1:12" s="29" customFormat="1" ht="14.25" customHeight="1" x14ac:dyDescent="0.25">
      <c r="A24" s="155" t="s">
        <v>301</v>
      </c>
      <c r="B24" s="155"/>
      <c r="C24" s="30" t="str">
        <f t="shared" si="0"/>
        <v/>
      </c>
      <c r="D24" s="152" t="str">
        <f>IFERROR(VLOOKUP($A24,Sheet1!$A$1:$B$98,2,0),"")</f>
        <v/>
      </c>
      <c r="E24" s="30" t="str">
        <f>IFERROR(VLOOKUP($A24,'Tổng Đơn'!$A$5:$E$75,5,0),"")</f>
        <v/>
      </c>
      <c r="F24" s="30" t="str">
        <f t="shared" si="1"/>
        <v/>
      </c>
      <c r="G24" s="162" t="str">
        <f>IF(AND($C24="",$C23&lt;&gt;""),"Tổng Cộng",IFERROR(VLOOKUP($A24,Sheet1!$A$1:$D$98,4,0),""))</f>
        <v/>
      </c>
      <c r="H24" s="153" t="str">
        <f>IF($C23=MAX($C$8:$C$56),SUM($H$8:$H23),IFERROR($G24*$F24,""))</f>
        <v/>
      </c>
      <c r="I24" s="55" t="str">
        <f t="shared" si="2"/>
        <v/>
      </c>
      <c r="L24" s="31"/>
    </row>
    <row r="25" spans="1:12" s="29" customFormat="1" ht="14.25" customHeight="1" x14ac:dyDescent="0.25">
      <c r="A25" s="155" t="s">
        <v>301</v>
      </c>
      <c r="B25" s="155"/>
      <c r="C25" s="30" t="str">
        <f t="shared" si="0"/>
        <v/>
      </c>
      <c r="D25" s="152" t="str">
        <f>IFERROR(VLOOKUP($A25,Sheet1!$A$1:$B$98,2,0),"")</f>
        <v/>
      </c>
      <c r="E25" s="30" t="str">
        <f>IFERROR(VLOOKUP($A25,'Tổng Đơn'!$A$5:$E$75,5,0),"")</f>
        <v/>
      </c>
      <c r="F25" s="30" t="str">
        <f t="shared" si="1"/>
        <v/>
      </c>
      <c r="G25" s="162" t="str">
        <f>IF(AND($C25="",$C24&lt;&gt;""),"Tổng Cộng",IFERROR(VLOOKUP($A25,Sheet1!$A$1:$D$98,4,0),""))</f>
        <v/>
      </c>
      <c r="H25" s="153" t="str">
        <f>IF($C24=MAX($C$8:$C$56),SUM($H$8:$H24),IFERROR($G25*$F25,""))</f>
        <v/>
      </c>
      <c r="I25" s="55" t="str">
        <f t="shared" si="2"/>
        <v/>
      </c>
      <c r="L25" s="31"/>
    </row>
    <row r="26" spans="1:12" s="29" customFormat="1" ht="14.25" customHeight="1" x14ac:dyDescent="0.25">
      <c r="A26" s="155" t="s">
        <v>301</v>
      </c>
      <c r="B26" s="155"/>
      <c r="C26" s="30" t="str">
        <f t="shared" si="0"/>
        <v/>
      </c>
      <c r="D26" s="152" t="str">
        <f>IFERROR(VLOOKUP($A26,Sheet1!$A$1:$B$98,2,0),"")</f>
        <v/>
      </c>
      <c r="E26" s="30" t="str">
        <f>IFERROR(VLOOKUP($A26,'Tổng Đơn'!$A$5:$E$75,5,0),"")</f>
        <v/>
      </c>
      <c r="F26" s="30" t="str">
        <f t="shared" si="1"/>
        <v/>
      </c>
      <c r="G26" s="162" t="str">
        <f>IF(AND($C26="",$C25&lt;&gt;""),"Tổng Cộng",IFERROR(VLOOKUP($A26,Sheet1!$A$1:$D$98,4,0),""))</f>
        <v/>
      </c>
      <c r="H26" s="153" t="str">
        <f>IF($C25=MAX($C$8:$C$56),SUM($H$8:$H25),IFERROR($G26*$F26,""))</f>
        <v/>
      </c>
      <c r="I26" s="55" t="str">
        <f t="shared" si="2"/>
        <v/>
      </c>
      <c r="L26" s="31"/>
    </row>
    <row r="27" spans="1:12" s="29" customFormat="1" ht="14.25" customHeight="1" x14ac:dyDescent="0.25">
      <c r="A27" s="155" t="s">
        <v>301</v>
      </c>
      <c r="B27" s="155"/>
      <c r="C27" s="30" t="str">
        <f t="shared" si="0"/>
        <v/>
      </c>
      <c r="D27" s="152" t="str">
        <f>IFERROR(VLOOKUP($A27,Sheet1!$A$1:$B$98,2,0),"")</f>
        <v/>
      </c>
      <c r="E27" s="30" t="str">
        <f>IFERROR(VLOOKUP($A27,'Tổng Đơn'!$A$5:$E$75,5,0),"")</f>
        <v/>
      </c>
      <c r="F27" s="30" t="str">
        <f t="shared" si="1"/>
        <v/>
      </c>
      <c r="G27" s="162" t="str">
        <f>IF(AND($C27="",$C26&lt;&gt;""),"Tổng Cộng",IFERROR(VLOOKUP($A27,Sheet1!$A$1:$D$98,4,0),""))</f>
        <v/>
      </c>
      <c r="H27" s="153" t="str">
        <f>IF($C26=MAX($C$8:$C$56),SUM($H$8:$H26),IFERROR($G27*$F27,""))</f>
        <v/>
      </c>
      <c r="I27" s="55" t="str">
        <f t="shared" si="2"/>
        <v/>
      </c>
      <c r="L27" s="31"/>
    </row>
    <row r="28" spans="1:12" s="29" customFormat="1" ht="14.25" customHeight="1" x14ac:dyDescent="0.25">
      <c r="A28" s="155" t="s">
        <v>301</v>
      </c>
      <c r="B28" s="155"/>
      <c r="C28" s="30" t="str">
        <f t="shared" si="0"/>
        <v/>
      </c>
      <c r="D28" s="152" t="str">
        <f>IFERROR(VLOOKUP($A28,Sheet1!$A$1:$B$98,2,0),"")</f>
        <v/>
      </c>
      <c r="E28" s="30" t="str">
        <f>IFERROR(VLOOKUP($A28,'Tổng Đơn'!$A$5:$E$75,5,0),"")</f>
        <v/>
      </c>
      <c r="F28" s="30" t="str">
        <f t="shared" si="1"/>
        <v/>
      </c>
      <c r="G28" s="162" t="str">
        <f>IF(AND($C28="",$C27&lt;&gt;""),"Tổng Cộng",IFERROR(VLOOKUP($A28,Sheet1!$A$1:$D$98,4,0),""))</f>
        <v/>
      </c>
      <c r="H28" s="153" t="str">
        <f>IF($C27=MAX($C$8:$C$56),SUM($H$8:$H27),IFERROR($G28*$F28,""))</f>
        <v/>
      </c>
      <c r="I28" s="55" t="str">
        <f t="shared" si="2"/>
        <v/>
      </c>
      <c r="L28" s="31"/>
    </row>
    <row r="29" spans="1:12" s="29" customFormat="1" ht="14.25" customHeight="1" x14ac:dyDescent="0.25">
      <c r="A29" s="155" t="s">
        <v>301</v>
      </c>
      <c r="B29" s="155"/>
      <c r="C29" s="30" t="str">
        <f t="shared" si="0"/>
        <v/>
      </c>
      <c r="D29" s="152" t="str">
        <f>IFERROR(VLOOKUP($A29,Sheet1!$A$1:$B$98,2,0),"")</f>
        <v/>
      </c>
      <c r="E29" s="30" t="str">
        <f>IFERROR(VLOOKUP($A29,'Tổng Đơn'!$A$5:$E$75,5,0),"")</f>
        <v/>
      </c>
      <c r="F29" s="30" t="str">
        <f t="shared" si="1"/>
        <v/>
      </c>
      <c r="G29" s="162" t="str">
        <f>IF(AND($C29="",$C28&lt;&gt;""),"Tổng Cộng",IFERROR(VLOOKUP($A29,Sheet1!$A$1:$D$98,4,0),""))</f>
        <v/>
      </c>
      <c r="H29" s="153" t="str">
        <f>IF($C28=MAX($C$8:$C$56),SUM($H$8:$H28),IFERROR($G29*$F29,""))</f>
        <v/>
      </c>
      <c r="I29" s="55" t="str">
        <f t="shared" si="2"/>
        <v/>
      </c>
      <c r="L29" s="31"/>
    </row>
    <row r="30" spans="1:12" s="29" customFormat="1" ht="14.25" customHeight="1" x14ac:dyDescent="0.25">
      <c r="A30" s="155" t="s">
        <v>301</v>
      </c>
      <c r="B30" s="155"/>
      <c r="C30" s="30" t="str">
        <f t="shared" si="0"/>
        <v/>
      </c>
      <c r="D30" s="152" t="str">
        <f>IFERROR(VLOOKUP($A30,Sheet1!$A$1:$B$98,2,0),"")</f>
        <v/>
      </c>
      <c r="E30" s="30" t="str">
        <f>IFERROR(VLOOKUP($A30,'Tổng Đơn'!$A$5:$E$75,5,0),"")</f>
        <v/>
      </c>
      <c r="F30" s="30" t="str">
        <f t="shared" si="1"/>
        <v/>
      </c>
      <c r="G30" s="162" t="str">
        <f>IF(AND($C30="",$C29&lt;&gt;""),"Tổng Cộng",IFERROR(VLOOKUP($A30,Sheet1!$A$1:$D$98,4,0),""))</f>
        <v/>
      </c>
      <c r="H30" s="153" t="str">
        <f>IF($C29=MAX($C$8:$C$56),SUM($H$8:$H29),IFERROR($G30*$F30,""))</f>
        <v/>
      </c>
      <c r="I30" s="55" t="str">
        <f t="shared" si="2"/>
        <v/>
      </c>
      <c r="L30" s="31"/>
    </row>
    <row r="31" spans="1:12" s="29" customFormat="1" ht="14.25" customHeight="1" x14ac:dyDescent="0.25">
      <c r="A31" s="155" t="s">
        <v>301</v>
      </c>
      <c r="B31" s="155"/>
      <c r="C31" s="30" t="str">
        <f t="shared" si="0"/>
        <v/>
      </c>
      <c r="D31" s="152" t="str">
        <f>IFERROR(VLOOKUP($A31,Sheet1!$A$1:$B$98,2,0),"")</f>
        <v/>
      </c>
      <c r="E31" s="30" t="str">
        <f>IFERROR(VLOOKUP($A31,'Tổng Đơn'!$A$5:$E$75,5,0),"")</f>
        <v/>
      </c>
      <c r="F31" s="30" t="str">
        <f t="shared" si="1"/>
        <v/>
      </c>
      <c r="G31" s="162" t="str">
        <f>IF(AND($C31="",$C30&lt;&gt;""),"Tổng Cộng",IFERROR(VLOOKUP($A31,Sheet1!$A$1:$D$98,4,0),""))</f>
        <v/>
      </c>
      <c r="H31" s="153" t="str">
        <f>IF($C30=MAX($C$8:$C$56),SUM($H$8:$H30),IFERROR($G31*$F31,""))</f>
        <v/>
      </c>
      <c r="I31" s="55" t="str">
        <f t="shared" si="2"/>
        <v/>
      </c>
      <c r="L31" s="31"/>
    </row>
    <row r="32" spans="1:12" s="29" customFormat="1" ht="14.25" customHeight="1" x14ac:dyDescent="0.25">
      <c r="A32" s="155" t="s">
        <v>301</v>
      </c>
      <c r="B32" s="155"/>
      <c r="C32" s="30" t="str">
        <f t="shared" si="0"/>
        <v/>
      </c>
      <c r="D32" s="152" t="str">
        <f>IFERROR(VLOOKUP($A32,Sheet1!$A$1:$B$98,2,0),"")</f>
        <v/>
      </c>
      <c r="E32" s="30" t="str">
        <f>IFERROR(VLOOKUP($A32,'Tổng Đơn'!$A$5:$E$75,5,0),"")</f>
        <v/>
      </c>
      <c r="F32" s="30" t="str">
        <f t="shared" si="1"/>
        <v/>
      </c>
      <c r="G32" s="162" t="str">
        <f>IF(AND($C32="",$C31&lt;&gt;""),"Tổng Cộng",IFERROR(VLOOKUP($A32,Sheet1!$A$1:$D$98,4,0),""))</f>
        <v/>
      </c>
      <c r="H32" s="153" t="str">
        <f>IF($C31=MAX($C$8:$C$56),SUM($H$8:$H31),IFERROR($G32*$F32,""))</f>
        <v/>
      </c>
      <c r="I32" s="55" t="str">
        <f t="shared" si="2"/>
        <v/>
      </c>
      <c r="L32" s="31"/>
    </row>
    <row r="33" spans="1:12" s="29" customFormat="1" ht="14.25" customHeight="1" x14ac:dyDescent="0.25">
      <c r="A33" s="155" t="s">
        <v>301</v>
      </c>
      <c r="B33" s="155"/>
      <c r="C33" s="30" t="str">
        <f t="shared" si="0"/>
        <v/>
      </c>
      <c r="D33" s="152" t="str">
        <f>IFERROR(VLOOKUP($A33,Sheet1!$A$1:$B$98,2,0),"")</f>
        <v/>
      </c>
      <c r="E33" s="30" t="str">
        <f>IFERROR(VLOOKUP($A33,'Tổng Đơn'!$A$5:$E$75,5,0),"")</f>
        <v/>
      </c>
      <c r="F33" s="30" t="str">
        <f t="shared" si="1"/>
        <v/>
      </c>
      <c r="G33" s="162" t="str">
        <f>IF(AND($C33="",$C32&lt;&gt;""),"Tổng Cộng",IFERROR(VLOOKUP($A33,Sheet1!$A$1:$D$98,4,0),""))</f>
        <v/>
      </c>
      <c r="H33" s="153" t="str">
        <f>IF($C32=MAX($C$8:$C$56),SUM($H$8:$H32),IFERROR($G33*$F33,""))</f>
        <v/>
      </c>
      <c r="I33" s="55" t="str">
        <f t="shared" si="2"/>
        <v/>
      </c>
      <c r="L33" s="31"/>
    </row>
    <row r="34" spans="1:12" s="29" customFormat="1" ht="14.25" customHeight="1" x14ac:dyDescent="0.25">
      <c r="A34" s="155" t="s">
        <v>301</v>
      </c>
      <c r="B34" s="155"/>
      <c r="C34" s="30" t="str">
        <f t="shared" si="0"/>
        <v/>
      </c>
      <c r="D34" s="152" t="str">
        <f>IFERROR(VLOOKUP($A34,Sheet1!$A$1:$B$98,2,0),"")</f>
        <v/>
      </c>
      <c r="E34" s="30" t="str">
        <f>IFERROR(VLOOKUP($A34,'Tổng Đơn'!$A$5:$E$75,5,0),"")</f>
        <v/>
      </c>
      <c r="F34" s="30" t="str">
        <f t="shared" si="1"/>
        <v/>
      </c>
      <c r="G34" s="162" t="str">
        <f>IF(AND($C34="",$C33&lt;&gt;""),"Tổng Cộng",IFERROR(VLOOKUP($A34,Sheet1!$A$1:$D$98,4,0),""))</f>
        <v/>
      </c>
      <c r="H34" s="153" t="str">
        <f>IF($C33=MAX($C$8:$C$56),SUM($H$8:$H33),IFERROR($G34*$F34,""))</f>
        <v/>
      </c>
      <c r="I34" s="55" t="str">
        <f t="shared" si="2"/>
        <v/>
      </c>
      <c r="L34" s="31"/>
    </row>
    <row r="35" spans="1:12" s="29" customFormat="1" ht="14.25" customHeight="1" x14ac:dyDescent="0.25">
      <c r="A35" s="155" t="s">
        <v>301</v>
      </c>
      <c r="B35" s="155"/>
      <c r="C35" s="30" t="str">
        <f t="shared" si="0"/>
        <v/>
      </c>
      <c r="D35" s="152" t="str">
        <f>IFERROR(VLOOKUP($A35,Sheet1!$A$1:$B$98,2,0),"")</f>
        <v/>
      </c>
      <c r="E35" s="30" t="str">
        <f>IFERROR(VLOOKUP($A35,'Tổng Đơn'!$A$5:$E$75,5,0),"")</f>
        <v/>
      </c>
      <c r="F35" s="30" t="str">
        <f t="shared" si="1"/>
        <v/>
      </c>
      <c r="G35" s="162" t="str">
        <f>IF(AND($C35="",$C34&lt;&gt;""),"Tổng Cộng",IFERROR(VLOOKUP($A35,Sheet1!$A$1:$D$98,4,0),""))</f>
        <v/>
      </c>
      <c r="H35" s="153" t="str">
        <f>IF($C34=MAX($C$8:$C$56),SUM($H$8:$H34),IFERROR($G35*$F35,""))</f>
        <v/>
      </c>
      <c r="I35" s="55" t="str">
        <f t="shared" si="2"/>
        <v/>
      </c>
      <c r="L35" s="31"/>
    </row>
    <row r="36" spans="1:12" s="29" customFormat="1" ht="14.25" customHeight="1" x14ac:dyDescent="0.25">
      <c r="A36" s="155" t="s">
        <v>301</v>
      </c>
      <c r="B36" s="155"/>
      <c r="C36" s="30" t="str">
        <f t="shared" si="0"/>
        <v/>
      </c>
      <c r="D36" s="152" t="str">
        <f>IFERROR(VLOOKUP($A36,Sheet1!$A$1:$B$98,2,0),"")</f>
        <v/>
      </c>
      <c r="E36" s="30" t="str">
        <f>IFERROR(VLOOKUP($A36,'Tổng Đơn'!$A$5:$E$75,5,0),"")</f>
        <v/>
      </c>
      <c r="F36" s="30" t="str">
        <f t="shared" si="1"/>
        <v/>
      </c>
      <c r="G36" s="162" t="str">
        <f>IF(AND($C36="",$C35&lt;&gt;""),"Tổng Cộng",IFERROR(VLOOKUP($A36,Sheet1!$A$1:$D$98,4,0),""))</f>
        <v/>
      </c>
      <c r="H36" s="153" t="str">
        <f>IF($C35=MAX($C$8:$C$56),SUM($H$8:$H35),IFERROR($G36*$F36,""))</f>
        <v/>
      </c>
      <c r="I36" s="55" t="str">
        <f t="shared" si="2"/>
        <v/>
      </c>
      <c r="L36" s="31"/>
    </row>
    <row r="37" spans="1:12" s="29" customFormat="1" ht="14.25" customHeight="1" x14ac:dyDescent="0.25">
      <c r="A37" s="155" t="s">
        <v>301</v>
      </c>
      <c r="B37" s="155"/>
      <c r="C37" s="30" t="str">
        <f t="shared" si="0"/>
        <v/>
      </c>
      <c r="D37" s="152" t="str">
        <f>IFERROR(VLOOKUP($A37,Sheet1!$A$1:$B$98,2,0),"")</f>
        <v/>
      </c>
      <c r="E37" s="30" t="str">
        <f>IFERROR(VLOOKUP($A37,'Tổng Đơn'!$A$5:$E$75,5,0),"")</f>
        <v/>
      </c>
      <c r="F37" s="30" t="str">
        <f t="shared" si="1"/>
        <v/>
      </c>
      <c r="G37" s="162"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3"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43" priority="20">
      <formula>$C22=MAX($C$8:$C$37)</formula>
    </cfRule>
  </conditionalFormatting>
  <conditionalFormatting sqref="C23:C37">
    <cfRule type="expression" dxfId="42" priority="19">
      <formula>$C22=MAX($C$8:$C$37)</formula>
    </cfRule>
  </conditionalFormatting>
  <conditionalFormatting sqref="E23:E38">
    <cfRule type="expression" dxfId="41" priority="21">
      <formula>AND($A23="",$F23&lt;&gt;"")</formula>
    </cfRule>
  </conditionalFormatting>
  <conditionalFormatting sqref="F23:F38">
    <cfRule type="expression" dxfId="40" priority="22">
      <formula>AND($F23="",$A23&lt;&gt;"")</formula>
    </cfRule>
  </conditionalFormatting>
  <conditionalFormatting sqref="D20:H22">
    <cfRule type="expression" dxfId="39" priority="16">
      <formula>$C19=MAX($C$8:$C$37)</formula>
    </cfRule>
  </conditionalFormatting>
  <conditionalFormatting sqref="C20:C22">
    <cfRule type="expression" dxfId="38" priority="15">
      <formula>$C19=MAX($C$8:$C$37)</formula>
    </cfRule>
  </conditionalFormatting>
  <conditionalFormatting sqref="E20:E22">
    <cfRule type="expression" dxfId="37" priority="17">
      <formula>AND($A20="",$F20&lt;&gt;"")</formula>
    </cfRule>
  </conditionalFormatting>
  <conditionalFormatting sqref="F20:F22">
    <cfRule type="expression" dxfId="36" priority="18">
      <formula>AND($F20="",$A20&lt;&gt;"")</formula>
    </cfRule>
  </conditionalFormatting>
  <conditionalFormatting sqref="D17:H19">
    <cfRule type="expression" dxfId="35" priority="12">
      <formula>$C16=MAX($C$8:$C$37)</formula>
    </cfRule>
  </conditionalFormatting>
  <conditionalFormatting sqref="C17:C19">
    <cfRule type="expression" dxfId="34" priority="11">
      <formula>$C16=MAX($C$8:$C$37)</formula>
    </cfRule>
  </conditionalFormatting>
  <conditionalFormatting sqref="E17:E19">
    <cfRule type="expression" dxfId="33" priority="13">
      <formula>AND($A17="",$F17&lt;&gt;"")</formula>
    </cfRule>
  </conditionalFormatting>
  <conditionalFormatting sqref="F17:F19">
    <cfRule type="expression" dxfId="32" priority="14">
      <formula>AND($F17="",$A17&lt;&gt;"")</formula>
    </cfRule>
  </conditionalFormatting>
  <conditionalFormatting sqref="D15:H16 D9:G14">
    <cfRule type="expression" dxfId="31" priority="8">
      <formula>$C8=MAX($C$8:$C$37)</formula>
    </cfRule>
  </conditionalFormatting>
  <conditionalFormatting sqref="C9:C16">
    <cfRule type="expression" dxfId="30" priority="7">
      <formula>$C8=MAX($C$8:$C$37)</formula>
    </cfRule>
  </conditionalFormatting>
  <conditionalFormatting sqref="E9:E16">
    <cfRule type="expression" dxfId="29" priority="9">
      <formula>AND($A9="",$F9&lt;&gt;"")</formula>
    </cfRule>
  </conditionalFormatting>
  <conditionalFormatting sqref="F9:F16">
    <cfRule type="expression" dxfId="28" priority="10">
      <formula>AND($F9="",$A9&lt;&gt;"")</formula>
    </cfRule>
  </conditionalFormatting>
  <conditionalFormatting sqref="D8:G8">
    <cfRule type="expression" dxfId="27" priority="4">
      <formula>$C7=MAX($C$8:$C$37)</formula>
    </cfRule>
  </conditionalFormatting>
  <conditionalFormatting sqref="C8">
    <cfRule type="expression" dxfId="26" priority="3">
      <formula>$C7=MAX($C$8:$C$37)</formula>
    </cfRule>
  </conditionalFormatting>
  <conditionalFormatting sqref="E8">
    <cfRule type="expression" dxfId="25" priority="5">
      <formula>AND($A8="",$F8&lt;&gt;"")</formula>
    </cfRule>
  </conditionalFormatting>
  <conditionalFormatting sqref="F8">
    <cfRule type="expression" dxfId="24" priority="6">
      <formula>AND($F8="",$A8&lt;&gt;"")</formula>
    </cfRule>
  </conditionalFormatting>
  <conditionalFormatting sqref="H9:H14">
    <cfRule type="expression" dxfId="23" priority="2">
      <formula>$C8=MAX($C$8:$C$37)</formula>
    </cfRule>
  </conditionalFormatting>
  <conditionalFormatting sqref="H8">
    <cfRule type="expression" dxfId="22"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46636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3">
    <tabColor theme="1"/>
    <pageSetUpPr fitToPage="1"/>
  </sheetPr>
  <dimension ref="A1:N53"/>
  <sheetViews>
    <sheetView zoomScaleNormal="100" workbookViewId="0">
      <pane ySplit="7" topLeftCell="A8" activePane="bottomLeft" state="frozen"/>
      <selection activeCell="L2" sqref="L2:L29"/>
      <selection pane="bottomLeft" activeCell="J17" sqref="J1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4" t="s">
        <v>188</v>
      </c>
      <c r="D1" s="264"/>
      <c r="E1" s="264"/>
      <c r="F1" s="264"/>
      <c r="G1" s="264"/>
      <c r="H1" s="264"/>
    </row>
    <row r="2" spans="1:14" ht="15.75" customHeight="1" x14ac:dyDescent="0.25">
      <c r="C2" s="264"/>
      <c r="D2" s="264"/>
      <c r="E2" s="264"/>
      <c r="F2" s="264"/>
      <c r="G2" s="264"/>
      <c r="H2" s="264"/>
    </row>
    <row r="3" spans="1:14" ht="15" customHeight="1" x14ac:dyDescent="0.25">
      <c r="C3" s="265" t="s">
        <v>190</v>
      </c>
      <c r="D3" s="265"/>
      <c r="E3" s="265"/>
      <c r="F3" s="266" t="s">
        <v>192</v>
      </c>
      <c r="G3" s="266"/>
      <c r="H3" s="266"/>
    </row>
    <row r="4" spans="1:14" x14ac:dyDescent="0.25">
      <c r="C4" s="267" t="s">
        <v>191</v>
      </c>
      <c r="D4" s="267"/>
      <c r="E4" s="267"/>
      <c r="F4" s="268" t="s">
        <v>193</v>
      </c>
      <c r="G4" s="268"/>
      <c r="H4" s="268"/>
    </row>
    <row r="5" spans="1:14" s="145" customFormat="1" ht="21" customHeight="1" x14ac:dyDescent="0.25">
      <c r="C5" s="269" t="s">
        <v>189</v>
      </c>
      <c r="D5" s="269"/>
      <c r="E5" s="269"/>
      <c r="F5" s="269"/>
      <c r="G5" s="269"/>
      <c r="H5" s="269"/>
    </row>
    <row r="6" spans="1:14" s="145" customFormat="1" ht="17.25" customHeight="1" x14ac:dyDescent="0.25">
      <c r="C6" s="154" t="s">
        <v>194</v>
      </c>
      <c r="D6" s="158" t="s">
        <v>331</v>
      </c>
      <c r="E6" s="150"/>
      <c r="F6" s="150"/>
      <c r="G6" s="263" t="str">
        <f ca="1">"Ngày "&amp;DAY(TODAY())&amp;" Tháng "&amp;MONTH(TODAY())&amp;" Năm "&amp;YEAR(TODAY())</f>
        <v>Ngày 29 Tháng 8 Năm 2022</v>
      </c>
      <c r="H6" s="263"/>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1</v>
      </c>
      <c r="L7" s="145"/>
    </row>
    <row r="8" spans="1:14" s="29" customFormat="1" ht="14.25" customHeight="1" x14ac:dyDescent="0.25">
      <c r="A8" s="155">
        <v>57</v>
      </c>
      <c r="B8" s="155">
        <v>1</v>
      </c>
      <c r="C8" s="30">
        <f t="shared" ref="C8:C37" si="0">IF(OR(SUM($C7,$A8&lt;&gt;"")=0,$A8=""),"",SUM($C7,$A8&lt;&gt;""))</f>
        <v>1</v>
      </c>
      <c r="D8" s="152" t="str">
        <f>IFERROR(VLOOKUP($A8,Sheet1!$A$1:$B$98,2,0),"")</f>
        <v>Cá viên KK</v>
      </c>
      <c r="E8" s="30">
        <f>IFERROR(VLOOKUP($A8,'Tổng Đơn'!$A$5:$E$75,5,0),"")</f>
        <v>0.5</v>
      </c>
      <c r="F8" s="30">
        <f t="shared" ref="F8:F37" si="1">IF($B8="","",B8)</f>
        <v>1</v>
      </c>
      <c r="G8" s="162">
        <f>IFERROR(VLOOKUP($A8,Sheet1!$A1:$D$98,4,0),"")</f>
        <v>25000</v>
      </c>
      <c r="H8" s="153">
        <f>IF($C7=MAX($C$8:$C$56),SUM($H7:$H$8),IFERROR($G8*$F8,""))</f>
        <v>25000</v>
      </c>
      <c r="I8" s="55">
        <f t="shared" ref="I8:I37" si="2">IF(TYPE($A8)&lt;&gt;1,"",IFERROR(F8*E8,""))</f>
        <v>0.5</v>
      </c>
      <c r="L8" s="32"/>
    </row>
    <row r="9" spans="1:14" s="29" customFormat="1" ht="14.25" customHeight="1" x14ac:dyDescent="0.25">
      <c r="A9" s="155">
        <v>59</v>
      </c>
      <c r="B9" s="155">
        <v>1</v>
      </c>
      <c r="C9" s="30">
        <f t="shared" si="0"/>
        <v>2</v>
      </c>
      <c r="D9" s="152" t="str">
        <f>IFERROR(VLOOKUP($A9,Sheet1!$A$1:$B$98,2,0),"")</f>
        <v>Bò viên KK</v>
      </c>
      <c r="E9" s="30">
        <f>IFERROR(VLOOKUP($A9,'Tổng Đơn'!$A$5:$E$76,5,0),"")</f>
        <v>0.5</v>
      </c>
      <c r="F9" s="30">
        <f t="shared" si="1"/>
        <v>1</v>
      </c>
      <c r="G9" s="162">
        <f>IF(AND($C9="",$C8&lt;&gt;""),"Tổng Cộng",IFERROR(VLOOKUP($A9,Sheet1!$A$1:$D$98,4,0),""))</f>
        <v>28000</v>
      </c>
      <c r="H9" s="153">
        <f>IF($C8=MAX($C$8:$C$56),SUM($H$8:$H8),IFERROR($G9*$F9,""))</f>
        <v>28000</v>
      </c>
      <c r="I9" s="55">
        <f t="shared" si="2"/>
        <v>0.5</v>
      </c>
      <c r="L9" s="31"/>
    </row>
    <row r="10" spans="1:14" s="29" customFormat="1" ht="14.25" customHeight="1" x14ac:dyDescent="0.25">
      <c r="A10" s="155" t="s">
        <v>314</v>
      </c>
      <c r="B10" s="155">
        <v>1</v>
      </c>
      <c r="C10" s="30">
        <f t="shared" si="0"/>
        <v>3</v>
      </c>
      <c r="D10" s="152" t="str">
        <f>IFERROR(VLOOKUP($A10,Sheet1!$A$1:$B$98,2,0),"")</f>
        <v>0-Gà lắc</v>
      </c>
      <c r="E10" s="30">
        <f>IFERROR(VLOOKUP($A10,'Tổng Đơn'!$A$5:$E$76,5,0),"")</f>
        <v>0.5</v>
      </c>
      <c r="F10" s="30">
        <f t="shared" si="1"/>
        <v>1</v>
      </c>
      <c r="G10" s="162">
        <f>IF(AND($C10="",$C9&lt;&gt;""),"Tổng Cộng",IFERROR(VLOOKUP($A10,Sheet1!$A$1:$D$98,4,0),""))</f>
        <v>48000</v>
      </c>
      <c r="H10" s="153">
        <f>IF($C9=MAX($C$8:$C$56),SUM($H$8:$H9),IFERROR($G10*$F10,""))</f>
        <v>48000</v>
      </c>
      <c r="I10" s="55" t="str">
        <f t="shared" si="2"/>
        <v/>
      </c>
      <c r="L10" s="31"/>
    </row>
    <row r="11" spans="1:14" s="29" customFormat="1" ht="14.25" customHeight="1" x14ac:dyDescent="0.25">
      <c r="A11" s="155">
        <v>1</v>
      </c>
      <c r="B11" s="155">
        <v>1</v>
      </c>
      <c r="C11" s="30">
        <f t="shared" si="0"/>
        <v>4</v>
      </c>
      <c r="D11" s="152" t="s">
        <v>302</v>
      </c>
      <c r="E11" s="30" t="s">
        <v>260</v>
      </c>
      <c r="F11" s="30" t="s">
        <v>260</v>
      </c>
      <c r="G11" s="162" t="s">
        <v>260</v>
      </c>
      <c r="H11" s="153">
        <v>-1000</v>
      </c>
      <c r="I11" s="55" t="str">
        <f t="shared" si="2"/>
        <v/>
      </c>
      <c r="L11" s="31"/>
    </row>
    <row r="12" spans="1:14" s="29" customFormat="1" ht="14.25" customHeight="1" x14ac:dyDescent="0.25">
      <c r="A12" s="155" t="s">
        <v>301</v>
      </c>
      <c r="B12" s="155"/>
      <c r="C12" s="30" t="str">
        <f t="shared" si="0"/>
        <v/>
      </c>
      <c r="D12" s="152" t="str">
        <f>IFERROR(VLOOKUP($A12,Sheet1!$A$1:$B$98,2,0),"")</f>
        <v/>
      </c>
      <c r="E12" s="30" t="str">
        <f>IFERROR(VLOOKUP($A12,'Tổng Đơn'!$A$5:$E$76,5,0),"")</f>
        <v/>
      </c>
      <c r="F12" s="30" t="str">
        <f t="shared" si="1"/>
        <v/>
      </c>
      <c r="G12" s="162" t="str">
        <f>IF(AND($C12="",$C11&lt;&gt;""),"Tổng Cộng",IFERROR(VLOOKUP($A12,Sheet1!$A$1:$D$98,4,0),""))</f>
        <v>Tổng Cộng</v>
      </c>
      <c r="H12" s="153">
        <f>IF($C11=MAX($C$8:$C$56),SUM($H$8:$H11),IFERROR($G12*$F12,""))</f>
        <v>100000</v>
      </c>
      <c r="I12" s="55" t="str">
        <f t="shared" si="2"/>
        <v/>
      </c>
      <c r="J12" s="127"/>
      <c r="L12" s="31"/>
      <c r="M12" s="135"/>
      <c r="N12" s="128"/>
    </row>
    <row r="13" spans="1:14" s="29" customFormat="1" ht="14.25" customHeight="1" x14ac:dyDescent="0.25">
      <c r="A13" s="155" t="s">
        <v>301</v>
      </c>
      <c r="B13" s="155"/>
      <c r="C13" s="30" t="str">
        <f t="shared" si="0"/>
        <v/>
      </c>
      <c r="D13" s="152" t="str">
        <f>IFERROR(VLOOKUP($A13,Sheet1!$A$1:$B$98,2,0),"")</f>
        <v/>
      </c>
      <c r="E13" s="30" t="str">
        <f>IFERROR(VLOOKUP($A13,'Tổng Đơn'!$A$5:$E$76,5,0),"")</f>
        <v/>
      </c>
      <c r="F13" s="30" t="str">
        <f t="shared" si="1"/>
        <v/>
      </c>
      <c r="G13" s="162" t="str">
        <f>IF(AND($C13="",$C12&lt;&gt;""),"Tổng Cộng",IFERROR(VLOOKUP($A13,Sheet1!$A$1:$D$98,4,0),""))</f>
        <v/>
      </c>
      <c r="H13" s="153" t="str">
        <f>IF($C12=MAX($C$8:$C$56),SUM($H$8:$H12),IFERROR($G13*$F13,""))</f>
        <v/>
      </c>
      <c r="I13" s="55" t="str">
        <f t="shared" si="2"/>
        <v/>
      </c>
      <c r="L13" s="31"/>
    </row>
    <row r="14" spans="1:14" s="29" customFormat="1" ht="14.25" customHeight="1" x14ac:dyDescent="0.25">
      <c r="A14" s="155" t="s">
        <v>301</v>
      </c>
      <c r="B14" s="155"/>
      <c r="C14" s="30" t="str">
        <f t="shared" si="0"/>
        <v/>
      </c>
      <c r="D14" s="152" t="str">
        <f>IFERROR(VLOOKUP($A14,Sheet1!$A$1:$B$98,2,0),"")</f>
        <v/>
      </c>
      <c r="E14" s="30" t="str">
        <f>IFERROR(VLOOKUP($A14,'Tổng Đơn'!$A$5:$E$76,5,0),"")</f>
        <v/>
      </c>
      <c r="F14" s="30" t="str">
        <f t="shared" si="1"/>
        <v/>
      </c>
      <c r="G14" s="162"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301</v>
      </c>
      <c r="B15" s="155"/>
      <c r="C15" s="30" t="str">
        <f t="shared" si="0"/>
        <v/>
      </c>
      <c r="D15" s="152" t="str">
        <f>IFERROR(VLOOKUP($A15,Sheet1!$A$1:$B$98,2,0),"")</f>
        <v/>
      </c>
      <c r="E15" s="30" t="str">
        <f>IFERROR(VLOOKUP($A15,'Tổng Đơn'!$A$5:$E$75,5,0),"")</f>
        <v/>
      </c>
      <c r="F15" s="30" t="str">
        <f t="shared" si="1"/>
        <v/>
      </c>
      <c r="G15" s="162" t="str">
        <f>IF(AND($C15="",$C14&lt;&gt;""),"Tổng Cộng",IFERROR(VLOOKUP($A15,Sheet1!$A$1:$D$98,4,0),""))</f>
        <v/>
      </c>
      <c r="H15" s="153" t="str">
        <f>IF($C14=MAX($C$8:$C$56),SUM($H$8:$H14),IFERROR($G15*$F15,""))</f>
        <v/>
      </c>
      <c r="I15" s="55" t="str">
        <f t="shared" si="2"/>
        <v/>
      </c>
      <c r="L15" s="31"/>
    </row>
    <row r="16" spans="1:14" s="29" customFormat="1" ht="14.25" customHeight="1" x14ac:dyDescent="0.25">
      <c r="A16" s="155" t="s">
        <v>301</v>
      </c>
      <c r="B16" s="155"/>
      <c r="C16" s="30" t="str">
        <f t="shared" si="0"/>
        <v/>
      </c>
      <c r="D16" s="152" t="str">
        <f>IFERROR(VLOOKUP($A16,Sheet1!$A$1:$B$98,2,0),"")</f>
        <v/>
      </c>
      <c r="E16" s="30" t="str">
        <f>IFERROR(VLOOKUP($A16,'Tổng Đơn'!$A$5:$E$75,5,0),"")</f>
        <v/>
      </c>
      <c r="F16" s="30" t="str">
        <f t="shared" si="1"/>
        <v/>
      </c>
      <c r="G16" s="162" t="str">
        <f>IF(AND($C16="",$C15&lt;&gt;""),"Tổng Cộng",IFERROR(VLOOKUP($A16,Sheet1!$A$1:$D$98,4,0),""))</f>
        <v/>
      </c>
      <c r="H16" s="153" t="str">
        <f>IF($C15=MAX($C$8:$C$56),SUM($H$8:$H15),IFERROR($G16*$F16,""))</f>
        <v/>
      </c>
      <c r="I16" s="55" t="str">
        <f t="shared" si="2"/>
        <v/>
      </c>
      <c r="L16" s="31"/>
    </row>
    <row r="17" spans="1:12" s="29" customFormat="1" ht="14.25" customHeight="1" x14ac:dyDescent="0.25">
      <c r="A17" s="155" t="s">
        <v>301</v>
      </c>
      <c r="B17" s="155"/>
      <c r="C17" s="30" t="str">
        <f t="shared" si="0"/>
        <v/>
      </c>
      <c r="D17" s="161" t="str">
        <f>IFERROR(VLOOKUP($A17,Sheet1!$A$1:$B$98,2,0),"")</f>
        <v/>
      </c>
      <c r="E17" s="30" t="str">
        <f>IFERROR(VLOOKUP($A17,'Tổng Đơn'!$A$5:$E$75,5,0),"")</f>
        <v/>
      </c>
      <c r="F17" s="30" t="str">
        <f t="shared" si="1"/>
        <v/>
      </c>
      <c r="G17" s="162" t="str">
        <f>IF(AND($C17="",$C16&lt;&gt;""),"Tổng Cộng",IFERROR(VLOOKUP($A17,Sheet1!$A$1:$D$98,4,0),""))</f>
        <v/>
      </c>
      <c r="H17" s="153" t="str">
        <f>IF($C16=MAX($C$8:$C$56),SUM($H$8:$H16),IFERROR($G17*$F17,""))</f>
        <v/>
      </c>
      <c r="I17" s="55" t="str">
        <f t="shared" si="2"/>
        <v/>
      </c>
      <c r="L17" s="31"/>
    </row>
    <row r="18" spans="1:12" s="29" customFormat="1" ht="14.25" customHeight="1" x14ac:dyDescent="0.25">
      <c r="A18" s="155" t="s">
        <v>301</v>
      </c>
      <c r="B18" s="155"/>
      <c r="C18" s="30" t="str">
        <f t="shared" si="0"/>
        <v/>
      </c>
      <c r="D18" s="161" t="str">
        <f>IFERROR(VLOOKUP($A18,Sheet1!$A$1:$B$98,2,0),"")</f>
        <v/>
      </c>
      <c r="E18" s="30" t="str">
        <f>IFERROR(VLOOKUP($A18,'Tổng Đơn'!$A$5:$E$75,5,0),"")</f>
        <v/>
      </c>
      <c r="F18" s="30" t="str">
        <f t="shared" si="1"/>
        <v/>
      </c>
      <c r="G18" s="162" t="str">
        <f>IF(AND($C18="",$C17&lt;&gt;""),"Tổng Cộng",IFERROR(VLOOKUP($A18,Sheet1!$A$1:$D$98,4,0),""))</f>
        <v/>
      </c>
      <c r="H18" s="153" t="str">
        <f>IF($C17=MAX($C$8:$C$56),SUM($H$8:$H17),IFERROR($G18*$F18,""))</f>
        <v/>
      </c>
      <c r="I18" s="55" t="str">
        <f t="shared" si="2"/>
        <v/>
      </c>
      <c r="L18" s="31"/>
    </row>
    <row r="19" spans="1:12" s="29" customFormat="1" ht="14.25" customHeight="1" x14ac:dyDescent="0.25">
      <c r="A19" s="155" t="s">
        <v>301</v>
      </c>
      <c r="B19" s="155"/>
      <c r="C19" s="30" t="str">
        <f t="shared" si="0"/>
        <v/>
      </c>
      <c r="D19" s="161" t="str">
        <f>IFERROR(VLOOKUP($A19,Sheet1!$A$1:$B$98,2,0),"")</f>
        <v/>
      </c>
      <c r="E19" s="30" t="str">
        <f>IFERROR(VLOOKUP($A19,'Tổng Đơn'!$A$5:$E$75,5,0),"")</f>
        <v/>
      </c>
      <c r="F19" s="30" t="str">
        <f t="shared" si="1"/>
        <v/>
      </c>
      <c r="G19" s="162" t="str">
        <f>IF(AND($C19="",$C18&lt;&gt;""),"Tổng Cộng",IFERROR(VLOOKUP($A19,Sheet1!$A$1:$D$98,4,0),""))</f>
        <v/>
      </c>
      <c r="H19" s="153" t="str">
        <f>IF($C18=MAX($C$8:$C$56),SUM($H$8:$H18),IFERROR($G19*$F19,""))</f>
        <v/>
      </c>
      <c r="I19" s="55" t="str">
        <f t="shared" si="2"/>
        <v/>
      </c>
      <c r="L19" s="31"/>
    </row>
    <row r="20" spans="1:12" s="29" customFormat="1" ht="14.25" customHeight="1" x14ac:dyDescent="0.25">
      <c r="A20" s="155" t="s">
        <v>301</v>
      </c>
      <c r="B20" s="155"/>
      <c r="C20" s="30" t="str">
        <f t="shared" si="0"/>
        <v/>
      </c>
      <c r="D20" s="161" t="str">
        <f>IFERROR(VLOOKUP($A20,Sheet1!$A$1:$B$98,2,0),"")</f>
        <v/>
      </c>
      <c r="E20" s="30" t="str">
        <f>IFERROR(VLOOKUP($A20,'Tổng Đơn'!$A$5:$E$75,5,0),"")</f>
        <v/>
      </c>
      <c r="F20" s="30" t="str">
        <f t="shared" si="1"/>
        <v/>
      </c>
      <c r="G20" s="162" t="str">
        <f>IF(AND($C20="",$C19&lt;&gt;""),"Tổng Cộng",IFERROR(VLOOKUP($A20,Sheet1!$A$1:$D$98,4,0),""))</f>
        <v/>
      </c>
      <c r="H20" s="153" t="str">
        <f>IF($C19=MAX($C$8:$C$56),SUM($H$8:$H19),IFERROR($G20*$F20,""))</f>
        <v/>
      </c>
      <c r="I20" s="55" t="str">
        <f t="shared" si="2"/>
        <v/>
      </c>
      <c r="L20" s="31"/>
    </row>
    <row r="21" spans="1:12" s="29" customFormat="1" ht="14.25" customHeight="1" x14ac:dyDescent="0.25">
      <c r="A21" s="155" t="s">
        <v>301</v>
      </c>
      <c r="B21" s="155"/>
      <c r="C21" s="30" t="str">
        <f t="shared" si="0"/>
        <v/>
      </c>
      <c r="D21" s="161" t="str">
        <f>IFERROR(VLOOKUP($A21,Sheet1!$A$1:$B$98,2,0),"")</f>
        <v/>
      </c>
      <c r="E21" s="30" t="str">
        <f>IFERROR(VLOOKUP($A21,'Tổng Đơn'!$A$5:$E$75,5,0),"")</f>
        <v/>
      </c>
      <c r="F21" s="30" t="str">
        <f t="shared" si="1"/>
        <v/>
      </c>
      <c r="G21" s="162" t="str">
        <f>IF(AND($C21="",$C20&lt;&gt;""),"Tổng Cộng",IFERROR(VLOOKUP($A21,Sheet1!$A$1:$D$98,4,0),""))</f>
        <v/>
      </c>
      <c r="H21" s="153" t="str">
        <f>IF($C20=MAX($C$8:$C$56),SUM($H$8:$H20),IFERROR($G21*$F21,""))</f>
        <v/>
      </c>
      <c r="I21" s="55" t="str">
        <f t="shared" si="2"/>
        <v/>
      </c>
      <c r="L21" s="31"/>
    </row>
    <row r="22" spans="1:12" s="29" customFormat="1" ht="14.25" customHeight="1" x14ac:dyDescent="0.25">
      <c r="A22" s="155" t="s">
        <v>301</v>
      </c>
      <c r="B22" s="155"/>
      <c r="C22" s="30" t="str">
        <f t="shared" si="0"/>
        <v/>
      </c>
      <c r="D22" s="152" t="str">
        <f>IFERROR(VLOOKUP($A22,Sheet1!$A$1:$B$98,2,0),"")</f>
        <v/>
      </c>
      <c r="E22" s="30" t="str">
        <f>IFERROR(VLOOKUP($A22,'Tổng Đơn'!$A$5:$E$75,5,0),"")</f>
        <v/>
      </c>
      <c r="F22" s="30" t="str">
        <f t="shared" si="1"/>
        <v/>
      </c>
      <c r="G22" s="162" t="str">
        <f>IF(AND($C22="",$C21&lt;&gt;""),"Tổng Cộng",IFERROR(VLOOKUP($A22,Sheet1!$A$1:$D$98,4,0),""))</f>
        <v/>
      </c>
      <c r="H22" s="153" t="str">
        <f>IF($C21=MAX($C$8:$C$56),SUM($H$8:$H21),IFERROR($G22*$F22,""))</f>
        <v/>
      </c>
      <c r="I22" s="55" t="str">
        <f t="shared" si="2"/>
        <v/>
      </c>
      <c r="L22" s="31"/>
    </row>
    <row r="23" spans="1:12" s="29" customFormat="1" ht="14.25" customHeight="1" x14ac:dyDescent="0.25">
      <c r="A23" s="155" t="s">
        <v>301</v>
      </c>
      <c r="B23" s="155"/>
      <c r="C23" s="30" t="str">
        <f t="shared" si="0"/>
        <v/>
      </c>
      <c r="D23" s="152" t="str">
        <f>IFERROR(VLOOKUP($A23,Sheet1!$A$1:$B$98,2,0),"")</f>
        <v/>
      </c>
      <c r="E23" s="30" t="str">
        <f>IFERROR(VLOOKUP($A23,'Tổng Đơn'!$A$5:$E$75,5,0),"")</f>
        <v/>
      </c>
      <c r="F23" s="30" t="str">
        <f t="shared" si="1"/>
        <v/>
      </c>
      <c r="G23" s="162" t="str">
        <f>IF(AND($C23="",$C22&lt;&gt;""),"Tổng Cộng",IFERROR(VLOOKUP($A23,Sheet1!$A$1:$D$98,4,0),""))</f>
        <v/>
      </c>
      <c r="H23" s="153" t="str">
        <f>IF($C22=MAX($C$8:$C$56),SUM($H$8:$H22),IFERROR($G23*$F23,""))</f>
        <v/>
      </c>
      <c r="I23" s="55" t="str">
        <f t="shared" si="2"/>
        <v/>
      </c>
      <c r="L23" s="31"/>
    </row>
    <row r="24" spans="1:12" s="29" customFormat="1" ht="14.25" customHeight="1" x14ac:dyDescent="0.25">
      <c r="A24" s="155" t="s">
        <v>301</v>
      </c>
      <c r="B24" s="155"/>
      <c r="C24" s="30" t="str">
        <f t="shared" si="0"/>
        <v/>
      </c>
      <c r="D24" s="152" t="str">
        <f>IFERROR(VLOOKUP($A24,Sheet1!$A$1:$B$98,2,0),"")</f>
        <v/>
      </c>
      <c r="E24" s="30" t="str">
        <f>IFERROR(VLOOKUP($A24,'Tổng Đơn'!$A$5:$E$75,5,0),"")</f>
        <v/>
      </c>
      <c r="F24" s="30" t="str">
        <f t="shared" si="1"/>
        <v/>
      </c>
      <c r="G24" s="162" t="str">
        <f>IF(AND($C24="",$C23&lt;&gt;""),"Tổng Cộng",IFERROR(VLOOKUP($A24,Sheet1!$A$1:$D$98,4,0),""))</f>
        <v/>
      </c>
      <c r="H24" s="153" t="str">
        <f>IF($C23=MAX($C$8:$C$56),SUM($H$8:$H23),IFERROR($G24*$F24,""))</f>
        <v/>
      </c>
      <c r="I24" s="55" t="str">
        <f t="shared" si="2"/>
        <v/>
      </c>
      <c r="L24" s="31"/>
    </row>
    <row r="25" spans="1:12" s="29" customFormat="1" ht="14.25" customHeight="1" x14ac:dyDescent="0.25">
      <c r="A25" s="155" t="s">
        <v>301</v>
      </c>
      <c r="B25" s="155"/>
      <c r="C25" s="30" t="str">
        <f t="shared" si="0"/>
        <v/>
      </c>
      <c r="D25" s="152" t="str">
        <f>IFERROR(VLOOKUP($A25,Sheet1!$A$1:$B$98,2,0),"")</f>
        <v/>
      </c>
      <c r="E25" s="30" t="str">
        <f>IFERROR(VLOOKUP($A25,'Tổng Đơn'!$A$5:$E$75,5,0),"")</f>
        <v/>
      </c>
      <c r="F25" s="30" t="str">
        <f t="shared" si="1"/>
        <v/>
      </c>
      <c r="G25" s="162" t="str">
        <f>IF(AND($C25="",$C24&lt;&gt;""),"Tổng Cộng",IFERROR(VLOOKUP($A25,Sheet1!$A$1:$D$98,4,0),""))</f>
        <v/>
      </c>
      <c r="H25" s="153" t="str">
        <f>IF($C24=MAX($C$8:$C$56),SUM($H$8:$H24),IFERROR($G25*$F25,""))</f>
        <v/>
      </c>
      <c r="I25" s="55" t="str">
        <f t="shared" si="2"/>
        <v/>
      </c>
      <c r="L25" s="31"/>
    </row>
    <row r="26" spans="1:12" s="29" customFormat="1" ht="14.25" customHeight="1" x14ac:dyDescent="0.25">
      <c r="A26" s="155" t="s">
        <v>301</v>
      </c>
      <c r="B26" s="155"/>
      <c r="C26" s="30" t="str">
        <f t="shared" si="0"/>
        <v/>
      </c>
      <c r="D26" s="152" t="str">
        <f>IFERROR(VLOOKUP($A26,Sheet1!$A$1:$B$98,2,0),"")</f>
        <v/>
      </c>
      <c r="E26" s="30" t="str">
        <f>IFERROR(VLOOKUP($A26,'Tổng Đơn'!$A$5:$E$75,5,0),"")</f>
        <v/>
      </c>
      <c r="F26" s="30" t="str">
        <f t="shared" si="1"/>
        <v/>
      </c>
      <c r="G26" s="162" t="str">
        <f>IF(AND($C26="",$C25&lt;&gt;""),"Tổng Cộng",IFERROR(VLOOKUP($A26,Sheet1!$A$1:$D$98,4,0),""))</f>
        <v/>
      </c>
      <c r="H26" s="153" t="str">
        <f>IF($C25=MAX($C$8:$C$56),SUM($H$8:$H25),IFERROR($G26*$F26,""))</f>
        <v/>
      </c>
      <c r="I26" s="55" t="str">
        <f t="shared" si="2"/>
        <v/>
      </c>
      <c r="L26" s="31"/>
    </row>
    <row r="27" spans="1:12" s="29" customFormat="1" ht="14.25" customHeight="1" x14ac:dyDescent="0.25">
      <c r="A27" s="155" t="s">
        <v>301</v>
      </c>
      <c r="B27" s="155"/>
      <c r="C27" s="30" t="str">
        <f t="shared" si="0"/>
        <v/>
      </c>
      <c r="D27" s="152" t="str">
        <f>IFERROR(VLOOKUP($A27,Sheet1!$A$1:$B$98,2,0),"")</f>
        <v/>
      </c>
      <c r="E27" s="30" t="str">
        <f>IFERROR(VLOOKUP($A27,'Tổng Đơn'!$A$5:$E$75,5,0),"")</f>
        <v/>
      </c>
      <c r="F27" s="30" t="str">
        <f t="shared" si="1"/>
        <v/>
      </c>
      <c r="G27" s="162" t="str">
        <f>IF(AND($C27="",$C26&lt;&gt;""),"Tổng Cộng",IFERROR(VLOOKUP($A27,Sheet1!$A$1:$D$98,4,0),""))</f>
        <v/>
      </c>
      <c r="H27" s="153" t="str">
        <f>IF($C26=MAX($C$8:$C$56),SUM($H$8:$H26),IFERROR($G27*$F27,""))</f>
        <v/>
      </c>
      <c r="I27" s="55" t="str">
        <f t="shared" si="2"/>
        <v/>
      </c>
      <c r="L27" s="31"/>
    </row>
    <row r="28" spans="1:12" s="29" customFormat="1" ht="14.25" customHeight="1" x14ac:dyDescent="0.25">
      <c r="A28" s="155" t="s">
        <v>301</v>
      </c>
      <c r="B28" s="155"/>
      <c r="C28" s="30" t="str">
        <f t="shared" si="0"/>
        <v/>
      </c>
      <c r="D28" s="152" t="str">
        <f>IFERROR(VLOOKUP($A28,Sheet1!$A$1:$B$98,2,0),"")</f>
        <v/>
      </c>
      <c r="E28" s="30" t="str">
        <f>IFERROR(VLOOKUP($A28,'Tổng Đơn'!$A$5:$E$75,5,0),"")</f>
        <v/>
      </c>
      <c r="F28" s="30" t="str">
        <f t="shared" si="1"/>
        <v/>
      </c>
      <c r="G28" s="162" t="str">
        <f>IF(AND($C28="",$C27&lt;&gt;""),"Tổng Cộng",IFERROR(VLOOKUP($A28,Sheet1!$A$1:$D$98,4,0),""))</f>
        <v/>
      </c>
      <c r="H28" s="153" t="str">
        <f>IF($C27=MAX($C$8:$C$56),SUM($H$8:$H27),IFERROR($G28*$F28,""))</f>
        <v/>
      </c>
      <c r="I28" s="55" t="str">
        <f t="shared" si="2"/>
        <v/>
      </c>
      <c r="L28" s="31"/>
    </row>
    <row r="29" spans="1:12" s="29" customFormat="1" ht="14.25" customHeight="1" x14ac:dyDescent="0.25">
      <c r="A29" s="155" t="s">
        <v>301</v>
      </c>
      <c r="B29" s="155"/>
      <c r="C29" s="30" t="str">
        <f t="shared" si="0"/>
        <v/>
      </c>
      <c r="D29" s="152" t="str">
        <f>IFERROR(VLOOKUP($A29,Sheet1!$A$1:$B$98,2,0),"")</f>
        <v/>
      </c>
      <c r="E29" s="30" t="str">
        <f>IFERROR(VLOOKUP($A29,'Tổng Đơn'!$A$5:$E$75,5,0),"")</f>
        <v/>
      </c>
      <c r="F29" s="30" t="str">
        <f t="shared" si="1"/>
        <v/>
      </c>
      <c r="G29" s="162" t="str">
        <f>IF(AND($C29="",$C28&lt;&gt;""),"Tổng Cộng",IFERROR(VLOOKUP($A29,Sheet1!$A$1:$D$98,4,0),""))</f>
        <v/>
      </c>
      <c r="H29" s="153" t="str">
        <f>IF($C28=MAX($C$8:$C$56),SUM($H$8:$H28),IFERROR($G29*$F29,""))</f>
        <v/>
      </c>
      <c r="I29" s="55" t="str">
        <f t="shared" si="2"/>
        <v/>
      </c>
      <c r="L29" s="31"/>
    </row>
    <row r="30" spans="1:12" s="29" customFormat="1" ht="14.25" customHeight="1" x14ac:dyDescent="0.25">
      <c r="A30" s="155" t="s">
        <v>301</v>
      </c>
      <c r="B30" s="155"/>
      <c r="C30" s="30" t="str">
        <f t="shared" si="0"/>
        <v/>
      </c>
      <c r="D30" s="152" t="str">
        <f>IFERROR(VLOOKUP($A30,Sheet1!$A$1:$B$98,2,0),"")</f>
        <v/>
      </c>
      <c r="E30" s="30" t="str">
        <f>IFERROR(VLOOKUP($A30,'Tổng Đơn'!$A$5:$E$75,5,0),"")</f>
        <v/>
      </c>
      <c r="F30" s="30" t="str">
        <f t="shared" si="1"/>
        <v/>
      </c>
      <c r="G30" s="162" t="str">
        <f>IF(AND($C30="",$C29&lt;&gt;""),"Tổng Cộng",IFERROR(VLOOKUP($A30,Sheet1!$A$1:$D$98,4,0),""))</f>
        <v/>
      </c>
      <c r="H30" s="153" t="str">
        <f>IF($C29=MAX($C$8:$C$56),SUM($H$8:$H29),IFERROR($G30*$F30,""))</f>
        <v/>
      </c>
      <c r="I30" s="55" t="str">
        <f t="shared" si="2"/>
        <v/>
      </c>
      <c r="L30" s="31"/>
    </row>
    <row r="31" spans="1:12" s="29" customFormat="1" ht="14.25" customHeight="1" x14ac:dyDescent="0.25">
      <c r="A31" s="155" t="s">
        <v>301</v>
      </c>
      <c r="B31" s="155"/>
      <c r="C31" s="30" t="str">
        <f t="shared" si="0"/>
        <v/>
      </c>
      <c r="D31" s="152" t="str">
        <f>IFERROR(VLOOKUP($A31,Sheet1!$A$1:$B$98,2,0),"")</f>
        <v/>
      </c>
      <c r="E31" s="30" t="str">
        <f>IFERROR(VLOOKUP($A31,'Tổng Đơn'!$A$5:$E$75,5,0),"")</f>
        <v/>
      </c>
      <c r="F31" s="30" t="str">
        <f t="shared" si="1"/>
        <v/>
      </c>
      <c r="G31" s="162" t="str">
        <f>IF(AND($C31="",$C30&lt;&gt;""),"Tổng Cộng",IFERROR(VLOOKUP($A31,Sheet1!$A$1:$D$98,4,0),""))</f>
        <v/>
      </c>
      <c r="H31" s="153" t="str">
        <f>IF($C30=MAX($C$8:$C$56),SUM($H$8:$H30),IFERROR($G31*$F31,""))</f>
        <v/>
      </c>
      <c r="I31" s="55" t="str">
        <f t="shared" si="2"/>
        <v/>
      </c>
      <c r="L31" s="31"/>
    </row>
    <row r="32" spans="1:12" s="29" customFormat="1" ht="14.25" customHeight="1" x14ac:dyDescent="0.25">
      <c r="A32" s="155" t="s">
        <v>301</v>
      </c>
      <c r="B32" s="155"/>
      <c r="C32" s="30" t="str">
        <f t="shared" si="0"/>
        <v/>
      </c>
      <c r="D32" s="152" t="str">
        <f>IFERROR(VLOOKUP($A32,Sheet1!$A$1:$B$98,2,0),"")</f>
        <v/>
      </c>
      <c r="E32" s="30" t="str">
        <f>IFERROR(VLOOKUP($A32,'Tổng Đơn'!$A$5:$E$75,5,0),"")</f>
        <v/>
      </c>
      <c r="F32" s="30" t="str">
        <f t="shared" si="1"/>
        <v/>
      </c>
      <c r="G32" s="162" t="str">
        <f>IF(AND($C32="",$C31&lt;&gt;""),"Tổng Cộng",IFERROR(VLOOKUP($A32,Sheet1!$A$1:$D$98,4,0),""))</f>
        <v/>
      </c>
      <c r="H32" s="153" t="str">
        <f>IF($C31=MAX($C$8:$C$56),SUM($H$8:$H31),IFERROR($G32*$F32,""))</f>
        <v/>
      </c>
      <c r="I32" s="55" t="str">
        <f t="shared" si="2"/>
        <v/>
      </c>
      <c r="L32" s="31"/>
    </row>
    <row r="33" spans="1:12" s="29" customFormat="1" ht="14.25" customHeight="1" x14ac:dyDescent="0.25">
      <c r="A33" s="155" t="s">
        <v>301</v>
      </c>
      <c r="B33" s="155"/>
      <c r="C33" s="30" t="str">
        <f t="shared" si="0"/>
        <v/>
      </c>
      <c r="D33" s="152" t="str">
        <f>IFERROR(VLOOKUP($A33,Sheet1!$A$1:$B$98,2,0),"")</f>
        <v/>
      </c>
      <c r="E33" s="30" t="str">
        <f>IFERROR(VLOOKUP($A33,'Tổng Đơn'!$A$5:$E$75,5,0),"")</f>
        <v/>
      </c>
      <c r="F33" s="30" t="str">
        <f t="shared" si="1"/>
        <v/>
      </c>
      <c r="G33" s="162" t="str">
        <f>IF(AND($C33="",$C32&lt;&gt;""),"Tổng Cộng",IFERROR(VLOOKUP($A33,Sheet1!$A$1:$D$98,4,0),""))</f>
        <v/>
      </c>
      <c r="H33" s="153" t="str">
        <f>IF($C32=MAX($C$8:$C$56),SUM($H$8:$H32),IFERROR($G33*$F33,""))</f>
        <v/>
      </c>
      <c r="I33" s="55" t="str">
        <f t="shared" si="2"/>
        <v/>
      </c>
      <c r="L33" s="31"/>
    </row>
    <row r="34" spans="1:12" s="29" customFormat="1" ht="14.25" customHeight="1" x14ac:dyDescent="0.25">
      <c r="A34" s="155" t="s">
        <v>301</v>
      </c>
      <c r="B34" s="155"/>
      <c r="C34" s="30" t="str">
        <f t="shared" si="0"/>
        <v/>
      </c>
      <c r="D34" s="152" t="str">
        <f>IFERROR(VLOOKUP($A34,Sheet1!$A$1:$B$98,2,0),"")</f>
        <v/>
      </c>
      <c r="E34" s="30" t="str">
        <f>IFERROR(VLOOKUP($A34,'Tổng Đơn'!$A$5:$E$75,5,0),"")</f>
        <v/>
      </c>
      <c r="F34" s="30" t="str">
        <f t="shared" si="1"/>
        <v/>
      </c>
      <c r="G34" s="162" t="str">
        <f>IF(AND($C34="",$C33&lt;&gt;""),"Tổng Cộng",IFERROR(VLOOKUP($A34,Sheet1!$A$1:$D$98,4,0),""))</f>
        <v/>
      </c>
      <c r="H34" s="153" t="str">
        <f>IF($C33=MAX($C$8:$C$56),SUM($H$8:$H33),IFERROR($G34*$F34,""))</f>
        <v/>
      </c>
      <c r="I34" s="55" t="str">
        <f t="shared" si="2"/>
        <v/>
      </c>
      <c r="L34" s="31"/>
    </row>
    <row r="35" spans="1:12" s="29" customFormat="1" ht="14.25" customHeight="1" x14ac:dyDescent="0.25">
      <c r="A35" s="155" t="s">
        <v>301</v>
      </c>
      <c r="B35" s="155"/>
      <c r="C35" s="30" t="str">
        <f t="shared" si="0"/>
        <v/>
      </c>
      <c r="D35" s="152" t="str">
        <f>IFERROR(VLOOKUP($A35,Sheet1!$A$1:$B$98,2,0),"")</f>
        <v/>
      </c>
      <c r="E35" s="30" t="str">
        <f>IFERROR(VLOOKUP($A35,'Tổng Đơn'!$A$5:$E$75,5,0),"")</f>
        <v/>
      </c>
      <c r="F35" s="30" t="str">
        <f t="shared" si="1"/>
        <v/>
      </c>
      <c r="G35" s="162" t="str">
        <f>IF(AND($C35="",$C34&lt;&gt;""),"Tổng Cộng",IFERROR(VLOOKUP($A35,Sheet1!$A$1:$D$98,4,0),""))</f>
        <v/>
      </c>
      <c r="H35" s="153" t="str">
        <f>IF($C34=MAX($C$8:$C$56),SUM($H$8:$H34),IFERROR($G35*$F35,""))</f>
        <v/>
      </c>
      <c r="I35" s="55" t="str">
        <f t="shared" si="2"/>
        <v/>
      </c>
      <c r="L35" s="31"/>
    </row>
    <row r="36" spans="1:12" s="29" customFormat="1" ht="14.25" customHeight="1" x14ac:dyDescent="0.25">
      <c r="A36" s="155" t="s">
        <v>301</v>
      </c>
      <c r="B36" s="155"/>
      <c r="C36" s="30" t="str">
        <f t="shared" si="0"/>
        <v/>
      </c>
      <c r="D36" s="152" t="str">
        <f>IFERROR(VLOOKUP($A36,Sheet1!$A$1:$B$98,2,0),"")</f>
        <v/>
      </c>
      <c r="E36" s="30" t="str">
        <f>IFERROR(VLOOKUP($A36,'Tổng Đơn'!$A$5:$E$75,5,0),"")</f>
        <v/>
      </c>
      <c r="F36" s="30" t="str">
        <f t="shared" si="1"/>
        <v/>
      </c>
      <c r="G36" s="162" t="str">
        <f>IF(AND($C36="",$C35&lt;&gt;""),"Tổng Cộng",IFERROR(VLOOKUP($A36,Sheet1!$A$1:$D$98,4,0),""))</f>
        <v/>
      </c>
      <c r="H36" s="153" t="str">
        <f>IF($C35=MAX($C$8:$C$56),SUM($H$8:$H35),IFERROR($G36*$F36,""))</f>
        <v/>
      </c>
      <c r="I36" s="55" t="str">
        <f t="shared" si="2"/>
        <v/>
      </c>
      <c r="L36" s="31"/>
    </row>
    <row r="37" spans="1:12" s="29" customFormat="1" ht="14.25" customHeight="1" x14ac:dyDescent="0.25">
      <c r="A37" s="155" t="s">
        <v>301</v>
      </c>
      <c r="B37" s="155"/>
      <c r="C37" s="30" t="str">
        <f t="shared" si="0"/>
        <v/>
      </c>
      <c r="D37" s="152" t="str">
        <f>IFERROR(VLOOKUP($A37,Sheet1!$A$1:$B$98,2,0),"")</f>
        <v/>
      </c>
      <c r="E37" s="30" t="str">
        <f>IFERROR(VLOOKUP($A37,'Tổng Đơn'!$A$5:$E$75,5,0),"")</f>
        <v/>
      </c>
      <c r="F37" s="30" t="str">
        <f t="shared" si="1"/>
        <v/>
      </c>
      <c r="G37" s="162"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3"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263" priority="20">
      <formula>$C22=MAX($C$8:$C$37)</formula>
    </cfRule>
  </conditionalFormatting>
  <conditionalFormatting sqref="C23:C37">
    <cfRule type="expression" dxfId="262" priority="19">
      <formula>$C22=MAX($C$8:$C$37)</formula>
    </cfRule>
  </conditionalFormatting>
  <conditionalFormatting sqref="E23:E38">
    <cfRule type="expression" dxfId="261" priority="21">
      <formula>AND($A23="",$F23&lt;&gt;"")</formula>
    </cfRule>
  </conditionalFormatting>
  <conditionalFormatting sqref="F23:F38">
    <cfRule type="expression" dxfId="260" priority="22">
      <formula>AND($F23="",$A23&lt;&gt;"")</formula>
    </cfRule>
  </conditionalFormatting>
  <conditionalFormatting sqref="D20:H22">
    <cfRule type="expression" dxfId="259" priority="16">
      <formula>$C19=MAX($C$8:$C$37)</formula>
    </cfRule>
  </conditionalFormatting>
  <conditionalFormatting sqref="C20:C22">
    <cfRule type="expression" dxfId="258" priority="15">
      <formula>$C19=MAX($C$8:$C$37)</formula>
    </cfRule>
  </conditionalFormatting>
  <conditionalFormatting sqref="E20:E22">
    <cfRule type="expression" dxfId="257" priority="17">
      <formula>AND($A20="",$F20&lt;&gt;"")</formula>
    </cfRule>
  </conditionalFormatting>
  <conditionalFormatting sqref="F20:F22">
    <cfRule type="expression" dxfId="256" priority="18">
      <formula>AND($F20="",$A20&lt;&gt;"")</formula>
    </cfRule>
  </conditionalFormatting>
  <conditionalFormatting sqref="D17:H19">
    <cfRule type="expression" dxfId="255" priority="12">
      <formula>$C16=MAX($C$8:$C$37)</formula>
    </cfRule>
  </conditionalFormatting>
  <conditionalFormatting sqref="C17:C19">
    <cfRule type="expression" dxfId="254" priority="11">
      <formula>$C16=MAX($C$8:$C$37)</formula>
    </cfRule>
  </conditionalFormatting>
  <conditionalFormatting sqref="E17:E19">
    <cfRule type="expression" dxfId="253" priority="13">
      <formula>AND($A17="",$F17&lt;&gt;"")</formula>
    </cfRule>
  </conditionalFormatting>
  <conditionalFormatting sqref="F17:F19">
    <cfRule type="expression" dxfId="252" priority="14">
      <formula>AND($F17="",$A17&lt;&gt;"")</formula>
    </cfRule>
  </conditionalFormatting>
  <conditionalFormatting sqref="D15:H16 D9:G14">
    <cfRule type="expression" dxfId="251" priority="8">
      <formula>$C8=MAX($C$8:$C$37)</formula>
    </cfRule>
  </conditionalFormatting>
  <conditionalFormatting sqref="C9:C16">
    <cfRule type="expression" dxfId="250" priority="7">
      <formula>$C8=MAX($C$8:$C$37)</formula>
    </cfRule>
  </conditionalFormatting>
  <conditionalFormatting sqref="E9:E16">
    <cfRule type="expression" dxfId="249" priority="9">
      <formula>AND($A9="",$F9&lt;&gt;"")</formula>
    </cfRule>
  </conditionalFormatting>
  <conditionalFormatting sqref="F9:F16">
    <cfRule type="expression" dxfId="248" priority="10">
      <formula>AND($F9="",$A9&lt;&gt;"")</formula>
    </cfRule>
  </conditionalFormatting>
  <conditionalFormatting sqref="D8:G8">
    <cfRule type="expression" dxfId="247" priority="4">
      <formula>$C7=MAX($C$8:$C$37)</formula>
    </cfRule>
  </conditionalFormatting>
  <conditionalFormatting sqref="C8">
    <cfRule type="expression" dxfId="246" priority="3">
      <formula>$C7=MAX($C$8:$C$37)</formula>
    </cfRule>
  </conditionalFormatting>
  <conditionalFormatting sqref="E8">
    <cfRule type="expression" dxfId="245" priority="5">
      <formula>AND($A8="",$F8&lt;&gt;"")</formula>
    </cfRule>
  </conditionalFormatting>
  <conditionalFormatting sqref="F8">
    <cfRule type="expression" dxfId="244" priority="6">
      <formula>AND($F8="",$A8&lt;&gt;"")</formula>
    </cfRule>
  </conditionalFormatting>
  <conditionalFormatting sqref="H9:H14">
    <cfRule type="expression" dxfId="243" priority="2">
      <formula>$C8=MAX($C$8:$C$37)</formula>
    </cfRule>
  </conditionalFormatting>
  <conditionalFormatting sqref="H8">
    <cfRule type="expression" dxfId="242"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45612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tabColor theme="1"/>
    <pageSetUpPr fitToPage="1"/>
  </sheetPr>
  <dimension ref="A1:N53"/>
  <sheetViews>
    <sheetView zoomScaleNormal="100" workbookViewId="0">
      <pane ySplit="7" topLeftCell="A8" activePane="bottomLeft" state="frozen"/>
      <selection activeCell="L2" sqref="L2:L29"/>
      <selection pane="bottomLeft" activeCell="K13" sqref="K13"/>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4" t="s">
        <v>188</v>
      </c>
      <c r="D1" s="264"/>
      <c r="E1" s="264"/>
      <c r="F1" s="264"/>
      <c r="G1" s="264"/>
      <c r="H1" s="264"/>
    </row>
    <row r="2" spans="1:14" ht="15.75" customHeight="1" x14ac:dyDescent="0.25">
      <c r="C2" s="264"/>
      <c r="D2" s="264"/>
      <c r="E2" s="264"/>
      <c r="F2" s="264"/>
      <c r="G2" s="264"/>
      <c r="H2" s="264"/>
    </row>
    <row r="3" spans="1:14" ht="15" customHeight="1" x14ac:dyDescent="0.25">
      <c r="C3" s="265" t="s">
        <v>190</v>
      </c>
      <c r="D3" s="265"/>
      <c r="E3" s="265"/>
      <c r="F3" s="266" t="s">
        <v>192</v>
      </c>
      <c r="G3" s="266"/>
      <c r="H3" s="266"/>
    </row>
    <row r="4" spans="1:14" x14ac:dyDescent="0.25">
      <c r="C4" s="267" t="s">
        <v>191</v>
      </c>
      <c r="D4" s="267"/>
      <c r="E4" s="267"/>
      <c r="F4" s="268" t="s">
        <v>193</v>
      </c>
      <c r="G4" s="268"/>
      <c r="H4" s="268"/>
    </row>
    <row r="5" spans="1:14" s="145" customFormat="1" ht="21" customHeight="1" x14ac:dyDescent="0.25">
      <c r="C5" s="269" t="s">
        <v>189</v>
      </c>
      <c r="D5" s="269"/>
      <c r="E5" s="269"/>
      <c r="F5" s="269"/>
      <c r="G5" s="269"/>
      <c r="H5" s="269"/>
    </row>
    <row r="6" spans="1:14" s="145" customFormat="1" ht="17.25" customHeight="1" x14ac:dyDescent="0.25">
      <c r="C6" s="154" t="s">
        <v>194</v>
      </c>
      <c r="D6" s="158" t="s">
        <v>323</v>
      </c>
      <c r="E6" s="150"/>
      <c r="F6" s="150"/>
      <c r="G6" s="263" t="str">
        <f ca="1">"Ngày "&amp;DAY(TODAY())&amp;" Tháng "&amp;MONTH(TODAY())&amp;" Năm "&amp;YEAR(TODAY())</f>
        <v>Ngày 29 Tháng 8 Năm 2022</v>
      </c>
      <c r="H6" s="263"/>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4</v>
      </c>
      <c r="L7" s="145"/>
    </row>
    <row r="8" spans="1:14" s="29" customFormat="1" ht="14.25" customHeight="1" x14ac:dyDescent="0.25">
      <c r="A8" s="155">
        <v>8</v>
      </c>
      <c r="B8" s="155">
        <v>1</v>
      </c>
      <c r="C8" s="30">
        <f t="shared" ref="C8:C37" si="0">IF(OR(SUM($C7,$A8&lt;&gt;"")=0,$A8=""),"",SUM($C7,$A8&lt;&gt;""))</f>
        <v>1</v>
      </c>
      <c r="D8" s="152" t="str">
        <f>IFERROR(VLOOKUP($A8,Sheet1!$A$1:$B$98,2,0),"")</f>
        <v>Hải sản sốt cam LC</v>
      </c>
      <c r="E8" s="30">
        <f>IFERROR(VLOOKUP($A8,'Tổng Đơn'!$A$5:$E$75,5,0),"")</f>
        <v>0.5</v>
      </c>
      <c r="F8" s="30">
        <f t="shared" ref="F8:F37" si="1">IF($B8="","",B8)</f>
        <v>1</v>
      </c>
      <c r="G8" s="162">
        <f>IFERROR(VLOOKUP($A8,Sheet1!$A1:$D$98,4,0),"")</f>
        <v>45000</v>
      </c>
      <c r="H8" s="153">
        <f>IF($C7=MAX($C$8:$C$56),SUM($H7:$H$8),IFERROR($G8*$F8,""))</f>
        <v>45000</v>
      </c>
      <c r="I8" s="55">
        <f t="shared" ref="I8:I37" si="2">IF(TYPE($A8)&lt;&gt;1,"",IFERROR(F8*E8,""))</f>
        <v>0.5</v>
      </c>
      <c r="L8" s="32"/>
    </row>
    <row r="9" spans="1:14" s="29" customFormat="1" ht="14.25" customHeight="1" x14ac:dyDescent="0.25">
      <c r="A9" s="155">
        <v>57</v>
      </c>
      <c r="B9" s="155">
        <v>2</v>
      </c>
      <c r="C9" s="30">
        <f t="shared" si="0"/>
        <v>2</v>
      </c>
      <c r="D9" s="152" t="str">
        <f>IFERROR(VLOOKUP($A9,Sheet1!$A$1:$B$98,2,0),"")</f>
        <v>Cá viên KK</v>
      </c>
      <c r="E9" s="30">
        <f>IFERROR(VLOOKUP($A9,'Tổng Đơn'!$A$5:$E$76,5,0),"")</f>
        <v>0.5</v>
      </c>
      <c r="F9" s="30">
        <f t="shared" si="1"/>
        <v>2</v>
      </c>
      <c r="G9" s="162">
        <f>IF(AND($C9="",$C8&lt;&gt;""),"Tổng Cộng",IFERROR(VLOOKUP($A9,Sheet1!$A$1:$D$98,4,0),""))</f>
        <v>25000</v>
      </c>
      <c r="H9" s="153">
        <f>IF($C8=MAX($C$8:$C$56),SUM($H$8:$H8),IFERROR($G9*$F9,""))</f>
        <v>50000</v>
      </c>
      <c r="I9" s="55">
        <f t="shared" si="2"/>
        <v>1</v>
      </c>
      <c r="L9" s="31"/>
    </row>
    <row r="10" spans="1:14" s="29" customFormat="1" ht="14.25" customHeight="1" x14ac:dyDescent="0.25">
      <c r="A10" s="155">
        <v>61</v>
      </c>
      <c r="B10" s="155">
        <v>2</v>
      </c>
      <c r="C10" s="30">
        <f t="shared" si="0"/>
        <v>3</v>
      </c>
      <c r="D10" s="152" t="str">
        <f>IFERROR(VLOOKUP($A10,Sheet1!$A$1:$B$98,2,0),"")</f>
        <v>XX Đỏ KK</v>
      </c>
      <c r="E10" s="30">
        <f>IFERROR(VLOOKUP($A10,'Tổng Đơn'!$A$5:$E$76,5,0),"")</f>
        <v>0.5</v>
      </c>
      <c r="F10" s="30">
        <f t="shared" si="1"/>
        <v>2</v>
      </c>
      <c r="G10" s="162">
        <f>IF(AND($C10="",$C9&lt;&gt;""),"Tổng Cộng",IFERROR(VLOOKUP($A10,Sheet1!$A$1:$D$98,4,0),""))</f>
        <v>26000</v>
      </c>
      <c r="H10" s="153">
        <f>IF($C9=MAX($C$8:$C$56),SUM($H$8:$H9),IFERROR($G10*$F10,""))</f>
        <v>52000</v>
      </c>
      <c r="I10" s="55">
        <f t="shared" si="2"/>
        <v>1</v>
      </c>
      <c r="L10" s="31"/>
    </row>
    <row r="11" spans="1:14" s="29" customFormat="1" ht="14.25" customHeight="1" x14ac:dyDescent="0.25">
      <c r="A11" s="155">
        <v>62</v>
      </c>
      <c r="B11" s="155">
        <v>2</v>
      </c>
      <c r="C11" s="30">
        <f t="shared" si="0"/>
        <v>4</v>
      </c>
      <c r="D11" s="152" t="str">
        <f>IFERROR(VLOOKUP($A11,Sheet1!$A$1:$B$98,2,0),"")</f>
        <v>XX Đức KK</v>
      </c>
      <c r="E11" s="30">
        <f>IFERROR(VLOOKUP($A11,'Tổng Đơn'!$A$5:$E$76,5,0),"")</f>
        <v>0.5</v>
      </c>
      <c r="F11" s="30">
        <f t="shared" si="1"/>
        <v>2</v>
      </c>
      <c r="G11" s="162">
        <f>IF(AND($C11="",$C10&lt;&gt;""),"Tổng Cộng",IFERROR(VLOOKUP($A11,Sheet1!$A$1:$D$98,4,0),""))</f>
        <v>35000</v>
      </c>
      <c r="H11" s="153">
        <f>IF($C10=MAX($C$8:$C$56),SUM($H$8:$H10),IFERROR($G11*$F11,""))</f>
        <v>70000</v>
      </c>
      <c r="I11" s="55">
        <f t="shared" si="2"/>
        <v>1</v>
      </c>
      <c r="L11" s="31"/>
    </row>
    <row r="12" spans="1:14" s="29" customFormat="1" ht="14.25" customHeight="1" x14ac:dyDescent="0.25">
      <c r="A12" s="155">
        <v>63</v>
      </c>
      <c r="B12" s="155">
        <v>1</v>
      </c>
      <c r="C12" s="30">
        <f t="shared" si="0"/>
        <v>5</v>
      </c>
      <c r="D12" s="152" t="str">
        <f>IFERROR(VLOOKUP($A12,Sheet1!$A$1:$B$98,2,0),"")</f>
        <v>Hồ lô KK</v>
      </c>
      <c r="E12" s="30">
        <f>IFERROR(VLOOKUP($A12,'Tổng Đơn'!$A$5:$E$76,5,0),"")</f>
        <v>0.5</v>
      </c>
      <c r="F12" s="30">
        <f t="shared" si="1"/>
        <v>1</v>
      </c>
      <c r="G12" s="162">
        <f>IF(AND($C12="",$C11&lt;&gt;""),"Tổng Cộng",IFERROR(VLOOKUP($A12,Sheet1!$A$1:$D$98,4,0),""))</f>
        <v>42000</v>
      </c>
      <c r="H12" s="153">
        <f>IF($C11=MAX($C$8:$C$56),SUM($H$8:$H11),IFERROR($G12*$F12,""))</f>
        <v>42000</v>
      </c>
      <c r="I12" s="55">
        <f t="shared" si="2"/>
        <v>0.5</v>
      </c>
      <c r="J12" s="127"/>
      <c r="L12" s="31"/>
      <c r="M12" s="135"/>
      <c r="N12" s="128"/>
    </row>
    <row r="13" spans="1:14" s="29" customFormat="1" ht="14.25" customHeight="1" x14ac:dyDescent="0.25">
      <c r="A13" s="155">
        <v>1</v>
      </c>
      <c r="B13" s="155">
        <v>1</v>
      </c>
      <c r="C13" s="30">
        <f t="shared" si="0"/>
        <v>6</v>
      </c>
      <c r="D13" s="152" t="s">
        <v>302</v>
      </c>
      <c r="E13" s="30" t="s">
        <v>260</v>
      </c>
      <c r="F13" s="30" t="s">
        <v>260</v>
      </c>
      <c r="G13" s="162" t="s">
        <v>260</v>
      </c>
      <c r="H13" s="153">
        <f>-2*2000-1000</f>
        <v>-5000</v>
      </c>
      <c r="I13" s="55" t="str">
        <f t="shared" si="2"/>
        <v/>
      </c>
      <c r="L13" s="31"/>
    </row>
    <row r="14" spans="1:14" s="29" customFormat="1" ht="14.25" customHeight="1" x14ac:dyDescent="0.25">
      <c r="A14" s="155" t="s">
        <v>301</v>
      </c>
      <c r="B14" s="155"/>
      <c r="C14" s="30" t="str">
        <f t="shared" si="0"/>
        <v/>
      </c>
      <c r="D14" s="152" t="str">
        <f>IFERROR(VLOOKUP($A14,Sheet1!$A$1:$B$98,2,0),"")</f>
        <v/>
      </c>
      <c r="E14" s="30" t="str">
        <f>IFERROR(VLOOKUP($A14,'Tổng Đơn'!$A$5:$E$76,5,0),"")</f>
        <v/>
      </c>
      <c r="F14" s="30" t="str">
        <f t="shared" si="1"/>
        <v/>
      </c>
      <c r="G14" s="162" t="str">
        <f>IF(AND($C14="",$C13&lt;&gt;""),"Tổng Cộng",IFERROR(VLOOKUP($A14,Sheet1!$A$1:$D$98,4,0),""))</f>
        <v>Tổng Cộng</v>
      </c>
      <c r="H14" s="153">
        <f>IF($C13=MAX($C$8:$C$56),SUM($H$8:$H13),IFERROR($G14*$F14,""))</f>
        <v>254000</v>
      </c>
      <c r="I14" s="55" t="str">
        <f t="shared" si="2"/>
        <v/>
      </c>
      <c r="L14" s="31"/>
      <c r="M14" s="136"/>
    </row>
    <row r="15" spans="1:14" s="29" customFormat="1" ht="14.25" customHeight="1" x14ac:dyDescent="0.25">
      <c r="A15" s="155" t="s">
        <v>301</v>
      </c>
      <c r="B15" s="155"/>
      <c r="C15" s="30" t="str">
        <f t="shared" si="0"/>
        <v/>
      </c>
      <c r="D15" s="152" t="str">
        <f>IFERROR(VLOOKUP($A15,Sheet1!$A$1:$B$98,2,0),"")</f>
        <v/>
      </c>
      <c r="E15" s="30" t="str">
        <f>IFERROR(VLOOKUP($A15,'Tổng Đơn'!$A$5:$E$75,5,0),"")</f>
        <v/>
      </c>
      <c r="F15" s="30" t="str">
        <f t="shared" si="1"/>
        <v/>
      </c>
      <c r="G15" s="162" t="str">
        <f>IF(AND($C15="",$C14&lt;&gt;""),"Tổng Cộng",IFERROR(VLOOKUP($A15,Sheet1!$A$1:$D$98,4,0),""))</f>
        <v/>
      </c>
      <c r="H15" s="153" t="str">
        <f>IF($C14=MAX($C$8:$C$56),SUM($H$8:$H14),IFERROR($G15*$F15,""))</f>
        <v/>
      </c>
      <c r="I15" s="55" t="str">
        <f t="shared" si="2"/>
        <v/>
      </c>
      <c r="L15" s="31"/>
    </row>
    <row r="16" spans="1:14" s="29" customFormat="1" ht="14.25" customHeight="1" x14ac:dyDescent="0.25">
      <c r="A16" s="155" t="s">
        <v>301</v>
      </c>
      <c r="B16" s="155"/>
      <c r="C16" s="30" t="str">
        <f t="shared" si="0"/>
        <v/>
      </c>
      <c r="D16" s="152" t="str">
        <f>IFERROR(VLOOKUP($A16,Sheet1!$A$1:$B$98,2,0),"")</f>
        <v/>
      </c>
      <c r="E16" s="30" t="str">
        <f>IFERROR(VLOOKUP($A16,'Tổng Đơn'!$A$5:$E$75,5,0),"")</f>
        <v/>
      </c>
      <c r="F16" s="30" t="str">
        <f t="shared" si="1"/>
        <v/>
      </c>
      <c r="G16" s="162" t="str">
        <f>IF(AND($C16="",$C15&lt;&gt;""),"Tổng Cộng",IFERROR(VLOOKUP($A16,Sheet1!$A$1:$D$98,4,0),""))</f>
        <v/>
      </c>
      <c r="H16" s="153" t="str">
        <f>IF($C15=MAX($C$8:$C$56),SUM($H$8:$H15),IFERROR($G16*$F16,""))</f>
        <v/>
      </c>
      <c r="I16" s="55" t="str">
        <f t="shared" si="2"/>
        <v/>
      </c>
      <c r="L16" s="31"/>
    </row>
    <row r="17" spans="1:12" s="29" customFormat="1" ht="14.25" customHeight="1" x14ac:dyDescent="0.25">
      <c r="A17" s="155" t="s">
        <v>301</v>
      </c>
      <c r="B17" s="155"/>
      <c r="C17" s="30" t="str">
        <f t="shared" si="0"/>
        <v/>
      </c>
      <c r="D17" s="161" t="str">
        <f>IFERROR(VLOOKUP($A17,Sheet1!$A$1:$B$98,2,0),"")</f>
        <v/>
      </c>
      <c r="E17" s="30" t="str">
        <f>IFERROR(VLOOKUP($A17,'Tổng Đơn'!$A$5:$E$75,5,0),"")</f>
        <v/>
      </c>
      <c r="F17" s="30" t="str">
        <f t="shared" si="1"/>
        <v/>
      </c>
      <c r="G17" s="162" t="str">
        <f>IF(AND($C17="",$C16&lt;&gt;""),"Tổng Cộng",IFERROR(VLOOKUP($A17,Sheet1!$A$1:$D$98,4,0),""))</f>
        <v/>
      </c>
      <c r="H17" s="153" t="str">
        <f>IF($C16=MAX($C$8:$C$56),SUM($H$8:$H16),IFERROR($G17*$F17,""))</f>
        <v/>
      </c>
      <c r="I17" s="55" t="str">
        <f t="shared" si="2"/>
        <v/>
      </c>
      <c r="L17" s="31"/>
    </row>
    <row r="18" spans="1:12" s="29" customFormat="1" ht="14.25" customHeight="1" x14ac:dyDescent="0.25">
      <c r="A18" s="155" t="s">
        <v>301</v>
      </c>
      <c r="B18" s="155"/>
      <c r="C18" s="30" t="str">
        <f t="shared" si="0"/>
        <v/>
      </c>
      <c r="D18" s="161" t="str">
        <f>IFERROR(VLOOKUP($A18,Sheet1!$A$1:$B$98,2,0),"")</f>
        <v/>
      </c>
      <c r="E18" s="30" t="str">
        <f>IFERROR(VLOOKUP($A18,'Tổng Đơn'!$A$5:$E$75,5,0),"")</f>
        <v/>
      </c>
      <c r="F18" s="30" t="str">
        <f t="shared" si="1"/>
        <v/>
      </c>
      <c r="G18" s="162" t="str">
        <f>IF(AND($C18="",$C17&lt;&gt;""),"Tổng Cộng",IFERROR(VLOOKUP($A18,Sheet1!$A$1:$D$98,4,0),""))</f>
        <v/>
      </c>
      <c r="H18" s="153" t="str">
        <f>IF($C17=MAX($C$8:$C$56),SUM($H$8:$H17),IFERROR($G18*$F18,""))</f>
        <v/>
      </c>
      <c r="I18" s="55" t="str">
        <f t="shared" si="2"/>
        <v/>
      </c>
      <c r="L18" s="31"/>
    </row>
    <row r="19" spans="1:12" s="29" customFormat="1" ht="14.25" customHeight="1" x14ac:dyDescent="0.25">
      <c r="A19" s="155" t="s">
        <v>301</v>
      </c>
      <c r="B19" s="155"/>
      <c r="C19" s="30" t="str">
        <f t="shared" si="0"/>
        <v/>
      </c>
      <c r="D19" s="161" t="str">
        <f>IFERROR(VLOOKUP($A19,Sheet1!$A$1:$B$98,2,0),"")</f>
        <v/>
      </c>
      <c r="E19" s="30" t="str">
        <f>IFERROR(VLOOKUP($A19,'Tổng Đơn'!$A$5:$E$75,5,0),"")</f>
        <v/>
      </c>
      <c r="F19" s="30" t="str">
        <f t="shared" si="1"/>
        <v/>
      </c>
      <c r="G19" s="162" t="str">
        <f>IF(AND($C19="",$C18&lt;&gt;""),"Tổng Cộng",IFERROR(VLOOKUP($A19,Sheet1!$A$1:$D$98,4,0),""))</f>
        <v/>
      </c>
      <c r="H19" s="153" t="str">
        <f>IF($C18=MAX($C$8:$C$56),SUM($H$8:$H18),IFERROR($G19*$F19,""))</f>
        <v/>
      </c>
      <c r="I19" s="55" t="str">
        <f t="shared" si="2"/>
        <v/>
      </c>
      <c r="L19" s="31"/>
    </row>
    <row r="20" spans="1:12" s="29" customFormat="1" ht="14.25" customHeight="1" x14ac:dyDescent="0.25">
      <c r="A20" s="155" t="s">
        <v>301</v>
      </c>
      <c r="B20" s="155"/>
      <c r="C20" s="30" t="str">
        <f t="shared" si="0"/>
        <v/>
      </c>
      <c r="D20" s="161" t="str">
        <f>IFERROR(VLOOKUP($A20,Sheet1!$A$1:$B$98,2,0),"")</f>
        <v/>
      </c>
      <c r="E20" s="30" t="str">
        <f>IFERROR(VLOOKUP($A20,'Tổng Đơn'!$A$5:$E$75,5,0),"")</f>
        <v/>
      </c>
      <c r="F20" s="30" t="str">
        <f t="shared" si="1"/>
        <v/>
      </c>
      <c r="G20" s="162" t="str">
        <f>IF(AND($C20="",$C19&lt;&gt;""),"Tổng Cộng",IFERROR(VLOOKUP($A20,Sheet1!$A$1:$D$98,4,0),""))</f>
        <v/>
      </c>
      <c r="H20" s="153" t="str">
        <f>IF($C19=MAX($C$8:$C$56),SUM($H$8:$H19),IFERROR($G20*$F20,""))</f>
        <v/>
      </c>
      <c r="I20" s="55" t="str">
        <f t="shared" si="2"/>
        <v/>
      </c>
      <c r="L20" s="31"/>
    </row>
    <row r="21" spans="1:12" s="29" customFormat="1" ht="14.25" customHeight="1" x14ac:dyDescent="0.25">
      <c r="A21" s="155" t="s">
        <v>301</v>
      </c>
      <c r="B21" s="155"/>
      <c r="C21" s="30" t="str">
        <f t="shared" si="0"/>
        <v/>
      </c>
      <c r="D21" s="161" t="str">
        <f>IFERROR(VLOOKUP($A21,Sheet1!$A$1:$B$98,2,0),"")</f>
        <v/>
      </c>
      <c r="E21" s="30" t="str">
        <f>IFERROR(VLOOKUP($A21,'Tổng Đơn'!$A$5:$E$75,5,0),"")</f>
        <v/>
      </c>
      <c r="F21" s="30" t="str">
        <f t="shared" si="1"/>
        <v/>
      </c>
      <c r="G21" s="162" t="str">
        <f>IF(AND($C21="",$C20&lt;&gt;""),"Tổng Cộng",IFERROR(VLOOKUP($A21,Sheet1!$A$1:$D$98,4,0),""))</f>
        <v/>
      </c>
      <c r="H21" s="153" t="str">
        <f>IF($C20=MAX($C$8:$C$56),SUM($H$8:$H20),IFERROR($G21*$F21,""))</f>
        <v/>
      </c>
      <c r="I21" s="55" t="str">
        <f t="shared" si="2"/>
        <v/>
      </c>
      <c r="L21" s="31"/>
    </row>
    <row r="22" spans="1:12" s="29" customFormat="1" ht="14.25" customHeight="1" x14ac:dyDescent="0.25">
      <c r="A22" s="155" t="s">
        <v>301</v>
      </c>
      <c r="B22" s="155"/>
      <c r="C22" s="30" t="str">
        <f t="shared" si="0"/>
        <v/>
      </c>
      <c r="D22" s="152" t="str">
        <f>IFERROR(VLOOKUP($A22,Sheet1!$A$1:$B$98,2,0),"")</f>
        <v/>
      </c>
      <c r="E22" s="30" t="str">
        <f>IFERROR(VLOOKUP($A22,'Tổng Đơn'!$A$5:$E$75,5,0),"")</f>
        <v/>
      </c>
      <c r="F22" s="30" t="str">
        <f t="shared" si="1"/>
        <v/>
      </c>
      <c r="G22" s="162" t="str">
        <f>IF(AND($C22="",$C21&lt;&gt;""),"Tổng Cộng",IFERROR(VLOOKUP($A22,Sheet1!$A$1:$D$98,4,0),""))</f>
        <v/>
      </c>
      <c r="H22" s="153" t="str">
        <f>IF($C21=MAX($C$8:$C$56),SUM($H$8:$H21),IFERROR($G22*$F22,""))</f>
        <v/>
      </c>
      <c r="I22" s="55" t="str">
        <f t="shared" si="2"/>
        <v/>
      </c>
      <c r="L22" s="31"/>
    </row>
    <row r="23" spans="1:12" s="29" customFormat="1" ht="14.25" customHeight="1" x14ac:dyDescent="0.25">
      <c r="A23" s="155" t="s">
        <v>301</v>
      </c>
      <c r="B23" s="155"/>
      <c r="C23" s="30" t="str">
        <f t="shared" si="0"/>
        <v/>
      </c>
      <c r="D23" s="152" t="str">
        <f>IFERROR(VLOOKUP($A23,Sheet1!$A$1:$B$98,2,0),"")</f>
        <v/>
      </c>
      <c r="E23" s="30" t="str">
        <f>IFERROR(VLOOKUP($A23,'Tổng Đơn'!$A$5:$E$75,5,0),"")</f>
        <v/>
      </c>
      <c r="F23" s="30" t="str">
        <f t="shared" si="1"/>
        <v/>
      </c>
      <c r="G23" s="162" t="str">
        <f>IF(AND($C23="",$C22&lt;&gt;""),"Tổng Cộng",IFERROR(VLOOKUP($A23,Sheet1!$A$1:$D$98,4,0),""))</f>
        <v/>
      </c>
      <c r="H23" s="153" t="str">
        <f>IF($C22=MAX($C$8:$C$56),SUM($H$8:$H22),IFERROR($G23*$F23,""))</f>
        <v/>
      </c>
      <c r="I23" s="55" t="str">
        <f t="shared" si="2"/>
        <v/>
      </c>
      <c r="L23" s="31"/>
    </row>
    <row r="24" spans="1:12" s="29" customFormat="1" ht="14.25" customHeight="1" x14ac:dyDescent="0.25">
      <c r="A24" s="155" t="s">
        <v>301</v>
      </c>
      <c r="B24" s="155"/>
      <c r="C24" s="30" t="str">
        <f t="shared" si="0"/>
        <v/>
      </c>
      <c r="D24" s="152" t="str">
        <f>IFERROR(VLOOKUP($A24,Sheet1!$A$1:$B$98,2,0),"")</f>
        <v/>
      </c>
      <c r="E24" s="30" t="str">
        <f>IFERROR(VLOOKUP($A24,'Tổng Đơn'!$A$5:$E$75,5,0),"")</f>
        <v/>
      </c>
      <c r="F24" s="30" t="str">
        <f t="shared" si="1"/>
        <v/>
      </c>
      <c r="G24" s="162" t="str">
        <f>IF(AND($C24="",$C23&lt;&gt;""),"Tổng Cộng",IFERROR(VLOOKUP($A24,Sheet1!$A$1:$D$98,4,0),""))</f>
        <v/>
      </c>
      <c r="H24" s="153" t="str">
        <f>IF($C23=MAX($C$8:$C$56),SUM($H$8:$H23),IFERROR($G24*$F24,""))</f>
        <v/>
      </c>
      <c r="I24" s="55" t="str">
        <f t="shared" si="2"/>
        <v/>
      </c>
      <c r="L24" s="31"/>
    </row>
    <row r="25" spans="1:12" s="29" customFormat="1" ht="14.25" customHeight="1" x14ac:dyDescent="0.25">
      <c r="A25" s="155" t="s">
        <v>301</v>
      </c>
      <c r="B25" s="155"/>
      <c r="C25" s="30" t="str">
        <f t="shared" si="0"/>
        <v/>
      </c>
      <c r="D25" s="152" t="str">
        <f>IFERROR(VLOOKUP($A25,Sheet1!$A$1:$B$98,2,0),"")</f>
        <v/>
      </c>
      <c r="E25" s="30" t="str">
        <f>IFERROR(VLOOKUP($A25,'Tổng Đơn'!$A$5:$E$75,5,0),"")</f>
        <v/>
      </c>
      <c r="F25" s="30" t="str">
        <f t="shared" si="1"/>
        <v/>
      </c>
      <c r="G25" s="162" t="str">
        <f>IF(AND($C25="",$C24&lt;&gt;""),"Tổng Cộng",IFERROR(VLOOKUP($A25,Sheet1!$A$1:$D$98,4,0),""))</f>
        <v/>
      </c>
      <c r="H25" s="153" t="str">
        <f>IF($C24=MAX($C$8:$C$56),SUM($H$8:$H24),IFERROR($G25*$F25,""))</f>
        <v/>
      </c>
      <c r="I25" s="55" t="str">
        <f t="shared" si="2"/>
        <v/>
      </c>
      <c r="L25" s="31"/>
    </row>
    <row r="26" spans="1:12" s="29" customFormat="1" ht="14.25" customHeight="1" x14ac:dyDescent="0.25">
      <c r="A26" s="155" t="s">
        <v>301</v>
      </c>
      <c r="B26" s="155"/>
      <c r="C26" s="30" t="str">
        <f t="shared" si="0"/>
        <v/>
      </c>
      <c r="D26" s="152" t="str">
        <f>IFERROR(VLOOKUP($A26,Sheet1!$A$1:$B$98,2,0),"")</f>
        <v/>
      </c>
      <c r="E26" s="30" t="str">
        <f>IFERROR(VLOOKUP($A26,'Tổng Đơn'!$A$5:$E$75,5,0),"")</f>
        <v/>
      </c>
      <c r="F26" s="30" t="str">
        <f t="shared" si="1"/>
        <v/>
      </c>
      <c r="G26" s="162" t="str">
        <f>IF(AND($C26="",$C25&lt;&gt;""),"Tổng Cộng",IFERROR(VLOOKUP($A26,Sheet1!$A$1:$D$98,4,0),""))</f>
        <v/>
      </c>
      <c r="H26" s="153" t="str">
        <f>IF($C25=MAX($C$8:$C$56),SUM($H$8:$H25),IFERROR($G26*$F26,""))</f>
        <v/>
      </c>
      <c r="I26" s="55" t="str">
        <f t="shared" si="2"/>
        <v/>
      </c>
      <c r="L26" s="31"/>
    </row>
    <row r="27" spans="1:12" s="29" customFormat="1" ht="14.25" customHeight="1" x14ac:dyDescent="0.25">
      <c r="A27" s="155" t="s">
        <v>301</v>
      </c>
      <c r="B27" s="155"/>
      <c r="C27" s="30" t="str">
        <f t="shared" si="0"/>
        <v/>
      </c>
      <c r="D27" s="152" t="str">
        <f>IFERROR(VLOOKUP($A27,Sheet1!$A$1:$B$98,2,0),"")</f>
        <v/>
      </c>
      <c r="E27" s="30" t="str">
        <f>IFERROR(VLOOKUP($A27,'Tổng Đơn'!$A$5:$E$75,5,0),"")</f>
        <v/>
      </c>
      <c r="F27" s="30" t="str">
        <f t="shared" si="1"/>
        <v/>
      </c>
      <c r="G27" s="162" t="str">
        <f>IF(AND($C27="",$C26&lt;&gt;""),"Tổng Cộng",IFERROR(VLOOKUP($A27,Sheet1!$A$1:$D$98,4,0),""))</f>
        <v/>
      </c>
      <c r="H27" s="153" t="str">
        <f>IF($C26=MAX($C$8:$C$56),SUM($H$8:$H26),IFERROR($G27*$F27,""))</f>
        <v/>
      </c>
      <c r="I27" s="55" t="str">
        <f t="shared" si="2"/>
        <v/>
      </c>
      <c r="L27" s="31"/>
    </row>
    <row r="28" spans="1:12" s="29" customFormat="1" ht="14.25" customHeight="1" x14ac:dyDescent="0.25">
      <c r="A28" s="155" t="s">
        <v>301</v>
      </c>
      <c r="B28" s="155"/>
      <c r="C28" s="30" t="str">
        <f t="shared" si="0"/>
        <v/>
      </c>
      <c r="D28" s="152" t="str">
        <f>IFERROR(VLOOKUP($A28,Sheet1!$A$1:$B$98,2,0),"")</f>
        <v/>
      </c>
      <c r="E28" s="30" t="str">
        <f>IFERROR(VLOOKUP($A28,'Tổng Đơn'!$A$5:$E$75,5,0),"")</f>
        <v/>
      </c>
      <c r="F28" s="30" t="str">
        <f t="shared" si="1"/>
        <v/>
      </c>
      <c r="G28" s="162" t="str">
        <f>IF(AND($C28="",$C27&lt;&gt;""),"Tổng Cộng",IFERROR(VLOOKUP($A28,Sheet1!$A$1:$D$98,4,0),""))</f>
        <v/>
      </c>
      <c r="H28" s="153" t="str">
        <f>IF($C27=MAX($C$8:$C$56),SUM($H$8:$H27),IFERROR($G28*$F28,""))</f>
        <v/>
      </c>
      <c r="I28" s="55" t="str">
        <f t="shared" si="2"/>
        <v/>
      </c>
      <c r="L28" s="31"/>
    </row>
    <row r="29" spans="1:12" s="29" customFormat="1" ht="14.25" customHeight="1" x14ac:dyDescent="0.25">
      <c r="A29" s="155" t="s">
        <v>301</v>
      </c>
      <c r="B29" s="155"/>
      <c r="C29" s="30" t="str">
        <f t="shared" si="0"/>
        <v/>
      </c>
      <c r="D29" s="152" t="str">
        <f>IFERROR(VLOOKUP($A29,Sheet1!$A$1:$B$98,2,0),"")</f>
        <v/>
      </c>
      <c r="E29" s="30" t="str">
        <f>IFERROR(VLOOKUP($A29,'Tổng Đơn'!$A$5:$E$75,5,0),"")</f>
        <v/>
      </c>
      <c r="F29" s="30" t="str">
        <f t="shared" si="1"/>
        <v/>
      </c>
      <c r="G29" s="162" t="str">
        <f>IF(AND($C29="",$C28&lt;&gt;""),"Tổng Cộng",IFERROR(VLOOKUP($A29,Sheet1!$A$1:$D$98,4,0),""))</f>
        <v/>
      </c>
      <c r="H29" s="153" t="str">
        <f>IF($C28=MAX($C$8:$C$56),SUM($H$8:$H28),IFERROR($G29*$F29,""))</f>
        <v/>
      </c>
      <c r="I29" s="55" t="str">
        <f t="shared" si="2"/>
        <v/>
      </c>
      <c r="L29" s="31"/>
    </row>
    <row r="30" spans="1:12" s="29" customFormat="1" ht="14.25" customHeight="1" x14ac:dyDescent="0.25">
      <c r="A30" s="155" t="s">
        <v>301</v>
      </c>
      <c r="B30" s="155"/>
      <c r="C30" s="30" t="str">
        <f t="shared" si="0"/>
        <v/>
      </c>
      <c r="D30" s="152" t="str">
        <f>IFERROR(VLOOKUP($A30,Sheet1!$A$1:$B$98,2,0),"")</f>
        <v/>
      </c>
      <c r="E30" s="30" t="str">
        <f>IFERROR(VLOOKUP($A30,'Tổng Đơn'!$A$5:$E$75,5,0),"")</f>
        <v/>
      </c>
      <c r="F30" s="30" t="str">
        <f t="shared" si="1"/>
        <v/>
      </c>
      <c r="G30" s="162" t="str">
        <f>IF(AND($C30="",$C29&lt;&gt;""),"Tổng Cộng",IFERROR(VLOOKUP($A30,Sheet1!$A$1:$D$98,4,0),""))</f>
        <v/>
      </c>
      <c r="H30" s="153" t="str">
        <f>IF($C29=MAX($C$8:$C$56),SUM($H$8:$H29),IFERROR($G30*$F30,""))</f>
        <v/>
      </c>
      <c r="I30" s="55" t="str">
        <f t="shared" si="2"/>
        <v/>
      </c>
      <c r="L30" s="31"/>
    </row>
    <row r="31" spans="1:12" s="29" customFormat="1" ht="14.25" customHeight="1" x14ac:dyDescent="0.25">
      <c r="A31" s="155" t="s">
        <v>301</v>
      </c>
      <c r="B31" s="155"/>
      <c r="C31" s="30" t="str">
        <f t="shared" si="0"/>
        <v/>
      </c>
      <c r="D31" s="152" t="str">
        <f>IFERROR(VLOOKUP($A31,Sheet1!$A$1:$B$98,2,0),"")</f>
        <v/>
      </c>
      <c r="E31" s="30" t="str">
        <f>IFERROR(VLOOKUP($A31,'Tổng Đơn'!$A$5:$E$75,5,0),"")</f>
        <v/>
      </c>
      <c r="F31" s="30" t="str">
        <f t="shared" si="1"/>
        <v/>
      </c>
      <c r="G31" s="162" t="str">
        <f>IF(AND($C31="",$C30&lt;&gt;""),"Tổng Cộng",IFERROR(VLOOKUP($A31,Sheet1!$A$1:$D$98,4,0),""))</f>
        <v/>
      </c>
      <c r="H31" s="153" t="str">
        <f>IF($C30=MAX($C$8:$C$56),SUM($H$8:$H30),IFERROR($G31*$F31,""))</f>
        <v/>
      </c>
      <c r="I31" s="55" t="str">
        <f t="shared" si="2"/>
        <v/>
      </c>
      <c r="L31" s="31"/>
    </row>
    <row r="32" spans="1:12" s="29" customFormat="1" ht="14.25" customHeight="1" x14ac:dyDescent="0.25">
      <c r="A32" s="155" t="s">
        <v>301</v>
      </c>
      <c r="B32" s="155"/>
      <c r="C32" s="30" t="str">
        <f t="shared" si="0"/>
        <v/>
      </c>
      <c r="D32" s="152" t="str">
        <f>IFERROR(VLOOKUP($A32,Sheet1!$A$1:$B$98,2,0),"")</f>
        <v/>
      </c>
      <c r="E32" s="30" t="str">
        <f>IFERROR(VLOOKUP($A32,'Tổng Đơn'!$A$5:$E$75,5,0),"")</f>
        <v/>
      </c>
      <c r="F32" s="30" t="str">
        <f t="shared" si="1"/>
        <v/>
      </c>
      <c r="G32" s="162" t="str">
        <f>IF(AND($C32="",$C31&lt;&gt;""),"Tổng Cộng",IFERROR(VLOOKUP($A32,Sheet1!$A$1:$D$98,4,0),""))</f>
        <v/>
      </c>
      <c r="H32" s="153" t="str">
        <f>IF($C31=MAX($C$8:$C$56),SUM($H$8:$H31),IFERROR($G32*$F32,""))</f>
        <v/>
      </c>
      <c r="I32" s="55" t="str">
        <f t="shared" si="2"/>
        <v/>
      </c>
      <c r="L32" s="31"/>
    </row>
    <row r="33" spans="1:12" s="29" customFormat="1" ht="14.25" customHeight="1" x14ac:dyDescent="0.25">
      <c r="A33" s="155" t="s">
        <v>301</v>
      </c>
      <c r="B33" s="155"/>
      <c r="C33" s="30" t="str">
        <f t="shared" si="0"/>
        <v/>
      </c>
      <c r="D33" s="152" t="str">
        <f>IFERROR(VLOOKUP($A33,Sheet1!$A$1:$B$98,2,0),"")</f>
        <v/>
      </c>
      <c r="E33" s="30" t="str">
        <f>IFERROR(VLOOKUP($A33,'Tổng Đơn'!$A$5:$E$75,5,0),"")</f>
        <v/>
      </c>
      <c r="F33" s="30" t="str">
        <f t="shared" si="1"/>
        <v/>
      </c>
      <c r="G33" s="162" t="str">
        <f>IF(AND($C33="",$C32&lt;&gt;""),"Tổng Cộng",IFERROR(VLOOKUP($A33,Sheet1!$A$1:$D$98,4,0),""))</f>
        <v/>
      </c>
      <c r="H33" s="153" t="str">
        <f>IF($C32=MAX($C$8:$C$56),SUM($H$8:$H32),IFERROR($G33*$F33,""))</f>
        <v/>
      </c>
      <c r="I33" s="55" t="str">
        <f t="shared" si="2"/>
        <v/>
      </c>
      <c r="L33" s="31"/>
    </row>
    <row r="34" spans="1:12" s="29" customFormat="1" ht="14.25" customHeight="1" x14ac:dyDescent="0.25">
      <c r="A34" s="155" t="s">
        <v>301</v>
      </c>
      <c r="B34" s="155"/>
      <c r="C34" s="30" t="str">
        <f t="shared" si="0"/>
        <v/>
      </c>
      <c r="D34" s="152" t="str">
        <f>IFERROR(VLOOKUP($A34,Sheet1!$A$1:$B$98,2,0),"")</f>
        <v/>
      </c>
      <c r="E34" s="30" t="str">
        <f>IFERROR(VLOOKUP($A34,'Tổng Đơn'!$A$5:$E$75,5,0),"")</f>
        <v/>
      </c>
      <c r="F34" s="30" t="str">
        <f t="shared" si="1"/>
        <v/>
      </c>
      <c r="G34" s="162" t="str">
        <f>IF(AND($C34="",$C33&lt;&gt;""),"Tổng Cộng",IFERROR(VLOOKUP($A34,Sheet1!$A$1:$D$98,4,0),""))</f>
        <v/>
      </c>
      <c r="H34" s="153" t="str">
        <f>IF($C33=MAX($C$8:$C$56),SUM($H$8:$H33),IFERROR($G34*$F34,""))</f>
        <v/>
      </c>
      <c r="I34" s="55" t="str">
        <f t="shared" si="2"/>
        <v/>
      </c>
      <c r="L34" s="31"/>
    </row>
    <row r="35" spans="1:12" s="29" customFormat="1" ht="14.25" customHeight="1" x14ac:dyDescent="0.25">
      <c r="A35" s="155" t="s">
        <v>301</v>
      </c>
      <c r="B35" s="155"/>
      <c r="C35" s="30" t="str">
        <f t="shared" si="0"/>
        <v/>
      </c>
      <c r="D35" s="152" t="str">
        <f>IFERROR(VLOOKUP($A35,Sheet1!$A$1:$B$98,2,0),"")</f>
        <v/>
      </c>
      <c r="E35" s="30" t="str">
        <f>IFERROR(VLOOKUP($A35,'Tổng Đơn'!$A$5:$E$75,5,0),"")</f>
        <v/>
      </c>
      <c r="F35" s="30" t="str">
        <f t="shared" si="1"/>
        <v/>
      </c>
      <c r="G35" s="162" t="str">
        <f>IF(AND($C35="",$C34&lt;&gt;""),"Tổng Cộng",IFERROR(VLOOKUP($A35,Sheet1!$A$1:$D$98,4,0),""))</f>
        <v/>
      </c>
      <c r="H35" s="153" t="str">
        <f>IF($C34=MAX($C$8:$C$56),SUM($H$8:$H34),IFERROR($G35*$F35,""))</f>
        <v/>
      </c>
      <c r="I35" s="55" t="str">
        <f t="shared" si="2"/>
        <v/>
      </c>
      <c r="L35" s="31"/>
    </row>
    <row r="36" spans="1:12" s="29" customFormat="1" ht="14.25" customHeight="1" x14ac:dyDescent="0.25">
      <c r="A36" s="155" t="s">
        <v>301</v>
      </c>
      <c r="B36" s="155"/>
      <c r="C36" s="30" t="str">
        <f t="shared" si="0"/>
        <v/>
      </c>
      <c r="D36" s="152" t="str">
        <f>IFERROR(VLOOKUP($A36,Sheet1!$A$1:$B$98,2,0),"")</f>
        <v/>
      </c>
      <c r="E36" s="30" t="str">
        <f>IFERROR(VLOOKUP($A36,'Tổng Đơn'!$A$5:$E$75,5,0),"")</f>
        <v/>
      </c>
      <c r="F36" s="30" t="str">
        <f t="shared" si="1"/>
        <v/>
      </c>
      <c r="G36" s="162" t="str">
        <f>IF(AND($C36="",$C35&lt;&gt;""),"Tổng Cộng",IFERROR(VLOOKUP($A36,Sheet1!$A$1:$D$98,4,0),""))</f>
        <v/>
      </c>
      <c r="H36" s="153" t="str">
        <f>IF($C35=MAX($C$8:$C$56),SUM($H$8:$H35),IFERROR($G36*$F36,""))</f>
        <v/>
      </c>
      <c r="I36" s="55" t="str">
        <f t="shared" si="2"/>
        <v/>
      </c>
      <c r="L36" s="31"/>
    </row>
    <row r="37" spans="1:12" s="29" customFormat="1" ht="14.25" customHeight="1" x14ac:dyDescent="0.25">
      <c r="A37" s="155" t="s">
        <v>301</v>
      </c>
      <c r="B37" s="155"/>
      <c r="C37" s="30" t="str">
        <f t="shared" si="0"/>
        <v/>
      </c>
      <c r="D37" s="152" t="str">
        <f>IFERROR(VLOOKUP($A37,Sheet1!$A$1:$B$98,2,0),"")</f>
        <v/>
      </c>
      <c r="E37" s="30" t="str">
        <f>IFERROR(VLOOKUP($A37,'Tổng Đơn'!$A$5:$E$75,5,0),"")</f>
        <v/>
      </c>
      <c r="F37" s="30" t="str">
        <f t="shared" si="1"/>
        <v/>
      </c>
      <c r="G37" s="162"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3"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241" priority="20">
      <formula>$C22=MAX($C$8:$C$37)</formula>
    </cfRule>
  </conditionalFormatting>
  <conditionalFormatting sqref="C23:C37">
    <cfRule type="expression" dxfId="240" priority="19">
      <formula>$C22=MAX($C$8:$C$37)</formula>
    </cfRule>
  </conditionalFormatting>
  <conditionalFormatting sqref="E23:E38">
    <cfRule type="expression" dxfId="239" priority="21">
      <formula>AND($A23="",$F23&lt;&gt;"")</formula>
    </cfRule>
  </conditionalFormatting>
  <conditionalFormatting sqref="F23:F38">
    <cfRule type="expression" dxfId="238" priority="22">
      <formula>AND($F23="",$A23&lt;&gt;"")</formula>
    </cfRule>
  </conditionalFormatting>
  <conditionalFormatting sqref="D20:H22">
    <cfRule type="expression" dxfId="237" priority="16">
      <formula>$C19=MAX($C$8:$C$37)</formula>
    </cfRule>
  </conditionalFormatting>
  <conditionalFormatting sqref="C20:C22">
    <cfRule type="expression" dxfId="236" priority="15">
      <formula>$C19=MAX($C$8:$C$37)</formula>
    </cfRule>
  </conditionalFormatting>
  <conditionalFormatting sqref="E20:E22">
    <cfRule type="expression" dxfId="235" priority="17">
      <formula>AND($A20="",$F20&lt;&gt;"")</formula>
    </cfRule>
  </conditionalFormatting>
  <conditionalFormatting sqref="F20:F22">
    <cfRule type="expression" dxfId="234" priority="18">
      <formula>AND($F20="",$A20&lt;&gt;"")</formula>
    </cfRule>
  </conditionalFormatting>
  <conditionalFormatting sqref="D17:H19">
    <cfRule type="expression" dxfId="233" priority="12">
      <formula>$C16=MAX($C$8:$C$37)</formula>
    </cfRule>
  </conditionalFormatting>
  <conditionalFormatting sqref="C17:C19">
    <cfRule type="expression" dxfId="232" priority="11">
      <formula>$C16=MAX($C$8:$C$37)</formula>
    </cfRule>
  </conditionalFormatting>
  <conditionalFormatting sqref="E17:E19">
    <cfRule type="expression" dxfId="231" priority="13">
      <formula>AND($A17="",$F17&lt;&gt;"")</formula>
    </cfRule>
  </conditionalFormatting>
  <conditionalFormatting sqref="F17:F19">
    <cfRule type="expression" dxfId="230" priority="14">
      <formula>AND($F17="",$A17&lt;&gt;"")</formula>
    </cfRule>
  </conditionalFormatting>
  <conditionalFormatting sqref="D15:H16 D9:G14">
    <cfRule type="expression" dxfId="229" priority="8">
      <formula>$C8=MAX($C$8:$C$37)</formula>
    </cfRule>
  </conditionalFormatting>
  <conditionalFormatting sqref="C9:C16">
    <cfRule type="expression" dxfId="228" priority="7">
      <formula>$C8=MAX($C$8:$C$37)</formula>
    </cfRule>
  </conditionalFormatting>
  <conditionalFormatting sqref="E9:E16">
    <cfRule type="expression" dxfId="227" priority="9">
      <formula>AND($A9="",$F9&lt;&gt;"")</formula>
    </cfRule>
  </conditionalFormatting>
  <conditionalFormatting sqref="F9:F16">
    <cfRule type="expression" dxfId="226" priority="10">
      <formula>AND($F9="",$A9&lt;&gt;"")</formula>
    </cfRule>
  </conditionalFormatting>
  <conditionalFormatting sqref="D8:G8">
    <cfRule type="expression" dxfId="225" priority="4">
      <formula>$C7=MAX($C$8:$C$37)</formula>
    </cfRule>
  </conditionalFormatting>
  <conditionalFormatting sqref="C8">
    <cfRule type="expression" dxfId="224" priority="3">
      <formula>$C7=MAX($C$8:$C$37)</formula>
    </cfRule>
  </conditionalFormatting>
  <conditionalFormatting sqref="E8">
    <cfRule type="expression" dxfId="223" priority="5">
      <formula>AND($A8="",$F8&lt;&gt;"")</formula>
    </cfRule>
  </conditionalFormatting>
  <conditionalFormatting sqref="F8">
    <cfRule type="expression" dxfId="222" priority="6">
      <formula>AND($F8="",$A8&lt;&gt;"")</formula>
    </cfRule>
  </conditionalFormatting>
  <conditionalFormatting sqref="H9:H14">
    <cfRule type="expression" dxfId="221" priority="2">
      <formula>$C8=MAX($C$8:$C$37)</formula>
    </cfRule>
  </conditionalFormatting>
  <conditionalFormatting sqref="H8">
    <cfRule type="expression" dxfId="22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45510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1">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4" t="s">
        <v>188</v>
      </c>
      <c r="D1" s="264"/>
      <c r="E1" s="264"/>
      <c r="F1" s="264"/>
      <c r="G1" s="264"/>
      <c r="H1" s="264"/>
    </row>
    <row r="2" spans="1:14" ht="15.75" customHeight="1" x14ac:dyDescent="0.25">
      <c r="C2" s="264"/>
      <c r="D2" s="264"/>
      <c r="E2" s="264"/>
      <c r="F2" s="264"/>
      <c r="G2" s="264"/>
      <c r="H2" s="264"/>
    </row>
    <row r="3" spans="1:14" ht="15" customHeight="1" x14ac:dyDescent="0.25">
      <c r="C3" s="265" t="s">
        <v>190</v>
      </c>
      <c r="D3" s="265"/>
      <c r="E3" s="265"/>
      <c r="F3" s="266" t="s">
        <v>192</v>
      </c>
      <c r="G3" s="266"/>
      <c r="H3" s="266"/>
    </row>
    <row r="4" spans="1:14" x14ac:dyDescent="0.25">
      <c r="C4" s="267" t="s">
        <v>191</v>
      </c>
      <c r="D4" s="267"/>
      <c r="E4" s="267"/>
      <c r="F4" s="268" t="s">
        <v>193</v>
      </c>
      <c r="G4" s="268"/>
      <c r="H4" s="268"/>
    </row>
    <row r="5" spans="1:14" s="145" customFormat="1" ht="21" customHeight="1" x14ac:dyDescent="0.25">
      <c r="C5" s="269" t="s">
        <v>189</v>
      </c>
      <c r="D5" s="269"/>
      <c r="E5" s="269"/>
      <c r="F5" s="269"/>
      <c r="G5" s="269"/>
      <c r="H5" s="269"/>
    </row>
    <row r="6" spans="1:14" s="145" customFormat="1" ht="17.25" customHeight="1" x14ac:dyDescent="0.25">
      <c r="C6" s="154" t="s">
        <v>194</v>
      </c>
      <c r="D6" s="158" t="s">
        <v>324</v>
      </c>
      <c r="E6" s="150"/>
      <c r="F6" s="150"/>
      <c r="G6" s="263" t="str">
        <f ca="1">"Ngày "&amp;DAY(TODAY())&amp;" Tháng "&amp;MONTH(TODAY())&amp;" Năm "&amp;YEAR(TODAY())</f>
        <v>Ngày 29 Tháng 8 Năm 2022</v>
      </c>
      <c r="H6" s="263"/>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2</v>
      </c>
      <c r="L7" s="145"/>
    </row>
    <row r="8" spans="1:14" s="29" customFormat="1" ht="14.25" customHeight="1" x14ac:dyDescent="0.25">
      <c r="A8" s="155">
        <v>46</v>
      </c>
      <c r="B8" s="155">
        <v>1</v>
      </c>
      <c r="C8" s="30">
        <f t="shared" ref="C8:C37" si="0">IF(OR(SUM($C7,$A8&lt;&gt;"")=0,$A8=""),"",SUM($C7,$A8&lt;&gt;""))</f>
        <v>1</v>
      </c>
      <c r="D8" s="152" t="str">
        <f>IFERROR(VLOOKUP($A8,Sheet1!$A$1:$B$98,2,0),"")</f>
        <v>Khoai tây</v>
      </c>
      <c r="E8" s="30">
        <f>IFERROR(VLOOKUP($A8,'Tổng Đơn'!$A$5:$E$75,5,0),"")</f>
        <v>1</v>
      </c>
      <c r="F8" s="30">
        <f t="shared" ref="F8:F37" si="1">IF($B8="","",B8)</f>
        <v>1</v>
      </c>
      <c r="G8" s="162">
        <f>IFERROR(VLOOKUP($A8,Sheet1!$A1:$D$98,4,0),"")</f>
        <v>65000</v>
      </c>
      <c r="H8" s="153">
        <f>IF($C7=MAX($C$8:$C$56),SUM($H7:$H$8),IFERROR($G8*$F8,""))</f>
        <v>65000</v>
      </c>
      <c r="I8" s="55">
        <f t="shared" ref="I8:I37" si="2">IF(TYPE($A8)&lt;&gt;1,"",IFERROR(F8*E8,""))</f>
        <v>1</v>
      </c>
      <c r="L8" s="32"/>
    </row>
    <row r="9" spans="1:14" s="29" customFormat="1" ht="14.25" customHeight="1" x14ac:dyDescent="0.25">
      <c r="A9" s="155">
        <v>57</v>
      </c>
      <c r="B9" s="155">
        <v>1</v>
      </c>
      <c r="C9" s="30">
        <f t="shared" si="0"/>
        <v>2</v>
      </c>
      <c r="D9" s="152" t="str">
        <f>IFERROR(VLOOKUP($A9,Sheet1!$A$1:$B$98,2,0),"")</f>
        <v>Cá viên KK</v>
      </c>
      <c r="E9" s="30">
        <f>IFERROR(VLOOKUP($A9,'Tổng Đơn'!$A$5:$E$76,5,0),"")</f>
        <v>0.5</v>
      </c>
      <c r="F9" s="30">
        <f t="shared" si="1"/>
        <v>1</v>
      </c>
      <c r="G9" s="162">
        <f>IF(AND($C9="",$C8&lt;&gt;""),"Tổng Cộng",IFERROR(VLOOKUP($A9,Sheet1!$A$1:$D$98,4,0),""))</f>
        <v>25000</v>
      </c>
      <c r="H9" s="153">
        <f>IF($C8=MAX($C$8:$C$56),SUM($H$8:$H8),IFERROR($G9*$F9,""))</f>
        <v>25000</v>
      </c>
      <c r="I9" s="55">
        <f t="shared" si="2"/>
        <v>0.5</v>
      </c>
      <c r="L9" s="31"/>
    </row>
    <row r="10" spans="1:14" s="29" customFormat="1" ht="14.25" customHeight="1" x14ac:dyDescent="0.25">
      <c r="A10" s="155">
        <v>62</v>
      </c>
      <c r="B10" s="155">
        <v>1</v>
      </c>
      <c r="C10" s="30">
        <f t="shared" si="0"/>
        <v>3</v>
      </c>
      <c r="D10" s="152" t="str">
        <f>IFERROR(VLOOKUP($A10,Sheet1!$A$1:$B$98,2,0),"")</f>
        <v>XX Đức KK</v>
      </c>
      <c r="E10" s="30">
        <f>IFERROR(VLOOKUP($A10,'Tổng Đơn'!$A$5:$E$76,5,0),"")</f>
        <v>0.5</v>
      </c>
      <c r="F10" s="30">
        <f t="shared" si="1"/>
        <v>1</v>
      </c>
      <c r="G10" s="162">
        <f>IF(AND($C10="",$C9&lt;&gt;""),"Tổng Cộng",IFERROR(VLOOKUP($A10,Sheet1!$A$1:$D$98,4,0),""))</f>
        <v>35000</v>
      </c>
      <c r="H10" s="153">
        <f>IF($C9=MAX($C$8:$C$56),SUM($H$8:$H9),IFERROR($G10*$F10,""))</f>
        <v>35000</v>
      </c>
      <c r="I10" s="55">
        <f t="shared" si="2"/>
        <v>0.5</v>
      </c>
      <c r="L10" s="31"/>
    </row>
    <row r="11" spans="1:14" s="29" customFormat="1" ht="14.25" customHeight="1" x14ac:dyDescent="0.25">
      <c r="A11" s="155" t="s">
        <v>301</v>
      </c>
      <c r="B11" s="155"/>
      <c r="C11" s="30" t="str">
        <f t="shared" si="0"/>
        <v/>
      </c>
      <c r="D11" s="152" t="str">
        <f>IFERROR(VLOOKUP($A11,Sheet1!$A$1:$B$98,2,0),"")</f>
        <v/>
      </c>
      <c r="E11" s="30" t="str">
        <f>IFERROR(VLOOKUP($A11,'Tổng Đơn'!$A$5:$E$76,5,0),"")</f>
        <v/>
      </c>
      <c r="F11" s="30" t="str">
        <f t="shared" si="1"/>
        <v/>
      </c>
      <c r="G11" s="162" t="str">
        <f>IF(AND($C11="",$C10&lt;&gt;""),"Tổng Cộng",IFERROR(VLOOKUP($A11,Sheet1!$A$1:$D$98,4,0),""))</f>
        <v>Tổng Cộng</v>
      </c>
      <c r="H11" s="153">
        <f>IF($C10=MAX($C$8:$C$56),SUM($H$8:$H10),IFERROR($G11*$F11,""))</f>
        <v>125000</v>
      </c>
      <c r="I11" s="55" t="str">
        <f t="shared" si="2"/>
        <v/>
      </c>
      <c r="L11" s="31"/>
    </row>
    <row r="12" spans="1:14" s="29" customFormat="1" ht="14.25" customHeight="1" x14ac:dyDescent="0.25">
      <c r="A12" s="155" t="s">
        <v>301</v>
      </c>
      <c r="B12" s="155"/>
      <c r="C12" s="30" t="str">
        <f t="shared" si="0"/>
        <v/>
      </c>
      <c r="D12" s="152" t="str">
        <f>IFERROR(VLOOKUP($A12,Sheet1!$A$1:$B$98,2,0),"")</f>
        <v/>
      </c>
      <c r="E12" s="30" t="str">
        <f>IFERROR(VLOOKUP($A12,'Tổng Đơn'!$A$5:$E$76,5,0),"")</f>
        <v/>
      </c>
      <c r="F12" s="30" t="str">
        <f t="shared" si="1"/>
        <v/>
      </c>
      <c r="G12" s="162"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301</v>
      </c>
      <c r="B13" s="155"/>
      <c r="C13" s="30" t="str">
        <f t="shared" si="0"/>
        <v/>
      </c>
      <c r="D13" s="152" t="str">
        <f>IFERROR(VLOOKUP($A13,Sheet1!$A$1:$B$98,2,0),"")</f>
        <v/>
      </c>
      <c r="E13" s="30" t="str">
        <f>IFERROR(VLOOKUP($A13,'Tổng Đơn'!$A$5:$E$76,5,0),"")</f>
        <v/>
      </c>
      <c r="F13" s="30" t="str">
        <f t="shared" si="1"/>
        <v/>
      </c>
      <c r="G13" s="162" t="str">
        <f>IF(AND($C13="",$C12&lt;&gt;""),"Tổng Cộng",IFERROR(VLOOKUP($A13,Sheet1!$A$1:$D$98,4,0),""))</f>
        <v/>
      </c>
      <c r="H13" s="153" t="str">
        <f>IF($C12=MAX($C$8:$C$56),SUM($H$8:$H12),IFERROR($G13*$F13,""))</f>
        <v/>
      </c>
      <c r="I13" s="55" t="str">
        <f t="shared" si="2"/>
        <v/>
      </c>
      <c r="L13" s="31"/>
    </row>
    <row r="14" spans="1:14" s="29" customFormat="1" ht="14.25" customHeight="1" x14ac:dyDescent="0.25">
      <c r="A14" s="155" t="s">
        <v>301</v>
      </c>
      <c r="B14" s="155"/>
      <c r="C14" s="30" t="str">
        <f t="shared" si="0"/>
        <v/>
      </c>
      <c r="D14" s="152" t="str">
        <f>IFERROR(VLOOKUP($A14,Sheet1!$A$1:$B$98,2,0),"")</f>
        <v/>
      </c>
      <c r="E14" s="30" t="str">
        <f>IFERROR(VLOOKUP($A14,'Tổng Đơn'!$A$5:$E$76,5,0),"")</f>
        <v/>
      </c>
      <c r="F14" s="30" t="str">
        <f t="shared" si="1"/>
        <v/>
      </c>
      <c r="G14" s="162"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301</v>
      </c>
      <c r="B15" s="155"/>
      <c r="C15" s="30" t="str">
        <f t="shared" si="0"/>
        <v/>
      </c>
      <c r="D15" s="152" t="str">
        <f>IFERROR(VLOOKUP($A15,Sheet1!$A$1:$B$98,2,0),"")</f>
        <v/>
      </c>
      <c r="E15" s="30" t="str">
        <f>IFERROR(VLOOKUP($A15,'Tổng Đơn'!$A$5:$E$75,5,0),"")</f>
        <v/>
      </c>
      <c r="F15" s="30" t="str">
        <f t="shared" si="1"/>
        <v/>
      </c>
      <c r="G15" s="162" t="str">
        <f>IF(AND($C15="",$C14&lt;&gt;""),"Tổng Cộng",IFERROR(VLOOKUP($A15,Sheet1!$A$1:$D$98,4,0),""))</f>
        <v/>
      </c>
      <c r="H15" s="153" t="str">
        <f>IF($C14=MAX($C$8:$C$56),SUM($H$8:$H14),IFERROR($G15*$F15,""))</f>
        <v/>
      </c>
      <c r="I15" s="55" t="str">
        <f t="shared" si="2"/>
        <v/>
      </c>
      <c r="L15" s="31"/>
    </row>
    <row r="16" spans="1:14" s="29" customFormat="1" ht="14.25" customHeight="1" x14ac:dyDescent="0.25">
      <c r="A16" s="155" t="s">
        <v>301</v>
      </c>
      <c r="B16" s="155"/>
      <c r="C16" s="30" t="str">
        <f t="shared" si="0"/>
        <v/>
      </c>
      <c r="D16" s="152" t="str">
        <f>IFERROR(VLOOKUP($A16,Sheet1!$A$1:$B$98,2,0),"")</f>
        <v/>
      </c>
      <c r="E16" s="30" t="str">
        <f>IFERROR(VLOOKUP($A16,'Tổng Đơn'!$A$5:$E$75,5,0),"")</f>
        <v/>
      </c>
      <c r="F16" s="30" t="str">
        <f t="shared" si="1"/>
        <v/>
      </c>
      <c r="G16" s="162" t="str">
        <f>IF(AND($C16="",$C15&lt;&gt;""),"Tổng Cộng",IFERROR(VLOOKUP($A16,Sheet1!$A$1:$D$98,4,0),""))</f>
        <v/>
      </c>
      <c r="H16" s="153" t="str">
        <f>IF($C15=MAX($C$8:$C$56),SUM($H$8:$H15),IFERROR($G16*$F16,""))</f>
        <v/>
      </c>
      <c r="I16" s="55" t="str">
        <f t="shared" si="2"/>
        <v/>
      </c>
      <c r="L16" s="31"/>
    </row>
    <row r="17" spans="1:12" s="29" customFormat="1" ht="14.25" customHeight="1" x14ac:dyDescent="0.25">
      <c r="A17" s="155" t="s">
        <v>301</v>
      </c>
      <c r="B17" s="155"/>
      <c r="C17" s="30" t="str">
        <f t="shared" si="0"/>
        <v/>
      </c>
      <c r="D17" s="161" t="str">
        <f>IFERROR(VLOOKUP($A17,Sheet1!$A$1:$B$98,2,0),"")</f>
        <v/>
      </c>
      <c r="E17" s="30" t="str">
        <f>IFERROR(VLOOKUP($A17,'Tổng Đơn'!$A$5:$E$75,5,0),"")</f>
        <v/>
      </c>
      <c r="F17" s="30" t="str">
        <f t="shared" si="1"/>
        <v/>
      </c>
      <c r="G17" s="162" t="str">
        <f>IF(AND($C17="",$C16&lt;&gt;""),"Tổng Cộng",IFERROR(VLOOKUP($A17,Sheet1!$A$1:$D$98,4,0),""))</f>
        <v/>
      </c>
      <c r="H17" s="153" t="str">
        <f>IF($C16=MAX($C$8:$C$56),SUM($H$8:$H16),IFERROR($G17*$F17,""))</f>
        <v/>
      </c>
      <c r="I17" s="55" t="str">
        <f t="shared" si="2"/>
        <v/>
      </c>
      <c r="L17" s="31"/>
    </row>
    <row r="18" spans="1:12" s="29" customFormat="1" ht="14.25" customHeight="1" x14ac:dyDescent="0.25">
      <c r="A18" s="155" t="s">
        <v>301</v>
      </c>
      <c r="B18" s="155"/>
      <c r="C18" s="30" t="str">
        <f t="shared" si="0"/>
        <v/>
      </c>
      <c r="D18" s="161" t="str">
        <f>IFERROR(VLOOKUP($A18,Sheet1!$A$1:$B$98,2,0),"")</f>
        <v/>
      </c>
      <c r="E18" s="30" t="str">
        <f>IFERROR(VLOOKUP($A18,'Tổng Đơn'!$A$5:$E$75,5,0),"")</f>
        <v/>
      </c>
      <c r="F18" s="30" t="str">
        <f t="shared" si="1"/>
        <v/>
      </c>
      <c r="G18" s="162" t="str">
        <f>IF(AND($C18="",$C17&lt;&gt;""),"Tổng Cộng",IFERROR(VLOOKUP($A18,Sheet1!$A$1:$D$98,4,0),""))</f>
        <v/>
      </c>
      <c r="H18" s="153" t="str">
        <f>IF($C17=MAX($C$8:$C$56),SUM($H$8:$H17),IFERROR($G18*$F18,""))</f>
        <v/>
      </c>
      <c r="I18" s="55" t="str">
        <f t="shared" si="2"/>
        <v/>
      </c>
      <c r="L18" s="31"/>
    </row>
    <row r="19" spans="1:12" s="29" customFormat="1" ht="14.25" customHeight="1" x14ac:dyDescent="0.25">
      <c r="A19" s="155" t="s">
        <v>301</v>
      </c>
      <c r="B19" s="155"/>
      <c r="C19" s="30" t="str">
        <f t="shared" si="0"/>
        <v/>
      </c>
      <c r="D19" s="161" t="str">
        <f>IFERROR(VLOOKUP($A19,Sheet1!$A$1:$B$98,2,0),"")</f>
        <v/>
      </c>
      <c r="E19" s="30" t="str">
        <f>IFERROR(VLOOKUP($A19,'Tổng Đơn'!$A$5:$E$75,5,0),"")</f>
        <v/>
      </c>
      <c r="F19" s="30" t="str">
        <f t="shared" si="1"/>
        <v/>
      </c>
      <c r="G19" s="162" t="str">
        <f>IF(AND($C19="",$C18&lt;&gt;""),"Tổng Cộng",IFERROR(VLOOKUP($A19,Sheet1!$A$1:$D$98,4,0),""))</f>
        <v/>
      </c>
      <c r="H19" s="153" t="str">
        <f>IF($C18=MAX($C$8:$C$56),SUM($H$8:$H18),IFERROR($G19*$F19,""))</f>
        <v/>
      </c>
      <c r="I19" s="55" t="str">
        <f t="shared" si="2"/>
        <v/>
      </c>
      <c r="L19" s="31"/>
    </row>
    <row r="20" spans="1:12" s="29" customFormat="1" ht="14.25" customHeight="1" x14ac:dyDescent="0.25">
      <c r="A20" s="155" t="s">
        <v>301</v>
      </c>
      <c r="B20" s="155"/>
      <c r="C20" s="30" t="str">
        <f t="shared" si="0"/>
        <v/>
      </c>
      <c r="D20" s="161" t="str">
        <f>IFERROR(VLOOKUP($A20,Sheet1!$A$1:$B$98,2,0),"")</f>
        <v/>
      </c>
      <c r="E20" s="30" t="str">
        <f>IFERROR(VLOOKUP($A20,'Tổng Đơn'!$A$5:$E$75,5,0),"")</f>
        <v/>
      </c>
      <c r="F20" s="30" t="str">
        <f t="shared" si="1"/>
        <v/>
      </c>
      <c r="G20" s="162" t="str">
        <f>IF(AND($C20="",$C19&lt;&gt;""),"Tổng Cộng",IFERROR(VLOOKUP($A20,Sheet1!$A$1:$D$98,4,0),""))</f>
        <v/>
      </c>
      <c r="H20" s="153" t="str">
        <f>IF($C19=MAX($C$8:$C$56),SUM($H$8:$H19),IFERROR($G20*$F20,""))</f>
        <v/>
      </c>
      <c r="I20" s="55" t="str">
        <f t="shared" si="2"/>
        <v/>
      </c>
      <c r="L20" s="31"/>
    </row>
    <row r="21" spans="1:12" s="29" customFormat="1" ht="14.25" customHeight="1" x14ac:dyDescent="0.25">
      <c r="A21" s="155" t="s">
        <v>301</v>
      </c>
      <c r="B21" s="155"/>
      <c r="C21" s="30" t="str">
        <f t="shared" si="0"/>
        <v/>
      </c>
      <c r="D21" s="161" t="str">
        <f>IFERROR(VLOOKUP($A21,Sheet1!$A$1:$B$98,2,0),"")</f>
        <v/>
      </c>
      <c r="E21" s="30" t="str">
        <f>IFERROR(VLOOKUP($A21,'Tổng Đơn'!$A$5:$E$75,5,0),"")</f>
        <v/>
      </c>
      <c r="F21" s="30" t="str">
        <f t="shared" si="1"/>
        <v/>
      </c>
      <c r="G21" s="162" t="str">
        <f>IF(AND($C21="",$C20&lt;&gt;""),"Tổng Cộng",IFERROR(VLOOKUP($A21,Sheet1!$A$1:$D$98,4,0),""))</f>
        <v/>
      </c>
      <c r="H21" s="153" t="str">
        <f>IF($C20=MAX($C$8:$C$56),SUM($H$8:$H20),IFERROR($G21*$F21,""))</f>
        <v/>
      </c>
      <c r="I21" s="55" t="str">
        <f t="shared" si="2"/>
        <v/>
      </c>
      <c r="L21" s="31"/>
    </row>
    <row r="22" spans="1:12" s="29" customFormat="1" ht="14.25" customHeight="1" x14ac:dyDescent="0.25">
      <c r="A22" s="155" t="s">
        <v>301</v>
      </c>
      <c r="B22" s="155"/>
      <c r="C22" s="30" t="str">
        <f t="shared" si="0"/>
        <v/>
      </c>
      <c r="D22" s="152" t="str">
        <f>IFERROR(VLOOKUP($A22,Sheet1!$A$1:$B$98,2,0),"")</f>
        <v/>
      </c>
      <c r="E22" s="30" t="str">
        <f>IFERROR(VLOOKUP($A22,'Tổng Đơn'!$A$5:$E$75,5,0),"")</f>
        <v/>
      </c>
      <c r="F22" s="30" t="str">
        <f t="shared" si="1"/>
        <v/>
      </c>
      <c r="G22" s="162" t="str">
        <f>IF(AND($C22="",$C21&lt;&gt;""),"Tổng Cộng",IFERROR(VLOOKUP($A22,Sheet1!$A$1:$D$98,4,0),""))</f>
        <v/>
      </c>
      <c r="H22" s="153" t="str">
        <f>IF($C21=MAX($C$8:$C$56),SUM($H$8:$H21),IFERROR($G22*$F22,""))</f>
        <v/>
      </c>
      <c r="I22" s="55" t="str">
        <f t="shared" si="2"/>
        <v/>
      </c>
      <c r="L22" s="31"/>
    </row>
    <row r="23" spans="1:12" s="29" customFormat="1" ht="14.25" customHeight="1" x14ac:dyDescent="0.25">
      <c r="A23" s="155" t="s">
        <v>301</v>
      </c>
      <c r="B23" s="155"/>
      <c r="C23" s="30" t="str">
        <f t="shared" si="0"/>
        <v/>
      </c>
      <c r="D23" s="152" t="str">
        <f>IFERROR(VLOOKUP($A23,Sheet1!$A$1:$B$98,2,0),"")</f>
        <v/>
      </c>
      <c r="E23" s="30" t="str">
        <f>IFERROR(VLOOKUP($A23,'Tổng Đơn'!$A$5:$E$75,5,0),"")</f>
        <v/>
      </c>
      <c r="F23" s="30" t="str">
        <f t="shared" si="1"/>
        <v/>
      </c>
      <c r="G23" s="162" t="str">
        <f>IF(AND($C23="",$C22&lt;&gt;""),"Tổng Cộng",IFERROR(VLOOKUP($A23,Sheet1!$A$1:$D$98,4,0),""))</f>
        <v/>
      </c>
      <c r="H23" s="153" t="str">
        <f>IF($C22=MAX($C$8:$C$56),SUM($H$8:$H22),IFERROR($G23*$F23,""))</f>
        <v/>
      </c>
      <c r="I23" s="55" t="str">
        <f t="shared" si="2"/>
        <v/>
      </c>
      <c r="L23" s="31"/>
    </row>
    <row r="24" spans="1:12" s="29" customFormat="1" ht="14.25" customHeight="1" x14ac:dyDescent="0.25">
      <c r="A24" s="155" t="s">
        <v>301</v>
      </c>
      <c r="B24" s="155"/>
      <c r="C24" s="30" t="str">
        <f t="shared" si="0"/>
        <v/>
      </c>
      <c r="D24" s="152" t="str">
        <f>IFERROR(VLOOKUP($A24,Sheet1!$A$1:$B$98,2,0),"")</f>
        <v/>
      </c>
      <c r="E24" s="30" t="str">
        <f>IFERROR(VLOOKUP($A24,'Tổng Đơn'!$A$5:$E$75,5,0),"")</f>
        <v/>
      </c>
      <c r="F24" s="30" t="str">
        <f t="shared" si="1"/>
        <v/>
      </c>
      <c r="G24" s="162" t="str">
        <f>IF(AND($C24="",$C23&lt;&gt;""),"Tổng Cộng",IFERROR(VLOOKUP($A24,Sheet1!$A$1:$D$98,4,0),""))</f>
        <v/>
      </c>
      <c r="H24" s="153" t="str">
        <f>IF($C23=MAX($C$8:$C$56),SUM($H$8:$H23),IFERROR($G24*$F24,""))</f>
        <v/>
      </c>
      <c r="I24" s="55" t="str">
        <f t="shared" si="2"/>
        <v/>
      </c>
      <c r="L24" s="31"/>
    </row>
    <row r="25" spans="1:12" s="29" customFormat="1" ht="14.25" customHeight="1" x14ac:dyDescent="0.25">
      <c r="A25" s="155" t="s">
        <v>301</v>
      </c>
      <c r="B25" s="155"/>
      <c r="C25" s="30" t="str">
        <f t="shared" si="0"/>
        <v/>
      </c>
      <c r="D25" s="152" t="str">
        <f>IFERROR(VLOOKUP($A25,Sheet1!$A$1:$B$98,2,0),"")</f>
        <v/>
      </c>
      <c r="E25" s="30" t="str">
        <f>IFERROR(VLOOKUP($A25,'Tổng Đơn'!$A$5:$E$75,5,0),"")</f>
        <v/>
      </c>
      <c r="F25" s="30" t="str">
        <f t="shared" si="1"/>
        <v/>
      </c>
      <c r="G25" s="162" t="str">
        <f>IF(AND($C25="",$C24&lt;&gt;""),"Tổng Cộng",IFERROR(VLOOKUP($A25,Sheet1!$A$1:$D$98,4,0),""))</f>
        <v/>
      </c>
      <c r="H25" s="153" t="str">
        <f>IF($C24=MAX($C$8:$C$56),SUM($H$8:$H24),IFERROR($G25*$F25,""))</f>
        <v/>
      </c>
      <c r="I25" s="55" t="str">
        <f t="shared" si="2"/>
        <v/>
      </c>
      <c r="L25" s="31"/>
    </row>
    <row r="26" spans="1:12" s="29" customFormat="1" ht="14.25" customHeight="1" x14ac:dyDescent="0.25">
      <c r="A26" s="155" t="s">
        <v>301</v>
      </c>
      <c r="B26" s="155"/>
      <c r="C26" s="30" t="str">
        <f t="shared" si="0"/>
        <v/>
      </c>
      <c r="D26" s="152" t="str">
        <f>IFERROR(VLOOKUP($A26,Sheet1!$A$1:$B$98,2,0),"")</f>
        <v/>
      </c>
      <c r="E26" s="30" t="str">
        <f>IFERROR(VLOOKUP($A26,'Tổng Đơn'!$A$5:$E$75,5,0),"")</f>
        <v/>
      </c>
      <c r="F26" s="30" t="str">
        <f t="shared" si="1"/>
        <v/>
      </c>
      <c r="G26" s="162" t="str">
        <f>IF(AND($C26="",$C25&lt;&gt;""),"Tổng Cộng",IFERROR(VLOOKUP($A26,Sheet1!$A$1:$D$98,4,0),""))</f>
        <v/>
      </c>
      <c r="H26" s="153" t="str">
        <f>IF($C25=MAX($C$8:$C$56),SUM($H$8:$H25),IFERROR($G26*$F26,""))</f>
        <v/>
      </c>
      <c r="I26" s="55" t="str">
        <f t="shared" si="2"/>
        <v/>
      </c>
      <c r="L26" s="31"/>
    </row>
    <row r="27" spans="1:12" s="29" customFormat="1" ht="14.25" customHeight="1" x14ac:dyDescent="0.25">
      <c r="A27" s="155" t="s">
        <v>301</v>
      </c>
      <c r="B27" s="155"/>
      <c r="C27" s="30" t="str">
        <f t="shared" si="0"/>
        <v/>
      </c>
      <c r="D27" s="152" t="str">
        <f>IFERROR(VLOOKUP($A27,Sheet1!$A$1:$B$98,2,0),"")</f>
        <v/>
      </c>
      <c r="E27" s="30" t="str">
        <f>IFERROR(VLOOKUP($A27,'Tổng Đơn'!$A$5:$E$75,5,0),"")</f>
        <v/>
      </c>
      <c r="F27" s="30" t="str">
        <f t="shared" si="1"/>
        <v/>
      </c>
      <c r="G27" s="162" t="str">
        <f>IF(AND($C27="",$C26&lt;&gt;""),"Tổng Cộng",IFERROR(VLOOKUP($A27,Sheet1!$A$1:$D$98,4,0),""))</f>
        <v/>
      </c>
      <c r="H27" s="153" t="str">
        <f>IF($C26=MAX($C$8:$C$56),SUM($H$8:$H26),IFERROR($G27*$F27,""))</f>
        <v/>
      </c>
      <c r="I27" s="55" t="str">
        <f t="shared" si="2"/>
        <v/>
      </c>
      <c r="L27" s="31"/>
    </row>
    <row r="28" spans="1:12" s="29" customFormat="1" ht="14.25" customHeight="1" x14ac:dyDescent="0.25">
      <c r="A28" s="155" t="s">
        <v>301</v>
      </c>
      <c r="B28" s="155"/>
      <c r="C28" s="30" t="str">
        <f t="shared" si="0"/>
        <v/>
      </c>
      <c r="D28" s="152" t="str">
        <f>IFERROR(VLOOKUP($A28,Sheet1!$A$1:$B$98,2,0),"")</f>
        <v/>
      </c>
      <c r="E28" s="30" t="str">
        <f>IFERROR(VLOOKUP($A28,'Tổng Đơn'!$A$5:$E$75,5,0),"")</f>
        <v/>
      </c>
      <c r="F28" s="30" t="str">
        <f t="shared" si="1"/>
        <v/>
      </c>
      <c r="G28" s="162" t="str">
        <f>IF(AND($C28="",$C27&lt;&gt;""),"Tổng Cộng",IFERROR(VLOOKUP($A28,Sheet1!$A$1:$D$98,4,0),""))</f>
        <v/>
      </c>
      <c r="H28" s="153" t="str">
        <f>IF($C27=MAX($C$8:$C$56),SUM($H$8:$H27),IFERROR($G28*$F28,""))</f>
        <v/>
      </c>
      <c r="I28" s="55" t="str">
        <f t="shared" si="2"/>
        <v/>
      </c>
      <c r="L28" s="31"/>
    </row>
    <row r="29" spans="1:12" s="29" customFormat="1" ht="14.25" customHeight="1" x14ac:dyDescent="0.25">
      <c r="A29" s="155" t="s">
        <v>301</v>
      </c>
      <c r="B29" s="155"/>
      <c r="C29" s="30" t="str">
        <f t="shared" si="0"/>
        <v/>
      </c>
      <c r="D29" s="152" t="str">
        <f>IFERROR(VLOOKUP($A29,Sheet1!$A$1:$B$98,2,0),"")</f>
        <v/>
      </c>
      <c r="E29" s="30" t="str">
        <f>IFERROR(VLOOKUP($A29,'Tổng Đơn'!$A$5:$E$75,5,0),"")</f>
        <v/>
      </c>
      <c r="F29" s="30" t="str">
        <f t="shared" si="1"/>
        <v/>
      </c>
      <c r="G29" s="162" t="str">
        <f>IF(AND($C29="",$C28&lt;&gt;""),"Tổng Cộng",IFERROR(VLOOKUP($A29,Sheet1!$A$1:$D$98,4,0),""))</f>
        <v/>
      </c>
      <c r="H29" s="153" t="str">
        <f>IF($C28=MAX($C$8:$C$56),SUM($H$8:$H28),IFERROR($G29*$F29,""))</f>
        <v/>
      </c>
      <c r="I29" s="55" t="str">
        <f t="shared" si="2"/>
        <v/>
      </c>
      <c r="L29" s="31"/>
    </row>
    <row r="30" spans="1:12" s="29" customFormat="1" ht="14.25" customHeight="1" x14ac:dyDescent="0.25">
      <c r="A30" s="155" t="s">
        <v>301</v>
      </c>
      <c r="B30" s="155"/>
      <c r="C30" s="30" t="str">
        <f t="shared" si="0"/>
        <v/>
      </c>
      <c r="D30" s="152" t="str">
        <f>IFERROR(VLOOKUP($A30,Sheet1!$A$1:$B$98,2,0),"")</f>
        <v/>
      </c>
      <c r="E30" s="30" t="str">
        <f>IFERROR(VLOOKUP($A30,'Tổng Đơn'!$A$5:$E$75,5,0),"")</f>
        <v/>
      </c>
      <c r="F30" s="30" t="str">
        <f t="shared" si="1"/>
        <v/>
      </c>
      <c r="G30" s="162" t="str">
        <f>IF(AND($C30="",$C29&lt;&gt;""),"Tổng Cộng",IFERROR(VLOOKUP($A30,Sheet1!$A$1:$D$98,4,0),""))</f>
        <v/>
      </c>
      <c r="H30" s="153" t="str">
        <f>IF($C29=MAX($C$8:$C$56),SUM($H$8:$H29),IFERROR($G30*$F30,""))</f>
        <v/>
      </c>
      <c r="I30" s="55" t="str">
        <f t="shared" si="2"/>
        <v/>
      </c>
      <c r="L30" s="31"/>
    </row>
    <row r="31" spans="1:12" s="29" customFormat="1" ht="14.25" customHeight="1" x14ac:dyDescent="0.25">
      <c r="A31" s="155" t="s">
        <v>301</v>
      </c>
      <c r="B31" s="155"/>
      <c r="C31" s="30" t="str">
        <f t="shared" si="0"/>
        <v/>
      </c>
      <c r="D31" s="152" t="str">
        <f>IFERROR(VLOOKUP($A31,Sheet1!$A$1:$B$98,2,0),"")</f>
        <v/>
      </c>
      <c r="E31" s="30" t="str">
        <f>IFERROR(VLOOKUP($A31,'Tổng Đơn'!$A$5:$E$75,5,0),"")</f>
        <v/>
      </c>
      <c r="F31" s="30" t="str">
        <f t="shared" si="1"/>
        <v/>
      </c>
      <c r="G31" s="162" t="str">
        <f>IF(AND($C31="",$C30&lt;&gt;""),"Tổng Cộng",IFERROR(VLOOKUP($A31,Sheet1!$A$1:$D$98,4,0),""))</f>
        <v/>
      </c>
      <c r="H31" s="153" t="str">
        <f>IF($C30=MAX($C$8:$C$56),SUM($H$8:$H30),IFERROR($G31*$F31,""))</f>
        <v/>
      </c>
      <c r="I31" s="55" t="str">
        <f t="shared" si="2"/>
        <v/>
      </c>
      <c r="L31" s="31"/>
    </row>
    <row r="32" spans="1:12" s="29" customFormat="1" ht="14.25" customHeight="1" x14ac:dyDescent="0.25">
      <c r="A32" s="155" t="s">
        <v>301</v>
      </c>
      <c r="B32" s="155"/>
      <c r="C32" s="30" t="str">
        <f t="shared" si="0"/>
        <v/>
      </c>
      <c r="D32" s="152" t="str">
        <f>IFERROR(VLOOKUP($A32,Sheet1!$A$1:$B$98,2,0),"")</f>
        <v/>
      </c>
      <c r="E32" s="30" t="str">
        <f>IFERROR(VLOOKUP($A32,'Tổng Đơn'!$A$5:$E$75,5,0),"")</f>
        <v/>
      </c>
      <c r="F32" s="30" t="str">
        <f t="shared" si="1"/>
        <v/>
      </c>
      <c r="G32" s="162" t="str">
        <f>IF(AND($C32="",$C31&lt;&gt;""),"Tổng Cộng",IFERROR(VLOOKUP($A32,Sheet1!$A$1:$D$98,4,0),""))</f>
        <v/>
      </c>
      <c r="H32" s="153" t="str">
        <f>IF($C31=MAX($C$8:$C$56),SUM($H$8:$H31),IFERROR($G32*$F32,""))</f>
        <v/>
      </c>
      <c r="I32" s="55" t="str">
        <f t="shared" si="2"/>
        <v/>
      </c>
      <c r="L32" s="31"/>
    </row>
    <row r="33" spans="1:12" s="29" customFormat="1" ht="14.25" customHeight="1" x14ac:dyDescent="0.25">
      <c r="A33" s="155" t="s">
        <v>301</v>
      </c>
      <c r="B33" s="155"/>
      <c r="C33" s="30" t="str">
        <f t="shared" si="0"/>
        <v/>
      </c>
      <c r="D33" s="152" t="str">
        <f>IFERROR(VLOOKUP($A33,Sheet1!$A$1:$B$98,2,0),"")</f>
        <v/>
      </c>
      <c r="E33" s="30" t="str">
        <f>IFERROR(VLOOKUP($A33,'Tổng Đơn'!$A$5:$E$75,5,0),"")</f>
        <v/>
      </c>
      <c r="F33" s="30" t="str">
        <f t="shared" si="1"/>
        <v/>
      </c>
      <c r="G33" s="162" t="str">
        <f>IF(AND($C33="",$C32&lt;&gt;""),"Tổng Cộng",IFERROR(VLOOKUP($A33,Sheet1!$A$1:$D$98,4,0),""))</f>
        <v/>
      </c>
      <c r="H33" s="153" t="str">
        <f>IF($C32=MAX($C$8:$C$56),SUM($H$8:$H32),IFERROR($G33*$F33,""))</f>
        <v/>
      </c>
      <c r="I33" s="55" t="str">
        <f t="shared" si="2"/>
        <v/>
      </c>
      <c r="L33" s="31"/>
    </row>
    <row r="34" spans="1:12" s="29" customFormat="1" ht="14.25" customHeight="1" x14ac:dyDescent="0.25">
      <c r="A34" s="155" t="s">
        <v>301</v>
      </c>
      <c r="B34" s="155"/>
      <c r="C34" s="30" t="str">
        <f t="shared" si="0"/>
        <v/>
      </c>
      <c r="D34" s="152" t="str">
        <f>IFERROR(VLOOKUP($A34,Sheet1!$A$1:$B$98,2,0),"")</f>
        <v/>
      </c>
      <c r="E34" s="30" t="str">
        <f>IFERROR(VLOOKUP($A34,'Tổng Đơn'!$A$5:$E$75,5,0),"")</f>
        <v/>
      </c>
      <c r="F34" s="30" t="str">
        <f t="shared" si="1"/>
        <v/>
      </c>
      <c r="G34" s="162" t="str">
        <f>IF(AND($C34="",$C33&lt;&gt;""),"Tổng Cộng",IFERROR(VLOOKUP($A34,Sheet1!$A$1:$D$98,4,0),""))</f>
        <v/>
      </c>
      <c r="H34" s="153" t="str">
        <f>IF($C33=MAX($C$8:$C$56),SUM($H$8:$H33),IFERROR($G34*$F34,""))</f>
        <v/>
      </c>
      <c r="I34" s="55" t="str">
        <f t="shared" si="2"/>
        <v/>
      </c>
      <c r="L34" s="31"/>
    </row>
    <row r="35" spans="1:12" s="29" customFormat="1" ht="14.25" customHeight="1" x14ac:dyDescent="0.25">
      <c r="A35" s="155" t="s">
        <v>301</v>
      </c>
      <c r="B35" s="155"/>
      <c r="C35" s="30" t="str">
        <f t="shared" si="0"/>
        <v/>
      </c>
      <c r="D35" s="152" t="str">
        <f>IFERROR(VLOOKUP($A35,Sheet1!$A$1:$B$98,2,0),"")</f>
        <v/>
      </c>
      <c r="E35" s="30" t="str">
        <f>IFERROR(VLOOKUP($A35,'Tổng Đơn'!$A$5:$E$75,5,0),"")</f>
        <v/>
      </c>
      <c r="F35" s="30" t="str">
        <f t="shared" si="1"/>
        <v/>
      </c>
      <c r="G35" s="162" t="str">
        <f>IF(AND($C35="",$C34&lt;&gt;""),"Tổng Cộng",IFERROR(VLOOKUP($A35,Sheet1!$A$1:$D$98,4,0),""))</f>
        <v/>
      </c>
      <c r="H35" s="153" t="str">
        <f>IF($C34=MAX($C$8:$C$56),SUM($H$8:$H34),IFERROR($G35*$F35,""))</f>
        <v/>
      </c>
      <c r="I35" s="55" t="str">
        <f t="shared" si="2"/>
        <v/>
      </c>
      <c r="L35" s="31"/>
    </row>
    <row r="36" spans="1:12" s="29" customFormat="1" ht="14.25" customHeight="1" x14ac:dyDescent="0.25">
      <c r="A36" s="155" t="s">
        <v>301</v>
      </c>
      <c r="B36" s="155"/>
      <c r="C36" s="30" t="str">
        <f t="shared" si="0"/>
        <v/>
      </c>
      <c r="D36" s="152" t="str">
        <f>IFERROR(VLOOKUP($A36,Sheet1!$A$1:$B$98,2,0),"")</f>
        <v/>
      </c>
      <c r="E36" s="30" t="str">
        <f>IFERROR(VLOOKUP($A36,'Tổng Đơn'!$A$5:$E$75,5,0),"")</f>
        <v/>
      </c>
      <c r="F36" s="30" t="str">
        <f t="shared" si="1"/>
        <v/>
      </c>
      <c r="G36" s="162" t="str">
        <f>IF(AND($C36="",$C35&lt;&gt;""),"Tổng Cộng",IFERROR(VLOOKUP($A36,Sheet1!$A$1:$D$98,4,0),""))</f>
        <v/>
      </c>
      <c r="H36" s="153" t="str">
        <f>IF($C35=MAX($C$8:$C$56),SUM($H$8:$H35),IFERROR($G36*$F36,""))</f>
        <v/>
      </c>
      <c r="I36" s="55" t="str">
        <f t="shared" si="2"/>
        <v/>
      </c>
      <c r="L36" s="31"/>
    </row>
    <row r="37" spans="1:12" s="29" customFormat="1" ht="14.25" customHeight="1" x14ac:dyDescent="0.25">
      <c r="A37" s="155" t="s">
        <v>301</v>
      </c>
      <c r="B37" s="155"/>
      <c r="C37" s="30" t="str">
        <f t="shared" si="0"/>
        <v/>
      </c>
      <c r="D37" s="152" t="str">
        <f>IFERROR(VLOOKUP($A37,Sheet1!$A$1:$B$98,2,0),"")</f>
        <v/>
      </c>
      <c r="E37" s="30" t="str">
        <f>IFERROR(VLOOKUP($A37,'Tổng Đơn'!$A$5:$E$75,5,0),"")</f>
        <v/>
      </c>
      <c r="F37" s="30" t="str">
        <f t="shared" si="1"/>
        <v/>
      </c>
      <c r="G37" s="162"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3"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219" priority="20">
      <formula>$C22=MAX($C$8:$C$37)</formula>
    </cfRule>
  </conditionalFormatting>
  <conditionalFormatting sqref="C23:C37">
    <cfRule type="expression" dxfId="218" priority="19">
      <formula>$C22=MAX($C$8:$C$37)</formula>
    </cfRule>
  </conditionalFormatting>
  <conditionalFormatting sqref="E23:E38">
    <cfRule type="expression" dxfId="217" priority="21">
      <formula>AND($A23="",$F23&lt;&gt;"")</formula>
    </cfRule>
  </conditionalFormatting>
  <conditionalFormatting sqref="F23:F38">
    <cfRule type="expression" dxfId="216" priority="22">
      <formula>AND($F23="",$A23&lt;&gt;"")</formula>
    </cfRule>
  </conditionalFormatting>
  <conditionalFormatting sqref="D20:H22">
    <cfRule type="expression" dxfId="215" priority="16">
      <formula>$C19=MAX($C$8:$C$37)</formula>
    </cfRule>
  </conditionalFormatting>
  <conditionalFormatting sqref="C20:C22">
    <cfRule type="expression" dxfId="214" priority="15">
      <formula>$C19=MAX($C$8:$C$37)</formula>
    </cfRule>
  </conditionalFormatting>
  <conditionalFormatting sqref="E20:E22">
    <cfRule type="expression" dxfId="213" priority="17">
      <formula>AND($A20="",$F20&lt;&gt;"")</formula>
    </cfRule>
  </conditionalFormatting>
  <conditionalFormatting sqref="F20:F22">
    <cfRule type="expression" dxfId="212" priority="18">
      <formula>AND($F20="",$A20&lt;&gt;"")</formula>
    </cfRule>
  </conditionalFormatting>
  <conditionalFormatting sqref="D17:H19">
    <cfRule type="expression" dxfId="211" priority="12">
      <formula>$C16=MAX($C$8:$C$37)</formula>
    </cfRule>
  </conditionalFormatting>
  <conditionalFormatting sqref="C17:C19">
    <cfRule type="expression" dxfId="210" priority="11">
      <formula>$C16=MAX($C$8:$C$37)</formula>
    </cfRule>
  </conditionalFormatting>
  <conditionalFormatting sqref="E17:E19">
    <cfRule type="expression" dxfId="209" priority="13">
      <formula>AND($A17="",$F17&lt;&gt;"")</formula>
    </cfRule>
  </conditionalFormatting>
  <conditionalFormatting sqref="F17:F19">
    <cfRule type="expression" dxfId="208" priority="14">
      <formula>AND($F17="",$A17&lt;&gt;"")</formula>
    </cfRule>
  </conditionalFormatting>
  <conditionalFormatting sqref="D15:H16 D9:G14">
    <cfRule type="expression" dxfId="207" priority="8">
      <formula>$C8=MAX($C$8:$C$37)</formula>
    </cfRule>
  </conditionalFormatting>
  <conditionalFormatting sqref="C9:C16">
    <cfRule type="expression" dxfId="206" priority="7">
      <formula>$C8=MAX($C$8:$C$37)</formula>
    </cfRule>
  </conditionalFormatting>
  <conditionalFormatting sqref="E9:E16">
    <cfRule type="expression" dxfId="205" priority="9">
      <formula>AND($A9="",$F9&lt;&gt;"")</formula>
    </cfRule>
  </conditionalFormatting>
  <conditionalFormatting sqref="F9:F16">
    <cfRule type="expression" dxfId="204" priority="10">
      <formula>AND($F9="",$A9&lt;&gt;"")</formula>
    </cfRule>
  </conditionalFormatting>
  <conditionalFormatting sqref="D8:G8">
    <cfRule type="expression" dxfId="203" priority="4">
      <formula>$C7=MAX($C$8:$C$37)</formula>
    </cfRule>
  </conditionalFormatting>
  <conditionalFormatting sqref="C8">
    <cfRule type="expression" dxfId="202" priority="3">
      <formula>$C7=MAX($C$8:$C$37)</formula>
    </cfRule>
  </conditionalFormatting>
  <conditionalFormatting sqref="E8">
    <cfRule type="expression" dxfId="201" priority="5">
      <formula>AND($A8="",$F8&lt;&gt;"")</formula>
    </cfRule>
  </conditionalFormatting>
  <conditionalFormatting sqref="F8">
    <cfRule type="expression" dxfId="200" priority="6">
      <formula>AND($F8="",$A8&lt;&gt;"")</formula>
    </cfRule>
  </conditionalFormatting>
  <conditionalFormatting sqref="H9:H14">
    <cfRule type="expression" dxfId="199" priority="2">
      <formula>$C8=MAX($C$8:$C$37)</formula>
    </cfRule>
  </conditionalFormatting>
  <conditionalFormatting sqref="H8">
    <cfRule type="expression" dxfId="198"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45408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4" t="s">
        <v>188</v>
      </c>
      <c r="D1" s="264"/>
      <c r="E1" s="264"/>
      <c r="F1" s="264"/>
      <c r="G1" s="264"/>
      <c r="H1" s="264"/>
    </row>
    <row r="2" spans="1:14" ht="15.75" customHeight="1" x14ac:dyDescent="0.25">
      <c r="C2" s="264"/>
      <c r="D2" s="264"/>
      <c r="E2" s="264"/>
      <c r="F2" s="264"/>
      <c r="G2" s="264"/>
      <c r="H2" s="264"/>
    </row>
    <row r="3" spans="1:14" ht="15" customHeight="1" x14ac:dyDescent="0.25">
      <c r="C3" s="265" t="s">
        <v>190</v>
      </c>
      <c r="D3" s="265"/>
      <c r="E3" s="265"/>
      <c r="F3" s="266" t="s">
        <v>192</v>
      </c>
      <c r="G3" s="266"/>
      <c r="H3" s="266"/>
    </row>
    <row r="4" spans="1:14" x14ac:dyDescent="0.25">
      <c r="C4" s="267" t="s">
        <v>191</v>
      </c>
      <c r="D4" s="267"/>
      <c r="E4" s="267"/>
      <c r="F4" s="268" t="s">
        <v>193</v>
      </c>
      <c r="G4" s="268"/>
      <c r="H4" s="268"/>
    </row>
    <row r="5" spans="1:14" s="145" customFormat="1" ht="21" customHeight="1" x14ac:dyDescent="0.25">
      <c r="C5" s="269" t="s">
        <v>189</v>
      </c>
      <c r="D5" s="269"/>
      <c r="E5" s="269"/>
      <c r="F5" s="269"/>
      <c r="G5" s="269"/>
      <c r="H5" s="269"/>
    </row>
    <row r="6" spans="1:14" s="145" customFormat="1" ht="17.25" customHeight="1" x14ac:dyDescent="0.25">
      <c r="C6" s="154" t="s">
        <v>194</v>
      </c>
      <c r="D6" s="158" t="s">
        <v>330</v>
      </c>
      <c r="E6" s="150"/>
      <c r="F6" s="150"/>
      <c r="G6" s="263" t="str">
        <f ca="1">"Ngày "&amp;DAY(TODAY())&amp;" Tháng "&amp;MONTH(TODAY())&amp;" Năm "&amp;YEAR(TODAY())</f>
        <v>Ngày 29 Tháng 8 Năm 2022</v>
      </c>
      <c r="H6" s="263"/>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1.5</v>
      </c>
      <c r="L7" s="145"/>
    </row>
    <row r="8" spans="1:14" s="29" customFormat="1" ht="14.25" customHeight="1" x14ac:dyDescent="0.25">
      <c r="A8" s="155">
        <v>8</v>
      </c>
      <c r="B8" s="155">
        <v>1</v>
      </c>
      <c r="C8" s="30">
        <f t="shared" ref="C8:C37" si="0">IF(OR(SUM($C7,$A8&lt;&gt;"")=0,$A8=""),"",SUM($C7,$A8&lt;&gt;""))</f>
        <v>1</v>
      </c>
      <c r="D8" s="152" t="str">
        <f>IFERROR(VLOOKUP($A8,Sheet1!$A$1:$B$98,2,0),"")</f>
        <v>Hải sản sốt cam LC</v>
      </c>
      <c r="E8" s="30">
        <f>IFERROR(VLOOKUP($A8,'Tổng Đơn'!$A$5:$E$75,5,0),"")</f>
        <v>0.5</v>
      </c>
      <c r="F8" s="30">
        <f t="shared" ref="F8:F37" si="1">IF($B8="","",B8)</f>
        <v>1</v>
      </c>
      <c r="G8" s="162">
        <f>IFERROR(VLOOKUP($A8,Sheet1!$A1:$D$98,4,0),"")</f>
        <v>45000</v>
      </c>
      <c r="H8" s="153">
        <f>IF($C7=MAX($C$8:$C$56),SUM($H7:$H$8),IFERROR($G8*$F8,""))</f>
        <v>45000</v>
      </c>
      <c r="I8" s="55">
        <f t="shared" ref="I8:I37" si="2">IF(TYPE($A8)&lt;&gt;1,"",IFERROR(F8*E8,""))</f>
        <v>0.5</v>
      </c>
      <c r="L8" s="32"/>
    </row>
    <row r="9" spans="1:14" s="29" customFormat="1" ht="14.25" customHeight="1" x14ac:dyDescent="0.25">
      <c r="A9" s="155">
        <v>57</v>
      </c>
      <c r="B9" s="155">
        <v>2</v>
      </c>
      <c r="C9" s="30">
        <f t="shared" si="0"/>
        <v>2</v>
      </c>
      <c r="D9" s="152" t="str">
        <f>IFERROR(VLOOKUP($A9,Sheet1!$A$1:$B$98,2,0),"")</f>
        <v>Cá viên KK</v>
      </c>
      <c r="E9" s="30">
        <f>IFERROR(VLOOKUP($A9,'Tổng Đơn'!$A$5:$E$76,5,0),"")</f>
        <v>0.5</v>
      </c>
      <c r="F9" s="30">
        <f t="shared" si="1"/>
        <v>2</v>
      </c>
      <c r="G9" s="162">
        <f>IF(AND($C9="",$C8&lt;&gt;""),"Tổng Cộng",IFERROR(VLOOKUP($A9,Sheet1!$A$1:$D$98,4,0),""))</f>
        <v>25000</v>
      </c>
      <c r="H9" s="153">
        <f>IF($C8=MAX($C$8:$C$56),SUM($H$8:$H8),IFERROR($G9*$F9,""))</f>
        <v>50000</v>
      </c>
      <c r="I9" s="55">
        <f t="shared" si="2"/>
        <v>1</v>
      </c>
      <c r="L9" s="31"/>
    </row>
    <row r="10" spans="1:14" s="29" customFormat="1" ht="14.25" customHeight="1" x14ac:dyDescent="0.25">
      <c r="A10" s="155" t="s">
        <v>301</v>
      </c>
      <c r="B10" s="155"/>
      <c r="C10" s="30" t="str">
        <f t="shared" si="0"/>
        <v/>
      </c>
      <c r="D10" s="152" t="str">
        <f>IFERROR(VLOOKUP($A10,Sheet1!$A$1:$B$98,2,0),"")</f>
        <v/>
      </c>
      <c r="E10" s="30" t="str">
        <f>IFERROR(VLOOKUP($A10,'Tổng Đơn'!$A$5:$E$76,5,0),"")</f>
        <v/>
      </c>
      <c r="F10" s="30" t="str">
        <f t="shared" si="1"/>
        <v/>
      </c>
      <c r="G10" s="162" t="str">
        <f>IF(AND($C10="",$C9&lt;&gt;""),"Tổng Cộng",IFERROR(VLOOKUP($A10,Sheet1!$A$1:$D$98,4,0),""))</f>
        <v>Tổng Cộng</v>
      </c>
      <c r="H10" s="153">
        <f>IF($C9=MAX($C$8:$C$56),SUM($H$8:$H9),IFERROR($G10*$F10,""))</f>
        <v>95000</v>
      </c>
      <c r="I10" s="55" t="str">
        <f t="shared" si="2"/>
        <v/>
      </c>
      <c r="L10" s="31"/>
    </row>
    <row r="11" spans="1:14" s="29" customFormat="1" ht="14.25" customHeight="1" x14ac:dyDescent="0.25">
      <c r="A11" s="155" t="s">
        <v>301</v>
      </c>
      <c r="B11" s="155"/>
      <c r="C11" s="30" t="str">
        <f t="shared" si="0"/>
        <v/>
      </c>
      <c r="D11" s="152" t="str">
        <f>IFERROR(VLOOKUP($A11,Sheet1!$A$1:$B$98,2,0),"")</f>
        <v/>
      </c>
      <c r="E11" s="30" t="str">
        <f>IFERROR(VLOOKUP($A11,'Tổng Đơn'!$A$5:$E$76,5,0),"")</f>
        <v/>
      </c>
      <c r="F11" s="30" t="str">
        <f t="shared" si="1"/>
        <v/>
      </c>
      <c r="G11" s="162" t="str">
        <f>IF(AND($C11="",$C10&lt;&gt;""),"Tổng Cộng",IFERROR(VLOOKUP($A11,Sheet1!$A$1:$D$98,4,0),""))</f>
        <v/>
      </c>
      <c r="H11" s="153" t="str">
        <f>IF($C10=MAX($C$8:$C$56),SUM($H$8:$H10),IFERROR($G11*$F11,""))</f>
        <v/>
      </c>
      <c r="I11" s="55" t="str">
        <f t="shared" si="2"/>
        <v/>
      </c>
      <c r="L11" s="31"/>
    </row>
    <row r="12" spans="1:14" s="29" customFormat="1" ht="14.25" customHeight="1" x14ac:dyDescent="0.25">
      <c r="A12" s="155" t="s">
        <v>301</v>
      </c>
      <c r="B12" s="155"/>
      <c r="C12" s="30" t="str">
        <f t="shared" si="0"/>
        <v/>
      </c>
      <c r="D12" s="152" t="str">
        <f>IFERROR(VLOOKUP($A12,Sheet1!$A$1:$B$98,2,0),"")</f>
        <v/>
      </c>
      <c r="E12" s="30" t="str">
        <f>IFERROR(VLOOKUP($A12,'Tổng Đơn'!$A$5:$E$76,5,0),"")</f>
        <v/>
      </c>
      <c r="F12" s="30" t="str">
        <f t="shared" si="1"/>
        <v/>
      </c>
      <c r="G12" s="162"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301</v>
      </c>
      <c r="B13" s="155"/>
      <c r="C13" s="30" t="str">
        <f t="shared" si="0"/>
        <v/>
      </c>
      <c r="D13" s="152" t="str">
        <f>IFERROR(VLOOKUP($A13,Sheet1!$A$1:$B$98,2,0),"")</f>
        <v/>
      </c>
      <c r="E13" s="30" t="str">
        <f>IFERROR(VLOOKUP($A13,'Tổng Đơn'!$A$5:$E$76,5,0),"")</f>
        <v/>
      </c>
      <c r="F13" s="30" t="str">
        <f t="shared" si="1"/>
        <v/>
      </c>
      <c r="G13" s="162" t="str">
        <f>IF(AND($C13="",$C12&lt;&gt;""),"Tổng Cộng",IFERROR(VLOOKUP($A13,Sheet1!$A$1:$D$98,4,0),""))</f>
        <v/>
      </c>
      <c r="H13" s="153" t="str">
        <f>IF($C12=MAX($C$8:$C$56),SUM($H$8:$H12),IFERROR($G13*$F13,""))</f>
        <v/>
      </c>
      <c r="I13" s="55" t="str">
        <f t="shared" si="2"/>
        <v/>
      </c>
      <c r="L13" s="31"/>
    </row>
    <row r="14" spans="1:14" s="29" customFormat="1" ht="14.25" customHeight="1" x14ac:dyDescent="0.25">
      <c r="A14" s="155" t="s">
        <v>301</v>
      </c>
      <c r="B14" s="155"/>
      <c r="C14" s="30" t="str">
        <f t="shared" si="0"/>
        <v/>
      </c>
      <c r="D14" s="152" t="str">
        <f>IFERROR(VLOOKUP($A14,Sheet1!$A$1:$B$98,2,0),"")</f>
        <v/>
      </c>
      <c r="E14" s="30" t="str">
        <f>IFERROR(VLOOKUP($A14,'Tổng Đơn'!$A$5:$E$76,5,0),"")</f>
        <v/>
      </c>
      <c r="F14" s="30" t="str">
        <f t="shared" si="1"/>
        <v/>
      </c>
      <c r="G14" s="162"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301</v>
      </c>
      <c r="B15" s="155"/>
      <c r="C15" s="30" t="str">
        <f t="shared" si="0"/>
        <v/>
      </c>
      <c r="D15" s="152" t="str">
        <f>IFERROR(VLOOKUP($A15,Sheet1!$A$1:$B$98,2,0),"")</f>
        <v/>
      </c>
      <c r="E15" s="30" t="str">
        <f>IFERROR(VLOOKUP($A15,'Tổng Đơn'!$A$5:$E$75,5,0),"")</f>
        <v/>
      </c>
      <c r="F15" s="30" t="str">
        <f t="shared" si="1"/>
        <v/>
      </c>
      <c r="G15" s="162" t="str">
        <f>IF(AND($C15="",$C14&lt;&gt;""),"Tổng Cộng",IFERROR(VLOOKUP($A15,Sheet1!$A$1:$D$98,4,0),""))</f>
        <v/>
      </c>
      <c r="H15" s="153" t="str">
        <f>IF($C14=MAX($C$8:$C$56),SUM($H$8:$H14),IFERROR($G15*$F15,""))</f>
        <v/>
      </c>
      <c r="I15" s="55" t="str">
        <f t="shared" si="2"/>
        <v/>
      </c>
      <c r="L15" s="31"/>
    </row>
    <row r="16" spans="1:14" s="29" customFormat="1" ht="14.25" customHeight="1" x14ac:dyDescent="0.25">
      <c r="A16" s="155" t="s">
        <v>301</v>
      </c>
      <c r="B16" s="155"/>
      <c r="C16" s="30" t="str">
        <f t="shared" si="0"/>
        <v/>
      </c>
      <c r="D16" s="152" t="str">
        <f>IFERROR(VLOOKUP($A16,Sheet1!$A$1:$B$98,2,0),"")</f>
        <v/>
      </c>
      <c r="E16" s="30" t="str">
        <f>IFERROR(VLOOKUP($A16,'Tổng Đơn'!$A$5:$E$75,5,0),"")</f>
        <v/>
      </c>
      <c r="F16" s="30" t="str">
        <f t="shared" si="1"/>
        <v/>
      </c>
      <c r="G16" s="162" t="str">
        <f>IF(AND($C16="",$C15&lt;&gt;""),"Tổng Cộng",IFERROR(VLOOKUP($A16,Sheet1!$A$1:$D$98,4,0),""))</f>
        <v/>
      </c>
      <c r="H16" s="153" t="str">
        <f>IF($C15=MAX($C$8:$C$56),SUM($H$8:$H15),IFERROR($G16*$F16,""))</f>
        <v/>
      </c>
      <c r="I16" s="55" t="str">
        <f t="shared" si="2"/>
        <v/>
      </c>
      <c r="L16" s="31"/>
    </row>
    <row r="17" spans="1:12" s="29" customFormat="1" ht="14.25" customHeight="1" x14ac:dyDescent="0.25">
      <c r="A17" s="155" t="s">
        <v>301</v>
      </c>
      <c r="B17" s="155"/>
      <c r="C17" s="30" t="str">
        <f t="shared" si="0"/>
        <v/>
      </c>
      <c r="D17" s="161" t="str">
        <f>IFERROR(VLOOKUP($A17,Sheet1!$A$1:$B$98,2,0),"")</f>
        <v/>
      </c>
      <c r="E17" s="30" t="str">
        <f>IFERROR(VLOOKUP($A17,'Tổng Đơn'!$A$5:$E$75,5,0),"")</f>
        <v/>
      </c>
      <c r="F17" s="30" t="str">
        <f t="shared" si="1"/>
        <v/>
      </c>
      <c r="G17" s="162" t="str">
        <f>IF(AND($C17="",$C16&lt;&gt;""),"Tổng Cộng",IFERROR(VLOOKUP($A17,Sheet1!$A$1:$D$98,4,0),""))</f>
        <v/>
      </c>
      <c r="H17" s="153" t="str">
        <f>IF($C16=MAX($C$8:$C$56),SUM($H$8:$H16),IFERROR($G17*$F17,""))</f>
        <v/>
      </c>
      <c r="I17" s="55" t="str">
        <f t="shared" si="2"/>
        <v/>
      </c>
      <c r="L17" s="31"/>
    </row>
    <row r="18" spans="1:12" s="29" customFormat="1" ht="14.25" customHeight="1" x14ac:dyDescent="0.25">
      <c r="A18" s="155" t="s">
        <v>301</v>
      </c>
      <c r="B18" s="155"/>
      <c r="C18" s="30" t="str">
        <f t="shared" si="0"/>
        <v/>
      </c>
      <c r="D18" s="161" t="str">
        <f>IFERROR(VLOOKUP($A18,Sheet1!$A$1:$B$98,2,0),"")</f>
        <v/>
      </c>
      <c r="E18" s="30" t="str">
        <f>IFERROR(VLOOKUP($A18,'Tổng Đơn'!$A$5:$E$75,5,0),"")</f>
        <v/>
      </c>
      <c r="F18" s="30" t="str">
        <f t="shared" si="1"/>
        <v/>
      </c>
      <c r="G18" s="162" t="str">
        <f>IF(AND($C18="",$C17&lt;&gt;""),"Tổng Cộng",IFERROR(VLOOKUP($A18,Sheet1!$A$1:$D$98,4,0),""))</f>
        <v/>
      </c>
      <c r="H18" s="153" t="str">
        <f>IF($C17=MAX($C$8:$C$56),SUM($H$8:$H17),IFERROR($G18*$F18,""))</f>
        <v/>
      </c>
      <c r="I18" s="55" t="str">
        <f t="shared" si="2"/>
        <v/>
      </c>
      <c r="L18" s="31"/>
    </row>
    <row r="19" spans="1:12" s="29" customFormat="1" ht="14.25" customHeight="1" x14ac:dyDescent="0.25">
      <c r="A19" s="155" t="s">
        <v>301</v>
      </c>
      <c r="B19" s="155"/>
      <c r="C19" s="30" t="str">
        <f t="shared" si="0"/>
        <v/>
      </c>
      <c r="D19" s="161" t="str">
        <f>IFERROR(VLOOKUP($A19,Sheet1!$A$1:$B$98,2,0),"")</f>
        <v/>
      </c>
      <c r="E19" s="30" t="str">
        <f>IFERROR(VLOOKUP($A19,'Tổng Đơn'!$A$5:$E$75,5,0),"")</f>
        <v/>
      </c>
      <c r="F19" s="30" t="str">
        <f t="shared" si="1"/>
        <v/>
      </c>
      <c r="G19" s="162" t="str">
        <f>IF(AND($C19="",$C18&lt;&gt;""),"Tổng Cộng",IFERROR(VLOOKUP($A19,Sheet1!$A$1:$D$98,4,0),""))</f>
        <v/>
      </c>
      <c r="H19" s="153" t="str">
        <f>IF($C18=MAX($C$8:$C$56),SUM($H$8:$H18),IFERROR($G19*$F19,""))</f>
        <v/>
      </c>
      <c r="I19" s="55" t="str">
        <f t="shared" si="2"/>
        <v/>
      </c>
      <c r="L19" s="31"/>
    </row>
    <row r="20" spans="1:12" s="29" customFormat="1" ht="14.25" customHeight="1" x14ac:dyDescent="0.25">
      <c r="A20" s="155" t="s">
        <v>301</v>
      </c>
      <c r="B20" s="155"/>
      <c r="C20" s="30" t="str">
        <f t="shared" si="0"/>
        <v/>
      </c>
      <c r="D20" s="161" t="str">
        <f>IFERROR(VLOOKUP($A20,Sheet1!$A$1:$B$98,2,0),"")</f>
        <v/>
      </c>
      <c r="E20" s="30" t="str">
        <f>IFERROR(VLOOKUP($A20,'Tổng Đơn'!$A$5:$E$75,5,0),"")</f>
        <v/>
      </c>
      <c r="F20" s="30" t="str">
        <f t="shared" si="1"/>
        <v/>
      </c>
      <c r="G20" s="162" t="str">
        <f>IF(AND($C20="",$C19&lt;&gt;""),"Tổng Cộng",IFERROR(VLOOKUP($A20,Sheet1!$A$1:$D$98,4,0),""))</f>
        <v/>
      </c>
      <c r="H20" s="153" t="str">
        <f>IF($C19=MAX($C$8:$C$56),SUM($H$8:$H19),IFERROR($G20*$F20,""))</f>
        <v/>
      </c>
      <c r="I20" s="55" t="str">
        <f t="shared" si="2"/>
        <v/>
      </c>
      <c r="L20" s="31"/>
    </row>
    <row r="21" spans="1:12" s="29" customFormat="1" ht="14.25" customHeight="1" x14ac:dyDescent="0.25">
      <c r="A21" s="155" t="s">
        <v>301</v>
      </c>
      <c r="B21" s="155"/>
      <c r="C21" s="30" t="str">
        <f t="shared" si="0"/>
        <v/>
      </c>
      <c r="D21" s="161" t="str">
        <f>IFERROR(VLOOKUP($A21,Sheet1!$A$1:$B$98,2,0),"")</f>
        <v/>
      </c>
      <c r="E21" s="30" t="str">
        <f>IFERROR(VLOOKUP($A21,'Tổng Đơn'!$A$5:$E$75,5,0),"")</f>
        <v/>
      </c>
      <c r="F21" s="30" t="str">
        <f t="shared" si="1"/>
        <v/>
      </c>
      <c r="G21" s="162" t="str">
        <f>IF(AND($C21="",$C20&lt;&gt;""),"Tổng Cộng",IFERROR(VLOOKUP($A21,Sheet1!$A$1:$D$98,4,0),""))</f>
        <v/>
      </c>
      <c r="H21" s="153" t="str">
        <f>IF($C20=MAX($C$8:$C$56),SUM($H$8:$H20),IFERROR($G21*$F21,""))</f>
        <v/>
      </c>
      <c r="I21" s="55" t="str">
        <f t="shared" si="2"/>
        <v/>
      </c>
      <c r="L21" s="31"/>
    </row>
    <row r="22" spans="1:12" s="29" customFormat="1" ht="14.25" customHeight="1" x14ac:dyDescent="0.25">
      <c r="A22" s="155" t="s">
        <v>301</v>
      </c>
      <c r="B22" s="155"/>
      <c r="C22" s="30" t="str">
        <f t="shared" si="0"/>
        <v/>
      </c>
      <c r="D22" s="152" t="str">
        <f>IFERROR(VLOOKUP($A22,Sheet1!$A$1:$B$98,2,0),"")</f>
        <v/>
      </c>
      <c r="E22" s="30" t="str">
        <f>IFERROR(VLOOKUP($A22,'Tổng Đơn'!$A$5:$E$75,5,0),"")</f>
        <v/>
      </c>
      <c r="F22" s="30" t="str">
        <f t="shared" si="1"/>
        <v/>
      </c>
      <c r="G22" s="162" t="str">
        <f>IF(AND($C22="",$C21&lt;&gt;""),"Tổng Cộng",IFERROR(VLOOKUP($A22,Sheet1!$A$1:$D$98,4,0),""))</f>
        <v/>
      </c>
      <c r="H22" s="153" t="str">
        <f>IF($C21=MAX($C$8:$C$56),SUM($H$8:$H21),IFERROR($G22*$F22,""))</f>
        <v/>
      </c>
      <c r="I22" s="55" t="str">
        <f t="shared" si="2"/>
        <v/>
      </c>
      <c r="L22" s="31"/>
    </row>
    <row r="23" spans="1:12" s="29" customFormat="1" ht="14.25" customHeight="1" x14ac:dyDescent="0.25">
      <c r="A23" s="155" t="s">
        <v>301</v>
      </c>
      <c r="B23" s="155"/>
      <c r="C23" s="30" t="str">
        <f t="shared" si="0"/>
        <v/>
      </c>
      <c r="D23" s="152" t="str">
        <f>IFERROR(VLOOKUP($A23,Sheet1!$A$1:$B$98,2,0),"")</f>
        <v/>
      </c>
      <c r="E23" s="30" t="str">
        <f>IFERROR(VLOOKUP($A23,'Tổng Đơn'!$A$5:$E$75,5,0),"")</f>
        <v/>
      </c>
      <c r="F23" s="30" t="str">
        <f t="shared" si="1"/>
        <v/>
      </c>
      <c r="G23" s="162" t="str">
        <f>IF(AND($C23="",$C22&lt;&gt;""),"Tổng Cộng",IFERROR(VLOOKUP($A23,Sheet1!$A$1:$D$98,4,0),""))</f>
        <v/>
      </c>
      <c r="H23" s="153" t="str">
        <f>IF($C22=MAX($C$8:$C$56),SUM($H$8:$H22),IFERROR($G23*$F23,""))</f>
        <v/>
      </c>
      <c r="I23" s="55" t="str">
        <f t="shared" si="2"/>
        <v/>
      </c>
      <c r="L23" s="31"/>
    </row>
    <row r="24" spans="1:12" s="29" customFormat="1" ht="14.25" customHeight="1" x14ac:dyDescent="0.25">
      <c r="A24" s="155" t="s">
        <v>301</v>
      </c>
      <c r="B24" s="155"/>
      <c r="C24" s="30" t="str">
        <f t="shared" si="0"/>
        <v/>
      </c>
      <c r="D24" s="152" t="str">
        <f>IFERROR(VLOOKUP($A24,Sheet1!$A$1:$B$98,2,0),"")</f>
        <v/>
      </c>
      <c r="E24" s="30" t="str">
        <f>IFERROR(VLOOKUP($A24,'Tổng Đơn'!$A$5:$E$75,5,0),"")</f>
        <v/>
      </c>
      <c r="F24" s="30" t="str">
        <f t="shared" si="1"/>
        <v/>
      </c>
      <c r="G24" s="162" t="str">
        <f>IF(AND($C24="",$C23&lt;&gt;""),"Tổng Cộng",IFERROR(VLOOKUP($A24,Sheet1!$A$1:$D$98,4,0),""))</f>
        <v/>
      </c>
      <c r="H24" s="153" t="str">
        <f>IF($C23=MAX($C$8:$C$56),SUM($H$8:$H23),IFERROR($G24*$F24,""))</f>
        <v/>
      </c>
      <c r="I24" s="55" t="str">
        <f t="shared" si="2"/>
        <v/>
      </c>
      <c r="L24" s="31"/>
    </row>
    <row r="25" spans="1:12" s="29" customFormat="1" ht="14.25" customHeight="1" x14ac:dyDescent="0.25">
      <c r="A25" s="155" t="s">
        <v>301</v>
      </c>
      <c r="B25" s="155"/>
      <c r="C25" s="30" t="str">
        <f t="shared" si="0"/>
        <v/>
      </c>
      <c r="D25" s="152" t="str">
        <f>IFERROR(VLOOKUP($A25,Sheet1!$A$1:$B$98,2,0),"")</f>
        <v/>
      </c>
      <c r="E25" s="30" t="str">
        <f>IFERROR(VLOOKUP($A25,'Tổng Đơn'!$A$5:$E$75,5,0),"")</f>
        <v/>
      </c>
      <c r="F25" s="30" t="str">
        <f t="shared" si="1"/>
        <v/>
      </c>
      <c r="G25" s="162" t="str">
        <f>IF(AND($C25="",$C24&lt;&gt;""),"Tổng Cộng",IFERROR(VLOOKUP($A25,Sheet1!$A$1:$D$98,4,0),""))</f>
        <v/>
      </c>
      <c r="H25" s="153" t="str">
        <f>IF($C24=MAX($C$8:$C$56),SUM($H$8:$H24),IFERROR($G25*$F25,""))</f>
        <v/>
      </c>
      <c r="I25" s="55" t="str">
        <f t="shared" si="2"/>
        <v/>
      </c>
      <c r="L25" s="31"/>
    </row>
    <row r="26" spans="1:12" s="29" customFormat="1" ht="14.25" customHeight="1" x14ac:dyDescent="0.25">
      <c r="A26" s="155" t="s">
        <v>301</v>
      </c>
      <c r="B26" s="155"/>
      <c r="C26" s="30" t="str">
        <f t="shared" si="0"/>
        <v/>
      </c>
      <c r="D26" s="152" t="str">
        <f>IFERROR(VLOOKUP($A26,Sheet1!$A$1:$B$98,2,0),"")</f>
        <v/>
      </c>
      <c r="E26" s="30" t="str">
        <f>IFERROR(VLOOKUP($A26,'Tổng Đơn'!$A$5:$E$75,5,0),"")</f>
        <v/>
      </c>
      <c r="F26" s="30" t="str">
        <f t="shared" si="1"/>
        <v/>
      </c>
      <c r="G26" s="162" t="str">
        <f>IF(AND($C26="",$C25&lt;&gt;""),"Tổng Cộng",IFERROR(VLOOKUP($A26,Sheet1!$A$1:$D$98,4,0),""))</f>
        <v/>
      </c>
      <c r="H26" s="153" t="str">
        <f>IF($C25=MAX($C$8:$C$56),SUM($H$8:$H25),IFERROR($G26*$F26,""))</f>
        <v/>
      </c>
      <c r="I26" s="55" t="str">
        <f t="shared" si="2"/>
        <v/>
      </c>
      <c r="L26" s="31"/>
    </row>
    <row r="27" spans="1:12" s="29" customFormat="1" ht="14.25" customHeight="1" x14ac:dyDescent="0.25">
      <c r="A27" s="155" t="s">
        <v>301</v>
      </c>
      <c r="B27" s="155"/>
      <c r="C27" s="30" t="str">
        <f t="shared" si="0"/>
        <v/>
      </c>
      <c r="D27" s="152" t="str">
        <f>IFERROR(VLOOKUP($A27,Sheet1!$A$1:$B$98,2,0),"")</f>
        <v/>
      </c>
      <c r="E27" s="30" t="str">
        <f>IFERROR(VLOOKUP($A27,'Tổng Đơn'!$A$5:$E$75,5,0),"")</f>
        <v/>
      </c>
      <c r="F27" s="30" t="str">
        <f t="shared" si="1"/>
        <v/>
      </c>
      <c r="G27" s="162" t="str">
        <f>IF(AND($C27="",$C26&lt;&gt;""),"Tổng Cộng",IFERROR(VLOOKUP($A27,Sheet1!$A$1:$D$98,4,0),""))</f>
        <v/>
      </c>
      <c r="H27" s="153" t="str">
        <f>IF($C26=MAX($C$8:$C$56),SUM($H$8:$H26),IFERROR($G27*$F27,""))</f>
        <v/>
      </c>
      <c r="I27" s="55" t="str">
        <f t="shared" si="2"/>
        <v/>
      </c>
      <c r="L27" s="31"/>
    </row>
    <row r="28" spans="1:12" s="29" customFormat="1" ht="14.25" customHeight="1" x14ac:dyDescent="0.25">
      <c r="A28" s="155" t="s">
        <v>301</v>
      </c>
      <c r="B28" s="155"/>
      <c r="C28" s="30" t="str">
        <f t="shared" si="0"/>
        <v/>
      </c>
      <c r="D28" s="152" t="str">
        <f>IFERROR(VLOOKUP($A28,Sheet1!$A$1:$B$98,2,0),"")</f>
        <v/>
      </c>
      <c r="E28" s="30" t="str">
        <f>IFERROR(VLOOKUP($A28,'Tổng Đơn'!$A$5:$E$75,5,0),"")</f>
        <v/>
      </c>
      <c r="F28" s="30" t="str">
        <f t="shared" si="1"/>
        <v/>
      </c>
      <c r="G28" s="162" t="str">
        <f>IF(AND($C28="",$C27&lt;&gt;""),"Tổng Cộng",IFERROR(VLOOKUP($A28,Sheet1!$A$1:$D$98,4,0),""))</f>
        <v/>
      </c>
      <c r="H28" s="153" t="str">
        <f>IF($C27=MAX($C$8:$C$56),SUM($H$8:$H27),IFERROR($G28*$F28,""))</f>
        <v/>
      </c>
      <c r="I28" s="55" t="str">
        <f t="shared" si="2"/>
        <v/>
      </c>
      <c r="L28" s="31"/>
    </row>
    <row r="29" spans="1:12" s="29" customFormat="1" ht="14.25" customHeight="1" x14ac:dyDescent="0.25">
      <c r="A29" s="155" t="s">
        <v>301</v>
      </c>
      <c r="B29" s="155"/>
      <c r="C29" s="30" t="str">
        <f t="shared" si="0"/>
        <v/>
      </c>
      <c r="D29" s="152" t="str">
        <f>IFERROR(VLOOKUP($A29,Sheet1!$A$1:$B$98,2,0),"")</f>
        <v/>
      </c>
      <c r="E29" s="30" t="str">
        <f>IFERROR(VLOOKUP($A29,'Tổng Đơn'!$A$5:$E$75,5,0),"")</f>
        <v/>
      </c>
      <c r="F29" s="30" t="str">
        <f t="shared" si="1"/>
        <v/>
      </c>
      <c r="G29" s="162" t="str">
        <f>IF(AND($C29="",$C28&lt;&gt;""),"Tổng Cộng",IFERROR(VLOOKUP($A29,Sheet1!$A$1:$D$98,4,0),""))</f>
        <v/>
      </c>
      <c r="H29" s="153" t="str">
        <f>IF($C28=MAX($C$8:$C$56),SUM($H$8:$H28),IFERROR($G29*$F29,""))</f>
        <v/>
      </c>
      <c r="I29" s="55" t="str">
        <f t="shared" si="2"/>
        <v/>
      </c>
      <c r="L29" s="31"/>
    </row>
    <row r="30" spans="1:12" s="29" customFormat="1" ht="14.25" customHeight="1" x14ac:dyDescent="0.25">
      <c r="A30" s="155" t="s">
        <v>301</v>
      </c>
      <c r="B30" s="155"/>
      <c r="C30" s="30" t="str">
        <f t="shared" si="0"/>
        <v/>
      </c>
      <c r="D30" s="152" t="str">
        <f>IFERROR(VLOOKUP($A30,Sheet1!$A$1:$B$98,2,0),"")</f>
        <v/>
      </c>
      <c r="E30" s="30" t="str">
        <f>IFERROR(VLOOKUP($A30,'Tổng Đơn'!$A$5:$E$75,5,0),"")</f>
        <v/>
      </c>
      <c r="F30" s="30" t="str">
        <f t="shared" si="1"/>
        <v/>
      </c>
      <c r="G30" s="162" t="str">
        <f>IF(AND($C30="",$C29&lt;&gt;""),"Tổng Cộng",IFERROR(VLOOKUP($A30,Sheet1!$A$1:$D$98,4,0),""))</f>
        <v/>
      </c>
      <c r="H30" s="153" t="str">
        <f>IF($C29=MAX($C$8:$C$56),SUM($H$8:$H29),IFERROR($G30*$F30,""))</f>
        <v/>
      </c>
      <c r="I30" s="55" t="str">
        <f t="shared" si="2"/>
        <v/>
      </c>
      <c r="L30" s="31"/>
    </row>
    <row r="31" spans="1:12" s="29" customFormat="1" ht="14.25" customHeight="1" x14ac:dyDescent="0.25">
      <c r="A31" s="155" t="s">
        <v>301</v>
      </c>
      <c r="B31" s="155"/>
      <c r="C31" s="30" t="str">
        <f t="shared" si="0"/>
        <v/>
      </c>
      <c r="D31" s="152" t="str">
        <f>IFERROR(VLOOKUP($A31,Sheet1!$A$1:$B$98,2,0),"")</f>
        <v/>
      </c>
      <c r="E31" s="30" t="str">
        <f>IFERROR(VLOOKUP($A31,'Tổng Đơn'!$A$5:$E$75,5,0),"")</f>
        <v/>
      </c>
      <c r="F31" s="30" t="str">
        <f t="shared" si="1"/>
        <v/>
      </c>
      <c r="G31" s="162" t="str">
        <f>IF(AND($C31="",$C30&lt;&gt;""),"Tổng Cộng",IFERROR(VLOOKUP($A31,Sheet1!$A$1:$D$98,4,0),""))</f>
        <v/>
      </c>
      <c r="H31" s="153" t="str">
        <f>IF($C30=MAX($C$8:$C$56),SUM($H$8:$H30),IFERROR($G31*$F31,""))</f>
        <v/>
      </c>
      <c r="I31" s="55" t="str">
        <f t="shared" si="2"/>
        <v/>
      </c>
      <c r="L31" s="31"/>
    </row>
    <row r="32" spans="1:12" s="29" customFormat="1" ht="14.25" customHeight="1" x14ac:dyDescent="0.25">
      <c r="A32" s="155" t="s">
        <v>301</v>
      </c>
      <c r="B32" s="155"/>
      <c r="C32" s="30" t="str">
        <f t="shared" si="0"/>
        <v/>
      </c>
      <c r="D32" s="152" t="str">
        <f>IFERROR(VLOOKUP($A32,Sheet1!$A$1:$B$98,2,0),"")</f>
        <v/>
      </c>
      <c r="E32" s="30" t="str">
        <f>IFERROR(VLOOKUP($A32,'Tổng Đơn'!$A$5:$E$75,5,0),"")</f>
        <v/>
      </c>
      <c r="F32" s="30" t="str">
        <f t="shared" si="1"/>
        <v/>
      </c>
      <c r="G32" s="162" t="str">
        <f>IF(AND($C32="",$C31&lt;&gt;""),"Tổng Cộng",IFERROR(VLOOKUP($A32,Sheet1!$A$1:$D$98,4,0),""))</f>
        <v/>
      </c>
      <c r="H32" s="153" t="str">
        <f>IF($C31=MAX($C$8:$C$56),SUM($H$8:$H31),IFERROR($G32*$F32,""))</f>
        <v/>
      </c>
      <c r="I32" s="55" t="str">
        <f t="shared" si="2"/>
        <v/>
      </c>
      <c r="L32" s="31"/>
    </row>
    <row r="33" spans="1:12" s="29" customFormat="1" ht="14.25" customHeight="1" x14ac:dyDescent="0.25">
      <c r="A33" s="155" t="s">
        <v>301</v>
      </c>
      <c r="B33" s="155"/>
      <c r="C33" s="30" t="str">
        <f t="shared" si="0"/>
        <v/>
      </c>
      <c r="D33" s="152" t="str">
        <f>IFERROR(VLOOKUP($A33,Sheet1!$A$1:$B$98,2,0),"")</f>
        <v/>
      </c>
      <c r="E33" s="30" t="str">
        <f>IFERROR(VLOOKUP($A33,'Tổng Đơn'!$A$5:$E$75,5,0),"")</f>
        <v/>
      </c>
      <c r="F33" s="30" t="str">
        <f t="shared" si="1"/>
        <v/>
      </c>
      <c r="G33" s="162" t="str">
        <f>IF(AND($C33="",$C32&lt;&gt;""),"Tổng Cộng",IFERROR(VLOOKUP($A33,Sheet1!$A$1:$D$98,4,0),""))</f>
        <v/>
      </c>
      <c r="H33" s="153" t="str">
        <f>IF($C32=MAX($C$8:$C$56),SUM($H$8:$H32),IFERROR($G33*$F33,""))</f>
        <v/>
      </c>
      <c r="I33" s="55" t="str">
        <f t="shared" si="2"/>
        <v/>
      </c>
      <c r="L33" s="31"/>
    </row>
    <row r="34" spans="1:12" s="29" customFormat="1" ht="14.25" customHeight="1" x14ac:dyDescent="0.25">
      <c r="A34" s="155" t="s">
        <v>301</v>
      </c>
      <c r="B34" s="155"/>
      <c r="C34" s="30" t="str">
        <f t="shared" si="0"/>
        <v/>
      </c>
      <c r="D34" s="152" t="str">
        <f>IFERROR(VLOOKUP($A34,Sheet1!$A$1:$B$98,2,0),"")</f>
        <v/>
      </c>
      <c r="E34" s="30" t="str">
        <f>IFERROR(VLOOKUP($A34,'Tổng Đơn'!$A$5:$E$75,5,0),"")</f>
        <v/>
      </c>
      <c r="F34" s="30" t="str">
        <f t="shared" si="1"/>
        <v/>
      </c>
      <c r="G34" s="162" t="str">
        <f>IF(AND($C34="",$C33&lt;&gt;""),"Tổng Cộng",IFERROR(VLOOKUP($A34,Sheet1!$A$1:$D$98,4,0),""))</f>
        <v/>
      </c>
      <c r="H34" s="153" t="str">
        <f>IF($C33=MAX($C$8:$C$56),SUM($H$8:$H33),IFERROR($G34*$F34,""))</f>
        <v/>
      </c>
      <c r="I34" s="55" t="str">
        <f t="shared" si="2"/>
        <v/>
      </c>
      <c r="L34" s="31"/>
    </row>
    <row r="35" spans="1:12" s="29" customFormat="1" ht="14.25" customHeight="1" x14ac:dyDescent="0.25">
      <c r="A35" s="155" t="s">
        <v>301</v>
      </c>
      <c r="B35" s="155"/>
      <c r="C35" s="30" t="str">
        <f t="shared" si="0"/>
        <v/>
      </c>
      <c r="D35" s="152" t="str">
        <f>IFERROR(VLOOKUP($A35,Sheet1!$A$1:$B$98,2,0),"")</f>
        <v/>
      </c>
      <c r="E35" s="30" t="str">
        <f>IFERROR(VLOOKUP($A35,'Tổng Đơn'!$A$5:$E$75,5,0),"")</f>
        <v/>
      </c>
      <c r="F35" s="30" t="str">
        <f t="shared" si="1"/>
        <v/>
      </c>
      <c r="G35" s="162" t="str">
        <f>IF(AND($C35="",$C34&lt;&gt;""),"Tổng Cộng",IFERROR(VLOOKUP($A35,Sheet1!$A$1:$D$98,4,0),""))</f>
        <v/>
      </c>
      <c r="H35" s="153" t="str">
        <f>IF($C34=MAX($C$8:$C$56),SUM($H$8:$H34),IFERROR($G35*$F35,""))</f>
        <v/>
      </c>
      <c r="I35" s="55" t="str">
        <f t="shared" si="2"/>
        <v/>
      </c>
      <c r="L35" s="31"/>
    </row>
    <row r="36" spans="1:12" s="29" customFormat="1" ht="14.25" customHeight="1" x14ac:dyDescent="0.25">
      <c r="A36" s="155" t="s">
        <v>301</v>
      </c>
      <c r="B36" s="155"/>
      <c r="C36" s="30" t="str">
        <f t="shared" si="0"/>
        <v/>
      </c>
      <c r="D36" s="152" t="str">
        <f>IFERROR(VLOOKUP($A36,Sheet1!$A$1:$B$98,2,0),"")</f>
        <v/>
      </c>
      <c r="E36" s="30" t="str">
        <f>IFERROR(VLOOKUP($A36,'Tổng Đơn'!$A$5:$E$75,5,0),"")</f>
        <v/>
      </c>
      <c r="F36" s="30" t="str">
        <f t="shared" si="1"/>
        <v/>
      </c>
      <c r="G36" s="162" t="str">
        <f>IF(AND($C36="",$C35&lt;&gt;""),"Tổng Cộng",IFERROR(VLOOKUP($A36,Sheet1!$A$1:$D$98,4,0),""))</f>
        <v/>
      </c>
      <c r="H36" s="153" t="str">
        <f>IF($C35=MAX($C$8:$C$56),SUM($H$8:$H35),IFERROR($G36*$F36,""))</f>
        <v/>
      </c>
      <c r="I36" s="55" t="str">
        <f t="shared" si="2"/>
        <v/>
      </c>
      <c r="L36" s="31"/>
    </row>
    <row r="37" spans="1:12" s="29" customFormat="1" ht="14.25" customHeight="1" x14ac:dyDescent="0.25">
      <c r="A37" s="155" t="s">
        <v>301</v>
      </c>
      <c r="B37" s="155"/>
      <c r="C37" s="30" t="str">
        <f t="shared" si="0"/>
        <v/>
      </c>
      <c r="D37" s="152" t="str">
        <f>IFERROR(VLOOKUP($A37,Sheet1!$A$1:$B$98,2,0),"")</f>
        <v/>
      </c>
      <c r="E37" s="30" t="str">
        <f>IFERROR(VLOOKUP($A37,'Tổng Đơn'!$A$5:$E$75,5,0),"")</f>
        <v/>
      </c>
      <c r="F37" s="30" t="str">
        <f t="shared" si="1"/>
        <v/>
      </c>
      <c r="G37" s="162"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3"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97" priority="20">
      <formula>$C22=MAX($C$8:$C$37)</formula>
    </cfRule>
  </conditionalFormatting>
  <conditionalFormatting sqref="C23:C37">
    <cfRule type="expression" dxfId="196" priority="19">
      <formula>$C22=MAX($C$8:$C$37)</formula>
    </cfRule>
  </conditionalFormatting>
  <conditionalFormatting sqref="E23:E38">
    <cfRule type="expression" dxfId="195" priority="21">
      <formula>AND($A23="",$F23&lt;&gt;"")</formula>
    </cfRule>
  </conditionalFormatting>
  <conditionalFormatting sqref="F23:F38">
    <cfRule type="expression" dxfId="194" priority="22">
      <formula>AND($F23="",$A23&lt;&gt;"")</formula>
    </cfRule>
  </conditionalFormatting>
  <conditionalFormatting sqref="D20:H22">
    <cfRule type="expression" dxfId="193" priority="16">
      <formula>$C19=MAX($C$8:$C$37)</formula>
    </cfRule>
  </conditionalFormatting>
  <conditionalFormatting sqref="C20:C22">
    <cfRule type="expression" dxfId="192" priority="15">
      <formula>$C19=MAX($C$8:$C$37)</formula>
    </cfRule>
  </conditionalFormatting>
  <conditionalFormatting sqref="E20:E22">
    <cfRule type="expression" dxfId="191" priority="17">
      <formula>AND($A20="",$F20&lt;&gt;"")</formula>
    </cfRule>
  </conditionalFormatting>
  <conditionalFormatting sqref="F20:F22">
    <cfRule type="expression" dxfId="190" priority="18">
      <formula>AND($F20="",$A20&lt;&gt;"")</formula>
    </cfRule>
  </conditionalFormatting>
  <conditionalFormatting sqref="D17:H19">
    <cfRule type="expression" dxfId="189" priority="12">
      <formula>$C16=MAX($C$8:$C$37)</formula>
    </cfRule>
  </conditionalFormatting>
  <conditionalFormatting sqref="C17:C19">
    <cfRule type="expression" dxfId="188" priority="11">
      <formula>$C16=MAX($C$8:$C$37)</formula>
    </cfRule>
  </conditionalFormatting>
  <conditionalFormatting sqref="E17:E19">
    <cfRule type="expression" dxfId="187" priority="13">
      <formula>AND($A17="",$F17&lt;&gt;"")</formula>
    </cfRule>
  </conditionalFormatting>
  <conditionalFormatting sqref="F17:F19">
    <cfRule type="expression" dxfId="186" priority="14">
      <formula>AND($F17="",$A17&lt;&gt;"")</formula>
    </cfRule>
  </conditionalFormatting>
  <conditionalFormatting sqref="D15:H16 D9:G14">
    <cfRule type="expression" dxfId="185" priority="8">
      <formula>$C8=MAX($C$8:$C$37)</formula>
    </cfRule>
  </conditionalFormatting>
  <conditionalFormatting sqref="C9:C16">
    <cfRule type="expression" dxfId="184" priority="7">
      <formula>$C8=MAX($C$8:$C$37)</formula>
    </cfRule>
  </conditionalFormatting>
  <conditionalFormatting sqref="E9:E16">
    <cfRule type="expression" dxfId="183" priority="9">
      <formula>AND($A9="",$F9&lt;&gt;"")</formula>
    </cfRule>
  </conditionalFormatting>
  <conditionalFormatting sqref="F9:F16">
    <cfRule type="expression" dxfId="182" priority="10">
      <formula>AND($F9="",$A9&lt;&gt;"")</formula>
    </cfRule>
  </conditionalFormatting>
  <conditionalFormatting sqref="D8:G8">
    <cfRule type="expression" dxfId="181" priority="4">
      <formula>$C7=MAX($C$8:$C$37)</formula>
    </cfRule>
  </conditionalFormatting>
  <conditionalFormatting sqref="C8">
    <cfRule type="expression" dxfId="180" priority="3">
      <formula>$C7=MAX($C$8:$C$37)</formula>
    </cfRule>
  </conditionalFormatting>
  <conditionalFormatting sqref="E8">
    <cfRule type="expression" dxfId="179" priority="5">
      <formula>AND($A8="",$F8&lt;&gt;"")</formula>
    </cfRule>
  </conditionalFormatting>
  <conditionalFormatting sqref="F8">
    <cfRule type="expression" dxfId="178" priority="6">
      <formula>AND($F8="",$A8&lt;&gt;"")</formula>
    </cfRule>
  </conditionalFormatting>
  <conditionalFormatting sqref="H9:H14">
    <cfRule type="expression" dxfId="177" priority="2">
      <formula>$C8=MAX($C$8:$C$37)</formula>
    </cfRule>
  </conditionalFormatting>
  <conditionalFormatting sqref="H8">
    <cfRule type="expression" dxfId="176"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45305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4" t="s">
        <v>188</v>
      </c>
      <c r="D1" s="264"/>
      <c r="E1" s="264"/>
      <c r="F1" s="264"/>
      <c r="G1" s="264"/>
      <c r="H1" s="264"/>
    </row>
    <row r="2" spans="1:14" ht="15.75" customHeight="1" x14ac:dyDescent="0.25">
      <c r="C2" s="264"/>
      <c r="D2" s="264"/>
      <c r="E2" s="264"/>
      <c r="F2" s="264"/>
      <c r="G2" s="264"/>
      <c r="H2" s="264"/>
    </row>
    <row r="3" spans="1:14" ht="15" customHeight="1" x14ac:dyDescent="0.25">
      <c r="C3" s="265" t="s">
        <v>190</v>
      </c>
      <c r="D3" s="265"/>
      <c r="E3" s="265"/>
      <c r="F3" s="266" t="s">
        <v>192</v>
      </c>
      <c r="G3" s="266"/>
      <c r="H3" s="266"/>
    </row>
    <row r="4" spans="1:14" x14ac:dyDescent="0.25">
      <c r="C4" s="267" t="s">
        <v>191</v>
      </c>
      <c r="D4" s="267"/>
      <c r="E4" s="267"/>
      <c r="F4" s="268" t="s">
        <v>193</v>
      </c>
      <c r="G4" s="268"/>
      <c r="H4" s="268"/>
    </row>
    <row r="5" spans="1:14" s="145" customFormat="1" ht="21" customHeight="1" x14ac:dyDescent="0.25">
      <c r="C5" s="269" t="s">
        <v>189</v>
      </c>
      <c r="D5" s="269"/>
      <c r="E5" s="269"/>
      <c r="F5" s="269"/>
      <c r="G5" s="269"/>
      <c r="H5" s="269"/>
    </row>
    <row r="6" spans="1:14" s="145" customFormat="1" ht="17.25" customHeight="1" x14ac:dyDescent="0.25">
      <c r="C6" s="154" t="s">
        <v>194</v>
      </c>
      <c r="D6" s="158" t="s">
        <v>329</v>
      </c>
      <c r="E6" s="150"/>
      <c r="F6" s="150"/>
      <c r="G6" s="263" t="str">
        <f ca="1">"Ngày "&amp;DAY(TODAY())&amp;" Tháng "&amp;MONTH(TODAY())&amp;" Năm "&amp;YEAR(TODAY())</f>
        <v>Ngày 29 Tháng 8 Năm 2022</v>
      </c>
      <c r="H6" s="263"/>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1.5</v>
      </c>
      <c r="L7" s="145"/>
    </row>
    <row r="8" spans="1:14" s="29" customFormat="1" ht="14.25" customHeight="1" x14ac:dyDescent="0.25">
      <c r="A8" s="155">
        <v>21</v>
      </c>
      <c r="B8" s="155">
        <v>1</v>
      </c>
      <c r="C8" s="30">
        <f t="shared" ref="C8:C37" si="0">IF(OR(SUM($C7,$A8&lt;&gt;"")=0,$A8=""),"",SUM($C7,$A8&lt;&gt;""))</f>
        <v>1</v>
      </c>
      <c r="D8" s="152" t="str">
        <f>IFERROR(VLOOKUP($A8,Sheet1!$A$1:$B$98,2,0),"")</f>
        <v>Chả giò Rế tôm mực LC</v>
      </c>
      <c r="E8" s="30">
        <f>IFERROR(VLOOKUP($A8,'Tổng Đơn'!$A$5:$E$75,5,0),"")</f>
        <v>0.5</v>
      </c>
      <c r="F8" s="30">
        <f t="shared" ref="F8:F37" si="1">IF($B8="","",B8)</f>
        <v>1</v>
      </c>
      <c r="G8" s="162">
        <f>IFERROR(VLOOKUP($A8,Sheet1!$A1:$D$98,4,0),"")</f>
        <v>50000</v>
      </c>
      <c r="H8" s="153">
        <f>IF($C7=MAX($C$8:$C$56),SUM($H7:$H$8),IFERROR($G8*$F8,""))</f>
        <v>50000</v>
      </c>
      <c r="I8" s="55">
        <f t="shared" ref="I8:I37" si="2">IF(TYPE($A8)&lt;&gt;1,"",IFERROR(F8*E8,""))</f>
        <v>0.5</v>
      </c>
      <c r="L8" s="32"/>
    </row>
    <row r="9" spans="1:14" s="29" customFormat="1" ht="14.25" customHeight="1" x14ac:dyDescent="0.25">
      <c r="A9" s="155">
        <v>46</v>
      </c>
      <c r="B9" s="155">
        <v>1</v>
      </c>
      <c r="C9" s="30">
        <f t="shared" si="0"/>
        <v>2</v>
      </c>
      <c r="D9" s="152" t="str">
        <f>IFERROR(VLOOKUP($A9,Sheet1!$A$1:$B$98,2,0),"")</f>
        <v>Khoai tây</v>
      </c>
      <c r="E9" s="30">
        <f>IFERROR(VLOOKUP($A9,'Tổng Đơn'!$A$5:$E$76,5,0),"")</f>
        <v>1</v>
      </c>
      <c r="F9" s="30">
        <f t="shared" si="1"/>
        <v>1</v>
      </c>
      <c r="G9" s="162">
        <f>IF(AND($C9="",$C8&lt;&gt;""),"Tổng Cộng",IFERROR(VLOOKUP($A9,Sheet1!$A$1:$D$98,4,0),""))</f>
        <v>65000</v>
      </c>
      <c r="H9" s="153">
        <f>IF($C8=MAX($C$8:$C$56),SUM($H$8:$H8),IFERROR($G9*$F9,""))</f>
        <v>65000</v>
      </c>
      <c r="I9" s="55">
        <f t="shared" si="2"/>
        <v>1</v>
      </c>
      <c r="L9" s="31"/>
    </row>
    <row r="10" spans="1:14" s="29" customFormat="1" ht="14.25" customHeight="1" x14ac:dyDescent="0.25">
      <c r="A10" s="155" t="s">
        <v>301</v>
      </c>
      <c r="B10" s="155"/>
      <c r="C10" s="30" t="str">
        <f t="shared" si="0"/>
        <v/>
      </c>
      <c r="D10" s="152" t="str">
        <f>IFERROR(VLOOKUP($A10,Sheet1!$A$1:$B$98,2,0),"")</f>
        <v/>
      </c>
      <c r="E10" s="30" t="str">
        <f>IFERROR(VLOOKUP($A10,'Tổng Đơn'!$A$5:$E$76,5,0),"")</f>
        <v/>
      </c>
      <c r="F10" s="30" t="str">
        <f t="shared" si="1"/>
        <v/>
      </c>
      <c r="G10" s="162" t="str">
        <f>IF(AND($C10="",$C9&lt;&gt;""),"Tổng Cộng",IFERROR(VLOOKUP($A10,Sheet1!$A$1:$D$98,4,0),""))</f>
        <v>Tổng Cộng</v>
      </c>
      <c r="H10" s="153">
        <f>IF($C9=MAX($C$8:$C$56),SUM($H$8:$H9),IFERROR($G10*$F10,""))</f>
        <v>115000</v>
      </c>
      <c r="I10" s="55" t="str">
        <f t="shared" si="2"/>
        <v/>
      </c>
      <c r="L10" s="31"/>
    </row>
    <row r="11" spans="1:14" s="29" customFormat="1" ht="14.25" customHeight="1" x14ac:dyDescent="0.25">
      <c r="A11" s="155" t="s">
        <v>301</v>
      </c>
      <c r="B11" s="155"/>
      <c r="C11" s="30" t="str">
        <f t="shared" si="0"/>
        <v/>
      </c>
      <c r="D11" s="152" t="str">
        <f>IFERROR(VLOOKUP($A11,Sheet1!$A$1:$B$98,2,0),"")</f>
        <v/>
      </c>
      <c r="E11" s="30" t="str">
        <f>IFERROR(VLOOKUP($A11,'Tổng Đơn'!$A$5:$E$76,5,0),"")</f>
        <v/>
      </c>
      <c r="F11" s="30" t="str">
        <f t="shared" si="1"/>
        <v/>
      </c>
      <c r="G11" s="162" t="str">
        <f>IF(AND($C11="",$C10&lt;&gt;""),"Tổng Cộng",IFERROR(VLOOKUP($A11,Sheet1!$A$1:$D$98,4,0),""))</f>
        <v/>
      </c>
      <c r="H11" s="153" t="str">
        <f>IF($C10=MAX($C$8:$C$56),SUM($H$8:$H10),IFERROR($G11*$F11,""))</f>
        <v/>
      </c>
      <c r="I11" s="55" t="str">
        <f t="shared" si="2"/>
        <v/>
      </c>
      <c r="L11" s="31"/>
    </row>
    <row r="12" spans="1:14" s="29" customFormat="1" ht="14.25" customHeight="1" x14ac:dyDescent="0.25">
      <c r="A12" s="155" t="s">
        <v>301</v>
      </c>
      <c r="B12" s="155"/>
      <c r="C12" s="30" t="str">
        <f t="shared" si="0"/>
        <v/>
      </c>
      <c r="D12" s="152" t="str">
        <f>IFERROR(VLOOKUP($A12,Sheet1!$A$1:$B$98,2,0),"")</f>
        <v/>
      </c>
      <c r="E12" s="30" t="str">
        <f>IFERROR(VLOOKUP($A12,'Tổng Đơn'!$A$5:$E$76,5,0),"")</f>
        <v/>
      </c>
      <c r="F12" s="30" t="str">
        <f t="shared" si="1"/>
        <v/>
      </c>
      <c r="G12" s="162"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301</v>
      </c>
      <c r="B13" s="155"/>
      <c r="C13" s="30" t="str">
        <f t="shared" si="0"/>
        <v/>
      </c>
      <c r="D13" s="152" t="str">
        <f>IFERROR(VLOOKUP($A13,Sheet1!$A$1:$B$98,2,0),"")</f>
        <v/>
      </c>
      <c r="E13" s="30" t="str">
        <f>IFERROR(VLOOKUP($A13,'Tổng Đơn'!$A$5:$E$76,5,0),"")</f>
        <v/>
      </c>
      <c r="F13" s="30" t="str">
        <f t="shared" si="1"/>
        <v/>
      </c>
      <c r="G13" s="162" t="str">
        <f>IF(AND($C13="",$C12&lt;&gt;""),"Tổng Cộng",IFERROR(VLOOKUP($A13,Sheet1!$A$1:$D$98,4,0),""))</f>
        <v/>
      </c>
      <c r="H13" s="153" t="str">
        <f>IF($C12=MAX($C$8:$C$56),SUM($H$8:$H12),IFERROR($G13*$F13,""))</f>
        <v/>
      </c>
      <c r="I13" s="55" t="str">
        <f t="shared" si="2"/>
        <v/>
      </c>
      <c r="L13" s="31"/>
    </row>
    <row r="14" spans="1:14" s="29" customFormat="1" ht="14.25" customHeight="1" x14ac:dyDescent="0.25">
      <c r="A14" s="155" t="s">
        <v>301</v>
      </c>
      <c r="B14" s="155"/>
      <c r="C14" s="30" t="str">
        <f t="shared" si="0"/>
        <v/>
      </c>
      <c r="D14" s="152" t="str">
        <f>IFERROR(VLOOKUP($A14,Sheet1!$A$1:$B$98,2,0),"")</f>
        <v/>
      </c>
      <c r="E14" s="30" t="str">
        <f>IFERROR(VLOOKUP($A14,'Tổng Đơn'!$A$5:$E$76,5,0),"")</f>
        <v/>
      </c>
      <c r="F14" s="30" t="str">
        <f t="shared" si="1"/>
        <v/>
      </c>
      <c r="G14" s="162"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301</v>
      </c>
      <c r="B15" s="155"/>
      <c r="C15" s="30" t="str">
        <f t="shared" si="0"/>
        <v/>
      </c>
      <c r="D15" s="152" t="str">
        <f>IFERROR(VLOOKUP($A15,Sheet1!$A$1:$B$98,2,0),"")</f>
        <v/>
      </c>
      <c r="E15" s="30" t="str">
        <f>IFERROR(VLOOKUP($A15,'Tổng Đơn'!$A$5:$E$75,5,0),"")</f>
        <v/>
      </c>
      <c r="F15" s="30" t="str">
        <f t="shared" si="1"/>
        <v/>
      </c>
      <c r="G15" s="162" t="str">
        <f>IF(AND($C15="",$C14&lt;&gt;""),"Tổng Cộng",IFERROR(VLOOKUP($A15,Sheet1!$A$1:$D$98,4,0),""))</f>
        <v/>
      </c>
      <c r="H15" s="153" t="str">
        <f>IF($C14=MAX($C$8:$C$56),SUM($H$8:$H14),IFERROR($G15*$F15,""))</f>
        <v/>
      </c>
      <c r="I15" s="55" t="str">
        <f t="shared" si="2"/>
        <v/>
      </c>
      <c r="L15" s="31"/>
    </row>
    <row r="16" spans="1:14" s="29" customFormat="1" ht="14.25" customHeight="1" x14ac:dyDescent="0.25">
      <c r="A16" s="155" t="s">
        <v>301</v>
      </c>
      <c r="B16" s="155"/>
      <c r="C16" s="30" t="str">
        <f t="shared" si="0"/>
        <v/>
      </c>
      <c r="D16" s="152" t="str">
        <f>IFERROR(VLOOKUP($A16,Sheet1!$A$1:$B$98,2,0),"")</f>
        <v/>
      </c>
      <c r="E16" s="30" t="str">
        <f>IFERROR(VLOOKUP($A16,'Tổng Đơn'!$A$5:$E$75,5,0),"")</f>
        <v/>
      </c>
      <c r="F16" s="30" t="str">
        <f t="shared" si="1"/>
        <v/>
      </c>
      <c r="G16" s="162" t="str">
        <f>IF(AND($C16="",$C15&lt;&gt;""),"Tổng Cộng",IFERROR(VLOOKUP($A16,Sheet1!$A$1:$D$98,4,0),""))</f>
        <v/>
      </c>
      <c r="H16" s="153" t="str">
        <f>IF($C15=MAX($C$8:$C$56),SUM($H$8:$H15),IFERROR($G16*$F16,""))</f>
        <v/>
      </c>
      <c r="I16" s="55" t="str">
        <f t="shared" si="2"/>
        <v/>
      </c>
      <c r="L16" s="31"/>
    </row>
    <row r="17" spans="1:12" s="29" customFormat="1" ht="14.25" customHeight="1" x14ac:dyDescent="0.25">
      <c r="A17" s="155" t="s">
        <v>301</v>
      </c>
      <c r="B17" s="155"/>
      <c r="C17" s="30" t="str">
        <f t="shared" si="0"/>
        <v/>
      </c>
      <c r="D17" s="161" t="str">
        <f>IFERROR(VLOOKUP($A17,Sheet1!$A$1:$B$98,2,0),"")</f>
        <v/>
      </c>
      <c r="E17" s="30" t="str">
        <f>IFERROR(VLOOKUP($A17,'Tổng Đơn'!$A$5:$E$75,5,0),"")</f>
        <v/>
      </c>
      <c r="F17" s="30" t="str">
        <f t="shared" si="1"/>
        <v/>
      </c>
      <c r="G17" s="162" t="str">
        <f>IF(AND($C17="",$C16&lt;&gt;""),"Tổng Cộng",IFERROR(VLOOKUP($A17,Sheet1!$A$1:$D$98,4,0),""))</f>
        <v/>
      </c>
      <c r="H17" s="153" t="str">
        <f>IF($C16=MAX($C$8:$C$56),SUM($H$8:$H16),IFERROR($G17*$F17,""))</f>
        <v/>
      </c>
      <c r="I17" s="55" t="str">
        <f t="shared" si="2"/>
        <v/>
      </c>
      <c r="L17" s="31"/>
    </row>
    <row r="18" spans="1:12" s="29" customFormat="1" ht="14.25" customHeight="1" x14ac:dyDescent="0.25">
      <c r="A18" s="155" t="s">
        <v>301</v>
      </c>
      <c r="B18" s="155"/>
      <c r="C18" s="30" t="str">
        <f t="shared" si="0"/>
        <v/>
      </c>
      <c r="D18" s="161" t="str">
        <f>IFERROR(VLOOKUP($A18,Sheet1!$A$1:$B$98,2,0),"")</f>
        <v/>
      </c>
      <c r="E18" s="30" t="str">
        <f>IFERROR(VLOOKUP($A18,'Tổng Đơn'!$A$5:$E$75,5,0),"")</f>
        <v/>
      </c>
      <c r="F18" s="30" t="str">
        <f t="shared" si="1"/>
        <v/>
      </c>
      <c r="G18" s="162" t="str">
        <f>IF(AND($C18="",$C17&lt;&gt;""),"Tổng Cộng",IFERROR(VLOOKUP($A18,Sheet1!$A$1:$D$98,4,0),""))</f>
        <v/>
      </c>
      <c r="H18" s="153" t="str">
        <f>IF($C17=MAX($C$8:$C$56),SUM($H$8:$H17),IFERROR($G18*$F18,""))</f>
        <v/>
      </c>
      <c r="I18" s="55" t="str">
        <f t="shared" si="2"/>
        <v/>
      </c>
      <c r="L18" s="31"/>
    </row>
    <row r="19" spans="1:12" s="29" customFormat="1" ht="14.25" customHeight="1" x14ac:dyDescent="0.25">
      <c r="A19" s="155" t="s">
        <v>301</v>
      </c>
      <c r="B19" s="155"/>
      <c r="C19" s="30" t="str">
        <f t="shared" si="0"/>
        <v/>
      </c>
      <c r="D19" s="161" t="str">
        <f>IFERROR(VLOOKUP($A19,Sheet1!$A$1:$B$98,2,0),"")</f>
        <v/>
      </c>
      <c r="E19" s="30" t="str">
        <f>IFERROR(VLOOKUP($A19,'Tổng Đơn'!$A$5:$E$75,5,0),"")</f>
        <v/>
      </c>
      <c r="F19" s="30" t="str">
        <f t="shared" si="1"/>
        <v/>
      </c>
      <c r="G19" s="162" t="str">
        <f>IF(AND($C19="",$C18&lt;&gt;""),"Tổng Cộng",IFERROR(VLOOKUP($A19,Sheet1!$A$1:$D$98,4,0),""))</f>
        <v/>
      </c>
      <c r="H19" s="153" t="str">
        <f>IF($C18=MAX($C$8:$C$56),SUM($H$8:$H18),IFERROR($G19*$F19,""))</f>
        <v/>
      </c>
      <c r="I19" s="55" t="str">
        <f t="shared" si="2"/>
        <v/>
      </c>
      <c r="L19" s="31"/>
    </row>
    <row r="20" spans="1:12" s="29" customFormat="1" ht="14.25" customHeight="1" x14ac:dyDescent="0.25">
      <c r="A20" s="155" t="s">
        <v>301</v>
      </c>
      <c r="B20" s="155"/>
      <c r="C20" s="30" t="str">
        <f t="shared" si="0"/>
        <v/>
      </c>
      <c r="D20" s="161" t="str">
        <f>IFERROR(VLOOKUP($A20,Sheet1!$A$1:$B$98,2,0),"")</f>
        <v/>
      </c>
      <c r="E20" s="30" t="str">
        <f>IFERROR(VLOOKUP($A20,'Tổng Đơn'!$A$5:$E$75,5,0),"")</f>
        <v/>
      </c>
      <c r="F20" s="30" t="str">
        <f t="shared" si="1"/>
        <v/>
      </c>
      <c r="G20" s="162" t="str">
        <f>IF(AND($C20="",$C19&lt;&gt;""),"Tổng Cộng",IFERROR(VLOOKUP($A20,Sheet1!$A$1:$D$98,4,0),""))</f>
        <v/>
      </c>
      <c r="H20" s="153" t="str">
        <f>IF($C19=MAX($C$8:$C$56),SUM($H$8:$H19),IFERROR($G20*$F20,""))</f>
        <v/>
      </c>
      <c r="I20" s="55" t="str">
        <f t="shared" si="2"/>
        <v/>
      </c>
      <c r="L20" s="31"/>
    </row>
    <row r="21" spans="1:12" s="29" customFormat="1" ht="14.25" customHeight="1" x14ac:dyDescent="0.25">
      <c r="A21" s="155" t="s">
        <v>301</v>
      </c>
      <c r="B21" s="155"/>
      <c r="C21" s="30" t="str">
        <f t="shared" si="0"/>
        <v/>
      </c>
      <c r="D21" s="161" t="str">
        <f>IFERROR(VLOOKUP($A21,Sheet1!$A$1:$B$98,2,0),"")</f>
        <v/>
      </c>
      <c r="E21" s="30" t="str">
        <f>IFERROR(VLOOKUP($A21,'Tổng Đơn'!$A$5:$E$75,5,0),"")</f>
        <v/>
      </c>
      <c r="F21" s="30" t="str">
        <f t="shared" si="1"/>
        <v/>
      </c>
      <c r="G21" s="162" t="str">
        <f>IF(AND($C21="",$C20&lt;&gt;""),"Tổng Cộng",IFERROR(VLOOKUP($A21,Sheet1!$A$1:$D$98,4,0),""))</f>
        <v/>
      </c>
      <c r="H21" s="153" t="str">
        <f>IF($C20=MAX($C$8:$C$56),SUM($H$8:$H20),IFERROR($G21*$F21,""))</f>
        <v/>
      </c>
      <c r="I21" s="55" t="str">
        <f t="shared" si="2"/>
        <v/>
      </c>
      <c r="L21" s="31"/>
    </row>
    <row r="22" spans="1:12" s="29" customFormat="1" ht="14.25" customHeight="1" x14ac:dyDescent="0.25">
      <c r="A22" s="155" t="s">
        <v>301</v>
      </c>
      <c r="B22" s="155"/>
      <c r="C22" s="30" t="str">
        <f t="shared" si="0"/>
        <v/>
      </c>
      <c r="D22" s="152" t="str">
        <f>IFERROR(VLOOKUP($A22,Sheet1!$A$1:$B$98,2,0),"")</f>
        <v/>
      </c>
      <c r="E22" s="30" t="str">
        <f>IFERROR(VLOOKUP($A22,'Tổng Đơn'!$A$5:$E$75,5,0),"")</f>
        <v/>
      </c>
      <c r="F22" s="30" t="str">
        <f t="shared" si="1"/>
        <v/>
      </c>
      <c r="G22" s="162" t="str">
        <f>IF(AND($C22="",$C21&lt;&gt;""),"Tổng Cộng",IFERROR(VLOOKUP($A22,Sheet1!$A$1:$D$98,4,0),""))</f>
        <v/>
      </c>
      <c r="H22" s="153" t="str">
        <f>IF($C21=MAX($C$8:$C$56),SUM($H$8:$H21),IFERROR($G22*$F22,""))</f>
        <v/>
      </c>
      <c r="I22" s="55" t="str">
        <f t="shared" si="2"/>
        <v/>
      </c>
      <c r="L22" s="31"/>
    </row>
    <row r="23" spans="1:12" s="29" customFormat="1" ht="14.25" customHeight="1" x14ac:dyDescent="0.25">
      <c r="A23" s="155" t="s">
        <v>301</v>
      </c>
      <c r="B23" s="155"/>
      <c r="C23" s="30" t="str">
        <f t="shared" si="0"/>
        <v/>
      </c>
      <c r="D23" s="152" t="str">
        <f>IFERROR(VLOOKUP($A23,Sheet1!$A$1:$B$98,2,0),"")</f>
        <v/>
      </c>
      <c r="E23" s="30" t="str">
        <f>IFERROR(VLOOKUP($A23,'Tổng Đơn'!$A$5:$E$75,5,0),"")</f>
        <v/>
      </c>
      <c r="F23" s="30" t="str">
        <f t="shared" si="1"/>
        <v/>
      </c>
      <c r="G23" s="162" t="str">
        <f>IF(AND($C23="",$C22&lt;&gt;""),"Tổng Cộng",IFERROR(VLOOKUP($A23,Sheet1!$A$1:$D$98,4,0),""))</f>
        <v/>
      </c>
      <c r="H23" s="153" t="str">
        <f>IF($C22=MAX($C$8:$C$56),SUM($H$8:$H22),IFERROR($G23*$F23,""))</f>
        <v/>
      </c>
      <c r="I23" s="55" t="str">
        <f t="shared" si="2"/>
        <v/>
      </c>
      <c r="L23" s="31"/>
    </row>
    <row r="24" spans="1:12" s="29" customFormat="1" ht="14.25" customHeight="1" x14ac:dyDescent="0.25">
      <c r="A24" s="155" t="s">
        <v>301</v>
      </c>
      <c r="B24" s="155"/>
      <c r="C24" s="30" t="str">
        <f t="shared" si="0"/>
        <v/>
      </c>
      <c r="D24" s="152" t="str">
        <f>IFERROR(VLOOKUP($A24,Sheet1!$A$1:$B$98,2,0),"")</f>
        <v/>
      </c>
      <c r="E24" s="30" t="str">
        <f>IFERROR(VLOOKUP($A24,'Tổng Đơn'!$A$5:$E$75,5,0),"")</f>
        <v/>
      </c>
      <c r="F24" s="30" t="str">
        <f t="shared" si="1"/>
        <v/>
      </c>
      <c r="G24" s="162" t="str">
        <f>IF(AND($C24="",$C23&lt;&gt;""),"Tổng Cộng",IFERROR(VLOOKUP($A24,Sheet1!$A$1:$D$98,4,0),""))</f>
        <v/>
      </c>
      <c r="H24" s="153" t="str">
        <f>IF($C23=MAX($C$8:$C$56),SUM($H$8:$H23),IFERROR($G24*$F24,""))</f>
        <v/>
      </c>
      <c r="I24" s="55" t="str">
        <f t="shared" si="2"/>
        <v/>
      </c>
      <c r="L24" s="31"/>
    </row>
    <row r="25" spans="1:12" s="29" customFormat="1" ht="14.25" customHeight="1" x14ac:dyDescent="0.25">
      <c r="A25" s="155" t="s">
        <v>301</v>
      </c>
      <c r="B25" s="155"/>
      <c r="C25" s="30" t="str">
        <f t="shared" si="0"/>
        <v/>
      </c>
      <c r="D25" s="152" t="str">
        <f>IFERROR(VLOOKUP($A25,Sheet1!$A$1:$B$98,2,0),"")</f>
        <v/>
      </c>
      <c r="E25" s="30" t="str">
        <f>IFERROR(VLOOKUP($A25,'Tổng Đơn'!$A$5:$E$75,5,0),"")</f>
        <v/>
      </c>
      <c r="F25" s="30" t="str">
        <f t="shared" si="1"/>
        <v/>
      </c>
      <c r="G25" s="162" t="str">
        <f>IF(AND($C25="",$C24&lt;&gt;""),"Tổng Cộng",IFERROR(VLOOKUP($A25,Sheet1!$A$1:$D$98,4,0),""))</f>
        <v/>
      </c>
      <c r="H25" s="153" t="str">
        <f>IF($C24=MAX($C$8:$C$56),SUM($H$8:$H24),IFERROR($G25*$F25,""))</f>
        <v/>
      </c>
      <c r="I25" s="55" t="str">
        <f t="shared" si="2"/>
        <v/>
      </c>
      <c r="L25" s="31"/>
    </row>
    <row r="26" spans="1:12" s="29" customFormat="1" ht="14.25" customHeight="1" x14ac:dyDescent="0.25">
      <c r="A26" s="155" t="s">
        <v>301</v>
      </c>
      <c r="B26" s="155"/>
      <c r="C26" s="30" t="str">
        <f t="shared" si="0"/>
        <v/>
      </c>
      <c r="D26" s="152" t="str">
        <f>IFERROR(VLOOKUP($A26,Sheet1!$A$1:$B$98,2,0),"")</f>
        <v/>
      </c>
      <c r="E26" s="30" t="str">
        <f>IFERROR(VLOOKUP($A26,'Tổng Đơn'!$A$5:$E$75,5,0),"")</f>
        <v/>
      </c>
      <c r="F26" s="30" t="str">
        <f t="shared" si="1"/>
        <v/>
      </c>
      <c r="G26" s="162" t="str">
        <f>IF(AND($C26="",$C25&lt;&gt;""),"Tổng Cộng",IFERROR(VLOOKUP($A26,Sheet1!$A$1:$D$98,4,0),""))</f>
        <v/>
      </c>
      <c r="H26" s="153" t="str">
        <f>IF($C25=MAX($C$8:$C$56),SUM($H$8:$H25),IFERROR($G26*$F26,""))</f>
        <v/>
      </c>
      <c r="I26" s="55" t="str">
        <f t="shared" si="2"/>
        <v/>
      </c>
      <c r="L26" s="31"/>
    </row>
    <row r="27" spans="1:12" s="29" customFormat="1" ht="14.25" customHeight="1" x14ac:dyDescent="0.25">
      <c r="A27" s="155" t="s">
        <v>301</v>
      </c>
      <c r="B27" s="155"/>
      <c r="C27" s="30" t="str">
        <f t="shared" si="0"/>
        <v/>
      </c>
      <c r="D27" s="152" t="str">
        <f>IFERROR(VLOOKUP($A27,Sheet1!$A$1:$B$98,2,0),"")</f>
        <v/>
      </c>
      <c r="E27" s="30" t="str">
        <f>IFERROR(VLOOKUP($A27,'Tổng Đơn'!$A$5:$E$75,5,0),"")</f>
        <v/>
      </c>
      <c r="F27" s="30" t="str">
        <f t="shared" si="1"/>
        <v/>
      </c>
      <c r="G27" s="162" t="str">
        <f>IF(AND($C27="",$C26&lt;&gt;""),"Tổng Cộng",IFERROR(VLOOKUP($A27,Sheet1!$A$1:$D$98,4,0),""))</f>
        <v/>
      </c>
      <c r="H27" s="153" t="str">
        <f>IF($C26=MAX($C$8:$C$56),SUM($H$8:$H26),IFERROR($G27*$F27,""))</f>
        <v/>
      </c>
      <c r="I27" s="55" t="str">
        <f t="shared" si="2"/>
        <v/>
      </c>
      <c r="L27" s="31"/>
    </row>
    <row r="28" spans="1:12" s="29" customFormat="1" ht="14.25" customHeight="1" x14ac:dyDescent="0.25">
      <c r="A28" s="155" t="s">
        <v>301</v>
      </c>
      <c r="B28" s="155"/>
      <c r="C28" s="30" t="str">
        <f t="shared" si="0"/>
        <v/>
      </c>
      <c r="D28" s="152" t="str">
        <f>IFERROR(VLOOKUP($A28,Sheet1!$A$1:$B$98,2,0),"")</f>
        <v/>
      </c>
      <c r="E28" s="30" t="str">
        <f>IFERROR(VLOOKUP($A28,'Tổng Đơn'!$A$5:$E$75,5,0),"")</f>
        <v/>
      </c>
      <c r="F28" s="30" t="str">
        <f t="shared" si="1"/>
        <v/>
      </c>
      <c r="G28" s="162" t="str">
        <f>IF(AND($C28="",$C27&lt;&gt;""),"Tổng Cộng",IFERROR(VLOOKUP($A28,Sheet1!$A$1:$D$98,4,0),""))</f>
        <v/>
      </c>
      <c r="H28" s="153" t="str">
        <f>IF($C27=MAX($C$8:$C$56),SUM($H$8:$H27),IFERROR($G28*$F28,""))</f>
        <v/>
      </c>
      <c r="I28" s="55" t="str">
        <f t="shared" si="2"/>
        <v/>
      </c>
      <c r="L28" s="31"/>
    </row>
    <row r="29" spans="1:12" s="29" customFormat="1" ht="14.25" customHeight="1" x14ac:dyDescent="0.25">
      <c r="A29" s="155" t="s">
        <v>301</v>
      </c>
      <c r="B29" s="155"/>
      <c r="C29" s="30" t="str">
        <f t="shared" si="0"/>
        <v/>
      </c>
      <c r="D29" s="152" t="str">
        <f>IFERROR(VLOOKUP($A29,Sheet1!$A$1:$B$98,2,0),"")</f>
        <v/>
      </c>
      <c r="E29" s="30" t="str">
        <f>IFERROR(VLOOKUP($A29,'Tổng Đơn'!$A$5:$E$75,5,0),"")</f>
        <v/>
      </c>
      <c r="F29" s="30" t="str">
        <f t="shared" si="1"/>
        <v/>
      </c>
      <c r="G29" s="162" t="str">
        <f>IF(AND($C29="",$C28&lt;&gt;""),"Tổng Cộng",IFERROR(VLOOKUP($A29,Sheet1!$A$1:$D$98,4,0),""))</f>
        <v/>
      </c>
      <c r="H29" s="153" t="str">
        <f>IF($C28=MAX($C$8:$C$56),SUM($H$8:$H28),IFERROR($G29*$F29,""))</f>
        <v/>
      </c>
      <c r="I29" s="55" t="str">
        <f t="shared" si="2"/>
        <v/>
      </c>
      <c r="L29" s="31"/>
    </row>
    <row r="30" spans="1:12" s="29" customFormat="1" ht="14.25" customHeight="1" x14ac:dyDescent="0.25">
      <c r="A30" s="155" t="s">
        <v>301</v>
      </c>
      <c r="B30" s="155"/>
      <c r="C30" s="30" t="str">
        <f t="shared" si="0"/>
        <v/>
      </c>
      <c r="D30" s="152" t="str">
        <f>IFERROR(VLOOKUP($A30,Sheet1!$A$1:$B$98,2,0),"")</f>
        <v/>
      </c>
      <c r="E30" s="30" t="str">
        <f>IFERROR(VLOOKUP($A30,'Tổng Đơn'!$A$5:$E$75,5,0),"")</f>
        <v/>
      </c>
      <c r="F30" s="30" t="str">
        <f t="shared" si="1"/>
        <v/>
      </c>
      <c r="G30" s="162" t="str">
        <f>IF(AND($C30="",$C29&lt;&gt;""),"Tổng Cộng",IFERROR(VLOOKUP($A30,Sheet1!$A$1:$D$98,4,0),""))</f>
        <v/>
      </c>
      <c r="H30" s="153" t="str">
        <f>IF($C29=MAX($C$8:$C$56),SUM($H$8:$H29),IFERROR($G30*$F30,""))</f>
        <v/>
      </c>
      <c r="I30" s="55" t="str">
        <f t="shared" si="2"/>
        <v/>
      </c>
      <c r="L30" s="31"/>
    </row>
    <row r="31" spans="1:12" s="29" customFormat="1" ht="14.25" customHeight="1" x14ac:dyDescent="0.25">
      <c r="A31" s="155" t="s">
        <v>301</v>
      </c>
      <c r="B31" s="155"/>
      <c r="C31" s="30" t="str">
        <f t="shared" si="0"/>
        <v/>
      </c>
      <c r="D31" s="152" t="str">
        <f>IFERROR(VLOOKUP($A31,Sheet1!$A$1:$B$98,2,0),"")</f>
        <v/>
      </c>
      <c r="E31" s="30" t="str">
        <f>IFERROR(VLOOKUP($A31,'Tổng Đơn'!$A$5:$E$75,5,0),"")</f>
        <v/>
      </c>
      <c r="F31" s="30" t="str">
        <f t="shared" si="1"/>
        <v/>
      </c>
      <c r="G31" s="162" t="str">
        <f>IF(AND($C31="",$C30&lt;&gt;""),"Tổng Cộng",IFERROR(VLOOKUP($A31,Sheet1!$A$1:$D$98,4,0),""))</f>
        <v/>
      </c>
      <c r="H31" s="153" t="str">
        <f>IF($C30=MAX($C$8:$C$56),SUM($H$8:$H30),IFERROR($G31*$F31,""))</f>
        <v/>
      </c>
      <c r="I31" s="55" t="str">
        <f t="shared" si="2"/>
        <v/>
      </c>
      <c r="L31" s="31"/>
    </row>
    <row r="32" spans="1:12" s="29" customFormat="1" ht="14.25" customHeight="1" x14ac:dyDescent="0.25">
      <c r="A32" s="155" t="s">
        <v>301</v>
      </c>
      <c r="B32" s="155"/>
      <c r="C32" s="30" t="str">
        <f t="shared" si="0"/>
        <v/>
      </c>
      <c r="D32" s="152" t="str">
        <f>IFERROR(VLOOKUP($A32,Sheet1!$A$1:$B$98,2,0),"")</f>
        <v/>
      </c>
      <c r="E32" s="30" t="str">
        <f>IFERROR(VLOOKUP($A32,'Tổng Đơn'!$A$5:$E$75,5,0),"")</f>
        <v/>
      </c>
      <c r="F32" s="30" t="str">
        <f t="shared" si="1"/>
        <v/>
      </c>
      <c r="G32" s="162" t="str">
        <f>IF(AND($C32="",$C31&lt;&gt;""),"Tổng Cộng",IFERROR(VLOOKUP($A32,Sheet1!$A$1:$D$98,4,0),""))</f>
        <v/>
      </c>
      <c r="H32" s="153" t="str">
        <f>IF($C31=MAX($C$8:$C$56),SUM($H$8:$H31),IFERROR($G32*$F32,""))</f>
        <v/>
      </c>
      <c r="I32" s="55" t="str">
        <f t="shared" si="2"/>
        <v/>
      </c>
      <c r="L32" s="31"/>
    </row>
    <row r="33" spans="1:12" s="29" customFormat="1" ht="14.25" customHeight="1" x14ac:dyDescent="0.25">
      <c r="A33" s="155" t="s">
        <v>301</v>
      </c>
      <c r="B33" s="155"/>
      <c r="C33" s="30" t="str">
        <f t="shared" si="0"/>
        <v/>
      </c>
      <c r="D33" s="152" t="str">
        <f>IFERROR(VLOOKUP($A33,Sheet1!$A$1:$B$98,2,0),"")</f>
        <v/>
      </c>
      <c r="E33" s="30" t="str">
        <f>IFERROR(VLOOKUP($A33,'Tổng Đơn'!$A$5:$E$75,5,0),"")</f>
        <v/>
      </c>
      <c r="F33" s="30" t="str">
        <f t="shared" si="1"/>
        <v/>
      </c>
      <c r="G33" s="162" t="str">
        <f>IF(AND($C33="",$C32&lt;&gt;""),"Tổng Cộng",IFERROR(VLOOKUP($A33,Sheet1!$A$1:$D$98,4,0),""))</f>
        <v/>
      </c>
      <c r="H33" s="153" t="str">
        <f>IF($C32=MAX($C$8:$C$56),SUM($H$8:$H32),IFERROR($G33*$F33,""))</f>
        <v/>
      </c>
      <c r="I33" s="55" t="str">
        <f t="shared" si="2"/>
        <v/>
      </c>
      <c r="L33" s="31"/>
    </row>
    <row r="34" spans="1:12" s="29" customFormat="1" ht="14.25" customHeight="1" x14ac:dyDescent="0.25">
      <c r="A34" s="155" t="s">
        <v>301</v>
      </c>
      <c r="B34" s="155"/>
      <c r="C34" s="30" t="str">
        <f t="shared" si="0"/>
        <v/>
      </c>
      <c r="D34" s="152" t="str">
        <f>IFERROR(VLOOKUP($A34,Sheet1!$A$1:$B$98,2,0),"")</f>
        <v/>
      </c>
      <c r="E34" s="30" t="str">
        <f>IFERROR(VLOOKUP($A34,'Tổng Đơn'!$A$5:$E$75,5,0),"")</f>
        <v/>
      </c>
      <c r="F34" s="30" t="str">
        <f t="shared" si="1"/>
        <v/>
      </c>
      <c r="G34" s="162" t="str">
        <f>IF(AND($C34="",$C33&lt;&gt;""),"Tổng Cộng",IFERROR(VLOOKUP($A34,Sheet1!$A$1:$D$98,4,0),""))</f>
        <v/>
      </c>
      <c r="H34" s="153" t="str">
        <f>IF($C33=MAX($C$8:$C$56),SUM($H$8:$H33),IFERROR($G34*$F34,""))</f>
        <v/>
      </c>
      <c r="I34" s="55" t="str">
        <f t="shared" si="2"/>
        <v/>
      </c>
      <c r="L34" s="31"/>
    </row>
    <row r="35" spans="1:12" s="29" customFormat="1" ht="14.25" customHeight="1" x14ac:dyDescent="0.25">
      <c r="A35" s="155" t="s">
        <v>301</v>
      </c>
      <c r="B35" s="155"/>
      <c r="C35" s="30" t="str">
        <f t="shared" si="0"/>
        <v/>
      </c>
      <c r="D35" s="152" t="str">
        <f>IFERROR(VLOOKUP($A35,Sheet1!$A$1:$B$98,2,0),"")</f>
        <v/>
      </c>
      <c r="E35" s="30" t="str">
        <f>IFERROR(VLOOKUP($A35,'Tổng Đơn'!$A$5:$E$75,5,0),"")</f>
        <v/>
      </c>
      <c r="F35" s="30" t="str">
        <f t="shared" si="1"/>
        <v/>
      </c>
      <c r="G35" s="162" t="str">
        <f>IF(AND($C35="",$C34&lt;&gt;""),"Tổng Cộng",IFERROR(VLOOKUP($A35,Sheet1!$A$1:$D$98,4,0),""))</f>
        <v/>
      </c>
      <c r="H35" s="153" t="str">
        <f>IF($C34=MAX($C$8:$C$56),SUM($H$8:$H34),IFERROR($G35*$F35,""))</f>
        <v/>
      </c>
      <c r="I35" s="55" t="str">
        <f t="shared" si="2"/>
        <v/>
      </c>
      <c r="L35" s="31"/>
    </row>
    <row r="36" spans="1:12" s="29" customFormat="1" ht="14.25" customHeight="1" x14ac:dyDescent="0.25">
      <c r="A36" s="155" t="s">
        <v>301</v>
      </c>
      <c r="B36" s="155"/>
      <c r="C36" s="30" t="str">
        <f t="shared" si="0"/>
        <v/>
      </c>
      <c r="D36" s="152" t="str">
        <f>IFERROR(VLOOKUP($A36,Sheet1!$A$1:$B$98,2,0),"")</f>
        <v/>
      </c>
      <c r="E36" s="30" t="str">
        <f>IFERROR(VLOOKUP($A36,'Tổng Đơn'!$A$5:$E$75,5,0),"")</f>
        <v/>
      </c>
      <c r="F36" s="30" t="str">
        <f t="shared" si="1"/>
        <v/>
      </c>
      <c r="G36" s="162" t="str">
        <f>IF(AND($C36="",$C35&lt;&gt;""),"Tổng Cộng",IFERROR(VLOOKUP($A36,Sheet1!$A$1:$D$98,4,0),""))</f>
        <v/>
      </c>
      <c r="H36" s="153" t="str">
        <f>IF($C35=MAX($C$8:$C$56),SUM($H$8:$H35),IFERROR($G36*$F36,""))</f>
        <v/>
      </c>
      <c r="I36" s="55" t="str">
        <f t="shared" si="2"/>
        <v/>
      </c>
      <c r="L36" s="31"/>
    </row>
    <row r="37" spans="1:12" s="29" customFormat="1" ht="14.25" customHeight="1" x14ac:dyDescent="0.25">
      <c r="A37" s="155" t="s">
        <v>301</v>
      </c>
      <c r="B37" s="155"/>
      <c r="C37" s="30" t="str">
        <f t="shared" si="0"/>
        <v/>
      </c>
      <c r="D37" s="152" t="str">
        <f>IFERROR(VLOOKUP($A37,Sheet1!$A$1:$B$98,2,0),"")</f>
        <v/>
      </c>
      <c r="E37" s="30" t="str">
        <f>IFERROR(VLOOKUP($A37,'Tổng Đơn'!$A$5:$E$75,5,0),"")</f>
        <v/>
      </c>
      <c r="F37" s="30" t="str">
        <f t="shared" si="1"/>
        <v/>
      </c>
      <c r="G37" s="162"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3"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75" priority="20">
      <formula>$C22=MAX($C$8:$C$37)</formula>
    </cfRule>
  </conditionalFormatting>
  <conditionalFormatting sqref="C23:C37">
    <cfRule type="expression" dxfId="174" priority="19">
      <formula>$C22=MAX($C$8:$C$37)</formula>
    </cfRule>
  </conditionalFormatting>
  <conditionalFormatting sqref="E23:E38">
    <cfRule type="expression" dxfId="173" priority="21">
      <formula>AND($A23="",$F23&lt;&gt;"")</formula>
    </cfRule>
  </conditionalFormatting>
  <conditionalFormatting sqref="F23:F38">
    <cfRule type="expression" dxfId="172" priority="22">
      <formula>AND($F23="",$A23&lt;&gt;"")</formula>
    </cfRule>
  </conditionalFormatting>
  <conditionalFormatting sqref="D20:H22">
    <cfRule type="expression" dxfId="171" priority="16">
      <formula>$C19=MAX($C$8:$C$37)</formula>
    </cfRule>
  </conditionalFormatting>
  <conditionalFormatting sqref="C20:C22">
    <cfRule type="expression" dxfId="170" priority="15">
      <formula>$C19=MAX($C$8:$C$37)</formula>
    </cfRule>
  </conditionalFormatting>
  <conditionalFormatting sqref="E20:E22">
    <cfRule type="expression" dxfId="169" priority="17">
      <formula>AND($A20="",$F20&lt;&gt;"")</formula>
    </cfRule>
  </conditionalFormatting>
  <conditionalFormatting sqref="F20:F22">
    <cfRule type="expression" dxfId="168" priority="18">
      <formula>AND($F20="",$A20&lt;&gt;"")</formula>
    </cfRule>
  </conditionalFormatting>
  <conditionalFormatting sqref="D17:H19">
    <cfRule type="expression" dxfId="167" priority="12">
      <formula>$C16=MAX($C$8:$C$37)</formula>
    </cfRule>
  </conditionalFormatting>
  <conditionalFormatting sqref="C17:C19">
    <cfRule type="expression" dxfId="166" priority="11">
      <formula>$C16=MAX($C$8:$C$37)</formula>
    </cfRule>
  </conditionalFormatting>
  <conditionalFormatting sqref="E17:E19">
    <cfRule type="expression" dxfId="165" priority="13">
      <formula>AND($A17="",$F17&lt;&gt;"")</formula>
    </cfRule>
  </conditionalFormatting>
  <conditionalFormatting sqref="F17:F19">
    <cfRule type="expression" dxfId="164" priority="14">
      <formula>AND($F17="",$A17&lt;&gt;"")</formula>
    </cfRule>
  </conditionalFormatting>
  <conditionalFormatting sqref="D15:H16 D9:G14">
    <cfRule type="expression" dxfId="163" priority="8">
      <formula>$C8=MAX($C$8:$C$37)</formula>
    </cfRule>
  </conditionalFormatting>
  <conditionalFormatting sqref="C9:C16">
    <cfRule type="expression" dxfId="162" priority="7">
      <formula>$C8=MAX($C$8:$C$37)</formula>
    </cfRule>
  </conditionalFormatting>
  <conditionalFormatting sqref="E9:E16">
    <cfRule type="expression" dxfId="161" priority="9">
      <formula>AND($A9="",$F9&lt;&gt;"")</formula>
    </cfRule>
  </conditionalFormatting>
  <conditionalFormatting sqref="F9:F16">
    <cfRule type="expression" dxfId="160" priority="10">
      <formula>AND($F9="",$A9&lt;&gt;"")</formula>
    </cfRule>
  </conditionalFormatting>
  <conditionalFormatting sqref="D8:G8">
    <cfRule type="expression" dxfId="159" priority="4">
      <formula>$C7=MAX($C$8:$C$37)</formula>
    </cfRule>
  </conditionalFormatting>
  <conditionalFormatting sqref="C8">
    <cfRule type="expression" dxfId="158" priority="3">
      <formula>$C7=MAX($C$8:$C$37)</formula>
    </cfRule>
  </conditionalFormatting>
  <conditionalFormatting sqref="E8">
    <cfRule type="expression" dxfId="157" priority="5">
      <formula>AND($A8="",$F8&lt;&gt;"")</formula>
    </cfRule>
  </conditionalFormatting>
  <conditionalFormatting sqref="F8">
    <cfRule type="expression" dxfId="156" priority="6">
      <formula>AND($F8="",$A8&lt;&gt;"")</formula>
    </cfRule>
  </conditionalFormatting>
  <conditionalFormatting sqref="H9:H14">
    <cfRule type="expression" dxfId="155" priority="2">
      <formula>$C8=MAX($C$8:$C$37)</formula>
    </cfRule>
  </conditionalFormatting>
  <conditionalFormatting sqref="H8">
    <cfRule type="expression" dxfId="154"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45203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4" t="s">
        <v>188</v>
      </c>
      <c r="D1" s="264"/>
      <c r="E1" s="264"/>
      <c r="F1" s="264"/>
      <c r="G1" s="264"/>
      <c r="H1" s="264"/>
    </row>
    <row r="2" spans="1:14" ht="15.75" customHeight="1" x14ac:dyDescent="0.25">
      <c r="C2" s="264"/>
      <c r="D2" s="264"/>
      <c r="E2" s="264"/>
      <c r="F2" s="264"/>
      <c r="G2" s="264"/>
      <c r="H2" s="264"/>
    </row>
    <row r="3" spans="1:14" ht="15" customHeight="1" x14ac:dyDescent="0.25">
      <c r="C3" s="265" t="s">
        <v>190</v>
      </c>
      <c r="D3" s="265"/>
      <c r="E3" s="265"/>
      <c r="F3" s="266" t="s">
        <v>192</v>
      </c>
      <c r="G3" s="266"/>
      <c r="H3" s="266"/>
    </row>
    <row r="4" spans="1:14" x14ac:dyDescent="0.25">
      <c r="C4" s="267" t="s">
        <v>191</v>
      </c>
      <c r="D4" s="267"/>
      <c r="E4" s="267"/>
      <c r="F4" s="268" t="s">
        <v>193</v>
      </c>
      <c r="G4" s="268"/>
      <c r="H4" s="268"/>
    </row>
    <row r="5" spans="1:14" s="145" customFormat="1" ht="21" customHeight="1" x14ac:dyDescent="0.25">
      <c r="C5" s="269" t="s">
        <v>189</v>
      </c>
      <c r="D5" s="269"/>
      <c r="E5" s="269"/>
      <c r="F5" s="269"/>
      <c r="G5" s="269"/>
      <c r="H5" s="269"/>
    </row>
    <row r="6" spans="1:14" s="145" customFormat="1" ht="17.25" customHeight="1" x14ac:dyDescent="0.25">
      <c r="C6" s="154" t="s">
        <v>194</v>
      </c>
      <c r="D6" s="158" t="s">
        <v>322</v>
      </c>
      <c r="E6" s="150"/>
      <c r="F6" s="150"/>
      <c r="G6" s="263" t="str">
        <f ca="1">"Ngày "&amp;DAY(TODAY())&amp;" Tháng "&amp;MONTH(TODAY())&amp;" Năm "&amp;YEAR(TODAY())</f>
        <v>Ngày 29 Tháng 8 Năm 2022</v>
      </c>
      <c r="H6" s="263"/>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1</v>
      </c>
      <c r="L7" s="145"/>
    </row>
    <row r="8" spans="1:14" s="29" customFormat="1" ht="14.25" customHeight="1" x14ac:dyDescent="0.25">
      <c r="A8" s="155">
        <v>57</v>
      </c>
      <c r="B8" s="155">
        <v>2</v>
      </c>
      <c r="C8" s="30">
        <f t="shared" ref="C8:C37" si="0">IF(OR(SUM($C7,$A8&lt;&gt;"")=0,$A8=""),"",SUM($C7,$A8&lt;&gt;""))</f>
        <v>1</v>
      </c>
      <c r="D8" s="152" t="str">
        <f>IFERROR(VLOOKUP($A8,Sheet1!$A$1:$B$98,2,0),"")</f>
        <v>Cá viên KK</v>
      </c>
      <c r="E8" s="30">
        <f>IFERROR(VLOOKUP($A8,'Tổng Đơn'!$A$5:$E$75,5,0),"")</f>
        <v>0.5</v>
      </c>
      <c r="F8" s="30">
        <f t="shared" ref="F8:F37" si="1">IF($B8="","",B8)</f>
        <v>2</v>
      </c>
      <c r="G8" s="162">
        <f>IFERROR(VLOOKUP($A8,Sheet1!$A1:$D$98,4,0),"")</f>
        <v>25000</v>
      </c>
      <c r="H8" s="153">
        <f>IF($C7=MAX($C$8:$C$56),SUM($H7:$H$8),IFERROR($G8*$F8,""))</f>
        <v>50000</v>
      </c>
      <c r="I8" s="55">
        <f t="shared" ref="I8:I37" si="2">IF(TYPE($A8)&lt;&gt;1,"",IFERROR(F8*E8,""))</f>
        <v>1</v>
      </c>
      <c r="L8" s="32"/>
    </row>
    <row r="9" spans="1:14" s="29" customFormat="1" ht="14.25" customHeight="1" x14ac:dyDescent="0.25">
      <c r="A9" s="155" t="s">
        <v>301</v>
      </c>
      <c r="B9" s="155"/>
      <c r="C9" s="30" t="str">
        <f t="shared" si="0"/>
        <v/>
      </c>
      <c r="D9" s="152" t="str">
        <f>IFERROR(VLOOKUP($A9,Sheet1!$A$1:$B$98,2,0),"")</f>
        <v/>
      </c>
      <c r="E9" s="30" t="str">
        <f>IFERROR(VLOOKUP($A9,'Tổng Đơn'!$A$5:$E$76,5,0),"")</f>
        <v/>
      </c>
      <c r="F9" s="30" t="str">
        <f t="shared" si="1"/>
        <v/>
      </c>
      <c r="G9" s="162" t="str">
        <f>IF(AND($C9="",$C8&lt;&gt;""),"Tổng Cộng",IFERROR(VLOOKUP($A9,Sheet1!$A$1:$D$98,4,0),""))</f>
        <v>Tổng Cộng</v>
      </c>
      <c r="H9" s="153">
        <f>IF($C8=MAX($C$8:$C$56),SUM($H$8:$H8),IFERROR($G9*$F9,""))</f>
        <v>50000</v>
      </c>
      <c r="I9" s="55" t="str">
        <f t="shared" si="2"/>
        <v/>
      </c>
      <c r="L9" s="31"/>
    </row>
    <row r="10" spans="1:14" s="29" customFormat="1" ht="14.25" customHeight="1" x14ac:dyDescent="0.25">
      <c r="A10" s="155" t="s">
        <v>301</v>
      </c>
      <c r="B10" s="155"/>
      <c r="C10" s="30" t="str">
        <f t="shared" si="0"/>
        <v/>
      </c>
      <c r="D10" s="152" t="str">
        <f>IFERROR(VLOOKUP($A10,Sheet1!$A$1:$B$98,2,0),"")</f>
        <v/>
      </c>
      <c r="E10" s="30" t="str">
        <f>IFERROR(VLOOKUP($A10,'Tổng Đơn'!$A$5:$E$76,5,0),"")</f>
        <v/>
      </c>
      <c r="F10" s="30" t="str">
        <f t="shared" si="1"/>
        <v/>
      </c>
      <c r="G10" s="162" t="str">
        <f>IF(AND($C10="",$C9&lt;&gt;""),"Tổng Cộng",IFERROR(VLOOKUP($A10,Sheet1!$A$1:$D$98,4,0),""))</f>
        <v/>
      </c>
      <c r="H10" s="153" t="str">
        <f>IF($C9=MAX($C$8:$C$56),SUM($H$8:$H9),IFERROR($G10*$F10,""))</f>
        <v/>
      </c>
      <c r="I10" s="55" t="str">
        <f t="shared" si="2"/>
        <v/>
      </c>
      <c r="L10" s="31"/>
    </row>
    <row r="11" spans="1:14" s="29" customFormat="1" ht="14.25" customHeight="1" x14ac:dyDescent="0.25">
      <c r="A11" s="155" t="s">
        <v>301</v>
      </c>
      <c r="B11" s="155"/>
      <c r="C11" s="30" t="str">
        <f t="shared" si="0"/>
        <v/>
      </c>
      <c r="D11" s="152" t="str">
        <f>IFERROR(VLOOKUP($A11,Sheet1!$A$1:$B$98,2,0),"")</f>
        <v/>
      </c>
      <c r="E11" s="30" t="str">
        <f>IFERROR(VLOOKUP($A11,'Tổng Đơn'!$A$5:$E$76,5,0),"")</f>
        <v/>
      </c>
      <c r="F11" s="30" t="str">
        <f t="shared" si="1"/>
        <v/>
      </c>
      <c r="G11" s="162" t="str">
        <f>IF(AND($C11="",$C10&lt;&gt;""),"Tổng Cộng",IFERROR(VLOOKUP($A11,Sheet1!$A$1:$D$98,4,0),""))</f>
        <v/>
      </c>
      <c r="H11" s="153" t="str">
        <f>IF($C10=MAX($C$8:$C$56),SUM($H$8:$H10),IFERROR($G11*$F11,""))</f>
        <v/>
      </c>
      <c r="I11" s="55" t="str">
        <f t="shared" si="2"/>
        <v/>
      </c>
      <c r="L11" s="31"/>
    </row>
    <row r="12" spans="1:14" s="29" customFormat="1" ht="14.25" customHeight="1" x14ac:dyDescent="0.25">
      <c r="A12" s="155" t="s">
        <v>301</v>
      </c>
      <c r="B12" s="155"/>
      <c r="C12" s="30" t="str">
        <f t="shared" si="0"/>
        <v/>
      </c>
      <c r="D12" s="152" t="str">
        <f>IFERROR(VLOOKUP($A12,Sheet1!$A$1:$B$98,2,0),"")</f>
        <v/>
      </c>
      <c r="E12" s="30" t="str">
        <f>IFERROR(VLOOKUP($A12,'Tổng Đơn'!$A$5:$E$76,5,0),"")</f>
        <v/>
      </c>
      <c r="F12" s="30" t="str">
        <f t="shared" si="1"/>
        <v/>
      </c>
      <c r="G12" s="162"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301</v>
      </c>
      <c r="B13" s="155"/>
      <c r="C13" s="30" t="str">
        <f t="shared" si="0"/>
        <v/>
      </c>
      <c r="D13" s="152" t="str">
        <f>IFERROR(VLOOKUP($A13,Sheet1!$A$1:$B$98,2,0),"")</f>
        <v/>
      </c>
      <c r="E13" s="30" t="str">
        <f>IFERROR(VLOOKUP($A13,'Tổng Đơn'!$A$5:$E$76,5,0),"")</f>
        <v/>
      </c>
      <c r="F13" s="30" t="str">
        <f t="shared" si="1"/>
        <v/>
      </c>
      <c r="G13" s="162" t="str">
        <f>IF(AND($C13="",$C12&lt;&gt;""),"Tổng Cộng",IFERROR(VLOOKUP($A13,Sheet1!$A$1:$D$98,4,0),""))</f>
        <v/>
      </c>
      <c r="H13" s="153" t="str">
        <f>IF($C12=MAX($C$8:$C$56),SUM($H$8:$H12),IFERROR($G13*$F13,""))</f>
        <v/>
      </c>
      <c r="I13" s="55" t="str">
        <f t="shared" si="2"/>
        <v/>
      </c>
      <c r="L13" s="31"/>
    </row>
    <row r="14" spans="1:14" s="29" customFormat="1" ht="14.25" customHeight="1" x14ac:dyDescent="0.25">
      <c r="A14" s="155" t="s">
        <v>301</v>
      </c>
      <c r="B14" s="155"/>
      <c r="C14" s="30" t="str">
        <f t="shared" si="0"/>
        <v/>
      </c>
      <c r="D14" s="152" t="str">
        <f>IFERROR(VLOOKUP($A14,Sheet1!$A$1:$B$98,2,0),"")</f>
        <v/>
      </c>
      <c r="E14" s="30" t="str">
        <f>IFERROR(VLOOKUP($A14,'Tổng Đơn'!$A$5:$E$76,5,0),"")</f>
        <v/>
      </c>
      <c r="F14" s="30" t="str">
        <f t="shared" si="1"/>
        <v/>
      </c>
      <c r="G14" s="162"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301</v>
      </c>
      <c r="B15" s="155"/>
      <c r="C15" s="30" t="str">
        <f t="shared" si="0"/>
        <v/>
      </c>
      <c r="D15" s="152" t="str">
        <f>IFERROR(VLOOKUP($A15,Sheet1!$A$1:$B$98,2,0),"")</f>
        <v/>
      </c>
      <c r="E15" s="30" t="str">
        <f>IFERROR(VLOOKUP($A15,'Tổng Đơn'!$A$5:$E$75,5,0),"")</f>
        <v/>
      </c>
      <c r="F15" s="30" t="str">
        <f t="shared" si="1"/>
        <v/>
      </c>
      <c r="G15" s="162" t="str">
        <f>IF(AND($C15="",$C14&lt;&gt;""),"Tổng Cộng",IFERROR(VLOOKUP($A15,Sheet1!$A$1:$D$98,4,0),""))</f>
        <v/>
      </c>
      <c r="H15" s="153" t="str">
        <f>IF($C14=MAX($C$8:$C$56),SUM($H$8:$H14),IFERROR($G15*$F15,""))</f>
        <v/>
      </c>
      <c r="I15" s="55" t="str">
        <f t="shared" si="2"/>
        <v/>
      </c>
      <c r="L15" s="31"/>
    </row>
    <row r="16" spans="1:14" s="29" customFormat="1" ht="14.25" customHeight="1" x14ac:dyDescent="0.25">
      <c r="A16" s="155" t="s">
        <v>301</v>
      </c>
      <c r="B16" s="155"/>
      <c r="C16" s="30" t="str">
        <f t="shared" si="0"/>
        <v/>
      </c>
      <c r="D16" s="152" t="str">
        <f>IFERROR(VLOOKUP($A16,Sheet1!$A$1:$B$98,2,0),"")</f>
        <v/>
      </c>
      <c r="E16" s="30" t="str">
        <f>IFERROR(VLOOKUP($A16,'Tổng Đơn'!$A$5:$E$75,5,0),"")</f>
        <v/>
      </c>
      <c r="F16" s="30" t="str">
        <f t="shared" si="1"/>
        <v/>
      </c>
      <c r="G16" s="162" t="str">
        <f>IF(AND($C16="",$C15&lt;&gt;""),"Tổng Cộng",IFERROR(VLOOKUP($A16,Sheet1!$A$1:$D$98,4,0),""))</f>
        <v/>
      </c>
      <c r="H16" s="153" t="str">
        <f>IF($C15=MAX($C$8:$C$56),SUM($H$8:$H15),IFERROR($G16*$F16,""))</f>
        <v/>
      </c>
      <c r="I16" s="55" t="str">
        <f t="shared" si="2"/>
        <v/>
      </c>
      <c r="L16" s="31"/>
    </row>
    <row r="17" spans="1:12" s="29" customFormat="1" ht="14.25" customHeight="1" x14ac:dyDescent="0.25">
      <c r="A17" s="155" t="s">
        <v>301</v>
      </c>
      <c r="B17" s="155"/>
      <c r="C17" s="30" t="str">
        <f t="shared" si="0"/>
        <v/>
      </c>
      <c r="D17" s="161" t="str">
        <f>IFERROR(VLOOKUP($A17,Sheet1!$A$1:$B$98,2,0),"")</f>
        <v/>
      </c>
      <c r="E17" s="30" t="str">
        <f>IFERROR(VLOOKUP($A17,'Tổng Đơn'!$A$5:$E$75,5,0),"")</f>
        <v/>
      </c>
      <c r="F17" s="30" t="str">
        <f t="shared" si="1"/>
        <v/>
      </c>
      <c r="G17" s="162" t="str">
        <f>IF(AND($C17="",$C16&lt;&gt;""),"Tổng Cộng",IFERROR(VLOOKUP($A17,Sheet1!$A$1:$D$98,4,0),""))</f>
        <v/>
      </c>
      <c r="H17" s="153" t="str">
        <f>IF($C16=MAX($C$8:$C$56),SUM($H$8:$H16),IFERROR($G17*$F17,""))</f>
        <v/>
      </c>
      <c r="I17" s="55" t="str">
        <f t="shared" si="2"/>
        <v/>
      </c>
      <c r="L17" s="31"/>
    </row>
    <row r="18" spans="1:12" s="29" customFormat="1" ht="14.25" customHeight="1" x14ac:dyDescent="0.25">
      <c r="A18" s="155" t="s">
        <v>301</v>
      </c>
      <c r="B18" s="155"/>
      <c r="C18" s="30" t="str">
        <f t="shared" si="0"/>
        <v/>
      </c>
      <c r="D18" s="161" t="str">
        <f>IFERROR(VLOOKUP($A18,Sheet1!$A$1:$B$98,2,0),"")</f>
        <v/>
      </c>
      <c r="E18" s="30" t="str">
        <f>IFERROR(VLOOKUP($A18,'Tổng Đơn'!$A$5:$E$75,5,0),"")</f>
        <v/>
      </c>
      <c r="F18" s="30" t="str">
        <f t="shared" si="1"/>
        <v/>
      </c>
      <c r="G18" s="162" t="str">
        <f>IF(AND($C18="",$C17&lt;&gt;""),"Tổng Cộng",IFERROR(VLOOKUP($A18,Sheet1!$A$1:$D$98,4,0),""))</f>
        <v/>
      </c>
      <c r="H18" s="153" t="str">
        <f>IF($C17=MAX($C$8:$C$56),SUM($H$8:$H17),IFERROR($G18*$F18,""))</f>
        <v/>
      </c>
      <c r="I18" s="55" t="str">
        <f t="shared" si="2"/>
        <v/>
      </c>
      <c r="L18" s="31"/>
    </row>
    <row r="19" spans="1:12" s="29" customFormat="1" ht="14.25" customHeight="1" x14ac:dyDescent="0.25">
      <c r="A19" s="155" t="s">
        <v>301</v>
      </c>
      <c r="B19" s="155"/>
      <c r="C19" s="30" t="str">
        <f t="shared" si="0"/>
        <v/>
      </c>
      <c r="D19" s="161" t="str">
        <f>IFERROR(VLOOKUP($A19,Sheet1!$A$1:$B$98,2,0),"")</f>
        <v/>
      </c>
      <c r="E19" s="30" t="str">
        <f>IFERROR(VLOOKUP($A19,'Tổng Đơn'!$A$5:$E$75,5,0),"")</f>
        <v/>
      </c>
      <c r="F19" s="30" t="str">
        <f t="shared" si="1"/>
        <v/>
      </c>
      <c r="G19" s="162" t="str">
        <f>IF(AND($C19="",$C18&lt;&gt;""),"Tổng Cộng",IFERROR(VLOOKUP($A19,Sheet1!$A$1:$D$98,4,0),""))</f>
        <v/>
      </c>
      <c r="H19" s="153" t="str">
        <f>IF($C18=MAX($C$8:$C$56),SUM($H$8:$H18),IFERROR($G19*$F19,""))</f>
        <v/>
      </c>
      <c r="I19" s="55" t="str">
        <f t="shared" si="2"/>
        <v/>
      </c>
      <c r="L19" s="31"/>
    </row>
    <row r="20" spans="1:12" s="29" customFormat="1" ht="14.25" customHeight="1" x14ac:dyDescent="0.25">
      <c r="A20" s="155" t="s">
        <v>301</v>
      </c>
      <c r="B20" s="155"/>
      <c r="C20" s="30" t="str">
        <f t="shared" si="0"/>
        <v/>
      </c>
      <c r="D20" s="161" t="str">
        <f>IFERROR(VLOOKUP($A20,Sheet1!$A$1:$B$98,2,0),"")</f>
        <v/>
      </c>
      <c r="E20" s="30" t="str">
        <f>IFERROR(VLOOKUP($A20,'Tổng Đơn'!$A$5:$E$75,5,0),"")</f>
        <v/>
      </c>
      <c r="F20" s="30" t="str">
        <f t="shared" si="1"/>
        <v/>
      </c>
      <c r="G20" s="162" t="str">
        <f>IF(AND($C20="",$C19&lt;&gt;""),"Tổng Cộng",IFERROR(VLOOKUP($A20,Sheet1!$A$1:$D$98,4,0),""))</f>
        <v/>
      </c>
      <c r="H20" s="153" t="str">
        <f>IF($C19=MAX($C$8:$C$56),SUM($H$8:$H19),IFERROR($G20*$F20,""))</f>
        <v/>
      </c>
      <c r="I20" s="55" t="str">
        <f t="shared" si="2"/>
        <v/>
      </c>
      <c r="L20" s="31"/>
    </row>
    <row r="21" spans="1:12" s="29" customFormat="1" ht="14.25" customHeight="1" x14ac:dyDescent="0.25">
      <c r="A21" s="155" t="s">
        <v>301</v>
      </c>
      <c r="B21" s="155"/>
      <c r="C21" s="30" t="str">
        <f t="shared" si="0"/>
        <v/>
      </c>
      <c r="D21" s="161" t="str">
        <f>IFERROR(VLOOKUP($A21,Sheet1!$A$1:$B$98,2,0),"")</f>
        <v/>
      </c>
      <c r="E21" s="30" t="str">
        <f>IFERROR(VLOOKUP($A21,'Tổng Đơn'!$A$5:$E$75,5,0),"")</f>
        <v/>
      </c>
      <c r="F21" s="30" t="str">
        <f t="shared" si="1"/>
        <v/>
      </c>
      <c r="G21" s="162" t="str">
        <f>IF(AND($C21="",$C20&lt;&gt;""),"Tổng Cộng",IFERROR(VLOOKUP($A21,Sheet1!$A$1:$D$98,4,0),""))</f>
        <v/>
      </c>
      <c r="H21" s="153" t="str">
        <f>IF($C20=MAX($C$8:$C$56),SUM($H$8:$H20),IFERROR($G21*$F21,""))</f>
        <v/>
      </c>
      <c r="I21" s="55" t="str">
        <f t="shared" si="2"/>
        <v/>
      </c>
      <c r="L21" s="31"/>
    </row>
    <row r="22" spans="1:12" s="29" customFormat="1" ht="14.25" customHeight="1" x14ac:dyDescent="0.25">
      <c r="A22" s="155" t="s">
        <v>301</v>
      </c>
      <c r="B22" s="155"/>
      <c r="C22" s="30" t="str">
        <f t="shared" si="0"/>
        <v/>
      </c>
      <c r="D22" s="152" t="str">
        <f>IFERROR(VLOOKUP($A22,Sheet1!$A$1:$B$98,2,0),"")</f>
        <v/>
      </c>
      <c r="E22" s="30" t="str">
        <f>IFERROR(VLOOKUP($A22,'Tổng Đơn'!$A$5:$E$75,5,0),"")</f>
        <v/>
      </c>
      <c r="F22" s="30" t="str">
        <f t="shared" si="1"/>
        <v/>
      </c>
      <c r="G22" s="162" t="str">
        <f>IF(AND($C22="",$C21&lt;&gt;""),"Tổng Cộng",IFERROR(VLOOKUP($A22,Sheet1!$A$1:$D$98,4,0),""))</f>
        <v/>
      </c>
      <c r="H22" s="153" t="str">
        <f>IF($C21=MAX($C$8:$C$56),SUM($H$8:$H21),IFERROR($G22*$F22,""))</f>
        <v/>
      </c>
      <c r="I22" s="55" t="str">
        <f t="shared" si="2"/>
        <v/>
      </c>
      <c r="L22" s="31"/>
    </row>
    <row r="23" spans="1:12" s="29" customFormat="1" ht="14.25" customHeight="1" x14ac:dyDescent="0.25">
      <c r="A23" s="155" t="s">
        <v>301</v>
      </c>
      <c r="B23" s="155"/>
      <c r="C23" s="30" t="str">
        <f t="shared" si="0"/>
        <v/>
      </c>
      <c r="D23" s="152" t="str">
        <f>IFERROR(VLOOKUP($A23,Sheet1!$A$1:$B$98,2,0),"")</f>
        <v/>
      </c>
      <c r="E23" s="30" t="str">
        <f>IFERROR(VLOOKUP($A23,'Tổng Đơn'!$A$5:$E$75,5,0),"")</f>
        <v/>
      </c>
      <c r="F23" s="30" t="str">
        <f t="shared" si="1"/>
        <v/>
      </c>
      <c r="G23" s="162" t="str">
        <f>IF(AND($C23="",$C22&lt;&gt;""),"Tổng Cộng",IFERROR(VLOOKUP($A23,Sheet1!$A$1:$D$98,4,0),""))</f>
        <v/>
      </c>
      <c r="H23" s="153" t="str">
        <f>IF($C22=MAX($C$8:$C$56),SUM($H$8:$H22),IFERROR($G23*$F23,""))</f>
        <v/>
      </c>
      <c r="I23" s="55" t="str">
        <f t="shared" si="2"/>
        <v/>
      </c>
      <c r="L23" s="31"/>
    </row>
    <row r="24" spans="1:12" s="29" customFormat="1" ht="14.25" customHeight="1" x14ac:dyDescent="0.25">
      <c r="A24" s="155" t="s">
        <v>301</v>
      </c>
      <c r="B24" s="155"/>
      <c r="C24" s="30" t="str">
        <f t="shared" si="0"/>
        <v/>
      </c>
      <c r="D24" s="152" t="str">
        <f>IFERROR(VLOOKUP($A24,Sheet1!$A$1:$B$98,2,0),"")</f>
        <v/>
      </c>
      <c r="E24" s="30" t="str">
        <f>IFERROR(VLOOKUP($A24,'Tổng Đơn'!$A$5:$E$75,5,0),"")</f>
        <v/>
      </c>
      <c r="F24" s="30" t="str">
        <f t="shared" si="1"/>
        <v/>
      </c>
      <c r="G24" s="162" t="str">
        <f>IF(AND($C24="",$C23&lt;&gt;""),"Tổng Cộng",IFERROR(VLOOKUP($A24,Sheet1!$A$1:$D$98,4,0),""))</f>
        <v/>
      </c>
      <c r="H24" s="153" t="str">
        <f>IF($C23=MAX($C$8:$C$56),SUM($H$8:$H23),IFERROR($G24*$F24,""))</f>
        <v/>
      </c>
      <c r="I24" s="55" t="str">
        <f t="shared" si="2"/>
        <v/>
      </c>
      <c r="L24" s="31"/>
    </row>
    <row r="25" spans="1:12" s="29" customFormat="1" ht="14.25" customHeight="1" x14ac:dyDescent="0.25">
      <c r="A25" s="155" t="s">
        <v>301</v>
      </c>
      <c r="B25" s="155"/>
      <c r="C25" s="30" t="str">
        <f t="shared" si="0"/>
        <v/>
      </c>
      <c r="D25" s="152" t="str">
        <f>IFERROR(VLOOKUP($A25,Sheet1!$A$1:$B$98,2,0),"")</f>
        <v/>
      </c>
      <c r="E25" s="30" t="str">
        <f>IFERROR(VLOOKUP($A25,'Tổng Đơn'!$A$5:$E$75,5,0),"")</f>
        <v/>
      </c>
      <c r="F25" s="30" t="str">
        <f t="shared" si="1"/>
        <v/>
      </c>
      <c r="G25" s="162" t="str">
        <f>IF(AND($C25="",$C24&lt;&gt;""),"Tổng Cộng",IFERROR(VLOOKUP($A25,Sheet1!$A$1:$D$98,4,0),""))</f>
        <v/>
      </c>
      <c r="H25" s="153" t="str">
        <f>IF($C24=MAX($C$8:$C$56),SUM($H$8:$H24),IFERROR($G25*$F25,""))</f>
        <v/>
      </c>
      <c r="I25" s="55" t="str">
        <f t="shared" si="2"/>
        <v/>
      </c>
      <c r="L25" s="31"/>
    </row>
    <row r="26" spans="1:12" s="29" customFormat="1" ht="14.25" customHeight="1" x14ac:dyDescent="0.25">
      <c r="A26" s="155" t="s">
        <v>301</v>
      </c>
      <c r="B26" s="155"/>
      <c r="C26" s="30" t="str">
        <f t="shared" si="0"/>
        <v/>
      </c>
      <c r="D26" s="152" t="str">
        <f>IFERROR(VLOOKUP($A26,Sheet1!$A$1:$B$98,2,0),"")</f>
        <v/>
      </c>
      <c r="E26" s="30" t="str">
        <f>IFERROR(VLOOKUP($A26,'Tổng Đơn'!$A$5:$E$75,5,0),"")</f>
        <v/>
      </c>
      <c r="F26" s="30" t="str">
        <f t="shared" si="1"/>
        <v/>
      </c>
      <c r="G26" s="162" t="str">
        <f>IF(AND($C26="",$C25&lt;&gt;""),"Tổng Cộng",IFERROR(VLOOKUP($A26,Sheet1!$A$1:$D$98,4,0),""))</f>
        <v/>
      </c>
      <c r="H26" s="153" t="str">
        <f>IF($C25=MAX($C$8:$C$56),SUM($H$8:$H25),IFERROR($G26*$F26,""))</f>
        <v/>
      </c>
      <c r="I26" s="55" t="str">
        <f t="shared" si="2"/>
        <v/>
      </c>
      <c r="L26" s="31"/>
    </row>
    <row r="27" spans="1:12" s="29" customFormat="1" ht="14.25" customHeight="1" x14ac:dyDescent="0.25">
      <c r="A27" s="155" t="s">
        <v>301</v>
      </c>
      <c r="B27" s="155"/>
      <c r="C27" s="30" t="str">
        <f t="shared" si="0"/>
        <v/>
      </c>
      <c r="D27" s="152" t="str">
        <f>IFERROR(VLOOKUP($A27,Sheet1!$A$1:$B$98,2,0),"")</f>
        <v/>
      </c>
      <c r="E27" s="30" t="str">
        <f>IFERROR(VLOOKUP($A27,'Tổng Đơn'!$A$5:$E$75,5,0),"")</f>
        <v/>
      </c>
      <c r="F27" s="30" t="str">
        <f t="shared" si="1"/>
        <v/>
      </c>
      <c r="G27" s="162" t="str">
        <f>IF(AND($C27="",$C26&lt;&gt;""),"Tổng Cộng",IFERROR(VLOOKUP($A27,Sheet1!$A$1:$D$98,4,0),""))</f>
        <v/>
      </c>
      <c r="H27" s="153" t="str">
        <f>IF($C26=MAX($C$8:$C$56),SUM($H$8:$H26),IFERROR($G27*$F27,""))</f>
        <v/>
      </c>
      <c r="I27" s="55" t="str">
        <f t="shared" si="2"/>
        <v/>
      </c>
      <c r="L27" s="31"/>
    </row>
    <row r="28" spans="1:12" s="29" customFormat="1" ht="14.25" customHeight="1" x14ac:dyDescent="0.25">
      <c r="A28" s="155" t="s">
        <v>301</v>
      </c>
      <c r="B28" s="155"/>
      <c r="C28" s="30" t="str">
        <f t="shared" si="0"/>
        <v/>
      </c>
      <c r="D28" s="152" t="str">
        <f>IFERROR(VLOOKUP($A28,Sheet1!$A$1:$B$98,2,0),"")</f>
        <v/>
      </c>
      <c r="E28" s="30" t="str">
        <f>IFERROR(VLOOKUP($A28,'Tổng Đơn'!$A$5:$E$75,5,0),"")</f>
        <v/>
      </c>
      <c r="F28" s="30" t="str">
        <f t="shared" si="1"/>
        <v/>
      </c>
      <c r="G28" s="162" t="str">
        <f>IF(AND($C28="",$C27&lt;&gt;""),"Tổng Cộng",IFERROR(VLOOKUP($A28,Sheet1!$A$1:$D$98,4,0),""))</f>
        <v/>
      </c>
      <c r="H28" s="153" t="str">
        <f>IF($C27=MAX($C$8:$C$56),SUM($H$8:$H27),IFERROR($G28*$F28,""))</f>
        <v/>
      </c>
      <c r="I28" s="55" t="str">
        <f t="shared" si="2"/>
        <v/>
      </c>
      <c r="L28" s="31"/>
    </row>
    <row r="29" spans="1:12" s="29" customFormat="1" ht="14.25" customHeight="1" x14ac:dyDescent="0.25">
      <c r="A29" s="155" t="s">
        <v>301</v>
      </c>
      <c r="B29" s="155"/>
      <c r="C29" s="30" t="str">
        <f t="shared" si="0"/>
        <v/>
      </c>
      <c r="D29" s="152" t="str">
        <f>IFERROR(VLOOKUP($A29,Sheet1!$A$1:$B$98,2,0),"")</f>
        <v/>
      </c>
      <c r="E29" s="30" t="str">
        <f>IFERROR(VLOOKUP($A29,'Tổng Đơn'!$A$5:$E$75,5,0),"")</f>
        <v/>
      </c>
      <c r="F29" s="30" t="str">
        <f t="shared" si="1"/>
        <v/>
      </c>
      <c r="G29" s="162" t="str">
        <f>IF(AND($C29="",$C28&lt;&gt;""),"Tổng Cộng",IFERROR(VLOOKUP($A29,Sheet1!$A$1:$D$98,4,0),""))</f>
        <v/>
      </c>
      <c r="H29" s="153" t="str">
        <f>IF($C28=MAX($C$8:$C$56),SUM($H$8:$H28),IFERROR($G29*$F29,""))</f>
        <v/>
      </c>
      <c r="I29" s="55" t="str">
        <f t="shared" si="2"/>
        <v/>
      </c>
      <c r="L29" s="31"/>
    </row>
    <row r="30" spans="1:12" s="29" customFormat="1" ht="14.25" customHeight="1" x14ac:dyDescent="0.25">
      <c r="A30" s="155" t="s">
        <v>301</v>
      </c>
      <c r="B30" s="155"/>
      <c r="C30" s="30" t="str">
        <f t="shared" si="0"/>
        <v/>
      </c>
      <c r="D30" s="152" t="str">
        <f>IFERROR(VLOOKUP($A30,Sheet1!$A$1:$B$98,2,0),"")</f>
        <v/>
      </c>
      <c r="E30" s="30" t="str">
        <f>IFERROR(VLOOKUP($A30,'Tổng Đơn'!$A$5:$E$75,5,0),"")</f>
        <v/>
      </c>
      <c r="F30" s="30" t="str">
        <f t="shared" si="1"/>
        <v/>
      </c>
      <c r="G30" s="162" t="str">
        <f>IF(AND($C30="",$C29&lt;&gt;""),"Tổng Cộng",IFERROR(VLOOKUP($A30,Sheet1!$A$1:$D$98,4,0),""))</f>
        <v/>
      </c>
      <c r="H30" s="153" t="str">
        <f>IF($C29=MAX($C$8:$C$56),SUM($H$8:$H29),IFERROR($G30*$F30,""))</f>
        <v/>
      </c>
      <c r="I30" s="55" t="str">
        <f t="shared" si="2"/>
        <v/>
      </c>
      <c r="L30" s="31"/>
    </row>
    <row r="31" spans="1:12" s="29" customFormat="1" ht="14.25" customHeight="1" x14ac:dyDescent="0.25">
      <c r="A31" s="155" t="s">
        <v>301</v>
      </c>
      <c r="B31" s="155"/>
      <c r="C31" s="30" t="str">
        <f t="shared" si="0"/>
        <v/>
      </c>
      <c r="D31" s="152" t="str">
        <f>IFERROR(VLOOKUP($A31,Sheet1!$A$1:$B$98,2,0),"")</f>
        <v/>
      </c>
      <c r="E31" s="30" t="str">
        <f>IFERROR(VLOOKUP($A31,'Tổng Đơn'!$A$5:$E$75,5,0),"")</f>
        <v/>
      </c>
      <c r="F31" s="30" t="str">
        <f t="shared" si="1"/>
        <v/>
      </c>
      <c r="G31" s="162" t="str">
        <f>IF(AND($C31="",$C30&lt;&gt;""),"Tổng Cộng",IFERROR(VLOOKUP($A31,Sheet1!$A$1:$D$98,4,0),""))</f>
        <v/>
      </c>
      <c r="H31" s="153" t="str">
        <f>IF($C30=MAX($C$8:$C$56),SUM($H$8:$H30),IFERROR($G31*$F31,""))</f>
        <v/>
      </c>
      <c r="I31" s="55" t="str">
        <f t="shared" si="2"/>
        <v/>
      </c>
      <c r="L31" s="31"/>
    </row>
    <row r="32" spans="1:12" s="29" customFormat="1" ht="14.25" customHeight="1" x14ac:dyDescent="0.25">
      <c r="A32" s="155" t="s">
        <v>301</v>
      </c>
      <c r="B32" s="155"/>
      <c r="C32" s="30" t="str">
        <f t="shared" si="0"/>
        <v/>
      </c>
      <c r="D32" s="152" t="str">
        <f>IFERROR(VLOOKUP($A32,Sheet1!$A$1:$B$98,2,0),"")</f>
        <v/>
      </c>
      <c r="E32" s="30" t="str">
        <f>IFERROR(VLOOKUP($A32,'Tổng Đơn'!$A$5:$E$75,5,0),"")</f>
        <v/>
      </c>
      <c r="F32" s="30" t="str">
        <f t="shared" si="1"/>
        <v/>
      </c>
      <c r="G32" s="162" t="str">
        <f>IF(AND($C32="",$C31&lt;&gt;""),"Tổng Cộng",IFERROR(VLOOKUP($A32,Sheet1!$A$1:$D$98,4,0),""))</f>
        <v/>
      </c>
      <c r="H32" s="153" t="str">
        <f>IF($C31=MAX($C$8:$C$56),SUM($H$8:$H31),IFERROR($G32*$F32,""))</f>
        <v/>
      </c>
      <c r="I32" s="55" t="str">
        <f t="shared" si="2"/>
        <v/>
      </c>
      <c r="L32" s="31"/>
    </row>
    <row r="33" spans="1:12" s="29" customFormat="1" ht="14.25" customHeight="1" x14ac:dyDescent="0.25">
      <c r="A33" s="155" t="s">
        <v>301</v>
      </c>
      <c r="B33" s="155"/>
      <c r="C33" s="30" t="str">
        <f t="shared" si="0"/>
        <v/>
      </c>
      <c r="D33" s="152" t="str">
        <f>IFERROR(VLOOKUP($A33,Sheet1!$A$1:$B$98,2,0),"")</f>
        <v/>
      </c>
      <c r="E33" s="30" t="str">
        <f>IFERROR(VLOOKUP($A33,'Tổng Đơn'!$A$5:$E$75,5,0),"")</f>
        <v/>
      </c>
      <c r="F33" s="30" t="str">
        <f t="shared" si="1"/>
        <v/>
      </c>
      <c r="G33" s="162" t="str">
        <f>IF(AND($C33="",$C32&lt;&gt;""),"Tổng Cộng",IFERROR(VLOOKUP($A33,Sheet1!$A$1:$D$98,4,0),""))</f>
        <v/>
      </c>
      <c r="H33" s="153" t="str">
        <f>IF($C32=MAX($C$8:$C$56),SUM($H$8:$H32),IFERROR($G33*$F33,""))</f>
        <v/>
      </c>
      <c r="I33" s="55" t="str">
        <f t="shared" si="2"/>
        <v/>
      </c>
      <c r="L33" s="31"/>
    </row>
    <row r="34" spans="1:12" s="29" customFormat="1" ht="14.25" customHeight="1" x14ac:dyDescent="0.25">
      <c r="A34" s="155" t="s">
        <v>301</v>
      </c>
      <c r="B34" s="155"/>
      <c r="C34" s="30" t="str">
        <f t="shared" si="0"/>
        <v/>
      </c>
      <c r="D34" s="152" t="str">
        <f>IFERROR(VLOOKUP($A34,Sheet1!$A$1:$B$98,2,0),"")</f>
        <v/>
      </c>
      <c r="E34" s="30" t="str">
        <f>IFERROR(VLOOKUP($A34,'Tổng Đơn'!$A$5:$E$75,5,0),"")</f>
        <v/>
      </c>
      <c r="F34" s="30" t="str">
        <f t="shared" si="1"/>
        <v/>
      </c>
      <c r="G34" s="162" t="str">
        <f>IF(AND($C34="",$C33&lt;&gt;""),"Tổng Cộng",IFERROR(VLOOKUP($A34,Sheet1!$A$1:$D$98,4,0),""))</f>
        <v/>
      </c>
      <c r="H34" s="153" t="str">
        <f>IF($C33=MAX($C$8:$C$56),SUM($H$8:$H33),IFERROR($G34*$F34,""))</f>
        <v/>
      </c>
      <c r="I34" s="55" t="str">
        <f t="shared" si="2"/>
        <v/>
      </c>
      <c r="L34" s="31"/>
    </row>
    <row r="35" spans="1:12" s="29" customFormat="1" ht="14.25" customHeight="1" x14ac:dyDescent="0.25">
      <c r="A35" s="155" t="s">
        <v>301</v>
      </c>
      <c r="B35" s="155"/>
      <c r="C35" s="30" t="str">
        <f t="shared" si="0"/>
        <v/>
      </c>
      <c r="D35" s="152" t="str">
        <f>IFERROR(VLOOKUP($A35,Sheet1!$A$1:$B$98,2,0),"")</f>
        <v/>
      </c>
      <c r="E35" s="30" t="str">
        <f>IFERROR(VLOOKUP($A35,'Tổng Đơn'!$A$5:$E$75,5,0),"")</f>
        <v/>
      </c>
      <c r="F35" s="30" t="str">
        <f t="shared" si="1"/>
        <v/>
      </c>
      <c r="G35" s="162" t="str">
        <f>IF(AND($C35="",$C34&lt;&gt;""),"Tổng Cộng",IFERROR(VLOOKUP($A35,Sheet1!$A$1:$D$98,4,0),""))</f>
        <v/>
      </c>
      <c r="H35" s="153" t="str">
        <f>IF($C34=MAX($C$8:$C$56),SUM($H$8:$H34),IFERROR($G35*$F35,""))</f>
        <v/>
      </c>
      <c r="I35" s="55" t="str">
        <f t="shared" si="2"/>
        <v/>
      </c>
      <c r="L35" s="31"/>
    </row>
    <row r="36" spans="1:12" s="29" customFormat="1" ht="14.25" customHeight="1" x14ac:dyDescent="0.25">
      <c r="A36" s="155" t="s">
        <v>301</v>
      </c>
      <c r="B36" s="155"/>
      <c r="C36" s="30" t="str">
        <f t="shared" si="0"/>
        <v/>
      </c>
      <c r="D36" s="152" t="str">
        <f>IFERROR(VLOOKUP($A36,Sheet1!$A$1:$B$98,2,0),"")</f>
        <v/>
      </c>
      <c r="E36" s="30" t="str">
        <f>IFERROR(VLOOKUP($A36,'Tổng Đơn'!$A$5:$E$75,5,0),"")</f>
        <v/>
      </c>
      <c r="F36" s="30" t="str">
        <f t="shared" si="1"/>
        <v/>
      </c>
      <c r="G36" s="162" t="str">
        <f>IF(AND($C36="",$C35&lt;&gt;""),"Tổng Cộng",IFERROR(VLOOKUP($A36,Sheet1!$A$1:$D$98,4,0),""))</f>
        <v/>
      </c>
      <c r="H36" s="153" t="str">
        <f>IF($C35=MAX($C$8:$C$56),SUM($H$8:$H35),IFERROR($G36*$F36,""))</f>
        <v/>
      </c>
      <c r="I36" s="55" t="str">
        <f t="shared" si="2"/>
        <v/>
      </c>
      <c r="L36" s="31"/>
    </row>
    <row r="37" spans="1:12" s="29" customFormat="1" ht="14.25" customHeight="1" x14ac:dyDescent="0.25">
      <c r="A37" s="155" t="s">
        <v>301</v>
      </c>
      <c r="B37" s="155"/>
      <c r="C37" s="30" t="str">
        <f t="shared" si="0"/>
        <v/>
      </c>
      <c r="D37" s="152" t="str">
        <f>IFERROR(VLOOKUP($A37,Sheet1!$A$1:$B$98,2,0),"")</f>
        <v/>
      </c>
      <c r="E37" s="30" t="str">
        <f>IFERROR(VLOOKUP($A37,'Tổng Đơn'!$A$5:$E$75,5,0),"")</f>
        <v/>
      </c>
      <c r="F37" s="30" t="str">
        <f t="shared" si="1"/>
        <v/>
      </c>
      <c r="G37" s="162"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3"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53" priority="20">
      <formula>$C22=MAX($C$8:$C$37)</formula>
    </cfRule>
  </conditionalFormatting>
  <conditionalFormatting sqref="C23:C37">
    <cfRule type="expression" dxfId="152" priority="19">
      <formula>$C22=MAX($C$8:$C$37)</formula>
    </cfRule>
  </conditionalFormatting>
  <conditionalFormatting sqref="E23:E38">
    <cfRule type="expression" dxfId="151" priority="21">
      <formula>AND($A23="",$F23&lt;&gt;"")</formula>
    </cfRule>
  </conditionalFormatting>
  <conditionalFormatting sqref="F23:F38">
    <cfRule type="expression" dxfId="150" priority="22">
      <formula>AND($F23="",$A23&lt;&gt;"")</formula>
    </cfRule>
  </conditionalFormatting>
  <conditionalFormatting sqref="D20:H22">
    <cfRule type="expression" dxfId="149" priority="16">
      <formula>$C19=MAX($C$8:$C$37)</formula>
    </cfRule>
  </conditionalFormatting>
  <conditionalFormatting sqref="C20:C22">
    <cfRule type="expression" dxfId="148" priority="15">
      <formula>$C19=MAX($C$8:$C$37)</formula>
    </cfRule>
  </conditionalFormatting>
  <conditionalFormatting sqref="E20:E22">
    <cfRule type="expression" dxfId="147" priority="17">
      <formula>AND($A20="",$F20&lt;&gt;"")</formula>
    </cfRule>
  </conditionalFormatting>
  <conditionalFormatting sqref="F20:F22">
    <cfRule type="expression" dxfId="146" priority="18">
      <formula>AND($F20="",$A20&lt;&gt;"")</formula>
    </cfRule>
  </conditionalFormatting>
  <conditionalFormatting sqref="D17:H19">
    <cfRule type="expression" dxfId="145" priority="12">
      <formula>$C16=MAX($C$8:$C$37)</formula>
    </cfRule>
  </conditionalFormatting>
  <conditionalFormatting sqref="C17:C19">
    <cfRule type="expression" dxfId="144" priority="11">
      <formula>$C16=MAX($C$8:$C$37)</formula>
    </cfRule>
  </conditionalFormatting>
  <conditionalFormatting sqref="E17:E19">
    <cfRule type="expression" dxfId="143" priority="13">
      <formula>AND($A17="",$F17&lt;&gt;"")</formula>
    </cfRule>
  </conditionalFormatting>
  <conditionalFormatting sqref="F17:F19">
    <cfRule type="expression" dxfId="142" priority="14">
      <formula>AND($F17="",$A17&lt;&gt;"")</formula>
    </cfRule>
  </conditionalFormatting>
  <conditionalFormatting sqref="D15:H16 D9:G14">
    <cfRule type="expression" dxfId="141" priority="8">
      <formula>$C8=MAX($C$8:$C$37)</formula>
    </cfRule>
  </conditionalFormatting>
  <conditionalFormatting sqref="C9:C16">
    <cfRule type="expression" dxfId="140" priority="7">
      <formula>$C8=MAX($C$8:$C$37)</formula>
    </cfRule>
  </conditionalFormatting>
  <conditionalFormatting sqref="E9:E16">
    <cfRule type="expression" dxfId="139" priority="9">
      <formula>AND($A9="",$F9&lt;&gt;"")</formula>
    </cfRule>
  </conditionalFormatting>
  <conditionalFormatting sqref="F9:F16">
    <cfRule type="expression" dxfId="138" priority="10">
      <formula>AND($F9="",$A9&lt;&gt;"")</formula>
    </cfRule>
  </conditionalFormatting>
  <conditionalFormatting sqref="D8:G8">
    <cfRule type="expression" dxfId="137" priority="4">
      <formula>$C7=MAX($C$8:$C$37)</formula>
    </cfRule>
  </conditionalFormatting>
  <conditionalFormatting sqref="C8">
    <cfRule type="expression" dxfId="136" priority="3">
      <formula>$C7=MAX($C$8:$C$37)</formula>
    </cfRule>
  </conditionalFormatting>
  <conditionalFormatting sqref="E8">
    <cfRule type="expression" dxfId="135" priority="5">
      <formula>AND($A8="",$F8&lt;&gt;"")</formula>
    </cfRule>
  </conditionalFormatting>
  <conditionalFormatting sqref="F8">
    <cfRule type="expression" dxfId="134" priority="6">
      <formula>AND($F8="",$A8&lt;&gt;"")</formula>
    </cfRule>
  </conditionalFormatting>
  <conditionalFormatting sqref="H9:H14">
    <cfRule type="expression" dxfId="133" priority="2">
      <formula>$C8=MAX($C$8:$C$37)</formula>
    </cfRule>
  </conditionalFormatting>
  <conditionalFormatting sqref="H8">
    <cfRule type="expression" dxfId="132"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45100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tabColor theme="1"/>
    <pageSetUpPr fitToPage="1"/>
  </sheetPr>
  <dimension ref="A1:N53"/>
  <sheetViews>
    <sheetView zoomScaleNormal="100" workbookViewId="0">
      <pane ySplit="7" topLeftCell="A8" activePane="bottomLeft" state="frozen"/>
      <selection activeCell="L2" sqref="L2:L29"/>
      <selection pane="bottomLeft" activeCell="H11" sqref="H11"/>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4" t="s">
        <v>188</v>
      </c>
      <c r="D1" s="264"/>
      <c r="E1" s="264"/>
      <c r="F1" s="264"/>
      <c r="G1" s="264"/>
      <c r="H1" s="264"/>
    </row>
    <row r="2" spans="1:14" ht="15.75" customHeight="1" x14ac:dyDescent="0.25">
      <c r="C2" s="264"/>
      <c r="D2" s="264"/>
      <c r="E2" s="264"/>
      <c r="F2" s="264"/>
      <c r="G2" s="264"/>
      <c r="H2" s="264"/>
    </row>
    <row r="3" spans="1:14" ht="15" customHeight="1" x14ac:dyDescent="0.25">
      <c r="C3" s="265" t="s">
        <v>190</v>
      </c>
      <c r="D3" s="265"/>
      <c r="E3" s="265"/>
      <c r="F3" s="266" t="s">
        <v>192</v>
      </c>
      <c r="G3" s="266"/>
      <c r="H3" s="266"/>
    </row>
    <row r="4" spans="1:14" x14ac:dyDescent="0.25">
      <c r="C4" s="267" t="s">
        <v>191</v>
      </c>
      <c r="D4" s="267"/>
      <c r="E4" s="267"/>
      <c r="F4" s="268" t="s">
        <v>193</v>
      </c>
      <c r="G4" s="268"/>
      <c r="H4" s="268"/>
    </row>
    <row r="5" spans="1:14" s="145" customFormat="1" ht="21" customHeight="1" x14ac:dyDescent="0.25">
      <c r="C5" s="269" t="s">
        <v>189</v>
      </c>
      <c r="D5" s="269"/>
      <c r="E5" s="269"/>
      <c r="F5" s="269"/>
      <c r="G5" s="269"/>
      <c r="H5" s="269"/>
    </row>
    <row r="6" spans="1:14" s="145" customFormat="1" ht="17.25" customHeight="1" x14ac:dyDescent="0.25">
      <c r="C6" s="154" t="s">
        <v>194</v>
      </c>
      <c r="D6" s="158" t="s">
        <v>328</v>
      </c>
      <c r="E6" s="150"/>
      <c r="F6" s="150"/>
      <c r="G6" s="263" t="str">
        <f ca="1">"Ngày "&amp;DAY(TODAY())&amp;" Tháng "&amp;MONTH(TODAY())&amp;" Năm "&amp;YEAR(TODAY())</f>
        <v>Ngày 29 Tháng 8 Năm 2022</v>
      </c>
      <c r="H6" s="263"/>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1</v>
      </c>
      <c r="L7" s="145"/>
    </row>
    <row r="8" spans="1:14" s="29" customFormat="1" ht="14.25" customHeight="1" x14ac:dyDescent="0.25">
      <c r="A8" s="155">
        <v>57</v>
      </c>
      <c r="B8" s="155">
        <v>1</v>
      </c>
      <c r="C8" s="30">
        <f t="shared" ref="C8:C37" si="0">IF(OR(SUM($C7,$A8&lt;&gt;"")=0,$A8=""),"",SUM($C7,$A8&lt;&gt;""))</f>
        <v>1</v>
      </c>
      <c r="D8" s="152" t="str">
        <f>IFERROR(VLOOKUP($A8,Sheet1!$A$1:$B$98,2,0),"")</f>
        <v>Cá viên KK</v>
      </c>
      <c r="E8" s="30">
        <f>IFERROR(VLOOKUP($A8,'Tổng Đơn'!$A$5:$E$75,5,0),"")</f>
        <v>0.5</v>
      </c>
      <c r="F8" s="30">
        <f t="shared" ref="F8:F37" si="1">IF($B8="","",B8)</f>
        <v>1</v>
      </c>
      <c r="G8" s="162">
        <f>IFERROR(VLOOKUP($A8,Sheet1!$A1:$D$98,4,0),"")</f>
        <v>25000</v>
      </c>
      <c r="H8" s="153">
        <f>IF($C7=MAX($C$8:$C$56),SUM($H7:$H$8),IFERROR($G8*$F8,""))</f>
        <v>25000</v>
      </c>
      <c r="I8" s="55">
        <f t="shared" ref="I8:I37" si="2">IF(TYPE($A8)&lt;&gt;1,"",IFERROR(F8*E8,""))</f>
        <v>0.5</v>
      </c>
      <c r="L8" s="32"/>
    </row>
    <row r="9" spans="1:14" s="29" customFormat="1" ht="14.25" customHeight="1" x14ac:dyDescent="0.25">
      <c r="A9" s="155">
        <v>61</v>
      </c>
      <c r="B9" s="155">
        <v>1</v>
      </c>
      <c r="C9" s="30">
        <f t="shared" si="0"/>
        <v>2</v>
      </c>
      <c r="D9" s="152" t="str">
        <f>IFERROR(VLOOKUP($A9,Sheet1!$A$1:$B$98,2,0),"")</f>
        <v>XX Đỏ KK</v>
      </c>
      <c r="E9" s="30">
        <f>IFERROR(VLOOKUP($A9,'Tổng Đơn'!$A$5:$E$76,5,0),"")</f>
        <v>0.5</v>
      </c>
      <c r="F9" s="30">
        <f t="shared" si="1"/>
        <v>1</v>
      </c>
      <c r="G9" s="162">
        <f>IF(AND($C9="",$C8&lt;&gt;""),"Tổng Cộng",IFERROR(VLOOKUP($A9,Sheet1!$A$1:$D$98,4,0),""))</f>
        <v>26000</v>
      </c>
      <c r="H9" s="153">
        <f>IF($C8=MAX($C$8:$C$56),SUM($H$8:$H8),IFERROR($G9*$F9,""))</f>
        <v>26000</v>
      </c>
      <c r="I9" s="55">
        <f t="shared" si="2"/>
        <v>0.5</v>
      </c>
      <c r="L9" s="31"/>
    </row>
    <row r="10" spans="1:14" s="29" customFormat="1" ht="14.25" customHeight="1" x14ac:dyDescent="0.25">
      <c r="A10" s="155">
        <v>1</v>
      </c>
      <c r="B10" s="155">
        <v>1</v>
      </c>
      <c r="C10" s="30">
        <f t="shared" si="0"/>
        <v>3</v>
      </c>
      <c r="D10" s="152" t="s">
        <v>302</v>
      </c>
      <c r="E10" s="30" t="s">
        <v>260</v>
      </c>
      <c r="F10" s="30" t="s">
        <v>260</v>
      </c>
      <c r="G10" s="162" t="s">
        <v>260</v>
      </c>
      <c r="H10" s="153">
        <v>-1000</v>
      </c>
      <c r="I10" s="55" t="str">
        <f t="shared" si="2"/>
        <v/>
      </c>
      <c r="L10" s="31"/>
    </row>
    <row r="11" spans="1:14" s="29" customFormat="1" ht="14.25" customHeight="1" x14ac:dyDescent="0.25">
      <c r="A11" s="155" t="s">
        <v>301</v>
      </c>
      <c r="B11" s="155"/>
      <c r="C11" s="30" t="str">
        <f t="shared" si="0"/>
        <v/>
      </c>
      <c r="D11" s="152" t="str">
        <f>IFERROR(VLOOKUP($A11,Sheet1!$A$1:$B$98,2,0),"")</f>
        <v/>
      </c>
      <c r="E11" s="30" t="str">
        <f>IFERROR(VLOOKUP($A11,'Tổng Đơn'!$A$5:$E$76,5,0),"")</f>
        <v/>
      </c>
      <c r="F11" s="30" t="str">
        <f t="shared" si="1"/>
        <v/>
      </c>
      <c r="G11" s="162" t="str">
        <f>IF(AND($C11="",$C10&lt;&gt;""),"Tổng Cộng",IFERROR(VLOOKUP($A11,Sheet1!$A$1:$D$98,4,0),""))</f>
        <v>Tổng Cộng</v>
      </c>
      <c r="H11" s="153">
        <f>IF($C10=MAX($C$8:$C$56),SUM($H$8:$H10),IFERROR($G11*$F11,""))</f>
        <v>50000</v>
      </c>
      <c r="I11" s="55" t="str">
        <f t="shared" si="2"/>
        <v/>
      </c>
      <c r="L11" s="31"/>
    </row>
    <row r="12" spans="1:14" s="29" customFormat="1" ht="14.25" customHeight="1" x14ac:dyDescent="0.25">
      <c r="A12" s="155" t="s">
        <v>301</v>
      </c>
      <c r="B12" s="155"/>
      <c r="C12" s="30" t="str">
        <f t="shared" si="0"/>
        <v/>
      </c>
      <c r="D12" s="152" t="str">
        <f>IFERROR(VLOOKUP($A12,Sheet1!$A$1:$B$98,2,0),"")</f>
        <v/>
      </c>
      <c r="E12" s="30" t="str">
        <f>IFERROR(VLOOKUP($A12,'Tổng Đơn'!$A$5:$E$76,5,0),"")</f>
        <v/>
      </c>
      <c r="F12" s="30" t="str">
        <f t="shared" si="1"/>
        <v/>
      </c>
      <c r="G12" s="162"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301</v>
      </c>
      <c r="B13" s="155"/>
      <c r="C13" s="30" t="str">
        <f t="shared" si="0"/>
        <v/>
      </c>
      <c r="D13" s="152" t="str">
        <f>IFERROR(VLOOKUP($A13,Sheet1!$A$1:$B$98,2,0),"")</f>
        <v/>
      </c>
      <c r="E13" s="30" t="str">
        <f>IFERROR(VLOOKUP($A13,'Tổng Đơn'!$A$5:$E$76,5,0),"")</f>
        <v/>
      </c>
      <c r="F13" s="30" t="str">
        <f t="shared" si="1"/>
        <v/>
      </c>
      <c r="G13" s="162" t="str">
        <f>IF(AND($C13="",$C12&lt;&gt;""),"Tổng Cộng",IFERROR(VLOOKUP($A13,Sheet1!$A$1:$D$98,4,0),""))</f>
        <v/>
      </c>
      <c r="H13" s="153" t="str">
        <f>IF($C12=MAX($C$8:$C$56),SUM($H$8:$H12),IFERROR($G13*$F13,""))</f>
        <v/>
      </c>
      <c r="I13" s="55" t="str">
        <f t="shared" si="2"/>
        <v/>
      </c>
      <c r="L13" s="31"/>
    </row>
    <row r="14" spans="1:14" s="29" customFormat="1" ht="14.25" customHeight="1" x14ac:dyDescent="0.25">
      <c r="A14" s="155" t="s">
        <v>301</v>
      </c>
      <c r="B14" s="155"/>
      <c r="C14" s="30" t="str">
        <f t="shared" si="0"/>
        <v/>
      </c>
      <c r="D14" s="152" t="str">
        <f>IFERROR(VLOOKUP($A14,Sheet1!$A$1:$B$98,2,0),"")</f>
        <v/>
      </c>
      <c r="E14" s="30" t="str">
        <f>IFERROR(VLOOKUP($A14,'Tổng Đơn'!$A$5:$E$76,5,0),"")</f>
        <v/>
      </c>
      <c r="F14" s="30" t="str">
        <f t="shared" si="1"/>
        <v/>
      </c>
      <c r="G14" s="162"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301</v>
      </c>
      <c r="B15" s="155"/>
      <c r="C15" s="30" t="str">
        <f t="shared" si="0"/>
        <v/>
      </c>
      <c r="D15" s="152" t="str">
        <f>IFERROR(VLOOKUP($A15,Sheet1!$A$1:$B$98,2,0),"")</f>
        <v/>
      </c>
      <c r="E15" s="30" t="str">
        <f>IFERROR(VLOOKUP($A15,'Tổng Đơn'!$A$5:$E$75,5,0),"")</f>
        <v/>
      </c>
      <c r="F15" s="30" t="str">
        <f t="shared" si="1"/>
        <v/>
      </c>
      <c r="G15" s="162" t="str">
        <f>IF(AND($C15="",$C14&lt;&gt;""),"Tổng Cộng",IFERROR(VLOOKUP($A15,Sheet1!$A$1:$D$98,4,0),""))</f>
        <v/>
      </c>
      <c r="H15" s="153" t="str">
        <f>IF($C14=MAX($C$8:$C$56),SUM($H$8:$H14),IFERROR($G15*$F15,""))</f>
        <v/>
      </c>
      <c r="I15" s="55" t="str">
        <f t="shared" si="2"/>
        <v/>
      </c>
      <c r="L15" s="31"/>
    </row>
    <row r="16" spans="1:14" s="29" customFormat="1" ht="14.25" customHeight="1" x14ac:dyDescent="0.25">
      <c r="A16" s="155" t="s">
        <v>301</v>
      </c>
      <c r="B16" s="155"/>
      <c r="C16" s="30" t="str">
        <f t="shared" si="0"/>
        <v/>
      </c>
      <c r="D16" s="152" t="str">
        <f>IFERROR(VLOOKUP($A16,Sheet1!$A$1:$B$98,2,0),"")</f>
        <v/>
      </c>
      <c r="E16" s="30" t="str">
        <f>IFERROR(VLOOKUP($A16,'Tổng Đơn'!$A$5:$E$75,5,0),"")</f>
        <v/>
      </c>
      <c r="F16" s="30" t="str">
        <f t="shared" si="1"/>
        <v/>
      </c>
      <c r="G16" s="162" t="str">
        <f>IF(AND($C16="",$C15&lt;&gt;""),"Tổng Cộng",IFERROR(VLOOKUP($A16,Sheet1!$A$1:$D$98,4,0),""))</f>
        <v/>
      </c>
      <c r="H16" s="153" t="str">
        <f>IF($C15=MAX($C$8:$C$56),SUM($H$8:$H15),IFERROR($G16*$F16,""))</f>
        <v/>
      </c>
      <c r="I16" s="55" t="str">
        <f t="shared" si="2"/>
        <v/>
      </c>
      <c r="L16" s="31"/>
    </row>
    <row r="17" spans="1:12" s="29" customFormat="1" ht="14.25" customHeight="1" x14ac:dyDescent="0.25">
      <c r="A17" s="155" t="s">
        <v>301</v>
      </c>
      <c r="B17" s="155"/>
      <c r="C17" s="30" t="str">
        <f t="shared" si="0"/>
        <v/>
      </c>
      <c r="D17" s="161" t="str">
        <f>IFERROR(VLOOKUP($A17,Sheet1!$A$1:$B$98,2,0),"")</f>
        <v/>
      </c>
      <c r="E17" s="30" t="str">
        <f>IFERROR(VLOOKUP($A17,'Tổng Đơn'!$A$5:$E$75,5,0),"")</f>
        <v/>
      </c>
      <c r="F17" s="30" t="str">
        <f t="shared" si="1"/>
        <v/>
      </c>
      <c r="G17" s="162" t="str">
        <f>IF(AND($C17="",$C16&lt;&gt;""),"Tổng Cộng",IFERROR(VLOOKUP($A17,Sheet1!$A$1:$D$98,4,0),""))</f>
        <v/>
      </c>
      <c r="H17" s="153" t="str">
        <f>IF($C16=MAX($C$8:$C$56),SUM($H$8:$H16),IFERROR($G17*$F17,""))</f>
        <v/>
      </c>
      <c r="I17" s="55" t="str">
        <f t="shared" si="2"/>
        <v/>
      </c>
      <c r="L17" s="31"/>
    </row>
    <row r="18" spans="1:12" s="29" customFormat="1" ht="14.25" customHeight="1" x14ac:dyDescent="0.25">
      <c r="A18" s="155" t="s">
        <v>301</v>
      </c>
      <c r="B18" s="155"/>
      <c r="C18" s="30" t="str">
        <f t="shared" si="0"/>
        <v/>
      </c>
      <c r="D18" s="161" t="str">
        <f>IFERROR(VLOOKUP($A18,Sheet1!$A$1:$B$98,2,0),"")</f>
        <v/>
      </c>
      <c r="E18" s="30" t="str">
        <f>IFERROR(VLOOKUP($A18,'Tổng Đơn'!$A$5:$E$75,5,0),"")</f>
        <v/>
      </c>
      <c r="F18" s="30" t="str">
        <f t="shared" si="1"/>
        <v/>
      </c>
      <c r="G18" s="162" t="str">
        <f>IF(AND($C18="",$C17&lt;&gt;""),"Tổng Cộng",IFERROR(VLOOKUP($A18,Sheet1!$A$1:$D$98,4,0),""))</f>
        <v/>
      </c>
      <c r="H18" s="153" t="str">
        <f>IF($C17=MAX($C$8:$C$56),SUM($H$8:$H17),IFERROR($G18*$F18,""))</f>
        <v/>
      </c>
      <c r="I18" s="55" t="str">
        <f t="shared" si="2"/>
        <v/>
      </c>
      <c r="L18" s="31"/>
    </row>
    <row r="19" spans="1:12" s="29" customFormat="1" ht="14.25" customHeight="1" x14ac:dyDescent="0.25">
      <c r="A19" s="155" t="s">
        <v>301</v>
      </c>
      <c r="B19" s="155"/>
      <c r="C19" s="30" t="str">
        <f t="shared" si="0"/>
        <v/>
      </c>
      <c r="D19" s="161" t="str">
        <f>IFERROR(VLOOKUP($A19,Sheet1!$A$1:$B$98,2,0),"")</f>
        <v/>
      </c>
      <c r="E19" s="30" t="str">
        <f>IFERROR(VLOOKUP($A19,'Tổng Đơn'!$A$5:$E$75,5,0),"")</f>
        <v/>
      </c>
      <c r="F19" s="30" t="str">
        <f t="shared" si="1"/>
        <v/>
      </c>
      <c r="G19" s="162" t="str">
        <f>IF(AND($C19="",$C18&lt;&gt;""),"Tổng Cộng",IFERROR(VLOOKUP($A19,Sheet1!$A$1:$D$98,4,0),""))</f>
        <v/>
      </c>
      <c r="H19" s="153" t="str">
        <f>IF($C18=MAX($C$8:$C$56),SUM($H$8:$H18),IFERROR($G19*$F19,""))</f>
        <v/>
      </c>
      <c r="I19" s="55" t="str">
        <f t="shared" si="2"/>
        <v/>
      </c>
      <c r="L19" s="31"/>
    </row>
    <row r="20" spans="1:12" s="29" customFormat="1" ht="14.25" customHeight="1" x14ac:dyDescent="0.25">
      <c r="A20" s="155" t="s">
        <v>301</v>
      </c>
      <c r="B20" s="155"/>
      <c r="C20" s="30" t="str">
        <f t="shared" si="0"/>
        <v/>
      </c>
      <c r="D20" s="161" t="str">
        <f>IFERROR(VLOOKUP($A20,Sheet1!$A$1:$B$98,2,0),"")</f>
        <v/>
      </c>
      <c r="E20" s="30" t="str">
        <f>IFERROR(VLOOKUP($A20,'Tổng Đơn'!$A$5:$E$75,5,0),"")</f>
        <v/>
      </c>
      <c r="F20" s="30" t="str">
        <f t="shared" si="1"/>
        <v/>
      </c>
      <c r="G20" s="162" t="str">
        <f>IF(AND($C20="",$C19&lt;&gt;""),"Tổng Cộng",IFERROR(VLOOKUP($A20,Sheet1!$A$1:$D$98,4,0),""))</f>
        <v/>
      </c>
      <c r="H20" s="153" t="str">
        <f>IF($C19=MAX($C$8:$C$56),SUM($H$8:$H19),IFERROR($G20*$F20,""))</f>
        <v/>
      </c>
      <c r="I20" s="55" t="str">
        <f t="shared" si="2"/>
        <v/>
      </c>
      <c r="L20" s="31"/>
    </row>
    <row r="21" spans="1:12" s="29" customFormat="1" ht="14.25" customHeight="1" x14ac:dyDescent="0.25">
      <c r="A21" s="155" t="s">
        <v>301</v>
      </c>
      <c r="B21" s="155"/>
      <c r="C21" s="30" t="str">
        <f t="shared" si="0"/>
        <v/>
      </c>
      <c r="D21" s="161" t="str">
        <f>IFERROR(VLOOKUP($A21,Sheet1!$A$1:$B$98,2,0),"")</f>
        <v/>
      </c>
      <c r="E21" s="30" t="str">
        <f>IFERROR(VLOOKUP($A21,'Tổng Đơn'!$A$5:$E$75,5,0),"")</f>
        <v/>
      </c>
      <c r="F21" s="30" t="str">
        <f t="shared" si="1"/>
        <v/>
      </c>
      <c r="G21" s="162" t="str">
        <f>IF(AND($C21="",$C20&lt;&gt;""),"Tổng Cộng",IFERROR(VLOOKUP($A21,Sheet1!$A$1:$D$98,4,0),""))</f>
        <v/>
      </c>
      <c r="H21" s="153" t="str">
        <f>IF($C20=MAX($C$8:$C$56),SUM($H$8:$H20),IFERROR($G21*$F21,""))</f>
        <v/>
      </c>
      <c r="I21" s="55" t="str">
        <f t="shared" si="2"/>
        <v/>
      </c>
      <c r="L21" s="31"/>
    </row>
    <row r="22" spans="1:12" s="29" customFormat="1" ht="14.25" customHeight="1" x14ac:dyDescent="0.25">
      <c r="A22" s="155" t="s">
        <v>301</v>
      </c>
      <c r="B22" s="155"/>
      <c r="C22" s="30" t="str">
        <f t="shared" si="0"/>
        <v/>
      </c>
      <c r="D22" s="152" t="str">
        <f>IFERROR(VLOOKUP($A22,Sheet1!$A$1:$B$98,2,0),"")</f>
        <v/>
      </c>
      <c r="E22" s="30" t="str">
        <f>IFERROR(VLOOKUP($A22,'Tổng Đơn'!$A$5:$E$75,5,0),"")</f>
        <v/>
      </c>
      <c r="F22" s="30" t="str">
        <f t="shared" si="1"/>
        <v/>
      </c>
      <c r="G22" s="162" t="str">
        <f>IF(AND($C22="",$C21&lt;&gt;""),"Tổng Cộng",IFERROR(VLOOKUP($A22,Sheet1!$A$1:$D$98,4,0),""))</f>
        <v/>
      </c>
      <c r="H22" s="153" t="str">
        <f>IF($C21=MAX($C$8:$C$56),SUM($H$8:$H21),IFERROR($G22*$F22,""))</f>
        <v/>
      </c>
      <c r="I22" s="55" t="str">
        <f t="shared" si="2"/>
        <v/>
      </c>
      <c r="L22" s="31"/>
    </row>
    <row r="23" spans="1:12" s="29" customFormat="1" ht="14.25" customHeight="1" x14ac:dyDescent="0.25">
      <c r="A23" s="155" t="s">
        <v>301</v>
      </c>
      <c r="B23" s="155"/>
      <c r="C23" s="30" t="str">
        <f t="shared" si="0"/>
        <v/>
      </c>
      <c r="D23" s="152" t="str">
        <f>IFERROR(VLOOKUP($A23,Sheet1!$A$1:$B$98,2,0),"")</f>
        <v/>
      </c>
      <c r="E23" s="30" t="str">
        <f>IFERROR(VLOOKUP($A23,'Tổng Đơn'!$A$5:$E$75,5,0),"")</f>
        <v/>
      </c>
      <c r="F23" s="30" t="str">
        <f t="shared" si="1"/>
        <v/>
      </c>
      <c r="G23" s="162" t="str">
        <f>IF(AND($C23="",$C22&lt;&gt;""),"Tổng Cộng",IFERROR(VLOOKUP($A23,Sheet1!$A$1:$D$98,4,0),""))</f>
        <v/>
      </c>
      <c r="H23" s="153" t="str">
        <f>IF($C22=MAX($C$8:$C$56),SUM($H$8:$H22),IFERROR($G23*$F23,""))</f>
        <v/>
      </c>
      <c r="I23" s="55" t="str">
        <f t="shared" si="2"/>
        <v/>
      </c>
      <c r="L23" s="31"/>
    </row>
    <row r="24" spans="1:12" s="29" customFormat="1" ht="14.25" customHeight="1" x14ac:dyDescent="0.25">
      <c r="A24" s="155" t="s">
        <v>301</v>
      </c>
      <c r="B24" s="155"/>
      <c r="C24" s="30" t="str">
        <f t="shared" si="0"/>
        <v/>
      </c>
      <c r="D24" s="152" t="str">
        <f>IFERROR(VLOOKUP($A24,Sheet1!$A$1:$B$98,2,0),"")</f>
        <v/>
      </c>
      <c r="E24" s="30" t="str">
        <f>IFERROR(VLOOKUP($A24,'Tổng Đơn'!$A$5:$E$75,5,0),"")</f>
        <v/>
      </c>
      <c r="F24" s="30" t="str">
        <f t="shared" si="1"/>
        <v/>
      </c>
      <c r="G24" s="162" t="str">
        <f>IF(AND($C24="",$C23&lt;&gt;""),"Tổng Cộng",IFERROR(VLOOKUP($A24,Sheet1!$A$1:$D$98,4,0),""))</f>
        <v/>
      </c>
      <c r="H24" s="153" t="str">
        <f>IF($C23=MAX($C$8:$C$56),SUM($H$8:$H23),IFERROR($G24*$F24,""))</f>
        <v/>
      </c>
      <c r="I24" s="55" t="str">
        <f t="shared" si="2"/>
        <v/>
      </c>
      <c r="L24" s="31"/>
    </row>
    <row r="25" spans="1:12" s="29" customFormat="1" ht="14.25" customHeight="1" x14ac:dyDescent="0.25">
      <c r="A25" s="155" t="s">
        <v>301</v>
      </c>
      <c r="B25" s="155"/>
      <c r="C25" s="30" t="str">
        <f t="shared" si="0"/>
        <v/>
      </c>
      <c r="D25" s="152" t="str">
        <f>IFERROR(VLOOKUP($A25,Sheet1!$A$1:$B$98,2,0),"")</f>
        <v/>
      </c>
      <c r="E25" s="30" t="str">
        <f>IFERROR(VLOOKUP($A25,'Tổng Đơn'!$A$5:$E$75,5,0),"")</f>
        <v/>
      </c>
      <c r="F25" s="30" t="str">
        <f t="shared" si="1"/>
        <v/>
      </c>
      <c r="G25" s="162" t="str">
        <f>IF(AND($C25="",$C24&lt;&gt;""),"Tổng Cộng",IFERROR(VLOOKUP($A25,Sheet1!$A$1:$D$98,4,0),""))</f>
        <v/>
      </c>
      <c r="H25" s="153" t="str">
        <f>IF($C24=MAX($C$8:$C$56),SUM($H$8:$H24),IFERROR($G25*$F25,""))</f>
        <v/>
      </c>
      <c r="I25" s="55" t="str">
        <f t="shared" si="2"/>
        <v/>
      </c>
      <c r="L25" s="31"/>
    </row>
    <row r="26" spans="1:12" s="29" customFormat="1" ht="14.25" customHeight="1" x14ac:dyDescent="0.25">
      <c r="A26" s="155" t="s">
        <v>301</v>
      </c>
      <c r="B26" s="155"/>
      <c r="C26" s="30" t="str">
        <f t="shared" si="0"/>
        <v/>
      </c>
      <c r="D26" s="152" t="str">
        <f>IFERROR(VLOOKUP($A26,Sheet1!$A$1:$B$98,2,0),"")</f>
        <v/>
      </c>
      <c r="E26" s="30" t="str">
        <f>IFERROR(VLOOKUP($A26,'Tổng Đơn'!$A$5:$E$75,5,0),"")</f>
        <v/>
      </c>
      <c r="F26" s="30" t="str">
        <f t="shared" si="1"/>
        <v/>
      </c>
      <c r="G26" s="162" t="str">
        <f>IF(AND($C26="",$C25&lt;&gt;""),"Tổng Cộng",IFERROR(VLOOKUP($A26,Sheet1!$A$1:$D$98,4,0),""))</f>
        <v/>
      </c>
      <c r="H26" s="153" t="str">
        <f>IF($C25=MAX($C$8:$C$56),SUM($H$8:$H25),IFERROR($G26*$F26,""))</f>
        <v/>
      </c>
      <c r="I26" s="55" t="str">
        <f t="shared" si="2"/>
        <v/>
      </c>
      <c r="L26" s="31"/>
    </row>
    <row r="27" spans="1:12" s="29" customFormat="1" ht="14.25" customHeight="1" x14ac:dyDescent="0.25">
      <c r="A27" s="155" t="s">
        <v>301</v>
      </c>
      <c r="B27" s="155"/>
      <c r="C27" s="30" t="str">
        <f t="shared" si="0"/>
        <v/>
      </c>
      <c r="D27" s="152" t="str">
        <f>IFERROR(VLOOKUP($A27,Sheet1!$A$1:$B$98,2,0),"")</f>
        <v/>
      </c>
      <c r="E27" s="30" t="str">
        <f>IFERROR(VLOOKUP($A27,'Tổng Đơn'!$A$5:$E$75,5,0),"")</f>
        <v/>
      </c>
      <c r="F27" s="30" t="str">
        <f t="shared" si="1"/>
        <v/>
      </c>
      <c r="G27" s="162" t="str">
        <f>IF(AND($C27="",$C26&lt;&gt;""),"Tổng Cộng",IFERROR(VLOOKUP($A27,Sheet1!$A$1:$D$98,4,0),""))</f>
        <v/>
      </c>
      <c r="H27" s="153" t="str">
        <f>IF($C26=MAX($C$8:$C$56),SUM($H$8:$H26),IFERROR($G27*$F27,""))</f>
        <v/>
      </c>
      <c r="I27" s="55" t="str">
        <f t="shared" si="2"/>
        <v/>
      </c>
      <c r="L27" s="31"/>
    </row>
    <row r="28" spans="1:12" s="29" customFormat="1" ht="14.25" customHeight="1" x14ac:dyDescent="0.25">
      <c r="A28" s="155" t="s">
        <v>301</v>
      </c>
      <c r="B28" s="155"/>
      <c r="C28" s="30" t="str">
        <f t="shared" si="0"/>
        <v/>
      </c>
      <c r="D28" s="152" t="str">
        <f>IFERROR(VLOOKUP($A28,Sheet1!$A$1:$B$98,2,0),"")</f>
        <v/>
      </c>
      <c r="E28" s="30" t="str">
        <f>IFERROR(VLOOKUP($A28,'Tổng Đơn'!$A$5:$E$75,5,0),"")</f>
        <v/>
      </c>
      <c r="F28" s="30" t="str">
        <f t="shared" si="1"/>
        <v/>
      </c>
      <c r="G28" s="162" t="str">
        <f>IF(AND($C28="",$C27&lt;&gt;""),"Tổng Cộng",IFERROR(VLOOKUP($A28,Sheet1!$A$1:$D$98,4,0),""))</f>
        <v/>
      </c>
      <c r="H28" s="153" t="str">
        <f>IF($C27=MAX($C$8:$C$56),SUM($H$8:$H27),IFERROR($G28*$F28,""))</f>
        <v/>
      </c>
      <c r="I28" s="55" t="str">
        <f t="shared" si="2"/>
        <v/>
      </c>
      <c r="L28" s="31"/>
    </row>
    <row r="29" spans="1:12" s="29" customFormat="1" ht="14.25" customHeight="1" x14ac:dyDescent="0.25">
      <c r="A29" s="155" t="s">
        <v>301</v>
      </c>
      <c r="B29" s="155"/>
      <c r="C29" s="30" t="str">
        <f t="shared" si="0"/>
        <v/>
      </c>
      <c r="D29" s="152" t="str">
        <f>IFERROR(VLOOKUP($A29,Sheet1!$A$1:$B$98,2,0),"")</f>
        <v/>
      </c>
      <c r="E29" s="30" t="str">
        <f>IFERROR(VLOOKUP($A29,'Tổng Đơn'!$A$5:$E$75,5,0),"")</f>
        <v/>
      </c>
      <c r="F29" s="30" t="str">
        <f t="shared" si="1"/>
        <v/>
      </c>
      <c r="G29" s="162" t="str">
        <f>IF(AND($C29="",$C28&lt;&gt;""),"Tổng Cộng",IFERROR(VLOOKUP($A29,Sheet1!$A$1:$D$98,4,0),""))</f>
        <v/>
      </c>
      <c r="H29" s="153" t="str">
        <f>IF($C28=MAX($C$8:$C$56),SUM($H$8:$H28),IFERROR($G29*$F29,""))</f>
        <v/>
      </c>
      <c r="I29" s="55" t="str">
        <f t="shared" si="2"/>
        <v/>
      </c>
      <c r="L29" s="31"/>
    </row>
    <row r="30" spans="1:12" s="29" customFormat="1" ht="14.25" customHeight="1" x14ac:dyDescent="0.25">
      <c r="A30" s="155" t="s">
        <v>301</v>
      </c>
      <c r="B30" s="155"/>
      <c r="C30" s="30" t="str">
        <f t="shared" si="0"/>
        <v/>
      </c>
      <c r="D30" s="152" t="str">
        <f>IFERROR(VLOOKUP($A30,Sheet1!$A$1:$B$98,2,0),"")</f>
        <v/>
      </c>
      <c r="E30" s="30" t="str">
        <f>IFERROR(VLOOKUP($A30,'Tổng Đơn'!$A$5:$E$75,5,0),"")</f>
        <v/>
      </c>
      <c r="F30" s="30" t="str">
        <f t="shared" si="1"/>
        <v/>
      </c>
      <c r="G30" s="162" t="str">
        <f>IF(AND($C30="",$C29&lt;&gt;""),"Tổng Cộng",IFERROR(VLOOKUP($A30,Sheet1!$A$1:$D$98,4,0),""))</f>
        <v/>
      </c>
      <c r="H30" s="153" t="str">
        <f>IF($C29=MAX($C$8:$C$56),SUM($H$8:$H29),IFERROR($G30*$F30,""))</f>
        <v/>
      </c>
      <c r="I30" s="55" t="str">
        <f t="shared" si="2"/>
        <v/>
      </c>
      <c r="L30" s="31"/>
    </row>
    <row r="31" spans="1:12" s="29" customFormat="1" ht="14.25" customHeight="1" x14ac:dyDescent="0.25">
      <c r="A31" s="155" t="s">
        <v>301</v>
      </c>
      <c r="B31" s="155"/>
      <c r="C31" s="30" t="str">
        <f t="shared" si="0"/>
        <v/>
      </c>
      <c r="D31" s="152" t="str">
        <f>IFERROR(VLOOKUP($A31,Sheet1!$A$1:$B$98,2,0),"")</f>
        <v/>
      </c>
      <c r="E31" s="30" t="str">
        <f>IFERROR(VLOOKUP($A31,'Tổng Đơn'!$A$5:$E$75,5,0),"")</f>
        <v/>
      </c>
      <c r="F31" s="30" t="str">
        <f t="shared" si="1"/>
        <v/>
      </c>
      <c r="G31" s="162" t="str">
        <f>IF(AND($C31="",$C30&lt;&gt;""),"Tổng Cộng",IFERROR(VLOOKUP($A31,Sheet1!$A$1:$D$98,4,0),""))</f>
        <v/>
      </c>
      <c r="H31" s="153" t="str">
        <f>IF($C30=MAX($C$8:$C$56),SUM($H$8:$H30),IFERROR($G31*$F31,""))</f>
        <v/>
      </c>
      <c r="I31" s="55" t="str">
        <f t="shared" si="2"/>
        <v/>
      </c>
      <c r="L31" s="31"/>
    </row>
    <row r="32" spans="1:12" s="29" customFormat="1" ht="14.25" customHeight="1" x14ac:dyDescent="0.25">
      <c r="A32" s="155" t="s">
        <v>301</v>
      </c>
      <c r="B32" s="155"/>
      <c r="C32" s="30" t="str">
        <f t="shared" si="0"/>
        <v/>
      </c>
      <c r="D32" s="152" t="str">
        <f>IFERROR(VLOOKUP($A32,Sheet1!$A$1:$B$98,2,0),"")</f>
        <v/>
      </c>
      <c r="E32" s="30" t="str">
        <f>IFERROR(VLOOKUP($A32,'Tổng Đơn'!$A$5:$E$75,5,0),"")</f>
        <v/>
      </c>
      <c r="F32" s="30" t="str">
        <f t="shared" si="1"/>
        <v/>
      </c>
      <c r="G32" s="162" t="str">
        <f>IF(AND($C32="",$C31&lt;&gt;""),"Tổng Cộng",IFERROR(VLOOKUP($A32,Sheet1!$A$1:$D$98,4,0),""))</f>
        <v/>
      </c>
      <c r="H32" s="153" t="str">
        <f>IF($C31=MAX($C$8:$C$56),SUM($H$8:$H31),IFERROR($G32*$F32,""))</f>
        <v/>
      </c>
      <c r="I32" s="55" t="str">
        <f t="shared" si="2"/>
        <v/>
      </c>
      <c r="L32" s="31"/>
    </row>
    <row r="33" spans="1:12" s="29" customFormat="1" ht="14.25" customHeight="1" x14ac:dyDescent="0.25">
      <c r="A33" s="155" t="s">
        <v>301</v>
      </c>
      <c r="B33" s="155"/>
      <c r="C33" s="30" t="str">
        <f t="shared" si="0"/>
        <v/>
      </c>
      <c r="D33" s="152" t="str">
        <f>IFERROR(VLOOKUP($A33,Sheet1!$A$1:$B$98,2,0),"")</f>
        <v/>
      </c>
      <c r="E33" s="30" t="str">
        <f>IFERROR(VLOOKUP($A33,'Tổng Đơn'!$A$5:$E$75,5,0),"")</f>
        <v/>
      </c>
      <c r="F33" s="30" t="str">
        <f t="shared" si="1"/>
        <v/>
      </c>
      <c r="G33" s="162" t="str">
        <f>IF(AND($C33="",$C32&lt;&gt;""),"Tổng Cộng",IFERROR(VLOOKUP($A33,Sheet1!$A$1:$D$98,4,0),""))</f>
        <v/>
      </c>
      <c r="H33" s="153" t="str">
        <f>IF($C32=MAX($C$8:$C$56),SUM($H$8:$H32),IFERROR($G33*$F33,""))</f>
        <v/>
      </c>
      <c r="I33" s="55" t="str">
        <f t="shared" si="2"/>
        <v/>
      </c>
      <c r="L33" s="31"/>
    </row>
    <row r="34" spans="1:12" s="29" customFormat="1" ht="14.25" customHeight="1" x14ac:dyDescent="0.25">
      <c r="A34" s="155" t="s">
        <v>301</v>
      </c>
      <c r="B34" s="155"/>
      <c r="C34" s="30" t="str">
        <f t="shared" si="0"/>
        <v/>
      </c>
      <c r="D34" s="152" t="str">
        <f>IFERROR(VLOOKUP($A34,Sheet1!$A$1:$B$98,2,0),"")</f>
        <v/>
      </c>
      <c r="E34" s="30" t="str">
        <f>IFERROR(VLOOKUP($A34,'Tổng Đơn'!$A$5:$E$75,5,0),"")</f>
        <v/>
      </c>
      <c r="F34" s="30" t="str">
        <f t="shared" si="1"/>
        <v/>
      </c>
      <c r="G34" s="162" t="str">
        <f>IF(AND($C34="",$C33&lt;&gt;""),"Tổng Cộng",IFERROR(VLOOKUP($A34,Sheet1!$A$1:$D$98,4,0),""))</f>
        <v/>
      </c>
      <c r="H34" s="153" t="str">
        <f>IF($C33=MAX($C$8:$C$56),SUM($H$8:$H33),IFERROR($G34*$F34,""))</f>
        <v/>
      </c>
      <c r="I34" s="55" t="str">
        <f t="shared" si="2"/>
        <v/>
      </c>
      <c r="L34" s="31"/>
    </row>
    <row r="35" spans="1:12" s="29" customFormat="1" ht="14.25" customHeight="1" x14ac:dyDescent="0.25">
      <c r="A35" s="155" t="s">
        <v>301</v>
      </c>
      <c r="B35" s="155"/>
      <c r="C35" s="30" t="str">
        <f t="shared" si="0"/>
        <v/>
      </c>
      <c r="D35" s="152" t="str">
        <f>IFERROR(VLOOKUP($A35,Sheet1!$A$1:$B$98,2,0),"")</f>
        <v/>
      </c>
      <c r="E35" s="30" t="str">
        <f>IFERROR(VLOOKUP($A35,'Tổng Đơn'!$A$5:$E$75,5,0),"")</f>
        <v/>
      </c>
      <c r="F35" s="30" t="str">
        <f t="shared" si="1"/>
        <v/>
      </c>
      <c r="G35" s="162" t="str">
        <f>IF(AND($C35="",$C34&lt;&gt;""),"Tổng Cộng",IFERROR(VLOOKUP($A35,Sheet1!$A$1:$D$98,4,0),""))</f>
        <v/>
      </c>
      <c r="H35" s="153" t="str">
        <f>IF($C34=MAX($C$8:$C$56),SUM($H$8:$H34),IFERROR($G35*$F35,""))</f>
        <v/>
      </c>
      <c r="I35" s="55" t="str">
        <f t="shared" si="2"/>
        <v/>
      </c>
      <c r="L35" s="31"/>
    </row>
    <row r="36" spans="1:12" s="29" customFormat="1" ht="14.25" customHeight="1" x14ac:dyDescent="0.25">
      <c r="A36" s="155" t="s">
        <v>301</v>
      </c>
      <c r="B36" s="155"/>
      <c r="C36" s="30" t="str">
        <f t="shared" si="0"/>
        <v/>
      </c>
      <c r="D36" s="152" t="str">
        <f>IFERROR(VLOOKUP($A36,Sheet1!$A$1:$B$98,2,0),"")</f>
        <v/>
      </c>
      <c r="E36" s="30" t="str">
        <f>IFERROR(VLOOKUP($A36,'Tổng Đơn'!$A$5:$E$75,5,0),"")</f>
        <v/>
      </c>
      <c r="F36" s="30" t="str">
        <f t="shared" si="1"/>
        <v/>
      </c>
      <c r="G36" s="162" t="str">
        <f>IF(AND($C36="",$C35&lt;&gt;""),"Tổng Cộng",IFERROR(VLOOKUP($A36,Sheet1!$A$1:$D$98,4,0),""))</f>
        <v/>
      </c>
      <c r="H36" s="153" t="str">
        <f>IF($C35=MAX($C$8:$C$56),SUM($H$8:$H35),IFERROR($G36*$F36,""))</f>
        <v/>
      </c>
      <c r="I36" s="55" t="str">
        <f t="shared" si="2"/>
        <v/>
      </c>
      <c r="L36" s="31"/>
    </row>
    <row r="37" spans="1:12" s="29" customFormat="1" ht="14.25" customHeight="1" x14ac:dyDescent="0.25">
      <c r="A37" s="155" t="s">
        <v>301</v>
      </c>
      <c r="B37" s="155"/>
      <c r="C37" s="30" t="str">
        <f t="shared" si="0"/>
        <v/>
      </c>
      <c r="D37" s="152" t="str">
        <f>IFERROR(VLOOKUP($A37,Sheet1!$A$1:$B$98,2,0),"")</f>
        <v/>
      </c>
      <c r="E37" s="30" t="str">
        <f>IFERROR(VLOOKUP($A37,'Tổng Đơn'!$A$5:$E$75,5,0),"")</f>
        <v/>
      </c>
      <c r="F37" s="30" t="str">
        <f t="shared" si="1"/>
        <v/>
      </c>
      <c r="G37" s="162"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3"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31" priority="20">
      <formula>$C22=MAX($C$8:$C$37)</formula>
    </cfRule>
  </conditionalFormatting>
  <conditionalFormatting sqref="C23:C37">
    <cfRule type="expression" dxfId="130" priority="19">
      <formula>$C22=MAX($C$8:$C$37)</formula>
    </cfRule>
  </conditionalFormatting>
  <conditionalFormatting sqref="E23:E38">
    <cfRule type="expression" dxfId="129" priority="21">
      <formula>AND($A23="",$F23&lt;&gt;"")</formula>
    </cfRule>
  </conditionalFormatting>
  <conditionalFormatting sqref="F23:F38">
    <cfRule type="expression" dxfId="128" priority="22">
      <formula>AND($F23="",$A23&lt;&gt;"")</formula>
    </cfRule>
  </conditionalFormatting>
  <conditionalFormatting sqref="D20:H22">
    <cfRule type="expression" dxfId="127" priority="16">
      <formula>$C19=MAX($C$8:$C$37)</formula>
    </cfRule>
  </conditionalFormatting>
  <conditionalFormatting sqref="C20:C22">
    <cfRule type="expression" dxfId="126" priority="15">
      <formula>$C19=MAX($C$8:$C$37)</formula>
    </cfRule>
  </conditionalFormatting>
  <conditionalFormatting sqref="E20:E22">
    <cfRule type="expression" dxfId="125" priority="17">
      <formula>AND($A20="",$F20&lt;&gt;"")</formula>
    </cfRule>
  </conditionalFormatting>
  <conditionalFormatting sqref="F20:F22">
    <cfRule type="expression" dxfId="124" priority="18">
      <formula>AND($F20="",$A20&lt;&gt;"")</formula>
    </cfRule>
  </conditionalFormatting>
  <conditionalFormatting sqref="D17:H19">
    <cfRule type="expression" dxfId="123" priority="12">
      <formula>$C16=MAX($C$8:$C$37)</formula>
    </cfRule>
  </conditionalFormatting>
  <conditionalFormatting sqref="C17:C19">
    <cfRule type="expression" dxfId="122" priority="11">
      <formula>$C16=MAX($C$8:$C$37)</formula>
    </cfRule>
  </conditionalFormatting>
  <conditionalFormatting sqref="E17:E19">
    <cfRule type="expression" dxfId="121" priority="13">
      <formula>AND($A17="",$F17&lt;&gt;"")</formula>
    </cfRule>
  </conditionalFormatting>
  <conditionalFormatting sqref="F17:F19">
    <cfRule type="expression" dxfId="120" priority="14">
      <formula>AND($F17="",$A17&lt;&gt;"")</formula>
    </cfRule>
  </conditionalFormatting>
  <conditionalFormatting sqref="D15:H16 D9:G14">
    <cfRule type="expression" dxfId="119" priority="8">
      <formula>$C8=MAX($C$8:$C$37)</formula>
    </cfRule>
  </conditionalFormatting>
  <conditionalFormatting sqref="C9:C16">
    <cfRule type="expression" dxfId="118" priority="7">
      <formula>$C8=MAX($C$8:$C$37)</formula>
    </cfRule>
  </conditionalFormatting>
  <conditionalFormatting sqref="E9:E16">
    <cfRule type="expression" dxfId="117" priority="9">
      <formula>AND($A9="",$F9&lt;&gt;"")</formula>
    </cfRule>
  </conditionalFormatting>
  <conditionalFormatting sqref="F9:F16">
    <cfRule type="expression" dxfId="116" priority="10">
      <formula>AND($F9="",$A9&lt;&gt;"")</formula>
    </cfRule>
  </conditionalFormatting>
  <conditionalFormatting sqref="D8:G8">
    <cfRule type="expression" dxfId="115" priority="4">
      <formula>$C7=MAX($C$8:$C$37)</formula>
    </cfRule>
  </conditionalFormatting>
  <conditionalFormatting sqref="C8">
    <cfRule type="expression" dxfId="114" priority="3">
      <formula>$C7=MAX($C$8:$C$37)</formula>
    </cfRule>
  </conditionalFormatting>
  <conditionalFormatting sqref="E8">
    <cfRule type="expression" dxfId="113" priority="5">
      <formula>AND($A8="",$F8&lt;&gt;"")</formula>
    </cfRule>
  </conditionalFormatting>
  <conditionalFormatting sqref="F8">
    <cfRule type="expression" dxfId="112" priority="6">
      <formula>AND($F8="",$A8&lt;&gt;"")</formula>
    </cfRule>
  </conditionalFormatting>
  <conditionalFormatting sqref="H9:H14">
    <cfRule type="expression" dxfId="111" priority="2">
      <formula>$C8=MAX($C$8:$C$37)</formula>
    </cfRule>
  </conditionalFormatting>
  <conditionalFormatting sqref="H8">
    <cfRule type="expression" dxfId="11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44998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tabColor theme="1"/>
    <pageSetUpPr fitToPage="1"/>
  </sheetPr>
  <dimension ref="A1:N53"/>
  <sheetViews>
    <sheetView zoomScaleNormal="100" workbookViewId="0">
      <pane ySplit="7" topLeftCell="A8" activePane="bottomLeft" state="frozen"/>
      <selection activeCell="L2" sqref="L2:L29"/>
      <selection pane="bottomLeft" activeCell="H16" sqref="H1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4" t="s">
        <v>188</v>
      </c>
      <c r="D1" s="264"/>
      <c r="E1" s="264"/>
      <c r="F1" s="264"/>
      <c r="G1" s="264"/>
      <c r="H1" s="264"/>
    </row>
    <row r="2" spans="1:14" ht="15.75" customHeight="1" x14ac:dyDescent="0.25">
      <c r="C2" s="264"/>
      <c r="D2" s="264"/>
      <c r="E2" s="264"/>
      <c r="F2" s="264"/>
      <c r="G2" s="264"/>
      <c r="H2" s="264"/>
    </row>
    <row r="3" spans="1:14" ht="15" customHeight="1" x14ac:dyDescent="0.25">
      <c r="C3" s="265" t="s">
        <v>190</v>
      </c>
      <c r="D3" s="265"/>
      <c r="E3" s="265"/>
      <c r="F3" s="266" t="s">
        <v>192</v>
      </c>
      <c r="G3" s="266"/>
      <c r="H3" s="266"/>
    </row>
    <row r="4" spans="1:14" x14ac:dyDescent="0.25">
      <c r="C4" s="267" t="s">
        <v>191</v>
      </c>
      <c r="D4" s="267"/>
      <c r="E4" s="267"/>
      <c r="F4" s="268" t="s">
        <v>193</v>
      </c>
      <c r="G4" s="268"/>
      <c r="H4" s="268"/>
    </row>
    <row r="5" spans="1:14" s="145" customFormat="1" ht="21" customHeight="1" x14ac:dyDescent="0.25">
      <c r="C5" s="269" t="s">
        <v>189</v>
      </c>
      <c r="D5" s="269"/>
      <c r="E5" s="269"/>
      <c r="F5" s="269"/>
      <c r="G5" s="269"/>
      <c r="H5" s="269"/>
    </row>
    <row r="6" spans="1:14" s="145" customFormat="1" ht="17.25" customHeight="1" x14ac:dyDescent="0.25">
      <c r="C6" s="154" t="s">
        <v>194</v>
      </c>
      <c r="D6" s="158" t="s">
        <v>327</v>
      </c>
      <c r="E6" s="150"/>
      <c r="F6" s="150"/>
      <c r="G6" s="263" t="str">
        <f ca="1">"Ngày "&amp;DAY(TODAY())&amp;" Tháng "&amp;MONTH(TODAY())&amp;" Năm "&amp;YEAR(TODAY())</f>
        <v>Ngày 29 Tháng 8 Năm 2022</v>
      </c>
      <c r="H6" s="263"/>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8.1</v>
      </c>
      <c r="L7" s="145"/>
    </row>
    <row r="8" spans="1:14" s="29" customFormat="1" ht="14.25" customHeight="1" x14ac:dyDescent="0.25">
      <c r="A8" s="155">
        <v>6</v>
      </c>
      <c r="B8" s="155">
        <v>1</v>
      </c>
      <c r="C8" s="30">
        <f t="shared" ref="C8:C37" si="0">IF(OR(SUM($C7,$A8&lt;&gt;"")=0,$A8=""),"",SUM($C7,$A8&lt;&gt;""))</f>
        <v>1</v>
      </c>
      <c r="D8" s="152" t="str">
        <f>IFERROR(VLOOKUP($A8,Sheet1!$A$1:$B$98,2,0),"")</f>
        <v>Mực tẩm bột LC</v>
      </c>
      <c r="E8" s="30">
        <f>IFERROR(VLOOKUP($A8,'Tổng Đơn'!$A$5:$E$75,5,0),"")</f>
        <v>0.5</v>
      </c>
      <c r="F8" s="30">
        <f t="shared" ref="F8:F37" si="1">IF($B8="","",B8)</f>
        <v>1</v>
      </c>
      <c r="G8" s="162">
        <f>IFERROR(VLOOKUP($A8,Sheet1!$A1:$D$98,4,0),"")</f>
        <v>42000</v>
      </c>
      <c r="H8" s="153">
        <f>IF($C7=MAX($C$8:$C$56),SUM($H7:$H$8),IFERROR($G8*$F8,""))</f>
        <v>42000</v>
      </c>
      <c r="I8" s="55">
        <f t="shared" ref="I8:I37" si="2">IF(TYPE($A8)&lt;&gt;1,"",IFERROR(F8*E8,""))</f>
        <v>0.5</v>
      </c>
      <c r="L8" s="32"/>
    </row>
    <row r="9" spans="1:14" s="29" customFormat="1" ht="14.25" customHeight="1" x14ac:dyDescent="0.25">
      <c r="A9" s="155">
        <v>41</v>
      </c>
      <c r="B9" s="155">
        <v>2</v>
      </c>
      <c r="C9" s="30">
        <f t="shared" si="0"/>
        <v>2</v>
      </c>
      <c r="D9" s="152" t="str">
        <f>IFERROR(VLOOKUP($A9,Sheet1!$A$1:$B$98,2,0),"")</f>
        <v>Bò lá lốt</v>
      </c>
      <c r="E9" s="30">
        <f>IFERROR(VLOOKUP($A9,'Tổng Đơn'!$A$5:$E$76,5,0),"")</f>
        <v>0.5</v>
      </c>
      <c r="F9" s="30">
        <f t="shared" si="1"/>
        <v>2</v>
      </c>
      <c r="G9" s="162">
        <f>IF(AND($C9="",$C8&lt;&gt;""),"Tổng Cộng",IFERROR(VLOOKUP($A9,Sheet1!$A$1:$D$98,4,0),""))</f>
        <v>42000</v>
      </c>
      <c r="H9" s="153">
        <f>IF($C8=MAX($C$8:$C$56),SUM($H$8:$H8),IFERROR($G9*$F9,""))</f>
        <v>84000</v>
      </c>
      <c r="I9" s="55">
        <f t="shared" si="2"/>
        <v>1</v>
      </c>
      <c r="L9" s="31"/>
    </row>
    <row r="10" spans="1:14" s="29" customFormat="1" ht="14.25" customHeight="1" x14ac:dyDescent="0.25">
      <c r="A10" s="155">
        <v>47</v>
      </c>
      <c r="B10" s="155">
        <v>2</v>
      </c>
      <c r="C10" s="30">
        <f t="shared" si="0"/>
        <v>3</v>
      </c>
      <c r="D10" s="152" t="str">
        <f>IFERROR(VLOOKUP($A10,Sheet1!$A$1:$B$98,2,0),"")</f>
        <v>Đậu hủ phô mai EB</v>
      </c>
      <c r="E10" s="30">
        <f>IFERROR(VLOOKUP($A10,'Tổng Đơn'!$A$5:$E$76,5,0),"")</f>
        <v>0.5</v>
      </c>
      <c r="F10" s="30">
        <f t="shared" si="1"/>
        <v>2</v>
      </c>
      <c r="G10" s="162">
        <f>IF(AND($C10="",$C9&lt;&gt;""),"Tổng Cộng",IFERROR(VLOOKUP($A10,Sheet1!$A$1:$D$98,4,0),""))</f>
        <v>80000</v>
      </c>
      <c r="H10" s="153">
        <f>IF($C9=MAX($C$8:$C$56),SUM($H$8:$H9),IFERROR($G10*$F10,""))</f>
        <v>160000</v>
      </c>
      <c r="I10" s="55">
        <f t="shared" si="2"/>
        <v>1</v>
      </c>
      <c r="L10" s="31"/>
    </row>
    <row r="11" spans="1:14" s="29" customFormat="1" ht="14.25" customHeight="1" x14ac:dyDescent="0.25">
      <c r="A11" s="155">
        <v>51</v>
      </c>
      <c r="B11" s="155">
        <v>2</v>
      </c>
      <c r="C11" s="30">
        <f t="shared" si="0"/>
        <v>4</v>
      </c>
      <c r="D11" s="152" t="str">
        <f>IFERROR(VLOOKUP($A11,Sheet1!$A$1:$B$98,2,0),"")</f>
        <v>Thanh cua dài Liên Anh</v>
      </c>
      <c r="E11" s="30">
        <f>IFERROR(VLOOKUP($A11,'Tổng Đơn'!$A$5:$E$76,5,0),"")</f>
        <v>0.5</v>
      </c>
      <c r="F11" s="30">
        <f t="shared" si="1"/>
        <v>2</v>
      </c>
      <c r="G11" s="162">
        <f>IF(AND($C11="",$C10&lt;&gt;""),"Tổng Cộng",IFERROR(VLOOKUP($A11,Sheet1!$A$1:$D$98,4,0),""))</f>
        <v>70000</v>
      </c>
      <c r="H11" s="153">
        <f>IF($C10=MAX($C$8:$C$56),SUM($H$8:$H10),IFERROR($G11*$F11,""))</f>
        <v>140000</v>
      </c>
      <c r="I11" s="55">
        <f t="shared" si="2"/>
        <v>1</v>
      </c>
      <c r="L11" s="31"/>
    </row>
    <row r="12" spans="1:14" s="29" customFormat="1" ht="14.25" customHeight="1" x14ac:dyDescent="0.25">
      <c r="A12" s="155">
        <v>56</v>
      </c>
      <c r="B12" s="155">
        <v>2</v>
      </c>
      <c r="C12" s="30">
        <f t="shared" si="0"/>
        <v>5</v>
      </c>
      <c r="D12" s="152" t="str">
        <f>IFERROR(VLOOKUP($A12,Sheet1!$A$1:$B$98,2,0),"")</f>
        <v>Bánh bao ngọt không nhân</v>
      </c>
      <c r="E12" s="30">
        <f>IFERROR(VLOOKUP($A12,'Tổng Đơn'!$A$5:$E$76,5,0),"")</f>
        <v>0.3</v>
      </c>
      <c r="F12" s="30">
        <f t="shared" si="1"/>
        <v>2</v>
      </c>
      <c r="G12" s="162">
        <f>IF(AND($C12="",$C11&lt;&gt;""),"Tổng Cộng",IFERROR(VLOOKUP($A12,Sheet1!$A$1:$D$98,4,0),""))</f>
        <v>16000</v>
      </c>
      <c r="H12" s="153">
        <f>IF($C11=MAX($C$8:$C$56),SUM($H$8:$H11),IFERROR($G12*$F12,""))</f>
        <v>32000</v>
      </c>
      <c r="I12" s="55">
        <f t="shared" si="2"/>
        <v>0.6</v>
      </c>
      <c r="J12" s="127"/>
      <c r="L12" s="31"/>
      <c r="M12" s="135"/>
      <c r="N12" s="128"/>
    </row>
    <row r="13" spans="1:14" s="29" customFormat="1" ht="14.25" customHeight="1" x14ac:dyDescent="0.25">
      <c r="A13" s="155">
        <v>57</v>
      </c>
      <c r="B13" s="155">
        <v>6</v>
      </c>
      <c r="C13" s="30">
        <f t="shared" si="0"/>
        <v>6</v>
      </c>
      <c r="D13" s="152" t="str">
        <f>IFERROR(VLOOKUP($A13,Sheet1!$A$1:$B$98,2,0),"")</f>
        <v>Cá viên KK</v>
      </c>
      <c r="E13" s="30">
        <f>IFERROR(VLOOKUP($A13,'Tổng Đơn'!$A$5:$E$76,5,0),"")</f>
        <v>0.5</v>
      </c>
      <c r="F13" s="30">
        <f t="shared" si="1"/>
        <v>6</v>
      </c>
      <c r="G13" s="162">
        <f>IF(AND($C13="",$C12&lt;&gt;""),"Tổng Cộng",IFERROR(VLOOKUP($A13,Sheet1!$A$1:$D$98,4,0),""))</f>
        <v>25000</v>
      </c>
      <c r="H13" s="153">
        <f>IF($C12=MAX($C$8:$C$56),SUM($H$8:$H12),IFERROR($G13*$F13,""))</f>
        <v>150000</v>
      </c>
      <c r="I13" s="55">
        <f t="shared" si="2"/>
        <v>3</v>
      </c>
      <c r="L13" s="31"/>
    </row>
    <row r="14" spans="1:14" s="29" customFormat="1" ht="14.25" customHeight="1" x14ac:dyDescent="0.25">
      <c r="A14" s="155">
        <v>63</v>
      </c>
      <c r="B14" s="155">
        <v>2</v>
      </c>
      <c r="C14" s="30">
        <f t="shared" si="0"/>
        <v>7</v>
      </c>
      <c r="D14" s="152" t="str">
        <f>IFERROR(VLOOKUP($A14,Sheet1!$A$1:$B$98,2,0),"")</f>
        <v>Hồ lô KK</v>
      </c>
      <c r="E14" s="30">
        <f>IFERROR(VLOOKUP($A14,'Tổng Đơn'!$A$5:$E$76,5,0),"")</f>
        <v>0.5</v>
      </c>
      <c r="F14" s="30">
        <f t="shared" si="1"/>
        <v>2</v>
      </c>
      <c r="G14" s="162">
        <f>IF(AND($C14="",$C13&lt;&gt;""),"Tổng Cộng",IFERROR(VLOOKUP($A14,Sheet1!$A$1:$D$98,4,0),""))</f>
        <v>42000</v>
      </c>
      <c r="H14" s="153">
        <f>IF($C13=MAX($C$8:$C$56),SUM($H$8:$H13),IFERROR($G14*$F14,""))</f>
        <v>84000</v>
      </c>
      <c r="I14" s="55">
        <f t="shared" si="2"/>
        <v>1</v>
      </c>
      <c r="L14" s="31"/>
      <c r="M14" s="136"/>
    </row>
    <row r="15" spans="1:14" s="29" customFormat="1" ht="14.25" customHeight="1" x14ac:dyDescent="0.25">
      <c r="A15" s="155">
        <v>1</v>
      </c>
      <c r="B15" s="155">
        <v>1</v>
      </c>
      <c r="C15" s="30">
        <f t="shared" si="0"/>
        <v>8</v>
      </c>
      <c r="D15" s="152" t="s">
        <v>302</v>
      </c>
      <c r="E15" s="30" t="s">
        <v>260</v>
      </c>
      <c r="F15" s="30" t="s">
        <v>260</v>
      </c>
      <c r="G15" s="162" t="s">
        <v>260</v>
      </c>
      <c r="H15" s="153">
        <f>-2*1000-6*2000</f>
        <v>-14000</v>
      </c>
      <c r="I15" s="55" t="str">
        <f t="shared" si="2"/>
        <v/>
      </c>
      <c r="L15" s="31"/>
    </row>
    <row r="16" spans="1:14" s="29" customFormat="1" ht="14.25" customHeight="1" x14ac:dyDescent="0.25">
      <c r="A16" s="155" t="s">
        <v>301</v>
      </c>
      <c r="B16" s="155"/>
      <c r="C16" s="30" t="str">
        <f t="shared" si="0"/>
        <v/>
      </c>
      <c r="D16" s="152" t="str">
        <f>IFERROR(VLOOKUP($A16,Sheet1!$A$1:$B$98,2,0),"")</f>
        <v/>
      </c>
      <c r="E16" s="30" t="str">
        <f>IFERROR(VLOOKUP($A16,'Tổng Đơn'!$A$5:$E$75,5,0),"")</f>
        <v/>
      </c>
      <c r="F16" s="30" t="str">
        <f t="shared" si="1"/>
        <v/>
      </c>
      <c r="G16" s="162" t="str">
        <f>IF(AND($C16="",$C15&lt;&gt;""),"Tổng Cộng",IFERROR(VLOOKUP($A16,Sheet1!$A$1:$D$98,4,0),""))</f>
        <v>Tổng Cộng</v>
      </c>
      <c r="H16" s="153">
        <f>IF($C15=MAX($C$8:$C$56),SUM($H$8:$H15),IFERROR($G16*$F16,""))</f>
        <v>678000</v>
      </c>
      <c r="I16" s="55" t="str">
        <f t="shared" si="2"/>
        <v/>
      </c>
      <c r="L16" s="31"/>
    </row>
    <row r="17" spans="1:12" s="29" customFormat="1" ht="14.25" customHeight="1" x14ac:dyDescent="0.25">
      <c r="A17" s="155" t="s">
        <v>301</v>
      </c>
      <c r="B17" s="155"/>
      <c r="C17" s="30" t="str">
        <f t="shared" si="0"/>
        <v/>
      </c>
      <c r="D17" s="161" t="str">
        <f>IFERROR(VLOOKUP($A17,Sheet1!$A$1:$B$98,2,0),"")</f>
        <v/>
      </c>
      <c r="E17" s="30" t="str">
        <f>IFERROR(VLOOKUP($A17,'Tổng Đơn'!$A$5:$E$75,5,0),"")</f>
        <v/>
      </c>
      <c r="F17" s="30" t="str">
        <f t="shared" si="1"/>
        <v/>
      </c>
      <c r="G17" s="162" t="str">
        <f>IF(AND($C17="",$C16&lt;&gt;""),"Tổng Cộng",IFERROR(VLOOKUP($A17,Sheet1!$A$1:$D$98,4,0),""))</f>
        <v/>
      </c>
      <c r="H17" s="153" t="str">
        <f>IF($C16=MAX($C$8:$C$56),SUM($H$8:$H16),IFERROR($G17*$F17,""))</f>
        <v/>
      </c>
      <c r="I17" s="55" t="str">
        <f t="shared" si="2"/>
        <v/>
      </c>
      <c r="L17" s="31"/>
    </row>
    <row r="18" spans="1:12" s="29" customFormat="1" ht="14.25" customHeight="1" x14ac:dyDescent="0.25">
      <c r="A18" s="155" t="s">
        <v>301</v>
      </c>
      <c r="B18" s="155"/>
      <c r="C18" s="30" t="str">
        <f t="shared" si="0"/>
        <v/>
      </c>
      <c r="D18" s="161" t="str">
        <f>IFERROR(VLOOKUP($A18,Sheet1!$A$1:$B$98,2,0),"")</f>
        <v/>
      </c>
      <c r="E18" s="30" t="str">
        <f>IFERROR(VLOOKUP($A18,'Tổng Đơn'!$A$5:$E$75,5,0),"")</f>
        <v/>
      </c>
      <c r="F18" s="30" t="str">
        <f t="shared" si="1"/>
        <v/>
      </c>
      <c r="G18" s="162" t="str">
        <f>IF(AND($C18="",$C17&lt;&gt;""),"Tổng Cộng",IFERROR(VLOOKUP($A18,Sheet1!$A$1:$D$98,4,0),""))</f>
        <v/>
      </c>
      <c r="H18" s="153" t="str">
        <f>IF($C17=MAX($C$8:$C$56),SUM($H$8:$H17),IFERROR($G18*$F18,""))</f>
        <v/>
      </c>
      <c r="I18" s="55" t="str">
        <f t="shared" si="2"/>
        <v/>
      </c>
      <c r="L18" s="31"/>
    </row>
    <row r="19" spans="1:12" s="29" customFormat="1" ht="14.25" customHeight="1" x14ac:dyDescent="0.25">
      <c r="A19" s="155" t="s">
        <v>301</v>
      </c>
      <c r="B19" s="155"/>
      <c r="C19" s="30" t="str">
        <f t="shared" si="0"/>
        <v/>
      </c>
      <c r="D19" s="161" t="str">
        <f>IFERROR(VLOOKUP($A19,Sheet1!$A$1:$B$98,2,0),"")</f>
        <v/>
      </c>
      <c r="E19" s="30" t="str">
        <f>IFERROR(VLOOKUP($A19,'Tổng Đơn'!$A$5:$E$75,5,0),"")</f>
        <v/>
      </c>
      <c r="F19" s="30" t="str">
        <f t="shared" si="1"/>
        <v/>
      </c>
      <c r="G19" s="162" t="str">
        <f>IF(AND($C19="",$C18&lt;&gt;""),"Tổng Cộng",IFERROR(VLOOKUP($A19,Sheet1!$A$1:$D$98,4,0),""))</f>
        <v/>
      </c>
      <c r="H19" s="153" t="str">
        <f>IF($C18=MAX($C$8:$C$56),SUM($H$8:$H18),IFERROR($G19*$F19,""))</f>
        <v/>
      </c>
      <c r="I19" s="55" t="str">
        <f t="shared" si="2"/>
        <v/>
      </c>
      <c r="L19" s="31"/>
    </row>
    <row r="20" spans="1:12" s="29" customFormat="1" ht="14.25" customHeight="1" x14ac:dyDescent="0.25">
      <c r="A20" s="155" t="s">
        <v>301</v>
      </c>
      <c r="B20" s="155"/>
      <c r="C20" s="30" t="str">
        <f t="shared" si="0"/>
        <v/>
      </c>
      <c r="D20" s="161" t="str">
        <f>IFERROR(VLOOKUP($A20,Sheet1!$A$1:$B$98,2,0),"")</f>
        <v/>
      </c>
      <c r="E20" s="30" t="str">
        <f>IFERROR(VLOOKUP($A20,'Tổng Đơn'!$A$5:$E$75,5,0),"")</f>
        <v/>
      </c>
      <c r="F20" s="30" t="str">
        <f t="shared" si="1"/>
        <v/>
      </c>
      <c r="G20" s="162" t="str">
        <f>IF(AND($C20="",$C19&lt;&gt;""),"Tổng Cộng",IFERROR(VLOOKUP($A20,Sheet1!$A$1:$D$98,4,0),""))</f>
        <v/>
      </c>
      <c r="H20" s="153" t="str">
        <f>IF($C19=MAX($C$8:$C$56),SUM($H$8:$H19),IFERROR($G20*$F20,""))</f>
        <v/>
      </c>
      <c r="I20" s="55" t="str">
        <f t="shared" si="2"/>
        <v/>
      </c>
      <c r="L20" s="31"/>
    </row>
    <row r="21" spans="1:12" s="29" customFormat="1" ht="14.25" customHeight="1" x14ac:dyDescent="0.25">
      <c r="A21" s="155" t="s">
        <v>301</v>
      </c>
      <c r="B21" s="155"/>
      <c r="C21" s="30" t="str">
        <f t="shared" si="0"/>
        <v/>
      </c>
      <c r="D21" s="161" t="str">
        <f>IFERROR(VLOOKUP($A21,Sheet1!$A$1:$B$98,2,0),"")</f>
        <v/>
      </c>
      <c r="E21" s="30" t="str">
        <f>IFERROR(VLOOKUP($A21,'Tổng Đơn'!$A$5:$E$75,5,0),"")</f>
        <v/>
      </c>
      <c r="F21" s="30" t="str">
        <f t="shared" si="1"/>
        <v/>
      </c>
      <c r="G21" s="162" t="str">
        <f>IF(AND($C21="",$C20&lt;&gt;""),"Tổng Cộng",IFERROR(VLOOKUP($A21,Sheet1!$A$1:$D$98,4,0),""))</f>
        <v/>
      </c>
      <c r="H21" s="153" t="str">
        <f>IF($C20=MAX($C$8:$C$56),SUM($H$8:$H20),IFERROR($G21*$F21,""))</f>
        <v/>
      </c>
      <c r="I21" s="55" t="str">
        <f t="shared" si="2"/>
        <v/>
      </c>
      <c r="L21" s="31"/>
    </row>
    <row r="22" spans="1:12" s="29" customFormat="1" ht="14.25" customHeight="1" x14ac:dyDescent="0.25">
      <c r="A22" s="155" t="s">
        <v>301</v>
      </c>
      <c r="B22" s="155"/>
      <c r="C22" s="30" t="str">
        <f t="shared" si="0"/>
        <v/>
      </c>
      <c r="D22" s="152" t="str">
        <f>IFERROR(VLOOKUP($A22,Sheet1!$A$1:$B$98,2,0),"")</f>
        <v/>
      </c>
      <c r="E22" s="30" t="str">
        <f>IFERROR(VLOOKUP($A22,'Tổng Đơn'!$A$5:$E$75,5,0),"")</f>
        <v/>
      </c>
      <c r="F22" s="30" t="str">
        <f t="shared" si="1"/>
        <v/>
      </c>
      <c r="G22" s="162" t="str">
        <f>IF(AND($C22="",$C21&lt;&gt;""),"Tổng Cộng",IFERROR(VLOOKUP($A22,Sheet1!$A$1:$D$98,4,0),""))</f>
        <v/>
      </c>
      <c r="H22" s="153" t="str">
        <f>IF($C21=MAX($C$8:$C$56),SUM($H$8:$H21),IFERROR($G22*$F22,""))</f>
        <v/>
      </c>
      <c r="I22" s="55" t="str">
        <f t="shared" si="2"/>
        <v/>
      </c>
      <c r="L22" s="31"/>
    </row>
    <row r="23" spans="1:12" s="29" customFormat="1" ht="14.25" customHeight="1" x14ac:dyDescent="0.25">
      <c r="A23" s="155" t="s">
        <v>301</v>
      </c>
      <c r="B23" s="155"/>
      <c r="C23" s="30" t="str">
        <f t="shared" si="0"/>
        <v/>
      </c>
      <c r="D23" s="152" t="str">
        <f>IFERROR(VLOOKUP($A23,Sheet1!$A$1:$B$98,2,0),"")</f>
        <v/>
      </c>
      <c r="E23" s="30" t="str">
        <f>IFERROR(VLOOKUP($A23,'Tổng Đơn'!$A$5:$E$75,5,0),"")</f>
        <v/>
      </c>
      <c r="F23" s="30" t="str">
        <f t="shared" si="1"/>
        <v/>
      </c>
      <c r="G23" s="162" t="str">
        <f>IF(AND($C23="",$C22&lt;&gt;""),"Tổng Cộng",IFERROR(VLOOKUP($A23,Sheet1!$A$1:$D$98,4,0),""))</f>
        <v/>
      </c>
      <c r="H23" s="153" t="str">
        <f>IF($C22=MAX($C$8:$C$56),SUM($H$8:$H22),IFERROR($G23*$F23,""))</f>
        <v/>
      </c>
      <c r="I23" s="55" t="str">
        <f t="shared" si="2"/>
        <v/>
      </c>
      <c r="L23" s="31"/>
    </row>
    <row r="24" spans="1:12" s="29" customFormat="1" ht="14.25" customHeight="1" x14ac:dyDescent="0.25">
      <c r="A24" s="155" t="s">
        <v>301</v>
      </c>
      <c r="B24" s="155"/>
      <c r="C24" s="30" t="str">
        <f t="shared" si="0"/>
        <v/>
      </c>
      <c r="D24" s="152" t="str">
        <f>IFERROR(VLOOKUP($A24,Sheet1!$A$1:$B$98,2,0),"")</f>
        <v/>
      </c>
      <c r="E24" s="30" t="str">
        <f>IFERROR(VLOOKUP($A24,'Tổng Đơn'!$A$5:$E$75,5,0),"")</f>
        <v/>
      </c>
      <c r="F24" s="30" t="str">
        <f t="shared" si="1"/>
        <v/>
      </c>
      <c r="G24" s="162" t="str">
        <f>IF(AND($C24="",$C23&lt;&gt;""),"Tổng Cộng",IFERROR(VLOOKUP($A24,Sheet1!$A$1:$D$98,4,0),""))</f>
        <v/>
      </c>
      <c r="H24" s="153" t="str">
        <f>IF($C23=MAX($C$8:$C$56),SUM($H$8:$H23),IFERROR($G24*$F24,""))</f>
        <v/>
      </c>
      <c r="I24" s="55" t="str">
        <f t="shared" si="2"/>
        <v/>
      </c>
      <c r="L24" s="31"/>
    </row>
    <row r="25" spans="1:12" s="29" customFormat="1" ht="14.25" customHeight="1" x14ac:dyDescent="0.25">
      <c r="A25" s="155" t="s">
        <v>301</v>
      </c>
      <c r="B25" s="155"/>
      <c r="C25" s="30" t="str">
        <f t="shared" si="0"/>
        <v/>
      </c>
      <c r="D25" s="152" t="str">
        <f>IFERROR(VLOOKUP($A25,Sheet1!$A$1:$B$98,2,0),"")</f>
        <v/>
      </c>
      <c r="E25" s="30" t="str">
        <f>IFERROR(VLOOKUP($A25,'Tổng Đơn'!$A$5:$E$75,5,0),"")</f>
        <v/>
      </c>
      <c r="F25" s="30" t="str">
        <f t="shared" si="1"/>
        <v/>
      </c>
      <c r="G25" s="162" t="str">
        <f>IF(AND($C25="",$C24&lt;&gt;""),"Tổng Cộng",IFERROR(VLOOKUP($A25,Sheet1!$A$1:$D$98,4,0),""))</f>
        <v/>
      </c>
      <c r="H25" s="153" t="str">
        <f>IF($C24=MAX($C$8:$C$56),SUM($H$8:$H24),IFERROR($G25*$F25,""))</f>
        <v/>
      </c>
      <c r="I25" s="55" t="str">
        <f t="shared" si="2"/>
        <v/>
      </c>
      <c r="L25" s="31"/>
    </row>
    <row r="26" spans="1:12" s="29" customFormat="1" ht="14.25" customHeight="1" x14ac:dyDescent="0.25">
      <c r="A26" s="155" t="s">
        <v>301</v>
      </c>
      <c r="B26" s="155"/>
      <c r="C26" s="30" t="str">
        <f t="shared" si="0"/>
        <v/>
      </c>
      <c r="D26" s="152" t="str">
        <f>IFERROR(VLOOKUP($A26,Sheet1!$A$1:$B$98,2,0),"")</f>
        <v/>
      </c>
      <c r="E26" s="30" t="str">
        <f>IFERROR(VLOOKUP($A26,'Tổng Đơn'!$A$5:$E$75,5,0),"")</f>
        <v/>
      </c>
      <c r="F26" s="30" t="str">
        <f t="shared" si="1"/>
        <v/>
      </c>
      <c r="G26" s="162" t="str">
        <f>IF(AND($C26="",$C25&lt;&gt;""),"Tổng Cộng",IFERROR(VLOOKUP($A26,Sheet1!$A$1:$D$98,4,0),""))</f>
        <v/>
      </c>
      <c r="H26" s="153" t="str">
        <f>IF($C25=MAX($C$8:$C$56),SUM($H$8:$H25),IFERROR($G26*$F26,""))</f>
        <v/>
      </c>
      <c r="I26" s="55" t="str">
        <f t="shared" si="2"/>
        <v/>
      </c>
      <c r="L26" s="31"/>
    </row>
    <row r="27" spans="1:12" s="29" customFormat="1" ht="14.25" customHeight="1" x14ac:dyDescent="0.25">
      <c r="A27" s="155" t="s">
        <v>301</v>
      </c>
      <c r="B27" s="155"/>
      <c r="C27" s="30" t="str">
        <f t="shared" si="0"/>
        <v/>
      </c>
      <c r="D27" s="152" t="str">
        <f>IFERROR(VLOOKUP($A27,Sheet1!$A$1:$B$98,2,0),"")</f>
        <v/>
      </c>
      <c r="E27" s="30" t="str">
        <f>IFERROR(VLOOKUP($A27,'Tổng Đơn'!$A$5:$E$75,5,0),"")</f>
        <v/>
      </c>
      <c r="F27" s="30" t="str">
        <f t="shared" si="1"/>
        <v/>
      </c>
      <c r="G27" s="162" t="str">
        <f>IF(AND($C27="",$C26&lt;&gt;""),"Tổng Cộng",IFERROR(VLOOKUP($A27,Sheet1!$A$1:$D$98,4,0),""))</f>
        <v/>
      </c>
      <c r="H27" s="153" t="str">
        <f>IF($C26=MAX($C$8:$C$56),SUM($H$8:$H26),IFERROR($G27*$F27,""))</f>
        <v/>
      </c>
      <c r="I27" s="55" t="str">
        <f t="shared" si="2"/>
        <v/>
      </c>
      <c r="L27" s="31"/>
    </row>
    <row r="28" spans="1:12" s="29" customFormat="1" ht="14.25" customHeight="1" x14ac:dyDescent="0.25">
      <c r="A28" s="155" t="s">
        <v>301</v>
      </c>
      <c r="B28" s="155"/>
      <c r="C28" s="30" t="str">
        <f t="shared" si="0"/>
        <v/>
      </c>
      <c r="D28" s="152" t="str">
        <f>IFERROR(VLOOKUP($A28,Sheet1!$A$1:$B$98,2,0),"")</f>
        <v/>
      </c>
      <c r="E28" s="30" t="str">
        <f>IFERROR(VLOOKUP($A28,'Tổng Đơn'!$A$5:$E$75,5,0),"")</f>
        <v/>
      </c>
      <c r="F28" s="30" t="str">
        <f t="shared" si="1"/>
        <v/>
      </c>
      <c r="G28" s="162" t="str">
        <f>IF(AND($C28="",$C27&lt;&gt;""),"Tổng Cộng",IFERROR(VLOOKUP($A28,Sheet1!$A$1:$D$98,4,0),""))</f>
        <v/>
      </c>
      <c r="H28" s="153" t="str">
        <f>IF($C27=MAX($C$8:$C$56),SUM($H$8:$H27),IFERROR($G28*$F28,""))</f>
        <v/>
      </c>
      <c r="I28" s="55" t="str">
        <f t="shared" si="2"/>
        <v/>
      </c>
      <c r="L28" s="31"/>
    </row>
    <row r="29" spans="1:12" s="29" customFormat="1" ht="14.25" customHeight="1" x14ac:dyDescent="0.25">
      <c r="A29" s="155" t="s">
        <v>301</v>
      </c>
      <c r="B29" s="155"/>
      <c r="C29" s="30" t="str">
        <f t="shared" si="0"/>
        <v/>
      </c>
      <c r="D29" s="152" t="str">
        <f>IFERROR(VLOOKUP($A29,Sheet1!$A$1:$B$98,2,0),"")</f>
        <v/>
      </c>
      <c r="E29" s="30" t="str">
        <f>IFERROR(VLOOKUP($A29,'Tổng Đơn'!$A$5:$E$75,5,0),"")</f>
        <v/>
      </c>
      <c r="F29" s="30" t="str">
        <f t="shared" si="1"/>
        <v/>
      </c>
      <c r="G29" s="162" t="str">
        <f>IF(AND($C29="",$C28&lt;&gt;""),"Tổng Cộng",IFERROR(VLOOKUP($A29,Sheet1!$A$1:$D$98,4,0),""))</f>
        <v/>
      </c>
      <c r="H29" s="153" t="str">
        <f>IF($C28=MAX($C$8:$C$56),SUM($H$8:$H28),IFERROR($G29*$F29,""))</f>
        <v/>
      </c>
      <c r="I29" s="55" t="str">
        <f t="shared" si="2"/>
        <v/>
      </c>
      <c r="L29" s="31"/>
    </row>
    <row r="30" spans="1:12" s="29" customFormat="1" ht="14.25" customHeight="1" x14ac:dyDescent="0.25">
      <c r="A30" s="155" t="s">
        <v>301</v>
      </c>
      <c r="B30" s="155"/>
      <c r="C30" s="30" t="str">
        <f t="shared" si="0"/>
        <v/>
      </c>
      <c r="D30" s="152" t="str">
        <f>IFERROR(VLOOKUP($A30,Sheet1!$A$1:$B$98,2,0),"")</f>
        <v/>
      </c>
      <c r="E30" s="30" t="str">
        <f>IFERROR(VLOOKUP($A30,'Tổng Đơn'!$A$5:$E$75,5,0),"")</f>
        <v/>
      </c>
      <c r="F30" s="30" t="str">
        <f t="shared" si="1"/>
        <v/>
      </c>
      <c r="G30" s="162" t="str">
        <f>IF(AND($C30="",$C29&lt;&gt;""),"Tổng Cộng",IFERROR(VLOOKUP($A30,Sheet1!$A$1:$D$98,4,0),""))</f>
        <v/>
      </c>
      <c r="H30" s="153" t="str">
        <f>IF($C29=MAX($C$8:$C$56),SUM($H$8:$H29),IFERROR($G30*$F30,""))</f>
        <v/>
      </c>
      <c r="I30" s="55" t="str">
        <f t="shared" si="2"/>
        <v/>
      </c>
      <c r="L30" s="31"/>
    </row>
    <row r="31" spans="1:12" s="29" customFormat="1" ht="14.25" customHeight="1" x14ac:dyDescent="0.25">
      <c r="A31" s="155" t="s">
        <v>301</v>
      </c>
      <c r="B31" s="155"/>
      <c r="C31" s="30" t="str">
        <f t="shared" si="0"/>
        <v/>
      </c>
      <c r="D31" s="152" t="str">
        <f>IFERROR(VLOOKUP($A31,Sheet1!$A$1:$B$98,2,0),"")</f>
        <v/>
      </c>
      <c r="E31" s="30" t="str">
        <f>IFERROR(VLOOKUP($A31,'Tổng Đơn'!$A$5:$E$75,5,0),"")</f>
        <v/>
      </c>
      <c r="F31" s="30" t="str">
        <f t="shared" si="1"/>
        <v/>
      </c>
      <c r="G31" s="162" t="str">
        <f>IF(AND($C31="",$C30&lt;&gt;""),"Tổng Cộng",IFERROR(VLOOKUP($A31,Sheet1!$A$1:$D$98,4,0),""))</f>
        <v/>
      </c>
      <c r="H31" s="153" t="str">
        <f>IF($C30=MAX($C$8:$C$56),SUM($H$8:$H30),IFERROR($G31*$F31,""))</f>
        <v/>
      </c>
      <c r="I31" s="55" t="str">
        <f t="shared" si="2"/>
        <v/>
      </c>
      <c r="L31" s="31"/>
    </row>
    <row r="32" spans="1:12" s="29" customFormat="1" ht="14.25" customHeight="1" x14ac:dyDescent="0.25">
      <c r="A32" s="155" t="s">
        <v>301</v>
      </c>
      <c r="B32" s="155"/>
      <c r="C32" s="30" t="str">
        <f t="shared" si="0"/>
        <v/>
      </c>
      <c r="D32" s="152" t="str">
        <f>IFERROR(VLOOKUP($A32,Sheet1!$A$1:$B$98,2,0),"")</f>
        <v/>
      </c>
      <c r="E32" s="30" t="str">
        <f>IFERROR(VLOOKUP($A32,'Tổng Đơn'!$A$5:$E$75,5,0),"")</f>
        <v/>
      </c>
      <c r="F32" s="30" t="str">
        <f t="shared" si="1"/>
        <v/>
      </c>
      <c r="G32" s="162" t="str">
        <f>IF(AND($C32="",$C31&lt;&gt;""),"Tổng Cộng",IFERROR(VLOOKUP($A32,Sheet1!$A$1:$D$98,4,0),""))</f>
        <v/>
      </c>
      <c r="H32" s="153" t="str">
        <f>IF($C31=MAX($C$8:$C$56),SUM($H$8:$H31),IFERROR($G32*$F32,""))</f>
        <v/>
      </c>
      <c r="I32" s="55" t="str">
        <f t="shared" si="2"/>
        <v/>
      </c>
      <c r="L32" s="31"/>
    </row>
    <row r="33" spans="1:12" s="29" customFormat="1" ht="14.25" customHeight="1" x14ac:dyDescent="0.25">
      <c r="A33" s="155" t="s">
        <v>301</v>
      </c>
      <c r="B33" s="155"/>
      <c r="C33" s="30" t="str">
        <f t="shared" si="0"/>
        <v/>
      </c>
      <c r="D33" s="152" t="str">
        <f>IFERROR(VLOOKUP($A33,Sheet1!$A$1:$B$98,2,0),"")</f>
        <v/>
      </c>
      <c r="E33" s="30" t="str">
        <f>IFERROR(VLOOKUP($A33,'Tổng Đơn'!$A$5:$E$75,5,0),"")</f>
        <v/>
      </c>
      <c r="F33" s="30" t="str">
        <f t="shared" si="1"/>
        <v/>
      </c>
      <c r="G33" s="162" t="str">
        <f>IF(AND($C33="",$C32&lt;&gt;""),"Tổng Cộng",IFERROR(VLOOKUP($A33,Sheet1!$A$1:$D$98,4,0),""))</f>
        <v/>
      </c>
      <c r="H33" s="153" t="str">
        <f>IF($C32=MAX($C$8:$C$56),SUM($H$8:$H32),IFERROR($G33*$F33,""))</f>
        <v/>
      </c>
      <c r="I33" s="55" t="str">
        <f t="shared" si="2"/>
        <v/>
      </c>
      <c r="L33" s="31"/>
    </row>
    <row r="34" spans="1:12" s="29" customFormat="1" ht="14.25" customHeight="1" x14ac:dyDescent="0.25">
      <c r="A34" s="155" t="s">
        <v>301</v>
      </c>
      <c r="B34" s="155"/>
      <c r="C34" s="30" t="str">
        <f t="shared" si="0"/>
        <v/>
      </c>
      <c r="D34" s="152" t="str">
        <f>IFERROR(VLOOKUP($A34,Sheet1!$A$1:$B$98,2,0),"")</f>
        <v/>
      </c>
      <c r="E34" s="30" t="str">
        <f>IFERROR(VLOOKUP($A34,'Tổng Đơn'!$A$5:$E$75,5,0),"")</f>
        <v/>
      </c>
      <c r="F34" s="30" t="str">
        <f t="shared" si="1"/>
        <v/>
      </c>
      <c r="G34" s="162" t="str">
        <f>IF(AND($C34="",$C33&lt;&gt;""),"Tổng Cộng",IFERROR(VLOOKUP($A34,Sheet1!$A$1:$D$98,4,0),""))</f>
        <v/>
      </c>
      <c r="H34" s="153" t="str">
        <f>IF($C33=MAX($C$8:$C$56),SUM($H$8:$H33),IFERROR($G34*$F34,""))</f>
        <v/>
      </c>
      <c r="I34" s="55" t="str">
        <f t="shared" si="2"/>
        <v/>
      </c>
      <c r="L34" s="31"/>
    </row>
    <row r="35" spans="1:12" s="29" customFormat="1" ht="14.25" customHeight="1" x14ac:dyDescent="0.25">
      <c r="A35" s="155" t="s">
        <v>301</v>
      </c>
      <c r="B35" s="155"/>
      <c r="C35" s="30" t="str">
        <f t="shared" si="0"/>
        <v/>
      </c>
      <c r="D35" s="152" t="str">
        <f>IFERROR(VLOOKUP($A35,Sheet1!$A$1:$B$98,2,0),"")</f>
        <v/>
      </c>
      <c r="E35" s="30" t="str">
        <f>IFERROR(VLOOKUP($A35,'Tổng Đơn'!$A$5:$E$75,5,0),"")</f>
        <v/>
      </c>
      <c r="F35" s="30" t="str">
        <f t="shared" si="1"/>
        <v/>
      </c>
      <c r="G35" s="162" t="str">
        <f>IF(AND($C35="",$C34&lt;&gt;""),"Tổng Cộng",IFERROR(VLOOKUP($A35,Sheet1!$A$1:$D$98,4,0),""))</f>
        <v/>
      </c>
      <c r="H35" s="153" t="str">
        <f>IF($C34=MAX($C$8:$C$56),SUM($H$8:$H34),IFERROR($G35*$F35,""))</f>
        <v/>
      </c>
      <c r="I35" s="55" t="str">
        <f t="shared" si="2"/>
        <v/>
      </c>
      <c r="L35" s="31"/>
    </row>
    <row r="36" spans="1:12" s="29" customFormat="1" ht="14.25" customHeight="1" x14ac:dyDescent="0.25">
      <c r="A36" s="155" t="s">
        <v>301</v>
      </c>
      <c r="B36" s="155"/>
      <c r="C36" s="30" t="str">
        <f t="shared" si="0"/>
        <v/>
      </c>
      <c r="D36" s="152" t="str">
        <f>IFERROR(VLOOKUP($A36,Sheet1!$A$1:$B$98,2,0),"")</f>
        <v/>
      </c>
      <c r="E36" s="30" t="str">
        <f>IFERROR(VLOOKUP($A36,'Tổng Đơn'!$A$5:$E$75,5,0),"")</f>
        <v/>
      </c>
      <c r="F36" s="30" t="str">
        <f t="shared" si="1"/>
        <v/>
      </c>
      <c r="G36" s="162" t="str">
        <f>IF(AND($C36="",$C35&lt;&gt;""),"Tổng Cộng",IFERROR(VLOOKUP($A36,Sheet1!$A$1:$D$98,4,0),""))</f>
        <v/>
      </c>
      <c r="H36" s="153" t="str">
        <f>IF($C35=MAX($C$8:$C$56),SUM($H$8:$H35),IFERROR($G36*$F36,""))</f>
        <v/>
      </c>
      <c r="I36" s="55" t="str">
        <f t="shared" si="2"/>
        <v/>
      </c>
      <c r="L36" s="31"/>
    </row>
    <row r="37" spans="1:12" s="29" customFormat="1" ht="14.25" customHeight="1" x14ac:dyDescent="0.25">
      <c r="A37" s="155" t="s">
        <v>301</v>
      </c>
      <c r="B37" s="155"/>
      <c r="C37" s="30" t="str">
        <f t="shared" si="0"/>
        <v/>
      </c>
      <c r="D37" s="152" t="str">
        <f>IFERROR(VLOOKUP($A37,Sheet1!$A$1:$B$98,2,0),"")</f>
        <v/>
      </c>
      <c r="E37" s="30" t="str">
        <f>IFERROR(VLOOKUP($A37,'Tổng Đơn'!$A$5:$E$75,5,0),"")</f>
        <v/>
      </c>
      <c r="F37" s="30" t="str">
        <f t="shared" si="1"/>
        <v/>
      </c>
      <c r="G37" s="162"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3"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09" priority="20">
      <formula>$C22=MAX($C$8:$C$37)</formula>
    </cfRule>
  </conditionalFormatting>
  <conditionalFormatting sqref="C23:C37">
    <cfRule type="expression" dxfId="108" priority="19">
      <formula>$C22=MAX($C$8:$C$37)</formula>
    </cfRule>
  </conditionalFormatting>
  <conditionalFormatting sqref="E23:E38">
    <cfRule type="expression" dxfId="107" priority="21">
      <formula>AND($A23="",$F23&lt;&gt;"")</formula>
    </cfRule>
  </conditionalFormatting>
  <conditionalFormatting sqref="F23:F38">
    <cfRule type="expression" dxfId="106" priority="22">
      <formula>AND($F23="",$A23&lt;&gt;"")</formula>
    </cfRule>
  </conditionalFormatting>
  <conditionalFormatting sqref="D20:H22">
    <cfRule type="expression" dxfId="105" priority="16">
      <formula>$C19=MAX($C$8:$C$37)</formula>
    </cfRule>
  </conditionalFormatting>
  <conditionalFormatting sqref="C20:C22">
    <cfRule type="expression" dxfId="104" priority="15">
      <formula>$C19=MAX($C$8:$C$37)</formula>
    </cfRule>
  </conditionalFormatting>
  <conditionalFormatting sqref="E20:E22">
    <cfRule type="expression" dxfId="103" priority="17">
      <formula>AND($A20="",$F20&lt;&gt;"")</formula>
    </cfRule>
  </conditionalFormatting>
  <conditionalFormatting sqref="F20:F22">
    <cfRule type="expression" dxfId="102" priority="18">
      <formula>AND($F20="",$A20&lt;&gt;"")</formula>
    </cfRule>
  </conditionalFormatting>
  <conditionalFormatting sqref="D17:H19">
    <cfRule type="expression" dxfId="101" priority="12">
      <formula>$C16=MAX($C$8:$C$37)</formula>
    </cfRule>
  </conditionalFormatting>
  <conditionalFormatting sqref="C17:C19">
    <cfRule type="expression" dxfId="100" priority="11">
      <formula>$C16=MAX($C$8:$C$37)</formula>
    </cfRule>
  </conditionalFormatting>
  <conditionalFormatting sqref="E17:E19">
    <cfRule type="expression" dxfId="99" priority="13">
      <formula>AND($A17="",$F17&lt;&gt;"")</formula>
    </cfRule>
  </conditionalFormatting>
  <conditionalFormatting sqref="F17:F19">
    <cfRule type="expression" dxfId="98" priority="14">
      <formula>AND($F17="",$A17&lt;&gt;"")</formula>
    </cfRule>
  </conditionalFormatting>
  <conditionalFormatting sqref="D15:H16 D9:G14">
    <cfRule type="expression" dxfId="97" priority="8">
      <formula>$C8=MAX($C$8:$C$37)</formula>
    </cfRule>
  </conditionalFormatting>
  <conditionalFormatting sqref="C9:C16">
    <cfRule type="expression" dxfId="96" priority="7">
      <formula>$C8=MAX($C$8:$C$37)</formula>
    </cfRule>
  </conditionalFormatting>
  <conditionalFormatting sqref="E9:E16">
    <cfRule type="expression" dxfId="95" priority="9">
      <formula>AND($A9="",$F9&lt;&gt;"")</formula>
    </cfRule>
  </conditionalFormatting>
  <conditionalFormatting sqref="F9:F16">
    <cfRule type="expression" dxfId="94" priority="10">
      <formula>AND($F9="",$A9&lt;&gt;"")</formula>
    </cfRule>
  </conditionalFormatting>
  <conditionalFormatting sqref="D8:G8">
    <cfRule type="expression" dxfId="93" priority="4">
      <formula>$C7=MAX($C$8:$C$37)</formula>
    </cfRule>
  </conditionalFormatting>
  <conditionalFormatting sqref="C8">
    <cfRule type="expression" dxfId="92" priority="3">
      <formula>$C7=MAX($C$8:$C$37)</formula>
    </cfRule>
  </conditionalFormatting>
  <conditionalFormatting sqref="E8">
    <cfRule type="expression" dxfId="91" priority="5">
      <formula>AND($A8="",$F8&lt;&gt;"")</formula>
    </cfRule>
  </conditionalFormatting>
  <conditionalFormatting sqref="F8">
    <cfRule type="expression" dxfId="90" priority="6">
      <formula>AND($F8="",$A8&lt;&gt;"")</formula>
    </cfRule>
  </conditionalFormatting>
  <conditionalFormatting sqref="H9:H14">
    <cfRule type="expression" dxfId="89" priority="2">
      <formula>$C8=MAX($C$8:$C$37)</formula>
    </cfRule>
  </conditionalFormatting>
  <conditionalFormatting sqref="H8">
    <cfRule type="expression" dxfId="88"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44896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tabColor theme="1"/>
    <pageSetUpPr fitToPage="1"/>
  </sheetPr>
  <dimension ref="A1:N53"/>
  <sheetViews>
    <sheetView zoomScaleNormal="100" workbookViewId="0">
      <pane ySplit="7" topLeftCell="A8" activePane="bottomLeft" state="frozen"/>
      <selection activeCell="L2" sqref="L2:L29"/>
      <selection pane="bottomLeft" activeCell="I16" sqref="I1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4" t="s">
        <v>188</v>
      </c>
      <c r="D1" s="264"/>
      <c r="E1" s="264"/>
      <c r="F1" s="264"/>
      <c r="G1" s="264"/>
      <c r="H1" s="264"/>
    </row>
    <row r="2" spans="1:14" ht="15.75" customHeight="1" x14ac:dyDescent="0.25">
      <c r="C2" s="264"/>
      <c r="D2" s="264"/>
      <c r="E2" s="264"/>
      <c r="F2" s="264"/>
      <c r="G2" s="264"/>
      <c r="H2" s="264"/>
    </row>
    <row r="3" spans="1:14" ht="15" customHeight="1" x14ac:dyDescent="0.25">
      <c r="C3" s="265" t="s">
        <v>190</v>
      </c>
      <c r="D3" s="265"/>
      <c r="E3" s="265"/>
      <c r="F3" s="266" t="s">
        <v>192</v>
      </c>
      <c r="G3" s="266"/>
      <c r="H3" s="266"/>
    </row>
    <row r="4" spans="1:14" x14ac:dyDescent="0.25">
      <c r="C4" s="267" t="s">
        <v>191</v>
      </c>
      <c r="D4" s="267"/>
      <c r="E4" s="267"/>
      <c r="F4" s="268" t="s">
        <v>193</v>
      </c>
      <c r="G4" s="268"/>
      <c r="H4" s="268"/>
    </row>
    <row r="5" spans="1:14" s="145" customFormat="1" ht="21" customHeight="1" x14ac:dyDescent="0.25">
      <c r="C5" s="269" t="s">
        <v>189</v>
      </c>
      <c r="D5" s="269"/>
      <c r="E5" s="269"/>
      <c r="F5" s="269"/>
      <c r="G5" s="269"/>
      <c r="H5" s="269"/>
    </row>
    <row r="6" spans="1:14" s="145" customFormat="1" ht="17.25" customHeight="1" x14ac:dyDescent="0.25">
      <c r="C6" s="154" t="s">
        <v>194</v>
      </c>
      <c r="D6" s="158" t="s">
        <v>326</v>
      </c>
      <c r="E6" s="150"/>
      <c r="F6" s="150"/>
      <c r="G6" s="263" t="str">
        <f ca="1">"Ngày "&amp;DAY(TODAY())&amp;" Tháng "&amp;MONTH(TODAY())&amp;" Năm "&amp;YEAR(TODAY())</f>
        <v>Ngày 29 Tháng 8 Năm 2022</v>
      </c>
      <c r="H6" s="263"/>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2</v>
      </c>
      <c r="L7" s="145"/>
    </row>
    <row r="8" spans="1:14" s="29" customFormat="1" ht="14.25" customHeight="1" x14ac:dyDescent="0.25">
      <c r="A8" s="155">
        <v>16</v>
      </c>
      <c r="B8" s="155">
        <v>1</v>
      </c>
      <c r="C8" s="30">
        <f t="shared" ref="C8:C37" si="0">IF(OR(SUM($C7,$A8&lt;&gt;"")=0,$A8=""),"",SUM($C7,$A8&lt;&gt;""))</f>
        <v>1</v>
      </c>
      <c r="D8" s="152" t="str">
        <f>IFERROR(VLOOKUP($A8,Sheet1!$A$1:$B$98,2,0),"")</f>
        <v>Phô mai viên (35v)</v>
      </c>
      <c r="E8" s="30">
        <f>IFERROR(VLOOKUP($A8,'Tổng Đơn'!$A$5:$E$75,5,0),"")</f>
        <v>0.5</v>
      </c>
      <c r="F8" s="30">
        <f t="shared" ref="F8:F37" si="1">IF($B8="","",B8)</f>
        <v>1</v>
      </c>
      <c r="G8" s="162">
        <f>IFERROR(VLOOKUP($A8,Sheet1!$A1:$D$98,4,0),"")</f>
        <v>40000</v>
      </c>
      <c r="H8" s="153">
        <f>IF($C7=MAX($C$8:$C$56),SUM($H7:$H$8),IFERROR($G8*$F8,""))</f>
        <v>40000</v>
      </c>
      <c r="I8" s="55">
        <f t="shared" ref="I8:I37" si="2">IF(TYPE($A8)&lt;&gt;1,"",IFERROR(F8*E8,""))</f>
        <v>0.5</v>
      </c>
      <c r="L8" s="32"/>
    </row>
    <row r="9" spans="1:14" s="29" customFormat="1" ht="14.25" customHeight="1" x14ac:dyDescent="0.25">
      <c r="A9" s="155">
        <v>57</v>
      </c>
      <c r="B9" s="155">
        <v>2</v>
      </c>
      <c r="C9" s="30">
        <f t="shared" si="0"/>
        <v>2</v>
      </c>
      <c r="D9" s="152" t="str">
        <f>IFERROR(VLOOKUP($A9,Sheet1!$A$1:$B$98,2,0),"")</f>
        <v>Cá viên KK</v>
      </c>
      <c r="E9" s="30">
        <f>IFERROR(VLOOKUP($A9,'Tổng Đơn'!$A$5:$E$76,5,0),"")</f>
        <v>0.5</v>
      </c>
      <c r="F9" s="30">
        <f t="shared" si="1"/>
        <v>2</v>
      </c>
      <c r="G9" s="162">
        <f>IF(AND($C9="",$C8&lt;&gt;""),"Tổng Cộng",IFERROR(VLOOKUP($A9,Sheet1!$A$1:$D$98,4,0),""))</f>
        <v>25000</v>
      </c>
      <c r="H9" s="153">
        <f>IF($C8=MAX($C$8:$C$56),SUM($H$8:$H8),IFERROR($G9*$F9,""))</f>
        <v>50000</v>
      </c>
      <c r="I9" s="55">
        <f t="shared" si="2"/>
        <v>1</v>
      </c>
      <c r="L9" s="31"/>
    </row>
    <row r="10" spans="1:14" s="29" customFormat="1" ht="14.25" customHeight="1" x14ac:dyDescent="0.25">
      <c r="A10" s="155">
        <v>61</v>
      </c>
      <c r="B10" s="155">
        <v>1</v>
      </c>
      <c r="C10" s="30">
        <f t="shared" si="0"/>
        <v>3</v>
      </c>
      <c r="D10" s="152" t="str">
        <f>IFERROR(VLOOKUP($A10,Sheet1!$A$1:$B$98,2,0),"")</f>
        <v>XX Đỏ KK</v>
      </c>
      <c r="E10" s="30">
        <f>IFERROR(VLOOKUP($A10,'Tổng Đơn'!$A$5:$E$76,5,0),"")</f>
        <v>0.5</v>
      </c>
      <c r="F10" s="30">
        <f t="shared" si="1"/>
        <v>1</v>
      </c>
      <c r="G10" s="162">
        <f>IF(AND($C10="",$C9&lt;&gt;""),"Tổng Cộng",IFERROR(VLOOKUP($A10,Sheet1!$A$1:$D$98,4,0),""))</f>
        <v>26000</v>
      </c>
      <c r="H10" s="153">
        <f>IF($C9=MAX($C$8:$C$56),SUM($H$8:$H9),IFERROR($G10*$F10,""))</f>
        <v>26000</v>
      </c>
      <c r="I10" s="55">
        <f t="shared" si="2"/>
        <v>0.5</v>
      </c>
      <c r="L10" s="31"/>
    </row>
    <row r="11" spans="1:14" s="29" customFormat="1" ht="14.25" customHeight="1" x14ac:dyDescent="0.25">
      <c r="A11" s="155">
        <v>1</v>
      </c>
      <c r="B11" s="155">
        <v>1</v>
      </c>
      <c r="C11" s="30">
        <f t="shared" si="0"/>
        <v>4</v>
      </c>
      <c r="D11" s="152" t="s">
        <v>302</v>
      </c>
      <c r="E11" s="30" t="s">
        <v>260</v>
      </c>
      <c r="F11" s="30" t="s">
        <v>260</v>
      </c>
      <c r="G11" s="162" t="s">
        <v>260</v>
      </c>
      <c r="H11" s="153">
        <v>-2000</v>
      </c>
      <c r="I11" s="55" t="str">
        <f t="shared" si="2"/>
        <v/>
      </c>
      <c r="L11" s="31"/>
    </row>
    <row r="12" spans="1:14" s="29" customFormat="1" ht="14.25" customHeight="1" x14ac:dyDescent="0.25">
      <c r="A12" s="155" t="s">
        <v>301</v>
      </c>
      <c r="B12" s="155"/>
      <c r="C12" s="30" t="str">
        <f t="shared" si="0"/>
        <v/>
      </c>
      <c r="D12" s="152" t="str">
        <f>IFERROR(VLOOKUP($A12,Sheet1!$A$1:$B$98,2,0),"")</f>
        <v/>
      </c>
      <c r="E12" s="30" t="str">
        <f>IFERROR(VLOOKUP($A12,'Tổng Đơn'!$A$5:$E$76,5,0),"")</f>
        <v/>
      </c>
      <c r="F12" s="30" t="str">
        <f t="shared" si="1"/>
        <v/>
      </c>
      <c r="G12" s="162" t="str">
        <f>IF(AND($C12="",$C11&lt;&gt;""),"Tổng Cộng",IFERROR(VLOOKUP($A12,Sheet1!$A$1:$D$98,4,0),""))</f>
        <v>Tổng Cộng</v>
      </c>
      <c r="H12" s="153">
        <f>IF($C11=MAX($C$8:$C$56),SUM($H$8:$H11),IFERROR($G12*$F12,""))</f>
        <v>114000</v>
      </c>
      <c r="I12" s="55" t="str">
        <f t="shared" si="2"/>
        <v/>
      </c>
      <c r="J12" s="127"/>
      <c r="L12" s="31"/>
      <c r="M12" s="135"/>
      <c r="N12" s="128"/>
    </row>
    <row r="13" spans="1:14" s="29" customFormat="1" ht="14.25" customHeight="1" x14ac:dyDescent="0.25">
      <c r="A13" s="155" t="s">
        <v>301</v>
      </c>
      <c r="B13" s="155"/>
      <c r="C13" s="30" t="str">
        <f t="shared" si="0"/>
        <v/>
      </c>
      <c r="D13" s="152" t="str">
        <f>IFERROR(VLOOKUP($A13,Sheet1!$A$1:$B$98,2,0),"")</f>
        <v/>
      </c>
      <c r="E13" s="30" t="str">
        <f>IFERROR(VLOOKUP($A13,'Tổng Đơn'!$A$5:$E$76,5,0),"")</f>
        <v/>
      </c>
      <c r="F13" s="30" t="str">
        <f t="shared" si="1"/>
        <v/>
      </c>
      <c r="G13" s="162" t="str">
        <f>IF(AND($C13="",$C12&lt;&gt;""),"Tổng Cộng",IFERROR(VLOOKUP($A13,Sheet1!$A$1:$D$98,4,0),""))</f>
        <v/>
      </c>
      <c r="H13" s="153" t="str">
        <f>IF($C12=MAX($C$8:$C$56),SUM($H$8:$H12),IFERROR($G13*$F13,""))</f>
        <v/>
      </c>
      <c r="I13" s="55" t="str">
        <f t="shared" si="2"/>
        <v/>
      </c>
      <c r="L13" s="31"/>
    </row>
    <row r="14" spans="1:14" s="29" customFormat="1" ht="14.25" customHeight="1" x14ac:dyDescent="0.25">
      <c r="A14" s="155" t="s">
        <v>301</v>
      </c>
      <c r="B14" s="155"/>
      <c r="C14" s="30" t="str">
        <f t="shared" si="0"/>
        <v/>
      </c>
      <c r="D14" s="152" t="str">
        <f>IFERROR(VLOOKUP($A14,Sheet1!$A$1:$B$98,2,0),"")</f>
        <v/>
      </c>
      <c r="E14" s="30" t="str">
        <f>IFERROR(VLOOKUP($A14,'Tổng Đơn'!$A$5:$E$76,5,0),"")</f>
        <v/>
      </c>
      <c r="F14" s="30" t="str">
        <f t="shared" si="1"/>
        <v/>
      </c>
      <c r="G14" s="162"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301</v>
      </c>
      <c r="B15" s="155"/>
      <c r="C15" s="30" t="str">
        <f t="shared" si="0"/>
        <v/>
      </c>
      <c r="D15" s="152" t="str">
        <f>IFERROR(VLOOKUP($A15,Sheet1!$A$1:$B$98,2,0),"")</f>
        <v/>
      </c>
      <c r="E15" s="30" t="str">
        <f>IFERROR(VLOOKUP($A15,'Tổng Đơn'!$A$5:$E$75,5,0),"")</f>
        <v/>
      </c>
      <c r="F15" s="30" t="str">
        <f t="shared" si="1"/>
        <v/>
      </c>
      <c r="G15" s="162" t="str">
        <f>IF(AND($C15="",$C14&lt;&gt;""),"Tổng Cộng",IFERROR(VLOOKUP($A15,Sheet1!$A$1:$D$98,4,0),""))</f>
        <v/>
      </c>
      <c r="H15" s="153" t="str">
        <f>IF($C14=MAX($C$8:$C$56),SUM($H$8:$H14),IFERROR($G15*$F15,""))</f>
        <v/>
      </c>
      <c r="I15" s="55" t="str">
        <f t="shared" si="2"/>
        <v/>
      </c>
      <c r="L15" s="31"/>
    </row>
    <row r="16" spans="1:14" s="29" customFormat="1" ht="14.25" customHeight="1" x14ac:dyDescent="0.25">
      <c r="A16" s="155" t="s">
        <v>301</v>
      </c>
      <c r="B16" s="155"/>
      <c r="C16" s="30" t="str">
        <f t="shared" si="0"/>
        <v/>
      </c>
      <c r="D16" s="152" t="str">
        <f>IFERROR(VLOOKUP($A16,Sheet1!$A$1:$B$98,2,0),"")</f>
        <v/>
      </c>
      <c r="E16" s="30" t="str">
        <f>IFERROR(VLOOKUP($A16,'Tổng Đơn'!$A$5:$E$75,5,0),"")</f>
        <v/>
      </c>
      <c r="F16" s="30" t="str">
        <f t="shared" si="1"/>
        <v/>
      </c>
      <c r="G16" s="162" t="str">
        <f>IF(AND($C16="",$C15&lt;&gt;""),"Tổng Cộng",IFERROR(VLOOKUP($A16,Sheet1!$A$1:$D$98,4,0),""))</f>
        <v/>
      </c>
      <c r="H16" s="153" t="str">
        <f>IF($C15=MAX($C$8:$C$56),SUM($H$8:$H15),IFERROR($G16*$F16,""))</f>
        <v/>
      </c>
      <c r="I16" s="55" t="str">
        <f t="shared" si="2"/>
        <v/>
      </c>
      <c r="L16" s="31"/>
    </row>
    <row r="17" spans="1:12" s="29" customFormat="1" ht="14.25" customHeight="1" x14ac:dyDescent="0.25">
      <c r="A17" s="155" t="s">
        <v>301</v>
      </c>
      <c r="B17" s="155"/>
      <c r="C17" s="30" t="str">
        <f t="shared" si="0"/>
        <v/>
      </c>
      <c r="D17" s="161" t="str">
        <f>IFERROR(VLOOKUP($A17,Sheet1!$A$1:$B$98,2,0),"")</f>
        <v/>
      </c>
      <c r="E17" s="30" t="str">
        <f>IFERROR(VLOOKUP($A17,'Tổng Đơn'!$A$5:$E$75,5,0),"")</f>
        <v/>
      </c>
      <c r="F17" s="30" t="str">
        <f t="shared" si="1"/>
        <v/>
      </c>
      <c r="G17" s="162" t="str">
        <f>IF(AND($C17="",$C16&lt;&gt;""),"Tổng Cộng",IFERROR(VLOOKUP($A17,Sheet1!$A$1:$D$98,4,0),""))</f>
        <v/>
      </c>
      <c r="H17" s="153" t="str">
        <f>IF($C16=MAX($C$8:$C$56),SUM($H$8:$H16),IFERROR($G17*$F17,""))</f>
        <v/>
      </c>
      <c r="I17" s="55" t="str">
        <f t="shared" si="2"/>
        <v/>
      </c>
      <c r="L17" s="31"/>
    </row>
    <row r="18" spans="1:12" s="29" customFormat="1" ht="14.25" customHeight="1" x14ac:dyDescent="0.25">
      <c r="A18" s="155" t="s">
        <v>301</v>
      </c>
      <c r="B18" s="155"/>
      <c r="C18" s="30" t="str">
        <f t="shared" si="0"/>
        <v/>
      </c>
      <c r="D18" s="161" t="str">
        <f>IFERROR(VLOOKUP($A18,Sheet1!$A$1:$B$98,2,0),"")</f>
        <v/>
      </c>
      <c r="E18" s="30" t="str">
        <f>IFERROR(VLOOKUP($A18,'Tổng Đơn'!$A$5:$E$75,5,0),"")</f>
        <v/>
      </c>
      <c r="F18" s="30" t="str">
        <f t="shared" si="1"/>
        <v/>
      </c>
      <c r="G18" s="162" t="str">
        <f>IF(AND($C18="",$C17&lt;&gt;""),"Tổng Cộng",IFERROR(VLOOKUP($A18,Sheet1!$A$1:$D$98,4,0),""))</f>
        <v/>
      </c>
      <c r="H18" s="153" t="str">
        <f>IF($C17=MAX($C$8:$C$56),SUM($H$8:$H17),IFERROR($G18*$F18,""))</f>
        <v/>
      </c>
      <c r="I18" s="55" t="str">
        <f t="shared" si="2"/>
        <v/>
      </c>
      <c r="L18" s="31"/>
    </row>
    <row r="19" spans="1:12" s="29" customFormat="1" ht="14.25" customHeight="1" x14ac:dyDescent="0.25">
      <c r="A19" s="155" t="s">
        <v>301</v>
      </c>
      <c r="B19" s="155"/>
      <c r="C19" s="30" t="str">
        <f t="shared" si="0"/>
        <v/>
      </c>
      <c r="D19" s="161" t="str">
        <f>IFERROR(VLOOKUP($A19,Sheet1!$A$1:$B$98,2,0),"")</f>
        <v/>
      </c>
      <c r="E19" s="30" t="str">
        <f>IFERROR(VLOOKUP($A19,'Tổng Đơn'!$A$5:$E$75,5,0),"")</f>
        <v/>
      </c>
      <c r="F19" s="30" t="str">
        <f t="shared" si="1"/>
        <v/>
      </c>
      <c r="G19" s="162" t="str">
        <f>IF(AND($C19="",$C18&lt;&gt;""),"Tổng Cộng",IFERROR(VLOOKUP($A19,Sheet1!$A$1:$D$98,4,0),""))</f>
        <v/>
      </c>
      <c r="H19" s="153" t="str">
        <f>IF($C18=MAX($C$8:$C$56),SUM($H$8:$H18),IFERROR($G19*$F19,""))</f>
        <v/>
      </c>
      <c r="I19" s="55" t="str">
        <f t="shared" si="2"/>
        <v/>
      </c>
      <c r="L19" s="31"/>
    </row>
    <row r="20" spans="1:12" s="29" customFormat="1" ht="14.25" customHeight="1" x14ac:dyDescent="0.25">
      <c r="A20" s="155" t="s">
        <v>301</v>
      </c>
      <c r="B20" s="155"/>
      <c r="C20" s="30" t="str">
        <f t="shared" si="0"/>
        <v/>
      </c>
      <c r="D20" s="161" t="str">
        <f>IFERROR(VLOOKUP($A20,Sheet1!$A$1:$B$98,2,0),"")</f>
        <v/>
      </c>
      <c r="E20" s="30" t="str">
        <f>IFERROR(VLOOKUP($A20,'Tổng Đơn'!$A$5:$E$75,5,0),"")</f>
        <v/>
      </c>
      <c r="F20" s="30" t="str">
        <f t="shared" si="1"/>
        <v/>
      </c>
      <c r="G20" s="162" t="str">
        <f>IF(AND($C20="",$C19&lt;&gt;""),"Tổng Cộng",IFERROR(VLOOKUP($A20,Sheet1!$A$1:$D$98,4,0),""))</f>
        <v/>
      </c>
      <c r="H20" s="153" t="str">
        <f>IF($C19=MAX($C$8:$C$56),SUM($H$8:$H19),IFERROR($G20*$F20,""))</f>
        <v/>
      </c>
      <c r="I20" s="55" t="str">
        <f t="shared" si="2"/>
        <v/>
      </c>
      <c r="L20" s="31"/>
    </row>
    <row r="21" spans="1:12" s="29" customFormat="1" ht="14.25" customHeight="1" x14ac:dyDescent="0.25">
      <c r="A21" s="155" t="s">
        <v>301</v>
      </c>
      <c r="B21" s="155"/>
      <c r="C21" s="30" t="str">
        <f t="shared" si="0"/>
        <v/>
      </c>
      <c r="D21" s="161" t="str">
        <f>IFERROR(VLOOKUP($A21,Sheet1!$A$1:$B$98,2,0),"")</f>
        <v/>
      </c>
      <c r="E21" s="30" t="str">
        <f>IFERROR(VLOOKUP($A21,'Tổng Đơn'!$A$5:$E$75,5,0),"")</f>
        <v/>
      </c>
      <c r="F21" s="30" t="str">
        <f t="shared" si="1"/>
        <v/>
      </c>
      <c r="G21" s="162" t="str">
        <f>IF(AND($C21="",$C20&lt;&gt;""),"Tổng Cộng",IFERROR(VLOOKUP($A21,Sheet1!$A$1:$D$98,4,0),""))</f>
        <v/>
      </c>
      <c r="H21" s="153" t="str">
        <f>IF($C20=MAX($C$8:$C$56),SUM($H$8:$H20),IFERROR($G21*$F21,""))</f>
        <v/>
      </c>
      <c r="I21" s="55" t="str">
        <f t="shared" si="2"/>
        <v/>
      </c>
      <c r="L21" s="31"/>
    </row>
    <row r="22" spans="1:12" s="29" customFormat="1" ht="14.25" customHeight="1" x14ac:dyDescent="0.25">
      <c r="A22" s="155" t="s">
        <v>301</v>
      </c>
      <c r="B22" s="155"/>
      <c r="C22" s="30" t="str">
        <f t="shared" si="0"/>
        <v/>
      </c>
      <c r="D22" s="152" t="str">
        <f>IFERROR(VLOOKUP($A22,Sheet1!$A$1:$B$98,2,0),"")</f>
        <v/>
      </c>
      <c r="E22" s="30" t="str">
        <f>IFERROR(VLOOKUP($A22,'Tổng Đơn'!$A$5:$E$75,5,0),"")</f>
        <v/>
      </c>
      <c r="F22" s="30" t="str">
        <f t="shared" si="1"/>
        <v/>
      </c>
      <c r="G22" s="162" t="str">
        <f>IF(AND($C22="",$C21&lt;&gt;""),"Tổng Cộng",IFERROR(VLOOKUP($A22,Sheet1!$A$1:$D$98,4,0),""))</f>
        <v/>
      </c>
      <c r="H22" s="153" t="str">
        <f>IF($C21=MAX($C$8:$C$56),SUM($H$8:$H21),IFERROR($G22*$F22,""))</f>
        <v/>
      </c>
      <c r="I22" s="55" t="str">
        <f t="shared" si="2"/>
        <v/>
      </c>
      <c r="L22" s="31"/>
    </row>
    <row r="23" spans="1:12" s="29" customFormat="1" ht="14.25" customHeight="1" x14ac:dyDescent="0.25">
      <c r="A23" s="155" t="s">
        <v>301</v>
      </c>
      <c r="B23" s="155"/>
      <c r="C23" s="30" t="str">
        <f t="shared" si="0"/>
        <v/>
      </c>
      <c r="D23" s="152" t="str">
        <f>IFERROR(VLOOKUP($A23,Sheet1!$A$1:$B$98,2,0),"")</f>
        <v/>
      </c>
      <c r="E23" s="30" t="str">
        <f>IFERROR(VLOOKUP($A23,'Tổng Đơn'!$A$5:$E$75,5,0),"")</f>
        <v/>
      </c>
      <c r="F23" s="30" t="str">
        <f t="shared" si="1"/>
        <v/>
      </c>
      <c r="G23" s="162" t="str">
        <f>IF(AND($C23="",$C22&lt;&gt;""),"Tổng Cộng",IFERROR(VLOOKUP($A23,Sheet1!$A$1:$D$98,4,0),""))</f>
        <v/>
      </c>
      <c r="H23" s="153" t="str">
        <f>IF($C22=MAX($C$8:$C$56),SUM($H$8:$H22),IFERROR($G23*$F23,""))</f>
        <v/>
      </c>
      <c r="I23" s="55" t="str">
        <f t="shared" si="2"/>
        <v/>
      </c>
      <c r="L23" s="31"/>
    </row>
    <row r="24" spans="1:12" s="29" customFormat="1" ht="14.25" customHeight="1" x14ac:dyDescent="0.25">
      <c r="A24" s="155" t="s">
        <v>301</v>
      </c>
      <c r="B24" s="155"/>
      <c r="C24" s="30" t="str">
        <f t="shared" si="0"/>
        <v/>
      </c>
      <c r="D24" s="152" t="str">
        <f>IFERROR(VLOOKUP($A24,Sheet1!$A$1:$B$98,2,0),"")</f>
        <v/>
      </c>
      <c r="E24" s="30" t="str">
        <f>IFERROR(VLOOKUP($A24,'Tổng Đơn'!$A$5:$E$75,5,0),"")</f>
        <v/>
      </c>
      <c r="F24" s="30" t="str">
        <f t="shared" si="1"/>
        <v/>
      </c>
      <c r="G24" s="162" t="str">
        <f>IF(AND($C24="",$C23&lt;&gt;""),"Tổng Cộng",IFERROR(VLOOKUP($A24,Sheet1!$A$1:$D$98,4,0),""))</f>
        <v/>
      </c>
      <c r="H24" s="153" t="str">
        <f>IF($C23=MAX($C$8:$C$56),SUM($H$8:$H23),IFERROR($G24*$F24,""))</f>
        <v/>
      </c>
      <c r="I24" s="55" t="str">
        <f t="shared" si="2"/>
        <v/>
      </c>
      <c r="L24" s="31"/>
    </row>
    <row r="25" spans="1:12" s="29" customFormat="1" ht="14.25" customHeight="1" x14ac:dyDescent="0.25">
      <c r="A25" s="155" t="s">
        <v>301</v>
      </c>
      <c r="B25" s="155"/>
      <c r="C25" s="30" t="str">
        <f t="shared" si="0"/>
        <v/>
      </c>
      <c r="D25" s="152" t="str">
        <f>IFERROR(VLOOKUP($A25,Sheet1!$A$1:$B$98,2,0),"")</f>
        <v/>
      </c>
      <c r="E25" s="30" t="str">
        <f>IFERROR(VLOOKUP($A25,'Tổng Đơn'!$A$5:$E$75,5,0),"")</f>
        <v/>
      </c>
      <c r="F25" s="30" t="str">
        <f t="shared" si="1"/>
        <v/>
      </c>
      <c r="G25" s="162" t="str">
        <f>IF(AND($C25="",$C24&lt;&gt;""),"Tổng Cộng",IFERROR(VLOOKUP($A25,Sheet1!$A$1:$D$98,4,0),""))</f>
        <v/>
      </c>
      <c r="H25" s="153" t="str">
        <f>IF($C24=MAX($C$8:$C$56),SUM($H$8:$H24),IFERROR($G25*$F25,""))</f>
        <v/>
      </c>
      <c r="I25" s="55" t="str">
        <f t="shared" si="2"/>
        <v/>
      </c>
      <c r="L25" s="31"/>
    </row>
    <row r="26" spans="1:12" s="29" customFormat="1" ht="14.25" customHeight="1" x14ac:dyDescent="0.25">
      <c r="A26" s="155" t="s">
        <v>301</v>
      </c>
      <c r="B26" s="155"/>
      <c r="C26" s="30" t="str">
        <f t="shared" si="0"/>
        <v/>
      </c>
      <c r="D26" s="152" t="str">
        <f>IFERROR(VLOOKUP($A26,Sheet1!$A$1:$B$98,2,0),"")</f>
        <v/>
      </c>
      <c r="E26" s="30" t="str">
        <f>IFERROR(VLOOKUP($A26,'Tổng Đơn'!$A$5:$E$75,5,0),"")</f>
        <v/>
      </c>
      <c r="F26" s="30" t="str">
        <f t="shared" si="1"/>
        <v/>
      </c>
      <c r="G26" s="162" t="str">
        <f>IF(AND($C26="",$C25&lt;&gt;""),"Tổng Cộng",IFERROR(VLOOKUP($A26,Sheet1!$A$1:$D$98,4,0),""))</f>
        <v/>
      </c>
      <c r="H26" s="153" t="str">
        <f>IF($C25=MAX($C$8:$C$56),SUM($H$8:$H25),IFERROR($G26*$F26,""))</f>
        <v/>
      </c>
      <c r="I26" s="55" t="str">
        <f t="shared" si="2"/>
        <v/>
      </c>
      <c r="L26" s="31"/>
    </row>
    <row r="27" spans="1:12" s="29" customFormat="1" ht="14.25" customHeight="1" x14ac:dyDescent="0.25">
      <c r="A27" s="155" t="s">
        <v>301</v>
      </c>
      <c r="B27" s="155"/>
      <c r="C27" s="30" t="str">
        <f t="shared" si="0"/>
        <v/>
      </c>
      <c r="D27" s="152" t="str">
        <f>IFERROR(VLOOKUP($A27,Sheet1!$A$1:$B$98,2,0),"")</f>
        <v/>
      </c>
      <c r="E27" s="30" t="str">
        <f>IFERROR(VLOOKUP($A27,'Tổng Đơn'!$A$5:$E$75,5,0),"")</f>
        <v/>
      </c>
      <c r="F27" s="30" t="str">
        <f t="shared" si="1"/>
        <v/>
      </c>
      <c r="G27" s="162" t="str">
        <f>IF(AND($C27="",$C26&lt;&gt;""),"Tổng Cộng",IFERROR(VLOOKUP($A27,Sheet1!$A$1:$D$98,4,0),""))</f>
        <v/>
      </c>
      <c r="H27" s="153" t="str">
        <f>IF($C26=MAX($C$8:$C$56),SUM($H$8:$H26),IFERROR($G27*$F27,""))</f>
        <v/>
      </c>
      <c r="I27" s="55" t="str">
        <f t="shared" si="2"/>
        <v/>
      </c>
      <c r="L27" s="31"/>
    </row>
    <row r="28" spans="1:12" s="29" customFormat="1" ht="14.25" customHeight="1" x14ac:dyDescent="0.25">
      <c r="A28" s="155" t="s">
        <v>301</v>
      </c>
      <c r="B28" s="155"/>
      <c r="C28" s="30" t="str">
        <f t="shared" si="0"/>
        <v/>
      </c>
      <c r="D28" s="152" t="str">
        <f>IFERROR(VLOOKUP($A28,Sheet1!$A$1:$B$98,2,0),"")</f>
        <v/>
      </c>
      <c r="E28" s="30" t="str">
        <f>IFERROR(VLOOKUP($A28,'Tổng Đơn'!$A$5:$E$75,5,0),"")</f>
        <v/>
      </c>
      <c r="F28" s="30" t="str">
        <f t="shared" si="1"/>
        <v/>
      </c>
      <c r="G28" s="162" t="str">
        <f>IF(AND($C28="",$C27&lt;&gt;""),"Tổng Cộng",IFERROR(VLOOKUP($A28,Sheet1!$A$1:$D$98,4,0),""))</f>
        <v/>
      </c>
      <c r="H28" s="153" t="str">
        <f>IF($C27=MAX($C$8:$C$56),SUM($H$8:$H27),IFERROR($G28*$F28,""))</f>
        <v/>
      </c>
      <c r="I28" s="55" t="str">
        <f t="shared" si="2"/>
        <v/>
      </c>
      <c r="L28" s="31"/>
    </row>
    <row r="29" spans="1:12" s="29" customFormat="1" ht="14.25" customHeight="1" x14ac:dyDescent="0.25">
      <c r="A29" s="155" t="s">
        <v>301</v>
      </c>
      <c r="B29" s="155"/>
      <c r="C29" s="30" t="str">
        <f t="shared" si="0"/>
        <v/>
      </c>
      <c r="D29" s="152" t="str">
        <f>IFERROR(VLOOKUP($A29,Sheet1!$A$1:$B$98,2,0),"")</f>
        <v/>
      </c>
      <c r="E29" s="30" t="str">
        <f>IFERROR(VLOOKUP($A29,'Tổng Đơn'!$A$5:$E$75,5,0),"")</f>
        <v/>
      </c>
      <c r="F29" s="30" t="str">
        <f t="shared" si="1"/>
        <v/>
      </c>
      <c r="G29" s="162" t="str">
        <f>IF(AND($C29="",$C28&lt;&gt;""),"Tổng Cộng",IFERROR(VLOOKUP($A29,Sheet1!$A$1:$D$98,4,0),""))</f>
        <v/>
      </c>
      <c r="H29" s="153" t="str">
        <f>IF($C28=MAX($C$8:$C$56),SUM($H$8:$H28),IFERROR($G29*$F29,""))</f>
        <v/>
      </c>
      <c r="I29" s="55" t="str">
        <f t="shared" si="2"/>
        <v/>
      </c>
      <c r="L29" s="31"/>
    </row>
    <row r="30" spans="1:12" s="29" customFormat="1" ht="14.25" customHeight="1" x14ac:dyDescent="0.25">
      <c r="A30" s="155" t="s">
        <v>301</v>
      </c>
      <c r="B30" s="155"/>
      <c r="C30" s="30" t="str">
        <f t="shared" si="0"/>
        <v/>
      </c>
      <c r="D30" s="152" t="str">
        <f>IFERROR(VLOOKUP($A30,Sheet1!$A$1:$B$98,2,0),"")</f>
        <v/>
      </c>
      <c r="E30" s="30" t="str">
        <f>IFERROR(VLOOKUP($A30,'Tổng Đơn'!$A$5:$E$75,5,0),"")</f>
        <v/>
      </c>
      <c r="F30" s="30" t="str">
        <f t="shared" si="1"/>
        <v/>
      </c>
      <c r="G30" s="162" t="str">
        <f>IF(AND($C30="",$C29&lt;&gt;""),"Tổng Cộng",IFERROR(VLOOKUP($A30,Sheet1!$A$1:$D$98,4,0),""))</f>
        <v/>
      </c>
      <c r="H30" s="153" t="str">
        <f>IF($C29=MAX($C$8:$C$56),SUM($H$8:$H29),IFERROR($G30*$F30,""))</f>
        <v/>
      </c>
      <c r="I30" s="55" t="str">
        <f t="shared" si="2"/>
        <v/>
      </c>
      <c r="L30" s="31"/>
    </row>
    <row r="31" spans="1:12" s="29" customFormat="1" ht="14.25" customHeight="1" x14ac:dyDescent="0.25">
      <c r="A31" s="155" t="s">
        <v>301</v>
      </c>
      <c r="B31" s="155"/>
      <c r="C31" s="30" t="str">
        <f t="shared" si="0"/>
        <v/>
      </c>
      <c r="D31" s="152" t="str">
        <f>IFERROR(VLOOKUP($A31,Sheet1!$A$1:$B$98,2,0),"")</f>
        <v/>
      </c>
      <c r="E31" s="30" t="str">
        <f>IFERROR(VLOOKUP($A31,'Tổng Đơn'!$A$5:$E$75,5,0),"")</f>
        <v/>
      </c>
      <c r="F31" s="30" t="str">
        <f t="shared" si="1"/>
        <v/>
      </c>
      <c r="G31" s="162" t="str">
        <f>IF(AND($C31="",$C30&lt;&gt;""),"Tổng Cộng",IFERROR(VLOOKUP($A31,Sheet1!$A$1:$D$98,4,0),""))</f>
        <v/>
      </c>
      <c r="H31" s="153" t="str">
        <f>IF($C30=MAX($C$8:$C$56),SUM($H$8:$H30),IFERROR($G31*$F31,""))</f>
        <v/>
      </c>
      <c r="I31" s="55" t="str">
        <f t="shared" si="2"/>
        <v/>
      </c>
      <c r="L31" s="31"/>
    </row>
    <row r="32" spans="1:12" s="29" customFormat="1" ht="14.25" customHeight="1" x14ac:dyDescent="0.25">
      <c r="A32" s="155" t="s">
        <v>301</v>
      </c>
      <c r="B32" s="155"/>
      <c r="C32" s="30" t="str">
        <f t="shared" si="0"/>
        <v/>
      </c>
      <c r="D32" s="152" t="str">
        <f>IFERROR(VLOOKUP($A32,Sheet1!$A$1:$B$98,2,0),"")</f>
        <v/>
      </c>
      <c r="E32" s="30" t="str">
        <f>IFERROR(VLOOKUP($A32,'Tổng Đơn'!$A$5:$E$75,5,0),"")</f>
        <v/>
      </c>
      <c r="F32" s="30" t="str">
        <f t="shared" si="1"/>
        <v/>
      </c>
      <c r="G32" s="162" t="str">
        <f>IF(AND($C32="",$C31&lt;&gt;""),"Tổng Cộng",IFERROR(VLOOKUP($A32,Sheet1!$A$1:$D$98,4,0),""))</f>
        <v/>
      </c>
      <c r="H32" s="153" t="str">
        <f>IF($C31=MAX($C$8:$C$56),SUM($H$8:$H31),IFERROR($G32*$F32,""))</f>
        <v/>
      </c>
      <c r="I32" s="55" t="str">
        <f t="shared" si="2"/>
        <v/>
      </c>
      <c r="L32" s="31"/>
    </row>
    <row r="33" spans="1:12" s="29" customFormat="1" ht="14.25" customHeight="1" x14ac:dyDescent="0.25">
      <c r="A33" s="155" t="s">
        <v>301</v>
      </c>
      <c r="B33" s="155"/>
      <c r="C33" s="30" t="str">
        <f t="shared" si="0"/>
        <v/>
      </c>
      <c r="D33" s="152" t="str">
        <f>IFERROR(VLOOKUP($A33,Sheet1!$A$1:$B$98,2,0),"")</f>
        <v/>
      </c>
      <c r="E33" s="30" t="str">
        <f>IFERROR(VLOOKUP($A33,'Tổng Đơn'!$A$5:$E$75,5,0),"")</f>
        <v/>
      </c>
      <c r="F33" s="30" t="str">
        <f t="shared" si="1"/>
        <v/>
      </c>
      <c r="G33" s="162" t="str">
        <f>IF(AND($C33="",$C32&lt;&gt;""),"Tổng Cộng",IFERROR(VLOOKUP($A33,Sheet1!$A$1:$D$98,4,0),""))</f>
        <v/>
      </c>
      <c r="H33" s="153" t="str">
        <f>IF($C32=MAX($C$8:$C$56),SUM($H$8:$H32),IFERROR($G33*$F33,""))</f>
        <v/>
      </c>
      <c r="I33" s="55" t="str">
        <f t="shared" si="2"/>
        <v/>
      </c>
      <c r="L33" s="31"/>
    </row>
    <row r="34" spans="1:12" s="29" customFormat="1" ht="14.25" customHeight="1" x14ac:dyDescent="0.25">
      <c r="A34" s="155" t="s">
        <v>301</v>
      </c>
      <c r="B34" s="155"/>
      <c r="C34" s="30" t="str">
        <f t="shared" si="0"/>
        <v/>
      </c>
      <c r="D34" s="152" t="str">
        <f>IFERROR(VLOOKUP($A34,Sheet1!$A$1:$B$98,2,0),"")</f>
        <v/>
      </c>
      <c r="E34" s="30" t="str">
        <f>IFERROR(VLOOKUP($A34,'Tổng Đơn'!$A$5:$E$75,5,0),"")</f>
        <v/>
      </c>
      <c r="F34" s="30" t="str">
        <f t="shared" si="1"/>
        <v/>
      </c>
      <c r="G34" s="162" t="str">
        <f>IF(AND($C34="",$C33&lt;&gt;""),"Tổng Cộng",IFERROR(VLOOKUP($A34,Sheet1!$A$1:$D$98,4,0),""))</f>
        <v/>
      </c>
      <c r="H34" s="153" t="str">
        <f>IF($C33=MAX($C$8:$C$56),SUM($H$8:$H33),IFERROR($G34*$F34,""))</f>
        <v/>
      </c>
      <c r="I34" s="55" t="str">
        <f t="shared" si="2"/>
        <v/>
      </c>
      <c r="L34" s="31"/>
    </row>
    <row r="35" spans="1:12" s="29" customFormat="1" ht="14.25" customHeight="1" x14ac:dyDescent="0.25">
      <c r="A35" s="155" t="s">
        <v>301</v>
      </c>
      <c r="B35" s="155"/>
      <c r="C35" s="30" t="str">
        <f t="shared" si="0"/>
        <v/>
      </c>
      <c r="D35" s="152" t="str">
        <f>IFERROR(VLOOKUP($A35,Sheet1!$A$1:$B$98,2,0),"")</f>
        <v/>
      </c>
      <c r="E35" s="30" t="str">
        <f>IFERROR(VLOOKUP($A35,'Tổng Đơn'!$A$5:$E$75,5,0),"")</f>
        <v/>
      </c>
      <c r="F35" s="30" t="str">
        <f t="shared" si="1"/>
        <v/>
      </c>
      <c r="G35" s="162" t="str">
        <f>IF(AND($C35="",$C34&lt;&gt;""),"Tổng Cộng",IFERROR(VLOOKUP($A35,Sheet1!$A$1:$D$98,4,0),""))</f>
        <v/>
      </c>
      <c r="H35" s="153" t="str">
        <f>IF($C34=MAX($C$8:$C$56),SUM($H$8:$H34),IFERROR($G35*$F35,""))</f>
        <v/>
      </c>
      <c r="I35" s="55" t="str">
        <f t="shared" si="2"/>
        <v/>
      </c>
      <c r="L35" s="31"/>
    </row>
    <row r="36" spans="1:12" s="29" customFormat="1" ht="14.25" customHeight="1" x14ac:dyDescent="0.25">
      <c r="A36" s="155" t="s">
        <v>301</v>
      </c>
      <c r="B36" s="155"/>
      <c r="C36" s="30" t="str">
        <f t="shared" si="0"/>
        <v/>
      </c>
      <c r="D36" s="152" t="str">
        <f>IFERROR(VLOOKUP($A36,Sheet1!$A$1:$B$98,2,0),"")</f>
        <v/>
      </c>
      <c r="E36" s="30" t="str">
        <f>IFERROR(VLOOKUP($A36,'Tổng Đơn'!$A$5:$E$75,5,0),"")</f>
        <v/>
      </c>
      <c r="F36" s="30" t="str">
        <f t="shared" si="1"/>
        <v/>
      </c>
      <c r="G36" s="162" t="str">
        <f>IF(AND($C36="",$C35&lt;&gt;""),"Tổng Cộng",IFERROR(VLOOKUP($A36,Sheet1!$A$1:$D$98,4,0),""))</f>
        <v/>
      </c>
      <c r="H36" s="153" t="str">
        <f>IF($C35=MAX($C$8:$C$56),SUM($H$8:$H35),IFERROR($G36*$F36,""))</f>
        <v/>
      </c>
      <c r="I36" s="55" t="str">
        <f t="shared" si="2"/>
        <v/>
      </c>
      <c r="L36" s="31"/>
    </row>
    <row r="37" spans="1:12" s="29" customFormat="1" ht="14.25" customHeight="1" x14ac:dyDescent="0.25">
      <c r="A37" s="155" t="s">
        <v>301</v>
      </c>
      <c r="B37" s="155"/>
      <c r="C37" s="30" t="str">
        <f t="shared" si="0"/>
        <v/>
      </c>
      <c r="D37" s="152" t="str">
        <f>IFERROR(VLOOKUP($A37,Sheet1!$A$1:$B$98,2,0),"")</f>
        <v/>
      </c>
      <c r="E37" s="30" t="str">
        <f>IFERROR(VLOOKUP($A37,'Tổng Đơn'!$A$5:$E$75,5,0),"")</f>
        <v/>
      </c>
      <c r="F37" s="30" t="str">
        <f t="shared" si="1"/>
        <v/>
      </c>
      <c r="G37" s="162"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3"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87" priority="20">
      <formula>$C22=MAX($C$8:$C$37)</formula>
    </cfRule>
  </conditionalFormatting>
  <conditionalFormatting sqref="C23:C37">
    <cfRule type="expression" dxfId="86" priority="19">
      <formula>$C22=MAX($C$8:$C$37)</formula>
    </cfRule>
  </conditionalFormatting>
  <conditionalFormatting sqref="E23:E38">
    <cfRule type="expression" dxfId="85" priority="21">
      <formula>AND($A23="",$F23&lt;&gt;"")</formula>
    </cfRule>
  </conditionalFormatting>
  <conditionalFormatting sqref="F23:F38">
    <cfRule type="expression" dxfId="84" priority="22">
      <formula>AND($F23="",$A23&lt;&gt;"")</formula>
    </cfRule>
  </conditionalFormatting>
  <conditionalFormatting sqref="D20:H22">
    <cfRule type="expression" dxfId="83" priority="16">
      <formula>$C19=MAX($C$8:$C$37)</formula>
    </cfRule>
  </conditionalFormatting>
  <conditionalFormatting sqref="C20:C22">
    <cfRule type="expression" dxfId="82" priority="15">
      <formula>$C19=MAX($C$8:$C$37)</formula>
    </cfRule>
  </conditionalFormatting>
  <conditionalFormatting sqref="E20:E22">
    <cfRule type="expression" dxfId="81" priority="17">
      <formula>AND($A20="",$F20&lt;&gt;"")</formula>
    </cfRule>
  </conditionalFormatting>
  <conditionalFormatting sqref="F20:F22">
    <cfRule type="expression" dxfId="80" priority="18">
      <formula>AND($F20="",$A20&lt;&gt;"")</formula>
    </cfRule>
  </conditionalFormatting>
  <conditionalFormatting sqref="D17:H19">
    <cfRule type="expression" dxfId="79" priority="12">
      <formula>$C16=MAX($C$8:$C$37)</formula>
    </cfRule>
  </conditionalFormatting>
  <conditionalFormatting sqref="C17:C19">
    <cfRule type="expression" dxfId="78" priority="11">
      <formula>$C16=MAX($C$8:$C$37)</formula>
    </cfRule>
  </conditionalFormatting>
  <conditionalFormatting sqref="E17:E19">
    <cfRule type="expression" dxfId="77" priority="13">
      <formula>AND($A17="",$F17&lt;&gt;"")</formula>
    </cfRule>
  </conditionalFormatting>
  <conditionalFormatting sqref="F17:F19">
    <cfRule type="expression" dxfId="76" priority="14">
      <formula>AND($F17="",$A17&lt;&gt;"")</formula>
    </cfRule>
  </conditionalFormatting>
  <conditionalFormatting sqref="D15:H16 D9:G14">
    <cfRule type="expression" dxfId="75" priority="8">
      <formula>$C8=MAX($C$8:$C$37)</formula>
    </cfRule>
  </conditionalFormatting>
  <conditionalFormatting sqref="C9:C16">
    <cfRule type="expression" dxfId="74" priority="7">
      <formula>$C8=MAX($C$8:$C$37)</formula>
    </cfRule>
  </conditionalFormatting>
  <conditionalFormatting sqref="E9:E16">
    <cfRule type="expression" dxfId="73" priority="9">
      <formula>AND($A9="",$F9&lt;&gt;"")</formula>
    </cfRule>
  </conditionalFormatting>
  <conditionalFormatting sqref="F9:F16">
    <cfRule type="expression" dxfId="72" priority="10">
      <formula>AND($F9="",$A9&lt;&gt;"")</formula>
    </cfRule>
  </conditionalFormatting>
  <conditionalFormatting sqref="D8:G8">
    <cfRule type="expression" dxfId="71" priority="4">
      <formula>$C7=MAX($C$8:$C$37)</formula>
    </cfRule>
  </conditionalFormatting>
  <conditionalFormatting sqref="C8">
    <cfRule type="expression" dxfId="70" priority="3">
      <formula>$C7=MAX($C$8:$C$37)</formula>
    </cfRule>
  </conditionalFormatting>
  <conditionalFormatting sqref="E8">
    <cfRule type="expression" dxfId="69" priority="5">
      <formula>AND($A8="",$F8&lt;&gt;"")</formula>
    </cfRule>
  </conditionalFormatting>
  <conditionalFormatting sqref="F8">
    <cfRule type="expression" dxfId="68" priority="6">
      <formula>AND($F8="",$A8&lt;&gt;"")</formula>
    </cfRule>
  </conditionalFormatting>
  <conditionalFormatting sqref="H9:H14">
    <cfRule type="expression" dxfId="67" priority="2">
      <formula>$C8=MAX($C$8:$C$37)</formula>
    </cfRule>
  </conditionalFormatting>
  <conditionalFormatting sqref="H8">
    <cfRule type="expression" dxfId="66"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44793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tabColor theme="1"/>
    <pageSetUpPr fitToPage="1"/>
  </sheetPr>
  <dimension ref="A1:N53"/>
  <sheetViews>
    <sheetView zoomScaleNormal="100" workbookViewId="0">
      <pane ySplit="7" topLeftCell="A8" activePane="bottomLeft" state="frozen"/>
      <selection activeCell="L2" sqref="L2:L29"/>
      <selection pane="bottomLeft" activeCell="J15" sqref="J15"/>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4" t="s">
        <v>188</v>
      </c>
      <c r="D1" s="264"/>
      <c r="E1" s="264"/>
      <c r="F1" s="264"/>
      <c r="G1" s="264"/>
      <c r="H1" s="264"/>
    </row>
    <row r="2" spans="1:14" ht="15.75" customHeight="1" x14ac:dyDescent="0.25">
      <c r="C2" s="264"/>
      <c r="D2" s="264"/>
      <c r="E2" s="264"/>
      <c r="F2" s="264"/>
      <c r="G2" s="264"/>
      <c r="H2" s="264"/>
    </row>
    <row r="3" spans="1:14" ht="15" customHeight="1" x14ac:dyDescent="0.25">
      <c r="C3" s="265" t="s">
        <v>190</v>
      </c>
      <c r="D3" s="265"/>
      <c r="E3" s="265"/>
      <c r="F3" s="266" t="s">
        <v>192</v>
      </c>
      <c r="G3" s="266"/>
      <c r="H3" s="266"/>
    </row>
    <row r="4" spans="1:14" x14ac:dyDescent="0.25">
      <c r="C4" s="267" t="s">
        <v>191</v>
      </c>
      <c r="D4" s="267"/>
      <c r="E4" s="267"/>
      <c r="F4" s="268" t="s">
        <v>193</v>
      </c>
      <c r="G4" s="268"/>
      <c r="H4" s="268"/>
    </row>
    <row r="5" spans="1:14" s="145" customFormat="1" ht="21" customHeight="1" x14ac:dyDescent="0.25">
      <c r="C5" s="269" t="s">
        <v>189</v>
      </c>
      <c r="D5" s="269"/>
      <c r="E5" s="269"/>
      <c r="F5" s="269"/>
      <c r="G5" s="269"/>
      <c r="H5" s="269"/>
    </row>
    <row r="6" spans="1:14" s="145" customFormat="1" ht="17.25" customHeight="1" x14ac:dyDescent="0.25">
      <c r="C6" s="154" t="s">
        <v>194</v>
      </c>
      <c r="D6" s="158" t="s">
        <v>325</v>
      </c>
      <c r="E6" s="150"/>
      <c r="F6" s="150"/>
      <c r="G6" s="263" t="str">
        <f ca="1">"Ngày "&amp;DAY(TODAY())&amp;" Tháng "&amp;MONTH(TODAY())&amp;" Năm "&amp;YEAR(TODAY())</f>
        <v>Ngày 29 Tháng 8 Năm 2022</v>
      </c>
      <c r="H6" s="263"/>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5.3</v>
      </c>
      <c r="L7" s="145"/>
    </row>
    <row r="8" spans="1:14" s="29" customFormat="1" ht="14.25" customHeight="1" x14ac:dyDescent="0.25">
      <c r="A8" s="155">
        <v>8</v>
      </c>
      <c r="B8" s="155">
        <v>1</v>
      </c>
      <c r="C8" s="30">
        <f t="shared" ref="C8:C37" si="0">IF(OR(SUM($C7,$A8&lt;&gt;"")=0,$A8=""),"",SUM($C7,$A8&lt;&gt;""))</f>
        <v>1</v>
      </c>
      <c r="D8" s="152" t="str">
        <f>IFERROR(VLOOKUP($A8,Sheet1!$A$1:$B$98,2,0),"")</f>
        <v>Hải sản sốt cam LC</v>
      </c>
      <c r="E8" s="30">
        <f>IFERROR(VLOOKUP($A8,'Tổng Đơn'!$A$5:$E$75,5,0),"")</f>
        <v>0.5</v>
      </c>
      <c r="F8" s="30">
        <f t="shared" ref="F8:F37" si="1">IF($B8="","",B8)</f>
        <v>1</v>
      </c>
      <c r="G8" s="162">
        <f>IFERROR(VLOOKUP($A8,Sheet1!$A1:$D$98,4,0),"")</f>
        <v>45000</v>
      </c>
      <c r="H8" s="153">
        <f>IF($C7=MAX($C$8:$C$56),SUM($H7:$H$8),IFERROR($G8*$F8,""))</f>
        <v>45000</v>
      </c>
      <c r="I8" s="55">
        <f t="shared" ref="I8:I37" si="2">IF(TYPE($A8)&lt;&gt;1,"",IFERROR(F8*E8,""))</f>
        <v>0.5</v>
      </c>
      <c r="L8" s="32"/>
    </row>
    <row r="9" spans="1:14" s="29" customFormat="1" ht="14.25" customHeight="1" x14ac:dyDescent="0.25">
      <c r="A9" s="155">
        <v>15</v>
      </c>
      <c r="B9" s="155">
        <v>1</v>
      </c>
      <c r="C9" s="30">
        <f t="shared" si="0"/>
        <v>2</v>
      </c>
      <c r="D9" s="152" t="str">
        <f>IFERROR(VLOOKUP($A9,Sheet1!$A$1:$B$98,2,0),"")</f>
        <v>Phô mai que (13 que)</v>
      </c>
      <c r="E9" s="30">
        <f>IFERROR(VLOOKUP($A9,'Tổng Đơn'!$A$5:$E$76,5,0),"")</f>
        <v>0.5</v>
      </c>
      <c r="F9" s="30">
        <f t="shared" si="1"/>
        <v>1</v>
      </c>
      <c r="G9" s="162">
        <f>IF(AND($C9="",$C8&lt;&gt;""),"Tổng Cộng",IFERROR(VLOOKUP($A9,Sheet1!$A$1:$D$98,4,0),""))</f>
        <v>40000</v>
      </c>
      <c r="H9" s="153">
        <f>IF($C8=MAX($C$8:$C$56),SUM($H$8:$H8),IFERROR($G9*$F9,""))</f>
        <v>40000</v>
      </c>
      <c r="I9" s="55">
        <f t="shared" si="2"/>
        <v>0.5</v>
      </c>
      <c r="L9" s="31"/>
    </row>
    <row r="10" spans="1:14" s="29" customFormat="1" ht="14.25" customHeight="1" x14ac:dyDescent="0.25">
      <c r="A10" s="155">
        <v>45</v>
      </c>
      <c r="B10" s="155">
        <v>1</v>
      </c>
      <c r="C10" s="30">
        <f t="shared" si="0"/>
        <v>3</v>
      </c>
      <c r="D10" s="152" t="str">
        <f>IFERROR(VLOOKUP($A10,Sheet1!$A$1:$B$98,2,0),"")</f>
        <v>Sủi cảo</v>
      </c>
      <c r="E10" s="30">
        <f>IFERROR(VLOOKUP($A10,'Tổng Đơn'!$A$5:$E$76,5,0),"")</f>
        <v>0.5</v>
      </c>
      <c r="F10" s="30">
        <f t="shared" si="1"/>
        <v>1</v>
      </c>
      <c r="G10" s="162">
        <f>IF(AND($C10="",$C9&lt;&gt;""),"Tổng Cộng",IFERROR(VLOOKUP($A10,Sheet1!$A$1:$D$98,4,0),""))</f>
        <v>35000</v>
      </c>
      <c r="H10" s="153">
        <f>IF($C9=MAX($C$8:$C$56),SUM($H$8:$H9),IFERROR($G10*$F10,""))</f>
        <v>35000</v>
      </c>
      <c r="I10" s="55">
        <f t="shared" si="2"/>
        <v>0.5</v>
      </c>
      <c r="L10" s="31"/>
    </row>
    <row r="11" spans="1:14" s="29" customFormat="1" ht="14.25" customHeight="1" x14ac:dyDescent="0.25">
      <c r="A11" s="155">
        <v>56</v>
      </c>
      <c r="B11" s="155">
        <v>1</v>
      </c>
      <c r="C11" s="30">
        <f t="shared" si="0"/>
        <v>4</v>
      </c>
      <c r="D11" s="152" t="str">
        <f>IFERROR(VLOOKUP($A11,Sheet1!$A$1:$B$98,2,0),"")</f>
        <v>Bánh bao ngọt không nhân</v>
      </c>
      <c r="E11" s="30">
        <f>IFERROR(VLOOKUP($A11,'Tổng Đơn'!$A$5:$E$76,5,0),"")</f>
        <v>0.3</v>
      </c>
      <c r="F11" s="30">
        <f t="shared" si="1"/>
        <v>1</v>
      </c>
      <c r="G11" s="162">
        <f>IF(AND($C11="",$C10&lt;&gt;""),"Tổng Cộng",IFERROR(VLOOKUP($A11,Sheet1!$A$1:$D$98,4,0),""))</f>
        <v>16000</v>
      </c>
      <c r="H11" s="153">
        <f>IF($C10=MAX($C$8:$C$56),SUM($H$8:$H10),IFERROR($G11*$F11,""))</f>
        <v>16000</v>
      </c>
      <c r="I11" s="55">
        <f t="shared" si="2"/>
        <v>0.3</v>
      </c>
      <c r="L11" s="31"/>
    </row>
    <row r="12" spans="1:14" s="29" customFormat="1" ht="14.25" customHeight="1" x14ac:dyDescent="0.25">
      <c r="A12" s="155">
        <v>57</v>
      </c>
      <c r="B12" s="155">
        <v>4</v>
      </c>
      <c r="C12" s="30">
        <f t="shared" si="0"/>
        <v>5</v>
      </c>
      <c r="D12" s="152" t="str">
        <f>IFERROR(VLOOKUP($A12,Sheet1!$A$1:$B$98,2,0),"")</f>
        <v>Cá viên KK</v>
      </c>
      <c r="E12" s="30">
        <f>IFERROR(VLOOKUP($A12,'Tổng Đơn'!$A$5:$E$76,5,0),"")</f>
        <v>0.5</v>
      </c>
      <c r="F12" s="30">
        <f t="shared" si="1"/>
        <v>4</v>
      </c>
      <c r="G12" s="162">
        <f>IF(AND($C12="",$C11&lt;&gt;""),"Tổng Cộng",IFERROR(VLOOKUP($A12,Sheet1!$A$1:$D$98,4,0),""))</f>
        <v>25000</v>
      </c>
      <c r="H12" s="153">
        <f>IF($C11=MAX($C$8:$C$56),SUM($H$8:$H11),IFERROR($G12*$F12,""))</f>
        <v>100000</v>
      </c>
      <c r="I12" s="55">
        <f t="shared" si="2"/>
        <v>2</v>
      </c>
      <c r="J12" s="127"/>
      <c r="L12" s="31"/>
      <c r="M12" s="135"/>
      <c r="N12" s="128"/>
    </row>
    <row r="13" spans="1:14" s="29" customFormat="1" ht="14.25" customHeight="1" x14ac:dyDescent="0.25">
      <c r="A13" s="155">
        <v>61</v>
      </c>
      <c r="B13" s="155">
        <v>1</v>
      </c>
      <c r="C13" s="30">
        <f t="shared" si="0"/>
        <v>6</v>
      </c>
      <c r="D13" s="152" t="str">
        <f>IFERROR(VLOOKUP($A13,Sheet1!$A$1:$B$98,2,0),"")</f>
        <v>XX Đỏ KK</v>
      </c>
      <c r="E13" s="30">
        <f>IFERROR(VLOOKUP($A13,'Tổng Đơn'!$A$5:$E$76,5,0),"")</f>
        <v>0.5</v>
      </c>
      <c r="F13" s="30">
        <f t="shared" si="1"/>
        <v>1</v>
      </c>
      <c r="G13" s="162">
        <f>IF(AND($C13="",$C12&lt;&gt;""),"Tổng Cộng",IFERROR(VLOOKUP($A13,Sheet1!$A$1:$D$98,4,0),""))</f>
        <v>26000</v>
      </c>
      <c r="H13" s="153">
        <f>IF($C12=MAX($C$8:$C$56),SUM($H$8:$H12),IFERROR($G13*$F13,""))</f>
        <v>26000</v>
      </c>
      <c r="I13" s="55">
        <f t="shared" si="2"/>
        <v>0.5</v>
      </c>
      <c r="L13" s="31"/>
    </row>
    <row r="14" spans="1:14" s="29" customFormat="1" ht="14.25" customHeight="1" x14ac:dyDescent="0.25">
      <c r="A14" s="155">
        <v>62</v>
      </c>
      <c r="B14" s="155">
        <v>1</v>
      </c>
      <c r="C14" s="30">
        <f t="shared" si="0"/>
        <v>7</v>
      </c>
      <c r="D14" s="152" t="str">
        <f>IFERROR(VLOOKUP($A14,Sheet1!$A$1:$B$98,2,0),"")</f>
        <v>XX Đức KK</v>
      </c>
      <c r="E14" s="30">
        <f>IFERROR(VLOOKUP($A14,'Tổng Đơn'!$A$5:$E$76,5,0),"")</f>
        <v>0.5</v>
      </c>
      <c r="F14" s="30">
        <f t="shared" si="1"/>
        <v>1</v>
      </c>
      <c r="G14" s="162">
        <f>IF(AND($C14="",$C13&lt;&gt;""),"Tổng Cộng",IFERROR(VLOOKUP($A14,Sheet1!$A$1:$D$98,4,0),""))</f>
        <v>35000</v>
      </c>
      <c r="H14" s="153">
        <f>IF($C13=MAX($C$8:$C$56),SUM($H$8:$H13),IFERROR($G14*$F14,""))</f>
        <v>35000</v>
      </c>
      <c r="I14" s="55">
        <f t="shared" si="2"/>
        <v>0.5</v>
      </c>
      <c r="L14" s="31"/>
      <c r="M14" s="136"/>
    </row>
    <row r="15" spans="1:14" s="29" customFormat="1" ht="14.25" customHeight="1" x14ac:dyDescent="0.25">
      <c r="A15" s="155">
        <v>64</v>
      </c>
      <c r="B15" s="155">
        <v>1</v>
      </c>
      <c r="C15" s="30">
        <f t="shared" si="0"/>
        <v>8</v>
      </c>
      <c r="D15" s="152" t="str">
        <f>IFERROR(VLOOKUP($A15,Sheet1!$A$1:$B$98,2,0),"")</f>
        <v>Bánh bao thả lẩu Trứng cá KK</v>
      </c>
      <c r="E15" s="30">
        <f>IFERROR(VLOOKUP($A15,'Tổng Đơn'!$A$5:$E$75,5,0),"")</f>
        <v>0.5</v>
      </c>
      <c r="F15" s="30">
        <f t="shared" si="1"/>
        <v>1</v>
      </c>
      <c r="G15" s="162">
        <f>IF(AND($C15="",$C14&lt;&gt;""),"Tổng Cộng",IFERROR(VLOOKUP($A15,Sheet1!$A$1:$D$98,4,0),""))</f>
        <v>45000</v>
      </c>
      <c r="H15" s="153">
        <f>IF($C14=MAX($C$8:$C$56),SUM($H$8:$H14),IFERROR($G15*$F15,""))</f>
        <v>45000</v>
      </c>
      <c r="I15" s="55">
        <f t="shared" si="2"/>
        <v>0.5</v>
      </c>
      <c r="L15" s="31"/>
    </row>
    <row r="16" spans="1:14" s="29" customFormat="1" ht="14.25" customHeight="1" x14ac:dyDescent="0.25">
      <c r="A16" s="155">
        <v>1</v>
      </c>
      <c r="B16" s="155">
        <v>1</v>
      </c>
      <c r="C16" s="30">
        <f t="shared" si="0"/>
        <v>9</v>
      </c>
      <c r="D16" s="152" t="s">
        <v>302</v>
      </c>
      <c r="E16" s="30" t="s">
        <v>260</v>
      </c>
      <c r="F16" s="30" t="s">
        <v>260</v>
      </c>
      <c r="G16" s="162" t="s">
        <v>260</v>
      </c>
      <c r="H16" s="153">
        <f>-4*2000-5000</f>
        <v>-13000</v>
      </c>
      <c r="I16" s="55" t="str">
        <f t="shared" si="2"/>
        <v/>
      </c>
      <c r="L16" s="31"/>
    </row>
    <row r="17" spans="1:12" s="29" customFormat="1" ht="14.25" customHeight="1" x14ac:dyDescent="0.25">
      <c r="A17" s="155" t="s">
        <v>301</v>
      </c>
      <c r="B17" s="155"/>
      <c r="C17" s="30" t="str">
        <f t="shared" si="0"/>
        <v/>
      </c>
      <c r="D17" s="161" t="str">
        <f>IFERROR(VLOOKUP($A17,Sheet1!$A$1:$B$98,2,0),"")</f>
        <v/>
      </c>
      <c r="E17" s="30" t="str">
        <f>IFERROR(VLOOKUP($A17,'Tổng Đơn'!$A$5:$E$75,5,0),"")</f>
        <v/>
      </c>
      <c r="F17" s="30" t="str">
        <f t="shared" si="1"/>
        <v/>
      </c>
      <c r="G17" s="162" t="str">
        <f>IF(AND($C17="",$C16&lt;&gt;""),"Tổng Cộng",IFERROR(VLOOKUP($A17,Sheet1!$A$1:$D$98,4,0),""))</f>
        <v>Tổng Cộng</v>
      </c>
      <c r="H17" s="153">
        <f>IF($C16=MAX($C$8:$C$56),SUM($H$8:$H16),IFERROR($G17*$F17,""))</f>
        <v>329000</v>
      </c>
      <c r="I17" s="55" t="str">
        <f t="shared" si="2"/>
        <v/>
      </c>
      <c r="L17" s="31"/>
    </row>
    <row r="18" spans="1:12" s="29" customFormat="1" ht="14.25" customHeight="1" x14ac:dyDescent="0.25">
      <c r="A18" s="155" t="s">
        <v>301</v>
      </c>
      <c r="B18" s="155"/>
      <c r="C18" s="30" t="str">
        <f t="shared" si="0"/>
        <v/>
      </c>
      <c r="D18" s="161" t="str">
        <f>IFERROR(VLOOKUP($A18,Sheet1!$A$1:$B$98,2,0),"")</f>
        <v/>
      </c>
      <c r="E18" s="30" t="str">
        <f>IFERROR(VLOOKUP($A18,'Tổng Đơn'!$A$5:$E$75,5,0),"")</f>
        <v/>
      </c>
      <c r="F18" s="30" t="str">
        <f t="shared" si="1"/>
        <v/>
      </c>
      <c r="G18" s="162" t="str">
        <f>IF(AND($C18="",$C17&lt;&gt;""),"Tổng Cộng",IFERROR(VLOOKUP($A18,Sheet1!$A$1:$D$98,4,0),""))</f>
        <v/>
      </c>
      <c r="H18" s="153" t="str">
        <f>IF($C17=MAX($C$8:$C$56),SUM($H$8:$H17),IFERROR($G18*$F18,""))</f>
        <v/>
      </c>
      <c r="I18" s="55" t="str">
        <f t="shared" si="2"/>
        <v/>
      </c>
      <c r="L18" s="31"/>
    </row>
    <row r="19" spans="1:12" s="29" customFormat="1" ht="14.25" customHeight="1" x14ac:dyDescent="0.25">
      <c r="A19" s="155" t="s">
        <v>301</v>
      </c>
      <c r="B19" s="155"/>
      <c r="C19" s="30" t="str">
        <f t="shared" si="0"/>
        <v/>
      </c>
      <c r="D19" s="161" t="str">
        <f>IFERROR(VLOOKUP($A19,Sheet1!$A$1:$B$98,2,0),"")</f>
        <v/>
      </c>
      <c r="E19" s="30" t="str">
        <f>IFERROR(VLOOKUP($A19,'Tổng Đơn'!$A$5:$E$75,5,0),"")</f>
        <v/>
      </c>
      <c r="F19" s="30" t="str">
        <f t="shared" si="1"/>
        <v/>
      </c>
      <c r="G19" s="162" t="str">
        <f>IF(AND($C19="",$C18&lt;&gt;""),"Tổng Cộng",IFERROR(VLOOKUP($A19,Sheet1!$A$1:$D$98,4,0),""))</f>
        <v/>
      </c>
      <c r="H19" s="153" t="str">
        <f>IF($C18=MAX($C$8:$C$56),SUM($H$8:$H18),IFERROR($G19*$F19,""))</f>
        <v/>
      </c>
      <c r="I19" s="55" t="str">
        <f t="shared" si="2"/>
        <v/>
      </c>
      <c r="L19" s="31"/>
    </row>
    <row r="20" spans="1:12" s="29" customFormat="1" ht="14.25" customHeight="1" x14ac:dyDescent="0.25">
      <c r="A20" s="155" t="s">
        <v>301</v>
      </c>
      <c r="B20" s="155"/>
      <c r="C20" s="30" t="str">
        <f t="shared" si="0"/>
        <v/>
      </c>
      <c r="D20" s="161" t="str">
        <f>IFERROR(VLOOKUP($A20,Sheet1!$A$1:$B$98,2,0),"")</f>
        <v/>
      </c>
      <c r="E20" s="30" t="str">
        <f>IFERROR(VLOOKUP($A20,'Tổng Đơn'!$A$5:$E$75,5,0),"")</f>
        <v/>
      </c>
      <c r="F20" s="30" t="str">
        <f t="shared" si="1"/>
        <v/>
      </c>
      <c r="G20" s="162" t="str">
        <f>IF(AND($C20="",$C19&lt;&gt;""),"Tổng Cộng",IFERROR(VLOOKUP($A20,Sheet1!$A$1:$D$98,4,0),""))</f>
        <v/>
      </c>
      <c r="H20" s="153" t="str">
        <f>IF($C19=MAX($C$8:$C$56),SUM($H$8:$H19),IFERROR($G20*$F20,""))</f>
        <v/>
      </c>
      <c r="I20" s="55" t="str">
        <f t="shared" si="2"/>
        <v/>
      </c>
      <c r="L20" s="31"/>
    </row>
    <row r="21" spans="1:12" s="29" customFormat="1" ht="14.25" customHeight="1" x14ac:dyDescent="0.25">
      <c r="A21" s="155" t="s">
        <v>301</v>
      </c>
      <c r="B21" s="155"/>
      <c r="C21" s="30" t="str">
        <f t="shared" si="0"/>
        <v/>
      </c>
      <c r="D21" s="161" t="str">
        <f>IFERROR(VLOOKUP($A21,Sheet1!$A$1:$B$98,2,0),"")</f>
        <v/>
      </c>
      <c r="E21" s="30" t="str">
        <f>IFERROR(VLOOKUP($A21,'Tổng Đơn'!$A$5:$E$75,5,0),"")</f>
        <v/>
      </c>
      <c r="F21" s="30" t="str">
        <f t="shared" si="1"/>
        <v/>
      </c>
      <c r="G21" s="162" t="str">
        <f>IF(AND($C21="",$C20&lt;&gt;""),"Tổng Cộng",IFERROR(VLOOKUP($A21,Sheet1!$A$1:$D$98,4,0),""))</f>
        <v/>
      </c>
      <c r="H21" s="153" t="str">
        <f>IF($C20=MAX($C$8:$C$56),SUM($H$8:$H20),IFERROR($G21*$F21,""))</f>
        <v/>
      </c>
      <c r="I21" s="55" t="str">
        <f t="shared" si="2"/>
        <v/>
      </c>
      <c r="L21" s="31"/>
    </row>
    <row r="22" spans="1:12" s="29" customFormat="1" ht="14.25" customHeight="1" x14ac:dyDescent="0.25">
      <c r="A22" s="155" t="s">
        <v>301</v>
      </c>
      <c r="B22" s="155"/>
      <c r="C22" s="30" t="str">
        <f t="shared" si="0"/>
        <v/>
      </c>
      <c r="D22" s="152" t="str">
        <f>IFERROR(VLOOKUP($A22,Sheet1!$A$1:$B$98,2,0),"")</f>
        <v/>
      </c>
      <c r="E22" s="30" t="str">
        <f>IFERROR(VLOOKUP($A22,'Tổng Đơn'!$A$5:$E$75,5,0),"")</f>
        <v/>
      </c>
      <c r="F22" s="30" t="str">
        <f t="shared" si="1"/>
        <v/>
      </c>
      <c r="G22" s="162" t="str">
        <f>IF(AND($C22="",$C21&lt;&gt;""),"Tổng Cộng",IFERROR(VLOOKUP($A22,Sheet1!$A$1:$D$98,4,0),""))</f>
        <v/>
      </c>
      <c r="H22" s="153" t="str">
        <f>IF($C21=MAX($C$8:$C$56),SUM($H$8:$H21),IFERROR($G22*$F22,""))</f>
        <v/>
      </c>
      <c r="I22" s="55" t="str">
        <f t="shared" si="2"/>
        <v/>
      </c>
      <c r="L22" s="31"/>
    </row>
    <row r="23" spans="1:12" s="29" customFormat="1" ht="14.25" customHeight="1" x14ac:dyDescent="0.25">
      <c r="A23" s="155" t="s">
        <v>301</v>
      </c>
      <c r="B23" s="155"/>
      <c r="C23" s="30" t="str">
        <f t="shared" si="0"/>
        <v/>
      </c>
      <c r="D23" s="152" t="str">
        <f>IFERROR(VLOOKUP($A23,Sheet1!$A$1:$B$98,2,0),"")</f>
        <v/>
      </c>
      <c r="E23" s="30" t="str">
        <f>IFERROR(VLOOKUP($A23,'Tổng Đơn'!$A$5:$E$75,5,0),"")</f>
        <v/>
      </c>
      <c r="F23" s="30" t="str">
        <f t="shared" si="1"/>
        <v/>
      </c>
      <c r="G23" s="162" t="str">
        <f>IF(AND($C23="",$C22&lt;&gt;""),"Tổng Cộng",IFERROR(VLOOKUP($A23,Sheet1!$A$1:$D$98,4,0),""))</f>
        <v/>
      </c>
      <c r="H23" s="153" t="str">
        <f>IF($C22=MAX($C$8:$C$56),SUM($H$8:$H22),IFERROR($G23*$F23,""))</f>
        <v/>
      </c>
      <c r="I23" s="55" t="str">
        <f t="shared" si="2"/>
        <v/>
      </c>
      <c r="L23" s="31"/>
    </row>
    <row r="24" spans="1:12" s="29" customFormat="1" ht="14.25" customHeight="1" x14ac:dyDescent="0.25">
      <c r="A24" s="155" t="s">
        <v>301</v>
      </c>
      <c r="B24" s="155"/>
      <c r="C24" s="30" t="str">
        <f t="shared" si="0"/>
        <v/>
      </c>
      <c r="D24" s="152" t="str">
        <f>IFERROR(VLOOKUP($A24,Sheet1!$A$1:$B$98,2,0),"")</f>
        <v/>
      </c>
      <c r="E24" s="30" t="str">
        <f>IFERROR(VLOOKUP($A24,'Tổng Đơn'!$A$5:$E$75,5,0),"")</f>
        <v/>
      </c>
      <c r="F24" s="30" t="str">
        <f t="shared" si="1"/>
        <v/>
      </c>
      <c r="G24" s="162" t="str">
        <f>IF(AND($C24="",$C23&lt;&gt;""),"Tổng Cộng",IFERROR(VLOOKUP($A24,Sheet1!$A$1:$D$98,4,0),""))</f>
        <v/>
      </c>
      <c r="H24" s="153" t="str">
        <f>IF($C23=MAX($C$8:$C$56),SUM($H$8:$H23),IFERROR($G24*$F24,""))</f>
        <v/>
      </c>
      <c r="I24" s="55" t="str">
        <f t="shared" si="2"/>
        <v/>
      </c>
      <c r="L24" s="31"/>
    </row>
    <row r="25" spans="1:12" s="29" customFormat="1" ht="14.25" customHeight="1" x14ac:dyDescent="0.25">
      <c r="A25" s="155" t="s">
        <v>301</v>
      </c>
      <c r="B25" s="155"/>
      <c r="C25" s="30" t="str">
        <f t="shared" si="0"/>
        <v/>
      </c>
      <c r="D25" s="152" t="str">
        <f>IFERROR(VLOOKUP($A25,Sheet1!$A$1:$B$98,2,0),"")</f>
        <v/>
      </c>
      <c r="E25" s="30" t="str">
        <f>IFERROR(VLOOKUP($A25,'Tổng Đơn'!$A$5:$E$75,5,0),"")</f>
        <v/>
      </c>
      <c r="F25" s="30" t="str">
        <f t="shared" si="1"/>
        <v/>
      </c>
      <c r="G25" s="162" t="str">
        <f>IF(AND($C25="",$C24&lt;&gt;""),"Tổng Cộng",IFERROR(VLOOKUP($A25,Sheet1!$A$1:$D$98,4,0),""))</f>
        <v/>
      </c>
      <c r="H25" s="153" t="str">
        <f>IF($C24=MAX($C$8:$C$56),SUM($H$8:$H24),IFERROR($G25*$F25,""))</f>
        <v/>
      </c>
      <c r="I25" s="55" t="str">
        <f t="shared" si="2"/>
        <v/>
      </c>
      <c r="L25" s="31"/>
    </row>
    <row r="26" spans="1:12" s="29" customFormat="1" ht="14.25" customHeight="1" x14ac:dyDescent="0.25">
      <c r="A26" s="155" t="s">
        <v>301</v>
      </c>
      <c r="B26" s="155"/>
      <c r="C26" s="30" t="str">
        <f t="shared" si="0"/>
        <v/>
      </c>
      <c r="D26" s="152" t="str">
        <f>IFERROR(VLOOKUP($A26,Sheet1!$A$1:$B$98,2,0),"")</f>
        <v/>
      </c>
      <c r="E26" s="30" t="str">
        <f>IFERROR(VLOOKUP($A26,'Tổng Đơn'!$A$5:$E$75,5,0),"")</f>
        <v/>
      </c>
      <c r="F26" s="30" t="str">
        <f t="shared" si="1"/>
        <v/>
      </c>
      <c r="G26" s="162" t="str">
        <f>IF(AND($C26="",$C25&lt;&gt;""),"Tổng Cộng",IFERROR(VLOOKUP($A26,Sheet1!$A$1:$D$98,4,0),""))</f>
        <v/>
      </c>
      <c r="H26" s="153" t="str">
        <f>IF($C25=MAX($C$8:$C$56),SUM($H$8:$H25),IFERROR($G26*$F26,""))</f>
        <v/>
      </c>
      <c r="I26" s="55" t="str">
        <f t="shared" si="2"/>
        <v/>
      </c>
      <c r="L26" s="31"/>
    </row>
    <row r="27" spans="1:12" s="29" customFormat="1" ht="14.25" customHeight="1" x14ac:dyDescent="0.25">
      <c r="A27" s="155" t="s">
        <v>301</v>
      </c>
      <c r="B27" s="155"/>
      <c r="C27" s="30" t="str">
        <f t="shared" si="0"/>
        <v/>
      </c>
      <c r="D27" s="152" t="str">
        <f>IFERROR(VLOOKUP($A27,Sheet1!$A$1:$B$98,2,0),"")</f>
        <v/>
      </c>
      <c r="E27" s="30" t="str">
        <f>IFERROR(VLOOKUP($A27,'Tổng Đơn'!$A$5:$E$75,5,0),"")</f>
        <v/>
      </c>
      <c r="F27" s="30" t="str">
        <f t="shared" si="1"/>
        <v/>
      </c>
      <c r="G27" s="162" t="str">
        <f>IF(AND($C27="",$C26&lt;&gt;""),"Tổng Cộng",IFERROR(VLOOKUP($A27,Sheet1!$A$1:$D$98,4,0),""))</f>
        <v/>
      </c>
      <c r="H27" s="153" t="str">
        <f>IF($C26=MAX($C$8:$C$56),SUM($H$8:$H26),IFERROR($G27*$F27,""))</f>
        <v/>
      </c>
      <c r="I27" s="55" t="str">
        <f t="shared" si="2"/>
        <v/>
      </c>
      <c r="L27" s="31"/>
    </row>
    <row r="28" spans="1:12" s="29" customFormat="1" ht="14.25" customHeight="1" x14ac:dyDescent="0.25">
      <c r="A28" s="155" t="s">
        <v>301</v>
      </c>
      <c r="B28" s="155"/>
      <c r="C28" s="30" t="str">
        <f t="shared" si="0"/>
        <v/>
      </c>
      <c r="D28" s="152" t="str">
        <f>IFERROR(VLOOKUP($A28,Sheet1!$A$1:$B$98,2,0),"")</f>
        <v/>
      </c>
      <c r="E28" s="30" t="str">
        <f>IFERROR(VLOOKUP($A28,'Tổng Đơn'!$A$5:$E$75,5,0),"")</f>
        <v/>
      </c>
      <c r="F28" s="30" t="str">
        <f t="shared" si="1"/>
        <v/>
      </c>
      <c r="G28" s="162" t="str">
        <f>IF(AND($C28="",$C27&lt;&gt;""),"Tổng Cộng",IFERROR(VLOOKUP($A28,Sheet1!$A$1:$D$98,4,0),""))</f>
        <v/>
      </c>
      <c r="H28" s="153" t="str">
        <f>IF($C27=MAX($C$8:$C$56),SUM($H$8:$H27),IFERROR($G28*$F28,""))</f>
        <v/>
      </c>
      <c r="I28" s="55" t="str">
        <f t="shared" si="2"/>
        <v/>
      </c>
      <c r="L28" s="31"/>
    </row>
    <row r="29" spans="1:12" s="29" customFormat="1" ht="14.25" customHeight="1" x14ac:dyDescent="0.25">
      <c r="A29" s="155" t="s">
        <v>301</v>
      </c>
      <c r="B29" s="155"/>
      <c r="C29" s="30" t="str">
        <f t="shared" si="0"/>
        <v/>
      </c>
      <c r="D29" s="152" t="str">
        <f>IFERROR(VLOOKUP($A29,Sheet1!$A$1:$B$98,2,0),"")</f>
        <v/>
      </c>
      <c r="E29" s="30" t="str">
        <f>IFERROR(VLOOKUP($A29,'Tổng Đơn'!$A$5:$E$75,5,0),"")</f>
        <v/>
      </c>
      <c r="F29" s="30" t="str">
        <f t="shared" si="1"/>
        <v/>
      </c>
      <c r="G29" s="162" t="str">
        <f>IF(AND($C29="",$C28&lt;&gt;""),"Tổng Cộng",IFERROR(VLOOKUP($A29,Sheet1!$A$1:$D$98,4,0),""))</f>
        <v/>
      </c>
      <c r="H29" s="153" t="str">
        <f>IF($C28=MAX($C$8:$C$56),SUM($H$8:$H28),IFERROR($G29*$F29,""))</f>
        <v/>
      </c>
      <c r="I29" s="55" t="str">
        <f t="shared" si="2"/>
        <v/>
      </c>
      <c r="L29" s="31"/>
    </row>
    <row r="30" spans="1:12" s="29" customFormat="1" ht="14.25" customHeight="1" x14ac:dyDescent="0.25">
      <c r="A30" s="155" t="s">
        <v>301</v>
      </c>
      <c r="B30" s="155"/>
      <c r="C30" s="30" t="str">
        <f t="shared" si="0"/>
        <v/>
      </c>
      <c r="D30" s="152" t="str">
        <f>IFERROR(VLOOKUP($A30,Sheet1!$A$1:$B$98,2,0),"")</f>
        <v/>
      </c>
      <c r="E30" s="30" t="str">
        <f>IFERROR(VLOOKUP($A30,'Tổng Đơn'!$A$5:$E$75,5,0),"")</f>
        <v/>
      </c>
      <c r="F30" s="30" t="str">
        <f t="shared" si="1"/>
        <v/>
      </c>
      <c r="G30" s="162" t="str">
        <f>IF(AND($C30="",$C29&lt;&gt;""),"Tổng Cộng",IFERROR(VLOOKUP($A30,Sheet1!$A$1:$D$98,4,0),""))</f>
        <v/>
      </c>
      <c r="H30" s="153" t="str">
        <f>IF($C29=MAX($C$8:$C$56),SUM($H$8:$H29),IFERROR($G30*$F30,""))</f>
        <v/>
      </c>
      <c r="I30" s="55" t="str">
        <f t="shared" si="2"/>
        <v/>
      </c>
      <c r="L30" s="31"/>
    </row>
    <row r="31" spans="1:12" s="29" customFormat="1" ht="14.25" customHeight="1" x14ac:dyDescent="0.25">
      <c r="A31" s="155" t="s">
        <v>301</v>
      </c>
      <c r="B31" s="155"/>
      <c r="C31" s="30" t="str">
        <f t="shared" si="0"/>
        <v/>
      </c>
      <c r="D31" s="152" t="str">
        <f>IFERROR(VLOOKUP($A31,Sheet1!$A$1:$B$98,2,0),"")</f>
        <v/>
      </c>
      <c r="E31" s="30" t="str">
        <f>IFERROR(VLOOKUP($A31,'Tổng Đơn'!$A$5:$E$75,5,0),"")</f>
        <v/>
      </c>
      <c r="F31" s="30" t="str">
        <f t="shared" si="1"/>
        <v/>
      </c>
      <c r="G31" s="162" t="str">
        <f>IF(AND($C31="",$C30&lt;&gt;""),"Tổng Cộng",IFERROR(VLOOKUP($A31,Sheet1!$A$1:$D$98,4,0),""))</f>
        <v/>
      </c>
      <c r="H31" s="153" t="str">
        <f>IF($C30=MAX($C$8:$C$56),SUM($H$8:$H30),IFERROR($G31*$F31,""))</f>
        <v/>
      </c>
      <c r="I31" s="55" t="str">
        <f t="shared" si="2"/>
        <v/>
      </c>
      <c r="L31" s="31"/>
    </row>
    <row r="32" spans="1:12" s="29" customFormat="1" ht="14.25" customHeight="1" x14ac:dyDescent="0.25">
      <c r="A32" s="155" t="s">
        <v>301</v>
      </c>
      <c r="B32" s="155"/>
      <c r="C32" s="30" t="str">
        <f t="shared" si="0"/>
        <v/>
      </c>
      <c r="D32" s="152" t="str">
        <f>IFERROR(VLOOKUP($A32,Sheet1!$A$1:$B$98,2,0),"")</f>
        <v/>
      </c>
      <c r="E32" s="30" t="str">
        <f>IFERROR(VLOOKUP($A32,'Tổng Đơn'!$A$5:$E$75,5,0),"")</f>
        <v/>
      </c>
      <c r="F32" s="30" t="str">
        <f t="shared" si="1"/>
        <v/>
      </c>
      <c r="G32" s="162" t="str">
        <f>IF(AND($C32="",$C31&lt;&gt;""),"Tổng Cộng",IFERROR(VLOOKUP($A32,Sheet1!$A$1:$D$98,4,0),""))</f>
        <v/>
      </c>
      <c r="H32" s="153" t="str">
        <f>IF($C31=MAX($C$8:$C$56),SUM($H$8:$H31),IFERROR($G32*$F32,""))</f>
        <v/>
      </c>
      <c r="I32" s="55" t="str">
        <f t="shared" si="2"/>
        <v/>
      </c>
      <c r="L32" s="31"/>
    </row>
    <row r="33" spans="1:12" s="29" customFormat="1" ht="14.25" customHeight="1" x14ac:dyDescent="0.25">
      <c r="A33" s="155" t="s">
        <v>301</v>
      </c>
      <c r="B33" s="155"/>
      <c r="C33" s="30" t="str">
        <f t="shared" si="0"/>
        <v/>
      </c>
      <c r="D33" s="152" t="str">
        <f>IFERROR(VLOOKUP($A33,Sheet1!$A$1:$B$98,2,0),"")</f>
        <v/>
      </c>
      <c r="E33" s="30" t="str">
        <f>IFERROR(VLOOKUP($A33,'Tổng Đơn'!$A$5:$E$75,5,0),"")</f>
        <v/>
      </c>
      <c r="F33" s="30" t="str">
        <f t="shared" si="1"/>
        <v/>
      </c>
      <c r="G33" s="162" t="str">
        <f>IF(AND($C33="",$C32&lt;&gt;""),"Tổng Cộng",IFERROR(VLOOKUP($A33,Sheet1!$A$1:$D$98,4,0),""))</f>
        <v/>
      </c>
      <c r="H33" s="153" t="str">
        <f>IF($C32=MAX($C$8:$C$56),SUM($H$8:$H32),IFERROR($G33*$F33,""))</f>
        <v/>
      </c>
      <c r="I33" s="55" t="str">
        <f t="shared" si="2"/>
        <v/>
      </c>
      <c r="L33" s="31"/>
    </row>
    <row r="34" spans="1:12" s="29" customFormat="1" ht="14.25" customHeight="1" x14ac:dyDescent="0.25">
      <c r="A34" s="155" t="s">
        <v>301</v>
      </c>
      <c r="B34" s="155"/>
      <c r="C34" s="30" t="str">
        <f t="shared" si="0"/>
        <v/>
      </c>
      <c r="D34" s="152" t="str">
        <f>IFERROR(VLOOKUP($A34,Sheet1!$A$1:$B$98,2,0),"")</f>
        <v/>
      </c>
      <c r="E34" s="30" t="str">
        <f>IFERROR(VLOOKUP($A34,'Tổng Đơn'!$A$5:$E$75,5,0),"")</f>
        <v/>
      </c>
      <c r="F34" s="30" t="str">
        <f t="shared" si="1"/>
        <v/>
      </c>
      <c r="G34" s="162" t="str">
        <f>IF(AND($C34="",$C33&lt;&gt;""),"Tổng Cộng",IFERROR(VLOOKUP($A34,Sheet1!$A$1:$D$98,4,0),""))</f>
        <v/>
      </c>
      <c r="H34" s="153" t="str">
        <f>IF($C33=MAX($C$8:$C$56),SUM($H$8:$H33),IFERROR($G34*$F34,""))</f>
        <v/>
      </c>
      <c r="I34" s="55" t="str">
        <f t="shared" si="2"/>
        <v/>
      </c>
      <c r="L34" s="31"/>
    </row>
    <row r="35" spans="1:12" s="29" customFormat="1" ht="14.25" customHeight="1" x14ac:dyDescent="0.25">
      <c r="A35" s="155" t="s">
        <v>301</v>
      </c>
      <c r="B35" s="155"/>
      <c r="C35" s="30" t="str">
        <f t="shared" si="0"/>
        <v/>
      </c>
      <c r="D35" s="152" t="str">
        <f>IFERROR(VLOOKUP($A35,Sheet1!$A$1:$B$98,2,0),"")</f>
        <v/>
      </c>
      <c r="E35" s="30" t="str">
        <f>IFERROR(VLOOKUP($A35,'Tổng Đơn'!$A$5:$E$75,5,0),"")</f>
        <v/>
      </c>
      <c r="F35" s="30" t="str">
        <f t="shared" si="1"/>
        <v/>
      </c>
      <c r="G35" s="162" t="str">
        <f>IF(AND($C35="",$C34&lt;&gt;""),"Tổng Cộng",IFERROR(VLOOKUP($A35,Sheet1!$A$1:$D$98,4,0),""))</f>
        <v/>
      </c>
      <c r="H35" s="153" t="str">
        <f>IF($C34=MAX($C$8:$C$56),SUM($H$8:$H34),IFERROR($G35*$F35,""))</f>
        <v/>
      </c>
      <c r="I35" s="55" t="str">
        <f t="shared" si="2"/>
        <v/>
      </c>
      <c r="L35" s="31"/>
    </row>
    <row r="36" spans="1:12" s="29" customFormat="1" ht="14.25" customHeight="1" x14ac:dyDescent="0.25">
      <c r="A36" s="155" t="s">
        <v>301</v>
      </c>
      <c r="B36" s="155"/>
      <c r="C36" s="30" t="str">
        <f t="shared" si="0"/>
        <v/>
      </c>
      <c r="D36" s="152" t="str">
        <f>IFERROR(VLOOKUP($A36,Sheet1!$A$1:$B$98,2,0),"")</f>
        <v/>
      </c>
      <c r="E36" s="30" t="str">
        <f>IFERROR(VLOOKUP($A36,'Tổng Đơn'!$A$5:$E$75,5,0),"")</f>
        <v/>
      </c>
      <c r="F36" s="30" t="str">
        <f t="shared" si="1"/>
        <v/>
      </c>
      <c r="G36" s="162" t="str">
        <f>IF(AND($C36="",$C35&lt;&gt;""),"Tổng Cộng",IFERROR(VLOOKUP($A36,Sheet1!$A$1:$D$98,4,0),""))</f>
        <v/>
      </c>
      <c r="H36" s="153" t="str">
        <f>IF($C35=MAX($C$8:$C$56),SUM($H$8:$H35),IFERROR($G36*$F36,""))</f>
        <v/>
      </c>
      <c r="I36" s="55" t="str">
        <f t="shared" si="2"/>
        <v/>
      </c>
      <c r="L36" s="31"/>
    </row>
    <row r="37" spans="1:12" s="29" customFormat="1" ht="14.25" customHeight="1" x14ac:dyDescent="0.25">
      <c r="A37" s="155" t="s">
        <v>301</v>
      </c>
      <c r="B37" s="155"/>
      <c r="C37" s="30" t="str">
        <f t="shared" si="0"/>
        <v/>
      </c>
      <c r="D37" s="152" t="str">
        <f>IFERROR(VLOOKUP($A37,Sheet1!$A$1:$B$98,2,0),"")</f>
        <v/>
      </c>
      <c r="E37" s="30" t="str">
        <f>IFERROR(VLOOKUP($A37,'Tổng Đơn'!$A$5:$E$75,5,0),"")</f>
        <v/>
      </c>
      <c r="F37" s="30" t="str">
        <f t="shared" si="1"/>
        <v/>
      </c>
      <c r="G37" s="162"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3"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65" priority="20">
      <formula>$C22=MAX($C$8:$C$37)</formula>
    </cfRule>
  </conditionalFormatting>
  <conditionalFormatting sqref="C23:C37">
    <cfRule type="expression" dxfId="64" priority="19">
      <formula>$C22=MAX($C$8:$C$37)</formula>
    </cfRule>
  </conditionalFormatting>
  <conditionalFormatting sqref="E23:E38">
    <cfRule type="expression" dxfId="63" priority="21">
      <formula>AND($A23="",$F23&lt;&gt;"")</formula>
    </cfRule>
  </conditionalFormatting>
  <conditionalFormatting sqref="F23:F38">
    <cfRule type="expression" dxfId="62" priority="22">
      <formula>AND($F23="",$A23&lt;&gt;"")</formula>
    </cfRule>
  </conditionalFormatting>
  <conditionalFormatting sqref="D20:H22">
    <cfRule type="expression" dxfId="61" priority="16">
      <formula>$C19=MAX($C$8:$C$37)</formula>
    </cfRule>
  </conditionalFormatting>
  <conditionalFormatting sqref="C20:C22">
    <cfRule type="expression" dxfId="60" priority="15">
      <formula>$C19=MAX($C$8:$C$37)</formula>
    </cfRule>
  </conditionalFormatting>
  <conditionalFormatting sqref="E20:E22">
    <cfRule type="expression" dxfId="59" priority="17">
      <formula>AND($A20="",$F20&lt;&gt;"")</formula>
    </cfRule>
  </conditionalFormatting>
  <conditionalFormatting sqref="F20:F22">
    <cfRule type="expression" dxfId="58" priority="18">
      <formula>AND($F20="",$A20&lt;&gt;"")</formula>
    </cfRule>
  </conditionalFormatting>
  <conditionalFormatting sqref="D17:H19">
    <cfRule type="expression" dxfId="57" priority="12">
      <formula>$C16=MAX($C$8:$C$37)</formula>
    </cfRule>
  </conditionalFormatting>
  <conditionalFormatting sqref="C17:C19">
    <cfRule type="expression" dxfId="56" priority="11">
      <formula>$C16=MAX($C$8:$C$37)</formula>
    </cfRule>
  </conditionalFormatting>
  <conditionalFormatting sqref="E17:E19">
    <cfRule type="expression" dxfId="55" priority="13">
      <formula>AND($A17="",$F17&lt;&gt;"")</formula>
    </cfRule>
  </conditionalFormatting>
  <conditionalFormatting sqref="F17:F19">
    <cfRule type="expression" dxfId="54" priority="14">
      <formula>AND($F17="",$A17&lt;&gt;"")</formula>
    </cfRule>
  </conditionalFormatting>
  <conditionalFormatting sqref="D15:H16 D9:G14">
    <cfRule type="expression" dxfId="53" priority="8">
      <formula>$C8=MAX($C$8:$C$37)</formula>
    </cfRule>
  </conditionalFormatting>
  <conditionalFormatting sqref="C9:C16">
    <cfRule type="expression" dxfId="52" priority="7">
      <formula>$C8=MAX($C$8:$C$37)</formula>
    </cfRule>
  </conditionalFormatting>
  <conditionalFormatting sqref="E9:E16">
    <cfRule type="expression" dxfId="51" priority="9">
      <formula>AND($A9="",$F9&lt;&gt;"")</formula>
    </cfRule>
  </conditionalFormatting>
  <conditionalFormatting sqref="F9:F16">
    <cfRule type="expression" dxfId="50" priority="10">
      <formula>AND($F9="",$A9&lt;&gt;"")</formula>
    </cfRule>
  </conditionalFormatting>
  <conditionalFormatting sqref="D8:G8">
    <cfRule type="expression" dxfId="49" priority="4">
      <formula>$C7=MAX($C$8:$C$37)</formula>
    </cfRule>
  </conditionalFormatting>
  <conditionalFormatting sqref="C8">
    <cfRule type="expression" dxfId="48" priority="3">
      <formula>$C7=MAX($C$8:$C$37)</formula>
    </cfRule>
  </conditionalFormatting>
  <conditionalFormatting sqref="E8">
    <cfRule type="expression" dxfId="47" priority="5">
      <formula>AND($A8="",$F8&lt;&gt;"")</formula>
    </cfRule>
  </conditionalFormatting>
  <conditionalFormatting sqref="F8">
    <cfRule type="expression" dxfId="46" priority="6">
      <formula>AND($F8="",$A8&lt;&gt;"")</formula>
    </cfRule>
  </conditionalFormatting>
  <conditionalFormatting sqref="H9:H14">
    <cfRule type="expression" dxfId="45" priority="2">
      <formula>$C8=MAX($C$8:$C$37)</formula>
    </cfRule>
  </conditionalFormatting>
  <conditionalFormatting sqref="H8">
    <cfRule type="expression" dxfId="44"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44691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13</vt:i4>
      </vt:variant>
    </vt:vector>
  </HeadingPairs>
  <TitlesOfParts>
    <vt:vector size="35" baseType="lpstr">
      <vt:lpstr>Chi phí ra hàng tháng</vt:lpstr>
      <vt:lpstr>Gà</vt:lpstr>
      <vt:lpstr>TVP</vt:lpstr>
      <vt:lpstr>Quốc Nhân</vt:lpstr>
      <vt:lpstr>La Cusina</vt:lpstr>
      <vt:lpstr>Kitkool</vt:lpstr>
      <vt:lpstr>Sheet1</vt:lpstr>
      <vt:lpstr>Chi phí</vt:lpstr>
      <vt:lpstr>Tổng Đơn</vt:lpstr>
      <vt:lpstr>Thanh Toán</vt:lpstr>
      <vt:lpstr>Thanh Toán (13)</vt:lpstr>
      <vt:lpstr>Thanh Toán (12)</vt:lpstr>
      <vt:lpstr>Thanh Toán (11)</vt:lpstr>
      <vt:lpstr>Thanh Toán (10)</vt:lpstr>
      <vt:lpstr>Thanh Toán (9)</vt:lpstr>
      <vt:lpstr>Thanh Toán (8)</vt:lpstr>
      <vt:lpstr>Thanh Toán (7)</vt:lpstr>
      <vt:lpstr>Thanh Toán (6)</vt:lpstr>
      <vt:lpstr>Thanh Toán (5)</vt:lpstr>
      <vt:lpstr>Thanh Toán (4)</vt:lpstr>
      <vt:lpstr>Thanh Toán (3)</vt:lpstr>
      <vt:lpstr>Thanh Toán (2)</vt:lpstr>
      <vt:lpstr>'Thanh Toán'!Print_Area</vt:lpstr>
      <vt:lpstr>'Thanh Toán (10)'!Print_Area</vt:lpstr>
      <vt:lpstr>'Thanh Toán (11)'!Print_Area</vt:lpstr>
      <vt:lpstr>'Thanh Toán (12)'!Print_Area</vt:lpstr>
      <vt:lpstr>'Thanh Toán (13)'!Print_Area</vt:lpstr>
      <vt:lpstr>'Thanh Toán (2)'!Print_Area</vt:lpstr>
      <vt:lpstr>'Thanh Toán (3)'!Print_Area</vt:lpstr>
      <vt:lpstr>'Thanh Toán (4)'!Print_Area</vt:lpstr>
      <vt:lpstr>'Thanh Toán (5)'!Print_Area</vt:lpstr>
      <vt:lpstr>'Thanh Toán (6)'!Print_Area</vt:lpstr>
      <vt:lpstr>'Thanh Toán (7)'!Print_Area</vt:lpstr>
      <vt:lpstr>'Thanh Toán (8)'!Print_Area</vt:lpstr>
      <vt:lpstr>'Thanh Toán (9)'!Print_Area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Windows User</cp:lastModifiedBy>
  <cp:lastPrinted>2022-01-17T14:30:59Z</cp:lastPrinted>
  <dcterms:created xsi:type="dcterms:W3CDTF">2021-12-17T01:18:08Z</dcterms:created>
  <dcterms:modified xsi:type="dcterms:W3CDTF">2022-08-29T01:04:42Z</dcterms:modified>
</cp:coreProperties>
</file>