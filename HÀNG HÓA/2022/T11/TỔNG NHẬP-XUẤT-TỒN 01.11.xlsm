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1\"/>
    </mc:Choice>
  </mc:AlternateContent>
  <bookViews>
    <workbookView xWindow="0" yWindow="0" windowWidth="20400" windowHeight="7620" tabRatio="925" firstSheet="1" activeTab="4"/>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3)" sheetId="451" r:id="rId11"/>
    <sheet name="Thanh Toán (12)" sheetId="450" r:id="rId12"/>
    <sheet name="Thanh Toán (11)" sheetId="449" r:id="rId13"/>
    <sheet name="Thanh Toán (10)" sheetId="448" r:id="rId14"/>
    <sheet name="Thanh Toán (9)" sheetId="447" r:id="rId15"/>
    <sheet name="Thanh Toán (8)" sheetId="446" r:id="rId16"/>
    <sheet name="Thanh Toán (7)" sheetId="445" r:id="rId17"/>
    <sheet name="Thanh Toán (6)" sheetId="444" r:id="rId18"/>
    <sheet name="Thanh Toán (5)" sheetId="443" r:id="rId19"/>
    <sheet name="Thanh Toán (4)" sheetId="442" r:id="rId20"/>
    <sheet name="Thanh Toán (3)" sheetId="441" r:id="rId21"/>
    <sheet name="Thanh Toán (2)" sheetId="440" r:id="rId22"/>
  </sheets>
  <definedNames>
    <definedName name="_xlnm._FilterDatabase" localSheetId="8" hidden="1">'Chi phí'!$A$6:$E$30</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3">'Thanh Toán (10)'!$C$1:$H$38</definedName>
    <definedName name="_xlnm.Print_Area" localSheetId="12">'Thanh Toán (11)'!$C$1:$H$38</definedName>
    <definedName name="_xlnm.Print_Area" localSheetId="11">'Thanh Toán (12)'!$C$1:$H$38</definedName>
    <definedName name="_xlnm.Print_Area" localSheetId="10">'Thanh Toán (13)'!$C$1:$H$38</definedName>
    <definedName name="_xlnm.Print_Area" localSheetId="21">'Thanh Toán (2)'!$C$1:$H$38</definedName>
    <definedName name="_xlnm.Print_Area" localSheetId="20">'Thanh Toán (3)'!$C$1:$H$38</definedName>
    <definedName name="_xlnm.Print_Area" localSheetId="19">'Thanh Toán (4)'!$C$1:$H$38</definedName>
    <definedName name="_xlnm.Print_Area" localSheetId="18">'Thanh Toán (5)'!$C$1:$H$38</definedName>
    <definedName name="_xlnm.Print_Area" localSheetId="17">'Thanh Toán (6)'!$C$1:$H$38</definedName>
    <definedName name="_xlnm.Print_Area" localSheetId="16">'Thanh Toán (7)'!$C$1:$H$38</definedName>
    <definedName name="_xlnm.Print_Area" localSheetId="15">'Thanh Toán (8)'!$C$1:$H$38</definedName>
    <definedName name="_xlnm.Print_Area" localSheetId="14">'Thanh Toán (9)'!$C$1:$H$38</definedName>
    <definedName name="Slicer_Tên_hàng">#N/A</definedName>
  </definedNames>
  <calcPr calcId="162913"/>
  <pivotCaches>
    <pivotCache cacheId="25" r:id="rId23"/>
  </pivotCaches>
  <extLst>
    <ext xmlns:x14="http://schemas.microsoft.com/office/spreadsheetml/2009/9/main" uri="{BBE1A952-AA13-448e-AADC-164F8A28A991}">
      <x14:slicerCaches>
        <x14:slicerCache r:id="rId24"/>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A2" i="1"/>
  <c r="F18" i="1"/>
  <c r="F9" i="1"/>
  <c r="A2" i="137"/>
  <c r="A2" i="150"/>
  <c r="F12" i="150"/>
  <c r="F10" i="150"/>
  <c r="F9" i="150"/>
  <c r="F8" i="150"/>
  <c r="F5" i="150"/>
  <c r="F8" i="4"/>
  <c r="F24" i="1"/>
  <c r="F10" i="137"/>
  <c r="F9" i="137"/>
  <c r="F6" i="137"/>
  <c r="F1" i="50" l="1"/>
  <c r="I37" i="451"/>
  <c r="F37" i="451"/>
  <c r="E37" i="451"/>
  <c r="D37" i="451"/>
  <c r="I36" i="451"/>
  <c r="F36" i="451"/>
  <c r="E36" i="451"/>
  <c r="D36" i="451"/>
  <c r="I35" i="451"/>
  <c r="F35" i="451"/>
  <c r="E35" i="451"/>
  <c r="D35" i="451"/>
  <c r="I34" i="451"/>
  <c r="F34" i="451"/>
  <c r="E34" i="451"/>
  <c r="D34" i="451"/>
  <c r="I33" i="451"/>
  <c r="F33" i="451"/>
  <c r="E33" i="451"/>
  <c r="D33" i="451"/>
  <c r="I32" i="451"/>
  <c r="F32" i="451"/>
  <c r="E32" i="451"/>
  <c r="D32" i="451"/>
  <c r="I31" i="451"/>
  <c r="F31" i="451"/>
  <c r="E31" i="451"/>
  <c r="D31" i="451"/>
  <c r="I30" i="451"/>
  <c r="F30" i="451"/>
  <c r="E30" i="451"/>
  <c r="D30" i="451"/>
  <c r="I29" i="451"/>
  <c r="F29" i="451"/>
  <c r="E29" i="451"/>
  <c r="D29" i="451"/>
  <c r="I28" i="451"/>
  <c r="F28" i="451"/>
  <c r="E28" i="451"/>
  <c r="D28" i="451"/>
  <c r="I27" i="451"/>
  <c r="F27" i="451"/>
  <c r="E27" i="451"/>
  <c r="D27" i="451"/>
  <c r="I26" i="451"/>
  <c r="F26" i="451"/>
  <c r="E26" i="451"/>
  <c r="D26" i="451"/>
  <c r="I25" i="451"/>
  <c r="F25" i="451"/>
  <c r="E25" i="451"/>
  <c r="D25" i="451"/>
  <c r="I24" i="451"/>
  <c r="F24" i="451"/>
  <c r="E24" i="451"/>
  <c r="D24" i="451"/>
  <c r="I23" i="451"/>
  <c r="F23" i="451"/>
  <c r="E23" i="451"/>
  <c r="D23" i="451"/>
  <c r="I22" i="451"/>
  <c r="F22" i="451"/>
  <c r="E22" i="451"/>
  <c r="D22" i="451"/>
  <c r="I21" i="451"/>
  <c r="F21" i="451"/>
  <c r="E21" i="451"/>
  <c r="D21" i="451"/>
  <c r="I20" i="451"/>
  <c r="F20" i="451"/>
  <c r="E20" i="451"/>
  <c r="D20" i="451"/>
  <c r="I19" i="451"/>
  <c r="F19" i="451"/>
  <c r="E19" i="451"/>
  <c r="D19" i="451"/>
  <c r="I18" i="451"/>
  <c r="F18" i="451"/>
  <c r="E18" i="451"/>
  <c r="D18" i="451"/>
  <c r="I17" i="451"/>
  <c r="F17" i="451"/>
  <c r="E17" i="451"/>
  <c r="D17" i="451"/>
  <c r="I16" i="451"/>
  <c r="F16" i="451"/>
  <c r="E16" i="451"/>
  <c r="D16" i="451"/>
  <c r="I15" i="451"/>
  <c r="F15" i="451"/>
  <c r="E15" i="451"/>
  <c r="D15" i="451"/>
  <c r="I14" i="451"/>
  <c r="F14" i="451"/>
  <c r="E14" i="451"/>
  <c r="D14" i="451"/>
  <c r="I13" i="451"/>
  <c r="F13" i="451"/>
  <c r="E13" i="451"/>
  <c r="D13" i="451"/>
  <c r="I12" i="451"/>
  <c r="F12" i="451"/>
  <c r="E12" i="451"/>
  <c r="D12" i="451"/>
  <c r="I11" i="451"/>
  <c r="F11" i="451"/>
  <c r="E11" i="451"/>
  <c r="D11" i="451"/>
  <c r="I10" i="451"/>
  <c r="F10" i="451"/>
  <c r="E10" i="451"/>
  <c r="D10" i="451"/>
  <c r="I9" i="451"/>
  <c r="I8" i="451"/>
  <c r="G8" i="451"/>
  <c r="F8" i="451"/>
  <c r="E8" i="451"/>
  <c r="D8" i="451"/>
  <c r="C8" i="451"/>
  <c r="C9" i="451" s="1"/>
  <c r="E7" i="451"/>
  <c r="G6" i="451"/>
  <c r="H9" i="450"/>
  <c r="I37" i="450"/>
  <c r="F37" i="450"/>
  <c r="E37" i="450"/>
  <c r="D37" i="450"/>
  <c r="I36" i="450"/>
  <c r="F36" i="450"/>
  <c r="E36" i="450"/>
  <c r="D36" i="450"/>
  <c r="I35" i="450"/>
  <c r="F35" i="450"/>
  <c r="E35" i="450"/>
  <c r="D35" i="450"/>
  <c r="I34" i="450"/>
  <c r="F34" i="450"/>
  <c r="E34" i="450"/>
  <c r="D34" i="450"/>
  <c r="I33" i="450"/>
  <c r="F33" i="450"/>
  <c r="E33" i="450"/>
  <c r="D33" i="450"/>
  <c r="I32" i="450"/>
  <c r="F32" i="450"/>
  <c r="E32" i="450"/>
  <c r="D32" i="450"/>
  <c r="I31" i="450"/>
  <c r="F31" i="450"/>
  <c r="E31" i="450"/>
  <c r="D31" i="450"/>
  <c r="I30" i="450"/>
  <c r="F30" i="450"/>
  <c r="E30" i="450"/>
  <c r="D30" i="450"/>
  <c r="I29" i="450"/>
  <c r="F29" i="450"/>
  <c r="E29" i="450"/>
  <c r="D29" i="450"/>
  <c r="I28" i="450"/>
  <c r="F28" i="450"/>
  <c r="E28" i="450"/>
  <c r="D28" i="450"/>
  <c r="I27" i="450"/>
  <c r="F27" i="450"/>
  <c r="E27" i="450"/>
  <c r="D27" i="450"/>
  <c r="I26" i="450"/>
  <c r="F26" i="450"/>
  <c r="E26" i="450"/>
  <c r="D26" i="450"/>
  <c r="I25" i="450"/>
  <c r="F25" i="450"/>
  <c r="E25" i="450"/>
  <c r="D25" i="450"/>
  <c r="I24" i="450"/>
  <c r="F24" i="450"/>
  <c r="E24" i="450"/>
  <c r="D24" i="450"/>
  <c r="I23" i="450"/>
  <c r="F23" i="450"/>
  <c r="E23" i="450"/>
  <c r="D23" i="450"/>
  <c r="I22" i="450"/>
  <c r="F22" i="450"/>
  <c r="E22" i="450"/>
  <c r="D22" i="450"/>
  <c r="I21" i="450"/>
  <c r="F21" i="450"/>
  <c r="E21" i="450"/>
  <c r="D21" i="450"/>
  <c r="I20" i="450"/>
  <c r="F20" i="450"/>
  <c r="E20" i="450"/>
  <c r="D20" i="450"/>
  <c r="I19" i="450"/>
  <c r="F19" i="450"/>
  <c r="E19" i="450"/>
  <c r="D19" i="450"/>
  <c r="I18" i="450"/>
  <c r="F18" i="450"/>
  <c r="E18" i="450"/>
  <c r="D18" i="450"/>
  <c r="I17" i="450"/>
  <c r="F17" i="450"/>
  <c r="E17" i="450"/>
  <c r="D17" i="450"/>
  <c r="I16" i="450"/>
  <c r="F16" i="450"/>
  <c r="E16" i="450"/>
  <c r="D16" i="450"/>
  <c r="I15" i="450"/>
  <c r="F15" i="450"/>
  <c r="E15" i="450"/>
  <c r="D15" i="450"/>
  <c r="I14" i="450"/>
  <c r="F14" i="450"/>
  <c r="E14" i="450"/>
  <c r="D14" i="450"/>
  <c r="I13" i="450"/>
  <c r="F13" i="450"/>
  <c r="E13" i="450"/>
  <c r="D13" i="450"/>
  <c r="I12" i="450"/>
  <c r="F12" i="450"/>
  <c r="E12" i="450"/>
  <c r="D12" i="450"/>
  <c r="I11" i="450"/>
  <c r="F11" i="450"/>
  <c r="E11" i="450"/>
  <c r="D11" i="450"/>
  <c r="I10" i="450"/>
  <c r="F10" i="450"/>
  <c r="E10" i="450"/>
  <c r="D10" i="450"/>
  <c r="G8" i="450"/>
  <c r="F8" i="450"/>
  <c r="I8" i="450" s="1"/>
  <c r="E8" i="450"/>
  <c r="D8" i="450"/>
  <c r="C8" i="450"/>
  <c r="C9" i="450" s="1"/>
  <c r="E7" i="450"/>
  <c r="G6" i="450"/>
  <c r="H10" i="449"/>
  <c r="I37" i="449"/>
  <c r="F37" i="449"/>
  <c r="E37" i="449"/>
  <c r="D37" i="449"/>
  <c r="I36" i="449"/>
  <c r="F36" i="449"/>
  <c r="E36" i="449"/>
  <c r="D36" i="449"/>
  <c r="I35" i="449"/>
  <c r="F35" i="449"/>
  <c r="E35" i="449"/>
  <c r="D35" i="449"/>
  <c r="I34" i="449"/>
  <c r="F34" i="449"/>
  <c r="E34" i="449"/>
  <c r="D34" i="449"/>
  <c r="I33" i="449"/>
  <c r="F33" i="449"/>
  <c r="E33" i="449"/>
  <c r="D33" i="449"/>
  <c r="I32" i="449"/>
  <c r="F32" i="449"/>
  <c r="E32" i="449"/>
  <c r="D32" i="449"/>
  <c r="I31" i="449"/>
  <c r="F31" i="449"/>
  <c r="E31" i="449"/>
  <c r="D31" i="449"/>
  <c r="I30" i="449"/>
  <c r="F30" i="449"/>
  <c r="E30" i="449"/>
  <c r="D30" i="449"/>
  <c r="I29" i="449"/>
  <c r="F29" i="449"/>
  <c r="E29" i="449"/>
  <c r="D29" i="449"/>
  <c r="I28" i="449"/>
  <c r="F28" i="449"/>
  <c r="E28" i="449"/>
  <c r="D28" i="449"/>
  <c r="I27" i="449"/>
  <c r="F27" i="449"/>
  <c r="E27" i="449"/>
  <c r="D27" i="449"/>
  <c r="I26" i="449"/>
  <c r="F26" i="449"/>
  <c r="E26" i="449"/>
  <c r="D26" i="449"/>
  <c r="I25" i="449"/>
  <c r="F25" i="449"/>
  <c r="E25" i="449"/>
  <c r="D25" i="449"/>
  <c r="I24" i="449"/>
  <c r="F24" i="449"/>
  <c r="E24" i="449"/>
  <c r="D24" i="449"/>
  <c r="I23" i="449"/>
  <c r="F23" i="449"/>
  <c r="E23" i="449"/>
  <c r="D23" i="449"/>
  <c r="I22" i="449"/>
  <c r="F22" i="449"/>
  <c r="E22" i="449"/>
  <c r="D22" i="449"/>
  <c r="I21" i="449"/>
  <c r="F21" i="449"/>
  <c r="E21" i="449"/>
  <c r="D21" i="449"/>
  <c r="I20" i="449"/>
  <c r="F20" i="449"/>
  <c r="E20" i="449"/>
  <c r="D20" i="449"/>
  <c r="I19" i="449"/>
  <c r="F19" i="449"/>
  <c r="E19" i="449"/>
  <c r="D19" i="449"/>
  <c r="I18" i="449"/>
  <c r="F18" i="449"/>
  <c r="E18" i="449"/>
  <c r="D18" i="449"/>
  <c r="I17" i="449"/>
  <c r="F17" i="449"/>
  <c r="E17" i="449"/>
  <c r="D17" i="449"/>
  <c r="I16" i="449"/>
  <c r="F16" i="449"/>
  <c r="E16" i="449"/>
  <c r="D16" i="449"/>
  <c r="I15" i="449"/>
  <c r="F15" i="449"/>
  <c r="E15" i="449"/>
  <c r="D15" i="449"/>
  <c r="I14" i="449"/>
  <c r="F14" i="449"/>
  <c r="E14" i="449"/>
  <c r="D14" i="449"/>
  <c r="I13" i="449"/>
  <c r="F13" i="449"/>
  <c r="E13" i="449"/>
  <c r="D13" i="449"/>
  <c r="I12" i="449"/>
  <c r="F12" i="449"/>
  <c r="E12" i="449"/>
  <c r="D12" i="449"/>
  <c r="I11" i="449"/>
  <c r="F11" i="449"/>
  <c r="E11" i="449"/>
  <c r="D11" i="449"/>
  <c r="F9" i="449"/>
  <c r="E9" i="449"/>
  <c r="I9" i="449" s="1"/>
  <c r="D9" i="449"/>
  <c r="G8" i="449"/>
  <c r="F8" i="449"/>
  <c r="I8" i="449" s="1"/>
  <c r="E8" i="449"/>
  <c r="D8" i="449"/>
  <c r="C8" i="449"/>
  <c r="C9" i="449" s="1"/>
  <c r="E7" i="449"/>
  <c r="G6" i="449"/>
  <c r="I37" i="448"/>
  <c r="F37" i="448"/>
  <c r="E37" i="448"/>
  <c r="D37" i="448"/>
  <c r="I36" i="448"/>
  <c r="F36" i="448"/>
  <c r="E36" i="448"/>
  <c r="D36" i="448"/>
  <c r="I35" i="448"/>
  <c r="F35" i="448"/>
  <c r="E35" i="448"/>
  <c r="D35" i="448"/>
  <c r="I34" i="448"/>
  <c r="F34" i="448"/>
  <c r="E34" i="448"/>
  <c r="D34" i="448"/>
  <c r="I33" i="448"/>
  <c r="F33" i="448"/>
  <c r="E33" i="448"/>
  <c r="D33" i="448"/>
  <c r="I32" i="448"/>
  <c r="F32" i="448"/>
  <c r="E32" i="448"/>
  <c r="D32" i="448"/>
  <c r="I31" i="448"/>
  <c r="F31" i="448"/>
  <c r="E31" i="448"/>
  <c r="D31" i="448"/>
  <c r="I30" i="448"/>
  <c r="F30" i="448"/>
  <c r="E30" i="448"/>
  <c r="D30" i="448"/>
  <c r="I29" i="448"/>
  <c r="F29" i="448"/>
  <c r="E29" i="448"/>
  <c r="D29" i="448"/>
  <c r="I28" i="448"/>
  <c r="F28" i="448"/>
  <c r="E28" i="448"/>
  <c r="D28" i="448"/>
  <c r="I27" i="448"/>
  <c r="F27" i="448"/>
  <c r="E27" i="448"/>
  <c r="D27" i="448"/>
  <c r="I26" i="448"/>
  <c r="F26" i="448"/>
  <c r="E26" i="448"/>
  <c r="D26" i="448"/>
  <c r="I25" i="448"/>
  <c r="F25" i="448"/>
  <c r="E25" i="448"/>
  <c r="D25" i="448"/>
  <c r="I24" i="448"/>
  <c r="F24" i="448"/>
  <c r="E24" i="448"/>
  <c r="D24" i="448"/>
  <c r="I23" i="448"/>
  <c r="F23" i="448"/>
  <c r="E23" i="448"/>
  <c r="D23" i="448"/>
  <c r="I22" i="448"/>
  <c r="F22" i="448"/>
  <c r="E22" i="448"/>
  <c r="D22" i="448"/>
  <c r="I21" i="448"/>
  <c r="F21" i="448"/>
  <c r="E21" i="448"/>
  <c r="D21" i="448"/>
  <c r="I20" i="448"/>
  <c r="F20" i="448"/>
  <c r="E20" i="448"/>
  <c r="D20" i="448"/>
  <c r="I19" i="448"/>
  <c r="F19" i="448"/>
  <c r="E19" i="448"/>
  <c r="D19" i="448"/>
  <c r="I18" i="448"/>
  <c r="F18" i="448"/>
  <c r="E18" i="448"/>
  <c r="D18" i="448"/>
  <c r="I17" i="448"/>
  <c r="F17" i="448"/>
  <c r="E17" i="448"/>
  <c r="D17" i="448"/>
  <c r="I16" i="448"/>
  <c r="F16" i="448"/>
  <c r="E16" i="448"/>
  <c r="D16" i="448"/>
  <c r="I15" i="448"/>
  <c r="F15" i="448"/>
  <c r="E15" i="448"/>
  <c r="D15" i="448"/>
  <c r="I14" i="448"/>
  <c r="F14" i="448"/>
  <c r="E14" i="448"/>
  <c r="D14" i="448"/>
  <c r="I13" i="448"/>
  <c r="F13" i="448"/>
  <c r="E13" i="448"/>
  <c r="D13" i="448"/>
  <c r="I12" i="448"/>
  <c r="F12" i="448"/>
  <c r="E12" i="448"/>
  <c r="D12" i="448"/>
  <c r="F10" i="448"/>
  <c r="E10" i="448"/>
  <c r="I10" i="448" s="1"/>
  <c r="D10" i="448"/>
  <c r="F9" i="448"/>
  <c r="E9" i="448"/>
  <c r="I9" i="448" s="1"/>
  <c r="D9" i="448"/>
  <c r="G8" i="448"/>
  <c r="F8" i="448"/>
  <c r="I8" i="448" s="1"/>
  <c r="E8" i="448"/>
  <c r="D8" i="448"/>
  <c r="C8" i="448"/>
  <c r="C9" i="448" s="1"/>
  <c r="E7" i="448"/>
  <c r="G6" i="448"/>
  <c r="I7" i="451" l="1"/>
  <c r="C10" i="451"/>
  <c r="I9" i="450"/>
  <c r="I7" i="450"/>
  <c r="C10" i="450"/>
  <c r="I10" i="449"/>
  <c r="I7" i="449" s="1"/>
  <c r="G9" i="449"/>
  <c r="C10" i="449"/>
  <c r="I11" i="448"/>
  <c r="I7" i="448" s="1"/>
  <c r="G9" i="448"/>
  <c r="C10" i="448"/>
  <c r="G10" i="451" l="1"/>
  <c r="C11" i="451"/>
  <c r="G10" i="450"/>
  <c r="C11" i="450"/>
  <c r="C11" i="449"/>
  <c r="G10" i="448"/>
  <c r="C11" i="448"/>
  <c r="C12" i="451" l="1"/>
  <c r="G11" i="451"/>
  <c r="G11" i="450"/>
  <c r="C12" i="450"/>
  <c r="C12" i="449"/>
  <c r="G11" i="449"/>
  <c r="C12" i="448"/>
  <c r="C13" i="451" l="1"/>
  <c r="G12" i="451"/>
  <c r="C13" i="450"/>
  <c r="G12" i="450"/>
  <c r="C13" i="449"/>
  <c r="G12" i="449"/>
  <c r="C13" i="448"/>
  <c r="G12" i="448"/>
  <c r="G13" i="451" l="1"/>
  <c r="C14" i="451"/>
  <c r="G13" i="450"/>
  <c r="C14" i="450"/>
  <c r="G13" i="449"/>
  <c r="C14" i="449"/>
  <c r="G13" i="448"/>
  <c r="C14" i="448"/>
  <c r="G14" i="451" l="1"/>
  <c r="C15" i="451"/>
  <c r="G14" i="450"/>
  <c r="C15" i="450"/>
  <c r="G14" i="449"/>
  <c r="C15" i="449"/>
  <c r="G14" i="448"/>
  <c r="C15" i="448"/>
  <c r="C16" i="451" l="1"/>
  <c r="G15" i="451"/>
  <c r="G15" i="450"/>
  <c r="C16" i="450"/>
  <c r="C16" i="449"/>
  <c r="G15" i="449"/>
  <c r="C16" i="448"/>
  <c r="G15" i="448"/>
  <c r="C17" i="451" l="1"/>
  <c r="G16" i="451"/>
  <c r="C17" i="450"/>
  <c r="G16" i="450"/>
  <c r="C17" i="449"/>
  <c r="G16" i="449"/>
  <c r="C17" i="448"/>
  <c r="G16" i="448"/>
  <c r="G17" i="451" l="1"/>
  <c r="C18" i="451"/>
  <c r="G17" i="450"/>
  <c r="C18" i="450"/>
  <c r="G17" i="449"/>
  <c r="C18" i="449"/>
  <c r="G17" i="448"/>
  <c r="C18" i="448"/>
  <c r="G18" i="451" l="1"/>
  <c r="C19" i="451"/>
  <c r="G18" i="450"/>
  <c r="C19" i="450"/>
  <c r="G18" i="449"/>
  <c r="C19" i="449"/>
  <c r="G18" i="448"/>
  <c r="C19" i="448"/>
  <c r="C20" i="451" l="1"/>
  <c r="G19" i="451"/>
  <c r="G19" i="450"/>
  <c r="C20" i="450"/>
  <c r="G19" i="449"/>
  <c r="C20" i="449"/>
  <c r="C20" i="448"/>
  <c r="G19" i="448"/>
  <c r="C21" i="451" l="1"/>
  <c r="G20" i="451"/>
  <c r="C21" i="450"/>
  <c r="G20" i="450"/>
  <c r="C21" i="449"/>
  <c r="G20" i="449"/>
  <c r="C21" i="448"/>
  <c r="G20" i="448"/>
  <c r="G21" i="451" l="1"/>
  <c r="C22" i="451"/>
  <c r="G21" i="450"/>
  <c r="C22" i="450"/>
  <c r="G21" i="449"/>
  <c r="C22" i="449"/>
  <c r="G21" i="448"/>
  <c r="C22" i="448"/>
  <c r="G22" i="451" l="1"/>
  <c r="C23" i="451"/>
  <c r="G22" i="450"/>
  <c r="C23" i="450"/>
  <c r="G22" i="449"/>
  <c r="C23" i="449"/>
  <c r="G22" i="448"/>
  <c r="C23" i="448"/>
  <c r="G23" i="451" l="1"/>
  <c r="C24" i="451"/>
  <c r="C24" i="450"/>
  <c r="G23" i="450"/>
  <c r="G23" i="449"/>
  <c r="C24" i="449"/>
  <c r="C24" i="448"/>
  <c r="G23" i="448"/>
  <c r="C25" i="451" l="1"/>
  <c r="G24" i="451"/>
  <c r="C25" i="450"/>
  <c r="G24" i="450"/>
  <c r="C25" i="449"/>
  <c r="G24" i="449"/>
  <c r="C25" i="448"/>
  <c r="G24" i="448"/>
  <c r="G25" i="451" l="1"/>
  <c r="C26" i="451"/>
  <c r="G25" i="450"/>
  <c r="C26" i="450"/>
  <c r="G25" i="449"/>
  <c r="C26" i="449"/>
  <c r="G25" i="448"/>
  <c r="C26" i="448"/>
  <c r="G26" i="451" l="1"/>
  <c r="C27" i="451"/>
  <c r="G26" i="450"/>
  <c r="C27" i="450"/>
  <c r="G26" i="449"/>
  <c r="C27" i="449"/>
  <c r="G26" i="448"/>
  <c r="C27" i="448"/>
  <c r="G27" i="451" l="1"/>
  <c r="C28" i="451"/>
  <c r="G27" i="450"/>
  <c r="C28" i="450"/>
  <c r="G27" i="449"/>
  <c r="C28" i="449"/>
  <c r="G27" i="448"/>
  <c r="C28" i="448"/>
  <c r="C29" i="451" l="1"/>
  <c r="G28" i="451"/>
  <c r="C29" i="450"/>
  <c r="G28" i="450"/>
  <c r="C29" i="449"/>
  <c r="G28" i="449"/>
  <c r="C29" i="448"/>
  <c r="G28" i="448"/>
  <c r="G29" i="451" l="1"/>
  <c r="C30" i="451"/>
  <c r="G29" i="450"/>
  <c r="C30" i="450"/>
  <c r="G29" i="449"/>
  <c r="C30" i="449"/>
  <c r="G29" i="448"/>
  <c r="C30" i="448"/>
  <c r="G30" i="451" l="1"/>
  <c r="C31" i="451"/>
  <c r="G30" i="450"/>
  <c r="C31" i="450"/>
  <c r="G30" i="449"/>
  <c r="C31" i="449"/>
  <c r="G30" i="448"/>
  <c r="C31" i="448"/>
  <c r="C32" i="451" l="1"/>
  <c r="G31" i="451"/>
  <c r="G31" i="450"/>
  <c r="C32" i="450"/>
  <c r="C32" i="449"/>
  <c r="G31" i="449"/>
  <c r="C32" i="448"/>
  <c r="G31" i="448"/>
  <c r="C33" i="451" l="1"/>
  <c r="G32" i="451"/>
  <c r="C33" i="450"/>
  <c r="G32" i="450"/>
  <c r="C33" i="449"/>
  <c r="G32" i="449"/>
  <c r="C33" i="448"/>
  <c r="G32" i="448"/>
  <c r="G33" i="451" l="1"/>
  <c r="C34" i="451"/>
  <c r="G33" i="450"/>
  <c r="C34" i="450"/>
  <c r="G33" i="449"/>
  <c r="C34" i="449"/>
  <c r="G33" i="448"/>
  <c r="C34" i="448"/>
  <c r="G34" i="451" l="1"/>
  <c r="C35" i="451"/>
  <c r="C35" i="450"/>
  <c r="G34" i="450"/>
  <c r="G34" i="449"/>
  <c r="C35" i="449"/>
  <c r="G34" i="448"/>
  <c r="C35" i="448"/>
  <c r="C36" i="451" l="1"/>
  <c r="G35" i="451"/>
  <c r="G35" i="450"/>
  <c r="C36" i="450"/>
  <c r="C36" i="449"/>
  <c r="G35" i="449"/>
  <c r="C36" i="448"/>
  <c r="G35" i="448"/>
  <c r="C37" i="451" l="1"/>
  <c r="G36" i="451"/>
  <c r="C37" i="450"/>
  <c r="G36" i="450"/>
  <c r="H36" i="450" s="1"/>
  <c r="H33" i="450"/>
  <c r="H35" i="450"/>
  <c r="H34" i="450"/>
  <c r="C37" i="449"/>
  <c r="G36" i="449"/>
  <c r="C37" i="448"/>
  <c r="G36" i="448"/>
  <c r="H35" i="448"/>
  <c r="G37" i="451" l="1"/>
  <c r="H37" i="451" s="1"/>
  <c r="G38" i="451"/>
  <c r="H38" i="451" s="1"/>
  <c r="H8" i="451"/>
  <c r="H10" i="451"/>
  <c r="H12" i="451"/>
  <c r="H11" i="451"/>
  <c r="H13" i="451"/>
  <c r="H16" i="451"/>
  <c r="H14" i="451"/>
  <c r="H15" i="451"/>
  <c r="H19" i="451"/>
  <c r="H18" i="451"/>
  <c r="H17" i="451"/>
  <c r="H20" i="451"/>
  <c r="H21" i="451"/>
  <c r="H22" i="451"/>
  <c r="H23" i="451"/>
  <c r="H25" i="451"/>
  <c r="H24" i="451"/>
  <c r="H26" i="451"/>
  <c r="H27" i="451"/>
  <c r="H29" i="451"/>
  <c r="H28" i="451"/>
  <c r="H30" i="451"/>
  <c r="H32" i="451"/>
  <c r="H31" i="451"/>
  <c r="H33" i="451"/>
  <c r="H34" i="451"/>
  <c r="H35" i="451"/>
  <c r="H36" i="451"/>
  <c r="G37" i="450"/>
  <c r="H37" i="450" s="1"/>
  <c r="G38" i="450"/>
  <c r="H38" i="450" s="1"/>
  <c r="H8" i="450"/>
  <c r="H11" i="450"/>
  <c r="H12" i="450"/>
  <c r="H13" i="450"/>
  <c r="H15" i="450"/>
  <c r="H14" i="450"/>
  <c r="H18" i="450"/>
  <c r="H16" i="450"/>
  <c r="H21" i="450"/>
  <c r="H20" i="450"/>
  <c r="H17" i="450"/>
  <c r="H19" i="450"/>
  <c r="H24" i="450"/>
  <c r="H22" i="450"/>
  <c r="H23" i="450"/>
  <c r="H27" i="450"/>
  <c r="H25" i="450"/>
  <c r="H26" i="450"/>
  <c r="H29" i="450"/>
  <c r="H28" i="450"/>
  <c r="H32" i="450"/>
  <c r="H30" i="450"/>
  <c r="H31" i="450"/>
  <c r="G37" i="449"/>
  <c r="H37" i="449" s="1"/>
  <c r="G38" i="449"/>
  <c r="H38" i="449" s="1"/>
  <c r="H9" i="449"/>
  <c r="H8" i="449"/>
  <c r="H12" i="449"/>
  <c r="H13" i="449"/>
  <c r="H11" i="449"/>
  <c r="H14" i="449"/>
  <c r="H16" i="449"/>
  <c r="H17" i="449"/>
  <c r="H15" i="449"/>
  <c r="H18" i="449"/>
  <c r="H21" i="449"/>
  <c r="H20" i="449"/>
  <c r="H19" i="449"/>
  <c r="H22" i="449"/>
  <c r="H23" i="449"/>
  <c r="H25" i="449"/>
  <c r="H24" i="449"/>
  <c r="H26" i="449"/>
  <c r="H27" i="449"/>
  <c r="H28" i="449"/>
  <c r="H29" i="449"/>
  <c r="H30" i="449"/>
  <c r="H31" i="449"/>
  <c r="H32" i="449"/>
  <c r="H36" i="449"/>
  <c r="H33" i="449"/>
  <c r="H34" i="449"/>
  <c r="H35" i="449"/>
  <c r="G37" i="448"/>
  <c r="H37" i="448" s="1"/>
  <c r="G38" i="448"/>
  <c r="H38" i="448" s="1"/>
  <c r="H10" i="448"/>
  <c r="H13" i="448"/>
  <c r="H8" i="448"/>
  <c r="H12" i="448" s="1"/>
  <c r="H9" i="448"/>
  <c r="H14" i="448"/>
  <c r="H17" i="448"/>
  <c r="H15" i="448"/>
  <c r="H16" i="448"/>
  <c r="H18" i="448"/>
  <c r="H20" i="448"/>
  <c r="H19" i="448"/>
  <c r="H21" i="448"/>
  <c r="H24" i="448"/>
  <c r="H22" i="448"/>
  <c r="H23" i="448"/>
  <c r="H27" i="448"/>
  <c r="H25" i="448"/>
  <c r="H26" i="448"/>
  <c r="H29" i="448"/>
  <c r="H28" i="448"/>
  <c r="H32" i="448"/>
  <c r="H30" i="448"/>
  <c r="H33" i="448"/>
  <c r="H31" i="448"/>
  <c r="H36" i="448"/>
  <c r="H34" i="448"/>
  <c r="H10" i="450" l="1"/>
  <c r="I37" i="447"/>
  <c r="F37" i="447"/>
  <c r="E37" i="447"/>
  <c r="D37" i="447"/>
  <c r="I36" i="447"/>
  <c r="F36" i="447"/>
  <c r="E36" i="447"/>
  <c r="D36" i="447"/>
  <c r="I35" i="447"/>
  <c r="F35" i="447"/>
  <c r="E35" i="447"/>
  <c r="D35" i="447"/>
  <c r="I34" i="447"/>
  <c r="F34" i="447"/>
  <c r="E34" i="447"/>
  <c r="D34" i="447"/>
  <c r="I33" i="447"/>
  <c r="F33" i="447"/>
  <c r="E33" i="447"/>
  <c r="D33" i="447"/>
  <c r="I32" i="447"/>
  <c r="F32" i="447"/>
  <c r="E32" i="447"/>
  <c r="D32" i="447"/>
  <c r="I31" i="447"/>
  <c r="F31" i="447"/>
  <c r="E31" i="447"/>
  <c r="D31" i="447"/>
  <c r="I30" i="447"/>
  <c r="F30" i="447"/>
  <c r="E30" i="447"/>
  <c r="D30" i="447"/>
  <c r="I29" i="447"/>
  <c r="F29" i="447"/>
  <c r="E29" i="447"/>
  <c r="D29" i="447"/>
  <c r="I28" i="447"/>
  <c r="F28" i="447"/>
  <c r="E28" i="447"/>
  <c r="D28" i="447"/>
  <c r="I27" i="447"/>
  <c r="F27" i="447"/>
  <c r="E27" i="447"/>
  <c r="D27" i="447"/>
  <c r="I26" i="447"/>
  <c r="F26" i="447"/>
  <c r="E26" i="447"/>
  <c r="D26" i="447"/>
  <c r="I25" i="447"/>
  <c r="F25" i="447"/>
  <c r="E25" i="447"/>
  <c r="D25" i="447"/>
  <c r="I24" i="447"/>
  <c r="F24" i="447"/>
  <c r="E24" i="447"/>
  <c r="D24" i="447"/>
  <c r="I23" i="447"/>
  <c r="F23" i="447"/>
  <c r="E23" i="447"/>
  <c r="D23" i="447"/>
  <c r="I22" i="447"/>
  <c r="F22" i="447"/>
  <c r="E22" i="447"/>
  <c r="D22" i="447"/>
  <c r="I21" i="447"/>
  <c r="F21" i="447"/>
  <c r="E21" i="447"/>
  <c r="D21" i="447"/>
  <c r="I20" i="447"/>
  <c r="F20" i="447"/>
  <c r="E20" i="447"/>
  <c r="D20" i="447"/>
  <c r="I19" i="447"/>
  <c r="F19" i="447"/>
  <c r="E19" i="447"/>
  <c r="D19" i="447"/>
  <c r="I18" i="447"/>
  <c r="F18" i="447"/>
  <c r="E18" i="447"/>
  <c r="D18" i="447"/>
  <c r="I17" i="447"/>
  <c r="F17" i="447"/>
  <c r="E17" i="447"/>
  <c r="D17" i="447"/>
  <c r="I16" i="447"/>
  <c r="F16" i="447"/>
  <c r="E16" i="447"/>
  <c r="D16" i="447"/>
  <c r="I15" i="447"/>
  <c r="F15" i="447"/>
  <c r="E15" i="447"/>
  <c r="D15" i="447"/>
  <c r="I14" i="447"/>
  <c r="F14" i="447"/>
  <c r="E14" i="447"/>
  <c r="D14" i="447"/>
  <c r="I13" i="447"/>
  <c r="F13" i="447"/>
  <c r="E13" i="447"/>
  <c r="D13" i="447"/>
  <c r="I12" i="447"/>
  <c r="F12" i="447"/>
  <c r="E12" i="447"/>
  <c r="D12" i="447"/>
  <c r="I11" i="447"/>
  <c r="F11" i="447"/>
  <c r="E11" i="447"/>
  <c r="D11" i="447"/>
  <c r="I10" i="447"/>
  <c r="F10" i="447"/>
  <c r="E10" i="447"/>
  <c r="D10" i="447"/>
  <c r="F9" i="447"/>
  <c r="E9" i="447"/>
  <c r="I9" i="447" s="1"/>
  <c r="D9" i="447"/>
  <c r="G8" i="447"/>
  <c r="F8" i="447"/>
  <c r="I8" i="447" s="1"/>
  <c r="I7" i="447" s="1"/>
  <c r="E8" i="447"/>
  <c r="D8" i="447"/>
  <c r="C8" i="447"/>
  <c r="C9" i="447" s="1"/>
  <c r="E7" i="447"/>
  <c r="G6" i="447"/>
  <c r="I37" i="446"/>
  <c r="F37" i="446"/>
  <c r="E37" i="446"/>
  <c r="D37" i="446"/>
  <c r="I36" i="446"/>
  <c r="F36" i="446"/>
  <c r="E36" i="446"/>
  <c r="D36" i="446"/>
  <c r="I35" i="446"/>
  <c r="F35" i="446"/>
  <c r="E35" i="446"/>
  <c r="D35" i="446"/>
  <c r="I34" i="446"/>
  <c r="F34" i="446"/>
  <c r="E34" i="446"/>
  <c r="D34" i="446"/>
  <c r="I33" i="446"/>
  <c r="F33" i="446"/>
  <c r="E33" i="446"/>
  <c r="D33" i="446"/>
  <c r="I32" i="446"/>
  <c r="F32" i="446"/>
  <c r="E32" i="446"/>
  <c r="D32" i="446"/>
  <c r="I31" i="446"/>
  <c r="F31" i="446"/>
  <c r="E31" i="446"/>
  <c r="D31" i="446"/>
  <c r="I30" i="446"/>
  <c r="F30" i="446"/>
  <c r="E30" i="446"/>
  <c r="D30" i="446"/>
  <c r="I29" i="446"/>
  <c r="F29" i="446"/>
  <c r="E29" i="446"/>
  <c r="D29" i="446"/>
  <c r="I28" i="446"/>
  <c r="F28" i="446"/>
  <c r="E28" i="446"/>
  <c r="D28" i="446"/>
  <c r="I27" i="446"/>
  <c r="F27" i="446"/>
  <c r="E27" i="446"/>
  <c r="D27" i="446"/>
  <c r="I26" i="446"/>
  <c r="F26" i="446"/>
  <c r="E26" i="446"/>
  <c r="D26" i="446"/>
  <c r="I25" i="446"/>
  <c r="F25" i="446"/>
  <c r="E25" i="446"/>
  <c r="D25" i="446"/>
  <c r="I24" i="446"/>
  <c r="F24" i="446"/>
  <c r="E24" i="446"/>
  <c r="D24" i="446"/>
  <c r="I23" i="446"/>
  <c r="F23" i="446"/>
  <c r="E23" i="446"/>
  <c r="D23" i="446"/>
  <c r="I22" i="446"/>
  <c r="F22" i="446"/>
  <c r="E22" i="446"/>
  <c r="D22" i="446"/>
  <c r="I21" i="446"/>
  <c r="F21" i="446"/>
  <c r="E21" i="446"/>
  <c r="D21" i="446"/>
  <c r="I20" i="446"/>
  <c r="F20" i="446"/>
  <c r="E20" i="446"/>
  <c r="D20" i="446"/>
  <c r="I19" i="446"/>
  <c r="F19" i="446"/>
  <c r="E19" i="446"/>
  <c r="D19" i="446"/>
  <c r="I18" i="446"/>
  <c r="F18" i="446"/>
  <c r="E18" i="446"/>
  <c r="D18" i="446"/>
  <c r="I17" i="446"/>
  <c r="F17" i="446"/>
  <c r="E17" i="446"/>
  <c r="D17" i="446"/>
  <c r="I16" i="446"/>
  <c r="F16" i="446"/>
  <c r="E16" i="446"/>
  <c r="D16" i="446"/>
  <c r="I15" i="446"/>
  <c r="F15" i="446"/>
  <c r="E15" i="446"/>
  <c r="D15" i="446"/>
  <c r="I14" i="446"/>
  <c r="F14" i="446"/>
  <c r="E14" i="446"/>
  <c r="D14" i="446"/>
  <c r="I13" i="446"/>
  <c r="F13" i="446"/>
  <c r="E13" i="446"/>
  <c r="D13" i="446"/>
  <c r="I12" i="446"/>
  <c r="F12" i="446"/>
  <c r="E12" i="446"/>
  <c r="D12" i="446"/>
  <c r="I11" i="446"/>
  <c r="F11" i="446"/>
  <c r="E11" i="446"/>
  <c r="D11" i="446"/>
  <c r="I10" i="446"/>
  <c r="F10" i="446"/>
  <c r="E10" i="446"/>
  <c r="D10" i="446"/>
  <c r="F9" i="446"/>
  <c r="E9" i="446"/>
  <c r="I9" i="446" s="1"/>
  <c r="D9" i="446"/>
  <c r="G8" i="446"/>
  <c r="F8" i="446"/>
  <c r="I8" i="446" s="1"/>
  <c r="I7" i="446" s="1"/>
  <c r="E8" i="446"/>
  <c r="D8" i="446"/>
  <c r="C8" i="446"/>
  <c r="C9" i="446" s="1"/>
  <c r="E7" i="446"/>
  <c r="G6" i="446"/>
  <c r="I37" i="445"/>
  <c r="F37" i="445"/>
  <c r="E37" i="445"/>
  <c r="D37" i="445"/>
  <c r="I36" i="445"/>
  <c r="F36" i="445"/>
  <c r="E36" i="445"/>
  <c r="D36" i="445"/>
  <c r="I35" i="445"/>
  <c r="F35" i="445"/>
  <c r="E35" i="445"/>
  <c r="D35" i="445"/>
  <c r="I34" i="445"/>
  <c r="F34" i="445"/>
  <c r="E34" i="445"/>
  <c r="D34" i="445"/>
  <c r="I33" i="445"/>
  <c r="F33" i="445"/>
  <c r="E33" i="445"/>
  <c r="D33" i="445"/>
  <c r="I32" i="445"/>
  <c r="F32" i="445"/>
  <c r="E32" i="445"/>
  <c r="D32" i="445"/>
  <c r="I31" i="445"/>
  <c r="F31" i="445"/>
  <c r="E31" i="445"/>
  <c r="D31" i="445"/>
  <c r="I30" i="445"/>
  <c r="F30" i="445"/>
  <c r="E30" i="445"/>
  <c r="D30" i="445"/>
  <c r="I29" i="445"/>
  <c r="F29" i="445"/>
  <c r="E29" i="445"/>
  <c r="D29" i="445"/>
  <c r="I28" i="445"/>
  <c r="F28" i="445"/>
  <c r="E28" i="445"/>
  <c r="D28" i="445"/>
  <c r="I27" i="445"/>
  <c r="F27" i="445"/>
  <c r="E27" i="445"/>
  <c r="D27" i="445"/>
  <c r="I26" i="445"/>
  <c r="F26" i="445"/>
  <c r="E26" i="445"/>
  <c r="D26" i="445"/>
  <c r="I25" i="445"/>
  <c r="F25" i="445"/>
  <c r="E25" i="445"/>
  <c r="D25" i="445"/>
  <c r="I24" i="445"/>
  <c r="F24" i="445"/>
  <c r="E24" i="445"/>
  <c r="D24" i="445"/>
  <c r="I23" i="445"/>
  <c r="F23" i="445"/>
  <c r="E23" i="445"/>
  <c r="D23" i="445"/>
  <c r="I22" i="445"/>
  <c r="F22" i="445"/>
  <c r="E22" i="445"/>
  <c r="D22" i="445"/>
  <c r="I21" i="445"/>
  <c r="F21" i="445"/>
  <c r="E21" i="445"/>
  <c r="D21" i="445"/>
  <c r="I20" i="445"/>
  <c r="F20" i="445"/>
  <c r="E20" i="445"/>
  <c r="D20" i="445"/>
  <c r="I19" i="445"/>
  <c r="F19" i="445"/>
  <c r="E19" i="445"/>
  <c r="D19" i="445"/>
  <c r="I18" i="445"/>
  <c r="F18" i="445"/>
  <c r="E18" i="445"/>
  <c r="D18" i="445"/>
  <c r="I17" i="445"/>
  <c r="F17" i="445"/>
  <c r="E17" i="445"/>
  <c r="D17" i="445"/>
  <c r="I16" i="445"/>
  <c r="F16" i="445"/>
  <c r="E16" i="445"/>
  <c r="D16" i="445"/>
  <c r="I15" i="445"/>
  <c r="F15" i="445"/>
  <c r="E15" i="445"/>
  <c r="D15" i="445"/>
  <c r="I14" i="445"/>
  <c r="F14" i="445"/>
  <c r="E14" i="445"/>
  <c r="D14" i="445"/>
  <c r="I13" i="445"/>
  <c r="F13" i="445"/>
  <c r="E13" i="445"/>
  <c r="D13" i="445"/>
  <c r="I12" i="445"/>
  <c r="F12" i="445"/>
  <c r="E12" i="445"/>
  <c r="D12" i="445"/>
  <c r="I11" i="445"/>
  <c r="F11" i="445"/>
  <c r="E11" i="445"/>
  <c r="D11" i="445"/>
  <c r="I10" i="445"/>
  <c r="F10" i="445"/>
  <c r="E10" i="445"/>
  <c r="D10" i="445"/>
  <c r="I9" i="445"/>
  <c r="F9" i="445"/>
  <c r="E9" i="445"/>
  <c r="D9" i="445"/>
  <c r="G8" i="445"/>
  <c r="F8" i="445"/>
  <c r="E8" i="445"/>
  <c r="I8" i="445" s="1"/>
  <c r="I7" i="445" s="1"/>
  <c r="D8" i="445"/>
  <c r="C8" i="445"/>
  <c r="C9" i="445" s="1"/>
  <c r="E7" i="445"/>
  <c r="G6" i="445"/>
  <c r="H11" i="444"/>
  <c r="I37" i="444"/>
  <c r="F37" i="444"/>
  <c r="E37" i="444"/>
  <c r="D37" i="444"/>
  <c r="I36" i="444"/>
  <c r="F36" i="444"/>
  <c r="E36" i="444"/>
  <c r="D36" i="444"/>
  <c r="I35" i="444"/>
  <c r="F35" i="444"/>
  <c r="E35" i="444"/>
  <c r="D35" i="444"/>
  <c r="I34" i="444"/>
  <c r="F34" i="444"/>
  <c r="E34" i="444"/>
  <c r="D34" i="444"/>
  <c r="I33" i="444"/>
  <c r="F33" i="444"/>
  <c r="E33" i="444"/>
  <c r="D33" i="444"/>
  <c r="I32" i="444"/>
  <c r="F32" i="444"/>
  <c r="E32" i="444"/>
  <c r="D32" i="444"/>
  <c r="I31" i="444"/>
  <c r="F31" i="444"/>
  <c r="E31" i="444"/>
  <c r="D31" i="444"/>
  <c r="I30" i="444"/>
  <c r="F30" i="444"/>
  <c r="E30" i="444"/>
  <c r="D30" i="444"/>
  <c r="I29" i="444"/>
  <c r="F29" i="444"/>
  <c r="E29" i="444"/>
  <c r="D29" i="444"/>
  <c r="I28" i="444"/>
  <c r="F28" i="444"/>
  <c r="E28" i="444"/>
  <c r="D28" i="444"/>
  <c r="I27" i="444"/>
  <c r="F27" i="444"/>
  <c r="E27" i="444"/>
  <c r="D27" i="444"/>
  <c r="I26" i="444"/>
  <c r="F26" i="444"/>
  <c r="E26" i="444"/>
  <c r="D26" i="444"/>
  <c r="I25" i="444"/>
  <c r="F25" i="444"/>
  <c r="E25" i="444"/>
  <c r="D25" i="444"/>
  <c r="I24" i="444"/>
  <c r="F24" i="444"/>
  <c r="E24" i="444"/>
  <c r="D24" i="444"/>
  <c r="I23" i="444"/>
  <c r="F23" i="444"/>
  <c r="E23" i="444"/>
  <c r="D23" i="444"/>
  <c r="I22" i="444"/>
  <c r="F22" i="444"/>
  <c r="E22" i="444"/>
  <c r="D22" i="444"/>
  <c r="I21" i="444"/>
  <c r="F21" i="444"/>
  <c r="E21" i="444"/>
  <c r="D21" i="444"/>
  <c r="I20" i="444"/>
  <c r="F20" i="444"/>
  <c r="E20" i="444"/>
  <c r="D20" i="444"/>
  <c r="I19" i="444"/>
  <c r="F19" i="444"/>
  <c r="E19" i="444"/>
  <c r="D19" i="444"/>
  <c r="I18" i="444"/>
  <c r="F18" i="444"/>
  <c r="E18" i="444"/>
  <c r="D18" i="444"/>
  <c r="I17" i="444"/>
  <c r="F17" i="444"/>
  <c r="E17" i="444"/>
  <c r="D17" i="444"/>
  <c r="I16" i="444"/>
  <c r="F16" i="444"/>
  <c r="E16" i="444"/>
  <c r="D16" i="444"/>
  <c r="I15" i="444"/>
  <c r="F15" i="444"/>
  <c r="E15" i="444"/>
  <c r="D15" i="444"/>
  <c r="I14" i="444"/>
  <c r="F14" i="444"/>
  <c r="E14" i="444"/>
  <c r="D14" i="444"/>
  <c r="I13" i="444"/>
  <c r="F13" i="444"/>
  <c r="E13" i="444"/>
  <c r="D13" i="444"/>
  <c r="I12" i="444"/>
  <c r="F12" i="444"/>
  <c r="E12" i="444"/>
  <c r="D12" i="444"/>
  <c r="I11" i="444"/>
  <c r="F10" i="444"/>
  <c r="E10" i="444"/>
  <c r="I10" i="444" s="1"/>
  <c r="D10" i="444"/>
  <c r="F9" i="444"/>
  <c r="I9" i="444" s="1"/>
  <c r="E9" i="444"/>
  <c r="D9" i="444"/>
  <c r="G8" i="444"/>
  <c r="F8" i="444"/>
  <c r="E8" i="444"/>
  <c r="I8" i="444" s="1"/>
  <c r="D8" i="444"/>
  <c r="C8" i="444"/>
  <c r="C9" i="444" s="1"/>
  <c r="E7" i="444"/>
  <c r="G6" i="444"/>
  <c r="H10" i="443"/>
  <c r="I37" i="443"/>
  <c r="F37" i="443"/>
  <c r="E37" i="443"/>
  <c r="D37" i="443"/>
  <c r="I36" i="443"/>
  <c r="F36" i="443"/>
  <c r="E36" i="443"/>
  <c r="D36" i="443"/>
  <c r="I35" i="443"/>
  <c r="F35" i="443"/>
  <c r="E35" i="443"/>
  <c r="D35" i="443"/>
  <c r="I34" i="443"/>
  <c r="F34" i="443"/>
  <c r="E34" i="443"/>
  <c r="D34" i="443"/>
  <c r="I33" i="443"/>
  <c r="F33" i="443"/>
  <c r="E33" i="443"/>
  <c r="D33" i="443"/>
  <c r="I32" i="443"/>
  <c r="F32" i="443"/>
  <c r="E32" i="443"/>
  <c r="D32" i="443"/>
  <c r="I31" i="443"/>
  <c r="F31" i="443"/>
  <c r="E31" i="443"/>
  <c r="D31" i="443"/>
  <c r="I30" i="443"/>
  <c r="F30" i="443"/>
  <c r="E30" i="443"/>
  <c r="D30" i="443"/>
  <c r="I29" i="443"/>
  <c r="F29" i="443"/>
  <c r="E29" i="443"/>
  <c r="D29" i="443"/>
  <c r="I28" i="443"/>
  <c r="F28" i="443"/>
  <c r="E28" i="443"/>
  <c r="D28" i="443"/>
  <c r="I27" i="443"/>
  <c r="F27" i="443"/>
  <c r="E27" i="443"/>
  <c r="D27" i="443"/>
  <c r="I26" i="443"/>
  <c r="F26" i="443"/>
  <c r="E26" i="443"/>
  <c r="D26" i="443"/>
  <c r="I25" i="443"/>
  <c r="F25" i="443"/>
  <c r="E25" i="443"/>
  <c r="D25" i="443"/>
  <c r="I24" i="443"/>
  <c r="F24" i="443"/>
  <c r="E24" i="443"/>
  <c r="D24" i="443"/>
  <c r="I23" i="443"/>
  <c r="F23" i="443"/>
  <c r="E23" i="443"/>
  <c r="D23" i="443"/>
  <c r="I22" i="443"/>
  <c r="F22" i="443"/>
  <c r="E22" i="443"/>
  <c r="D22" i="443"/>
  <c r="I21" i="443"/>
  <c r="F21" i="443"/>
  <c r="E21" i="443"/>
  <c r="D21" i="443"/>
  <c r="I20" i="443"/>
  <c r="F20" i="443"/>
  <c r="E20" i="443"/>
  <c r="D20" i="443"/>
  <c r="I19" i="443"/>
  <c r="F19" i="443"/>
  <c r="E19" i="443"/>
  <c r="D19" i="443"/>
  <c r="I18" i="443"/>
  <c r="F18" i="443"/>
  <c r="E18" i="443"/>
  <c r="D18" i="443"/>
  <c r="I17" i="443"/>
  <c r="F17" i="443"/>
  <c r="E17" i="443"/>
  <c r="D17" i="443"/>
  <c r="I16" i="443"/>
  <c r="F16" i="443"/>
  <c r="E16" i="443"/>
  <c r="D16" i="443"/>
  <c r="I15" i="443"/>
  <c r="F15" i="443"/>
  <c r="E15" i="443"/>
  <c r="D15" i="443"/>
  <c r="I14" i="443"/>
  <c r="F14" i="443"/>
  <c r="E14" i="443"/>
  <c r="D14" i="443"/>
  <c r="I13" i="443"/>
  <c r="F13" i="443"/>
  <c r="E13" i="443"/>
  <c r="D13" i="443"/>
  <c r="I12" i="443"/>
  <c r="F12" i="443"/>
  <c r="E12" i="443"/>
  <c r="D12" i="443"/>
  <c r="I11" i="443"/>
  <c r="F11" i="443"/>
  <c r="E11" i="443"/>
  <c r="D11" i="443"/>
  <c r="I10" i="443"/>
  <c r="F9" i="443"/>
  <c r="I9" i="443" s="1"/>
  <c r="E9" i="443"/>
  <c r="D9" i="443"/>
  <c r="G8" i="443"/>
  <c r="F8" i="443"/>
  <c r="E8" i="443"/>
  <c r="I8" i="443" s="1"/>
  <c r="D8" i="443"/>
  <c r="C8" i="443"/>
  <c r="C9" i="443" s="1"/>
  <c r="E7" i="443"/>
  <c r="G6" i="443"/>
  <c r="H13" i="442"/>
  <c r="I37" i="442"/>
  <c r="F37" i="442"/>
  <c r="E37" i="442"/>
  <c r="D37" i="442"/>
  <c r="I36" i="442"/>
  <c r="F36" i="442"/>
  <c r="E36" i="442"/>
  <c r="D36" i="442"/>
  <c r="I35" i="442"/>
  <c r="F35" i="442"/>
  <c r="E35" i="442"/>
  <c r="D35" i="442"/>
  <c r="I34" i="442"/>
  <c r="F34" i="442"/>
  <c r="E34" i="442"/>
  <c r="D34" i="442"/>
  <c r="I33" i="442"/>
  <c r="F33" i="442"/>
  <c r="E33" i="442"/>
  <c r="D33" i="442"/>
  <c r="I32" i="442"/>
  <c r="F32" i="442"/>
  <c r="E32" i="442"/>
  <c r="D32" i="442"/>
  <c r="I31" i="442"/>
  <c r="F31" i="442"/>
  <c r="E31" i="442"/>
  <c r="D31" i="442"/>
  <c r="I30" i="442"/>
  <c r="F30" i="442"/>
  <c r="E30" i="442"/>
  <c r="D30" i="442"/>
  <c r="I29" i="442"/>
  <c r="F29" i="442"/>
  <c r="E29" i="442"/>
  <c r="D29" i="442"/>
  <c r="I28" i="442"/>
  <c r="F28" i="442"/>
  <c r="E28" i="442"/>
  <c r="D28" i="442"/>
  <c r="I27" i="442"/>
  <c r="F27" i="442"/>
  <c r="E27" i="442"/>
  <c r="D27" i="442"/>
  <c r="I26" i="442"/>
  <c r="F26" i="442"/>
  <c r="E26" i="442"/>
  <c r="D26" i="442"/>
  <c r="I25" i="442"/>
  <c r="F25" i="442"/>
  <c r="E25" i="442"/>
  <c r="D25" i="442"/>
  <c r="I24" i="442"/>
  <c r="F24" i="442"/>
  <c r="E24" i="442"/>
  <c r="D24" i="442"/>
  <c r="I23" i="442"/>
  <c r="F23" i="442"/>
  <c r="E23" i="442"/>
  <c r="D23" i="442"/>
  <c r="I22" i="442"/>
  <c r="F22" i="442"/>
  <c r="E22" i="442"/>
  <c r="D22" i="442"/>
  <c r="I21" i="442"/>
  <c r="F21" i="442"/>
  <c r="E21" i="442"/>
  <c r="D21" i="442"/>
  <c r="I20" i="442"/>
  <c r="F20" i="442"/>
  <c r="E20" i="442"/>
  <c r="D20" i="442"/>
  <c r="I19" i="442"/>
  <c r="F19" i="442"/>
  <c r="E19" i="442"/>
  <c r="D19" i="442"/>
  <c r="I18" i="442"/>
  <c r="F18" i="442"/>
  <c r="E18" i="442"/>
  <c r="D18" i="442"/>
  <c r="I17" i="442"/>
  <c r="F17" i="442"/>
  <c r="E17" i="442"/>
  <c r="D17" i="442"/>
  <c r="I16" i="442"/>
  <c r="F16" i="442"/>
  <c r="E16" i="442"/>
  <c r="D16" i="442"/>
  <c r="I15" i="442"/>
  <c r="F15" i="442"/>
  <c r="E15" i="442"/>
  <c r="D15" i="442"/>
  <c r="I14" i="442"/>
  <c r="F14" i="442"/>
  <c r="E14" i="442"/>
  <c r="D14" i="442"/>
  <c r="F12" i="442"/>
  <c r="I12" i="442" s="1"/>
  <c r="E12" i="442"/>
  <c r="D12" i="442"/>
  <c r="F11" i="442"/>
  <c r="I11" i="442" s="1"/>
  <c r="E11" i="442"/>
  <c r="D11" i="442"/>
  <c r="F10" i="442"/>
  <c r="E10" i="442"/>
  <c r="I10" i="442" s="1"/>
  <c r="D10" i="442"/>
  <c r="F9" i="442"/>
  <c r="E9" i="442"/>
  <c r="I9" i="442" s="1"/>
  <c r="D9" i="442"/>
  <c r="G8" i="442"/>
  <c r="F8" i="442"/>
  <c r="I8" i="442" s="1"/>
  <c r="E8" i="442"/>
  <c r="D8" i="442"/>
  <c r="C8" i="442"/>
  <c r="C9" i="442" s="1"/>
  <c r="E7" i="442"/>
  <c r="G6" i="442"/>
  <c r="H11" i="441"/>
  <c r="I37" i="441"/>
  <c r="F37" i="441"/>
  <c r="E37" i="441"/>
  <c r="D37" i="441"/>
  <c r="I36" i="441"/>
  <c r="F36" i="441"/>
  <c r="E36" i="441"/>
  <c r="D36" i="441"/>
  <c r="I35" i="441"/>
  <c r="F35" i="441"/>
  <c r="E35" i="441"/>
  <c r="D35" i="441"/>
  <c r="I34" i="441"/>
  <c r="F34" i="441"/>
  <c r="E34" i="441"/>
  <c r="D34" i="441"/>
  <c r="I33" i="441"/>
  <c r="F33" i="441"/>
  <c r="E33" i="441"/>
  <c r="D33" i="441"/>
  <c r="I32" i="441"/>
  <c r="F32" i="441"/>
  <c r="E32" i="441"/>
  <c r="D32" i="441"/>
  <c r="I31" i="441"/>
  <c r="F31" i="441"/>
  <c r="E31" i="441"/>
  <c r="D31" i="441"/>
  <c r="I30" i="441"/>
  <c r="F30" i="441"/>
  <c r="E30" i="441"/>
  <c r="D30" i="441"/>
  <c r="I29" i="441"/>
  <c r="F29" i="441"/>
  <c r="E29" i="441"/>
  <c r="D29" i="441"/>
  <c r="I28" i="441"/>
  <c r="F28" i="441"/>
  <c r="E28" i="441"/>
  <c r="D28" i="441"/>
  <c r="I27" i="441"/>
  <c r="F27" i="441"/>
  <c r="E27" i="441"/>
  <c r="D27" i="441"/>
  <c r="I26" i="441"/>
  <c r="F26" i="441"/>
  <c r="E26" i="441"/>
  <c r="D26" i="441"/>
  <c r="I25" i="441"/>
  <c r="F25" i="441"/>
  <c r="E25" i="441"/>
  <c r="D25" i="441"/>
  <c r="I24" i="441"/>
  <c r="F24" i="441"/>
  <c r="E24" i="441"/>
  <c r="D24" i="441"/>
  <c r="I23" i="441"/>
  <c r="F23" i="441"/>
  <c r="E23" i="441"/>
  <c r="D23" i="441"/>
  <c r="I22" i="441"/>
  <c r="F22" i="441"/>
  <c r="E22" i="441"/>
  <c r="D22" i="441"/>
  <c r="I21" i="441"/>
  <c r="F21" i="441"/>
  <c r="E21" i="441"/>
  <c r="D21" i="441"/>
  <c r="I20" i="441"/>
  <c r="F20" i="441"/>
  <c r="E20" i="441"/>
  <c r="D20" i="441"/>
  <c r="I19" i="441"/>
  <c r="F19" i="441"/>
  <c r="E19" i="441"/>
  <c r="D19" i="441"/>
  <c r="I18" i="441"/>
  <c r="F18" i="441"/>
  <c r="E18" i="441"/>
  <c r="D18" i="441"/>
  <c r="I17" i="441"/>
  <c r="F17" i="441"/>
  <c r="E17" i="441"/>
  <c r="D17" i="441"/>
  <c r="I16" i="441"/>
  <c r="F16" i="441"/>
  <c r="E16" i="441"/>
  <c r="D16" i="441"/>
  <c r="I15" i="441"/>
  <c r="F15" i="441"/>
  <c r="E15" i="441"/>
  <c r="D15" i="441"/>
  <c r="I14" i="441"/>
  <c r="F14" i="441"/>
  <c r="E14" i="441"/>
  <c r="D14" i="441"/>
  <c r="I13" i="441"/>
  <c r="F13" i="441"/>
  <c r="E13" i="441"/>
  <c r="D13" i="441"/>
  <c r="I12" i="441"/>
  <c r="F12" i="441"/>
  <c r="E12" i="441"/>
  <c r="D12" i="441"/>
  <c r="I11" i="441"/>
  <c r="F10" i="441"/>
  <c r="E10" i="441"/>
  <c r="I10" i="441" s="1"/>
  <c r="D10" i="441"/>
  <c r="F9" i="441"/>
  <c r="E9" i="441"/>
  <c r="I9" i="441" s="1"/>
  <c r="D9" i="441"/>
  <c r="G8" i="441"/>
  <c r="F8" i="441"/>
  <c r="I8" i="441" s="1"/>
  <c r="E8" i="441"/>
  <c r="D8" i="441"/>
  <c r="C8" i="441"/>
  <c r="C9" i="441" s="1"/>
  <c r="E7" i="441"/>
  <c r="G6" i="441"/>
  <c r="H15" i="440"/>
  <c r="I37" i="440"/>
  <c r="F37" i="440"/>
  <c r="E37" i="440"/>
  <c r="D37" i="440"/>
  <c r="I36" i="440"/>
  <c r="F36" i="440"/>
  <c r="E36" i="440"/>
  <c r="D36" i="440"/>
  <c r="I35" i="440"/>
  <c r="F35" i="440"/>
  <c r="E35" i="440"/>
  <c r="D35" i="440"/>
  <c r="I34" i="440"/>
  <c r="F34" i="440"/>
  <c r="E34" i="440"/>
  <c r="D34" i="440"/>
  <c r="I33" i="440"/>
  <c r="F33" i="440"/>
  <c r="E33" i="440"/>
  <c r="D33" i="440"/>
  <c r="I32" i="440"/>
  <c r="F32" i="440"/>
  <c r="E32" i="440"/>
  <c r="D32" i="440"/>
  <c r="I31" i="440"/>
  <c r="F31" i="440"/>
  <c r="E31" i="440"/>
  <c r="D31" i="440"/>
  <c r="I30" i="440"/>
  <c r="F30" i="440"/>
  <c r="E30" i="440"/>
  <c r="D30" i="440"/>
  <c r="I29" i="440"/>
  <c r="F29" i="440"/>
  <c r="E29" i="440"/>
  <c r="D29" i="440"/>
  <c r="I28" i="440"/>
  <c r="F28" i="440"/>
  <c r="E28" i="440"/>
  <c r="D28" i="440"/>
  <c r="I27" i="440"/>
  <c r="F27" i="440"/>
  <c r="E27" i="440"/>
  <c r="D27" i="440"/>
  <c r="I26" i="440"/>
  <c r="F26" i="440"/>
  <c r="E26" i="440"/>
  <c r="D26" i="440"/>
  <c r="I25" i="440"/>
  <c r="F25" i="440"/>
  <c r="E25" i="440"/>
  <c r="D25" i="440"/>
  <c r="I24" i="440"/>
  <c r="F24" i="440"/>
  <c r="E24" i="440"/>
  <c r="D24" i="440"/>
  <c r="I23" i="440"/>
  <c r="F23" i="440"/>
  <c r="E23" i="440"/>
  <c r="D23" i="440"/>
  <c r="I22" i="440"/>
  <c r="F22" i="440"/>
  <c r="E22" i="440"/>
  <c r="D22" i="440"/>
  <c r="I21" i="440"/>
  <c r="F21" i="440"/>
  <c r="E21" i="440"/>
  <c r="D21" i="440"/>
  <c r="I20" i="440"/>
  <c r="F20" i="440"/>
  <c r="E20" i="440"/>
  <c r="D20" i="440"/>
  <c r="I19" i="440"/>
  <c r="F19" i="440"/>
  <c r="E19" i="440"/>
  <c r="D19" i="440"/>
  <c r="I18" i="440"/>
  <c r="F18" i="440"/>
  <c r="E18" i="440"/>
  <c r="D18" i="440"/>
  <c r="I17" i="440"/>
  <c r="F17" i="440"/>
  <c r="E17" i="440"/>
  <c r="D17" i="440"/>
  <c r="I16" i="440"/>
  <c r="F16" i="440"/>
  <c r="E16" i="440"/>
  <c r="D16" i="440"/>
  <c r="I15" i="440"/>
  <c r="F14" i="440"/>
  <c r="E14" i="440"/>
  <c r="I14" i="440" s="1"/>
  <c r="D14" i="440"/>
  <c r="F13" i="440"/>
  <c r="I13" i="440" s="1"/>
  <c r="E13" i="440"/>
  <c r="D13" i="440"/>
  <c r="F12" i="440"/>
  <c r="E12" i="440"/>
  <c r="I12" i="440" s="1"/>
  <c r="D12" i="440"/>
  <c r="F11" i="440"/>
  <c r="I11" i="440" s="1"/>
  <c r="E11" i="440"/>
  <c r="D11" i="440"/>
  <c r="F10" i="440"/>
  <c r="E10" i="440"/>
  <c r="I10" i="440" s="1"/>
  <c r="D10" i="440"/>
  <c r="F9" i="440"/>
  <c r="I9" i="440" s="1"/>
  <c r="E9" i="440"/>
  <c r="D9" i="440"/>
  <c r="G8" i="440"/>
  <c r="F8" i="440"/>
  <c r="E8" i="440"/>
  <c r="I8" i="440" s="1"/>
  <c r="D8" i="440"/>
  <c r="C8" i="440"/>
  <c r="C9" i="440" s="1"/>
  <c r="E7" i="440"/>
  <c r="G6" i="440"/>
  <c r="G9" i="447" l="1"/>
  <c r="C10" i="447"/>
  <c r="G9" i="446"/>
  <c r="C10" i="446"/>
  <c r="G9" i="445"/>
  <c r="C10" i="445"/>
  <c r="G9" i="444"/>
  <c r="C10" i="444"/>
  <c r="I7" i="444"/>
  <c r="I7" i="443"/>
  <c r="G9" i="443"/>
  <c r="C10" i="443"/>
  <c r="I13" i="442"/>
  <c r="I7" i="442" s="1"/>
  <c r="G9" i="442"/>
  <c r="C10" i="442"/>
  <c r="I7" i="441"/>
  <c r="G9" i="441"/>
  <c r="C10" i="441"/>
  <c r="G9" i="440"/>
  <c r="C10" i="440"/>
  <c r="I7" i="440"/>
  <c r="G10" i="447" l="1"/>
  <c r="C11" i="447"/>
  <c r="G10" i="446"/>
  <c r="C11" i="446"/>
  <c r="G10" i="445"/>
  <c r="C11" i="445"/>
  <c r="G10" i="444"/>
  <c r="C11" i="444"/>
  <c r="C11" i="443"/>
  <c r="G10" i="442"/>
  <c r="C11" i="442"/>
  <c r="G10" i="441"/>
  <c r="C11" i="441"/>
  <c r="G10" i="440"/>
  <c r="C11" i="440"/>
  <c r="C12" i="447" l="1"/>
  <c r="G11" i="447"/>
  <c r="G11" i="446"/>
  <c r="C12" i="446"/>
  <c r="C12" i="445"/>
  <c r="G11" i="445"/>
  <c r="C12" i="444"/>
  <c r="C12" i="443"/>
  <c r="G11" i="443"/>
  <c r="C12" i="442"/>
  <c r="G11" i="442"/>
  <c r="C12" i="441"/>
  <c r="G11" i="440"/>
  <c r="C12" i="440"/>
  <c r="C13" i="447" l="1"/>
  <c r="G12" i="447"/>
  <c r="C13" i="446"/>
  <c r="G12" i="446"/>
  <c r="C13" i="445"/>
  <c r="G12" i="445"/>
  <c r="C13" i="444"/>
  <c r="G12" i="444"/>
  <c r="C13" i="443"/>
  <c r="G12" i="443"/>
  <c r="C13" i="442"/>
  <c r="G12" i="442"/>
  <c r="C13" i="441"/>
  <c r="G12" i="441"/>
  <c r="C13" i="440"/>
  <c r="G12" i="440"/>
  <c r="G13" i="447" l="1"/>
  <c r="C14" i="447"/>
  <c r="G13" i="446"/>
  <c r="C14" i="446"/>
  <c r="G13" i="445"/>
  <c r="C14" i="445"/>
  <c r="G13" i="444"/>
  <c r="C14" i="444"/>
  <c r="G13" i="443"/>
  <c r="C14" i="443"/>
  <c r="C14" i="442"/>
  <c r="G13" i="441"/>
  <c r="C14" i="441"/>
  <c r="G13" i="440"/>
  <c r="C14" i="440"/>
  <c r="G14" i="447" l="1"/>
  <c r="C15" i="447"/>
  <c r="G14" i="446"/>
  <c r="C15" i="446"/>
  <c r="G14" i="445"/>
  <c r="C15" i="445"/>
  <c r="G14" i="444"/>
  <c r="C15" i="444"/>
  <c r="G14" i="443"/>
  <c r="C15" i="443"/>
  <c r="G14" i="442"/>
  <c r="C15" i="442"/>
  <c r="C15" i="441"/>
  <c r="G14" i="441"/>
  <c r="G14" i="440"/>
  <c r="C15" i="440"/>
  <c r="G15" i="447" l="1"/>
  <c r="C16" i="447"/>
  <c r="C16" i="446"/>
  <c r="G15" i="446"/>
  <c r="C16" i="445"/>
  <c r="G15" i="445"/>
  <c r="G15" i="444"/>
  <c r="C16" i="444"/>
  <c r="C16" i="443"/>
  <c r="G15" i="443"/>
  <c r="C16" i="442"/>
  <c r="G15" i="442"/>
  <c r="G15" i="441"/>
  <c r="C16" i="441"/>
  <c r="C16" i="440"/>
  <c r="C17" i="447" l="1"/>
  <c r="G16" i="447"/>
  <c r="C17" i="446"/>
  <c r="G16" i="446"/>
  <c r="C17" i="445"/>
  <c r="G16" i="445"/>
  <c r="C17" i="444"/>
  <c r="G16" i="444"/>
  <c r="C17" i="443"/>
  <c r="G16" i="443"/>
  <c r="C17" i="442"/>
  <c r="G16" i="442"/>
  <c r="C17" i="441"/>
  <c r="G16" i="441"/>
  <c r="C17" i="440"/>
  <c r="G16" i="440"/>
  <c r="G17" i="447" l="1"/>
  <c r="C18" i="447"/>
  <c r="G17" i="446"/>
  <c r="C18" i="446"/>
  <c r="G17" i="445"/>
  <c r="C18" i="445"/>
  <c r="G17" i="444"/>
  <c r="C18" i="444"/>
  <c r="G17" i="443"/>
  <c r="C18" i="443"/>
  <c r="G17" i="442"/>
  <c r="C18" i="442"/>
  <c r="G17" i="441"/>
  <c r="C18" i="441"/>
  <c r="G17" i="440"/>
  <c r="C18" i="440"/>
  <c r="G18" i="447" l="1"/>
  <c r="C19" i="447"/>
  <c r="G18" i="446"/>
  <c r="C19" i="446"/>
  <c r="G18" i="445"/>
  <c r="C19" i="445"/>
  <c r="G18" i="444"/>
  <c r="C19" i="444"/>
  <c r="G18" i="443"/>
  <c r="C19" i="443"/>
  <c r="G18" i="442"/>
  <c r="C19" i="442"/>
  <c r="G18" i="441"/>
  <c r="C19" i="441"/>
  <c r="G18" i="440"/>
  <c r="C19" i="440"/>
  <c r="C20" i="447" l="1"/>
  <c r="G19" i="447"/>
  <c r="G19" i="446"/>
  <c r="C20" i="446"/>
  <c r="C20" i="445"/>
  <c r="G19" i="445"/>
  <c r="C20" i="444"/>
  <c r="G19" i="444"/>
  <c r="G19" i="443"/>
  <c r="C20" i="443"/>
  <c r="G19" i="442"/>
  <c r="C20" i="442"/>
  <c r="C20" i="441"/>
  <c r="G19" i="441"/>
  <c r="C20" i="440"/>
  <c r="G19" i="440"/>
  <c r="C21" i="447" l="1"/>
  <c r="G20" i="447"/>
  <c r="C21" i="446"/>
  <c r="G20" i="446"/>
  <c r="C21" i="445"/>
  <c r="G20" i="445"/>
  <c r="C21" i="444"/>
  <c r="G20" i="444"/>
  <c r="C21" i="443"/>
  <c r="G20" i="443"/>
  <c r="C21" i="442"/>
  <c r="G20" i="442"/>
  <c r="C21" i="441"/>
  <c r="G20" i="441"/>
  <c r="C21" i="440"/>
  <c r="G20" i="440"/>
  <c r="G21" i="447" l="1"/>
  <c r="C22" i="447"/>
  <c r="G21" i="446"/>
  <c r="C22" i="446"/>
  <c r="G21" i="445"/>
  <c r="C22" i="445"/>
  <c r="G21" i="444"/>
  <c r="C22" i="444"/>
  <c r="G21" i="443"/>
  <c r="C22" i="443"/>
  <c r="G21" i="442"/>
  <c r="C22" i="442"/>
  <c r="G21" i="441"/>
  <c r="C22" i="441"/>
  <c r="G21" i="440"/>
  <c r="C22" i="440"/>
  <c r="G22" i="447" l="1"/>
  <c r="C23" i="447"/>
  <c r="G22" i="446"/>
  <c r="C23" i="446"/>
  <c r="G22" i="445"/>
  <c r="C23" i="445"/>
  <c r="G22" i="444"/>
  <c r="C23" i="444"/>
  <c r="G22" i="443"/>
  <c r="C23" i="443"/>
  <c r="G22" i="442"/>
  <c r="C23" i="442"/>
  <c r="C23" i="441"/>
  <c r="G22" i="441"/>
  <c r="G22" i="440"/>
  <c r="C23" i="440"/>
  <c r="C24" i="447" l="1"/>
  <c r="G23" i="447"/>
  <c r="G23" i="446"/>
  <c r="C24" i="446"/>
  <c r="C24" i="445"/>
  <c r="G23" i="445"/>
  <c r="C24" i="444"/>
  <c r="G23" i="444"/>
  <c r="C24" i="443"/>
  <c r="G23" i="443"/>
  <c r="C24" i="442"/>
  <c r="G23" i="442"/>
  <c r="G23" i="441"/>
  <c r="C24" i="441"/>
  <c r="C24" i="440"/>
  <c r="G23" i="440"/>
  <c r="C25" i="447" l="1"/>
  <c r="G24" i="447"/>
  <c r="C25" i="446"/>
  <c r="G24" i="446"/>
  <c r="C25" i="445"/>
  <c r="G24" i="445"/>
  <c r="C25" i="444"/>
  <c r="G24" i="444"/>
  <c r="C25" i="443"/>
  <c r="G24" i="443"/>
  <c r="C25" i="442"/>
  <c r="G24" i="442"/>
  <c r="C25" i="441"/>
  <c r="G24" i="441"/>
  <c r="C25" i="440"/>
  <c r="G24" i="440"/>
  <c r="G25" i="447" l="1"/>
  <c r="C26" i="447"/>
  <c r="G25" i="446"/>
  <c r="C26" i="446"/>
  <c r="G25" i="445"/>
  <c r="C26" i="445"/>
  <c r="G25" i="444"/>
  <c r="C26" i="444"/>
  <c r="G25" i="443"/>
  <c r="C26" i="443"/>
  <c r="G25" i="442"/>
  <c r="C26" i="442"/>
  <c r="G25" i="441"/>
  <c r="C26" i="441"/>
  <c r="G25" i="440"/>
  <c r="C26" i="440"/>
  <c r="G26" i="447" l="1"/>
  <c r="C27" i="447"/>
  <c r="G26" i="446"/>
  <c r="C27" i="446"/>
  <c r="G26" i="445"/>
  <c r="C27" i="445"/>
  <c r="G26" i="444"/>
  <c r="C27" i="444"/>
  <c r="G26" i="443"/>
  <c r="C27" i="443"/>
  <c r="G26" i="442"/>
  <c r="C27" i="442"/>
  <c r="C27" i="441"/>
  <c r="G26" i="441"/>
  <c r="G26" i="440"/>
  <c r="C27" i="440"/>
  <c r="C28" i="447" l="1"/>
  <c r="G27" i="447"/>
  <c r="G27" i="446"/>
  <c r="C28" i="446"/>
  <c r="G27" i="445"/>
  <c r="C28" i="445"/>
  <c r="C28" i="444"/>
  <c r="G27" i="444"/>
  <c r="C28" i="443"/>
  <c r="G27" i="443"/>
  <c r="C28" i="442"/>
  <c r="G27" i="442"/>
  <c r="G27" i="441"/>
  <c r="C28" i="441"/>
  <c r="G27" i="440"/>
  <c r="C28" i="440"/>
  <c r="C29" i="447" l="1"/>
  <c r="G28" i="447"/>
  <c r="C29" i="446"/>
  <c r="G28" i="446"/>
  <c r="C29" i="445"/>
  <c r="G28" i="445"/>
  <c r="C29" i="444"/>
  <c r="G28" i="444"/>
  <c r="C29" i="443"/>
  <c r="G28" i="443"/>
  <c r="C29" i="442"/>
  <c r="G28" i="442"/>
  <c r="C29" i="441"/>
  <c r="G28" i="441"/>
  <c r="C29" i="440"/>
  <c r="G28" i="440"/>
  <c r="G29" i="447" l="1"/>
  <c r="C30" i="447"/>
  <c r="G29" i="446"/>
  <c r="C30" i="446"/>
  <c r="G29" i="445"/>
  <c r="C30" i="445"/>
  <c r="G29" i="444"/>
  <c r="C30" i="444"/>
  <c r="G29" i="443"/>
  <c r="C30" i="443"/>
  <c r="G29" i="442"/>
  <c r="C30" i="442"/>
  <c r="G29" i="441"/>
  <c r="C30" i="441"/>
  <c r="G29" i="440"/>
  <c r="C30" i="440"/>
  <c r="G30" i="447" l="1"/>
  <c r="C31" i="447"/>
  <c r="G30" i="446"/>
  <c r="C31" i="446"/>
  <c r="G30" i="445"/>
  <c r="C31" i="445"/>
  <c r="G30" i="444"/>
  <c r="C31" i="444"/>
  <c r="G30" i="443"/>
  <c r="C31" i="443"/>
  <c r="G30" i="442"/>
  <c r="C31" i="442"/>
  <c r="C31" i="441"/>
  <c r="G30" i="441"/>
  <c r="G30" i="440"/>
  <c r="C31" i="440"/>
  <c r="C32" i="447" l="1"/>
  <c r="G31" i="447"/>
  <c r="C32" i="446"/>
  <c r="G31" i="446"/>
  <c r="G31" i="445"/>
  <c r="C32" i="445"/>
  <c r="C32" i="444"/>
  <c r="G31" i="444"/>
  <c r="G31" i="443"/>
  <c r="C32" i="443"/>
  <c r="C32" i="442"/>
  <c r="G31" i="442"/>
  <c r="G31" i="441"/>
  <c r="C32" i="441"/>
  <c r="C32" i="440"/>
  <c r="G31" i="440"/>
  <c r="C33" i="447" l="1"/>
  <c r="G32" i="447"/>
  <c r="C33" i="446"/>
  <c r="G32" i="446"/>
  <c r="C33" i="445"/>
  <c r="G32" i="445"/>
  <c r="C33" i="444"/>
  <c r="G32" i="444"/>
  <c r="C33" i="443"/>
  <c r="G32" i="443"/>
  <c r="C33" i="442"/>
  <c r="G32" i="442"/>
  <c r="C33" i="441"/>
  <c r="G32" i="441"/>
  <c r="C33" i="440"/>
  <c r="G32" i="440"/>
  <c r="G33" i="447" l="1"/>
  <c r="C34" i="447"/>
  <c r="G33" i="446"/>
  <c r="C34" i="446"/>
  <c r="G33" i="445"/>
  <c r="C34" i="445"/>
  <c r="G33" i="444"/>
  <c r="C34" i="444"/>
  <c r="G33" i="443"/>
  <c r="C34" i="443"/>
  <c r="G33" i="442"/>
  <c r="C34" i="442"/>
  <c r="G33" i="441"/>
  <c r="C34" i="441"/>
  <c r="G33" i="440"/>
  <c r="C34" i="440"/>
  <c r="G34" i="447" l="1"/>
  <c r="C35" i="447"/>
  <c r="G34" i="446"/>
  <c r="C35" i="446"/>
  <c r="G34" i="445"/>
  <c r="C35" i="445"/>
  <c r="G34" i="444"/>
  <c r="C35" i="444"/>
  <c r="G34" i="443"/>
  <c r="C35" i="443"/>
  <c r="G34" i="442"/>
  <c r="C35" i="442"/>
  <c r="C35" i="441"/>
  <c r="G34" i="441"/>
  <c r="G34" i="440"/>
  <c r="C35" i="440"/>
  <c r="C36" i="447" l="1"/>
  <c r="G35" i="447"/>
  <c r="G35" i="446"/>
  <c r="C36" i="446"/>
  <c r="G35" i="445"/>
  <c r="C36" i="445"/>
  <c r="C36" i="444"/>
  <c r="G35" i="444"/>
  <c r="C36" i="443"/>
  <c r="G35" i="443"/>
  <c r="G35" i="442"/>
  <c r="C36" i="442"/>
  <c r="G35" i="441"/>
  <c r="C36" i="441"/>
  <c r="C36" i="440"/>
  <c r="G35" i="440"/>
  <c r="C37" i="447" l="1"/>
  <c r="G36" i="447"/>
  <c r="C37" i="446"/>
  <c r="G36" i="446"/>
  <c r="H35" i="446"/>
  <c r="C37" i="445"/>
  <c r="G36" i="445"/>
  <c r="C37" i="444"/>
  <c r="G36" i="444"/>
  <c r="H33" i="444"/>
  <c r="H34" i="444"/>
  <c r="C37" i="443"/>
  <c r="G36" i="443"/>
  <c r="H33" i="443"/>
  <c r="H34" i="443"/>
  <c r="H32" i="443"/>
  <c r="H35" i="443"/>
  <c r="H36" i="443"/>
  <c r="C37" i="442"/>
  <c r="G36" i="442"/>
  <c r="C37" i="441"/>
  <c r="G36" i="441"/>
  <c r="H36" i="441" s="1"/>
  <c r="H32" i="441"/>
  <c r="H34" i="441"/>
  <c r="H31" i="441"/>
  <c r="H33" i="441"/>
  <c r="H35" i="441"/>
  <c r="C37" i="440"/>
  <c r="G36" i="440"/>
  <c r="H34" i="440"/>
  <c r="H33" i="447" l="1"/>
  <c r="H35" i="447"/>
  <c r="G37" i="447"/>
  <c r="H37" i="447" s="1"/>
  <c r="G38" i="447"/>
  <c r="H38" i="447" s="1"/>
  <c r="H8" i="447"/>
  <c r="H12" i="447"/>
  <c r="H9" i="447"/>
  <c r="H11" i="447"/>
  <c r="H10" i="447"/>
  <c r="H13" i="447"/>
  <c r="H14" i="447"/>
  <c r="H15" i="447"/>
  <c r="H17" i="447"/>
  <c r="H18" i="447"/>
  <c r="H16" i="447"/>
  <c r="H20" i="447"/>
  <c r="H19" i="447"/>
  <c r="H21" i="447"/>
  <c r="H24" i="447"/>
  <c r="H22" i="447"/>
  <c r="H23" i="447"/>
  <c r="H25" i="447"/>
  <c r="H28" i="447"/>
  <c r="H26" i="447"/>
  <c r="H27" i="447"/>
  <c r="H29" i="447"/>
  <c r="H32" i="447"/>
  <c r="H30" i="447"/>
  <c r="H31" i="447"/>
  <c r="H34" i="447"/>
  <c r="H36" i="447"/>
  <c r="G37" i="446"/>
  <c r="H37" i="446" s="1"/>
  <c r="G38" i="446"/>
  <c r="H38" i="446" s="1"/>
  <c r="H8" i="446"/>
  <c r="H11" i="446" s="1"/>
  <c r="H9" i="446"/>
  <c r="H10" i="446"/>
  <c r="H12" i="446"/>
  <c r="H13" i="446"/>
  <c r="H14" i="446"/>
  <c r="H15" i="446"/>
  <c r="H16" i="446"/>
  <c r="H19" i="446"/>
  <c r="H17" i="446"/>
  <c r="H20" i="446"/>
  <c r="H18" i="446"/>
  <c r="H22" i="446"/>
  <c r="H21" i="446"/>
  <c r="H24" i="446"/>
  <c r="H23" i="446"/>
  <c r="H26" i="446"/>
  <c r="H25" i="446"/>
  <c r="H27" i="446"/>
  <c r="H30" i="446"/>
  <c r="H28" i="446"/>
  <c r="H29" i="446"/>
  <c r="H33" i="446"/>
  <c r="H31" i="446"/>
  <c r="H34" i="446"/>
  <c r="H32" i="446"/>
  <c r="H36" i="446"/>
  <c r="G37" i="445"/>
  <c r="H37" i="445" s="1"/>
  <c r="G38" i="445"/>
  <c r="H38" i="445" s="1"/>
  <c r="H8" i="445"/>
  <c r="H9" i="445"/>
  <c r="H12" i="445"/>
  <c r="H10" i="445"/>
  <c r="H11" i="445"/>
  <c r="H13" i="445"/>
  <c r="H16" i="445"/>
  <c r="H14" i="445"/>
  <c r="H17" i="445"/>
  <c r="H18" i="445"/>
  <c r="H15" i="445"/>
  <c r="H20" i="445"/>
  <c r="H19" i="445"/>
  <c r="H21" i="445"/>
  <c r="H22" i="445"/>
  <c r="H23" i="445"/>
  <c r="H24" i="445"/>
  <c r="H27" i="445"/>
  <c r="H25" i="445"/>
  <c r="H26" i="445"/>
  <c r="H28" i="445"/>
  <c r="H29" i="445"/>
  <c r="H30" i="445"/>
  <c r="H31" i="445"/>
  <c r="H32" i="445"/>
  <c r="H36" i="445"/>
  <c r="H35" i="445"/>
  <c r="H34" i="445"/>
  <c r="H33" i="445"/>
  <c r="H32" i="444"/>
  <c r="H36" i="444"/>
  <c r="G37" i="444"/>
  <c r="H37" i="444" s="1"/>
  <c r="G38" i="444"/>
  <c r="H38" i="444" s="1"/>
  <c r="H9" i="444"/>
  <c r="H8" i="444"/>
  <c r="H10" i="444"/>
  <c r="H14" i="444"/>
  <c r="H13" i="444"/>
  <c r="H15" i="444"/>
  <c r="H17" i="444"/>
  <c r="H18" i="444"/>
  <c r="H16" i="444"/>
  <c r="H21" i="444"/>
  <c r="H19" i="444"/>
  <c r="H20" i="444"/>
  <c r="H22" i="444"/>
  <c r="H24" i="444"/>
  <c r="H23" i="444"/>
  <c r="H25" i="444"/>
  <c r="H26" i="444"/>
  <c r="H27" i="444"/>
  <c r="H28" i="444"/>
  <c r="H30" i="444"/>
  <c r="H31" i="444"/>
  <c r="H29" i="444"/>
  <c r="H35" i="444"/>
  <c r="G37" i="443"/>
  <c r="H37" i="443" s="1"/>
  <c r="G38" i="443"/>
  <c r="H38" i="443" s="1"/>
  <c r="H9" i="443"/>
  <c r="H11" i="443" s="1"/>
  <c r="H12" i="443"/>
  <c r="H8" i="443"/>
  <c r="H14" i="443"/>
  <c r="H16" i="443"/>
  <c r="H15" i="443"/>
  <c r="H13" i="443"/>
  <c r="H17" i="443"/>
  <c r="H18" i="443"/>
  <c r="H19" i="443"/>
  <c r="H21" i="443"/>
  <c r="H22" i="443"/>
  <c r="H20" i="443"/>
  <c r="H23" i="443"/>
  <c r="H25" i="443"/>
  <c r="H24" i="443"/>
  <c r="H26" i="443"/>
  <c r="H28" i="443"/>
  <c r="H27" i="443"/>
  <c r="H30" i="443"/>
  <c r="H29" i="443"/>
  <c r="H31" i="443"/>
  <c r="H34" i="442"/>
  <c r="H36" i="442"/>
  <c r="G37" i="442"/>
  <c r="H37" i="442" s="1"/>
  <c r="G38" i="442"/>
  <c r="H38" i="442" s="1"/>
  <c r="H9" i="442"/>
  <c r="H12" i="442"/>
  <c r="H8" i="442"/>
  <c r="H10" i="442"/>
  <c r="H11" i="442"/>
  <c r="H15" i="442"/>
  <c r="H17" i="442"/>
  <c r="H18" i="442"/>
  <c r="H16" i="442"/>
  <c r="H19" i="442"/>
  <c r="H21" i="442"/>
  <c r="H20" i="442"/>
  <c r="H22" i="442"/>
  <c r="H25" i="442"/>
  <c r="H24" i="442"/>
  <c r="H23" i="442"/>
  <c r="H26" i="442"/>
  <c r="H27" i="442"/>
  <c r="H28" i="442"/>
  <c r="H29" i="442"/>
  <c r="H30" i="442"/>
  <c r="H31" i="442"/>
  <c r="H32" i="442"/>
  <c r="H35" i="442"/>
  <c r="H33" i="442"/>
  <c r="G37" i="441"/>
  <c r="H37" i="441" s="1"/>
  <c r="G38" i="441"/>
  <c r="H38" i="441" s="1"/>
  <c r="H10" i="441"/>
  <c r="H13" i="441"/>
  <c r="H8" i="441"/>
  <c r="H9" i="441"/>
  <c r="H14" i="441"/>
  <c r="H15" i="441"/>
  <c r="H16" i="441"/>
  <c r="H18" i="441"/>
  <c r="H17" i="441"/>
  <c r="H19" i="441"/>
  <c r="H23" i="441"/>
  <c r="H20" i="441"/>
  <c r="H25" i="441"/>
  <c r="H21" i="441"/>
  <c r="H22" i="441"/>
  <c r="H26" i="441"/>
  <c r="H27" i="441"/>
  <c r="H24" i="441"/>
  <c r="H29" i="441"/>
  <c r="H28" i="441"/>
  <c r="H30" i="441"/>
  <c r="G37" i="440"/>
  <c r="G38" i="440"/>
  <c r="H38" i="440" s="1"/>
  <c r="H13" i="440"/>
  <c r="H8" i="440"/>
  <c r="H11" i="440"/>
  <c r="H10" i="440"/>
  <c r="H16" i="440" s="1"/>
  <c r="H9" i="440"/>
  <c r="H14" i="440"/>
  <c r="H12" i="440"/>
  <c r="H17" i="440"/>
  <c r="H19" i="440"/>
  <c r="H20" i="440"/>
  <c r="H18" i="440"/>
  <c r="H24" i="440"/>
  <c r="H22" i="440"/>
  <c r="H21" i="440"/>
  <c r="H25" i="440"/>
  <c r="H23" i="440"/>
  <c r="H26" i="440"/>
  <c r="H27" i="440"/>
  <c r="H28" i="440"/>
  <c r="H29" i="440"/>
  <c r="H32" i="440"/>
  <c r="H31" i="440"/>
  <c r="H35" i="440"/>
  <c r="H30" i="440"/>
  <c r="H33" i="440"/>
  <c r="H37" i="440"/>
  <c r="H36" i="440"/>
  <c r="H12" i="444" l="1"/>
  <c r="H14" i="442"/>
  <c r="H12" i="441"/>
  <c r="M12" i="137"/>
  <c r="AX12" i="137"/>
  <c r="H12" i="137"/>
  <c r="I16" i="95" l="1"/>
  <c r="AX3" i="137" l="1"/>
  <c r="AW5" i="150" l="1"/>
  <c r="H5" i="95"/>
  <c r="A2" i="4" l="1"/>
  <c r="F23" i="4"/>
  <c r="F5" i="4"/>
  <c r="D10" i="150" l="1"/>
  <c r="U13" i="120"/>
  <c r="G20" i="4"/>
  <c r="B2" i="137" l="1"/>
  <c r="F15" i="137"/>
  <c r="F8" i="137"/>
  <c r="F9" i="4" l="1"/>
  <c r="F21" i="1"/>
  <c r="F8" i="1"/>
  <c r="G9" i="4" l="1"/>
  <c r="G18" i="4"/>
  <c r="G5" i="4"/>
  <c r="F7" i="150" l="1"/>
  <c r="F6" i="150"/>
  <c r="A16" i="150" l="1"/>
  <c r="A26" i="4"/>
  <c r="A28" i="4" l="1"/>
  <c r="H5" i="4"/>
  <c r="M5" i="4"/>
  <c r="F19" i="4" l="1"/>
  <c r="AW4" i="4"/>
  <c r="I12" i="95" l="1"/>
  <c r="D14" i="439" l="1"/>
  <c r="E14" i="439"/>
  <c r="F14" i="439"/>
  <c r="AW4" i="150" l="1"/>
  <c r="D11" i="439" l="1"/>
  <c r="E11" i="439"/>
  <c r="F11" i="439"/>
  <c r="D12" i="439" l="1"/>
  <c r="E12" i="439"/>
  <c r="F12" i="439"/>
  <c r="E7" i="439" l="1"/>
  <c r="D8" i="439"/>
  <c r="E8" i="439"/>
  <c r="D9" i="439"/>
  <c r="E9" i="439"/>
  <c r="D10" i="439"/>
  <c r="E10" i="439"/>
  <c r="D13" i="439"/>
  <c r="E13"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F28" i="1" l="1"/>
  <c r="A32" i="1" l="1"/>
  <c r="M11" i="120" l="1"/>
  <c r="F11" i="150" l="1"/>
  <c r="G10" i="150" l="1"/>
  <c r="H10" i="150" s="1"/>
  <c r="M10" i="150"/>
  <c r="AX10" i="150"/>
  <c r="F30" i="1"/>
  <c r="F9" i="439" l="1"/>
  <c r="P9" i="150" l="1"/>
  <c r="P27" i="1"/>
  <c r="P9" i="1"/>
  <c r="P19" i="8"/>
  <c r="P20" i="8"/>
  <c r="F14" i="137"/>
  <c r="N11" i="120" l="1"/>
  <c r="F10" i="439" l="1"/>
  <c r="F13" i="439"/>
  <c r="F15" i="439"/>
  <c r="F16" i="439"/>
  <c r="F17" i="439"/>
  <c r="F11" i="137" l="1"/>
  <c r="E4" i="150" l="1"/>
  <c r="F4" i="150"/>
  <c r="G8" i="439"/>
  <c r="F8" i="439"/>
  <c r="C8" i="439"/>
  <c r="C9" i="439" s="1"/>
  <c r="G9" i="439" l="1"/>
  <c r="C10" i="439"/>
  <c r="J10" i="120"/>
  <c r="C11" i="439" l="1"/>
  <c r="G10" i="439"/>
  <c r="F6" i="4"/>
  <c r="F13" i="137"/>
  <c r="G11" i="439" l="1"/>
  <c r="C12" i="439"/>
  <c r="G12" i="439" s="1"/>
  <c r="N10" i="120"/>
  <c r="F7" i="137"/>
  <c r="C13" i="439" l="1"/>
  <c r="D9" i="150"/>
  <c r="A31" i="1"/>
  <c r="A33" i="1"/>
  <c r="A34" i="1"/>
  <c r="A35" i="1"/>
  <c r="G13" i="439" l="1"/>
  <c r="C14" i="439"/>
  <c r="AW4" i="137"/>
  <c r="AW4" i="1"/>
  <c r="D10" i="50"/>
  <c r="AX8" i="137"/>
  <c r="AX9" i="137"/>
  <c r="AX10" i="137"/>
  <c r="AX11" i="137"/>
  <c r="AX13" i="137"/>
  <c r="AX14" i="137"/>
  <c r="M7" i="137"/>
  <c r="M8" i="137"/>
  <c r="M9" i="137"/>
  <c r="M10" i="137"/>
  <c r="M13" i="137"/>
  <c r="M14" i="137"/>
  <c r="H8" i="137"/>
  <c r="F5" i="137"/>
  <c r="D6" i="50"/>
  <c r="D7" i="50"/>
  <c r="D8" i="50"/>
  <c r="D9" i="50"/>
  <c r="D5" i="50"/>
  <c r="AX6" i="137"/>
  <c r="AX7" i="137"/>
  <c r="M6" i="137"/>
  <c r="H6" i="137"/>
  <c r="H7" i="137"/>
  <c r="H9" i="137"/>
  <c r="H10" i="137"/>
  <c r="H13" i="137"/>
  <c r="H14" i="137"/>
  <c r="G14" i="439" l="1"/>
  <c r="C15" i="439"/>
  <c r="G15" i="439" l="1"/>
  <c r="C16" i="439"/>
  <c r="M11" i="137"/>
  <c r="H11" i="137"/>
  <c r="M10" i="120"/>
  <c r="F11" i="4"/>
  <c r="F7" i="4"/>
  <c r="C17" i="439" l="1"/>
  <c r="G16" i="439"/>
  <c r="G17" i="439" l="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AP8" i="50"/>
  <c r="AN10" i="50"/>
  <c r="AK9" i="50"/>
  <c r="AG10" i="50"/>
  <c r="AL6" i="50"/>
  <c r="AL11" i="50"/>
  <c r="AX9" i="50"/>
  <c r="R10" i="50"/>
  <c r="AZ8" i="50"/>
  <c r="T9" i="50"/>
  <c r="AW7" i="50"/>
  <c r="BB9" i="50"/>
  <c r="AT11" i="50"/>
  <c r="V6" i="50"/>
  <c r="BA11" i="50"/>
  <c r="N7" i="50"/>
  <c r="AD9" i="50"/>
  <c r="AC6" i="50"/>
  <c r="Z11" i="50"/>
  <c r="S6" i="50"/>
  <c r="AO9" i="50"/>
  <c r="AD10" i="50"/>
  <c r="AW11" i="50"/>
  <c r="AB6" i="50"/>
  <c r="AY9" i="50"/>
  <c r="AO7" i="50"/>
  <c r="AA6" i="50"/>
  <c r="S10" i="50"/>
  <c r="AD8" i="50"/>
  <c r="R9" i="50"/>
  <c r="AQ6" i="50"/>
  <c r="X8" i="50"/>
  <c r="AX10" i="50"/>
  <c r="L9" i="50"/>
  <c r="AO10" i="50"/>
  <c r="AV9" i="50"/>
  <c r="AE11" i="50"/>
  <c r="AZ11" i="50"/>
  <c r="W11" i="50"/>
  <c r="X7" i="50"/>
  <c r="R7" i="50"/>
  <c r="X6" i="50"/>
  <c r="AM9" i="50"/>
  <c r="W8" i="50"/>
  <c r="AF8" i="50"/>
  <c r="AQ8" i="50"/>
  <c r="AV11" i="50"/>
  <c r="Q10" i="50"/>
  <c r="Q6" i="50"/>
  <c r="AK7" i="50"/>
  <c r="O10" i="50"/>
  <c r="Y7" i="50"/>
  <c r="AY10" i="50"/>
  <c r="X10" i="50"/>
  <c r="AB11" i="50"/>
  <c r="Z6" i="50"/>
  <c r="AN8" i="50"/>
  <c r="BC9" i="50"/>
  <c r="AS7" i="50"/>
  <c r="AJ10" i="50"/>
  <c r="AC11" i="50"/>
  <c r="AD6" i="50"/>
  <c r="AT6" i="50"/>
  <c r="AB10" i="50"/>
  <c r="AE8" i="50"/>
  <c r="AH11" i="50"/>
  <c r="AV7" i="50"/>
  <c r="Q8" i="50"/>
  <c r="AQ9" i="50"/>
  <c r="R8" i="50"/>
  <c r="AG11" i="50"/>
  <c r="R6" i="50"/>
  <c r="AU6" i="50"/>
  <c r="AW6" i="50"/>
  <c r="AE6" i="50"/>
  <c r="AH8" i="50"/>
  <c r="AP11" i="50"/>
  <c r="W7" i="50"/>
  <c r="AP9" i="50"/>
  <c r="AN7" i="50"/>
  <c r="AZ6" i="50"/>
  <c r="AY7" i="50"/>
  <c r="S9" i="50"/>
  <c r="N6" i="50"/>
  <c r="T6" i="50"/>
  <c r="AX7" i="50"/>
  <c r="L10" i="50"/>
  <c r="U10" i="50"/>
  <c r="N10" i="50"/>
  <c r="AD7" i="50"/>
  <c r="U9" i="50"/>
  <c r="U11" i="50"/>
  <c r="Y11" i="50"/>
  <c r="T10" i="50"/>
  <c r="AN11" i="50"/>
  <c r="L7" i="50"/>
  <c r="AE10" i="50"/>
  <c r="AI9" i="50"/>
  <c r="AA11" i="50"/>
  <c r="L11" i="50"/>
  <c r="U8" i="50"/>
  <c r="O6" i="50"/>
  <c r="BB7" i="50"/>
  <c r="AJ6" i="50"/>
  <c r="AU7" i="50"/>
  <c r="Z8" i="50"/>
  <c r="AY8" i="50"/>
  <c r="AW10" i="50"/>
  <c r="AZ7" i="50"/>
  <c r="BA7" i="50"/>
  <c r="AR10" i="50"/>
  <c r="T7" i="50"/>
  <c r="AI10" i="50"/>
  <c r="AC10" i="50"/>
  <c r="Y8" i="50"/>
  <c r="AV10" i="50"/>
  <c r="Q9" i="50"/>
  <c r="AG7" i="50"/>
  <c r="AO11" i="50"/>
  <c r="AB8" i="50"/>
  <c r="AL9" i="50"/>
  <c r="AX8" i="50"/>
  <c r="AF11" i="50"/>
  <c r="V10" i="50"/>
  <c r="AF6" i="50"/>
  <c r="AL7" i="50"/>
  <c r="AY6" i="50"/>
  <c r="O11" i="50"/>
  <c r="AA7" i="50"/>
  <c r="AH10" i="50"/>
  <c r="AF10" i="50"/>
  <c r="AT10" i="50"/>
  <c r="AK11" i="50"/>
  <c r="AT7" i="50"/>
  <c r="U7" i="50"/>
  <c r="BC8" i="50"/>
  <c r="AS6" i="50"/>
  <c r="AX6" i="50"/>
  <c r="M8" i="50"/>
  <c r="AJ8" i="50"/>
  <c r="AP10" i="50"/>
  <c r="AW8" i="50"/>
  <c r="AU10" i="50"/>
  <c r="Z7" i="50"/>
  <c r="U6" i="50"/>
  <c r="AL8" i="50"/>
  <c r="AB9" i="50"/>
  <c r="AF7" i="50"/>
  <c r="O8" i="50"/>
  <c r="M11" i="50"/>
  <c r="AK10" i="50"/>
  <c r="AU11" i="50"/>
  <c r="Z9" i="50"/>
  <c r="AG9" i="50"/>
  <c r="V11" i="50"/>
  <c r="R11" i="50"/>
  <c r="AC8" i="50"/>
  <c r="X11" i="50"/>
  <c r="AH7" i="50"/>
  <c r="N11" i="50"/>
  <c r="AG8" i="50"/>
  <c r="BB10" i="50"/>
  <c r="N8" i="50"/>
  <c r="L6" i="50"/>
  <c r="AI11" i="50"/>
  <c r="M9" i="50"/>
  <c r="AU9" i="50"/>
  <c r="AC7" i="50"/>
  <c r="S7" i="50"/>
  <c r="Y9" i="50"/>
  <c r="W9" i="50"/>
  <c r="M6" i="50"/>
  <c r="O7" i="50"/>
  <c r="AA10" i="50"/>
  <c r="P11" i="50"/>
  <c r="AS9" i="50"/>
  <c r="BA8" i="50"/>
  <c r="AR11" i="50"/>
  <c r="V7" i="50"/>
  <c r="BB6" i="50"/>
  <c r="AX11" i="50"/>
  <c r="AQ7" i="50"/>
  <c r="AP7" i="50"/>
  <c r="AJ7" i="50"/>
  <c r="AV6" i="50"/>
  <c r="AM6" i="50"/>
  <c r="AM8" i="50"/>
  <c r="Y6" i="50"/>
  <c r="AZ10" i="50"/>
  <c r="Z10" i="50"/>
  <c r="AU8" i="50"/>
  <c r="AO8" i="50"/>
  <c r="BB11" i="50"/>
  <c r="AH9" i="50"/>
  <c r="AL10" i="50"/>
  <c r="P8" i="50"/>
  <c r="N9" i="50"/>
  <c r="AZ9" i="50"/>
  <c r="AM10" i="50"/>
  <c r="AY11" i="50"/>
  <c r="T8" i="50"/>
  <c r="O9" i="50"/>
  <c r="BA9" i="50"/>
  <c r="AR8" i="50"/>
  <c r="M7" i="50"/>
  <c r="W6" i="50"/>
  <c r="V8" i="50"/>
  <c r="BC6" i="50"/>
  <c r="S11" i="50"/>
  <c r="AK6" i="50"/>
  <c r="AA8" i="50"/>
  <c r="BA6" i="50"/>
  <c r="P9" i="50"/>
  <c r="AO6" i="50"/>
  <c r="Y10" i="50"/>
  <c r="AD11" i="50"/>
  <c r="AN6" i="50"/>
  <c r="AS11" i="50"/>
  <c r="AK8" i="50"/>
  <c r="AR6" i="50"/>
  <c r="AF9" i="50"/>
  <c r="AE7" i="50"/>
  <c r="AN9" i="50"/>
  <c r="AH6" i="50"/>
  <c r="AI6" i="50"/>
  <c r="X9" i="50"/>
  <c r="AW9" i="50"/>
  <c r="BC10" i="50"/>
  <c r="V9" i="50"/>
  <c r="W10" i="50"/>
  <c r="BC11" i="50"/>
  <c r="AG6" i="50"/>
  <c r="L8" i="50"/>
  <c r="AM7" i="50"/>
  <c r="P10" i="50"/>
  <c r="M10" i="50"/>
  <c r="BB8" i="50"/>
  <c r="AQ11" i="50"/>
  <c r="AI7" i="50"/>
  <c r="AE9" i="50"/>
  <c r="AA9" i="50"/>
  <c r="P6" i="50"/>
  <c r="Q7" i="50"/>
  <c r="AM11" i="50"/>
  <c r="AS10" i="50"/>
  <c r="P7" i="50"/>
  <c r="AI8" i="50"/>
  <c r="AT8" i="50"/>
  <c r="T11" i="50"/>
  <c r="S8" i="50"/>
  <c r="Q11" i="50"/>
  <c r="AC9" i="50"/>
  <c r="AT9" i="50"/>
  <c r="AQ10" i="50"/>
  <c r="AP6" i="50"/>
  <c r="AJ9" i="50"/>
  <c r="AS8" i="50"/>
  <c r="AR7" i="50"/>
  <c r="BC7" i="50"/>
  <c r="BA10" i="50"/>
  <c r="AV8" i="50"/>
  <c r="AB7" i="50"/>
  <c r="AJ11" i="50"/>
  <c r="AR9" i="50"/>
  <c r="F9" i="50" l="1"/>
  <c r="F7" i="50"/>
  <c r="F6" i="50"/>
  <c r="F10" i="50"/>
  <c r="F8" i="50"/>
  <c r="G30" i="1"/>
  <c r="H30" i="1" s="1"/>
  <c r="K1" i="50" l="1"/>
  <c r="R2" i="8" l="1"/>
  <c r="R3" i="8"/>
  <c r="R4" i="8"/>
  <c r="R5" i="8"/>
  <c r="R6" i="8"/>
  <c r="R7" i="8"/>
  <c r="R8" i="8"/>
  <c r="R9" i="8"/>
  <c r="B1" i="95" l="1"/>
  <c r="C18" i="439" l="1"/>
  <c r="P11" i="150"/>
  <c r="P4" i="150" s="1"/>
  <c r="G18" i="439" l="1"/>
  <c r="C19" i="439"/>
  <c r="C20" i="439" l="1"/>
  <c r="G19" i="439"/>
  <c r="G20" i="439" l="1"/>
  <c r="C21" i="439"/>
  <c r="N8" i="120"/>
  <c r="C22" i="439" l="1"/>
  <c r="G21" i="439"/>
  <c r="M8" i="120"/>
  <c r="M15" i="137"/>
  <c r="G22" i="439" l="1"/>
  <c r="S8" i="120" l="1"/>
  <c r="L35" i="4" l="1"/>
  <c r="AX30" i="1" l="1"/>
  <c r="AX31" i="1"/>
  <c r="AX34" i="1"/>
  <c r="AX35"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3" i="95" l="1"/>
  <c r="M7" i="120" l="1"/>
  <c r="N7" i="120" l="1"/>
  <c r="G28" i="1" l="1"/>
  <c r="D18"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2" i="95"/>
  <c r="G34" i="439" l="1"/>
  <c r="C35" i="439"/>
  <c r="Q4" i="4"/>
  <c r="H9" i="4"/>
  <c r="G35" i="439" l="1"/>
  <c r="C36" i="439"/>
  <c r="C37" i="439" l="1"/>
  <c r="G36" i="439"/>
  <c r="E4" i="137"/>
  <c r="F4" i="137"/>
  <c r="H8" i="439" l="1"/>
  <c r="H9" i="439" s="1"/>
  <c r="H19" i="439"/>
  <c r="H21"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2" i="439" l="1"/>
  <c r="H13" i="439" l="1"/>
  <c r="F10" i="1"/>
  <c r="F10" i="4"/>
  <c r="H14" i="439" l="1"/>
  <c r="H15" i="439" s="1"/>
  <c r="H16" i="439" s="1"/>
  <c r="M5" i="137"/>
  <c r="H17" i="439" l="1"/>
  <c r="H18" i="439"/>
  <c r="H20" i="439"/>
  <c r="H22" i="439" s="1"/>
  <c r="AX11" i="150"/>
  <c r="P4" i="1" l="1"/>
  <c r="L4" i="50"/>
  <c r="F5" i="1" l="1"/>
  <c r="F13" i="1" l="1"/>
  <c r="F4" i="1" l="1"/>
  <c r="E4" i="1"/>
  <c r="F22" i="4" l="1"/>
  <c r="F21" i="4"/>
  <c r="F18" i="4"/>
  <c r="F12" i="4"/>
  <c r="E4" i="4" l="1"/>
  <c r="F4" i="4"/>
  <c r="B4" i="50"/>
  <c r="M24" i="4"/>
  <c r="N2" i="4"/>
  <c r="M2" i="4"/>
  <c r="K2" i="4"/>
  <c r="H2" i="4"/>
  <c r="AX5" i="150" l="1"/>
  <c r="B26" i="95" l="1"/>
  <c r="AX6" i="150" l="1"/>
  <c r="AX7" i="150"/>
  <c r="AX8" i="150"/>
  <c r="AX9" i="150"/>
  <c r="AX12" i="150"/>
  <c r="D11" i="150"/>
  <c r="AX4" i="150" l="1"/>
  <c r="G15" i="137"/>
  <c r="AX15" i="137" s="1"/>
  <c r="H15" i="137" l="1"/>
  <c r="H2" i="137" s="1"/>
  <c r="I15" i="137" l="1"/>
  <c r="J15" i="137" s="1"/>
  <c r="K15"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P3" i="8" l="1"/>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R10" i="8" l="1"/>
  <c r="R11" i="8"/>
  <c r="R12" i="8"/>
  <c r="R13" i="8"/>
  <c r="R14" i="8"/>
  <c r="R15" i="8"/>
  <c r="R16" i="8"/>
  <c r="R18" i="8"/>
  <c r="R19" i="8"/>
  <c r="R20" i="8"/>
  <c r="R21" i="8"/>
  <c r="R22" i="8"/>
  <c r="R23" i="8"/>
  <c r="R24" i="8"/>
  <c r="R25" i="8"/>
  <c r="R26" i="8"/>
  <c r="R27" i="8"/>
  <c r="R28" i="8"/>
  <c r="R29" i="8"/>
  <c r="R30" i="8"/>
  <c r="R31" i="8"/>
  <c r="R1" i="8" l="1"/>
  <c r="M19" i="4"/>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K30" i="1" l="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1" i="1"/>
  <c r="J21"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0" i="150" l="1"/>
  <c r="J10" i="150" s="1"/>
  <c r="K10" i="150" s="1"/>
  <c r="I5" i="150"/>
  <c r="I7" i="150"/>
  <c r="J7" i="150" s="1"/>
  <c r="G46" i="50" s="1"/>
  <c r="I46" i="50" s="1"/>
  <c r="I9" i="150"/>
  <c r="J9" i="150" s="1"/>
  <c r="I8" i="150"/>
  <c r="J8" i="150" s="1"/>
  <c r="G47" i="50" s="1"/>
  <c r="I47" i="50" s="1"/>
  <c r="I12" i="150"/>
  <c r="J12" i="150" s="1"/>
  <c r="G51" i="50" s="1"/>
  <c r="I51" i="50" s="1"/>
  <c r="I6" i="150"/>
  <c r="J6" i="150" s="1"/>
  <c r="G45" i="50" s="1"/>
  <c r="I45" i="50" s="1"/>
  <c r="I11" i="150"/>
  <c r="J11" i="150" s="1"/>
  <c r="G50" i="50" s="1"/>
  <c r="I50" i="50" s="1"/>
  <c r="K9" i="150" l="1"/>
  <c r="K7" i="150"/>
  <c r="K8"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AX4" i="4"/>
  <c r="D6" i="4"/>
  <c r="H6" i="4"/>
  <c r="H4" i="4"/>
  <c r="I21" i="4" s="1"/>
  <c r="J21" i="4" s="1"/>
  <c r="G40" i="50" s="1"/>
  <c r="I40" i="50" s="1"/>
  <c r="K21" i="4" l="1"/>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R5" i="1" l="1"/>
  <c r="R16" i="1"/>
  <c r="R17" i="1"/>
  <c r="R6" i="137"/>
  <c r="N6" i="137" s="1"/>
  <c r="R15" i="1"/>
  <c r="R23" i="1"/>
  <c r="R12" i="4"/>
  <c r="R7" i="137"/>
  <c r="O7" i="137" s="1"/>
  <c r="A7" i="137" s="1"/>
  <c r="R8" i="137"/>
  <c r="R20" i="1"/>
  <c r="R14" i="1"/>
  <c r="O14" i="1" s="1"/>
  <c r="A14" i="1" s="1"/>
  <c r="R19" i="1"/>
  <c r="N19" i="1" s="1"/>
  <c r="R9" i="137"/>
  <c r="N9" i="137" s="1"/>
  <c r="R6" i="1"/>
  <c r="R11" i="1"/>
  <c r="O11" i="1" s="1"/>
  <c r="A11" i="1" s="1"/>
  <c r="R10" i="137"/>
  <c r="R6" i="4"/>
  <c r="N12" i="4"/>
  <c r="O5" i="1"/>
  <c r="O6" i="1"/>
  <c r="A6" i="1" s="1"/>
  <c r="N23" i="1"/>
  <c r="O23" i="1"/>
  <c r="A23" i="1" s="1"/>
  <c r="O15" i="1"/>
  <c r="A15" i="1" s="1"/>
  <c r="N15" i="1"/>
  <c r="N20" i="1"/>
  <c r="O20" i="1"/>
  <c r="A20" i="1" s="1"/>
  <c r="O12" i="4"/>
  <c r="A12" i="4" s="1"/>
  <c r="N6" i="1"/>
  <c r="N17" i="1"/>
  <c r="O17" i="1"/>
  <c r="A17" i="1" s="1"/>
  <c r="N16" i="1"/>
  <c r="O16" i="1"/>
  <c r="A16" i="1" s="1"/>
  <c r="O19" i="1" l="1"/>
  <c r="A19" i="1" s="1"/>
  <c r="N14" i="1"/>
  <c r="N11" i="1"/>
  <c r="O6" i="4"/>
  <c r="A6" i="4" s="1"/>
  <c r="N10" i="137"/>
  <c r="N8" i="137"/>
  <c r="N5" i="1"/>
  <c r="O9" i="137"/>
  <c r="A9" i="137" s="1"/>
  <c r="O8" i="137"/>
  <c r="A8" i="137" s="1"/>
  <c r="N7" i="137"/>
  <c r="O6" i="137"/>
  <c r="A6" i="137" s="1"/>
  <c r="O10" i="137"/>
  <c r="A10" i="137" s="1"/>
  <c r="N6" i="4"/>
  <c r="A5" i="1"/>
  <c r="V4" i="150" l="1"/>
  <c r="Z4" i="150"/>
  <c r="AD4" i="150"/>
  <c r="AL4" i="150"/>
  <c r="AP4" i="150"/>
  <c r="AT4" i="150"/>
  <c r="S4" i="150"/>
  <c r="AA4" i="150"/>
  <c r="AI4" i="150"/>
  <c r="AM4" i="150"/>
  <c r="AQ4" i="150"/>
  <c r="AC4" i="150"/>
  <c r="X4" i="150"/>
  <c r="AB4" i="150"/>
  <c r="AF4" i="150"/>
  <c r="AN4" i="150"/>
  <c r="AR4" i="150"/>
  <c r="U4" i="150"/>
  <c r="Y4" i="150"/>
  <c r="AG4" i="150"/>
  <c r="AS4" i="150"/>
  <c r="AV4" i="137"/>
  <c r="AU4" i="150"/>
  <c r="AU4" i="4"/>
  <c r="R25" i="4" l="1"/>
  <c r="AE4" i="150"/>
  <c r="AK4" i="150"/>
  <c r="AH4" i="150"/>
  <c r="T4" i="150"/>
  <c r="AJ4" i="150"/>
  <c r="AO4" i="150"/>
  <c r="W4" i="150"/>
  <c r="AG4" i="137"/>
  <c r="Y4" i="137"/>
  <c r="AN4" i="137"/>
  <c r="X4" i="137"/>
  <c r="AM4" i="137"/>
  <c r="W4" i="137"/>
  <c r="AL4" i="137"/>
  <c r="V4" i="137"/>
  <c r="AS4" i="137"/>
  <c r="AK4" i="137"/>
  <c r="AJ4" i="137"/>
  <c r="T4" i="137"/>
  <c r="AI4" i="137"/>
  <c r="S4" i="137"/>
  <c r="AH4" i="137"/>
  <c r="AC4" i="137"/>
  <c r="U4" i="137"/>
  <c r="AF4" i="137"/>
  <c r="AU4" i="137"/>
  <c r="AE4" i="137"/>
  <c r="AT4" i="137"/>
  <c r="AD4" i="137"/>
  <c r="AO4" i="137"/>
  <c r="AR4" i="137"/>
  <c r="AB4" i="137"/>
  <c r="AQ4" i="137"/>
  <c r="AA4" i="137"/>
  <c r="AP4" i="137"/>
  <c r="Z4" i="137"/>
  <c r="Y4" i="1"/>
  <c r="AR4" i="1"/>
  <c r="AB4" i="1"/>
  <c r="AQ4" i="1"/>
  <c r="AA4" i="1"/>
  <c r="AP4" i="1"/>
  <c r="Z4" i="1"/>
  <c r="AS4" i="1"/>
  <c r="AG4" i="1"/>
  <c r="AN4" i="1"/>
  <c r="X4" i="1"/>
  <c r="AM4" i="1"/>
  <c r="W4" i="1"/>
  <c r="AL4" i="1"/>
  <c r="V4" i="1"/>
  <c r="AC4" i="1"/>
  <c r="AK4" i="1"/>
  <c r="AJ4" i="1"/>
  <c r="T4" i="1"/>
  <c r="AI4" i="1"/>
  <c r="S4" i="1"/>
  <c r="AH4" i="1"/>
  <c r="AO4" i="1"/>
  <c r="U4" i="1"/>
  <c r="AF4" i="1"/>
  <c r="AU4" i="1"/>
  <c r="AE4" i="1"/>
  <c r="AT4" i="1"/>
  <c r="AD4" i="1"/>
  <c r="AO4" i="4"/>
  <c r="AK4" i="4"/>
  <c r="AJ4" i="4"/>
  <c r="AQ4" i="4"/>
  <c r="AA4" i="4"/>
  <c r="AP4" i="4"/>
  <c r="Z4" i="4"/>
  <c r="AN4" i="4"/>
  <c r="AG4" i="4"/>
  <c r="AC4" i="4"/>
  <c r="AB4" i="4"/>
  <c r="AM4" i="4"/>
  <c r="W4" i="4"/>
  <c r="AL4" i="4"/>
  <c r="V4" i="4"/>
  <c r="AF4" i="4"/>
  <c r="Y4" i="4"/>
  <c r="U4" i="4"/>
  <c r="T4" i="4"/>
  <c r="AI4" i="4"/>
  <c r="S4" i="4"/>
  <c r="AH4" i="4"/>
  <c r="X4" i="4"/>
  <c r="AS4" i="4"/>
  <c r="AR4" i="4"/>
  <c r="AE4" i="4"/>
  <c r="AT4" i="4"/>
  <c r="AD4" i="4"/>
  <c r="AV4" i="1"/>
  <c r="AV4" i="150"/>
  <c r="AV4" i="4"/>
  <c r="AI12" i="50"/>
  <c r="AN38" i="50"/>
  <c r="AT20" i="50"/>
  <c r="BB45" i="50"/>
  <c r="AN43" i="50"/>
  <c r="AG4" i="50"/>
  <c r="S48" i="50"/>
  <c r="AB50" i="50"/>
  <c r="AY28" i="50"/>
  <c r="X49" i="50"/>
  <c r="O51" i="50"/>
  <c r="R46" i="50"/>
  <c r="AW33" i="50"/>
  <c r="U36" i="50"/>
  <c r="O44" i="50"/>
  <c r="AL41" i="50"/>
  <c r="AB37" i="50"/>
  <c r="AT33" i="50"/>
  <c r="AP31" i="50"/>
  <c r="Q38" i="50"/>
  <c r="P42" i="50"/>
  <c r="P31" i="50"/>
  <c r="AW13" i="50"/>
  <c r="AU22" i="50"/>
  <c r="X14" i="50"/>
  <c r="AA46" i="50"/>
  <c r="AB25" i="50"/>
  <c r="V49" i="50"/>
  <c r="L45" i="50"/>
  <c r="AL40" i="50"/>
  <c r="AF26" i="50"/>
  <c r="P35" i="50"/>
  <c r="AH46" i="50"/>
  <c r="AZ22" i="50"/>
  <c r="AI37" i="50"/>
  <c r="V15" i="50"/>
  <c r="AE13" i="50"/>
  <c r="Q50" i="50"/>
  <c r="O18" i="50"/>
  <c r="R13" i="50"/>
  <c r="AV5" i="50"/>
  <c r="AF46" i="50"/>
  <c r="AI19" i="50"/>
  <c r="L12" i="50"/>
  <c r="T4" i="50"/>
  <c r="AE45" i="50"/>
  <c r="AF51" i="50"/>
  <c r="M29" i="50"/>
  <c r="AL16" i="50"/>
  <c r="AK35" i="50"/>
  <c r="AJ25" i="50"/>
  <c r="M4" i="50"/>
  <c r="AW29" i="50"/>
  <c r="T49" i="50"/>
  <c r="P13" i="50"/>
  <c r="AC44" i="50"/>
  <c r="AD37" i="50"/>
  <c r="BC25" i="50"/>
  <c r="BC24" i="50"/>
  <c r="AQ24" i="50"/>
  <c r="L23" i="50"/>
  <c r="AE5" i="50"/>
  <c r="AV48" i="50"/>
  <c r="W28" i="50"/>
  <c r="AN29" i="50"/>
  <c r="N49" i="50"/>
  <c r="BC23" i="50"/>
  <c r="AI47" i="50"/>
  <c r="W4" i="50"/>
  <c r="U17" i="50"/>
  <c r="AF5" i="50"/>
  <c r="O32" i="50"/>
  <c r="AA34" i="50"/>
  <c r="AZ45" i="50"/>
  <c r="AO31" i="50"/>
  <c r="AI39" i="50"/>
  <c r="AD44" i="50"/>
  <c r="AK21" i="50"/>
  <c r="AG35" i="50"/>
  <c r="T13" i="50"/>
  <c r="N12" i="50"/>
  <c r="BB16" i="50"/>
  <c r="V45" i="50"/>
  <c r="P12" i="50"/>
  <c r="AU39" i="50"/>
  <c r="AL45" i="50"/>
  <c r="V14" i="50"/>
  <c r="AX47" i="50"/>
  <c r="AI40" i="50"/>
  <c r="L44" i="50"/>
  <c r="AR40" i="50"/>
  <c r="V28" i="50"/>
  <c r="AV41" i="50"/>
  <c r="T34" i="50"/>
  <c r="P28" i="50"/>
  <c r="AS49" i="50"/>
  <c r="V27" i="50"/>
  <c r="N30" i="50"/>
  <c r="Z20" i="50"/>
  <c r="T31" i="50"/>
  <c r="AN45" i="50"/>
  <c r="BC14" i="50"/>
  <c r="BC32" i="50"/>
  <c r="AX26" i="50"/>
  <c r="AY49" i="50"/>
  <c r="Z43" i="50"/>
  <c r="AZ29" i="50"/>
  <c r="AI26" i="50"/>
  <c r="AM38" i="50"/>
  <c r="Y25" i="50"/>
  <c r="Y4" i="50"/>
  <c r="AA35" i="50"/>
  <c r="Z30" i="50"/>
  <c r="AJ32" i="50"/>
  <c r="X37" i="50"/>
  <c r="BA20" i="50"/>
  <c r="AX29" i="50"/>
  <c r="S19" i="50"/>
  <c r="Y38" i="50"/>
  <c r="Z12" i="50"/>
  <c r="L51" i="50"/>
  <c r="P20" i="50"/>
  <c r="R21" i="50"/>
  <c r="Q12" i="50"/>
  <c r="AF50" i="50"/>
  <c r="N52" i="50"/>
  <c r="AZ14" i="50"/>
  <c r="AP41" i="50"/>
  <c r="Q44" i="50"/>
  <c r="Z21" i="50"/>
  <c r="W48" i="50"/>
  <c r="AH26" i="50"/>
  <c r="Z46" i="50"/>
  <c r="AH34" i="50"/>
  <c r="AC24" i="50"/>
  <c r="M48" i="50"/>
  <c r="Y31" i="50"/>
  <c r="AD46" i="50"/>
  <c r="BB24" i="50"/>
  <c r="AH13" i="50"/>
  <c r="O22" i="50"/>
  <c r="AH42" i="50"/>
  <c r="V18" i="50"/>
  <c r="AT50" i="50"/>
  <c r="V41" i="50"/>
  <c r="Y32" i="50"/>
  <c r="AJ46" i="50"/>
  <c r="AO24" i="50"/>
  <c r="AG46" i="50"/>
  <c r="AI43" i="50"/>
  <c r="AG26" i="50"/>
  <c r="O36" i="50"/>
  <c r="BA44" i="50"/>
  <c r="AB29" i="50"/>
  <c r="Y43" i="50"/>
  <c r="AE27" i="50"/>
  <c r="AR49" i="50"/>
  <c r="AX30" i="50"/>
  <c r="AN32" i="50"/>
  <c r="AY33" i="50"/>
  <c r="AC34" i="50"/>
  <c r="AD38" i="50"/>
  <c r="BA18" i="50"/>
  <c r="S17" i="50"/>
  <c r="AV43" i="50"/>
  <c r="L24" i="50"/>
  <c r="AX18" i="50"/>
  <c r="AV16" i="50"/>
  <c r="X29" i="50"/>
  <c r="X30" i="50"/>
  <c r="S22" i="50"/>
  <c r="AA45" i="50"/>
  <c r="AJ21" i="50"/>
  <c r="AO27" i="50"/>
  <c r="U12" i="50"/>
  <c r="X22" i="50"/>
  <c r="S26" i="50"/>
  <c r="W20" i="50"/>
  <c r="AZ26" i="50"/>
  <c r="AY30" i="50"/>
  <c r="AI42" i="50"/>
  <c r="BA30" i="50"/>
  <c r="R16" i="50"/>
  <c r="AJ24" i="50"/>
  <c r="AT45" i="50"/>
  <c r="O48" i="50"/>
  <c r="M23" i="50"/>
  <c r="AP16" i="50"/>
  <c r="AZ37" i="50"/>
  <c r="AE50" i="50"/>
  <c r="AC50" i="50"/>
  <c r="W51" i="50"/>
  <c r="AB33" i="50"/>
  <c r="Z42" i="50"/>
  <c r="AG19" i="50"/>
  <c r="AR43" i="50"/>
  <c r="AC48" i="50"/>
  <c r="AH15" i="50"/>
  <c r="T42" i="50"/>
  <c r="AJ27" i="50"/>
  <c r="N5" i="50"/>
  <c r="AH19" i="50"/>
  <c r="AE40" i="50"/>
  <c r="V48" i="50"/>
  <c r="AQ16" i="50"/>
  <c r="N36" i="50"/>
  <c r="AG50" i="50"/>
  <c r="Q21" i="50"/>
  <c r="N46" i="50"/>
  <c r="AG43" i="50"/>
  <c r="AL47" i="50"/>
  <c r="X47" i="50"/>
  <c r="V47" i="50"/>
  <c r="AU19" i="50"/>
  <c r="AZ33" i="50"/>
  <c r="AU31" i="50"/>
  <c r="AI24" i="50"/>
  <c r="BA43" i="50"/>
  <c r="AK16" i="50"/>
  <c r="AV22" i="50"/>
  <c r="AD25" i="50"/>
  <c r="AW5" i="50"/>
  <c r="AQ32" i="50"/>
  <c r="AT27" i="50"/>
  <c r="W16" i="50"/>
  <c r="BB12" i="50"/>
  <c r="AU48" i="50"/>
  <c r="BB49" i="50"/>
  <c r="O37" i="50"/>
  <c r="AX19" i="50"/>
  <c r="AR37" i="50"/>
  <c r="AF14" i="50"/>
  <c r="AZ19" i="50"/>
  <c r="V12" i="50"/>
  <c r="AE52" i="50"/>
  <c r="AI48" i="50"/>
  <c r="AG16" i="50"/>
  <c r="AH36" i="50"/>
  <c r="P24" i="50"/>
  <c r="AD29" i="50"/>
  <c r="AF35" i="50"/>
  <c r="AT22" i="50"/>
  <c r="AN42" i="50"/>
  <c r="M52" i="50"/>
  <c r="AL15" i="50"/>
  <c r="AC46" i="50"/>
  <c r="X52" i="50"/>
  <c r="AH18" i="50"/>
  <c r="BA26" i="50"/>
  <c r="AF20" i="50"/>
  <c r="U13" i="50"/>
  <c r="AT19" i="50"/>
  <c r="O35" i="50"/>
  <c r="AV20" i="50"/>
  <c r="AX39" i="50"/>
  <c r="S18" i="50"/>
  <c r="AG25" i="50"/>
  <c r="X5" i="50"/>
  <c r="Z39" i="50"/>
  <c r="AB40" i="50"/>
  <c r="BC27" i="50"/>
  <c r="AI50" i="50"/>
  <c r="AZ52" i="50"/>
  <c r="P4" i="50"/>
  <c r="AT16" i="50"/>
  <c r="X18" i="50"/>
  <c r="AI18" i="50"/>
  <c r="V26" i="50"/>
  <c r="AW12" i="50"/>
  <c r="AI31" i="50"/>
  <c r="AQ19" i="50"/>
  <c r="T50" i="50"/>
  <c r="AK5" i="50"/>
  <c r="Y44" i="50"/>
  <c r="V39" i="50"/>
  <c r="X25" i="50"/>
  <c r="AS23" i="50"/>
  <c r="AB31" i="50"/>
  <c r="AJ52" i="50"/>
  <c r="AO30" i="50"/>
  <c r="L39" i="50"/>
  <c r="AP49" i="50"/>
  <c r="AX16" i="50"/>
  <c r="AD50" i="50"/>
  <c r="AE26" i="50"/>
  <c r="BA35" i="50"/>
  <c r="BA23" i="50"/>
  <c r="S24" i="50"/>
  <c r="AU14" i="50"/>
  <c r="AA29" i="50"/>
  <c r="Q5" i="50"/>
  <c r="N14" i="50"/>
  <c r="O4" i="50"/>
  <c r="X31" i="50"/>
  <c r="BC35" i="50"/>
  <c r="AF43" i="50"/>
  <c r="AW50" i="50"/>
  <c r="AN15" i="50"/>
  <c r="N38" i="50"/>
  <c r="N16" i="50"/>
  <c r="AK15" i="50"/>
  <c r="AD35" i="50"/>
  <c r="L15" i="50"/>
  <c r="N43" i="50"/>
  <c r="BB50" i="50"/>
  <c r="R47" i="50"/>
  <c r="AZ38" i="50"/>
  <c r="AZ24" i="50"/>
  <c r="Z18" i="50"/>
  <c r="T14" i="50"/>
  <c r="AE38" i="50"/>
  <c r="AV23" i="50"/>
  <c r="AI14" i="50"/>
  <c r="U23" i="50"/>
  <c r="AR17" i="50"/>
  <c r="N19" i="50"/>
  <c r="AF15" i="50"/>
  <c r="X32" i="50"/>
  <c r="X46" i="50"/>
  <c r="AM35" i="50"/>
  <c r="AM41" i="50"/>
  <c r="S37" i="50"/>
  <c r="AM31" i="50"/>
  <c r="AW27" i="50"/>
  <c r="AC23" i="50"/>
  <c r="AK40" i="50"/>
  <c r="R35" i="50"/>
  <c r="U43" i="50"/>
  <c r="T35" i="50"/>
  <c r="Z35" i="50"/>
  <c r="AL30" i="50"/>
  <c r="AQ34" i="50"/>
  <c r="AT29" i="50"/>
  <c r="AL35" i="50"/>
  <c r="AZ21" i="50"/>
  <c r="T21" i="50"/>
  <c r="AJ33" i="50"/>
  <c r="AZ15" i="50"/>
  <c r="AO34" i="50"/>
  <c r="AP45" i="50"/>
  <c r="U16" i="50"/>
  <c r="AZ27" i="50"/>
  <c r="W29" i="50"/>
  <c r="AF16" i="50"/>
  <c r="N20" i="50"/>
  <c r="T33" i="50"/>
  <c r="AD42" i="50"/>
  <c r="R36" i="50"/>
  <c r="V46" i="50"/>
  <c r="S5" i="50"/>
  <c r="AL52" i="50"/>
  <c r="W39" i="50"/>
  <c r="AP32" i="50"/>
  <c r="T24" i="50"/>
  <c r="Q19" i="50"/>
  <c r="AM16" i="50"/>
  <c r="AL48" i="50"/>
  <c r="AC12" i="50"/>
  <c r="Q45" i="50"/>
  <c r="AI20" i="50"/>
  <c r="AD39" i="50"/>
  <c r="W36" i="50"/>
  <c r="BB34" i="50"/>
  <c r="AE4" i="50"/>
  <c r="AD20" i="50"/>
  <c r="AP12" i="50"/>
  <c r="T20" i="50"/>
  <c r="AI16" i="50"/>
  <c r="AV47" i="50"/>
  <c r="BB39" i="50"/>
  <c r="AU40" i="50"/>
  <c r="AQ26" i="50"/>
  <c r="AL36" i="50"/>
  <c r="AQ51" i="50"/>
  <c r="AR15" i="50"/>
  <c r="AB46" i="50"/>
  <c r="AG36" i="50"/>
  <c r="AU21" i="50"/>
  <c r="AY46" i="50"/>
  <c r="BC13" i="50"/>
  <c r="Z24" i="50"/>
  <c r="AN26" i="50"/>
  <c r="AA17" i="50"/>
  <c r="AP18" i="50"/>
  <c r="AN33" i="50"/>
  <c r="N24" i="50"/>
  <c r="AS42" i="50"/>
  <c r="W5" i="50"/>
  <c r="AU12" i="50"/>
  <c r="R18" i="50"/>
  <c r="AX34" i="50"/>
  <c r="P17" i="50"/>
  <c r="Z40" i="50"/>
  <c r="AR19" i="50"/>
  <c r="AM33" i="50"/>
  <c r="AT37" i="50"/>
  <c r="T44" i="50"/>
  <c r="AF48" i="50"/>
  <c r="AD14" i="50"/>
  <c r="Q40" i="50"/>
  <c r="BA42" i="50"/>
  <c r="U28" i="50"/>
  <c r="Y5" i="50"/>
  <c r="Z16" i="50"/>
  <c r="N48" i="50"/>
  <c r="Q13" i="50"/>
  <c r="AI29" i="50"/>
  <c r="AK24" i="50"/>
  <c r="AE20" i="50"/>
  <c r="AQ28" i="50"/>
  <c r="AV19" i="50"/>
  <c r="BC33" i="50"/>
  <c r="AY31" i="50"/>
  <c r="V50" i="50"/>
  <c r="V33" i="50"/>
  <c r="Z26" i="50"/>
  <c r="AU41" i="50"/>
  <c r="AD4" i="50"/>
  <c r="AM39" i="50"/>
  <c r="BB43" i="50"/>
  <c r="U32" i="50"/>
  <c r="AR24" i="50"/>
  <c r="AV29" i="50"/>
  <c r="AC27" i="50"/>
  <c r="AX41" i="50"/>
  <c r="AR20" i="50"/>
  <c r="P36" i="50"/>
  <c r="AN37" i="50"/>
  <c r="AK39" i="50"/>
  <c r="S20" i="50"/>
  <c r="AX15" i="50"/>
  <c r="AT40" i="50"/>
  <c r="AD21" i="50"/>
  <c r="AA44" i="50"/>
  <c r="AA22" i="50"/>
  <c r="AE18" i="50"/>
  <c r="AP47" i="50"/>
  <c r="Q20" i="50"/>
  <c r="AV18" i="50"/>
  <c r="AZ39" i="50"/>
  <c r="AD24" i="50"/>
  <c r="AO37" i="50"/>
  <c r="AE51" i="50"/>
  <c r="AG40" i="50"/>
  <c r="L13" i="50"/>
  <c r="AO50" i="50"/>
  <c r="O14" i="50"/>
  <c r="Y14" i="50"/>
  <c r="AV24" i="50"/>
  <c r="AO14" i="50"/>
  <c r="BB36" i="50"/>
  <c r="R31" i="50"/>
  <c r="Z51" i="50"/>
  <c r="AR26" i="50"/>
  <c r="Q24" i="50"/>
  <c r="AE34" i="50"/>
  <c r="AV12" i="50"/>
  <c r="AU36" i="50"/>
  <c r="V52" i="50"/>
  <c r="AI15" i="50"/>
  <c r="AS44" i="50"/>
  <c r="AF21" i="50"/>
  <c r="AS47" i="50"/>
  <c r="R24" i="50"/>
  <c r="W42" i="50"/>
  <c r="BC38" i="50"/>
  <c r="N26" i="50"/>
  <c r="AB44" i="50"/>
  <c r="AV13" i="50"/>
  <c r="O27" i="50"/>
  <c r="M5" i="50"/>
  <c r="AG5" i="50"/>
  <c r="AP15" i="50"/>
  <c r="AO51" i="50"/>
  <c r="Y45" i="50"/>
  <c r="AC19" i="50"/>
  <c r="AP22" i="50"/>
  <c r="AY13" i="50"/>
  <c r="AT32" i="50"/>
  <c r="U22" i="50"/>
  <c r="AS43" i="50"/>
  <c r="AA47" i="50"/>
  <c r="AZ31" i="50"/>
  <c r="AN20" i="50"/>
  <c r="AX12" i="50"/>
  <c r="AB23" i="50"/>
  <c r="AM17" i="50"/>
  <c r="X28" i="50"/>
  <c r="V24" i="50"/>
  <c r="BA33" i="50"/>
  <c r="AK22" i="50"/>
  <c r="AR41" i="50"/>
  <c r="Z25" i="50"/>
  <c r="AO52" i="50"/>
  <c r="AM4" i="50"/>
  <c r="Q42" i="50"/>
  <c r="U48" i="50"/>
  <c r="R4" i="50"/>
  <c r="BA40" i="50"/>
  <c r="AR45" i="50"/>
  <c r="BB18" i="50"/>
  <c r="P50" i="50"/>
  <c r="AS51" i="50"/>
  <c r="BA45" i="50"/>
  <c r="AD13" i="50"/>
  <c r="X4" i="50"/>
  <c r="Y22" i="50"/>
  <c r="R51" i="50"/>
  <c r="AP40" i="50"/>
  <c r="Y36" i="50"/>
  <c r="AH48" i="50"/>
  <c r="AS30" i="50"/>
  <c r="AJ17" i="50"/>
  <c r="O40" i="50"/>
  <c r="AS19" i="50"/>
  <c r="AL37" i="50"/>
  <c r="AC22" i="50"/>
  <c r="AY38" i="50"/>
  <c r="AJ50" i="50"/>
  <c r="AU24" i="50"/>
  <c r="AZ25" i="50"/>
  <c r="AK23" i="50"/>
  <c r="R28" i="50"/>
  <c r="AX5" i="50"/>
  <c r="L14" i="50"/>
  <c r="AL29" i="50"/>
  <c r="AU33" i="50"/>
  <c r="AC18" i="50"/>
  <c r="U33" i="50"/>
  <c r="AD26" i="50"/>
  <c r="AQ47" i="50"/>
  <c r="Y41" i="50"/>
  <c r="V37" i="50"/>
  <c r="AM52" i="50"/>
  <c r="AG12" i="50"/>
  <c r="AJ12" i="50"/>
  <c r="X27" i="50"/>
  <c r="AE41" i="50"/>
  <c r="AR27" i="50"/>
  <c r="W13" i="50"/>
  <c r="T5" i="50"/>
  <c r="AO25" i="50"/>
  <c r="BC49" i="50"/>
  <c r="AT36" i="50"/>
  <c r="AJ28" i="50"/>
  <c r="AG37" i="50"/>
  <c r="Z33" i="50"/>
  <c r="Z4" i="50"/>
  <c r="AK18" i="50"/>
  <c r="L31" i="50"/>
  <c r="AD28" i="50"/>
  <c r="AV25" i="50"/>
  <c r="AN46" i="50"/>
  <c r="AF25" i="50"/>
  <c r="P29" i="50"/>
  <c r="T41" i="50"/>
  <c r="AO26" i="50"/>
  <c r="BB28" i="50"/>
  <c r="Y17" i="50"/>
  <c r="AH24" i="50"/>
  <c r="AC45" i="50"/>
  <c r="M32" i="50"/>
  <c r="M51" i="50"/>
  <c r="N31" i="50"/>
  <c r="BA27" i="50"/>
  <c r="U24" i="50"/>
  <c r="AT28" i="50"/>
  <c r="L36" i="50"/>
  <c r="AM44" i="50"/>
  <c r="L22" i="50"/>
  <c r="L49" i="50"/>
  <c r="U25" i="50"/>
  <c r="AE24" i="50"/>
  <c r="AR47" i="50"/>
  <c r="AF29" i="50"/>
  <c r="AR50" i="50"/>
  <c r="R52" i="50"/>
  <c r="AE46" i="50"/>
  <c r="BC30" i="50"/>
  <c r="AU45" i="50"/>
  <c r="W27" i="50"/>
  <c r="AF41" i="50"/>
  <c r="N32" i="50"/>
  <c r="AM47" i="50"/>
  <c r="BA28" i="50"/>
  <c r="AK4" i="50"/>
  <c r="AC15" i="50"/>
  <c r="N13" i="50"/>
  <c r="X15" i="50"/>
  <c r="X39" i="50"/>
  <c r="AG31" i="50"/>
  <c r="AD33" i="50"/>
  <c r="AQ29" i="50"/>
  <c r="AF47" i="50"/>
  <c r="AR39" i="50"/>
  <c r="O13" i="50"/>
  <c r="AD18" i="50"/>
  <c r="W46" i="50"/>
  <c r="AX36" i="50"/>
  <c r="AA24" i="50"/>
  <c r="S43" i="50"/>
  <c r="AC13" i="50"/>
  <c r="AI33" i="50"/>
  <c r="AN34" i="50"/>
  <c r="L25" i="50"/>
  <c r="AN18" i="50"/>
  <c r="AZ42" i="50"/>
  <c r="AF27" i="50"/>
  <c r="AV26" i="50"/>
  <c r="AN44" i="50"/>
  <c r="AL18" i="50"/>
  <c r="AO41" i="50"/>
  <c r="W15" i="50"/>
  <c r="P48" i="50"/>
  <c r="AV28" i="50"/>
  <c r="AM24" i="50"/>
  <c r="P49" i="50"/>
  <c r="AW40" i="50"/>
  <c r="AI13" i="50"/>
  <c r="X21" i="50"/>
  <c r="V34" i="50"/>
  <c r="AS33" i="50"/>
  <c r="AH35" i="50"/>
  <c r="AB21" i="50"/>
  <c r="U51" i="50"/>
  <c r="AA51" i="50"/>
  <c r="BA39" i="50"/>
  <c r="BB5" i="50"/>
  <c r="AT13" i="50"/>
  <c r="AL51" i="50"/>
  <c r="BA29" i="50"/>
  <c r="BB51" i="50"/>
  <c r="Q46" i="50"/>
  <c r="AQ35" i="50"/>
  <c r="AA26" i="50"/>
  <c r="T30" i="50"/>
  <c r="AE14" i="50"/>
  <c r="O20" i="50"/>
  <c r="AX13" i="50"/>
  <c r="BA32" i="50"/>
  <c r="AA15" i="50"/>
  <c r="AP39" i="50"/>
  <c r="AL31" i="50"/>
  <c r="AO15" i="50"/>
  <c r="AT26" i="50"/>
  <c r="AW30" i="50"/>
  <c r="AH41" i="50"/>
  <c r="AC38" i="50"/>
  <c r="AY5" i="50"/>
  <c r="AC47" i="50"/>
  <c r="AE16" i="50"/>
  <c r="AG41" i="50"/>
  <c r="AA42" i="50"/>
  <c r="AF18" i="50"/>
  <c r="O49" i="50"/>
  <c r="R49" i="50"/>
  <c r="Z28" i="50"/>
  <c r="AR14" i="50"/>
  <c r="BB52" i="50"/>
  <c r="AB15" i="50"/>
  <c r="R26" i="50"/>
  <c r="AV17" i="50"/>
  <c r="R12" i="50"/>
  <c r="AW28" i="50"/>
  <c r="AN48" i="50"/>
  <c r="U20" i="50"/>
  <c r="AP26" i="50"/>
  <c r="BB22" i="50"/>
  <c r="AA27" i="50"/>
  <c r="Z15" i="50"/>
  <c r="L21" i="50"/>
  <c r="R20" i="50"/>
  <c r="Q26" i="50"/>
  <c r="AW43" i="50"/>
  <c r="AM23" i="50"/>
  <c r="P37" i="50"/>
  <c r="AW31" i="50"/>
  <c r="AM20" i="50"/>
  <c r="AH31" i="50"/>
  <c r="AH20" i="50"/>
  <c r="M26" i="50"/>
  <c r="AZ35" i="50"/>
  <c r="AU32" i="50"/>
  <c r="AF33" i="50"/>
  <c r="N15" i="50"/>
  <c r="AS25" i="50"/>
  <c r="AU15" i="50"/>
  <c r="AT25" i="50"/>
  <c r="AL24" i="50"/>
  <c r="AX24" i="50"/>
  <c r="BB21" i="50"/>
  <c r="BB29" i="50"/>
  <c r="AY26" i="50"/>
  <c r="U39" i="50"/>
  <c r="AV15" i="50"/>
  <c r="Q32" i="50"/>
  <c r="AV27" i="50"/>
  <c r="AO39" i="50"/>
  <c r="Y28" i="50"/>
  <c r="AK12" i="50"/>
  <c r="AO5" i="50"/>
  <c r="AQ23" i="50"/>
  <c r="AN5" i="50"/>
  <c r="Z23" i="50"/>
  <c r="AY52" i="50"/>
  <c r="U47" i="50"/>
  <c r="AB41" i="50"/>
  <c r="AT5" i="50"/>
  <c r="AM49" i="50"/>
  <c r="X26" i="50"/>
  <c r="AH38" i="50"/>
  <c r="AG28" i="50"/>
  <c r="AE19" i="50"/>
  <c r="AK47" i="50"/>
  <c r="AS29" i="50"/>
  <c r="AC42" i="50"/>
  <c r="AG32" i="50"/>
  <c r="L19" i="50"/>
  <c r="AN39" i="50"/>
  <c r="U41" i="50"/>
  <c r="W17" i="50"/>
  <c r="V32" i="50"/>
  <c r="AF32" i="50"/>
  <c r="AL21" i="50"/>
  <c r="V29" i="50"/>
  <c r="AS36" i="50"/>
  <c r="AR51" i="50"/>
  <c r="X41" i="50"/>
  <c r="AV45" i="50"/>
  <c r="AP46" i="50"/>
  <c r="P18" i="50"/>
  <c r="AY25" i="50"/>
  <c r="AB28" i="50"/>
  <c r="AZ28" i="50"/>
  <c r="AR30" i="50"/>
  <c r="X16" i="50"/>
  <c r="AS18" i="50"/>
  <c r="AO42" i="50"/>
  <c r="AW47" i="50"/>
  <c r="U4" i="50"/>
  <c r="AY22" i="50"/>
  <c r="T18" i="50"/>
  <c r="AB12" i="50"/>
  <c r="BC39" i="50"/>
  <c r="AY50" i="50"/>
  <c r="AM45" i="50"/>
  <c r="AL4" i="50"/>
  <c r="X40" i="50"/>
  <c r="Q15" i="50"/>
  <c r="AW49" i="50"/>
  <c r="Q39" i="50"/>
  <c r="AM12" i="50"/>
  <c r="AE22" i="50"/>
  <c r="AR23" i="50"/>
  <c r="AH27" i="50"/>
  <c r="AO17" i="50"/>
  <c r="BB14" i="50"/>
  <c r="AO19" i="50"/>
  <c r="P5" i="50"/>
  <c r="AI36" i="50"/>
  <c r="AU43" i="50"/>
  <c r="V35" i="50"/>
  <c r="AN4" i="50"/>
  <c r="AY19" i="50"/>
  <c r="AA28" i="50"/>
  <c r="AE35" i="50"/>
  <c r="N45" i="50"/>
  <c r="AK29" i="50"/>
  <c r="AS37" i="50"/>
  <c r="AK36" i="50"/>
  <c r="AL5" i="50"/>
  <c r="AU37" i="50"/>
  <c r="Q49" i="50"/>
  <c r="AM48" i="50"/>
  <c r="AJ47" i="50"/>
  <c r="R48" i="50"/>
  <c r="R5" i="50"/>
  <c r="AJ29" i="50"/>
  <c r="AD52" i="50"/>
  <c r="AU26" i="50"/>
  <c r="R19" i="50"/>
  <c r="AP5" i="50"/>
  <c r="AZ32" i="50"/>
  <c r="R41" i="50"/>
  <c r="Z36" i="50"/>
  <c r="M50" i="50"/>
  <c r="W41" i="50"/>
  <c r="AJ48" i="50"/>
  <c r="AD17" i="50"/>
  <c r="M31" i="50"/>
  <c r="AX21" i="50"/>
  <c r="AL32" i="50"/>
  <c r="O23" i="50"/>
  <c r="Q4" i="50"/>
  <c r="BC48" i="50"/>
  <c r="AC20" i="50"/>
  <c r="O24" i="50"/>
  <c r="X45" i="50"/>
  <c r="AS4" i="50"/>
  <c r="AY24" i="50"/>
  <c r="AL23" i="50"/>
  <c r="AH21" i="50"/>
  <c r="AT23" i="50"/>
  <c r="P45" i="50"/>
  <c r="AH45" i="50"/>
  <c r="S30" i="50"/>
  <c r="R34" i="50"/>
  <c r="Y26" i="50"/>
  <c r="AN27" i="50"/>
  <c r="AY14" i="50"/>
  <c r="BA49" i="50"/>
  <c r="AF52" i="50"/>
  <c r="AJ43" i="50"/>
  <c r="AH25" i="50"/>
  <c r="N34" i="50"/>
  <c r="S35" i="50"/>
  <c r="AV30" i="50"/>
  <c r="AB42" i="50"/>
  <c r="BC45" i="50"/>
  <c r="R27" i="50"/>
  <c r="S15" i="50"/>
  <c r="AT17" i="50"/>
  <c r="R45" i="50"/>
  <c r="AL27" i="50"/>
  <c r="BB48" i="50"/>
  <c r="L5" i="50"/>
  <c r="M41" i="50"/>
  <c r="T48" i="50"/>
  <c r="N42" i="50"/>
  <c r="AK33" i="50"/>
  <c r="M43" i="50"/>
  <c r="AS50" i="50"/>
  <c r="AE12" i="50"/>
  <c r="AW39" i="50"/>
  <c r="AV42" i="50"/>
  <c r="AS16" i="50"/>
  <c r="AH40" i="50"/>
  <c r="AU50" i="50"/>
  <c r="AP51" i="50"/>
  <c r="AK30" i="50"/>
  <c r="O15" i="50"/>
  <c r="M27" i="50"/>
  <c r="Y19" i="50"/>
  <c r="AP52" i="50"/>
  <c r="S49" i="50"/>
  <c r="Z50" i="50"/>
  <c r="V40" i="50"/>
  <c r="AJ15" i="50"/>
  <c r="AY45" i="50"/>
  <c r="S40" i="50"/>
  <c r="AZ41" i="50"/>
  <c r="AK25" i="50"/>
  <c r="AG44" i="50"/>
  <c r="V17" i="50"/>
  <c r="AX35" i="50"/>
  <c r="AX38" i="50"/>
  <c r="AL25" i="50"/>
  <c r="AW34" i="50"/>
  <c r="Y15" i="50"/>
  <c r="AI22" i="50"/>
  <c r="AU4" i="50"/>
  <c r="AB30" i="50"/>
  <c r="U37" i="50"/>
  <c r="AF4" i="50"/>
  <c r="AX46" i="50"/>
  <c r="AF42" i="50"/>
  <c r="AL14" i="50"/>
  <c r="N27" i="50"/>
  <c r="AH14" i="50"/>
  <c r="AR32" i="50"/>
  <c r="AW15" i="50"/>
  <c r="AQ37" i="50"/>
  <c r="BA34" i="50"/>
  <c r="N29" i="50"/>
  <c r="AM22" i="50"/>
  <c r="AX45" i="50"/>
  <c r="AF31" i="50"/>
  <c r="S45" i="50"/>
  <c r="AE28" i="50"/>
  <c r="AC43" i="50"/>
  <c r="BA48" i="50"/>
  <c r="AO18" i="50"/>
  <c r="AG22" i="50"/>
  <c r="AL19" i="50"/>
  <c r="M42" i="50"/>
  <c r="S38" i="50"/>
  <c r="AR42" i="50"/>
  <c r="N40" i="50"/>
  <c r="AY37" i="50"/>
  <c r="AA32" i="50"/>
  <c r="AW26" i="50"/>
  <c r="Y48" i="50"/>
  <c r="AW52" i="50"/>
  <c r="Q48" i="50"/>
  <c r="P52" i="50"/>
  <c r="AJ5" i="50"/>
  <c r="AL33" i="50"/>
  <c r="AH5" i="50"/>
  <c r="AS14" i="50"/>
  <c r="AP30" i="50"/>
  <c r="V25" i="50"/>
  <c r="AD16" i="50"/>
  <c r="BA4" i="50"/>
  <c r="AP14" i="50"/>
  <c r="AL49" i="50"/>
  <c r="AO49" i="50"/>
  <c r="AZ16" i="50"/>
  <c r="BC46" i="50"/>
  <c r="R30" i="50"/>
  <c r="AK41" i="50"/>
  <c r="L29" i="50"/>
  <c r="AS17" i="50"/>
  <c r="AW37" i="50"/>
  <c r="AV14" i="50"/>
  <c r="X42" i="50"/>
  <c r="Z22" i="50"/>
  <c r="AE39" i="50"/>
  <c r="AY47" i="50"/>
  <c r="AK38" i="50"/>
  <c r="Q28" i="50"/>
  <c r="L41" i="50"/>
  <c r="AD43" i="50"/>
  <c r="AQ20" i="50"/>
  <c r="AA31" i="50"/>
  <c r="AD5" i="50"/>
  <c r="AM50" i="50"/>
  <c r="AD51" i="50"/>
  <c r="AS52" i="50"/>
  <c r="AM46" i="50"/>
  <c r="AZ44" i="50"/>
  <c r="S28" i="50"/>
  <c r="AU16" i="50"/>
  <c r="M33" i="50"/>
  <c r="AV51" i="50"/>
  <c r="P26" i="50"/>
  <c r="AZ49" i="50"/>
  <c r="AT46" i="50"/>
  <c r="AJ45" i="50"/>
  <c r="AG17" i="50"/>
  <c r="AT31" i="50"/>
  <c r="P19" i="50"/>
  <c r="AB24" i="50"/>
  <c r="AH17" i="50"/>
  <c r="Z41" i="50"/>
  <c r="BB37" i="50"/>
  <c r="BC31" i="50"/>
  <c r="N37" i="50"/>
  <c r="Q16" i="50"/>
  <c r="AB18" i="50"/>
  <c r="S31" i="50"/>
  <c r="AW36" i="50"/>
  <c r="AX32" i="50"/>
  <c r="AT41" i="50"/>
  <c r="AQ42" i="50"/>
  <c r="AZ43" i="50"/>
  <c r="AJ13" i="50"/>
  <c r="AP43" i="50"/>
  <c r="AY48" i="50"/>
  <c r="AO44" i="50"/>
  <c r="AV39" i="50"/>
  <c r="AZ20" i="50"/>
  <c r="BC15" i="50"/>
  <c r="BC47" i="50"/>
  <c r="AK52" i="50"/>
  <c r="AB16" i="50"/>
  <c r="AG42" i="50"/>
  <c r="AC4" i="50"/>
  <c r="W43" i="50"/>
  <c r="AW42" i="50"/>
  <c r="AT52" i="50"/>
  <c r="Q31" i="50"/>
  <c r="M40" i="50"/>
  <c r="AY35" i="50"/>
  <c r="T47" i="50"/>
  <c r="AR33" i="50"/>
  <c r="AI28" i="50"/>
  <c r="AG45" i="50"/>
  <c r="AD23" i="50"/>
  <c r="AJ22" i="50"/>
  <c r="BC22" i="50"/>
  <c r="N21" i="50"/>
  <c r="T32" i="50"/>
  <c r="AW48" i="50"/>
  <c r="AK50" i="50"/>
  <c r="AP50" i="50"/>
  <c r="M24" i="50"/>
  <c r="AB35" i="50"/>
  <c r="AT42" i="50"/>
  <c r="AF28" i="50"/>
  <c r="AJ16" i="50"/>
  <c r="N28" i="50"/>
  <c r="BB38" i="50"/>
  <c r="U46" i="50"/>
  <c r="N18" i="50"/>
  <c r="AI23" i="50"/>
  <c r="W44" i="50"/>
  <c r="AX28" i="50"/>
  <c r="M16" i="50"/>
  <c r="AX33" i="50"/>
  <c r="S39" i="50"/>
  <c r="AL22" i="50"/>
  <c r="AW25" i="50"/>
  <c r="S14" i="50"/>
  <c r="W32" i="50"/>
  <c r="AA23" i="50"/>
  <c r="AJ23" i="50"/>
  <c r="AP28" i="50"/>
  <c r="AV31" i="50"/>
  <c r="AI38" i="50"/>
  <c r="R22" i="50"/>
  <c r="P40" i="50"/>
  <c r="AT35" i="50"/>
  <c r="AE32" i="50"/>
  <c r="AK44" i="50"/>
  <c r="P14" i="50"/>
  <c r="Z17" i="50"/>
  <c r="AY43" i="50"/>
  <c r="AC36" i="50"/>
  <c r="AR29" i="50"/>
  <c r="AJ39" i="50"/>
  <c r="W31" i="50"/>
  <c r="AI41" i="50"/>
  <c r="AF24" i="50"/>
  <c r="AT47" i="50"/>
  <c r="AH33" i="50"/>
  <c r="AY41" i="50"/>
  <c r="AN30" i="50"/>
  <c r="AA40" i="50"/>
  <c r="AZ51" i="50"/>
  <c r="AP27" i="50"/>
  <c r="N17" i="50"/>
  <c r="AP37" i="50"/>
  <c r="AG15" i="50"/>
  <c r="AE17" i="50"/>
  <c r="AH28" i="50"/>
  <c r="S12" i="50"/>
  <c r="AN36" i="50"/>
  <c r="AK45" i="50"/>
  <c r="AD34" i="50"/>
  <c r="U38" i="50"/>
  <c r="AB19" i="50"/>
  <c r="Z5" i="50"/>
  <c r="R42" i="50"/>
  <c r="AO16" i="50"/>
  <c r="AX52" i="50"/>
  <c r="N35" i="50"/>
  <c r="AH51" i="50"/>
  <c r="BC34" i="50"/>
  <c r="AB51" i="50"/>
  <c r="AO22" i="50"/>
  <c r="Q43" i="50"/>
  <c r="L43" i="50"/>
  <c r="AM25" i="50"/>
  <c r="AT48" i="50"/>
  <c r="AT18" i="50"/>
  <c r="O42" i="50"/>
  <c r="S23" i="50"/>
  <c r="AZ4" i="50"/>
  <c r="AB26" i="50"/>
  <c r="AS46" i="50"/>
  <c r="BA36" i="50"/>
  <c r="AO12" i="50"/>
  <c r="AX31" i="50"/>
  <c r="AB52" i="50"/>
  <c r="S33" i="50"/>
  <c r="AE21" i="50"/>
  <c r="R32" i="50"/>
  <c r="Q25" i="50"/>
  <c r="AD48" i="50"/>
  <c r="AY4" i="50"/>
  <c r="Z49" i="50"/>
  <c r="AI5" i="50"/>
  <c r="V38" i="50"/>
  <c r="W23" i="50"/>
  <c r="AH52" i="50"/>
  <c r="AT15" i="50"/>
  <c r="BB15" i="50"/>
  <c r="BA37" i="50"/>
  <c r="AH37" i="50"/>
  <c r="AG49" i="50"/>
  <c r="S4" i="50"/>
  <c r="AT51" i="50"/>
  <c r="AK14" i="50"/>
  <c r="AD31" i="50"/>
  <c r="W40" i="50"/>
  <c r="U26" i="50"/>
  <c r="AT44" i="50"/>
  <c r="L33" i="50"/>
  <c r="AR25" i="50"/>
  <c r="AU51" i="50"/>
  <c r="X50" i="50"/>
  <c r="AS12" i="50"/>
  <c r="AJ35" i="50"/>
  <c r="M13" i="50"/>
  <c r="AA50" i="50"/>
  <c r="S46" i="50"/>
  <c r="BC29" i="50"/>
  <c r="AG38" i="50"/>
  <c r="AU17" i="50"/>
  <c r="AJ4" i="50"/>
  <c r="W18" i="50"/>
  <c r="AT14" i="50"/>
  <c r="O17" i="50"/>
  <c r="AG48" i="50"/>
  <c r="AN47" i="50"/>
  <c r="AY32" i="50"/>
  <c r="X13" i="50"/>
  <c r="AL20" i="50"/>
  <c r="BB26" i="50"/>
  <c r="BA13" i="50"/>
  <c r="AS35" i="50"/>
  <c r="AZ23" i="50"/>
  <c r="AW35" i="50"/>
  <c r="AW32" i="50"/>
  <c r="AQ41" i="50"/>
  <c r="S21" i="50"/>
  <c r="AO38" i="50"/>
  <c r="AU34" i="50"/>
  <c r="AY51" i="50"/>
  <c r="AP4" i="50"/>
  <c r="BC40" i="50"/>
  <c r="AQ27" i="50"/>
  <c r="AJ38" i="50"/>
  <c r="Z52" i="50"/>
  <c r="AO47" i="50"/>
  <c r="P30" i="50"/>
  <c r="W34" i="50"/>
  <c r="AB32" i="50"/>
  <c r="Y16" i="50"/>
  <c r="AP24" i="50"/>
  <c r="AF34" i="50"/>
  <c r="T12" i="50"/>
  <c r="AA38" i="50"/>
  <c r="T29" i="50"/>
  <c r="AE37" i="50"/>
  <c r="AD47" i="50"/>
  <c r="BB20" i="50"/>
  <c r="AE42" i="50"/>
  <c r="BC20" i="50"/>
  <c r="V51" i="50"/>
  <c r="AY21" i="50"/>
  <c r="X44" i="50"/>
  <c r="AJ51" i="50"/>
  <c r="L17" i="50"/>
  <c r="X36" i="50"/>
  <c r="U29" i="50"/>
  <c r="Z14" i="50"/>
  <c r="P27" i="50"/>
  <c r="BB47" i="50"/>
  <c r="AC29" i="50"/>
  <c r="AY27" i="50"/>
  <c r="AK34" i="50"/>
  <c r="AA37" i="50"/>
  <c r="T45" i="50"/>
  <c r="AQ31" i="50"/>
  <c r="AE31" i="50"/>
  <c r="R29" i="50"/>
  <c r="AM51" i="50"/>
  <c r="AS38" i="50"/>
  <c r="AM5" i="50"/>
  <c r="AE47" i="50"/>
  <c r="AZ12" i="50"/>
  <c r="AO29" i="50"/>
  <c r="AR48" i="50"/>
  <c r="AK17" i="50"/>
  <c r="AA16" i="50"/>
  <c r="M37" i="50"/>
  <c r="AJ18" i="50"/>
  <c r="AJ14" i="50"/>
  <c r="AR46" i="50"/>
  <c r="AO35" i="50"/>
  <c r="M45" i="50"/>
  <c r="BC37" i="50"/>
  <c r="M22" i="50"/>
  <c r="Q22" i="50"/>
  <c r="AW51" i="50"/>
  <c r="AO28" i="50"/>
  <c r="AY17" i="50"/>
  <c r="BC12" i="50"/>
  <c r="AQ33" i="50"/>
  <c r="AR34" i="50"/>
  <c r="AU28" i="50"/>
  <c r="AB22" i="50"/>
  <c r="AT30" i="50"/>
  <c r="AC33" i="50"/>
  <c r="AQ14" i="50"/>
  <c r="AG52" i="50"/>
  <c r="Q29" i="50"/>
  <c r="P34" i="50"/>
  <c r="AA39" i="50"/>
  <c r="P41" i="50"/>
  <c r="AR4" i="50"/>
  <c r="AX49" i="50"/>
  <c r="AD49" i="50"/>
  <c r="AQ30" i="50"/>
  <c r="AQ38" i="50"/>
  <c r="BB19" i="50"/>
  <c r="AF30" i="50"/>
  <c r="AP20" i="50"/>
  <c r="AX27" i="50"/>
  <c r="AN50" i="50"/>
  <c r="AL46" i="50"/>
  <c r="AT38" i="50"/>
  <c r="AW20" i="50"/>
  <c r="N33" i="50"/>
  <c r="Y21" i="50"/>
  <c r="AQ21" i="50"/>
  <c r="Z45" i="50"/>
  <c r="P51" i="50"/>
  <c r="AV44" i="50"/>
  <c r="BC41" i="50"/>
  <c r="W37" i="50"/>
  <c r="AS26" i="50"/>
  <c r="AE36" i="50"/>
  <c r="AC35" i="50"/>
  <c r="AW21" i="50"/>
  <c r="AF36" i="50"/>
  <c r="M49" i="50"/>
  <c r="AD36" i="50"/>
  <c r="BB25" i="50"/>
  <c r="AG29" i="50"/>
  <c r="AU5" i="50"/>
  <c r="BB32" i="50"/>
  <c r="AA4" i="50"/>
  <c r="AM37" i="50"/>
  <c r="AT21" i="50"/>
  <c r="Y24" i="50"/>
  <c r="AB36" i="50"/>
  <c r="Y20" i="50"/>
  <c r="V30" i="50"/>
  <c r="AR44" i="50"/>
  <c r="W45" i="50"/>
  <c r="AM18" i="50"/>
  <c r="L48" i="50"/>
  <c r="Z47" i="50"/>
  <c r="AA19" i="50"/>
  <c r="AC26" i="50"/>
  <c r="AY12" i="50"/>
  <c r="AU44" i="50"/>
  <c r="V31" i="50"/>
  <c r="AQ36" i="50"/>
  <c r="R25" i="50"/>
  <c r="O31" i="50"/>
  <c r="AN35" i="50"/>
  <c r="BA41" i="50"/>
  <c r="AT43" i="50"/>
  <c r="AM42" i="50"/>
  <c r="AZ5" i="50"/>
  <c r="AD40" i="50"/>
  <c r="AY23" i="50"/>
  <c r="V36" i="50"/>
  <c r="AV35" i="50"/>
  <c r="Y37" i="50"/>
  <c r="AI34" i="50"/>
  <c r="U31" i="50"/>
  <c r="AA33" i="50"/>
  <c r="AH29" i="50"/>
  <c r="AG51" i="50"/>
  <c r="AO48" i="50"/>
  <c r="AK42" i="50"/>
  <c r="T15" i="50"/>
  <c r="Y35" i="50"/>
  <c r="AG39" i="50"/>
  <c r="X20" i="50"/>
  <c r="AN51" i="50"/>
  <c r="AQ50" i="50"/>
  <c r="O50" i="50"/>
  <c r="P43" i="50"/>
  <c r="AO20" i="50"/>
  <c r="AV50" i="50"/>
  <c r="U44" i="50"/>
  <c r="AH23" i="50"/>
  <c r="AS20" i="50"/>
  <c r="AA48" i="50"/>
  <c r="AJ42" i="50"/>
  <c r="AL12" i="50"/>
  <c r="AH4" i="50"/>
  <c r="M30" i="50"/>
  <c r="AM19" i="50"/>
  <c r="AO33" i="50"/>
  <c r="X43" i="50"/>
  <c r="N4" i="50"/>
  <c r="AS39" i="50"/>
  <c r="AP38" i="50"/>
  <c r="AA21" i="50"/>
  <c r="Y46" i="50"/>
  <c r="AT34" i="50"/>
  <c r="O30" i="50"/>
  <c r="Z29" i="50"/>
  <c r="BC36" i="50"/>
  <c r="U15" i="50"/>
  <c r="BA52" i="50"/>
  <c r="AZ34" i="50"/>
  <c r="AJ36" i="50"/>
  <c r="AL43" i="50"/>
  <c r="P32" i="50"/>
  <c r="W50" i="50"/>
  <c r="Y52" i="50"/>
  <c r="AK37" i="50"/>
  <c r="U5" i="50"/>
  <c r="AR18" i="50"/>
  <c r="AQ22" i="50"/>
  <c r="AB49" i="50"/>
  <c r="AW44" i="50"/>
  <c r="X51" i="50"/>
  <c r="P23" i="50"/>
  <c r="P38" i="50"/>
  <c r="AY15" i="50"/>
  <c r="AG47" i="50"/>
  <c r="AY36" i="50"/>
  <c r="AE33" i="50"/>
  <c r="AN12" i="50"/>
  <c r="AE25" i="50"/>
  <c r="AE44" i="50"/>
  <c r="T26" i="50"/>
  <c r="N39" i="50"/>
  <c r="AK43" i="50"/>
  <c r="AR16" i="50"/>
  <c r="M46" i="50"/>
  <c r="AU20" i="50"/>
  <c r="AC21" i="50"/>
  <c r="W21" i="50"/>
  <c r="O39" i="50"/>
  <c r="T38" i="50"/>
  <c r="AM30" i="50"/>
  <c r="W49" i="50"/>
  <c r="BB27" i="50"/>
  <c r="AQ45" i="50"/>
  <c r="N50" i="50"/>
  <c r="AC40" i="50"/>
  <c r="AX40" i="50"/>
  <c r="AR22" i="50"/>
  <c r="AG14" i="50"/>
  <c r="AU47" i="50"/>
  <c r="AM15" i="50"/>
  <c r="Q41" i="50"/>
  <c r="AW24" i="50"/>
  <c r="AL17" i="50"/>
  <c r="Y29" i="50"/>
  <c r="AR36" i="50"/>
  <c r="Y39" i="50"/>
  <c r="Q34" i="50"/>
  <c r="Z34" i="50"/>
  <c r="AC14" i="50"/>
  <c r="AU52" i="50"/>
  <c r="BC51" i="50"/>
  <c r="AZ36" i="50"/>
  <c r="V19" i="50"/>
  <c r="AX25" i="50"/>
  <c r="AS27" i="50"/>
  <c r="S52" i="50"/>
  <c r="AR52" i="50"/>
  <c r="AY18" i="50"/>
  <c r="BB4" i="50"/>
  <c r="AX14" i="50"/>
  <c r="Z38" i="50"/>
  <c r="S47" i="50"/>
  <c r="S34" i="50"/>
  <c r="AD30" i="50"/>
  <c r="AB48" i="50"/>
  <c r="AP17" i="50"/>
  <c r="AL28" i="50"/>
  <c r="AQ40" i="50"/>
  <c r="AC5" i="50"/>
  <c r="AN13" i="50"/>
  <c r="AP42" i="50"/>
  <c r="AN31" i="50"/>
  <c r="AQ12" i="50"/>
  <c r="AO13" i="50"/>
  <c r="BA25" i="50"/>
  <c r="T51" i="50"/>
  <c r="M25" i="50"/>
  <c r="O29" i="50"/>
  <c r="S27" i="50"/>
  <c r="AB47" i="50"/>
  <c r="AG33" i="50"/>
  <c r="AO21" i="50"/>
  <c r="AE15" i="50"/>
  <c r="O38" i="50"/>
  <c r="AN17" i="50"/>
  <c r="AM14" i="50"/>
  <c r="AS13" i="50"/>
  <c r="AC49" i="50"/>
  <c r="R39" i="50"/>
  <c r="BA51" i="50"/>
  <c r="O25" i="50"/>
  <c r="Z27" i="50"/>
  <c r="U45" i="50"/>
  <c r="Q37" i="50"/>
  <c r="AL42" i="50"/>
  <c r="Y23" i="50"/>
  <c r="X38" i="50"/>
  <c r="AU25" i="50"/>
  <c r="AA36" i="50"/>
  <c r="N22" i="50"/>
  <c r="AE49" i="50"/>
  <c r="X33" i="50"/>
  <c r="M44" i="50"/>
  <c r="Q18" i="50"/>
  <c r="AI4" i="50"/>
  <c r="AN24" i="50"/>
  <c r="AK26" i="50"/>
  <c r="AF22" i="50"/>
  <c r="L37" i="50"/>
  <c r="AQ48" i="50"/>
  <c r="Z19" i="50"/>
  <c r="AW18" i="50"/>
  <c r="AP23" i="50"/>
  <c r="AX17" i="50"/>
  <c r="T43" i="50"/>
  <c r="BA22" i="50"/>
  <c r="S32" i="50"/>
  <c r="BC26" i="50"/>
  <c r="W24" i="50"/>
  <c r="AH43" i="50"/>
  <c r="AL13" i="50"/>
  <c r="AZ48" i="50"/>
  <c r="Q27" i="50"/>
  <c r="R37" i="50"/>
  <c r="AA30" i="50"/>
  <c r="AN49" i="50"/>
  <c r="AZ30" i="50"/>
  <c r="AC41" i="50"/>
  <c r="AH50" i="50"/>
  <c r="W47" i="50"/>
  <c r="W25" i="50"/>
  <c r="W26" i="50"/>
  <c r="AB17" i="50"/>
  <c r="T17" i="50"/>
  <c r="AC51" i="50"/>
  <c r="BB44" i="50"/>
  <c r="AS28" i="50"/>
  <c r="M19" i="50"/>
  <c r="BA16" i="50"/>
  <c r="AT4" i="50"/>
  <c r="O19" i="50"/>
  <c r="S42" i="50"/>
  <c r="Y13" i="50"/>
  <c r="AV32" i="50"/>
  <c r="V23" i="50"/>
  <c r="AL50" i="50"/>
  <c r="AF19" i="50"/>
  <c r="AA49" i="50"/>
  <c r="AG24" i="50"/>
  <c r="AQ49" i="50"/>
  <c r="AC25" i="50"/>
  <c r="O5" i="50"/>
  <c r="X35" i="50"/>
  <c r="AJ49" i="50"/>
  <c r="BC52" i="50"/>
  <c r="AJ31" i="50"/>
  <c r="R50" i="50"/>
  <c r="AX42" i="50"/>
  <c r="AK49" i="50"/>
  <c r="BA14" i="50"/>
  <c r="AK46" i="50"/>
  <c r="N47" i="50"/>
  <c r="AZ17" i="50"/>
  <c r="S13" i="50"/>
  <c r="BB40" i="50"/>
  <c r="M17" i="50"/>
  <c r="R44" i="50"/>
  <c r="AH16" i="50"/>
  <c r="AV21" i="50"/>
  <c r="AQ5" i="50"/>
  <c r="AU35" i="50"/>
  <c r="AK48" i="50"/>
  <c r="P15" i="50"/>
  <c r="AS5" i="50"/>
  <c r="AF44" i="50"/>
  <c r="R14" i="50"/>
  <c r="AD41" i="50"/>
  <c r="AB13" i="50"/>
  <c r="R43" i="50"/>
  <c r="R15" i="50"/>
  <c r="Q23" i="50"/>
  <c r="T27" i="50"/>
  <c r="AO45" i="50"/>
  <c r="AR12" i="50"/>
  <c r="W14" i="50"/>
  <c r="Z31" i="50"/>
  <c r="BB46" i="50"/>
  <c r="V21" i="50"/>
  <c r="AB20" i="50"/>
  <c r="AS34" i="50"/>
  <c r="AR35" i="50"/>
  <c r="Q52" i="50"/>
  <c r="M36" i="50"/>
  <c r="AI46" i="50"/>
  <c r="AM28" i="50"/>
  <c r="V16" i="50"/>
  <c r="AE30" i="50"/>
  <c r="AQ17" i="50"/>
  <c r="AT24" i="50"/>
  <c r="AK27" i="50"/>
  <c r="AI17" i="50"/>
  <c r="R33" i="50"/>
  <c r="AA14" i="50"/>
  <c r="Q14" i="50"/>
  <c r="AI51" i="50"/>
  <c r="Y49" i="50"/>
  <c r="W22" i="50"/>
  <c r="AU18" i="50"/>
  <c r="BA38" i="50"/>
  <c r="U14" i="50"/>
  <c r="P25" i="50"/>
  <c r="AE23" i="50"/>
  <c r="AR28" i="50"/>
  <c r="AB34" i="50"/>
  <c r="AF39" i="50"/>
  <c r="N41" i="50"/>
  <c r="AS21" i="50"/>
  <c r="AC16" i="50"/>
  <c r="T36" i="50"/>
  <c r="AL44" i="50"/>
  <c r="W35" i="50"/>
  <c r="AJ44" i="50"/>
  <c r="S25" i="50"/>
  <c r="AF23" i="50"/>
  <c r="AG20" i="50"/>
  <c r="AF40" i="50"/>
  <c r="AT39" i="50"/>
  <c r="AB4" i="50"/>
  <c r="AJ41" i="50"/>
  <c r="BC19" i="50"/>
  <c r="U18" i="50"/>
  <c r="AN22" i="50"/>
  <c r="AN40" i="50"/>
  <c r="AN19" i="50"/>
  <c r="P22" i="50"/>
  <c r="AG18" i="50"/>
  <c r="AO43" i="50"/>
  <c r="AK28" i="50"/>
  <c r="AY20" i="50"/>
  <c r="BC16" i="50"/>
  <c r="Y50" i="50"/>
  <c r="O28" i="50"/>
  <c r="AE48" i="50"/>
  <c r="AH39" i="50"/>
  <c r="AQ4" i="50"/>
  <c r="AD19" i="50"/>
  <c r="U34" i="50"/>
  <c r="V13" i="50"/>
  <c r="X17" i="50"/>
  <c r="V20" i="50"/>
  <c r="AX20" i="50"/>
  <c r="Q35" i="50"/>
  <c r="O47" i="50"/>
  <c r="AD22" i="50"/>
  <c r="AC39" i="50"/>
  <c r="AN52" i="50"/>
  <c r="AM27" i="50"/>
  <c r="AD15" i="50"/>
  <c r="AR13" i="50"/>
  <c r="AP34" i="50"/>
  <c r="Y30" i="50"/>
  <c r="O21" i="50"/>
  <c r="AW17" i="50"/>
  <c r="AZ47" i="50"/>
  <c r="V43" i="50"/>
  <c r="AF17" i="50"/>
  <c r="T52" i="50"/>
  <c r="AV34" i="50"/>
  <c r="BC43" i="50"/>
  <c r="AN41" i="50"/>
  <c r="R17" i="50"/>
  <c r="AU29" i="50"/>
  <c r="BC28" i="50"/>
  <c r="AF45" i="50"/>
  <c r="BA12" i="50"/>
  <c r="Q51" i="50"/>
  <c r="AQ46" i="50"/>
  <c r="AZ18" i="50"/>
  <c r="AY29" i="50"/>
  <c r="AK31" i="50"/>
  <c r="AV40" i="50"/>
  <c r="AS15" i="50"/>
  <c r="AW4" i="50"/>
  <c r="W33" i="50"/>
  <c r="AZ13" i="50"/>
  <c r="V42" i="50"/>
  <c r="M15" i="50"/>
  <c r="AW14" i="50"/>
  <c r="BA5" i="50"/>
  <c r="BA19" i="50"/>
  <c r="AY16" i="50"/>
  <c r="AX50" i="50"/>
  <c r="AA25" i="50"/>
  <c r="AJ37" i="50"/>
  <c r="M21" i="50"/>
  <c r="AX43" i="50"/>
  <c r="O43" i="50"/>
  <c r="AM32" i="50"/>
  <c r="AF49" i="50"/>
  <c r="Y47" i="50"/>
  <c r="AA13" i="50"/>
  <c r="AI35" i="50"/>
  <c r="Z32" i="50"/>
  <c r="AH32" i="50"/>
  <c r="AC32" i="50"/>
  <c r="AP19" i="50"/>
  <c r="BB31" i="50"/>
  <c r="AB43" i="50"/>
  <c r="AR31" i="50"/>
  <c r="L40" i="50"/>
  <c r="M38" i="50"/>
  <c r="T39" i="50"/>
  <c r="AT12" i="50"/>
  <c r="L27" i="50"/>
  <c r="Y27" i="50"/>
  <c r="AF13" i="50"/>
  <c r="V4" i="50"/>
  <c r="AM36" i="50"/>
  <c r="AW41" i="50"/>
  <c r="M28" i="50"/>
  <c r="AA43" i="50"/>
  <c r="Z13" i="50"/>
  <c r="AF38" i="50"/>
  <c r="AJ20" i="50"/>
  <c r="AA5" i="50"/>
  <c r="AL39" i="50"/>
  <c r="AL34" i="50"/>
  <c r="P33" i="50"/>
  <c r="AK51" i="50"/>
  <c r="AZ50" i="50"/>
  <c r="AS24" i="50"/>
  <c r="O33" i="50"/>
  <c r="W52" i="50"/>
  <c r="AJ19" i="50"/>
  <c r="L50" i="50"/>
  <c r="AI45" i="50"/>
  <c r="AU23" i="50"/>
  <c r="U50" i="50"/>
  <c r="N44" i="50"/>
  <c r="Z37" i="50"/>
  <c r="O41" i="50"/>
  <c r="L18" i="50"/>
  <c r="AB38" i="50"/>
  <c r="AV52" i="50"/>
  <c r="AN16" i="50"/>
  <c r="BC5" i="50"/>
  <c r="Z48" i="50"/>
  <c r="AY44" i="50"/>
  <c r="AO46" i="50"/>
  <c r="AY34" i="50"/>
  <c r="Y42" i="50"/>
  <c r="AY42" i="50"/>
  <c r="AV33" i="50"/>
  <c r="AO36" i="50"/>
  <c r="V22" i="50"/>
  <c r="AX48" i="50"/>
  <c r="AU27" i="50"/>
  <c r="AI25" i="50"/>
  <c r="AS45" i="50"/>
  <c r="T19" i="50"/>
  <c r="AX23" i="50"/>
  <c r="AS40" i="50"/>
  <c r="BC21" i="50"/>
  <c r="S50" i="50"/>
  <c r="BC44" i="50"/>
  <c r="S41" i="50"/>
  <c r="BB23" i="50"/>
  <c r="O26" i="50"/>
  <c r="L32" i="50"/>
  <c r="U42" i="50"/>
  <c r="AP35" i="50"/>
  <c r="AK20" i="50"/>
  <c r="AD12" i="50"/>
  <c r="U21" i="50"/>
  <c r="AE43" i="50"/>
  <c r="AM26" i="50"/>
  <c r="AQ15" i="50"/>
  <c r="AH30" i="50"/>
  <c r="BA21" i="50"/>
  <c r="AO23" i="50"/>
  <c r="AI27" i="50"/>
  <c r="AW22" i="50"/>
  <c r="AZ40" i="50"/>
  <c r="M18" i="50"/>
  <c r="AP33" i="50"/>
  <c r="AH12" i="50"/>
  <c r="L16" i="50"/>
  <c r="Q33" i="50"/>
  <c r="L52" i="50"/>
  <c r="Z44" i="50"/>
  <c r="W38" i="50"/>
  <c r="Q36" i="50"/>
  <c r="AD32" i="50"/>
  <c r="AC17" i="50"/>
  <c r="R38" i="50"/>
  <c r="Y40" i="50"/>
  <c r="AU38" i="50"/>
  <c r="AE29" i="50"/>
  <c r="Y18" i="50"/>
  <c r="AV4" i="50"/>
  <c r="BA17" i="50"/>
  <c r="L20" i="50"/>
  <c r="BA31" i="50"/>
  <c r="AL26" i="50"/>
  <c r="AG27" i="50"/>
  <c r="Q47" i="50"/>
  <c r="AS48" i="50"/>
  <c r="AP25" i="50"/>
  <c r="N25" i="50"/>
  <c r="S16" i="50"/>
  <c r="U40" i="50"/>
  <c r="AO4" i="50"/>
  <c r="AI21" i="50"/>
  <c r="O52" i="50"/>
  <c r="AO32" i="50"/>
  <c r="AL38" i="50"/>
  <c r="X24" i="50"/>
  <c r="AH22" i="50"/>
  <c r="O45" i="50"/>
  <c r="AV38" i="50"/>
  <c r="U52" i="50"/>
  <c r="BB13" i="50"/>
  <c r="AS32" i="50"/>
  <c r="AV49" i="50"/>
  <c r="M39" i="50"/>
  <c r="AJ26" i="50"/>
  <c r="P39" i="50"/>
  <c r="P44" i="50"/>
  <c r="L28" i="50"/>
  <c r="X48" i="50"/>
  <c r="L42" i="50"/>
  <c r="AT49" i="50"/>
  <c r="AW38" i="50"/>
  <c r="T25" i="50"/>
  <c r="AA20" i="50"/>
  <c r="AA12" i="50"/>
  <c r="T28" i="50"/>
  <c r="AV36" i="50"/>
  <c r="BA24" i="50"/>
  <c r="AG13" i="50"/>
  <c r="AM13" i="50"/>
  <c r="AO40" i="50"/>
  <c r="AX22" i="50"/>
  <c r="BA50" i="50"/>
  <c r="AN14" i="50"/>
  <c r="AY40" i="50"/>
  <c r="L34" i="50"/>
  <c r="BB42" i="50"/>
  <c r="BA15" i="50"/>
  <c r="AS22" i="50"/>
  <c r="BB17" i="50"/>
  <c r="AX4" i="50"/>
  <c r="AW23" i="50"/>
  <c r="BC18" i="50"/>
  <c r="X23" i="50"/>
  <c r="AP48" i="50"/>
  <c r="M12" i="50"/>
  <c r="O16" i="50"/>
  <c r="Q17" i="50"/>
  <c r="AW46" i="50"/>
  <c r="U19" i="50"/>
  <c r="AC37" i="50"/>
  <c r="AP36" i="50"/>
  <c r="L46" i="50"/>
  <c r="M20" i="50"/>
  <c r="AC28" i="50"/>
  <c r="AI49" i="50"/>
  <c r="U30" i="50"/>
  <c r="U35" i="50"/>
  <c r="AU49" i="50"/>
  <c r="AI52" i="50"/>
  <c r="BC42" i="50"/>
  <c r="AU30" i="50"/>
  <c r="W30" i="50"/>
  <c r="U49" i="50"/>
  <c r="AN23" i="50"/>
  <c r="P47" i="50"/>
  <c r="AB39" i="50"/>
  <c r="BC17" i="50"/>
  <c r="O34" i="50"/>
  <c r="AY39" i="50"/>
  <c r="AM29" i="50"/>
  <c r="L30" i="50"/>
  <c r="AN21" i="50"/>
  <c r="M47" i="50"/>
  <c r="AG30" i="50"/>
  <c r="AW16" i="50"/>
  <c r="T16" i="50"/>
  <c r="M14" i="50"/>
  <c r="AG21" i="50"/>
  <c r="AC30" i="50"/>
  <c r="S44" i="50"/>
  <c r="AQ25" i="50"/>
  <c r="AI30" i="50"/>
  <c r="AP29" i="50"/>
  <c r="Y51" i="50"/>
  <c r="AK19" i="50"/>
  <c r="W12" i="50"/>
  <c r="P16" i="50"/>
  <c r="AH47" i="50"/>
  <c r="AA41" i="50"/>
  <c r="AP21" i="50"/>
  <c r="AJ30" i="50"/>
  <c r="AW45" i="50"/>
  <c r="AG23" i="50"/>
  <c r="AX51" i="50"/>
  <c r="AQ13" i="50"/>
  <c r="AV46" i="50"/>
  <c r="BC50" i="50"/>
  <c r="Y34" i="50"/>
  <c r="AM21" i="50"/>
  <c r="N23" i="50"/>
  <c r="AI44" i="50"/>
  <c r="O46" i="50"/>
  <c r="AM40" i="50"/>
  <c r="AD45" i="50"/>
  <c r="AQ39" i="50"/>
  <c r="M35" i="50"/>
  <c r="S36" i="50"/>
  <c r="AG34" i="50"/>
  <c r="AP44" i="50"/>
  <c r="AU42" i="50"/>
  <c r="M34" i="50"/>
  <c r="P21" i="50"/>
  <c r="AQ44" i="50"/>
  <c r="BB35" i="50"/>
  <c r="BC4" i="50"/>
  <c r="AB45" i="50"/>
  <c r="W19" i="50"/>
  <c r="BB33" i="50"/>
  <c r="AA18" i="50"/>
  <c r="BA47" i="50"/>
  <c r="T40" i="50"/>
  <c r="AR5" i="50"/>
  <c r="V44" i="50"/>
  <c r="AH49" i="50"/>
  <c r="T46" i="50"/>
  <c r="Y33" i="50"/>
  <c r="S51" i="50"/>
  <c r="AV37" i="50"/>
  <c r="T22" i="50"/>
  <c r="AW19" i="50"/>
  <c r="O12" i="50"/>
  <c r="AR38" i="50"/>
  <c r="L35" i="50"/>
  <c r="R40" i="50"/>
  <c r="X12" i="50"/>
  <c r="AZ46" i="50"/>
  <c r="AB14" i="50"/>
  <c r="T23" i="50"/>
  <c r="AS31" i="50"/>
  <c r="BB30" i="50"/>
  <c r="AU46" i="50"/>
  <c r="AJ34" i="50"/>
  <c r="BB41" i="50"/>
  <c r="AX37" i="50"/>
  <c r="Y12" i="50"/>
  <c r="R23" i="50"/>
  <c r="AC52" i="50"/>
  <c r="AP13" i="50"/>
  <c r="U27" i="50"/>
  <c r="L38" i="50"/>
  <c r="AK13" i="50"/>
  <c r="P46" i="50"/>
  <c r="AX44" i="50"/>
  <c r="AF12" i="50"/>
  <c r="Q30" i="50"/>
  <c r="S29" i="50"/>
  <c r="AS41" i="50"/>
  <c r="AN28" i="50"/>
  <c r="AH44" i="50"/>
  <c r="AA52" i="50"/>
  <c r="AR21" i="50"/>
  <c r="AN25" i="50"/>
  <c r="X19" i="50"/>
  <c r="AD27" i="50"/>
  <c r="X34" i="50"/>
  <c r="AK32" i="50"/>
  <c r="AC31" i="50"/>
  <c r="AU13" i="50"/>
  <c r="AB5" i="50"/>
  <c r="AJ40" i="50"/>
  <c r="AM43" i="50"/>
  <c r="BA46" i="50"/>
  <c r="T37" i="50"/>
  <c r="AQ52" i="50"/>
  <c r="N51" i="50"/>
  <c r="AQ43" i="50"/>
  <c r="AB27" i="50"/>
  <c r="V5" i="50"/>
  <c r="AQ18" i="50"/>
  <c r="AM34" i="50"/>
  <c r="AF37" i="50"/>
  <c r="L47" i="50"/>
  <c r="AI32" i="50"/>
  <c r="L26" i="50"/>
  <c r="F26" i="50" l="1"/>
  <c r="F47" i="50"/>
  <c r="F38" i="50"/>
  <c r="J38" i="50" s="1"/>
  <c r="F35" i="50"/>
  <c r="J35" i="50" s="1"/>
  <c r="F30" i="50"/>
  <c r="F46" i="50"/>
  <c r="F34" i="50"/>
  <c r="H34" i="50" s="1"/>
  <c r="F42" i="50"/>
  <c r="H42" i="50" s="1"/>
  <c r="F28" i="50"/>
  <c r="F20" i="50"/>
  <c r="F52" i="50"/>
  <c r="J52" i="50" s="1"/>
  <c r="F16" i="50"/>
  <c r="J16" i="50" s="1"/>
  <c r="F32" i="50"/>
  <c r="F18" i="50"/>
  <c r="F50" i="50"/>
  <c r="H50" i="50" s="1"/>
  <c r="F27" i="50"/>
  <c r="F40" i="50"/>
  <c r="H40" i="50" s="1"/>
  <c r="F37" i="50"/>
  <c r="F48" i="50"/>
  <c r="F17" i="50"/>
  <c r="J17" i="50" s="1"/>
  <c r="F33" i="50"/>
  <c r="J33" i="50" s="1"/>
  <c r="F43" i="50"/>
  <c r="F41" i="50"/>
  <c r="F29" i="50"/>
  <c r="R21" i="1" s="1"/>
  <c r="F5" i="50"/>
  <c r="F19" i="50"/>
  <c r="J19" i="50" s="1"/>
  <c r="F21" i="50"/>
  <c r="J21" i="50" s="1"/>
  <c r="F25" i="50"/>
  <c r="F49" i="50"/>
  <c r="J49" i="50" s="1"/>
  <c r="F22" i="50"/>
  <c r="J22" i="50" s="1"/>
  <c r="F36" i="50"/>
  <c r="F31" i="50"/>
  <c r="R20" i="4" s="1"/>
  <c r="F14" i="50"/>
  <c r="R12" i="137" s="1"/>
  <c r="O12" i="137" s="1"/>
  <c r="A12" i="137" s="1"/>
  <c r="F13" i="50"/>
  <c r="H13" i="50" s="1"/>
  <c r="F15" i="50"/>
  <c r="F39" i="50"/>
  <c r="H39" i="50" s="1"/>
  <c r="F24" i="50"/>
  <c r="J24" i="50" s="1"/>
  <c r="F51" i="50"/>
  <c r="F44" i="50"/>
  <c r="H44" i="50" s="1"/>
  <c r="F23" i="50"/>
  <c r="H23" i="50" s="1"/>
  <c r="K4" i="50"/>
  <c r="F12" i="50"/>
  <c r="R13" i="137" s="1"/>
  <c r="F45" i="50"/>
  <c r="H45" i="50" s="1"/>
  <c r="O25" i="4"/>
  <c r="A25" i="4" s="1"/>
  <c r="N25" i="4"/>
  <c r="R8" i="150"/>
  <c r="R11" i="150"/>
  <c r="J45" i="50"/>
  <c r="R13" i="4"/>
  <c r="R16" i="4"/>
  <c r="R14" i="137"/>
  <c r="J50" i="50"/>
  <c r="H52" i="50"/>
  <c r="R30" i="1"/>
  <c r="R27" i="1"/>
  <c r="R15" i="4"/>
  <c r="J12" i="50"/>
  <c r="R6" i="150"/>
  <c r="R14" i="4"/>
  <c r="H14" i="50"/>
  <c r="J14" i="50"/>
  <c r="R7" i="1"/>
  <c r="H35" i="50"/>
  <c r="H19" i="50"/>
  <c r="R10" i="1"/>
  <c r="R25" i="1"/>
  <c r="J42" i="50"/>
  <c r="H49" i="50"/>
  <c r="R18" i="4"/>
  <c r="J40" i="50"/>
  <c r="R24" i="4"/>
  <c r="J5" i="50"/>
  <c r="H5" i="50"/>
  <c r="R5" i="137"/>
  <c r="R10" i="4"/>
  <c r="H17" i="50"/>
  <c r="J48" i="50"/>
  <c r="H48" i="50"/>
  <c r="J25" i="50"/>
  <c r="H25" i="50"/>
  <c r="R9" i="1"/>
  <c r="H15" i="50"/>
  <c r="J15" i="50"/>
  <c r="R7" i="4"/>
  <c r="R22" i="4"/>
  <c r="R9" i="150"/>
  <c r="H20" i="50"/>
  <c r="J20" i="50"/>
  <c r="R17" i="4"/>
  <c r="J51" i="50"/>
  <c r="H51" i="50"/>
  <c r="H31" i="50"/>
  <c r="R8" i="4"/>
  <c r="R12" i="150"/>
  <c r="J29" i="50"/>
  <c r="R12" i="1"/>
  <c r="H29" i="50"/>
  <c r="J36" i="50"/>
  <c r="H36" i="50"/>
  <c r="H41" i="50"/>
  <c r="J41" i="50"/>
  <c r="H43" i="50"/>
  <c r="J43" i="50"/>
  <c r="J27" i="50"/>
  <c r="H27" i="50"/>
  <c r="R13" i="1"/>
  <c r="R28" i="1"/>
  <c r="H37" i="50"/>
  <c r="J37" i="50"/>
  <c r="R26" i="1"/>
  <c r="J18" i="50"/>
  <c r="H18" i="50"/>
  <c r="R5" i="4"/>
  <c r="R10" i="150"/>
  <c r="R11" i="137"/>
  <c r="R7" i="150"/>
  <c r="R24" i="1"/>
  <c r="R5" i="150"/>
  <c r="H28" i="50"/>
  <c r="J28" i="50"/>
  <c r="R18" i="1"/>
  <c r="R29" i="1"/>
  <c r="R21" i="4"/>
  <c r="R23" i="4"/>
  <c r="H32" i="50"/>
  <c r="J32" i="50"/>
  <c r="H46" i="50"/>
  <c r="R22" i="1"/>
  <c r="J46" i="50"/>
  <c r="J47" i="50"/>
  <c r="H47" i="50"/>
  <c r="R15" i="137"/>
  <c r="H30" i="50"/>
  <c r="J30" i="50"/>
  <c r="R11" i="4"/>
  <c r="J26" i="50"/>
  <c r="R8" i="1"/>
  <c r="H26" i="50"/>
  <c r="J31" i="50" l="1"/>
  <c r="R19" i="4"/>
  <c r="O19" i="4" s="1"/>
  <c r="A19" i="4" s="1"/>
  <c r="J23" i="50"/>
  <c r="H12" i="50"/>
  <c r="H22" i="50"/>
  <c r="J39" i="50"/>
  <c r="R9" i="4"/>
  <c r="H16" i="50"/>
  <c r="J13" i="50"/>
  <c r="H21" i="50"/>
  <c r="H38" i="50"/>
  <c r="J34" i="50"/>
  <c r="J44" i="50"/>
  <c r="H33" i="50"/>
  <c r="H24" i="50"/>
  <c r="F4" i="50"/>
  <c r="N12" i="137"/>
  <c r="N22" i="1"/>
  <c r="O22" i="1"/>
  <c r="A22" i="1" s="1"/>
  <c r="O5" i="150"/>
  <c r="R4" i="150"/>
  <c r="N5" i="150"/>
  <c r="N12" i="1"/>
  <c r="O12" i="1"/>
  <c r="A12" i="1" s="1"/>
  <c r="O22" i="4"/>
  <c r="A22" i="4" s="1"/>
  <c r="N22" i="4"/>
  <c r="O20" i="4"/>
  <c r="A20" i="4" s="1"/>
  <c r="N20" i="4"/>
  <c r="O10" i="1"/>
  <c r="A10" i="1" s="1"/>
  <c r="N10" i="1"/>
  <c r="O7" i="1"/>
  <c r="R4" i="1"/>
  <c r="N7" i="1"/>
  <c r="O14" i="4"/>
  <c r="A14" i="4" s="1"/>
  <c r="N14" i="4"/>
  <c r="N6" i="150"/>
  <c r="O6" i="150"/>
  <c r="A6" i="150" s="1"/>
  <c r="N13" i="137"/>
  <c r="O13" i="137"/>
  <c r="A13" i="137" s="1"/>
  <c r="O14" i="137"/>
  <c r="A14" i="137" s="1"/>
  <c r="N14" i="137"/>
  <c r="N15" i="137"/>
  <c r="O15" i="137"/>
  <c r="A15" i="137" s="1"/>
  <c r="O11" i="4"/>
  <c r="A11" i="4" s="1"/>
  <c r="N11" i="4"/>
  <c r="O18" i="1"/>
  <c r="A18" i="1" s="1"/>
  <c r="N18" i="1"/>
  <c r="N11" i="137"/>
  <c r="O11" i="137"/>
  <c r="A11" i="137" s="1"/>
  <c r="N5" i="4"/>
  <c r="O5" i="4"/>
  <c r="N26" i="1"/>
  <c r="O26" i="1"/>
  <c r="A26" i="1" s="1"/>
  <c r="N8" i="4"/>
  <c r="O8" i="4"/>
  <c r="A8" i="4" s="1"/>
  <c r="N9" i="150"/>
  <c r="O9" i="150"/>
  <c r="A9" i="150" s="1"/>
  <c r="O9" i="1"/>
  <c r="A9" i="1" s="1"/>
  <c r="N9" i="1"/>
  <c r="O10" i="4"/>
  <c r="A10" i="4" s="1"/>
  <c r="N10" i="4"/>
  <c r="O30" i="1"/>
  <c r="A30" i="1" s="1"/>
  <c r="N30" i="1"/>
  <c r="O11" i="150"/>
  <c r="A11" i="150" s="1"/>
  <c r="N11" i="150"/>
  <c r="O23" i="4"/>
  <c r="A23" i="4" s="1"/>
  <c r="N23" i="4"/>
  <c r="O7" i="150"/>
  <c r="A7" i="150" s="1"/>
  <c r="N7" i="150"/>
  <c r="O10" i="150"/>
  <c r="A10" i="150" s="1"/>
  <c r="N10" i="150"/>
  <c r="O28" i="1"/>
  <c r="A28" i="1" s="1"/>
  <c r="N28" i="1"/>
  <c r="O13" i="1"/>
  <c r="A13" i="1" s="1"/>
  <c r="N13" i="1"/>
  <c r="O12" i="150"/>
  <c r="A12" i="150" s="1"/>
  <c r="N12" i="150"/>
  <c r="O17" i="4"/>
  <c r="A17" i="4" s="1"/>
  <c r="N17" i="4"/>
  <c r="O7" i="4"/>
  <c r="A7" i="4" s="1"/>
  <c r="N7" i="4"/>
  <c r="O5" i="137"/>
  <c r="N5" i="137"/>
  <c r="R4" i="137"/>
  <c r="O25" i="1"/>
  <c r="A25" i="1" s="1"/>
  <c r="N25" i="1"/>
  <c r="O27" i="1"/>
  <c r="A27" i="1" s="1"/>
  <c r="N27" i="1"/>
  <c r="N8" i="150"/>
  <c r="O8" i="150"/>
  <c r="A8" i="150" s="1"/>
  <c r="O29" i="1"/>
  <c r="A29" i="1" s="1"/>
  <c r="N29" i="1"/>
  <c r="O8" i="1"/>
  <c r="A8" i="1" s="1"/>
  <c r="N8" i="1"/>
  <c r="N21" i="4"/>
  <c r="O21" i="4"/>
  <c r="A21" i="4" s="1"/>
  <c r="O24" i="1"/>
  <c r="A24" i="1" s="1"/>
  <c r="N24" i="1"/>
  <c r="N24" i="4"/>
  <c r="O24" i="4"/>
  <c r="A24" i="4" s="1"/>
  <c r="O18" i="4"/>
  <c r="A18" i="4" s="1"/>
  <c r="N18" i="4"/>
  <c r="N15" i="4"/>
  <c r="O15" i="4"/>
  <c r="A15" i="4" s="1"/>
  <c r="O9" i="4"/>
  <c r="A9" i="4" s="1"/>
  <c r="N9" i="4"/>
  <c r="N16" i="4"/>
  <c r="O16" i="4"/>
  <c r="A16" i="4" s="1"/>
  <c r="N13" i="4"/>
  <c r="O13" i="4"/>
  <c r="A13" i="4" s="1"/>
  <c r="N21" i="1"/>
  <c r="O21" i="1"/>
  <c r="A21" i="1" s="1"/>
  <c r="H4" i="50" l="1"/>
  <c r="J4" i="50"/>
  <c r="I4" i="50" s="1"/>
  <c r="K14" i="50" s="1"/>
  <c r="N19" i="4"/>
  <c r="R4" i="4"/>
  <c r="N4" i="137"/>
  <c r="A5" i="4"/>
  <c r="A4" i="4" s="1"/>
  <c r="O4" i="4"/>
  <c r="A7" i="1"/>
  <c r="A4" i="1" s="1"/>
  <c r="O4" i="1"/>
  <c r="N4" i="4"/>
  <c r="A5" i="150"/>
  <c r="A4" i="150" s="1"/>
  <c r="O4" i="150"/>
  <c r="N4" i="1"/>
  <c r="A5" i="137"/>
  <c r="A4" i="137" s="1"/>
  <c r="O4" i="137"/>
  <c r="N4" i="150"/>
  <c r="E1" i="50" l="1"/>
  <c r="A1" i="50"/>
  <c r="I4" i="95"/>
  <c r="I5" i="95" s="1"/>
  <c r="D1" i="50"/>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<sst xmlns="http://schemas.openxmlformats.org/spreadsheetml/2006/main" count="1283" uniqueCount="320">
  <si>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</si>
  <si>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</si>
  <si>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</si>
  <si>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</si>
  <si>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</si>
  <si>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</si>
  <si>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</si>
  <si>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</si>
  <si>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</si>
  <si>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</si>
  <si>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</si>
  <si>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</si>
  <si>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</si>
  <si>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</si>
  <si>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</si>
  <si>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</si>
  <si>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</si>
  <si>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</si>
  <si>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</si>
  <si>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</si>
  <si>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</si>
  <si>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</si>
  <si>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</si>
  <si>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</si>
  <si>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</si>
  <si>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</si>
  <si>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</si>
  <si>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</si>
  <si>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</si>
  <si>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</si>
  <si>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</si>
  <si>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</si>
  <si>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</si>
  <si>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</si>
  <si>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</si>
  <si>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</si>
  <si>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</si>
  <si>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</si>
  <si>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</si>
  <si>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</si>
  <si>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</si>
  <si>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</si>
  <si>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</si>
  <si>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</si>
  <si>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</si>
  <si>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</si>
  <si>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</si>
  <si>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</si>
  <si>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</si>
  <si>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</si>
  <si>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</si>
  <si>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</si>
  <si>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</si>
  <si>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</si>
  <si>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</si>
  <si>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</si>
  <si>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</si>
  <si>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</si>
  <si>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</si>
  <si>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</si>
  <si>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</si>
  <si>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</si>
  <si>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</si>
  <si>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</si>
  <si>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</si>
  <si>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</si>
  <si>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</si>
  <si>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</si>
  <si>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</si>
  <si>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</si>
  <si>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</si>
  <si>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</si>
  <si>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</si>
  <si>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</si>
  <si>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</si>
  <si>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</si>
  <si>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</si>
  <si>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</si>
  <si>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</si>
  <si>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</si>
  <si>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</si>
  <si>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</si>
  <si>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</si>
  <si>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</si>
  <si>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</si>
  <si>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</si>
  <si>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</si>
  <si>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</si>
  <si>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</si>
  <si>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</si>
  <si>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</si>
  <si>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</si>
  <si>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</si>
  <si>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</si>
  <si>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</si>
  <si>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</si>
  <si>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</si>
  <si>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</si>
  <si>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</si>
  <si>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</si>
  <si>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</si>
  <si>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</si>
  <si>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</si>
  <si>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</si>
  <si>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</si>
  <si>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</si>
  <si>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</si>
  <si>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</si>
  <si>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</si>
  <si>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</si>
  <si>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</si>
  <si>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</si>
  <si>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</si>
  <si>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</si>
  <si>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</si>
  <si>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</si>
  <si>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</si>
  <si>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</si>
  <si>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</si>
  <si>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</si>
  <si>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</si>
  <si>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</si>
  <si>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</si>
  <si>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</si>
  <si>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</si>
  <si>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</si>
  <si>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</si>
  <si>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</si>
  <si>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</si>
  <si>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</si>
  <si>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</si>
  <si>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</si>
  <si>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</si>
  <si>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</si>
  <si>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</si>
  <si>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</si>
  <si>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</si>
  <si>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</si>
  <si>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</si>
  <si>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</si>
  <si>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</si>
  <si>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</si>
  <si>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</si>
  <si>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</si>
  <si>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</si>
  <si>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</si>
  <si>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</si>
  <si>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</si>
  <si>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</si>
  <si>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</si>
  <si>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</si>
  <si>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</si>
  <si>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</si>
  <si>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</si>
  <si>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</si>
  <si>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</si>
  <si>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</si>
  <si>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</si>
  <si>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</si>
  <si>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</si>
  <si>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</si>
  <si>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</si>
  <si>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</si>
  <si>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</si>
  <si>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</si>
  <si>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</si>
  <si>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</si>
  <si>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</si>
  <si>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</si>
  <si>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</si>
  <si>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</si>
  <si>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</si>
  <si>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</si>
  <si>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</si>
  <si>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</si>
  <si>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</si>
  <si>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</si>
  <si>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</si>
  <si>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</si>
  <si>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</si>
  <si>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</si>
  <si>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</si>
  <si>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</si>
  <si>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</si>
  <si>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</si>
  <si>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</si>
  <si>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</si>
  <si>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</si>
  <si>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</si>
  <si>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</si>
  <si>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</si>
  <si>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</si>
  <si>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</si>
  <si>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</si>
  <si>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</si>
  <si>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</si>
  <si>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</si>
  <si>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</si>
  <si>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</si>
  <si>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</si>
  <si>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</si>
  <si>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</si>
  <si>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</si>
  <si>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</si>
  <si>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</si>
  <si>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</si>
  <si>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</si>
  <si>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</si>
  <si>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</si>
  <si>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</si>
  <si>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</si>
  <si>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</si>
  <si>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</si>
  <si>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</si>
  <si>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</si>
  <si>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</si>
  <si>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</si>
  <si>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</si>
  <si>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</si>
  <si>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</si>
  <si>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</si>
  <si>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</si>
  <si>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</si>
  <si>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</si>
  <si>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</si>
  <si>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</si>
  <si>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</si>
  <si>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</si>
  <si>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</si>
  <si>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</si>
  <si>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</si>
  <si>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</si>
  <si>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</si>
  <si>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</si>
  <si>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</si>
  <si>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</si>
  <si>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</si>
  <si>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</si>
  <si>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</si>
  <si>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</si>
  <si>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</si>
  <si>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</si>
  <si>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</si>
  <si>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</si>
  <si>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</si>
  <si>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</si>
  <si>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</si>
  <si>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</si>
  <si>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</si>
  <si>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</si>
  <si>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</si>
  <si>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</si>
  <si>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</si>
  <si>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</si>
  <si>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</si>
  <si>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</si>
  <si>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</si>
  <si>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</si>
  <si>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</si>
  <si>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</si>
  <si>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</si>
  <si>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</si>
  <si>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</si>
  <si>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</si>
  <si>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</si>
  <si>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</si>
  <si>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</si>
  <si>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</si>
  <si>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</si>
  <si>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</si>
  <si>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</si>
  <si>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</si>
  <si>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</si>
  <si>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</si>
  <si>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</si>
  <si>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</si>
  <si>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</si>
  <si>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</si>
  <si>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</si>
  <si>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</si>
  <si>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</si>
  <si>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</si>
  <si>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</si>
  <si>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</si>
  <si>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</si>
  <si>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</si>
  <si>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</si>
  <si>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</si>
  <si>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</si>
  <si>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</si>
  <si>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</si>
  <si>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</si>
  <si>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</si>
  <si>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</si>
  <si>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</si>
  <si>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</si>
  <si>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</si>
  <si>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</si>
  <si>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</si>
  <si>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</si>
  <si>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</si>
  <si>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</si>
  <si>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</si>
  <si>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</si>
  <si>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Ms Ngà</t>
  </si>
  <si>
    <t>T12+T01+T02+T03+T04+T05+T06+T07+T08+T09+T10</t>
  </si>
  <si>
    <t>Chị Hiếu</t>
  </si>
  <si>
    <t>Phô mai que AN</t>
  </si>
  <si>
    <t/>
  </si>
  <si>
    <t>Cô Bé</t>
  </si>
  <si>
    <t>Chênh lệch giá</t>
  </si>
  <si>
    <t>Cô Hạnh</t>
  </si>
  <si>
    <t>C. Quyên</t>
  </si>
  <si>
    <t>TH Tịnh Lan</t>
  </si>
  <si>
    <t>Dì Nguyệt</t>
  </si>
  <si>
    <t>Chị Hiền</t>
  </si>
  <si>
    <t>Móm</t>
  </si>
  <si>
    <t>KH lẻ</t>
  </si>
  <si>
    <t>Bác Binh - LH4</t>
  </si>
  <si>
    <t>Bà Hồng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</si>
</sst>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8">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0" fontId="4" fillId="0" borderId="1" xfId="1" applyNumberFormat="1" applyFont="1" applyFill="1" applyBorder="1" applyAlignment="1">
      <alignment horizontal="center" vertical="center"/>
    </xf>
    <xf numFmtId="164" fontId="4" fillId="0" borderId="1" xfId="1" applyFont="1" applyFill="1" applyBorder="1" applyAlignment="1">
      <alignment vertical="center"/>
    </xf>
    <xf numFmtId="0" fontId="5" fillId="0" borderId="1" xfId="1" applyNumberFormat="1" applyFont="1" applyFill="1" applyBorder="1" applyAlignment="1">
      <alignment horizontal="center" vertical="center"/>
    </xf>
    <xf numFmtId="170" fontId="4" fillId="0" borderId="1" xfId="1" applyNumberFormat="1" applyFont="1" applyFill="1" applyBorder="1" applyAlignment="1">
      <alignment vertical="center"/>
    </xf>
    <xf numFmtId="164" fontId="5" fillId="0" borderId="1" xfId="1" applyFont="1" applyFill="1" applyBorder="1" applyAlignment="1">
      <alignment vertical="center"/>
    </xf>
    <xf numFmtId="165" fontId="4" fillId="0" borderId="1" xfId="1" applyNumberFormat="1" applyFont="1" applyFill="1" applyBorder="1" applyAlignment="1">
      <alignment vertical="center"/>
    </xf>
    <xf numFmtId="166" fontId="4" fillId="0" borderId="1" xfId="1" applyNumberFormat="1" applyFont="1" applyFill="1" applyBorder="1" applyAlignment="1">
      <alignment vertical="center"/>
    </xf>
    <xf numFmtId="164" fontId="6" fillId="0" borderId="1" xfId="1" applyFont="1" applyFill="1" applyBorder="1" applyAlignment="1">
      <alignment vertical="center"/>
    </xf>
    <xf numFmtId="164" fontId="9" fillId="0" borderId="1" xfId="1" applyFont="1" applyFill="1" applyBorder="1" applyAlignment="1">
      <alignment vertical="center"/>
    </xf>
    <xf numFmtId="164" fontId="17" fillId="0" borderId="1" xfId="1" applyFont="1" applyFill="1" applyBorder="1" applyAlignment="1">
      <alignment horizontal="center" vertical="center"/>
    </xf>
    <xf numFmtId="164" fontId="4" fillId="0" borderId="1" xfId="1" applyFont="1" applyFill="1" applyBorder="1" applyAlignment="1">
      <alignment horizontal="center" vertical="center"/>
    </xf>
    <xf numFmtId="164" fontId="0" fillId="7" borderId="0" xfId="0" quotePrefix="1" applyNumberFormat="1" applyFill="1"/>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43" fillId="4" borderId="1" xfId="1" quotePrefix="1" applyFont="1" applyFill="1" applyBorder="1" applyAlignment="1">
      <alignment horizontal="center" wrapText="1"/>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398">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97"/>
      <tableStyleElement type="headerRow" dxfId="396"/>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2881" name="Button 1" hidden="1">
              <a:extLst>
                <a:ext uri="{63B3BB69-23CF-44E3-9099-C40C66FF867C}">
                  <a14:compatExt spid="_x0000_s7628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1857" name="Button 1" hidden="1">
              <a:extLst>
                <a:ext uri="{63B3BB69-23CF-44E3-9099-C40C66FF867C}">
                  <a14:compatExt spid="_x0000_s7618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5713" name="Button 1"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4689" name="Button 1" hidden="1">
              <a:extLst>
                <a:ext uri="{63B3BB69-23CF-44E3-9099-C40C66FF867C}">
                  <a14:compatExt spid="_x0000_s7546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6497" name="Button 1" hidden="1">
              <a:extLst>
                <a:ext uri="{63B3BB69-23CF-44E3-9099-C40C66FF867C}">
                  <a14:compatExt spid="_x0000_s7464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5473" name="Button 1" hidden="1">
              <a:extLst>
                <a:ext uri="{63B3BB69-23CF-44E3-9099-C40C66FF867C}">
                  <a14:compatExt spid="_x0000_s7454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4449" name="Button 1" hidden="1">
              <a:extLst>
                <a:ext uri="{63B3BB69-23CF-44E3-9099-C40C66FF867C}">
                  <a14:compatExt spid="_x0000_s7444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3425" name="Button 1" hidden="1">
              <a:extLst>
                <a:ext uri="{63B3BB69-23CF-44E3-9099-C40C66FF867C}">
                  <a14:compatExt spid="_x0000_s7434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2401" name="Button 1" hidden="1">
              <a:extLst>
                <a:ext uri="{63B3BB69-23CF-44E3-9099-C40C66FF867C}">
                  <a14:compatExt spid="_x0000_s7424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1377" name="Button 1" hidden="1">
              <a:extLst>
                <a:ext uri="{63B3BB69-23CF-44E3-9099-C40C66FF867C}">
                  <a14:compatExt spid="_x0000_s7413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0353" name="Button 1" hidden="1">
              <a:extLst>
                <a:ext uri="{63B3BB69-23CF-44E3-9099-C40C66FF867C}">
                  <a14:compatExt spid="_x0000_s7403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9329" name="Button 1" hidden="1">
              <a:extLst>
                <a:ext uri="{63B3BB69-23CF-44E3-9099-C40C66FF867C}">
                  <a14:compatExt spid="_x0000_s7393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25"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48">
    <format dxfId="369">
      <pivotArea field="3" type="button" dataOnly="0" labelOnly="1" outline="0" axis="axisRow" fieldPosition="3"/>
    </format>
    <format dxfId="368">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67">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66">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65">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64">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63">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62">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61">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60">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59">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58">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57">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5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5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5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5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5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5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5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4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4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4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4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4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44">
      <pivotArea field="1" type="button" dataOnly="0" labelOnly="1" outline="0" axis="axisRow" fieldPosition="2"/>
    </format>
    <format dxfId="343">
      <pivotArea dataOnly="0" labelOnly="1" outline="0" fieldPosition="0">
        <references count="1">
          <reference field="1" count="0"/>
        </references>
      </pivotArea>
    </format>
    <format dxfId="342">
      <pivotArea field="0" type="button" dataOnly="0" labelOnly="1" outline="0" axis="axisRow" fieldPosition="0"/>
    </format>
    <format dxfId="341">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40">
      <pivotArea dataOnly="0" labelOnly="1" grandRow="1" outline="0" fieldPosition="0"/>
    </format>
    <format dxfId="339">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38">
      <pivotArea dataOnly="0" labelOnly="1" grandRow="1" outline="0" fieldPosition="0"/>
    </format>
    <format dxfId="337">
      <pivotArea field="2" type="button" dataOnly="0" labelOnly="1" outline="0" axis="axisRow" fieldPosition="1"/>
    </format>
    <format dxfId="336">
      <pivotArea type="all" dataOnly="0" outline="0" fieldPosition="0"/>
    </format>
    <format dxfId="335">
      <pivotArea field="0" type="button" dataOnly="0" labelOnly="1" outline="0" axis="axisRow" fieldPosition="0"/>
    </format>
    <format dxfId="334">
      <pivotArea field="2" type="button" dataOnly="0" labelOnly="1" outline="0" axis="axisRow" fieldPosition="1"/>
    </format>
    <format dxfId="333">
      <pivotArea field="1" type="button" dataOnly="0" labelOnly="1" outline="0" axis="axisRow" fieldPosition="2"/>
    </format>
    <format dxfId="332">
      <pivotArea field="3" type="button" dataOnly="0" labelOnly="1" outline="0" axis="axisRow" fieldPosition="3"/>
    </format>
    <format dxfId="331">
      <pivotArea field="0" type="button" dataOnly="0" labelOnly="1" outline="0" axis="axisRow" fieldPosition="0"/>
    </format>
    <format dxfId="330">
      <pivotArea field="2" type="button" dataOnly="0" labelOnly="1" outline="0" axis="axisRow" fieldPosition="1"/>
    </format>
    <format dxfId="329">
      <pivotArea field="1" type="button" dataOnly="0" labelOnly="1" outline="0" axis="axisRow" fieldPosition="2"/>
    </format>
    <format dxfId="328">
      <pivotArea field="3" type="button" dataOnly="0" labelOnly="1" outline="0" axis="axisRow" fieldPosition="3"/>
    </format>
    <format dxfId="327">
      <pivotArea field="0" type="button" dataOnly="0" labelOnly="1" outline="0" axis="axisRow" fieldPosition="0"/>
    </format>
    <format dxfId="326">
      <pivotArea field="2" type="button" dataOnly="0" labelOnly="1" outline="0" axis="axisRow" fieldPosition="1"/>
    </format>
    <format dxfId="325">
      <pivotArea dataOnly="0" labelOnly="1" outline="0" fieldPosition="0">
        <references count="3">
          <reference field="0" count="1" selected="0">
            <x v="4"/>
          </reference>
          <reference field="1" count="1">
            <x v="2"/>
          </reference>
          <reference field="2" count="1" selected="0">
            <x v="4"/>
          </reference>
        </references>
      </pivotArea>
    </format>
    <format dxfId="324">
      <pivotArea dataOnly="0" labelOnly="1" outline="0" fieldPosition="0">
        <references count="3">
          <reference field="0" count="1" selected="0">
            <x v="5"/>
          </reference>
          <reference field="1" count="1">
            <x v="8"/>
          </reference>
          <reference field="2" count="1" selected="0">
            <x v="5"/>
          </reference>
        </references>
      </pivotArea>
    </format>
    <format dxfId="323">
      <pivotArea dataOnly="0" labelOnly="1" outline="0" fieldPosition="0">
        <references count="3">
          <reference field="0" count="1" selected="0">
            <x v="8"/>
          </reference>
          <reference field="1" count="1">
            <x v="7"/>
          </reference>
          <reference field="2" count="1" selected="0">
            <x v="8"/>
          </reference>
        </references>
      </pivotArea>
    </format>
    <format dxfId="322">
      <pivotArea dataOnly="0" labelOnly="1" outline="0" fieldPosition="0">
        <references count="3">
          <reference field="0" count="1" selected="0">
            <x v="10"/>
          </reference>
          <reference field="1" count="1">
            <x v="13"/>
          </reference>
          <reference field="2" count="1" selected="0">
            <x v="10"/>
          </reference>
        </references>
      </pivotArea>
    </format>
    <format dxfId="321">
      <pivotArea dataOnly="0" labelOnly="1" outline="0" fieldPosition="0">
        <references count="3">
          <reference field="0" count="1" selected="0">
            <x v="11"/>
          </reference>
          <reference field="1" count="1">
            <x v="14"/>
          </reference>
          <reference field="2" count="1" selected="0">
            <x v="11"/>
          </reference>
        </references>
      </pivotArea>
    </format>
    <format dxfId="320">
      <pivotArea dataOnly="0" labelOnly="1" outline="0" fieldPosition="0">
        <references count="3">
          <reference field="0" count="1" selected="0">
            <x v="12"/>
          </reference>
          <reference field="1" count="1">
            <x v="15"/>
          </reference>
          <reference field="2" count="1" selected="0">
            <x v="12"/>
          </reference>
        </references>
      </pivotArea>
    </format>
    <format dxfId="319">
      <pivotArea dataOnly="0" labelOnly="1" outline="0" fieldPosition="0">
        <references count="3">
          <reference field="0" count="1" selected="0">
            <x v="13"/>
          </reference>
          <reference field="1" count="1">
            <x v="16"/>
          </reference>
          <reference field="2" count="1" selected="0">
            <x v="13"/>
          </reference>
        </references>
      </pivotArea>
    </format>
    <format dxfId="318">
      <pivotArea dataOnly="0" labelOnly="1" outline="0" fieldPosition="0">
        <references count="3">
          <reference field="0" count="1" selected="0">
            <x v="14"/>
          </reference>
          <reference field="1" count="1">
            <x v="17"/>
          </reference>
          <reference field="2" count="1" selected="0">
            <x v="14"/>
          </reference>
        </references>
      </pivotArea>
    </format>
    <format dxfId="317">
      <pivotArea dataOnly="0" labelOnly="1" outline="0" fieldPosition="0">
        <references count="3">
          <reference field="0" count="1" selected="0">
            <x v="15"/>
          </reference>
          <reference field="1" count="1">
            <x v="10"/>
          </reference>
          <reference field="2" count="1" selected="0">
            <x v="15"/>
          </reference>
        </references>
      </pivotArea>
    </format>
    <format dxfId="316">
      <pivotArea dataOnly="0" labelOnly="1" outline="0" fieldPosition="0">
        <references count="3">
          <reference field="0" count="1" selected="0">
            <x v="16"/>
          </reference>
          <reference field="1" count="1">
            <x v="11"/>
          </reference>
          <reference field="2" count="1" selected="0">
            <x v="16"/>
          </reference>
        </references>
      </pivotArea>
    </format>
    <format dxfId="315">
      <pivotArea dataOnly="0" labelOnly="1" outline="0" fieldPosition="0">
        <references count="3">
          <reference field="0" count="1" selected="0">
            <x v="17"/>
          </reference>
          <reference field="1" count="1">
            <x v="3"/>
          </reference>
          <reference field="2" count="1" selected="0">
            <x v="17"/>
          </reference>
        </references>
      </pivotArea>
    </format>
    <format dxfId="314">
      <pivotArea dataOnly="0" labelOnly="1" outline="0" fieldPosition="0">
        <references count="3">
          <reference field="0" count="1" selected="0">
            <x v="20"/>
          </reference>
          <reference field="1" count="1">
            <x v="18"/>
          </reference>
          <reference field="2" count="1" selected="0">
            <x v="20"/>
          </reference>
        </references>
      </pivotArea>
    </format>
    <format dxfId="313">
      <pivotArea dataOnly="0" labelOnly="1" outline="0" fieldPosition="0">
        <references count="3">
          <reference field="0" count="1" selected="0">
            <x v="25"/>
          </reference>
          <reference field="1" count="1">
            <x v="1"/>
          </reference>
          <reference field="2" count="1" selected="0">
            <x v="25"/>
          </reference>
        </references>
      </pivotArea>
    </format>
    <format dxfId="31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1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1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0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0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0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0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0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0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0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0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0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00">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99">
      <pivotArea dataOnly="0" labelOnly="1" outline="0" fieldPosition="0">
        <references count="2">
          <reference field="0" count="1" selected="0">
            <x v="0"/>
          </reference>
          <reference field="2" count="1">
            <x v="0"/>
          </reference>
        </references>
      </pivotArea>
    </format>
    <format dxfId="298">
      <pivotArea dataOnly="0" labelOnly="1" outline="0" fieldPosition="0">
        <references count="2">
          <reference field="0" count="1" selected="0">
            <x v="1"/>
          </reference>
          <reference field="2" count="1">
            <x v="1"/>
          </reference>
        </references>
      </pivotArea>
    </format>
    <format dxfId="297">
      <pivotArea dataOnly="0" labelOnly="1" outline="0" fieldPosition="0">
        <references count="2">
          <reference field="0" count="1" selected="0">
            <x v="2"/>
          </reference>
          <reference field="2" count="1">
            <x v="2"/>
          </reference>
        </references>
      </pivotArea>
    </format>
    <format dxfId="296">
      <pivotArea dataOnly="0" labelOnly="1" outline="0" fieldPosition="0">
        <references count="2">
          <reference field="0" count="1" selected="0">
            <x v="3"/>
          </reference>
          <reference field="2" count="1">
            <x v="3"/>
          </reference>
        </references>
      </pivotArea>
    </format>
    <format dxfId="295">
      <pivotArea dataOnly="0" labelOnly="1" outline="0" fieldPosition="0">
        <references count="2">
          <reference field="0" count="1" selected="0">
            <x v="4"/>
          </reference>
          <reference field="2" count="1">
            <x v="4"/>
          </reference>
        </references>
      </pivotArea>
    </format>
    <format dxfId="294">
      <pivotArea dataOnly="0" labelOnly="1" outline="0" fieldPosition="0">
        <references count="2">
          <reference field="0" count="1" selected="0">
            <x v="5"/>
          </reference>
          <reference field="2" count="1">
            <x v="5"/>
          </reference>
        </references>
      </pivotArea>
    </format>
    <format dxfId="293">
      <pivotArea dataOnly="0" labelOnly="1" outline="0" fieldPosition="0">
        <references count="2">
          <reference field="0" count="1" selected="0">
            <x v="6"/>
          </reference>
          <reference field="2" count="1">
            <x v="6"/>
          </reference>
        </references>
      </pivotArea>
    </format>
    <format dxfId="292">
      <pivotArea dataOnly="0" labelOnly="1" outline="0" fieldPosition="0">
        <references count="2">
          <reference field="0" count="1" selected="0">
            <x v="7"/>
          </reference>
          <reference field="2" count="1">
            <x v="7"/>
          </reference>
        </references>
      </pivotArea>
    </format>
    <format dxfId="291">
      <pivotArea dataOnly="0" labelOnly="1" outline="0" fieldPosition="0">
        <references count="2">
          <reference field="0" count="1" selected="0">
            <x v="8"/>
          </reference>
          <reference field="2" count="1">
            <x v="8"/>
          </reference>
        </references>
      </pivotArea>
    </format>
    <format dxfId="290">
      <pivotArea dataOnly="0" labelOnly="1" outline="0" fieldPosition="0">
        <references count="2">
          <reference field="0" count="1" selected="0">
            <x v="9"/>
          </reference>
          <reference field="2" count="1">
            <x v="9"/>
          </reference>
        </references>
      </pivotArea>
    </format>
    <format dxfId="289">
      <pivotArea dataOnly="0" labelOnly="1" outline="0" fieldPosition="0">
        <references count="2">
          <reference field="0" count="1" selected="0">
            <x v="10"/>
          </reference>
          <reference field="2" count="1">
            <x v="10"/>
          </reference>
        </references>
      </pivotArea>
    </format>
    <format dxfId="288">
      <pivotArea dataOnly="0" labelOnly="1" outline="0" fieldPosition="0">
        <references count="2">
          <reference field="0" count="1" selected="0">
            <x v="11"/>
          </reference>
          <reference field="2" count="1">
            <x v="11"/>
          </reference>
        </references>
      </pivotArea>
    </format>
    <format dxfId="287">
      <pivotArea dataOnly="0" labelOnly="1" outline="0" fieldPosition="0">
        <references count="2">
          <reference field="0" count="1" selected="0">
            <x v="12"/>
          </reference>
          <reference field="2" count="1">
            <x v="12"/>
          </reference>
        </references>
      </pivotArea>
    </format>
    <format dxfId="286">
      <pivotArea dataOnly="0" labelOnly="1" outline="0" fieldPosition="0">
        <references count="2">
          <reference field="0" count="1" selected="0">
            <x v="13"/>
          </reference>
          <reference field="2" count="1">
            <x v="13"/>
          </reference>
        </references>
      </pivotArea>
    </format>
    <format dxfId="285">
      <pivotArea dataOnly="0" labelOnly="1" outline="0" fieldPosition="0">
        <references count="2">
          <reference field="0" count="1" selected="0">
            <x v="14"/>
          </reference>
          <reference field="2" count="1">
            <x v="14"/>
          </reference>
        </references>
      </pivotArea>
    </format>
    <format dxfId="284">
      <pivotArea dataOnly="0" labelOnly="1" outline="0" fieldPosition="0">
        <references count="2">
          <reference field="0" count="1" selected="0">
            <x v="15"/>
          </reference>
          <reference field="2" count="1">
            <x v="15"/>
          </reference>
        </references>
      </pivotArea>
    </format>
    <format dxfId="283">
      <pivotArea dataOnly="0" labelOnly="1" outline="0" fieldPosition="0">
        <references count="2">
          <reference field="0" count="1" selected="0">
            <x v="16"/>
          </reference>
          <reference field="2" count="1">
            <x v="16"/>
          </reference>
        </references>
      </pivotArea>
    </format>
    <format dxfId="282">
      <pivotArea dataOnly="0" labelOnly="1" outline="0" fieldPosition="0">
        <references count="2">
          <reference field="0" count="1" selected="0">
            <x v="17"/>
          </reference>
          <reference field="2" count="1">
            <x v="17"/>
          </reference>
        </references>
      </pivotArea>
    </format>
    <format dxfId="281">
      <pivotArea dataOnly="0" labelOnly="1" outline="0" fieldPosition="0">
        <references count="2">
          <reference field="0" count="1" selected="0">
            <x v="18"/>
          </reference>
          <reference field="2" count="1">
            <x v="18"/>
          </reference>
        </references>
      </pivotArea>
    </format>
    <format dxfId="280">
      <pivotArea dataOnly="0" labelOnly="1" outline="0" fieldPosition="0">
        <references count="2">
          <reference field="0" count="1" selected="0">
            <x v="19"/>
          </reference>
          <reference field="2" count="1">
            <x v="19"/>
          </reference>
        </references>
      </pivotArea>
    </format>
    <format dxfId="279">
      <pivotArea dataOnly="0" labelOnly="1" outline="0" fieldPosition="0">
        <references count="2">
          <reference field="0" count="1" selected="0">
            <x v="20"/>
          </reference>
          <reference field="2" count="1">
            <x v="20"/>
          </reference>
        </references>
      </pivotArea>
    </format>
    <format dxfId="278">
      <pivotArea dataOnly="0" labelOnly="1" outline="0" fieldPosition="0">
        <references count="2">
          <reference field="0" count="1" selected="0">
            <x v="21"/>
          </reference>
          <reference field="2" count="1">
            <x v="21"/>
          </reference>
        </references>
      </pivotArea>
    </format>
    <format dxfId="277">
      <pivotArea dataOnly="0" labelOnly="1" outline="0" fieldPosition="0">
        <references count="2">
          <reference field="0" count="1" selected="0">
            <x v="22"/>
          </reference>
          <reference field="2" count="1">
            <x v="22"/>
          </reference>
        </references>
      </pivotArea>
    </format>
    <format dxfId="276">
      <pivotArea dataOnly="0" labelOnly="1" outline="0" fieldPosition="0">
        <references count="2">
          <reference field="0" count="1" selected="0">
            <x v="23"/>
          </reference>
          <reference field="2" count="1">
            <x v="23"/>
          </reference>
        </references>
      </pivotArea>
    </format>
    <format dxfId="275">
      <pivotArea dataOnly="0" labelOnly="1" outline="0" fieldPosition="0">
        <references count="2">
          <reference field="0" count="1" selected="0">
            <x v="24"/>
          </reference>
          <reference field="2" count="1">
            <x v="24"/>
          </reference>
        </references>
      </pivotArea>
    </format>
    <format dxfId="274">
      <pivotArea dataOnly="0" labelOnly="1" outline="0" fieldPosition="0">
        <references count="2">
          <reference field="0" count="1" selected="0">
            <x v="25"/>
          </reference>
          <reference field="2" count="1">
            <x v="25"/>
          </reference>
        </references>
      </pivotArea>
    </format>
    <format dxfId="273">
      <pivotArea dataOnly="0" labelOnly="1" outline="0" fieldPosition="0">
        <references count="2">
          <reference field="0" count="1" selected="0">
            <x v="26"/>
          </reference>
          <reference field="2" count="1">
            <x v="26"/>
          </reference>
        </references>
      </pivotArea>
    </format>
    <format dxfId="272">
      <pivotArea dataOnly="0" labelOnly="1" outline="0" fieldPosition="0">
        <references count="2">
          <reference field="0" count="1" selected="0">
            <x v="27"/>
          </reference>
          <reference field="2" count="1">
            <x v="27"/>
          </reference>
        </references>
      </pivotArea>
    </format>
    <format dxfId="271">
      <pivotArea dataOnly="0" labelOnly="1" outline="0" fieldPosition="0">
        <references count="2">
          <reference field="0" count="1" selected="0">
            <x v="28"/>
          </reference>
          <reference field="2" count="1">
            <x v="28"/>
          </reference>
        </references>
      </pivotArea>
    </format>
    <format dxfId="270">
      <pivotArea dataOnly="0" labelOnly="1" outline="0" fieldPosition="0">
        <references count="2">
          <reference field="0" count="1" selected="0">
            <x v="29"/>
          </reference>
          <reference field="2" count="1">
            <x v="29"/>
          </reference>
        </references>
      </pivotArea>
    </format>
    <format dxfId="269">
      <pivotArea dataOnly="0" labelOnly="1" outline="0" fieldPosition="0">
        <references count="2">
          <reference field="0" count="1" selected="0">
            <x v="30"/>
          </reference>
          <reference field="2" count="1">
            <x v="30"/>
          </reference>
        </references>
      </pivotArea>
    </format>
    <format dxfId="268">
      <pivotArea dataOnly="0" labelOnly="1" outline="0" fieldPosition="0">
        <references count="2">
          <reference field="0" count="1" selected="0">
            <x v="31"/>
          </reference>
          <reference field="2" count="1">
            <x v="31"/>
          </reference>
        </references>
      </pivotArea>
    </format>
    <format dxfId="267">
      <pivotArea dataOnly="0" labelOnly="1" outline="0" fieldPosition="0">
        <references count="2">
          <reference field="0" count="1" selected="0">
            <x v="32"/>
          </reference>
          <reference field="2" count="1">
            <x v="32"/>
          </reference>
        </references>
      </pivotArea>
    </format>
    <format dxfId="266">
      <pivotArea dataOnly="0" labelOnly="1" outline="0" fieldPosition="0">
        <references count="2">
          <reference field="0" count="1" selected="0">
            <x v="33"/>
          </reference>
          <reference field="2" count="1">
            <x v="33"/>
          </reference>
        </references>
      </pivotArea>
    </format>
    <format dxfId="265">
      <pivotArea dataOnly="0" labelOnly="1" outline="0" fieldPosition="0">
        <references count="2">
          <reference field="0" count="1" selected="0">
            <x v="34"/>
          </reference>
          <reference field="2" count="1">
            <x v="34"/>
          </reference>
        </references>
      </pivotArea>
    </format>
    <format dxfId="264">
      <pivotArea dataOnly="0" labelOnly="1" outline="0" fieldPosition="0">
        <references count="2">
          <reference field="0" count="1" selected="0">
            <x v="35"/>
          </reference>
          <reference field="2" count="1">
            <x v="35"/>
          </reference>
        </references>
      </pivotArea>
    </format>
    <format dxfId="263">
      <pivotArea dataOnly="0" labelOnly="1" outline="0" fieldPosition="0">
        <references count="2">
          <reference field="0" count="1" selected="0">
            <x v="36"/>
          </reference>
          <reference field="2" count="1">
            <x v="36"/>
          </reference>
        </references>
      </pivotArea>
    </format>
    <format dxfId="262">
      <pivotArea dataOnly="0" labelOnly="1" outline="0" fieldPosition="0">
        <references count="2">
          <reference field="0" count="1" selected="0">
            <x v="37"/>
          </reference>
          <reference field="2" count="1">
            <x v="37"/>
          </reference>
        </references>
      </pivotArea>
    </format>
    <format dxfId="261">
      <pivotArea dataOnly="0" labelOnly="1" outline="0" fieldPosition="0">
        <references count="2">
          <reference field="0" count="1" selected="0">
            <x v="38"/>
          </reference>
          <reference field="2" count="1">
            <x v="38"/>
          </reference>
        </references>
      </pivotArea>
    </format>
    <format dxfId="260">
      <pivotArea dataOnly="0" labelOnly="1" outline="0" fieldPosition="0">
        <references count="2">
          <reference field="0" count="1" selected="0">
            <x v="39"/>
          </reference>
          <reference field="2" count="1">
            <x v="39"/>
          </reference>
        </references>
      </pivotArea>
    </format>
    <format dxfId="259">
      <pivotArea dataOnly="0" labelOnly="1" outline="0" fieldPosition="0">
        <references count="2">
          <reference field="0" count="1" selected="0">
            <x v="40"/>
          </reference>
          <reference field="2" count="1">
            <x v="40"/>
          </reference>
        </references>
      </pivotArea>
    </format>
    <format dxfId="258">
      <pivotArea dataOnly="0" labelOnly="1" outline="0" fieldPosition="0">
        <references count="3">
          <reference field="0" count="1" selected="0">
            <x v="4"/>
          </reference>
          <reference field="1" count="1">
            <x v="2"/>
          </reference>
          <reference field="2" count="1" selected="0">
            <x v="4"/>
          </reference>
        </references>
      </pivotArea>
    </format>
    <format dxfId="257">
      <pivotArea dataOnly="0" labelOnly="1" outline="0" fieldPosition="0">
        <references count="3">
          <reference field="0" count="1" selected="0">
            <x v="5"/>
          </reference>
          <reference field="1" count="1">
            <x v="8"/>
          </reference>
          <reference field="2" count="1" selected="0">
            <x v="5"/>
          </reference>
        </references>
      </pivotArea>
    </format>
    <format dxfId="256">
      <pivotArea dataOnly="0" labelOnly="1" outline="0" fieldPosition="0">
        <references count="3">
          <reference field="0" count="1" selected="0">
            <x v="8"/>
          </reference>
          <reference field="1" count="1">
            <x v="7"/>
          </reference>
          <reference field="2" count="1" selected="0">
            <x v="8"/>
          </reference>
        </references>
      </pivotArea>
    </format>
    <format dxfId="255">
      <pivotArea dataOnly="0" labelOnly="1" outline="0" fieldPosition="0">
        <references count="3">
          <reference field="0" count="1" selected="0">
            <x v="10"/>
          </reference>
          <reference field="1" count="1">
            <x v="13"/>
          </reference>
          <reference field="2" count="1" selected="0">
            <x v="10"/>
          </reference>
        </references>
      </pivotArea>
    </format>
    <format dxfId="254">
      <pivotArea dataOnly="0" labelOnly="1" outline="0" fieldPosition="0">
        <references count="3">
          <reference field="0" count="1" selected="0">
            <x v="11"/>
          </reference>
          <reference field="1" count="1">
            <x v="14"/>
          </reference>
          <reference field="2" count="1" selected="0">
            <x v="11"/>
          </reference>
        </references>
      </pivotArea>
    </format>
    <format dxfId="253">
      <pivotArea dataOnly="0" labelOnly="1" outline="0" fieldPosition="0">
        <references count="3">
          <reference field="0" count="1" selected="0">
            <x v="12"/>
          </reference>
          <reference field="1" count="1">
            <x v="15"/>
          </reference>
          <reference field="2" count="1" selected="0">
            <x v="12"/>
          </reference>
        </references>
      </pivotArea>
    </format>
    <format dxfId="252">
      <pivotArea dataOnly="0" labelOnly="1" outline="0" fieldPosition="0">
        <references count="3">
          <reference field="0" count="1" selected="0">
            <x v="13"/>
          </reference>
          <reference field="1" count="1">
            <x v="16"/>
          </reference>
          <reference field="2" count="1" selected="0">
            <x v="13"/>
          </reference>
        </references>
      </pivotArea>
    </format>
    <format dxfId="251">
      <pivotArea dataOnly="0" labelOnly="1" outline="0" fieldPosition="0">
        <references count="3">
          <reference field="0" count="1" selected="0">
            <x v="14"/>
          </reference>
          <reference field="1" count="1">
            <x v="17"/>
          </reference>
          <reference field="2" count="1" selected="0">
            <x v="14"/>
          </reference>
        </references>
      </pivotArea>
    </format>
    <format dxfId="250">
      <pivotArea dataOnly="0" labelOnly="1" outline="0" fieldPosition="0">
        <references count="3">
          <reference field="0" count="1" selected="0">
            <x v="15"/>
          </reference>
          <reference field="1" count="1">
            <x v="10"/>
          </reference>
          <reference field="2" count="1" selected="0">
            <x v="15"/>
          </reference>
        </references>
      </pivotArea>
    </format>
    <format dxfId="249">
      <pivotArea dataOnly="0" labelOnly="1" outline="0" fieldPosition="0">
        <references count="3">
          <reference field="0" count="1" selected="0">
            <x v="16"/>
          </reference>
          <reference field="1" count="1">
            <x v="11"/>
          </reference>
          <reference field="2" count="1" selected="0">
            <x v="16"/>
          </reference>
        </references>
      </pivotArea>
    </format>
    <format dxfId="248">
      <pivotArea dataOnly="0" labelOnly="1" outline="0" fieldPosition="0">
        <references count="3">
          <reference field="0" count="1" selected="0">
            <x v="17"/>
          </reference>
          <reference field="1" count="1">
            <x v="3"/>
          </reference>
          <reference field="2" count="1" selected="0">
            <x v="17"/>
          </reference>
        </references>
      </pivotArea>
    </format>
    <format dxfId="247">
      <pivotArea dataOnly="0" labelOnly="1" outline="0" fieldPosition="0">
        <references count="3">
          <reference field="0" count="1" selected="0">
            <x v="20"/>
          </reference>
          <reference field="1" count="1">
            <x v="18"/>
          </reference>
          <reference field="2" count="1" selected="0">
            <x v="20"/>
          </reference>
        </references>
      </pivotArea>
    </format>
    <format dxfId="246">
      <pivotArea dataOnly="0" labelOnly="1" outline="0" fieldPosition="0">
        <references count="3">
          <reference field="0" count="1" selected="0">
            <x v="25"/>
          </reference>
          <reference field="1" count="1">
            <x v="1"/>
          </reference>
          <reference field="2" count="1" selected="0">
            <x v="25"/>
          </reference>
        </references>
      </pivotArea>
    </format>
    <format dxfId="245">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44">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43">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42">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41">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40">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39">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38">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37">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36">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35">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34">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33">
      <pivotArea type="all" dataOnly="0" outline="0" fieldPosition="0"/>
    </format>
    <format dxfId="232">
      <pivotArea type="all" dataOnly="0" outline="0" fieldPosition="0"/>
    </format>
    <format dxfId="231">
      <pivotArea type="all" dataOnly="0" outline="0" fieldPosition="0"/>
    </format>
    <format dxfId="230">
      <pivotArea dataOnly="0" labelOnly="1" outline="0" fieldPosition="0">
        <references count="1">
          <reference field="0" count="3">
            <x v="0"/>
            <x v="1"/>
            <x v="2"/>
          </reference>
        </references>
      </pivotArea>
    </format>
    <format dxfId="229">
      <pivotArea dataOnly="0" labelOnly="1" outline="0" fieldPosition="0">
        <references count="2">
          <reference field="0" count="1" selected="0">
            <x v="0"/>
          </reference>
          <reference field="2" count="1">
            <x v="0"/>
          </reference>
        </references>
      </pivotArea>
    </format>
    <format dxfId="228">
      <pivotArea dataOnly="0" labelOnly="1" outline="0" fieldPosition="0">
        <references count="2">
          <reference field="0" count="1" selected="0">
            <x v="1"/>
          </reference>
          <reference field="2" count="1">
            <x v="1"/>
          </reference>
        </references>
      </pivotArea>
    </format>
    <format dxfId="227">
      <pivotArea dataOnly="0" labelOnly="1" outline="0" fieldPosition="0">
        <references count="2">
          <reference field="0" count="1" selected="0">
            <x v="2"/>
          </reference>
          <reference field="2" count="1">
            <x v="2"/>
          </reference>
        </references>
      </pivotArea>
    </format>
    <format dxfId="226">
      <pivotArea dataOnly="0" labelOnly="1" outline="0" fieldPosition="0">
        <references count="1">
          <reference field="1" count="0"/>
        </references>
      </pivotArea>
    </format>
    <format dxfId="225">
      <pivotArea dataOnly="0" labelOnly="1" outline="0" fieldPosition="0">
        <references count="1">
          <reference field="0" count="1">
            <x v="42"/>
          </reference>
        </references>
      </pivotArea>
    </format>
    <format dxfId="224">
      <pivotArea dataOnly="0" labelOnly="1" outline="0" fieldPosition="0">
        <references count="1">
          <reference field="0" count="1">
            <x v="41"/>
          </reference>
        </references>
      </pivotArea>
    </format>
    <format dxfId="223">
      <pivotArea dataOnly="0" labelOnly="1" outline="0" fieldPosition="0">
        <references count="1">
          <reference field="0" count="1">
            <x v="1"/>
          </reference>
        </references>
      </pivotArea>
    </format>
    <format dxfId="222">
      <pivotArea dataOnly="0" labelOnly="1" outline="0" fieldPosition="0">
        <references count="2">
          <reference field="0" count="1" selected="0">
            <x v="1"/>
          </reference>
          <reference field="2"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U14" sqref="U14"/>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9" t="s">
        <v>245</v>
      </c>
      <c r="J1" s="209" t="s">
        <v>242</v>
      </c>
      <c r="K1" s="209" t="s">
        <v>243</v>
      </c>
      <c r="L1" s="209" t="s">
        <v>234</v>
      </c>
      <c r="M1" s="209" t="s">
        <v>236</v>
      </c>
      <c r="N1" s="235" t="s">
        <v>290</v>
      </c>
      <c r="O1" s="209" t="s">
        <v>248</v>
      </c>
      <c r="P1" s="210" t="s">
        <v>239</v>
      </c>
      <c r="Q1" s="210" t="s">
        <v>244</v>
      </c>
      <c r="R1" s="209" t="s">
        <v>240</v>
      </c>
      <c r="S1" s="209" t="s">
        <v>241</v>
      </c>
      <c r="V1" s="267" t="s">
        <v>271</v>
      </c>
      <c r="W1" s="156">
        <f>SUM(X1:BB1)</f>
        <v>2570</v>
      </c>
      <c r="X1" s="228">
        <v>250</v>
      </c>
      <c r="Y1" s="268">
        <f>COUNTIF(Y4:AA4,"&gt;0")*1000-SUM(Y4:AA4)</f>
        <v>670</v>
      </c>
      <c r="Z1" s="269"/>
      <c r="AA1" s="269"/>
      <c r="AB1" s="268">
        <f t="shared" ref="AB1" si="0">COUNTIF(AB4:AD4,"&gt;0")*1000-SUM(AB4:AD4)</f>
        <v>950</v>
      </c>
      <c r="AC1" s="269"/>
      <c r="AD1" s="269"/>
      <c r="AE1" s="268">
        <f t="shared" ref="AE1" si="1">COUNTIF(AE4:AG4,"&gt;0")*1000-SUM(AE4:AG4)</f>
        <v>700</v>
      </c>
      <c r="AF1" s="269"/>
      <c r="AG1" s="269"/>
      <c r="AH1" s="268">
        <f t="shared" ref="AH1" si="2">COUNTIF(AH4:AJ4,"&gt;0")*1000-SUM(AH4:AJ4)</f>
        <v>0</v>
      </c>
      <c r="AI1" s="269"/>
      <c r="AJ1" s="269"/>
      <c r="AK1" s="268">
        <f t="shared" ref="AK1" si="3">COUNTIF(AK4:AM4,"&gt;0")*1000-SUM(AK4:AM4)</f>
        <v>0</v>
      </c>
      <c r="AL1" s="269"/>
      <c r="AM1" s="269"/>
      <c r="AN1" s="268">
        <f t="shared" ref="AN1" si="4">COUNTIF(AN4:AP4,"&gt;0")*1000-SUM(AN4:AP4)</f>
        <v>0</v>
      </c>
      <c r="AO1" s="269"/>
      <c r="AP1" s="269"/>
      <c r="AQ1" s="268">
        <f t="shared" ref="AQ1" si="5">COUNTIF(AQ4:AS4,"&gt;0")*1000-SUM(AQ4:AS4)</f>
        <v>0</v>
      </c>
      <c r="AR1" s="269"/>
      <c r="AS1" s="269"/>
      <c r="AT1" s="268">
        <f t="shared" ref="AT1" si="6">COUNTIF(AT4:AV4,"&gt;0")*1000-SUM(AT4:AV4)</f>
        <v>0</v>
      </c>
      <c r="AU1" s="269"/>
      <c r="AV1" s="269"/>
      <c r="AW1" s="268">
        <f t="shared" ref="AW1" si="7">COUNTIF(AW4:AY4,"&gt;0")*1000-SUM(AW4:AY4)</f>
        <v>0</v>
      </c>
      <c r="AX1" s="269"/>
      <c r="AY1" s="269"/>
      <c r="AZ1" s="268">
        <f t="shared" ref="AZ1" si="8">COUNTIF(AZ4:BB4,"&gt;0")*1000-SUM(AZ4:BB4)</f>
        <v>0</v>
      </c>
      <c r="BA1" s="269"/>
      <c r="BB1" s="269"/>
    </row>
    <row r="2" spans="1:60" s="36" customFormat="1" ht="30" customHeight="1" x14ac:dyDescent="0.25">
      <c r="A2" s="97"/>
      <c r="B2" s="97"/>
      <c r="C2" s="97"/>
      <c r="D2" s="97"/>
      <c r="E2" s="97"/>
      <c r="F2" s="97"/>
      <c r="G2" s="97"/>
      <c r="H2" s="107"/>
      <c r="I2" s="211"/>
      <c r="J2" s="212">
        <f>SUBTOTAL(9,J3:J14)</f>
        <v>70039</v>
      </c>
      <c r="K2" s="212">
        <f t="shared" ref="K2:S2" si="9">SUBTOTAL(9,K3:K14)</f>
        <v>89731</v>
      </c>
      <c r="L2" s="212">
        <f t="shared" si="9"/>
        <v>19300</v>
      </c>
      <c r="M2" s="212">
        <f t="shared" si="9"/>
        <v>3895</v>
      </c>
      <c r="N2" s="212">
        <f t="shared" si="9"/>
        <v>1366</v>
      </c>
      <c r="O2" s="212">
        <f t="shared" si="9"/>
        <v>2702</v>
      </c>
      <c r="P2" s="212">
        <f t="shared" si="9"/>
        <v>9768</v>
      </c>
      <c r="Q2" s="212">
        <f t="shared" si="9"/>
        <v>700</v>
      </c>
      <c r="R2" s="212">
        <f t="shared" si="9"/>
        <v>12000</v>
      </c>
      <c r="S2" s="212">
        <f t="shared" si="9"/>
        <v>40000</v>
      </c>
      <c r="V2" s="267"/>
      <c r="W2" s="156"/>
      <c r="X2" s="106" t="s">
        <v>214</v>
      </c>
      <c r="Y2" s="266" t="s">
        <v>215</v>
      </c>
      <c r="Z2" s="266"/>
      <c r="AA2" s="266"/>
      <c r="AB2" s="265" t="s">
        <v>216</v>
      </c>
      <c r="AC2" s="265"/>
      <c r="AD2" s="265"/>
      <c r="AE2" s="266" t="s">
        <v>217</v>
      </c>
      <c r="AF2" s="266"/>
      <c r="AG2" s="266"/>
      <c r="AH2" s="265" t="s">
        <v>218</v>
      </c>
      <c r="AI2" s="265"/>
      <c r="AJ2" s="265"/>
      <c r="AK2" s="266" t="s">
        <v>219</v>
      </c>
      <c r="AL2" s="266"/>
      <c r="AM2" s="266"/>
      <c r="AN2" s="265" t="s">
        <v>220</v>
      </c>
      <c r="AO2" s="265"/>
      <c r="AP2" s="265"/>
      <c r="AQ2" s="266" t="s">
        <v>270</v>
      </c>
      <c r="AR2" s="266"/>
      <c r="AS2" s="266"/>
      <c r="AT2" s="265" t="s">
        <v>210</v>
      </c>
      <c r="AU2" s="265"/>
      <c r="AV2" s="265"/>
      <c r="AW2" s="266" t="s">
        <v>211</v>
      </c>
      <c r="AX2" s="266"/>
      <c r="AY2" s="266"/>
      <c r="AZ2" s="265" t="s">
        <v>212</v>
      </c>
      <c r="BA2" s="265"/>
      <c r="BB2" s="265"/>
    </row>
    <row r="3" spans="1:60" s="96" customFormat="1" ht="20.100000000000001" customHeight="1" x14ac:dyDescent="0.2">
      <c r="A3" s="102"/>
      <c r="B3" s="98"/>
      <c r="C3" s="105">
        <v>8.6000000000000014</v>
      </c>
      <c r="D3" s="105">
        <v>36</v>
      </c>
      <c r="E3" s="105"/>
      <c r="F3" s="99">
        <v>1509.4</v>
      </c>
      <c r="G3" s="99">
        <v>0</v>
      </c>
      <c r="H3" s="99">
        <v>1509.4</v>
      </c>
      <c r="I3" s="106" t="s">
        <v>209</v>
      </c>
      <c r="J3" s="207" t="s">
        <v>249</v>
      </c>
      <c r="K3" s="208">
        <f>SUM(L3:S3)</f>
        <v>5695.3333333333339</v>
      </c>
      <c r="L3" s="26" t="s">
        <v>235</v>
      </c>
      <c r="M3" s="26">
        <v>0</v>
      </c>
      <c r="N3" s="26">
        <v>0</v>
      </c>
      <c r="O3" s="26">
        <v>0</v>
      </c>
      <c r="P3" s="26">
        <v>1162</v>
      </c>
      <c r="Q3" s="26">
        <v>200</v>
      </c>
      <c r="R3" s="26">
        <v>1000</v>
      </c>
      <c r="S3" s="26">
        <f>40/12*1000</f>
        <v>3333.3333333333335</v>
      </c>
      <c r="V3" s="267"/>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7" t="s">
        <v>249</v>
      </c>
      <c r="K4" s="208">
        <f t="shared" ref="K4:K14" si="10">SUM(L4:S4)</f>
        <v>8337.3333333333339</v>
      </c>
      <c r="L4" s="26">
        <v>2000</v>
      </c>
      <c r="M4" s="26">
        <v>300</v>
      </c>
      <c r="N4" s="26">
        <v>0</v>
      </c>
      <c r="O4" s="26">
        <v>0</v>
      </c>
      <c r="P4" s="26">
        <v>1204</v>
      </c>
      <c r="Q4" s="26">
        <v>500</v>
      </c>
      <c r="R4" s="26">
        <v>1000</v>
      </c>
      <c r="S4" s="26">
        <f>40/12*1000</f>
        <v>3333.3333333333335</v>
      </c>
      <c r="W4" s="231">
        <f>SUM(X4:BB4)</f>
        <v>7430</v>
      </c>
      <c r="X4" s="208">
        <v>750</v>
      </c>
      <c r="Y4" s="208">
        <v>700</v>
      </c>
      <c r="Z4" s="208">
        <v>850</v>
      </c>
      <c r="AA4" s="208">
        <v>780</v>
      </c>
      <c r="AB4" s="208">
        <v>700</v>
      </c>
      <c r="AC4" s="208">
        <v>650</v>
      </c>
      <c r="AD4" s="208">
        <v>700</v>
      </c>
      <c r="AE4" s="208">
        <v>800</v>
      </c>
      <c r="AF4" s="208">
        <v>750</v>
      </c>
      <c r="AG4" s="208">
        <v>750</v>
      </c>
      <c r="AH4" s="208">
        <v>0</v>
      </c>
      <c r="AI4" s="208">
        <v>0</v>
      </c>
      <c r="AJ4" s="208">
        <v>0</v>
      </c>
      <c r="AK4" s="208">
        <v>0</v>
      </c>
      <c r="AL4" s="208">
        <v>0</v>
      </c>
      <c r="AM4" s="208">
        <v>0</v>
      </c>
      <c r="AN4" s="208">
        <v>0</v>
      </c>
      <c r="AO4" s="208">
        <v>0</v>
      </c>
      <c r="AP4" s="208">
        <v>0</v>
      </c>
      <c r="AQ4" s="208">
        <v>0</v>
      </c>
      <c r="AR4" s="208">
        <v>0</v>
      </c>
      <c r="AS4" s="208">
        <v>0</v>
      </c>
      <c r="AT4" s="208">
        <v>0</v>
      </c>
      <c r="AU4" s="208">
        <v>0</v>
      </c>
      <c r="AV4" s="208">
        <v>0</v>
      </c>
      <c r="AW4" s="208">
        <v>0</v>
      </c>
      <c r="AX4" s="208">
        <v>0</v>
      </c>
      <c r="AY4" s="208">
        <v>0</v>
      </c>
      <c r="AZ4" s="208">
        <v>0</v>
      </c>
      <c r="BA4" s="208">
        <v>0</v>
      </c>
      <c r="BB4" s="208">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7" t="s">
        <v>249</v>
      </c>
      <c r="K5" s="208">
        <f t="shared" si="10"/>
        <v>8224.3333333333339</v>
      </c>
      <c r="L5" s="26">
        <v>1800</v>
      </c>
      <c r="M5" s="26">
        <f>85+100+100+90</f>
        <v>375</v>
      </c>
      <c r="N5" s="26">
        <v>0</v>
      </c>
      <c r="O5" s="26">
        <f>52+200+190+70+70+70</f>
        <v>652</v>
      </c>
      <c r="P5" s="26">
        <v>1064</v>
      </c>
      <c r="Q5" s="26">
        <v>0</v>
      </c>
      <c r="R5" s="26">
        <v>1000</v>
      </c>
      <c r="S5" s="26">
        <f t="shared" ref="S5:S14" si="11">40/12*1000</f>
        <v>3333.3333333333335</v>
      </c>
      <c r="W5" s="229"/>
    </row>
    <row r="6" spans="1:60" ht="20.100000000000001" customHeight="1" x14ac:dyDescent="0.25">
      <c r="A6" s="103">
        <v>3</v>
      </c>
      <c r="B6" s="100" t="s">
        <v>32</v>
      </c>
      <c r="C6" s="101">
        <v>0.5</v>
      </c>
      <c r="D6" s="101">
        <v>2</v>
      </c>
      <c r="E6" s="101">
        <v>55.5</v>
      </c>
      <c r="F6" s="106">
        <v>111</v>
      </c>
      <c r="G6" s="26">
        <v>0</v>
      </c>
      <c r="H6" s="106">
        <v>111</v>
      </c>
      <c r="I6" s="106" t="s">
        <v>212</v>
      </c>
      <c r="J6" s="207">
        <f>4500+7200+2300+550+180+50+6</f>
        <v>14786</v>
      </c>
      <c r="K6" s="208">
        <f t="shared" si="10"/>
        <v>8312.3333333333339</v>
      </c>
      <c r="L6" s="26">
        <v>2000</v>
      </c>
      <c r="M6" s="26">
        <f>90+80+90+95+90</f>
        <v>445</v>
      </c>
      <c r="N6" s="26">
        <f>44+90+44+37</f>
        <v>215</v>
      </c>
      <c r="O6" s="26">
        <v>0</v>
      </c>
      <c r="P6" s="26">
        <v>1319</v>
      </c>
      <c r="Q6" s="26">
        <v>0</v>
      </c>
      <c r="R6" s="26">
        <v>1000</v>
      </c>
      <c r="S6" s="26">
        <f t="shared" si="11"/>
        <v>3333.3333333333335</v>
      </c>
      <c r="W6" s="232">
        <f>SUM(Y6:BH6)</f>
        <v>12500</v>
      </c>
      <c r="Y6" s="264">
        <v>4200</v>
      </c>
      <c r="Z6" s="264"/>
      <c r="AA6" s="264"/>
      <c r="AB6" s="264">
        <v>4100</v>
      </c>
      <c r="AC6" s="264"/>
      <c r="AD6" s="264"/>
      <c r="AE6" s="264">
        <v>4200</v>
      </c>
      <c r="AF6" s="264"/>
      <c r="AG6" s="264"/>
      <c r="AH6" s="264"/>
      <c r="AI6" s="264"/>
      <c r="AJ6" s="264"/>
      <c r="AK6" s="264"/>
      <c r="AL6" s="264"/>
      <c r="AM6" s="264"/>
      <c r="AN6" s="264"/>
      <c r="AO6" s="264"/>
      <c r="AP6" s="264"/>
      <c r="AQ6" s="264"/>
      <c r="AR6" s="264"/>
      <c r="AS6" s="264"/>
      <c r="AT6" s="264"/>
      <c r="AU6" s="264"/>
      <c r="AV6" s="264"/>
      <c r="AW6" s="264"/>
      <c r="AX6" s="264"/>
      <c r="AY6" s="264"/>
      <c r="AZ6" s="264"/>
      <c r="BA6" s="264"/>
      <c r="BB6" s="264"/>
      <c r="BC6" s="264"/>
      <c r="BD6" s="264"/>
      <c r="BE6" s="264"/>
      <c r="BF6" s="264"/>
      <c r="BG6" s="264"/>
      <c r="BH6" s="264"/>
    </row>
    <row r="7" spans="1:60" ht="20.100000000000001" customHeight="1" x14ac:dyDescent="0.25">
      <c r="A7" s="103">
        <v>4</v>
      </c>
      <c r="B7" s="100" t="s">
        <v>33</v>
      </c>
      <c r="C7" s="101">
        <v>0.5</v>
      </c>
      <c r="D7" s="101">
        <v>2</v>
      </c>
      <c r="E7" s="101">
        <v>55.5</v>
      </c>
      <c r="F7" s="106">
        <v>111</v>
      </c>
      <c r="G7" s="26">
        <v>0</v>
      </c>
      <c r="H7" s="106">
        <v>111</v>
      </c>
      <c r="I7" s="106" t="s">
        <v>213</v>
      </c>
      <c r="J7" s="207">
        <v>14000</v>
      </c>
      <c r="K7" s="208">
        <f t="shared" si="10"/>
        <v>8900.3333333333339</v>
      </c>
      <c r="L7" s="26">
        <v>2000</v>
      </c>
      <c r="M7" s="26">
        <f>200+100+105+100+100</f>
        <v>605</v>
      </c>
      <c r="N7" s="26">
        <f>88+45</f>
        <v>133</v>
      </c>
      <c r="O7" s="26">
        <v>800</v>
      </c>
      <c r="P7" s="26">
        <v>1029</v>
      </c>
      <c r="Q7" s="26">
        <v>0</v>
      </c>
      <c r="R7" s="26">
        <v>1000</v>
      </c>
      <c r="S7" s="26">
        <f t="shared" si="11"/>
        <v>3333.3333333333335</v>
      </c>
      <c r="W7" s="156"/>
      <c r="Y7" s="230"/>
      <c r="Z7" s="230"/>
      <c r="AA7" s="230"/>
      <c r="AB7" s="230"/>
      <c r="AC7" s="230"/>
      <c r="AD7" s="230"/>
      <c r="AE7" s="230"/>
      <c r="AF7" s="230"/>
      <c r="AG7" s="230"/>
      <c r="AH7" s="230"/>
      <c r="AI7" s="230"/>
      <c r="AJ7" s="230"/>
      <c r="AK7" s="230"/>
      <c r="AL7" s="230"/>
      <c r="AM7" s="230"/>
      <c r="AN7" s="230"/>
      <c r="AO7" s="230"/>
      <c r="AP7" s="230"/>
      <c r="AQ7" s="230"/>
      <c r="AR7" s="230"/>
      <c r="AS7" s="230"/>
      <c r="AT7" s="230"/>
      <c r="AU7" s="230"/>
      <c r="AV7" s="230"/>
      <c r="AW7" s="230"/>
      <c r="AX7" s="230"/>
      <c r="AY7" s="230"/>
      <c r="AZ7" s="230"/>
      <c r="BA7" s="230"/>
      <c r="BB7" s="230"/>
      <c r="BC7" s="230"/>
      <c r="BD7" s="230"/>
      <c r="BE7" s="230"/>
      <c r="BF7" s="230"/>
      <c r="BG7" s="230"/>
      <c r="BH7" s="230"/>
    </row>
    <row r="8" spans="1:60" ht="20.100000000000001" customHeight="1" x14ac:dyDescent="0.25">
      <c r="A8" s="103">
        <v>5</v>
      </c>
      <c r="B8" s="100" t="s">
        <v>46</v>
      </c>
      <c r="C8" s="101">
        <v>1</v>
      </c>
      <c r="D8" s="101">
        <v>2</v>
      </c>
      <c r="E8" s="101">
        <v>102</v>
      </c>
      <c r="F8" s="106">
        <v>204</v>
      </c>
      <c r="G8" s="26">
        <v>0</v>
      </c>
      <c r="H8" s="106">
        <v>204</v>
      </c>
      <c r="I8" s="106" t="s">
        <v>214</v>
      </c>
      <c r="J8" s="207">
        <f>10368+890</f>
        <v>11258</v>
      </c>
      <c r="K8" s="208">
        <f t="shared" si="10"/>
        <v>7290.3333333333339</v>
      </c>
      <c r="L8" s="221">
        <v>1000</v>
      </c>
      <c r="M8" s="26">
        <f>100+100+100+100+100</f>
        <v>500</v>
      </c>
      <c r="N8" s="26">
        <f>119+88</f>
        <v>207</v>
      </c>
      <c r="O8" s="26">
        <v>700</v>
      </c>
      <c r="P8" s="26">
        <v>550</v>
      </c>
      <c r="Q8" s="26">
        <v>0</v>
      </c>
      <c r="R8" s="26">
        <v>1000</v>
      </c>
      <c r="S8" s="26">
        <f t="shared" si="11"/>
        <v>3333.3333333333335</v>
      </c>
      <c r="W8" s="50">
        <f>SUM(Y8:BH8)</f>
        <v>2500</v>
      </c>
      <c r="Y8" s="264">
        <f>COUNTIF(Y6,"&gt;0")*5000-Y6</f>
        <v>800</v>
      </c>
      <c r="Z8" s="264"/>
      <c r="AA8" s="264"/>
      <c r="AB8" s="264">
        <f t="shared" ref="AB8" si="12">COUNTIF(AB6,"&gt;0")*5000-AB6</f>
        <v>900</v>
      </c>
      <c r="AC8" s="264"/>
      <c r="AD8" s="264"/>
      <c r="AE8" s="264">
        <f t="shared" ref="AE8" si="13">COUNTIF(AE6,"&gt;0")*5000-AE6</f>
        <v>800</v>
      </c>
      <c r="AF8" s="264"/>
      <c r="AG8" s="264"/>
      <c r="AH8" s="264">
        <f t="shared" ref="AH8" si="14">COUNTIF(AH6,"&gt;0")*5000-AH6</f>
        <v>0</v>
      </c>
      <c r="AI8" s="264"/>
      <c r="AJ8" s="264"/>
      <c r="AK8" s="264">
        <f t="shared" ref="AK8" si="15">COUNTIF(AK6,"&gt;0")*5000-AK6</f>
        <v>0</v>
      </c>
      <c r="AL8" s="264"/>
      <c r="AM8" s="264"/>
      <c r="AN8" s="264">
        <f t="shared" ref="AN8" si="16">COUNTIF(AN6,"&gt;0")*5000-AN6</f>
        <v>0</v>
      </c>
      <c r="AO8" s="264"/>
      <c r="AP8" s="264"/>
      <c r="AQ8" s="264">
        <f t="shared" ref="AQ8" si="17">COUNTIF(AQ6,"&gt;0")*5000-AQ6</f>
        <v>0</v>
      </c>
      <c r="AR8" s="264"/>
      <c r="AS8" s="264"/>
      <c r="AT8" s="264">
        <f t="shared" ref="AT8" si="18">COUNTIF(AT6,"&gt;0")*5000-AT6</f>
        <v>0</v>
      </c>
      <c r="AU8" s="264"/>
      <c r="AV8" s="264"/>
      <c r="AW8" s="264">
        <f t="shared" ref="AW8" si="19">COUNTIF(AW6,"&gt;0")*5000-AW6</f>
        <v>0</v>
      </c>
      <c r="AX8" s="264"/>
      <c r="AY8" s="264"/>
      <c r="AZ8" s="264">
        <f t="shared" ref="AZ8" si="20">COUNTIF(AZ6,"&gt;0")*5000-AZ6</f>
        <v>0</v>
      </c>
      <c r="BA8" s="264"/>
      <c r="BB8" s="264"/>
      <c r="BC8" s="264">
        <f t="shared" ref="BC8" si="21">COUNTIF(BC6,"&gt;0")*5000-BC6</f>
        <v>0</v>
      </c>
      <c r="BD8" s="264"/>
      <c r="BE8" s="264"/>
      <c r="BF8" s="264">
        <f t="shared" ref="BF8" si="22">COUNTIF(BF6,"&gt;0")*5000-BF6</f>
        <v>0</v>
      </c>
      <c r="BG8" s="264"/>
      <c r="BH8" s="264"/>
    </row>
    <row r="9" spans="1:60" ht="20.100000000000001" customHeight="1" x14ac:dyDescent="0.25">
      <c r="A9" s="103">
        <v>6</v>
      </c>
      <c r="B9" s="100" t="s">
        <v>34</v>
      </c>
      <c r="C9" s="101">
        <v>0.5</v>
      </c>
      <c r="D9" s="101">
        <v>2</v>
      </c>
      <c r="E9" s="101">
        <v>26.5</v>
      </c>
      <c r="F9" s="106">
        <v>53</v>
      </c>
      <c r="G9" s="26">
        <v>0</v>
      </c>
      <c r="H9" s="106">
        <v>53</v>
      </c>
      <c r="I9" s="106" t="s">
        <v>215</v>
      </c>
      <c r="J9" s="207">
        <f>5000+3730+1000</f>
        <v>9730</v>
      </c>
      <c r="K9" s="208">
        <f t="shared" si="10"/>
        <v>7816.3333333333339</v>
      </c>
      <c r="L9" s="26">
        <v>1500</v>
      </c>
      <c r="M9" s="26">
        <f>100+100+100+80+80+90</f>
        <v>550</v>
      </c>
      <c r="N9" s="26">
        <v>43</v>
      </c>
      <c r="O9" s="26">
        <v>550</v>
      </c>
      <c r="P9" s="26">
        <v>840</v>
      </c>
      <c r="Q9" s="26">
        <v>0</v>
      </c>
      <c r="R9" s="26">
        <v>1000</v>
      </c>
      <c r="S9" s="26">
        <f t="shared" si="11"/>
        <v>3333.3333333333335</v>
      </c>
      <c r="T9" s="226"/>
      <c r="U9" s="226"/>
      <c r="V9" s="226"/>
      <c r="W9" s="227"/>
    </row>
    <row r="10" spans="1:60" ht="20.100000000000001" customHeight="1" x14ac:dyDescent="0.25">
      <c r="A10" s="103">
        <v>7</v>
      </c>
      <c r="B10" s="100" t="s">
        <v>35</v>
      </c>
      <c r="C10" s="101">
        <v>0.2</v>
      </c>
      <c r="D10" s="101">
        <v>2</v>
      </c>
      <c r="E10" s="101">
        <v>11.2</v>
      </c>
      <c r="F10" s="106">
        <v>22.4</v>
      </c>
      <c r="G10" s="26">
        <v>0</v>
      </c>
      <c r="H10" s="106">
        <v>22.4</v>
      </c>
      <c r="I10" s="106" t="s">
        <v>216</v>
      </c>
      <c r="J10" s="207">
        <f>8145+850+270</f>
        <v>9265</v>
      </c>
      <c r="K10" s="208">
        <f t="shared" si="10"/>
        <v>7168.3333333333339</v>
      </c>
      <c r="L10" s="26">
        <v>1500</v>
      </c>
      <c r="M10" s="26">
        <f>80+80+80+80</f>
        <v>320</v>
      </c>
      <c r="N10" s="26">
        <f>43+42</f>
        <v>85</v>
      </c>
      <c r="O10" s="26">
        <v>0</v>
      </c>
      <c r="P10" s="26">
        <v>930</v>
      </c>
      <c r="Q10" s="26">
        <v>0</v>
      </c>
      <c r="R10" s="26">
        <v>1000</v>
      </c>
      <c r="S10" s="26">
        <f t="shared" si="11"/>
        <v>3333.3333333333335</v>
      </c>
      <c r="U10" s="226"/>
    </row>
    <row r="11" spans="1:60" ht="20.100000000000001" customHeight="1" x14ac:dyDescent="0.25">
      <c r="A11" s="103">
        <v>8</v>
      </c>
      <c r="B11" s="100" t="s">
        <v>36</v>
      </c>
      <c r="C11" s="101">
        <v>0.5</v>
      </c>
      <c r="D11" s="101">
        <v>2</v>
      </c>
      <c r="E11" s="101">
        <v>28.5</v>
      </c>
      <c r="F11" s="106">
        <v>57</v>
      </c>
      <c r="G11" s="26">
        <v>0</v>
      </c>
      <c r="H11" s="106">
        <v>57</v>
      </c>
      <c r="I11" s="106" t="s">
        <v>217</v>
      </c>
      <c r="J11" s="207">
        <v>11000</v>
      </c>
      <c r="K11" s="208">
        <f t="shared" si="10"/>
        <v>8172.3333333333339</v>
      </c>
      <c r="L11" s="26">
        <v>2000</v>
      </c>
      <c r="M11" s="26">
        <f>80+80+80+80+80</f>
        <v>400</v>
      </c>
      <c r="N11" s="26">
        <f>20+500+13+66</f>
        <v>599</v>
      </c>
      <c r="O11" s="26">
        <v>0</v>
      </c>
      <c r="P11" s="221">
        <v>840</v>
      </c>
      <c r="Q11" s="26">
        <v>0</v>
      </c>
      <c r="R11" s="26">
        <v>1000</v>
      </c>
      <c r="S11" s="26">
        <f t="shared" si="11"/>
        <v>3333.3333333333335</v>
      </c>
      <c r="T11" s="226"/>
      <c r="U11" s="226"/>
      <c r="V11" s="226"/>
    </row>
    <row r="12" spans="1:60" ht="20.100000000000001" customHeight="1" x14ac:dyDescent="0.25">
      <c r="A12" s="103">
        <v>9</v>
      </c>
      <c r="B12" s="100" t="s">
        <v>37</v>
      </c>
      <c r="C12" s="101">
        <v>0.2</v>
      </c>
      <c r="D12" s="101">
        <v>2</v>
      </c>
      <c r="E12" s="101">
        <v>12</v>
      </c>
      <c r="F12" s="106">
        <v>24</v>
      </c>
      <c r="G12" s="26">
        <v>0</v>
      </c>
      <c r="H12" s="106">
        <v>24</v>
      </c>
      <c r="I12" s="106" t="s">
        <v>218</v>
      </c>
      <c r="J12" s="207"/>
      <c r="K12" s="208">
        <f t="shared" si="10"/>
        <v>7147.3333333333339</v>
      </c>
      <c r="L12" s="26">
        <v>1500</v>
      </c>
      <c r="M12" s="26">
        <v>400</v>
      </c>
      <c r="N12" s="26">
        <v>84</v>
      </c>
      <c r="O12" s="26">
        <v>0</v>
      </c>
      <c r="P12" s="26">
        <v>830</v>
      </c>
      <c r="Q12" s="26">
        <v>0</v>
      </c>
      <c r="R12" s="26">
        <v>1000</v>
      </c>
      <c r="S12" s="26">
        <f t="shared" si="11"/>
        <v>3333.3333333333335</v>
      </c>
      <c r="U12" s="226">
        <v>8120</v>
      </c>
    </row>
    <row r="13" spans="1:60" ht="20.100000000000001" customHeight="1" x14ac:dyDescent="0.25">
      <c r="A13" s="103">
        <v>10</v>
      </c>
      <c r="B13" s="100" t="s">
        <v>38</v>
      </c>
      <c r="C13" s="101">
        <v>0.5</v>
      </c>
      <c r="D13" s="101">
        <v>2</v>
      </c>
      <c r="E13" s="101">
        <v>28.5</v>
      </c>
      <c r="F13" s="106">
        <v>57</v>
      </c>
      <c r="G13" s="26">
        <v>0</v>
      </c>
      <c r="H13" s="106">
        <v>57</v>
      </c>
      <c r="I13" s="106" t="s">
        <v>219</v>
      </c>
      <c r="J13" s="207"/>
      <c r="K13" s="208">
        <f t="shared" si="10"/>
        <v>6333.3333333333339</v>
      </c>
      <c r="L13" s="26">
        <v>2000</v>
      </c>
      <c r="M13" s="26">
        <v>0</v>
      </c>
      <c r="N13" s="26">
        <v>0</v>
      </c>
      <c r="O13" s="26">
        <v>0</v>
      </c>
      <c r="P13" s="26">
        <v>0</v>
      </c>
      <c r="Q13" s="26">
        <v>0</v>
      </c>
      <c r="R13" s="26">
        <v>1000</v>
      </c>
      <c r="S13" s="26">
        <f t="shared" si="11"/>
        <v>3333.3333333333335</v>
      </c>
      <c r="U13" s="226">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7"/>
      <c r="K14" s="208">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136"/>
    </row>
    <row r="2" spans="1:50" ht="27.75" customHeight="1" x14ac:dyDescent="0.25">
      <c r="A2" s="1">
        <f>50+50+70+70+70+140+70+30+50+50</f>
        <v>650</v>
      </c>
      <c r="B2" s="156">
        <f>60+70+100+70</f>
        <v>300</v>
      </c>
      <c r="H2" s="158">
        <f>H15</f>
        <v>23400</v>
      </c>
      <c r="K2" s="13">
        <f>SUMPRODUCT((E5:E11)*(F5:F11))</f>
        <v>507</v>
      </c>
      <c r="L2" s="13">
        <f>M4-K4</f>
        <v>13755.983819212939</v>
      </c>
      <c r="M2" s="8">
        <f>M4/K4-1</f>
        <v>0.13033563849984708</v>
      </c>
      <c r="N2" s="8"/>
      <c r="O2" s="94"/>
      <c r="P2" s="214"/>
      <c r="Q2" s="164"/>
      <c r="AP2" s="94"/>
      <c r="AX2" s="185"/>
    </row>
    <row r="3" spans="1:50" ht="41.25" customHeight="1" x14ac:dyDescent="0.15">
      <c r="A3" s="50" t="s">
        <v>104</v>
      </c>
      <c r="B3" s="3" t="s">
        <v>0</v>
      </c>
      <c r="C3" s="3" t="s">
        <v>16</v>
      </c>
      <c r="D3" s="17" t="s">
        <v>54</v>
      </c>
      <c r="E3" s="139" t="s">
        <v>125</v>
      </c>
      <c r="F3" s="109" t="s">
        <v>124</v>
      </c>
      <c r="G3" s="4" t="s">
        <v>17</v>
      </c>
      <c r="H3" s="4" t="s">
        <v>18</v>
      </c>
      <c r="I3" s="9" t="s">
        <v>19</v>
      </c>
      <c r="J3" s="9" t="s">
        <v>20</v>
      </c>
      <c r="K3" s="9" t="s">
        <v>23</v>
      </c>
      <c r="L3" s="10" t="s">
        <v>21</v>
      </c>
      <c r="M3" s="11" t="s">
        <v>22</v>
      </c>
      <c r="N3" s="11" t="s">
        <v>103</v>
      </c>
      <c r="O3" s="20" t="s">
        <v>52</v>
      </c>
      <c r="P3" s="56" t="s">
        <v>115</v>
      </c>
      <c r="Q3" s="263" t="s">
        <v>305</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15*143</f>
        <v>2145</v>
      </c>
    </row>
    <row r="4" spans="1:50" s="45" customFormat="1" ht="27" customHeight="1" x14ac:dyDescent="0.25">
      <c r="A4" s="49">
        <f ca="1">SUBTOTAL(9,A5:A21)</f>
        <v>16235.359440846953</v>
      </c>
      <c r="B4" s="16"/>
      <c r="C4" s="16"/>
      <c r="D4" s="46"/>
      <c r="E4" s="16">
        <f>SUMPRODUCT((E5:E21)*(F5:F21))</f>
        <v>1564.75</v>
      </c>
      <c r="F4" s="16">
        <f>SUBTOTAL(9,F5:F21)</f>
        <v>1701.75</v>
      </c>
      <c r="G4" s="7"/>
      <c r="H4" s="7">
        <f>SUBTOTAL(9,H5:H14)</f>
        <v>38916</v>
      </c>
      <c r="I4" s="12"/>
      <c r="J4" s="12"/>
      <c r="K4" s="12">
        <f>SUBTOTAL(9,K5:K21)</f>
        <v>105542.76618078706</v>
      </c>
      <c r="L4" s="47"/>
      <c r="M4" s="7">
        <f>SUBTOTAL(9,M5:M21)</f>
        <v>119298.75</v>
      </c>
      <c r="N4" s="7">
        <f ca="1">SUBTOTAL(9,N5:N21)</f>
        <v>97173.5</v>
      </c>
      <c r="O4" s="48">
        <f ca="1">SUBTOTAL(9,O5:O15)</f>
        <v>232</v>
      </c>
      <c r="P4" s="74">
        <f>SUBTOTAL(9,P5:P15)</f>
        <v>1</v>
      </c>
      <c r="Q4" s="74"/>
      <c r="R4" s="25">
        <f t="shared" ref="R4:AV4" ca="1" si="0">SUBTOTAL(9,R5:R16)</f>
        <v>8</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55 Kg</v>
      </c>
      <c r="AX4" s="77">
        <f>SUBTOTAL(9,AX5:AX15)</f>
        <v>3885</v>
      </c>
    </row>
    <row r="5" spans="1:50" ht="25.5" customHeight="1" x14ac:dyDescent="0.25">
      <c r="A5" s="58">
        <f ca="1">J5*O5</f>
        <v>0</v>
      </c>
      <c r="B5" s="6">
        <v>1</v>
      </c>
      <c r="C5" s="60" t="s">
        <v>272</v>
      </c>
      <c r="D5" s="68">
        <v>99</v>
      </c>
      <c r="E5" s="61">
        <v>1.2</v>
      </c>
      <c r="F5" s="61">
        <f>30+15</f>
        <v>45</v>
      </c>
      <c r="G5" s="62">
        <v>99</v>
      </c>
      <c r="H5" s="141">
        <f t="shared" ref="H5:H14" si="1">G5*F5</f>
        <v>4455</v>
      </c>
      <c r="I5" s="215">
        <f>((H5/$H$4)*$A$2)/F5</f>
        <v>1.6535615171137834</v>
      </c>
      <c r="J5" s="215">
        <f t="shared" ref="J5:J14" si="2">G5+I5</f>
        <v>100.65356151711379</v>
      </c>
      <c r="K5" s="65">
        <f>J5*F5</f>
        <v>4529.4102682701205</v>
      </c>
      <c r="L5" s="69">
        <v>110</v>
      </c>
      <c r="M5" s="63">
        <f>L5*F5</f>
        <v>4950</v>
      </c>
      <c r="N5" s="63">
        <f t="shared" ref="N5:N15" ca="1" si="3">SUMPRODUCT(($Q5:$AV5)*$L5)</f>
        <v>4950</v>
      </c>
      <c r="O5" s="70">
        <f t="shared" ref="O5:O15" ca="1" si="4">F5-SUM(Q5:AV5)-P5</f>
        <v>0</v>
      </c>
      <c r="P5" s="165">
        <v>0</v>
      </c>
      <c r="Q5" s="242">
        <v>45</v>
      </c>
      <c r="R5" s="233">
        <f ca="1">SUMIFS('Tổng Đơn'!$F:$F,'Tổng Đơn'!$B:$B,$C5)</f>
        <v>0</v>
      </c>
      <c r="S5" s="233">
        <v>0</v>
      </c>
      <c r="T5" s="233">
        <v>0</v>
      </c>
      <c r="U5" s="233">
        <v>0</v>
      </c>
      <c r="V5" s="233">
        <v>0</v>
      </c>
      <c r="W5" s="233">
        <v>0</v>
      </c>
      <c r="X5" s="233">
        <v>0</v>
      </c>
      <c r="Y5" s="233">
        <v>0</v>
      </c>
      <c r="Z5" s="233">
        <v>0</v>
      </c>
      <c r="AA5" s="233">
        <v>0</v>
      </c>
      <c r="AB5" s="233">
        <v>0</v>
      </c>
      <c r="AC5" s="233">
        <v>0</v>
      </c>
      <c r="AD5" s="233">
        <v>0</v>
      </c>
      <c r="AE5" s="233">
        <v>0</v>
      </c>
      <c r="AF5" s="233">
        <v>0</v>
      </c>
      <c r="AG5" s="233">
        <v>0</v>
      </c>
      <c r="AH5" s="233">
        <v>0</v>
      </c>
      <c r="AI5" s="233">
        <v>0</v>
      </c>
      <c r="AJ5" s="233">
        <v>0</v>
      </c>
      <c r="AK5" s="233">
        <v>0</v>
      </c>
      <c r="AL5" s="233">
        <v>0</v>
      </c>
      <c r="AM5" s="233">
        <v>0</v>
      </c>
      <c r="AN5" s="233">
        <v>0</v>
      </c>
      <c r="AO5" s="233">
        <v>0</v>
      </c>
      <c r="AP5" s="233">
        <v>0</v>
      </c>
      <c r="AQ5" s="233">
        <v>0</v>
      </c>
      <c r="AR5" s="233">
        <v>0</v>
      </c>
      <c r="AS5" s="233">
        <v>0</v>
      </c>
      <c r="AT5" s="233">
        <v>0</v>
      </c>
      <c r="AU5" s="233">
        <v>0</v>
      </c>
      <c r="AV5" s="233">
        <v>0</v>
      </c>
      <c r="AW5" s="58">
        <v>0</v>
      </c>
      <c r="AX5" s="58">
        <f t="shared" ref="AX5:AX15" si="5">AW5*G5</f>
        <v>0</v>
      </c>
    </row>
    <row r="6" spans="1:50" ht="25.5" customHeight="1" x14ac:dyDescent="0.25">
      <c r="A6" s="58">
        <f t="shared" ref="A6:A15" ca="1" si="6">J6*O6</f>
        <v>4249.8170418336931</v>
      </c>
      <c r="B6" s="6">
        <v>2</v>
      </c>
      <c r="C6" s="60" t="s">
        <v>273</v>
      </c>
      <c r="D6" s="68">
        <v>110</v>
      </c>
      <c r="E6" s="61">
        <v>1.5</v>
      </c>
      <c r="F6" s="61">
        <f>15+20+10+20+30+20+20</f>
        <v>135</v>
      </c>
      <c r="G6" s="62">
        <v>110</v>
      </c>
      <c r="H6" s="141">
        <f t="shared" si="1"/>
        <v>14850</v>
      </c>
      <c r="I6" s="215">
        <f t="shared" ref="I6:I14" si="7">((H6/$H$4)*$A$2)/F6</f>
        <v>1.8372905745708707</v>
      </c>
      <c r="J6" s="215">
        <f t="shared" si="2"/>
        <v>111.83729057457087</v>
      </c>
      <c r="K6" s="65">
        <f t="shared" ref="K6:K14" si="8">J6*F6</f>
        <v>15098.034227567068</v>
      </c>
      <c r="L6" s="69">
        <v>122</v>
      </c>
      <c r="M6" s="63">
        <f t="shared" ref="M6:M15" si="9">L6*F6</f>
        <v>16470</v>
      </c>
      <c r="N6" s="63">
        <f t="shared" ca="1" si="3"/>
        <v>11834</v>
      </c>
      <c r="O6" s="70">
        <f t="shared" ca="1" si="4"/>
        <v>38</v>
      </c>
      <c r="P6" s="165"/>
      <c r="Q6" s="242">
        <v>97</v>
      </c>
      <c r="R6" s="233">
        <f ca="1">SUMIFS('Tổng Đơn'!$F:$F,'Tổng Đơn'!$B:$B,$C6)</f>
        <v>0</v>
      </c>
      <c r="S6" s="233">
        <v>0</v>
      </c>
      <c r="T6" s="233">
        <v>0</v>
      </c>
      <c r="U6" s="233">
        <v>0</v>
      </c>
      <c r="V6" s="233">
        <v>0</v>
      </c>
      <c r="W6" s="233">
        <v>0</v>
      </c>
      <c r="X6" s="233">
        <v>0</v>
      </c>
      <c r="Y6" s="233">
        <v>0</v>
      </c>
      <c r="Z6" s="233">
        <v>0</v>
      </c>
      <c r="AA6" s="233">
        <v>0</v>
      </c>
      <c r="AB6" s="233">
        <v>0</v>
      </c>
      <c r="AC6" s="233">
        <v>0</v>
      </c>
      <c r="AD6" s="233">
        <v>0</v>
      </c>
      <c r="AE6" s="233">
        <v>0</v>
      </c>
      <c r="AF6" s="233">
        <v>0</v>
      </c>
      <c r="AG6" s="233">
        <v>0</v>
      </c>
      <c r="AH6" s="233">
        <v>0</v>
      </c>
      <c r="AI6" s="233">
        <v>0</v>
      </c>
      <c r="AJ6" s="233">
        <v>0</v>
      </c>
      <c r="AK6" s="233">
        <v>0</v>
      </c>
      <c r="AL6" s="233">
        <v>0</v>
      </c>
      <c r="AM6" s="233">
        <v>0</v>
      </c>
      <c r="AN6" s="233">
        <v>0</v>
      </c>
      <c r="AO6" s="233">
        <v>0</v>
      </c>
      <c r="AP6" s="233">
        <v>0</v>
      </c>
      <c r="AQ6" s="233">
        <v>0</v>
      </c>
      <c r="AR6" s="233">
        <v>0</v>
      </c>
      <c r="AS6" s="233">
        <v>0</v>
      </c>
      <c r="AT6" s="233">
        <v>0</v>
      </c>
      <c r="AU6" s="233">
        <v>0</v>
      </c>
      <c r="AV6" s="233">
        <v>0</v>
      </c>
      <c r="AW6" s="58">
        <v>20</v>
      </c>
      <c r="AX6" s="58">
        <f t="shared" si="5"/>
        <v>2200</v>
      </c>
    </row>
    <row r="7" spans="1:50" ht="25.5" customHeight="1" x14ac:dyDescent="0.25">
      <c r="A7" s="58">
        <f t="shared" ca="1" si="6"/>
        <v>759.47687326549499</v>
      </c>
      <c r="B7" s="6">
        <v>3</v>
      </c>
      <c r="C7" s="60" t="s">
        <v>274</v>
      </c>
      <c r="D7" s="68">
        <v>83</v>
      </c>
      <c r="E7" s="61">
        <v>1</v>
      </c>
      <c r="F7" s="61">
        <f>10</f>
        <v>10</v>
      </c>
      <c r="G7" s="62">
        <v>83</v>
      </c>
      <c r="H7" s="141">
        <f t="shared" si="1"/>
        <v>830</v>
      </c>
      <c r="I7" s="215">
        <f t="shared" si="7"/>
        <v>1.3863192517216569</v>
      </c>
      <c r="J7" s="215">
        <f t="shared" si="2"/>
        <v>84.386319251721659</v>
      </c>
      <c r="K7" s="65">
        <f t="shared" si="8"/>
        <v>843.86319251721659</v>
      </c>
      <c r="L7" s="69">
        <v>95</v>
      </c>
      <c r="M7" s="63">
        <f t="shared" si="9"/>
        <v>950</v>
      </c>
      <c r="N7" s="63">
        <f t="shared" ca="1" si="3"/>
        <v>95</v>
      </c>
      <c r="O7" s="70">
        <f t="shared" ca="1" si="4"/>
        <v>9</v>
      </c>
      <c r="P7" s="165"/>
      <c r="Q7" s="242">
        <v>1</v>
      </c>
      <c r="R7" s="233">
        <f ca="1">SUMIFS('Tổng Đơn'!$F:$F,'Tổng Đơn'!$B:$B,$C7)</f>
        <v>0</v>
      </c>
      <c r="S7" s="233">
        <v>0</v>
      </c>
      <c r="T7" s="233">
        <v>0</v>
      </c>
      <c r="U7" s="233">
        <v>0</v>
      </c>
      <c r="V7" s="233">
        <v>0</v>
      </c>
      <c r="W7" s="233">
        <v>0</v>
      </c>
      <c r="X7" s="233">
        <v>0</v>
      </c>
      <c r="Y7" s="233">
        <v>0</v>
      </c>
      <c r="Z7" s="233">
        <v>0</v>
      </c>
      <c r="AA7" s="233">
        <v>0</v>
      </c>
      <c r="AB7" s="233">
        <v>0</v>
      </c>
      <c r="AC7" s="233">
        <v>0</v>
      </c>
      <c r="AD7" s="233">
        <v>0</v>
      </c>
      <c r="AE7" s="233">
        <v>0</v>
      </c>
      <c r="AF7" s="233">
        <v>0</v>
      </c>
      <c r="AG7" s="233">
        <v>0</v>
      </c>
      <c r="AH7" s="233">
        <v>0</v>
      </c>
      <c r="AI7" s="233">
        <v>0</v>
      </c>
      <c r="AJ7" s="233">
        <v>0</v>
      </c>
      <c r="AK7" s="233">
        <v>0</v>
      </c>
      <c r="AL7" s="233">
        <v>0</v>
      </c>
      <c r="AM7" s="233">
        <v>0</v>
      </c>
      <c r="AN7" s="233">
        <v>0</v>
      </c>
      <c r="AO7" s="233">
        <v>0</v>
      </c>
      <c r="AP7" s="233">
        <v>0</v>
      </c>
      <c r="AQ7" s="233">
        <v>0</v>
      </c>
      <c r="AR7" s="233">
        <v>0</v>
      </c>
      <c r="AS7" s="233">
        <v>0</v>
      </c>
      <c r="AT7" s="233">
        <v>0</v>
      </c>
      <c r="AU7" s="233">
        <v>0</v>
      </c>
      <c r="AV7" s="233">
        <v>0</v>
      </c>
      <c r="AW7" s="58">
        <v>0</v>
      </c>
      <c r="AX7" s="58">
        <f t="shared" si="5"/>
        <v>0</v>
      </c>
    </row>
    <row r="8" spans="1:50" ht="25.5" customHeight="1" x14ac:dyDescent="0.25">
      <c r="A8" s="58">
        <f t="shared" ca="1" si="6"/>
        <v>523.60186041730901</v>
      </c>
      <c r="B8" s="6">
        <v>4</v>
      </c>
      <c r="C8" s="60" t="s">
        <v>288</v>
      </c>
      <c r="D8" s="68">
        <v>103</v>
      </c>
      <c r="E8" s="61">
        <v>1.2</v>
      </c>
      <c r="F8" s="61">
        <f>5+5+5+5</f>
        <v>20</v>
      </c>
      <c r="G8" s="62">
        <v>103</v>
      </c>
      <c r="H8" s="141">
        <f t="shared" si="1"/>
        <v>2060</v>
      </c>
      <c r="I8" s="215">
        <f t="shared" si="7"/>
        <v>1.7203720834618152</v>
      </c>
      <c r="J8" s="215">
        <f t="shared" si="2"/>
        <v>104.72037208346181</v>
      </c>
      <c r="K8" s="65">
        <f t="shared" si="8"/>
        <v>2094.4074416692361</v>
      </c>
      <c r="L8" s="69">
        <v>116</v>
      </c>
      <c r="M8" s="63">
        <f t="shared" si="9"/>
        <v>2320</v>
      </c>
      <c r="N8" s="63">
        <f t="shared" ca="1" si="3"/>
        <v>1740</v>
      </c>
      <c r="O8" s="70">
        <f t="shared" ca="1" si="4"/>
        <v>5</v>
      </c>
      <c r="P8" s="165"/>
      <c r="Q8" s="242">
        <v>15</v>
      </c>
      <c r="R8" s="233">
        <f ca="1">SUMIFS('Tổng Đơn'!$F:$F,'Tổng Đơn'!$B:$B,$C8)</f>
        <v>0</v>
      </c>
      <c r="S8" s="233">
        <v>0</v>
      </c>
      <c r="T8" s="233">
        <v>0</v>
      </c>
      <c r="U8" s="233">
        <v>0</v>
      </c>
      <c r="V8" s="233">
        <v>0</v>
      </c>
      <c r="W8" s="233">
        <v>0</v>
      </c>
      <c r="X8" s="233">
        <v>0</v>
      </c>
      <c r="Y8" s="233">
        <v>0</v>
      </c>
      <c r="Z8" s="233">
        <v>0</v>
      </c>
      <c r="AA8" s="233">
        <v>0</v>
      </c>
      <c r="AB8" s="233">
        <v>0</v>
      </c>
      <c r="AC8" s="233">
        <v>0</v>
      </c>
      <c r="AD8" s="233">
        <v>0</v>
      </c>
      <c r="AE8" s="233">
        <v>0</v>
      </c>
      <c r="AF8" s="233">
        <v>0</v>
      </c>
      <c r="AG8" s="233">
        <v>0</v>
      </c>
      <c r="AH8" s="233">
        <v>0</v>
      </c>
      <c r="AI8" s="233">
        <v>0</v>
      </c>
      <c r="AJ8" s="233">
        <v>0</v>
      </c>
      <c r="AK8" s="233">
        <v>0</v>
      </c>
      <c r="AL8" s="233">
        <v>0</v>
      </c>
      <c r="AM8" s="233">
        <v>0</v>
      </c>
      <c r="AN8" s="233">
        <v>0</v>
      </c>
      <c r="AO8" s="233">
        <v>0</v>
      </c>
      <c r="AP8" s="233">
        <v>0</v>
      </c>
      <c r="AQ8" s="233">
        <v>0</v>
      </c>
      <c r="AR8" s="233">
        <v>0</v>
      </c>
      <c r="AS8" s="233">
        <v>0</v>
      </c>
      <c r="AT8" s="233">
        <v>0</v>
      </c>
      <c r="AU8" s="233">
        <v>0</v>
      </c>
      <c r="AV8" s="233">
        <v>0</v>
      </c>
      <c r="AW8" s="58">
        <v>0</v>
      </c>
      <c r="AX8" s="58">
        <f t="shared" si="5"/>
        <v>0</v>
      </c>
    </row>
    <row r="9" spans="1:50" ht="25.5" customHeight="1" x14ac:dyDescent="0.25">
      <c r="A9" s="58">
        <f t="shared" ca="1" si="6"/>
        <v>447.34916229828349</v>
      </c>
      <c r="B9" s="6">
        <v>5</v>
      </c>
      <c r="C9" s="60" t="s">
        <v>275</v>
      </c>
      <c r="D9" s="68">
        <v>80</v>
      </c>
      <c r="E9" s="61">
        <v>0.5</v>
      </c>
      <c r="F9" s="61">
        <f>5+10+8+10+10+10+5</f>
        <v>58</v>
      </c>
      <c r="G9" s="62">
        <v>40</v>
      </c>
      <c r="H9" s="141">
        <f t="shared" si="1"/>
        <v>2320</v>
      </c>
      <c r="I9" s="215">
        <f t="shared" si="7"/>
        <v>0.66810566348031653</v>
      </c>
      <c r="J9" s="215">
        <f t="shared" si="2"/>
        <v>40.668105663480318</v>
      </c>
      <c r="K9" s="65">
        <f t="shared" si="8"/>
        <v>2358.7501284818586</v>
      </c>
      <c r="L9" s="69">
        <v>48</v>
      </c>
      <c r="M9" s="63">
        <f t="shared" si="9"/>
        <v>2784</v>
      </c>
      <c r="N9" s="63">
        <f t="shared" ca="1" si="3"/>
        <v>2256</v>
      </c>
      <c r="O9" s="70">
        <f t="shared" ca="1" si="4"/>
        <v>11</v>
      </c>
      <c r="P9" s="165"/>
      <c r="Q9" s="242">
        <v>46</v>
      </c>
      <c r="R9" s="233">
        <f ca="1">SUMIFS('Tổng Đơn'!$F:$F,'Tổng Đơn'!$B:$B,$C9)</f>
        <v>1</v>
      </c>
      <c r="S9" s="233">
        <v>0</v>
      </c>
      <c r="T9" s="233">
        <v>0</v>
      </c>
      <c r="U9" s="233">
        <v>0</v>
      </c>
      <c r="V9" s="233">
        <v>0</v>
      </c>
      <c r="W9" s="233">
        <v>0</v>
      </c>
      <c r="X9" s="233">
        <v>0</v>
      </c>
      <c r="Y9" s="233">
        <v>0</v>
      </c>
      <c r="Z9" s="233">
        <v>0</v>
      </c>
      <c r="AA9" s="233">
        <v>0</v>
      </c>
      <c r="AB9" s="233">
        <v>0</v>
      </c>
      <c r="AC9" s="233">
        <v>0</v>
      </c>
      <c r="AD9" s="233">
        <v>0</v>
      </c>
      <c r="AE9" s="233">
        <v>0</v>
      </c>
      <c r="AF9" s="233">
        <v>0</v>
      </c>
      <c r="AG9" s="233">
        <v>0</v>
      </c>
      <c r="AH9" s="233">
        <v>0</v>
      </c>
      <c r="AI9" s="233">
        <v>0</v>
      </c>
      <c r="AJ9" s="233">
        <v>0</v>
      </c>
      <c r="AK9" s="233">
        <v>0</v>
      </c>
      <c r="AL9" s="233">
        <v>0</v>
      </c>
      <c r="AM9" s="233">
        <v>0</v>
      </c>
      <c r="AN9" s="233">
        <v>0</v>
      </c>
      <c r="AO9" s="233">
        <v>0</v>
      </c>
      <c r="AP9" s="233">
        <v>0</v>
      </c>
      <c r="AQ9" s="233">
        <v>0</v>
      </c>
      <c r="AR9" s="233">
        <v>0</v>
      </c>
      <c r="AS9" s="233">
        <v>0</v>
      </c>
      <c r="AT9" s="233">
        <v>0</v>
      </c>
      <c r="AU9" s="233">
        <v>0</v>
      </c>
      <c r="AV9" s="233">
        <v>0</v>
      </c>
      <c r="AW9" s="58">
        <v>5</v>
      </c>
      <c r="AX9" s="58">
        <f t="shared" si="5"/>
        <v>200</v>
      </c>
    </row>
    <row r="10" spans="1:50" ht="25.5" customHeight="1" x14ac:dyDescent="0.25">
      <c r="A10" s="58">
        <f t="shared" ca="1" si="6"/>
        <v>380.24678795354095</v>
      </c>
      <c r="B10" s="6">
        <v>6</v>
      </c>
      <c r="C10" s="60" t="s">
        <v>276</v>
      </c>
      <c r="D10" s="68">
        <v>68</v>
      </c>
      <c r="E10" s="61">
        <v>0.5</v>
      </c>
      <c r="F10" s="61">
        <f>20+15</f>
        <v>35</v>
      </c>
      <c r="G10" s="62">
        <v>34</v>
      </c>
      <c r="H10" s="141">
        <f t="shared" si="1"/>
        <v>1190</v>
      </c>
      <c r="I10" s="215">
        <f t="shared" si="7"/>
        <v>0.5678898139582691</v>
      </c>
      <c r="J10" s="215">
        <f t="shared" si="2"/>
        <v>34.567889813958267</v>
      </c>
      <c r="K10" s="65">
        <f t="shared" si="8"/>
        <v>1209.8761434885394</v>
      </c>
      <c r="L10" s="69">
        <v>43</v>
      </c>
      <c r="M10" s="63">
        <f t="shared" si="9"/>
        <v>1505</v>
      </c>
      <c r="N10" s="63">
        <f t="shared" ca="1" si="3"/>
        <v>1032</v>
      </c>
      <c r="O10" s="70">
        <f t="shared" ca="1" si="4"/>
        <v>11</v>
      </c>
      <c r="P10" s="165"/>
      <c r="Q10" s="242">
        <v>20</v>
      </c>
      <c r="R10" s="233">
        <f ca="1">SUMIFS('Tổng Đơn'!$F:$F,'Tổng Đơn'!$B:$B,$C10)</f>
        <v>4</v>
      </c>
      <c r="S10" s="233">
        <v>0</v>
      </c>
      <c r="T10" s="233">
        <v>0</v>
      </c>
      <c r="U10" s="233">
        <v>0</v>
      </c>
      <c r="V10" s="233">
        <v>0</v>
      </c>
      <c r="W10" s="233">
        <v>0</v>
      </c>
      <c r="X10" s="233">
        <v>0</v>
      </c>
      <c r="Y10" s="233">
        <v>0</v>
      </c>
      <c r="Z10" s="233">
        <v>0</v>
      </c>
      <c r="AA10" s="233">
        <v>0</v>
      </c>
      <c r="AB10" s="233">
        <v>0</v>
      </c>
      <c r="AC10" s="233">
        <v>0</v>
      </c>
      <c r="AD10" s="233">
        <v>0</v>
      </c>
      <c r="AE10" s="233">
        <v>0</v>
      </c>
      <c r="AF10" s="233">
        <v>0</v>
      </c>
      <c r="AG10" s="233">
        <v>0</v>
      </c>
      <c r="AH10" s="233">
        <v>0</v>
      </c>
      <c r="AI10" s="233">
        <v>0</v>
      </c>
      <c r="AJ10" s="233">
        <v>0</v>
      </c>
      <c r="AK10" s="233">
        <v>0</v>
      </c>
      <c r="AL10" s="233">
        <v>0</v>
      </c>
      <c r="AM10" s="233">
        <v>0</v>
      </c>
      <c r="AN10" s="233">
        <v>0</v>
      </c>
      <c r="AO10" s="233">
        <v>0</v>
      </c>
      <c r="AP10" s="233">
        <v>0</v>
      </c>
      <c r="AQ10" s="233">
        <v>0</v>
      </c>
      <c r="AR10" s="233">
        <v>0</v>
      </c>
      <c r="AS10" s="233">
        <v>0</v>
      </c>
      <c r="AT10" s="233">
        <v>0</v>
      </c>
      <c r="AU10" s="233">
        <v>0</v>
      </c>
      <c r="AV10" s="233">
        <v>0</v>
      </c>
      <c r="AW10" s="58">
        <v>15</v>
      </c>
      <c r="AX10" s="58">
        <f t="shared" si="5"/>
        <v>510</v>
      </c>
    </row>
    <row r="11" spans="1:50" ht="25.5" customHeight="1" x14ac:dyDescent="0.25">
      <c r="A11" s="58">
        <f t="shared" ca="1" si="6"/>
        <v>2712.5626477541373</v>
      </c>
      <c r="B11" s="6">
        <v>7</v>
      </c>
      <c r="C11" s="60" t="s">
        <v>269</v>
      </c>
      <c r="D11" s="68">
        <v>58</v>
      </c>
      <c r="E11" s="61">
        <v>1</v>
      </c>
      <c r="F11" s="61">
        <f>20+30+50+70</f>
        <v>170</v>
      </c>
      <c r="G11" s="62">
        <v>58</v>
      </c>
      <c r="H11" s="141">
        <f t="shared" si="1"/>
        <v>9860</v>
      </c>
      <c r="I11" s="215">
        <f t="shared" si="7"/>
        <v>0.96875321204645892</v>
      </c>
      <c r="J11" s="215">
        <f t="shared" si="2"/>
        <v>58.968753212046458</v>
      </c>
      <c r="K11" s="65">
        <f t="shared" si="8"/>
        <v>10024.688046047899</v>
      </c>
      <c r="L11" s="69">
        <v>65</v>
      </c>
      <c r="M11" s="63">
        <f t="shared" si="9"/>
        <v>11050</v>
      </c>
      <c r="N11" s="63">
        <f t="shared" ca="1" si="3"/>
        <v>8060</v>
      </c>
      <c r="O11" s="70">
        <f t="shared" ca="1" si="4"/>
        <v>46</v>
      </c>
      <c r="P11" s="165">
        <v>0</v>
      </c>
      <c r="Q11" s="242">
        <v>124</v>
      </c>
      <c r="R11" s="233">
        <f ca="1">SUMIFS('Tổng Đơn'!$F:$F,'Tổng Đơn'!$B:$B,$C11)</f>
        <v>0</v>
      </c>
      <c r="S11" s="233">
        <v>0</v>
      </c>
      <c r="T11" s="233">
        <v>0</v>
      </c>
      <c r="U11" s="233">
        <v>0</v>
      </c>
      <c r="V11" s="233">
        <v>0</v>
      </c>
      <c r="W11" s="233">
        <v>0</v>
      </c>
      <c r="X11" s="233">
        <v>0</v>
      </c>
      <c r="Y11" s="233">
        <v>0</v>
      </c>
      <c r="Z11" s="233">
        <v>0</v>
      </c>
      <c r="AA11" s="233">
        <v>0</v>
      </c>
      <c r="AB11" s="233">
        <v>0</v>
      </c>
      <c r="AC11" s="233">
        <v>0</v>
      </c>
      <c r="AD11" s="233">
        <v>0</v>
      </c>
      <c r="AE11" s="233">
        <v>0</v>
      </c>
      <c r="AF11" s="233">
        <v>0</v>
      </c>
      <c r="AG11" s="233">
        <v>0</v>
      </c>
      <c r="AH11" s="233">
        <v>0</v>
      </c>
      <c r="AI11" s="233">
        <v>0</v>
      </c>
      <c r="AJ11" s="233">
        <v>0</v>
      </c>
      <c r="AK11" s="233">
        <v>0</v>
      </c>
      <c r="AL11" s="233">
        <v>0</v>
      </c>
      <c r="AM11" s="233">
        <v>0</v>
      </c>
      <c r="AN11" s="233">
        <v>0</v>
      </c>
      <c r="AO11" s="233">
        <v>0</v>
      </c>
      <c r="AP11" s="233">
        <v>0</v>
      </c>
      <c r="AQ11" s="233">
        <v>0</v>
      </c>
      <c r="AR11" s="233">
        <v>0</v>
      </c>
      <c r="AS11" s="233">
        <v>0</v>
      </c>
      <c r="AT11" s="233">
        <v>0</v>
      </c>
      <c r="AU11" s="233">
        <v>0</v>
      </c>
      <c r="AV11" s="233">
        <v>0</v>
      </c>
      <c r="AW11" s="58">
        <v>0</v>
      </c>
      <c r="AX11" s="58">
        <f t="shared" si="5"/>
        <v>0</v>
      </c>
    </row>
    <row r="12" spans="1:50" ht="25.5" customHeight="1" x14ac:dyDescent="0.25">
      <c r="A12" s="58">
        <f t="shared" ca="1" si="6"/>
        <v>925.19940384417714</v>
      </c>
      <c r="B12" s="6">
        <v>8</v>
      </c>
      <c r="C12" s="60" t="s">
        <v>307</v>
      </c>
      <c r="D12" s="68">
        <v>65</v>
      </c>
      <c r="E12" s="61">
        <v>0.5</v>
      </c>
      <c r="F12" s="61">
        <v>30</v>
      </c>
      <c r="G12" s="62">
        <v>32.5</v>
      </c>
      <c r="H12" s="141">
        <f t="shared" ref="H12" si="10">G12*F12</f>
        <v>975</v>
      </c>
      <c r="I12" s="215">
        <f t="shared" ref="I12" si="11">((H12/$H$4)*$A$2)/F12</f>
        <v>0.54283585157775727</v>
      </c>
      <c r="J12" s="215">
        <f>G12+I12</f>
        <v>33.042835851577756</v>
      </c>
      <c r="K12" s="65">
        <f t="shared" ref="K12" si="12">J12*F12</f>
        <v>991.28507554733267</v>
      </c>
      <c r="L12" s="69">
        <v>45</v>
      </c>
      <c r="M12" s="63">
        <f t="shared" ref="M12" si="13">L12*F12</f>
        <v>1350</v>
      </c>
      <c r="N12" s="63">
        <f t="shared" ca="1" si="3"/>
        <v>90</v>
      </c>
      <c r="O12" s="70">
        <f t="shared" ca="1" si="4"/>
        <v>28</v>
      </c>
      <c r="P12" s="165"/>
      <c r="Q12" s="242">
        <v>0</v>
      </c>
      <c r="R12" s="233">
        <f ca="1">SUMIFS('Tổng Đơn'!$F:$F,'Tổng Đơn'!$B:$B,$C12)</f>
        <v>2</v>
      </c>
      <c r="S12" s="233">
        <v>0</v>
      </c>
      <c r="T12" s="233">
        <v>0</v>
      </c>
      <c r="U12" s="233">
        <v>0</v>
      </c>
      <c r="V12" s="233">
        <v>0</v>
      </c>
      <c r="W12" s="233">
        <v>0</v>
      </c>
      <c r="X12" s="233">
        <v>0</v>
      </c>
      <c r="Y12" s="233">
        <v>0</v>
      </c>
      <c r="Z12" s="233">
        <v>0</v>
      </c>
      <c r="AA12" s="233">
        <v>0</v>
      </c>
      <c r="AB12" s="233">
        <v>0</v>
      </c>
      <c r="AC12" s="233">
        <v>0</v>
      </c>
      <c r="AD12" s="233">
        <v>0</v>
      </c>
      <c r="AE12" s="233">
        <v>0</v>
      </c>
      <c r="AF12" s="233">
        <v>0</v>
      </c>
      <c r="AG12" s="233">
        <v>0</v>
      </c>
      <c r="AH12" s="233">
        <v>0</v>
      </c>
      <c r="AI12" s="233">
        <v>0</v>
      </c>
      <c r="AJ12" s="233">
        <v>0</v>
      </c>
      <c r="AK12" s="233">
        <v>0</v>
      </c>
      <c r="AL12" s="233">
        <v>0</v>
      </c>
      <c r="AM12" s="233">
        <v>0</v>
      </c>
      <c r="AN12" s="233">
        <v>0</v>
      </c>
      <c r="AO12" s="233">
        <v>0</v>
      </c>
      <c r="AP12" s="233">
        <v>0</v>
      </c>
      <c r="AQ12" s="233">
        <v>0</v>
      </c>
      <c r="AR12" s="233">
        <v>0</v>
      </c>
      <c r="AS12" s="233">
        <v>0</v>
      </c>
      <c r="AT12" s="233">
        <v>0</v>
      </c>
      <c r="AU12" s="233">
        <v>0</v>
      </c>
      <c r="AV12" s="233">
        <v>0</v>
      </c>
      <c r="AW12" s="58">
        <v>30</v>
      </c>
      <c r="AX12" s="58">
        <f t="shared" ref="AX12" si="14">AW12*G12</f>
        <v>975</v>
      </c>
    </row>
    <row r="13" spans="1:50" ht="25.5" customHeight="1" x14ac:dyDescent="0.25">
      <c r="A13" s="58">
        <f t="shared" ca="1" si="6"/>
        <v>176.90625963613937</v>
      </c>
      <c r="B13" s="6">
        <v>9</v>
      </c>
      <c r="C13" s="60" t="s">
        <v>278</v>
      </c>
      <c r="D13" s="68">
        <v>58</v>
      </c>
      <c r="E13" s="61">
        <v>0.5</v>
      </c>
      <c r="F13" s="61">
        <f>24</f>
        <v>24</v>
      </c>
      <c r="G13" s="62">
        <v>29</v>
      </c>
      <c r="H13" s="141">
        <f t="shared" si="1"/>
        <v>696</v>
      </c>
      <c r="I13" s="215">
        <f t="shared" si="7"/>
        <v>0.48437660602322952</v>
      </c>
      <c r="J13" s="215">
        <f t="shared" si="2"/>
        <v>29.484376606023229</v>
      </c>
      <c r="K13" s="65">
        <f t="shared" si="8"/>
        <v>707.62503854455747</v>
      </c>
      <c r="L13" s="69">
        <v>40</v>
      </c>
      <c r="M13" s="63">
        <f t="shared" si="9"/>
        <v>960</v>
      </c>
      <c r="N13" s="63">
        <f t="shared" ca="1" si="3"/>
        <v>720</v>
      </c>
      <c r="O13" s="70">
        <f t="shared" ca="1" si="4"/>
        <v>6</v>
      </c>
      <c r="P13" s="165"/>
      <c r="Q13" s="242">
        <v>18</v>
      </c>
      <c r="R13" s="233">
        <f ca="1">SUMIFS('Tổng Đơn'!$F:$F,'Tổng Đơn'!$B:$B,$C13)</f>
        <v>0</v>
      </c>
      <c r="S13" s="233">
        <v>0</v>
      </c>
      <c r="T13" s="233">
        <v>0</v>
      </c>
      <c r="U13" s="233">
        <v>0</v>
      </c>
      <c r="V13" s="233">
        <v>0</v>
      </c>
      <c r="W13" s="233">
        <v>0</v>
      </c>
      <c r="X13" s="233">
        <v>0</v>
      </c>
      <c r="Y13" s="233">
        <v>0</v>
      </c>
      <c r="Z13" s="233">
        <v>0</v>
      </c>
      <c r="AA13" s="233">
        <v>0</v>
      </c>
      <c r="AB13" s="233">
        <v>0</v>
      </c>
      <c r="AC13" s="233">
        <v>0</v>
      </c>
      <c r="AD13" s="233">
        <v>0</v>
      </c>
      <c r="AE13" s="233">
        <v>0</v>
      </c>
      <c r="AF13" s="233">
        <v>0</v>
      </c>
      <c r="AG13" s="233">
        <v>0</v>
      </c>
      <c r="AH13" s="233">
        <v>0</v>
      </c>
      <c r="AI13" s="233">
        <v>0</v>
      </c>
      <c r="AJ13" s="233">
        <v>0</v>
      </c>
      <c r="AK13" s="233">
        <v>0</v>
      </c>
      <c r="AL13" s="233">
        <v>0</v>
      </c>
      <c r="AM13" s="233">
        <v>0</v>
      </c>
      <c r="AN13" s="233">
        <v>0</v>
      </c>
      <c r="AO13" s="233">
        <v>0</v>
      </c>
      <c r="AP13" s="233">
        <v>0</v>
      </c>
      <c r="AQ13" s="233">
        <v>0</v>
      </c>
      <c r="AR13" s="233">
        <v>0</v>
      </c>
      <c r="AS13" s="233">
        <v>0</v>
      </c>
      <c r="AT13" s="233">
        <v>0</v>
      </c>
      <c r="AU13" s="233">
        <v>0</v>
      </c>
      <c r="AV13" s="233">
        <v>0</v>
      </c>
      <c r="AW13" s="58">
        <v>0</v>
      </c>
      <c r="AX13" s="58">
        <f t="shared" si="5"/>
        <v>0</v>
      </c>
    </row>
    <row r="14" spans="1:50" ht="25.5" customHeight="1" x14ac:dyDescent="0.25">
      <c r="A14" s="58">
        <f t="shared" ca="1" si="6"/>
        <v>925.19940384417714</v>
      </c>
      <c r="B14" s="6">
        <v>10</v>
      </c>
      <c r="C14" s="60" t="s">
        <v>277</v>
      </c>
      <c r="D14" s="68">
        <v>70</v>
      </c>
      <c r="E14" s="61">
        <v>0.5</v>
      </c>
      <c r="F14" s="61">
        <f>24+24</f>
        <v>48</v>
      </c>
      <c r="G14" s="62">
        <v>35</v>
      </c>
      <c r="H14" s="141">
        <f t="shared" si="1"/>
        <v>1680</v>
      </c>
      <c r="I14" s="215">
        <f t="shared" si="7"/>
        <v>0.58459245554527695</v>
      </c>
      <c r="J14" s="215">
        <f t="shared" si="2"/>
        <v>35.584592455545277</v>
      </c>
      <c r="K14" s="65">
        <f t="shared" si="8"/>
        <v>1708.0604378661733</v>
      </c>
      <c r="L14" s="69">
        <v>42</v>
      </c>
      <c r="M14" s="63">
        <f t="shared" si="9"/>
        <v>2016</v>
      </c>
      <c r="N14" s="63">
        <f t="shared" ca="1" si="3"/>
        <v>924</v>
      </c>
      <c r="O14" s="70">
        <f t="shared" ca="1" si="4"/>
        <v>26</v>
      </c>
      <c r="P14" s="165"/>
      <c r="Q14" s="242">
        <v>21</v>
      </c>
      <c r="R14" s="233">
        <f ca="1">SUMIFS('Tổng Đơn'!$F:$F,'Tổng Đơn'!$B:$B,$C14)</f>
        <v>1</v>
      </c>
      <c r="S14" s="233">
        <v>0</v>
      </c>
      <c r="T14" s="233">
        <v>0</v>
      </c>
      <c r="U14" s="233">
        <v>0</v>
      </c>
      <c r="V14" s="233">
        <v>0</v>
      </c>
      <c r="W14" s="233">
        <v>0</v>
      </c>
      <c r="X14" s="233">
        <v>0</v>
      </c>
      <c r="Y14" s="233">
        <v>0</v>
      </c>
      <c r="Z14" s="233">
        <v>0</v>
      </c>
      <c r="AA14" s="233">
        <v>0</v>
      </c>
      <c r="AB14" s="233">
        <v>0</v>
      </c>
      <c r="AC14" s="233">
        <v>0</v>
      </c>
      <c r="AD14" s="233">
        <v>0</v>
      </c>
      <c r="AE14" s="233">
        <v>0</v>
      </c>
      <c r="AF14" s="233">
        <v>0</v>
      </c>
      <c r="AG14" s="233">
        <v>0</v>
      </c>
      <c r="AH14" s="233">
        <v>0</v>
      </c>
      <c r="AI14" s="233">
        <v>0</v>
      </c>
      <c r="AJ14" s="233">
        <v>0</v>
      </c>
      <c r="AK14" s="233">
        <v>0</v>
      </c>
      <c r="AL14" s="233">
        <v>0</v>
      </c>
      <c r="AM14" s="233">
        <v>0</v>
      </c>
      <c r="AN14" s="233">
        <v>0</v>
      </c>
      <c r="AO14" s="233">
        <v>0</v>
      </c>
      <c r="AP14" s="233">
        <v>0</v>
      </c>
      <c r="AQ14" s="233">
        <v>0</v>
      </c>
      <c r="AR14" s="233">
        <v>0</v>
      </c>
      <c r="AS14" s="233">
        <v>0</v>
      </c>
      <c r="AT14" s="233">
        <v>0</v>
      </c>
      <c r="AU14" s="233">
        <v>0</v>
      </c>
      <c r="AV14" s="233">
        <v>0</v>
      </c>
      <c r="AW14" s="58">
        <v>0</v>
      </c>
      <c r="AX14" s="58">
        <f t="shared" si="5"/>
        <v>0</v>
      </c>
    </row>
    <row r="15" spans="1:50" ht="25.5" customHeight="1" x14ac:dyDescent="0.25">
      <c r="A15" s="58">
        <f t="shared" ca="1" si="6"/>
        <v>5135</v>
      </c>
      <c r="B15" s="6">
        <v>11</v>
      </c>
      <c r="C15" s="60" t="s">
        <v>190</v>
      </c>
      <c r="D15" s="68">
        <v>195</v>
      </c>
      <c r="E15" s="61">
        <v>0.5</v>
      </c>
      <c r="F15" s="61">
        <f>60+60+60+60</f>
        <v>240</v>
      </c>
      <c r="G15" s="62">
        <f>D15/(1/E15)</f>
        <v>97.5</v>
      </c>
      <c r="H15" s="141">
        <f>G15*F15</f>
        <v>23400</v>
      </c>
      <c r="I15" s="215">
        <f>((H15/$H$2)*$B$2)/F15</f>
        <v>1.25</v>
      </c>
      <c r="J15" s="215">
        <f>G15+I15</f>
        <v>98.75</v>
      </c>
      <c r="K15" s="65">
        <f>J15*F15</f>
        <v>23700</v>
      </c>
      <c r="L15" s="69">
        <v>105</v>
      </c>
      <c r="M15" s="63">
        <f t="shared" si="9"/>
        <v>25200</v>
      </c>
      <c r="N15" s="63">
        <f t="shared" ca="1" si="3"/>
        <v>19635</v>
      </c>
      <c r="O15" s="137">
        <f t="shared" ca="1" si="4"/>
        <v>52</v>
      </c>
      <c r="P15" s="165">
        <v>1</v>
      </c>
      <c r="Q15" s="242">
        <v>187</v>
      </c>
      <c r="R15" s="233">
        <f ca="1">SUMIFS('Tổng Đơn'!$F:$F,'Tổng Đơn'!$B:$B,$C15)</f>
        <v>0</v>
      </c>
      <c r="S15" s="233">
        <v>0</v>
      </c>
      <c r="T15" s="233">
        <v>0</v>
      </c>
      <c r="U15" s="233">
        <v>0</v>
      </c>
      <c r="V15" s="233">
        <v>0</v>
      </c>
      <c r="W15" s="233">
        <v>0</v>
      </c>
      <c r="X15" s="233">
        <v>0</v>
      </c>
      <c r="Y15" s="233">
        <v>0</v>
      </c>
      <c r="Z15" s="233">
        <v>0</v>
      </c>
      <c r="AA15" s="233">
        <v>0</v>
      </c>
      <c r="AB15" s="233">
        <v>0</v>
      </c>
      <c r="AC15" s="233">
        <v>0</v>
      </c>
      <c r="AD15" s="233">
        <v>0</v>
      </c>
      <c r="AE15" s="233">
        <v>0</v>
      </c>
      <c r="AF15" s="233">
        <v>0</v>
      </c>
      <c r="AG15" s="233">
        <v>0</v>
      </c>
      <c r="AH15" s="233">
        <v>0</v>
      </c>
      <c r="AI15" s="233">
        <v>0</v>
      </c>
      <c r="AJ15" s="233">
        <v>0</v>
      </c>
      <c r="AK15" s="233">
        <v>0</v>
      </c>
      <c r="AL15" s="233">
        <v>0</v>
      </c>
      <c r="AM15" s="233">
        <v>0</v>
      </c>
      <c r="AN15" s="233">
        <v>0</v>
      </c>
      <c r="AO15" s="233">
        <v>0</v>
      </c>
      <c r="AP15" s="233">
        <v>0</v>
      </c>
      <c r="AQ15" s="233">
        <v>0</v>
      </c>
      <c r="AR15" s="233">
        <v>0</v>
      </c>
      <c r="AS15" s="233">
        <v>0</v>
      </c>
      <c r="AT15" s="233">
        <v>0</v>
      </c>
      <c r="AU15" s="233">
        <v>0</v>
      </c>
      <c r="AV15" s="233">
        <v>0</v>
      </c>
      <c r="AW15" s="58">
        <v>0</v>
      </c>
      <c r="AX15" s="58">
        <f t="shared" si="5"/>
        <v>0</v>
      </c>
    </row>
    <row r="16" spans="1:50" ht="25.5" customHeight="1" x14ac:dyDescent="0.25">
      <c r="B16" s="6"/>
      <c r="C16" s="60"/>
      <c r="D16" s="68"/>
      <c r="E16" s="61"/>
      <c r="F16" s="61"/>
      <c r="G16" s="140"/>
      <c r="H16" s="141"/>
      <c r="I16" s="142"/>
      <c r="J16" s="142"/>
      <c r="K16" s="65"/>
      <c r="L16" s="69"/>
      <c r="M16" s="63"/>
      <c r="N16" s="63"/>
      <c r="O16" s="137"/>
      <c r="P16" s="165"/>
      <c r="Q16" s="163"/>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7" t="s">
        <v>230</v>
      </c>
      <c r="C17" s="186" t="s">
        <v>265</v>
      </c>
      <c r="D17" s="188">
        <v>31.5</v>
      </c>
      <c r="E17" s="195">
        <v>1</v>
      </c>
      <c r="F17" s="195">
        <v>108</v>
      </c>
      <c r="G17" s="196">
        <v>31.5</v>
      </c>
      <c r="H17" s="197">
        <v>3402</v>
      </c>
      <c r="I17" s="196">
        <v>1.3559989031236921</v>
      </c>
      <c r="J17" s="196">
        <v>32.855998903123691</v>
      </c>
      <c r="K17" s="186">
        <v>3548.4478815373586</v>
      </c>
      <c r="L17" s="198">
        <v>50</v>
      </c>
      <c r="M17" s="192">
        <v>5400</v>
      </c>
      <c r="N17" s="192">
        <v>4385</v>
      </c>
      <c r="O17" s="199">
        <v>0</v>
      </c>
      <c r="P17" s="200">
        <v>20.3</v>
      </c>
      <c r="Q17" s="201">
        <v>87.7</v>
      </c>
      <c r="R17" s="187">
        <v>0</v>
      </c>
      <c r="S17" s="187">
        <v>0</v>
      </c>
      <c r="T17" s="187">
        <v>0</v>
      </c>
      <c r="U17" s="187">
        <v>0</v>
      </c>
      <c r="V17" s="187">
        <v>0</v>
      </c>
      <c r="W17" s="187">
        <v>0</v>
      </c>
      <c r="X17" s="187">
        <v>0</v>
      </c>
      <c r="Y17" s="187">
        <v>0</v>
      </c>
      <c r="Z17" s="187">
        <v>0</v>
      </c>
      <c r="AA17" s="187">
        <v>0</v>
      </c>
      <c r="AB17" s="187">
        <v>0</v>
      </c>
      <c r="AC17" s="187">
        <v>0</v>
      </c>
      <c r="AD17" s="187">
        <v>0</v>
      </c>
      <c r="AE17" s="187">
        <v>0</v>
      </c>
      <c r="AF17" s="187">
        <v>0</v>
      </c>
      <c r="AG17" s="187">
        <v>0</v>
      </c>
      <c r="AH17" s="187">
        <v>0</v>
      </c>
      <c r="AI17" s="187">
        <v>0</v>
      </c>
      <c r="AJ17" s="187">
        <v>0</v>
      </c>
      <c r="AK17" s="187">
        <v>0</v>
      </c>
      <c r="AL17" s="187">
        <v>0</v>
      </c>
      <c r="AM17" s="187">
        <v>0</v>
      </c>
      <c r="AN17" s="187">
        <v>0</v>
      </c>
      <c r="AO17" s="187">
        <v>0</v>
      </c>
      <c r="AP17" s="187">
        <v>0</v>
      </c>
      <c r="AQ17" s="187">
        <v>0</v>
      </c>
      <c r="AR17" s="187">
        <v>0</v>
      </c>
      <c r="AS17" s="187">
        <v>0</v>
      </c>
      <c r="AT17" s="187">
        <v>0</v>
      </c>
      <c r="AU17" s="187">
        <v>0</v>
      </c>
      <c r="AV17" s="187">
        <v>0</v>
      </c>
    </row>
    <row r="18" spans="1:48" ht="35.25" hidden="1" customHeight="1" x14ac:dyDescent="0.25">
      <c r="B18" s="187" t="s">
        <v>230</v>
      </c>
      <c r="C18" s="186" t="s">
        <v>266</v>
      </c>
      <c r="D18" s="188">
        <v>57</v>
      </c>
      <c r="E18" s="195">
        <v>1</v>
      </c>
      <c r="F18" s="195">
        <v>135</v>
      </c>
      <c r="G18" s="196">
        <v>57</v>
      </c>
      <c r="H18" s="197">
        <v>7695</v>
      </c>
      <c r="I18" s="196">
        <v>1.6987239006164931</v>
      </c>
      <c r="J18" s="196">
        <v>58.698723900616493</v>
      </c>
      <c r="K18" s="186">
        <v>7924.3277265832266</v>
      </c>
      <c r="L18" s="198">
        <v>60</v>
      </c>
      <c r="M18" s="192">
        <v>8100</v>
      </c>
      <c r="N18" s="192">
        <v>7936.2000000000007</v>
      </c>
      <c r="O18" s="199">
        <v>0</v>
      </c>
      <c r="P18" s="200">
        <v>2.73</v>
      </c>
      <c r="Q18" s="201">
        <v>132.27000000000001</v>
      </c>
      <c r="R18" s="187">
        <v>0</v>
      </c>
      <c r="S18" s="187">
        <v>0</v>
      </c>
      <c r="T18" s="187">
        <v>0</v>
      </c>
      <c r="U18" s="187">
        <v>0</v>
      </c>
      <c r="V18" s="187">
        <v>0</v>
      </c>
      <c r="W18" s="187">
        <v>0</v>
      </c>
      <c r="X18" s="187">
        <v>0</v>
      </c>
      <c r="Y18" s="187">
        <v>0</v>
      </c>
      <c r="Z18" s="187">
        <v>0</v>
      </c>
      <c r="AA18" s="187">
        <v>0</v>
      </c>
      <c r="AB18" s="187">
        <v>0</v>
      </c>
      <c r="AC18" s="187">
        <v>0</v>
      </c>
      <c r="AD18" s="187">
        <v>0</v>
      </c>
      <c r="AE18" s="187">
        <v>0</v>
      </c>
      <c r="AF18" s="187">
        <v>0</v>
      </c>
      <c r="AG18" s="187">
        <v>0</v>
      </c>
      <c r="AH18" s="187">
        <v>0</v>
      </c>
      <c r="AI18" s="187">
        <v>0</v>
      </c>
      <c r="AJ18" s="187">
        <v>0</v>
      </c>
      <c r="AK18" s="187">
        <v>0</v>
      </c>
      <c r="AL18" s="187">
        <v>0</v>
      </c>
      <c r="AM18" s="187">
        <v>0</v>
      </c>
      <c r="AN18" s="187">
        <v>0</v>
      </c>
      <c r="AO18" s="187">
        <v>0</v>
      </c>
      <c r="AP18" s="187">
        <v>0</v>
      </c>
      <c r="AQ18" s="187">
        <v>0</v>
      </c>
      <c r="AR18" s="187">
        <v>0</v>
      </c>
      <c r="AS18" s="187">
        <v>0</v>
      </c>
      <c r="AT18" s="187">
        <v>0</v>
      </c>
      <c r="AU18" s="187">
        <v>0</v>
      </c>
      <c r="AV18" s="187">
        <v>0</v>
      </c>
    </row>
    <row r="19" spans="1:48" ht="35.25" hidden="1" customHeight="1" x14ac:dyDescent="0.25">
      <c r="B19" s="187" t="s">
        <v>230</v>
      </c>
      <c r="C19" s="186" t="s">
        <v>267</v>
      </c>
      <c r="D19" s="188">
        <v>53</v>
      </c>
      <c r="E19" s="195">
        <v>1</v>
      </c>
      <c r="F19" s="195">
        <v>255</v>
      </c>
      <c r="G19" s="196">
        <v>53</v>
      </c>
      <c r="H19" s="197">
        <v>13515</v>
      </c>
      <c r="I19" s="196">
        <v>1.2928624462586735</v>
      </c>
      <c r="J19" s="196">
        <v>54.292862446258674</v>
      </c>
      <c r="K19" s="186">
        <v>13844.679923795962</v>
      </c>
      <c r="L19" s="198">
        <v>70</v>
      </c>
      <c r="M19" s="192">
        <v>17850</v>
      </c>
      <c r="N19" s="192">
        <v>16732.8</v>
      </c>
      <c r="O19" s="199">
        <v>0</v>
      </c>
      <c r="P19" s="200">
        <v>15.96</v>
      </c>
      <c r="Q19" s="201">
        <v>239.04</v>
      </c>
      <c r="R19" s="187">
        <v>0</v>
      </c>
      <c r="S19" s="187">
        <v>0</v>
      </c>
      <c r="T19" s="187">
        <v>0</v>
      </c>
      <c r="U19" s="187">
        <v>0</v>
      </c>
      <c r="V19" s="187">
        <v>0</v>
      </c>
      <c r="W19" s="187">
        <v>0</v>
      </c>
      <c r="X19" s="187">
        <v>0</v>
      </c>
      <c r="Y19" s="187">
        <v>0</v>
      </c>
      <c r="Z19" s="187">
        <v>0</v>
      </c>
      <c r="AA19" s="187">
        <v>0</v>
      </c>
      <c r="AB19" s="187">
        <v>0</v>
      </c>
      <c r="AC19" s="187">
        <v>0</v>
      </c>
      <c r="AD19" s="187">
        <v>0</v>
      </c>
      <c r="AE19" s="187">
        <v>0</v>
      </c>
      <c r="AF19" s="187">
        <v>0</v>
      </c>
      <c r="AG19" s="187">
        <v>0</v>
      </c>
      <c r="AH19" s="187">
        <v>0</v>
      </c>
      <c r="AI19" s="187">
        <v>0</v>
      </c>
      <c r="AJ19" s="187">
        <v>0</v>
      </c>
      <c r="AK19" s="187">
        <v>0</v>
      </c>
      <c r="AL19" s="187">
        <v>0</v>
      </c>
      <c r="AM19" s="187">
        <v>0</v>
      </c>
      <c r="AN19" s="187">
        <v>0</v>
      </c>
      <c r="AO19" s="187">
        <v>0</v>
      </c>
      <c r="AP19" s="187">
        <v>0</v>
      </c>
      <c r="AQ19" s="187">
        <v>0</v>
      </c>
      <c r="AR19" s="187">
        <v>0</v>
      </c>
      <c r="AS19" s="187">
        <v>0</v>
      </c>
      <c r="AT19" s="187">
        <v>0</v>
      </c>
      <c r="AU19" s="187">
        <v>0</v>
      </c>
      <c r="AV19" s="187">
        <v>0</v>
      </c>
    </row>
    <row r="20" spans="1:48" ht="35.25" hidden="1" customHeight="1" x14ac:dyDescent="0.25">
      <c r="B20" s="187" t="s">
        <v>230</v>
      </c>
      <c r="C20" s="186" t="s">
        <v>268</v>
      </c>
      <c r="D20" s="188">
        <v>41</v>
      </c>
      <c r="E20" s="195">
        <v>1</v>
      </c>
      <c r="F20" s="195">
        <v>328.75</v>
      </c>
      <c r="G20" s="196">
        <v>41</v>
      </c>
      <c r="H20" s="197">
        <v>13478.75</v>
      </c>
      <c r="I20" s="196">
        <v>1.7649509532721073</v>
      </c>
      <c r="J20" s="196">
        <v>42.764950953272105</v>
      </c>
      <c r="K20" s="186">
        <v>14058.977625888205</v>
      </c>
      <c r="L20" s="198">
        <v>45</v>
      </c>
      <c r="M20" s="192">
        <v>14793.75</v>
      </c>
      <c r="N20" s="192">
        <v>13783.5</v>
      </c>
      <c r="O20" s="199">
        <v>0</v>
      </c>
      <c r="P20" s="200">
        <v>22.450000000000003</v>
      </c>
      <c r="Q20" s="201">
        <v>306.3</v>
      </c>
      <c r="R20" s="187">
        <v>0</v>
      </c>
      <c r="S20" s="187">
        <v>0</v>
      </c>
      <c r="T20" s="187">
        <v>0</v>
      </c>
      <c r="U20" s="187">
        <v>0</v>
      </c>
      <c r="V20" s="187">
        <v>0</v>
      </c>
      <c r="W20" s="187">
        <v>0</v>
      </c>
      <c r="X20" s="187">
        <v>0</v>
      </c>
      <c r="Y20" s="187">
        <v>0</v>
      </c>
      <c r="Z20" s="187">
        <v>0</v>
      </c>
      <c r="AA20" s="187">
        <v>0</v>
      </c>
      <c r="AB20" s="187">
        <v>0</v>
      </c>
      <c r="AC20" s="187">
        <v>0</v>
      </c>
      <c r="AD20" s="187">
        <v>0</v>
      </c>
      <c r="AE20" s="187">
        <v>0</v>
      </c>
      <c r="AF20" s="187">
        <v>0</v>
      </c>
      <c r="AG20" s="187">
        <v>0</v>
      </c>
      <c r="AH20" s="187">
        <v>0</v>
      </c>
      <c r="AI20" s="187">
        <v>0</v>
      </c>
      <c r="AJ20" s="187">
        <v>0</v>
      </c>
      <c r="AK20" s="187">
        <v>0</v>
      </c>
      <c r="AL20" s="187">
        <v>0</v>
      </c>
      <c r="AM20" s="187">
        <v>0</v>
      </c>
      <c r="AN20" s="187">
        <v>0</v>
      </c>
      <c r="AO20" s="187">
        <v>0</v>
      </c>
      <c r="AP20" s="187">
        <v>0</v>
      </c>
      <c r="AQ20" s="187">
        <v>0</v>
      </c>
      <c r="AR20" s="187">
        <v>0</v>
      </c>
      <c r="AS20" s="187">
        <v>0</v>
      </c>
      <c r="AT20" s="187">
        <v>0</v>
      </c>
      <c r="AU20" s="187">
        <v>0</v>
      </c>
      <c r="AV20" s="187">
        <v>0</v>
      </c>
    </row>
    <row r="21" spans="1:48" ht="35.25" hidden="1" customHeight="1" x14ac:dyDescent="0.25">
      <c r="A21" s="58">
        <v>0</v>
      </c>
      <c r="B21" s="187" t="s">
        <v>230</v>
      </c>
      <c r="C21" s="186" t="s">
        <v>233</v>
      </c>
      <c r="D21" s="188">
        <v>46</v>
      </c>
      <c r="E21" s="195">
        <v>1</v>
      </c>
      <c r="F21" s="195">
        <v>60</v>
      </c>
      <c r="G21" s="196">
        <v>46</v>
      </c>
      <c r="H21" s="197">
        <v>2760</v>
      </c>
      <c r="I21" s="196">
        <v>2.338883716371833</v>
      </c>
      <c r="J21" s="196">
        <v>48.338883716371832</v>
      </c>
      <c r="K21" s="186">
        <v>2900.33302298231</v>
      </c>
      <c r="L21" s="198">
        <v>60</v>
      </c>
      <c r="M21" s="192">
        <v>3600</v>
      </c>
      <c r="N21" s="192">
        <v>3000</v>
      </c>
      <c r="O21" s="199">
        <v>0</v>
      </c>
      <c r="P21" s="200">
        <v>10</v>
      </c>
      <c r="Q21" s="201">
        <v>50</v>
      </c>
      <c r="R21" s="187">
        <v>0</v>
      </c>
      <c r="S21" s="187">
        <v>0</v>
      </c>
      <c r="T21" s="187">
        <v>0</v>
      </c>
      <c r="U21" s="187">
        <v>0</v>
      </c>
      <c r="V21" s="187">
        <v>0</v>
      </c>
      <c r="W21" s="187">
        <v>0</v>
      </c>
      <c r="X21" s="187">
        <v>0</v>
      </c>
      <c r="Y21" s="187">
        <v>0</v>
      </c>
      <c r="Z21" s="187">
        <v>0</v>
      </c>
      <c r="AA21" s="187">
        <v>0</v>
      </c>
      <c r="AB21" s="187">
        <v>0</v>
      </c>
      <c r="AC21" s="187">
        <v>0</v>
      </c>
      <c r="AD21" s="187">
        <v>0</v>
      </c>
      <c r="AE21" s="187">
        <v>0</v>
      </c>
      <c r="AF21" s="187">
        <v>0</v>
      </c>
      <c r="AG21" s="187">
        <v>0</v>
      </c>
      <c r="AH21" s="187">
        <v>0</v>
      </c>
      <c r="AI21" s="187">
        <v>0</v>
      </c>
      <c r="AJ21" s="187">
        <v>0</v>
      </c>
      <c r="AK21" s="187">
        <v>0</v>
      </c>
      <c r="AL21" s="187">
        <v>0</v>
      </c>
      <c r="AM21" s="187">
        <v>0</v>
      </c>
      <c r="AN21" s="187">
        <v>0</v>
      </c>
      <c r="AO21" s="187">
        <v>0</v>
      </c>
      <c r="AP21" s="187">
        <v>0</v>
      </c>
      <c r="AQ21" s="187">
        <v>0</v>
      </c>
      <c r="AR21" s="187">
        <v>0</v>
      </c>
      <c r="AS21" s="187">
        <v>0</v>
      </c>
      <c r="AT21" s="187">
        <v>0</v>
      </c>
      <c r="AU21" s="187">
        <v>0</v>
      </c>
      <c r="AV21" s="187">
        <v>0</v>
      </c>
    </row>
  </sheetData>
  <autoFilter ref="B4:M4"/>
  <mergeCells count="1">
    <mergeCell ref="B1:M1"/>
  </mergeCells>
  <conditionalFormatting sqref="C15:C16">
    <cfRule type="expression" dxfId="395" priority="12">
      <formula>($O15/$O15)&lt;=1/4</formula>
    </cfRule>
  </conditionalFormatting>
  <conditionalFormatting sqref="C5:C16">
    <cfRule type="expression" dxfId="394"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0" t="s">
        <v>51</v>
      </c>
      <c r="C1" s="270"/>
      <c r="D1" s="270"/>
      <c r="E1" s="270"/>
      <c r="F1" s="270"/>
      <c r="G1" s="270"/>
      <c r="H1" s="270"/>
      <c r="I1" s="270"/>
      <c r="J1" s="270"/>
      <c r="K1" s="270"/>
      <c r="L1" s="270"/>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251</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93"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24" customHeight="1" x14ac:dyDescent="0.25">
      <c r="A2" s="1">
        <f>150+160+120+70+30+100+30+150+120+30+140+30+70+120+30+30+120+60+120+190+60+30+120+100+60+140+60+40+60+50+120+60+30+60+40+80+120+60+75+75+55+40+70+40+150+40+70+40+70+40+70+40+120+40+70+60+40+60+40+70+40+70+110+100+110+110+110+160+150+110+110+100+110+110+110+110+40+90+10+140+20+120+40</f>
        <v>6715</v>
      </c>
      <c r="K2" s="13"/>
      <c r="L2" s="13">
        <f>M4-K4</f>
        <v>38838.610973900999</v>
      </c>
      <c r="M2" s="8">
        <f>M4/K4-1</f>
        <v>0.14948311255554381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6" t="s">
        <v>305</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13417.800604528034</v>
      </c>
      <c r="B4" s="16"/>
      <c r="C4" s="16"/>
      <c r="D4" s="46"/>
      <c r="E4" s="16">
        <f>SUMPRODUCT((E5:E35)*(F5:F35))</f>
        <v>3870</v>
      </c>
      <c r="F4" s="16">
        <f>SUBTOTAL(9,F5:F103)</f>
        <v>7465</v>
      </c>
      <c r="G4" s="7"/>
      <c r="H4" s="7">
        <f>SUBTOTAL(9,H5:H103)</f>
        <v>253090</v>
      </c>
      <c r="I4" s="12"/>
      <c r="J4" s="12"/>
      <c r="K4" s="12">
        <f>SUBTOTAL(9,K5:K103)</f>
        <v>259819.389026099</v>
      </c>
      <c r="L4" s="47"/>
      <c r="M4" s="7">
        <f>SUBTOTAL(9,M5:M103)</f>
        <v>298658</v>
      </c>
      <c r="N4" s="7">
        <f ca="1">SUBTOTAL(9,N5:N103)</f>
        <v>282191</v>
      </c>
      <c r="O4" s="24">
        <f ca="1">SUBTOTAL(9,O5:O103)</f>
        <v>346</v>
      </c>
      <c r="P4" s="74">
        <f>SUBTOTAL(9,P5:P103)</f>
        <v>27</v>
      </c>
      <c r="Q4" s="74">
        <f>SUBTOTAL(9,Q5:Q103)</f>
        <v>7037</v>
      </c>
      <c r="R4" s="25">
        <f t="shared" ref="R4:AV4" ca="1" si="0">SUBTOTAL(9,R5:R31)</f>
        <v>24</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2" t="str">
        <f>SUMPRODUCT(($AW$5:$AW$53)*($E$5:$E$53))&amp;" Kg"</f>
        <v>82,5 Kg</v>
      </c>
      <c r="AX4" s="49">
        <f>SUBTOTAL(9,AX5:AX35)</f>
        <v>5170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0.5638063534710972</v>
      </c>
      <c r="J5" s="65">
        <f t="shared" ref="J5:J19" si="5">G5+I5</f>
        <v>21.813806353471097</v>
      </c>
      <c r="K5" s="65">
        <f t="shared" ref="K5:K24" si="6">J5*F5</f>
        <v>10906.903176735548</v>
      </c>
      <c r="L5" s="72">
        <v>25</v>
      </c>
      <c r="M5" s="63">
        <f t="shared" ref="M5:M30" si="7">L5*F5</f>
        <v>12500</v>
      </c>
      <c r="N5" s="63">
        <f t="shared" ref="N5:N30" si="8">SUMPRODUCT($L5*($Q5:$AV5))</f>
        <v>12350</v>
      </c>
      <c r="O5" s="67">
        <f t="shared" ref="O5:O30" si="9">F5-SUM(Q5:AV5)-P5</f>
        <v>0</v>
      </c>
      <c r="P5" s="57">
        <v>6</v>
      </c>
      <c r="Q5" s="57">
        <v>494</v>
      </c>
      <c r="R5" s="60">
        <f>SUMIFS('Tổng Đơn'!$F:$F,'Tổng Đơn'!$B:$B,$C5)</f>
        <v>0</v>
      </c>
      <c r="S5" s="60">
        <v>0</v>
      </c>
      <c r="T5" s="60">
        <v>0</v>
      </c>
      <c r="U5" s="60">
        <v>0</v>
      </c>
      <c r="V5" s="60">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0.58370540124066539</v>
      </c>
      <c r="J6" s="65">
        <f t="shared" si="5"/>
        <v>22.583705401240664</v>
      </c>
      <c r="K6" s="65">
        <f t="shared" si="6"/>
        <v>1806.6964320992531</v>
      </c>
      <c r="L6" s="72">
        <v>28</v>
      </c>
      <c r="M6" s="63">
        <f t="shared" si="7"/>
        <v>2240</v>
      </c>
      <c r="N6" s="63">
        <f t="shared" si="8"/>
        <v>2268</v>
      </c>
      <c r="O6" s="67">
        <f t="shared" si="9"/>
        <v>0</v>
      </c>
      <c r="P6" s="57">
        <v>-1</v>
      </c>
      <c r="Q6" s="57">
        <v>81</v>
      </c>
      <c r="R6" s="60">
        <f>SUMIFS('Tổng Đơn'!$F:$F,'Tổng Đơn'!$B:$B,$C6)</f>
        <v>0</v>
      </c>
      <c r="S6" s="60">
        <v>0</v>
      </c>
      <c r="T6" s="60">
        <v>0</v>
      </c>
      <c r="U6" s="60">
        <v>0</v>
      </c>
      <c r="V6" s="60">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si="1"/>
        <v>0</v>
      </c>
      <c r="B7" s="6">
        <v>3</v>
      </c>
      <c r="C7" s="60" t="s">
        <v>3</v>
      </c>
      <c r="D7" s="68">
        <v>43.5</v>
      </c>
      <c r="E7" s="6">
        <v>0.5</v>
      </c>
      <c r="F7" s="6">
        <v>70</v>
      </c>
      <c r="G7" s="71">
        <f t="shared" si="2"/>
        <v>21.75</v>
      </c>
      <c r="H7" s="63">
        <f t="shared" si="3"/>
        <v>1522.5</v>
      </c>
      <c r="I7" s="64">
        <f t="shared" si="4"/>
        <v>0.57707238531747596</v>
      </c>
      <c r="J7" s="65">
        <f t="shared" si="5"/>
        <v>22.327072385317475</v>
      </c>
      <c r="K7" s="65">
        <f t="shared" si="6"/>
        <v>1562.8950669722233</v>
      </c>
      <c r="L7" s="72">
        <v>30</v>
      </c>
      <c r="M7" s="63">
        <f t="shared" si="7"/>
        <v>2100</v>
      </c>
      <c r="N7" s="63">
        <f t="shared" si="8"/>
        <v>2100</v>
      </c>
      <c r="O7" s="67">
        <f t="shared" si="9"/>
        <v>0</v>
      </c>
      <c r="P7" s="57"/>
      <c r="Q7" s="57">
        <v>70</v>
      </c>
      <c r="R7" s="60">
        <f>SUMIFS('Tổng Đơn'!$F:$F,'Tổng Đơn'!$B:$B,$C7)</f>
        <v>0</v>
      </c>
      <c r="S7" s="60">
        <v>0</v>
      </c>
      <c r="T7" s="60">
        <v>0</v>
      </c>
      <c r="U7" s="60">
        <v>0</v>
      </c>
      <c r="V7" s="60">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431.14346675095817</v>
      </c>
      <c r="B8" s="6">
        <v>4</v>
      </c>
      <c r="C8" s="60" t="s">
        <v>4</v>
      </c>
      <c r="D8" s="68">
        <v>60</v>
      </c>
      <c r="E8" s="6">
        <v>0.5</v>
      </c>
      <c r="F8" s="6">
        <f>160+22+12+30+10+26+10+10+18+10</f>
        <v>308</v>
      </c>
      <c r="G8" s="71">
        <f t="shared" si="2"/>
        <v>30</v>
      </c>
      <c r="H8" s="73">
        <f t="shared" si="3"/>
        <v>9240</v>
      </c>
      <c r="I8" s="64">
        <f t="shared" si="4"/>
        <v>0.79596191078272549</v>
      </c>
      <c r="J8" s="65">
        <f t="shared" si="5"/>
        <v>30.795961910782726</v>
      </c>
      <c r="K8" s="65">
        <f t="shared" si="6"/>
        <v>9485.1562685210793</v>
      </c>
      <c r="L8" s="72">
        <v>40</v>
      </c>
      <c r="M8" s="63">
        <f t="shared" si="7"/>
        <v>12320</v>
      </c>
      <c r="N8" s="63">
        <f t="shared" ca="1" si="8"/>
        <v>11760</v>
      </c>
      <c r="O8" s="67">
        <f t="shared" ca="1" si="9"/>
        <v>14</v>
      </c>
      <c r="P8" s="57">
        <v>0</v>
      </c>
      <c r="Q8" s="57">
        <v>294</v>
      </c>
      <c r="R8" s="60">
        <f ca="1">SUMIFS('Tổng Đơn'!$F:$F,'Tổng Đơn'!$B:$B,$C8)</f>
        <v>0</v>
      </c>
      <c r="S8" s="60">
        <v>0</v>
      </c>
      <c r="T8" s="60">
        <v>0</v>
      </c>
      <c r="U8" s="60">
        <v>0</v>
      </c>
      <c r="V8" s="60">
        <v>0</v>
      </c>
      <c r="W8" s="60">
        <v>0</v>
      </c>
      <c r="X8" s="60">
        <v>0</v>
      </c>
      <c r="Y8" s="60">
        <v>0</v>
      </c>
      <c r="Z8" s="60">
        <v>0</v>
      </c>
      <c r="AA8" s="60">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2966.6776640720695</v>
      </c>
      <c r="B9" s="6">
        <v>5</v>
      </c>
      <c r="C9" s="60" t="s">
        <v>5</v>
      </c>
      <c r="D9" s="68">
        <v>68</v>
      </c>
      <c r="E9" s="6">
        <v>0.5</v>
      </c>
      <c r="F9" s="6">
        <f>285+40+50+20+50+50+40+60+92+36+30+50+20+50+40+30+50+30+20+60+5+40+30+30+20+40+80+20+59+85</f>
        <v>1512</v>
      </c>
      <c r="G9" s="71">
        <f t="shared" si="2"/>
        <v>34</v>
      </c>
      <c r="H9" s="73">
        <f t="shared" si="3"/>
        <v>51408</v>
      </c>
      <c r="I9" s="64">
        <f t="shared" si="4"/>
        <v>0.90209016555375565</v>
      </c>
      <c r="J9" s="65">
        <f t="shared" si="5"/>
        <v>34.902090165553759</v>
      </c>
      <c r="K9" s="65">
        <f t="shared" si="6"/>
        <v>52771.960330317284</v>
      </c>
      <c r="L9" s="72">
        <v>40</v>
      </c>
      <c r="M9" s="63">
        <f t="shared" si="7"/>
        <v>60480</v>
      </c>
      <c r="N9" s="63">
        <f t="shared" ca="1" si="8"/>
        <v>57080</v>
      </c>
      <c r="O9" s="67">
        <f t="shared" ca="1" si="9"/>
        <v>85</v>
      </c>
      <c r="P9" s="57">
        <f>1-1</f>
        <v>0</v>
      </c>
      <c r="Q9" s="57">
        <v>1425</v>
      </c>
      <c r="R9" s="60">
        <f ca="1">SUMIFS('Tổng Đơn'!$F:$F,'Tổng Đơn'!$B:$B,$C9)</f>
        <v>2</v>
      </c>
      <c r="S9" s="60">
        <v>0</v>
      </c>
      <c r="T9" s="60">
        <v>0</v>
      </c>
      <c r="U9" s="60">
        <v>0</v>
      </c>
      <c r="V9" s="60">
        <v>0</v>
      </c>
      <c r="W9" s="60">
        <v>0</v>
      </c>
      <c r="X9" s="60">
        <v>0</v>
      </c>
      <c r="Y9" s="60">
        <v>0</v>
      </c>
      <c r="Z9" s="60">
        <v>0</v>
      </c>
      <c r="AA9" s="60">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58">
        <v>85</v>
      </c>
      <c r="AX9" s="58">
        <f t="shared" si="10"/>
        <v>2890</v>
      </c>
    </row>
    <row r="10" spans="1:50" ht="18.75" x14ac:dyDescent="0.25">
      <c r="A10" s="58">
        <f t="shared" si="1"/>
        <v>0</v>
      </c>
      <c r="B10" s="6">
        <v>6</v>
      </c>
      <c r="C10" s="60" t="s">
        <v>6</v>
      </c>
      <c r="D10" s="68">
        <v>86</v>
      </c>
      <c r="E10" s="6">
        <v>0.5</v>
      </c>
      <c r="F10" s="6">
        <f>76+10</f>
        <v>86</v>
      </c>
      <c r="G10" s="71">
        <f t="shared" si="2"/>
        <v>43</v>
      </c>
      <c r="H10" s="73">
        <f t="shared" si="3"/>
        <v>3698</v>
      </c>
      <c r="I10" s="64">
        <f t="shared" si="4"/>
        <v>1.1408787387885733</v>
      </c>
      <c r="J10" s="65">
        <f t="shared" si="5"/>
        <v>44.140878738788572</v>
      </c>
      <c r="K10" s="65">
        <f t="shared" si="6"/>
        <v>3796.1155715358173</v>
      </c>
      <c r="L10" s="72">
        <v>50</v>
      </c>
      <c r="M10" s="63">
        <f t="shared" si="7"/>
        <v>4300</v>
      </c>
      <c r="N10" s="63">
        <f t="shared" si="8"/>
        <v>4200</v>
      </c>
      <c r="O10" s="67">
        <f t="shared" si="9"/>
        <v>0</v>
      </c>
      <c r="P10" s="57">
        <v>2</v>
      </c>
      <c r="Q10" s="57">
        <v>84</v>
      </c>
      <c r="R10" s="60">
        <f>SUMIFS('Tổng Đơn'!$F:$F,'Tổng Đơn'!$B:$B,$C10)</f>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222</v>
      </c>
      <c r="D11" s="68">
        <v>55</v>
      </c>
      <c r="E11" s="6">
        <v>0.5</v>
      </c>
      <c r="F11" s="6">
        <v>20</v>
      </c>
      <c r="G11" s="71">
        <f t="shared" si="2"/>
        <v>27.5</v>
      </c>
      <c r="H11" s="73">
        <f t="shared" si="3"/>
        <v>550</v>
      </c>
      <c r="I11" s="64">
        <f t="shared" si="4"/>
        <v>0.72963175155083171</v>
      </c>
      <c r="J11" s="65">
        <f t="shared" si="5"/>
        <v>28.229631751550833</v>
      </c>
      <c r="K11" s="65">
        <f t="shared" si="6"/>
        <v>564.5926350310167</v>
      </c>
      <c r="L11" s="72">
        <v>34</v>
      </c>
      <c r="M11" s="63">
        <f t="shared" si="7"/>
        <v>680</v>
      </c>
      <c r="N11" s="63">
        <f t="shared" si="8"/>
        <v>680</v>
      </c>
      <c r="O11" s="67">
        <f t="shared" si="9"/>
        <v>0</v>
      </c>
      <c r="P11" s="57"/>
      <c r="Q11" s="57">
        <v>20</v>
      </c>
      <c r="R11" s="60">
        <f>SUMIFS('Tổng Đơn'!$F:$F,'Tổng Đơn'!$B:$B,$C11)</f>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1.5255936623335571</v>
      </c>
      <c r="J12" s="65">
        <f t="shared" si="5"/>
        <v>59.025593662333556</v>
      </c>
      <c r="K12" s="65">
        <f t="shared" si="6"/>
        <v>2242.9725591686752</v>
      </c>
      <c r="L12" s="72">
        <v>69</v>
      </c>
      <c r="M12" s="63">
        <f t="shared" si="7"/>
        <v>2622</v>
      </c>
      <c r="N12" s="63">
        <f t="shared" si="8"/>
        <v>1863</v>
      </c>
      <c r="O12" s="67">
        <f t="shared" si="9"/>
        <v>0</v>
      </c>
      <c r="P12" s="57">
        <v>11</v>
      </c>
      <c r="Q12" s="57">
        <v>27</v>
      </c>
      <c r="R12" s="60">
        <f>SUMIFS('Tổng Đơn'!$F:$F,'Tổng Đơn'!$B:$B,$C12)</f>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218.13806353471097</v>
      </c>
      <c r="B13" s="6">
        <v>9</v>
      </c>
      <c r="C13" s="60" t="s">
        <v>8</v>
      </c>
      <c r="D13" s="68">
        <v>85</v>
      </c>
      <c r="E13" s="6">
        <v>0.5</v>
      </c>
      <c r="F13" s="6">
        <f>190+30</f>
        <v>220</v>
      </c>
      <c r="G13" s="71">
        <f t="shared" si="2"/>
        <v>42.5</v>
      </c>
      <c r="H13" s="73">
        <f t="shared" si="3"/>
        <v>9350</v>
      </c>
      <c r="I13" s="64">
        <f t="shared" si="4"/>
        <v>1.1276127069421946</v>
      </c>
      <c r="J13" s="65">
        <f t="shared" si="5"/>
        <v>43.627612706942195</v>
      </c>
      <c r="K13" s="65">
        <f t="shared" si="6"/>
        <v>9598.0747955272836</v>
      </c>
      <c r="L13" s="72">
        <v>55</v>
      </c>
      <c r="M13" s="63">
        <f t="shared" si="7"/>
        <v>12100</v>
      </c>
      <c r="N13" s="63">
        <f t="shared" ca="1" si="8"/>
        <v>11715</v>
      </c>
      <c r="O13" s="67">
        <f t="shared" ca="1" si="9"/>
        <v>5</v>
      </c>
      <c r="P13" s="57">
        <v>2</v>
      </c>
      <c r="Q13" s="57">
        <v>213</v>
      </c>
      <c r="R13" s="60">
        <f ca="1">SUMIFS('Tổng Đơn'!$F:$F,'Tổng Đơn'!$B:$B,$C13)</f>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0.71636571970445295</v>
      </c>
      <c r="J14" s="65">
        <f t="shared" si="5"/>
        <v>27.716365719704452</v>
      </c>
      <c r="K14" s="65">
        <f t="shared" si="6"/>
        <v>831.49097159113353</v>
      </c>
      <c r="L14" s="72">
        <v>32</v>
      </c>
      <c r="M14" s="63">
        <f t="shared" si="7"/>
        <v>960</v>
      </c>
      <c r="N14" s="63">
        <f t="shared" si="8"/>
        <v>960</v>
      </c>
      <c r="O14" s="67">
        <f t="shared" si="9"/>
        <v>0</v>
      </c>
      <c r="P14" s="57"/>
      <c r="Q14" s="57">
        <v>30</v>
      </c>
      <c r="R14" s="60">
        <f>SUMIFS('Tổng Đơn'!$F:$F,'Tổng Đơn'!$B:$B,$C14)</f>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0.71636571970445295</v>
      </c>
      <c r="J15" s="65">
        <f t="shared" si="5"/>
        <v>27.716365719704452</v>
      </c>
      <c r="K15" s="65">
        <f t="shared" si="6"/>
        <v>277.16365719704453</v>
      </c>
      <c r="L15" s="72">
        <v>35</v>
      </c>
      <c r="M15" s="63">
        <f t="shared" si="7"/>
        <v>350</v>
      </c>
      <c r="N15" s="63">
        <f t="shared" si="8"/>
        <v>350</v>
      </c>
      <c r="O15" s="67">
        <f t="shared" si="9"/>
        <v>0</v>
      </c>
      <c r="P15" s="57"/>
      <c r="Q15" s="57">
        <v>10</v>
      </c>
      <c r="R15" s="60">
        <f>SUMIFS('Tổng Đơn'!$F:$F,'Tổng Đơn'!$B:$B,$C15)</f>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0.54390730570152912</v>
      </c>
      <c r="J16" s="65">
        <f t="shared" si="5"/>
        <v>21.043907305701531</v>
      </c>
      <c r="K16" s="65">
        <f t="shared" si="6"/>
        <v>3367.0251689122451</v>
      </c>
      <c r="L16" s="72">
        <v>26</v>
      </c>
      <c r="M16" s="63">
        <f t="shared" si="7"/>
        <v>4160</v>
      </c>
      <c r="N16" s="63">
        <f t="shared" si="8"/>
        <v>4160</v>
      </c>
      <c r="O16" s="67">
        <f t="shared" si="9"/>
        <v>0</v>
      </c>
      <c r="P16" s="57"/>
      <c r="Q16" s="57">
        <v>160</v>
      </c>
      <c r="R16" s="60">
        <f>SUMIFS('Tổng Đơn'!$F:$F,'Tổng Đơn'!$B:$B,$C16)</f>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0.54390730570152912</v>
      </c>
      <c r="J17" s="65">
        <f t="shared" si="5"/>
        <v>21.043907305701531</v>
      </c>
      <c r="K17" s="65">
        <f t="shared" si="6"/>
        <v>2314.8298036271685</v>
      </c>
      <c r="L17" s="72">
        <v>28</v>
      </c>
      <c r="M17" s="63">
        <f t="shared" si="7"/>
        <v>3080</v>
      </c>
      <c r="N17" s="63">
        <f t="shared" si="8"/>
        <v>3080</v>
      </c>
      <c r="O17" s="67">
        <f t="shared" si="9"/>
        <v>0</v>
      </c>
      <c r="P17" s="57"/>
      <c r="Q17" s="57">
        <v>110</v>
      </c>
      <c r="R17" s="60">
        <f>SUMIFS('Tổng Đơn'!$F:$F,'Tổng Đơn'!$B:$B,$C17)</f>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3188.9218558615512</v>
      </c>
      <c r="B18" s="6">
        <v>14</v>
      </c>
      <c r="C18" s="60" t="s">
        <v>13</v>
      </c>
      <c r="D18" s="68">
        <v>57</v>
      </c>
      <c r="E18" s="6">
        <v>0.5</v>
      </c>
      <c r="F18" s="6">
        <f>30+46+100+40+60+50+40+100+100+70+80+100+50+60+100+100+60+40+100+70+110+61+30+60+100+120+80</f>
        <v>1957</v>
      </c>
      <c r="G18" s="71">
        <f>D18/2</f>
        <v>28.5</v>
      </c>
      <c r="H18" s="73">
        <f t="shared" ref="H18" si="11">G18*F18</f>
        <v>55774.5</v>
      </c>
      <c r="I18" s="64">
        <f t="shared" si="4"/>
        <v>0.75616381524358922</v>
      </c>
      <c r="J18" s="65">
        <f t="shared" si="5"/>
        <v>29.256163815243589</v>
      </c>
      <c r="K18" s="65">
        <f t="shared" si="6"/>
        <v>57254.312586431704</v>
      </c>
      <c r="L18" s="72">
        <v>33</v>
      </c>
      <c r="M18" s="63">
        <f t="shared" ref="M18" si="12">L18*F18</f>
        <v>64581</v>
      </c>
      <c r="N18" s="63">
        <f t="shared" ca="1" si="8"/>
        <v>60984</v>
      </c>
      <c r="O18" s="67">
        <f t="shared" ca="1" si="9"/>
        <v>109</v>
      </c>
      <c r="P18" s="57">
        <v>0</v>
      </c>
      <c r="Q18" s="57">
        <v>1830</v>
      </c>
      <c r="R18" s="60">
        <f ca="1">SUMIFS('Tổng Đơn'!$F:$F,'Tổng Đơn'!$B:$B,$C18)</f>
        <v>18</v>
      </c>
      <c r="S18" s="60">
        <v>0</v>
      </c>
      <c r="T18" s="60">
        <v>0</v>
      </c>
      <c r="U18" s="60">
        <v>0</v>
      </c>
      <c r="V18" s="60">
        <v>0</v>
      </c>
      <c r="W18" s="60">
        <v>0</v>
      </c>
      <c r="X18" s="60">
        <v>0</v>
      </c>
      <c r="Y18" s="60">
        <v>0</v>
      </c>
      <c r="Z18" s="60">
        <v>0</v>
      </c>
      <c r="AA18" s="60">
        <v>0</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80</v>
      </c>
      <c r="AX18" s="58">
        <f t="shared" si="10"/>
        <v>2280</v>
      </c>
    </row>
    <row r="19" spans="1:50" ht="18.75" x14ac:dyDescent="0.25">
      <c r="A19" s="58">
        <f t="shared" si="1"/>
        <v>0</v>
      </c>
      <c r="B19" s="6">
        <v>15</v>
      </c>
      <c r="C19" s="60" t="s">
        <v>14</v>
      </c>
      <c r="D19" s="68">
        <v>60</v>
      </c>
      <c r="E19" s="6">
        <v>0.5</v>
      </c>
      <c r="F19" s="6">
        <v>10</v>
      </c>
      <c r="G19" s="71">
        <f t="shared" si="2"/>
        <v>30</v>
      </c>
      <c r="H19" s="73">
        <f t="shared" si="3"/>
        <v>300</v>
      </c>
      <c r="I19" s="64">
        <f t="shared" si="4"/>
        <v>0.79596191078272549</v>
      </c>
      <c r="J19" s="65">
        <f t="shared" si="5"/>
        <v>30.795961910782726</v>
      </c>
      <c r="K19" s="65">
        <f t="shared" si="6"/>
        <v>307.95961910782728</v>
      </c>
      <c r="L19" s="72">
        <v>35</v>
      </c>
      <c r="M19" s="63">
        <f t="shared" si="7"/>
        <v>350</v>
      </c>
      <c r="N19" s="63">
        <f t="shared" si="8"/>
        <v>350</v>
      </c>
      <c r="O19" s="67">
        <f t="shared" si="9"/>
        <v>0</v>
      </c>
      <c r="P19" s="57"/>
      <c r="Q19" s="57">
        <v>10</v>
      </c>
      <c r="R19" s="60">
        <f>SUMIFS('Tổng Đơn'!$F:$F,'Tổng Đơn'!$B:$B,$C19)</f>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129</v>
      </c>
      <c r="D20" s="68">
        <v>54</v>
      </c>
      <c r="E20" s="6">
        <v>0.5</v>
      </c>
      <c r="F20" s="6">
        <v>10</v>
      </c>
      <c r="G20" s="71">
        <f t="shared" si="2"/>
        <v>27</v>
      </c>
      <c r="H20" s="73">
        <f t="shared" si="3"/>
        <v>270</v>
      </c>
      <c r="I20" s="64">
        <f t="shared" si="4"/>
        <v>0.71636571970445295</v>
      </c>
      <c r="J20" s="65">
        <f t="shared" ref="J20:J23" si="13">G20+I20</f>
        <v>27.716365719704452</v>
      </c>
      <c r="K20" s="65">
        <f t="shared" si="6"/>
        <v>277.16365719704453</v>
      </c>
      <c r="L20" s="72">
        <v>45</v>
      </c>
      <c r="M20" s="63">
        <f t="shared" si="7"/>
        <v>450</v>
      </c>
      <c r="N20" s="63">
        <f t="shared" si="8"/>
        <v>405</v>
      </c>
      <c r="O20" s="67">
        <f t="shared" si="9"/>
        <v>0</v>
      </c>
      <c r="P20" s="57">
        <v>1</v>
      </c>
      <c r="Q20" s="57">
        <v>9</v>
      </c>
      <c r="R20" s="60">
        <f>SUMIFS('Tổng Đơn'!$F:$F,'Tổng Đơn'!$B:$B,$C20)</f>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636.44987948950961</v>
      </c>
      <c r="B21" s="6">
        <v>17</v>
      </c>
      <c r="C21" s="60" t="s">
        <v>223</v>
      </c>
      <c r="D21" s="68">
        <v>62</v>
      </c>
      <c r="E21" s="6">
        <v>0.5</v>
      </c>
      <c r="F21" s="6">
        <f>135+80+20+10+20+10+10+10+30+20+20+20</f>
        <v>385</v>
      </c>
      <c r="G21" s="71">
        <f t="shared" si="2"/>
        <v>31</v>
      </c>
      <c r="H21" s="73">
        <f t="shared" si="3"/>
        <v>11935</v>
      </c>
      <c r="I21" s="64">
        <f t="shared" si="4"/>
        <v>0.822493974475483</v>
      </c>
      <c r="J21" s="65">
        <f t="shared" si="13"/>
        <v>31.822493974475481</v>
      </c>
      <c r="K21" s="65">
        <f t="shared" si="6"/>
        <v>12251.660180173059</v>
      </c>
      <c r="L21" s="72">
        <v>40</v>
      </c>
      <c r="M21" s="63">
        <f t="shared" si="7"/>
        <v>15400</v>
      </c>
      <c r="N21" s="63">
        <f t="shared" ca="1" si="8"/>
        <v>14600</v>
      </c>
      <c r="O21" s="67">
        <f t="shared" ca="1" si="9"/>
        <v>20</v>
      </c>
      <c r="P21" s="57"/>
      <c r="Q21" s="57">
        <v>365</v>
      </c>
      <c r="R21" s="60">
        <f ca="1">SUMIFS('Tổng Đơn'!$F:$F,'Tổng Đơn'!$B:$B,$C21)</f>
        <v>0</v>
      </c>
      <c r="S21" s="60">
        <v>0</v>
      </c>
      <c r="T21" s="60">
        <v>0</v>
      </c>
      <c r="U21" s="60">
        <v>0</v>
      </c>
      <c r="V21" s="60">
        <v>0</v>
      </c>
      <c r="W21" s="60">
        <v>0</v>
      </c>
      <c r="X21" s="60">
        <v>0</v>
      </c>
      <c r="Y21" s="60">
        <v>0</v>
      </c>
      <c r="Z21" s="60">
        <v>0</v>
      </c>
      <c r="AA21" s="60">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si="1"/>
        <v>0</v>
      </c>
      <c r="B22" s="6">
        <v>18</v>
      </c>
      <c r="C22" s="60" t="s">
        <v>113</v>
      </c>
      <c r="D22" s="68">
        <v>43</v>
      </c>
      <c r="E22" s="6">
        <v>0.5</v>
      </c>
      <c r="F22" s="6">
        <v>25</v>
      </c>
      <c r="G22" s="71">
        <f t="shared" si="2"/>
        <v>21.5</v>
      </c>
      <c r="H22" s="73">
        <f t="shared" si="3"/>
        <v>537.5</v>
      </c>
      <c r="I22" s="64">
        <f t="shared" si="4"/>
        <v>0.57043936939428663</v>
      </c>
      <c r="J22" s="65">
        <f t="shared" si="13"/>
        <v>22.070439369394286</v>
      </c>
      <c r="K22" s="65">
        <f t="shared" si="6"/>
        <v>551.76098423485712</v>
      </c>
      <c r="L22" s="72">
        <v>35</v>
      </c>
      <c r="M22" s="63">
        <f t="shared" si="7"/>
        <v>875</v>
      </c>
      <c r="N22" s="63">
        <f t="shared" si="8"/>
        <v>875</v>
      </c>
      <c r="O22" s="67">
        <f t="shared" si="9"/>
        <v>0</v>
      </c>
      <c r="P22" s="57"/>
      <c r="Q22" s="57">
        <v>25</v>
      </c>
      <c r="R22" s="60">
        <f>SUMIFS('Tổng Đơn'!$F:$F,'Tổng Đơn'!$B:$B,$C22)</f>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137</v>
      </c>
      <c r="D23" s="68">
        <v>43.5</v>
      </c>
      <c r="E23" s="6">
        <v>0.5</v>
      </c>
      <c r="F23" s="6">
        <v>70</v>
      </c>
      <c r="G23" s="71">
        <f t="shared" si="2"/>
        <v>21.75</v>
      </c>
      <c r="H23" s="73">
        <f t="shared" si="3"/>
        <v>1522.5</v>
      </c>
      <c r="I23" s="64">
        <f t="shared" si="4"/>
        <v>0.57707238531747596</v>
      </c>
      <c r="J23" s="65">
        <f t="shared" si="13"/>
        <v>22.327072385317475</v>
      </c>
      <c r="K23" s="65">
        <f t="shared" si="6"/>
        <v>1562.8950669722233</v>
      </c>
      <c r="L23" s="72">
        <v>30</v>
      </c>
      <c r="M23" s="63">
        <f t="shared" si="7"/>
        <v>2100</v>
      </c>
      <c r="N23" s="63">
        <f t="shared" si="8"/>
        <v>2070</v>
      </c>
      <c r="O23" s="67">
        <f t="shared" si="9"/>
        <v>0</v>
      </c>
      <c r="P23" s="57">
        <v>1</v>
      </c>
      <c r="Q23" s="57">
        <v>69</v>
      </c>
      <c r="R23" s="60">
        <f>SUMIFS('Tổng Đơn'!$F:$F,'Tổng Đơn'!$B:$B,$C23)</f>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3572.3315816507966</v>
      </c>
      <c r="B24" s="6">
        <v>20</v>
      </c>
      <c r="C24" s="60" t="s">
        <v>136</v>
      </c>
      <c r="D24" s="68">
        <v>145</v>
      </c>
      <c r="E24" s="6">
        <v>0.5</v>
      </c>
      <c r="F24" s="6">
        <f>76+40+40+20+20+40+20+20+40+30+30+40+30+40+20+20+30</f>
        <v>556</v>
      </c>
      <c r="G24" s="71">
        <f t="shared" si="2"/>
        <v>72.5</v>
      </c>
      <c r="H24" s="73">
        <f t="shared" si="3"/>
        <v>40310</v>
      </c>
      <c r="I24" s="64">
        <f t="shared" si="4"/>
        <v>1.92357461772492</v>
      </c>
      <c r="J24" s="65">
        <f>G24+I24</f>
        <v>74.423574617724924</v>
      </c>
      <c r="K24" s="65">
        <f t="shared" si="6"/>
        <v>41379.507487455056</v>
      </c>
      <c r="L24" s="72">
        <v>80</v>
      </c>
      <c r="M24" s="63">
        <f t="shared" si="7"/>
        <v>44480</v>
      </c>
      <c r="N24" s="63">
        <f t="shared" ca="1" si="8"/>
        <v>40640</v>
      </c>
      <c r="O24" s="67">
        <f t="shared" ca="1" si="9"/>
        <v>48</v>
      </c>
      <c r="P24" s="57">
        <v>0</v>
      </c>
      <c r="Q24" s="57">
        <v>505</v>
      </c>
      <c r="R24" s="60">
        <f ca="1">SUMIFS('Tổng Đơn'!$F:$F,'Tổng Đơn'!$B:$B,$C24)</f>
        <v>3</v>
      </c>
      <c r="S24" s="60">
        <v>0</v>
      </c>
      <c r="T24" s="60">
        <v>0</v>
      </c>
      <c r="U24" s="60">
        <v>0</v>
      </c>
      <c r="V24" s="60">
        <v>0</v>
      </c>
      <c r="W24" s="60">
        <v>0</v>
      </c>
      <c r="X24" s="60">
        <v>0</v>
      </c>
      <c r="Y24" s="60">
        <v>0</v>
      </c>
      <c r="Z24" s="60">
        <v>0</v>
      </c>
      <c r="AA24" s="60">
        <v>0</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120.10425145205264</v>
      </c>
      <c r="B25" s="6">
        <v>21</v>
      </c>
      <c r="C25" s="60" t="s">
        <v>221</v>
      </c>
      <c r="D25" s="68">
        <v>78</v>
      </c>
      <c r="E25" s="6">
        <v>0.5</v>
      </c>
      <c r="F25" s="6">
        <f>27+20+10</f>
        <v>57</v>
      </c>
      <c r="G25" s="71">
        <f t="shared" si="2"/>
        <v>39</v>
      </c>
      <c r="H25" s="73">
        <f t="shared" si="3"/>
        <v>2223</v>
      </c>
      <c r="I25" s="64">
        <f t="shared" ref="I25:I29" si="14">((H25/$H$4)*$A$2)/F25</f>
        <v>1.0347504840175432</v>
      </c>
      <c r="J25" s="65">
        <f t="shared" ref="J25:J29" si="15">G25+I25</f>
        <v>40.034750484017543</v>
      </c>
      <c r="K25" s="65">
        <f t="shared" ref="K25:K29" si="16">J25*F25</f>
        <v>2281.9807775889999</v>
      </c>
      <c r="L25" s="72">
        <v>44</v>
      </c>
      <c r="M25" s="63">
        <f t="shared" si="7"/>
        <v>2508</v>
      </c>
      <c r="N25" s="63">
        <f t="shared" ca="1" si="8"/>
        <v>2376</v>
      </c>
      <c r="O25" s="67">
        <f t="shared" ca="1" si="9"/>
        <v>3</v>
      </c>
      <c r="P25" s="57"/>
      <c r="Q25" s="57">
        <v>54</v>
      </c>
      <c r="R25" s="60">
        <f ca="1">SUMIFS('Tổng Đơn'!$F:$F,'Tổng Đơn'!$B:$B,$C25)</f>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363.39235054723616</v>
      </c>
      <c r="B26" s="6">
        <v>22</v>
      </c>
      <c r="C26" s="60" t="s">
        <v>138</v>
      </c>
      <c r="D26" s="68">
        <v>59</v>
      </c>
      <c r="E26" s="6">
        <v>0.5</v>
      </c>
      <c r="F26" s="6">
        <f>10+10+20</f>
        <v>40</v>
      </c>
      <c r="G26" s="71">
        <f t="shared" si="2"/>
        <v>29.5</v>
      </c>
      <c r="H26" s="73">
        <f t="shared" si="3"/>
        <v>1180</v>
      </c>
      <c r="I26" s="64">
        <f t="shared" si="14"/>
        <v>0.78269587893634684</v>
      </c>
      <c r="J26" s="65">
        <f t="shared" si="15"/>
        <v>30.282695878936348</v>
      </c>
      <c r="K26" s="65">
        <f t="shared" si="16"/>
        <v>1211.3078351574538</v>
      </c>
      <c r="L26" s="72">
        <v>35</v>
      </c>
      <c r="M26" s="63">
        <f t="shared" si="7"/>
        <v>1400</v>
      </c>
      <c r="N26" s="63">
        <f t="shared" ca="1" si="8"/>
        <v>770</v>
      </c>
      <c r="O26" s="67">
        <f t="shared" ca="1" si="9"/>
        <v>12</v>
      </c>
      <c r="P26" s="57">
        <v>6</v>
      </c>
      <c r="Q26" s="57">
        <v>22</v>
      </c>
      <c r="R26" s="60">
        <f ca="1">SUMIFS('Tổng Đơn'!$F:$F,'Tổng Đơn'!$B:$B,$C26)</f>
        <v>0</v>
      </c>
      <c r="S26" s="60">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258.6860800505749</v>
      </c>
      <c r="B27" s="6">
        <v>23</v>
      </c>
      <c r="C27" s="60" t="s">
        <v>139</v>
      </c>
      <c r="D27" s="68">
        <v>63</v>
      </c>
      <c r="E27" s="6">
        <v>0.5</v>
      </c>
      <c r="F27" s="6">
        <f>30+20+20+13+10+10+20</f>
        <v>123</v>
      </c>
      <c r="G27" s="218">
        <f t="shared" si="2"/>
        <v>31.5</v>
      </c>
      <c r="H27" s="73">
        <f t="shared" si="3"/>
        <v>3874.5</v>
      </c>
      <c r="I27" s="64">
        <f t="shared" si="14"/>
        <v>0.83576000632186176</v>
      </c>
      <c r="J27" s="65">
        <f t="shared" si="15"/>
        <v>32.335760006321863</v>
      </c>
      <c r="K27" s="65">
        <f t="shared" si="16"/>
        <v>3977.2984807775892</v>
      </c>
      <c r="L27" s="72">
        <v>38</v>
      </c>
      <c r="M27" s="63">
        <f t="shared" si="7"/>
        <v>4674</v>
      </c>
      <c r="N27" s="63">
        <f t="shared" ca="1" si="8"/>
        <v>4370</v>
      </c>
      <c r="O27" s="67">
        <f t="shared" ca="1" si="9"/>
        <v>8</v>
      </c>
      <c r="P27" s="57">
        <f>1-1</f>
        <v>0</v>
      </c>
      <c r="Q27" s="57">
        <v>115</v>
      </c>
      <c r="R27" s="60">
        <f ca="1">SUMIFS('Tổng Đơn'!$F:$F,'Tổng Đơn'!$B:$B,$C27)</f>
        <v>0</v>
      </c>
      <c r="S27" s="60">
        <v>0</v>
      </c>
      <c r="T27" s="60">
        <v>0</v>
      </c>
      <c r="U27" s="60">
        <v>0</v>
      </c>
      <c r="V27" s="60">
        <v>0</v>
      </c>
      <c r="W27" s="60">
        <v>0</v>
      </c>
      <c r="X27" s="60">
        <v>0</v>
      </c>
      <c r="Y27" s="60">
        <v>0</v>
      </c>
      <c r="Z27" s="60">
        <v>0</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1116.3536192658737</v>
      </c>
      <c r="B28" s="6">
        <v>24</v>
      </c>
      <c r="C28" s="60" t="s">
        <v>157</v>
      </c>
      <c r="D28" s="68">
        <v>87</v>
      </c>
      <c r="E28" s="6">
        <v>0.5</v>
      </c>
      <c r="F28" s="6">
        <f>1+20+20</f>
        <v>41</v>
      </c>
      <c r="G28" s="217">
        <f>D28/(1/E28)</f>
        <v>43.5</v>
      </c>
      <c r="H28" s="73">
        <f t="shared" si="3"/>
        <v>1783.5</v>
      </c>
      <c r="I28" s="64">
        <f t="shared" si="14"/>
        <v>1.1541447706349521</v>
      </c>
      <c r="J28" s="65">
        <f t="shared" si="15"/>
        <v>44.65414477063495</v>
      </c>
      <c r="K28" s="65">
        <f t="shared" si="16"/>
        <v>1830.819935596033</v>
      </c>
      <c r="L28" s="72">
        <v>47</v>
      </c>
      <c r="M28" s="63">
        <f t="shared" si="7"/>
        <v>1927</v>
      </c>
      <c r="N28" s="63">
        <f t="shared" ca="1" si="8"/>
        <v>752</v>
      </c>
      <c r="O28" s="67">
        <f t="shared" ca="1" si="9"/>
        <v>25</v>
      </c>
      <c r="P28" s="57">
        <v>0</v>
      </c>
      <c r="Q28" s="57">
        <v>15</v>
      </c>
      <c r="R28" s="60">
        <f ca="1">SUMIFS('Tổng Đơn'!$F:$F,'Tổng Đơn'!$B:$B,$C28)</f>
        <v>1</v>
      </c>
      <c r="S28" s="60">
        <v>0</v>
      </c>
      <c r="T28" s="60">
        <v>0</v>
      </c>
      <c r="U28" s="60">
        <v>0</v>
      </c>
      <c r="V28" s="60">
        <v>0</v>
      </c>
      <c r="W28" s="60">
        <v>0</v>
      </c>
      <c r="X28" s="60">
        <v>0</v>
      </c>
      <c r="Y28" s="60">
        <v>0</v>
      </c>
      <c r="Z28" s="60">
        <v>0</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44.65414477063495</v>
      </c>
      <c r="B29" s="6">
        <v>25</v>
      </c>
      <c r="C29" s="60" t="s">
        <v>159</v>
      </c>
      <c r="D29" s="68">
        <v>87</v>
      </c>
      <c r="E29" s="6">
        <v>0.5</v>
      </c>
      <c r="F29" s="6">
        <v>20</v>
      </c>
      <c r="G29" s="71">
        <f>D29/2</f>
        <v>43.5</v>
      </c>
      <c r="H29" s="73">
        <f t="shared" si="3"/>
        <v>870</v>
      </c>
      <c r="I29" s="64">
        <f t="shared" si="14"/>
        <v>1.1541447706349519</v>
      </c>
      <c r="J29" s="65">
        <f t="shared" si="15"/>
        <v>44.65414477063495</v>
      </c>
      <c r="K29" s="65">
        <f t="shared" si="16"/>
        <v>893.08289541269903</v>
      </c>
      <c r="L29" s="72">
        <v>50</v>
      </c>
      <c r="M29" s="63">
        <f t="shared" si="7"/>
        <v>1000</v>
      </c>
      <c r="N29" s="63">
        <f t="shared" ca="1" si="8"/>
        <v>950</v>
      </c>
      <c r="O29" s="67">
        <f t="shared" ca="1" si="9"/>
        <v>1</v>
      </c>
      <c r="P29" s="57"/>
      <c r="Q29" s="57">
        <v>19</v>
      </c>
      <c r="R29" s="60">
        <f ca="1">SUMIFS('Tổng Đơn'!$F:$F,'Tổng Đơn'!$B:$B,$C29)</f>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500.94764708206566</v>
      </c>
      <c r="B30" s="6">
        <v>26</v>
      </c>
      <c r="C30" s="60" t="s">
        <v>254</v>
      </c>
      <c r="D30" s="68">
        <v>61</v>
      </c>
      <c r="E30" s="6">
        <v>0.5</v>
      </c>
      <c r="F30" s="6">
        <f>20+40+20</f>
        <v>80</v>
      </c>
      <c r="G30" s="71">
        <f>D30/2</f>
        <v>30.5</v>
      </c>
      <c r="H30" s="73">
        <f t="shared" ref="H30" si="17">G30*F30</f>
        <v>2440</v>
      </c>
      <c r="I30" s="64">
        <f t="shared" ref="I30" si="18">((H30/$H$4)*$A$2)/F30</f>
        <v>0.80922794262910425</v>
      </c>
      <c r="J30" s="65">
        <f t="shared" ref="J30" si="19">G30+I30</f>
        <v>31.309227942629104</v>
      </c>
      <c r="K30" s="65">
        <f t="shared" ref="K30" si="20">J30*F30</f>
        <v>2504.7382354103283</v>
      </c>
      <c r="L30" s="72">
        <v>35</v>
      </c>
      <c r="M30" s="63">
        <f t="shared" si="7"/>
        <v>2800</v>
      </c>
      <c r="N30" s="63">
        <f t="shared" ca="1" si="8"/>
        <v>2240</v>
      </c>
      <c r="O30" s="67">
        <f t="shared" ca="1" si="9"/>
        <v>16</v>
      </c>
      <c r="P30" s="57"/>
      <c r="Q30" s="57">
        <v>64</v>
      </c>
      <c r="R30" s="60">
        <f ca="1">SUMIFS('Tổng Đơn'!$F:$F,'Tổng Đơn'!$B:$B,$C30)</f>
        <v>0</v>
      </c>
      <c r="S30" s="60">
        <v>0</v>
      </c>
      <c r="T30" s="60">
        <v>0</v>
      </c>
      <c r="U30" s="60">
        <v>0</v>
      </c>
      <c r="V30" s="60">
        <v>0</v>
      </c>
      <c r="W30" s="60">
        <v>0</v>
      </c>
      <c r="X30" s="60">
        <v>0</v>
      </c>
      <c r="Y30" s="60">
        <v>0</v>
      </c>
      <c r="Z30" s="60">
        <v>0</v>
      </c>
      <c r="AA30" s="60">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7" t="s">
        <v>230</v>
      </c>
      <c r="C32" s="186" t="s">
        <v>301</v>
      </c>
      <c r="D32" s="188">
        <v>85</v>
      </c>
      <c r="E32" s="187">
        <v>0.5</v>
      </c>
      <c r="F32" s="187">
        <v>199</v>
      </c>
      <c r="G32" s="186">
        <v>42.5</v>
      </c>
      <c r="H32" s="189">
        <v>8500</v>
      </c>
      <c r="I32" s="190">
        <v>1.138084457817937</v>
      </c>
      <c r="J32" s="186">
        <v>43.638084457817939</v>
      </c>
      <c r="K32" s="186">
        <v>8727.6168915635881</v>
      </c>
      <c r="L32" s="191">
        <v>47</v>
      </c>
      <c r="M32" s="192">
        <v>9400</v>
      </c>
      <c r="N32" s="192">
        <v>9353</v>
      </c>
      <c r="O32" s="192">
        <v>0</v>
      </c>
      <c r="P32" s="124">
        <v>1</v>
      </c>
      <c r="Q32" s="124">
        <v>181</v>
      </c>
      <c r="R32" s="186">
        <v>2</v>
      </c>
      <c r="S32" s="186">
        <v>1</v>
      </c>
      <c r="T32" s="186">
        <v>2</v>
      </c>
      <c r="U32" s="186">
        <v>0</v>
      </c>
      <c r="V32" s="186">
        <v>0</v>
      </c>
      <c r="W32" s="186">
        <v>1</v>
      </c>
      <c r="X32" s="186">
        <v>0</v>
      </c>
      <c r="Y32" s="186">
        <v>0</v>
      </c>
      <c r="Z32" s="186">
        <v>0</v>
      </c>
      <c r="AA32" s="186">
        <v>0</v>
      </c>
      <c r="AB32" s="186">
        <v>0</v>
      </c>
      <c r="AC32" s="186">
        <v>0</v>
      </c>
      <c r="AD32" s="186">
        <v>1</v>
      </c>
      <c r="AE32" s="186">
        <v>0</v>
      </c>
      <c r="AF32" s="186">
        <v>1</v>
      </c>
      <c r="AG32" s="186">
        <v>0</v>
      </c>
      <c r="AH32" s="186">
        <v>0</v>
      </c>
      <c r="AI32" s="186">
        <v>1</v>
      </c>
      <c r="AJ32" s="186">
        <v>0</v>
      </c>
      <c r="AK32" s="186">
        <v>2</v>
      </c>
      <c r="AL32" s="186">
        <v>0</v>
      </c>
      <c r="AM32" s="186">
        <v>0</v>
      </c>
      <c r="AN32" s="186">
        <v>0</v>
      </c>
      <c r="AO32" s="186">
        <v>0</v>
      </c>
      <c r="AP32" s="186">
        <v>3</v>
      </c>
      <c r="AQ32" s="186">
        <v>1</v>
      </c>
      <c r="AR32" s="186">
        <v>2</v>
      </c>
      <c r="AS32" s="186">
        <v>0</v>
      </c>
      <c r="AT32" s="186">
        <v>0</v>
      </c>
      <c r="AU32" s="186">
        <v>0</v>
      </c>
      <c r="AV32" s="186">
        <v>0</v>
      </c>
    </row>
    <row r="33" spans="1:50" ht="18.75" x14ac:dyDescent="0.25">
      <c r="A33" s="58">
        <f t="shared" si="1"/>
        <v>0</v>
      </c>
      <c r="B33" s="187" t="s">
        <v>230</v>
      </c>
      <c r="C33" s="186" t="s">
        <v>264</v>
      </c>
      <c r="D33" s="188">
        <v>39</v>
      </c>
      <c r="E33" s="187">
        <v>1</v>
      </c>
      <c r="F33" s="187">
        <v>275</v>
      </c>
      <c r="G33" s="186">
        <v>39</v>
      </c>
      <c r="H33" s="189">
        <v>10725</v>
      </c>
      <c r="I33" s="190">
        <v>1.0418493788235041</v>
      </c>
      <c r="J33" s="186">
        <v>40.041849378823507</v>
      </c>
      <c r="K33" s="186">
        <v>11011.508579176465</v>
      </c>
      <c r="L33" s="191">
        <v>45</v>
      </c>
      <c r="M33" s="192">
        <v>12375</v>
      </c>
      <c r="N33" s="192">
        <v>12420</v>
      </c>
      <c r="O33" s="192">
        <v>0</v>
      </c>
      <c r="P33" s="124">
        <v>-1</v>
      </c>
      <c r="Q33" s="124">
        <v>276</v>
      </c>
      <c r="R33" s="186">
        <v>0</v>
      </c>
      <c r="S33" s="186">
        <v>0</v>
      </c>
      <c r="T33" s="186">
        <v>0</v>
      </c>
      <c r="U33" s="186">
        <v>0</v>
      </c>
      <c r="V33" s="186">
        <v>0</v>
      </c>
      <c r="W33" s="186">
        <v>0</v>
      </c>
      <c r="X33" s="186">
        <v>0</v>
      </c>
      <c r="Y33" s="186">
        <v>0</v>
      </c>
      <c r="Z33" s="186">
        <v>0</v>
      </c>
      <c r="AA33" s="186">
        <v>0</v>
      </c>
      <c r="AB33" s="186">
        <v>0</v>
      </c>
      <c r="AC33" s="186">
        <v>0</v>
      </c>
      <c r="AD33" s="186">
        <v>0</v>
      </c>
      <c r="AE33" s="186">
        <v>0</v>
      </c>
      <c r="AF33" s="186">
        <v>0</v>
      </c>
      <c r="AG33" s="186">
        <v>0</v>
      </c>
      <c r="AH33" s="186">
        <v>0</v>
      </c>
      <c r="AI33" s="186">
        <v>0</v>
      </c>
      <c r="AJ33" s="186">
        <v>0</v>
      </c>
      <c r="AK33" s="186">
        <v>0</v>
      </c>
      <c r="AL33" s="186">
        <v>0</v>
      </c>
      <c r="AM33" s="186">
        <v>0</v>
      </c>
      <c r="AN33" s="186">
        <v>0</v>
      </c>
      <c r="AO33" s="186">
        <v>0</v>
      </c>
      <c r="AP33" s="186">
        <v>0</v>
      </c>
      <c r="AQ33" s="186">
        <v>0</v>
      </c>
      <c r="AR33" s="186">
        <v>0</v>
      </c>
      <c r="AS33" s="186">
        <v>0</v>
      </c>
      <c r="AT33" s="186">
        <v>0</v>
      </c>
      <c r="AU33" s="186">
        <v>0</v>
      </c>
      <c r="AV33" s="186">
        <v>0</v>
      </c>
      <c r="AW33" s="58">
        <v>0</v>
      </c>
    </row>
    <row r="34" spans="1:50" ht="18.75" x14ac:dyDescent="0.25">
      <c r="A34" s="58">
        <f t="shared" si="1"/>
        <v>0</v>
      </c>
      <c r="B34" s="187" t="s">
        <v>230</v>
      </c>
      <c r="C34" s="186" t="s">
        <v>232</v>
      </c>
      <c r="D34" s="188">
        <v>55</v>
      </c>
      <c r="E34" s="187">
        <v>0.5</v>
      </c>
      <c r="F34" s="187">
        <v>380</v>
      </c>
      <c r="G34" s="186">
        <v>27.5</v>
      </c>
      <c r="H34" s="189">
        <v>10450</v>
      </c>
      <c r="I34" s="190">
        <v>0.76523760671718355</v>
      </c>
      <c r="J34" s="186">
        <v>28.265237606717182</v>
      </c>
      <c r="K34" s="186">
        <v>10740.79029055253</v>
      </c>
      <c r="L34" s="191">
        <v>33</v>
      </c>
      <c r="M34" s="192">
        <v>12540</v>
      </c>
      <c r="N34" s="192">
        <v>12606</v>
      </c>
      <c r="O34" s="192">
        <v>0</v>
      </c>
      <c r="P34" s="124">
        <v>-2</v>
      </c>
      <c r="Q34" s="124">
        <v>368</v>
      </c>
      <c r="R34" s="186">
        <v>0</v>
      </c>
      <c r="S34" s="186">
        <v>0</v>
      </c>
      <c r="T34" s="186">
        <v>0</v>
      </c>
      <c r="U34" s="186">
        <v>0</v>
      </c>
      <c r="V34" s="186">
        <v>0</v>
      </c>
      <c r="W34" s="186">
        <v>0</v>
      </c>
      <c r="X34" s="186">
        <v>0</v>
      </c>
      <c r="Y34" s="186">
        <v>0</v>
      </c>
      <c r="Z34" s="186">
        <v>0</v>
      </c>
      <c r="AA34" s="186">
        <v>0</v>
      </c>
      <c r="AB34" s="186">
        <v>0</v>
      </c>
      <c r="AC34" s="186">
        <v>0</v>
      </c>
      <c r="AD34" s="186">
        <v>0</v>
      </c>
      <c r="AE34" s="186">
        <v>0</v>
      </c>
      <c r="AF34" s="186">
        <v>0</v>
      </c>
      <c r="AG34" s="186">
        <v>0</v>
      </c>
      <c r="AH34" s="186">
        <v>0</v>
      </c>
      <c r="AI34" s="186">
        <v>0</v>
      </c>
      <c r="AJ34" s="186">
        <v>0</v>
      </c>
      <c r="AK34" s="186">
        <v>0</v>
      </c>
      <c r="AL34" s="186">
        <v>0</v>
      </c>
      <c r="AM34" s="186">
        <v>0</v>
      </c>
      <c r="AN34" s="186">
        <v>0</v>
      </c>
      <c r="AO34" s="186">
        <v>0</v>
      </c>
      <c r="AP34" s="186">
        <v>0</v>
      </c>
      <c r="AQ34" s="186">
        <v>0</v>
      </c>
      <c r="AR34" s="186">
        <v>0</v>
      </c>
      <c r="AS34" s="186">
        <v>0</v>
      </c>
      <c r="AT34" s="186">
        <v>0</v>
      </c>
      <c r="AU34" s="186">
        <v>0</v>
      </c>
      <c r="AV34" s="186">
        <v>0</v>
      </c>
      <c r="AW34" s="58">
        <v>0</v>
      </c>
      <c r="AX34" s="58">
        <f>AW34*G34</f>
        <v>0</v>
      </c>
    </row>
    <row r="35" spans="1:50" ht="18.75" x14ac:dyDescent="0.25">
      <c r="A35" s="58">
        <f t="shared" si="1"/>
        <v>0</v>
      </c>
      <c r="B35" s="187" t="s">
        <v>230</v>
      </c>
      <c r="C35" s="186" t="s">
        <v>231</v>
      </c>
      <c r="D35" s="188">
        <v>74</v>
      </c>
      <c r="E35" s="187">
        <v>0.5</v>
      </c>
      <c r="F35" s="187">
        <v>93</v>
      </c>
      <c r="G35" s="186">
        <v>37</v>
      </c>
      <c r="H35" s="189">
        <v>3441</v>
      </c>
      <c r="I35" s="190">
        <v>0.94740952748159901</v>
      </c>
      <c r="J35" s="186">
        <v>37.947409527481597</v>
      </c>
      <c r="K35" s="186">
        <v>3529.1090860557883</v>
      </c>
      <c r="L35" s="191">
        <v>42</v>
      </c>
      <c r="M35" s="192">
        <v>3906</v>
      </c>
      <c r="N35" s="192">
        <v>3864</v>
      </c>
      <c r="O35" s="192">
        <v>0</v>
      </c>
      <c r="P35" s="124">
        <v>1</v>
      </c>
      <c r="Q35" s="124">
        <v>92</v>
      </c>
      <c r="R35" s="186">
        <v>0</v>
      </c>
      <c r="S35" s="186">
        <v>0</v>
      </c>
      <c r="T35" s="186">
        <v>0</v>
      </c>
      <c r="U35" s="186">
        <v>0</v>
      </c>
      <c r="V35" s="186">
        <v>0</v>
      </c>
      <c r="W35" s="186">
        <v>0</v>
      </c>
      <c r="X35" s="186">
        <v>0</v>
      </c>
      <c r="Y35" s="186">
        <v>0</v>
      </c>
      <c r="Z35" s="186">
        <v>0</v>
      </c>
      <c r="AA35" s="186">
        <v>0</v>
      </c>
      <c r="AB35" s="186">
        <v>0</v>
      </c>
      <c r="AC35" s="186">
        <v>0</v>
      </c>
      <c r="AD35" s="186">
        <v>0</v>
      </c>
      <c r="AE35" s="186">
        <v>0</v>
      </c>
      <c r="AF35" s="186">
        <v>0</v>
      </c>
      <c r="AG35" s="186">
        <v>0</v>
      </c>
      <c r="AH35" s="186">
        <v>0</v>
      </c>
      <c r="AI35" s="186">
        <v>0</v>
      </c>
      <c r="AJ35" s="186">
        <v>0</v>
      </c>
      <c r="AK35" s="186">
        <v>0</v>
      </c>
      <c r="AL35" s="186">
        <v>0</v>
      </c>
      <c r="AM35" s="186">
        <v>0</v>
      </c>
      <c r="AN35" s="186">
        <v>0</v>
      </c>
      <c r="AO35" s="186">
        <v>0</v>
      </c>
      <c r="AP35" s="186">
        <v>0</v>
      </c>
      <c r="AQ35" s="186">
        <v>0</v>
      </c>
      <c r="AR35" s="186">
        <v>0</v>
      </c>
      <c r="AS35" s="186">
        <v>0</v>
      </c>
      <c r="AT35" s="186">
        <v>0</v>
      </c>
      <c r="AU35" s="186">
        <v>0</v>
      </c>
      <c r="AV35" s="186">
        <v>0</v>
      </c>
      <c r="AW35" s="58">
        <v>0</v>
      </c>
      <c r="AX35" s="58">
        <f>AW35*G35</f>
        <v>0</v>
      </c>
    </row>
  </sheetData>
  <autoFilter ref="B4:AW35"/>
  <mergeCells count="1">
    <mergeCell ref="B1:M1"/>
  </mergeCells>
  <conditionalFormatting sqref="C6:C19 C24">
    <cfRule type="expression" dxfId="392" priority="25">
      <formula>($O6/$O6)&lt;=1/4</formula>
    </cfRule>
  </conditionalFormatting>
  <conditionalFormatting sqref="C20">
    <cfRule type="expression" dxfId="391" priority="24">
      <formula>($O20/$O20)&lt;=1/4</formula>
    </cfRule>
  </conditionalFormatting>
  <conditionalFormatting sqref="C21">
    <cfRule type="expression" dxfId="390" priority="22">
      <formula>($O21/$O21)&lt;=1/4</formula>
    </cfRule>
  </conditionalFormatting>
  <conditionalFormatting sqref="C22">
    <cfRule type="expression" dxfId="389" priority="20">
      <formula>($O22/$O22)&lt;=1/4</formula>
    </cfRule>
  </conditionalFormatting>
  <conditionalFormatting sqref="C23">
    <cfRule type="expression" dxfId="388" priority="18">
      <formula>($O23/$O23)&lt;=1/4</formula>
    </cfRule>
  </conditionalFormatting>
  <conditionalFormatting sqref="C25">
    <cfRule type="expression" dxfId="387" priority="14">
      <formula>($O25/$O25)&lt;=1/4</formula>
    </cfRule>
  </conditionalFormatting>
  <conditionalFormatting sqref="C26:C27">
    <cfRule type="expression" dxfId="386" priority="12">
      <formula>($O26/$O26)&lt;=1/4</formula>
    </cfRule>
  </conditionalFormatting>
  <conditionalFormatting sqref="C28">
    <cfRule type="expression" dxfId="385" priority="9">
      <formula>($O28/$O28)&lt;=1/4</formula>
    </cfRule>
  </conditionalFormatting>
  <conditionalFormatting sqref="C29:C31">
    <cfRule type="expression" dxfId="384" priority="7">
      <formula>($O29/$O29)&lt;=1/4</formula>
    </cfRule>
  </conditionalFormatting>
  <conditionalFormatting sqref="C5:C31">
    <cfRule type="expression" dxfId="383"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abSelected="1"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2" sqref="A2"/>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34.5" customHeight="1" x14ac:dyDescent="0.25">
      <c r="A2" s="1">
        <f>370+100+80+150+170+60+300+200+40+180+50+100+30+60+30+160+60+70+70+30+50+60+40+20+90+40+30+70+40+20+60+50+60+20+20+40+60+60+60+140+40+80+40+40+60+50+80+20+160+30+20+20+20+160</f>
        <v>4160</v>
      </c>
      <c r="F2" s="13"/>
      <c r="H2" s="156">
        <f>880+1311</f>
        <v>2191</v>
      </c>
      <c r="K2" s="156">
        <f>902+1343</f>
        <v>2245</v>
      </c>
      <c r="L2" s="13"/>
      <c r="M2" s="156">
        <f>1080+1520</f>
        <v>2600</v>
      </c>
      <c r="N2" s="156">
        <f>1053+1520</f>
        <v>2573</v>
      </c>
      <c r="AX2" s="133"/>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7" t="s">
        <v>291</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18548.577407375349</v>
      </c>
      <c r="B4" s="16"/>
      <c r="C4" s="16"/>
      <c r="D4" s="46"/>
      <c r="E4" s="16">
        <f>SUMPRODUCT((E5:E32)*(F5:F32))</f>
        <v>2532.1999999999998</v>
      </c>
      <c r="F4" s="16">
        <f>SUBTOTAL(9,F5:F32)</f>
        <v>5544</v>
      </c>
      <c r="G4" s="7"/>
      <c r="H4" s="7">
        <f>SUBTOTAL(9,H5:H32)+H2</f>
        <v>181543.78947368421</v>
      </c>
      <c r="I4" s="12"/>
      <c r="J4" s="12"/>
      <c r="K4" s="12">
        <f>SUBTOTAL(9,K5:K32)+K2</f>
        <v>185689.86788574941</v>
      </c>
      <c r="L4" s="47"/>
      <c r="M4" s="7">
        <f>SUBTOTAL(9,M5:M32)+M2</f>
        <v>219686</v>
      </c>
      <c r="N4" s="7">
        <f ca="1">SUBTOTAL(9,N5:N32)+N2</f>
        <v>197039</v>
      </c>
      <c r="O4" s="48">
        <f ca="1">SUBTOTAL(9,O5:O32)</f>
        <v>504</v>
      </c>
      <c r="P4" s="74">
        <f t="shared" ref="P4" si="0">SUBTOTAL(9,P5:P24)</f>
        <v>7</v>
      </c>
      <c r="Q4" s="74">
        <f>SUBTOTAL(9,Q5:Q32)</f>
        <v>4831</v>
      </c>
      <c r="R4" s="25">
        <f t="shared" ref="R4:AV4" ca="1" si="1">SUBTOTAL(9,R5:R25)</f>
        <v>10</v>
      </c>
      <c r="S4" s="25">
        <f t="shared" si="1"/>
        <v>0</v>
      </c>
      <c r="T4" s="25">
        <f t="shared" si="1"/>
        <v>0</v>
      </c>
      <c r="U4" s="25">
        <f t="shared" si="1"/>
        <v>0</v>
      </c>
      <c r="V4" s="25">
        <f t="shared" si="1"/>
        <v>0</v>
      </c>
      <c r="W4" s="25">
        <f t="shared" si="1"/>
        <v>0</v>
      </c>
      <c r="X4" s="25">
        <f t="shared"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10 Kg</v>
      </c>
      <c r="AX4" s="77">
        <f>SUBTOTAL(9,AX5:AX32)</f>
        <v>800</v>
      </c>
    </row>
    <row r="5" spans="1:50" ht="18.75" x14ac:dyDescent="0.25">
      <c r="A5" s="58">
        <f t="shared" ref="A5:A28" ca="1" si="2">J5*O5</f>
        <v>3535.1927944309218</v>
      </c>
      <c r="B5" s="6">
        <v>1</v>
      </c>
      <c r="C5" s="60" t="s">
        <v>128</v>
      </c>
      <c r="D5" s="68">
        <v>64</v>
      </c>
      <c r="E5" s="61">
        <v>0.5</v>
      </c>
      <c r="F5" s="112">
        <f>80+100</f>
        <v>180</v>
      </c>
      <c r="G5" s="62">
        <f>D5/2</f>
        <v>32</v>
      </c>
      <c r="H5" s="63">
        <f t="shared" ref="H5:H19" si="3">G5*F5</f>
        <v>5760</v>
      </c>
      <c r="I5" s="64">
        <f t="shared" ref="I5:I19" si="4">((H5/$H$4)*$A$2)/F5</f>
        <v>0.7332666151011269</v>
      </c>
      <c r="J5" s="138">
        <f t="shared" ref="J5:J17" si="5">G5+I5</f>
        <v>32.73326661510113</v>
      </c>
      <c r="K5" s="65">
        <f>J5*F5</f>
        <v>5891.987990718203</v>
      </c>
      <c r="L5" s="69">
        <v>45</v>
      </c>
      <c r="M5" s="63">
        <f t="shared" ref="M5:M18" si="6">L5*F5</f>
        <v>8100</v>
      </c>
      <c r="N5" s="63">
        <f t="shared" ref="N5:N25" ca="1" si="7">SUMPRODUCT(($Q5:$AV5)*$L5)</f>
        <v>3240</v>
      </c>
      <c r="O5" s="70">
        <f t="shared" ref="O5:O25" ca="1" si="8">F5-SUM(Q5:AV5)-P5</f>
        <v>108</v>
      </c>
      <c r="P5" s="57">
        <v>0</v>
      </c>
      <c r="Q5" s="57">
        <v>68</v>
      </c>
      <c r="R5" s="22">
        <f ca="1">SUMIFS('Tổng Đơn'!$F:$F,'Tổng Đơn'!$B:$B,$C5)</f>
        <v>4</v>
      </c>
      <c r="S5" s="22">
        <v>0</v>
      </c>
      <c r="T5" s="22">
        <v>0</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1159.985135672646</v>
      </c>
      <c r="B6" s="6">
        <v>2</v>
      </c>
      <c r="C6" s="60" t="s">
        <v>224</v>
      </c>
      <c r="D6" s="68">
        <f t="shared" ref="D6:D11" si="10">G6*2</f>
        <v>81</v>
      </c>
      <c r="E6" s="61">
        <v>0.5</v>
      </c>
      <c r="F6" s="112">
        <f>20+60+20+20+20+20+20+20+20+40</f>
        <v>260</v>
      </c>
      <c r="G6" s="62">
        <v>40.5</v>
      </c>
      <c r="H6" s="63">
        <f t="shared" si="3"/>
        <v>10530</v>
      </c>
      <c r="I6" s="64">
        <f t="shared" si="4"/>
        <v>0.92804055973736366</v>
      </c>
      <c r="J6" s="138">
        <f t="shared" si="5"/>
        <v>41.428040559737362</v>
      </c>
      <c r="K6" s="65">
        <f t="shared" ref="K6:K17" si="11">J6*F6</f>
        <v>10771.290545531714</v>
      </c>
      <c r="L6" s="69">
        <v>46</v>
      </c>
      <c r="M6" s="63">
        <f t="shared" si="6"/>
        <v>11960</v>
      </c>
      <c r="N6" s="63">
        <f t="shared" ca="1" si="7"/>
        <v>10626</v>
      </c>
      <c r="O6" s="70">
        <f t="shared" ca="1" si="8"/>
        <v>28</v>
      </c>
      <c r="P6" s="57">
        <v>1</v>
      </c>
      <c r="Q6" s="57">
        <v>231</v>
      </c>
      <c r="R6" s="22">
        <f ca="1">SUMIFS('Tổng Đơn'!$F:$F,'Tổng Đơn'!$B:$B,$C6)</f>
        <v>0</v>
      </c>
      <c r="S6" s="22">
        <v>0</v>
      </c>
      <c r="T6" s="22">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698.13920202520376</v>
      </c>
      <c r="B7" s="6">
        <v>3</v>
      </c>
      <c r="C7" s="60" t="s">
        <v>27</v>
      </c>
      <c r="D7" s="68">
        <f t="shared" si="10"/>
        <v>65</v>
      </c>
      <c r="E7" s="61">
        <v>0.5</v>
      </c>
      <c r="F7" s="112">
        <f>120+40+40+40+40</f>
        <v>280</v>
      </c>
      <c r="G7" s="62">
        <v>32.5</v>
      </c>
      <c r="H7" s="63">
        <f t="shared" si="3"/>
        <v>9100</v>
      </c>
      <c r="I7" s="64">
        <f t="shared" si="4"/>
        <v>0.74472390596208193</v>
      </c>
      <c r="J7" s="138">
        <f t="shared" si="5"/>
        <v>33.244723905962083</v>
      </c>
      <c r="K7" s="65">
        <f t="shared" si="11"/>
        <v>9308.5226936693834</v>
      </c>
      <c r="L7" s="69">
        <v>38</v>
      </c>
      <c r="M7" s="63">
        <f t="shared" si="6"/>
        <v>10640</v>
      </c>
      <c r="N7" s="63">
        <f t="shared" ca="1" si="7"/>
        <v>9766</v>
      </c>
      <c r="O7" s="70">
        <f t="shared" ca="1" si="8"/>
        <v>21</v>
      </c>
      <c r="P7" s="57">
        <v>2</v>
      </c>
      <c r="Q7" s="57">
        <v>257</v>
      </c>
      <c r="R7" s="22">
        <f ca="1">SUMIFS('Tổng Đơn'!$F:$F,'Tổng Đơn'!$B:$B,$C7)</f>
        <v>0</v>
      </c>
      <c r="S7" s="22">
        <v>0</v>
      </c>
      <c r="T7" s="22">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1718.4964972928092</v>
      </c>
      <c r="B8" s="6">
        <v>4</v>
      </c>
      <c r="C8" s="60" t="s">
        <v>26</v>
      </c>
      <c r="D8" s="68">
        <f t="shared" si="10"/>
        <v>80</v>
      </c>
      <c r="E8" s="61">
        <v>0.5</v>
      </c>
      <c r="F8" s="112">
        <f>70+30+20+30+20+20+20+30+10+10+20+20+30+30+20+10+10+10+20+30+40+30+30+20+30+20</f>
        <v>630</v>
      </c>
      <c r="G8" s="62">
        <v>40</v>
      </c>
      <c r="H8" s="63">
        <f t="shared" si="3"/>
        <v>25200</v>
      </c>
      <c r="I8" s="64">
        <f t="shared" si="4"/>
        <v>0.91658326887640851</v>
      </c>
      <c r="J8" s="138">
        <f t="shared" si="5"/>
        <v>40.916583268876408</v>
      </c>
      <c r="K8" s="65">
        <f t="shared" si="11"/>
        <v>25777.447459392137</v>
      </c>
      <c r="L8" s="69">
        <v>45</v>
      </c>
      <c r="M8" s="63">
        <f t="shared" si="6"/>
        <v>28350</v>
      </c>
      <c r="N8" s="63">
        <f t="shared" ca="1" si="7"/>
        <v>26415</v>
      </c>
      <c r="O8" s="70">
        <f t="shared" ca="1" si="8"/>
        <v>42</v>
      </c>
      <c r="P8" s="57">
        <f>-1+2</f>
        <v>1</v>
      </c>
      <c r="Q8" s="57">
        <v>587</v>
      </c>
      <c r="R8" s="22">
        <f ca="1">SUMIFS('Tổng Đơn'!$F:$F,'Tổng Đơn'!$B:$B,$C8)</f>
        <v>0</v>
      </c>
      <c r="S8" s="22">
        <v>0</v>
      </c>
      <c r="T8" s="22">
        <v>0</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20</v>
      </c>
      <c r="AX8" s="58">
        <f t="shared" si="9"/>
        <v>800</v>
      </c>
    </row>
    <row r="9" spans="1:50" ht="18.75" x14ac:dyDescent="0.25">
      <c r="A9" s="58">
        <f t="shared" ca="1" si="2"/>
        <v>1299.6129760776869</v>
      </c>
      <c r="B9" s="6">
        <v>5</v>
      </c>
      <c r="C9" s="60" t="s">
        <v>25</v>
      </c>
      <c r="D9" s="68">
        <v>77</v>
      </c>
      <c r="E9" s="61">
        <v>0.5</v>
      </c>
      <c r="F9" s="112">
        <f>30+40</f>
        <v>70</v>
      </c>
      <c r="G9" s="62">
        <f>D9/2</f>
        <v>38.5</v>
      </c>
      <c r="H9" s="63">
        <f>G9*F9</f>
        <v>2695</v>
      </c>
      <c r="I9" s="64">
        <f>((H9/$H$4)*$A$2)/F9</f>
        <v>0.88221139629354317</v>
      </c>
      <c r="J9" s="138">
        <f t="shared" si="5"/>
        <v>39.382211396293542</v>
      </c>
      <c r="K9" s="65">
        <f t="shared" si="11"/>
        <v>2756.7547977405479</v>
      </c>
      <c r="L9" s="69">
        <v>42</v>
      </c>
      <c r="M9" s="63">
        <f t="shared" si="6"/>
        <v>2940</v>
      </c>
      <c r="N9" s="63">
        <f t="shared" ca="1" si="7"/>
        <v>1554</v>
      </c>
      <c r="O9" s="70">
        <f t="shared" ca="1" si="8"/>
        <v>33</v>
      </c>
      <c r="P9" s="57">
        <v>0</v>
      </c>
      <c r="Q9" s="57">
        <v>34</v>
      </c>
      <c r="R9" s="22">
        <f ca="1">SUMIFS('Tổng Đơn'!$F:$F,'Tổng Đơn'!$B:$B,$C9)</f>
        <v>3</v>
      </c>
      <c r="S9" s="22">
        <v>0</v>
      </c>
      <c r="T9" s="22">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si="2"/>
        <v>0</v>
      </c>
      <c r="B10" s="6">
        <v>6</v>
      </c>
      <c r="C10" s="60" t="s">
        <v>53</v>
      </c>
      <c r="D10" s="68">
        <f t="shared" si="10"/>
        <v>59</v>
      </c>
      <c r="E10" s="61">
        <v>0.5</v>
      </c>
      <c r="F10" s="112">
        <f>60+20+40</f>
        <v>120</v>
      </c>
      <c r="G10" s="62">
        <v>29.5</v>
      </c>
      <c r="H10" s="63">
        <f t="shared" si="3"/>
        <v>3540</v>
      </c>
      <c r="I10" s="64">
        <f t="shared" si="4"/>
        <v>0.67598016079635126</v>
      </c>
      <c r="J10" s="138">
        <f t="shared" si="5"/>
        <v>30.17598016079635</v>
      </c>
      <c r="K10" s="65">
        <f t="shared" si="11"/>
        <v>3621.1176192955618</v>
      </c>
      <c r="L10" s="69">
        <v>35</v>
      </c>
      <c r="M10" s="63">
        <f t="shared" si="6"/>
        <v>4200</v>
      </c>
      <c r="N10" s="63">
        <f t="shared" si="7"/>
        <v>4200</v>
      </c>
      <c r="O10" s="70">
        <f t="shared" si="8"/>
        <v>0</v>
      </c>
      <c r="P10" s="57"/>
      <c r="Q10" s="57">
        <v>120</v>
      </c>
      <c r="R10" s="22">
        <f>SUMIFS('Tổng Đơn'!$F:$F,'Tổng Đơn'!$B:$B,$C10)</f>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270.04944957458429</v>
      </c>
      <c r="B11" s="6">
        <v>7</v>
      </c>
      <c r="C11" s="60" t="s">
        <v>225</v>
      </c>
      <c r="D11" s="68">
        <f t="shared" si="10"/>
        <v>66</v>
      </c>
      <c r="E11" s="61">
        <v>0.5</v>
      </c>
      <c r="F11" s="112">
        <f>10+10</f>
        <v>20</v>
      </c>
      <c r="G11" s="62">
        <v>33</v>
      </c>
      <c r="H11" s="63">
        <f t="shared" si="3"/>
        <v>660</v>
      </c>
      <c r="I11" s="64">
        <f t="shared" si="4"/>
        <v>0.75618119682303697</v>
      </c>
      <c r="J11" s="138">
        <f t="shared" si="5"/>
        <v>33.756181196823036</v>
      </c>
      <c r="K11" s="65">
        <f t="shared" si="11"/>
        <v>675.12362393646072</v>
      </c>
      <c r="L11" s="69">
        <v>40</v>
      </c>
      <c r="M11" s="63">
        <f t="shared" si="6"/>
        <v>800</v>
      </c>
      <c r="N11" s="63">
        <f t="shared" ca="1" si="7"/>
        <v>480</v>
      </c>
      <c r="O11" s="70">
        <f t="shared" ca="1" si="8"/>
        <v>8</v>
      </c>
      <c r="P11" s="57"/>
      <c r="Q11" s="57">
        <v>11</v>
      </c>
      <c r="R11" s="22">
        <f ca="1">SUMIFS('Tổng Đơn'!$F:$F,'Tổng Đơn'!$B:$B,$C11)</f>
        <v>1</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0.64924648212078939</v>
      </c>
      <c r="J12" s="138">
        <f t="shared" si="5"/>
        <v>28.982579815454123</v>
      </c>
      <c r="K12" s="65">
        <f t="shared" si="11"/>
        <v>1043.3728733563485</v>
      </c>
      <c r="L12" s="69">
        <v>34</v>
      </c>
      <c r="M12" s="63">
        <f t="shared" si="6"/>
        <v>1224</v>
      </c>
      <c r="N12" s="63">
        <f t="shared" si="7"/>
        <v>1190</v>
      </c>
      <c r="O12" s="70">
        <f t="shared" si="8"/>
        <v>0</v>
      </c>
      <c r="P12" s="57">
        <v>1</v>
      </c>
      <c r="Q12" s="57">
        <v>35</v>
      </c>
      <c r="R12" s="22">
        <f>SUMIFS('Tổng Đơn'!$F:$F,'Tổng Đơn'!$B:$B,$C12)</f>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572.83216576426969</v>
      </c>
      <c r="B13" s="6">
        <v>9</v>
      </c>
      <c r="C13" s="60" t="s">
        <v>31</v>
      </c>
      <c r="D13" s="68">
        <f t="shared" ref="D13:D22" si="12">G13*2</f>
        <v>80</v>
      </c>
      <c r="E13" s="61">
        <v>0.5</v>
      </c>
      <c r="F13" s="112">
        <v>40</v>
      </c>
      <c r="G13" s="62">
        <v>40</v>
      </c>
      <c r="H13" s="63">
        <f t="shared" si="3"/>
        <v>1600</v>
      </c>
      <c r="I13" s="64">
        <f t="shared" si="4"/>
        <v>0.91658326887640862</v>
      </c>
      <c r="J13" s="138">
        <f t="shared" si="5"/>
        <v>40.916583268876408</v>
      </c>
      <c r="K13" s="65">
        <f t="shared" si="11"/>
        <v>1636.6633307550564</v>
      </c>
      <c r="L13" s="69">
        <v>45</v>
      </c>
      <c r="M13" s="63">
        <f t="shared" si="6"/>
        <v>1800</v>
      </c>
      <c r="N13" s="63">
        <f t="shared" ca="1" si="7"/>
        <v>1170</v>
      </c>
      <c r="O13" s="70">
        <f t="shared" ca="1" si="8"/>
        <v>14</v>
      </c>
      <c r="P13" s="57"/>
      <c r="Q13" s="57">
        <v>26</v>
      </c>
      <c r="R13" s="22">
        <f ca="1">SUMIFS('Tổng Đơn'!$F:$F,'Tổng Đơn'!$B:$B,$C13)</f>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1186.5809147974157</v>
      </c>
      <c r="B14" s="6">
        <v>10</v>
      </c>
      <c r="C14" s="60" t="s">
        <v>30</v>
      </c>
      <c r="D14" s="68">
        <f t="shared" si="12"/>
        <v>80</v>
      </c>
      <c r="E14" s="61">
        <v>0.5</v>
      </c>
      <c r="F14" s="112">
        <v>40</v>
      </c>
      <c r="G14" s="62">
        <v>40</v>
      </c>
      <c r="H14" s="63">
        <f t="shared" si="3"/>
        <v>1600</v>
      </c>
      <c r="I14" s="64">
        <f t="shared" si="4"/>
        <v>0.91658326887640862</v>
      </c>
      <c r="J14" s="138">
        <f t="shared" si="5"/>
        <v>40.916583268876408</v>
      </c>
      <c r="K14" s="65">
        <f t="shared" si="11"/>
        <v>1636.6633307550564</v>
      </c>
      <c r="L14" s="69">
        <v>45</v>
      </c>
      <c r="M14" s="63">
        <f t="shared" si="6"/>
        <v>1800</v>
      </c>
      <c r="N14" s="63">
        <f t="shared" ca="1" si="7"/>
        <v>495</v>
      </c>
      <c r="O14" s="70">
        <f t="shared" ca="1" si="8"/>
        <v>29</v>
      </c>
      <c r="P14" s="57"/>
      <c r="Q14" s="57">
        <v>11</v>
      </c>
      <c r="R14" s="22">
        <f ca="1">SUMIFS('Tổng Đơn'!$F:$F,'Tổng Đơn'!$B:$B,$C14)</f>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695.5819155708989</v>
      </c>
      <c r="B15" s="6">
        <v>11</v>
      </c>
      <c r="C15" s="60" t="s">
        <v>29</v>
      </c>
      <c r="D15" s="68">
        <f t="shared" si="12"/>
        <v>80</v>
      </c>
      <c r="E15" s="61">
        <v>0.5</v>
      </c>
      <c r="F15" s="112">
        <v>40</v>
      </c>
      <c r="G15" s="62">
        <v>40</v>
      </c>
      <c r="H15" s="63">
        <f t="shared" si="3"/>
        <v>1600</v>
      </c>
      <c r="I15" s="64">
        <f t="shared" si="4"/>
        <v>0.91658326887640862</v>
      </c>
      <c r="J15" s="138">
        <f t="shared" si="5"/>
        <v>40.916583268876408</v>
      </c>
      <c r="K15" s="65">
        <f t="shared" si="11"/>
        <v>1636.6633307550564</v>
      </c>
      <c r="L15" s="69">
        <v>45</v>
      </c>
      <c r="M15" s="63">
        <f t="shared" si="6"/>
        <v>1800</v>
      </c>
      <c r="N15" s="63">
        <f t="shared" ca="1" si="7"/>
        <v>1035</v>
      </c>
      <c r="O15" s="70">
        <f t="shared" ca="1" si="8"/>
        <v>17</v>
      </c>
      <c r="P15" s="57"/>
      <c r="Q15" s="57">
        <v>23</v>
      </c>
      <c r="R15" s="22">
        <f ca="1">SUMIFS('Tổng Đơn'!$F:$F,'Tổng Đơn'!$B:$B,$C15)</f>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1022.9145817219102</v>
      </c>
      <c r="B16" s="6">
        <v>12</v>
      </c>
      <c r="C16" s="60" t="s">
        <v>28</v>
      </c>
      <c r="D16" s="68">
        <f t="shared" si="12"/>
        <v>80</v>
      </c>
      <c r="E16" s="61">
        <v>0.5</v>
      </c>
      <c r="F16" s="112">
        <v>40</v>
      </c>
      <c r="G16" s="62">
        <v>40</v>
      </c>
      <c r="H16" s="63">
        <f t="shared" si="3"/>
        <v>1600</v>
      </c>
      <c r="I16" s="64">
        <f t="shared" si="4"/>
        <v>0.91658326887640862</v>
      </c>
      <c r="J16" s="138">
        <f t="shared" si="5"/>
        <v>40.916583268876408</v>
      </c>
      <c r="K16" s="65">
        <f t="shared" si="11"/>
        <v>1636.6633307550564</v>
      </c>
      <c r="L16" s="69">
        <v>45</v>
      </c>
      <c r="M16" s="63">
        <f t="shared" si="6"/>
        <v>1800</v>
      </c>
      <c r="N16" s="63">
        <f t="shared" ca="1" si="7"/>
        <v>675</v>
      </c>
      <c r="O16" s="70">
        <f t="shared" ca="1" si="8"/>
        <v>25</v>
      </c>
      <c r="P16" s="57"/>
      <c r="Q16" s="57">
        <v>15</v>
      </c>
      <c r="R16" s="22">
        <f ca="1">SUMIFS('Tổng Đơn'!$F:$F,'Tổng Đơn'!$B:$B,$C16)</f>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163.66633307550563</v>
      </c>
      <c r="B17" s="6">
        <v>13</v>
      </c>
      <c r="C17" s="60" t="s">
        <v>50</v>
      </c>
      <c r="D17" s="68">
        <f t="shared" si="12"/>
        <v>80</v>
      </c>
      <c r="E17" s="61">
        <v>0.5</v>
      </c>
      <c r="F17" s="112">
        <v>40</v>
      </c>
      <c r="G17" s="62">
        <v>40</v>
      </c>
      <c r="H17" s="63">
        <f t="shared" si="3"/>
        <v>1600</v>
      </c>
      <c r="I17" s="64">
        <f t="shared" si="4"/>
        <v>0.91658326887640862</v>
      </c>
      <c r="J17" s="138">
        <f t="shared" si="5"/>
        <v>40.916583268876408</v>
      </c>
      <c r="K17" s="65">
        <f t="shared" si="11"/>
        <v>1636.6633307550564</v>
      </c>
      <c r="L17" s="69">
        <v>45</v>
      </c>
      <c r="M17" s="63">
        <f t="shared" si="6"/>
        <v>1800</v>
      </c>
      <c r="N17" s="63">
        <f t="shared" ca="1" si="7"/>
        <v>1620</v>
      </c>
      <c r="O17" s="70">
        <f t="shared" ca="1" si="8"/>
        <v>4</v>
      </c>
      <c r="P17" s="57"/>
      <c r="Q17" s="57">
        <v>36</v>
      </c>
      <c r="R17" s="22">
        <f ca="1">SUMIFS('Tổng Đơn'!$F:$F,'Tổng Đơn'!$B:$B,$C17)</f>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361.66760165065062</v>
      </c>
      <c r="B18" s="6">
        <v>14</v>
      </c>
      <c r="C18" s="60" t="s">
        <v>116</v>
      </c>
      <c r="D18" s="68">
        <f t="shared" si="12"/>
        <v>54.39473684210526</v>
      </c>
      <c r="E18" s="61">
        <v>0.5</v>
      </c>
      <c r="F18" s="112">
        <f>80</f>
        <v>80</v>
      </c>
      <c r="G18" s="62">
        <f>1033.5/38</f>
        <v>27.19736842105263</v>
      </c>
      <c r="H18" s="63">
        <f t="shared" si="3"/>
        <v>2175.7894736842104</v>
      </c>
      <c r="I18" s="64">
        <f t="shared" si="4"/>
        <v>0.62321632130511051</v>
      </c>
      <c r="J18" s="138">
        <f t="shared" ref="J18" si="13">G18+I18</f>
        <v>27.820584742357742</v>
      </c>
      <c r="K18" s="65">
        <f t="shared" ref="K18" si="14">J18*F18</f>
        <v>2225.6467793886195</v>
      </c>
      <c r="L18" s="69">
        <v>35</v>
      </c>
      <c r="M18" s="63">
        <f t="shared" si="6"/>
        <v>2800</v>
      </c>
      <c r="N18" s="63">
        <f t="shared" ca="1" si="7"/>
        <v>2345</v>
      </c>
      <c r="O18" s="70">
        <f t="shared" ca="1" si="8"/>
        <v>13</v>
      </c>
      <c r="P18" s="57"/>
      <c r="Q18" s="57">
        <v>67</v>
      </c>
      <c r="R18" s="22">
        <f ca="1">SUMIFS('Tổng Đơn'!$F:$F,'Tổng Đơn'!$B:$B,$C18)</f>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1841.2462470994383</v>
      </c>
      <c r="B19" s="6">
        <v>15</v>
      </c>
      <c r="C19" s="60" t="s">
        <v>143</v>
      </c>
      <c r="D19" s="68">
        <f t="shared" si="12"/>
        <v>120</v>
      </c>
      <c r="E19" s="61">
        <v>0.5</v>
      </c>
      <c r="F19" s="112">
        <f>60+20+20+20+20+20+20+20+60+40+40</f>
        <v>340</v>
      </c>
      <c r="G19" s="62">
        <v>60</v>
      </c>
      <c r="H19" s="63">
        <f t="shared" si="3"/>
        <v>20400</v>
      </c>
      <c r="I19" s="64">
        <f t="shared" si="4"/>
        <v>1.3748749033146128</v>
      </c>
      <c r="J19" s="138">
        <f t="shared" ref="J19" si="15">G19+I19</f>
        <v>61.374874903314613</v>
      </c>
      <c r="K19" s="65">
        <f t="shared" ref="K19" si="16">J19*F19</f>
        <v>20867.457467126969</v>
      </c>
      <c r="L19" s="69">
        <v>70</v>
      </c>
      <c r="M19" s="63">
        <f t="shared" ref="M19" si="17">L19*F19</f>
        <v>23800</v>
      </c>
      <c r="N19" s="63">
        <f t="shared" ca="1" si="7"/>
        <v>21630</v>
      </c>
      <c r="O19" s="70">
        <f t="shared" ca="1" si="8"/>
        <v>30</v>
      </c>
      <c r="P19" s="57">
        <v>1</v>
      </c>
      <c r="Q19" s="57">
        <v>309</v>
      </c>
      <c r="R19" s="22">
        <f ca="1">SUMIFS('Tổng Đơn'!$F:$F,'Tổng Đơn'!$B:$B,$C19)</f>
        <v>0</v>
      </c>
      <c r="S19" s="22">
        <v>0</v>
      </c>
      <c r="T19" s="22">
        <v>0</v>
      </c>
      <c r="U19" s="22">
        <v>0</v>
      </c>
      <c r="V19" s="22">
        <v>0</v>
      </c>
      <c r="W19" s="22">
        <v>0</v>
      </c>
      <c r="X19" s="22">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1220.8485532850998</v>
      </c>
      <c r="B20" s="6">
        <v>16</v>
      </c>
      <c r="C20" s="60" t="s">
        <v>114</v>
      </c>
      <c r="D20" s="68">
        <v>77</v>
      </c>
      <c r="E20" s="61">
        <v>0.5</v>
      </c>
      <c r="F20" s="112">
        <v>40</v>
      </c>
      <c r="G20" s="62">
        <f>D20/2</f>
        <v>38.5</v>
      </c>
      <c r="H20" s="63">
        <f t="shared" ref="H20:H25" si="18">G20*F20</f>
        <v>1540</v>
      </c>
      <c r="I20" s="64">
        <f t="shared" ref="I20:I21" si="19">((H20/$H$4)*$A$2)/F20</f>
        <v>0.88221139629354306</v>
      </c>
      <c r="J20" s="138">
        <f t="shared" ref="J20:J21" si="20">G20+I20</f>
        <v>39.382211396293542</v>
      </c>
      <c r="K20" s="65">
        <f t="shared" ref="K20:K21" si="21">J20*F20</f>
        <v>1575.2884558517417</v>
      </c>
      <c r="L20" s="69">
        <v>42</v>
      </c>
      <c r="M20" s="63">
        <f t="shared" ref="M20:M21" si="22">L20*F20</f>
        <v>1680</v>
      </c>
      <c r="N20" s="63">
        <f t="shared" ca="1" si="7"/>
        <v>378</v>
      </c>
      <c r="O20" s="70">
        <f t="shared" ca="1" si="8"/>
        <v>31</v>
      </c>
      <c r="P20" s="57">
        <v>0</v>
      </c>
      <c r="Q20" s="57">
        <v>7</v>
      </c>
      <c r="R20" s="22">
        <f ca="1">SUMIFS('Tổng Đơn'!$F:$F,'Tổng Đơn'!$B:$B,$C20)</f>
        <v>2</v>
      </c>
      <c r="S20" s="22">
        <v>0</v>
      </c>
      <c r="T20" s="22">
        <v>0</v>
      </c>
      <c r="U20" s="22">
        <v>0</v>
      </c>
      <c r="V20" s="22">
        <v>0</v>
      </c>
      <c r="W20" s="22">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2070.3791134051462</v>
      </c>
      <c r="B21" s="6">
        <v>17</v>
      </c>
      <c r="C21" s="60" t="s">
        <v>155</v>
      </c>
      <c r="D21" s="68">
        <f t="shared" si="12"/>
        <v>88</v>
      </c>
      <c r="E21" s="61">
        <v>0.5</v>
      </c>
      <c r="F21" s="112">
        <f>80</f>
        <v>80</v>
      </c>
      <c r="G21" s="62">
        <v>44</v>
      </c>
      <c r="H21" s="63">
        <f t="shared" si="18"/>
        <v>3520</v>
      </c>
      <c r="I21" s="64">
        <f t="shared" si="19"/>
        <v>1.0082415957640494</v>
      </c>
      <c r="J21" s="138">
        <f t="shared" si="20"/>
        <v>45.008241595764048</v>
      </c>
      <c r="K21" s="65">
        <f t="shared" si="21"/>
        <v>3600.6593276611238</v>
      </c>
      <c r="L21" s="69">
        <v>54</v>
      </c>
      <c r="M21" s="63">
        <f t="shared" si="22"/>
        <v>4320</v>
      </c>
      <c r="N21" s="63">
        <f t="shared" ca="1" si="7"/>
        <v>1782</v>
      </c>
      <c r="O21" s="70">
        <f t="shared" ca="1" si="8"/>
        <v>46</v>
      </c>
      <c r="P21" s="57">
        <v>1</v>
      </c>
      <c r="Q21" s="57">
        <v>33</v>
      </c>
      <c r="R21" s="22">
        <f ca="1">SUMIFS('Tổng Đơn'!$F:$F,'Tổng Đơn'!$B:$B,$C21)</f>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si="2"/>
        <v>0</v>
      </c>
      <c r="B22" s="6">
        <v>18</v>
      </c>
      <c r="C22" s="60" t="s">
        <v>158</v>
      </c>
      <c r="D22" s="68">
        <f t="shared" si="12"/>
        <v>73</v>
      </c>
      <c r="E22" s="61">
        <v>0.5</v>
      </c>
      <c r="F22" s="112">
        <f>40</f>
        <v>40</v>
      </c>
      <c r="G22" s="62">
        <v>36.5</v>
      </c>
      <c r="H22" s="63">
        <f t="shared" si="18"/>
        <v>1460</v>
      </c>
      <c r="I22" s="64">
        <f t="shared" ref="I22:I23" si="23">((H22/$H$4)*$A$2)/F22</f>
        <v>0.8363822328497228</v>
      </c>
      <c r="J22" s="138">
        <f t="shared" ref="J22:J23" si="24">G22+I22</f>
        <v>37.336382232849722</v>
      </c>
      <c r="K22" s="65">
        <f t="shared" ref="K22:K23" si="25">J22*F22</f>
        <v>1493.4552893139889</v>
      </c>
      <c r="L22" s="69">
        <v>42</v>
      </c>
      <c r="M22" s="63">
        <f t="shared" ref="M22:M23" si="26">L22*F22</f>
        <v>1680</v>
      </c>
      <c r="N22" s="63">
        <f t="shared" si="7"/>
        <v>1680</v>
      </c>
      <c r="O22" s="70">
        <f t="shared" si="8"/>
        <v>0</v>
      </c>
      <c r="P22" s="57">
        <v>0</v>
      </c>
      <c r="Q22" s="57">
        <v>40</v>
      </c>
      <c r="R22" s="22">
        <f>SUMIFS('Tổng Đơn'!$F:$F,'Tổng Đơn'!$B:$B,$C22)</f>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731.38392593116589</v>
      </c>
      <c r="B23" s="6">
        <v>19</v>
      </c>
      <c r="C23" s="60" t="s">
        <v>182</v>
      </c>
      <c r="D23" s="68">
        <v>26</v>
      </c>
      <c r="E23" s="61">
        <v>0.3</v>
      </c>
      <c r="F23" s="112">
        <f>60+40</f>
        <v>100</v>
      </c>
      <c r="G23" s="62">
        <f>D23/2</f>
        <v>13</v>
      </c>
      <c r="H23" s="63">
        <f t="shared" si="18"/>
        <v>1300</v>
      </c>
      <c r="I23" s="64">
        <f t="shared" si="23"/>
        <v>0.29788956238483277</v>
      </c>
      <c r="J23" s="138">
        <f t="shared" si="24"/>
        <v>13.297889562384833</v>
      </c>
      <c r="K23" s="65">
        <f t="shared" si="25"/>
        <v>1329.7889562384833</v>
      </c>
      <c r="L23" s="69">
        <v>16</v>
      </c>
      <c r="M23" s="63">
        <f t="shared" si="26"/>
        <v>1600</v>
      </c>
      <c r="N23" s="63">
        <f t="shared" ca="1" si="7"/>
        <v>720</v>
      </c>
      <c r="O23" s="70">
        <f t="shared" ca="1" si="8"/>
        <v>55</v>
      </c>
      <c r="P23" s="57">
        <v>0</v>
      </c>
      <c r="Q23" s="57">
        <v>45</v>
      </c>
      <c r="R23" s="22">
        <f ca="1">SUMIFS('Tổng Đơn'!$F:$F,'Tổng Đơn'!$B:$B,$C23)</f>
        <v>0</v>
      </c>
      <c r="S23" s="22">
        <v>0</v>
      </c>
      <c r="T23" s="22">
        <v>0</v>
      </c>
      <c r="U23" s="22">
        <v>0</v>
      </c>
      <c r="V23" s="22">
        <v>0</v>
      </c>
      <c r="W23" s="22">
        <v>0</v>
      </c>
      <c r="X23" s="22">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226</v>
      </c>
      <c r="D24" s="68">
        <f>G24*2</f>
        <v>68</v>
      </c>
      <c r="E24" s="61">
        <v>0.5</v>
      </c>
      <c r="F24" s="112">
        <v>10</v>
      </c>
      <c r="G24" s="62">
        <v>34</v>
      </c>
      <c r="H24" s="63">
        <f t="shared" si="18"/>
        <v>340</v>
      </c>
      <c r="I24" s="64">
        <f t="shared" ref="I24" si="27">((H24/$H$4)*$A$2)/F24</f>
        <v>0.77909577854494727</v>
      </c>
      <c r="J24" s="138">
        <f t="shared" ref="J24" si="28">G24+I24</f>
        <v>34.779095778544949</v>
      </c>
      <c r="K24" s="65">
        <f t="shared" ref="K24" si="29">J24*F24</f>
        <v>347.79095778544951</v>
      </c>
      <c r="L24" s="69">
        <v>40</v>
      </c>
      <c r="M24" s="63">
        <f t="shared" ref="M24:M25" si="30">L24*F24</f>
        <v>400</v>
      </c>
      <c r="N24" s="63">
        <f t="shared" ca="1" si="7"/>
        <v>400</v>
      </c>
      <c r="O24" s="70">
        <f t="shared" ca="1" si="8"/>
        <v>0</v>
      </c>
      <c r="P24" s="57"/>
      <c r="Q24" s="57">
        <v>10</v>
      </c>
      <c r="R24" s="22">
        <f ca="1">SUMIFS('Tổng Đơn'!$F:$F,'Tổng Đơn'!$B:$B,$C24)</f>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si="2"/>
        <v>0</v>
      </c>
      <c r="B25" s="6">
        <v>21</v>
      </c>
      <c r="C25" s="60" t="s">
        <v>246</v>
      </c>
      <c r="D25" s="68">
        <f>G25*2</f>
        <v>64.599999999999994</v>
      </c>
      <c r="E25" s="61">
        <v>0.5</v>
      </c>
      <c r="F25" s="112">
        <v>40</v>
      </c>
      <c r="G25" s="62">
        <v>32.299999999999997</v>
      </c>
      <c r="H25" s="63">
        <f t="shared" si="18"/>
        <v>1292</v>
      </c>
      <c r="I25" s="64">
        <f t="shared" ref="I25" si="31">((H25/$H$4)*$A$2)/F25</f>
        <v>0.74014098961769992</v>
      </c>
      <c r="J25" s="138">
        <f t="shared" ref="J25" si="32">G25+I25</f>
        <v>33.040140989617697</v>
      </c>
      <c r="K25" s="65">
        <f t="shared" ref="K25" si="33">J25*F25</f>
        <v>1321.6056395847079</v>
      </c>
      <c r="L25" s="69">
        <v>40</v>
      </c>
      <c r="M25" s="63">
        <f t="shared" si="30"/>
        <v>1600</v>
      </c>
      <c r="N25" s="63">
        <f t="shared" si="7"/>
        <v>1560</v>
      </c>
      <c r="O25" s="70">
        <f t="shared" si="8"/>
        <v>0</v>
      </c>
      <c r="P25" s="57">
        <v>1</v>
      </c>
      <c r="Q25" s="57">
        <v>39</v>
      </c>
      <c r="R25" s="22">
        <f>SUMIFS('Tổng Đơn'!$F:$F,'Tổng Đơn'!$B:$B,$C25)</f>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8"/>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7" t="s">
        <v>230</v>
      </c>
      <c r="C28" s="186" t="s">
        <v>300</v>
      </c>
      <c r="D28" s="188">
        <v>63</v>
      </c>
      <c r="E28" s="195">
        <v>0.5</v>
      </c>
      <c r="F28" s="202">
        <v>880</v>
      </c>
      <c r="G28" s="195">
        <v>31.5</v>
      </c>
      <c r="H28" s="192">
        <v>27720</v>
      </c>
      <c r="I28" s="190">
        <v>0.71915407774313922</v>
      </c>
      <c r="J28" s="203">
        <v>32.219154077743141</v>
      </c>
      <c r="K28" s="186">
        <v>28352.855588413964</v>
      </c>
      <c r="L28" s="198">
        <v>45</v>
      </c>
      <c r="M28" s="192">
        <v>39600</v>
      </c>
      <c r="N28" s="192">
        <v>39555</v>
      </c>
      <c r="O28" s="204">
        <v>0</v>
      </c>
      <c r="P28" s="124">
        <v>1</v>
      </c>
      <c r="Q28" s="124">
        <v>810</v>
      </c>
      <c r="R28" s="205">
        <v>3</v>
      </c>
      <c r="S28" s="205">
        <v>4</v>
      </c>
      <c r="T28" s="205">
        <v>6</v>
      </c>
      <c r="U28" s="205">
        <v>5</v>
      </c>
      <c r="V28" s="205">
        <v>9</v>
      </c>
      <c r="W28" s="205">
        <v>4</v>
      </c>
      <c r="X28" s="205">
        <v>2</v>
      </c>
      <c r="Y28" s="205">
        <v>7</v>
      </c>
      <c r="Z28" s="205">
        <v>8</v>
      </c>
      <c r="AA28" s="205">
        <v>3</v>
      </c>
      <c r="AB28" s="205">
        <v>8</v>
      </c>
      <c r="AC28" s="205">
        <v>2</v>
      </c>
      <c r="AD28" s="205">
        <v>2</v>
      </c>
      <c r="AE28" s="205">
        <v>1</v>
      </c>
      <c r="AF28" s="205">
        <v>5</v>
      </c>
      <c r="AG28" s="205">
        <v>0</v>
      </c>
      <c r="AH28" s="205">
        <v>0</v>
      </c>
      <c r="AI28" s="205">
        <v>0</v>
      </c>
      <c r="AJ28" s="205">
        <v>0</v>
      </c>
      <c r="AK28" s="205">
        <v>0</v>
      </c>
      <c r="AL28" s="205">
        <v>0</v>
      </c>
      <c r="AM28" s="205">
        <v>0</v>
      </c>
      <c r="AN28" s="205">
        <v>0</v>
      </c>
      <c r="AO28" s="205">
        <v>0</v>
      </c>
      <c r="AP28" s="205">
        <v>0</v>
      </c>
      <c r="AQ28" s="205">
        <v>0</v>
      </c>
      <c r="AR28" s="205">
        <v>0</v>
      </c>
      <c r="AS28" s="205">
        <v>0</v>
      </c>
      <c r="AT28" s="205">
        <v>0</v>
      </c>
      <c r="AU28" s="205">
        <v>0</v>
      </c>
      <c r="AV28" s="205">
        <v>0</v>
      </c>
    </row>
    <row r="29" spans="1:50" ht="18.75" x14ac:dyDescent="0.25">
      <c r="A29" s="58">
        <v>0</v>
      </c>
      <c r="B29" s="187" t="s">
        <v>230</v>
      </c>
      <c r="C29" s="186" t="s">
        <v>303</v>
      </c>
      <c r="D29" s="188">
        <v>75</v>
      </c>
      <c r="E29" s="195">
        <v>0.5</v>
      </c>
      <c r="F29" s="202">
        <v>641</v>
      </c>
      <c r="G29" s="195">
        <v>37.5</v>
      </c>
      <c r="H29" s="192">
        <v>24037.5</v>
      </c>
      <c r="I29" s="190">
        <v>0.85312687463405334</v>
      </c>
      <c r="J29" s="203">
        <v>38.35312687463405</v>
      </c>
      <c r="K29" s="186">
        <v>24584.354326640427</v>
      </c>
      <c r="L29" s="198">
        <v>42</v>
      </c>
      <c r="M29" s="192">
        <v>26922</v>
      </c>
      <c r="N29" s="192">
        <v>26712</v>
      </c>
      <c r="O29" s="204">
        <v>0</v>
      </c>
      <c r="P29" s="124">
        <v>5</v>
      </c>
      <c r="Q29" s="124">
        <v>599</v>
      </c>
      <c r="R29" s="205">
        <v>1</v>
      </c>
      <c r="S29" s="205">
        <v>4</v>
      </c>
      <c r="T29" s="205">
        <v>0</v>
      </c>
      <c r="U29" s="205">
        <v>3</v>
      </c>
      <c r="V29" s="205">
        <v>0</v>
      </c>
      <c r="W29" s="205">
        <v>0</v>
      </c>
      <c r="X29" s="205">
        <v>5</v>
      </c>
      <c r="Y29" s="205">
        <v>0</v>
      </c>
      <c r="Z29" s="205">
        <v>1</v>
      </c>
      <c r="AA29" s="205">
        <v>0</v>
      </c>
      <c r="AB29" s="205">
        <v>3</v>
      </c>
      <c r="AC29" s="205">
        <v>0</v>
      </c>
      <c r="AD29" s="205">
        <v>0</v>
      </c>
      <c r="AE29" s="205">
        <v>1</v>
      </c>
      <c r="AF29" s="205">
        <v>1</v>
      </c>
      <c r="AG29" s="205">
        <v>12</v>
      </c>
      <c r="AH29" s="205">
        <v>0</v>
      </c>
      <c r="AI29" s="205">
        <v>2</v>
      </c>
      <c r="AJ29" s="205">
        <v>0</v>
      </c>
      <c r="AK29" s="205">
        <v>2</v>
      </c>
      <c r="AL29" s="205">
        <v>0</v>
      </c>
      <c r="AM29" s="205">
        <v>2</v>
      </c>
      <c r="AN29" s="205">
        <v>0</v>
      </c>
      <c r="AO29" s="205">
        <v>0</v>
      </c>
      <c r="AP29" s="205">
        <v>0</v>
      </c>
      <c r="AQ29" s="205">
        <v>0</v>
      </c>
      <c r="AR29" s="205">
        <v>0</v>
      </c>
      <c r="AS29" s="205">
        <v>0</v>
      </c>
      <c r="AT29" s="205">
        <v>0</v>
      </c>
      <c r="AU29" s="205">
        <v>0</v>
      </c>
      <c r="AV29" s="205">
        <v>0</v>
      </c>
    </row>
    <row r="30" spans="1:50" ht="18.75" x14ac:dyDescent="0.25">
      <c r="A30" s="58">
        <v>0</v>
      </c>
      <c r="B30" s="187" t="s">
        <v>230</v>
      </c>
      <c r="C30" s="186" t="s">
        <v>299</v>
      </c>
      <c r="D30" s="188">
        <v>75</v>
      </c>
      <c r="E30" s="195">
        <v>0.5</v>
      </c>
      <c r="F30" s="202">
        <v>245</v>
      </c>
      <c r="G30" s="195">
        <v>37.5</v>
      </c>
      <c r="H30" s="192">
        <v>9187.5</v>
      </c>
      <c r="I30" s="190">
        <v>0.86286144010168964</v>
      </c>
      <c r="J30" s="203">
        <v>38.362861440101689</v>
      </c>
      <c r="K30" s="186">
        <v>9398.9010528249146</v>
      </c>
      <c r="L30" s="198">
        <v>42</v>
      </c>
      <c r="M30" s="192">
        <v>10290</v>
      </c>
      <c r="N30" s="192">
        <v>10164</v>
      </c>
      <c r="O30" s="204">
        <v>0</v>
      </c>
      <c r="P30" s="124">
        <v>3</v>
      </c>
      <c r="Q30" s="124">
        <v>219</v>
      </c>
      <c r="R30" s="205">
        <v>2</v>
      </c>
      <c r="S30" s="205">
        <v>1</v>
      </c>
      <c r="T30" s="205">
        <v>0</v>
      </c>
      <c r="U30" s="205">
        <v>3</v>
      </c>
      <c r="V30" s="205">
        <v>2</v>
      </c>
      <c r="W30" s="205">
        <v>3</v>
      </c>
      <c r="X30" s="205">
        <v>3</v>
      </c>
      <c r="Y30" s="205">
        <v>0</v>
      </c>
      <c r="Z30" s="205">
        <v>2</v>
      </c>
      <c r="AA30" s="205">
        <v>3</v>
      </c>
      <c r="AB30" s="205">
        <v>4</v>
      </c>
      <c r="AC30" s="205">
        <v>0</v>
      </c>
      <c r="AD30" s="205">
        <v>0</v>
      </c>
      <c r="AE30" s="205">
        <v>0</v>
      </c>
      <c r="AF30" s="205">
        <v>0</v>
      </c>
      <c r="AG30" s="205">
        <v>0</v>
      </c>
      <c r="AH30" s="205">
        <v>0</v>
      </c>
      <c r="AI30" s="205">
        <v>0</v>
      </c>
      <c r="AJ30" s="205">
        <v>0</v>
      </c>
      <c r="AK30" s="205">
        <v>0</v>
      </c>
      <c r="AL30" s="205">
        <v>0</v>
      </c>
      <c r="AM30" s="205">
        <v>0</v>
      </c>
      <c r="AN30" s="205">
        <v>0</v>
      </c>
      <c r="AO30" s="205">
        <v>0</v>
      </c>
      <c r="AP30" s="205">
        <v>0</v>
      </c>
      <c r="AQ30" s="205">
        <v>0</v>
      </c>
      <c r="AR30" s="205">
        <v>0</v>
      </c>
      <c r="AS30" s="205">
        <v>0</v>
      </c>
      <c r="AT30" s="205">
        <v>0</v>
      </c>
      <c r="AU30" s="205">
        <v>0</v>
      </c>
      <c r="AV30" s="205">
        <v>0</v>
      </c>
    </row>
    <row r="31" spans="1:50" ht="18.75" x14ac:dyDescent="0.25">
      <c r="A31" s="58">
        <v>0</v>
      </c>
      <c r="B31" s="187" t="s">
        <v>230</v>
      </c>
      <c r="C31" s="186" t="s">
        <v>298</v>
      </c>
      <c r="D31" s="188">
        <v>24</v>
      </c>
      <c r="E31" s="195">
        <v>0.3</v>
      </c>
      <c r="F31" s="202">
        <v>1054</v>
      </c>
      <c r="G31" s="195">
        <v>12</v>
      </c>
      <c r="H31" s="192">
        <v>12648</v>
      </c>
      <c r="I31" s="190">
        <v>0.27012622003060166</v>
      </c>
      <c r="J31" s="203">
        <v>12.270126220030601</v>
      </c>
      <c r="K31" s="186">
        <v>12932.713035912253</v>
      </c>
      <c r="L31" s="198">
        <v>16</v>
      </c>
      <c r="M31" s="192">
        <v>16864</v>
      </c>
      <c r="N31" s="192">
        <v>16800</v>
      </c>
      <c r="O31" s="204">
        <v>0</v>
      </c>
      <c r="P31" s="124">
        <v>4</v>
      </c>
      <c r="Q31" s="124">
        <v>1017</v>
      </c>
      <c r="R31" s="205">
        <v>3</v>
      </c>
      <c r="S31" s="205">
        <v>0</v>
      </c>
      <c r="T31" s="205">
        <v>0</v>
      </c>
      <c r="U31" s="205">
        <v>3</v>
      </c>
      <c r="V31" s="205">
        <v>2</v>
      </c>
      <c r="W31" s="205">
        <v>2</v>
      </c>
      <c r="X31" s="205">
        <v>2</v>
      </c>
      <c r="Y31" s="205">
        <v>2</v>
      </c>
      <c r="Z31" s="205">
        <v>10</v>
      </c>
      <c r="AA31" s="205">
        <v>0</v>
      </c>
      <c r="AB31" s="205">
        <v>9</v>
      </c>
      <c r="AC31" s="205">
        <v>0</v>
      </c>
      <c r="AD31" s="205">
        <v>0</v>
      </c>
      <c r="AE31" s="205">
        <v>0</v>
      </c>
      <c r="AF31" s="205">
        <v>0</v>
      </c>
      <c r="AG31" s="205">
        <v>0</v>
      </c>
      <c r="AH31" s="205">
        <v>0</v>
      </c>
      <c r="AI31" s="205">
        <v>0</v>
      </c>
      <c r="AJ31" s="205">
        <v>0</v>
      </c>
      <c r="AK31" s="205">
        <v>0</v>
      </c>
      <c r="AL31" s="205">
        <v>0</v>
      </c>
      <c r="AM31" s="205">
        <v>0</v>
      </c>
      <c r="AN31" s="205">
        <v>0</v>
      </c>
      <c r="AO31" s="205">
        <v>0</v>
      </c>
      <c r="AP31" s="205">
        <v>0</v>
      </c>
      <c r="AQ31" s="205">
        <v>0</v>
      </c>
      <c r="AR31" s="205">
        <v>0</v>
      </c>
      <c r="AS31" s="205">
        <v>0</v>
      </c>
      <c r="AT31" s="205">
        <v>0</v>
      </c>
      <c r="AU31" s="205">
        <v>0</v>
      </c>
      <c r="AV31" s="205">
        <v>0</v>
      </c>
      <c r="AW31" s="58">
        <v>0</v>
      </c>
      <c r="AX31" s="58">
        <v>0</v>
      </c>
    </row>
    <row r="32" spans="1:50" ht="18.75" x14ac:dyDescent="0.25">
      <c r="A32" s="58">
        <v>0</v>
      </c>
      <c r="B32" s="187" t="s">
        <v>230</v>
      </c>
      <c r="C32" s="186" t="s">
        <v>238</v>
      </c>
      <c r="D32" s="188">
        <v>73</v>
      </c>
      <c r="E32" s="195">
        <v>0.5</v>
      </c>
      <c r="F32" s="202">
        <v>198</v>
      </c>
      <c r="G32" s="195">
        <v>36.5</v>
      </c>
      <c r="H32" s="192">
        <v>7227</v>
      </c>
      <c r="I32" s="190">
        <v>0.80008460399561587</v>
      </c>
      <c r="J32" s="203">
        <v>37.300084603995614</v>
      </c>
      <c r="K32" s="186">
        <v>7385.4167515911313</v>
      </c>
      <c r="L32" s="198">
        <v>42</v>
      </c>
      <c r="M32" s="192">
        <v>8316</v>
      </c>
      <c r="N32" s="192">
        <v>8274</v>
      </c>
      <c r="O32" s="204">
        <v>0</v>
      </c>
      <c r="P32" s="124">
        <v>1</v>
      </c>
      <c r="Q32" s="124">
        <v>182</v>
      </c>
      <c r="R32" s="205">
        <v>0</v>
      </c>
      <c r="S32" s="205">
        <v>0</v>
      </c>
      <c r="T32" s="205">
        <v>0</v>
      </c>
      <c r="U32" s="205">
        <v>0</v>
      </c>
      <c r="V32" s="205">
        <v>0</v>
      </c>
      <c r="W32" s="205">
        <v>0</v>
      </c>
      <c r="X32" s="205">
        <v>0</v>
      </c>
      <c r="Y32" s="205">
        <v>0</v>
      </c>
      <c r="Z32" s="205">
        <v>0</v>
      </c>
      <c r="AA32" s="205">
        <v>0</v>
      </c>
      <c r="AB32" s="205">
        <v>15</v>
      </c>
      <c r="AC32" s="205">
        <v>0</v>
      </c>
      <c r="AD32" s="205">
        <v>0</v>
      </c>
      <c r="AE32" s="205">
        <v>0</v>
      </c>
      <c r="AF32" s="205">
        <v>0</v>
      </c>
      <c r="AG32" s="205">
        <v>0</v>
      </c>
      <c r="AH32" s="205">
        <v>0</v>
      </c>
      <c r="AI32" s="205">
        <v>0</v>
      </c>
      <c r="AJ32" s="205">
        <v>0</v>
      </c>
      <c r="AK32" s="205">
        <v>0</v>
      </c>
      <c r="AL32" s="205">
        <v>0</v>
      </c>
      <c r="AM32" s="205">
        <v>0</v>
      </c>
      <c r="AN32" s="205">
        <v>0</v>
      </c>
      <c r="AO32" s="205">
        <v>0</v>
      </c>
      <c r="AP32" s="205">
        <v>0</v>
      </c>
      <c r="AQ32" s="205">
        <v>0</v>
      </c>
      <c r="AR32" s="205">
        <v>0</v>
      </c>
      <c r="AS32" s="205">
        <v>0</v>
      </c>
      <c r="AT32" s="205">
        <v>0</v>
      </c>
      <c r="AU32" s="205">
        <v>0</v>
      </c>
      <c r="AV32" s="205">
        <v>0</v>
      </c>
      <c r="AW32" s="58">
        <v>0</v>
      </c>
      <c r="AX32" s="58">
        <v>0</v>
      </c>
    </row>
    <row r="35" spans="12:12" x14ac:dyDescent="0.25">
      <c r="L35" s="58">
        <f>J35*5</f>
        <v>0</v>
      </c>
    </row>
  </sheetData>
  <autoFilter ref="B4:M26"/>
  <mergeCells count="1">
    <mergeCell ref="B1:M1"/>
  </mergeCells>
  <conditionalFormatting sqref="C6:C17 C25:C27">
    <cfRule type="expression" dxfId="382" priority="21">
      <formula>($O6/$O6)&lt;=1/4</formula>
    </cfRule>
  </conditionalFormatting>
  <conditionalFormatting sqref="C18">
    <cfRule type="expression" dxfId="381" priority="18">
      <formula>($O18/$O18)&lt;=1/4</formula>
    </cfRule>
  </conditionalFormatting>
  <conditionalFormatting sqref="C5:C18 C25:C27">
    <cfRule type="expression" dxfId="380" priority="29">
      <formula>($O5/$F5)&lt;=1/4</formula>
    </cfRule>
  </conditionalFormatting>
  <conditionalFormatting sqref="C19">
    <cfRule type="expression" dxfId="379" priority="9">
      <formula>($O19/$O19)&lt;=1/4</formula>
    </cfRule>
  </conditionalFormatting>
  <conditionalFormatting sqref="C19">
    <cfRule type="expression" dxfId="378" priority="10">
      <formula>($O19/$F19)&lt;=1/4</formula>
    </cfRule>
  </conditionalFormatting>
  <conditionalFormatting sqref="C20:C21">
    <cfRule type="expression" dxfId="377" priority="7">
      <formula>($O20/$O20)&lt;=1/4</formula>
    </cfRule>
  </conditionalFormatting>
  <conditionalFormatting sqref="C20:C21">
    <cfRule type="expression" dxfId="376" priority="8">
      <formula>($O20/$F20)&lt;=1/4</formula>
    </cfRule>
  </conditionalFormatting>
  <conditionalFormatting sqref="C22:C23">
    <cfRule type="expression" dxfId="375" priority="5">
      <formula>($O22/$O22)&lt;=1/4</formula>
    </cfRule>
  </conditionalFormatting>
  <conditionalFormatting sqref="C22:C23">
    <cfRule type="expression" dxfId="374" priority="6">
      <formula>($O22/$F22)&lt;=1/4</formula>
    </cfRule>
  </conditionalFormatting>
  <conditionalFormatting sqref="C24">
    <cfRule type="expression" dxfId="373" priority="3">
      <formula>($O24/$O24)&lt;=1/4</formula>
    </cfRule>
  </conditionalFormatting>
  <conditionalFormatting sqref="C24">
    <cfRule type="expression" dxfId="372"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7"/>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2" sqref="A2"/>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70" t="s">
        <v>51</v>
      </c>
      <c r="C1" s="270"/>
      <c r="D1" s="270"/>
      <c r="E1" s="270"/>
      <c r="F1" s="270"/>
      <c r="G1" s="270"/>
      <c r="H1" s="270"/>
      <c r="I1" s="270"/>
      <c r="J1" s="270"/>
      <c r="K1" s="270"/>
      <c r="L1" s="270"/>
      <c r="M1" s="270"/>
      <c r="N1" s="155"/>
    </row>
    <row r="2" spans="1:51" ht="34.5" customHeight="1" x14ac:dyDescent="0.25">
      <c r="A2" s="1">
        <f>300+200+120+200+200+200+140+190+120+60+100+95+145+70+100+165+70+80+320+100+270+80+100+140+50+170+140+170+110+140+200+60+100+140+180+80+160+100+240+120+120+300+280+120+240+200+280+200+100+200+280+140+220+80+180</f>
        <v>8665</v>
      </c>
      <c r="K2" s="13"/>
      <c r="L2" s="13"/>
      <c r="M2" s="8">
        <f>M4/K4-1</f>
        <v>0.18617422586666943</v>
      </c>
      <c r="N2" s="8"/>
      <c r="O2" s="13">
        <f>M4-K4</f>
        <v>71330.511496807681</v>
      </c>
      <c r="Q2" s="206"/>
      <c r="AW2" s="219"/>
      <c r="AX2" s="133"/>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41" t="s">
        <v>115</v>
      </c>
      <c r="Q3" s="237" t="s">
        <v>292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800</v>
      </c>
    </row>
    <row r="4" spans="1:51" s="45" customFormat="1" ht="27" customHeight="1" x14ac:dyDescent="0.25">
      <c r="A4" s="49">
        <f ca="1">SUBTOTAL(9,A5:A16)</f>
        <v>19158.466796647186</v>
      </c>
      <c r="B4" s="16"/>
      <c r="C4" s="16"/>
      <c r="D4" s="46"/>
      <c r="E4" s="16">
        <f>SUMPRODUCT((E5:E16)*(F5:F16))</f>
        <v>8598</v>
      </c>
      <c r="F4" s="16">
        <f>SUBTOTAL(9,F5:F16)</f>
        <v>17196</v>
      </c>
      <c r="G4" s="7"/>
      <c r="H4" s="7">
        <f>SUBTOTAL(9,H5:H16)</f>
        <v>374112</v>
      </c>
      <c r="I4" s="12"/>
      <c r="J4" s="12"/>
      <c r="K4" s="12">
        <f>SUBTOTAL(9,K5:K16)</f>
        <v>383138.48850319232</v>
      </c>
      <c r="L4" s="47"/>
      <c r="M4" s="7">
        <f>SUBTOTAL(9,M5:M16)</f>
        <v>454469</v>
      </c>
      <c r="N4" s="7">
        <f ca="1">SUBTOTAL(9,N5:N16)</f>
        <v>431343</v>
      </c>
      <c r="O4" s="48">
        <f ca="1">SUBTOTAL(9,O5:O16)</f>
        <v>798</v>
      </c>
      <c r="P4" s="74">
        <f>SUBTOTAL(9,P5:P16)</f>
        <v>21</v>
      </c>
      <c r="Q4" s="74"/>
      <c r="R4" s="25">
        <f t="shared" ref="R4:AV4" ca="1" si="0">SUBTOTAL(9,R5:R16)</f>
        <v>117</v>
      </c>
      <c r="S4" s="25">
        <f t="shared" si="0"/>
        <v>8</v>
      </c>
      <c r="T4" s="25">
        <f t="shared" si="0"/>
        <v>6</v>
      </c>
      <c r="U4" s="25">
        <f t="shared" si="0"/>
        <v>13</v>
      </c>
      <c r="V4" s="25">
        <f t="shared" si="0"/>
        <v>14</v>
      </c>
      <c r="W4" s="25">
        <f t="shared" si="0"/>
        <v>8</v>
      </c>
      <c r="X4" s="25">
        <f t="shared" si="0"/>
        <v>6</v>
      </c>
      <c r="Y4" s="25">
        <f t="shared" si="0"/>
        <v>11</v>
      </c>
      <c r="Z4" s="25">
        <f t="shared" si="0"/>
        <v>6</v>
      </c>
      <c r="AA4" s="25">
        <f t="shared" si="0"/>
        <v>9</v>
      </c>
      <c r="AB4" s="25">
        <f t="shared" si="0"/>
        <v>20</v>
      </c>
      <c r="AC4" s="25">
        <f t="shared" si="0"/>
        <v>8</v>
      </c>
      <c r="AD4" s="25">
        <f t="shared" si="0"/>
        <v>6</v>
      </c>
      <c r="AE4" s="25">
        <f t="shared" si="0"/>
        <v>4</v>
      </c>
      <c r="AF4" s="25">
        <f t="shared" si="0"/>
        <v>45</v>
      </c>
      <c r="AG4" s="25">
        <f t="shared" si="0"/>
        <v>5</v>
      </c>
      <c r="AH4" s="25">
        <f t="shared" si="0"/>
        <v>4</v>
      </c>
      <c r="AI4" s="25">
        <f t="shared" si="0"/>
        <v>5</v>
      </c>
      <c r="AJ4" s="25">
        <f t="shared" si="0"/>
        <v>5</v>
      </c>
      <c r="AK4" s="25">
        <f t="shared" si="0"/>
        <v>20</v>
      </c>
      <c r="AL4" s="25">
        <f t="shared" si="0"/>
        <v>7</v>
      </c>
      <c r="AM4" s="25">
        <f t="shared" si="0"/>
        <v>3</v>
      </c>
      <c r="AN4" s="25">
        <f t="shared" si="0"/>
        <v>14</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SUMPRODUCT(($AW$5:$AW$16)*($E$5:$E$16))&amp;" Kg"</f>
        <v>189 Kg</v>
      </c>
      <c r="AX4" s="77">
        <f>SUBTOTAL(9,AX5:AX16)</f>
        <v>8672</v>
      </c>
    </row>
    <row r="5" spans="1:51" ht="18.75" x14ac:dyDescent="0.25">
      <c r="A5" s="58">
        <f t="shared" ref="A5:A16" ca="1" si="1">J5*O5</f>
        <v>6376.3425498246515</v>
      </c>
      <c r="B5" s="6">
        <v>1</v>
      </c>
      <c r="C5" s="60" t="s">
        <v>174</v>
      </c>
      <c r="D5" s="68">
        <v>38</v>
      </c>
      <c r="E5" s="6">
        <v>0.5</v>
      </c>
      <c r="F5" s="6">
        <f>240+126+126+100+126+210+126+42+84+84+126+210+84+210+126+84+126+420+420+210+210+42+210+252+210+126+210+336+210+210+210+84+168+126+420+84+126+294+420+126+336+252+420+252+84+252+420+210+210+84+210</f>
        <v>10084</v>
      </c>
      <c r="G5" s="240">
        <f t="shared" ref="G5:G12" si="2">D5/(1/E5)</f>
        <v>19</v>
      </c>
      <c r="H5" s="63">
        <f t="shared" ref="H5:H12" si="3">G5*F5</f>
        <v>191596</v>
      </c>
      <c r="I5" s="64">
        <f t="shared" ref="I5:I12" si="4">((H5/$H$4)*$A$2)/F5</f>
        <v>0.4400687494654007</v>
      </c>
      <c r="J5" s="138">
        <f t="shared" ref="J5:J12" si="5">G5+I5</f>
        <v>19.4400687494654</v>
      </c>
      <c r="K5" s="65">
        <f>J5*F5</f>
        <v>196033.65326960909</v>
      </c>
      <c r="L5" s="69">
        <v>23</v>
      </c>
      <c r="M5" s="63">
        <f t="shared" ref="M5:M12" si="6">L5*F5</f>
        <v>231932</v>
      </c>
      <c r="N5" s="63">
        <f t="shared" ref="N5:N12" ca="1" si="7">SUMPRODUCT(($Q5:$AV5)*$L5)</f>
        <v>224204</v>
      </c>
      <c r="O5" s="70">
        <f t="shared" ref="O5:O12" ca="1" si="8">F5-SUM(Q5:AV5)-P5</f>
        <v>328</v>
      </c>
      <c r="P5" s="57">
        <v>8</v>
      </c>
      <c r="Q5" s="57">
        <v>9664</v>
      </c>
      <c r="R5" s="22">
        <f ca="1">SUMIFS('Tổng Đơn'!$F:$F,'Tổng Đơn'!$B:$B,$C5)</f>
        <v>84</v>
      </c>
      <c r="S5" s="22">
        <v>0</v>
      </c>
      <c r="T5" s="22">
        <v>0</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f>5*42</f>
        <v>210</v>
      </c>
      <c r="AX5" s="58">
        <f>AW5*AY5/2</f>
        <v>3990</v>
      </c>
      <c r="AY5" s="58">
        <v>38</v>
      </c>
    </row>
    <row r="6" spans="1:51" ht="18.75" x14ac:dyDescent="0.25">
      <c r="A6" s="58">
        <f t="shared" ca="1" si="1"/>
        <v>709.05092859892227</v>
      </c>
      <c r="B6" s="6">
        <v>2</v>
      </c>
      <c r="C6" s="60" t="s">
        <v>175</v>
      </c>
      <c r="D6" s="68">
        <v>42</v>
      </c>
      <c r="E6" s="6">
        <v>0.5</v>
      </c>
      <c r="F6" s="6">
        <f>40+40+40+40+40</f>
        <v>200</v>
      </c>
      <c r="G6" s="240">
        <f t="shared" si="2"/>
        <v>21</v>
      </c>
      <c r="H6" s="63">
        <f t="shared" si="3"/>
        <v>4200</v>
      </c>
      <c r="I6" s="64">
        <f t="shared" si="4"/>
        <v>0.4863917757249166</v>
      </c>
      <c r="J6" s="138">
        <f t="shared" si="5"/>
        <v>21.486391775724918</v>
      </c>
      <c r="K6" s="65">
        <f>J6*F6</f>
        <v>4297.2783551449838</v>
      </c>
      <c r="L6" s="69">
        <v>26</v>
      </c>
      <c r="M6" s="63">
        <f t="shared" si="6"/>
        <v>5200</v>
      </c>
      <c r="N6" s="63">
        <f t="shared" ca="1" si="7"/>
        <v>4316</v>
      </c>
      <c r="O6" s="70">
        <f t="shared" ca="1" si="8"/>
        <v>33</v>
      </c>
      <c r="P6" s="57">
        <v>1</v>
      </c>
      <c r="Q6" s="57">
        <v>166</v>
      </c>
      <c r="R6" s="22">
        <f ca="1">SUMIFS('Tổng Đơn'!$F:$F,'Tổng Đơn'!$B:$B,$C6)</f>
        <v>0</v>
      </c>
      <c r="S6" s="22">
        <v>0</v>
      </c>
      <c r="T6" s="22">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923.91484635617144</v>
      </c>
      <c r="B7" s="6">
        <v>3</v>
      </c>
      <c r="C7" s="60" t="s">
        <v>176</v>
      </c>
      <c r="D7" s="68">
        <v>42</v>
      </c>
      <c r="E7" s="6">
        <v>0.5</v>
      </c>
      <c r="F7" s="6">
        <f>40+42+42+42+42+42+42+42+42+42+42+42</f>
        <v>502</v>
      </c>
      <c r="G7" s="240">
        <f t="shared" si="2"/>
        <v>21</v>
      </c>
      <c r="H7" s="63">
        <f t="shared" si="3"/>
        <v>10542</v>
      </c>
      <c r="I7" s="64">
        <f t="shared" si="4"/>
        <v>0.4863917757249166</v>
      </c>
      <c r="J7" s="138">
        <f t="shared" si="5"/>
        <v>21.486391775724918</v>
      </c>
      <c r="K7" s="65">
        <f t="shared" ref="K7:K12" si="10">J7*F7</f>
        <v>10786.168671413909</v>
      </c>
      <c r="L7" s="69">
        <v>26</v>
      </c>
      <c r="M7" s="63">
        <f t="shared" si="6"/>
        <v>13052</v>
      </c>
      <c r="N7" s="63">
        <f t="shared" ca="1" si="7"/>
        <v>11882</v>
      </c>
      <c r="O7" s="70">
        <f t="shared" ca="1" si="8"/>
        <v>43</v>
      </c>
      <c r="P7" s="57">
        <v>2</v>
      </c>
      <c r="Q7" s="57">
        <v>457</v>
      </c>
      <c r="R7" s="22">
        <f ca="1">SUMIFS('Tổng Đơn'!$F:$F,'Tổng Đơn'!$B:$B,$C7)</f>
        <v>0</v>
      </c>
      <c r="S7" s="22">
        <v>0</v>
      </c>
      <c r="T7" s="22">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1145.9408947053289</v>
      </c>
      <c r="B8" s="6">
        <v>4</v>
      </c>
      <c r="C8" s="60" t="s">
        <v>177</v>
      </c>
      <c r="D8" s="68">
        <v>40</v>
      </c>
      <c r="E8" s="6">
        <v>0.5</v>
      </c>
      <c r="F8" s="6">
        <f>40+42+42+42+42+42+42+42</f>
        <v>334</v>
      </c>
      <c r="G8" s="240">
        <f t="shared" si="2"/>
        <v>20</v>
      </c>
      <c r="H8" s="63">
        <f t="shared" si="3"/>
        <v>6680</v>
      </c>
      <c r="I8" s="64">
        <f t="shared" si="4"/>
        <v>0.4632302625951587</v>
      </c>
      <c r="J8" s="138">
        <f t="shared" si="5"/>
        <v>20.463230262595157</v>
      </c>
      <c r="K8" s="65">
        <f t="shared" si="10"/>
        <v>6834.7189077067824</v>
      </c>
      <c r="L8" s="69">
        <v>26</v>
      </c>
      <c r="M8" s="63">
        <f t="shared" si="6"/>
        <v>8684</v>
      </c>
      <c r="N8" s="63">
        <f t="shared" ca="1" si="7"/>
        <v>7202</v>
      </c>
      <c r="O8" s="70">
        <f t="shared" ca="1" si="8"/>
        <v>56</v>
      </c>
      <c r="P8" s="57">
        <v>1</v>
      </c>
      <c r="Q8" s="57">
        <v>277</v>
      </c>
      <c r="R8" s="22">
        <f ca="1">SUMIFS('Tổng Đơn'!$F:$F,'Tổng Đơn'!$B:$B,$C8)</f>
        <v>0</v>
      </c>
      <c r="S8" s="22">
        <v>0</v>
      </c>
      <c r="T8" s="22">
        <v>0</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42</v>
      </c>
      <c r="AX8" s="58">
        <f t="shared" si="9"/>
        <v>840</v>
      </c>
      <c r="AY8" s="58">
        <v>40</v>
      </c>
    </row>
    <row r="9" spans="1:51" ht="18.75" x14ac:dyDescent="0.25">
      <c r="A9" s="58">
        <f t="shared" ca="1" si="1"/>
        <v>2427.68322660788</v>
      </c>
      <c r="B9" s="6">
        <v>5</v>
      </c>
      <c r="C9" s="60" t="s">
        <v>178</v>
      </c>
      <c r="D9" s="68">
        <f>(45*20)/22</f>
        <v>40.909090909090907</v>
      </c>
      <c r="E9" s="6">
        <v>0.5</v>
      </c>
      <c r="F9" s="6">
        <f>176+88+44+44+40+220+88+44+132+40+160+80+80+40+40+23+40+40+40+40+80+40+40+40+40+80+80+80+40+80+40+80+80+80+80+40+40+40</f>
        <v>2579</v>
      </c>
      <c r="G9" s="240">
        <f t="shared" si="2"/>
        <v>20.454545454545453</v>
      </c>
      <c r="H9" s="63">
        <f t="shared" si="3"/>
        <v>52752.272727272721</v>
      </c>
      <c r="I9" s="64">
        <f t="shared" si="4"/>
        <v>0.47375822310868493</v>
      </c>
      <c r="J9" s="138">
        <f t="shared" si="5"/>
        <v>20.928303677654139</v>
      </c>
      <c r="K9" s="65">
        <f t="shared" si="10"/>
        <v>53974.095184670026</v>
      </c>
      <c r="L9" s="69">
        <v>26</v>
      </c>
      <c r="M9" s="63">
        <f t="shared" si="6"/>
        <v>67054</v>
      </c>
      <c r="N9" s="63">
        <f t="shared" ca="1" si="7"/>
        <v>63934</v>
      </c>
      <c r="O9" s="70">
        <f t="shared" ca="1" si="8"/>
        <v>116</v>
      </c>
      <c r="P9" s="57">
        <f>5-1</f>
        <v>4</v>
      </c>
      <c r="Q9" s="57">
        <v>2449</v>
      </c>
      <c r="R9" s="22">
        <f ca="1">SUMIFS('Tổng Đơn'!$F:$F,'Tổng Đơn'!$B:$B,$C9)</f>
        <v>10</v>
      </c>
      <c r="S9" s="22">
        <v>0</v>
      </c>
      <c r="T9" s="22">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40</v>
      </c>
      <c r="AX9" s="58">
        <f t="shared" si="9"/>
        <v>900</v>
      </c>
      <c r="AY9" s="58">
        <v>45</v>
      </c>
    </row>
    <row r="10" spans="1:51" ht="18.75" x14ac:dyDescent="0.25">
      <c r="A10" s="58">
        <f ca="1">J10*O10</f>
        <v>5122.4581154841326</v>
      </c>
      <c r="B10" s="6">
        <v>6</v>
      </c>
      <c r="C10" s="60" t="s">
        <v>179</v>
      </c>
      <c r="D10" s="68">
        <f>68*19/20</f>
        <v>64.599999999999994</v>
      </c>
      <c r="E10" s="6">
        <v>0.5</v>
      </c>
      <c r="F10" s="6">
        <f>120+40+80</f>
        <v>240</v>
      </c>
      <c r="G10" s="240">
        <f t="shared" ref="G10" si="11">D10/(1/E10)</f>
        <v>32.299999999999997</v>
      </c>
      <c r="H10" s="63">
        <f t="shared" ref="H10" si="12">G10*F10</f>
        <v>7751.9999999999991</v>
      </c>
      <c r="I10" s="64">
        <f t="shared" ref="I10" si="13">((H10/$H$4)*$A$2)/F10</f>
        <v>0.74811687409118122</v>
      </c>
      <c r="J10" s="138">
        <f t="shared" ref="J10" si="14">G10+I10</f>
        <v>33.048116874091178</v>
      </c>
      <c r="K10" s="65">
        <f t="shared" ref="K10" si="15">J10*F10</f>
        <v>7931.5480497818826</v>
      </c>
      <c r="L10" s="69">
        <v>37</v>
      </c>
      <c r="M10" s="63">
        <f t="shared" ref="M10" si="16">L10*F10</f>
        <v>8880</v>
      </c>
      <c r="N10" s="63">
        <f t="shared" ca="1" si="7"/>
        <v>3182</v>
      </c>
      <c r="O10" s="70">
        <f t="shared" ca="1" si="8"/>
        <v>155</v>
      </c>
      <c r="P10" s="57">
        <v>-1</v>
      </c>
      <c r="Q10" s="57">
        <v>68</v>
      </c>
      <c r="R10" s="22">
        <f ca="1">SUMIFS('Tổng Đơn'!$F:$F,'Tổng Đơn'!$B:$B,$C10)</f>
        <v>18</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80</v>
      </c>
      <c r="AX10" s="58">
        <f t="shared" ref="AX10" si="17">AW10*AY10/2</f>
        <v>2720</v>
      </c>
      <c r="AY10" s="58">
        <v>68</v>
      </c>
    </row>
    <row r="11" spans="1:51" ht="18.75" x14ac:dyDescent="0.25">
      <c r="A11" s="58">
        <f t="shared" ca="1" si="1"/>
        <v>976.65417162385984</v>
      </c>
      <c r="B11" s="6">
        <v>7</v>
      </c>
      <c r="C11" s="60" t="s">
        <v>180</v>
      </c>
      <c r="D11" s="68">
        <f>(75*20)/22</f>
        <v>68.181818181818187</v>
      </c>
      <c r="E11" s="6">
        <v>0.5</v>
      </c>
      <c r="F11" s="6">
        <f>44+44+88+40+40+40+40+40+40</f>
        <v>416</v>
      </c>
      <c r="G11" s="240">
        <f t="shared" si="2"/>
        <v>34.090909090909093</v>
      </c>
      <c r="H11" s="63">
        <f t="shared" si="3"/>
        <v>14181.818181818184</v>
      </c>
      <c r="I11" s="64">
        <f t="shared" si="4"/>
        <v>0.78959703851447516</v>
      </c>
      <c r="J11" s="138">
        <f t="shared" si="5"/>
        <v>34.880506129423566</v>
      </c>
      <c r="K11" s="65">
        <f t="shared" si="10"/>
        <v>14510.290549840203</v>
      </c>
      <c r="L11" s="69">
        <v>40</v>
      </c>
      <c r="M11" s="63">
        <f t="shared" si="6"/>
        <v>16640</v>
      </c>
      <c r="N11" s="63">
        <f t="shared" ca="1" si="7"/>
        <v>15160</v>
      </c>
      <c r="O11" s="70">
        <f t="shared" ca="1" si="8"/>
        <v>28</v>
      </c>
      <c r="P11" s="57">
        <f>1+1+7</f>
        <v>9</v>
      </c>
      <c r="Q11" s="57">
        <v>378</v>
      </c>
      <c r="R11" s="22">
        <f ca="1">SUMIFS('Tổng Đơn'!$F:$F,'Tổng Đơn'!$B:$B,$C11)</f>
        <v>1</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1476.4220634462406</v>
      </c>
      <c r="B12" s="6">
        <v>8</v>
      </c>
      <c r="C12" s="60" t="s">
        <v>181</v>
      </c>
      <c r="D12" s="68">
        <v>74</v>
      </c>
      <c r="E12" s="6">
        <v>0.5</v>
      </c>
      <c r="F12" s="6">
        <f>80+80+40+40+40+40+40+40+40+3+6</f>
        <v>449</v>
      </c>
      <c r="G12" s="240">
        <f t="shared" si="2"/>
        <v>37</v>
      </c>
      <c r="H12" s="63">
        <f t="shared" si="3"/>
        <v>16613</v>
      </c>
      <c r="I12" s="64">
        <f t="shared" si="4"/>
        <v>0.8569759858010435</v>
      </c>
      <c r="J12" s="138">
        <f t="shared" si="5"/>
        <v>37.856975985801043</v>
      </c>
      <c r="K12" s="65">
        <f t="shared" si="10"/>
        <v>16997.78221762467</v>
      </c>
      <c r="L12" s="69">
        <v>43</v>
      </c>
      <c r="M12" s="63">
        <f t="shared" si="6"/>
        <v>19307</v>
      </c>
      <c r="N12" s="63">
        <f t="shared" ca="1" si="7"/>
        <v>17673</v>
      </c>
      <c r="O12" s="70">
        <f t="shared" ca="1" si="8"/>
        <v>39</v>
      </c>
      <c r="P12" s="57">
        <v>-1</v>
      </c>
      <c r="Q12" s="57">
        <v>411</v>
      </c>
      <c r="R12" s="22">
        <f ca="1">SUMIFS('Tổng Đơn'!$F:$F,'Tổng Đơn'!$B:$B,$C12)</f>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6</v>
      </c>
      <c r="AX12" s="58">
        <f t="shared" si="9"/>
        <v>222</v>
      </c>
      <c r="AY12" s="58">
        <v>74</v>
      </c>
    </row>
    <row r="13" spans="1:51" ht="18.75" x14ac:dyDescent="0.25">
      <c r="B13" s="245"/>
      <c r="C13" s="246"/>
      <c r="D13" s="247"/>
      <c r="E13" s="245"/>
      <c r="F13" s="245"/>
      <c r="G13" s="248"/>
      <c r="H13" s="249"/>
      <c r="I13" s="250"/>
      <c r="J13" s="251"/>
      <c r="K13" s="246"/>
      <c r="L13" s="252"/>
      <c r="M13" s="249"/>
      <c r="N13" s="249"/>
      <c r="O13" s="253"/>
      <c r="P13" s="254"/>
      <c r="Q13" s="254"/>
      <c r="R13" s="255"/>
      <c r="S13" s="255"/>
      <c r="T13" s="255"/>
      <c r="U13" s="255"/>
      <c r="V13" s="255"/>
      <c r="W13" s="255"/>
      <c r="X13" s="255"/>
      <c r="Y13" s="255"/>
      <c r="Z13" s="255"/>
      <c r="AA13" s="255"/>
      <c r="AB13" s="255"/>
      <c r="AC13" s="255"/>
      <c r="AD13" s="255"/>
      <c r="AE13" s="255"/>
      <c r="AF13" s="255"/>
      <c r="AG13" s="255"/>
      <c r="AH13" s="255"/>
      <c r="AI13" s="255"/>
      <c r="AJ13" s="255"/>
      <c r="AK13" s="255"/>
      <c r="AL13" s="255"/>
      <c r="AM13" s="255"/>
      <c r="AN13" s="255"/>
      <c r="AO13" s="255"/>
      <c r="AP13" s="255"/>
      <c r="AQ13" s="255"/>
      <c r="AR13" s="255"/>
      <c r="AS13" s="255"/>
      <c r="AT13" s="255"/>
      <c r="AU13" s="255"/>
      <c r="AV13" s="255"/>
      <c r="AW13" s="58">
        <v>0</v>
      </c>
    </row>
    <row r="14" spans="1:51" x14ac:dyDescent="0.25">
      <c r="B14" s="243"/>
      <c r="C14" s="243"/>
      <c r="D14" s="243"/>
      <c r="E14" s="243"/>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3"/>
      <c r="AI14" s="243"/>
      <c r="AJ14" s="243"/>
      <c r="AK14" s="243"/>
      <c r="AL14" s="243"/>
      <c r="AM14" s="243"/>
      <c r="AN14" s="243"/>
      <c r="AO14" s="243"/>
      <c r="AP14" s="243"/>
      <c r="AQ14" s="243"/>
      <c r="AR14" s="243"/>
      <c r="AS14" s="243"/>
      <c r="AT14" s="243"/>
      <c r="AU14" s="243"/>
      <c r="AV14" s="243"/>
      <c r="AW14" s="58">
        <v>0</v>
      </c>
    </row>
    <row r="15" spans="1:51" ht="18.75" x14ac:dyDescent="0.25">
      <c r="A15" s="58">
        <v>0</v>
      </c>
      <c r="B15" s="187" t="s">
        <v>230</v>
      </c>
      <c r="C15" s="186" t="s">
        <v>302</v>
      </c>
      <c r="D15" s="188">
        <v>60.8</v>
      </c>
      <c r="E15" s="187">
        <v>0.5</v>
      </c>
      <c r="F15" s="187">
        <v>160</v>
      </c>
      <c r="G15" s="244">
        <v>30.4</v>
      </c>
      <c r="H15" s="192">
        <v>4864</v>
      </c>
      <c r="I15" s="190">
        <v>0.70614512114449179</v>
      </c>
      <c r="J15" s="203">
        <v>31.10614512114449</v>
      </c>
      <c r="K15" s="186">
        <v>4976.983219383118</v>
      </c>
      <c r="L15" s="198">
        <v>35</v>
      </c>
      <c r="M15" s="192">
        <v>5600</v>
      </c>
      <c r="N15" s="192">
        <v>5600</v>
      </c>
      <c r="O15" s="204">
        <v>0</v>
      </c>
      <c r="P15" s="124"/>
      <c r="Q15" s="124">
        <v>0</v>
      </c>
      <c r="R15" s="205">
        <v>0</v>
      </c>
      <c r="S15" s="205">
        <v>0</v>
      </c>
      <c r="T15" s="205">
        <v>0</v>
      </c>
      <c r="U15" s="205">
        <v>0</v>
      </c>
      <c r="V15" s="205">
        <v>0</v>
      </c>
      <c r="W15" s="205">
        <v>0</v>
      </c>
      <c r="X15" s="205">
        <v>0</v>
      </c>
      <c r="Y15" s="205">
        <v>0</v>
      </c>
      <c r="Z15" s="205">
        <v>5</v>
      </c>
      <c r="AA15" s="205">
        <v>9</v>
      </c>
      <c r="AB15" s="205">
        <v>20</v>
      </c>
      <c r="AC15" s="205">
        <v>8</v>
      </c>
      <c r="AD15" s="205">
        <v>6</v>
      </c>
      <c r="AE15" s="205">
        <v>4</v>
      </c>
      <c r="AF15" s="205">
        <v>45</v>
      </c>
      <c r="AG15" s="205">
        <v>5</v>
      </c>
      <c r="AH15" s="205">
        <v>4</v>
      </c>
      <c r="AI15" s="205">
        <v>5</v>
      </c>
      <c r="AJ15" s="205">
        <v>5</v>
      </c>
      <c r="AK15" s="205">
        <v>20</v>
      </c>
      <c r="AL15" s="205">
        <v>7</v>
      </c>
      <c r="AM15" s="205">
        <v>3</v>
      </c>
      <c r="AN15" s="205">
        <v>14</v>
      </c>
      <c r="AO15" s="205">
        <v>0</v>
      </c>
      <c r="AP15" s="205">
        <v>0</v>
      </c>
      <c r="AQ15" s="205">
        <v>0</v>
      </c>
      <c r="AR15" s="205">
        <v>0</v>
      </c>
      <c r="AS15" s="205">
        <v>0</v>
      </c>
      <c r="AT15" s="205">
        <v>0</v>
      </c>
      <c r="AU15" s="205">
        <v>0</v>
      </c>
      <c r="AV15" s="205">
        <v>0</v>
      </c>
      <c r="AY15" s="58">
        <v>62</v>
      </c>
    </row>
    <row r="16" spans="1:51" ht="18.75" x14ac:dyDescent="0.25">
      <c r="A16" s="58">
        <f t="shared" si="1"/>
        <v>0</v>
      </c>
      <c r="B16" s="187" t="s">
        <v>230</v>
      </c>
      <c r="C16" s="186" t="s">
        <v>297</v>
      </c>
      <c r="D16" s="188">
        <v>58.18181818181818</v>
      </c>
      <c r="E16" s="187">
        <v>0.5</v>
      </c>
      <c r="F16" s="187">
        <v>2232</v>
      </c>
      <c r="G16" s="244">
        <v>29.09090909090909</v>
      </c>
      <c r="H16" s="192">
        <v>64930.909090909088</v>
      </c>
      <c r="I16" s="190">
        <v>0.83560080067590692</v>
      </c>
      <c r="J16" s="203">
        <v>29.926509891584995</v>
      </c>
      <c r="K16" s="186">
        <v>66795.970078017708</v>
      </c>
      <c r="L16" s="198">
        <v>35</v>
      </c>
      <c r="M16" s="192">
        <v>78120</v>
      </c>
      <c r="N16" s="192">
        <v>78190</v>
      </c>
      <c r="O16" s="204">
        <v>0</v>
      </c>
      <c r="P16" s="124">
        <v>-2</v>
      </c>
      <c r="Q16" s="124">
        <v>2163</v>
      </c>
      <c r="R16" s="205">
        <v>4</v>
      </c>
      <c r="S16" s="205">
        <v>8</v>
      </c>
      <c r="T16" s="205">
        <v>6</v>
      </c>
      <c r="U16" s="205">
        <v>13</v>
      </c>
      <c r="V16" s="205">
        <v>14</v>
      </c>
      <c r="W16" s="205">
        <v>8</v>
      </c>
      <c r="X16" s="205">
        <v>6</v>
      </c>
      <c r="Y16" s="205">
        <v>11</v>
      </c>
      <c r="Z16" s="205">
        <v>1</v>
      </c>
      <c r="AA16" s="205">
        <v>0</v>
      </c>
      <c r="AB16" s="205">
        <v>0</v>
      </c>
      <c r="AC16" s="205">
        <v>0</v>
      </c>
      <c r="AD16" s="205">
        <v>0</v>
      </c>
      <c r="AE16" s="205">
        <v>0</v>
      </c>
      <c r="AF16" s="205">
        <v>0</v>
      </c>
      <c r="AG16" s="205">
        <v>0</v>
      </c>
      <c r="AH16" s="205">
        <v>0</v>
      </c>
      <c r="AI16" s="205">
        <v>0</v>
      </c>
      <c r="AJ16" s="205">
        <v>0</v>
      </c>
      <c r="AK16" s="205">
        <v>0</v>
      </c>
      <c r="AL16" s="205">
        <v>0</v>
      </c>
      <c r="AM16" s="205">
        <v>0</v>
      </c>
      <c r="AN16" s="205">
        <v>0</v>
      </c>
      <c r="AO16" s="205">
        <v>0</v>
      </c>
      <c r="AP16" s="205">
        <v>0</v>
      </c>
      <c r="AQ16" s="205">
        <v>0</v>
      </c>
      <c r="AR16" s="205">
        <v>0</v>
      </c>
      <c r="AS16" s="205">
        <v>0</v>
      </c>
      <c r="AT16" s="205">
        <v>0</v>
      </c>
      <c r="AU16" s="205">
        <v>0</v>
      </c>
      <c r="AV16" s="205">
        <v>0</v>
      </c>
      <c r="AW16" s="58">
        <v>0</v>
      </c>
      <c r="AX16" s="58">
        <v>0</v>
      </c>
      <c r="AY16" s="58">
        <v>64</v>
      </c>
    </row>
    <row r="17" spans="4:4" x14ac:dyDescent="0.25">
      <c r="D17" s="219"/>
    </row>
  </sheetData>
  <autoFilter ref="B4:AW12"/>
  <mergeCells count="1">
    <mergeCell ref="B1:M1"/>
  </mergeCells>
  <conditionalFormatting sqref="C6:C12">
    <cfRule type="expression" dxfId="371" priority="8">
      <formula>($O6/$O6)&lt;=1/4</formula>
    </cfRule>
  </conditionalFormatting>
  <conditionalFormatting sqref="C5:C12">
    <cfRule type="expression" dxfId="370"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9" t="s">
        <v>89</v>
      </c>
      <c r="M1" s="259" t="s">
        <v>90</v>
      </c>
      <c r="N1" s="259" t="s">
        <v>16</v>
      </c>
      <c r="O1" s="259" t="s">
        <v>100</v>
      </c>
      <c r="P1" s="130" t="s">
        <v>90</v>
      </c>
      <c r="Q1" s="115" t="s">
        <v>144</v>
      </c>
      <c r="R1" s="116">
        <f>SUBTOTAL(9,R2:R31)</f>
        <v>0</v>
      </c>
    </row>
    <row r="2" spans="1:18" s="121" customFormat="1" ht="18.75" x14ac:dyDescent="0.3">
      <c r="A2" s="117" t="s">
        <v>161</v>
      </c>
      <c r="B2" s="118" t="s">
        <v>272</v>
      </c>
      <c r="C2" s="117" t="s">
        <v>162</v>
      </c>
      <c r="D2" s="119">
        <v>110000</v>
      </c>
      <c r="E2" s="120"/>
      <c r="F2" s="120"/>
      <c r="G2" s="120"/>
      <c r="H2" s="120"/>
      <c r="I2" s="120"/>
      <c r="J2" s="120"/>
      <c r="K2" s="120"/>
      <c r="L2" s="257">
        <v>1</v>
      </c>
      <c r="M2" s="257" t="s">
        <v>91</v>
      </c>
      <c r="N2" s="260" t="s">
        <v>224</v>
      </c>
      <c r="O2" s="261">
        <v>48000</v>
      </c>
      <c r="P2" s="131">
        <f t="shared" ref="P2:P65" si="0">IF($N2="","",LOOKUP(2,1/($N2=$B$2:$B$100),$A$2:$A$100))</f>
        <v>1</v>
      </c>
      <c r="Q2" s="122"/>
      <c r="R2" s="123">
        <f t="shared" ref="R2:R9" si="1">O2*Q2</f>
        <v>0</v>
      </c>
    </row>
    <row r="3" spans="1:18" s="121" customFormat="1" ht="18.75" x14ac:dyDescent="0.3">
      <c r="A3" s="117" t="s">
        <v>279</v>
      </c>
      <c r="B3" s="118" t="s">
        <v>273</v>
      </c>
      <c r="C3" s="117" t="s">
        <v>284</v>
      </c>
      <c r="D3" s="119">
        <v>122000</v>
      </c>
      <c r="E3" s="120"/>
      <c r="F3" s="120"/>
      <c r="G3" s="120"/>
      <c r="H3" s="120"/>
      <c r="I3" s="120"/>
      <c r="J3" s="120"/>
      <c r="K3" s="120"/>
      <c r="L3" s="257">
        <v>2</v>
      </c>
      <c r="M3" s="257" t="s">
        <v>92</v>
      </c>
      <c r="N3" s="260" t="s">
        <v>278</v>
      </c>
      <c r="O3" s="261">
        <v>40000</v>
      </c>
      <c r="P3" s="131">
        <f t="shared" si="0"/>
        <v>2</v>
      </c>
      <c r="Q3" s="122"/>
      <c r="R3" s="123">
        <f t="shared" si="1"/>
        <v>0</v>
      </c>
    </row>
    <row r="4" spans="1:18" s="121" customFormat="1" ht="18.75" x14ac:dyDescent="0.3">
      <c r="A4" s="117" t="s">
        <v>280</v>
      </c>
      <c r="B4" s="118" t="s">
        <v>274</v>
      </c>
      <c r="C4" s="117" t="s">
        <v>285</v>
      </c>
      <c r="D4" s="119">
        <v>95000</v>
      </c>
      <c r="E4" s="120"/>
      <c r="F4" s="120"/>
      <c r="G4" s="120"/>
      <c r="H4" s="120"/>
      <c r="I4" s="120"/>
      <c r="J4" s="120"/>
      <c r="K4" s="120"/>
      <c r="L4" s="257">
        <v>3</v>
      </c>
      <c r="M4" s="257" t="s">
        <v>93</v>
      </c>
      <c r="N4" s="260" t="s">
        <v>277</v>
      </c>
      <c r="O4" s="261">
        <v>42000</v>
      </c>
      <c r="P4" s="131">
        <f t="shared" si="0"/>
        <v>3</v>
      </c>
      <c r="Q4" s="122"/>
      <c r="R4" s="123">
        <f t="shared" si="1"/>
        <v>0</v>
      </c>
    </row>
    <row r="5" spans="1:18" s="121" customFormat="1" ht="18.75" x14ac:dyDescent="0.3">
      <c r="A5" s="117" t="s">
        <v>281</v>
      </c>
      <c r="B5" s="118" t="s">
        <v>288</v>
      </c>
      <c r="C5" s="117" t="s">
        <v>286</v>
      </c>
      <c r="D5" s="119">
        <v>116000</v>
      </c>
      <c r="E5" s="120"/>
      <c r="F5" s="120"/>
      <c r="G5" s="120"/>
      <c r="H5" s="120"/>
      <c r="I5" s="120"/>
      <c r="J5" s="120"/>
      <c r="K5" s="120"/>
      <c r="L5" s="257">
        <v>4</v>
      </c>
      <c r="M5" s="258" t="s">
        <v>94</v>
      </c>
      <c r="N5" s="260" t="s">
        <v>307</v>
      </c>
      <c r="O5" s="261">
        <v>45000</v>
      </c>
      <c r="P5" s="131">
        <f t="shared" si="0"/>
        <v>4</v>
      </c>
      <c r="Q5" s="122"/>
      <c r="R5" s="123">
        <f t="shared" si="1"/>
        <v>0</v>
      </c>
    </row>
    <row r="6" spans="1:18" s="121" customFormat="1" ht="18.75" x14ac:dyDescent="0.3">
      <c r="A6" s="117" t="s">
        <v>282</v>
      </c>
      <c r="B6" s="118" t="s">
        <v>275</v>
      </c>
      <c r="C6" s="117" t="s">
        <v>287</v>
      </c>
      <c r="D6" s="119">
        <v>48000</v>
      </c>
      <c r="E6" s="120"/>
      <c r="F6" s="120"/>
      <c r="G6" s="120"/>
      <c r="H6" s="120"/>
      <c r="I6" s="120"/>
      <c r="J6" s="120"/>
      <c r="K6" s="120"/>
      <c r="L6" s="257">
        <v>5</v>
      </c>
      <c r="M6" s="258" t="s">
        <v>95</v>
      </c>
      <c r="N6" s="260" t="s">
        <v>27</v>
      </c>
      <c r="O6" s="262">
        <v>38000</v>
      </c>
      <c r="P6" s="131">
        <f t="shared" si="0"/>
        <v>5</v>
      </c>
      <c r="Q6" s="122"/>
      <c r="R6" s="123">
        <f t="shared" si="1"/>
        <v>0</v>
      </c>
    </row>
    <row r="7" spans="1:18" s="121" customFormat="1" ht="18.75" x14ac:dyDescent="0.3">
      <c r="A7" s="117" t="s">
        <v>283</v>
      </c>
      <c r="B7" s="118" t="s">
        <v>276</v>
      </c>
      <c r="C7" s="117" t="s">
        <v>289</v>
      </c>
      <c r="D7" s="119">
        <v>43000</v>
      </c>
      <c r="E7" s="120"/>
      <c r="F7" s="120"/>
      <c r="G7" s="120"/>
      <c r="H7" s="120"/>
      <c r="I7" s="120"/>
      <c r="J7" s="120"/>
      <c r="K7" s="120"/>
      <c r="L7" s="257">
        <v>6</v>
      </c>
      <c r="M7" s="258" t="s">
        <v>96</v>
      </c>
      <c r="N7" s="260" t="s">
        <v>25</v>
      </c>
      <c r="O7" s="262">
        <v>42000</v>
      </c>
      <c r="P7" s="131">
        <f t="shared" si="0"/>
        <v>6</v>
      </c>
      <c r="Q7" s="122"/>
      <c r="R7" s="123">
        <f t="shared" si="1"/>
        <v>0</v>
      </c>
    </row>
    <row r="8" spans="1:18" s="121" customFormat="1" ht="18.75" x14ac:dyDescent="0.3">
      <c r="A8" s="117">
        <v>1</v>
      </c>
      <c r="B8" s="118" t="s">
        <v>224</v>
      </c>
      <c r="C8" s="117" t="s">
        <v>91</v>
      </c>
      <c r="D8" s="119">
        <v>48000</v>
      </c>
      <c r="E8" s="120"/>
      <c r="F8" s="120"/>
      <c r="G8" s="120"/>
      <c r="H8" s="120"/>
      <c r="I8" s="120"/>
      <c r="J8" s="120"/>
      <c r="K8" s="120"/>
      <c r="L8" s="257">
        <v>7</v>
      </c>
      <c r="M8" s="258" t="s">
        <v>97</v>
      </c>
      <c r="N8" s="260" t="s">
        <v>128</v>
      </c>
      <c r="O8" s="261">
        <v>45000</v>
      </c>
      <c r="P8" s="131">
        <f t="shared" si="0"/>
        <v>7</v>
      </c>
      <c r="Q8" s="122"/>
      <c r="R8" s="123">
        <f t="shared" si="1"/>
        <v>0</v>
      </c>
    </row>
    <row r="9" spans="1:18" s="121" customFormat="1" ht="18.75" x14ac:dyDescent="0.3">
      <c r="A9" s="117">
        <v>2</v>
      </c>
      <c r="B9" s="118" t="s">
        <v>278</v>
      </c>
      <c r="C9" s="117" t="s">
        <v>92</v>
      </c>
      <c r="D9" s="119">
        <v>40000</v>
      </c>
      <c r="E9" s="120"/>
      <c r="F9" s="120"/>
      <c r="G9" s="120"/>
      <c r="H9" s="120"/>
      <c r="I9" s="120"/>
      <c r="J9" s="120"/>
      <c r="K9" s="120"/>
      <c r="L9" s="257">
        <v>8</v>
      </c>
      <c r="M9" s="258" t="s">
        <v>98</v>
      </c>
      <c r="N9" s="260" t="s">
        <v>50</v>
      </c>
      <c r="O9" s="261">
        <v>45000</v>
      </c>
      <c r="P9" s="131">
        <f t="shared" si="0"/>
        <v>8</v>
      </c>
      <c r="Q9" s="122"/>
      <c r="R9" s="123">
        <f t="shared" si="1"/>
        <v>0</v>
      </c>
    </row>
    <row r="10" spans="1:18" s="121" customFormat="1" ht="18.75" x14ac:dyDescent="0.3">
      <c r="A10" s="117">
        <v>3</v>
      </c>
      <c r="B10" s="118" t="s">
        <v>277</v>
      </c>
      <c r="C10" s="117" t="s">
        <v>93</v>
      </c>
      <c r="D10" s="119">
        <v>42000</v>
      </c>
      <c r="E10" s="120"/>
      <c r="F10" s="120"/>
      <c r="G10" s="120"/>
      <c r="H10" s="120"/>
      <c r="I10" s="120"/>
      <c r="J10" s="120"/>
      <c r="K10" s="120"/>
      <c r="L10" s="257">
        <v>9</v>
      </c>
      <c r="M10" s="258" t="s">
        <v>99</v>
      </c>
      <c r="N10" s="260" t="s">
        <v>31</v>
      </c>
      <c r="O10" s="261">
        <v>45000</v>
      </c>
      <c r="P10" s="131">
        <f t="shared" si="0"/>
        <v>9</v>
      </c>
      <c r="Q10" s="122"/>
      <c r="R10" s="123">
        <f t="shared" ref="R10:R31" si="2">O10*Q10</f>
        <v>0</v>
      </c>
    </row>
    <row r="11" spans="1:18" s="121" customFormat="1" ht="18.75" x14ac:dyDescent="0.3">
      <c r="A11" s="117">
        <v>4</v>
      </c>
      <c r="B11" s="118" t="s">
        <v>307</v>
      </c>
      <c r="C11" s="117" t="s">
        <v>94</v>
      </c>
      <c r="D11" s="119">
        <v>45000</v>
      </c>
      <c r="E11" s="120"/>
      <c r="F11" s="120"/>
      <c r="G11" s="120"/>
      <c r="H11" s="120"/>
      <c r="I11" s="120"/>
      <c r="J11" s="120"/>
      <c r="K11" s="120"/>
      <c r="L11" s="257">
        <v>10</v>
      </c>
      <c r="M11" s="258" t="s">
        <v>56</v>
      </c>
      <c r="N11" s="260" t="s">
        <v>28</v>
      </c>
      <c r="O11" s="261">
        <v>45000</v>
      </c>
      <c r="P11" s="131">
        <f t="shared" si="0"/>
        <v>10</v>
      </c>
      <c r="Q11" s="122"/>
      <c r="R11" s="123">
        <f t="shared" si="2"/>
        <v>0</v>
      </c>
    </row>
    <row r="12" spans="1:18" s="121" customFormat="1" ht="18.75" x14ac:dyDescent="0.3">
      <c r="A12" s="117">
        <v>5</v>
      </c>
      <c r="B12" s="118" t="s">
        <v>27</v>
      </c>
      <c r="C12" s="117" t="s">
        <v>95</v>
      </c>
      <c r="D12" s="119">
        <v>38000</v>
      </c>
      <c r="E12" s="120"/>
      <c r="F12" s="120"/>
      <c r="G12" s="120"/>
      <c r="H12" s="120"/>
      <c r="I12" s="120"/>
      <c r="J12" s="120"/>
      <c r="K12" s="120"/>
      <c r="L12" s="257">
        <v>11</v>
      </c>
      <c r="M12" s="258" t="s">
        <v>57</v>
      </c>
      <c r="N12" s="260" t="s">
        <v>30</v>
      </c>
      <c r="O12" s="261">
        <v>45000</v>
      </c>
      <c r="P12" s="131">
        <f t="shared" si="0"/>
        <v>11</v>
      </c>
      <c r="Q12" s="122"/>
      <c r="R12" s="123">
        <f t="shared" si="2"/>
        <v>0</v>
      </c>
    </row>
    <row r="13" spans="1:18" s="121" customFormat="1" ht="18.75" x14ac:dyDescent="0.3">
      <c r="A13" s="117">
        <v>6</v>
      </c>
      <c r="B13" s="118" t="s">
        <v>25</v>
      </c>
      <c r="C13" s="117" t="s">
        <v>96</v>
      </c>
      <c r="D13" s="119">
        <v>42000</v>
      </c>
      <c r="E13" s="120"/>
      <c r="F13" s="120"/>
      <c r="G13" s="120"/>
      <c r="H13" s="120"/>
      <c r="I13" s="120"/>
      <c r="J13" s="120"/>
      <c r="K13" s="120"/>
      <c r="L13" s="257">
        <v>12</v>
      </c>
      <c r="M13" s="258" t="s">
        <v>58</v>
      </c>
      <c r="N13" s="260" t="s">
        <v>29</v>
      </c>
      <c r="O13" s="261">
        <v>45000</v>
      </c>
      <c r="P13" s="131">
        <f t="shared" si="0"/>
        <v>12</v>
      </c>
      <c r="Q13" s="122"/>
      <c r="R13" s="123">
        <f t="shared" si="2"/>
        <v>0</v>
      </c>
    </row>
    <row r="14" spans="1:18" s="121" customFormat="1" ht="18.75" x14ac:dyDescent="0.3">
      <c r="A14" s="117">
        <v>7</v>
      </c>
      <c r="B14" s="118" t="s">
        <v>128</v>
      </c>
      <c r="C14" s="117" t="s">
        <v>97</v>
      </c>
      <c r="D14" s="119">
        <v>45000</v>
      </c>
      <c r="E14" s="120"/>
      <c r="F14" s="120"/>
      <c r="G14" s="120"/>
      <c r="H14" s="120"/>
      <c r="I14" s="120"/>
      <c r="J14" s="120"/>
      <c r="K14" s="120"/>
      <c r="L14" s="257">
        <v>13</v>
      </c>
      <c r="M14" s="258" t="s">
        <v>59</v>
      </c>
      <c r="N14" s="260" t="s">
        <v>5</v>
      </c>
      <c r="O14" s="261">
        <v>40000</v>
      </c>
      <c r="P14" s="131">
        <f t="shared" si="0"/>
        <v>13</v>
      </c>
      <c r="Q14" s="122"/>
      <c r="R14" s="123">
        <f t="shared" si="2"/>
        <v>0</v>
      </c>
    </row>
    <row r="15" spans="1:18" s="121" customFormat="1" ht="18.75" x14ac:dyDescent="0.3">
      <c r="A15" s="117">
        <v>8</v>
      </c>
      <c r="B15" s="118" t="s">
        <v>50</v>
      </c>
      <c r="C15" s="117" t="s">
        <v>98</v>
      </c>
      <c r="D15" s="119">
        <v>45000</v>
      </c>
      <c r="E15" s="120"/>
      <c r="F15" s="120"/>
      <c r="G15" s="120"/>
      <c r="H15" s="120"/>
      <c r="I15" s="120"/>
      <c r="J15" s="120"/>
      <c r="K15" s="120"/>
      <c r="L15" s="257">
        <v>14</v>
      </c>
      <c r="M15" s="258" t="s">
        <v>60</v>
      </c>
      <c r="N15" s="260" t="s">
        <v>4</v>
      </c>
      <c r="O15" s="261">
        <v>40000</v>
      </c>
      <c r="P15" s="131">
        <f t="shared" si="0"/>
        <v>14</v>
      </c>
      <c r="Q15" s="122"/>
      <c r="R15" s="123">
        <f t="shared" si="2"/>
        <v>0</v>
      </c>
    </row>
    <row r="16" spans="1:18" s="121" customFormat="1" ht="18.75" x14ac:dyDescent="0.3">
      <c r="A16" s="117">
        <v>9</v>
      </c>
      <c r="B16" s="118" t="s">
        <v>31</v>
      </c>
      <c r="C16" s="117" t="s">
        <v>99</v>
      </c>
      <c r="D16" s="119">
        <v>45000</v>
      </c>
      <c r="E16" s="120"/>
      <c r="F16" s="120"/>
      <c r="G16" s="120"/>
      <c r="H16" s="120"/>
      <c r="I16" s="120"/>
      <c r="J16" s="120"/>
      <c r="K16" s="120"/>
      <c r="L16" s="257">
        <v>15</v>
      </c>
      <c r="M16" s="258" t="s">
        <v>61</v>
      </c>
      <c r="N16" s="260" t="s">
        <v>8</v>
      </c>
      <c r="O16" s="261">
        <v>55000</v>
      </c>
      <c r="P16" s="131">
        <f t="shared" si="0"/>
        <v>15</v>
      </c>
      <c r="Q16" s="122"/>
      <c r="R16" s="123">
        <f t="shared" si="2"/>
        <v>0</v>
      </c>
    </row>
    <row r="17" spans="1:18" s="121" customFormat="1" ht="18.75" x14ac:dyDescent="0.3">
      <c r="A17" s="117">
        <v>10</v>
      </c>
      <c r="B17" s="118" t="s">
        <v>28</v>
      </c>
      <c r="C17" s="117" t="s">
        <v>56</v>
      </c>
      <c r="D17" s="119">
        <v>45000</v>
      </c>
      <c r="E17" s="120"/>
      <c r="F17" s="120"/>
      <c r="G17" s="120"/>
      <c r="H17" s="120"/>
      <c r="I17" s="120"/>
      <c r="J17" s="120"/>
      <c r="K17" s="120"/>
      <c r="L17" s="257">
        <v>16</v>
      </c>
      <c r="M17" s="258" t="s">
        <v>62</v>
      </c>
      <c r="N17" s="260" t="s">
        <v>13</v>
      </c>
      <c r="O17" s="261">
        <v>35000</v>
      </c>
      <c r="P17" s="131">
        <f t="shared" si="0"/>
        <v>16</v>
      </c>
      <c r="Q17" s="122"/>
      <c r="R17" s="123" t="s">
        <v>263</v>
      </c>
    </row>
    <row r="18" spans="1:18" s="121" customFormat="1" ht="18.75" x14ac:dyDescent="0.3">
      <c r="A18" s="117">
        <v>11</v>
      </c>
      <c r="B18" s="118" t="s">
        <v>30</v>
      </c>
      <c r="C18" s="117" t="s">
        <v>57</v>
      </c>
      <c r="D18" s="119">
        <v>45000</v>
      </c>
      <c r="E18" s="120"/>
      <c r="F18" s="120"/>
      <c r="G18" s="120"/>
      <c r="H18" s="120"/>
      <c r="I18" s="120"/>
      <c r="J18" s="120"/>
      <c r="K18" s="120"/>
      <c r="L18" s="257">
        <v>17</v>
      </c>
      <c r="M18" s="258" t="s">
        <v>63</v>
      </c>
      <c r="N18" s="260" t="s">
        <v>225</v>
      </c>
      <c r="O18" s="261">
        <v>40000</v>
      </c>
      <c r="P18" s="131">
        <f t="shared" si="0"/>
        <v>17</v>
      </c>
      <c r="Q18" s="122"/>
      <c r="R18" s="123">
        <f t="shared" si="2"/>
        <v>0</v>
      </c>
    </row>
    <row r="19" spans="1:18" s="121" customFormat="1" ht="18.75" x14ac:dyDescent="0.3">
      <c r="A19" s="117">
        <v>12</v>
      </c>
      <c r="B19" s="118" t="s">
        <v>29</v>
      </c>
      <c r="C19" s="117" t="s">
        <v>58</v>
      </c>
      <c r="D19" s="119">
        <v>45000</v>
      </c>
      <c r="E19" s="120"/>
      <c r="F19" s="120"/>
      <c r="G19" s="120"/>
      <c r="H19" s="120"/>
      <c r="I19" s="120"/>
      <c r="J19" s="120"/>
      <c r="K19" s="120"/>
      <c r="L19" s="257">
        <v>18</v>
      </c>
      <c r="M19" s="258" t="s">
        <v>64</v>
      </c>
      <c r="N19" s="260" t="s">
        <v>26</v>
      </c>
      <c r="O19" s="261">
        <v>50000</v>
      </c>
      <c r="P19" s="131">
        <f t="shared" si="0"/>
        <v>18</v>
      </c>
      <c r="Q19" s="122"/>
      <c r="R19" s="123">
        <f t="shared" si="2"/>
        <v>0</v>
      </c>
    </row>
    <row r="20" spans="1:18" s="121" customFormat="1" ht="18.75" x14ac:dyDescent="0.3">
      <c r="A20" s="117">
        <v>13</v>
      </c>
      <c r="B20" s="118" t="s">
        <v>5</v>
      </c>
      <c r="C20" s="117" t="s">
        <v>59</v>
      </c>
      <c r="D20" s="119">
        <v>40000</v>
      </c>
      <c r="E20" s="120"/>
      <c r="F20" s="120"/>
      <c r="G20" s="120"/>
      <c r="H20" s="120"/>
      <c r="I20" s="120"/>
      <c r="J20" s="120"/>
      <c r="K20" s="120"/>
      <c r="L20" s="257">
        <v>19</v>
      </c>
      <c r="M20" s="258" t="s">
        <v>65</v>
      </c>
      <c r="N20" s="260" t="s">
        <v>223</v>
      </c>
      <c r="O20" s="261">
        <v>40000</v>
      </c>
      <c r="P20" s="131">
        <f t="shared" si="0"/>
        <v>19</v>
      </c>
      <c r="Q20" s="122"/>
      <c r="R20" s="123">
        <f t="shared" si="2"/>
        <v>0</v>
      </c>
    </row>
    <row r="21" spans="1:18" s="121" customFormat="1" ht="18.75" x14ac:dyDescent="0.3">
      <c r="A21" s="117">
        <v>14</v>
      </c>
      <c r="B21" s="118" t="s">
        <v>4</v>
      </c>
      <c r="C21" s="117" t="s">
        <v>60</v>
      </c>
      <c r="D21" s="119">
        <v>40000</v>
      </c>
      <c r="E21" s="120"/>
      <c r="F21" s="120"/>
      <c r="G21" s="120"/>
      <c r="H21" s="120"/>
      <c r="I21" s="120"/>
      <c r="J21" s="120"/>
      <c r="K21" s="120"/>
      <c r="L21" s="257">
        <v>20</v>
      </c>
      <c r="M21" s="258" t="s">
        <v>66</v>
      </c>
      <c r="N21" s="260" t="s">
        <v>190</v>
      </c>
      <c r="O21" s="261">
        <v>105000</v>
      </c>
      <c r="P21" s="131">
        <f t="shared" si="0"/>
        <v>20</v>
      </c>
      <c r="Q21" s="122"/>
      <c r="R21" s="123">
        <f t="shared" si="2"/>
        <v>0</v>
      </c>
    </row>
    <row r="22" spans="1:18" s="121" customFormat="1" ht="18.75" x14ac:dyDescent="0.3">
      <c r="A22" s="117">
        <v>15</v>
      </c>
      <c r="B22" s="118" t="s">
        <v>8</v>
      </c>
      <c r="C22" s="117" t="s">
        <v>61</v>
      </c>
      <c r="D22" s="119">
        <v>55000</v>
      </c>
      <c r="E22" s="120"/>
      <c r="F22" s="120"/>
      <c r="G22" s="120"/>
      <c r="H22" s="120"/>
      <c r="I22" s="120"/>
      <c r="J22" s="120"/>
      <c r="K22" s="120"/>
      <c r="L22" s="257">
        <v>21</v>
      </c>
      <c r="M22" s="258" t="s">
        <v>67</v>
      </c>
      <c r="N22" s="260" t="s">
        <v>114</v>
      </c>
      <c r="O22" s="261">
        <v>42000</v>
      </c>
      <c r="P22" s="131">
        <f t="shared" si="0"/>
        <v>21</v>
      </c>
      <c r="Q22" s="122"/>
      <c r="R22" s="123">
        <f t="shared" si="2"/>
        <v>0</v>
      </c>
    </row>
    <row r="23" spans="1:18" s="121" customFormat="1" ht="18.75" x14ac:dyDescent="0.3">
      <c r="A23" s="117">
        <v>16</v>
      </c>
      <c r="B23" s="118" t="s">
        <v>13</v>
      </c>
      <c r="C23" s="117" t="s">
        <v>62</v>
      </c>
      <c r="D23" s="119">
        <v>35000</v>
      </c>
      <c r="E23" s="120"/>
      <c r="F23" s="120"/>
      <c r="G23" s="120"/>
      <c r="H23" s="120"/>
      <c r="I23" s="120"/>
      <c r="J23" s="120"/>
      <c r="K23" s="120"/>
      <c r="L23" s="257">
        <v>22</v>
      </c>
      <c r="M23" s="258" t="s">
        <v>68</v>
      </c>
      <c r="N23" s="260" t="s">
        <v>116</v>
      </c>
      <c r="O23" s="261">
        <v>35000</v>
      </c>
      <c r="P23" s="131">
        <f t="shared" si="0"/>
        <v>22</v>
      </c>
      <c r="Q23" s="122"/>
      <c r="R23" s="123">
        <f t="shared" si="2"/>
        <v>0</v>
      </c>
    </row>
    <row r="24" spans="1:18" s="121" customFormat="1" ht="18.75" x14ac:dyDescent="0.3">
      <c r="A24" s="117">
        <v>17</v>
      </c>
      <c r="B24" s="118" t="s">
        <v>225</v>
      </c>
      <c r="C24" s="117" t="s">
        <v>63</v>
      </c>
      <c r="D24" s="119">
        <v>40000</v>
      </c>
      <c r="E24" s="120"/>
      <c r="F24" s="120"/>
      <c r="G24" s="120"/>
      <c r="H24" s="120"/>
      <c r="I24" s="120"/>
      <c r="J24" s="120"/>
      <c r="K24" s="120"/>
      <c r="L24" s="257">
        <v>23</v>
      </c>
      <c r="M24" s="258" t="s">
        <v>69</v>
      </c>
      <c r="N24" s="260" t="s">
        <v>254</v>
      </c>
      <c r="O24" s="261">
        <v>35000</v>
      </c>
      <c r="P24" s="131">
        <f t="shared" si="0"/>
        <v>23</v>
      </c>
      <c r="Q24" s="122"/>
      <c r="R24" s="123">
        <f t="shared" si="2"/>
        <v>0</v>
      </c>
    </row>
    <row r="25" spans="1:18" s="121" customFormat="1" ht="18.75" x14ac:dyDescent="0.3">
      <c r="A25" s="117">
        <v>18</v>
      </c>
      <c r="B25" s="118" t="s">
        <v>26</v>
      </c>
      <c r="C25" s="117" t="s">
        <v>64</v>
      </c>
      <c r="D25" s="119">
        <v>50000</v>
      </c>
      <c r="E25" s="120"/>
      <c r="F25" s="120"/>
      <c r="G25" s="120"/>
      <c r="H25" s="120"/>
      <c r="I25" s="120"/>
      <c r="J25" s="120"/>
      <c r="K25" s="120"/>
      <c r="L25" s="257">
        <v>24</v>
      </c>
      <c r="M25" s="258" t="s">
        <v>70</v>
      </c>
      <c r="N25" s="260" t="s">
        <v>269</v>
      </c>
      <c r="O25" s="261">
        <v>65000</v>
      </c>
      <c r="P25" s="131">
        <f t="shared" si="0"/>
        <v>24</v>
      </c>
      <c r="Q25" s="122"/>
      <c r="R25" s="123">
        <f t="shared" si="2"/>
        <v>0</v>
      </c>
    </row>
    <row r="26" spans="1:18" s="121" customFormat="1" ht="18.75" x14ac:dyDescent="0.3">
      <c r="A26" s="117">
        <v>19</v>
      </c>
      <c r="B26" s="118" t="s">
        <v>223</v>
      </c>
      <c r="C26" s="117" t="s">
        <v>65</v>
      </c>
      <c r="D26" s="119">
        <v>40000</v>
      </c>
      <c r="E26" s="120"/>
      <c r="F26" s="120"/>
      <c r="G26" s="120"/>
      <c r="H26" s="120"/>
      <c r="I26" s="120"/>
      <c r="J26" s="120"/>
      <c r="K26" s="120"/>
      <c r="L26" s="257">
        <v>25</v>
      </c>
      <c r="M26" s="258" t="s">
        <v>71</v>
      </c>
      <c r="N26" s="260" t="s">
        <v>136</v>
      </c>
      <c r="O26" s="261">
        <v>80000</v>
      </c>
      <c r="P26" s="131">
        <f t="shared" si="0"/>
        <v>25</v>
      </c>
      <c r="Q26" s="122"/>
      <c r="R26" s="123">
        <f t="shared" si="2"/>
        <v>0</v>
      </c>
    </row>
    <row r="27" spans="1:18" s="121" customFormat="1" ht="18.75" x14ac:dyDescent="0.3">
      <c r="A27" s="117">
        <v>20</v>
      </c>
      <c r="B27" s="118" t="s">
        <v>190</v>
      </c>
      <c r="C27" s="117" t="s">
        <v>66</v>
      </c>
      <c r="D27" s="119">
        <v>105000</v>
      </c>
      <c r="E27" s="120"/>
      <c r="F27" s="120"/>
      <c r="G27" s="120"/>
      <c r="H27" s="120"/>
      <c r="I27" s="120"/>
      <c r="J27" s="120"/>
      <c r="K27" s="120"/>
      <c r="L27" s="257">
        <v>26</v>
      </c>
      <c r="M27" s="258" t="s">
        <v>72</v>
      </c>
      <c r="N27" s="260" t="s">
        <v>221</v>
      </c>
      <c r="O27" s="261">
        <v>44000</v>
      </c>
      <c r="P27" s="131">
        <f t="shared" si="0"/>
        <v>26</v>
      </c>
      <c r="Q27" s="122"/>
      <c r="R27" s="123">
        <f t="shared" si="2"/>
        <v>0</v>
      </c>
    </row>
    <row r="28" spans="1:18" s="121" customFormat="1" ht="18.75" x14ac:dyDescent="0.3">
      <c r="A28" s="117">
        <v>21</v>
      </c>
      <c r="B28" s="118" t="s">
        <v>114</v>
      </c>
      <c r="C28" s="117" t="s">
        <v>67</v>
      </c>
      <c r="D28" s="119">
        <v>42000</v>
      </c>
      <c r="E28" s="120"/>
      <c r="F28" s="120"/>
      <c r="G28" s="120"/>
      <c r="H28" s="120"/>
      <c r="I28" s="120"/>
      <c r="J28" s="120"/>
      <c r="K28" s="120"/>
      <c r="L28" s="257">
        <v>27</v>
      </c>
      <c r="M28" s="258" t="s">
        <v>73</v>
      </c>
      <c r="N28" s="260" t="s">
        <v>138</v>
      </c>
      <c r="O28" s="261">
        <v>35000</v>
      </c>
      <c r="P28" s="131">
        <f t="shared" si="0"/>
        <v>27</v>
      </c>
      <c r="Q28" s="122"/>
      <c r="R28" s="123">
        <f t="shared" si="2"/>
        <v>0</v>
      </c>
    </row>
    <row r="29" spans="1:18" s="121" customFormat="1" ht="18.75" x14ac:dyDescent="0.3">
      <c r="A29" s="117">
        <v>22</v>
      </c>
      <c r="B29" s="118" t="s">
        <v>116</v>
      </c>
      <c r="C29" s="117" t="s">
        <v>68</v>
      </c>
      <c r="D29" s="119">
        <v>35000</v>
      </c>
      <c r="E29" s="120"/>
      <c r="F29" s="120"/>
      <c r="G29" s="120"/>
      <c r="H29" s="120"/>
      <c r="I29" s="120"/>
      <c r="J29" s="120"/>
      <c r="K29" s="120"/>
      <c r="L29" s="257">
        <v>28</v>
      </c>
      <c r="M29" s="258" t="s">
        <v>74</v>
      </c>
      <c r="N29" s="260" t="s">
        <v>139</v>
      </c>
      <c r="O29" s="261">
        <v>38000</v>
      </c>
      <c r="P29" s="131">
        <f t="shared" si="0"/>
        <v>28</v>
      </c>
      <c r="Q29" s="122"/>
      <c r="R29" s="123">
        <f t="shared" si="2"/>
        <v>0</v>
      </c>
    </row>
    <row r="30" spans="1:18" s="121" customFormat="1" ht="18.75" x14ac:dyDescent="0.3">
      <c r="A30" s="117">
        <v>23</v>
      </c>
      <c r="B30" s="118" t="s">
        <v>254</v>
      </c>
      <c r="C30" s="117" t="s">
        <v>69</v>
      </c>
      <c r="D30" s="119">
        <v>35000</v>
      </c>
      <c r="E30" s="120"/>
      <c r="F30" s="120"/>
      <c r="G30" s="120"/>
      <c r="H30" s="120"/>
      <c r="I30" s="120"/>
      <c r="J30" s="120"/>
      <c r="K30" s="120"/>
      <c r="L30" s="257">
        <v>29</v>
      </c>
      <c r="M30" s="258" t="s">
        <v>75</v>
      </c>
      <c r="N30" s="260" t="s">
        <v>143</v>
      </c>
      <c r="O30" s="261">
        <v>70000</v>
      </c>
      <c r="P30" s="131">
        <f t="shared" si="0"/>
        <v>29</v>
      </c>
      <c r="Q30" s="122"/>
      <c r="R30" s="123">
        <f t="shared" si="2"/>
        <v>0</v>
      </c>
    </row>
    <row r="31" spans="1:18" s="121" customFormat="1" ht="18.75" x14ac:dyDescent="0.3">
      <c r="A31" s="117">
        <v>24</v>
      </c>
      <c r="B31" s="118" t="s">
        <v>269</v>
      </c>
      <c r="C31" s="117" t="s">
        <v>70</v>
      </c>
      <c r="D31" s="119">
        <v>65000</v>
      </c>
      <c r="E31" s="120"/>
      <c r="F31" s="120"/>
      <c r="G31" s="120"/>
      <c r="H31" s="120"/>
      <c r="I31" s="120"/>
      <c r="J31" s="120"/>
      <c r="K31" s="120"/>
      <c r="L31" s="257">
        <v>30</v>
      </c>
      <c r="M31" s="258" t="s">
        <v>76</v>
      </c>
      <c r="N31" s="260" t="s">
        <v>155</v>
      </c>
      <c r="O31" s="261">
        <v>54000</v>
      </c>
      <c r="P31" s="131">
        <f t="shared" si="0"/>
        <v>30</v>
      </c>
      <c r="Q31" s="122"/>
      <c r="R31" s="123">
        <f t="shared" si="2"/>
        <v>0</v>
      </c>
    </row>
    <row r="32" spans="1:18" s="121" customFormat="1" ht="18.75" x14ac:dyDescent="0.3">
      <c r="A32" s="117">
        <v>25</v>
      </c>
      <c r="B32" s="118" t="s">
        <v>136</v>
      </c>
      <c r="C32" s="117" t="s">
        <v>71</v>
      </c>
      <c r="D32" s="119">
        <v>80000</v>
      </c>
      <c r="E32" s="120"/>
      <c r="F32" s="120"/>
      <c r="G32" s="120"/>
      <c r="H32" s="120"/>
      <c r="I32" s="120"/>
      <c r="J32" s="120"/>
      <c r="K32" s="120"/>
      <c r="L32" s="257">
        <v>31</v>
      </c>
      <c r="M32" s="258" t="s">
        <v>77</v>
      </c>
      <c r="N32" s="260" t="s">
        <v>157</v>
      </c>
      <c r="O32" s="261">
        <v>47000</v>
      </c>
      <c r="P32" s="131">
        <f t="shared" si="0"/>
        <v>31</v>
      </c>
      <c r="Q32" s="122"/>
      <c r="R32" s="122"/>
    </row>
    <row r="33" spans="1:18" s="121" customFormat="1" ht="18.75" x14ac:dyDescent="0.3">
      <c r="A33" s="117">
        <v>26</v>
      </c>
      <c r="B33" s="118" t="s">
        <v>221</v>
      </c>
      <c r="C33" s="117" t="s">
        <v>72</v>
      </c>
      <c r="D33" s="119">
        <v>44000</v>
      </c>
      <c r="E33" s="120"/>
      <c r="F33" s="120"/>
      <c r="G33" s="120"/>
      <c r="H33" s="120"/>
      <c r="I33" s="120"/>
      <c r="J33" s="120"/>
      <c r="K33" s="120"/>
      <c r="L33" s="257">
        <v>32</v>
      </c>
      <c r="M33" s="258" t="s">
        <v>78</v>
      </c>
      <c r="N33" s="260" t="s">
        <v>159</v>
      </c>
      <c r="O33" s="261">
        <v>50000</v>
      </c>
      <c r="P33" s="131">
        <f t="shared" si="0"/>
        <v>32</v>
      </c>
      <c r="Q33" s="122"/>
      <c r="R33" s="122"/>
    </row>
    <row r="34" spans="1:18" s="121" customFormat="1" ht="18.75" x14ac:dyDescent="0.3">
      <c r="A34" s="117">
        <v>27</v>
      </c>
      <c r="B34" s="118" t="s">
        <v>138</v>
      </c>
      <c r="C34" s="117" t="s">
        <v>73</v>
      </c>
      <c r="D34" s="119">
        <v>35000</v>
      </c>
      <c r="E34" s="120"/>
      <c r="F34" s="120"/>
      <c r="G34" s="120"/>
      <c r="H34" s="120"/>
      <c r="I34" s="120"/>
      <c r="J34" s="120"/>
      <c r="K34" s="120"/>
      <c r="L34" s="257">
        <v>33</v>
      </c>
      <c r="M34" s="258" t="s">
        <v>79</v>
      </c>
      <c r="N34" s="260" t="s">
        <v>182</v>
      </c>
      <c r="O34" s="261">
        <v>18000</v>
      </c>
      <c r="P34" s="131">
        <f t="shared" si="0"/>
        <v>33</v>
      </c>
      <c r="Q34" s="122"/>
      <c r="R34" s="122"/>
    </row>
    <row r="35" spans="1:18" s="121" customFormat="1" ht="18.75" x14ac:dyDescent="0.3">
      <c r="A35" s="117">
        <v>28</v>
      </c>
      <c r="B35" s="118" t="s">
        <v>139</v>
      </c>
      <c r="C35" s="117" t="s">
        <v>74</v>
      </c>
      <c r="D35" s="119">
        <v>38000</v>
      </c>
      <c r="E35" s="120"/>
      <c r="F35" s="120"/>
      <c r="G35" s="120"/>
      <c r="H35" s="120"/>
      <c r="I35" s="120"/>
      <c r="J35" s="120"/>
      <c r="K35" s="120"/>
      <c r="L35" s="257">
        <v>34</v>
      </c>
      <c r="M35" s="258" t="s">
        <v>80</v>
      </c>
      <c r="N35" s="260" t="s">
        <v>174</v>
      </c>
      <c r="O35" s="261">
        <v>25000</v>
      </c>
      <c r="P35" s="131">
        <f t="shared" si="0"/>
        <v>34</v>
      </c>
      <c r="Q35" s="122"/>
      <c r="R35" s="122"/>
    </row>
    <row r="36" spans="1:18" s="121" customFormat="1" ht="18.75" x14ac:dyDescent="0.3">
      <c r="A36" s="117">
        <v>29</v>
      </c>
      <c r="B36" s="118" t="s">
        <v>143</v>
      </c>
      <c r="C36" s="117" t="s">
        <v>75</v>
      </c>
      <c r="D36" s="119">
        <v>70000</v>
      </c>
      <c r="E36" s="120"/>
      <c r="F36" s="120"/>
      <c r="G36" s="120"/>
      <c r="H36" s="120"/>
      <c r="I36" s="120"/>
      <c r="J36" s="120"/>
      <c r="K36" s="120"/>
      <c r="L36" s="257">
        <v>35</v>
      </c>
      <c r="M36" s="258" t="s">
        <v>81</v>
      </c>
      <c r="N36" s="260" t="s">
        <v>175</v>
      </c>
      <c r="O36" s="261">
        <v>26000</v>
      </c>
      <c r="P36" s="131">
        <f t="shared" si="0"/>
        <v>35</v>
      </c>
      <c r="Q36" s="122"/>
      <c r="R36" s="122"/>
    </row>
    <row r="37" spans="1:18" s="121" customFormat="1" ht="18.75" x14ac:dyDescent="0.3">
      <c r="A37" s="117">
        <v>30</v>
      </c>
      <c r="B37" s="118" t="s">
        <v>155</v>
      </c>
      <c r="C37" s="117" t="s">
        <v>76</v>
      </c>
      <c r="D37" s="119">
        <v>54000</v>
      </c>
      <c r="E37" s="120"/>
      <c r="F37" s="120"/>
      <c r="G37" s="120"/>
      <c r="H37" s="120"/>
      <c r="I37" s="120"/>
      <c r="J37" s="120"/>
      <c r="K37" s="120"/>
      <c r="L37" s="257">
        <v>36</v>
      </c>
      <c r="M37" s="258" t="s">
        <v>82</v>
      </c>
      <c r="N37" s="260" t="s">
        <v>176</v>
      </c>
      <c r="O37" s="261">
        <v>28000</v>
      </c>
      <c r="P37" s="131">
        <f t="shared" si="0"/>
        <v>36</v>
      </c>
      <c r="Q37" s="122"/>
      <c r="R37" s="122"/>
    </row>
    <row r="38" spans="1:18" s="121" customFormat="1" ht="18.75" x14ac:dyDescent="0.3">
      <c r="A38" s="117">
        <v>31</v>
      </c>
      <c r="B38" s="118" t="s">
        <v>157</v>
      </c>
      <c r="C38" s="117" t="s">
        <v>77</v>
      </c>
      <c r="D38" s="119">
        <v>47000</v>
      </c>
      <c r="E38" s="120"/>
      <c r="F38" s="120"/>
      <c r="G38" s="120"/>
      <c r="H38" s="120"/>
      <c r="I38" s="120"/>
      <c r="J38" s="120"/>
      <c r="K38" s="120"/>
      <c r="L38" s="257">
        <v>37</v>
      </c>
      <c r="M38" s="258" t="s">
        <v>83</v>
      </c>
      <c r="N38" s="260" t="s">
        <v>177</v>
      </c>
      <c r="O38" s="261">
        <v>28000</v>
      </c>
      <c r="P38" s="131">
        <f t="shared" si="0"/>
        <v>37</v>
      </c>
      <c r="Q38" s="122"/>
      <c r="R38" s="122"/>
    </row>
    <row r="39" spans="1:18" s="121" customFormat="1" ht="18.75" x14ac:dyDescent="0.3">
      <c r="A39" s="117">
        <v>32</v>
      </c>
      <c r="B39" s="118" t="s">
        <v>159</v>
      </c>
      <c r="C39" s="117" t="s">
        <v>78</v>
      </c>
      <c r="D39" s="119">
        <v>50000</v>
      </c>
      <c r="E39" s="120"/>
      <c r="F39" s="120"/>
      <c r="G39" s="120"/>
      <c r="H39" s="120"/>
      <c r="I39" s="120"/>
      <c r="J39" s="120"/>
      <c r="K39" s="120"/>
      <c r="L39" s="257">
        <v>38</v>
      </c>
      <c r="M39" s="258" t="s">
        <v>84</v>
      </c>
      <c r="N39" s="260" t="s">
        <v>178</v>
      </c>
      <c r="O39" s="261">
        <v>26000</v>
      </c>
      <c r="P39" s="131">
        <f t="shared" si="0"/>
        <v>38</v>
      </c>
      <c r="Q39" s="122"/>
      <c r="R39" s="122"/>
    </row>
    <row r="40" spans="1:18" s="121" customFormat="1" ht="18.75" x14ac:dyDescent="0.3">
      <c r="A40" s="117">
        <v>33</v>
      </c>
      <c r="B40" s="118" t="s">
        <v>182</v>
      </c>
      <c r="C40" s="117" t="s">
        <v>79</v>
      </c>
      <c r="D40" s="119">
        <v>18000</v>
      </c>
      <c r="E40" s="120"/>
      <c r="F40" s="120"/>
      <c r="G40" s="120"/>
      <c r="H40" s="120"/>
      <c r="I40" s="120"/>
      <c r="J40" s="120"/>
      <c r="K40" s="120"/>
      <c r="L40" s="257">
        <v>39</v>
      </c>
      <c r="M40" s="258" t="s">
        <v>85</v>
      </c>
      <c r="N40" s="260" t="s">
        <v>179</v>
      </c>
      <c r="O40" s="261">
        <v>37000</v>
      </c>
      <c r="P40" s="131">
        <f t="shared" si="0"/>
        <v>39</v>
      </c>
      <c r="Q40" s="122"/>
      <c r="R40" s="122"/>
    </row>
    <row r="41" spans="1:18" s="121" customFormat="1" ht="18.75" x14ac:dyDescent="0.3">
      <c r="A41" s="117">
        <v>34</v>
      </c>
      <c r="B41" s="118" t="s">
        <v>174</v>
      </c>
      <c r="C41" s="117" t="s">
        <v>80</v>
      </c>
      <c r="D41" s="119">
        <v>25000</v>
      </c>
      <c r="E41" s="120"/>
      <c r="F41" s="120"/>
      <c r="G41" s="120"/>
      <c r="H41" s="120"/>
      <c r="I41" s="120"/>
      <c r="J41" s="120"/>
      <c r="K41" s="120"/>
      <c r="L41" s="257">
        <v>40</v>
      </c>
      <c r="M41" s="258" t="s">
        <v>86</v>
      </c>
      <c r="N41" s="260" t="s">
        <v>180</v>
      </c>
      <c r="O41" s="261">
        <v>42000</v>
      </c>
      <c r="P41" s="131">
        <f t="shared" si="0"/>
        <v>40</v>
      </c>
      <c r="Q41" s="122"/>
      <c r="R41" s="122"/>
    </row>
    <row r="42" spans="1:18" s="121" customFormat="1" ht="18.75" x14ac:dyDescent="0.3">
      <c r="A42" s="117">
        <v>35</v>
      </c>
      <c r="B42" s="118" t="s">
        <v>175</v>
      </c>
      <c r="C42" s="117" t="s">
        <v>81</v>
      </c>
      <c r="D42" s="119">
        <v>26000</v>
      </c>
      <c r="E42" s="120"/>
      <c r="F42" s="120"/>
      <c r="G42" s="120"/>
      <c r="H42" s="120"/>
      <c r="I42" s="120"/>
      <c r="J42" s="120"/>
      <c r="K42" s="120"/>
      <c r="L42" s="257">
        <v>41</v>
      </c>
      <c r="M42" s="258" t="s">
        <v>87</v>
      </c>
      <c r="N42" s="260" t="s">
        <v>181</v>
      </c>
      <c r="O42" s="261">
        <v>45000</v>
      </c>
      <c r="P42" s="131">
        <f t="shared" si="0"/>
        <v>41</v>
      </c>
      <c r="Q42" s="122"/>
      <c r="R42" s="122"/>
    </row>
    <row r="43" spans="1:18" s="121" customFormat="1" ht="18.75" x14ac:dyDescent="0.3">
      <c r="A43" s="117">
        <v>36</v>
      </c>
      <c r="B43" s="118" t="s">
        <v>176</v>
      </c>
      <c r="C43" s="117" t="s">
        <v>82</v>
      </c>
      <c r="D43" s="119">
        <v>28000</v>
      </c>
      <c r="E43" s="120"/>
      <c r="F43" s="120"/>
      <c r="G43" s="120"/>
      <c r="H43" s="120"/>
      <c r="I43" s="120"/>
      <c r="J43" s="120"/>
      <c r="K43" s="120"/>
      <c r="L43" s="257">
        <v>42</v>
      </c>
      <c r="M43" s="258" t="s">
        <v>88</v>
      </c>
      <c r="N43" s="260" t="s">
        <v>226</v>
      </c>
      <c r="O43" s="261">
        <v>40000</v>
      </c>
      <c r="P43" s="131">
        <f t="shared" si="0"/>
        <v>42</v>
      </c>
      <c r="Q43" s="122"/>
      <c r="R43" s="122"/>
    </row>
    <row r="44" spans="1:18" s="121" customFormat="1" ht="18.75" x14ac:dyDescent="0.3">
      <c r="A44" s="117">
        <v>37</v>
      </c>
      <c r="B44" s="118" t="s">
        <v>177</v>
      </c>
      <c r="C44" s="117" t="s">
        <v>83</v>
      </c>
      <c r="D44" s="119">
        <v>28000</v>
      </c>
      <c r="E44" s="120"/>
      <c r="F44" s="120"/>
      <c r="G44" s="120"/>
      <c r="H44" s="120"/>
      <c r="I44" s="120"/>
      <c r="J44" s="120"/>
      <c r="K44" s="120"/>
      <c r="L44" s="257" t="s">
        <v>161</v>
      </c>
      <c r="M44" s="258" t="s">
        <v>162</v>
      </c>
      <c r="N44" s="260" t="s">
        <v>272</v>
      </c>
      <c r="O44" s="261">
        <v>110000</v>
      </c>
      <c r="P44" s="131" t="str">
        <f t="shared" si="0"/>
        <v>G1</v>
      </c>
      <c r="Q44" s="122"/>
      <c r="R44" s="122"/>
    </row>
    <row r="45" spans="1:18" s="121" customFormat="1" ht="18.75" x14ac:dyDescent="0.3">
      <c r="A45" s="117">
        <v>38</v>
      </c>
      <c r="B45" s="118" t="s">
        <v>178</v>
      </c>
      <c r="C45" s="117" t="s">
        <v>84</v>
      </c>
      <c r="D45" s="119">
        <v>26000</v>
      </c>
      <c r="E45" s="120"/>
      <c r="F45" s="120"/>
      <c r="G45" s="120"/>
      <c r="H45" s="120"/>
      <c r="I45" s="120"/>
      <c r="J45" s="120"/>
      <c r="K45" s="120"/>
      <c r="L45" s="258" t="s">
        <v>279</v>
      </c>
      <c r="M45" s="258" t="s">
        <v>284</v>
      </c>
      <c r="N45" s="260" t="s">
        <v>273</v>
      </c>
      <c r="O45" s="261">
        <v>122000</v>
      </c>
      <c r="P45" s="131" t="str">
        <f t="shared" si="0"/>
        <v>G2</v>
      </c>
      <c r="Q45" s="122"/>
      <c r="R45" s="122"/>
    </row>
    <row r="46" spans="1:18" s="121" customFormat="1" ht="18.75" x14ac:dyDescent="0.3">
      <c r="A46" s="117">
        <v>39</v>
      </c>
      <c r="B46" s="118" t="s">
        <v>179</v>
      </c>
      <c r="C46" s="117" t="s">
        <v>85</v>
      </c>
      <c r="D46" s="119">
        <v>37000</v>
      </c>
      <c r="E46" s="120"/>
      <c r="F46" s="120"/>
      <c r="G46" s="120"/>
      <c r="H46" s="120"/>
      <c r="I46" s="120"/>
      <c r="J46" s="120"/>
      <c r="K46" s="120"/>
      <c r="L46" s="258" t="s">
        <v>280</v>
      </c>
      <c r="M46" s="258" t="s">
        <v>285</v>
      </c>
      <c r="N46" s="260" t="s">
        <v>274</v>
      </c>
      <c r="O46" s="261">
        <v>95000</v>
      </c>
      <c r="P46" s="131" t="str">
        <f t="shared" si="0"/>
        <v>G3</v>
      </c>
      <c r="Q46" s="122"/>
      <c r="R46" s="122"/>
    </row>
    <row r="47" spans="1:18" s="121" customFormat="1" ht="18.75" x14ac:dyDescent="0.3">
      <c r="A47" s="117">
        <v>40</v>
      </c>
      <c r="B47" s="118" t="s">
        <v>180</v>
      </c>
      <c r="C47" s="117" t="s">
        <v>86</v>
      </c>
      <c r="D47" s="119">
        <v>42000</v>
      </c>
      <c r="E47" s="120"/>
      <c r="F47" s="120"/>
      <c r="G47" s="120"/>
      <c r="H47" s="120"/>
      <c r="I47" s="120"/>
      <c r="J47" s="120"/>
      <c r="K47" s="120"/>
      <c r="L47" s="258" t="s">
        <v>281</v>
      </c>
      <c r="M47" s="258" t="s">
        <v>286</v>
      </c>
      <c r="N47" s="260" t="s">
        <v>288</v>
      </c>
      <c r="O47" s="261">
        <v>116000</v>
      </c>
      <c r="P47" s="131" t="str">
        <f t="shared" si="0"/>
        <v>G4</v>
      </c>
      <c r="Q47" s="122"/>
      <c r="R47" s="122"/>
    </row>
    <row r="48" spans="1:18" s="121" customFormat="1" ht="18.75" x14ac:dyDescent="0.3">
      <c r="A48" s="117">
        <v>41</v>
      </c>
      <c r="B48" s="118" t="s">
        <v>181</v>
      </c>
      <c r="C48" s="117" t="s">
        <v>87</v>
      </c>
      <c r="D48" s="119">
        <v>45000</v>
      </c>
      <c r="E48" s="120"/>
      <c r="F48" s="120"/>
      <c r="G48" s="120"/>
      <c r="H48" s="120"/>
      <c r="I48" s="120"/>
      <c r="J48" s="120"/>
      <c r="K48" s="120"/>
      <c r="L48" s="258" t="s">
        <v>282</v>
      </c>
      <c r="M48" s="258" t="s">
        <v>287</v>
      </c>
      <c r="N48" s="260" t="s">
        <v>275</v>
      </c>
      <c r="O48" s="261">
        <v>48000</v>
      </c>
      <c r="P48" s="131" t="str">
        <f t="shared" si="0"/>
        <v>G5</v>
      </c>
      <c r="Q48" s="122"/>
      <c r="R48" s="122"/>
    </row>
    <row r="49" spans="1:18" s="121" customFormat="1" ht="18.75" x14ac:dyDescent="0.3">
      <c r="A49" s="117">
        <v>42</v>
      </c>
      <c r="B49" s="118" t="s">
        <v>226</v>
      </c>
      <c r="C49" s="117" t="s">
        <v>88</v>
      </c>
      <c r="D49" s="119">
        <v>40000</v>
      </c>
      <c r="E49" s="120"/>
      <c r="F49" s="120"/>
      <c r="G49" s="120"/>
      <c r="H49" s="120"/>
      <c r="I49" s="120"/>
      <c r="J49" s="120"/>
      <c r="K49" s="120"/>
      <c r="L49" s="258" t="s">
        <v>283</v>
      </c>
      <c r="M49" s="258" t="s">
        <v>289</v>
      </c>
      <c r="N49" s="260" t="s">
        <v>276</v>
      </c>
      <c r="O49" s="261">
        <v>43000</v>
      </c>
      <c r="P49" s="131" t="str">
        <f t="shared" si="0"/>
        <v>G6</v>
      </c>
      <c r="Q49" s="122"/>
      <c r="R49" s="122"/>
    </row>
    <row r="50" spans="1:18" s="121" customFormat="1" ht="18.75" x14ac:dyDescent="0.3">
      <c r="E50" s="120"/>
      <c r="F50" s="120"/>
      <c r="G50" s="120"/>
      <c r="H50" s="120"/>
      <c r="I50" s="120"/>
      <c r="J50" s="120"/>
      <c r="K50" s="120"/>
      <c r="L50"/>
      <c r="M50"/>
      <c r="N50"/>
      <c r="O50"/>
      <c r="P50" s="131" t="str">
        <f t="shared" si="0"/>
        <v/>
      </c>
      <c r="Q50" s="122"/>
      <c r="R50" s="122"/>
    </row>
    <row r="51" spans="1:18" s="121" customFormat="1" ht="18.75" x14ac:dyDescent="0.3">
      <c r="E51" s="120"/>
      <c r="F51" s="120"/>
      <c r="G51" s="120"/>
      <c r="H51" s="120"/>
      <c r="I51" s="120"/>
      <c r="J51" s="120"/>
      <c r="K51" s="120"/>
      <c r="L51"/>
      <c r="M51"/>
      <c r="N51"/>
      <c r="O51"/>
      <c r="P51" s="131" t="str">
        <f t="shared" si="0"/>
        <v/>
      </c>
      <c r="Q51" s="122"/>
      <c r="R51" s="122"/>
    </row>
    <row r="52" spans="1:18" s="121" customFormat="1" ht="18.75" x14ac:dyDescent="0.3">
      <c r="E52" s="120"/>
      <c r="F52" s="120"/>
      <c r="G52" s="120"/>
      <c r="H52" s="120"/>
      <c r="I52" s="120"/>
      <c r="J52" s="120"/>
      <c r="K52" s="120"/>
      <c r="L52"/>
      <c r="M52"/>
      <c r="N52"/>
      <c r="O52"/>
      <c r="P52" s="131" t="str">
        <f t="shared" si="0"/>
        <v/>
      </c>
      <c r="Q52" s="122"/>
      <c r="R52" s="122"/>
    </row>
    <row r="53" spans="1:18" s="121" customFormat="1" ht="18.75" x14ac:dyDescent="0.3">
      <c r="E53" s="120"/>
      <c r="F53" s="120"/>
      <c r="G53" s="120"/>
      <c r="H53" s="120"/>
      <c r="I53" s="120"/>
      <c r="J53" s="120"/>
      <c r="K53" s="120"/>
      <c r="L53"/>
      <c r="M53"/>
      <c r="N53"/>
      <c r="O53"/>
      <c r="P53" s="131" t="str">
        <f t="shared" si="0"/>
        <v/>
      </c>
      <c r="Q53" s="122"/>
      <c r="R53" s="122"/>
    </row>
    <row r="54" spans="1:18" s="121" customFormat="1" ht="18.75" x14ac:dyDescent="0.3">
      <c r="E54" s="120"/>
      <c r="F54" s="120"/>
      <c r="G54" s="120"/>
      <c r="H54" s="120"/>
      <c r="I54" s="120"/>
      <c r="J54" s="120"/>
      <c r="K54" s="120"/>
      <c r="L54"/>
      <c r="M54"/>
      <c r="N54"/>
      <c r="O54"/>
      <c r="P54" s="131" t="str">
        <f t="shared" si="0"/>
        <v/>
      </c>
      <c r="Q54" s="122"/>
      <c r="R54" s="122"/>
    </row>
    <row r="55" spans="1:18" s="121" customFormat="1" ht="18.75" x14ac:dyDescent="0.3">
      <c r="E55" s="120"/>
      <c r="F55" s="120"/>
      <c r="G55" s="120"/>
      <c r="H55" s="120"/>
      <c r="I55" s="120"/>
      <c r="J55" s="120"/>
      <c r="K55" s="120"/>
      <c r="L55"/>
      <c r="M55"/>
      <c r="N55"/>
      <c r="O55"/>
      <c r="P55" s="131" t="str">
        <f t="shared" si="0"/>
        <v/>
      </c>
      <c r="Q55" s="122"/>
      <c r="R55" s="122"/>
    </row>
    <row r="56" spans="1:18" s="121" customFormat="1" ht="18.75" x14ac:dyDescent="0.3">
      <c r="E56" s="120"/>
      <c r="F56" s="120"/>
      <c r="G56" s="120"/>
      <c r="H56" s="120"/>
      <c r="I56" s="120"/>
      <c r="J56" s="120"/>
      <c r="K56" s="120"/>
      <c r="L56"/>
      <c r="M56"/>
      <c r="N56"/>
      <c r="O56"/>
      <c r="P56" s="131" t="str">
        <f t="shared" si="0"/>
        <v/>
      </c>
      <c r="Q56" s="122"/>
      <c r="R56" s="122"/>
    </row>
    <row r="57" spans="1:18" s="121" customFormat="1" ht="18.75" x14ac:dyDescent="0.3">
      <c r="E57" s="120"/>
      <c r="F57" s="120"/>
      <c r="G57" s="120"/>
      <c r="H57" s="120"/>
      <c r="I57" s="120"/>
      <c r="J57" s="120"/>
      <c r="K57" s="120"/>
      <c r="L57"/>
      <c r="M57"/>
      <c r="N57"/>
      <c r="O57"/>
      <c r="P57" s="131" t="str">
        <f t="shared" si="0"/>
        <v/>
      </c>
      <c r="Q57" s="122"/>
      <c r="R57" s="122"/>
    </row>
    <row r="58" spans="1:18" s="121" customFormat="1" ht="18.75" x14ac:dyDescent="0.3">
      <c r="E58" s="120"/>
      <c r="F58" s="120"/>
      <c r="G58" s="120"/>
      <c r="H58" s="120"/>
      <c r="I58" s="120"/>
      <c r="J58" s="120"/>
      <c r="K58" s="120"/>
      <c r="L58"/>
      <c r="M58"/>
      <c r="N58"/>
      <c r="O58"/>
      <c r="P58" s="131" t="str">
        <f t="shared" si="0"/>
        <v/>
      </c>
      <c r="Q58" s="122"/>
      <c r="R58" s="122"/>
    </row>
    <row r="59" spans="1:18" s="121" customFormat="1" ht="18.75" x14ac:dyDescent="0.3">
      <c r="E59" s="120"/>
      <c r="F59" s="120"/>
      <c r="G59" s="120"/>
      <c r="H59" s="120"/>
      <c r="I59" s="120"/>
      <c r="J59" s="120"/>
      <c r="K59" s="120"/>
      <c r="L59"/>
      <c r="M59"/>
      <c r="N59"/>
      <c r="O59"/>
      <c r="P59" s="131" t="str">
        <f t="shared" si="0"/>
        <v/>
      </c>
      <c r="Q59" s="122"/>
      <c r="R59" s="122"/>
    </row>
    <row r="60" spans="1:18" s="121" customFormat="1" ht="18.75" x14ac:dyDescent="0.3">
      <c r="E60" s="120"/>
      <c r="F60" s="120"/>
      <c r="G60" s="120"/>
      <c r="H60" s="120"/>
      <c r="I60" s="120"/>
      <c r="J60" s="120"/>
      <c r="K60" s="120"/>
      <c r="L60"/>
      <c r="M60"/>
      <c r="N60"/>
      <c r="O60"/>
      <c r="P60" s="131" t="str">
        <f t="shared" si="0"/>
        <v/>
      </c>
      <c r="Q60" s="122"/>
      <c r="R60" s="122"/>
    </row>
    <row r="61" spans="1:18" s="121" customFormat="1" ht="18.75" x14ac:dyDescent="0.3">
      <c r="E61" s="120"/>
      <c r="F61" s="120"/>
      <c r="G61" s="120"/>
      <c r="H61" s="120"/>
      <c r="I61" s="120"/>
      <c r="J61" s="120"/>
      <c r="K61" s="120"/>
      <c r="L61"/>
      <c r="M61"/>
      <c r="N61"/>
      <c r="O61"/>
      <c r="P61" s="131" t="str">
        <f t="shared" si="0"/>
        <v/>
      </c>
      <c r="Q61" s="122"/>
      <c r="R61" s="122"/>
    </row>
    <row r="62" spans="1:18" s="121" customFormat="1" ht="18.75" x14ac:dyDescent="0.3">
      <c r="E62" s="120"/>
      <c r="F62" s="120"/>
      <c r="G62" s="120"/>
      <c r="H62" s="120"/>
      <c r="I62" s="120"/>
      <c r="J62" s="120"/>
      <c r="K62" s="120"/>
      <c r="L62"/>
      <c r="M62"/>
      <c r="N62"/>
      <c r="O62"/>
      <c r="P62" s="131" t="str">
        <f t="shared" si="0"/>
        <v/>
      </c>
      <c r="Q62" s="122"/>
      <c r="R62" s="122"/>
    </row>
    <row r="63" spans="1:18" s="121" customFormat="1" ht="18.75" x14ac:dyDescent="0.3">
      <c r="E63" s="120"/>
      <c r="F63" s="120"/>
      <c r="G63" s="120"/>
      <c r="H63" s="120"/>
      <c r="I63" s="120"/>
      <c r="J63" s="120"/>
      <c r="K63" s="120"/>
      <c r="L63"/>
      <c r="M63"/>
      <c r="N63"/>
      <c r="O63"/>
      <c r="P63" s="131" t="str">
        <f t="shared" si="0"/>
        <v/>
      </c>
      <c r="Q63" s="122"/>
      <c r="R63" s="122"/>
    </row>
    <row r="64" spans="1:18" s="121" customFormat="1" ht="18.75" x14ac:dyDescent="0.3">
      <c r="E64" s="120"/>
      <c r="F64" s="120"/>
      <c r="G64" s="120"/>
      <c r="H64" s="120"/>
      <c r="I64" s="120"/>
      <c r="J64" s="120"/>
      <c r="K64" s="120"/>
      <c r="L64"/>
      <c r="M64"/>
      <c r="N64"/>
      <c r="O64"/>
      <c r="P64" s="131" t="str">
        <f t="shared" si="0"/>
        <v/>
      </c>
      <c r="Q64" s="122"/>
      <c r="R64" s="122"/>
    </row>
    <row r="65" spans="2:18" s="121" customFormat="1" ht="18.75" x14ac:dyDescent="0.3">
      <c r="E65" s="120"/>
      <c r="F65" s="120"/>
      <c r="G65" s="120"/>
      <c r="H65" s="120"/>
      <c r="I65" s="120"/>
      <c r="J65" s="120"/>
      <c r="K65" s="120"/>
      <c r="L65"/>
      <c r="M65"/>
      <c r="N65"/>
      <c r="O65"/>
      <c r="P65" s="131" t="str">
        <f t="shared" si="0"/>
        <v/>
      </c>
      <c r="Q65" s="122"/>
      <c r="R65" s="122"/>
    </row>
    <row r="66" spans="2:18" ht="18.75" x14ac:dyDescent="0.3">
      <c r="L66"/>
      <c r="M66"/>
      <c r="N66"/>
      <c r="O66"/>
      <c r="P66" s="131" t="str">
        <f t="shared" ref="P66:P78" si="3">IF($N66="","",LOOKUP(2,1/($N66=$B$2:$B$100),$A$2:$A$100))</f>
        <v/>
      </c>
      <c r="Q66" s="122"/>
    </row>
    <row r="67" spans="2:18" ht="18.75" x14ac:dyDescent="0.3">
      <c r="L67"/>
      <c r="M67"/>
      <c r="N67"/>
      <c r="O67"/>
      <c r="P67" s="131" t="str">
        <f t="shared" si="3"/>
        <v/>
      </c>
      <c r="Q67" s="122"/>
    </row>
    <row r="68" spans="2:18" ht="18.75" x14ac:dyDescent="0.3">
      <c r="L68"/>
      <c r="M68"/>
      <c r="N68"/>
      <c r="O68"/>
      <c r="P68" s="131" t="str">
        <f t="shared" si="3"/>
        <v/>
      </c>
      <c r="Q68" s="122"/>
    </row>
    <row r="69" spans="2:18" ht="18.75" x14ac:dyDescent="0.3">
      <c r="L69"/>
      <c r="M69"/>
      <c r="N69"/>
      <c r="O69"/>
      <c r="P69" s="131" t="str">
        <f t="shared" si="3"/>
        <v/>
      </c>
      <c r="Q69" s="122"/>
    </row>
    <row r="70" spans="2:18" ht="18.75" x14ac:dyDescent="0.3">
      <c r="L70"/>
      <c r="M70"/>
      <c r="N70"/>
      <c r="O70"/>
      <c r="P70" s="131" t="str">
        <f t="shared" si="3"/>
        <v/>
      </c>
      <c r="Q70" s="122"/>
    </row>
    <row r="71" spans="2:18" ht="18.75" x14ac:dyDescent="0.3">
      <c r="L71"/>
      <c r="M71"/>
      <c r="N71"/>
      <c r="O71"/>
      <c r="P71" s="131" t="str">
        <f t="shared" si="3"/>
        <v/>
      </c>
      <c r="Q71" s="122"/>
    </row>
    <row r="72" spans="2:18" ht="18.75" x14ac:dyDescent="0.3">
      <c r="L72"/>
      <c r="M72"/>
      <c r="N72"/>
      <c r="O72"/>
      <c r="P72" s="131" t="str">
        <f t="shared" si="3"/>
        <v/>
      </c>
      <c r="Q72" s="122"/>
    </row>
    <row r="73" spans="2:18" ht="18.75" x14ac:dyDescent="0.3">
      <c r="L73"/>
      <c r="M73"/>
      <c r="N73"/>
      <c r="O73"/>
      <c r="P73" s="131" t="str">
        <f t="shared" si="3"/>
        <v/>
      </c>
      <c r="Q73" s="122"/>
    </row>
    <row r="74" spans="2:18" ht="18.75" x14ac:dyDescent="0.3">
      <c r="L74"/>
      <c r="M74"/>
      <c r="N74"/>
      <c r="O74"/>
      <c r="P74" s="131" t="str">
        <f t="shared" si="3"/>
        <v/>
      </c>
      <c r="Q74" s="122"/>
    </row>
    <row r="75" spans="2:18" ht="18.75" x14ac:dyDescent="0.3">
      <c r="L75"/>
      <c r="M75"/>
      <c r="N75"/>
      <c r="O75"/>
      <c r="P75" s="131" t="str">
        <f t="shared" si="3"/>
        <v/>
      </c>
      <c r="Q75" s="122"/>
    </row>
    <row r="76" spans="2:18" ht="18.75" x14ac:dyDescent="0.3">
      <c r="L76"/>
      <c r="M76"/>
      <c r="N76"/>
      <c r="O76"/>
      <c r="P76" s="131" t="str">
        <f t="shared" si="3"/>
        <v/>
      </c>
      <c r="Q76" s="122"/>
    </row>
    <row r="77" spans="2:18" ht="18.75" x14ac:dyDescent="0.3">
      <c r="L77"/>
      <c r="M77"/>
      <c r="N77"/>
      <c r="O77"/>
      <c r="P77" s="131" t="str">
        <f t="shared" si="3"/>
        <v/>
      </c>
      <c r="Q77" s="122"/>
    </row>
    <row r="78" spans="2:18" ht="18.75" x14ac:dyDescent="0.3">
      <c r="B78" s="28"/>
      <c r="C78" s="28"/>
      <c r="D78" s="28"/>
      <c r="L78"/>
      <c r="M78"/>
      <c r="N78"/>
      <c r="O78"/>
      <c r="P78" s="131" t="str">
        <f t="shared" si="3"/>
        <v/>
      </c>
      <c r="Q78" s="122"/>
    </row>
    <row r="79" spans="2:18" x14ac:dyDescent="0.25">
      <c r="L79" s="15"/>
      <c r="M79" s="15"/>
      <c r="N79" s="15"/>
      <c r="O79" s="15"/>
      <c r="P79" s="15"/>
    </row>
    <row r="80" spans="2: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K2" sqref="K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0" customFormat="1" ht="20.25" customHeight="1" x14ac:dyDescent="0.25">
      <c r="A1" s="271">
        <f ca="1">'Quốc Nhân'!N4+'La Cusina'!N4+TVP!M4+Gà!N4+Kitkool!N4-('Quốc Nhân'!K4+'La Cusina'!K4+TVP!J4+Gà!K4+Kitkool!K4-('Quốc Nhân'!A4+'La Cusina'!A4+TVP!A4+Gà!A4+Kitkool!A4))</f>
        <v>142344.69265356974</v>
      </c>
      <c r="B1" s="277" t="str">
        <f>"Tiền Hàng: "&amp;INT('Quốc Nhân'!K4+'La Cusina'!K4+TVP!J4+Gà!K4+Kitkool!K4)</f>
        <v>Tiền Hàng: 980089</v>
      </c>
      <c r="C1" s="276" t="str">
        <f ca="1">"Giá trị hàng Tồn: "&amp;INT('Quốc Nhân'!A4+'La Cusina'!A4+TVP!A4+Gà!A4+Kitkool!A4)</f>
        <v>Giá trị hàng Tồn: 67360</v>
      </c>
      <c r="D1" s="275" t="str">
        <f ca="1">"Giá trị Hàng xuất: "&amp;CHAR(10)&amp;INT('Quốc Nhân'!K4+'La Cusina'!K4+TVP!J4+Gà!K4+Kitkool!K4-('Quốc Nhân'!A4+'La Cusina'!A4+TVP!A4+Gà!A4+Kitkool!A4))</f>
        <v>Giá trị Hàng xuất: 
912728</v>
      </c>
      <c r="E1" s="278" t="str">
        <f ca="1">"Doanh Thu Tích Lũy: "&amp;INT('Quốc Nhân'!N4+'La Cusina'!N4+TVP!M4+Gà!N4+Kitkool!N4)</f>
        <v>Doanh Thu Tích Lũy: 1055073</v>
      </c>
      <c r="F1" s="273">
        <f>4524-250-715-110-180-80-8</f>
        <v>3181</v>
      </c>
      <c r="G1" s="175">
        <f>-774-503+13</f>
        <v>-1264</v>
      </c>
      <c r="H1" s="176" t="s">
        <v>207</v>
      </c>
      <c r="I1" s="177">
        <v>-176</v>
      </c>
      <c r="J1" s="178" t="s">
        <v>208</v>
      </c>
      <c r="K1" s="194">
        <f>852+1435+230</f>
        <v>2517</v>
      </c>
      <c r="L1" s="194" t="s">
        <v>253</v>
      </c>
      <c r="M1" s="194"/>
      <c r="N1" s="194"/>
      <c r="O1" s="179"/>
      <c r="P1" s="179"/>
      <c r="Q1" s="179"/>
    </row>
    <row r="2" spans="1:55" s="180" customFormat="1" ht="20.25" customHeight="1" x14ac:dyDescent="0.25">
      <c r="A2" s="272"/>
      <c r="B2" s="277"/>
      <c r="C2" s="276"/>
      <c r="D2" s="275"/>
      <c r="E2" s="278"/>
      <c r="F2" s="274"/>
      <c r="G2" s="181">
        <v>715</v>
      </c>
      <c r="H2" s="182" t="s">
        <v>247</v>
      </c>
      <c r="I2" s="175">
        <v>-374</v>
      </c>
      <c r="J2" s="176" t="s">
        <v>227</v>
      </c>
      <c r="K2" s="234"/>
      <c r="L2" s="194"/>
      <c r="M2" s="194"/>
      <c r="N2" s="194"/>
    </row>
    <row r="3" spans="1:55" s="28" customFormat="1" ht="30" customHeight="1" x14ac:dyDescent="0.25">
      <c r="A3" s="19" t="s">
        <v>89</v>
      </c>
      <c r="B3" s="19" t="s">
        <v>16</v>
      </c>
      <c r="C3" s="19" t="s">
        <v>90</v>
      </c>
      <c r="D3" s="19" t="s">
        <v>100</v>
      </c>
      <c r="E3" s="39" t="s">
        <v>49</v>
      </c>
      <c r="F3" s="39" t="s">
        <v>296</v>
      </c>
      <c r="G3" s="19" t="s">
        <v>250</v>
      </c>
      <c r="H3" s="183" t="s">
        <v>228</v>
      </c>
      <c r="I3" s="184" t="s">
        <v>229</v>
      </c>
      <c r="J3" s="39" t="s">
        <v>102</v>
      </c>
      <c r="K3" s="39" t="s">
        <v>294</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77.5</v>
      </c>
      <c r="G4" s="40"/>
      <c r="H4" s="51">
        <f ca="1">SUBTOTAL(9,H5:H71)</f>
        <v>868454.34705928876</v>
      </c>
      <c r="I4" s="51">
        <f ca="1">K4-J4</f>
        <v>545454.34705928899</v>
      </c>
      <c r="J4" s="25">
        <f ca="1">SUBTOTAL(9,J5:J71)</f>
        <v>3978545.652940711</v>
      </c>
      <c r="K4" s="25">
        <f ca="1">SUM(L4:BC4)</f>
        <v>4524000</v>
      </c>
      <c r="L4" s="55">
        <f ca="1">IFERROR(INDIRECT("'Thanh Toán ("&amp;L$3&amp;")'!$H"&amp;SUBTOTAL(3,INDIRECT("'Thanh Toán ("&amp;L$3&amp;")'!$H$8:$H$50"))+7-COUNTIF(INDIRECT("'Thanh Toán ("&amp;L$3&amp;")'!$H$8:$H$50"),""&amp;"*")),"")</f>
        <v>700000</v>
      </c>
      <c r="M4" s="55">
        <f t="shared" ref="M4:AN4" ca="1" si="0">IFERROR(INDIRECT("'Thanh Toán ("&amp;M$3&amp;")'!$H"&amp;SUBTOTAL(3,INDIRECT("'Thanh Toán ("&amp;M$3&amp;")'!$H$8:$H$50"))+7-COUNTIF(INDIRECT("'Thanh Toán ("&amp;M$3&amp;")'!$H$8:$H$50"),""&amp;"*")),"")</f>
        <v>500000</v>
      </c>
      <c r="N4" s="55">
        <f t="shared" ca="1" si="0"/>
        <v>584000</v>
      </c>
      <c r="O4" s="55">
        <f t="shared" ca="1" si="0"/>
        <v>1160000</v>
      </c>
      <c r="P4" s="55">
        <f t="shared" ca="1" si="0"/>
        <v>218000</v>
      </c>
      <c r="Q4" s="55">
        <f t="shared" ca="1" si="0"/>
        <v>25000</v>
      </c>
      <c r="R4" s="55">
        <f t="shared" ca="1" si="0"/>
        <v>130000</v>
      </c>
      <c r="S4" s="55">
        <f t="shared" ca="1" si="0"/>
        <v>122000</v>
      </c>
      <c r="T4" s="55">
        <f t="shared" ca="1" si="0"/>
        <v>110000</v>
      </c>
      <c r="U4" s="55">
        <f t="shared" ca="1" si="0"/>
        <v>715000</v>
      </c>
      <c r="V4" s="55">
        <f t="shared" ca="1" si="0"/>
        <v>80000</v>
      </c>
      <c r="W4" s="55">
        <f t="shared" ca="1" si="0"/>
        <v>180000</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161</v>
      </c>
      <c r="B5" s="167" t="s">
        <v>272</v>
      </c>
      <c r="C5" s="166" t="s">
        <v>162</v>
      </c>
      <c r="D5" s="168">
        <f>VLOOKUP($C5,Sheet1!$C$2:$D$98,2,0)</f>
        <v>110000</v>
      </c>
      <c r="E5" s="169">
        <v>1.2</v>
      </c>
      <c r="F5" s="170">
        <f t="shared" ref="F5:F39" ca="1" si="2">SUM(L5:BR5)</f>
        <v>0</v>
      </c>
      <c r="G5" s="171">
        <f>IFERROR(VLOOKUP($B5,Gà!C:J,8,0),IFERROR(VLOOKUP($B5,TVP!C:J,7,0),IFERROR(VLOOKUP($B5,Kitkool!C:J,8,0),IFERROR(VLOOKUP($B5,'La Cusina'!C:J,8,0),VLOOKUP($B5,'Quốc Nhân'!C:J,8,0)))))</f>
        <v>100.65356151711379</v>
      </c>
      <c r="H5" s="172">
        <f ca="1">(D5-G5*1000)*$F5</f>
        <v>0</v>
      </c>
      <c r="I5" s="193">
        <f>D5/(G5*1000)-1</f>
        <v>9.2857503917504802E-2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279</v>
      </c>
      <c r="B6" s="167" t="s">
        <v>273</v>
      </c>
      <c r="C6" s="166" t="s">
        <v>284</v>
      </c>
      <c r="D6" s="168">
        <f>VLOOKUP($C6,Sheet1!$C$2:$D$98,2,0)</f>
        <v>122000</v>
      </c>
      <c r="E6" s="169">
        <v>1.5</v>
      </c>
      <c r="F6" s="170">
        <f t="shared" ca="1" si="2"/>
        <v>0</v>
      </c>
      <c r="G6" s="171">
        <f>IFERROR(VLOOKUP($B6,Gà!C:J,8,0),IFERROR(VLOOKUP($B6,TVP!C:J,7,0),IFERROR(VLOOKUP($B6,Kitkool!C:J,8,0),IFERROR(VLOOKUP($B6,'La Cusina'!C:J,8,0),VLOOKUP($B6,'Quốc Nhân'!C:J,8,0)))))</f>
        <v>111.83729057457087</v>
      </c>
      <c r="H6" s="172">
        <f t="shared" ref="H6:H9" ca="1" si="3">(D6-G6*1000)*$F6</f>
        <v>0</v>
      </c>
      <c r="I6" s="193">
        <f t="shared" ref="I6:I9" si="4">D6/(G6*1000)-1</f>
        <v>9.0870490274018501E-2</v>
      </c>
      <c r="J6" s="172">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280</v>
      </c>
      <c r="B7" s="167" t="s">
        <v>274</v>
      </c>
      <c r="C7" s="166" t="s">
        <v>285</v>
      </c>
      <c r="D7" s="168">
        <f>VLOOKUP($C7,Sheet1!$C$2:$D$98,2,0)</f>
        <v>95000</v>
      </c>
      <c r="E7" s="169">
        <v>1</v>
      </c>
      <c r="F7" s="170">
        <f t="shared" ca="1" si="2"/>
        <v>0</v>
      </c>
      <c r="G7" s="171">
        <f>IFERROR(VLOOKUP($B7,Gà!C:J,8,0),IFERROR(VLOOKUP($B7,TVP!C:J,7,0),IFERROR(VLOOKUP($B7,Kitkool!C:J,8,0),IFERROR(VLOOKUP($B7,'La Cusina'!C:J,8,0),VLOOKUP($B7,'Quốc Nhân'!C:J,8,0)))))</f>
        <v>84.386319251721659</v>
      </c>
      <c r="H7" s="172">
        <f t="shared" ca="1" si="3"/>
        <v>0</v>
      </c>
      <c r="I7" s="193">
        <f t="shared" si="4"/>
        <v>0.12577489861381541</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281</v>
      </c>
      <c r="B8" s="167" t="s">
        <v>288</v>
      </c>
      <c r="C8" s="166" t="s">
        <v>286</v>
      </c>
      <c r="D8" s="168">
        <f>VLOOKUP($C8,Sheet1!$C$2:$D$98,2,0)</f>
        <v>116000</v>
      </c>
      <c r="E8" s="169">
        <v>1.2</v>
      </c>
      <c r="F8" s="170">
        <f t="shared" ca="1" si="2"/>
        <v>0</v>
      </c>
      <c r="G8" s="171">
        <f>IFERROR(VLOOKUP($B8,Gà!C:J,8,0),IFERROR(VLOOKUP($B8,TVP!C:J,7,0),IFERROR(VLOOKUP($B8,Kitkool!C:J,8,0),IFERROR(VLOOKUP($B8,'La Cusina'!C:J,8,0),VLOOKUP($B8,'Quốc Nhân'!C:J,8,0)))))</f>
        <v>104.72037208346181</v>
      </c>
      <c r="H8" s="172">
        <f t="shared" ca="1" si="3"/>
        <v>0</v>
      </c>
      <c r="I8" s="193">
        <f t="shared" si="4"/>
        <v>0.1077118777571604</v>
      </c>
      <c r="J8" s="172">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282</v>
      </c>
      <c r="B9" s="167" t="s">
        <v>275</v>
      </c>
      <c r="C9" s="166" t="s">
        <v>287</v>
      </c>
      <c r="D9" s="168">
        <f>VLOOKUP($C9,Sheet1!$C$2:$D$98,2,0)</f>
        <v>48000</v>
      </c>
      <c r="E9" s="169">
        <v>0.5</v>
      </c>
      <c r="F9" s="170">
        <f t="shared" ca="1" si="2"/>
        <v>1</v>
      </c>
      <c r="G9" s="171">
        <f>IFERROR(VLOOKUP($B9,Gà!C:J,8,0),IFERROR(VLOOKUP($B9,TVP!C:J,7,0),IFERROR(VLOOKUP($B9,Kitkool!C:J,8,0),IFERROR(VLOOKUP($B9,'La Cusina'!C:J,8,0),VLOOKUP($B9,'Quốc Nhân'!C:J,8,0)))))</f>
        <v>40.668105663480318</v>
      </c>
      <c r="H9" s="172">
        <f t="shared" ca="1" si="3"/>
        <v>7331.8943365196828</v>
      </c>
      <c r="I9" s="193">
        <f t="shared" si="4"/>
        <v>0.18028610423090541</v>
      </c>
      <c r="J9" s="172">
        <f t="shared" ca="1" si="5"/>
        <v>40668.105663480317</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1</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283</v>
      </c>
      <c r="B10" s="167" t="s">
        <v>276</v>
      </c>
      <c r="C10" s="166" t="s">
        <v>289</v>
      </c>
      <c r="D10" s="168">
        <f>VLOOKUP($C10,Sheet1!$C$2:$D$98,2,0)</f>
        <v>43000</v>
      </c>
      <c r="E10" s="169">
        <v>0.5</v>
      </c>
      <c r="F10" s="170">
        <f t="shared" ref="F10" ca="1" si="6">SUM(L10:BR10)</f>
        <v>4</v>
      </c>
      <c r="G10" s="171">
        <f>IFERROR(VLOOKUP($B10,Gà!C:J,8,0),IFERROR(VLOOKUP($B10,TVP!C:J,7,0),IFERROR(VLOOKUP($B10,Kitkool!C:J,8,0),IFERROR(VLOOKUP($B10,'La Cusina'!C:J,8,0),VLOOKUP($B10,'Quốc Nhân'!C:J,8,0)))))</f>
        <v>34.567889813958267</v>
      </c>
      <c r="H10" s="172">
        <f t="shared" ref="H10" ca="1" si="7">(D10-G10*1000)*$F10</f>
        <v>33728.440744166932</v>
      </c>
      <c r="I10" s="193">
        <f t="shared" ref="I10" si="8">D10/(G10*1000)-1</f>
        <v>0.24392898240021887</v>
      </c>
      <c r="J10" s="172">
        <f t="shared" ref="J10" ca="1" si="9">F10*G10*1000</f>
        <v>138271.55925583307</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4</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224</v>
      </c>
      <c r="C11" s="166" t="s">
        <v>91</v>
      </c>
      <c r="D11" s="168">
        <f>VLOOKUP($C11,Sheet1!$C$8:$D$98,2,0)</f>
        <v>48000</v>
      </c>
      <c r="E11" s="169">
        <v>0.5</v>
      </c>
      <c r="F11" s="170">
        <f t="shared" ca="1" si="2"/>
        <v>0</v>
      </c>
      <c r="G11" s="171">
        <f>IFERROR(VLOOKUP($B11,Gà!C:J,8,0),IFERROR(VLOOKUP($B11,TVP!C:J,7,0),IFERROR(VLOOKUP($B11,Kitkool!C:J,8,0),IFERROR(VLOOKUP($B11,'La Cusina'!C:J,8,0),VLOOKUP($B11,'Quốc Nhân'!C:J,8,0)))))</f>
        <v>41.428040559737362</v>
      </c>
      <c r="H11" s="172">
        <f t="shared" ref="H11:H52" ca="1" si="10">(D11-G11*1000)*$F11</f>
        <v>0</v>
      </c>
      <c r="I11" s="193">
        <f t="shared" ref="I11:I52" si="11">D11/(G11*1000)-1</f>
        <v>0.15863553649818818</v>
      </c>
      <c r="J11" s="172">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278</v>
      </c>
      <c r="C12" s="173" t="s">
        <v>92</v>
      </c>
      <c r="D12" s="168">
        <f>VLOOKUP($C12,Sheet1!$C$8:$D$98,2,0)</f>
        <v>40000</v>
      </c>
      <c r="E12" s="169">
        <v>0.5</v>
      </c>
      <c r="F12" s="170">
        <f t="shared" ca="1" si="2"/>
        <v>0</v>
      </c>
      <c r="G12" s="171">
        <f>IFERROR(VLOOKUP($B12,Gà!C:J,8,0),IFERROR(VLOOKUP($B12,TVP!C:J,7,0),IFERROR(VLOOKUP($B12,Kitkool!C:J,8,0),IFERROR(VLOOKUP($B12,'La Cusina'!C:J,8,0),VLOOKUP($B12,'Quốc Nhân'!C:J,8,0)))))</f>
        <v>29.484376606023229</v>
      </c>
      <c r="H12" s="172">
        <f t="shared" ca="1" si="10"/>
        <v>0</v>
      </c>
      <c r="I12" s="193">
        <f t="shared" si="11"/>
        <v>0.35665069451828191</v>
      </c>
      <c r="J12" s="172">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277</v>
      </c>
      <c r="C13" s="166" t="s">
        <v>93</v>
      </c>
      <c r="D13" s="168">
        <f>VLOOKUP($C13,Sheet1!$C$8:$D$98,2,0)</f>
        <v>42000</v>
      </c>
      <c r="E13" s="169">
        <v>0.5</v>
      </c>
      <c r="F13" s="170">
        <f t="shared" ca="1" si="2"/>
        <v>1</v>
      </c>
      <c r="G13" s="171">
        <f>IFERROR(VLOOKUP($B13,Gà!C:J,8,0),IFERROR(VLOOKUP($B13,TVP!C:J,7,0),IFERROR(VLOOKUP($B13,Kitkool!C:J,8,0),IFERROR(VLOOKUP($B13,'La Cusina'!C:J,8,0),VLOOKUP($B13,'Quốc Nhân'!C:J,8,0)))))</f>
        <v>35.584592455545277</v>
      </c>
      <c r="H13" s="172">
        <f t="shared" ca="1" si="10"/>
        <v>6415.4075444547198</v>
      </c>
      <c r="I13" s="193">
        <f t="shared" si="11"/>
        <v>0.18028610423090519</v>
      </c>
      <c r="J13" s="172">
        <f t="shared" ca="1" si="12"/>
        <v>35584.59245554528</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1</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3">
        <v>4</v>
      </c>
      <c r="B14" s="167" t="s">
        <v>307</v>
      </c>
      <c r="C14" s="173" t="s">
        <v>94</v>
      </c>
      <c r="D14" s="168">
        <f>VLOOKUP($C14,Sheet1!$C$8:$D$98,2,0)</f>
        <v>45000</v>
      </c>
      <c r="E14" s="169">
        <v>0.5</v>
      </c>
      <c r="F14" s="170">
        <f t="shared" ca="1" si="2"/>
        <v>2</v>
      </c>
      <c r="G14" s="171">
        <f>IFERROR(VLOOKUP($B14,Gà!C:J,8,0),IFERROR(VLOOKUP($B14,TVP!C:J,7,0),IFERROR(VLOOKUP($B14,Kitkool!C:J,8,0),IFERROR(VLOOKUP($B14,'La Cusina'!C:J,8,0),VLOOKUP($B14,'Quốc Nhân'!C:J,8,0)))))</f>
        <v>33.042835851577756</v>
      </c>
      <c r="H14" s="172">
        <f t="shared" ca="1" si="10"/>
        <v>23914.328296844484</v>
      </c>
      <c r="I14" s="193">
        <f t="shared" si="11"/>
        <v>0.36186858180489079</v>
      </c>
      <c r="J14" s="172">
        <f t="shared" ca="1" si="12"/>
        <v>66085.671703155516</v>
      </c>
      <c r="K14" s="113">
        <f ca="1">I4/J4</f>
        <v>0.13709892876461544</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2</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6">
        <v>5</v>
      </c>
      <c r="B15" s="167" t="s">
        <v>27</v>
      </c>
      <c r="C15" s="166" t="s">
        <v>95</v>
      </c>
      <c r="D15" s="168">
        <f>VLOOKUP($C15,Sheet1!$C$8:$D$98,2,0)</f>
        <v>38000</v>
      </c>
      <c r="E15" s="169">
        <v>0.5</v>
      </c>
      <c r="F15" s="170">
        <f t="shared" ca="1" si="2"/>
        <v>0</v>
      </c>
      <c r="G15" s="171">
        <f>IFERROR(VLOOKUP($B15,Gà!C:J,8,0),IFERROR(VLOOKUP($B15,TVP!C:J,7,0),IFERROR(VLOOKUP($B15,Kitkool!C:J,8,0),IFERROR(VLOOKUP($B15,'La Cusina'!C:J,8,0),VLOOKUP($B15,'Quốc Nhân'!C:J,8,0)))))</f>
        <v>33.244723905962083</v>
      </c>
      <c r="H15" s="172">
        <f t="shared" ca="1" si="10"/>
        <v>0</v>
      </c>
      <c r="I15" s="193">
        <f t="shared" si="11"/>
        <v>0.14303851966071246</v>
      </c>
      <c r="J15" s="172">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3">
        <v>6</v>
      </c>
      <c r="B16" s="167" t="s">
        <v>25</v>
      </c>
      <c r="C16" s="173" t="s">
        <v>96</v>
      </c>
      <c r="D16" s="168">
        <f>VLOOKUP($C16,Sheet1!$C$8:$D$98,2,0)</f>
        <v>42000</v>
      </c>
      <c r="E16" s="169">
        <v>0.5</v>
      </c>
      <c r="F16" s="170">
        <f t="shared" ca="1" si="2"/>
        <v>3</v>
      </c>
      <c r="G16" s="171">
        <f>IFERROR(VLOOKUP($B16,Gà!C:J,8,0),IFERROR(VLOOKUP($B16,TVP!C:J,7,0),IFERROR(VLOOKUP($B16,Kitkool!C:J,8,0),IFERROR(VLOOKUP($B16,'La Cusina'!C:J,8,0),VLOOKUP($B16,'Quốc Nhân'!C:J,8,0)))))</f>
        <v>39.382211396293542</v>
      </c>
      <c r="H16" s="172">
        <f t="shared" ca="1" si="10"/>
        <v>7853.3658111193799</v>
      </c>
      <c r="I16" s="193">
        <f t="shared" si="11"/>
        <v>6.6471346094923334E-2</v>
      </c>
      <c r="J16" s="172">
        <f t="shared" ca="1" si="12"/>
        <v>118146.63418888062</v>
      </c>
      <c r="K16" s="38"/>
      <c r="L16" s="2">
        <f ca="1">IFERROR(SUMIFS(INDIRECT("'Thanh Toán ("&amp;L$3&amp;")'!$F:$F"),INDIRECT("'Thanh Toán ("&amp;L$3&amp;")'!$D:$D"),'Tổng Đơn'!$B16),0)</f>
        <v>1</v>
      </c>
      <c r="M16" s="2">
        <f ca="1">IFERROR(SUMIFS(INDIRECT("'Thanh Toán ("&amp;M$3&amp;")'!$F:$F"),INDIRECT("'Thanh Toán ("&amp;M$3&amp;")'!$D:$D"),'Tổng Đơn'!$B16),0)</f>
        <v>0</v>
      </c>
      <c r="N16" s="2">
        <f ca="1">IFERROR(SUMIFS(INDIRECT("'Thanh Toán ("&amp;N$3&amp;")'!$F:$F"),INDIRECT("'Thanh Toán ("&amp;N$3&amp;")'!$D:$D"),'Tổng Đơn'!$B16),0)</f>
        <v>2</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128</v>
      </c>
      <c r="C17" s="166" t="s">
        <v>97</v>
      </c>
      <c r="D17" s="168">
        <f>VLOOKUP($C17,Sheet1!$C$8:$D$98,2,0)</f>
        <v>45000</v>
      </c>
      <c r="E17" s="169">
        <v>0.5</v>
      </c>
      <c r="F17" s="170">
        <f t="shared" ca="1" si="2"/>
        <v>4</v>
      </c>
      <c r="G17" s="171">
        <f>IFERROR(VLOOKUP($B17,Gà!C:J,8,0),IFERROR(VLOOKUP($B17,TVP!C:J,7,0),IFERROR(VLOOKUP($B17,Kitkool!C:J,8,0),IFERROR(VLOOKUP($B17,'La Cusina'!C:J,8,0),VLOOKUP($B17,'Quốc Nhân'!C:J,8,0)))))</f>
        <v>32.73326661510113</v>
      </c>
      <c r="H17" s="172">
        <f t="shared" ca="1" si="10"/>
        <v>49066.933539595484</v>
      </c>
      <c r="I17" s="193">
        <f t="shared" si="11"/>
        <v>0.37474821957548676</v>
      </c>
      <c r="J17" s="172">
        <f t="shared" ca="1" si="12"/>
        <v>130933.06646040452</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3</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1</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50</v>
      </c>
      <c r="C18" s="173" t="s">
        <v>98</v>
      </c>
      <c r="D18" s="168">
        <f>VLOOKUP($C18,Sheet1!$C$8:$D$98,2,0)</f>
        <v>45000</v>
      </c>
      <c r="E18" s="169">
        <v>0.5</v>
      </c>
      <c r="F18" s="170">
        <f t="shared" ca="1" si="2"/>
        <v>0</v>
      </c>
      <c r="G18" s="171">
        <f>IFERROR(VLOOKUP($B18,Gà!C:J,8,0),IFERROR(VLOOKUP($B18,TVP!C:J,7,0),IFERROR(VLOOKUP($B18,Kitkool!C:J,8,0),IFERROR(VLOOKUP($B18,'La Cusina'!C:J,8,0),VLOOKUP($B18,'Quốc Nhân'!C:J,8,0)))))</f>
        <v>40.916583268876408</v>
      </c>
      <c r="H18" s="172">
        <f t="shared" ca="1" si="10"/>
        <v>0</v>
      </c>
      <c r="I18" s="193">
        <f t="shared" si="11"/>
        <v>9.9798575660389632E-2</v>
      </c>
      <c r="J18" s="172">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31</v>
      </c>
      <c r="C19" s="166" t="s">
        <v>99</v>
      </c>
      <c r="D19" s="168">
        <f>VLOOKUP($C19,Sheet1!$C$8:$D$98,2,0)</f>
        <v>45000</v>
      </c>
      <c r="E19" s="169">
        <v>0.5</v>
      </c>
      <c r="F19" s="170">
        <f t="shared" ca="1" si="2"/>
        <v>0</v>
      </c>
      <c r="G19" s="171">
        <f>IFERROR(VLOOKUP($B19,Gà!C:J,8,0),IFERROR(VLOOKUP($B19,TVP!C:J,7,0),IFERROR(VLOOKUP($B19,Kitkool!C:J,8,0),IFERROR(VLOOKUP($B19,'La Cusina'!C:J,8,0),VLOOKUP($B19,'Quốc Nhân'!C:J,8,0)))))</f>
        <v>40.916583268876408</v>
      </c>
      <c r="H19" s="172">
        <f t="shared" ca="1" si="10"/>
        <v>0</v>
      </c>
      <c r="I19" s="193">
        <f t="shared" si="11"/>
        <v>9.9798575660389632E-2</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3">
        <v>10</v>
      </c>
      <c r="B20" s="167" t="s">
        <v>28</v>
      </c>
      <c r="C20" s="173" t="s">
        <v>56</v>
      </c>
      <c r="D20" s="168">
        <f>VLOOKUP($C20,Sheet1!$C$8:$D$98,2,0)</f>
        <v>45000</v>
      </c>
      <c r="E20" s="169">
        <v>0.5</v>
      </c>
      <c r="F20" s="170">
        <f t="shared" ca="1" si="2"/>
        <v>0</v>
      </c>
      <c r="G20" s="171">
        <f>IFERROR(VLOOKUP($B20,Gà!C:J,8,0),IFERROR(VLOOKUP($B20,TVP!C:J,7,0),IFERROR(VLOOKUP($B20,Kitkool!C:J,8,0),IFERROR(VLOOKUP($B20,'La Cusina'!C:J,8,0),VLOOKUP($B20,'Quốc Nhân'!C:J,8,0)))))</f>
        <v>40.916583268876408</v>
      </c>
      <c r="H20" s="172">
        <f t="shared" ca="1" si="10"/>
        <v>0</v>
      </c>
      <c r="I20" s="193">
        <f t="shared" si="11"/>
        <v>9.9798575660389632E-2</v>
      </c>
      <c r="J20" s="172">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6">
        <v>11</v>
      </c>
      <c r="B21" s="167" t="s">
        <v>30</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40.916583268876408</v>
      </c>
      <c r="H21" s="172">
        <f t="shared" ca="1" si="10"/>
        <v>0</v>
      </c>
      <c r="I21" s="193">
        <f t="shared" si="11"/>
        <v>9.9798575660389632E-2</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3">
        <v>12</v>
      </c>
      <c r="B22" s="167" t="s">
        <v>29</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40.916583268876408</v>
      </c>
      <c r="H22" s="172">
        <f t="shared" ca="1" si="10"/>
        <v>0</v>
      </c>
      <c r="I22" s="193">
        <f t="shared" si="11"/>
        <v>9.9798575660389632E-2</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5</v>
      </c>
      <c r="C23" s="166" t="s">
        <v>59</v>
      </c>
      <c r="D23" s="168">
        <f>VLOOKUP($C23,Sheet1!$C$8:$D$98,2,0)</f>
        <v>40000</v>
      </c>
      <c r="E23" s="169">
        <v>0.5</v>
      </c>
      <c r="F23" s="170">
        <f t="shared" ca="1" si="2"/>
        <v>2</v>
      </c>
      <c r="G23" s="171">
        <f>IFERROR(VLOOKUP($B23,Gà!C:J,8,0),IFERROR(VLOOKUP($B23,TVP!C:J,7,0),IFERROR(VLOOKUP($B23,Kitkool!C:J,8,0),IFERROR(VLOOKUP($B23,'La Cusina'!C:J,8,0),VLOOKUP($B23,'Quốc Nhân'!C:J,8,0)))))</f>
        <v>34.902090165553759</v>
      </c>
      <c r="H23" s="172">
        <f t="shared" ca="1" si="10"/>
        <v>10195.81966889248</v>
      </c>
      <c r="I23" s="193">
        <f t="shared" si="11"/>
        <v>0.14606316728496593</v>
      </c>
      <c r="J23" s="172">
        <f t="shared" ca="1" si="12"/>
        <v>69804.18033110752</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2</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4</v>
      </c>
      <c r="C24" s="173" t="s">
        <v>60</v>
      </c>
      <c r="D24" s="168">
        <f>VLOOKUP($C24,Sheet1!$C$8:$D$98,2,0)</f>
        <v>40000</v>
      </c>
      <c r="E24" s="169">
        <v>0.5</v>
      </c>
      <c r="F24" s="170">
        <f t="shared" ca="1" si="2"/>
        <v>0</v>
      </c>
      <c r="G24" s="171">
        <f>IFERROR(VLOOKUP($B24,Gà!C:J,8,0),IFERROR(VLOOKUP($B24,TVP!C:J,7,0),IFERROR(VLOOKUP($B24,Kitkool!C:J,8,0),IFERROR(VLOOKUP($B24,'La Cusina'!C:J,8,0),VLOOKUP($B24,'Quốc Nhân'!C:J,8,0)))))</f>
        <v>30.795961910782726</v>
      </c>
      <c r="H24" s="172">
        <f t="shared" ca="1" si="10"/>
        <v>0</v>
      </c>
      <c r="I24" s="193">
        <f t="shared" si="11"/>
        <v>0.29887158958962812</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8</v>
      </c>
      <c r="C25" s="166" t="s">
        <v>61</v>
      </c>
      <c r="D25" s="168">
        <f>VLOOKUP($C25,Sheet1!$C$8:$D$98,2,0)</f>
        <v>55000</v>
      </c>
      <c r="E25" s="169">
        <v>0.5</v>
      </c>
      <c r="F25" s="170">
        <f t="shared" ca="1" si="2"/>
        <v>0</v>
      </c>
      <c r="G25" s="171">
        <f>IFERROR(VLOOKUP($B25,Gà!C:J,8,0),IFERROR(VLOOKUP($B25,TVP!C:J,7,0),IFERROR(VLOOKUP($B25,Kitkool!C:J,8,0),IFERROR(VLOOKUP($B25,'La Cusina'!C:J,8,0),VLOOKUP($B25,'Quốc Nhân'!C:J,8,0)))))</f>
        <v>43.627612706942195</v>
      </c>
      <c r="H25" s="172">
        <f t="shared" ca="1" si="10"/>
        <v>0</v>
      </c>
      <c r="I25" s="193">
        <f t="shared" si="11"/>
        <v>0.26066948401346268</v>
      </c>
      <c r="J25" s="172">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3">
        <v>16</v>
      </c>
      <c r="B26" s="167" t="s">
        <v>13</v>
      </c>
      <c r="C26" s="173" t="s">
        <v>62</v>
      </c>
      <c r="D26" s="168">
        <f>VLOOKUP($C26,Sheet1!$C$8:$D$98,2,0)</f>
        <v>35000</v>
      </c>
      <c r="E26" s="169">
        <v>0.5</v>
      </c>
      <c r="F26" s="170">
        <f t="shared" ca="1" si="2"/>
        <v>18</v>
      </c>
      <c r="G26" s="171">
        <f>IFERROR(VLOOKUP($B26,Gà!C:J,8,0),IFERROR(VLOOKUP($B26,TVP!C:J,7,0),IFERROR(VLOOKUP($B26,Kitkool!C:J,8,0),IFERROR(VLOOKUP($B26,'La Cusina'!C:J,8,0),VLOOKUP($B26,'Quốc Nhân'!C:J,8,0)))))</f>
        <v>29.256163815243589</v>
      </c>
      <c r="H26" s="172">
        <f t="shared" ca="1" si="10"/>
        <v>103389.05132561541</v>
      </c>
      <c r="I26" s="193">
        <f t="shared" si="11"/>
        <v>0.19632909567465751</v>
      </c>
      <c r="J26" s="172">
        <f t="shared" ca="1" si="12"/>
        <v>526610.94867438462</v>
      </c>
      <c r="K26" s="38"/>
      <c r="L26" s="2">
        <f ca="1">IFERROR(SUMIFS(INDIRECT("'Thanh Toán ("&amp;L$3&amp;")'!$F:$F"),INDIRECT("'Thanh Toán ("&amp;L$3&amp;")'!$D:$D"),'Tổng Đơn'!$B26),0)</f>
        <v>3</v>
      </c>
      <c r="M26" s="2">
        <f ca="1">IFERROR(SUMIFS(INDIRECT("'Thanh Toán ("&amp;M$3&amp;")'!$F:$F"),INDIRECT("'Thanh Toán ("&amp;M$3&amp;")'!$D:$D"),'Tổng Đơn'!$B26),0)</f>
        <v>5</v>
      </c>
      <c r="N26" s="2">
        <f ca="1">IFERROR(SUMIFS(INDIRECT("'Thanh Toán ("&amp;N$3&amp;")'!$F:$F"),INDIRECT("'Thanh Toán ("&amp;N$3&amp;")'!$D:$D"),'Tổng Đơn'!$B26),0)</f>
        <v>0</v>
      </c>
      <c r="O26" s="2">
        <f ca="1">IFERROR(SUMIFS(INDIRECT("'Thanh Toán ("&amp;O$3&amp;")'!$F:$F"),INDIRECT("'Thanh Toán ("&amp;O$3&amp;")'!$D:$D"),'Tổng Đơn'!$B26),0)</f>
        <v>10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6">
        <v>17</v>
      </c>
      <c r="B27" s="167" t="s">
        <v>225</v>
      </c>
      <c r="C27" s="166" t="s">
        <v>63</v>
      </c>
      <c r="D27" s="168">
        <f>VLOOKUP($C27,Sheet1!$C$8:$D$98,2,0)</f>
        <v>40000</v>
      </c>
      <c r="E27" s="169">
        <v>0.5</v>
      </c>
      <c r="F27" s="170">
        <f t="shared" ca="1" si="2"/>
        <v>1</v>
      </c>
      <c r="G27" s="171">
        <f>IFERROR(VLOOKUP($B27,Gà!C:J,8,0),IFERROR(VLOOKUP($B27,TVP!C:J,7,0),IFERROR(VLOOKUP($B27,Kitkool!C:J,8,0),IFERROR(VLOOKUP($B27,'La Cusina'!C:J,8,0),VLOOKUP($B27,'Quốc Nhân'!C:J,8,0)))))</f>
        <v>33.756181196823036</v>
      </c>
      <c r="H27" s="172">
        <f t="shared" ca="1" si="10"/>
        <v>6243.8188031769678</v>
      </c>
      <c r="I27" s="193">
        <f t="shared" si="11"/>
        <v>0.18496816232769264</v>
      </c>
      <c r="J27" s="172">
        <f t="shared" ca="1" si="12"/>
        <v>33756.181196823032</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1</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3">
        <v>18</v>
      </c>
      <c r="B28" s="167" t="s">
        <v>26</v>
      </c>
      <c r="C28" s="173" t="s">
        <v>64</v>
      </c>
      <c r="D28" s="168">
        <f>VLOOKUP($C28,Sheet1!$C$8:$D$98,2,0)</f>
        <v>50000</v>
      </c>
      <c r="E28" s="169">
        <v>0.5</v>
      </c>
      <c r="F28" s="170">
        <f t="shared" ca="1" si="2"/>
        <v>0</v>
      </c>
      <c r="G28" s="171">
        <f>IFERROR(VLOOKUP($B28,Gà!C:J,8,0),IFERROR(VLOOKUP($B28,TVP!C:J,7,0),IFERROR(VLOOKUP($B28,Kitkool!C:J,8,0),IFERROR(VLOOKUP($B28,'La Cusina'!C:J,8,0),VLOOKUP($B28,'Quốc Nhân'!C:J,8,0)))))</f>
        <v>40.916583268876408</v>
      </c>
      <c r="H28" s="172">
        <f t="shared" ca="1" si="10"/>
        <v>0</v>
      </c>
      <c r="I28" s="193">
        <f t="shared" si="11"/>
        <v>0.22199841740043302</v>
      </c>
      <c r="J28" s="172">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223</v>
      </c>
      <c r="C29" s="166" t="s">
        <v>65</v>
      </c>
      <c r="D29" s="168">
        <f>VLOOKUP($C29,Sheet1!$C$8:$D$98,2,0)</f>
        <v>40000</v>
      </c>
      <c r="E29" s="169">
        <v>0.5</v>
      </c>
      <c r="F29" s="170">
        <f t="shared" ca="1" si="2"/>
        <v>0</v>
      </c>
      <c r="G29" s="171">
        <f>IFERROR(VLOOKUP($B29,Gà!C:J,8,0),IFERROR(VLOOKUP($B29,TVP!C:J,7,0),IFERROR(VLOOKUP($B29,Kitkool!C:J,8,0),IFERROR(VLOOKUP($B29,'La Cusina'!C:J,8,0),VLOOKUP($B29,'Quốc Nhân'!C:J,8,0)))))</f>
        <v>31.822493974475481</v>
      </c>
      <c r="H29" s="172">
        <f t="shared" ca="1" si="10"/>
        <v>0</v>
      </c>
      <c r="I29" s="193">
        <f t="shared" si="11"/>
        <v>0.25697250605447897</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190</v>
      </c>
      <c r="C30" s="173" t="s">
        <v>66</v>
      </c>
      <c r="D30" s="168">
        <f>VLOOKUP($C30,Sheet1!$C$8:$D$98,2,0)</f>
        <v>105000</v>
      </c>
      <c r="E30" s="169">
        <v>0.5</v>
      </c>
      <c r="F30" s="170">
        <f t="shared" ca="1" si="2"/>
        <v>0</v>
      </c>
      <c r="G30" s="171">
        <f>IFERROR(VLOOKUP($B30,Gà!C:J,8,0),IFERROR(VLOOKUP($B30,TVP!C:J,7,0),IFERROR(VLOOKUP($B30,Kitkool!C:J,8,0),IFERROR(VLOOKUP($B30,'La Cusina'!C:J,8,0),VLOOKUP($B30,'Quốc Nhân'!C:J,8,0)))))</f>
        <v>98.75</v>
      </c>
      <c r="H30" s="172">
        <f t="shared" ca="1" si="10"/>
        <v>0</v>
      </c>
      <c r="I30" s="193">
        <f t="shared" si="11"/>
        <v>6.3291139240506222E-2</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114</v>
      </c>
      <c r="C31" s="166" t="s">
        <v>67</v>
      </c>
      <c r="D31" s="168">
        <f>VLOOKUP($C31,Sheet1!$C$8:$D$98,2,0)</f>
        <v>42000</v>
      </c>
      <c r="E31" s="169">
        <v>0.5</v>
      </c>
      <c r="F31" s="170">
        <f t="shared" ca="1" si="2"/>
        <v>2</v>
      </c>
      <c r="G31" s="171">
        <f>IFERROR(VLOOKUP($B31,Gà!C:J,8,0),IFERROR(VLOOKUP($B31,TVP!C:J,7,0),IFERROR(VLOOKUP($B31,Kitkool!C:J,8,0),IFERROR(VLOOKUP($B31,'La Cusina'!C:J,8,0),VLOOKUP($B31,'Quốc Nhân'!C:J,8,0)))))</f>
        <v>39.382211396293542</v>
      </c>
      <c r="H31" s="172">
        <f t="shared" ca="1" si="10"/>
        <v>5235.57720741292</v>
      </c>
      <c r="I31" s="193">
        <f t="shared" si="11"/>
        <v>6.6471346094923334E-2</v>
      </c>
      <c r="J31" s="172">
        <f t="shared" ca="1" si="12"/>
        <v>78764.42279258708</v>
      </c>
      <c r="K31" s="38"/>
      <c r="L31" s="2">
        <f ca="1">IFERROR(SUMIFS(INDIRECT("'Thanh Toán ("&amp;L$3&amp;")'!$F:$F"),INDIRECT("'Thanh Toán ("&amp;L$3&amp;")'!$D:$D"),'Tổng Đơn'!$B31),0)</f>
        <v>2</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3">
        <v>22</v>
      </c>
      <c r="B32" s="167" t="s">
        <v>116</v>
      </c>
      <c r="C32" s="173" t="s">
        <v>68</v>
      </c>
      <c r="D32" s="168">
        <f>VLOOKUP($C32,Sheet1!$C$8:$D$98,2,0)</f>
        <v>35000</v>
      </c>
      <c r="E32" s="169">
        <v>0.5</v>
      </c>
      <c r="F32" s="170">
        <f t="shared" ca="1" si="2"/>
        <v>0</v>
      </c>
      <c r="G32" s="171">
        <f>IFERROR(VLOOKUP($B32,Gà!C:J,8,0),IFERROR(VLOOKUP($B32,TVP!C:J,7,0),IFERROR(VLOOKUP($B32,Kitkool!C:J,8,0),IFERROR(VLOOKUP($B32,'La Cusina'!C:J,8,0),VLOOKUP($B32,'Quốc Nhân'!C:J,8,0)))))</f>
        <v>27.820584742357742</v>
      </c>
      <c r="H32" s="172">
        <f t="shared" ca="1" si="10"/>
        <v>0</v>
      </c>
      <c r="I32" s="193">
        <f t="shared" si="11"/>
        <v>0.25806126377751371</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6">
        <v>23</v>
      </c>
      <c r="B33" s="167" t="s">
        <v>254</v>
      </c>
      <c r="C33" s="166" t="s">
        <v>69</v>
      </c>
      <c r="D33" s="168">
        <f>VLOOKUP($C33,Sheet1!$C$8:$D$98,2,0)</f>
        <v>35000</v>
      </c>
      <c r="E33" s="169">
        <v>0.2</v>
      </c>
      <c r="F33" s="170">
        <f t="shared" ca="1" si="2"/>
        <v>0</v>
      </c>
      <c r="G33" s="171">
        <f>IFERROR(VLOOKUP($B33,Gà!C:J,8,0),IFERROR(VLOOKUP($B33,TVP!C:J,7,0),IFERROR(VLOOKUP($B33,Kitkool!C:J,8,0),IFERROR(VLOOKUP($B33,'La Cusina'!C:J,8,0),VLOOKUP($B33,'Quốc Nhân'!C:J,8,0)))))</f>
        <v>31.309227942629104</v>
      </c>
      <c r="H33" s="172">
        <f t="shared" ca="1" si="10"/>
        <v>0</v>
      </c>
      <c r="I33" s="193">
        <f t="shared" si="11"/>
        <v>0.11788128612222093</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3">
        <v>24</v>
      </c>
      <c r="B34" s="167" t="s">
        <v>269</v>
      </c>
      <c r="C34" s="173" t="s">
        <v>70</v>
      </c>
      <c r="D34" s="168">
        <f>VLOOKUP($C34,Sheet1!$C$8:$D$98,2,0)</f>
        <v>65000</v>
      </c>
      <c r="E34" s="169">
        <v>0.5</v>
      </c>
      <c r="F34" s="170">
        <f t="shared" ca="1" si="2"/>
        <v>0</v>
      </c>
      <c r="G34" s="171">
        <f>IFERROR(VLOOKUP($B34,Gà!C:J,8,0),IFERROR(VLOOKUP($B34,TVP!C:J,7,0),IFERROR(VLOOKUP($B34,Kitkool!C:J,8,0),IFERROR(VLOOKUP($B34,'La Cusina'!C:J,8,0),VLOOKUP($B34,'Quốc Nhân'!C:J,8,0)))))</f>
        <v>58.968753212046458</v>
      </c>
      <c r="H34" s="172">
        <f t="shared" ca="1" si="10"/>
        <v>0</v>
      </c>
      <c r="I34" s="193">
        <f t="shared" si="11"/>
        <v>0.10227868929610406</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136</v>
      </c>
      <c r="C35" s="166" t="s">
        <v>71</v>
      </c>
      <c r="D35" s="168">
        <f>VLOOKUP($C35,Sheet1!$C$8:$D$98,2,0)</f>
        <v>80000</v>
      </c>
      <c r="E35" s="169">
        <v>0.5</v>
      </c>
      <c r="F35" s="170">
        <f t="shared" ca="1" si="2"/>
        <v>3</v>
      </c>
      <c r="G35" s="171">
        <f>IFERROR(VLOOKUP($B35,Gà!C:J,8,0),IFERROR(VLOOKUP($B35,TVP!C:J,7,0),IFERROR(VLOOKUP($B35,Kitkool!C:J,8,0),IFERROR(VLOOKUP($B35,'La Cusina'!C:J,8,0),VLOOKUP($B35,'Quốc Nhân'!C:J,8,0)))))</f>
        <v>74.423574617724924</v>
      </c>
      <c r="H35" s="172">
        <f t="shared" ca="1" si="10"/>
        <v>16729.276146825228</v>
      </c>
      <c r="I35" s="193">
        <f t="shared" si="11"/>
        <v>7.4928212074174994E-2</v>
      </c>
      <c r="J35" s="172">
        <f t="shared" ca="1" si="12"/>
        <v>223270.72385317477</v>
      </c>
      <c r="K35" s="38"/>
      <c r="L35" s="2">
        <f ca="1">IFERROR(SUMIFS(INDIRECT("'Thanh Toán ("&amp;L$3&amp;")'!$F:$F"),INDIRECT("'Thanh Toán ("&amp;L$3&amp;")'!$D:$D"),'Tổng Đơn'!$B35),0)</f>
        <v>2</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1</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221</v>
      </c>
      <c r="C36" s="173" t="s">
        <v>72</v>
      </c>
      <c r="D36" s="168">
        <f>VLOOKUP($C36,Sheet1!$C$8:$D$98,2,0)</f>
        <v>44000</v>
      </c>
      <c r="E36" s="169">
        <v>0.2</v>
      </c>
      <c r="F36" s="170">
        <f t="shared" ca="1" si="2"/>
        <v>0</v>
      </c>
      <c r="G36" s="171">
        <f>IFERROR(VLOOKUP($B36,Gà!C:J,8,0),IFERROR(VLOOKUP($B36,TVP!C:J,7,0),IFERROR(VLOOKUP($B36,Kitkool!C:J,8,0),IFERROR(VLOOKUP($B36,'La Cusina'!C:J,8,0),VLOOKUP($B36,'Quốc Nhân'!C:J,8,0)))))</f>
        <v>40.034750484017543</v>
      </c>
      <c r="H36" s="172">
        <f t="shared" ca="1" si="10"/>
        <v>0</v>
      </c>
      <c r="I36" s="193">
        <f t="shared" si="11"/>
        <v>9.9045191191223791E-2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138</v>
      </c>
      <c r="C37" s="166" t="s">
        <v>73</v>
      </c>
      <c r="D37" s="168">
        <f>VLOOKUP($C37,Sheet1!$C$8:$D$98,2,0)</f>
        <v>35000</v>
      </c>
      <c r="E37" s="169">
        <v>0.5</v>
      </c>
      <c r="F37" s="170">
        <f t="shared" ca="1" si="2"/>
        <v>0</v>
      </c>
      <c r="G37" s="171">
        <f>IFERROR(VLOOKUP($B37,Gà!C:J,8,0),IFERROR(VLOOKUP($B37,TVP!C:J,7,0),IFERROR(VLOOKUP($B37,Kitkool!C:J,8,0),IFERROR(VLOOKUP($B37,'La Cusina'!C:J,8,0),VLOOKUP($B37,'Quốc Nhân'!C:J,8,0)))))</f>
        <v>30.282695878936348</v>
      </c>
      <c r="H37" s="172">
        <f t="shared" ca="1" si="10"/>
        <v>0</v>
      </c>
      <c r="I37" s="193">
        <f t="shared" si="11"/>
        <v>0.15577556700771988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3">
        <v>28</v>
      </c>
      <c r="B38" s="167" t="s">
        <v>139</v>
      </c>
      <c r="C38" s="173" t="s">
        <v>74</v>
      </c>
      <c r="D38" s="168">
        <f>VLOOKUP($C38,Sheet1!$C$8:$D$98,2,0)</f>
        <v>38000</v>
      </c>
      <c r="E38" s="169">
        <v>0.2</v>
      </c>
      <c r="F38" s="170">
        <f t="shared" ca="1" si="2"/>
        <v>0</v>
      </c>
      <c r="G38" s="171">
        <f>IFERROR(VLOOKUP($B38,Gà!C:J,8,0),IFERROR(VLOOKUP($B38,TVP!C:J,7,0),IFERROR(VLOOKUP($B38,Kitkool!C:J,8,0),IFERROR(VLOOKUP($B38,'La Cusina'!C:J,8,0),VLOOKUP($B38,'Quốc Nhân'!C:J,8,0)))))</f>
        <v>32.335760006321863</v>
      </c>
      <c r="H38" s="172">
        <f t="shared" ca="1" si="10"/>
        <v>0</v>
      </c>
      <c r="I38" s="193">
        <f t="shared" si="11"/>
        <v>0.17516953343823483</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6">
        <v>29</v>
      </c>
      <c r="B39" s="167" t="s">
        <v>143</v>
      </c>
      <c r="C39" s="166" t="s">
        <v>75</v>
      </c>
      <c r="D39" s="168">
        <f>VLOOKUP($C39,Sheet1!$C$8:$D$98,2,0)</f>
        <v>70000</v>
      </c>
      <c r="E39" s="169">
        <v>0.5</v>
      </c>
      <c r="F39" s="170">
        <f t="shared" ca="1" si="2"/>
        <v>0</v>
      </c>
      <c r="G39" s="171">
        <f>IFERROR(VLOOKUP($B39,Gà!C:J,8,0),IFERROR(VLOOKUP($B39,TVP!C:J,7,0),IFERROR(VLOOKUP($B39,Kitkool!C:J,8,0),IFERROR(VLOOKUP($B39,'La Cusina'!C:J,8,0),VLOOKUP($B39,'Quốc Nhân'!C:J,8,0)))))</f>
        <v>61.374874903314613</v>
      </c>
      <c r="H39" s="172">
        <f t="shared" ca="1" si="10"/>
        <v>0</v>
      </c>
      <c r="I39" s="193">
        <f t="shared" si="11"/>
        <v>0.14053185624040387</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3">
        <v>30</v>
      </c>
      <c r="B40" s="167" t="s">
        <v>155</v>
      </c>
      <c r="C40" s="173" t="s">
        <v>76</v>
      </c>
      <c r="D40" s="168">
        <f>VLOOKUP($C40,Sheet1!$C$8:$D$98,2,0)</f>
        <v>54000</v>
      </c>
      <c r="E40" s="169">
        <v>0.5</v>
      </c>
      <c r="F40" s="170">
        <f t="shared" ref="F40:F52" ca="1" si="13">SUM(L40:BR40)</f>
        <v>0</v>
      </c>
      <c r="G40" s="171">
        <f>IFERROR(VLOOKUP($B40,Gà!C:J,8,0),IFERROR(VLOOKUP($B40,TVP!C:J,7,0),IFERROR(VLOOKUP($B40,Kitkool!C:J,8,0),IFERROR(VLOOKUP($B40,'La Cusina'!C:J,8,0),VLOOKUP($B40,'Quốc Nhân'!C:J,8,0)))))</f>
        <v>45.008241595764048</v>
      </c>
      <c r="H40" s="172">
        <f t="shared" ca="1" si="10"/>
        <v>0</v>
      </c>
      <c r="I40" s="193">
        <f t="shared" si="11"/>
        <v>0.19978026435678875</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157</v>
      </c>
      <c r="C41" s="166" t="s">
        <v>77</v>
      </c>
      <c r="D41" s="168">
        <f>VLOOKUP($C41,Sheet1!$C$8:$D$98,2,0)</f>
        <v>47000</v>
      </c>
      <c r="E41" s="169">
        <v>0.5</v>
      </c>
      <c r="F41" s="170">
        <f t="shared" ca="1" si="13"/>
        <v>1</v>
      </c>
      <c r="G41" s="171">
        <f>IFERROR(VLOOKUP($B41,Gà!C:J,8,0),IFERROR(VLOOKUP($B41,TVP!C:J,7,0),IFERROR(VLOOKUP($B41,Kitkool!C:J,8,0),IFERROR(VLOOKUP($B41,'La Cusina'!C:J,8,0),VLOOKUP($B41,'Quốc Nhân'!C:J,8,0)))))</f>
        <v>44.65414477063495</v>
      </c>
      <c r="H41" s="172">
        <f t="shared" ca="1" si="10"/>
        <v>2345.85522936505</v>
      </c>
      <c r="I41" s="193">
        <f t="shared" si="11"/>
        <v>5.2533874322629792E-2</v>
      </c>
      <c r="J41" s="172">
        <f t="shared" ca="1" si="12"/>
        <v>44654.14477063495</v>
      </c>
      <c r="K41" s="38"/>
      <c r="L41" s="2">
        <f ca="1">IFERROR(SUMIFS(INDIRECT("'Thanh Toán ("&amp;L$3&amp;")'!$F:$F"),INDIRECT("'Thanh Toán ("&amp;L$3&amp;")'!$D:$D"),'Tổng Đơn'!$B41),0)</f>
        <v>1</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159</v>
      </c>
      <c r="C42" s="173" t="s">
        <v>78</v>
      </c>
      <c r="D42" s="168">
        <f>VLOOKUP($C42,Sheet1!$C$8:$D$98,2,0)</f>
        <v>50000</v>
      </c>
      <c r="E42" s="169">
        <v>0.5</v>
      </c>
      <c r="F42" s="170">
        <f t="shared" ca="1" si="13"/>
        <v>0</v>
      </c>
      <c r="G42" s="171">
        <f>IFERROR(VLOOKUP($B42,Gà!C:J,8,0),IFERROR(VLOOKUP($B42,TVP!C:J,7,0),IFERROR(VLOOKUP($B42,Kitkool!C:J,8,0),IFERROR(VLOOKUP($B42,'La Cusina'!C:J,8,0),VLOOKUP($B42,'Quốc Nhân'!C:J,8,0)))))</f>
        <v>44.65414477063495</v>
      </c>
      <c r="H42" s="172">
        <f t="shared" ca="1" si="10"/>
        <v>0</v>
      </c>
      <c r="I42" s="193">
        <f t="shared" si="11"/>
        <v>0.11971688757726562</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182</v>
      </c>
      <c r="C43" s="166" t="s">
        <v>79</v>
      </c>
      <c r="D43" s="168">
        <f>VLOOKUP($C43,Sheet1!$C$8:$D$98,2,0)</f>
        <v>18000</v>
      </c>
      <c r="E43" s="169">
        <v>0.5</v>
      </c>
      <c r="F43" s="170">
        <f t="shared" ca="1" si="13"/>
        <v>0</v>
      </c>
      <c r="G43" s="171">
        <f>IFERROR(VLOOKUP($B43,Gà!C:J,8,0),IFERROR(VLOOKUP($B43,TVP!C:J,7,0),IFERROR(VLOOKUP($B43,Kitkool!C:J,8,0),IFERROR(VLOOKUP($B43,'La Cusina'!C:J,8,0),VLOOKUP($B43,'Quốc Nhân'!C:J,8,0)))))</f>
        <v>13.297889562384833</v>
      </c>
      <c r="H43" s="172">
        <f t="shared" ca="1" si="10"/>
        <v>0</v>
      </c>
      <c r="I43" s="193">
        <f t="shared" si="11"/>
        <v>0.35359824696663322</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3">
        <v>34</v>
      </c>
      <c r="B44" s="167" t="s">
        <v>174</v>
      </c>
      <c r="C44" s="173" t="s">
        <v>80</v>
      </c>
      <c r="D44" s="168">
        <f>VLOOKUP($C44,Sheet1!$C$8:$D$98,2,0)</f>
        <v>25000</v>
      </c>
      <c r="E44" s="169">
        <v>0.5</v>
      </c>
      <c r="F44" s="170">
        <f t="shared" ca="1" si="13"/>
        <v>84</v>
      </c>
      <c r="G44" s="171">
        <f>IFERROR(VLOOKUP($B44,Gà!C:J,8,0),IFERROR(VLOOKUP($B44,TVP!C:J,7,0),IFERROR(VLOOKUP($B44,Kitkool!C:J,8,0),IFERROR(VLOOKUP($B44,'La Cusina'!C:J,8,0),VLOOKUP($B44,'Quốc Nhân'!C:J,8,0)))))</f>
        <v>19.4400687494654</v>
      </c>
      <c r="H44" s="172">
        <f t="shared" ca="1" si="10"/>
        <v>467034.22504490631</v>
      </c>
      <c r="I44" s="193">
        <f t="shared" si="11"/>
        <v>0.28600368250690966</v>
      </c>
      <c r="J44" s="172">
        <f t="shared" ca="1" si="12"/>
        <v>1632965.7749550936</v>
      </c>
      <c r="K44" s="38"/>
      <c r="L44" s="2">
        <f ca="1">IFERROR(SUMIFS(INDIRECT("'Thanh Toán ("&amp;L$3&amp;")'!$F:$F"),INDIRECT("'Thanh Toán ("&amp;L$3&amp;")'!$D:$D"),'Tổng Đơn'!$B44),0)</f>
        <v>8</v>
      </c>
      <c r="M44" s="2">
        <f ca="1">IFERROR(SUMIFS(INDIRECT("'Thanh Toán ("&amp;M$3&amp;")'!$F:$F"),INDIRECT("'Thanh Toán ("&amp;M$3&amp;")'!$D:$D"),'Tổng Đơn'!$B44),0)</f>
        <v>10</v>
      </c>
      <c r="N44" s="2">
        <f ca="1">IFERROR(SUMIFS(INDIRECT("'Thanh Toán ("&amp;N$3&amp;")'!$F:$F"),INDIRECT("'Thanh Toán ("&amp;N$3&amp;")'!$D:$D"),'Tổng Đơn'!$B44),0)</f>
        <v>5</v>
      </c>
      <c r="O44" s="2">
        <f ca="1">IFERROR(SUMIFS(INDIRECT("'Thanh Toán ("&amp;O$3&amp;")'!$F:$F"),INDIRECT("'Thanh Toán ("&amp;O$3&amp;")'!$D:$D"),'Tổng Đơn'!$B44),0)</f>
        <v>40</v>
      </c>
      <c r="P44" s="2">
        <f ca="1">IFERROR(SUMIFS(INDIRECT("'Thanh Toán ("&amp;P$3&amp;")'!$F:$F"),INDIRECT("'Thanh Toán ("&amp;P$3&amp;")'!$D:$D"),'Tổng Đơn'!$B44),0)</f>
        <v>4</v>
      </c>
      <c r="Q44" s="2">
        <f ca="1">IFERROR(SUMIFS(INDIRECT("'Thanh Toán ("&amp;Q$3&amp;")'!$F:$F"),INDIRECT("'Thanh Toán ("&amp;Q$3&amp;")'!$D:$D"),'Tổng Đơn'!$B44),0)</f>
        <v>1</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1</v>
      </c>
      <c r="U44" s="2">
        <f ca="1">IFERROR(SUMIFS(INDIRECT("'Thanh Toán ("&amp;U$3&amp;")'!$F:$F"),INDIRECT("'Thanh Toán ("&amp;U$3&amp;")'!$D:$D"),'Tổng Đơn'!$B44),0)</f>
        <v>15</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6">
        <v>35</v>
      </c>
      <c r="B45" s="167" t="s">
        <v>175</v>
      </c>
      <c r="C45" s="166" t="s">
        <v>81</v>
      </c>
      <c r="D45" s="168">
        <f>VLOOKUP($C45,Sheet1!$C$8:$D$98,2,0)</f>
        <v>26000</v>
      </c>
      <c r="E45" s="169">
        <v>0.5</v>
      </c>
      <c r="F45" s="170">
        <f t="shared" ca="1" si="13"/>
        <v>0</v>
      </c>
      <c r="G45" s="171">
        <f>IFERROR(VLOOKUP($B45,Gà!C:J,8,0),IFERROR(VLOOKUP($B45,TVP!C:J,7,0),IFERROR(VLOOKUP($B45,Kitkool!C:J,8,0),IFERROR(VLOOKUP($B45,'La Cusina'!C:J,8,0),VLOOKUP($B45,'Quốc Nhân'!C:J,8,0)))))</f>
        <v>21.486391775724918</v>
      </c>
      <c r="H45" s="172">
        <f t="shared" ca="1" si="10"/>
        <v>0</v>
      </c>
      <c r="I45" s="193">
        <f t="shared" si="11"/>
        <v>0.21006822696840644</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3">
        <v>36</v>
      </c>
      <c r="B46" s="167" t="s">
        <v>176</v>
      </c>
      <c r="C46" s="173" t="s">
        <v>82</v>
      </c>
      <c r="D46" s="168">
        <f>VLOOKUP($C46,Sheet1!$C$8:$D$98,2,0)</f>
        <v>28000</v>
      </c>
      <c r="E46" s="169">
        <v>0.5</v>
      </c>
      <c r="F46" s="170">
        <f t="shared" ca="1" si="13"/>
        <v>0</v>
      </c>
      <c r="G46" s="171">
        <f>IFERROR(VLOOKUP($B46,Gà!C:J,8,0),IFERROR(VLOOKUP($B46,TVP!C:J,7,0),IFERROR(VLOOKUP($B46,Kitkool!C:J,8,0),IFERROR(VLOOKUP($B46,'La Cusina'!C:J,8,0),VLOOKUP($B46,'Quốc Nhân'!C:J,8,0)))))</f>
        <v>21.486391775724918</v>
      </c>
      <c r="H46" s="172">
        <f t="shared" ca="1" si="10"/>
        <v>0</v>
      </c>
      <c r="I46" s="193">
        <f t="shared" si="11"/>
        <v>0.3031503982736683</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177</v>
      </c>
      <c r="C47" s="166" t="s">
        <v>83</v>
      </c>
      <c r="D47" s="168">
        <f>VLOOKUP($C47,Sheet1!$C$8:$D$98,2,0)</f>
        <v>28000</v>
      </c>
      <c r="E47" s="169">
        <v>0.5</v>
      </c>
      <c r="F47" s="170">
        <f t="shared" ca="1" si="13"/>
        <v>0</v>
      </c>
      <c r="G47" s="171">
        <f>IFERROR(VLOOKUP($B47,Gà!C:J,8,0),IFERROR(VLOOKUP($B47,TVP!C:J,7,0),IFERROR(VLOOKUP($B47,Kitkool!C:J,8,0),IFERROR(VLOOKUP($B47,'La Cusina'!C:J,8,0),VLOOKUP($B47,'Quốc Nhân'!C:J,8,0)))))</f>
        <v>20.463230262595157</v>
      </c>
      <c r="H47" s="172">
        <f t="shared" ca="1" si="10"/>
        <v>0</v>
      </c>
      <c r="I47" s="193">
        <f t="shared" si="11"/>
        <v>0.36830791818735209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178</v>
      </c>
      <c r="C48" s="173" t="s">
        <v>84</v>
      </c>
      <c r="D48" s="168">
        <f>VLOOKUP($C48,Sheet1!$C$8:$D$98,2,0)</f>
        <v>26000</v>
      </c>
      <c r="E48" s="169">
        <v>0.5</v>
      </c>
      <c r="F48" s="170">
        <f t="shared" ca="1" si="13"/>
        <v>10</v>
      </c>
      <c r="G48" s="171">
        <f>IFERROR(VLOOKUP($B48,Gà!C:J,8,0),IFERROR(VLOOKUP($B48,TVP!C:J,7,0),IFERROR(VLOOKUP($B48,Kitkool!C:J,8,0),IFERROR(VLOOKUP($B48,'La Cusina'!C:J,8,0),VLOOKUP($B48,'Quốc Nhân'!C:J,8,0)))))</f>
        <v>20.928303677654139</v>
      </c>
      <c r="H48" s="172">
        <f t="shared" ca="1" si="10"/>
        <v>50716.963223458624</v>
      </c>
      <c r="I48" s="193">
        <f t="shared" si="11"/>
        <v>0.24233671302089732</v>
      </c>
      <c r="J48" s="172">
        <f t="shared" ca="1" si="12"/>
        <v>209283.03677654138</v>
      </c>
      <c r="K48" s="38"/>
      <c r="L48" s="2">
        <f ca="1">IFERROR(SUMIFS(INDIRECT("'Thanh Toán ("&amp;L$3&amp;")'!$F:$F"),INDIRECT("'Thanh Toán ("&amp;L$3&amp;")'!$D:$D"),'Tổng Đơn'!$B48),0)</f>
        <v>3</v>
      </c>
      <c r="M48" s="2">
        <f ca="1">IFERROR(SUMIFS(INDIRECT("'Thanh Toán ("&amp;M$3&amp;")'!$F:$F"),INDIRECT("'Thanh Toán ("&amp;M$3&amp;")'!$D:$D"),'Tổng Đơn'!$B48),0)</f>
        <v>5</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2</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179</v>
      </c>
      <c r="C49" s="166" t="s">
        <v>85</v>
      </c>
      <c r="D49" s="168">
        <f>VLOOKUP($C49,Sheet1!$C$8:$D$98,2,0)</f>
        <v>37000</v>
      </c>
      <c r="E49" s="169">
        <v>0.5</v>
      </c>
      <c r="F49" s="170">
        <f t="shared" ca="1" si="13"/>
        <v>18</v>
      </c>
      <c r="G49" s="171">
        <f>IFERROR(VLOOKUP($B49,Gà!C:J,8,0),IFERROR(VLOOKUP($B49,TVP!C:J,7,0),IFERROR(VLOOKUP($B49,Kitkool!C:J,8,0),IFERROR(VLOOKUP($B49,'La Cusina'!C:J,8,0),VLOOKUP($B49,'Quốc Nhân'!C:J,8,0)))))</f>
        <v>33.048116874091178</v>
      </c>
      <c r="H49" s="172">
        <f t="shared" ca="1" si="10"/>
        <v>71133.89626635873</v>
      </c>
      <c r="I49" s="193">
        <f t="shared" si="11"/>
        <v>0.11957967653542734</v>
      </c>
      <c r="J49" s="172">
        <f t="shared" ca="1" si="12"/>
        <v>594866.10373364121</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5</v>
      </c>
      <c r="O49" s="2">
        <f ca="1">IFERROR(SUMIFS(INDIRECT("'Thanh Toán ("&amp;O$3&amp;")'!$F:$F"),INDIRECT("'Thanh Toán ("&amp;O$3&amp;")'!$D:$D"),'Tổng Đơn'!$B49),0)</f>
        <v>0</v>
      </c>
      <c r="P49" s="2">
        <f ca="1">IFERROR(SUMIFS(INDIRECT("'Thanh Toán ("&amp;P$3&amp;")'!$F:$F"),INDIRECT("'Thanh Toán ("&amp;P$3&amp;")'!$D:$D"),'Tổng Đơn'!$B49),0)</f>
        <v>2</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1</v>
      </c>
      <c r="U49" s="2">
        <f ca="1">IFERROR(SUMIFS(INDIRECT("'Thanh Toán ("&amp;U$3&amp;")'!$F:$F"),INDIRECT("'Thanh Toán ("&amp;U$3&amp;")'!$D:$D"),'Tổng Đơn'!$B49),0)</f>
        <v>10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3">
        <v>40</v>
      </c>
      <c r="B50" s="167" t="s">
        <v>180</v>
      </c>
      <c r="C50" s="173" t="s">
        <v>86</v>
      </c>
      <c r="D50" s="168">
        <f>VLOOKUP($C50,Sheet1!$C$8:$D$98,2,0)</f>
        <v>42000</v>
      </c>
      <c r="E50" s="169">
        <v>0.5</v>
      </c>
      <c r="F50" s="170">
        <f t="shared" ca="1" si="13"/>
        <v>1</v>
      </c>
      <c r="G50" s="171">
        <f>IFERROR(VLOOKUP($B50,Gà!C:J,8,0),IFERROR(VLOOKUP($B50,TVP!C:J,7,0),IFERROR(VLOOKUP($B50,Kitkool!C:J,8,0),IFERROR(VLOOKUP($B50,'La Cusina'!C:J,8,0),VLOOKUP($B50,'Quốc Nhân'!C:J,8,0)))))</f>
        <v>34.880506129423566</v>
      </c>
      <c r="H50" s="172">
        <f t="shared" ca="1" si="10"/>
        <v>7119.4938705764362</v>
      </c>
      <c r="I50" s="193">
        <f t="shared" si="11"/>
        <v>0.20411096800486983</v>
      </c>
      <c r="J50" s="172">
        <f t="shared" ca="1" si="12"/>
        <v>34880.506129423564</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1</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6">
        <v>41</v>
      </c>
      <c r="B51" s="167" t="s">
        <v>181</v>
      </c>
      <c r="C51" s="166" t="s">
        <v>87</v>
      </c>
      <c r="D51" s="168">
        <f>VLOOKUP($C51,Sheet1!$C$8:$D$98,2,0)</f>
        <v>45000</v>
      </c>
      <c r="E51" s="169">
        <v>0.5</v>
      </c>
      <c r="F51" s="170">
        <f t="shared" ca="1" si="13"/>
        <v>0</v>
      </c>
      <c r="G51" s="171">
        <f>IFERROR(VLOOKUP($B51,Gà!C:J,8,0),IFERROR(VLOOKUP($B51,TVP!C:J,7,0),IFERROR(VLOOKUP($B51,Kitkool!C:J,8,0),IFERROR(VLOOKUP($B51,'La Cusina'!C:J,8,0),VLOOKUP($B51,'Quốc Nhân'!C:J,8,0)))))</f>
        <v>37.856975985801043</v>
      </c>
      <c r="H51" s="172">
        <f t="shared" ca="1" si="10"/>
        <v>0</v>
      </c>
      <c r="I51" s="193">
        <f t="shared" si="11"/>
        <v>0.18868448491179213</v>
      </c>
      <c r="J51" s="172">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3">
        <v>42</v>
      </c>
      <c r="B52" s="167" t="s">
        <v>226</v>
      </c>
      <c r="C52" s="173" t="s">
        <v>88</v>
      </c>
      <c r="D52" s="168">
        <f>VLOOKUP($C52,Sheet1!$C$8:$D$98,2,0)</f>
        <v>40000</v>
      </c>
      <c r="E52" s="169">
        <v>0.5</v>
      </c>
      <c r="F52" s="170">
        <f t="shared" ca="1" si="13"/>
        <v>0</v>
      </c>
      <c r="G52" s="171">
        <f>IFERROR(VLOOKUP($B52,Gà!C:J,8,0),IFERROR(VLOOKUP($B52,TVP!C:J,7,0),IFERROR(VLOOKUP($B52,Kitkool!C:J,8,0),IFERROR(VLOOKUP($B52,'La Cusina'!C:J,8,0),VLOOKUP($B52,'Quốc Nhân'!C:J,8,0)))))</f>
        <v>34.779095778544949</v>
      </c>
      <c r="H52" s="172">
        <f t="shared" ca="1" si="10"/>
        <v>0</v>
      </c>
      <c r="I52" s="193">
        <f t="shared" si="11"/>
        <v>0.15011615755334851</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221"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0"/>
  <sheetViews>
    <sheetView topLeftCell="G1" zoomScale="90" zoomScaleNormal="90" workbookViewId="0">
      <selection activeCell="L11" sqref="L11"/>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SUBTOTAL(9,B5:B183)</f>
        <v>7964</v>
      </c>
      <c r="C1" s="36"/>
      <c r="D1" s="156">
        <f>SUBTOTAL(9,D2:D183)</f>
        <v>50715</v>
      </c>
      <c r="G1" s="79" t="s">
        <v>121</v>
      </c>
      <c r="H1" s="129">
        <f>60000+6217+H4+H5</f>
        <v>126867</v>
      </c>
      <c r="I1" s="80">
        <f>H1-H2-H3</f>
        <v>-903937</v>
      </c>
      <c r="J1" s="87" t="s">
        <v>119</v>
      </c>
      <c r="K1" s="279" t="s">
        <v>258</v>
      </c>
      <c r="L1" s="280"/>
      <c r="M1" s="222" t="s">
        <v>257</v>
      </c>
      <c r="N1" s="223">
        <v>50000</v>
      </c>
    </row>
    <row r="2" spans="1:18" ht="30.75" customHeight="1" x14ac:dyDescent="0.25">
      <c r="E2" s="93"/>
      <c r="G2" s="90" t="s">
        <v>118</v>
      </c>
      <c r="H2" s="81">
        <f>D1</f>
        <v>50715</v>
      </c>
      <c r="I2" s="82">
        <v>-2211</v>
      </c>
      <c r="J2" s="82" t="s">
        <v>122</v>
      </c>
      <c r="K2" s="279">
        <v>235000</v>
      </c>
      <c r="L2" s="280"/>
      <c r="M2" s="222" t="s">
        <v>256</v>
      </c>
      <c r="N2" s="223">
        <v>80000</v>
      </c>
    </row>
    <row r="3" spans="1:18" ht="30.75" customHeight="1" x14ac:dyDescent="0.25">
      <c r="G3" s="83" t="s">
        <v>120</v>
      </c>
      <c r="H3" s="95">
        <f>INT('Quốc Nhân'!K4+'La Cusina'!K4+TVP!J4+Gà!K4+Kitkool!K4)</f>
        <v>980089</v>
      </c>
      <c r="I3" s="84">
        <f>I1+I2</f>
        <v>-906148</v>
      </c>
      <c r="J3" s="88" t="s">
        <v>117</v>
      </c>
      <c r="M3" s="222" t="s">
        <v>259</v>
      </c>
      <c r="N3" s="223">
        <v>55000</v>
      </c>
    </row>
    <row r="4" spans="1:18" ht="30.75" customHeight="1" x14ac:dyDescent="0.25">
      <c r="A4" s="110" t="s">
        <v>186</v>
      </c>
      <c r="B4">
        <v>3500</v>
      </c>
      <c r="G4" s="85" t="s">
        <v>156</v>
      </c>
      <c r="H4" s="125">
        <f>35000</f>
        <v>35000</v>
      </c>
      <c r="I4" s="86">
        <f ca="1">INT('Quốc Nhân'!K4+'La Cusina'!K4+TVP!J4+Gà!K4+Kitkool!K4-('Quốc Nhân'!A4+'La Cusina'!A4+TVP!A4+Gà!A4+Kitkool!A4))</f>
        <v>912728</v>
      </c>
      <c r="J4" s="89" t="s">
        <v>126</v>
      </c>
      <c r="M4" s="222" t="s">
        <v>260</v>
      </c>
      <c r="N4" s="223">
        <v>10000</v>
      </c>
    </row>
    <row r="5" spans="1:18" ht="30.75" customHeight="1" x14ac:dyDescent="0.25">
      <c r="A5" s="110" t="s">
        <v>171</v>
      </c>
      <c r="B5">
        <v>200</v>
      </c>
      <c r="G5" s="85" t="s">
        <v>262</v>
      </c>
      <c r="H5" s="125">
        <f>7400+5000+2400+10000+5000-2000-1000-1000-150</f>
        <v>25650</v>
      </c>
      <c r="I5" s="91">
        <f ca="1">I4+I3</f>
        <v>6580</v>
      </c>
      <c r="J5" s="92" t="s">
        <v>127</v>
      </c>
      <c r="M5" s="224" t="s">
        <v>261</v>
      </c>
      <c r="N5" s="225">
        <v>81600</v>
      </c>
    </row>
    <row r="6" spans="1:18" x14ac:dyDescent="0.25">
      <c r="A6" s="110" t="s">
        <v>172</v>
      </c>
      <c r="B6">
        <f>1162+1204+1064</f>
        <v>3430</v>
      </c>
      <c r="C6" t="s">
        <v>105</v>
      </c>
      <c r="D6">
        <v>400</v>
      </c>
      <c r="E6" t="s">
        <v>106</v>
      </c>
      <c r="H6" s="128"/>
      <c r="I6" s="93">
        <v>1260</v>
      </c>
      <c r="J6" s="93" t="s">
        <v>293</v>
      </c>
      <c r="K6" s="93"/>
      <c r="L6" s="93"/>
      <c r="M6" s="213"/>
      <c r="N6" s="14"/>
      <c r="O6" s="14"/>
      <c r="P6" s="14"/>
      <c r="Q6" s="14"/>
      <c r="R6" s="14"/>
    </row>
    <row r="7" spans="1:18" x14ac:dyDescent="0.25">
      <c r="A7" s="110" t="s">
        <v>173</v>
      </c>
      <c r="B7">
        <v>1000</v>
      </c>
      <c r="C7" t="s">
        <v>107</v>
      </c>
      <c r="D7">
        <v>1000</v>
      </c>
      <c r="E7" t="s">
        <v>106</v>
      </c>
      <c r="H7" s="93"/>
      <c r="I7" s="256">
        <f>6000+800+1200+0</f>
        <v>8000</v>
      </c>
      <c r="J7" s="238"/>
      <c r="K7" s="93"/>
      <c r="L7" s="93"/>
      <c r="M7" s="14"/>
      <c r="N7" s="14"/>
      <c r="O7" s="14"/>
      <c r="P7" s="14"/>
      <c r="Q7" s="14"/>
      <c r="R7" s="14"/>
    </row>
    <row r="8" spans="1:18" x14ac:dyDescent="0.25">
      <c r="A8" t="s">
        <v>189</v>
      </c>
      <c r="B8">
        <v>250</v>
      </c>
      <c r="C8" t="s">
        <v>108</v>
      </c>
      <c r="D8">
        <v>80</v>
      </c>
      <c r="E8" t="s">
        <v>106</v>
      </c>
      <c r="H8" s="93"/>
      <c r="I8" s="93">
        <v>710</v>
      </c>
      <c r="J8" s="93"/>
      <c r="M8" s="14"/>
      <c r="N8" s="14"/>
      <c r="O8" s="14"/>
      <c r="P8" s="14"/>
      <c r="Q8" s="14"/>
      <c r="R8" s="14"/>
    </row>
    <row r="9" spans="1:18" x14ac:dyDescent="0.25">
      <c r="A9" t="s">
        <v>191</v>
      </c>
      <c r="B9">
        <v>400</v>
      </c>
      <c r="C9" t="s">
        <v>109</v>
      </c>
      <c r="D9">
        <v>145</v>
      </c>
      <c r="E9" t="s">
        <v>110</v>
      </c>
      <c r="H9" s="93"/>
      <c r="I9" s="93">
        <v>290</v>
      </c>
      <c r="J9" s="93"/>
      <c r="N9" s="14"/>
    </row>
    <row r="10" spans="1:18" x14ac:dyDescent="0.25">
      <c r="A10" t="s">
        <v>183</v>
      </c>
      <c r="B10">
        <v>300</v>
      </c>
      <c r="C10" t="s">
        <v>111</v>
      </c>
      <c r="D10">
        <v>800</v>
      </c>
      <c r="E10" t="s">
        <v>110</v>
      </c>
      <c r="H10" s="216"/>
      <c r="I10" s="93">
        <v>168</v>
      </c>
      <c r="J10" s="93"/>
      <c r="N10" s="14"/>
    </row>
    <row r="11" spans="1:18" x14ac:dyDescent="0.25">
      <c r="A11" t="s">
        <v>184</v>
      </c>
      <c r="B11">
        <f>45+56</f>
        <v>101</v>
      </c>
      <c r="C11" t="s">
        <v>112</v>
      </c>
      <c r="D11">
        <v>1500</v>
      </c>
      <c r="E11" t="s">
        <v>110</v>
      </c>
      <c r="H11" s="216"/>
      <c r="I11" s="93">
        <v>74</v>
      </c>
      <c r="J11" s="93"/>
      <c r="N11" s="14"/>
    </row>
    <row r="12" spans="1:18" x14ac:dyDescent="0.25">
      <c r="A12" t="s">
        <v>185</v>
      </c>
      <c r="B12">
        <v>119</v>
      </c>
      <c r="C12" t="s">
        <v>123</v>
      </c>
      <c r="D12">
        <v>160</v>
      </c>
      <c r="E12" t="s">
        <v>110</v>
      </c>
      <c r="I12" s="93">
        <f>2287+230</f>
        <v>2517</v>
      </c>
      <c r="J12" s="93" t="s">
        <v>253</v>
      </c>
      <c r="N12" s="14"/>
    </row>
    <row r="13" spans="1:18" x14ac:dyDescent="0.25">
      <c r="A13" t="s">
        <v>187</v>
      </c>
      <c r="B13">
        <v>140</v>
      </c>
      <c r="C13" t="s">
        <v>135</v>
      </c>
      <c r="D13">
        <v>42</v>
      </c>
      <c r="E13" t="s">
        <v>110</v>
      </c>
      <c r="H13" s="93"/>
      <c r="I13" s="93">
        <v>897</v>
      </c>
      <c r="J13" s="93" t="s">
        <v>253</v>
      </c>
      <c r="K13" s="93"/>
      <c r="L13" s="93"/>
    </row>
    <row r="14" spans="1:18" x14ac:dyDescent="0.25">
      <c r="A14" t="s">
        <v>188</v>
      </c>
      <c r="B14">
        <v>40</v>
      </c>
      <c r="C14" s="110" t="s">
        <v>140</v>
      </c>
      <c r="D14" s="110">
        <v>7500</v>
      </c>
      <c r="E14" s="110" t="s">
        <v>110</v>
      </c>
      <c r="H14" s="93"/>
      <c r="I14" s="93">
        <v>110</v>
      </c>
      <c r="J14" t="s">
        <v>319</v>
      </c>
    </row>
    <row r="15" spans="1:18" x14ac:dyDescent="0.25">
      <c r="A15" t="s">
        <v>192</v>
      </c>
      <c r="B15">
        <v>65</v>
      </c>
      <c r="C15" t="s">
        <v>141</v>
      </c>
      <c r="D15">
        <v>160</v>
      </c>
      <c r="E15" t="s">
        <v>110</v>
      </c>
      <c r="H15" s="93"/>
      <c r="I15" s="93">
        <v>100</v>
      </c>
      <c r="J15" s="93" t="s">
        <v>295</v>
      </c>
    </row>
    <row r="16" spans="1:18" x14ac:dyDescent="0.25">
      <c r="A16" s="159" t="s">
        <v>193</v>
      </c>
      <c r="B16">
        <v>70</v>
      </c>
      <c r="C16" t="s">
        <v>145</v>
      </c>
      <c r="D16">
        <v>50</v>
      </c>
      <c r="E16" t="s">
        <v>110</v>
      </c>
      <c r="I16" s="93">
        <f>45*4</f>
        <v>180</v>
      </c>
      <c r="J16" s="93" t="s">
        <v>306</v>
      </c>
    </row>
    <row r="17" spans="1:10" x14ac:dyDescent="0.25">
      <c r="A17" s="159"/>
      <c r="I17" s="93">
        <v>80</v>
      </c>
      <c r="J17" s="93" t="s">
        <v>304</v>
      </c>
    </row>
    <row r="18" spans="1:10" x14ac:dyDescent="0.25">
      <c r="A18" t="s">
        <v>194</v>
      </c>
      <c r="B18">
        <v>59</v>
      </c>
      <c r="C18" t="s">
        <v>135</v>
      </c>
      <c r="D18">
        <f>45+65+130+25+60+25+78+84+65+25+43+43+44+88+45+45+46+44+90+37+88</f>
        <v>1215</v>
      </c>
      <c r="E18" t="s">
        <v>110</v>
      </c>
      <c r="I18" s="239">
        <v>-8000</v>
      </c>
      <c r="J18" s="93"/>
    </row>
    <row r="19" spans="1:10" x14ac:dyDescent="0.25">
      <c r="A19" t="s">
        <v>195</v>
      </c>
      <c r="B19">
        <v>920</v>
      </c>
      <c r="C19" s="110" t="s">
        <v>160</v>
      </c>
      <c r="D19" s="110">
        <v>15300</v>
      </c>
      <c r="E19" t="s">
        <v>156</v>
      </c>
      <c r="I19" s="93"/>
      <c r="J19" s="93"/>
    </row>
    <row r="20" spans="1:10" x14ac:dyDescent="0.25">
      <c r="A20" t="s">
        <v>196</v>
      </c>
      <c r="B20">
        <v>120</v>
      </c>
      <c r="C20" t="s">
        <v>163</v>
      </c>
      <c r="D20">
        <v>50</v>
      </c>
      <c r="E20" t="s">
        <v>110</v>
      </c>
      <c r="I20" s="93"/>
      <c r="J20" s="93"/>
    </row>
    <row r="21" spans="1:10" x14ac:dyDescent="0.25">
      <c r="A21" t="s">
        <v>197</v>
      </c>
      <c r="B21">
        <v>69</v>
      </c>
      <c r="C21" s="110" t="s">
        <v>160</v>
      </c>
      <c r="D21">
        <v>15000</v>
      </c>
      <c r="J21" s="93"/>
    </row>
    <row r="22" spans="1:10" x14ac:dyDescent="0.25">
      <c r="A22" t="s">
        <v>198</v>
      </c>
      <c r="B22">
        <v>110</v>
      </c>
      <c r="C22" t="s">
        <v>237</v>
      </c>
      <c r="D22">
        <f>85+100</f>
        <v>185</v>
      </c>
    </row>
    <row r="23" spans="1:10" x14ac:dyDescent="0.25">
      <c r="A23" t="s">
        <v>199</v>
      </c>
      <c r="B23">
        <v>69</v>
      </c>
      <c r="C23" s="110" t="s">
        <v>247</v>
      </c>
      <c r="D23">
        <f>'Tổng Đơn'!G2</f>
        <v>715</v>
      </c>
    </row>
    <row r="24" spans="1:10" x14ac:dyDescent="0.25">
      <c r="A24" t="s">
        <v>200</v>
      </c>
      <c r="B24">
        <v>54</v>
      </c>
      <c r="C24" s="220" t="s">
        <v>252</v>
      </c>
      <c r="D24">
        <v>1200</v>
      </c>
    </row>
    <row r="25" spans="1:10" x14ac:dyDescent="0.25">
      <c r="A25" t="s">
        <v>201</v>
      </c>
      <c r="B25">
        <v>65</v>
      </c>
      <c r="C25" s="220" t="s">
        <v>255</v>
      </c>
      <c r="D25">
        <v>5213</v>
      </c>
    </row>
    <row r="26" spans="1:10" x14ac:dyDescent="0.25">
      <c r="A26" t="s">
        <v>202</v>
      </c>
      <c r="B26">
        <f>54+66</f>
        <v>120</v>
      </c>
    </row>
    <row r="27" spans="1:10" x14ac:dyDescent="0.25">
      <c r="A27" t="s">
        <v>204</v>
      </c>
      <c r="B27">
        <v>65</v>
      </c>
    </row>
    <row r="28" spans="1:10" x14ac:dyDescent="0.25">
      <c r="A28" t="s">
        <v>205</v>
      </c>
      <c r="B28">
        <v>66</v>
      </c>
    </row>
    <row r="29" spans="1:10" x14ac:dyDescent="0.25">
      <c r="A29" t="s">
        <v>203</v>
      </c>
      <c r="B29">
        <v>66</v>
      </c>
    </row>
    <row r="30" spans="1:10" x14ac:dyDescent="0.25">
      <c r="A30" t="s">
        <v>206</v>
      </c>
      <c r="B30">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4" customFormat="1" ht="21" customHeight="1" x14ac:dyDescent="0.25">
      <c r="C5" s="287" t="s">
        <v>165</v>
      </c>
      <c r="D5" s="287"/>
      <c r="E5" s="287"/>
      <c r="F5" s="287"/>
      <c r="G5" s="287"/>
      <c r="H5" s="287"/>
    </row>
    <row r="6" spans="1:14" s="144" customFormat="1" ht="17.25" customHeight="1" x14ac:dyDescent="0.25">
      <c r="C6" s="153" t="s">
        <v>170</v>
      </c>
      <c r="D6" s="157"/>
      <c r="E6" s="149"/>
      <c r="F6" s="149"/>
      <c r="G6" s="281" t="str">
        <f ca="1">"Ngày "&amp;DAY(TODAY())&amp;" Tháng "&amp;MONTH(TODAY())&amp;" Năm "&amp;YEAR(TODAY())</f>
        <v>Ngày 2 Tháng 11 Năm 2022</v>
      </c>
      <c r="H6" s="281"/>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Đơn'!$A$5:$E$52,5,0),"")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Đơn'!$A$5:$E$52,5,0),"")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Đơn'!$A$5:$E$52,5,0),"")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Đơn'!$A$5:$E$52,5,0),"")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Đơn'!$A$5:$E$52,5,0),"")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Đơn'!$A$5:$E$52,5,0),"")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Đơn'!$A$5:$E$52,5,0),"")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Đơn'!$A$5:$E$52,5,0),"")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Đơn'!$A$5:$E$52,5,0),"")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Đơn'!$A$5:$E$52,5,0),"")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Đơn'!$A$5:$E$52,5,0),"")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Đơn'!$A$5:$E$52,5,0),"")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Đơn'!$A$5:$E$52,5,0),"")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Đơn'!$A$5:$E$52,5,0),"")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Đơn'!$A$5:$E$52,5,0),"")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Đơn'!$A$5:$E$52,5,0),"")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Đơn'!$A$5:$E$52,5,0),"")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Đơn'!$A$5:$E$52,5,0),"")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Đơn'!$A$5:$E$52,5,0),"")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Đơn'!$A$5:$E$52,5,0),"")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Đơn'!$A$5:$E$52,5,0),"")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Đơn'!$A$5:$E$52,5,0),"")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Đơn'!$A$5:$E$52,5,0),"")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Đơn'!$A$5:$E$52,5,0),"")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Đơn'!$A$5:$E$52,5,0),"")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Đơn'!$A$5:$E$52,5,0),"")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Đơn'!$A$5:$E$52,5,0),"")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Đơn'!$A$5:$E$52,5,0),"")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Đơn'!$A$5:$E$52,5,0),"")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Đơn'!$A$5:$E$52,5,0),"")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0" priority="73">
      <formula>$C22=MAX($C$8:$C$37)</formula>
    </cfRule>
  </conditionalFormatting>
  <conditionalFormatting sqref="C23:C37">
    <cfRule type="expression" dxfId="219" priority="72">
      <formula>$C22=MAX($C$8:$C$37)</formula>
    </cfRule>
  </conditionalFormatting>
  <conditionalFormatting sqref="E23:E38">
    <cfRule type="expression" dxfId="218" priority="74">
      <formula>AND($A23="",$F23&lt;&gt;"")</formula>
    </cfRule>
  </conditionalFormatting>
  <conditionalFormatting sqref="F23:F38">
    <cfRule type="expression" dxfId="217" priority="75">
      <formula>AND($F23="",$A23&lt;&gt;"")</formula>
    </cfRule>
  </conditionalFormatting>
  <conditionalFormatting sqref="D20:H22">
    <cfRule type="expression" dxfId="216" priority="21">
      <formula>$C19=MAX($C$8:$C$37)</formula>
    </cfRule>
  </conditionalFormatting>
  <conditionalFormatting sqref="C20:C22">
    <cfRule type="expression" dxfId="215" priority="20">
      <formula>$C19=MAX($C$8:$C$37)</formula>
    </cfRule>
  </conditionalFormatting>
  <conditionalFormatting sqref="E20:E22">
    <cfRule type="expression" dxfId="214" priority="22">
      <formula>AND($A20="",$F20&lt;&gt;"")</formula>
    </cfRule>
  </conditionalFormatting>
  <conditionalFormatting sqref="F20:F22">
    <cfRule type="expression" dxfId="213" priority="23">
      <formula>AND($F20="",$A20&lt;&gt;"")</formula>
    </cfRule>
  </conditionalFormatting>
  <conditionalFormatting sqref="D9:H19">
    <cfRule type="expression" dxfId="212" priority="17">
      <formula>$C8=MAX($C$8:$C$37)</formula>
    </cfRule>
  </conditionalFormatting>
  <conditionalFormatting sqref="C9:C19">
    <cfRule type="expression" dxfId="211" priority="16">
      <formula>$C8=MAX($C$8:$C$37)</formula>
    </cfRule>
  </conditionalFormatting>
  <conditionalFormatting sqref="E9:E19">
    <cfRule type="expression" dxfId="210" priority="18">
      <formula>AND($A9="",$F9&lt;&gt;"")</formula>
    </cfRule>
  </conditionalFormatting>
  <conditionalFormatting sqref="F9:F19">
    <cfRule type="expression" dxfId="209" priority="19">
      <formula>AND($F9="",$A9&lt;&gt;"")</formula>
    </cfRule>
  </conditionalFormatting>
  <conditionalFormatting sqref="D8:G8">
    <cfRule type="expression" dxfId="208" priority="3">
      <formula>$C7=MAX($C$8:$C$37)</formula>
    </cfRule>
  </conditionalFormatting>
  <conditionalFormatting sqref="C8">
    <cfRule type="expression" dxfId="207" priority="2">
      <formula>$C7=MAX($C$8:$C$37)</formula>
    </cfRule>
  </conditionalFormatting>
  <conditionalFormatting sqref="E8">
    <cfRule type="expression" dxfId="206" priority="4">
      <formula>AND($A8="",$F8&lt;&gt;"")</formula>
    </cfRule>
  </conditionalFormatting>
  <conditionalFormatting sqref="F8">
    <cfRule type="expression" dxfId="205" priority="5">
      <formula>AND($F8="",$A8&lt;&gt;"")</formula>
    </cfRule>
  </conditionalFormatting>
  <conditionalFormatting sqref="H8">
    <cfRule type="expression" dxfId="20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4" customFormat="1" ht="21" customHeight="1" x14ac:dyDescent="0.25">
      <c r="C5" s="287" t="s">
        <v>165</v>
      </c>
      <c r="D5" s="287"/>
      <c r="E5" s="287"/>
      <c r="F5" s="287"/>
      <c r="G5" s="287"/>
      <c r="H5" s="287"/>
    </row>
    <row r="6" spans="1:14" s="144" customFormat="1" ht="17.25" customHeight="1" x14ac:dyDescent="0.25">
      <c r="C6" s="153" t="s">
        <v>170</v>
      </c>
      <c r="D6" s="157" t="s">
        <v>306</v>
      </c>
      <c r="E6" s="149"/>
      <c r="F6" s="149"/>
      <c r="G6" s="281" t="str">
        <f ca="1">"Ngày "&amp;DAY(TODAY())&amp;" Tháng "&amp;MONTH(TODAY())&amp;" Năm "&amp;YEAR(TODAY())</f>
        <v>Ngày 2 Tháng 11 Năm 2022</v>
      </c>
      <c r="H6" s="281"/>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t="s">
        <v>283</v>
      </c>
      <c r="B8" s="154">
        <v>4</v>
      </c>
      <c r="C8" s="30">
        <f t="shared" ref="C8:C37" si="0">IF(OR(SUM($C7,$A8&lt;&gt;"")=0,$A8=""),"",SUM($C7,$A8&lt;&gt;""))</f>
        <v>1</v>
      </c>
      <c r="D8" s="151" t="str">
        <f>IFERROR(VLOOKUP($A8,Sheet1!$A$1:$B$98,2,0),"")</f>
        <v>0-Gà viên</v>
      </c>
      <c r="E8" s="30">
        <f>IFERROR(VLOOKUP($A8,'Tổng Đơn'!$A$5:$E$52,5,0),"")</f>
        <v>0.5</v>
      </c>
      <c r="F8" s="30">
        <f t="shared" ref="F8:F37" si="1">IF($B8="","",B8)</f>
        <v>4</v>
      </c>
      <c r="G8" s="161">
        <f>IFERROR(VLOOKUP($A8,Sheet1!$A1:$D$98,4,0),"")</f>
        <v>43000</v>
      </c>
      <c r="H8" s="152">
        <f>IF($C7=MAX($C$8:$C$56),SUM($H7:$H$8),IFERROR($G8*$F8,""))</f>
        <v>172000</v>
      </c>
      <c r="I8" s="54" t="str">
        <f t="shared" ref="I8:I37" si="2">IF(TYPE($A8)&lt;&gt;1,"",IFERROR(F8*E8,""))</f>
        <v/>
      </c>
      <c r="L8" s="32"/>
    </row>
    <row r="9" spans="1:14" s="29" customFormat="1" ht="14.25" customHeight="1" x14ac:dyDescent="0.25">
      <c r="A9" s="154">
        <v>1</v>
      </c>
      <c r="B9" s="154">
        <v>1</v>
      </c>
      <c r="C9" s="30">
        <f t="shared" si="0"/>
        <v>2</v>
      </c>
      <c r="D9" s="160" t="s">
        <v>310</v>
      </c>
      <c r="E9" s="30" t="s">
        <v>235</v>
      </c>
      <c r="F9" s="30" t="s">
        <v>235</v>
      </c>
      <c r="G9" s="161" t="s">
        <v>235</v>
      </c>
      <c r="H9" s="152">
        <v>8000</v>
      </c>
      <c r="I9" s="54" t="str">
        <f t="shared" si="2"/>
        <v/>
      </c>
      <c r="L9" s="31"/>
    </row>
    <row r="10" spans="1:14" s="29" customFormat="1" ht="14.25" customHeight="1" x14ac:dyDescent="0.25">
      <c r="A10" s="154" t="s">
        <v>308</v>
      </c>
      <c r="B10" s="154"/>
      <c r="C10" s="30" t="str">
        <f t="shared" si="0"/>
        <v/>
      </c>
      <c r="D10" s="160" t="str">
        <f>IFERROR(VLOOKUP($A10,Sheet1!$A$1:$B$98,2,0),"")</f>
        <v/>
      </c>
      <c r="E10" s="30" t="str">
        <f>IFERROR(VLOOKUP($A10,'Tổng Đơn'!$A$5:$E$52,5,0),"")</f>
        <v/>
      </c>
      <c r="F10" s="30" t="str">
        <f t="shared" si="1"/>
        <v/>
      </c>
      <c r="G10" s="161" t="str">
        <f>IF(AND($C10="",$C9&lt;&gt;""),"Tổng Cộng",IFERROR(VLOOKUP($A10,Sheet1!$A$1:$D$98,4,0),""))</f>
        <v>Tổng Cộng</v>
      </c>
      <c r="H10" s="152">
        <f>IF($C9=MAX($C$8:$C$56),SUM($H$8:$H9),IFERROR($G10*$F10,""))</f>
        <v>180000</v>
      </c>
      <c r="I10" s="54" t="str">
        <f t="shared" si="2"/>
        <v/>
      </c>
      <c r="L10" s="31"/>
    </row>
    <row r="11" spans="1:14" s="29" customFormat="1" ht="14.25" customHeight="1" x14ac:dyDescent="0.25">
      <c r="A11" s="154" t="s">
        <v>308</v>
      </c>
      <c r="B11" s="154"/>
      <c r="C11" s="30" t="str">
        <f t="shared" si="0"/>
        <v/>
      </c>
      <c r="D11" s="160" t="str">
        <f>IFERROR(VLOOKUP($A11,Sheet1!$A$1:$B$98,2,0),"")</f>
        <v/>
      </c>
      <c r="E11" s="30" t="str">
        <f>IFERROR(VLOOKUP($A11,'Tổng Đơn'!$A$5:$E$52,5,0),"")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308</v>
      </c>
      <c r="B12" s="154"/>
      <c r="C12" s="30" t="str">
        <f t="shared" si="0"/>
        <v/>
      </c>
      <c r="D12" s="160" t="str">
        <f>IFERROR(VLOOKUP($A12,Sheet1!$A$1:$B$98,2,0),"")</f>
        <v/>
      </c>
      <c r="E12" s="30" t="str">
        <f>IFERROR(VLOOKUP($A12,'Tổng Đơn'!$A$5:$E$52,5,0),"")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308</v>
      </c>
      <c r="B13" s="154"/>
      <c r="C13" s="30" t="str">
        <f t="shared" si="0"/>
        <v/>
      </c>
      <c r="D13" s="160" t="str">
        <f>IFERROR(VLOOKUP($A13,Sheet1!$A$1:$B$98,2,0),"")</f>
        <v/>
      </c>
      <c r="E13" s="30" t="str">
        <f>IFERROR(VLOOKUP($A13,'Tổng Đơn'!$A$5:$E$52,5,0),"")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308</v>
      </c>
      <c r="B14" s="154"/>
      <c r="C14" s="30" t="str">
        <f t="shared" si="0"/>
        <v/>
      </c>
      <c r="D14" s="160" t="str">
        <f>IFERROR(VLOOKUP($A14,Sheet1!$A$1:$B$98,2,0),"")</f>
        <v/>
      </c>
      <c r="E14" s="30" t="str">
        <f>IFERROR(VLOOKUP($A14,'Tổng Đơn'!$A$5:$E$52,5,0),"")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308</v>
      </c>
      <c r="B15" s="154"/>
      <c r="C15" s="30" t="str">
        <f t="shared" si="0"/>
        <v/>
      </c>
      <c r="D15" s="160" t="str">
        <f>IFERROR(VLOOKUP($A15,Sheet1!$A$1:$B$98,2,0),"")</f>
        <v/>
      </c>
      <c r="E15" s="30" t="str">
        <f>IFERROR(VLOOKUP($A15,'Tổng Đơn'!$A$5:$E$52,5,0),"")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308</v>
      </c>
      <c r="B16" s="154"/>
      <c r="C16" s="30" t="str">
        <f t="shared" si="0"/>
        <v/>
      </c>
      <c r="D16" s="160" t="str">
        <f>IFERROR(VLOOKUP($A16,Sheet1!$A$1:$B$98,2,0),"")</f>
        <v/>
      </c>
      <c r="E16" s="30" t="str">
        <f>IFERROR(VLOOKUP($A16,'Tổng Đơn'!$A$5:$E$52,5,0),"")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308</v>
      </c>
      <c r="B17" s="154"/>
      <c r="C17" s="30" t="str">
        <f t="shared" si="0"/>
        <v/>
      </c>
      <c r="D17" s="160" t="str">
        <f>IFERROR(VLOOKUP($A17,Sheet1!$A$1:$B$98,2,0),"")</f>
        <v/>
      </c>
      <c r="E17" s="30" t="str">
        <f>IFERROR(VLOOKUP($A17,'Tổng Đơn'!$A$5:$E$52,5,0),"")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308</v>
      </c>
      <c r="B18" s="154"/>
      <c r="C18" s="30" t="str">
        <f t="shared" si="0"/>
        <v/>
      </c>
      <c r="D18" s="160" t="str">
        <f>IFERROR(VLOOKUP($A18,Sheet1!$A$1:$B$98,2,0),"")</f>
        <v/>
      </c>
      <c r="E18" s="30" t="str">
        <f>IFERROR(VLOOKUP($A18,'Tổng Đơn'!$A$5:$E$52,5,0),"")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308</v>
      </c>
      <c r="B19" s="154"/>
      <c r="C19" s="30" t="str">
        <f t="shared" si="0"/>
        <v/>
      </c>
      <c r="D19" s="160" t="str">
        <f>IFERROR(VLOOKUP($A19,Sheet1!$A$1:$B$98,2,0),"")</f>
        <v/>
      </c>
      <c r="E19" s="30" t="str">
        <f>IFERROR(VLOOKUP($A19,'Tổng Đơn'!$A$5:$E$52,5,0),"")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308</v>
      </c>
      <c r="B20" s="154"/>
      <c r="C20" s="30" t="str">
        <f t="shared" si="0"/>
        <v/>
      </c>
      <c r="D20" s="160" t="str">
        <f>IFERROR(VLOOKUP($A20,Sheet1!$A$1:$B$98,2,0),"")</f>
        <v/>
      </c>
      <c r="E20" s="30" t="str">
        <f>IFERROR(VLOOKUP($A20,'Tổng Đơn'!$A$5:$E$52,5,0),"")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308</v>
      </c>
      <c r="B21" s="154"/>
      <c r="C21" s="30" t="str">
        <f t="shared" si="0"/>
        <v/>
      </c>
      <c r="D21" s="160" t="str">
        <f>IFERROR(VLOOKUP($A21,Sheet1!$A$1:$B$98,2,0),"")</f>
        <v/>
      </c>
      <c r="E21" s="30" t="str">
        <f>IFERROR(VLOOKUP($A21,'Tổng Đơn'!$A$5:$E$52,5,0),"")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308</v>
      </c>
      <c r="B22" s="154"/>
      <c r="C22" s="30" t="str">
        <f t="shared" si="0"/>
        <v/>
      </c>
      <c r="D22" s="151" t="str">
        <f>IFERROR(VLOOKUP($A22,Sheet1!$A$1:$B$98,2,0),"")</f>
        <v/>
      </c>
      <c r="E22" s="30" t="str">
        <f>IFERROR(VLOOKUP($A22,'Tổng Đơn'!$A$5:$E$52,5,0),"")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308</v>
      </c>
      <c r="B23" s="154"/>
      <c r="C23" s="30" t="str">
        <f t="shared" si="0"/>
        <v/>
      </c>
      <c r="D23" s="151" t="str">
        <f>IFERROR(VLOOKUP($A23,Sheet1!$A$1:$B$98,2,0),"")</f>
        <v/>
      </c>
      <c r="E23" s="30" t="str">
        <f>IFERROR(VLOOKUP($A23,'Tổng Đơn'!$A$5:$E$52,5,0),"")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308</v>
      </c>
      <c r="B24" s="154"/>
      <c r="C24" s="30" t="str">
        <f t="shared" si="0"/>
        <v/>
      </c>
      <c r="D24" s="151" t="str">
        <f>IFERROR(VLOOKUP($A24,Sheet1!$A$1:$B$98,2,0),"")</f>
        <v/>
      </c>
      <c r="E24" s="30" t="str">
        <f>IFERROR(VLOOKUP($A24,'Tổng Đơn'!$A$5:$E$52,5,0),"")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308</v>
      </c>
      <c r="B25" s="154"/>
      <c r="C25" s="30" t="str">
        <f t="shared" si="0"/>
        <v/>
      </c>
      <c r="D25" s="151" t="str">
        <f>IFERROR(VLOOKUP($A25,Sheet1!$A$1:$B$98,2,0),"")</f>
        <v/>
      </c>
      <c r="E25" s="30" t="str">
        <f>IFERROR(VLOOKUP($A25,'Tổng Đơn'!$A$5:$E$52,5,0),"")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308</v>
      </c>
      <c r="B26" s="154"/>
      <c r="C26" s="30" t="str">
        <f t="shared" si="0"/>
        <v/>
      </c>
      <c r="D26" s="151" t="str">
        <f>IFERROR(VLOOKUP($A26,Sheet1!$A$1:$B$98,2,0),"")</f>
        <v/>
      </c>
      <c r="E26" s="30" t="str">
        <f>IFERROR(VLOOKUP($A26,'Tổng Đơn'!$A$5:$E$52,5,0),"")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308</v>
      </c>
      <c r="B27" s="154"/>
      <c r="C27" s="30" t="str">
        <f t="shared" si="0"/>
        <v/>
      </c>
      <c r="D27" s="151" t="str">
        <f>IFERROR(VLOOKUP($A27,Sheet1!$A$1:$B$98,2,0),"")</f>
        <v/>
      </c>
      <c r="E27" s="30" t="str">
        <f>IFERROR(VLOOKUP($A27,'Tổng Đơn'!$A$5:$E$52,5,0),"")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308</v>
      </c>
      <c r="B28" s="154"/>
      <c r="C28" s="30" t="str">
        <f t="shared" si="0"/>
        <v/>
      </c>
      <c r="D28" s="151" t="str">
        <f>IFERROR(VLOOKUP($A28,Sheet1!$A$1:$B$98,2,0),"")</f>
        <v/>
      </c>
      <c r="E28" s="30" t="str">
        <f>IFERROR(VLOOKUP($A28,'Tổng Đơn'!$A$5:$E$52,5,0),"")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308</v>
      </c>
      <c r="B29" s="154"/>
      <c r="C29" s="30" t="str">
        <f t="shared" si="0"/>
        <v/>
      </c>
      <c r="D29" s="151" t="str">
        <f>IFERROR(VLOOKUP($A29,Sheet1!$A$1:$B$98,2,0),"")</f>
        <v/>
      </c>
      <c r="E29" s="30" t="str">
        <f>IFERROR(VLOOKUP($A29,'Tổng Đơn'!$A$5:$E$52,5,0),"")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308</v>
      </c>
      <c r="B30" s="154"/>
      <c r="C30" s="30" t="str">
        <f t="shared" si="0"/>
        <v/>
      </c>
      <c r="D30" s="151" t="str">
        <f>IFERROR(VLOOKUP($A30,Sheet1!$A$1:$B$98,2,0),"")</f>
        <v/>
      </c>
      <c r="E30" s="30" t="str">
        <f>IFERROR(VLOOKUP($A30,'Tổng Đơn'!$A$5:$E$52,5,0),"")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308</v>
      </c>
      <c r="B31" s="154"/>
      <c r="C31" s="30" t="str">
        <f t="shared" si="0"/>
        <v/>
      </c>
      <c r="D31" s="151" t="str">
        <f>IFERROR(VLOOKUP($A31,Sheet1!$A$1:$B$98,2,0),"")</f>
        <v/>
      </c>
      <c r="E31" s="30" t="str">
        <f>IFERROR(VLOOKUP($A31,'Tổng Đơn'!$A$5:$E$52,5,0),"")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308</v>
      </c>
      <c r="B32" s="154"/>
      <c r="C32" s="30" t="str">
        <f t="shared" si="0"/>
        <v/>
      </c>
      <c r="D32" s="151" t="str">
        <f>IFERROR(VLOOKUP($A32,Sheet1!$A$1:$B$98,2,0),"")</f>
        <v/>
      </c>
      <c r="E32" s="30" t="str">
        <f>IFERROR(VLOOKUP($A32,'Tổng Đơn'!$A$5:$E$52,5,0),"")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308</v>
      </c>
      <c r="B33" s="154"/>
      <c r="C33" s="30" t="str">
        <f t="shared" si="0"/>
        <v/>
      </c>
      <c r="D33" s="151" t="str">
        <f>IFERROR(VLOOKUP($A33,Sheet1!$A$1:$B$98,2,0),"")</f>
        <v/>
      </c>
      <c r="E33" s="30" t="str">
        <f>IFERROR(VLOOKUP($A33,'Tổng Đơn'!$A$5:$E$52,5,0),"")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308</v>
      </c>
      <c r="B34" s="154"/>
      <c r="C34" s="30" t="str">
        <f t="shared" si="0"/>
        <v/>
      </c>
      <c r="D34" s="151" t="str">
        <f>IFERROR(VLOOKUP($A34,Sheet1!$A$1:$B$98,2,0),"")</f>
        <v/>
      </c>
      <c r="E34" s="30" t="str">
        <f>IFERROR(VLOOKUP($A34,'Tổng Đơn'!$A$5:$E$52,5,0),"")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308</v>
      </c>
      <c r="B35" s="154"/>
      <c r="C35" s="30" t="str">
        <f t="shared" si="0"/>
        <v/>
      </c>
      <c r="D35" s="151" t="str">
        <f>IFERROR(VLOOKUP($A35,Sheet1!$A$1:$B$98,2,0),"")</f>
        <v/>
      </c>
      <c r="E35" s="30" t="str">
        <f>IFERROR(VLOOKUP($A35,'Tổng Đơn'!$A$5:$E$52,5,0),"")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308</v>
      </c>
      <c r="B36" s="154"/>
      <c r="C36" s="30" t="str">
        <f t="shared" si="0"/>
        <v/>
      </c>
      <c r="D36" s="151" t="str">
        <f>IFERROR(VLOOKUP($A36,Sheet1!$A$1:$B$98,2,0),"")</f>
        <v/>
      </c>
      <c r="E36" s="30" t="str">
        <f>IFERROR(VLOOKUP($A36,'Tổng Đơn'!$A$5:$E$52,5,0),"")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308</v>
      </c>
      <c r="B37" s="154"/>
      <c r="C37" s="30" t="str">
        <f t="shared" si="0"/>
        <v/>
      </c>
      <c r="D37" s="151" t="str">
        <f>IFERROR(VLOOKUP($A37,Sheet1!$A$1:$B$98,2,0),"")</f>
        <v/>
      </c>
      <c r="E37" s="30" t="str">
        <f>IFERROR(VLOOKUP($A37,'Tổng Đơn'!$A$5:$E$52,5,0),"")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28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H19" sqref="H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4" customFormat="1" ht="21" customHeight="1" x14ac:dyDescent="0.25">
      <c r="C5" s="287" t="s">
        <v>165</v>
      </c>
      <c r="D5" s="287"/>
      <c r="E5" s="287"/>
      <c r="F5" s="287"/>
      <c r="G5" s="287"/>
      <c r="H5" s="287"/>
    </row>
    <row r="6" spans="1:14" s="144" customFormat="1" ht="17.25" customHeight="1" x14ac:dyDescent="0.25">
      <c r="C6" s="153" t="s">
        <v>170</v>
      </c>
      <c r="D6" s="157" t="s">
        <v>304</v>
      </c>
      <c r="E6" s="149"/>
      <c r="F6" s="149"/>
      <c r="G6" s="281" t="str">
        <f ca="1">"Ngày "&amp;DAY(TODAY())&amp;" Tháng "&amp;MONTH(TODAY())&amp;" Năm "&amp;YEAR(TODAY())</f>
        <v>Ngày 2 Tháng 11 Năm 2022</v>
      </c>
      <c r="H6" s="281"/>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4</v>
      </c>
      <c r="B8" s="154">
        <v>2</v>
      </c>
      <c r="C8" s="30">
        <f t="shared" ref="C8:C37" si="0">IF(OR(SUM($C7,$A8&lt;&gt;"")=0,$A8=""),"",SUM($C7,$A8&lt;&gt;""))</f>
        <v>1</v>
      </c>
      <c r="D8" s="151" t="str">
        <f>IFERROR(VLOOKUP($A8,Sheet1!$A$1:$B$98,2,0),"")</f>
        <v>Phô mai que AN</v>
      </c>
      <c r="E8" s="30">
        <f>IFERROR(VLOOKUP($A8,'Tổng Đơn'!$A$5:$E$52,5,0),"")</f>
        <v>0.5</v>
      </c>
      <c r="F8" s="30">
        <f t="shared" ref="F8:F37" si="1">IF($B8="","",B8)</f>
        <v>2</v>
      </c>
      <c r="G8" s="161">
        <f>IFERROR(VLOOKUP($A8,Sheet1!$A1:$D$98,4,0),"")</f>
        <v>45000</v>
      </c>
      <c r="H8" s="152">
        <f>IF($C7=MAX($C$8:$C$56),SUM($H7:$H$8),IFERROR($G8*$F8,""))</f>
        <v>90000</v>
      </c>
      <c r="I8" s="54">
        <f t="shared" ref="I8:I37" si="2">IF(TYPE($A8)&lt;&gt;1,"",IFERROR(F8*E8,""))</f>
        <v>1</v>
      </c>
      <c r="L8" s="32"/>
    </row>
    <row r="9" spans="1:14" s="29" customFormat="1" ht="14.25" customHeight="1" x14ac:dyDescent="0.25">
      <c r="A9" s="154">
        <v>1</v>
      </c>
      <c r="B9" s="154">
        <v>1</v>
      </c>
      <c r="C9" s="30">
        <f t="shared" si="0"/>
        <v>2</v>
      </c>
      <c r="D9" s="160" t="s">
        <v>310</v>
      </c>
      <c r="E9" s="30" t="s">
        <v>235</v>
      </c>
      <c r="F9" s="30" t="s">
        <v>235</v>
      </c>
      <c r="G9" s="161" t="s">
        <v>235</v>
      </c>
      <c r="H9" s="152">
        <f>-2*5000</f>
        <v>-10000</v>
      </c>
      <c r="I9" s="54" t="str">
        <f t="shared" si="2"/>
        <v/>
      </c>
      <c r="L9" s="31"/>
    </row>
    <row r="10" spans="1:14" s="29" customFormat="1" ht="14.25" customHeight="1" x14ac:dyDescent="0.25">
      <c r="A10" s="154" t="s">
        <v>308</v>
      </c>
      <c r="B10" s="154"/>
      <c r="C10" s="30" t="str">
        <f t="shared" si="0"/>
        <v/>
      </c>
      <c r="D10" s="160" t="str">
        <f>IFERROR(VLOOKUP($A10,Sheet1!$A$1:$B$98,2,0),"")</f>
        <v/>
      </c>
      <c r="E10" s="30" t="str">
        <f>IFERROR(VLOOKUP($A10,'Tổng Đơn'!$A$5:$E$52,5,0),"")</f>
        <v/>
      </c>
      <c r="F10" s="30" t="str">
        <f t="shared" si="1"/>
        <v/>
      </c>
      <c r="G10" s="161" t="str">
        <f>IF(AND($C10="",$C9&lt;&gt;""),"Tổng Cộng",IFERROR(VLOOKUP($A10,Sheet1!$A$1:$D$98,4,0),""))</f>
        <v>Tổng Cộng</v>
      </c>
      <c r="H10" s="152">
        <f>IF($C9=MAX($C$8:$C$56),SUM($H$8:$H9),IFERROR($G10*$F10,""))</f>
        <v>80000</v>
      </c>
      <c r="I10" s="54" t="str">
        <f t="shared" si="2"/>
        <v/>
      </c>
      <c r="L10" s="31"/>
    </row>
    <row r="11" spans="1:14" s="29" customFormat="1" ht="14.25" customHeight="1" x14ac:dyDescent="0.25">
      <c r="A11" s="154" t="s">
        <v>308</v>
      </c>
      <c r="B11" s="154"/>
      <c r="C11" s="30" t="str">
        <f t="shared" si="0"/>
        <v/>
      </c>
      <c r="D11" s="160" t="str">
        <f>IFERROR(VLOOKUP($A11,Sheet1!$A$1:$B$98,2,0),"")</f>
        <v/>
      </c>
      <c r="E11" s="30" t="str">
        <f>IFERROR(VLOOKUP($A11,'Tổng Đơn'!$A$5:$E$52,5,0),"")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308</v>
      </c>
      <c r="B12" s="154"/>
      <c r="C12" s="30" t="str">
        <f t="shared" si="0"/>
        <v/>
      </c>
      <c r="D12" s="160" t="str">
        <f>IFERROR(VLOOKUP($A12,Sheet1!$A$1:$B$98,2,0),"")</f>
        <v/>
      </c>
      <c r="E12" s="30" t="str">
        <f>IFERROR(VLOOKUP($A12,'Tổng Đơn'!$A$5:$E$52,5,0),"")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308</v>
      </c>
      <c r="B13" s="154"/>
      <c r="C13" s="30" t="str">
        <f t="shared" si="0"/>
        <v/>
      </c>
      <c r="D13" s="160" t="str">
        <f>IFERROR(VLOOKUP($A13,Sheet1!$A$1:$B$98,2,0),"")</f>
        <v/>
      </c>
      <c r="E13" s="30" t="str">
        <f>IFERROR(VLOOKUP($A13,'Tổng Đơn'!$A$5:$E$52,5,0),"")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308</v>
      </c>
      <c r="B14" s="154"/>
      <c r="C14" s="30" t="str">
        <f t="shared" si="0"/>
        <v/>
      </c>
      <c r="D14" s="160" t="str">
        <f>IFERROR(VLOOKUP($A14,Sheet1!$A$1:$B$98,2,0),"")</f>
        <v/>
      </c>
      <c r="E14" s="30" t="str">
        <f>IFERROR(VLOOKUP($A14,'Tổng Đơn'!$A$5:$E$52,5,0),"")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308</v>
      </c>
      <c r="B15" s="154"/>
      <c r="C15" s="30" t="str">
        <f t="shared" si="0"/>
        <v/>
      </c>
      <c r="D15" s="160" t="str">
        <f>IFERROR(VLOOKUP($A15,Sheet1!$A$1:$B$98,2,0),"")</f>
        <v/>
      </c>
      <c r="E15" s="30" t="str">
        <f>IFERROR(VLOOKUP($A15,'Tổng Đơn'!$A$5:$E$52,5,0),"")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308</v>
      </c>
      <c r="B16" s="154"/>
      <c r="C16" s="30" t="str">
        <f t="shared" si="0"/>
        <v/>
      </c>
      <c r="D16" s="160" t="str">
        <f>IFERROR(VLOOKUP($A16,Sheet1!$A$1:$B$98,2,0),"")</f>
        <v/>
      </c>
      <c r="E16" s="30" t="str">
        <f>IFERROR(VLOOKUP($A16,'Tổng Đơn'!$A$5:$E$52,5,0),"")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308</v>
      </c>
      <c r="B17" s="154"/>
      <c r="C17" s="30" t="str">
        <f t="shared" si="0"/>
        <v/>
      </c>
      <c r="D17" s="160" t="str">
        <f>IFERROR(VLOOKUP($A17,Sheet1!$A$1:$B$98,2,0),"")</f>
        <v/>
      </c>
      <c r="E17" s="30" t="str">
        <f>IFERROR(VLOOKUP($A17,'Tổng Đơn'!$A$5:$E$52,5,0),"")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308</v>
      </c>
      <c r="B18" s="154"/>
      <c r="C18" s="30" t="str">
        <f t="shared" si="0"/>
        <v/>
      </c>
      <c r="D18" s="160" t="str">
        <f>IFERROR(VLOOKUP($A18,Sheet1!$A$1:$B$98,2,0),"")</f>
        <v/>
      </c>
      <c r="E18" s="30" t="str">
        <f>IFERROR(VLOOKUP($A18,'Tổng Đơn'!$A$5:$E$52,5,0),"")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308</v>
      </c>
      <c r="B19" s="154"/>
      <c r="C19" s="30" t="str">
        <f t="shared" si="0"/>
        <v/>
      </c>
      <c r="D19" s="160" t="str">
        <f>IFERROR(VLOOKUP($A19,Sheet1!$A$1:$B$98,2,0),"")</f>
        <v/>
      </c>
      <c r="E19" s="30" t="str">
        <f>IFERROR(VLOOKUP($A19,'Tổng Đơn'!$A$5:$E$52,5,0),"")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308</v>
      </c>
      <c r="B20" s="154"/>
      <c r="C20" s="30" t="str">
        <f t="shared" si="0"/>
        <v/>
      </c>
      <c r="D20" s="160" t="str">
        <f>IFERROR(VLOOKUP($A20,Sheet1!$A$1:$B$98,2,0),"")</f>
        <v/>
      </c>
      <c r="E20" s="30" t="str">
        <f>IFERROR(VLOOKUP($A20,'Tổng Đơn'!$A$5:$E$52,5,0),"")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308</v>
      </c>
      <c r="B21" s="154"/>
      <c r="C21" s="30" t="str">
        <f t="shared" si="0"/>
        <v/>
      </c>
      <c r="D21" s="160" t="str">
        <f>IFERROR(VLOOKUP($A21,Sheet1!$A$1:$B$98,2,0),"")</f>
        <v/>
      </c>
      <c r="E21" s="30" t="str">
        <f>IFERROR(VLOOKUP($A21,'Tổng Đơn'!$A$5:$E$52,5,0),"")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308</v>
      </c>
      <c r="B22" s="154"/>
      <c r="C22" s="30" t="str">
        <f t="shared" si="0"/>
        <v/>
      </c>
      <c r="D22" s="151" t="str">
        <f>IFERROR(VLOOKUP($A22,Sheet1!$A$1:$B$98,2,0),"")</f>
        <v/>
      </c>
      <c r="E22" s="30" t="str">
        <f>IFERROR(VLOOKUP($A22,'Tổng Đơn'!$A$5:$E$52,5,0),"")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308</v>
      </c>
      <c r="B23" s="154"/>
      <c r="C23" s="30" t="str">
        <f t="shared" si="0"/>
        <v/>
      </c>
      <c r="D23" s="151" t="str">
        <f>IFERROR(VLOOKUP($A23,Sheet1!$A$1:$B$98,2,0),"")</f>
        <v/>
      </c>
      <c r="E23" s="30" t="str">
        <f>IFERROR(VLOOKUP($A23,'Tổng Đơn'!$A$5:$E$52,5,0),"")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308</v>
      </c>
      <c r="B24" s="154"/>
      <c r="C24" s="30" t="str">
        <f t="shared" si="0"/>
        <v/>
      </c>
      <c r="D24" s="151" t="str">
        <f>IFERROR(VLOOKUP($A24,Sheet1!$A$1:$B$98,2,0),"")</f>
        <v/>
      </c>
      <c r="E24" s="30" t="str">
        <f>IFERROR(VLOOKUP($A24,'Tổng Đơn'!$A$5:$E$52,5,0),"")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308</v>
      </c>
      <c r="B25" s="154"/>
      <c r="C25" s="30" t="str">
        <f t="shared" si="0"/>
        <v/>
      </c>
      <c r="D25" s="151" t="str">
        <f>IFERROR(VLOOKUP($A25,Sheet1!$A$1:$B$98,2,0),"")</f>
        <v/>
      </c>
      <c r="E25" s="30" t="str">
        <f>IFERROR(VLOOKUP($A25,'Tổng Đơn'!$A$5:$E$52,5,0),"")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308</v>
      </c>
      <c r="B26" s="154"/>
      <c r="C26" s="30" t="str">
        <f t="shared" si="0"/>
        <v/>
      </c>
      <c r="D26" s="151" t="str">
        <f>IFERROR(VLOOKUP($A26,Sheet1!$A$1:$B$98,2,0),"")</f>
        <v/>
      </c>
      <c r="E26" s="30" t="str">
        <f>IFERROR(VLOOKUP($A26,'Tổng Đơn'!$A$5:$E$52,5,0),"")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308</v>
      </c>
      <c r="B27" s="154"/>
      <c r="C27" s="30" t="str">
        <f t="shared" si="0"/>
        <v/>
      </c>
      <c r="D27" s="151" t="str">
        <f>IFERROR(VLOOKUP($A27,Sheet1!$A$1:$B$98,2,0),"")</f>
        <v/>
      </c>
      <c r="E27" s="30" t="str">
        <f>IFERROR(VLOOKUP($A27,'Tổng Đơn'!$A$5:$E$52,5,0),"")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308</v>
      </c>
      <c r="B28" s="154"/>
      <c r="C28" s="30" t="str">
        <f t="shared" si="0"/>
        <v/>
      </c>
      <c r="D28" s="151" t="str">
        <f>IFERROR(VLOOKUP($A28,Sheet1!$A$1:$B$98,2,0),"")</f>
        <v/>
      </c>
      <c r="E28" s="30" t="str">
        <f>IFERROR(VLOOKUP($A28,'Tổng Đơn'!$A$5:$E$52,5,0),"")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308</v>
      </c>
      <c r="B29" s="154"/>
      <c r="C29" s="30" t="str">
        <f t="shared" si="0"/>
        <v/>
      </c>
      <c r="D29" s="151" t="str">
        <f>IFERROR(VLOOKUP($A29,Sheet1!$A$1:$B$98,2,0),"")</f>
        <v/>
      </c>
      <c r="E29" s="30" t="str">
        <f>IFERROR(VLOOKUP($A29,'Tổng Đơn'!$A$5:$E$52,5,0),"")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308</v>
      </c>
      <c r="B30" s="154"/>
      <c r="C30" s="30" t="str">
        <f t="shared" si="0"/>
        <v/>
      </c>
      <c r="D30" s="151" t="str">
        <f>IFERROR(VLOOKUP($A30,Sheet1!$A$1:$B$98,2,0),"")</f>
        <v/>
      </c>
      <c r="E30" s="30" t="str">
        <f>IFERROR(VLOOKUP($A30,'Tổng Đơn'!$A$5:$E$52,5,0),"")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308</v>
      </c>
      <c r="B31" s="154"/>
      <c r="C31" s="30" t="str">
        <f t="shared" si="0"/>
        <v/>
      </c>
      <c r="D31" s="151" t="str">
        <f>IFERROR(VLOOKUP($A31,Sheet1!$A$1:$B$98,2,0),"")</f>
        <v/>
      </c>
      <c r="E31" s="30" t="str">
        <f>IFERROR(VLOOKUP($A31,'Tổng Đơn'!$A$5:$E$52,5,0),"")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308</v>
      </c>
      <c r="B32" s="154"/>
      <c r="C32" s="30" t="str">
        <f t="shared" si="0"/>
        <v/>
      </c>
      <c r="D32" s="151" t="str">
        <f>IFERROR(VLOOKUP($A32,Sheet1!$A$1:$B$98,2,0),"")</f>
        <v/>
      </c>
      <c r="E32" s="30" t="str">
        <f>IFERROR(VLOOKUP($A32,'Tổng Đơn'!$A$5:$E$52,5,0),"")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308</v>
      </c>
      <c r="B33" s="154"/>
      <c r="C33" s="30" t="str">
        <f t="shared" si="0"/>
        <v/>
      </c>
      <c r="D33" s="151" t="str">
        <f>IFERROR(VLOOKUP($A33,Sheet1!$A$1:$B$98,2,0),"")</f>
        <v/>
      </c>
      <c r="E33" s="30" t="str">
        <f>IFERROR(VLOOKUP($A33,'Tổng Đơn'!$A$5:$E$52,5,0),"")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308</v>
      </c>
      <c r="B34" s="154"/>
      <c r="C34" s="30" t="str">
        <f t="shared" si="0"/>
        <v/>
      </c>
      <c r="D34" s="151" t="str">
        <f>IFERROR(VLOOKUP($A34,Sheet1!$A$1:$B$98,2,0),"")</f>
        <v/>
      </c>
      <c r="E34" s="30" t="str">
        <f>IFERROR(VLOOKUP($A34,'Tổng Đơn'!$A$5:$E$52,5,0),"")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308</v>
      </c>
      <c r="B35" s="154"/>
      <c r="C35" s="30" t="str">
        <f t="shared" si="0"/>
        <v/>
      </c>
      <c r="D35" s="151" t="str">
        <f>IFERROR(VLOOKUP($A35,Sheet1!$A$1:$B$98,2,0),"")</f>
        <v/>
      </c>
      <c r="E35" s="30" t="str">
        <f>IFERROR(VLOOKUP($A35,'Tổng Đơn'!$A$5:$E$52,5,0),"")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308</v>
      </c>
      <c r="B36" s="154"/>
      <c r="C36" s="30" t="str">
        <f t="shared" si="0"/>
        <v/>
      </c>
      <c r="D36" s="151" t="str">
        <f>IFERROR(VLOOKUP($A36,Sheet1!$A$1:$B$98,2,0),"")</f>
        <v/>
      </c>
      <c r="E36" s="30" t="str">
        <f>IFERROR(VLOOKUP($A36,'Tổng Đơn'!$A$5:$E$52,5,0),"")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308</v>
      </c>
      <c r="B37" s="154"/>
      <c r="C37" s="30" t="str">
        <f t="shared" si="0"/>
        <v/>
      </c>
      <c r="D37" s="151" t="str">
        <f>IFERROR(VLOOKUP($A37,Sheet1!$A$1:$B$98,2,0),"")</f>
        <v/>
      </c>
      <c r="E37" s="30" t="str">
        <f>IFERROR(VLOOKUP($A37,'Tổng Đơn'!$A$5:$E$52,5,0),"")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18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4" customFormat="1" ht="21" customHeight="1" x14ac:dyDescent="0.25">
      <c r="C5" s="287" t="s">
        <v>165</v>
      </c>
      <c r="D5" s="287"/>
      <c r="E5" s="287"/>
      <c r="F5" s="287"/>
      <c r="G5" s="287"/>
      <c r="H5" s="287"/>
    </row>
    <row r="6" spans="1:14" s="144" customFormat="1" ht="17.25" customHeight="1" x14ac:dyDescent="0.25">
      <c r="C6" s="153" t="s">
        <v>170</v>
      </c>
      <c r="D6" s="157" t="s">
        <v>318</v>
      </c>
      <c r="E6" s="149"/>
      <c r="F6" s="149"/>
      <c r="G6" s="281" t="str">
        <f ca="1">"Ngày "&amp;DAY(TODAY())&amp;" Tháng "&amp;MONTH(TODAY())&amp;" Năm "&amp;YEAR(TODAY())</f>
        <v>Ngày 2 Tháng 11 Năm 2022</v>
      </c>
      <c r="H6" s="281"/>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12.5</v>
      </c>
      <c r="L7" s="144"/>
    </row>
    <row r="8" spans="1:14" s="29" customFormat="1" ht="14.25" customHeight="1" x14ac:dyDescent="0.25">
      <c r="A8" s="154">
        <v>34</v>
      </c>
      <c r="B8" s="154">
        <v>15</v>
      </c>
      <c r="C8" s="30">
        <f t="shared" ref="C8:C37" si="0">IF(OR(SUM($C7,$A8&lt;&gt;"")=0,$A8=""),"",SUM($C7,$A8&lt;&gt;""))</f>
        <v>1</v>
      </c>
      <c r="D8" s="151" t="str">
        <f>IFERROR(VLOOKUP($A8,Sheet1!$A$1:$B$98,2,0),"")</f>
        <v>Cá viên KK</v>
      </c>
      <c r="E8" s="30">
        <f>IFERROR(VLOOKUP($A8,'Tổng Đơn'!$A$5:$E$52,5,0),"")</f>
        <v>0.5</v>
      </c>
      <c r="F8" s="30">
        <f t="shared" ref="F8:F37" si="1">IF($B8="","",B8)</f>
        <v>15</v>
      </c>
      <c r="G8" s="161">
        <f>IFERROR(VLOOKUP($A8,Sheet1!$A1:$D$98,4,0),"")</f>
        <v>25000</v>
      </c>
      <c r="H8" s="152">
        <f>IF($C7=MAX($C$8:$C$56),SUM($H7:$H$8),IFERROR($G8*$F8,""))</f>
        <v>375000</v>
      </c>
      <c r="I8" s="54">
        <f t="shared" ref="I8:I37" si="2">IF(TYPE($A8)&lt;&gt;1,"",IFERROR(F8*E8,""))</f>
        <v>7.5</v>
      </c>
      <c r="L8" s="32"/>
    </row>
    <row r="9" spans="1:14" s="29" customFormat="1" ht="14.25" customHeight="1" x14ac:dyDescent="0.25">
      <c r="A9" s="154">
        <v>39</v>
      </c>
      <c r="B9" s="154">
        <v>10</v>
      </c>
      <c r="C9" s="30">
        <f t="shared" si="0"/>
        <v>2</v>
      </c>
      <c r="D9" s="160" t="str">
        <f>IFERROR(VLOOKUP($A9,Sheet1!$A$1:$B$98,2,0),"")</f>
        <v>XX Đức KK</v>
      </c>
      <c r="E9" s="30">
        <f>IFERROR(VLOOKUP($A9,'Tổng Đơn'!$A$5:$E$52,5,0),"")</f>
        <v>0.5</v>
      </c>
      <c r="F9" s="30">
        <f t="shared" si="1"/>
        <v>10</v>
      </c>
      <c r="G9" s="161">
        <f>IF(AND($C9="",$C8&lt;&gt;""),"Tổng Cộng",IFERROR(VLOOKUP($A9,Sheet1!$A$1:$D$98,4,0),""))</f>
        <v>37000</v>
      </c>
      <c r="H9" s="152">
        <f>IF($C8=MAX($C$8:$C$56),SUM($H$8:$H8),IFERROR($G9*$F9,""))</f>
        <v>370000</v>
      </c>
      <c r="I9" s="54">
        <f t="shared" si="2"/>
        <v>5</v>
      </c>
      <c r="L9" s="31"/>
    </row>
    <row r="10" spans="1:14" s="29" customFormat="1" ht="14.25" customHeight="1" x14ac:dyDescent="0.25">
      <c r="A10" s="154">
        <v>1</v>
      </c>
      <c r="B10" s="154">
        <v>1</v>
      </c>
      <c r="C10" s="30">
        <f t="shared" si="0"/>
        <v>3</v>
      </c>
      <c r="D10" s="160" t="s">
        <v>310</v>
      </c>
      <c r="E10" s="30" t="s">
        <v>235</v>
      </c>
      <c r="F10" s="30" t="s">
        <v>235</v>
      </c>
      <c r="G10" s="161" t="s">
        <v>235</v>
      </c>
      <c r="H10" s="152">
        <f>-15*2000</f>
        <v>-30000</v>
      </c>
      <c r="I10" s="54" t="str">
        <f t="shared" si="2"/>
        <v/>
      </c>
      <c r="L10" s="31"/>
    </row>
    <row r="11" spans="1:14" s="29" customFormat="1" ht="14.25" customHeight="1" x14ac:dyDescent="0.25">
      <c r="A11" s="154" t="s">
        <v>308</v>
      </c>
      <c r="B11" s="154"/>
      <c r="C11" s="30" t="str">
        <f t="shared" si="0"/>
        <v/>
      </c>
      <c r="D11" s="160" t="str">
        <f>IFERROR(VLOOKUP($A11,Sheet1!$A$1:$B$98,2,0),"")</f>
        <v/>
      </c>
      <c r="E11" s="30" t="str">
        <f>IFERROR(VLOOKUP($A11,'Tổng Đơn'!$A$5:$E$52,5,0),"")</f>
        <v/>
      </c>
      <c r="F11" s="30" t="str">
        <f t="shared" si="1"/>
        <v/>
      </c>
      <c r="G11" s="161" t="str">
        <f>IF(AND($C11="",$C10&lt;&gt;""),"Tổng Cộng",IFERROR(VLOOKUP($A11,Sheet1!$A$1:$D$98,4,0),""))</f>
        <v>Tổng Cộng</v>
      </c>
      <c r="H11" s="152">
        <f>IF($C10=MAX($C$8:$C$56),SUM($H$8:$H10),IFERROR($G11*$F11,""))</f>
        <v>715000</v>
      </c>
      <c r="I11" s="54" t="str">
        <f t="shared" si="2"/>
        <v/>
      </c>
      <c r="L11" s="31"/>
    </row>
    <row r="12" spans="1:14" s="29" customFormat="1" ht="14.25" customHeight="1" x14ac:dyDescent="0.25">
      <c r="A12" s="154" t="s">
        <v>308</v>
      </c>
      <c r="B12" s="154"/>
      <c r="C12" s="30" t="str">
        <f t="shared" si="0"/>
        <v/>
      </c>
      <c r="D12" s="160" t="str">
        <f>IFERROR(VLOOKUP($A12,Sheet1!$A$1:$B$98,2,0),"")</f>
        <v/>
      </c>
      <c r="E12" s="30" t="str">
        <f>IFERROR(VLOOKUP($A12,'Tổng Đơn'!$A$5:$E$52,5,0),"")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308</v>
      </c>
      <c r="B13" s="154"/>
      <c r="C13" s="30" t="str">
        <f t="shared" si="0"/>
        <v/>
      </c>
      <c r="D13" s="160" t="str">
        <f>IFERROR(VLOOKUP($A13,Sheet1!$A$1:$B$98,2,0),"")</f>
        <v/>
      </c>
      <c r="E13" s="30" t="str">
        <f>IFERROR(VLOOKUP($A13,'Tổng Đơn'!$A$5:$E$52,5,0),"")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308</v>
      </c>
      <c r="B14" s="154"/>
      <c r="C14" s="30" t="str">
        <f t="shared" si="0"/>
        <v/>
      </c>
      <c r="D14" s="160" t="str">
        <f>IFERROR(VLOOKUP($A14,Sheet1!$A$1:$B$98,2,0),"")</f>
        <v/>
      </c>
      <c r="E14" s="30" t="str">
        <f>IFERROR(VLOOKUP($A14,'Tổng Đơn'!$A$5:$E$52,5,0),"")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308</v>
      </c>
      <c r="B15" s="154"/>
      <c r="C15" s="30" t="str">
        <f t="shared" si="0"/>
        <v/>
      </c>
      <c r="D15" s="160" t="str">
        <f>IFERROR(VLOOKUP($A15,Sheet1!$A$1:$B$98,2,0),"")</f>
        <v/>
      </c>
      <c r="E15" s="30" t="str">
        <f>IFERROR(VLOOKUP($A15,'Tổng Đơn'!$A$5:$E$52,5,0),"")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308</v>
      </c>
      <c r="B16" s="154"/>
      <c r="C16" s="30" t="str">
        <f t="shared" si="0"/>
        <v/>
      </c>
      <c r="D16" s="160" t="str">
        <f>IFERROR(VLOOKUP($A16,Sheet1!$A$1:$B$98,2,0),"")</f>
        <v/>
      </c>
      <c r="E16" s="30" t="str">
        <f>IFERROR(VLOOKUP($A16,'Tổng Đơn'!$A$5:$E$52,5,0),"")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308</v>
      </c>
      <c r="B17" s="154"/>
      <c r="C17" s="30" t="str">
        <f t="shared" si="0"/>
        <v/>
      </c>
      <c r="D17" s="160" t="str">
        <f>IFERROR(VLOOKUP($A17,Sheet1!$A$1:$B$98,2,0),"")</f>
        <v/>
      </c>
      <c r="E17" s="30" t="str">
        <f>IFERROR(VLOOKUP($A17,'Tổng Đơn'!$A$5:$E$52,5,0),"")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308</v>
      </c>
      <c r="B18" s="154"/>
      <c r="C18" s="30" t="str">
        <f t="shared" si="0"/>
        <v/>
      </c>
      <c r="D18" s="160" t="str">
        <f>IFERROR(VLOOKUP($A18,Sheet1!$A$1:$B$98,2,0),"")</f>
        <v/>
      </c>
      <c r="E18" s="30" t="str">
        <f>IFERROR(VLOOKUP($A18,'Tổng Đơn'!$A$5:$E$52,5,0),"")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308</v>
      </c>
      <c r="B19" s="154"/>
      <c r="C19" s="30" t="str">
        <f t="shared" si="0"/>
        <v/>
      </c>
      <c r="D19" s="160" t="str">
        <f>IFERROR(VLOOKUP($A19,Sheet1!$A$1:$B$98,2,0),"")</f>
        <v/>
      </c>
      <c r="E19" s="30" t="str">
        <f>IFERROR(VLOOKUP($A19,'Tổng Đơn'!$A$5:$E$52,5,0),"")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308</v>
      </c>
      <c r="B20" s="154"/>
      <c r="C20" s="30" t="str">
        <f t="shared" si="0"/>
        <v/>
      </c>
      <c r="D20" s="160" t="str">
        <f>IFERROR(VLOOKUP($A20,Sheet1!$A$1:$B$98,2,0),"")</f>
        <v/>
      </c>
      <c r="E20" s="30" t="str">
        <f>IFERROR(VLOOKUP($A20,'Tổng Đơn'!$A$5:$E$52,5,0),"")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308</v>
      </c>
      <c r="B21" s="154"/>
      <c r="C21" s="30" t="str">
        <f t="shared" si="0"/>
        <v/>
      </c>
      <c r="D21" s="160" t="str">
        <f>IFERROR(VLOOKUP($A21,Sheet1!$A$1:$B$98,2,0),"")</f>
        <v/>
      </c>
      <c r="E21" s="30" t="str">
        <f>IFERROR(VLOOKUP($A21,'Tổng Đơn'!$A$5:$E$52,5,0),"")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308</v>
      </c>
      <c r="B22" s="154"/>
      <c r="C22" s="30" t="str">
        <f t="shared" si="0"/>
        <v/>
      </c>
      <c r="D22" s="151" t="str">
        <f>IFERROR(VLOOKUP($A22,Sheet1!$A$1:$B$98,2,0),"")</f>
        <v/>
      </c>
      <c r="E22" s="30" t="str">
        <f>IFERROR(VLOOKUP($A22,'Tổng Đơn'!$A$5:$E$52,5,0),"")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308</v>
      </c>
      <c r="B23" s="154"/>
      <c r="C23" s="30" t="str">
        <f t="shared" si="0"/>
        <v/>
      </c>
      <c r="D23" s="151" t="str">
        <f>IFERROR(VLOOKUP($A23,Sheet1!$A$1:$B$98,2,0),"")</f>
        <v/>
      </c>
      <c r="E23" s="30" t="str">
        <f>IFERROR(VLOOKUP($A23,'Tổng Đơn'!$A$5:$E$52,5,0),"")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308</v>
      </c>
      <c r="B24" s="154"/>
      <c r="C24" s="30" t="str">
        <f t="shared" si="0"/>
        <v/>
      </c>
      <c r="D24" s="151" t="str">
        <f>IFERROR(VLOOKUP($A24,Sheet1!$A$1:$B$98,2,0),"")</f>
        <v/>
      </c>
      <c r="E24" s="30" t="str">
        <f>IFERROR(VLOOKUP($A24,'Tổng Đơn'!$A$5:$E$52,5,0),"")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308</v>
      </c>
      <c r="B25" s="154"/>
      <c r="C25" s="30" t="str">
        <f t="shared" si="0"/>
        <v/>
      </c>
      <c r="D25" s="151" t="str">
        <f>IFERROR(VLOOKUP($A25,Sheet1!$A$1:$B$98,2,0),"")</f>
        <v/>
      </c>
      <c r="E25" s="30" t="str">
        <f>IFERROR(VLOOKUP($A25,'Tổng Đơn'!$A$5:$E$52,5,0),"")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308</v>
      </c>
      <c r="B26" s="154"/>
      <c r="C26" s="30" t="str">
        <f t="shared" si="0"/>
        <v/>
      </c>
      <c r="D26" s="151" t="str">
        <f>IFERROR(VLOOKUP($A26,Sheet1!$A$1:$B$98,2,0),"")</f>
        <v/>
      </c>
      <c r="E26" s="30" t="str">
        <f>IFERROR(VLOOKUP($A26,'Tổng Đơn'!$A$5:$E$52,5,0),"")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308</v>
      </c>
      <c r="B27" s="154"/>
      <c r="C27" s="30" t="str">
        <f t="shared" si="0"/>
        <v/>
      </c>
      <c r="D27" s="151" t="str">
        <f>IFERROR(VLOOKUP($A27,Sheet1!$A$1:$B$98,2,0),"")</f>
        <v/>
      </c>
      <c r="E27" s="30" t="str">
        <f>IFERROR(VLOOKUP($A27,'Tổng Đơn'!$A$5:$E$52,5,0),"")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308</v>
      </c>
      <c r="B28" s="154"/>
      <c r="C28" s="30" t="str">
        <f t="shared" si="0"/>
        <v/>
      </c>
      <c r="D28" s="151" t="str">
        <f>IFERROR(VLOOKUP($A28,Sheet1!$A$1:$B$98,2,0),"")</f>
        <v/>
      </c>
      <c r="E28" s="30" t="str">
        <f>IFERROR(VLOOKUP($A28,'Tổng Đơn'!$A$5:$E$52,5,0),"")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308</v>
      </c>
      <c r="B29" s="154"/>
      <c r="C29" s="30" t="str">
        <f t="shared" si="0"/>
        <v/>
      </c>
      <c r="D29" s="151" t="str">
        <f>IFERROR(VLOOKUP($A29,Sheet1!$A$1:$B$98,2,0),"")</f>
        <v/>
      </c>
      <c r="E29" s="30" t="str">
        <f>IFERROR(VLOOKUP($A29,'Tổng Đơn'!$A$5:$E$52,5,0),"")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308</v>
      </c>
      <c r="B30" s="154"/>
      <c r="C30" s="30" t="str">
        <f t="shared" si="0"/>
        <v/>
      </c>
      <c r="D30" s="151" t="str">
        <f>IFERROR(VLOOKUP($A30,Sheet1!$A$1:$B$98,2,0),"")</f>
        <v/>
      </c>
      <c r="E30" s="30" t="str">
        <f>IFERROR(VLOOKUP($A30,'Tổng Đơn'!$A$5:$E$52,5,0),"")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308</v>
      </c>
      <c r="B31" s="154"/>
      <c r="C31" s="30" t="str">
        <f t="shared" si="0"/>
        <v/>
      </c>
      <c r="D31" s="151" t="str">
        <f>IFERROR(VLOOKUP($A31,Sheet1!$A$1:$B$98,2,0),"")</f>
        <v/>
      </c>
      <c r="E31" s="30" t="str">
        <f>IFERROR(VLOOKUP($A31,'Tổng Đơn'!$A$5:$E$52,5,0),"")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308</v>
      </c>
      <c r="B32" s="154"/>
      <c r="C32" s="30" t="str">
        <f t="shared" si="0"/>
        <v/>
      </c>
      <c r="D32" s="151" t="str">
        <f>IFERROR(VLOOKUP($A32,Sheet1!$A$1:$B$98,2,0),"")</f>
        <v/>
      </c>
      <c r="E32" s="30" t="str">
        <f>IFERROR(VLOOKUP($A32,'Tổng Đơn'!$A$5:$E$52,5,0),"")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308</v>
      </c>
      <c r="B33" s="154"/>
      <c r="C33" s="30" t="str">
        <f t="shared" si="0"/>
        <v/>
      </c>
      <c r="D33" s="151" t="str">
        <f>IFERROR(VLOOKUP($A33,Sheet1!$A$1:$B$98,2,0),"")</f>
        <v/>
      </c>
      <c r="E33" s="30" t="str">
        <f>IFERROR(VLOOKUP($A33,'Tổng Đơn'!$A$5:$E$52,5,0),"")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308</v>
      </c>
      <c r="B34" s="154"/>
      <c r="C34" s="30" t="str">
        <f t="shared" si="0"/>
        <v/>
      </c>
      <c r="D34" s="151" t="str">
        <f>IFERROR(VLOOKUP($A34,Sheet1!$A$1:$B$98,2,0),"")</f>
        <v/>
      </c>
      <c r="E34" s="30" t="str">
        <f>IFERROR(VLOOKUP($A34,'Tổng Đơn'!$A$5:$E$52,5,0),"")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308</v>
      </c>
      <c r="B35" s="154"/>
      <c r="C35" s="30" t="str">
        <f t="shared" si="0"/>
        <v/>
      </c>
      <c r="D35" s="151" t="str">
        <f>IFERROR(VLOOKUP($A35,Sheet1!$A$1:$B$98,2,0),"")</f>
        <v/>
      </c>
      <c r="E35" s="30" t="str">
        <f>IFERROR(VLOOKUP($A35,'Tổng Đơn'!$A$5:$E$52,5,0),"")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308</v>
      </c>
      <c r="B36" s="154"/>
      <c r="C36" s="30" t="str">
        <f t="shared" si="0"/>
        <v/>
      </c>
      <c r="D36" s="151" t="str">
        <f>IFERROR(VLOOKUP($A36,Sheet1!$A$1:$B$98,2,0),"")</f>
        <v/>
      </c>
      <c r="E36" s="30" t="str">
        <f>IFERROR(VLOOKUP($A36,'Tổng Đơn'!$A$5:$E$52,5,0),"")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308</v>
      </c>
      <c r="B37" s="154"/>
      <c r="C37" s="30" t="str">
        <f t="shared" si="0"/>
        <v/>
      </c>
      <c r="D37" s="151" t="str">
        <f>IFERROR(VLOOKUP($A37,Sheet1!$A$1:$B$98,2,0),"")</f>
        <v/>
      </c>
      <c r="E37" s="30" t="str">
        <f>IFERROR(VLOOKUP($A37,'Tổng Đơn'!$A$5:$E$52,5,0),"")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57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4" customFormat="1" ht="21" customHeight="1" x14ac:dyDescent="0.25">
      <c r="C5" s="287" t="s">
        <v>165</v>
      </c>
      <c r="D5" s="287"/>
      <c r="E5" s="287"/>
      <c r="F5" s="287"/>
      <c r="G5" s="287"/>
      <c r="H5" s="287"/>
    </row>
    <row r="6" spans="1:14" s="144" customFormat="1" ht="17.25" customHeight="1" x14ac:dyDescent="0.25">
      <c r="C6" s="153" t="s">
        <v>170</v>
      </c>
      <c r="D6" s="157" t="s">
        <v>317</v>
      </c>
      <c r="E6" s="149"/>
      <c r="F6" s="149"/>
      <c r="G6" s="281" t="str">
        <f ca="1">"Ngày "&amp;DAY(TODAY())&amp;" Tháng "&amp;MONTH(TODAY())&amp;" Năm "&amp;YEAR(TODAY())</f>
        <v>Ngày 2 Tháng 11 Năm 2022</v>
      </c>
      <c r="H6" s="281"/>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7</v>
      </c>
      <c r="B8" s="154">
        <v>1</v>
      </c>
      <c r="C8" s="30">
        <f t="shared" ref="C8:C37" si="0">IF(OR(SUM($C7,$A8&lt;&gt;"")=0,$A8=""),"",SUM($C7,$A8&lt;&gt;""))</f>
        <v>1</v>
      </c>
      <c r="D8" s="151" t="str">
        <f>IFERROR(VLOOKUP($A8,Sheet1!$A$1:$B$98,2,0),"")</f>
        <v>Hải sản sốt cam LC</v>
      </c>
      <c r="E8" s="30">
        <f>IFERROR(VLOOKUP($A8,'Tổng Đơn'!$A$5:$E$52,5,0),"")</f>
        <v>0.5</v>
      </c>
      <c r="F8" s="30">
        <f t="shared" ref="F8:F37" si="1">IF($B8="","",B8)</f>
        <v>1</v>
      </c>
      <c r="G8" s="161">
        <f>IFERROR(VLOOKUP($A8,Sheet1!$A1:$D$98,4,0),"")</f>
        <v>45000</v>
      </c>
      <c r="H8" s="152">
        <f>IF($C7=MAX($C$8:$C$56),SUM($H7:$H$8),IFERROR($G8*$F8,""))</f>
        <v>45000</v>
      </c>
      <c r="I8" s="54">
        <f t="shared" ref="I8:I37" si="2">IF(TYPE($A8)&lt;&gt;1,"",IFERROR(F8*E8,""))</f>
        <v>0.5</v>
      </c>
      <c r="L8" s="32"/>
    </row>
    <row r="9" spans="1:14" s="29" customFormat="1" ht="14.25" customHeight="1" x14ac:dyDescent="0.25">
      <c r="A9" s="154">
        <v>34</v>
      </c>
      <c r="B9" s="154">
        <v>1</v>
      </c>
      <c r="C9" s="30">
        <f t="shared" si="0"/>
        <v>2</v>
      </c>
      <c r="D9" s="160" t="str">
        <f>IFERROR(VLOOKUP($A9,Sheet1!$A$1:$B$98,2,0),"")</f>
        <v>Cá viên KK</v>
      </c>
      <c r="E9" s="30">
        <f>IFERROR(VLOOKUP($A9,'Tổng Đơn'!$A$5:$E$52,5,0),"")</f>
        <v>0.5</v>
      </c>
      <c r="F9" s="30">
        <f t="shared" si="1"/>
        <v>1</v>
      </c>
      <c r="G9" s="161">
        <f>IF(AND($C9="",$C8&lt;&gt;""),"Tổng Cộng",IFERROR(VLOOKUP($A9,Sheet1!$A$1:$D$98,4,0),""))</f>
        <v>25000</v>
      </c>
      <c r="H9" s="152">
        <f>IF($C8=MAX($C$8:$C$56),SUM($H$8:$H8),IFERROR($G9*$F9,""))</f>
        <v>25000</v>
      </c>
      <c r="I9" s="54">
        <f t="shared" si="2"/>
        <v>0.5</v>
      </c>
      <c r="L9" s="31"/>
    </row>
    <row r="10" spans="1:14" s="29" customFormat="1" ht="14.25" customHeight="1" x14ac:dyDescent="0.25">
      <c r="A10" s="154">
        <v>39</v>
      </c>
      <c r="B10" s="154">
        <v>1</v>
      </c>
      <c r="C10" s="30">
        <f t="shared" si="0"/>
        <v>3</v>
      </c>
      <c r="D10" s="160" t="str">
        <f>IFERROR(VLOOKUP($A10,Sheet1!$A$1:$B$98,2,0),"")</f>
        <v>XX Đức KK</v>
      </c>
      <c r="E10" s="30">
        <f>IFERROR(VLOOKUP($A10,'Tổng Đơn'!$A$5:$E$52,5,0),"")</f>
        <v>0.5</v>
      </c>
      <c r="F10" s="30">
        <f t="shared" si="1"/>
        <v>1</v>
      </c>
      <c r="G10" s="161">
        <f>IF(AND($C10="",$C9&lt;&gt;""),"Tổng Cộng",IFERROR(VLOOKUP($A10,Sheet1!$A$1:$D$98,4,0),""))</f>
        <v>37000</v>
      </c>
      <c r="H10" s="152">
        <f>IF($C9=MAX($C$8:$C$56),SUM($H$8:$H9),IFERROR($G10*$F10,""))</f>
        <v>37000</v>
      </c>
      <c r="I10" s="54">
        <f t="shared" si="2"/>
        <v>0.5</v>
      </c>
      <c r="L10" s="31"/>
    </row>
    <row r="11" spans="1:14" s="29" customFormat="1" ht="14.25" customHeight="1" x14ac:dyDescent="0.25">
      <c r="A11" s="154">
        <v>1</v>
      </c>
      <c r="B11" s="154">
        <v>1</v>
      </c>
      <c r="C11" s="30">
        <f t="shared" si="0"/>
        <v>4</v>
      </c>
      <c r="D11" s="160" t="s">
        <v>310</v>
      </c>
      <c r="E11" s="30" t="s">
        <v>235</v>
      </c>
      <c r="F11" s="30" t="s">
        <v>235</v>
      </c>
      <c r="G11" s="161" t="s">
        <v>235</v>
      </c>
      <c r="H11" s="152">
        <v>3000</v>
      </c>
      <c r="I11" s="54" t="str">
        <f t="shared" si="2"/>
        <v/>
      </c>
      <c r="L11" s="31"/>
    </row>
    <row r="12" spans="1:14" s="29" customFormat="1" ht="14.25" customHeight="1" x14ac:dyDescent="0.25">
      <c r="A12" s="154" t="s">
        <v>308</v>
      </c>
      <c r="B12" s="154"/>
      <c r="C12" s="30" t="str">
        <f t="shared" si="0"/>
        <v/>
      </c>
      <c r="D12" s="160" t="str">
        <f>IFERROR(VLOOKUP($A12,Sheet1!$A$1:$B$98,2,0),"")</f>
        <v/>
      </c>
      <c r="E12" s="30" t="str">
        <f>IFERROR(VLOOKUP($A12,'Tổng Đơn'!$A$5:$E$52,5,0),"")</f>
        <v/>
      </c>
      <c r="F12" s="30" t="str">
        <f t="shared" si="1"/>
        <v/>
      </c>
      <c r="G12" s="161" t="str">
        <f>IF(AND($C12="",$C11&lt;&gt;""),"Tổng Cộng",IFERROR(VLOOKUP($A12,Sheet1!$A$1:$D$98,4,0),""))</f>
        <v>Tổng Cộng</v>
      </c>
      <c r="H12" s="152">
        <f>IF($C11=MAX($C$8:$C$56),SUM($H$8:$H11),IFERROR($G12*$F12,""))</f>
        <v>110000</v>
      </c>
      <c r="I12" s="54" t="str">
        <f t="shared" si="2"/>
        <v/>
      </c>
      <c r="J12" s="126"/>
      <c r="L12" s="31"/>
      <c r="M12" s="134"/>
      <c r="N12" s="127"/>
    </row>
    <row r="13" spans="1:14" s="29" customFormat="1" ht="14.25" customHeight="1" x14ac:dyDescent="0.25">
      <c r="A13" s="154" t="s">
        <v>308</v>
      </c>
      <c r="B13" s="154"/>
      <c r="C13" s="30" t="str">
        <f t="shared" si="0"/>
        <v/>
      </c>
      <c r="D13" s="160" t="str">
        <f>IFERROR(VLOOKUP($A13,Sheet1!$A$1:$B$98,2,0),"")</f>
        <v/>
      </c>
      <c r="E13" s="30" t="str">
        <f>IFERROR(VLOOKUP($A13,'Tổng Đơn'!$A$5:$E$52,5,0),"")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308</v>
      </c>
      <c r="B14" s="154"/>
      <c r="C14" s="30" t="str">
        <f t="shared" si="0"/>
        <v/>
      </c>
      <c r="D14" s="160" t="str">
        <f>IFERROR(VLOOKUP($A14,Sheet1!$A$1:$B$98,2,0),"")</f>
        <v/>
      </c>
      <c r="E14" s="30" t="str">
        <f>IFERROR(VLOOKUP($A14,'Tổng Đơn'!$A$5:$E$52,5,0),"")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308</v>
      </c>
      <c r="B15" s="154"/>
      <c r="C15" s="30" t="str">
        <f t="shared" si="0"/>
        <v/>
      </c>
      <c r="D15" s="160" t="str">
        <f>IFERROR(VLOOKUP($A15,Sheet1!$A$1:$B$98,2,0),"")</f>
        <v/>
      </c>
      <c r="E15" s="30" t="str">
        <f>IFERROR(VLOOKUP($A15,'Tổng Đơn'!$A$5:$E$52,5,0),"")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308</v>
      </c>
      <c r="B16" s="154"/>
      <c r="C16" s="30" t="str">
        <f t="shared" si="0"/>
        <v/>
      </c>
      <c r="D16" s="160" t="str">
        <f>IFERROR(VLOOKUP($A16,Sheet1!$A$1:$B$98,2,0),"")</f>
        <v/>
      </c>
      <c r="E16" s="30" t="str">
        <f>IFERROR(VLOOKUP($A16,'Tổng Đơn'!$A$5:$E$52,5,0),"")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308</v>
      </c>
      <c r="B17" s="154"/>
      <c r="C17" s="30" t="str">
        <f t="shared" si="0"/>
        <v/>
      </c>
      <c r="D17" s="160" t="str">
        <f>IFERROR(VLOOKUP($A17,Sheet1!$A$1:$B$98,2,0),"")</f>
        <v/>
      </c>
      <c r="E17" s="30" t="str">
        <f>IFERROR(VLOOKUP($A17,'Tổng Đơn'!$A$5:$E$52,5,0),"")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308</v>
      </c>
      <c r="B18" s="154"/>
      <c r="C18" s="30" t="str">
        <f t="shared" si="0"/>
        <v/>
      </c>
      <c r="D18" s="160" t="str">
        <f>IFERROR(VLOOKUP($A18,Sheet1!$A$1:$B$98,2,0),"")</f>
        <v/>
      </c>
      <c r="E18" s="30" t="str">
        <f>IFERROR(VLOOKUP($A18,'Tổng Đơn'!$A$5:$E$52,5,0),"")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308</v>
      </c>
      <c r="B19" s="154"/>
      <c r="C19" s="30" t="str">
        <f t="shared" si="0"/>
        <v/>
      </c>
      <c r="D19" s="160" t="str">
        <f>IFERROR(VLOOKUP($A19,Sheet1!$A$1:$B$98,2,0),"")</f>
        <v/>
      </c>
      <c r="E19" s="30" t="str">
        <f>IFERROR(VLOOKUP($A19,'Tổng Đơn'!$A$5:$E$52,5,0),"")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308</v>
      </c>
      <c r="B20" s="154"/>
      <c r="C20" s="30" t="str">
        <f t="shared" si="0"/>
        <v/>
      </c>
      <c r="D20" s="160" t="str">
        <f>IFERROR(VLOOKUP($A20,Sheet1!$A$1:$B$98,2,0),"")</f>
        <v/>
      </c>
      <c r="E20" s="30" t="str">
        <f>IFERROR(VLOOKUP($A20,'Tổng Đơn'!$A$5:$E$52,5,0),"")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308</v>
      </c>
      <c r="B21" s="154"/>
      <c r="C21" s="30" t="str">
        <f t="shared" si="0"/>
        <v/>
      </c>
      <c r="D21" s="160" t="str">
        <f>IFERROR(VLOOKUP($A21,Sheet1!$A$1:$B$98,2,0),"")</f>
        <v/>
      </c>
      <c r="E21" s="30" t="str">
        <f>IFERROR(VLOOKUP($A21,'Tổng Đơn'!$A$5:$E$52,5,0),"")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308</v>
      </c>
      <c r="B22" s="154"/>
      <c r="C22" s="30" t="str">
        <f t="shared" si="0"/>
        <v/>
      </c>
      <c r="D22" s="151" t="str">
        <f>IFERROR(VLOOKUP($A22,Sheet1!$A$1:$B$98,2,0),"")</f>
        <v/>
      </c>
      <c r="E22" s="30" t="str">
        <f>IFERROR(VLOOKUP($A22,'Tổng Đơn'!$A$5:$E$52,5,0),"")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308</v>
      </c>
      <c r="B23" s="154"/>
      <c r="C23" s="30" t="str">
        <f t="shared" si="0"/>
        <v/>
      </c>
      <c r="D23" s="151" t="str">
        <f>IFERROR(VLOOKUP($A23,Sheet1!$A$1:$B$98,2,0),"")</f>
        <v/>
      </c>
      <c r="E23" s="30" t="str">
        <f>IFERROR(VLOOKUP($A23,'Tổng Đơn'!$A$5:$E$52,5,0),"")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308</v>
      </c>
      <c r="B24" s="154"/>
      <c r="C24" s="30" t="str">
        <f t="shared" si="0"/>
        <v/>
      </c>
      <c r="D24" s="151" t="str">
        <f>IFERROR(VLOOKUP($A24,Sheet1!$A$1:$B$98,2,0),"")</f>
        <v/>
      </c>
      <c r="E24" s="30" t="str">
        <f>IFERROR(VLOOKUP($A24,'Tổng Đơn'!$A$5:$E$52,5,0),"")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308</v>
      </c>
      <c r="B25" s="154"/>
      <c r="C25" s="30" t="str">
        <f t="shared" si="0"/>
        <v/>
      </c>
      <c r="D25" s="151" t="str">
        <f>IFERROR(VLOOKUP($A25,Sheet1!$A$1:$B$98,2,0),"")</f>
        <v/>
      </c>
      <c r="E25" s="30" t="str">
        <f>IFERROR(VLOOKUP($A25,'Tổng Đơn'!$A$5:$E$52,5,0),"")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308</v>
      </c>
      <c r="B26" s="154"/>
      <c r="C26" s="30" t="str">
        <f t="shared" si="0"/>
        <v/>
      </c>
      <c r="D26" s="151" t="str">
        <f>IFERROR(VLOOKUP($A26,Sheet1!$A$1:$B$98,2,0),"")</f>
        <v/>
      </c>
      <c r="E26" s="30" t="str">
        <f>IFERROR(VLOOKUP($A26,'Tổng Đơn'!$A$5:$E$52,5,0),"")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308</v>
      </c>
      <c r="B27" s="154"/>
      <c r="C27" s="30" t="str">
        <f t="shared" si="0"/>
        <v/>
      </c>
      <c r="D27" s="151" t="str">
        <f>IFERROR(VLOOKUP($A27,Sheet1!$A$1:$B$98,2,0),"")</f>
        <v/>
      </c>
      <c r="E27" s="30" t="str">
        <f>IFERROR(VLOOKUP($A27,'Tổng Đơn'!$A$5:$E$52,5,0),"")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308</v>
      </c>
      <c r="B28" s="154"/>
      <c r="C28" s="30" t="str">
        <f t="shared" si="0"/>
        <v/>
      </c>
      <c r="D28" s="151" t="str">
        <f>IFERROR(VLOOKUP($A28,Sheet1!$A$1:$B$98,2,0),"")</f>
        <v/>
      </c>
      <c r="E28" s="30" t="str">
        <f>IFERROR(VLOOKUP($A28,'Tổng Đơn'!$A$5:$E$52,5,0),"")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308</v>
      </c>
      <c r="B29" s="154"/>
      <c r="C29" s="30" t="str">
        <f t="shared" si="0"/>
        <v/>
      </c>
      <c r="D29" s="151" t="str">
        <f>IFERROR(VLOOKUP($A29,Sheet1!$A$1:$B$98,2,0),"")</f>
        <v/>
      </c>
      <c r="E29" s="30" t="str">
        <f>IFERROR(VLOOKUP($A29,'Tổng Đơn'!$A$5:$E$52,5,0),"")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308</v>
      </c>
      <c r="B30" s="154"/>
      <c r="C30" s="30" t="str">
        <f t="shared" si="0"/>
        <v/>
      </c>
      <c r="D30" s="151" t="str">
        <f>IFERROR(VLOOKUP($A30,Sheet1!$A$1:$B$98,2,0),"")</f>
        <v/>
      </c>
      <c r="E30" s="30" t="str">
        <f>IFERROR(VLOOKUP($A30,'Tổng Đơn'!$A$5:$E$52,5,0),"")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308</v>
      </c>
      <c r="B31" s="154"/>
      <c r="C31" s="30" t="str">
        <f t="shared" si="0"/>
        <v/>
      </c>
      <c r="D31" s="151" t="str">
        <f>IFERROR(VLOOKUP($A31,Sheet1!$A$1:$B$98,2,0),"")</f>
        <v/>
      </c>
      <c r="E31" s="30" t="str">
        <f>IFERROR(VLOOKUP($A31,'Tổng Đơn'!$A$5:$E$52,5,0),"")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308</v>
      </c>
      <c r="B32" s="154"/>
      <c r="C32" s="30" t="str">
        <f t="shared" si="0"/>
        <v/>
      </c>
      <c r="D32" s="151" t="str">
        <f>IFERROR(VLOOKUP($A32,Sheet1!$A$1:$B$98,2,0),"")</f>
        <v/>
      </c>
      <c r="E32" s="30" t="str">
        <f>IFERROR(VLOOKUP($A32,'Tổng Đơn'!$A$5:$E$52,5,0),"")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308</v>
      </c>
      <c r="B33" s="154"/>
      <c r="C33" s="30" t="str">
        <f t="shared" si="0"/>
        <v/>
      </c>
      <c r="D33" s="151" t="str">
        <f>IFERROR(VLOOKUP($A33,Sheet1!$A$1:$B$98,2,0),"")</f>
        <v/>
      </c>
      <c r="E33" s="30" t="str">
        <f>IFERROR(VLOOKUP($A33,'Tổng Đơn'!$A$5:$E$52,5,0),"")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308</v>
      </c>
      <c r="B34" s="154"/>
      <c r="C34" s="30" t="str">
        <f t="shared" si="0"/>
        <v/>
      </c>
      <c r="D34" s="151" t="str">
        <f>IFERROR(VLOOKUP($A34,Sheet1!$A$1:$B$98,2,0),"")</f>
        <v/>
      </c>
      <c r="E34" s="30" t="str">
        <f>IFERROR(VLOOKUP($A34,'Tổng Đơn'!$A$5:$E$52,5,0),"")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308</v>
      </c>
      <c r="B35" s="154"/>
      <c r="C35" s="30" t="str">
        <f t="shared" si="0"/>
        <v/>
      </c>
      <c r="D35" s="151" t="str">
        <f>IFERROR(VLOOKUP($A35,Sheet1!$A$1:$B$98,2,0),"")</f>
        <v/>
      </c>
      <c r="E35" s="30" t="str">
        <f>IFERROR(VLOOKUP($A35,'Tổng Đơn'!$A$5:$E$52,5,0),"")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308</v>
      </c>
      <c r="B36" s="154"/>
      <c r="C36" s="30" t="str">
        <f t="shared" si="0"/>
        <v/>
      </c>
      <c r="D36" s="151" t="str">
        <f>IFERROR(VLOOKUP($A36,Sheet1!$A$1:$B$98,2,0),"")</f>
        <v/>
      </c>
      <c r="E36" s="30" t="str">
        <f>IFERROR(VLOOKUP($A36,'Tổng Đơn'!$A$5:$E$52,5,0),"")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308</v>
      </c>
      <c r="B37" s="154"/>
      <c r="C37" s="30" t="str">
        <f t="shared" si="0"/>
        <v/>
      </c>
      <c r="D37" s="151" t="str">
        <f>IFERROR(VLOOKUP($A37,Sheet1!$A$1:$B$98,2,0),"")</f>
        <v/>
      </c>
      <c r="E37" s="30" t="str">
        <f>IFERROR(VLOOKUP($A37,'Tổng Đơn'!$A$5:$E$52,5,0),"")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46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4" customFormat="1" ht="21" customHeight="1" x14ac:dyDescent="0.25">
      <c r="C5" s="287" t="s">
        <v>165</v>
      </c>
      <c r="D5" s="287"/>
      <c r="E5" s="287"/>
      <c r="F5" s="287"/>
      <c r="G5" s="287"/>
      <c r="H5" s="287"/>
    </row>
    <row r="6" spans="1:14" s="144" customFormat="1" ht="17.25" customHeight="1" x14ac:dyDescent="0.25">
      <c r="C6" s="153" t="s">
        <v>170</v>
      </c>
      <c r="D6" s="157" t="s">
        <v>317</v>
      </c>
      <c r="E6" s="149"/>
      <c r="F6" s="149"/>
      <c r="G6" s="281" t="str">
        <f ca="1">"Ngày "&amp;DAY(TODAY())&amp;" Tháng "&amp;MONTH(TODAY())&amp;" Năm "&amp;YEAR(TODAY())</f>
        <v>Ngày 2 Tháng 11 Năm 2022</v>
      </c>
      <c r="H6" s="281"/>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25</v>
      </c>
      <c r="B8" s="154">
        <v>1</v>
      </c>
      <c r="C8" s="30">
        <f t="shared" ref="C8:C37" si="0">IF(OR(SUM($C7,$A8&lt;&gt;"")=0,$A8=""),"",SUM($C7,$A8&lt;&gt;""))</f>
        <v>1</v>
      </c>
      <c r="D8" s="151" t="str">
        <f>IFERROR(VLOOKUP($A8,Sheet1!$A$1:$B$98,2,0),"")</f>
        <v>Đậu hủ phô mai EB</v>
      </c>
      <c r="E8" s="30">
        <f>IFERROR(VLOOKUP($A8,'Tổng Đơn'!$A$5:$E$52,5,0),"")</f>
        <v>0.5</v>
      </c>
      <c r="F8" s="30">
        <f t="shared" ref="F8:F37" si="1">IF($B8="","",B8)</f>
        <v>1</v>
      </c>
      <c r="G8" s="161">
        <f>IFERROR(VLOOKUP($A8,Sheet1!$A1:$D$98,4,0),"")</f>
        <v>80000</v>
      </c>
      <c r="H8" s="152">
        <f>IF($C7=MAX($C$8:$C$56),SUM($H7:$H$8),IFERROR($G8*$F8,""))</f>
        <v>80000</v>
      </c>
      <c r="I8" s="54">
        <f t="shared" ref="I8:I37" si="2">IF(TYPE($A8)&lt;&gt;1,"",IFERROR(F8*E8,""))</f>
        <v>0.5</v>
      </c>
      <c r="L8" s="32"/>
    </row>
    <row r="9" spans="1:14" s="29" customFormat="1" ht="14.25" customHeight="1" x14ac:dyDescent="0.25">
      <c r="A9" s="154">
        <v>40</v>
      </c>
      <c r="B9" s="154">
        <v>1</v>
      </c>
      <c r="C9" s="30">
        <f t="shared" si="0"/>
        <v>2</v>
      </c>
      <c r="D9" s="160" t="str">
        <f>IFERROR(VLOOKUP($A9,Sheet1!$A$1:$B$98,2,0),"")</f>
        <v>Hồ lô KK</v>
      </c>
      <c r="E9" s="30">
        <f>IFERROR(VLOOKUP($A9,'Tổng Đơn'!$A$5:$E$52,5,0),"")</f>
        <v>0.5</v>
      </c>
      <c r="F9" s="30">
        <f t="shared" si="1"/>
        <v>1</v>
      </c>
      <c r="G9" s="161">
        <f>IF(AND($C9="",$C8&lt;&gt;""),"Tổng Cộng",IFERROR(VLOOKUP($A9,Sheet1!$A$1:$D$98,4,0),""))</f>
        <v>42000</v>
      </c>
      <c r="H9" s="152">
        <f>IF($C8=MAX($C$8:$C$56),SUM($H$8:$H8),IFERROR($G9*$F9,""))</f>
        <v>42000</v>
      </c>
      <c r="I9" s="54">
        <f t="shared" si="2"/>
        <v>0.5</v>
      </c>
      <c r="L9" s="31"/>
    </row>
    <row r="10" spans="1:14" s="29" customFormat="1" ht="14.25" customHeight="1" x14ac:dyDescent="0.25">
      <c r="A10" s="154" t="s">
        <v>308</v>
      </c>
      <c r="B10" s="154"/>
      <c r="C10" s="30" t="str">
        <f t="shared" si="0"/>
        <v/>
      </c>
      <c r="D10" s="160" t="str">
        <f>IFERROR(VLOOKUP($A10,Sheet1!$A$1:$B$98,2,0),"")</f>
        <v/>
      </c>
      <c r="E10" s="30" t="str">
        <f>IFERROR(VLOOKUP($A10,'Tổng Đơn'!$A$5:$E$52,5,0),"")</f>
        <v/>
      </c>
      <c r="F10" s="30" t="str">
        <f t="shared" si="1"/>
        <v/>
      </c>
      <c r="G10" s="161" t="str">
        <f>IF(AND($C10="",$C9&lt;&gt;""),"Tổng Cộng",IFERROR(VLOOKUP($A10,Sheet1!$A$1:$D$98,4,0),""))</f>
        <v>Tổng Cộng</v>
      </c>
      <c r="H10" s="152">
        <f>IF($C9=MAX($C$8:$C$56),SUM($H$8:$H9),IFERROR($G10*$F10,""))</f>
        <v>122000</v>
      </c>
      <c r="I10" s="54" t="str">
        <f t="shared" si="2"/>
        <v/>
      </c>
      <c r="L10" s="31"/>
    </row>
    <row r="11" spans="1:14" s="29" customFormat="1" ht="14.25" customHeight="1" x14ac:dyDescent="0.25">
      <c r="A11" s="154" t="s">
        <v>308</v>
      </c>
      <c r="B11" s="154"/>
      <c r="C11" s="30" t="str">
        <f t="shared" si="0"/>
        <v/>
      </c>
      <c r="D11" s="160" t="str">
        <f>IFERROR(VLOOKUP($A11,Sheet1!$A$1:$B$98,2,0),"")</f>
        <v/>
      </c>
      <c r="E11" s="30" t="str">
        <f>IFERROR(VLOOKUP($A11,'Tổng Đơn'!$A$5:$E$52,5,0),"")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308</v>
      </c>
      <c r="B12" s="154"/>
      <c r="C12" s="30" t="str">
        <f t="shared" si="0"/>
        <v/>
      </c>
      <c r="D12" s="160" t="str">
        <f>IFERROR(VLOOKUP($A12,Sheet1!$A$1:$B$98,2,0),"")</f>
        <v/>
      </c>
      <c r="E12" s="30" t="str">
        <f>IFERROR(VLOOKUP($A12,'Tổng Đơn'!$A$5:$E$52,5,0),"")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308</v>
      </c>
      <c r="B13" s="154"/>
      <c r="C13" s="30" t="str">
        <f t="shared" si="0"/>
        <v/>
      </c>
      <c r="D13" s="160" t="str">
        <f>IFERROR(VLOOKUP($A13,Sheet1!$A$1:$B$98,2,0),"")</f>
        <v/>
      </c>
      <c r="E13" s="30" t="str">
        <f>IFERROR(VLOOKUP($A13,'Tổng Đơn'!$A$5:$E$52,5,0),"")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308</v>
      </c>
      <c r="B14" s="154"/>
      <c r="C14" s="30" t="str">
        <f t="shared" si="0"/>
        <v/>
      </c>
      <c r="D14" s="160" t="str">
        <f>IFERROR(VLOOKUP($A14,Sheet1!$A$1:$B$98,2,0),"")</f>
        <v/>
      </c>
      <c r="E14" s="30" t="str">
        <f>IFERROR(VLOOKUP($A14,'Tổng Đơn'!$A$5:$E$52,5,0),"")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308</v>
      </c>
      <c r="B15" s="154"/>
      <c r="C15" s="30" t="str">
        <f t="shared" si="0"/>
        <v/>
      </c>
      <c r="D15" s="160" t="str">
        <f>IFERROR(VLOOKUP($A15,Sheet1!$A$1:$B$98,2,0),"")</f>
        <v/>
      </c>
      <c r="E15" s="30" t="str">
        <f>IFERROR(VLOOKUP($A15,'Tổng Đơn'!$A$5:$E$52,5,0),"")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308</v>
      </c>
      <c r="B16" s="154"/>
      <c r="C16" s="30" t="str">
        <f t="shared" si="0"/>
        <v/>
      </c>
      <c r="D16" s="160" t="str">
        <f>IFERROR(VLOOKUP($A16,Sheet1!$A$1:$B$98,2,0),"")</f>
        <v/>
      </c>
      <c r="E16" s="30" t="str">
        <f>IFERROR(VLOOKUP($A16,'Tổng Đơn'!$A$5:$E$52,5,0),"")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308</v>
      </c>
      <c r="B17" s="154"/>
      <c r="C17" s="30" t="str">
        <f t="shared" si="0"/>
        <v/>
      </c>
      <c r="D17" s="160" t="str">
        <f>IFERROR(VLOOKUP($A17,Sheet1!$A$1:$B$98,2,0),"")</f>
        <v/>
      </c>
      <c r="E17" s="30" t="str">
        <f>IFERROR(VLOOKUP($A17,'Tổng Đơn'!$A$5:$E$52,5,0),"")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308</v>
      </c>
      <c r="B18" s="154"/>
      <c r="C18" s="30" t="str">
        <f t="shared" si="0"/>
        <v/>
      </c>
      <c r="D18" s="160" t="str">
        <f>IFERROR(VLOOKUP($A18,Sheet1!$A$1:$B$98,2,0),"")</f>
        <v/>
      </c>
      <c r="E18" s="30" t="str">
        <f>IFERROR(VLOOKUP($A18,'Tổng Đơn'!$A$5:$E$52,5,0),"")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308</v>
      </c>
      <c r="B19" s="154"/>
      <c r="C19" s="30" t="str">
        <f t="shared" si="0"/>
        <v/>
      </c>
      <c r="D19" s="160" t="str">
        <f>IFERROR(VLOOKUP($A19,Sheet1!$A$1:$B$98,2,0),"")</f>
        <v/>
      </c>
      <c r="E19" s="30" t="str">
        <f>IFERROR(VLOOKUP($A19,'Tổng Đơn'!$A$5:$E$52,5,0),"")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308</v>
      </c>
      <c r="B20" s="154"/>
      <c r="C20" s="30" t="str">
        <f t="shared" si="0"/>
        <v/>
      </c>
      <c r="D20" s="160" t="str">
        <f>IFERROR(VLOOKUP($A20,Sheet1!$A$1:$B$98,2,0),"")</f>
        <v/>
      </c>
      <c r="E20" s="30" t="str">
        <f>IFERROR(VLOOKUP($A20,'Tổng Đơn'!$A$5:$E$52,5,0),"")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308</v>
      </c>
      <c r="B21" s="154"/>
      <c r="C21" s="30" t="str">
        <f t="shared" si="0"/>
        <v/>
      </c>
      <c r="D21" s="160" t="str">
        <f>IFERROR(VLOOKUP($A21,Sheet1!$A$1:$B$98,2,0),"")</f>
        <v/>
      </c>
      <c r="E21" s="30" t="str">
        <f>IFERROR(VLOOKUP($A21,'Tổng Đơn'!$A$5:$E$52,5,0),"")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308</v>
      </c>
      <c r="B22" s="154"/>
      <c r="C22" s="30" t="str">
        <f t="shared" si="0"/>
        <v/>
      </c>
      <c r="D22" s="151" t="str">
        <f>IFERROR(VLOOKUP($A22,Sheet1!$A$1:$B$98,2,0),"")</f>
        <v/>
      </c>
      <c r="E22" s="30" t="str">
        <f>IFERROR(VLOOKUP($A22,'Tổng Đơn'!$A$5:$E$52,5,0),"")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308</v>
      </c>
      <c r="B23" s="154"/>
      <c r="C23" s="30" t="str">
        <f t="shared" si="0"/>
        <v/>
      </c>
      <c r="D23" s="151" t="str">
        <f>IFERROR(VLOOKUP($A23,Sheet1!$A$1:$B$98,2,0),"")</f>
        <v/>
      </c>
      <c r="E23" s="30" t="str">
        <f>IFERROR(VLOOKUP($A23,'Tổng Đơn'!$A$5:$E$52,5,0),"")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308</v>
      </c>
      <c r="B24" s="154"/>
      <c r="C24" s="30" t="str">
        <f t="shared" si="0"/>
        <v/>
      </c>
      <c r="D24" s="151" t="str">
        <f>IFERROR(VLOOKUP($A24,Sheet1!$A$1:$B$98,2,0),"")</f>
        <v/>
      </c>
      <c r="E24" s="30" t="str">
        <f>IFERROR(VLOOKUP($A24,'Tổng Đơn'!$A$5:$E$52,5,0),"")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308</v>
      </c>
      <c r="B25" s="154"/>
      <c r="C25" s="30" t="str">
        <f t="shared" si="0"/>
        <v/>
      </c>
      <c r="D25" s="151" t="str">
        <f>IFERROR(VLOOKUP($A25,Sheet1!$A$1:$B$98,2,0),"")</f>
        <v/>
      </c>
      <c r="E25" s="30" t="str">
        <f>IFERROR(VLOOKUP($A25,'Tổng Đơn'!$A$5:$E$52,5,0),"")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308</v>
      </c>
      <c r="B26" s="154"/>
      <c r="C26" s="30" t="str">
        <f t="shared" si="0"/>
        <v/>
      </c>
      <c r="D26" s="151" t="str">
        <f>IFERROR(VLOOKUP($A26,Sheet1!$A$1:$B$98,2,0),"")</f>
        <v/>
      </c>
      <c r="E26" s="30" t="str">
        <f>IFERROR(VLOOKUP($A26,'Tổng Đơn'!$A$5:$E$52,5,0),"")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308</v>
      </c>
      <c r="B27" s="154"/>
      <c r="C27" s="30" t="str">
        <f t="shared" si="0"/>
        <v/>
      </c>
      <c r="D27" s="151" t="str">
        <f>IFERROR(VLOOKUP($A27,Sheet1!$A$1:$B$98,2,0),"")</f>
        <v/>
      </c>
      <c r="E27" s="30" t="str">
        <f>IFERROR(VLOOKUP($A27,'Tổng Đơn'!$A$5:$E$52,5,0),"")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308</v>
      </c>
      <c r="B28" s="154"/>
      <c r="C28" s="30" t="str">
        <f t="shared" si="0"/>
        <v/>
      </c>
      <c r="D28" s="151" t="str">
        <f>IFERROR(VLOOKUP($A28,Sheet1!$A$1:$B$98,2,0),"")</f>
        <v/>
      </c>
      <c r="E28" s="30" t="str">
        <f>IFERROR(VLOOKUP($A28,'Tổng Đơn'!$A$5:$E$52,5,0),"")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308</v>
      </c>
      <c r="B29" s="154"/>
      <c r="C29" s="30" t="str">
        <f t="shared" si="0"/>
        <v/>
      </c>
      <c r="D29" s="151" t="str">
        <f>IFERROR(VLOOKUP($A29,Sheet1!$A$1:$B$98,2,0),"")</f>
        <v/>
      </c>
      <c r="E29" s="30" t="str">
        <f>IFERROR(VLOOKUP($A29,'Tổng Đơn'!$A$5:$E$52,5,0),"")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308</v>
      </c>
      <c r="B30" s="154"/>
      <c r="C30" s="30" t="str">
        <f t="shared" si="0"/>
        <v/>
      </c>
      <c r="D30" s="151" t="str">
        <f>IFERROR(VLOOKUP($A30,Sheet1!$A$1:$B$98,2,0),"")</f>
        <v/>
      </c>
      <c r="E30" s="30" t="str">
        <f>IFERROR(VLOOKUP($A30,'Tổng Đơn'!$A$5:$E$52,5,0),"")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308</v>
      </c>
      <c r="B31" s="154"/>
      <c r="C31" s="30" t="str">
        <f t="shared" si="0"/>
        <v/>
      </c>
      <c r="D31" s="151" t="str">
        <f>IFERROR(VLOOKUP($A31,Sheet1!$A$1:$B$98,2,0),"")</f>
        <v/>
      </c>
      <c r="E31" s="30" t="str">
        <f>IFERROR(VLOOKUP($A31,'Tổng Đơn'!$A$5:$E$52,5,0),"")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308</v>
      </c>
      <c r="B32" s="154"/>
      <c r="C32" s="30" t="str">
        <f t="shared" si="0"/>
        <v/>
      </c>
      <c r="D32" s="151" t="str">
        <f>IFERROR(VLOOKUP($A32,Sheet1!$A$1:$B$98,2,0),"")</f>
        <v/>
      </c>
      <c r="E32" s="30" t="str">
        <f>IFERROR(VLOOKUP($A32,'Tổng Đơn'!$A$5:$E$52,5,0),"")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308</v>
      </c>
      <c r="B33" s="154"/>
      <c r="C33" s="30" t="str">
        <f t="shared" si="0"/>
        <v/>
      </c>
      <c r="D33" s="151" t="str">
        <f>IFERROR(VLOOKUP($A33,Sheet1!$A$1:$B$98,2,0),"")</f>
        <v/>
      </c>
      <c r="E33" s="30" t="str">
        <f>IFERROR(VLOOKUP($A33,'Tổng Đơn'!$A$5:$E$52,5,0),"")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308</v>
      </c>
      <c r="B34" s="154"/>
      <c r="C34" s="30" t="str">
        <f t="shared" si="0"/>
        <v/>
      </c>
      <c r="D34" s="151" t="str">
        <f>IFERROR(VLOOKUP($A34,Sheet1!$A$1:$B$98,2,0),"")</f>
        <v/>
      </c>
      <c r="E34" s="30" t="str">
        <f>IFERROR(VLOOKUP($A34,'Tổng Đơn'!$A$5:$E$52,5,0),"")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308</v>
      </c>
      <c r="B35" s="154"/>
      <c r="C35" s="30" t="str">
        <f t="shared" si="0"/>
        <v/>
      </c>
      <c r="D35" s="151" t="str">
        <f>IFERROR(VLOOKUP($A35,Sheet1!$A$1:$B$98,2,0),"")</f>
        <v/>
      </c>
      <c r="E35" s="30" t="str">
        <f>IFERROR(VLOOKUP($A35,'Tổng Đơn'!$A$5:$E$52,5,0),"")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308</v>
      </c>
      <c r="B36" s="154"/>
      <c r="C36" s="30" t="str">
        <f t="shared" si="0"/>
        <v/>
      </c>
      <c r="D36" s="151" t="str">
        <f>IFERROR(VLOOKUP($A36,Sheet1!$A$1:$B$98,2,0),"")</f>
        <v/>
      </c>
      <c r="E36" s="30" t="str">
        <f>IFERROR(VLOOKUP($A36,'Tổng Đơn'!$A$5:$E$52,5,0),"")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308</v>
      </c>
      <c r="B37" s="154"/>
      <c r="C37" s="30" t="str">
        <f t="shared" si="0"/>
        <v/>
      </c>
      <c r="D37" s="151" t="str">
        <f>IFERROR(VLOOKUP($A37,Sheet1!$A$1:$B$98,2,0),"")</f>
        <v/>
      </c>
      <c r="E37" s="30" t="str">
        <f>IFERROR(VLOOKUP($A37,'Tổng Đơn'!$A$5:$E$52,5,0),"")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3" priority="15">
      <formula>$C22=MAX($C$8:$C$37)</formula>
    </cfRule>
  </conditionalFormatting>
  <conditionalFormatting sqref="C23:C37">
    <cfRule type="expression" dxfId="202" priority="14">
      <formula>$C22=MAX($C$8:$C$37)</formula>
    </cfRule>
  </conditionalFormatting>
  <conditionalFormatting sqref="E23:E38">
    <cfRule type="expression" dxfId="201" priority="16">
      <formula>AND($A23="",$F23&lt;&gt;"")</formula>
    </cfRule>
  </conditionalFormatting>
  <conditionalFormatting sqref="F23:F38">
    <cfRule type="expression" dxfId="200" priority="17">
      <formula>AND($F23="",$A23&lt;&gt;"")</formula>
    </cfRule>
  </conditionalFormatting>
  <conditionalFormatting sqref="D20:H22">
    <cfRule type="expression" dxfId="199" priority="11">
      <formula>$C19=MAX($C$8:$C$37)</formula>
    </cfRule>
  </conditionalFormatting>
  <conditionalFormatting sqref="C20:C22">
    <cfRule type="expression" dxfId="198" priority="10">
      <formula>$C19=MAX($C$8:$C$37)</formula>
    </cfRule>
  </conditionalFormatting>
  <conditionalFormatting sqref="E20:E22">
    <cfRule type="expression" dxfId="197" priority="12">
      <formula>AND($A20="",$F20&lt;&gt;"")</formula>
    </cfRule>
  </conditionalFormatting>
  <conditionalFormatting sqref="F20:F22">
    <cfRule type="expression" dxfId="196" priority="13">
      <formula>AND($F20="",$A20&lt;&gt;"")</formula>
    </cfRule>
  </conditionalFormatting>
  <conditionalFormatting sqref="D9:H19">
    <cfRule type="expression" dxfId="195" priority="7">
      <formula>$C8=MAX($C$8:$C$37)</formula>
    </cfRule>
  </conditionalFormatting>
  <conditionalFormatting sqref="C9:C19">
    <cfRule type="expression" dxfId="194" priority="6">
      <formula>$C8=MAX($C$8:$C$37)</formula>
    </cfRule>
  </conditionalFormatting>
  <conditionalFormatting sqref="E9:E19">
    <cfRule type="expression" dxfId="193" priority="8">
      <formula>AND($A9="",$F9&lt;&gt;"")</formula>
    </cfRule>
  </conditionalFormatting>
  <conditionalFormatting sqref="F9:F19">
    <cfRule type="expression" dxfId="192" priority="9">
      <formula>AND($F9="",$A9&lt;&gt;"")</formula>
    </cfRule>
  </conditionalFormatting>
  <conditionalFormatting sqref="D8:G8">
    <cfRule type="expression" dxfId="191" priority="3">
      <formula>$C7=MAX($C$8:$C$37)</formula>
    </cfRule>
  </conditionalFormatting>
  <conditionalFormatting sqref="C8">
    <cfRule type="expression" dxfId="190" priority="2">
      <formula>$C7=MAX($C$8:$C$37)</formula>
    </cfRule>
  </conditionalFormatting>
  <conditionalFormatting sqref="E8">
    <cfRule type="expression" dxfId="189" priority="4">
      <formula>AND($A8="",$F8&lt;&gt;"")</formula>
    </cfRule>
  </conditionalFormatting>
  <conditionalFormatting sqref="F8">
    <cfRule type="expression" dxfId="188" priority="5">
      <formula>AND($F8="",$A8&lt;&gt;"")</formula>
    </cfRule>
  </conditionalFormatting>
  <conditionalFormatting sqref="H8">
    <cfRule type="expression" dxfId="18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64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4" customFormat="1" ht="21" customHeight="1" x14ac:dyDescent="0.25">
      <c r="C5" s="287" t="s">
        <v>165</v>
      </c>
      <c r="D5" s="287"/>
      <c r="E5" s="287"/>
      <c r="F5" s="287"/>
      <c r="G5" s="287"/>
      <c r="H5" s="287"/>
    </row>
    <row r="6" spans="1:14" s="144" customFormat="1" ht="17.25" customHeight="1" x14ac:dyDescent="0.25">
      <c r="C6" s="153" t="s">
        <v>170</v>
      </c>
      <c r="D6" s="157" t="s">
        <v>316</v>
      </c>
      <c r="E6" s="149"/>
      <c r="F6" s="149"/>
      <c r="G6" s="281" t="str">
        <f ca="1">"Ngày "&amp;DAY(TODAY())&amp;" Tháng "&amp;MONTH(TODAY())&amp;" Năm "&amp;YEAR(TODAY())</f>
        <v>Ngày 2 Tháng 11 Năm 2022</v>
      </c>
      <c r="H6" s="281"/>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3</v>
      </c>
      <c r="B8" s="154">
        <v>1</v>
      </c>
      <c r="C8" s="30">
        <f t="shared" ref="C8:C37" si="0">IF(OR(SUM($C7,$A8&lt;&gt;"")=0,$A8=""),"",SUM($C7,$A8&lt;&gt;""))</f>
        <v>1</v>
      </c>
      <c r="D8" s="151" t="str">
        <f>IFERROR(VLOOKUP($A8,Sheet1!$A$1:$B$98,2,0),"")</f>
        <v>Sủi tôm</v>
      </c>
      <c r="E8" s="30">
        <f>IFERROR(VLOOKUP($A8,'Tổng Đơn'!$A$5:$E$52,5,0),"")</f>
        <v>0.5</v>
      </c>
      <c r="F8" s="30">
        <f t="shared" ref="F8:F37" si="1">IF($B8="","",B8)</f>
        <v>1</v>
      </c>
      <c r="G8" s="161">
        <f>IFERROR(VLOOKUP($A8,Sheet1!$A1:$D$98,4,0),"")</f>
        <v>42000</v>
      </c>
      <c r="H8" s="152">
        <f>IF($C7=MAX($C$8:$C$56),SUM($H7:$H$8),IFERROR($G8*$F8,""))</f>
        <v>42000</v>
      </c>
      <c r="I8" s="54">
        <f t="shared" ref="I8:I37" si="2">IF(TYPE($A8)&lt;&gt;1,"",IFERROR(F8*E8,""))</f>
        <v>0.5</v>
      </c>
      <c r="L8" s="32"/>
    </row>
    <row r="9" spans="1:14" s="29" customFormat="1" ht="14.25" customHeight="1" x14ac:dyDescent="0.25">
      <c r="A9" s="154">
        <v>17</v>
      </c>
      <c r="B9" s="154">
        <v>1</v>
      </c>
      <c r="C9" s="30">
        <f t="shared" si="0"/>
        <v>2</v>
      </c>
      <c r="D9" s="160" t="str">
        <f>IFERROR(VLOOKUP($A9,Sheet1!$A$1:$B$98,2,0),"")</f>
        <v>Chả giò HS trái cây sốt Mayo</v>
      </c>
      <c r="E9" s="30">
        <f>IFERROR(VLOOKUP($A9,'Tổng Đơn'!$A$5:$E$52,5,0),"")</f>
        <v>0.5</v>
      </c>
      <c r="F9" s="30">
        <f t="shared" si="1"/>
        <v>1</v>
      </c>
      <c r="G9" s="161">
        <f>IF(AND($C9="",$C8&lt;&gt;""),"Tổng Cộng",IFERROR(VLOOKUP($A9,Sheet1!$A$1:$D$98,4,0),""))</f>
        <v>40000</v>
      </c>
      <c r="H9" s="152">
        <f>IF($C8=MAX($C$8:$C$56),SUM($H$8:$H8),IFERROR($G9*$F9,""))</f>
        <v>40000</v>
      </c>
      <c r="I9" s="54">
        <f t="shared" si="2"/>
        <v>0.5</v>
      </c>
      <c r="L9" s="31"/>
    </row>
    <row r="10" spans="1:14" s="29" customFormat="1" ht="14.25" customHeight="1" x14ac:dyDescent="0.25">
      <c r="A10" s="154" t="s">
        <v>282</v>
      </c>
      <c r="B10" s="154">
        <v>1</v>
      </c>
      <c r="C10" s="30">
        <f t="shared" si="0"/>
        <v>3</v>
      </c>
      <c r="D10" s="160" t="str">
        <f>IFERROR(VLOOKUP($A10,Sheet1!$A$1:$B$98,2,0),"")</f>
        <v>0-Gà lắc</v>
      </c>
      <c r="E10" s="30">
        <f>IFERROR(VLOOKUP($A10,'Tổng Đơn'!$A$5:$E$52,5,0),"")</f>
        <v>0.5</v>
      </c>
      <c r="F10" s="30">
        <f t="shared" si="1"/>
        <v>1</v>
      </c>
      <c r="G10" s="161">
        <f>IF(AND($C10="",$C9&lt;&gt;""),"Tổng Cộng",IFERROR(VLOOKUP($A10,Sheet1!$A$1:$D$98,4,0),""))</f>
        <v>48000</v>
      </c>
      <c r="H10" s="152">
        <f>IF($C9=MAX($C$8:$C$56),SUM($H$8:$H9),IFERROR($G10*$F10,""))</f>
        <v>48000</v>
      </c>
      <c r="I10" s="54" t="str">
        <f t="shared" si="2"/>
        <v/>
      </c>
      <c r="L10" s="31"/>
    </row>
    <row r="11" spans="1:14" s="29" customFormat="1" ht="14.25" customHeight="1" x14ac:dyDescent="0.25">
      <c r="A11" s="154" t="s">
        <v>308</v>
      </c>
      <c r="B11" s="154"/>
      <c r="C11" s="30" t="str">
        <f t="shared" si="0"/>
        <v/>
      </c>
      <c r="D11" s="160" t="str">
        <f>IFERROR(VLOOKUP($A11,Sheet1!$A$1:$B$98,2,0),"")</f>
        <v/>
      </c>
      <c r="E11" s="30" t="str">
        <f>IFERROR(VLOOKUP($A11,'Tổng Đơn'!$A$5:$E$52,5,0),"")</f>
        <v/>
      </c>
      <c r="F11" s="30" t="str">
        <f t="shared" si="1"/>
        <v/>
      </c>
      <c r="G11" s="161" t="str">
        <f>IF(AND($C11="",$C10&lt;&gt;""),"Tổng Cộng",IFERROR(VLOOKUP($A11,Sheet1!$A$1:$D$98,4,0),""))</f>
        <v>Tổng Cộng</v>
      </c>
      <c r="H11" s="152">
        <f>IF($C10=MAX($C$8:$C$56),SUM($H$8:$H10),IFERROR($G11*$F11,""))</f>
        <v>130000</v>
      </c>
      <c r="I11" s="54" t="str">
        <f t="shared" si="2"/>
        <v/>
      </c>
      <c r="L11" s="31"/>
    </row>
    <row r="12" spans="1:14" s="29" customFormat="1" ht="14.25" customHeight="1" x14ac:dyDescent="0.25">
      <c r="A12" s="154" t="s">
        <v>308</v>
      </c>
      <c r="B12" s="154"/>
      <c r="C12" s="30" t="str">
        <f t="shared" si="0"/>
        <v/>
      </c>
      <c r="D12" s="160" t="str">
        <f>IFERROR(VLOOKUP($A12,Sheet1!$A$1:$B$98,2,0),"")</f>
        <v/>
      </c>
      <c r="E12" s="30" t="str">
        <f>IFERROR(VLOOKUP($A12,'Tổng Đơn'!$A$5:$E$52,5,0),"")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308</v>
      </c>
      <c r="B13" s="154"/>
      <c r="C13" s="30" t="str">
        <f t="shared" si="0"/>
        <v/>
      </c>
      <c r="D13" s="160" t="str">
        <f>IFERROR(VLOOKUP($A13,Sheet1!$A$1:$B$98,2,0),"")</f>
        <v/>
      </c>
      <c r="E13" s="30" t="str">
        <f>IFERROR(VLOOKUP($A13,'Tổng Đơn'!$A$5:$E$52,5,0),"")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308</v>
      </c>
      <c r="B14" s="154"/>
      <c r="C14" s="30" t="str">
        <f t="shared" si="0"/>
        <v/>
      </c>
      <c r="D14" s="160" t="str">
        <f>IFERROR(VLOOKUP($A14,Sheet1!$A$1:$B$98,2,0),"")</f>
        <v/>
      </c>
      <c r="E14" s="30" t="str">
        <f>IFERROR(VLOOKUP($A14,'Tổng Đơn'!$A$5:$E$52,5,0),"")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308</v>
      </c>
      <c r="B15" s="154"/>
      <c r="C15" s="30" t="str">
        <f t="shared" si="0"/>
        <v/>
      </c>
      <c r="D15" s="160" t="str">
        <f>IFERROR(VLOOKUP($A15,Sheet1!$A$1:$B$98,2,0),"")</f>
        <v/>
      </c>
      <c r="E15" s="30" t="str">
        <f>IFERROR(VLOOKUP($A15,'Tổng Đơn'!$A$5:$E$52,5,0),"")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308</v>
      </c>
      <c r="B16" s="154"/>
      <c r="C16" s="30" t="str">
        <f t="shared" si="0"/>
        <v/>
      </c>
      <c r="D16" s="160" t="str">
        <f>IFERROR(VLOOKUP($A16,Sheet1!$A$1:$B$98,2,0),"")</f>
        <v/>
      </c>
      <c r="E16" s="30" t="str">
        <f>IFERROR(VLOOKUP($A16,'Tổng Đơn'!$A$5:$E$52,5,0),"")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308</v>
      </c>
      <c r="B17" s="154"/>
      <c r="C17" s="30" t="str">
        <f t="shared" si="0"/>
        <v/>
      </c>
      <c r="D17" s="160" t="str">
        <f>IFERROR(VLOOKUP($A17,Sheet1!$A$1:$B$98,2,0),"")</f>
        <v/>
      </c>
      <c r="E17" s="30" t="str">
        <f>IFERROR(VLOOKUP($A17,'Tổng Đơn'!$A$5:$E$52,5,0),"")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308</v>
      </c>
      <c r="B18" s="154"/>
      <c r="C18" s="30" t="str">
        <f t="shared" si="0"/>
        <v/>
      </c>
      <c r="D18" s="160" t="str">
        <f>IFERROR(VLOOKUP($A18,Sheet1!$A$1:$B$98,2,0),"")</f>
        <v/>
      </c>
      <c r="E18" s="30" t="str">
        <f>IFERROR(VLOOKUP($A18,'Tổng Đơn'!$A$5:$E$52,5,0),"")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308</v>
      </c>
      <c r="B19" s="154"/>
      <c r="C19" s="30" t="str">
        <f t="shared" si="0"/>
        <v/>
      </c>
      <c r="D19" s="160" t="str">
        <f>IFERROR(VLOOKUP($A19,Sheet1!$A$1:$B$98,2,0),"")</f>
        <v/>
      </c>
      <c r="E19" s="30" t="str">
        <f>IFERROR(VLOOKUP($A19,'Tổng Đơn'!$A$5:$E$52,5,0),"")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308</v>
      </c>
      <c r="B20" s="154"/>
      <c r="C20" s="30" t="str">
        <f t="shared" si="0"/>
        <v/>
      </c>
      <c r="D20" s="160" t="str">
        <f>IFERROR(VLOOKUP($A20,Sheet1!$A$1:$B$98,2,0),"")</f>
        <v/>
      </c>
      <c r="E20" s="30" t="str">
        <f>IFERROR(VLOOKUP($A20,'Tổng Đơn'!$A$5:$E$52,5,0),"")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308</v>
      </c>
      <c r="B21" s="154"/>
      <c r="C21" s="30" t="str">
        <f t="shared" si="0"/>
        <v/>
      </c>
      <c r="D21" s="160" t="str">
        <f>IFERROR(VLOOKUP($A21,Sheet1!$A$1:$B$98,2,0),"")</f>
        <v/>
      </c>
      <c r="E21" s="30" t="str">
        <f>IFERROR(VLOOKUP($A21,'Tổng Đơn'!$A$5:$E$52,5,0),"")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308</v>
      </c>
      <c r="B22" s="154"/>
      <c r="C22" s="30" t="str">
        <f t="shared" si="0"/>
        <v/>
      </c>
      <c r="D22" s="151" t="str">
        <f>IFERROR(VLOOKUP($A22,Sheet1!$A$1:$B$98,2,0),"")</f>
        <v/>
      </c>
      <c r="E22" s="30" t="str">
        <f>IFERROR(VLOOKUP($A22,'Tổng Đơn'!$A$5:$E$52,5,0),"")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308</v>
      </c>
      <c r="B23" s="154"/>
      <c r="C23" s="30" t="str">
        <f t="shared" si="0"/>
        <v/>
      </c>
      <c r="D23" s="151" t="str">
        <f>IFERROR(VLOOKUP($A23,Sheet1!$A$1:$B$98,2,0),"")</f>
        <v/>
      </c>
      <c r="E23" s="30" t="str">
        <f>IFERROR(VLOOKUP($A23,'Tổng Đơn'!$A$5:$E$52,5,0),"")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308</v>
      </c>
      <c r="B24" s="154"/>
      <c r="C24" s="30" t="str">
        <f t="shared" si="0"/>
        <v/>
      </c>
      <c r="D24" s="151" t="str">
        <f>IFERROR(VLOOKUP($A24,Sheet1!$A$1:$B$98,2,0),"")</f>
        <v/>
      </c>
      <c r="E24" s="30" t="str">
        <f>IFERROR(VLOOKUP($A24,'Tổng Đơn'!$A$5:$E$52,5,0),"")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308</v>
      </c>
      <c r="B25" s="154"/>
      <c r="C25" s="30" t="str">
        <f t="shared" si="0"/>
        <v/>
      </c>
      <c r="D25" s="151" t="str">
        <f>IFERROR(VLOOKUP($A25,Sheet1!$A$1:$B$98,2,0),"")</f>
        <v/>
      </c>
      <c r="E25" s="30" t="str">
        <f>IFERROR(VLOOKUP($A25,'Tổng Đơn'!$A$5:$E$52,5,0),"")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308</v>
      </c>
      <c r="B26" s="154"/>
      <c r="C26" s="30" t="str">
        <f t="shared" si="0"/>
        <v/>
      </c>
      <c r="D26" s="151" t="str">
        <f>IFERROR(VLOOKUP($A26,Sheet1!$A$1:$B$98,2,0),"")</f>
        <v/>
      </c>
      <c r="E26" s="30" t="str">
        <f>IFERROR(VLOOKUP($A26,'Tổng Đơn'!$A$5:$E$52,5,0),"")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308</v>
      </c>
      <c r="B27" s="154"/>
      <c r="C27" s="30" t="str">
        <f t="shared" si="0"/>
        <v/>
      </c>
      <c r="D27" s="151" t="str">
        <f>IFERROR(VLOOKUP($A27,Sheet1!$A$1:$B$98,2,0),"")</f>
        <v/>
      </c>
      <c r="E27" s="30" t="str">
        <f>IFERROR(VLOOKUP($A27,'Tổng Đơn'!$A$5:$E$52,5,0),"")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308</v>
      </c>
      <c r="B28" s="154"/>
      <c r="C28" s="30" t="str">
        <f t="shared" si="0"/>
        <v/>
      </c>
      <c r="D28" s="151" t="str">
        <f>IFERROR(VLOOKUP($A28,Sheet1!$A$1:$B$98,2,0),"")</f>
        <v/>
      </c>
      <c r="E28" s="30" t="str">
        <f>IFERROR(VLOOKUP($A28,'Tổng Đơn'!$A$5:$E$52,5,0),"")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308</v>
      </c>
      <c r="B29" s="154"/>
      <c r="C29" s="30" t="str">
        <f t="shared" si="0"/>
        <v/>
      </c>
      <c r="D29" s="151" t="str">
        <f>IFERROR(VLOOKUP($A29,Sheet1!$A$1:$B$98,2,0),"")</f>
        <v/>
      </c>
      <c r="E29" s="30" t="str">
        <f>IFERROR(VLOOKUP($A29,'Tổng Đơn'!$A$5:$E$52,5,0),"")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308</v>
      </c>
      <c r="B30" s="154"/>
      <c r="C30" s="30" t="str">
        <f t="shared" si="0"/>
        <v/>
      </c>
      <c r="D30" s="151" t="str">
        <f>IFERROR(VLOOKUP($A30,Sheet1!$A$1:$B$98,2,0),"")</f>
        <v/>
      </c>
      <c r="E30" s="30" t="str">
        <f>IFERROR(VLOOKUP($A30,'Tổng Đơn'!$A$5:$E$52,5,0),"")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308</v>
      </c>
      <c r="B31" s="154"/>
      <c r="C31" s="30" t="str">
        <f t="shared" si="0"/>
        <v/>
      </c>
      <c r="D31" s="151" t="str">
        <f>IFERROR(VLOOKUP($A31,Sheet1!$A$1:$B$98,2,0),"")</f>
        <v/>
      </c>
      <c r="E31" s="30" t="str">
        <f>IFERROR(VLOOKUP($A31,'Tổng Đơn'!$A$5:$E$52,5,0),"")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308</v>
      </c>
      <c r="B32" s="154"/>
      <c r="C32" s="30" t="str">
        <f t="shared" si="0"/>
        <v/>
      </c>
      <c r="D32" s="151" t="str">
        <f>IFERROR(VLOOKUP($A32,Sheet1!$A$1:$B$98,2,0),"")</f>
        <v/>
      </c>
      <c r="E32" s="30" t="str">
        <f>IFERROR(VLOOKUP($A32,'Tổng Đơn'!$A$5:$E$52,5,0),"")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308</v>
      </c>
      <c r="B33" s="154"/>
      <c r="C33" s="30" t="str">
        <f t="shared" si="0"/>
        <v/>
      </c>
      <c r="D33" s="151" t="str">
        <f>IFERROR(VLOOKUP($A33,Sheet1!$A$1:$B$98,2,0),"")</f>
        <v/>
      </c>
      <c r="E33" s="30" t="str">
        <f>IFERROR(VLOOKUP($A33,'Tổng Đơn'!$A$5:$E$52,5,0),"")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308</v>
      </c>
      <c r="B34" s="154"/>
      <c r="C34" s="30" t="str">
        <f t="shared" si="0"/>
        <v/>
      </c>
      <c r="D34" s="151" t="str">
        <f>IFERROR(VLOOKUP($A34,Sheet1!$A$1:$B$98,2,0),"")</f>
        <v/>
      </c>
      <c r="E34" s="30" t="str">
        <f>IFERROR(VLOOKUP($A34,'Tổng Đơn'!$A$5:$E$52,5,0),"")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308</v>
      </c>
      <c r="B35" s="154"/>
      <c r="C35" s="30" t="str">
        <f t="shared" si="0"/>
        <v/>
      </c>
      <c r="D35" s="151" t="str">
        <f>IFERROR(VLOOKUP($A35,Sheet1!$A$1:$B$98,2,0),"")</f>
        <v/>
      </c>
      <c r="E35" s="30" t="str">
        <f>IFERROR(VLOOKUP($A35,'Tổng Đơn'!$A$5:$E$52,5,0),"")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308</v>
      </c>
      <c r="B36" s="154"/>
      <c r="C36" s="30" t="str">
        <f t="shared" si="0"/>
        <v/>
      </c>
      <c r="D36" s="151" t="str">
        <f>IFERROR(VLOOKUP($A36,Sheet1!$A$1:$B$98,2,0),"")</f>
        <v/>
      </c>
      <c r="E36" s="30" t="str">
        <f>IFERROR(VLOOKUP($A36,'Tổng Đơn'!$A$5:$E$52,5,0),"")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308</v>
      </c>
      <c r="B37" s="154"/>
      <c r="C37" s="30" t="str">
        <f t="shared" si="0"/>
        <v/>
      </c>
      <c r="D37" s="151" t="str">
        <f>IFERROR(VLOOKUP($A37,Sheet1!$A$1:$B$98,2,0),"")</f>
        <v/>
      </c>
      <c r="E37" s="30" t="str">
        <f>IFERROR(VLOOKUP($A37,'Tổng Đơn'!$A$5:$E$52,5,0),"")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15">
      <formula>$C22=MAX($C$8:$C$37)</formula>
    </cfRule>
  </conditionalFormatting>
  <conditionalFormatting sqref="C23:C37">
    <cfRule type="expression" dxfId="185" priority="14">
      <formula>$C22=MAX($C$8:$C$37)</formula>
    </cfRule>
  </conditionalFormatting>
  <conditionalFormatting sqref="E23:E38">
    <cfRule type="expression" dxfId="184" priority="16">
      <formula>AND($A23="",$F23&lt;&gt;"")</formula>
    </cfRule>
  </conditionalFormatting>
  <conditionalFormatting sqref="F23:F38">
    <cfRule type="expression" dxfId="183" priority="17">
      <formula>AND($F23="",$A23&lt;&gt;"")</formula>
    </cfRule>
  </conditionalFormatting>
  <conditionalFormatting sqref="D20:H22">
    <cfRule type="expression" dxfId="182" priority="11">
      <formula>$C19=MAX($C$8:$C$37)</formula>
    </cfRule>
  </conditionalFormatting>
  <conditionalFormatting sqref="C20:C22">
    <cfRule type="expression" dxfId="181" priority="10">
      <formula>$C19=MAX($C$8:$C$37)</formula>
    </cfRule>
  </conditionalFormatting>
  <conditionalFormatting sqref="E20:E22">
    <cfRule type="expression" dxfId="180" priority="12">
      <formula>AND($A20="",$F20&lt;&gt;"")</formula>
    </cfRule>
  </conditionalFormatting>
  <conditionalFormatting sqref="F20:F22">
    <cfRule type="expression" dxfId="179" priority="13">
      <formula>AND($F20="",$A20&lt;&gt;"")</formula>
    </cfRule>
  </conditionalFormatting>
  <conditionalFormatting sqref="D9:H19">
    <cfRule type="expression" dxfId="178" priority="7">
      <formula>$C8=MAX($C$8:$C$37)</formula>
    </cfRule>
  </conditionalFormatting>
  <conditionalFormatting sqref="C9:C19">
    <cfRule type="expression" dxfId="177" priority="6">
      <formula>$C8=MAX($C$8:$C$37)</formula>
    </cfRule>
  </conditionalFormatting>
  <conditionalFormatting sqref="E9:E19">
    <cfRule type="expression" dxfId="176" priority="8">
      <formula>AND($A9="",$F9&lt;&gt;"")</formula>
    </cfRule>
  </conditionalFormatting>
  <conditionalFormatting sqref="F9:F19">
    <cfRule type="expression" dxfId="175" priority="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54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4" customFormat="1" ht="21" customHeight="1" x14ac:dyDescent="0.25">
      <c r="C5" s="287" t="s">
        <v>165</v>
      </c>
      <c r="D5" s="287"/>
      <c r="E5" s="287"/>
      <c r="F5" s="287"/>
      <c r="G5" s="287"/>
      <c r="H5" s="287"/>
    </row>
    <row r="6" spans="1:14" s="144" customFormat="1" ht="17.25" customHeight="1" x14ac:dyDescent="0.25">
      <c r="C6" s="153" t="s">
        <v>170</v>
      </c>
      <c r="D6" s="157" t="s">
        <v>315</v>
      </c>
      <c r="E6" s="149"/>
      <c r="F6" s="149"/>
      <c r="G6" s="281" t="str">
        <f ca="1">"Ngày "&amp;DAY(TODAY())&amp;" Tháng "&amp;MONTH(TODAY())&amp;" Năm "&amp;YEAR(TODAY())</f>
        <v>Ngày 2 Tháng 11 Năm 2022</v>
      </c>
      <c r="H6" s="281"/>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34</v>
      </c>
      <c r="B8" s="154">
        <v>1</v>
      </c>
      <c r="C8" s="30">
        <f t="shared" ref="C8:C37" si="0">IF(OR(SUM($C7,$A8&lt;&gt;"")=0,$A8=""),"",SUM($C7,$A8&lt;&gt;""))</f>
        <v>1</v>
      </c>
      <c r="D8" s="151" t="str">
        <f>IFERROR(VLOOKUP($A8,Sheet1!$A$1:$B$98,2,0),"")</f>
        <v>Cá viên KK</v>
      </c>
      <c r="E8" s="30">
        <f>IFERROR(VLOOKUP($A8,'Tổng Đơn'!$A$5:$E$52,5,0),"")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t="s">
        <v>308</v>
      </c>
      <c r="B9" s="154"/>
      <c r="C9" s="30" t="str">
        <f t="shared" si="0"/>
        <v/>
      </c>
      <c r="D9" s="160" t="str">
        <f>IFERROR(VLOOKUP($A9,Sheet1!$A$1:$B$98,2,0),"")</f>
        <v/>
      </c>
      <c r="E9" s="30" t="str">
        <f>IFERROR(VLOOKUP($A9,'Tổng Đơn'!$A$5:$E$52,5,0),"")</f>
        <v/>
      </c>
      <c r="F9" s="30" t="str">
        <f t="shared" si="1"/>
        <v/>
      </c>
      <c r="G9" s="161" t="str">
        <f>IF(AND($C9="",$C8&lt;&gt;""),"Tổng Cộng",IFERROR(VLOOKUP($A9,Sheet1!$A$1:$D$98,4,0),""))</f>
        <v>Tổng Cộng</v>
      </c>
      <c r="H9" s="152">
        <f>IF($C8=MAX($C$8:$C$56),SUM($H$8:$H8),IFERROR($G9*$F9,""))</f>
        <v>25000</v>
      </c>
      <c r="I9" s="54" t="str">
        <f t="shared" si="2"/>
        <v/>
      </c>
      <c r="L9" s="31"/>
    </row>
    <row r="10" spans="1:14" s="29" customFormat="1" ht="14.25" customHeight="1" x14ac:dyDescent="0.25">
      <c r="A10" s="154" t="s">
        <v>308</v>
      </c>
      <c r="B10" s="154"/>
      <c r="C10" s="30" t="str">
        <f t="shared" si="0"/>
        <v/>
      </c>
      <c r="D10" s="160" t="str">
        <f>IFERROR(VLOOKUP($A10,Sheet1!$A$1:$B$98,2,0),"")</f>
        <v/>
      </c>
      <c r="E10" s="30" t="str">
        <f>IFERROR(VLOOKUP($A10,'Tổng Đơn'!$A$5:$E$52,5,0),"")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308</v>
      </c>
      <c r="B11" s="154"/>
      <c r="C11" s="30" t="str">
        <f t="shared" si="0"/>
        <v/>
      </c>
      <c r="D11" s="160" t="str">
        <f>IFERROR(VLOOKUP($A11,Sheet1!$A$1:$B$98,2,0),"")</f>
        <v/>
      </c>
      <c r="E11" s="30" t="str">
        <f>IFERROR(VLOOKUP($A11,'Tổng Đơn'!$A$5:$E$52,5,0),"")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308</v>
      </c>
      <c r="B12" s="154"/>
      <c r="C12" s="30" t="str">
        <f t="shared" si="0"/>
        <v/>
      </c>
      <c r="D12" s="160" t="str">
        <f>IFERROR(VLOOKUP($A12,Sheet1!$A$1:$B$98,2,0),"")</f>
        <v/>
      </c>
      <c r="E12" s="30" t="str">
        <f>IFERROR(VLOOKUP($A12,'Tổng Đơn'!$A$5:$E$52,5,0),"")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308</v>
      </c>
      <c r="B13" s="154"/>
      <c r="C13" s="30" t="str">
        <f t="shared" si="0"/>
        <v/>
      </c>
      <c r="D13" s="160" t="str">
        <f>IFERROR(VLOOKUP($A13,Sheet1!$A$1:$B$98,2,0),"")</f>
        <v/>
      </c>
      <c r="E13" s="30" t="str">
        <f>IFERROR(VLOOKUP($A13,'Tổng Đơn'!$A$5:$E$52,5,0),"")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308</v>
      </c>
      <c r="B14" s="154"/>
      <c r="C14" s="30" t="str">
        <f t="shared" si="0"/>
        <v/>
      </c>
      <c r="D14" s="160" t="str">
        <f>IFERROR(VLOOKUP($A14,Sheet1!$A$1:$B$98,2,0),"")</f>
        <v/>
      </c>
      <c r="E14" s="30" t="str">
        <f>IFERROR(VLOOKUP($A14,'Tổng Đơn'!$A$5:$E$52,5,0),"")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308</v>
      </c>
      <c r="B15" s="154"/>
      <c r="C15" s="30" t="str">
        <f t="shared" si="0"/>
        <v/>
      </c>
      <c r="D15" s="160" t="str">
        <f>IFERROR(VLOOKUP($A15,Sheet1!$A$1:$B$98,2,0),"")</f>
        <v/>
      </c>
      <c r="E15" s="30" t="str">
        <f>IFERROR(VLOOKUP($A15,'Tổng Đơn'!$A$5:$E$52,5,0),"")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308</v>
      </c>
      <c r="B16" s="154"/>
      <c r="C16" s="30" t="str">
        <f t="shared" si="0"/>
        <v/>
      </c>
      <c r="D16" s="160" t="str">
        <f>IFERROR(VLOOKUP($A16,Sheet1!$A$1:$B$98,2,0),"")</f>
        <v/>
      </c>
      <c r="E16" s="30" t="str">
        <f>IFERROR(VLOOKUP($A16,'Tổng Đơn'!$A$5:$E$52,5,0),"")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308</v>
      </c>
      <c r="B17" s="154"/>
      <c r="C17" s="30" t="str">
        <f t="shared" si="0"/>
        <v/>
      </c>
      <c r="D17" s="160" t="str">
        <f>IFERROR(VLOOKUP($A17,Sheet1!$A$1:$B$98,2,0),"")</f>
        <v/>
      </c>
      <c r="E17" s="30" t="str">
        <f>IFERROR(VLOOKUP($A17,'Tổng Đơn'!$A$5:$E$52,5,0),"")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308</v>
      </c>
      <c r="B18" s="154"/>
      <c r="C18" s="30" t="str">
        <f t="shared" si="0"/>
        <v/>
      </c>
      <c r="D18" s="160" t="str">
        <f>IFERROR(VLOOKUP($A18,Sheet1!$A$1:$B$98,2,0),"")</f>
        <v/>
      </c>
      <c r="E18" s="30" t="str">
        <f>IFERROR(VLOOKUP($A18,'Tổng Đơn'!$A$5:$E$52,5,0),"")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308</v>
      </c>
      <c r="B19" s="154"/>
      <c r="C19" s="30" t="str">
        <f t="shared" si="0"/>
        <v/>
      </c>
      <c r="D19" s="160" t="str">
        <f>IFERROR(VLOOKUP($A19,Sheet1!$A$1:$B$98,2,0),"")</f>
        <v/>
      </c>
      <c r="E19" s="30" t="str">
        <f>IFERROR(VLOOKUP($A19,'Tổng Đơn'!$A$5:$E$52,5,0),"")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308</v>
      </c>
      <c r="B20" s="154"/>
      <c r="C20" s="30" t="str">
        <f t="shared" si="0"/>
        <v/>
      </c>
      <c r="D20" s="160" t="str">
        <f>IFERROR(VLOOKUP($A20,Sheet1!$A$1:$B$98,2,0),"")</f>
        <v/>
      </c>
      <c r="E20" s="30" t="str">
        <f>IFERROR(VLOOKUP($A20,'Tổng Đơn'!$A$5:$E$52,5,0),"")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308</v>
      </c>
      <c r="B21" s="154"/>
      <c r="C21" s="30" t="str">
        <f t="shared" si="0"/>
        <v/>
      </c>
      <c r="D21" s="160" t="str">
        <f>IFERROR(VLOOKUP($A21,Sheet1!$A$1:$B$98,2,0),"")</f>
        <v/>
      </c>
      <c r="E21" s="30" t="str">
        <f>IFERROR(VLOOKUP($A21,'Tổng Đơn'!$A$5:$E$52,5,0),"")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308</v>
      </c>
      <c r="B22" s="154"/>
      <c r="C22" s="30" t="str">
        <f t="shared" si="0"/>
        <v/>
      </c>
      <c r="D22" s="151" t="str">
        <f>IFERROR(VLOOKUP($A22,Sheet1!$A$1:$B$98,2,0),"")</f>
        <v/>
      </c>
      <c r="E22" s="30" t="str">
        <f>IFERROR(VLOOKUP($A22,'Tổng Đơn'!$A$5:$E$52,5,0),"")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308</v>
      </c>
      <c r="B23" s="154"/>
      <c r="C23" s="30" t="str">
        <f t="shared" si="0"/>
        <v/>
      </c>
      <c r="D23" s="151" t="str">
        <f>IFERROR(VLOOKUP($A23,Sheet1!$A$1:$B$98,2,0),"")</f>
        <v/>
      </c>
      <c r="E23" s="30" t="str">
        <f>IFERROR(VLOOKUP($A23,'Tổng Đơn'!$A$5:$E$52,5,0),"")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308</v>
      </c>
      <c r="B24" s="154"/>
      <c r="C24" s="30" t="str">
        <f t="shared" si="0"/>
        <v/>
      </c>
      <c r="D24" s="151" t="str">
        <f>IFERROR(VLOOKUP($A24,Sheet1!$A$1:$B$98,2,0),"")</f>
        <v/>
      </c>
      <c r="E24" s="30" t="str">
        <f>IFERROR(VLOOKUP($A24,'Tổng Đơn'!$A$5:$E$52,5,0),"")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308</v>
      </c>
      <c r="B25" s="154"/>
      <c r="C25" s="30" t="str">
        <f t="shared" si="0"/>
        <v/>
      </c>
      <c r="D25" s="151" t="str">
        <f>IFERROR(VLOOKUP($A25,Sheet1!$A$1:$B$98,2,0),"")</f>
        <v/>
      </c>
      <c r="E25" s="30" t="str">
        <f>IFERROR(VLOOKUP($A25,'Tổng Đơn'!$A$5:$E$52,5,0),"")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308</v>
      </c>
      <c r="B26" s="154"/>
      <c r="C26" s="30" t="str">
        <f t="shared" si="0"/>
        <v/>
      </c>
      <c r="D26" s="151" t="str">
        <f>IFERROR(VLOOKUP($A26,Sheet1!$A$1:$B$98,2,0),"")</f>
        <v/>
      </c>
      <c r="E26" s="30" t="str">
        <f>IFERROR(VLOOKUP($A26,'Tổng Đơn'!$A$5:$E$52,5,0),"")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308</v>
      </c>
      <c r="B27" s="154"/>
      <c r="C27" s="30" t="str">
        <f t="shared" si="0"/>
        <v/>
      </c>
      <c r="D27" s="151" t="str">
        <f>IFERROR(VLOOKUP($A27,Sheet1!$A$1:$B$98,2,0),"")</f>
        <v/>
      </c>
      <c r="E27" s="30" t="str">
        <f>IFERROR(VLOOKUP($A27,'Tổng Đơn'!$A$5:$E$52,5,0),"")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308</v>
      </c>
      <c r="B28" s="154"/>
      <c r="C28" s="30" t="str">
        <f t="shared" si="0"/>
        <v/>
      </c>
      <c r="D28" s="151" t="str">
        <f>IFERROR(VLOOKUP($A28,Sheet1!$A$1:$B$98,2,0),"")</f>
        <v/>
      </c>
      <c r="E28" s="30" t="str">
        <f>IFERROR(VLOOKUP($A28,'Tổng Đơn'!$A$5:$E$52,5,0),"")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308</v>
      </c>
      <c r="B29" s="154"/>
      <c r="C29" s="30" t="str">
        <f t="shared" si="0"/>
        <v/>
      </c>
      <c r="D29" s="151" t="str">
        <f>IFERROR(VLOOKUP($A29,Sheet1!$A$1:$B$98,2,0),"")</f>
        <v/>
      </c>
      <c r="E29" s="30" t="str">
        <f>IFERROR(VLOOKUP($A29,'Tổng Đơn'!$A$5:$E$52,5,0),"")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308</v>
      </c>
      <c r="B30" s="154"/>
      <c r="C30" s="30" t="str">
        <f t="shared" si="0"/>
        <v/>
      </c>
      <c r="D30" s="151" t="str">
        <f>IFERROR(VLOOKUP($A30,Sheet1!$A$1:$B$98,2,0),"")</f>
        <v/>
      </c>
      <c r="E30" s="30" t="str">
        <f>IFERROR(VLOOKUP($A30,'Tổng Đơn'!$A$5:$E$52,5,0),"")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308</v>
      </c>
      <c r="B31" s="154"/>
      <c r="C31" s="30" t="str">
        <f t="shared" si="0"/>
        <v/>
      </c>
      <c r="D31" s="151" t="str">
        <f>IFERROR(VLOOKUP($A31,Sheet1!$A$1:$B$98,2,0),"")</f>
        <v/>
      </c>
      <c r="E31" s="30" t="str">
        <f>IFERROR(VLOOKUP($A31,'Tổng Đơn'!$A$5:$E$52,5,0),"")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308</v>
      </c>
      <c r="B32" s="154"/>
      <c r="C32" s="30" t="str">
        <f t="shared" si="0"/>
        <v/>
      </c>
      <c r="D32" s="151" t="str">
        <f>IFERROR(VLOOKUP($A32,Sheet1!$A$1:$B$98,2,0),"")</f>
        <v/>
      </c>
      <c r="E32" s="30" t="str">
        <f>IFERROR(VLOOKUP($A32,'Tổng Đơn'!$A$5:$E$52,5,0),"")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308</v>
      </c>
      <c r="B33" s="154"/>
      <c r="C33" s="30" t="str">
        <f t="shared" si="0"/>
        <v/>
      </c>
      <c r="D33" s="151" t="str">
        <f>IFERROR(VLOOKUP($A33,Sheet1!$A$1:$B$98,2,0),"")</f>
        <v/>
      </c>
      <c r="E33" s="30" t="str">
        <f>IFERROR(VLOOKUP($A33,'Tổng Đơn'!$A$5:$E$52,5,0),"")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308</v>
      </c>
      <c r="B34" s="154"/>
      <c r="C34" s="30" t="str">
        <f t="shared" si="0"/>
        <v/>
      </c>
      <c r="D34" s="151" t="str">
        <f>IFERROR(VLOOKUP($A34,Sheet1!$A$1:$B$98,2,0),"")</f>
        <v/>
      </c>
      <c r="E34" s="30" t="str">
        <f>IFERROR(VLOOKUP($A34,'Tổng Đơn'!$A$5:$E$52,5,0),"")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308</v>
      </c>
      <c r="B35" s="154"/>
      <c r="C35" s="30" t="str">
        <f t="shared" si="0"/>
        <v/>
      </c>
      <c r="D35" s="151" t="str">
        <f>IFERROR(VLOOKUP($A35,Sheet1!$A$1:$B$98,2,0),"")</f>
        <v/>
      </c>
      <c r="E35" s="30" t="str">
        <f>IFERROR(VLOOKUP($A35,'Tổng Đơn'!$A$5:$E$52,5,0),"")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308</v>
      </c>
      <c r="B36" s="154"/>
      <c r="C36" s="30" t="str">
        <f t="shared" si="0"/>
        <v/>
      </c>
      <c r="D36" s="151" t="str">
        <f>IFERROR(VLOOKUP($A36,Sheet1!$A$1:$B$98,2,0),"")</f>
        <v/>
      </c>
      <c r="E36" s="30" t="str">
        <f>IFERROR(VLOOKUP($A36,'Tổng Đơn'!$A$5:$E$52,5,0),"")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308</v>
      </c>
      <c r="B37" s="154"/>
      <c r="C37" s="30" t="str">
        <f t="shared" si="0"/>
        <v/>
      </c>
      <c r="D37" s="151" t="str">
        <f>IFERROR(VLOOKUP($A37,Sheet1!$A$1:$B$98,2,0),"")</f>
        <v/>
      </c>
      <c r="E37" s="30" t="str">
        <f>IFERROR(VLOOKUP($A37,'Tổng Đơn'!$A$5:$E$52,5,0),"")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44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4" customFormat="1" ht="21" customHeight="1" x14ac:dyDescent="0.25">
      <c r="C5" s="287" t="s">
        <v>165</v>
      </c>
      <c r="D5" s="287"/>
      <c r="E5" s="287"/>
      <c r="F5" s="287"/>
      <c r="G5" s="287"/>
      <c r="H5" s="287"/>
    </row>
    <row r="6" spans="1:14" s="144" customFormat="1" ht="17.25" customHeight="1" x14ac:dyDescent="0.25">
      <c r="C6" s="153" t="s">
        <v>170</v>
      </c>
      <c r="D6" s="157" t="s">
        <v>314</v>
      </c>
      <c r="E6" s="149"/>
      <c r="F6" s="149"/>
      <c r="G6" s="281" t="str">
        <f ca="1">"Ngày "&amp;DAY(TODAY())&amp;" Tháng "&amp;MONTH(TODAY())&amp;" Năm "&amp;YEAR(TODAY())</f>
        <v>Ngày 2 Tháng 11 Năm 2022</v>
      </c>
      <c r="H6" s="281"/>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4</v>
      </c>
      <c r="L7" s="144"/>
    </row>
    <row r="8" spans="1:14" s="29" customFormat="1" ht="14.25" customHeight="1" x14ac:dyDescent="0.25">
      <c r="A8" s="154">
        <v>34</v>
      </c>
      <c r="B8" s="154">
        <v>4</v>
      </c>
      <c r="C8" s="30">
        <f t="shared" ref="C8:C37" si="0">IF(OR(SUM($C7,$A8&lt;&gt;"")=0,$A8=""),"",SUM($C7,$A8&lt;&gt;""))</f>
        <v>1</v>
      </c>
      <c r="D8" s="151" t="str">
        <f>IFERROR(VLOOKUP($A8,Sheet1!$A$1:$B$98,2,0),"")</f>
        <v>Cá viên KK</v>
      </c>
      <c r="E8" s="30">
        <f>IFERROR(VLOOKUP($A8,'Tổng Đơn'!$A$5:$E$52,5,0),"")</f>
        <v>0.5</v>
      </c>
      <c r="F8" s="30">
        <f t="shared" ref="F8:F37" si="1">IF($B8="","",B8)</f>
        <v>4</v>
      </c>
      <c r="G8" s="161">
        <f>IFERROR(VLOOKUP($A8,Sheet1!$A1:$D$98,4,0),"")</f>
        <v>25000</v>
      </c>
      <c r="H8" s="152">
        <f>IF($C7=MAX($C$8:$C$56),SUM($H7:$H$8),IFERROR($G8*$F8,""))</f>
        <v>100000</v>
      </c>
      <c r="I8" s="54">
        <f t="shared" ref="I8:I37" si="2">IF(TYPE($A8)&lt;&gt;1,"",IFERROR(F8*E8,""))</f>
        <v>2</v>
      </c>
      <c r="L8" s="32"/>
    </row>
    <row r="9" spans="1:14" s="29" customFormat="1" ht="14.25" customHeight="1" x14ac:dyDescent="0.25">
      <c r="A9" s="154">
        <v>38</v>
      </c>
      <c r="B9" s="154">
        <v>2</v>
      </c>
      <c r="C9" s="30">
        <f t="shared" si="0"/>
        <v>2</v>
      </c>
      <c r="D9" s="160" t="str">
        <f>IFERROR(VLOOKUP($A9,Sheet1!$A$1:$B$98,2,0),"")</f>
        <v>XX Đỏ KK</v>
      </c>
      <c r="E9" s="30">
        <f>IFERROR(VLOOKUP($A9,'Tổng Đơn'!$A$5:$E$52,5,0),"")</f>
        <v>0.5</v>
      </c>
      <c r="F9" s="30">
        <f t="shared" si="1"/>
        <v>2</v>
      </c>
      <c r="G9" s="161">
        <f>IF(AND($C9="",$C8&lt;&gt;""),"Tổng Cộng",IFERROR(VLOOKUP($A9,Sheet1!$A$1:$D$98,4,0),""))</f>
        <v>26000</v>
      </c>
      <c r="H9" s="152">
        <f>IF($C8=MAX($C$8:$C$56),SUM($H$8:$H8),IFERROR($G9*$F9,""))</f>
        <v>52000</v>
      </c>
      <c r="I9" s="54">
        <f t="shared" si="2"/>
        <v>1</v>
      </c>
      <c r="L9" s="31"/>
    </row>
    <row r="10" spans="1:14" s="29" customFormat="1" ht="14.25" customHeight="1" x14ac:dyDescent="0.25">
      <c r="A10" s="154">
        <v>39</v>
      </c>
      <c r="B10" s="154">
        <v>2</v>
      </c>
      <c r="C10" s="30">
        <f t="shared" si="0"/>
        <v>3</v>
      </c>
      <c r="D10" s="160" t="str">
        <f>IFERROR(VLOOKUP($A10,Sheet1!$A$1:$B$98,2,0),"")</f>
        <v>XX Đức KK</v>
      </c>
      <c r="E10" s="30">
        <f>IFERROR(VLOOKUP($A10,'Tổng Đơn'!$A$5:$E$52,5,0),"")</f>
        <v>0.5</v>
      </c>
      <c r="F10" s="30">
        <f t="shared" si="1"/>
        <v>2</v>
      </c>
      <c r="G10" s="161">
        <f>IF(AND($C10="",$C9&lt;&gt;""),"Tổng Cộng",IFERROR(VLOOKUP($A10,Sheet1!$A$1:$D$98,4,0),""))</f>
        <v>37000</v>
      </c>
      <c r="H10" s="152">
        <f>IF($C9=MAX($C$8:$C$56),SUM($H$8:$H9),IFERROR($G10*$F10,""))</f>
        <v>74000</v>
      </c>
      <c r="I10" s="54">
        <f t="shared" si="2"/>
        <v>1</v>
      </c>
      <c r="L10" s="31"/>
    </row>
    <row r="11" spans="1:14" s="29" customFormat="1" ht="14.25" customHeight="1" x14ac:dyDescent="0.25">
      <c r="A11" s="154">
        <v>1</v>
      </c>
      <c r="B11" s="154">
        <v>1</v>
      </c>
      <c r="C11" s="30">
        <f t="shared" si="0"/>
        <v>4</v>
      </c>
      <c r="D11" s="160" t="s">
        <v>310</v>
      </c>
      <c r="E11" s="30" t="s">
        <v>235</v>
      </c>
      <c r="F11" s="30" t="s">
        <v>235</v>
      </c>
      <c r="G11" s="161" t="s">
        <v>235</v>
      </c>
      <c r="H11" s="152">
        <f>-4*2000</f>
        <v>-8000</v>
      </c>
      <c r="I11" s="54" t="str">
        <f t="shared" si="2"/>
        <v/>
      </c>
      <c r="L11" s="31"/>
    </row>
    <row r="12" spans="1:14" s="29" customFormat="1" ht="14.25" customHeight="1" x14ac:dyDescent="0.25">
      <c r="A12" s="154" t="s">
        <v>308</v>
      </c>
      <c r="B12" s="154"/>
      <c r="C12" s="30" t="str">
        <f t="shared" si="0"/>
        <v/>
      </c>
      <c r="D12" s="160" t="str">
        <f>IFERROR(VLOOKUP($A12,Sheet1!$A$1:$B$98,2,0),"")</f>
        <v/>
      </c>
      <c r="E12" s="30" t="str">
        <f>IFERROR(VLOOKUP($A12,'Tổng Đơn'!$A$5:$E$52,5,0),"")</f>
        <v/>
      </c>
      <c r="F12" s="30" t="str">
        <f t="shared" si="1"/>
        <v/>
      </c>
      <c r="G12" s="161" t="str">
        <f>IF(AND($C12="",$C11&lt;&gt;""),"Tổng Cộng",IFERROR(VLOOKUP($A12,Sheet1!$A$1:$D$98,4,0),""))</f>
        <v>Tổng Cộng</v>
      </c>
      <c r="H12" s="152">
        <f>IF($C11=MAX($C$8:$C$56),SUM($H$8:$H11),IFERROR($G12*$F12,""))</f>
        <v>218000</v>
      </c>
      <c r="I12" s="54" t="str">
        <f t="shared" si="2"/>
        <v/>
      </c>
      <c r="J12" s="126"/>
      <c r="L12" s="31"/>
      <c r="M12" s="134"/>
      <c r="N12" s="127"/>
    </row>
    <row r="13" spans="1:14" s="29" customFormat="1" ht="14.25" customHeight="1" x14ac:dyDescent="0.25">
      <c r="A13" s="154" t="s">
        <v>308</v>
      </c>
      <c r="B13" s="154"/>
      <c r="C13" s="30" t="str">
        <f t="shared" si="0"/>
        <v/>
      </c>
      <c r="D13" s="160" t="str">
        <f>IFERROR(VLOOKUP($A13,Sheet1!$A$1:$B$98,2,0),"")</f>
        <v/>
      </c>
      <c r="E13" s="30" t="str">
        <f>IFERROR(VLOOKUP($A13,'Tổng Đơn'!$A$5:$E$52,5,0),"")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308</v>
      </c>
      <c r="B14" s="154"/>
      <c r="C14" s="30" t="str">
        <f t="shared" si="0"/>
        <v/>
      </c>
      <c r="D14" s="160" t="str">
        <f>IFERROR(VLOOKUP($A14,Sheet1!$A$1:$B$98,2,0),"")</f>
        <v/>
      </c>
      <c r="E14" s="30" t="str">
        <f>IFERROR(VLOOKUP($A14,'Tổng Đơn'!$A$5:$E$52,5,0),"")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308</v>
      </c>
      <c r="B15" s="154"/>
      <c r="C15" s="30" t="str">
        <f t="shared" si="0"/>
        <v/>
      </c>
      <c r="D15" s="160" t="str">
        <f>IFERROR(VLOOKUP($A15,Sheet1!$A$1:$B$98,2,0),"")</f>
        <v/>
      </c>
      <c r="E15" s="30" t="str">
        <f>IFERROR(VLOOKUP($A15,'Tổng Đơn'!$A$5:$E$52,5,0),"")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308</v>
      </c>
      <c r="B16" s="154"/>
      <c r="C16" s="30" t="str">
        <f t="shared" si="0"/>
        <v/>
      </c>
      <c r="D16" s="160" t="str">
        <f>IFERROR(VLOOKUP($A16,Sheet1!$A$1:$B$98,2,0),"")</f>
        <v/>
      </c>
      <c r="E16" s="30" t="str">
        <f>IFERROR(VLOOKUP($A16,'Tổng Đơn'!$A$5:$E$52,5,0),"")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308</v>
      </c>
      <c r="B17" s="154"/>
      <c r="C17" s="30" t="str">
        <f t="shared" si="0"/>
        <v/>
      </c>
      <c r="D17" s="160" t="str">
        <f>IFERROR(VLOOKUP($A17,Sheet1!$A$1:$B$98,2,0),"")</f>
        <v/>
      </c>
      <c r="E17" s="30" t="str">
        <f>IFERROR(VLOOKUP($A17,'Tổng Đơn'!$A$5:$E$52,5,0),"")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308</v>
      </c>
      <c r="B18" s="154"/>
      <c r="C18" s="30" t="str">
        <f t="shared" si="0"/>
        <v/>
      </c>
      <c r="D18" s="160" t="str">
        <f>IFERROR(VLOOKUP($A18,Sheet1!$A$1:$B$98,2,0),"")</f>
        <v/>
      </c>
      <c r="E18" s="30" t="str">
        <f>IFERROR(VLOOKUP($A18,'Tổng Đơn'!$A$5:$E$52,5,0),"")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308</v>
      </c>
      <c r="B19" s="154"/>
      <c r="C19" s="30" t="str">
        <f t="shared" si="0"/>
        <v/>
      </c>
      <c r="D19" s="160" t="str">
        <f>IFERROR(VLOOKUP($A19,Sheet1!$A$1:$B$98,2,0),"")</f>
        <v/>
      </c>
      <c r="E19" s="30" t="str">
        <f>IFERROR(VLOOKUP($A19,'Tổng Đơn'!$A$5:$E$52,5,0),"")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308</v>
      </c>
      <c r="B20" s="154"/>
      <c r="C20" s="30" t="str">
        <f t="shared" si="0"/>
        <v/>
      </c>
      <c r="D20" s="160" t="str">
        <f>IFERROR(VLOOKUP($A20,Sheet1!$A$1:$B$98,2,0),"")</f>
        <v/>
      </c>
      <c r="E20" s="30" t="str">
        <f>IFERROR(VLOOKUP($A20,'Tổng Đơn'!$A$5:$E$52,5,0),"")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308</v>
      </c>
      <c r="B21" s="154"/>
      <c r="C21" s="30" t="str">
        <f t="shared" si="0"/>
        <v/>
      </c>
      <c r="D21" s="160" t="str">
        <f>IFERROR(VLOOKUP($A21,Sheet1!$A$1:$B$98,2,0),"")</f>
        <v/>
      </c>
      <c r="E21" s="30" t="str">
        <f>IFERROR(VLOOKUP($A21,'Tổng Đơn'!$A$5:$E$52,5,0),"")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308</v>
      </c>
      <c r="B22" s="154"/>
      <c r="C22" s="30" t="str">
        <f t="shared" si="0"/>
        <v/>
      </c>
      <c r="D22" s="151" t="str">
        <f>IFERROR(VLOOKUP($A22,Sheet1!$A$1:$B$98,2,0),"")</f>
        <v/>
      </c>
      <c r="E22" s="30" t="str">
        <f>IFERROR(VLOOKUP($A22,'Tổng Đơn'!$A$5:$E$52,5,0),"")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308</v>
      </c>
      <c r="B23" s="154"/>
      <c r="C23" s="30" t="str">
        <f t="shared" si="0"/>
        <v/>
      </c>
      <c r="D23" s="151" t="str">
        <f>IFERROR(VLOOKUP($A23,Sheet1!$A$1:$B$98,2,0),"")</f>
        <v/>
      </c>
      <c r="E23" s="30" t="str">
        <f>IFERROR(VLOOKUP($A23,'Tổng Đơn'!$A$5:$E$52,5,0),"")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308</v>
      </c>
      <c r="B24" s="154"/>
      <c r="C24" s="30" t="str">
        <f t="shared" si="0"/>
        <v/>
      </c>
      <c r="D24" s="151" t="str">
        <f>IFERROR(VLOOKUP($A24,Sheet1!$A$1:$B$98,2,0),"")</f>
        <v/>
      </c>
      <c r="E24" s="30" t="str">
        <f>IFERROR(VLOOKUP($A24,'Tổng Đơn'!$A$5:$E$52,5,0),"")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308</v>
      </c>
      <c r="B25" s="154"/>
      <c r="C25" s="30" t="str">
        <f t="shared" si="0"/>
        <v/>
      </c>
      <c r="D25" s="151" t="str">
        <f>IFERROR(VLOOKUP($A25,Sheet1!$A$1:$B$98,2,0),"")</f>
        <v/>
      </c>
      <c r="E25" s="30" t="str">
        <f>IFERROR(VLOOKUP($A25,'Tổng Đơn'!$A$5:$E$52,5,0),"")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308</v>
      </c>
      <c r="B26" s="154"/>
      <c r="C26" s="30" t="str">
        <f t="shared" si="0"/>
        <v/>
      </c>
      <c r="D26" s="151" t="str">
        <f>IFERROR(VLOOKUP($A26,Sheet1!$A$1:$B$98,2,0),"")</f>
        <v/>
      </c>
      <c r="E26" s="30" t="str">
        <f>IFERROR(VLOOKUP($A26,'Tổng Đơn'!$A$5:$E$52,5,0),"")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308</v>
      </c>
      <c r="B27" s="154"/>
      <c r="C27" s="30" t="str">
        <f t="shared" si="0"/>
        <v/>
      </c>
      <c r="D27" s="151" t="str">
        <f>IFERROR(VLOOKUP($A27,Sheet1!$A$1:$B$98,2,0),"")</f>
        <v/>
      </c>
      <c r="E27" s="30" t="str">
        <f>IFERROR(VLOOKUP($A27,'Tổng Đơn'!$A$5:$E$52,5,0),"")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308</v>
      </c>
      <c r="B28" s="154"/>
      <c r="C28" s="30" t="str">
        <f t="shared" si="0"/>
        <v/>
      </c>
      <c r="D28" s="151" t="str">
        <f>IFERROR(VLOOKUP($A28,Sheet1!$A$1:$B$98,2,0),"")</f>
        <v/>
      </c>
      <c r="E28" s="30" t="str">
        <f>IFERROR(VLOOKUP($A28,'Tổng Đơn'!$A$5:$E$52,5,0),"")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308</v>
      </c>
      <c r="B29" s="154"/>
      <c r="C29" s="30" t="str">
        <f t="shared" si="0"/>
        <v/>
      </c>
      <c r="D29" s="151" t="str">
        <f>IFERROR(VLOOKUP($A29,Sheet1!$A$1:$B$98,2,0),"")</f>
        <v/>
      </c>
      <c r="E29" s="30" t="str">
        <f>IFERROR(VLOOKUP($A29,'Tổng Đơn'!$A$5:$E$52,5,0),"")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308</v>
      </c>
      <c r="B30" s="154"/>
      <c r="C30" s="30" t="str">
        <f t="shared" si="0"/>
        <v/>
      </c>
      <c r="D30" s="151" t="str">
        <f>IFERROR(VLOOKUP($A30,Sheet1!$A$1:$B$98,2,0),"")</f>
        <v/>
      </c>
      <c r="E30" s="30" t="str">
        <f>IFERROR(VLOOKUP($A30,'Tổng Đơn'!$A$5:$E$52,5,0),"")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308</v>
      </c>
      <c r="B31" s="154"/>
      <c r="C31" s="30" t="str">
        <f t="shared" si="0"/>
        <v/>
      </c>
      <c r="D31" s="151" t="str">
        <f>IFERROR(VLOOKUP($A31,Sheet1!$A$1:$B$98,2,0),"")</f>
        <v/>
      </c>
      <c r="E31" s="30" t="str">
        <f>IFERROR(VLOOKUP($A31,'Tổng Đơn'!$A$5:$E$52,5,0),"")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308</v>
      </c>
      <c r="B32" s="154"/>
      <c r="C32" s="30" t="str">
        <f t="shared" si="0"/>
        <v/>
      </c>
      <c r="D32" s="151" t="str">
        <f>IFERROR(VLOOKUP($A32,Sheet1!$A$1:$B$98,2,0),"")</f>
        <v/>
      </c>
      <c r="E32" s="30" t="str">
        <f>IFERROR(VLOOKUP($A32,'Tổng Đơn'!$A$5:$E$52,5,0),"")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308</v>
      </c>
      <c r="B33" s="154"/>
      <c r="C33" s="30" t="str">
        <f t="shared" si="0"/>
        <v/>
      </c>
      <c r="D33" s="151" t="str">
        <f>IFERROR(VLOOKUP($A33,Sheet1!$A$1:$B$98,2,0),"")</f>
        <v/>
      </c>
      <c r="E33" s="30" t="str">
        <f>IFERROR(VLOOKUP($A33,'Tổng Đơn'!$A$5:$E$52,5,0),"")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308</v>
      </c>
      <c r="B34" s="154"/>
      <c r="C34" s="30" t="str">
        <f t="shared" si="0"/>
        <v/>
      </c>
      <c r="D34" s="151" t="str">
        <f>IFERROR(VLOOKUP($A34,Sheet1!$A$1:$B$98,2,0),"")</f>
        <v/>
      </c>
      <c r="E34" s="30" t="str">
        <f>IFERROR(VLOOKUP($A34,'Tổng Đơn'!$A$5:$E$52,5,0),"")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308</v>
      </c>
      <c r="B35" s="154"/>
      <c r="C35" s="30" t="str">
        <f t="shared" si="0"/>
        <v/>
      </c>
      <c r="D35" s="151" t="str">
        <f>IFERROR(VLOOKUP($A35,Sheet1!$A$1:$B$98,2,0),"")</f>
        <v/>
      </c>
      <c r="E35" s="30" t="str">
        <f>IFERROR(VLOOKUP($A35,'Tổng Đơn'!$A$5:$E$52,5,0),"")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308</v>
      </c>
      <c r="B36" s="154"/>
      <c r="C36" s="30" t="str">
        <f t="shared" si="0"/>
        <v/>
      </c>
      <c r="D36" s="151" t="str">
        <f>IFERROR(VLOOKUP($A36,Sheet1!$A$1:$B$98,2,0),"")</f>
        <v/>
      </c>
      <c r="E36" s="30" t="str">
        <f>IFERROR(VLOOKUP($A36,'Tổng Đơn'!$A$5:$E$52,5,0),"")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308</v>
      </c>
      <c r="B37" s="154"/>
      <c r="C37" s="30" t="str">
        <f t="shared" si="0"/>
        <v/>
      </c>
      <c r="D37" s="151" t="str">
        <f>IFERROR(VLOOKUP($A37,Sheet1!$A$1:$B$98,2,0),"")</f>
        <v/>
      </c>
      <c r="E37" s="30" t="str">
        <f>IFERROR(VLOOKUP($A37,'Tổng Đơn'!$A$5:$E$52,5,0),"")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34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4" customFormat="1" ht="21" customHeight="1" x14ac:dyDescent="0.25">
      <c r="C5" s="287" t="s">
        <v>165</v>
      </c>
      <c r="D5" s="287"/>
      <c r="E5" s="287"/>
      <c r="F5" s="287"/>
      <c r="G5" s="287"/>
      <c r="H5" s="287"/>
    </row>
    <row r="6" spans="1:14" s="144" customFormat="1" ht="17.25" customHeight="1" x14ac:dyDescent="0.25">
      <c r="C6" s="153" t="s">
        <v>170</v>
      </c>
      <c r="D6" s="157" t="s">
        <v>313</v>
      </c>
      <c r="E6" s="149"/>
      <c r="F6" s="149"/>
      <c r="G6" s="281" t="str">
        <f ca="1">"Ngày "&amp;DAY(TODAY())&amp;" Tháng "&amp;MONTH(TODAY())&amp;" Năm "&amp;YEAR(TODAY())</f>
        <v>Ngày 2 Tháng 11 Năm 2022</v>
      </c>
      <c r="H6" s="281"/>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25</v>
      </c>
      <c r="L7" s="144"/>
    </row>
    <row r="8" spans="1:14" s="29" customFormat="1" ht="14.25" customHeight="1" x14ac:dyDescent="0.25">
      <c r="A8" s="154">
        <v>16</v>
      </c>
      <c r="B8" s="154">
        <v>10</v>
      </c>
      <c r="C8" s="30">
        <f t="shared" ref="C8:C37" si="0">IF(OR(SUM($C7,$A8&lt;&gt;"")=0,$A8=""),"",SUM($C7,$A8&lt;&gt;""))</f>
        <v>1</v>
      </c>
      <c r="D8" s="151" t="str">
        <f>IFERROR(VLOOKUP($A8,Sheet1!$A$1:$B$98,2,0),"")</f>
        <v>XX Đức HS ĐNA</v>
      </c>
      <c r="E8" s="30">
        <f>IFERROR(VLOOKUP($A8,'Tổng Đơn'!$A$5:$E$52,5,0),"")</f>
        <v>0.5</v>
      </c>
      <c r="F8" s="30">
        <f t="shared" ref="F8:F37" si="1">IF($B8="","",B8)</f>
        <v>10</v>
      </c>
      <c r="G8" s="161">
        <f>IFERROR(VLOOKUP($A8,Sheet1!$A1:$D$98,4,0),"")</f>
        <v>35000</v>
      </c>
      <c r="H8" s="152">
        <f>IF($C7=MAX($C$8:$C$56),SUM($H7:$H$8),IFERROR($G8*$F8,""))</f>
        <v>350000</v>
      </c>
      <c r="I8" s="54">
        <f t="shared" ref="I8:I37" si="2">IF(TYPE($A8)&lt;&gt;1,"",IFERROR(F8*E8,""))</f>
        <v>5</v>
      </c>
      <c r="L8" s="32"/>
    </row>
    <row r="9" spans="1:14" s="29" customFormat="1" ht="14.25" customHeight="1" x14ac:dyDescent="0.25">
      <c r="A9" s="154">
        <v>34</v>
      </c>
      <c r="B9" s="154">
        <v>40</v>
      </c>
      <c r="C9" s="30">
        <f t="shared" si="0"/>
        <v>2</v>
      </c>
      <c r="D9" s="160" t="str">
        <f>IFERROR(VLOOKUP($A9,Sheet1!$A$1:$B$98,2,0),"")</f>
        <v>Cá viên KK</v>
      </c>
      <c r="E9" s="30">
        <f>IFERROR(VLOOKUP($A9,'Tổng Đơn'!$A$5:$E$52,5,0),"")</f>
        <v>0.5</v>
      </c>
      <c r="F9" s="30">
        <f t="shared" si="1"/>
        <v>40</v>
      </c>
      <c r="G9" s="161">
        <f>IF(AND($C9="",$C8&lt;&gt;""),"Tổng Cộng",IFERROR(VLOOKUP($A9,Sheet1!$A$1:$D$98,4,0),""))</f>
        <v>25000</v>
      </c>
      <c r="H9" s="152">
        <f>IF($C8=MAX($C$8:$C$56),SUM($H$8:$H8),IFERROR($G9*$F9,""))</f>
        <v>1000000</v>
      </c>
      <c r="I9" s="54">
        <f t="shared" si="2"/>
        <v>20</v>
      </c>
      <c r="L9" s="31"/>
    </row>
    <row r="10" spans="1:14" s="29" customFormat="1" ht="14.25" customHeight="1" x14ac:dyDescent="0.25">
      <c r="A10" s="154">
        <v>1</v>
      </c>
      <c r="B10" s="154">
        <v>1</v>
      </c>
      <c r="C10" s="30">
        <f t="shared" si="0"/>
        <v>3</v>
      </c>
      <c r="D10" s="160" t="s">
        <v>310</v>
      </c>
      <c r="E10" s="30" t="s">
        <v>235</v>
      </c>
      <c r="F10" s="30" t="s">
        <v>235</v>
      </c>
      <c r="G10" s="161" t="s">
        <v>235</v>
      </c>
      <c r="H10" s="152">
        <f>-10*2000-20*8500</f>
        <v>-190000</v>
      </c>
      <c r="I10" s="54" t="str">
        <f t="shared" si="2"/>
        <v/>
      </c>
      <c r="L10" s="31"/>
    </row>
    <row r="11" spans="1:14" s="29" customFormat="1" ht="14.25" customHeight="1" x14ac:dyDescent="0.25">
      <c r="A11" s="154" t="s">
        <v>308</v>
      </c>
      <c r="B11" s="154"/>
      <c r="C11" s="30" t="str">
        <f t="shared" si="0"/>
        <v/>
      </c>
      <c r="D11" s="160" t="str">
        <f>IFERROR(VLOOKUP($A11,Sheet1!$A$1:$B$98,2,0),"")</f>
        <v/>
      </c>
      <c r="E11" s="30" t="str">
        <f>IFERROR(VLOOKUP($A11,'Tổng Đơn'!$A$5:$E$52,5,0),"")</f>
        <v/>
      </c>
      <c r="F11" s="30" t="str">
        <f t="shared" si="1"/>
        <v/>
      </c>
      <c r="G11" s="161" t="str">
        <f>IF(AND($C11="",$C10&lt;&gt;""),"Tổng Cộng",IFERROR(VLOOKUP($A11,Sheet1!$A$1:$D$98,4,0),""))</f>
        <v>Tổng Cộng</v>
      </c>
      <c r="H11" s="152">
        <f>IF($C10=MAX($C$8:$C$56),SUM($H$8:$H10),IFERROR($G11*$F11,""))</f>
        <v>1160000</v>
      </c>
      <c r="I11" s="54" t="str">
        <f t="shared" si="2"/>
        <v/>
      </c>
      <c r="L11" s="31"/>
    </row>
    <row r="12" spans="1:14" s="29" customFormat="1" ht="14.25" customHeight="1" x14ac:dyDescent="0.25">
      <c r="A12" s="154" t="s">
        <v>308</v>
      </c>
      <c r="B12" s="154"/>
      <c r="C12" s="30" t="str">
        <f t="shared" si="0"/>
        <v/>
      </c>
      <c r="D12" s="160" t="str">
        <f>IFERROR(VLOOKUP($A12,Sheet1!$A$1:$B$98,2,0),"")</f>
        <v/>
      </c>
      <c r="E12" s="30" t="str">
        <f>IFERROR(VLOOKUP($A12,'Tổng Đơn'!$A$5:$E$52,5,0),"")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308</v>
      </c>
      <c r="B13" s="154"/>
      <c r="C13" s="30" t="str">
        <f t="shared" si="0"/>
        <v/>
      </c>
      <c r="D13" s="160" t="str">
        <f>IFERROR(VLOOKUP($A13,Sheet1!$A$1:$B$98,2,0),"")</f>
        <v/>
      </c>
      <c r="E13" s="30" t="str">
        <f>IFERROR(VLOOKUP($A13,'Tổng Đơn'!$A$5:$E$52,5,0),"")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308</v>
      </c>
      <c r="B14" s="154"/>
      <c r="C14" s="30" t="str">
        <f t="shared" si="0"/>
        <v/>
      </c>
      <c r="D14" s="160" t="str">
        <f>IFERROR(VLOOKUP($A14,Sheet1!$A$1:$B$98,2,0),"")</f>
        <v/>
      </c>
      <c r="E14" s="30" t="str">
        <f>IFERROR(VLOOKUP($A14,'Tổng Đơn'!$A$5:$E$52,5,0),"")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308</v>
      </c>
      <c r="B15" s="154"/>
      <c r="C15" s="30" t="str">
        <f t="shared" si="0"/>
        <v/>
      </c>
      <c r="D15" s="160" t="str">
        <f>IFERROR(VLOOKUP($A15,Sheet1!$A$1:$B$98,2,0),"")</f>
        <v/>
      </c>
      <c r="E15" s="30" t="str">
        <f>IFERROR(VLOOKUP($A15,'Tổng Đơn'!$A$5:$E$52,5,0),"")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308</v>
      </c>
      <c r="B16" s="154"/>
      <c r="C16" s="30" t="str">
        <f t="shared" si="0"/>
        <v/>
      </c>
      <c r="D16" s="160" t="str">
        <f>IFERROR(VLOOKUP($A16,Sheet1!$A$1:$B$98,2,0),"")</f>
        <v/>
      </c>
      <c r="E16" s="30" t="str">
        <f>IFERROR(VLOOKUP($A16,'Tổng Đơn'!$A$5:$E$52,5,0),"")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308</v>
      </c>
      <c r="B17" s="154"/>
      <c r="C17" s="30" t="str">
        <f t="shared" si="0"/>
        <v/>
      </c>
      <c r="D17" s="160" t="str">
        <f>IFERROR(VLOOKUP($A17,Sheet1!$A$1:$B$98,2,0),"")</f>
        <v/>
      </c>
      <c r="E17" s="30" t="str">
        <f>IFERROR(VLOOKUP($A17,'Tổng Đơn'!$A$5:$E$52,5,0),"")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308</v>
      </c>
      <c r="B18" s="154"/>
      <c r="C18" s="30" t="str">
        <f t="shared" si="0"/>
        <v/>
      </c>
      <c r="D18" s="160" t="str">
        <f>IFERROR(VLOOKUP($A18,Sheet1!$A$1:$B$98,2,0),"")</f>
        <v/>
      </c>
      <c r="E18" s="30" t="str">
        <f>IFERROR(VLOOKUP($A18,'Tổng Đơn'!$A$5:$E$52,5,0),"")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308</v>
      </c>
      <c r="B19" s="154"/>
      <c r="C19" s="30" t="str">
        <f t="shared" si="0"/>
        <v/>
      </c>
      <c r="D19" s="160" t="str">
        <f>IFERROR(VLOOKUP($A19,Sheet1!$A$1:$B$98,2,0),"")</f>
        <v/>
      </c>
      <c r="E19" s="30" t="str">
        <f>IFERROR(VLOOKUP($A19,'Tổng Đơn'!$A$5:$E$52,5,0),"")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308</v>
      </c>
      <c r="B20" s="154"/>
      <c r="C20" s="30" t="str">
        <f t="shared" si="0"/>
        <v/>
      </c>
      <c r="D20" s="160" t="str">
        <f>IFERROR(VLOOKUP($A20,Sheet1!$A$1:$B$98,2,0),"")</f>
        <v/>
      </c>
      <c r="E20" s="30" t="str">
        <f>IFERROR(VLOOKUP($A20,'Tổng Đơn'!$A$5:$E$52,5,0),"")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308</v>
      </c>
      <c r="B21" s="154"/>
      <c r="C21" s="30" t="str">
        <f t="shared" si="0"/>
        <v/>
      </c>
      <c r="D21" s="160" t="str">
        <f>IFERROR(VLOOKUP($A21,Sheet1!$A$1:$B$98,2,0),"")</f>
        <v/>
      </c>
      <c r="E21" s="30" t="str">
        <f>IFERROR(VLOOKUP($A21,'Tổng Đơn'!$A$5:$E$52,5,0),"")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308</v>
      </c>
      <c r="B22" s="154"/>
      <c r="C22" s="30" t="str">
        <f t="shared" si="0"/>
        <v/>
      </c>
      <c r="D22" s="151" t="str">
        <f>IFERROR(VLOOKUP($A22,Sheet1!$A$1:$B$98,2,0),"")</f>
        <v/>
      </c>
      <c r="E22" s="30" t="str">
        <f>IFERROR(VLOOKUP($A22,'Tổng Đơn'!$A$5:$E$52,5,0),"")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308</v>
      </c>
      <c r="B23" s="154"/>
      <c r="C23" s="30" t="str">
        <f t="shared" si="0"/>
        <v/>
      </c>
      <c r="D23" s="151" t="str">
        <f>IFERROR(VLOOKUP($A23,Sheet1!$A$1:$B$98,2,0),"")</f>
        <v/>
      </c>
      <c r="E23" s="30" t="str">
        <f>IFERROR(VLOOKUP($A23,'Tổng Đơn'!$A$5:$E$52,5,0),"")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308</v>
      </c>
      <c r="B24" s="154"/>
      <c r="C24" s="30" t="str">
        <f t="shared" si="0"/>
        <v/>
      </c>
      <c r="D24" s="151" t="str">
        <f>IFERROR(VLOOKUP($A24,Sheet1!$A$1:$B$98,2,0),"")</f>
        <v/>
      </c>
      <c r="E24" s="30" t="str">
        <f>IFERROR(VLOOKUP($A24,'Tổng Đơn'!$A$5:$E$52,5,0),"")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308</v>
      </c>
      <c r="B25" s="154"/>
      <c r="C25" s="30" t="str">
        <f t="shared" si="0"/>
        <v/>
      </c>
      <c r="D25" s="151" t="str">
        <f>IFERROR(VLOOKUP($A25,Sheet1!$A$1:$B$98,2,0),"")</f>
        <v/>
      </c>
      <c r="E25" s="30" t="str">
        <f>IFERROR(VLOOKUP($A25,'Tổng Đơn'!$A$5:$E$52,5,0),"")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308</v>
      </c>
      <c r="B26" s="154"/>
      <c r="C26" s="30" t="str">
        <f t="shared" si="0"/>
        <v/>
      </c>
      <c r="D26" s="151" t="str">
        <f>IFERROR(VLOOKUP($A26,Sheet1!$A$1:$B$98,2,0),"")</f>
        <v/>
      </c>
      <c r="E26" s="30" t="str">
        <f>IFERROR(VLOOKUP($A26,'Tổng Đơn'!$A$5:$E$52,5,0),"")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308</v>
      </c>
      <c r="B27" s="154"/>
      <c r="C27" s="30" t="str">
        <f t="shared" si="0"/>
        <v/>
      </c>
      <c r="D27" s="151" t="str">
        <f>IFERROR(VLOOKUP($A27,Sheet1!$A$1:$B$98,2,0),"")</f>
        <v/>
      </c>
      <c r="E27" s="30" t="str">
        <f>IFERROR(VLOOKUP($A27,'Tổng Đơn'!$A$5:$E$52,5,0),"")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308</v>
      </c>
      <c r="B28" s="154"/>
      <c r="C28" s="30" t="str">
        <f t="shared" si="0"/>
        <v/>
      </c>
      <c r="D28" s="151" t="str">
        <f>IFERROR(VLOOKUP($A28,Sheet1!$A$1:$B$98,2,0),"")</f>
        <v/>
      </c>
      <c r="E28" s="30" t="str">
        <f>IFERROR(VLOOKUP($A28,'Tổng Đơn'!$A$5:$E$52,5,0),"")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308</v>
      </c>
      <c r="B29" s="154"/>
      <c r="C29" s="30" t="str">
        <f t="shared" si="0"/>
        <v/>
      </c>
      <c r="D29" s="151" t="str">
        <f>IFERROR(VLOOKUP($A29,Sheet1!$A$1:$B$98,2,0),"")</f>
        <v/>
      </c>
      <c r="E29" s="30" t="str">
        <f>IFERROR(VLOOKUP($A29,'Tổng Đơn'!$A$5:$E$52,5,0),"")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308</v>
      </c>
      <c r="B30" s="154"/>
      <c r="C30" s="30" t="str">
        <f t="shared" si="0"/>
        <v/>
      </c>
      <c r="D30" s="151" t="str">
        <f>IFERROR(VLOOKUP($A30,Sheet1!$A$1:$B$98,2,0),"")</f>
        <v/>
      </c>
      <c r="E30" s="30" t="str">
        <f>IFERROR(VLOOKUP($A30,'Tổng Đơn'!$A$5:$E$52,5,0),"")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308</v>
      </c>
      <c r="B31" s="154"/>
      <c r="C31" s="30" t="str">
        <f t="shared" si="0"/>
        <v/>
      </c>
      <c r="D31" s="151" t="str">
        <f>IFERROR(VLOOKUP($A31,Sheet1!$A$1:$B$98,2,0),"")</f>
        <v/>
      </c>
      <c r="E31" s="30" t="str">
        <f>IFERROR(VLOOKUP($A31,'Tổng Đơn'!$A$5:$E$52,5,0),"")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308</v>
      </c>
      <c r="B32" s="154"/>
      <c r="C32" s="30" t="str">
        <f t="shared" si="0"/>
        <v/>
      </c>
      <c r="D32" s="151" t="str">
        <f>IFERROR(VLOOKUP($A32,Sheet1!$A$1:$B$98,2,0),"")</f>
        <v/>
      </c>
      <c r="E32" s="30" t="str">
        <f>IFERROR(VLOOKUP($A32,'Tổng Đơn'!$A$5:$E$52,5,0),"")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308</v>
      </c>
      <c r="B33" s="154"/>
      <c r="C33" s="30" t="str">
        <f t="shared" si="0"/>
        <v/>
      </c>
      <c r="D33" s="151" t="str">
        <f>IFERROR(VLOOKUP($A33,Sheet1!$A$1:$B$98,2,0),"")</f>
        <v/>
      </c>
      <c r="E33" s="30" t="str">
        <f>IFERROR(VLOOKUP($A33,'Tổng Đơn'!$A$5:$E$52,5,0),"")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308</v>
      </c>
      <c r="B34" s="154"/>
      <c r="C34" s="30" t="str">
        <f t="shared" si="0"/>
        <v/>
      </c>
      <c r="D34" s="151" t="str">
        <f>IFERROR(VLOOKUP($A34,Sheet1!$A$1:$B$98,2,0),"")</f>
        <v/>
      </c>
      <c r="E34" s="30" t="str">
        <f>IFERROR(VLOOKUP($A34,'Tổng Đơn'!$A$5:$E$52,5,0),"")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308</v>
      </c>
      <c r="B35" s="154"/>
      <c r="C35" s="30" t="str">
        <f t="shared" si="0"/>
        <v/>
      </c>
      <c r="D35" s="151" t="str">
        <f>IFERROR(VLOOKUP($A35,Sheet1!$A$1:$B$98,2,0),"")</f>
        <v/>
      </c>
      <c r="E35" s="30" t="str">
        <f>IFERROR(VLOOKUP($A35,'Tổng Đơn'!$A$5:$E$52,5,0),"")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308</v>
      </c>
      <c r="B36" s="154"/>
      <c r="C36" s="30" t="str">
        <f t="shared" si="0"/>
        <v/>
      </c>
      <c r="D36" s="151" t="str">
        <f>IFERROR(VLOOKUP($A36,Sheet1!$A$1:$B$98,2,0),"")</f>
        <v/>
      </c>
      <c r="E36" s="30" t="str">
        <f>IFERROR(VLOOKUP($A36,'Tổng Đơn'!$A$5:$E$52,5,0),"")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308</v>
      </c>
      <c r="B37" s="154"/>
      <c r="C37" s="30" t="str">
        <f t="shared" si="0"/>
        <v/>
      </c>
      <c r="D37" s="151" t="str">
        <f>IFERROR(VLOOKUP($A37,Sheet1!$A$1:$B$98,2,0),"")</f>
        <v/>
      </c>
      <c r="E37" s="30" t="str">
        <f>IFERROR(VLOOKUP($A37,'Tổng Đơn'!$A$5:$E$52,5,0),"")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24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4" customFormat="1" ht="21" customHeight="1" x14ac:dyDescent="0.25">
      <c r="C5" s="287" t="s">
        <v>165</v>
      </c>
      <c r="D5" s="287"/>
      <c r="E5" s="287"/>
      <c r="F5" s="287"/>
      <c r="G5" s="287"/>
      <c r="H5" s="287"/>
    </row>
    <row r="6" spans="1:14" s="144" customFormat="1" ht="17.25" customHeight="1" x14ac:dyDescent="0.25">
      <c r="C6" s="153" t="s">
        <v>170</v>
      </c>
      <c r="D6" s="157" t="s">
        <v>312</v>
      </c>
      <c r="E6" s="149"/>
      <c r="F6" s="149"/>
      <c r="G6" s="281" t="str">
        <f ca="1">"Ngày "&amp;DAY(TODAY())&amp;" Tháng "&amp;MONTH(TODAY())&amp;" Năm "&amp;YEAR(TODAY())</f>
        <v>Ngày 2 Tháng 11 Năm 2022</v>
      </c>
      <c r="H6" s="281"/>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8.5</v>
      </c>
      <c r="L7" s="144"/>
    </row>
    <row r="8" spans="1:14" s="29" customFormat="1" ht="14.25" customHeight="1" x14ac:dyDescent="0.25">
      <c r="A8" s="154">
        <v>6</v>
      </c>
      <c r="B8" s="154">
        <v>2</v>
      </c>
      <c r="C8" s="30">
        <f t="shared" ref="C8:C37" si="0">IF(OR(SUM($C7,$A8&lt;&gt;"")=0,$A8=""),"",SUM($C7,$A8&lt;&gt;""))</f>
        <v>1</v>
      </c>
      <c r="D8" s="151" t="str">
        <f>IFERROR(VLOOKUP($A8,Sheet1!$A$1:$B$98,2,0),"")</f>
        <v>Mực tẩm bột LC</v>
      </c>
      <c r="E8" s="30">
        <f>IFERROR(VLOOKUP($A8,'Tổng Đơn'!$A$5:$E$52,5,0),"")</f>
        <v>0.5</v>
      </c>
      <c r="F8" s="30">
        <f t="shared" ref="F8:F37" si="1">IF($B8="","",B8)</f>
        <v>2</v>
      </c>
      <c r="G8" s="161">
        <f>IFERROR(VLOOKUP($A8,Sheet1!$A1:$D$98,4,0),"")</f>
        <v>42000</v>
      </c>
      <c r="H8" s="152">
        <f>IF($C7=MAX($C$8:$C$56),SUM($H7:$H$8),IFERROR($G8*$F8,""))</f>
        <v>84000</v>
      </c>
      <c r="I8" s="54">
        <f t="shared" ref="I8:I37" si="2">IF(TYPE($A8)&lt;&gt;1,"",IFERROR(F8*E8,""))</f>
        <v>1</v>
      </c>
      <c r="L8" s="32"/>
    </row>
    <row r="9" spans="1:14" s="29" customFormat="1" ht="14.25" customHeight="1" x14ac:dyDescent="0.25">
      <c r="A9" s="154">
        <v>7</v>
      </c>
      <c r="B9" s="154">
        <v>3</v>
      </c>
      <c r="C9" s="30">
        <f t="shared" si="0"/>
        <v>2</v>
      </c>
      <c r="D9" s="160" t="str">
        <f>IFERROR(VLOOKUP($A9,Sheet1!$A$1:$B$98,2,0),"")</f>
        <v>Hải sản sốt cam LC</v>
      </c>
      <c r="E9" s="30">
        <f>IFERROR(VLOOKUP($A9,'Tổng Đơn'!$A$5:$E$52,5,0),"")</f>
        <v>0.5</v>
      </c>
      <c r="F9" s="30">
        <f t="shared" si="1"/>
        <v>3</v>
      </c>
      <c r="G9" s="161">
        <f>IF(AND($C9="",$C8&lt;&gt;""),"Tổng Cộng",IFERROR(VLOOKUP($A9,Sheet1!$A$1:$D$98,4,0),""))</f>
        <v>45000</v>
      </c>
      <c r="H9" s="152">
        <f>IF($C8=MAX($C$8:$C$56),SUM($H$8:$H8),IFERROR($G9*$F9,""))</f>
        <v>135000</v>
      </c>
      <c r="I9" s="54">
        <f t="shared" si="2"/>
        <v>1.5</v>
      </c>
      <c r="L9" s="31"/>
    </row>
    <row r="10" spans="1:14" s="29" customFormat="1" ht="14.25" customHeight="1" x14ac:dyDescent="0.25">
      <c r="A10" s="154">
        <v>13</v>
      </c>
      <c r="B10" s="154">
        <v>2</v>
      </c>
      <c r="C10" s="30">
        <f t="shared" si="0"/>
        <v>3</v>
      </c>
      <c r="D10" s="160" t="str">
        <f>IFERROR(VLOOKUP($A10,Sheet1!$A$1:$B$98,2,0),"")</f>
        <v>Phô mai que (13 que)</v>
      </c>
      <c r="E10" s="30">
        <f>IFERROR(VLOOKUP($A10,'Tổng Đơn'!$A$5:$E$52,5,0),"")</f>
        <v>0.5</v>
      </c>
      <c r="F10" s="30">
        <f t="shared" si="1"/>
        <v>2</v>
      </c>
      <c r="G10" s="161">
        <f>IF(AND($C10="",$C9&lt;&gt;""),"Tổng Cộng",IFERROR(VLOOKUP($A10,Sheet1!$A$1:$D$98,4,0),""))</f>
        <v>40000</v>
      </c>
      <c r="H10" s="152">
        <f>IF($C9=MAX($C$8:$C$56),SUM($H$8:$H9),IFERROR($G10*$F10,""))</f>
        <v>80000</v>
      </c>
      <c r="I10" s="54">
        <f t="shared" si="2"/>
        <v>1</v>
      </c>
      <c r="L10" s="31"/>
    </row>
    <row r="11" spans="1:14" s="29" customFormat="1" ht="14.25" customHeight="1" x14ac:dyDescent="0.25">
      <c r="A11" s="154">
        <v>34</v>
      </c>
      <c r="B11" s="154">
        <v>5</v>
      </c>
      <c r="C11" s="30">
        <f t="shared" si="0"/>
        <v>4</v>
      </c>
      <c r="D11" s="160" t="str">
        <f>IFERROR(VLOOKUP($A11,Sheet1!$A$1:$B$98,2,0),"")</f>
        <v>Cá viên KK</v>
      </c>
      <c r="E11" s="30">
        <f>IFERROR(VLOOKUP($A11,'Tổng Đơn'!$A$5:$E$52,5,0),"")</f>
        <v>0.5</v>
      </c>
      <c r="F11" s="30">
        <f t="shared" si="1"/>
        <v>5</v>
      </c>
      <c r="G11" s="161">
        <f>IF(AND($C11="",$C10&lt;&gt;""),"Tổng Cộng",IFERROR(VLOOKUP($A11,Sheet1!$A$1:$D$98,4,0),""))</f>
        <v>25000</v>
      </c>
      <c r="H11" s="152">
        <f>IF($C10=MAX($C$8:$C$56),SUM($H$8:$H10),IFERROR($G11*$F11,""))</f>
        <v>125000</v>
      </c>
      <c r="I11" s="54">
        <f t="shared" si="2"/>
        <v>2.5</v>
      </c>
      <c r="L11" s="31"/>
    </row>
    <row r="12" spans="1:14" s="29" customFormat="1" ht="14.25" customHeight="1" x14ac:dyDescent="0.25">
      <c r="A12" s="154">
        <v>39</v>
      </c>
      <c r="B12" s="154">
        <v>5</v>
      </c>
      <c r="C12" s="30">
        <f t="shared" si="0"/>
        <v>5</v>
      </c>
      <c r="D12" s="160" t="str">
        <f>IFERROR(VLOOKUP($A12,Sheet1!$A$1:$B$98,2,0),"")</f>
        <v>XX Đức KK</v>
      </c>
      <c r="E12" s="30">
        <f>IFERROR(VLOOKUP($A12,'Tổng Đơn'!$A$5:$E$52,5,0),"")</f>
        <v>0.5</v>
      </c>
      <c r="F12" s="30">
        <f t="shared" si="1"/>
        <v>5</v>
      </c>
      <c r="G12" s="161">
        <f>IF(AND($C12="",$C11&lt;&gt;""),"Tổng Cộng",IFERROR(VLOOKUP($A12,Sheet1!$A$1:$D$98,4,0),""))</f>
        <v>37000</v>
      </c>
      <c r="H12" s="152">
        <f>IF($C11=MAX($C$8:$C$56),SUM($H$8:$H11),IFERROR($G12*$F12,""))</f>
        <v>185000</v>
      </c>
      <c r="I12" s="54">
        <f t="shared" si="2"/>
        <v>2.5</v>
      </c>
      <c r="J12" s="126"/>
      <c r="L12" s="31"/>
      <c r="M12" s="134"/>
      <c r="N12" s="127"/>
    </row>
    <row r="13" spans="1:14" s="29" customFormat="1" ht="14.25" customHeight="1" x14ac:dyDescent="0.25">
      <c r="A13" s="154">
        <v>1</v>
      </c>
      <c r="B13" s="154">
        <v>1</v>
      </c>
      <c r="C13" s="30">
        <f t="shared" si="0"/>
        <v>6</v>
      </c>
      <c r="D13" s="160" t="s">
        <v>310</v>
      </c>
      <c r="E13" s="30" t="s">
        <v>235</v>
      </c>
      <c r="F13" s="30" t="s">
        <v>235</v>
      </c>
      <c r="G13" s="161" t="s">
        <v>235</v>
      </c>
      <c r="H13" s="152">
        <f>-5*2000-3*5000</f>
        <v>-25000</v>
      </c>
      <c r="I13" s="54" t="str">
        <f t="shared" si="2"/>
        <v/>
      </c>
      <c r="L13" s="31"/>
    </row>
    <row r="14" spans="1:14" s="29" customFormat="1" ht="14.25" customHeight="1" x14ac:dyDescent="0.25">
      <c r="A14" s="154" t="s">
        <v>308</v>
      </c>
      <c r="B14" s="154"/>
      <c r="C14" s="30" t="str">
        <f t="shared" si="0"/>
        <v/>
      </c>
      <c r="D14" s="160" t="str">
        <f>IFERROR(VLOOKUP($A14,Sheet1!$A$1:$B$98,2,0),"")</f>
        <v/>
      </c>
      <c r="E14" s="30" t="str">
        <f>IFERROR(VLOOKUP($A14,'Tổng Đơn'!$A$5:$E$52,5,0),"")</f>
        <v/>
      </c>
      <c r="F14" s="30" t="str">
        <f t="shared" si="1"/>
        <v/>
      </c>
      <c r="G14" s="161" t="str">
        <f>IF(AND($C14="",$C13&lt;&gt;""),"Tổng Cộng",IFERROR(VLOOKUP($A14,Sheet1!$A$1:$D$98,4,0),""))</f>
        <v>Tổng Cộng</v>
      </c>
      <c r="H14" s="152">
        <f>IF($C13=MAX($C$8:$C$56),SUM($H$8:$H13),IFERROR($G14*$F14,""))</f>
        <v>584000</v>
      </c>
      <c r="I14" s="54" t="str">
        <f t="shared" si="2"/>
        <v/>
      </c>
      <c r="L14" s="31"/>
      <c r="M14" s="135"/>
    </row>
    <row r="15" spans="1:14" s="29" customFormat="1" ht="14.25" customHeight="1" x14ac:dyDescent="0.25">
      <c r="A15" s="154" t="s">
        <v>308</v>
      </c>
      <c r="B15" s="154"/>
      <c r="C15" s="30" t="str">
        <f t="shared" si="0"/>
        <v/>
      </c>
      <c r="D15" s="160" t="str">
        <f>IFERROR(VLOOKUP($A15,Sheet1!$A$1:$B$98,2,0),"")</f>
        <v/>
      </c>
      <c r="E15" s="30" t="str">
        <f>IFERROR(VLOOKUP($A15,'Tổng Đơn'!$A$5:$E$52,5,0),"")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308</v>
      </c>
      <c r="B16" s="154"/>
      <c r="C16" s="30" t="str">
        <f t="shared" si="0"/>
        <v/>
      </c>
      <c r="D16" s="160" t="str">
        <f>IFERROR(VLOOKUP($A16,Sheet1!$A$1:$B$98,2,0),"")</f>
        <v/>
      </c>
      <c r="E16" s="30" t="str">
        <f>IFERROR(VLOOKUP($A16,'Tổng Đơn'!$A$5:$E$52,5,0),"")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308</v>
      </c>
      <c r="B17" s="154"/>
      <c r="C17" s="30" t="str">
        <f t="shared" si="0"/>
        <v/>
      </c>
      <c r="D17" s="160" t="str">
        <f>IFERROR(VLOOKUP($A17,Sheet1!$A$1:$B$98,2,0),"")</f>
        <v/>
      </c>
      <c r="E17" s="30" t="str">
        <f>IFERROR(VLOOKUP($A17,'Tổng Đơn'!$A$5:$E$52,5,0),"")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308</v>
      </c>
      <c r="B18" s="154"/>
      <c r="C18" s="30" t="str">
        <f t="shared" si="0"/>
        <v/>
      </c>
      <c r="D18" s="160" t="str">
        <f>IFERROR(VLOOKUP($A18,Sheet1!$A$1:$B$98,2,0),"")</f>
        <v/>
      </c>
      <c r="E18" s="30" t="str">
        <f>IFERROR(VLOOKUP($A18,'Tổng Đơn'!$A$5:$E$52,5,0),"")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308</v>
      </c>
      <c r="B19" s="154"/>
      <c r="C19" s="30" t="str">
        <f t="shared" si="0"/>
        <v/>
      </c>
      <c r="D19" s="160" t="str">
        <f>IFERROR(VLOOKUP($A19,Sheet1!$A$1:$B$98,2,0),"")</f>
        <v/>
      </c>
      <c r="E19" s="30" t="str">
        <f>IFERROR(VLOOKUP($A19,'Tổng Đơn'!$A$5:$E$52,5,0),"")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308</v>
      </c>
      <c r="B20" s="154"/>
      <c r="C20" s="30" t="str">
        <f t="shared" si="0"/>
        <v/>
      </c>
      <c r="D20" s="160" t="str">
        <f>IFERROR(VLOOKUP($A20,Sheet1!$A$1:$B$98,2,0),"")</f>
        <v/>
      </c>
      <c r="E20" s="30" t="str">
        <f>IFERROR(VLOOKUP($A20,'Tổng Đơn'!$A$5:$E$52,5,0),"")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308</v>
      </c>
      <c r="B21" s="154"/>
      <c r="C21" s="30" t="str">
        <f t="shared" si="0"/>
        <v/>
      </c>
      <c r="D21" s="160" t="str">
        <f>IFERROR(VLOOKUP($A21,Sheet1!$A$1:$B$98,2,0),"")</f>
        <v/>
      </c>
      <c r="E21" s="30" t="str">
        <f>IFERROR(VLOOKUP($A21,'Tổng Đơn'!$A$5:$E$52,5,0),"")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308</v>
      </c>
      <c r="B22" s="154"/>
      <c r="C22" s="30" t="str">
        <f t="shared" si="0"/>
        <v/>
      </c>
      <c r="D22" s="151" t="str">
        <f>IFERROR(VLOOKUP($A22,Sheet1!$A$1:$B$98,2,0),"")</f>
        <v/>
      </c>
      <c r="E22" s="30" t="str">
        <f>IFERROR(VLOOKUP($A22,'Tổng Đơn'!$A$5:$E$52,5,0),"")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308</v>
      </c>
      <c r="B23" s="154"/>
      <c r="C23" s="30" t="str">
        <f t="shared" si="0"/>
        <v/>
      </c>
      <c r="D23" s="151" t="str">
        <f>IFERROR(VLOOKUP($A23,Sheet1!$A$1:$B$98,2,0),"")</f>
        <v/>
      </c>
      <c r="E23" s="30" t="str">
        <f>IFERROR(VLOOKUP($A23,'Tổng Đơn'!$A$5:$E$52,5,0),"")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308</v>
      </c>
      <c r="B24" s="154"/>
      <c r="C24" s="30" t="str">
        <f t="shared" si="0"/>
        <v/>
      </c>
      <c r="D24" s="151" t="str">
        <f>IFERROR(VLOOKUP($A24,Sheet1!$A$1:$B$98,2,0),"")</f>
        <v/>
      </c>
      <c r="E24" s="30" t="str">
        <f>IFERROR(VLOOKUP($A24,'Tổng Đơn'!$A$5:$E$52,5,0),"")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308</v>
      </c>
      <c r="B25" s="154"/>
      <c r="C25" s="30" t="str">
        <f t="shared" si="0"/>
        <v/>
      </c>
      <c r="D25" s="151" t="str">
        <f>IFERROR(VLOOKUP($A25,Sheet1!$A$1:$B$98,2,0),"")</f>
        <v/>
      </c>
      <c r="E25" s="30" t="str">
        <f>IFERROR(VLOOKUP($A25,'Tổng Đơn'!$A$5:$E$52,5,0),"")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308</v>
      </c>
      <c r="B26" s="154"/>
      <c r="C26" s="30" t="str">
        <f t="shared" si="0"/>
        <v/>
      </c>
      <c r="D26" s="151" t="str">
        <f>IFERROR(VLOOKUP($A26,Sheet1!$A$1:$B$98,2,0),"")</f>
        <v/>
      </c>
      <c r="E26" s="30" t="str">
        <f>IFERROR(VLOOKUP($A26,'Tổng Đơn'!$A$5:$E$52,5,0),"")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308</v>
      </c>
      <c r="B27" s="154"/>
      <c r="C27" s="30" t="str">
        <f t="shared" si="0"/>
        <v/>
      </c>
      <c r="D27" s="151" t="str">
        <f>IFERROR(VLOOKUP($A27,Sheet1!$A$1:$B$98,2,0),"")</f>
        <v/>
      </c>
      <c r="E27" s="30" t="str">
        <f>IFERROR(VLOOKUP($A27,'Tổng Đơn'!$A$5:$E$52,5,0),"")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308</v>
      </c>
      <c r="B28" s="154"/>
      <c r="C28" s="30" t="str">
        <f t="shared" si="0"/>
        <v/>
      </c>
      <c r="D28" s="151" t="str">
        <f>IFERROR(VLOOKUP($A28,Sheet1!$A$1:$B$98,2,0),"")</f>
        <v/>
      </c>
      <c r="E28" s="30" t="str">
        <f>IFERROR(VLOOKUP($A28,'Tổng Đơn'!$A$5:$E$52,5,0),"")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308</v>
      </c>
      <c r="B29" s="154"/>
      <c r="C29" s="30" t="str">
        <f t="shared" si="0"/>
        <v/>
      </c>
      <c r="D29" s="151" t="str">
        <f>IFERROR(VLOOKUP($A29,Sheet1!$A$1:$B$98,2,0),"")</f>
        <v/>
      </c>
      <c r="E29" s="30" t="str">
        <f>IFERROR(VLOOKUP($A29,'Tổng Đơn'!$A$5:$E$52,5,0),"")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308</v>
      </c>
      <c r="B30" s="154"/>
      <c r="C30" s="30" t="str">
        <f t="shared" si="0"/>
        <v/>
      </c>
      <c r="D30" s="151" t="str">
        <f>IFERROR(VLOOKUP($A30,Sheet1!$A$1:$B$98,2,0),"")</f>
        <v/>
      </c>
      <c r="E30" s="30" t="str">
        <f>IFERROR(VLOOKUP($A30,'Tổng Đơn'!$A$5:$E$52,5,0),"")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308</v>
      </c>
      <c r="B31" s="154"/>
      <c r="C31" s="30" t="str">
        <f t="shared" si="0"/>
        <v/>
      </c>
      <c r="D31" s="151" t="str">
        <f>IFERROR(VLOOKUP($A31,Sheet1!$A$1:$B$98,2,0),"")</f>
        <v/>
      </c>
      <c r="E31" s="30" t="str">
        <f>IFERROR(VLOOKUP($A31,'Tổng Đơn'!$A$5:$E$52,5,0),"")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308</v>
      </c>
      <c r="B32" s="154"/>
      <c r="C32" s="30" t="str">
        <f t="shared" si="0"/>
        <v/>
      </c>
      <c r="D32" s="151" t="str">
        <f>IFERROR(VLOOKUP($A32,Sheet1!$A$1:$B$98,2,0),"")</f>
        <v/>
      </c>
      <c r="E32" s="30" t="str">
        <f>IFERROR(VLOOKUP($A32,'Tổng Đơn'!$A$5:$E$52,5,0),"")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308</v>
      </c>
      <c r="B33" s="154"/>
      <c r="C33" s="30" t="str">
        <f t="shared" si="0"/>
        <v/>
      </c>
      <c r="D33" s="151" t="str">
        <f>IFERROR(VLOOKUP($A33,Sheet1!$A$1:$B$98,2,0),"")</f>
        <v/>
      </c>
      <c r="E33" s="30" t="str">
        <f>IFERROR(VLOOKUP($A33,'Tổng Đơn'!$A$5:$E$52,5,0),"")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308</v>
      </c>
      <c r="B34" s="154"/>
      <c r="C34" s="30" t="str">
        <f t="shared" si="0"/>
        <v/>
      </c>
      <c r="D34" s="151" t="str">
        <f>IFERROR(VLOOKUP($A34,Sheet1!$A$1:$B$98,2,0),"")</f>
        <v/>
      </c>
      <c r="E34" s="30" t="str">
        <f>IFERROR(VLOOKUP($A34,'Tổng Đơn'!$A$5:$E$52,5,0),"")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308</v>
      </c>
      <c r="B35" s="154"/>
      <c r="C35" s="30" t="str">
        <f t="shared" si="0"/>
        <v/>
      </c>
      <c r="D35" s="151" t="str">
        <f>IFERROR(VLOOKUP($A35,Sheet1!$A$1:$B$98,2,0),"")</f>
        <v/>
      </c>
      <c r="E35" s="30" t="str">
        <f>IFERROR(VLOOKUP($A35,'Tổng Đơn'!$A$5:$E$52,5,0),"")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308</v>
      </c>
      <c r="B36" s="154"/>
      <c r="C36" s="30" t="str">
        <f t="shared" si="0"/>
        <v/>
      </c>
      <c r="D36" s="151" t="str">
        <f>IFERROR(VLOOKUP($A36,Sheet1!$A$1:$B$98,2,0),"")</f>
        <v/>
      </c>
      <c r="E36" s="30" t="str">
        <f>IFERROR(VLOOKUP($A36,'Tổng Đơn'!$A$5:$E$52,5,0),"")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308</v>
      </c>
      <c r="B37" s="154"/>
      <c r="C37" s="30" t="str">
        <f t="shared" si="0"/>
        <v/>
      </c>
      <c r="D37" s="151" t="str">
        <f>IFERROR(VLOOKUP($A37,Sheet1!$A$1:$B$98,2,0),"")</f>
        <v/>
      </c>
      <c r="E37" s="30" t="str">
        <f>IFERROR(VLOOKUP($A37,'Tổng Đơn'!$A$5:$E$52,5,0),"")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13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4" customFormat="1" ht="21" customHeight="1" x14ac:dyDescent="0.25">
      <c r="C5" s="287" t="s">
        <v>165</v>
      </c>
      <c r="D5" s="287"/>
      <c r="E5" s="287"/>
      <c r="F5" s="287"/>
      <c r="G5" s="287"/>
      <c r="H5" s="287"/>
    </row>
    <row r="6" spans="1:14" s="144" customFormat="1" ht="17.25" customHeight="1" x14ac:dyDescent="0.25">
      <c r="C6" s="153" t="s">
        <v>170</v>
      </c>
      <c r="D6" s="157" t="s">
        <v>311</v>
      </c>
      <c r="E6" s="149"/>
      <c r="F6" s="149"/>
      <c r="G6" s="281" t="str">
        <f ca="1">"Ngày "&amp;DAY(TODAY())&amp;" Tháng "&amp;MONTH(TODAY())&amp;" Năm "&amp;YEAR(TODAY())</f>
        <v>Ngày 2 Tháng 11 Năm 2022</v>
      </c>
      <c r="H6" s="281"/>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10</v>
      </c>
      <c r="L7" s="144"/>
    </row>
    <row r="8" spans="1:14" s="29" customFormat="1" ht="14.25" customHeight="1" x14ac:dyDescent="0.25">
      <c r="A8" s="154">
        <v>16</v>
      </c>
      <c r="B8" s="154">
        <v>5</v>
      </c>
      <c r="C8" s="30">
        <f t="shared" ref="C8:C37" si="0">IF(OR(SUM($C7,$A8&lt;&gt;"")=0,$A8=""),"",SUM($C7,$A8&lt;&gt;""))</f>
        <v>1</v>
      </c>
      <c r="D8" s="151" t="str">
        <f>IFERROR(VLOOKUP($A8,Sheet1!$A$1:$B$98,2,0),"")</f>
        <v>XX Đức HS ĐNA</v>
      </c>
      <c r="E8" s="30">
        <f>IFERROR(VLOOKUP($A8,'Tổng Đơn'!$A$5:$E$52,5,0),"")</f>
        <v>0.5</v>
      </c>
      <c r="F8" s="30">
        <f t="shared" ref="F8:F37" si="1">IF($B8="","",B8)</f>
        <v>5</v>
      </c>
      <c r="G8" s="161">
        <f>IFERROR(VLOOKUP($A8,Sheet1!$A1:$D$98,4,0),"")</f>
        <v>35000</v>
      </c>
      <c r="H8" s="152">
        <f>IF($C7=MAX($C$8:$C$56),SUM($H7:$H$8),IFERROR($G8*$F8,""))</f>
        <v>175000</v>
      </c>
      <c r="I8" s="54">
        <f t="shared" ref="I8:I37" si="2">IF(TYPE($A8)&lt;&gt;1,"",IFERROR(F8*E8,""))</f>
        <v>2.5</v>
      </c>
      <c r="L8" s="32"/>
    </row>
    <row r="9" spans="1:14" s="29" customFormat="1" ht="14.25" customHeight="1" x14ac:dyDescent="0.25">
      <c r="A9" s="154">
        <v>34</v>
      </c>
      <c r="B9" s="154">
        <v>10</v>
      </c>
      <c r="C9" s="30">
        <f t="shared" si="0"/>
        <v>2</v>
      </c>
      <c r="D9" s="160" t="str">
        <f>IFERROR(VLOOKUP($A9,Sheet1!$A$1:$B$98,2,0),"")</f>
        <v>Cá viên KK</v>
      </c>
      <c r="E9" s="30">
        <f>IFERROR(VLOOKUP($A9,'Tổng Đơn'!$A$5:$E$52,5,0),"")</f>
        <v>0.5</v>
      </c>
      <c r="F9" s="30">
        <f t="shared" si="1"/>
        <v>10</v>
      </c>
      <c r="G9" s="161">
        <f>IF(AND($C9="",$C8&lt;&gt;""),"Tổng Cộng",IFERROR(VLOOKUP($A9,Sheet1!$A$1:$D$98,4,0),""))</f>
        <v>25000</v>
      </c>
      <c r="H9" s="152">
        <f>IF($C8=MAX($C$8:$C$56),SUM($H$8:$H8),IFERROR($G9*$F9,""))</f>
        <v>250000</v>
      </c>
      <c r="I9" s="54">
        <f t="shared" si="2"/>
        <v>5</v>
      </c>
      <c r="L9" s="31"/>
    </row>
    <row r="10" spans="1:14" s="29" customFormat="1" ht="14.25" customHeight="1" x14ac:dyDescent="0.25">
      <c r="A10" s="154">
        <v>38</v>
      </c>
      <c r="B10" s="154">
        <v>5</v>
      </c>
      <c r="C10" s="30">
        <f t="shared" si="0"/>
        <v>3</v>
      </c>
      <c r="D10" s="160" t="str">
        <f>IFERROR(VLOOKUP($A10,Sheet1!$A$1:$B$98,2,0),"")</f>
        <v>XX Đỏ KK</v>
      </c>
      <c r="E10" s="30">
        <f>IFERROR(VLOOKUP($A10,'Tổng Đơn'!$A$5:$E$52,5,0),"")</f>
        <v>0.5</v>
      </c>
      <c r="F10" s="30">
        <f t="shared" si="1"/>
        <v>5</v>
      </c>
      <c r="G10" s="161">
        <f>IF(AND($C10="",$C9&lt;&gt;""),"Tổng Cộng",IFERROR(VLOOKUP($A10,Sheet1!$A$1:$D$98,4,0),""))</f>
        <v>26000</v>
      </c>
      <c r="H10" s="152">
        <f>IF($C9=MAX($C$8:$C$56),SUM($H$8:$H9),IFERROR($G10*$F10,""))</f>
        <v>130000</v>
      </c>
      <c r="I10" s="54">
        <f t="shared" si="2"/>
        <v>2.5</v>
      </c>
      <c r="L10" s="31"/>
    </row>
    <row r="11" spans="1:14" s="29" customFormat="1" ht="14.25" customHeight="1" x14ac:dyDescent="0.25">
      <c r="A11" s="154">
        <v>1</v>
      </c>
      <c r="B11" s="154">
        <v>1</v>
      </c>
      <c r="C11" s="30">
        <f t="shared" si="0"/>
        <v>4</v>
      </c>
      <c r="D11" s="160" t="s">
        <v>310</v>
      </c>
      <c r="E11" s="30" t="s">
        <v>235</v>
      </c>
      <c r="F11" s="30" t="s">
        <v>235</v>
      </c>
      <c r="G11" s="161" t="s">
        <v>235</v>
      </c>
      <c r="H11" s="152">
        <f>-10*3000-5*3000-5*2000</f>
        <v>-55000</v>
      </c>
      <c r="I11" s="54" t="str">
        <f t="shared" si="2"/>
        <v/>
      </c>
      <c r="L11" s="31"/>
    </row>
    <row r="12" spans="1:14" s="29" customFormat="1" ht="14.25" customHeight="1" x14ac:dyDescent="0.25">
      <c r="A12" s="154" t="s">
        <v>308</v>
      </c>
      <c r="B12" s="154"/>
      <c r="C12" s="30" t="str">
        <f t="shared" si="0"/>
        <v/>
      </c>
      <c r="D12" s="160" t="str">
        <f>IFERROR(VLOOKUP($A12,Sheet1!$A$1:$B$98,2,0),"")</f>
        <v/>
      </c>
      <c r="E12" s="30" t="str">
        <f>IFERROR(VLOOKUP($A12,'Tổng Đơn'!$A$5:$E$52,5,0),"")</f>
        <v/>
      </c>
      <c r="F12" s="30" t="str">
        <f t="shared" si="1"/>
        <v/>
      </c>
      <c r="G12" s="161" t="str">
        <f>IF(AND($C12="",$C11&lt;&gt;""),"Tổng Cộng",IFERROR(VLOOKUP($A12,Sheet1!$A$1:$D$98,4,0),""))</f>
        <v>Tổng Cộng</v>
      </c>
      <c r="H12" s="152">
        <f>IF($C11=MAX($C$8:$C$56),SUM($H$8:$H11),IFERROR($G12*$F12,""))</f>
        <v>500000</v>
      </c>
      <c r="I12" s="54" t="str">
        <f t="shared" si="2"/>
        <v/>
      </c>
      <c r="J12" s="126"/>
      <c r="L12" s="31"/>
      <c r="M12" s="134"/>
      <c r="N12" s="127"/>
    </row>
    <row r="13" spans="1:14" s="29" customFormat="1" ht="14.25" customHeight="1" x14ac:dyDescent="0.25">
      <c r="A13" s="154" t="s">
        <v>308</v>
      </c>
      <c r="B13" s="154"/>
      <c r="C13" s="30" t="str">
        <f t="shared" si="0"/>
        <v/>
      </c>
      <c r="D13" s="160" t="str">
        <f>IFERROR(VLOOKUP($A13,Sheet1!$A$1:$B$98,2,0),"")</f>
        <v/>
      </c>
      <c r="E13" s="30" t="str">
        <f>IFERROR(VLOOKUP($A13,'Tổng Đơn'!$A$5:$E$52,5,0),"")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308</v>
      </c>
      <c r="B14" s="154"/>
      <c r="C14" s="30" t="str">
        <f t="shared" si="0"/>
        <v/>
      </c>
      <c r="D14" s="160" t="str">
        <f>IFERROR(VLOOKUP($A14,Sheet1!$A$1:$B$98,2,0),"")</f>
        <v/>
      </c>
      <c r="E14" s="30" t="str">
        <f>IFERROR(VLOOKUP($A14,'Tổng Đơn'!$A$5:$E$52,5,0),"")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308</v>
      </c>
      <c r="B15" s="154"/>
      <c r="C15" s="30" t="str">
        <f t="shared" si="0"/>
        <v/>
      </c>
      <c r="D15" s="160" t="str">
        <f>IFERROR(VLOOKUP($A15,Sheet1!$A$1:$B$98,2,0),"")</f>
        <v/>
      </c>
      <c r="E15" s="30" t="str">
        <f>IFERROR(VLOOKUP($A15,'Tổng Đơn'!$A$5:$E$52,5,0),"")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308</v>
      </c>
      <c r="B16" s="154"/>
      <c r="C16" s="30" t="str">
        <f t="shared" si="0"/>
        <v/>
      </c>
      <c r="D16" s="160" t="str">
        <f>IFERROR(VLOOKUP($A16,Sheet1!$A$1:$B$98,2,0),"")</f>
        <v/>
      </c>
      <c r="E16" s="30" t="str">
        <f>IFERROR(VLOOKUP($A16,'Tổng Đơn'!$A$5:$E$52,5,0),"")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308</v>
      </c>
      <c r="B17" s="154"/>
      <c r="C17" s="30" t="str">
        <f t="shared" si="0"/>
        <v/>
      </c>
      <c r="D17" s="160" t="str">
        <f>IFERROR(VLOOKUP($A17,Sheet1!$A$1:$B$98,2,0),"")</f>
        <v/>
      </c>
      <c r="E17" s="30" t="str">
        <f>IFERROR(VLOOKUP($A17,'Tổng Đơn'!$A$5:$E$52,5,0),"")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308</v>
      </c>
      <c r="B18" s="154"/>
      <c r="C18" s="30" t="str">
        <f t="shared" si="0"/>
        <v/>
      </c>
      <c r="D18" s="160" t="str">
        <f>IFERROR(VLOOKUP($A18,Sheet1!$A$1:$B$98,2,0),"")</f>
        <v/>
      </c>
      <c r="E18" s="30" t="str">
        <f>IFERROR(VLOOKUP($A18,'Tổng Đơn'!$A$5:$E$52,5,0),"")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308</v>
      </c>
      <c r="B19" s="154"/>
      <c r="C19" s="30" t="str">
        <f t="shared" si="0"/>
        <v/>
      </c>
      <c r="D19" s="160" t="str">
        <f>IFERROR(VLOOKUP($A19,Sheet1!$A$1:$B$98,2,0),"")</f>
        <v/>
      </c>
      <c r="E19" s="30" t="str">
        <f>IFERROR(VLOOKUP($A19,'Tổng Đơn'!$A$5:$E$52,5,0),"")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308</v>
      </c>
      <c r="B20" s="154"/>
      <c r="C20" s="30" t="str">
        <f t="shared" si="0"/>
        <v/>
      </c>
      <c r="D20" s="160" t="str">
        <f>IFERROR(VLOOKUP($A20,Sheet1!$A$1:$B$98,2,0),"")</f>
        <v/>
      </c>
      <c r="E20" s="30" t="str">
        <f>IFERROR(VLOOKUP($A20,'Tổng Đơn'!$A$5:$E$52,5,0),"")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308</v>
      </c>
      <c r="B21" s="154"/>
      <c r="C21" s="30" t="str">
        <f t="shared" si="0"/>
        <v/>
      </c>
      <c r="D21" s="160" t="str">
        <f>IFERROR(VLOOKUP($A21,Sheet1!$A$1:$B$98,2,0),"")</f>
        <v/>
      </c>
      <c r="E21" s="30" t="str">
        <f>IFERROR(VLOOKUP($A21,'Tổng Đơn'!$A$5:$E$52,5,0),"")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308</v>
      </c>
      <c r="B22" s="154"/>
      <c r="C22" s="30" t="str">
        <f t="shared" si="0"/>
        <v/>
      </c>
      <c r="D22" s="151" t="str">
        <f>IFERROR(VLOOKUP($A22,Sheet1!$A$1:$B$98,2,0),"")</f>
        <v/>
      </c>
      <c r="E22" s="30" t="str">
        <f>IFERROR(VLOOKUP($A22,'Tổng Đơn'!$A$5:$E$52,5,0),"")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308</v>
      </c>
      <c r="B23" s="154"/>
      <c r="C23" s="30" t="str">
        <f t="shared" si="0"/>
        <v/>
      </c>
      <c r="D23" s="151" t="str">
        <f>IFERROR(VLOOKUP($A23,Sheet1!$A$1:$B$98,2,0),"")</f>
        <v/>
      </c>
      <c r="E23" s="30" t="str">
        <f>IFERROR(VLOOKUP($A23,'Tổng Đơn'!$A$5:$E$52,5,0),"")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308</v>
      </c>
      <c r="B24" s="154"/>
      <c r="C24" s="30" t="str">
        <f t="shared" si="0"/>
        <v/>
      </c>
      <c r="D24" s="151" t="str">
        <f>IFERROR(VLOOKUP($A24,Sheet1!$A$1:$B$98,2,0),"")</f>
        <v/>
      </c>
      <c r="E24" s="30" t="str">
        <f>IFERROR(VLOOKUP($A24,'Tổng Đơn'!$A$5:$E$52,5,0),"")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308</v>
      </c>
      <c r="B25" s="154"/>
      <c r="C25" s="30" t="str">
        <f t="shared" si="0"/>
        <v/>
      </c>
      <c r="D25" s="151" t="str">
        <f>IFERROR(VLOOKUP($A25,Sheet1!$A$1:$B$98,2,0),"")</f>
        <v/>
      </c>
      <c r="E25" s="30" t="str">
        <f>IFERROR(VLOOKUP($A25,'Tổng Đơn'!$A$5:$E$52,5,0),"")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308</v>
      </c>
      <c r="B26" s="154"/>
      <c r="C26" s="30" t="str">
        <f t="shared" si="0"/>
        <v/>
      </c>
      <c r="D26" s="151" t="str">
        <f>IFERROR(VLOOKUP($A26,Sheet1!$A$1:$B$98,2,0),"")</f>
        <v/>
      </c>
      <c r="E26" s="30" t="str">
        <f>IFERROR(VLOOKUP($A26,'Tổng Đơn'!$A$5:$E$52,5,0),"")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308</v>
      </c>
      <c r="B27" s="154"/>
      <c r="C27" s="30" t="str">
        <f t="shared" si="0"/>
        <v/>
      </c>
      <c r="D27" s="151" t="str">
        <f>IFERROR(VLOOKUP($A27,Sheet1!$A$1:$B$98,2,0),"")</f>
        <v/>
      </c>
      <c r="E27" s="30" t="str">
        <f>IFERROR(VLOOKUP($A27,'Tổng Đơn'!$A$5:$E$52,5,0),"")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308</v>
      </c>
      <c r="B28" s="154"/>
      <c r="C28" s="30" t="str">
        <f t="shared" si="0"/>
        <v/>
      </c>
      <c r="D28" s="151" t="str">
        <f>IFERROR(VLOOKUP($A28,Sheet1!$A$1:$B$98,2,0),"")</f>
        <v/>
      </c>
      <c r="E28" s="30" t="str">
        <f>IFERROR(VLOOKUP($A28,'Tổng Đơn'!$A$5:$E$52,5,0),"")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308</v>
      </c>
      <c r="B29" s="154"/>
      <c r="C29" s="30" t="str">
        <f t="shared" si="0"/>
        <v/>
      </c>
      <c r="D29" s="151" t="str">
        <f>IFERROR(VLOOKUP($A29,Sheet1!$A$1:$B$98,2,0),"")</f>
        <v/>
      </c>
      <c r="E29" s="30" t="str">
        <f>IFERROR(VLOOKUP($A29,'Tổng Đơn'!$A$5:$E$52,5,0),"")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308</v>
      </c>
      <c r="B30" s="154"/>
      <c r="C30" s="30" t="str">
        <f t="shared" si="0"/>
        <v/>
      </c>
      <c r="D30" s="151" t="str">
        <f>IFERROR(VLOOKUP($A30,Sheet1!$A$1:$B$98,2,0),"")</f>
        <v/>
      </c>
      <c r="E30" s="30" t="str">
        <f>IFERROR(VLOOKUP($A30,'Tổng Đơn'!$A$5:$E$52,5,0),"")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308</v>
      </c>
      <c r="B31" s="154"/>
      <c r="C31" s="30" t="str">
        <f t="shared" si="0"/>
        <v/>
      </c>
      <c r="D31" s="151" t="str">
        <f>IFERROR(VLOOKUP($A31,Sheet1!$A$1:$B$98,2,0),"")</f>
        <v/>
      </c>
      <c r="E31" s="30" t="str">
        <f>IFERROR(VLOOKUP($A31,'Tổng Đơn'!$A$5:$E$52,5,0),"")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308</v>
      </c>
      <c r="B32" s="154"/>
      <c r="C32" s="30" t="str">
        <f t="shared" si="0"/>
        <v/>
      </c>
      <c r="D32" s="151" t="str">
        <f>IFERROR(VLOOKUP($A32,Sheet1!$A$1:$B$98,2,0),"")</f>
        <v/>
      </c>
      <c r="E32" s="30" t="str">
        <f>IFERROR(VLOOKUP($A32,'Tổng Đơn'!$A$5:$E$52,5,0),"")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308</v>
      </c>
      <c r="B33" s="154"/>
      <c r="C33" s="30" t="str">
        <f t="shared" si="0"/>
        <v/>
      </c>
      <c r="D33" s="151" t="str">
        <f>IFERROR(VLOOKUP($A33,Sheet1!$A$1:$B$98,2,0),"")</f>
        <v/>
      </c>
      <c r="E33" s="30" t="str">
        <f>IFERROR(VLOOKUP($A33,'Tổng Đơn'!$A$5:$E$52,5,0),"")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308</v>
      </c>
      <c r="B34" s="154"/>
      <c r="C34" s="30" t="str">
        <f t="shared" si="0"/>
        <v/>
      </c>
      <c r="D34" s="151" t="str">
        <f>IFERROR(VLOOKUP($A34,Sheet1!$A$1:$B$98,2,0),"")</f>
        <v/>
      </c>
      <c r="E34" s="30" t="str">
        <f>IFERROR(VLOOKUP($A34,'Tổng Đơn'!$A$5:$E$52,5,0),"")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308</v>
      </c>
      <c r="B35" s="154"/>
      <c r="C35" s="30" t="str">
        <f t="shared" si="0"/>
        <v/>
      </c>
      <c r="D35" s="151" t="str">
        <f>IFERROR(VLOOKUP($A35,Sheet1!$A$1:$B$98,2,0),"")</f>
        <v/>
      </c>
      <c r="E35" s="30" t="str">
        <f>IFERROR(VLOOKUP($A35,'Tổng Đơn'!$A$5:$E$52,5,0),"")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308</v>
      </c>
      <c r="B36" s="154"/>
      <c r="C36" s="30" t="str">
        <f t="shared" si="0"/>
        <v/>
      </c>
      <c r="D36" s="151" t="str">
        <f>IFERROR(VLOOKUP($A36,Sheet1!$A$1:$B$98,2,0),"")</f>
        <v/>
      </c>
      <c r="E36" s="30" t="str">
        <f>IFERROR(VLOOKUP($A36,'Tổng Đơn'!$A$5:$E$52,5,0),"")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308</v>
      </c>
      <c r="B37" s="154"/>
      <c r="C37" s="30" t="str">
        <f t="shared" si="0"/>
        <v/>
      </c>
      <c r="D37" s="151" t="str">
        <f>IFERROR(VLOOKUP($A37,Sheet1!$A$1:$B$98,2,0),"")</f>
        <v/>
      </c>
      <c r="E37" s="30" t="str">
        <f>IFERROR(VLOOKUP($A37,'Tổng Đơn'!$A$5:$E$52,5,0),"")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03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4" customFormat="1" ht="21" customHeight="1" x14ac:dyDescent="0.25">
      <c r="C5" s="287" t="s">
        <v>165</v>
      </c>
      <c r="D5" s="287"/>
      <c r="E5" s="287"/>
      <c r="F5" s="287"/>
      <c r="G5" s="287"/>
      <c r="H5" s="287"/>
    </row>
    <row r="6" spans="1:14" s="144" customFormat="1" ht="17.25" customHeight="1" x14ac:dyDescent="0.25">
      <c r="C6" s="153" t="s">
        <v>170</v>
      </c>
      <c r="D6" s="157" t="s">
        <v>309</v>
      </c>
      <c r="E6" s="149"/>
      <c r="F6" s="149"/>
      <c r="G6" s="281" t="str">
        <f ca="1">"Ngày "&amp;DAY(TODAY())&amp;" Tháng "&amp;MONTH(TODAY())&amp;" Năm "&amp;YEAR(TODAY())</f>
        <v>Ngày 2 Tháng 11 Năm 2022</v>
      </c>
      <c r="H6" s="281"/>
    </row>
    <row r="7" spans="1:14" s="148" customFormat="1" ht="24" customHeight="1" x14ac:dyDescent="0.25">
      <c r="A7" s="145" t="s">
        <v>101</v>
      </c>
      <c r="B7" s="145" t="s">
        <v>15</v>
      </c>
      <c r="C7" s="146" t="s">
        <v>0</v>
      </c>
      <c r="D7" s="146" t="s">
        <v>16</v>
      </c>
      <c r="E7" s="150" t="str">
        <f>"Quy cách"&amp;CHAR(10)&amp;"(Kg)"</f>
        <v>Quy cách
(Kg)</v>
      </c>
      <c r="F7" s="146" t="s">
        <v>15</v>
      </c>
      <c r="G7" s="146" t="s">
        <v>17</v>
      </c>
      <c r="H7" s="146" t="s">
        <v>18</v>
      </c>
      <c r="I7" s="147">
        <f>SUBTOTAL(9,I8:I37)</f>
        <v>10</v>
      </c>
      <c r="L7" s="144"/>
    </row>
    <row r="8" spans="1:14" s="29" customFormat="1" ht="14.25" customHeight="1" x14ac:dyDescent="0.25">
      <c r="A8" s="154">
        <v>6</v>
      </c>
      <c r="B8" s="154">
        <v>1</v>
      </c>
      <c r="C8" s="30">
        <f t="shared" ref="C8:C37" si="0">IF(OR(SUM($C7,$A8&lt;&gt;"")=0,$A8=""),"",SUM($C7,$A8&lt;&gt;""))</f>
        <v>1</v>
      </c>
      <c r="D8" s="151" t="str">
        <f>IFERROR(VLOOKUP($A8,Sheet1!$A$1:$B$98,2,0),"")</f>
        <v>Mực tẩm bột LC</v>
      </c>
      <c r="E8" s="30">
        <f>IFERROR(VLOOKUP($A8,'Tổng Đơn'!$A$5:$E$52,5,0),"")</f>
        <v>0.5</v>
      </c>
      <c r="F8" s="30">
        <f t="shared" ref="F8:F37" si="1">IF($B8="","",B8)</f>
        <v>1</v>
      </c>
      <c r="G8" s="161">
        <f>IFERROR(VLOOKUP($A8,Sheet1!$A1:$D$98,4,0),"")</f>
        <v>42000</v>
      </c>
      <c r="H8" s="152">
        <f>IF($C7=MAX($C$8:$C$56),SUM($H7:$H$8),IFERROR($G8*$F8,""))</f>
        <v>42000</v>
      </c>
      <c r="I8" s="54">
        <f t="shared" ref="I8:I37" si="2">IF(TYPE($A8)&lt;&gt;1,"",IFERROR(F8*E8,""))</f>
        <v>0.5</v>
      </c>
      <c r="L8" s="32"/>
    </row>
    <row r="9" spans="1:14" s="29" customFormat="1" ht="14.25" customHeight="1" x14ac:dyDescent="0.25">
      <c r="A9" s="154">
        <v>16</v>
      </c>
      <c r="B9" s="154">
        <v>3</v>
      </c>
      <c r="C9" s="30">
        <f t="shared" si="0"/>
        <v>2</v>
      </c>
      <c r="D9" s="160" t="str">
        <f>IFERROR(VLOOKUP($A9,Sheet1!$A$1:$B$98,2,0),"")</f>
        <v>XX Đức HS ĐNA</v>
      </c>
      <c r="E9" s="30">
        <f>IFERROR(VLOOKUP($A9,'Tổng Đơn'!$A$5:$E$52,5,0),"")</f>
        <v>0.5</v>
      </c>
      <c r="F9" s="30">
        <f t="shared" si="1"/>
        <v>3</v>
      </c>
      <c r="G9" s="161">
        <f>IF(AND($C9="",$C8&lt;&gt;""),"Tổng Cộng",IFERROR(VLOOKUP($A9,Sheet1!$A$1:$D$98,4,0),""))</f>
        <v>35000</v>
      </c>
      <c r="H9" s="152">
        <f>IF($C8=MAX($C$8:$C$56),SUM($H$8:$H8),IFERROR($G9*$F9,""))</f>
        <v>105000</v>
      </c>
      <c r="I9" s="54">
        <f t="shared" si="2"/>
        <v>1.5</v>
      </c>
      <c r="L9" s="31"/>
    </row>
    <row r="10" spans="1:14" s="29" customFormat="1" ht="14.25" customHeight="1" x14ac:dyDescent="0.25">
      <c r="A10" s="154">
        <v>21</v>
      </c>
      <c r="B10" s="154">
        <v>2</v>
      </c>
      <c r="C10" s="30">
        <f t="shared" si="0"/>
        <v>3</v>
      </c>
      <c r="D10" s="160" t="str">
        <f>IFERROR(VLOOKUP($A10,Sheet1!$A$1:$B$98,2,0),"")</f>
        <v>Bò lá lốt</v>
      </c>
      <c r="E10" s="30">
        <f>IFERROR(VLOOKUP($A10,'Tổng Đơn'!$A$5:$E$52,5,0),"")</f>
        <v>0.5</v>
      </c>
      <c r="F10" s="30">
        <f t="shared" si="1"/>
        <v>2</v>
      </c>
      <c r="G10" s="161">
        <f>IF(AND($C10="",$C9&lt;&gt;""),"Tổng Cộng",IFERROR(VLOOKUP($A10,Sheet1!$A$1:$D$98,4,0),""))</f>
        <v>42000</v>
      </c>
      <c r="H10" s="152">
        <f>IF($C9=MAX($C$8:$C$56),SUM($H$8:$H9),IFERROR($G10*$F10,""))</f>
        <v>84000</v>
      </c>
      <c r="I10" s="54">
        <f t="shared" si="2"/>
        <v>1</v>
      </c>
      <c r="L10" s="31"/>
    </row>
    <row r="11" spans="1:14" s="29" customFormat="1" ht="14.25" customHeight="1" x14ac:dyDescent="0.25">
      <c r="A11" s="154">
        <v>25</v>
      </c>
      <c r="B11" s="154">
        <v>2</v>
      </c>
      <c r="C11" s="30">
        <f t="shared" si="0"/>
        <v>4</v>
      </c>
      <c r="D11" s="160" t="str">
        <f>IFERROR(VLOOKUP($A11,Sheet1!$A$1:$B$98,2,0),"")</f>
        <v>Đậu hủ phô mai EB</v>
      </c>
      <c r="E11" s="30">
        <f>IFERROR(VLOOKUP($A11,'Tổng Đơn'!$A$5:$E$52,5,0),"")</f>
        <v>0.5</v>
      </c>
      <c r="F11" s="30">
        <f t="shared" si="1"/>
        <v>2</v>
      </c>
      <c r="G11" s="161">
        <f>IF(AND($C11="",$C10&lt;&gt;""),"Tổng Cộng",IFERROR(VLOOKUP($A11,Sheet1!$A$1:$D$98,4,0),""))</f>
        <v>80000</v>
      </c>
      <c r="H11" s="152">
        <f>IF($C10=MAX($C$8:$C$56),SUM($H$8:$H10),IFERROR($G11*$F11,""))</f>
        <v>160000</v>
      </c>
      <c r="I11" s="54">
        <f t="shared" si="2"/>
        <v>1</v>
      </c>
      <c r="L11" s="31"/>
    </row>
    <row r="12" spans="1:14" s="29" customFormat="1" ht="14.25" customHeight="1" x14ac:dyDescent="0.25">
      <c r="A12" s="154">
        <v>31</v>
      </c>
      <c r="B12" s="154">
        <v>1</v>
      </c>
      <c r="C12" s="30">
        <f t="shared" si="0"/>
        <v>5</v>
      </c>
      <c r="D12" s="160" t="str">
        <f>IFERROR(VLOOKUP($A12,Sheet1!$A$1:$B$98,2,0),"")</f>
        <v xml:space="preserve">Viên thả lẩu Cam-Trứng cá </v>
      </c>
      <c r="E12" s="30">
        <f>IFERROR(VLOOKUP($A12,'Tổng Đơn'!$A$5:$E$52,5,0),"")</f>
        <v>0.5</v>
      </c>
      <c r="F12" s="30">
        <f t="shared" si="1"/>
        <v>1</v>
      </c>
      <c r="G12" s="161">
        <f>IF(AND($C12="",$C11&lt;&gt;""),"Tổng Cộng",IFERROR(VLOOKUP($A12,Sheet1!$A$1:$D$98,4,0),""))</f>
        <v>47000</v>
      </c>
      <c r="H12" s="152">
        <f>IF($C11=MAX($C$8:$C$56),SUM($H$8:$H11),IFERROR($G12*$F12,""))</f>
        <v>47000</v>
      </c>
      <c r="I12" s="54">
        <f t="shared" si="2"/>
        <v>0.5</v>
      </c>
      <c r="J12" s="126"/>
      <c r="L12" s="31"/>
      <c r="M12" s="134"/>
      <c r="N12" s="127"/>
    </row>
    <row r="13" spans="1:14" s="29" customFormat="1" ht="14.25" customHeight="1" x14ac:dyDescent="0.25">
      <c r="A13" s="154">
        <v>34</v>
      </c>
      <c r="B13" s="154">
        <v>8</v>
      </c>
      <c r="C13" s="30">
        <f t="shared" si="0"/>
        <v>6</v>
      </c>
      <c r="D13" s="160" t="str">
        <f>IFERROR(VLOOKUP($A13,Sheet1!$A$1:$B$98,2,0),"")</f>
        <v>Cá viên KK</v>
      </c>
      <c r="E13" s="30">
        <f>IFERROR(VLOOKUP($A13,'Tổng Đơn'!$A$5:$E$52,5,0),"")</f>
        <v>0.5</v>
      </c>
      <c r="F13" s="30">
        <f t="shared" si="1"/>
        <v>8</v>
      </c>
      <c r="G13" s="161">
        <f>IF(AND($C13="",$C12&lt;&gt;""),"Tổng Cộng",IFERROR(VLOOKUP($A13,Sheet1!$A$1:$D$98,4,0),""))</f>
        <v>25000</v>
      </c>
      <c r="H13" s="152">
        <f>IF($C12=MAX($C$8:$C$56),SUM($H$8:$H12),IFERROR($G13*$F13,""))</f>
        <v>200000</v>
      </c>
      <c r="I13" s="54">
        <f t="shared" si="2"/>
        <v>4</v>
      </c>
      <c r="L13" s="31"/>
    </row>
    <row r="14" spans="1:14" s="29" customFormat="1" ht="14.25" customHeight="1" x14ac:dyDescent="0.25">
      <c r="A14" s="154">
        <v>38</v>
      </c>
      <c r="B14" s="154">
        <v>3</v>
      </c>
      <c r="C14" s="30">
        <f t="shared" si="0"/>
        <v>7</v>
      </c>
      <c r="D14" s="160" t="str">
        <f>IFERROR(VLOOKUP($A14,Sheet1!$A$1:$B$98,2,0),"")</f>
        <v>XX Đỏ KK</v>
      </c>
      <c r="E14" s="30">
        <f>IFERROR(VLOOKUP($A14,'Tổng Đơn'!$A$5:$E$52,5,0),"")</f>
        <v>0.5</v>
      </c>
      <c r="F14" s="30">
        <f t="shared" si="1"/>
        <v>3</v>
      </c>
      <c r="G14" s="161">
        <f>IF(AND($C14="",$C13&lt;&gt;""),"Tổng Cộng",IFERROR(VLOOKUP($A14,Sheet1!$A$1:$D$98,4,0),""))</f>
        <v>26000</v>
      </c>
      <c r="H14" s="152">
        <f>IF($C13=MAX($C$8:$C$56),SUM($H$8:$H13),IFERROR($G14*$F14,""))</f>
        <v>78000</v>
      </c>
      <c r="I14" s="54">
        <f t="shared" si="2"/>
        <v>1.5</v>
      </c>
      <c r="L14" s="31"/>
      <c r="M14" s="135"/>
    </row>
    <row r="15" spans="1:14" s="29" customFormat="1" ht="14.25" customHeight="1" x14ac:dyDescent="0.25">
      <c r="A15" s="154">
        <v>1</v>
      </c>
      <c r="B15" s="154">
        <v>1</v>
      </c>
      <c r="C15" s="30">
        <f t="shared" si="0"/>
        <v>8</v>
      </c>
      <c r="D15" s="160" t="s">
        <v>310</v>
      </c>
      <c r="E15" s="30" t="s">
        <v>235</v>
      </c>
      <c r="F15" s="30" t="s">
        <v>235</v>
      </c>
      <c r="G15" s="161" t="s">
        <v>235</v>
      </c>
      <c r="H15" s="152">
        <f>-8*2000</f>
        <v>-16000</v>
      </c>
      <c r="I15" s="54" t="str">
        <f t="shared" si="2"/>
        <v/>
      </c>
      <c r="L15" s="31"/>
    </row>
    <row r="16" spans="1:14" s="29" customFormat="1" ht="14.25" customHeight="1" x14ac:dyDescent="0.25">
      <c r="A16" s="154" t="s">
        <v>308</v>
      </c>
      <c r="B16" s="154"/>
      <c r="C16" s="30" t="str">
        <f t="shared" si="0"/>
        <v/>
      </c>
      <c r="D16" s="160" t="str">
        <f>IFERROR(VLOOKUP($A16,Sheet1!$A$1:$B$98,2,0),"")</f>
        <v/>
      </c>
      <c r="E16" s="30" t="str">
        <f>IFERROR(VLOOKUP($A16,'Tổng Đơn'!$A$5:$E$52,5,0),"")</f>
        <v/>
      </c>
      <c r="F16" s="30" t="str">
        <f t="shared" si="1"/>
        <v/>
      </c>
      <c r="G16" s="161" t="str">
        <f>IF(AND($C16="",$C15&lt;&gt;""),"Tổng Cộng",IFERROR(VLOOKUP($A16,Sheet1!$A$1:$D$98,4,0),""))</f>
        <v>Tổng Cộng</v>
      </c>
      <c r="H16" s="152">
        <f>IF($C15=MAX($C$8:$C$56),SUM($H$8:$H15),IFERROR($G16*$F16,""))</f>
        <v>700000</v>
      </c>
      <c r="I16" s="54" t="str">
        <f t="shared" si="2"/>
        <v/>
      </c>
      <c r="L16" s="31"/>
    </row>
    <row r="17" spans="1:12" s="29" customFormat="1" ht="14.25" customHeight="1" x14ac:dyDescent="0.25">
      <c r="A17" s="154" t="s">
        <v>308</v>
      </c>
      <c r="B17" s="154"/>
      <c r="C17" s="30" t="str">
        <f t="shared" si="0"/>
        <v/>
      </c>
      <c r="D17" s="160" t="str">
        <f>IFERROR(VLOOKUP($A17,Sheet1!$A$1:$B$98,2,0),"")</f>
        <v/>
      </c>
      <c r="E17" s="30" t="str">
        <f>IFERROR(VLOOKUP($A17,'Tổng Đơn'!$A$5:$E$52,5,0),"")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308</v>
      </c>
      <c r="B18" s="154"/>
      <c r="C18" s="30" t="str">
        <f t="shared" si="0"/>
        <v/>
      </c>
      <c r="D18" s="160" t="str">
        <f>IFERROR(VLOOKUP($A18,Sheet1!$A$1:$B$98,2,0),"")</f>
        <v/>
      </c>
      <c r="E18" s="30" t="str">
        <f>IFERROR(VLOOKUP($A18,'Tổng Đơn'!$A$5:$E$52,5,0),"")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308</v>
      </c>
      <c r="B19" s="154"/>
      <c r="C19" s="30" t="str">
        <f t="shared" si="0"/>
        <v/>
      </c>
      <c r="D19" s="160" t="str">
        <f>IFERROR(VLOOKUP($A19,Sheet1!$A$1:$B$98,2,0),"")</f>
        <v/>
      </c>
      <c r="E19" s="30" t="str">
        <f>IFERROR(VLOOKUP($A19,'Tổng Đơn'!$A$5:$E$52,5,0),"")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308</v>
      </c>
      <c r="B20" s="154"/>
      <c r="C20" s="30" t="str">
        <f t="shared" si="0"/>
        <v/>
      </c>
      <c r="D20" s="160" t="str">
        <f>IFERROR(VLOOKUP($A20,Sheet1!$A$1:$B$98,2,0),"")</f>
        <v/>
      </c>
      <c r="E20" s="30" t="str">
        <f>IFERROR(VLOOKUP($A20,'Tổng Đơn'!$A$5:$E$52,5,0),"")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308</v>
      </c>
      <c r="B21" s="154"/>
      <c r="C21" s="30" t="str">
        <f t="shared" si="0"/>
        <v/>
      </c>
      <c r="D21" s="160" t="str">
        <f>IFERROR(VLOOKUP($A21,Sheet1!$A$1:$B$98,2,0),"")</f>
        <v/>
      </c>
      <c r="E21" s="30" t="str">
        <f>IFERROR(VLOOKUP($A21,'Tổng Đơn'!$A$5:$E$52,5,0),"")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308</v>
      </c>
      <c r="B22" s="154"/>
      <c r="C22" s="30" t="str">
        <f t="shared" si="0"/>
        <v/>
      </c>
      <c r="D22" s="151" t="str">
        <f>IFERROR(VLOOKUP($A22,Sheet1!$A$1:$B$98,2,0),"")</f>
        <v/>
      </c>
      <c r="E22" s="30" t="str">
        <f>IFERROR(VLOOKUP($A22,'Tổng Đơn'!$A$5:$E$52,5,0),"")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308</v>
      </c>
      <c r="B23" s="154"/>
      <c r="C23" s="30" t="str">
        <f t="shared" si="0"/>
        <v/>
      </c>
      <c r="D23" s="151" t="str">
        <f>IFERROR(VLOOKUP($A23,Sheet1!$A$1:$B$98,2,0),"")</f>
        <v/>
      </c>
      <c r="E23" s="30" t="str">
        <f>IFERROR(VLOOKUP($A23,'Tổng Đơn'!$A$5:$E$52,5,0),"")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308</v>
      </c>
      <c r="B24" s="154"/>
      <c r="C24" s="30" t="str">
        <f t="shared" si="0"/>
        <v/>
      </c>
      <c r="D24" s="151" t="str">
        <f>IFERROR(VLOOKUP($A24,Sheet1!$A$1:$B$98,2,0),"")</f>
        <v/>
      </c>
      <c r="E24" s="30" t="str">
        <f>IFERROR(VLOOKUP($A24,'Tổng Đơn'!$A$5:$E$52,5,0),"")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308</v>
      </c>
      <c r="B25" s="154"/>
      <c r="C25" s="30" t="str">
        <f t="shared" si="0"/>
        <v/>
      </c>
      <c r="D25" s="151" t="str">
        <f>IFERROR(VLOOKUP($A25,Sheet1!$A$1:$B$98,2,0),"")</f>
        <v/>
      </c>
      <c r="E25" s="30" t="str">
        <f>IFERROR(VLOOKUP($A25,'Tổng Đơn'!$A$5:$E$52,5,0),"")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308</v>
      </c>
      <c r="B26" s="154"/>
      <c r="C26" s="30" t="str">
        <f t="shared" si="0"/>
        <v/>
      </c>
      <c r="D26" s="151" t="str">
        <f>IFERROR(VLOOKUP($A26,Sheet1!$A$1:$B$98,2,0),"")</f>
        <v/>
      </c>
      <c r="E26" s="30" t="str">
        <f>IFERROR(VLOOKUP($A26,'Tổng Đơn'!$A$5:$E$52,5,0),"")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308</v>
      </c>
      <c r="B27" s="154"/>
      <c r="C27" s="30" t="str">
        <f t="shared" si="0"/>
        <v/>
      </c>
      <c r="D27" s="151" t="str">
        <f>IFERROR(VLOOKUP($A27,Sheet1!$A$1:$B$98,2,0),"")</f>
        <v/>
      </c>
      <c r="E27" s="30" t="str">
        <f>IFERROR(VLOOKUP($A27,'Tổng Đơn'!$A$5:$E$52,5,0),"")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308</v>
      </c>
      <c r="B28" s="154"/>
      <c r="C28" s="30" t="str">
        <f t="shared" si="0"/>
        <v/>
      </c>
      <c r="D28" s="151" t="str">
        <f>IFERROR(VLOOKUP($A28,Sheet1!$A$1:$B$98,2,0),"")</f>
        <v/>
      </c>
      <c r="E28" s="30" t="str">
        <f>IFERROR(VLOOKUP($A28,'Tổng Đơn'!$A$5:$E$52,5,0),"")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308</v>
      </c>
      <c r="B29" s="154"/>
      <c r="C29" s="30" t="str">
        <f t="shared" si="0"/>
        <v/>
      </c>
      <c r="D29" s="151" t="str">
        <f>IFERROR(VLOOKUP($A29,Sheet1!$A$1:$B$98,2,0),"")</f>
        <v/>
      </c>
      <c r="E29" s="30" t="str">
        <f>IFERROR(VLOOKUP($A29,'Tổng Đơn'!$A$5:$E$52,5,0),"")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308</v>
      </c>
      <c r="B30" s="154"/>
      <c r="C30" s="30" t="str">
        <f t="shared" si="0"/>
        <v/>
      </c>
      <c r="D30" s="151" t="str">
        <f>IFERROR(VLOOKUP($A30,Sheet1!$A$1:$B$98,2,0),"")</f>
        <v/>
      </c>
      <c r="E30" s="30" t="str">
        <f>IFERROR(VLOOKUP($A30,'Tổng Đơn'!$A$5:$E$52,5,0),"")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308</v>
      </c>
      <c r="B31" s="154"/>
      <c r="C31" s="30" t="str">
        <f t="shared" si="0"/>
        <v/>
      </c>
      <c r="D31" s="151" t="str">
        <f>IFERROR(VLOOKUP($A31,Sheet1!$A$1:$B$98,2,0),"")</f>
        <v/>
      </c>
      <c r="E31" s="30" t="str">
        <f>IFERROR(VLOOKUP($A31,'Tổng Đơn'!$A$5:$E$52,5,0),"")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308</v>
      </c>
      <c r="B32" s="154"/>
      <c r="C32" s="30" t="str">
        <f t="shared" si="0"/>
        <v/>
      </c>
      <c r="D32" s="151" t="str">
        <f>IFERROR(VLOOKUP($A32,Sheet1!$A$1:$B$98,2,0),"")</f>
        <v/>
      </c>
      <c r="E32" s="30" t="str">
        <f>IFERROR(VLOOKUP($A32,'Tổng Đơn'!$A$5:$E$52,5,0),"")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308</v>
      </c>
      <c r="B33" s="154"/>
      <c r="C33" s="30" t="str">
        <f t="shared" si="0"/>
        <v/>
      </c>
      <c r="D33" s="151" t="str">
        <f>IFERROR(VLOOKUP($A33,Sheet1!$A$1:$B$98,2,0),"")</f>
        <v/>
      </c>
      <c r="E33" s="30" t="str">
        <f>IFERROR(VLOOKUP($A33,'Tổng Đơn'!$A$5:$E$52,5,0),"")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308</v>
      </c>
      <c r="B34" s="154"/>
      <c r="C34" s="30" t="str">
        <f t="shared" si="0"/>
        <v/>
      </c>
      <c r="D34" s="151" t="str">
        <f>IFERROR(VLOOKUP($A34,Sheet1!$A$1:$B$98,2,0),"")</f>
        <v/>
      </c>
      <c r="E34" s="30" t="str">
        <f>IFERROR(VLOOKUP($A34,'Tổng Đơn'!$A$5:$E$52,5,0),"")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308</v>
      </c>
      <c r="B35" s="154"/>
      <c r="C35" s="30" t="str">
        <f t="shared" si="0"/>
        <v/>
      </c>
      <c r="D35" s="151" t="str">
        <f>IFERROR(VLOOKUP($A35,Sheet1!$A$1:$B$98,2,0),"")</f>
        <v/>
      </c>
      <c r="E35" s="30" t="str">
        <f>IFERROR(VLOOKUP($A35,'Tổng Đơn'!$A$5:$E$52,5,0),"")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308</v>
      </c>
      <c r="B36" s="154"/>
      <c r="C36" s="30" t="str">
        <f t="shared" si="0"/>
        <v/>
      </c>
      <c r="D36" s="151" t="str">
        <f>IFERROR(VLOOKUP($A36,Sheet1!$A$1:$B$98,2,0),"")</f>
        <v/>
      </c>
      <c r="E36" s="30" t="str">
        <f>IFERROR(VLOOKUP($A36,'Tổng Đơn'!$A$5:$E$52,5,0),"")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308</v>
      </c>
      <c r="B37" s="154"/>
      <c r="C37" s="30" t="str">
        <f t="shared" si="0"/>
        <v/>
      </c>
      <c r="D37" s="151" t="str">
        <f>IFERROR(VLOOKUP($A37,Sheet1!$A$1:$B$98,2,0),"")</f>
        <v/>
      </c>
      <c r="E37" s="30" t="str">
        <f>IFERROR(VLOOKUP($A37,'Tổng Đơn'!$A$5:$E$52,5,0),"")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93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13</vt:i4>
      </vt:variant>
    </vt:vector>
  </HeadingPairs>
  <TitlesOfParts>
    <vt:vector size="35"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2022-11-02T01:18:16Z</dcterms:modified>
</cp:coreProperties>
</file>