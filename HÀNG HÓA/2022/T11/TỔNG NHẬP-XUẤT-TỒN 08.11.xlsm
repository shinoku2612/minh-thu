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1\"/>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7)" sheetId="460" r:id="rId11"/>
    <sheet name="Thanh Toán (6)" sheetId="459" r:id="rId12"/>
    <sheet name="Thanh Toán (5)" sheetId="458" r:id="rId13"/>
    <sheet name="Thanh Toán (4)" sheetId="457" r:id="rId14"/>
    <sheet name="Thanh Toán (3)" sheetId="456" r:id="rId15"/>
    <sheet name="Thanh Toán (2)" sheetId="455" r:id="rId16"/>
  </sheets>
  <definedNames>
    <definedName name="_xlnm._FilterDatabase" localSheetId="8" hidden="1">'Chi phí'!$A$6:$E$30</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5">'Thanh Toán (2)'!$C$1:$H$38</definedName>
    <definedName name="_xlnm.Print_Area" localSheetId="14">'Thanh Toán (3)'!$C$1:$H$38</definedName>
    <definedName name="_xlnm.Print_Area" localSheetId="13">'Thanh Toán (4)'!$C$1:$H$38</definedName>
    <definedName name="_xlnm.Print_Area" localSheetId="12">'Thanh Toán (5)'!$C$1:$H$38</definedName>
    <definedName name="_xlnm.Print_Area" localSheetId="11">'Thanh Toán (6)'!$C$1:$H$38</definedName>
    <definedName name="_xlnm.Print_Area" localSheetId="10">'Thanh Toán (7)'!$C$1:$H$38</definedName>
    <definedName name="Slicer_Tên_hàng">#N/A</definedName>
  </definedNames>
  <calcPr calcId="162913"/>
  <pivotCaches>
    <pivotCache cacheId="0" r:id="rId17"/>
  </pivotCaches>
  <extLst>
    <ext xmlns:x14="http://schemas.microsoft.com/office/spreadsheetml/2009/9/main" uri="{BBE1A952-AA13-448e-AADC-164F8A28A991}">
      <x14:slicerCaches>
        <x14:slicerCache r:id="rId18"/>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A2" i="150"/>
  <c r="F12" i="150"/>
  <c r="F11" i="150"/>
  <c r="F10" i="150"/>
  <c r="F9" i="150"/>
  <c r="F5" i="150"/>
  <c r="A2" i="4"/>
  <c r="F20" i="4"/>
  <c r="F9" i="4"/>
  <c r="F1" i="50"/>
  <c r="H12" i="460" l="1"/>
  <c r="I37" i="460"/>
  <c r="F37" i="460"/>
  <c r="E37" i="460"/>
  <c r="D37" i="460"/>
  <c r="I36" i="460"/>
  <c r="F36" i="460"/>
  <c r="E36" i="460"/>
  <c r="D36" i="460"/>
  <c r="I35" i="460"/>
  <c r="F35" i="460"/>
  <c r="E35" i="460"/>
  <c r="D35" i="460"/>
  <c r="I34" i="460"/>
  <c r="F34" i="460"/>
  <c r="E34" i="460"/>
  <c r="D34" i="460"/>
  <c r="I33" i="460"/>
  <c r="F33" i="460"/>
  <c r="E33" i="460"/>
  <c r="D33" i="460"/>
  <c r="I32" i="460"/>
  <c r="F32" i="460"/>
  <c r="E32" i="460"/>
  <c r="D32" i="460"/>
  <c r="I31" i="460"/>
  <c r="F31" i="460"/>
  <c r="E31" i="460"/>
  <c r="D31" i="460"/>
  <c r="I30" i="460"/>
  <c r="F30" i="460"/>
  <c r="E30" i="460"/>
  <c r="D30" i="460"/>
  <c r="I29" i="460"/>
  <c r="F29" i="460"/>
  <c r="E29" i="460"/>
  <c r="D29" i="460"/>
  <c r="I28" i="460"/>
  <c r="F28" i="460"/>
  <c r="E28" i="460"/>
  <c r="D28" i="460"/>
  <c r="I27" i="460"/>
  <c r="F27" i="460"/>
  <c r="E27" i="460"/>
  <c r="D27" i="460"/>
  <c r="I26" i="460"/>
  <c r="F26" i="460"/>
  <c r="E26" i="460"/>
  <c r="D26" i="460"/>
  <c r="I25" i="460"/>
  <c r="F25" i="460"/>
  <c r="E25" i="460"/>
  <c r="D25" i="460"/>
  <c r="I24" i="460"/>
  <c r="F24" i="460"/>
  <c r="E24" i="460"/>
  <c r="D24" i="460"/>
  <c r="I23" i="460"/>
  <c r="F23" i="460"/>
  <c r="E23" i="460"/>
  <c r="D23" i="460"/>
  <c r="I22" i="460"/>
  <c r="F22" i="460"/>
  <c r="E22" i="460"/>
  <c r="D22" i="460"/>
  <c r="I21" i="460"/>
  <c r="F21" i="460"/>
  <c r="E21" i="460"/>
  <c r="D21" i="460"/>
  <c r="I20" i="460"/>
  <c r="F20" i="460"/>
  <c r="E20" i="460"/>
  <c r="D20" i="460"/>
  <c r="I19" i="460"/>
  <c r="F19" i="460"/>
  <c r="E19" i="460"/>
  <c r="D19" i="460"/>
  <c r="I18" i="460"/>
  <c r="F18" i="460"/>
  <c r="E18" i="460"/>
  <c r="D18" i="460"/>
  <c r="I17" i="460"/>
  <c r="F17" i="460"/>
  <c r="E17" i="460"/>
  <c r="D17" i="460"/>
  <c r="I16" i="460"/>
  <c r="F16" i="460"/>
  <c r="E16" i="460"/>
  <c r="D16" i="460"/>
  <c r="I15" i="460"/>
  <c r="F15" i="460"/>
  <c r="E15" i="460"/>
  <c r="D15" i="460"/>
  <c r="I14" i="460"/>
  <c r="F14" i="460"/>
  <c r="E14" i="460"/>
  <c r="D14" i="460"/>
  <c r="I13" i="460"/>
  <c r="F13" i="460"/>
  <c r="E13" i="460"/>
  <c r="D13" i="460"/>
  <c r="I12" i="460"/>
  <c r="F11" i="460"/>
  <c r="I11" i="460" s="1"/>
  <c r="E11" i="460"/>
  <c r="D11" i="460"/>
  <c r="F10" i="460"/>
  <c r="E10" i="460"/>
  <c r="I10" i="460" s="1"/>
  <c r="D10" i="460"/>
  <c r="F9" i="460"/>
  <c r="I9" i="460" s="1"/>
  <c r="E9" i="460"/>
  <c r="D9" i="460"/>
  <c r="G8" i="460"/>
  <c r="F8" i="460"/>
  <c r="I8" i="460" s="1"/>
  <c r="E8" i="460"/>
  <c r="D8" i="460"/>
  <c r="C8" i="460"/>
  <c r="C9" i="460" s="1"/>
  <c r="E7" i="460"/>
  <c r="G6" i="460"/>
  <c r="I37" i="459"/>
  <c r="F37" i="459"/>
  <c r="E37" i="459"/>
  <c r="D37" i="459"/>
  <c r="I36" i="459"/>
  <c r="F36" i="459"/>
  <c r="E36" i="459"/>
  <c r="D36" i="459"/>
  <c r="I35" i="459"/>
  <c r="F35" i="459"/>
  <c r="E35" i="459"/>
  <c r="D35" i="459"/>
  <c r="I34" i="459"/>
  <c r="F34" i="459"/>
  <c r="E34" i="459"/>
  <c r="D34" i="459"/>
  <c r="I33" i="459"/>
  <c r="F33" i="459"/>
  <c r="E33" i="459"/>
  <c r="D33" i="459"/>
  <c r="I32" i="459"/>
  <c r="F32" i="459"/>
  <c r="E32" i="459"/>
  <c r="D32" i="459"/>
  <c r="I31" i="459"/>
  <c r="F31" i="459"/>
  <c r="E31" i="459"/>
  <c r="D31" i="459"/>
  <c r="I30" i="459"/>
  <c r="F30" i="459"/>
  <c r="E30" i="459"/>
  <c r="D30" i="459"/>
  <c r="I29" i="459"/>
  <c r="F29" i="459"/>
  <c r="E29" i="459"/>
  <c r="D29" i="459"/>
  <c r="I28" i="459"/>
  <c r="F28" i="459"/>
  <c r="E28" i="459"/>
  <c r="D28" i="459"/>
  <c r="I27" i="459"/>
  <c r="F27" i="459"/>
  <c r="E27" i="459"/>
  <c r="D27" i="459"/>
  <c r="I26" i="459"/>
  <c r="F26" i="459"/>
  <c r="E26" i="459"/>
  <c r="D26" i="459"/>
  <c r="I25" i="459"/>
  <c r="F25" i="459"/>
  <c r="E25" i="459"/>
  <c r="D25" i="459"/>
  <c r="I24" i="459"/>
  <c r="F24" i="459"/>
  <c r="E24" i="459"/>
  <c r="D24" i="459"/>
  <c r="I23" i="459"/>
  <c r="F23" i="459"/>
  <c r="E23" i="459"/>
  <c r="D23" i="459"/>
  <c r="I22" i="459"/>
  <c r="F22" i="459"/>
  <c r="E22" i="459"/>
  <c r="D22" i="459"/>
  <c r="I21" i="459"/>
  <c r="F21" i="459"/>
  <c r="E21" i="459"/>
  <c r="D21" i="459"/>
  <c r="I20" i="459"/>
  <c r="F20" i="459"/>
  <c r="E20" i="459"/>
  <c r="D20" i="459"/>
  <c r="I19" i="459"/>
  <c r="F19" i="459"/>
  <c r="E19" i="459"/>
  <c r="D19" i="459"/>
  <c r="I18" i="459"/>
  <c r="F18" i="459"/>
  <c r="E18" i="459"/>
  <c r="D18" i="459"/>
  <c r="I17" i="459"/>
  <c r="F17" i="459"/>
  <c r="E17" i="459"/>
  <c r="D17" i="459"/>
  <c r="I16" i="459"/>
  <c r="F16" i="459"/>
  <c r="E16" i="459"/>
  <c r="D16" i="459"/>
  <c r="I15" i="459"/>
  <c r="F15" i="459"/>
  <c r="E15" i="459"/>
  <c r="D15" i="459"/>
  <c r="I14" i="459"/>
  <c r="F14" i="459"/>
  <c r="E14" i="459"/>
  <c r="D14" i="459"/>
  <c r="I13" i="459"/>
  <c r="F13" i="459"/>
  <c r="E13" i="459"/>
  <c r="D13" i="459"/>
  <c r="I12" i="459"/>
  <c r="F12" i="459"/>
  <c r="E12" i="459"/>
  <c r="D12" i="459"/>
  <c r="I11" i="459"/>
  <c r="F11" i="459"/>
  <c r="E11" i="459"/>
  <c r="D11" i="459"/>
  <c r="I10" i="459"/>
  <c r="F10" i="459"/>
  <c r="E10" i="459"/>
  <c r="D10" i="459"/>
  <c r="G8" i="459"/>
  <c r="F8" i="459"/>
  <c r="I8" i="459" s="1"/>
  <c r="E8" i="459"/>
  <c r="D8" i="459"/>
  <c r="C8" i="459"/>
  <c r="C9" i="459" s="1"/>
  <c r="E7" i="459"/>
  <c r="G6" i="459"/>
  <c r="I37" i="458"/>
  <c r="F37" i="458"/>
  <c r="E37" i="458"/>
  <c r="D37" i="458"/>
  <c r="I36" i="458"/>
  <c r="F36" i="458"/>
  <c r="E36" i="458"/>
  <c r="D36" i="458"/>
  <c r="I35" i="458"/>
  <c r="F35" i="458"/>
  <c r="E35" i="458"/>
  <c r="D35" i="458"/>
  <c r="I34" i="458"/>
  <c r="F34" i="458"/>
  <c r="E34" i="458"/>
  <c r="D34" i="458"/>
  <c r="I33" i="458"/>
  <c r="F33" i="458"/>
  <c r="E33" i="458"/>
  <c r="D33" i="458"/>
  <c r="I32" i="458"/>
  <c r="F32" i="458"/>
  <c r="E32" i="458"/>
  <c r="D32" i="458"/>
  <c r="I31" i="458"/>
  <c r="F31" i="458"/>
  <c r="E31" i="458"/>
  <c r="D31" i="458"/>
  <c r="I30" i="458"/>
  <c r="F30" i="458"/>
  <c r="E30" i="458"/>
  <c r="D30" i="458"/>
  <c r="I29" i="458"/>
  <c r="F29" i="458"/>
  <c r="E29" i="458"/>
  <c r="D29" i="458"/>
  <c r="I28" i="458"/>
  <c r="F28" i="458"/>
  <c r="E28" i="458"/>
  <c r="D28" i="458"/>
  <c r="I27" i="458"/>
  <c r="F27" i="458"/>
  <c r="E27" i="458"/>
  <c r="D27" i="458"/>
  <c r="I26" i="458"/>
  <c r="F26" i="458"/>
  <c r="E26" i="458"/>
  <c r="D26" i="458"/>
  <c r="I25" i="458"/>
  <c r="F25" i="458"/>
  <c r="E25" i="458"/>
  <c r="D25" i="458"/>
  <c r="I24" i="458"/>
  <c r="F24" i="458"/>
  <c r="E24" i="458"/>
  <c r="D24" i="458"/>
  <c r="I23" i="458"/>
  <c r="F23" i="458"/>
  <c r="E23" i="458"/>
  <c r="D23" i="458"/>
  <c r="I22" i="458"/>
  <c r="F22" i="458"/>
  <c r="E22" i="458"/>
  <c r="D22" i="458"/>
  <c r="I21" i="458"/>
  <c r="F21" i="458"/>
  <c r="E21" i="458"/>
  <c r="D21" i="458"/>
  <c r="I20" i="458"/>
  <c r="F20" i="458"/>
  <c r="E20" i="458"/>
  <c r="D20" i="458"/>
  <c r="I19" i="458"/>
  <c r="F19" i="458"/>
  <c r="E19" i="458"/>
  <c r="D19" i="458"/>
  <c r="I18" i="458"/>
  <c r="F18" i="458"/>
  <c r="E18" i="458"/>
  <c r="D18" i="458"/>
  <c r="I17" i="458"/>
  <c r="F17" i="458"/>
  <c r="E17" i="458"/>
  <c r="D17" i="458"/>
  <c r="I16" i="458"/>
  <c r="F16" i="458"/>
  <c r="E16" i="458"/>
  <c r="D16" i="458"/>
  <c r="I15" i="458"/>
  <c r="F15" i="458"/>
  <c r="E15" i="458"/>
  <c r="D15" i="458"/>
  <c r="I14" i="458"/>
  <c r="F14" i="458"/>
  <c r="E14" i="458"/>
  <c r="D14" i="458"/>
  <c r="I13" i="458"/>
  <c r="F13" i="458"/>
  <c r="E13" i="458"/>
  <c r="D13" i="458"/>
  <c r="I12" i="458"/>
  <c r="F12" i="458"/>
  <c r="E12" i="458"/>
  <c r="D12" i="458"/>
  <c r="I11" i="458"/>
  <c r="F11" i="458"/>
  <c r="E11" i="458"/>
  <c r="D11" i="458"/>
  <c r="I10" i="458"/>
  <c r="F10" i="458"/>
  <c r="E10" i="458"/>
  <c r="D10" i="458"/>
  <c r="I9" i="458"/>
  <c r="F9" i="458"/>
  <c r="E9" i="458"/>
  <c r="D9" i="458"/>
  <c r="G8" i="458"/>
  <c r="F8" i="458"/>
  <c r="I8" i="458" s="1"/>
  <c r="I7" i="458" s="1"/>
  <c r="E8" i="458"/>
  <c r="D8" i="458"/>
  <c r="C8" i="458"/>
  <c r="C9" i="458" s="1"/>
  <c r="E7" i="458"/>
  <c r="G6" i="458"/>
  <c r="H11" i="457"/>
  <c r="I37" i="457"/>
  <c r="F37" i="457"/>
  <c r="E37" i="457"/>
  <c r="D37" i="457"/>
  <c r="I36" i="457"/>
  <c r="F36" i="457"/>
  <c r="E36" i="457"/>
  <c r="D36" i="457"/>
  <c r="I35" i="457"/>
  <c r="F35" i="457"/>
  <c r="E35" i="457"/>
  <c r="D35" i="457"/>
  <c r="I34" i="457"/>
  <c r="F34" i="457"/>
  <c r="E34" i="457"/>
  <c r="D34" i="457"/>
  <c r="I33" i="457"/>
  <c r="F33" i="457"/>
  <c r="E33" i="457"/>
  <c r="D33" i="457"/>
  <c r="I32" i="457"/>
  <c r="F32" i="457"/>
  <c r="E32" i="457"/>
  <c r="D32" i="457"/>
  <c r="I31" i="457"/>
  <c r="F31" i="457"/>
  <c r="E31" i="457"/>
  <c r="D31" i="457"/>
  <c r="I30" i="457"/>
  <c r="F30" i="457"/>
  <c r="E30" i="457"/>
  <c r="D30" i="457"/>
  <c r="I29" i="457"/>
  <c r="F29" i="457"/>
  <c r="E29" i="457"/>
  <c r="D29" i="457"/>
  <c r="I28" i="457"/>
  <c r="F28" i="457"/>
  <c r="E28" i="457"/>
  <c r="D28" i="457"/>
  <c r="I27" i="457"/>
  <c r="F27" i="457"/>
  <c r="E27" i="457"/>
  <c r="D27" i="457"/>
  <c r="I26" i="457"/>
  <c r="F26" i="457"/>
  <c r="E26" i="457"/>
  <c r="D26" i="457"/>
  <c r="I25" i="457"/>
  <c r="F25" i="457"/>
  <c r="E25" i="457"/>
  <c r="D25" i="457"/>
  <c r="I24" i="457"/>
  <c r="F24" i="457"/>
  <c r="E24" i="457"/>
  <c r="D24" i="457"/>
  <c r="I23" i="457"/>
  <c r="F23" i="457"/>
  <c r="E23" i="457"/>
  <c r="D23" i="457"/>
  <c r="I22" i="457"/>
  <c r="F22" i="457"/>
  <c r="E22" i="457"/>
  <c r="D22" i="457"/>
  <c r="I21" i="457"/>
  <c r="F21" i="457"/>
  <c r="E21" i="457"/>
  <c r="D21" i="457"/>
  <c r="I20" i="457"/>
  <c r="F20" i="457"/>
  <c r="E20" i="457"/>
  <c r="D20" i="457"/>
  <c r="I19" i="457"/>
  <c r="F19" i="457"/>
  <c r="E19" i="457"/>
  <c r="D19" i="457"/>
  <c r="I18" i="457"/>
  <c r="F18" i="457"/>
  <c r="E18" i="457"/>
  <c r="D18" i="457"/>
  <c r="I17" i="457"/>
  <c r="F17" i="457"/>
  <c r="E17" i="457"/>
  <c r="D17" i="457"/>
  <c r="I16" i="457"/>
  <c r="F16" i="457"/>
  <c r="E16" i="457"/>
  <c r="D16" i="457"/>
  <c r="I15" i="457"/>
  <c r="F15" i="457"/>
  <c r="E15" i="457"/>
  <c r="D15" i="457"/>
  <c r="I14" i="457"/>
  <c r="F14" i="457"/>
  <c r="E14" i="457"/>
  <c r="D14" i="457"/>
  <c r="I13" i="457"/>
  <c r="F13" i="457"/>
  <c r="E13" i="457"/>
  <c r="D13" i="457"/>
  <c r="I12" i="457"/>
  <c r="F12" i="457"/>
  <c r="E12" i="457"/>
  <c r="D12" i="457"/>
  <c r="F10" i="457"/>
  <c r="E10" i="457"/>
  <c r="I10" i="457" s="1"/>
  <c r="D10" i="457"/>
  <c r="F9" i="457"/>
  <c r="E9" i="457"/>
  <c r="I9" i="457" s="1"/>
  <c r="D9" i="457"/>
  <c r="G8" i="457"/>
  <c r="F8" i="457"/>
  <c r="I8" i="457" s="1"/>
  <c r="E8" i="457"/>
  <c r="D8" i="457"/>
  <c r="C8" i="457"/>
  <c r="C9" i="457" s="1"/>
  <c r="E7" i="457"/>
  <c r="G6" i="457"/>
  <c r="I37" i="456"/>
  <c r="F37" i="456"/>
  <c r="E37" i="456"/>
  <c r="D37" i="456"/>
  <c r="I36" i="456"/>
  <c r="F36" i="456"/>
  <c r="E36" i="456"/>
  <c r="D36" i="456"/>
  <c r="I35" i="456"/>
  <c r="F35" i="456"/>
  <c r="E35" i="456"/>
  <c r="D35" i="456"/>
  <c r="I34" i="456"/>
  <c r="F34" i="456"/>
  <c r="E34" i="456"/>
  <c r="D34" i="456"/>
  <c r="I33" i="456"/>
  <c r="F33" i="456"/>
  <c r="E33" i="456"/>
  <c r="D33" i="456"/>
  <c r="I32" i="456"/>
  <c r="F32" i="456"/>
  <c r="E32" i="456"/>
  <c r="D32" i="456"/>
  <c r="I31" i="456"/>
  <c r="F31" i="456"/>
  <c r="E31" i="456"/>
  <c r="D31" i="456"/>
  <c r="I30" i="456"/>
  <c r="F30" i="456"/>
  <c r="E30" i="456"/>
  <c r="D30" i="456"/>
  <c r="I29" i="456"/>
  <c r="F29" i="456"/>
  <c r="E29" i="456"/>
  <c r="D29" i="456"/>
  <c r="I28" i="456"/>
  <c r="F28" i="456"/>
  <c r="E28" i="456"/>
  <c r="D28" i="456"/>
  <c r="I27" i="456"/>
  <c r="F27" i="456"/>
  <c r="E27" i="456"/>
  <c r="D27" i="456"/>
  <c r="I26" i="456"/>
  <c r="F26" i="456"/>
  <c r="E26" i="456"/>
  <c r="D26" i="456"/>
  <c r="I25" i="456"/>
  <c r="F25" i="456"/>
  <c r="E25" i="456"/>
  <c r="D25" i="456"/>
  <c r="I24" i="456"/>
  <c r="F24" i="456"/>
  <c r="E24" i="456"/>
  <c r="D24" i="456"/>
  <c r="I23" i="456"/>
  <c r="F23" i="456"/>
  <c r="E23" i="456"/>
  <c r="D23" i="456"/>
  <c r="I22" i="456"/>
  <c r="F22" i="456"/>
  <c r="E22" i="456"/>
  <c r="D22" i="456"/>
  <c r="I21" i="456"/>
  <c r="F21" i="456"/>
  <c r="E21" i="456"/>
  <c r="D21" i="456"/>
  <c r="I20" i="456"/>
  <c r="F20" i="456"/>
  <c r="E20" i="456"/>
  <c r="D20" i="456"/>
  <c r="I19" i="456"/>
  <c r="F19" i="456"/>
  <c r="E19" i="456"/>
  <c r="D19" i="456"/>
  <c r="I18" i="456"/>
  <c r="F18" i="456"/>
  <c r="E18" i="456"/>
  <c r="D18" i="456"/>
  <c r="I17" i="456"/>
  <c r="F17" i="456"/>
  <c r="E17" i="456"/>
  <c r="D17" i="456"/>
  <c r="I16" i="456"/>
  <c r="F16" i="456"/>
  <c r="E16" i="456"/>
  <c r="D16" i="456"/>
  <c r="I15" i="456"/>
  <c r="F15" i="456"/>
  <c r="E15" i="456"/>
  <c r="D15" i="456"/>
  <c r="I14" i="456"/>
  <c r="F14" i="456"/>
  <c r="E14" i="456"/>
  <c r="D14" i="456"/>
  <c r="I13" i="456"/>
  <c r="F13" i="456"/>
  <c r="E13" i="456"/>
  <c r="D13" i="456"/>
  <c r="I12" i="456"/>
  <c r="F12" i="456"/>
  <c r="E12" i="456"/>
  <c r="D12" i="456"/>
  <c r="I11" i="456"/>
  <c r="F11" i="456"/>
  <c r="E11" i="456"/>
  <c r="D11" i="456"/>
  <c r="I10" i="456"/>
  <c r="F10" i="456"/>
  <c r="E10" i="456"/>
  <c r="D10" i="456"/>
  <c r="I9" i="456"/>
  <c r="G8" i="456"/>
  <c r="F8" i="456"/>
  <c r="E8" i="456"/>
  <c r="I8" i="456" s="1"/>
  <c r="D8" i="456"/>
  <c r="C8" i="456"/>
  <c r="C9" i="456" s="1"/>
  <c r="E7" i="456"/>
  <c r="G6" i="456"/>
  <c r="I37" i="455"/>
  <c r="F37" i="455"/>
  <c r="E37" i="455"/>
  <c r="D37" i="455"/>
  <c r="I36" i="455"/>
  <c r="F36" i="455"/>
  <c r="E36" i="455"/>
  <c r="D36" i="455"/>
  <c r="I35" i="455"/>
  <c r="F35" i="455"/>
  <c r="E35" i="455"/>
  <c r="D35" i="455"/>
  <c r="I34" i="455"/>
  <c r="F34" i="455"/>
  <c r="E34" i="455"/>
  <c r="D34" i="455"/>
  <c r="I33" i="455"/>
  <c r="F33" i="455"/>
  <c r="E33" i="455"/>
  <c r="D33" i="455"/>
  <c r="I32" i="455"/>
  <c r="F32" i="455"/>
  <c r="E32" i="455"/>
  <c r="D32" i="455"/>
  <c r="I31" i="455"/>
  <c r="F31" i="455"/>
  <c r="E31" i="455"/>
  <c r="D31" i="455"/>
  <c r="I30" i="455"/>
  <c r="F30" i="455"/>
  <c r="E30" i="455"/>
  <c r="D30" i="455"/>
  <c r="I29" i="455"/>
  <c r="F29" i="455"/>
  <c r="E29" i="455"/>
  <c r="D29" i="455"/>
  <c r="I28" i="455"/>
  <c r="F28" i="455"/>
  <c r="E28" i="455"/>
  <c r="D28" i="455"/>
  <c r="I27" i="455"/>
  <c r="F27" i="455"/>
  <c r="E27" i="455"/>
  <c r="D27" i="455"/>
  <c r="I26" i="455"/>
  <c r="F26" i="455"/>
  <c r="E26" i="455"/>
  <c r="D26" i="455"/>
  <c r="I25" i="455"/>
  <c r="F25" i="455"/>
  <c r="E25" i="455"/>
  <c r="D25" i="455"/>
  <c r="I24" i="455"/>
  <c r="F24" i="455"/>
  <c r="E24" i="455"/>
  <c r="D24" i="455"/>
  <c r="I23" i="455"/>
  <c r="F23" i="455"/>
  <c r="E23" i="455"/>
  <c r="D23" i="455"/>
  <c r="I22" i="455"/>
  <c r="F22" i="455"/>
  <c r="E22" i="455"/>
  <c r="D22" i="455"/>
  <c r="I21" i="455"/>
  <c r="F21" i="455"/>
  <c r="E21" i="455"/>
  <c r="D21" i="455"/>
  <c r="I20" i="455"/>
  <c r="F20" i="455"/>
  <c r="E20" i="455"/>
  <c r="D20" i="455"/>
  <c r="I19" i="455"/>
  <c r="F19" i="455"/>
  <c r="E19" i="455"/>
  <c r="D19" i="455"/>
  <c r="I18" i="455"/>
  <c r="F18" i="455"/>
  <c r="E18" i="455"/>
  <c r="D18" i="455"/>
  <c r="I17" i="455"/>
  <c r="F17" i="455"/>
  <c r="E17" i="455"/>
  <c r="D17" i="455"/>
  <c r="I16" i="455"/>
  <c r="F16" i="455"/>
  <c r="E16" i="455"/>
  <c r="D16" i="455"/>
  <c r="I15" i="455"/>
  <c r="F15" i="455"/>
  <c r="E15" i="455"/>
  <c r="D15" i="455"/>
  <c r="F14" i="455"/>
  <c r="E14" i="455"/>
  <c r="I14" i="455" s="1"/>
  <c r="D14" i="455"/>
  <c r="F13" i="455"/>
  <c r="E13" i="455"/>
  <c r="I13" i="455" s="1"/>
  <c r="D13" i="455"/>
  <c r="F12" i="455"/>
  <c r="I12" i="455" s="1"/>
  <c r="E12" i="455"/>
  <c r="D12" i="455"/>
  <c r="F11" i="455"/>
  <c r="I11" i="455" s="1"/>
  <c r="E11" i="455"/>
  <c r="D11" i="455"/>
  <c r="F10" i="455"/>
  <c r="E10" i="455"/>
  <c r="I10" i="455" s="1"/>
  <c r="D10" i="455"/>
  <c r="F9" i="455"/>
  <c r="E9" i="455"/>
  <c r="I9" i="455" s="1"/>
  <c r="D9" i="455"/>
  <c r="G8" i="455"/>
  <c r="F8" i="455"/>
  <c r="I8" i="455" s="1"/>
  <c r="I7" i="455" s="1"/>
  <c r="E8" i="455"/>
  <c r="D8" i="455"/>
  <c r="C8" i="455"/>
  <c r="C9" i="455" s="1"/>
  <c r="E7" i="455"/>
  <c r="G6" i="455"/>
  <c r="I11" i="95"/>
  <c r="I10" i="95"/>
  <c r="I13" i="95"/>
  <c r="I7" i="460" l="1"/>
  <c r="G9" i="460"/>
  <c r="C10" i="460"/>
  <c r="I9" i="459"/>
  <c r="I7" i="459" s="1"/>
  <c r="C10" i="459"/>
  <c r="G9" i="458"/>
  <c r="C10" i="458"/>
  <c r="I11" i="457"/>
  <c r="I7" i="457" s="1"/>
  <c r="G9" i="457"/>
  <c r="C10" i="457"/>
  <c r="I7" i="456"/>
  <c r="C10" i="456"/>
  <c r="G9" i="455"/>
  <c r="C10" i="455"/>
  <c r="AW5" i="150"/>
  <c r="W10" i="150"/>
  <c r="W5" i="150"/>
  <c r="G10" i="460" l="1"/>
  <c r="C11" i="460"/>
  <c r="G10" i="459"/>
  <c r="C11" i="459"/>
  <c r="G10" i="458"/>
  <c r="C11" i="458"/>
  <c r="G10" i="457"/>
  <c r="C11" i="457"/>
  <c r="G10" i="456"/>
  <c r="C11" i="456"/>
  <c r="G10" i="455"/>
  <c r="C11" i="455"/>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D9" i="439"/>
  <c r="E9" i="439"/>
  <c r="F9" i="439"/>
  <c r="D10" i="439"/>
  <c r="E10" i="439"/>
  <c r="F10" i="439"/>
  <c r="D11" i="439"/>
  <c r="E11" i="439"/>
  <c r="F11" i="439"/>
  <c r="D12" i="439"/>
  <c r="E12" i="439"/>
  <c r="F12" i="439"/>
  <c r="D13" i="439"/>
  <c r="E13" i="439"/>
  <c r="F13" i="439"/>
  <c r="D14" i="439"/>
  <c r="E14" i="439"/>
  <c r="F14" i="439"/>
  <c r="D15" i="439"/>
  <c r="E15" i="439"/>
  <c r="F15" i="439"/>
  <c r="D16" i="439"/>
  <c r="E16" i="439"/>
  <c r="F16" i="439"/>
  <c r="C12" i="460" l="1"/>
  <c r="G11" i="460"/>
  <c r="G11" i="459"/>
  <c r="C12" i="459"/>
  <c r="G11" i="458"/>
  <c r="C12" i="458"/>
  <c r="C12" i="457"/>
  <c r="C12" i="456"/>
  <c r="G11" i="456"/>
  <c r="C12" i="455"/>
  <c r="G11" i="455"/>
  <c r="AX3" i="137"/>
  <c r="C13" i="460" l="1"/>
  <c r="C13" i="459"/>
  <c r="G12" i="459"/>
  <c r="C13" i="458"/>
  <c r="G12" i="458"/>
  <c r="C13" i="457"/>
  <c r="G12" i="457"/>
  <c r="C13" i="456"/>
  <c r="G12" i="456"/>
  <c r="C13" i="455"/>
  <c r="G12" i="455"/>
  <c r="S4" i="150"/>
  <c r="Z4" i="150"/>
  <c r="AA4" i="150"/>
  <c r="AB4" i="150"/>
  <c r="AC4" i="150"/>
  <c r="AD4" i="150"/>
  <c r="AE4" i="150"/>
  <c r="AF4" i="150"/>
  <c r="AG4" i="150"/>
  <c r="AH4" i="150"/>
  <c r="AI4" i="150"/>
  <c r="AJ4" i="150"/>
  <c r="AK4" i="150"/>
  <c r="AL4" i="150"/>
  <c r="AM4" i="150"/>
  <c r="AN4" i="150"/>
  <c r="AO4" i="150"/>
  <c r="AP4" i="150"/>
  <c r="AQ4" i="150"/>
  <c r="AR4" i="150"/>
  <c r="AS4" i="150"/>
  <c r="AT4" i="150"/>
  <c r="AU4" i="150"/>
  <c r="AV4" i="150"/>
  <c r="R4" i="150"/>
  <c r="G13" i="460" l="1"/>
  <c r="C14" i="460"/>
  <c r="G13" i="459"/>
  <c r="C14" i="459"/>
  <c r="G13" i="458"/>
  <c r="C14" i="458"/>
  <c r="G13" i="457"/>
  <c r="C14" i="457"/>
  <c r="G13" i="456"/>
  <c r="C14" i="456"/>
  <c r="G13" i="455"/>
  <c r="C14" i="455"/>
  <c r="A2" i="1"/>
  <c r="F18" i="1"/>
  <c r="F9" i="1"/>
  <c r="A2" i="137"/>
  <c r="F8" i="150"/>
  <c r="F8" i="4"/>
  <c r="F24" i="1"/>
  <c r="F10" i="137"/>
  <c r="F9" i="137"/>
  <c r="F6" i="137"/>
  <c r="G14" i="460" l="1"/>
  <c r="C15" i="460"/>
  <c r="G14" i="459"/>
  <c r="C15" i="459"/>
  <c r="G14" i="458"/>
  <c r="C15" i="458"/>
  <c r="G14" i="457"/>
  <c r="C15" i="457"/>
  <c r="G14" i="456"/>
  <c r="C15" i="456"/>
  <c r="G14" i="455"/>
  <c r="C15" i="455"/>
  <c r="M12" i="137"/>
  <c r="AX12" i="137"/>
  <c r="H12" i="137"/>
  <c r="C16" i="460" l="1"/>
  <c r="G15" i="460"/>
  <c r="C16" i="459"/>
  <c r="G15" i="459"/>
  <c r="G15" i="458"/>
  <c r="C16" i="458"/>
  <c r="C16" i="457"/>
  <c r="G15" i="457"/>
  <c r="G15" i="456"/>
  <c r="C16" i="456"/>
  <c r="G15" i="455"/>
  <c r="C16" i="455"/>
  <c r="I16" i="95"/>
  <c r="C17" i="460" l="1"/>
  <c r="G16" i="460"/>
  <c r="C17" i="459"/>
  <c r="G16" i="459"/>
  <c r="C17" i="458"/>
  <c r="G16" i="458"/>
  <c r="C17" i="457"/>
  <c r="G16" i="457"/>
  <c r="C17" i="456"/>
  <c r="G16" i="456"/>
  <c r="C17" i="455"/>
  <c r="G16" i="455"/>
  <c r="H5" i="95"/>
  <c r="G17" i="460" l="1"/>
  <c r="C18" i="460"/>
  <c r="G17" i="459"/>
  <c r="C18" i="459"/>
  <c r="G17" i="458"/>
  <c r="C18" i="458"/>
  <c r="G17" i="457"/>
  <c r="C18" i="457"/>
  <c r="G17" i="456"/>
  <c r="C18" i="456"/>
  <c r="G17" i="455"/>
  <c r="C18" i="455"/>
  <c r="F23" i="4"/>
  <c r="F5" i="4"/>
  <c r="G18" i="460" l="1"/>
  <c r="C19" i="460"/>
  <c r="G18" i="459"/>
  <c r="C19" i="459"/>
  <c r="G18" i="458"/>
  <c r="C19" i="458"/>
  <c r="G18" i="457"/>
  <c r="C19" i="457"/>
  <c r="G18" i="456"/>
  <c r="C19" i="456"/>
  <c r="G18" i="455"/>
  <c r="C19" i="455"/>
  <c r="D10" i="150"/>
  <c r="U13" i="120"/>
  <c r="G20" i="4"/>
  <c r="C20" i="460" l="1"/>
  <c r="G19" i="460"/>
  <c r="C20" i="459"/>
  <c r="G19" i="459"/>
  <c r="C20" i="458"/>
  <c r="G19" i="458"/>
  <c r="C20" i="457"/>
  <c r="G19" i="457"/>
  <c r="C20" i="456"/>
  <c r="G19" i="456"/>
  <c r="C20" i="455"/>
  <c r="G19" i="455"/>
  <c r="B2" i="137"/>
  <c r="F15" i="137"/>
  <c r="F8" i="137"/>
  <c r="C21" i="460" l="1"/>
  <c r="G20" i="460"/>
  <c r="C21" i="459"/>
  <c r="G20" i="459"/>
  <c r="C21" i="458"/>
  <c r="G20" i="458"/>
  <c r="C21" i="457"/>
  <c r="G20" i="457"/>
  <c r="C21" i="456"/>
  <c r="G20" i="456"/>
  <c r="C21" i="455"/>
  <c r="G20" i="455"/>
  <c r="F21" i="1"/>
  <c r="F8" i="1"/>
  <c r="G21" i="460" l="1"/>
  <c r="C22" i="460"/>
  <c r="G21" i="459"/>
  <c r="C22" i="459"/>
  <c r="G21" i="458"/>
  <c r="C22" i="458"/>
  <c r="G21" i="457"/>
  <c r="C22" i="457"/>
  <c r="G21" i="456"/>
  <c r="C22" i="456"/>
  <c r="G21" i="455"/>
  <c r="C22" i="455"/>
  <c r="G9" i="4"/>
  <c r="G18" i="4"/>
  <c r="G5" i="4"/>
  <c r="G22" i="460" l="1"/>
  <c r="C23" i="460"/>
  <c r="G22" i="459"/>
  <c r="C23" i="459"/>
  <c r="G22" i="458"/>
  <c r="C23" i="458"/>
  <c r="G22" i="457"/>
  <c r="C23" i="457"/>
  <c r="G22" i="456"/>
  <c r="C23" i="456"/>
  <c r="G22" i="455"/>
  <c r="C23" i="455"/>
  <c r="F7" i="150"/>
  <c r="F6" i="150"/>
  <c r="C24" i="460" l="1"/>
  <c r="G23" i="460"/>
  <c r="C24" i="459"/>
  <c r="G23" i="459"/>
  <c r="C24" i="458"/>
  <c r="G23" i="458"/>
  <c r="G23" i="457"/>
  <c r="C24" i="457"/>
  <c r="G23" i="456"/>
  <c r="C24" i="456"/>
  <c r="C24" i="455"/>
  <c r="G23" i="455"/>
  <c r="A16" i="150"/>
  <c r="A26" i="4"/>
  <c r="C25" i="460" l="1"/>
  <c r="G24" i="460"/>
  <c r="C25" i="459"/>
  <c r="G24" i="459"/>
  <c r="C25" i="458"/>
  <c r="G24" i="458"/>
  <c r="C25" i="457"/>
  <c r="G24" i="457"/>
  <c r="C25" i="456"/>
  <c r="G24" i="456"/>
  <c r="C25" i="455"/>
  <c r="G24" i="455"/>
  <c r="A28" i="4"/>
  <c r="H5" i="4"/>
  <c r="M5" i="4"/>
  <c r="G25" i="460" l="1"/>
  <c r="C26" i="460"/>
  <c r="G25" i="459"/>
  <c r="C26" i="459"/>
  <c r="G25" i="458"/>
  <c r="C26" i="458"/>
  <c r="G25" i="457"/>
  <c r="C26" i="457"/>
  <c r="G25" i="456"/>
  <c r="C26" i="456"/>
  <c r="G25" i="455"/>
  <c r="C26" i="455"/>
  <c r="F19" i="4"/>
  <c r="AW4" i="4"/>
  <c r="G26" i="460" l="1"/>
  <c r="C27" i="460"/>
  <c r="G26" i="459"/>
  <c r="C27" i="459"/>
  <c r="G26" i="458"/>
  <c r="C27" i="458"/>
  <c r="G26" i="457"/>
  <c r="C27" i="457"/>
  <c r="G26" i="456"/>
  <c r="C27" i="456"/>
  <c r="G26" i="455"/>
  <c r="C27" i="455"/>
  <c r="I12" i="95"/>
  <c r="G27" i="460" l="1"/>
  <c r="C28" i="460"/>
  <c r="G27" i="459"/>
  <c r="C28" i="459"/>
  <c r="C28" i="458"/>
  <c r="G27" i="458"/>
  <c r="C28" i="457"/>
  <c r="G27" i="457"/>
  <c r="C28" i="456"/>
  <c r="G27" i="456"/>
  <c r="C28" i="455"/>
  <c r="G27" i="455"/>
  <c r="AW4" i="150"/>
  <c r="C29" i="460" l="1"/>
  <c r="G28" i="460"/>
  <c r="C29" i="459"/>
  <c r="G28" i="459"/>
  <c r="C29" i="458"/>
  <c r="G28" i="458"/>
  <c r="C29" i="457"/>
  <c r="G28" i="457"/>
  <c r="C29" i="456"/>
  <c r="G28" i="456"/>
  <c r="C29" i="455"/>
  <c r="G28" i="455"/>
  <c r="E7" i="439"/>
  <c r="D8" i="439"/>
  <c r="E8"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29" i="460" l="1"/>
  <c r="C30" i="460"/>
  <c r="G29" i="459"/>
  <c r="C30" i="459"/>
  <c r="G29" i="458"/>
  <c r="C30" i="458"/>
  <c r="G29" i="457"/>
  <c r="C30" i="457"/>
  <c r="G29" i="456"/>
  <c r="C30" i="456"/>
  <c r="G29" i="455"/>
  <c r="C30" i="455"/>
  <c r="F28" i="1"/>
  <c r="G30" i="460" l="1"/>
  <c r="C31" i="460"/>
  <c r="G30" i="459"/>
  <c r="C31" i="459"/>
  <c r="G30" i="458"/>
  <c r="C31" i="458"/>
  <c r="G30" i="457"/>
  <c r="C31" i="457"/>
  <c r="G30" i="456"/>
  <c r="C31" i="456"/>
  <c r="G30" i="455"/>
  <c r="C31" i="455"/>
  <c r="A32" i="1"/>
  <c r="C32" i="460" l="1"/>
  <c r="G31" i="460"/>
  <c r="C32" i="459"/>
  <c r="G31" i="459"/>
  <c r="G31" i="458"/>
  <c r="C32" i="458"/>
  <c r="C32" i="457"/>
  <c r="G31" i="457"/>
  <c r="C32" i="456"/>
  <c r="G31" i="456"/>
  <c r="G31" i="455"/>
  <c r="C32" i="455"/>
  <c r="M11" i="120"/>
  <c r="C33" i="460" l="1"/>
  <c r="G32" i="460"/>
  <c r="C33" i="459"/>
  <c r="G32" i="459"/>
  <c r="C33" i="458"/>
  <c r="G32" i="458"/>
  <c r="C33" i="457"/>
  <c r="G32" i="457"/>
  <c r="C33" i="456"/>
  <c r="G32" i="456"/>
  <c r="C33" i="455"/>
  <c r="G32" i="455"/>
  <c r="G33" i="460" l="1"/>
  <c r="C34" i="460"/>
  <c r="G33" i="459"/>
  <c r="C34" i="459"/>
  <c r="G33" i="458"/>
  <c r="C34" i="458"/>
  <c r="G33" i="457"/>
  <c r="C34" i="457"/>
  <c r="G33" i="456"/>
  <c r="C34" i="456"/>
  <c r="G33" i="455"/>
  <c r="C34" i="455"/>
  <c r="G10" i="150"/>
  <c r="H10" i="150" s="1"/>
  <c r="M10" i="150"/>
  <c r="AX10" i="150"/>
  <c r="F30" i="1"/>
  <c r="G34" i="460" l="1"/>
  <c r="C35" i="460"/>
  <c r="G34" i="459"/>
  <c r="C35" i="459"/>
  <c r="G34" i="458"/>
  <c r="C35" i="458"/>
  <c r="G34" i="457"/>
  <c r="C35" i="457"/>
  <c r="G34" i="456"/>
  <c r="C35" i="456"/>
  <c r="G34" i="455"/>
  <c r="C35" i="455"/>
  <c r="P9" i="150"/>
  <c r="P27" i="1"/>
  <c r="P9" i="1"/>
  <c r="F14" i="137"/>
  <c r="C36" i="460" l="1"/>
  <c r="G35" i="460"/>
  <c r="G35" i="459"/>
  <c r="C36" i="459"/>
  <c r="C36" i="458"/>
  <c r="G35" i="458"/>
  <c r="C36" i="457"/>
  <c r="G35" i="457"/>
  <c r="C36" i="456"/>
  <c r="G35" i="456"/>
  <c r="C36" i="455"/>
  <c r="G35" i="455"/>
  <c r="N11" i="120"/>
  <c r="C37" i="460" l="1"/>
  <c r="G36" i="460"/>
  <c r="C37" i="459"/>
  <c r="H33" i="459" s="1"/>
  <c r="G36" i="459"/>
  <c r="C37" i="458"/>
  <c r="G36" i="458"/>
  <c r="C37" i="457"/>
  <c r="G36" i="457"/>
  <c r="C37" i="456"/>
  <c r="G36" i="456"/>
  <c r="C37" i="455"/>
  <c r="G36" i="455"/>
  <c r="H32" i="455"/>
  <c r="H36" i="455"/>
  <c r="F17" i="439"/>
  <c r="H36" i="460" l="1"/>
  <c r="G37" i="460"/>
  <c r="H37" i="460" s="1"/>
  <c r="G38" i="460"/>
  <c r="H38" i="460" s="1"/>
  <c r="H8" i="460"/>
  <c r="H13" i="460" s="1"/>
  <c r="H10" i="460"/>
  <c r="H9" i="460"/>
  <c r="H11" i="460"/>
  <c r="H16" i="460"/>
  <c r="H14" i="460"/>
  <c r="H15" i="460"/>
  <c r="H17" i="460"/>
  <c r="H18" i="460"/>
  <c r="H20" i="460"/>
  <c r="H19" i="460"/>
  <c r="H21" i="460"/>
  <c r="H22" i="460"/>
  <c r="H24" i="460"/>
  <c r="H23" i="460"/>
  <c r="H25" i="460"/>
  <c r="H26" i="460"/>
  <c r="H27" i="460"/>
  <c r="H28" i="460"/>
  <c r="H29" i="460"/>
  <c r="H30" i="460"/>
  <c r="H32" i="460"/>
  <c r="H31" i="460"/>
  <c r="H33" i="460"/>
  <c r="H35" i="460"/>
  <c r="H34" i="460"/>
  <c r="G37" i="459"/>
  <c r="G38" i="459"/>
  <c r="H38" i="459" s="1"/>
  <c r="H11" i="459"/>
  <c r="H13" i="459"/>
  <c r="H8" i="459"/>
  <c r="H12" i="459"/>
  <c r="H14" i="459"/>
  <c r="H15" i="459"/>
  <c r="H16" i="459"/>
  <c r="H17" i="459"/>
  <c r="H20" i="459"/>
  <c r="H19" i="459"/>
  <c r="H18" i="459"/>
  <c r="H21" i="459"/>
  <c r="H22" i="459"/>
  <c r="H24" i="459"/>
  <c r="H23" i="459"/>
  <c r="H25" i="459"/>
  <c r="H26" i="459"/>
  <c r="H27" i="459"/>
  <c r="H28" i="459"/>
  <c r="H29" i="459"/>
  <c r="H30" i="459"/>
  <c r="H32" i="459"/>
  <c r="H35" i="459"/>
  <c r="H34" i="459"/>
  <c r="H31" i="459"/>
  <c r="H36" i="459"/>
  <c r="H37" i="459"/>
  <c r="G37" i="458"/>
  <c r="G38" i="458"/>
  <c r="H38" i="458" s="1"/>
  <c r="H11" i="458"/>
  <c r="H10" i="458"/>
  <c r="H8" i="458"/>
  <c r="H9" i="458" s="1"/>
  <c r="H13" i="458"/>
  <c r="H14" i="458"/>
  <c r="H12" i="458"/>
  <c r="H15" i="458"/>
  <c r="H17" i="458"/>
  <c r="H16" i="458"/>
  <c r="H19" i="458"/>
  <c r="H18" i="458"/>
  <c r="H21" i="458"/>
  <c r="H20" i="458"/>
  <c r="H24" i="458"/>
  <c r="H23" i="458"/>
  <c r="H22" i="458"/>
  <c r="H25" i="458"/>
  <c r="H26" i="458"/>
  <c r="H27" i="458"/>
  <c r="H28" i="458"/>
  <c r="H29" i="458"/>
  <c r="H30" i="458"/>
  <c r="H32" i="458"/>
  <c r="H31" i="458"/>
  <c r="H33" i="458"/>
  <c r="H35" i="458"/>
  <c r="H34" i="458"/>
  <c r="H37" i="458"/>
  <c r="H36" i="458"/>
  <c r="G37" i="457"/>
  <c r="G38" i="457"/>
  <c r="H38" i="457" s="1"/>
  <c r="H9" i="457"/>
  <c r="H12" i="457"/>
  <c r="H10" i="457"/>
  <c r="H8" i="457"/>
  <c r="H13" i="457"/>
  <c r="H15" i="457"/>
  <c r="H16" i="457"/>
  <c r="H14" i="457"/>
  <c r="H17" i="457"/>
  <c r="H18" i="457"/>
  <c r="H20" i="457"/>
  <c r="H19" i="457"/>
  <c r="H21" i="457"/>
  <c r="H22" i="457"/>
  <c r="H25" i="457"/>
  <c r="H24" i="457"/>
  <c r="H23" i="457"/>
  <c r="H26" i="457"/>
  <c r="H29" i="457"/>
  <c r="H27" i="457"/>
  <c r="H28" i="457"/>
  <c r="H30" i="457"/>
  <c r="H32" i="457"/>
  <c r="H31" i="457"/>
  <c r="H36" i="457"/>
  <c r="H34" i="457"/>
  <c r="H35" i="457"/>
  <c r="H37" i="457"/>
  <c r="H33" i="457"/>
  <c r="G37" i="456"/>
  <c r="H37" i="456" s="1"/>
  <c r="G38" i="456"/>
  <c r="H38" i="456" s="1"/>
  <c r="H8" i="456"/>
  <c r="H12" i="456"/>
  <c r="H11" i="456"/>
  <c r="H13" i="456"/>
  <c r="H14" i="456"/>
  <c r="H15" i="456"/>
  <c r="H18" i="456"/>
  <c r="H17" i="456"/>
  <c r="H16" i="456"/>
  <c r="H19" i="456"/>
  <c r="H21" i="456"/>
  <c r="H20" i="456"/>
  <c r="H22" i="456"/>
  <c r="H23" i="456"/>
  <c r="H25" i="456"/>
  <c r="H24" i="456"/>
  <c r="H26" i="456"/>
  <c r="H27" i="456"/>
  <c r="H28" i="456"/>
  <c r="H30" i="456"/>
  <c r="H32" i="456"/>
  <c r="H29" i="456"/>
  <c r="H35" i="456"/>
  <c r="H31" i="456"/>
  <c r="H34" i="456"/>
  <c r="H33" i="456"/>
  <c r="H36" i="456"/>
  <c r="G37" i="455"/>
  <c r="G38" i="455"/>
  <c r="H38" i="455" s="1"/>
  <c r="H8" i="455"/>
  <c r="H11" i="455"/>
  <c r="H9" i="455"/>
  <c r="H10" i="455"/>
  <c r="H15" i="455" s="1"/>
  <c r="H13" i="455"/>
  <c r="H12" i="455"/>
  <c r="H14" i="455"/>
  <c r="H17" i="455"/>
  <c r="H16" i="455"/>
  <c r="H18" i="455"/>
  <c r="H20" i="455"/>
  <c r="H19" i="455"/>
  <c r="H22" i="455"/>
  <c r="H21" i="455"/>
  <c r="H24" i="455"/>
  <c r="H25" i="455"/>
  <c r="H23" i="455"/>
  <c r="H26" i="455"/>
  <c r="H27" i="455"/>
  <c r="H28" i="455"/>
  <c r="H29" i="455"/>
  <c r="H30" i="455"/>
  <c r="H31" i="455"/>
  <c r="H35" i="455"/>
  <c r="H34" i="455"/>
  <c r="H33" i="455"/>
  <c r="H37" i="455"/>
  <c r="F11" i="137"/>
  <c r="H10" i="459" l="1"/>
  <c r="H10" i="456"/>
  <c r="E4" i="150"/>
  <c r="F4" i="150"/>
  <c r="G8" i="439"/>
  <c r="F8" i="439"/>
  <c r="C8" i="439"/>
  <c r="C9" i="439" s="1"/>
  <c r="C10" i="439" l="1"/>
  <c r="G9" i="439"/>
  <c r="J10" i="120"/>
  <c r="G10" i="439" l="1"/>
  <c r="C11" i="439"/>
  <c r="F6" i="4"/>
  <c r="F13" i="137"/>
  <c r="C12" i="439" l="1"/>
  <c r="G11" i="439"/>
  <c r="N10" i="120"/>
  <c r="F7" i="137"/>
  <c r="C13" i="439" l="1"/>
  <c r="G12" i="439"/>
  <c r="D9" i="150"/>
  <c r="A31" i="1"/>
  <c r="A33" i="1"/>
  <c r="A34" i="1"/>
  <c r="A35" i="1"/>
  <c r="C14" i="439" l="1"/>
  <c r="G13" i="439"/>
  <c r="AW4" i="137"/>
  <c r="AW4" i="1"/>
  <c r="D10" i="50"/>
  <c r="AX8" i="137"/>
  <c r="AX9" i="137"/>
  <c r="AX10" i="137"/>
  <c r="AX11" i="137"/>
  <c r="AX13" i="137"/>
  <c r="AX14" i="137"/>
  <c r="M7" i="137"/>
  <c r="M8" i="137"/>
  <c r="M9" i="137"/>
  <c r="M10" i="137"/>
  <c r="M13" i="137"/>
  <c r="M14" i="137"/>
  <c r="H8" i="137"/>
  <c r="F5" i="137"/>
  <c r="D6" i="50"/>
  <c r="D7" i="50"/>
  <c r="D8" i="50"/>
  <c r="D9" i="50"/>
  <c r="D5" i="50"/>
  <c r="AX6" i="137"/>
  <c r="AX7" i="137"/>
  <c r="M6" i="137"/>
  <c r="H6" i="137"/>
  <c r="H7" i="137"/>
  <c r="H9" i="137"/>
  <c r="H10" i="137"/>
  <c r="H13" i="137"/>
  <c r="H14" i="137"/>
  <c r="C15" i="439" l="1"/>
  <c r="G14" i="439"/>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F27" i="1" l="1"/>
  <c r="M30" i="1"/>
  <c r="G30" i="1" l="1"/>
  <c r="H30" i="1" s="1"/>
  <c r="AD11" i="50"/>
  <c r="AB9" i="50"/>
  <c r="AW6" i="50"/>
  <c r="U7" i="50"/>
  <c r="AW10" i="50"/>
  <c r="AP7" i="50"/>
  <c r="AL10" i="50"/>
  <c r="AH7" i="50"/>
  <c r="Y7" i="50"/>
  <c r="U10" i="50"/>
  <c r="AE7" i="50"/>
  <c r="AQ11" i="50"/>
  <c r="S8" i="50"/>
  <c r="AB8" i="50"/>
  <c r="AV8" i="50"/>
  <c r="AV10" i="50"/>
  <c r="Z11" i="50"/>
  <c r="Z10" i="50"/>
  <c r="Q8" i="50"/>
  <c r="AQ7" i="50"/>
  <c r="Z6" i="50"/>
  <c r="AO6" i="50"/>
  <c r="AB11" i="50"/>
  <c r="BA9" i="50"/>
  <c r="BA10" i="50"/>
  <c r="AT7" i="50"/>
  <c r="AW11" i="50"/>
  <c r="U11" i="50"/>
  <c r="R10" i="50"/>
  <c r="U8" i="50"/>
  <c r="AI8" i="50"/>
  <c r="AL9" i="50"/>
  <c r="X6" i="50"/>
  <c r="AF10" i="50"/>
  <c r="AQ6" i="50"/>
  <c r="AF6" i="50"/>
  <c r="BB11" i="50"/>
  <c r="P11" i="50"/>
  <c r="AJ9" i="50"/>
  <c r="AI6" i="50"/>
  <c r="S11" i="50"/>
  <c r="AP8" i="50"/>
  <c r="AM10" i="50"/>
  <c r="W8" i="50"/>
  <c r="AA10" i="50"/>
  <c r="AV6" i="50"/>
  <c r="N11" i="50"/>
  <c r="AE9" i="50"/>
  <c r="AV11" i="50"/>
  <c r="AU8" i="50"/>
  <c r="AZ10" i="50"/>
  <c r="AZ9" i="50"/>
  <c r="AM6" i="50"/>
  <c r="AZ7" i="50"/>
  <c r="AF11" i="50"/>
  <c r="AC11" i="50"/>
  <c r="M9" i="50"/>
  <c r="Q10" i="50"/>
  <c r="AY7" i="50"/>
  <c r="AD9" i="50"/>
  <c r="N6" i="50"/>
  <c r="X9" i="50"/>
  <c r="AA8" i="50"/>
  <c r="AK10" i="50"/>
  <c r="W10" i="50"/>
  <c r="AE8" i="50"/>
  <c r="AH10" i="50"/>
  <c r="N8" i="50"/>
  <c r="P10" i="50"/>
  <c r="Z9" i="50"/>
  <c r="AX10" i="50"/>
  <c r="AN8" i="50"/>
  <c r="AR10" i="50"/>
  <c r="AQ9" i="50"/>
  <c r="AP10" i="50"/>
  <c r="Z7" i="50"/>
  <c r="O7" i="50"/>
  <c r="AR7" i="50"/>
  <c r="AJ8" i="50"/>
  <c r="M10" i="50"/>
  <c r="AS7" i="50"/>
  <c r="AF9" i="50"/>
  <c r="AC8" i="50"/>
  <c r="R7" i="50"/>
  <c r="M7" i="50"/>
  <c r="AW7" i="50"/>
  <c r="BB10" i="50"/>
  <c r="AC7" i="50"/>
  <c r="AS11" i="50"/>
  <c r="AR11" i="50"/>
  <c r="BB9" i="50"/>
  <c r="P8" i="50"/>
  <c r="AI9" i="50"/>
  <c r="O10" i="50"/>
  <c r="AY11" i="50"/>
  <c r="O6" i="50"/>
  <c r="Z8" i="50"/>
  <c r="AA7" i="50"/>
  <c r="AO8" i="50"/>
  <c r="AA9" i="50"/>
  <c r="AY8" i="50"/>
  <c r="AG11" i="50"/>
  <c r="Y9" i="50"/>
  <c r="AM11" i="50"/>
  <c r="S10" i="50"/>
  <c r="O9" i="50"/>
  <c r="BB8" i="50"/>
  <c r="AE6" i="50"/>
  <c r="N10" i="50"/>
  <c r="AB6" i="50"/>
  <c r="AY9" i="50"/>
  <c r="U6" i="50"/>
  <c r="AL8" i="50"/>
  <c r="AG7" i="50"/>
  <c r="AH6" i="50"/>
  <c r="BC8" i="50"/>
  <c r="AL11" i="50"/>
  <c r="T10" i="50"/>
  <c r="AV9" i="50"/>
  <c r="AJ6" i="50"/>
  <c r="W6" i="50"/>
  <c r="V11" i="50"/>
  <c r="AG10" i="50"/>
  <c r="Q6" i="50"/>
  <c r="AR8" i="50"/>
  <c r="U9" i="50"/>
  <c r="AL7" i="50"/>
  <c r="AK9" i="50"/>
  <c r="AD6" i="50"/>
  <c r="W7" i="50"/>
  <c r="AX9" i="50"/>
  <c r="V6" i="50"/>
  <c r="AQ8" i="50"/>
  <c r="AP6" i="50"/>
  <c r="AN9" i="50"/>
  <c r="AJ7" i="50"/>
  <c r="R6" i="50"/>
  <c r="AT9" i="50"/>
  <c r="R9" i="50"/>
  <c r="BC10" i="50"/>
  <c r="AM7" i="50"/>
  <c r="Y8" i="50"/>
  <c r="AI10" i="50"/>
  <c r="BC9" i="50"/>
  <c r="AY10" i="50"/>
  <c r="AQ10" i="50"/>
  <c r="AO10" i="50"/>
  <c r="R11" i="50"/>
  <c r="AS6" i="50"/>
  <c r="AU7" i="50"/>
  <c r="AK7" i="50"/>
  <c r="AN7" i="50"/>
  <c r="L9" i="50"/>
  <c r="AH11" i="50"/>
  <c r="T7" i="50"/>
  <c r="AZ8" i="50"/>
  <c r="BC6" i="50"/>
  <c r="W9" i="50"/>
  <c r="S9" i="50"/>
  <c r="BC7" i="50"/>
  <c r="L6" i="50"/>
  <c r="AU6" i="50"/>
  <c r="AK8" i="50"/>
  <c r="AW9" i="50"/>
  <c r="AC10" i="50"/>
  <c r="AH9" i="50"/>
  <c r="AY6" i="50"/>
  <c r="AV7" i="50"/>
  <c r="M6" i="50"/>
  <c r="S6" i="50"/>
  <c r="AU9" i="50"/>
  <c r="AF8" i="50"/>
  <c r="AD8" i="50"/>
  <c r="BB6" i="50"/>
  <c r="Q9" i="50"/>
  <c r="AI7" i="50"/>
  <c r="BB7" i="50"/>
  <c r="AD7" i="50"/>
  <c r="BC11" i="50"/>
  <c r="N7" i="50"/>
  <c r="P9" i="50"/>
  <c r="V7" i="50"/>
  <c r="V10" i="50"/>
  <c r="X7" i="50"/>
  <c r="AP9" i="50"/>
  <c r="AI11" i="50"/>
  <c r="AC9" i="50"/>
  <c r="AF7" i="50"/>
  <c r="V9" i="50"/>
  <c r="AP11" i="50"/>
  <c r="X8" i="50"/>
  <c r="L10" i="50"/>
  <c r="AU11" i="50"/>
  <c r="AM8" i="50"/>
  <c r="O11" i="50"/>
  <c r="AS10" i="50"/>
  <c r="AG8" i="50"/>
  <c r="Q7" i="50"/>
  <c r="T11" i="50"/>
  <c r="AH8" i="50"/>
  <c r="AO7" i="50"/>
  <c r="Y11" i="50"/>
  <c r="M8" i="50"/>
  <c r="BA11" i="50"/>
  <c r="N9" i="50"/>
  <c r="AW8" i="50"/>
  <c r="AA6" i="50"/>
  <c r="Y6" i="50"/>
  <c r="AO11" i="50"/>
  <c r="AX6" i="50"/>
  <c r="AX11" i="50"/>
  <c r="T6" i="50"/>
  <c r="M11" i="50"/>
  <c r="AR9" i="50"/>
  <c r="P7" i="50"/>
  <c r="S7" i="50"/>
  <c r="AN11" i="50"/>
  <c r="BA8" i="50"/>
  <c r="AJ10" i="50"/>
  <c r="AS8" i="50"/>
  <c r="AE10" i="50"/>
  <c r="L11" i="50"/>
  <c r="L7" i="50"/>
  <c r="V8" i="50"/>
  <c r="AB7" i="50"/>
  <c r="AL6" i="50"/>
  <c r="O8" i="50"/>
  <c r="X10" i="50"/>
  <c r="AK11" i="50"/>
  <c r="AT8" i="50"/>
  <c r="W11" i="50"/>
  <c r="P6" i="50"/>
  <c r="AE11" i="50"/>
  <c r="R8" i="50"/>
  <c r="X11" i="50"/>
  <c r="AU10" i="50"/>
  <c r="AK6" i="50"/>
  <c r="AZ6" i="50"/>
  <c r="AB10" i="50"/>
  <c r="T8" i="50"/>
  <c r="AT6" i="50"/>
  <c r="L8" i="50"/>
  <c r="AT11" i="50"/>
  <c r="BA6" i="50"/>
  <c r="AR6" i="50"/>
  <c r="AG9" i="50"/>
  <c r="AO9" i="50"/>
  <c r="AT10" i="50"/>
  <c r="BA7" i="50"/>
  <c r="AX7" i="50"/>
  <c r="AN6" i="50"/>
  <c r="AN10" i="50"/>
  <c r="AC6" i="50"/>
  <c r="T9" i="50"/>
  <c r="AD10" i="50"/>
  <c r="AX8" i="50"/>
  <c r="AG6" i="50"/>
  <c r="AM9" i="50"/>
  <c r="Q11" i="50"/>
  <c r="AZ11" i="50"/>
  <c r="AJ11" i="50"/>
  <c r="AS9" i="50"/>
  <c r="Y10" i="50"/>
  <c r="AA11" i="50"/>
  <c r="F7" i="50" l="1"/>
  <c r="F9" i="50"/>
  <c r="F8" i="50"/>
  <c r="F6" i="50"/>
  <c r="F10" i="50"/>
  <c r="K1" i="50"/>
  <c r="R2" i="8" l="1"/>
  <c r="R1" i="8" s="1"/>
  <c r="B1" i="95" l="1"/>
  <c r="C18" i="439" l="1"/>
  <c r="P11" i="150"/>
  <c r="P4" i="150" s="1"/>
  <c r="G18" i="439" l="1"/>
  <c r="C19" i="439"/>
  <c r="C20" i="439" l="1"/>
  <c r="G19" i="439"/>
  <c r="G20" i="439" l="1"/>
  <c r="C21" i="439"/>
  <c r="N8" i="120"/>
  <c r="C22" i="439" l="1"/>
  <c r="G21" i="439"/>
  <c r="M8" i="120"/>
  <c r="M15" i="137"/>
  <c r="G22" i="439" l="1"/>
  <c r="S8" i="120" l="1"/>
  <c r="L35" i="4" l="1"/>
  <c r="AX30" i="1" l="1"/>
  <c r="AX31" i="1"/>
  <c r="AX34" i="1"/>
  <c r="AX35" i="1"/>
  <c r="D23" i="95" l="1"/>
  <c r="M7" i="120" l="1"/>
  <c r="N7" i="120" l="1"/>
  <c r="G28" i="1" l="1"/>
  <c r="D18"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2" i="95"/>
  <c r="G34" i="439" l="1"/>
  <c r="C35" i="439"/>
  <c r="Q4" i="4"/>
  <c r="H9" i="4"/>
  <c r="G35" i="439" l="1"/>
  <c r="C36" i="439"/>
  <c r="C37" i="439" l="1"/>
  <c r="G36" i="439"/>
  <c r="E4" i="137"/>
  <c r="F4" i="137"/>
  <c r="H14" i="439" l="1"/>
  <c r="H16" i="439"/>
  <c r="H8" i="439"/>
  <c r="H9" i="439" s="1"/>
  <c r="H21" i="439"/>
  <c r="H28" i="439"/>
  <c r="H34" i="439"/>
  <c r="H27" i="439"/>
  <c r="H25" i="439"/>
  <c r="H32" i="439"/>
  <c r="H26" i="439"/>
  <c r="H29" i="439"/>
  <c r="H30" i="439"/>
  <c r="H33" i="439"/>
  <c r="H31" i="439"/>
  <c r="H24" i="439"/>
  <c r="H35" i="439"/>
  <c r="H23" i="439"/>
  <c r="H36" i="439"/>
  <c r="G37" i="439"/>
  <c r="H37" i="439" s="1"/>
  <c r="G38" i="439"/>
  <c r="H38" i="439" s="1"/>
  <c r="H10" i="439" l="1"/>
  <c r="M18" i="1"/>
  <c r="G18" i="1"/>
  <c r="H13" i="439" l="1"/>
  <c r="H11" i="439"/>
  <c r="H12" i="439" s="1"/>
  <c r="H18" i="1"/>
  <c r="H15"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F10" i="1" l="1"/>
  <c r="F10" i="4"/>
  <c r="M5" i="137" l="1"/>
  <c r="H17" i="439" l="1"/>
  <c r="H18" i="439"/>
  <c r="H19" i="439" s="1"/>
  <c r="H20" i="439"/>
  <c r="H22" i="439" s="1"/>
  <c r="AX11" i="150"/>
  <c r="P4" i="1" l="1"/>
  <c r="L4" i="50"/>
  <c r="F5" i="1" l="1"/>
  <c r="F13" i="1" l="1"/>
  <c r="F4" i="1" l="1"/>
  <c r="E4" i="1"/>
  <c r="F22" i="4" l="1"/>
  <c r="F21" i="4"/>
  <c r="F18" i="4"/>
  <c r="F12" i="4"/>
  <c r="E4" i="4" l="1"/>
  <c r="F4" i="4"/>
  <c r="B4" i="50"/>
  <c r="M24" i="4"/>
  <c r="N2" i="4"/>
  <c r="M2" i="4"/>
  <c r="K2" i="4"/>
  <c r="H2" i="4"/>
  <c r="AX5" i="150" l="1"/>
  <c r="B26" i="95" l="1"/>
  <c r="AX6" i="150" l="1"/>
  <c r="AX7" i="150"/>
  <c r="AX8" i="150"/>
  <c r="AX9" i="150"/>
  <c r="AX12" i="150"/>
  <c r="D11" i="150"/>
  <c r="AX4" i="150" l="1"/>
  <c r="G15" i="137"/>
  <c r="AX15" i="137" s="1"/>
  <c r="H15" i="137" l="1"/>
  <c r="H2" i="137" s="1"/>
  <c r="I15" i="137" l="1"/>
  <c r="J15" i="137" s="1"/>
  <c r="K15"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K30" i="1" l="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1" i="1"/>
  <c r="J21"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0" i="150" l="1"/>
  <c r="J10" i="150" s="1"/>
  <c r="K10" i="150" s="1"/>
  <c r="I5" i="150"/>
  <c r="I7" i="150"/>
  <c r="J7" i="150" s="1"/>
  <c r="G46" i="50" s="1"/>
  <c r="I46" i="50" s="1"/>
  <c r="I9" i="150"/>
  <c r="J9" i="150" s="1"/>
  <c r="I8" i="150"/>
  <c r="J8" i="150" s="1"/>
  <c r="G47" i="50" s="1"/>
  <c r="I47" i="50" s="1"/>
  <c r="I12" i="150"/>
  <c r="J12" i="150" s="1"/>
  <c r="G51" i="50" s="1"/>
  <c r="I51" i="50" s="1"/>
  <c r="I6" i="150"/>
  <c r="J6" i="150" s="1"/>
  <c r="G45" i="50" s="1"/>
  <c r="I45" i="50" s="1"/>
  <c r="I11" i="150"/>
  <c r="J11" i="150" s="1"/>
  <c r="G50" i="50" s="1"/>
  <c r="I50" i="50" s="1"/>
  <c r="K9" i="150" l="1"/>
  <c r="K7" i="150"/>
  <c r="K8"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X25" i="4" l="1"/>
  <c r="AX7" i="4"/>
  <c r="AX16" i="4"/>
  <c r="AX14" i="4"/>
  <c r="AX13" i="4"/>
  <c r="H16" i="4"/>
  <c r="AX22" i="4"/>
  <c r="AX10" i="4"/>
  <c r="H10" i="4"/>
  <c r="AX11" i="4"/>
  <c r="AX24" i="4"/>
  <c r="H13" i="4"/>
  <c r="AX19" i="4"/>
  <c r="AX20" i="4"/>
  <c r="AX4" i="4" s="1"/>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c r="I21" i="4" s="1"/>
  <c r="J21" i="4" s="1"/>
  <c r="G40" i="50" s="1"/>
  <c r="I40" i="50" s="1"/>
  <c r="K21" i="4" l="1"/>
  <c r="I24" i="4"/>
  <c r="J24" i="4" s="1"/>
  <c r="G52" i="50" s="1"/>
  <c r="I52" i="50" s="1"/>
  <c r="I9" i="4"/>
  <c r="J9" i="4" s="1"/>
  <c r="I25" i="4"/>
  <c r="J25" i="4" s="1"/>
  <c r="I7" i="4"/>
  <c r="J7" i="4" s="1"/>
  <c r="I6" i="4"/>
  <c r="J6" i="4" s="1"/>
  <c r="I12" i="4"/>
  <c r="J12" i="4" s="1"/>
  <c r="I23" i="4"/>
  <c r="J23" i="4" s="1"/>
  <c r="G43" i="50" s="1"/>
  <c r="I43" i="50" s="1"/>
  <c r="I16" i="4"/>
  <c r="J16" i="4" s="1"/>
  <c r="I20" i="4"/>
  <c r="J20" i="4" s="1"/>
  <c r="I22" i="4"/>
  <c r="J22" i="4" s="1"/>
  <c r="I14" i="4"/>
  <c r="J14" i="4" s="1"/>
  <c r="I10" i="4"/>
  <c r="J10" i="4" s="1"/>
  <c r="I8" i="4"/>
  <c r="J8" i="4" s="1"/>
  <c r="G28" i="50" s="1"/>
  <c r="I28" i="50" s="1"/>
  <c r="I18" i="4"/>
  <c r="J18" i="4" s="1"/>
  <c r="G32" i="50" s="1"/>
  <c r="I32" i="50" s="1"/>
  <c r="I19" i="4"/>
  <c r="J19" i="4" s="1"/>
  <c r="G39" i="50" s="1"/>
  <c r="I39" i="50" s="1"/>
  <c r="I5" i="4"/>
  <c r="J5" i="4" s="1"/>
  <c r="I17" i="4"/>
  <c r="J17" i="4" s="1"/>
  <c r="I15" i="4"/>
  <c r="J15" i="4" s="1"/>
  <c r="I11" i="4"/>
  <c r="J11" i="4" s="1"/>
  <c r="G27" i="50" s="1"/>
  <c r="I27" i="50" s="1"/>
  <c r="I13" i="4"/>
  <c r="J13" i="4" s="1"/>
  <c r="G19" i="50" s="1"/>
  <c r="I19" i="50" s="1"/>
  <c r="G24" i="50" l="1"/>
  <c r="K15" i="4"/>
  <c r="G18" i="50"/>
  <c r="K5" i="4"/>
  <c r="G17" i="50"/>
  <c r="K10" i="4"/>
  <c r="K20" i="4"/>
  <c r="G48" i="50"/>
  <c r="K6" i="4"/>
  <c r="G11" i="50"/>
  <c r="K24" i="4"/>
  <c r="K18" i="4"/>
  <c r="G49" i="50"/>
  <c r="K13" i="4"/>
  <c r="G21" i="50"/>
  <c r="K11" i="4"/>
  <c r="G30" i="50"/>
  <c r="K19" i="4"/>
  <c r="K14" i="4"/>
  <c r="G23" i="50"/>
  <c r="G22" i="50"/>
  <c r="K16" i="4"/>
  <c r="K7" i="4"/>
  <c r="G15" i="50"/>
  <c r="K22" i="4"/>
  <c r="K23" i="4"/>
  <c r="K25" i="4"/>
  <c r="K17" i="4"/>
  <c r="G20" i="50"/>
  <c r="G31" i="50"/>
  <c r="K8" i="4"/>
  <c r="K12" i="4"/>
  <c r="K9" i="4"/>
  <c r="G16" i="50"/>
  <c r="I31" i="50" l="1"/>
  <c r="I23" i="50"/>
  <c r="I21" i="50"/>
  <c r="I48" i="50"/>
  <c r="I16" i="50"/>
  <c r="I15" i="50"/>
  <c r="I30" i="50"/>
  <c r="J11" i="50"/>
  <c r="I11" i="50"/>
  <c r="H11" i="50"/>
  <c r="I17" i="50"/>
  <c r="I20" i="50"/>
  <c r="I22" i="50"/>
  <c r="K4" i="4"/>
  <c r="I49" i="50"/>
  <c r="I18" i="50"/>
  <c r="I24" i="50"/>
  <c r="H3" i="95" l="1"/>
  <c r="I1" i="95" s="1"/>
  <c r="I3" i="95" s="1"/>
  <c r="B1" i="50"/>
  <c r="Y12" i="4" l="1"/>
  <c r="Y6" i="1"/>
  <c r="Y12" i="1"/>
  <c r="Y17" i="1"/>
  <c r="Y23" i="1"/>
  <c r="Y5" i="1"/>
  <c r="Y11" i="1"/>
  <c r="Y16" i="1"/>
  <c r="Y22" i="1"/>
  <c r="Y22" i="4"/>
  <c r="Y7" i="1"/>
  <c r="Y14" i="1"/>
  <c r="Y19" i="1"/>
  <c r="Y25" i="4"/>
  <c r="Y10" i="1"/>
  <c r="Y15" i="1"/>
  <c r="Y20" i="1"/>
  <c r="Y10" i="4"/>
  <c r="Y10" i="137"/>
  <c r="Y6" i="137"/>
  <c r="Y7" i="137"/>
  <c r="O7" i="137" s="1"/>
  <c r="A7" i="137" s="1"/>
  <c r="Y8" i="137"/>
  <c r="Y9" i="137"/>
  <c r="N9" i="137" s="1"/>
  <c r="Y6" i="4"/>
  <c r="N6" i="137"/>
  <c r="O14" i="1"/>
  <c r="A14" i="1" s="1"/>
  <c r="N19" i="1"/>
  <c r="O11" i="1"/>
  <c r="A11" i="1" s="1"/>
  <c r="N12" i="4"/>
  <c r="O5" i="1"/>
  <c r="O6" i="1"/>
  <c r="A6" i="1" s="1"/>
  <c r="N23" i="1"/>
  <c r="O23" i="1"/>
  <c r="A23" i="1" s="1"/>
  <c r="O15" i="1"/>
  <c r="A15" i="1" s="1"/>
  <c r="N15" i="1"/>
  <c r="N20" i="1"/>
  <c r="O20" i="1"/>
  <c r="A20" i="1" s="1"/>
  <c r="O12" i="4"/>
  <c r="A12" i="4" s="1"/>
  <c r="N6" i="1"/>
  <c r="N17" i="1"/>
  <c r="O17" i="1"/>
  <c r="A17" i="1" s="1"/>
  <c r="N16" i="1"/>
  <c r="O16" i="1"/>
  <c r="A16" i="1" s="1"/>
  <c r="O19" i="1" l="1"/>
  <c r="A19" i="1" s="1"/>
  <c r="N14" i="1"/>
  <c r="N11" i="1"/>
  <c r="O6" i="4"/>
  <c r="A6" i="4" s="1"/>
  <c r="N10" i="137"/>
  <c r="N8" i="137"/>
  <c r="N5" i="1"/>
  <c r="O9" i="137"/>
  <c r="A9" i="137" s="1"/>
  <c r="O8" i="137"/>
  <c r="A8" i="137" s="1"/>
  <c r="N7" i="137"/>
  <c r="O6" i="137"/>
  <c r="A6" i="137" s="1"/>
  <c r="O10" i="137"/>
  <c r="A10" i="137" s="1"/>
  <c r="N6" i="4"/>
  <c r="A5" i="1"/>
  <c r="AV4" i="137" l="1"/>
  <c r="AU4" i="4"/>
  <c r="AG4" i="137" l="1"/>
  <c r="AN4" i="137"/>
  <c r="AM4" i="137"/>
  <c r="AL4" i="137"/>
  <c r="AS4" i="137"/>
  <c r="AK4" i="137"/>
  <c r="AJ4" i="137"/>
  <c r="AI4" i="137"/>
  <c r="AH4" i="137"/>
  <c r="AC4" i="137"/>
  <c r="AF4" i="137"/>
  <c r="AU4" i="137"/>
  <c r="AE4" i="137"/>
  <c r="AT4" i="137"/>
  <c r="AD4" i="137"/>
  <c r="AO4" i="137"/>
  <c r="AR4" i="137"/>
  <c r="AB4" i="137"/>
  <c r="AQ4" i="137"/>
  <c r="AA4" i="137"/>
  <c r="AP4" i="137"/>
  <c r="Z4" i="137"/>
  <c r="AR4" i="1"/>
  <c r="AB4" i="1"/>
  <c r="AQ4" i="1"/>
  <c r="AA4" i="1"/>
  <c r="AP4" i="1"/>
  <c r="Z4" i="1"/>
  <c r="AS4" i="1"/>
  <c r="AG4" i="1"/>
  <c r="AN4" i="1"/>
  <c r="AM4" i="1"/>
  <c r="AL4" i="1"/>
  <c r="AC4" i="1"/>
  <c r="AK4" i="1"/>
  <c r="AJ4" i="1"/>
  <c r="AI4" i="1"/>
  <c r="AH4" i="1"/>
  <c r="AO4" i="1"/>
  <c r="AF4" i="1"/>
  <c r="AU4" i="1"/>
  <c r="AE4" i="1"/>
  <c r="AT4" i="1"/>
  <c r="AD4" i="1"/>
  <c r="AO4" i="4"/>
  <c r="AK4" i="4"/>
  <c r="AJ4" i="4"/>
  <c r="AQ4" i="4"/>
  <c r="AA4" i="4"/>
  <c r="AP4" i="4"/>
  <c r="Z4" i="4"/>
  <c r="AN4" i="4"/>
  <c r="AG4" i="4"/>
  <c r="AC4" i="4"/>
  <c r="AB4" i="4"/>
  <c r="AM4" i="4"/>
  <c r="AL4" i="4"/>
  <c r="AF4" i="4"/>
  <c r="AI4" i="4"/>
  <c r="AH4" i="4"/>
  <c r="AS4" i="4"/>
  <c r="AR4" i="4"/>
  <c r="AE4" i="4"/>
  <c r="AT4" i="4"/>
  <c r="AD4" i="4"/>
  <c r="AV4" i="1"/>
  <c r="AV4" i="4"/>
  <c r="O25" i="4" l="1"/>
  <c r="A25" i="4" s="1"/>
  <c r="N25" i="4"/>
  <c r="N22" i="1" l="1"/>
  <c r="O22" i="1"/>
  <c r="A22" i="1" s="1"/>
  <c r="N12" i="1"/>
  <c r="O12" i="1"/>
  <c r="A12" i="1" s="1"/>
  <c r="O22" i="4"/>
  <c r="A22" i="4" s="1"/>
  <c r="N22" i="4"/>
  <c r="O10" i="1"/>
  <c r="A10" i="1" s="1"/>
  <c r="N10" i="1"/>
  <c r="O7" i="1"/>
  <c r="R4" i="1"/>
  <c r="N7" i="1"/>
  <c r="O10" i="4"/>
  <c r="A10" i="4" s="1"/>
  <c r="N10" i="4"/>
  <c r="S4" i="137" l="1"/>
  <c r="R4" i="137"/>
  <c r="R4" i="4"/>
  <c r="A7" i="1"/>
  <c r="T4" i="137" l="1"/>
  <c r="T4" i="1"/>
  <c r="S4" i="1"/>
  <c r="S4" i="4"/>
  <c r="V4" i="137" l="1"/>
  <c r="U4" i="150"/>
  <c r="U4" i="4"/>
  <c r="U4" i="1"/>
  <c r="U4" i="137"/>
  <c r="T4" i="4"/>
  <c r="T4" i="150"/>
  <c r="W4" i="1" l="1"/>
  <c r="W4" i="137"/>
  <c r="V4" i="4"/>
  <c r="V4" i="150"/>
  <c r="V4" i="1"/>
  <c r="W4" i="4" l="1"/>
  <c r="W4" i="150"/>
  <c r="X4" i="137" l="1"/>
  <c r="AM24" i="50"/>
  <c r="N15" i="50"/>
  <c r="V49" i="50"/>
  <c r="AJ21" i="50"/>
  <c r="T41" i="50"/>
  <c r="AT27" i="50"/>
  <c r="AV47" i="50"/>
  <c r="AM12" i="50"/>
  <c r="T31" i="50"/>
  <c r="AL15" i="50"/>
  <c r="BB5" i="50"/>
  <c r="AF43" i="50"/>
  <c r="AD24" i="50"/>
  <c r="N16" i="50"/>
  <c r="L13" i="50"/>
  <c r="U36" i="50"/>
  <c r="AI12" i="50"/>
  <c r="AI18" i="50"/>
  <c r="Q13" i="50"/>
  <c r="AQ26" i="50"/>
  <c r="AP31" i="50"/>
  <c r="AX30" i="50"/>
  <c r="AA34" i="50"/>
  <c r="Q23" i="50"/>
  <c r="AK29" i="50"/>
  <c r="BA20" i="50"/>
  <c r="BC27" i="50"/>
  <c r="AO15" i="50"/>
  <c r="AV23" i="50"/>
  <c r="AV12" i="50"/>
  <c r="Q50" i="50"/>
  <c r="T47" i="50"/>
  <c r="AE52" i="50"/>
  <c r="AQ51" i="50"/>
  <c r="AM16" i="50"/>
  <c r="BB18" i="50"/>
  <c r="N52" i="50"/>
  <c r="AD37" i="50"/>
  <c r="AY46" i="50"/>
  <c r="L23" i="50"/>
  <c r="AS42" i="50"/>
  <c r="AA35" i="50"/>
  <c r="AG25" i="50"/>
  <c r="BA32" i="50"/>
  <c r="AM49" i="50"/>
  <c r="Z46" i="50"/>
  <c r="AL37" i="50"/>
  <c r="AJ24" i="50"/>
  <c r="T35" i="50"/>
  <c r="AG28" i="50"/>
  <c r="X27" i="50"/>
  <c r="Q32" i="50"/>
  <c r="AN50" i="50"/>
  <c r="AT38" i="50"/>
  <c r="BA39" i="50"/>
  <c r="AK40" i="50"/>
  <c r="L14" i="50"/>
  <c r="AI38" i="50"/>
  <c r="AS18" i="50"/>
  <c r="AB30" i="50"/>
  <c r="AA45" i="50"/>
  <c r="AF15" i="50"/>
  <c r="AK12" i="50"/>
  <c r="AI16" i="50"/>
  <c r="O51" i="50"/>
  <c r="AI43" i="50"/>
  <c r="M52" i="50"/>
  <c r="AU12" i="50"/>
  <c r="AU37" i="50"/>
  <c r="AZ39" i="50"/>
  <c r="Y43" i="50"/>
  <c r="X31" i="50"/>
  <c r="BA48" i="50"/>
  <c r="AE14" i="50"/>
  <c r="AA51" i="50"/>
  <c r="S39" i="50"/>
  <c r="AY52" i="50"/>
  <c r="N19" i="50"/>
  <c r="AS44" i="50"/>
  <c r="AE45" i="50"/>
  <c r="AB37" i="50"/>
  <c r="N38" i="50"/>
  <c r="Q20" i="50"/>
  <c r="AQ24" i="50"/>
  <c r="AQ16" i="50"/>
  <c r="N13" i="50"/>
  <c r="S18" i="50"/>
  <c r="BA42" i="50"/>
  <c r="AN43" i="50"/>
  <c r="V39" i="50"/>
  <c r="AC44" i="50"/>
  <c r="N5" i="50"/>
  <c r="AM47" i="50"/>
  <c r="AA42" i="50"/>
  <c r="BB20" i="50"/>
  <c r="P49" i="50"/>
  <c r="AP37" i="50"/>
  <c r="AT22" i="50"/>
  <c r="AB16" i="50"/>
  <c r="AD44" i="50"/>
  <c r="AM39" i="50"/>
  <c r="AP41" i="50"/>
  <c r="AK5" i="50"/>
  <c r="R49" i="50"/>
  <c r="AI50" i="50"/>
  <c r="P24" i="50"/>
  <c r="V19" i="50"/>
  <c r="AF48" i="50"/>
  <c r="AP16" i="50"/>
  <c r="AT29" i="50"/>
  <c r="AC42" i="50"/>
  <c r="AP18" i="50"/>
  <c r="AI19" i="50"/>
  <c r="BA30" i="50"/>
  <c r="AB40" i="50"/>
  <c r="N48" i="50"/>
  <c r="AJ48" i="50"/>
  <c r="AE34" i="50"/>
  <c r="M23" i="50"/>
  <c r="AT37" i="50"/>
  <c r="BC23" i="50"/>
  <c r="N36" i="50"/>
  <c r="V27" i="50"/>
  <c r="V52" i="50"/>
  <c r="AK18" i="50"/>
  <c r="AB44" i="50"/>
  <c r="AL47" i="50"/>
  <c r="BB22" i="50"/>
  <c r="T21" i="50"/>
  <c r="AS43" i="50"/>
  <c r="AL45" i="50"/>
  <c r="X47" i="50"/>
  <c r="AL48" i="50"/>
  <c r="U4" i="50"/>
  <c r="AK24" i="50"/>
  <c r="BA18" i="50"/>
  <c r="AD35" i="50"/>
  <c r="V41" i="50"/>
  <c r="AC18" i="50"/>
  <c r="AD18" i="50"/>
  <c r="P42" i="50"/>
  <c r="AZ38" i="50"/>
  <c r="O32" i="50"/>
  <c r="AI24" i="50"/>
  <c r="R46" i="50"/>
  <c r="AR49" i="50"/>
  <c r="W13" i="50"/>
  <c r="Q21" i="50"/>
  <c r="AP32" i="50"/>
  <c r="X16" i="50"/>
  <c r="P12" i="50"/>
  <c r="O37" i="50"/>
  <c r="AO41" i="50"/>
  <c r="AO30" i="50"/>
  <c r="AX41" i="50"/>
  <c r="Y26" i="50"/>
  <c r="W17" i="50"/>
  <c r="AV22" i="50"/>
  <c r="AD20" i="50"/>
  <c r="AU22" i="50"/>
  <c r="X29" i="50"/>
  <c r="AV25" i="50"/>
  <c r="V34" i="50"/>
  <c r="AB15" i="50"/>
  <c r="U43" i="50"/>
  <c r="AP15" i="50"/>
  <c r="V26" i="50"/>
  <c r="AY31" i="50"/>
  <c r="AC20" i="50"/>
  <c r="R24" i="50"/>
  <c r="AE40" i="50"/>
  <c r="AZ27" i="50"/>
  <c r="AP45" i="50"/>
  <c r="AX12" i="50"/>
  <c r="T34" i="50"/>
  <c r="AV5" i="50"/>
  <c r="AD42" i="50"/>
  <c r="AB23" i="50"/>
  <c r="AG45" i="50"/>
  <c r="AC19" i="50"/>
  <c r="AU48" i="50"/>
  <c r="P35" i="50"/>
  <c r="S26" i="50"/>
  <c r="AH24" i="50"/>
  <c r="AT13" i="50"/>
  <c r="AW29" i="50"/>
  <c r="AU40" i="50"/>
  <c r="X40" i="50"/>
  <c r="Z26" i="50"/>
  <c r="AZ29" i="50"/>
  <c r="AC46" i="50"/>
  <c r="W16" i="50"/>
  <c r="AF27" i="50"/>
  <c r="AW31" i="50"/>
  <c r="AN45" i="50"/>
  <c r="N26" i="50"/>
  <c r="O36" i="50"/>
  <c r="AW50" i="50"/>
  <c r="AH20" i="50"/>
  <c r="AO50" i="50"/>
  <c r="V28" i="50"/>
  <c r="AG16" i="50"/>
  <c r="X21" i="50"/>
  <c r="S24" i="50"/>
  <c r="AD21" i="50"/>
  <c r="S35" i="50"/>
  <c r="S17" i="50"/>
  <c r="Z18" i="50"/>
  <c r="BB29" i="50"/>
  <c r="AI20" i="50"/>
  <c r="AD13" i="50"/>
  <c r="AE4" i="50"/>
  <c r="AT20" i="50"/>
  <c r="AH42" i="50"/>
  <c r="AN29" i="50"/>
  <c r="AX26" i="50"/>
  <c r="BA26" i="50"/>
  <c r="AI26" i="50"/>
  <c r="O35" i="50"/>
  <c r="T30" i="50"/>
  <c r="N43" i="50"/>
  <c r="AV24" i="50"/>
  <c r="P31" i="50"/>
  <c r="AD50" i="50"/>
  <c r="AF52" i="50"/>
  <c r="AH35" i="50"/>
  <c r="AB13" i="50"/>
  <c r="AK43" i="50"/>
  <c r="AA46" i="50"/>
  <c r="U20" i="50"/>
  <c r="S37" i="50"/>
  <c r="AR40" i="50"/>
  <c r="AX19" i="50"/>
  <c r="AY45" i="50"/>
  <c r="R36" i="50"/>
  <c r="Z25" i="50"/>
  <c r="Y25" i="50"/>
  <c r="AL16" i="50"/>
  <c r="BB34" i="50"/>
  <c r="BA40" i="50"/>
  <c r="BB43" i="50"/>
  <c r="X37" i="50"/>
  <c r="AV20" i="50"/>
  <c r="L51" i="50"/>
  <c r="AS51" i="50"/>
  <c r="AF50" i="50"/>
  <c r="R51" i="50"/>
  <c r="X22" i="50"/>
  <c r="AM41" i="50"/>
  <c r="Z23" i="50"/>
  <c r="M4" i="50"/>
  <c r="AC48" i="50"/>
  <c r="AU45" i="50"/>
  <c r="AH18" i="50"/>
  <c r="Z40" i="50"/>
  <c r="AM33" i="50"/>
  <c r="AC22" i="50"/>
  <c r="AE18" i="50"/>
  <c r="AJ46" i="50"/>
  <c r="BA35" i="50"/>
  <c r="Y31" i="50"/>
  <c r="AU24" i="50"/>
  <c r="X15" i="50"/>
  <c r="BB50" i="50"/>
  <c r="AT25" i="50"/>
  <c r="V15" i="50"/>
  <c r="AI42" i="50"/>
  <c r="N31" i="50"/>
  <c r="AF14" i="50"/>
  <c r="AG36" i="50"/>
  <c r="AI48" i="50"/>
  <c r="Z24" i="50"/>
  <c r="AY19" i="50"/>
  <c r="AT40" i="50"/>
  <c r="BB24" i="50"/>
  <c r="AB31" i="50"/>
  <c r="AZ24" i="50"/>
  <c r="Z51" i="50"/>
  <c r="AL40" i="50"/>
  <c r="AY28" i="50"/>
  <c r="AX16" i="50"/>
  <c r="AR24" i="50"/>
  <c r="BB37" i="50"/>
  <c r="BA45" i="50"/>
  <c r="AR23" i="50"/>
  <c r="AQ4" i="50"/>
  <c r="Q49" i="50"/>
  <c r="R48" i="50"/>
  <c r="AN48" i="50"/>
  <c r="AG4" i="50"/>
  <c r="AN51" i="50"/>
  <c r="U13" i="50"/>
  <c r="AR41" i="50"/>
  <c r="Z39" i="50"/>
  <c r="M29" i="50"/>
  <c r="AB33" i="50"/>
  <c r="AR50" i="50"/>
  <c r="AT26" i="50"/>
  <c r="W4" i="50"/>
  <c r="Y5" i="50"/>
  <c r="Z12" i="50"/>
  <c r="AT16" i="50"/>
  <c r="AC38" i="50"/>
  <c r="X32" i="50"/>
  <c r="L36" i="50"/>
  <c r="BC40" i="50"/>
  <c r="AU34" i="50"/>
  <c r="Q42" i="50"/>
  <c r="AZ51" i="50"/>
  <c r="O22" i="50"/>
  <c r="AX5" i="50"/>
  <c r="W51" i="50"/>
  <c r="AJ33" i="50"/>
  <c r="U41" i="50"/>
  <c r="AI47" i="50"/>
  <c r="BC13" i="50"/>
  <c r="AI37" i="50"/>
  <c r="AO27" i="50"/>
  <c r="N12" i="50"/>
  <c r="AY30" i="50"/>
  <c r="AC23" i="50"/>
  <c r="AT5" i="50"/>
  <c r="AB46" i="50"/>
  <c r="AB25" i="50"/>
  <c r="L24" i="50"/>
  <c r="AV30" i="50"/>
  <c r="AP40" i="50"/>
  <c r="AM4" i="50"/>
  <c r="S32" i="50"/>
  <c r="R52" i="50"/>
  <c r="AT19" i="50"/>
  <c r="T44" i="50"/>
  <c r="AU26" i="50"/>
  <c r="Y14" i="50"/>
  <c r="S22" i="50"/>
  <c r="V38" i="50"/>
  <c r="AX46" i="50"/>
  <c r="N37" i="50"/>
  <c r="AD12" i="50"/>
  <c r="V25" i="50"/>
  <c r="AW33" i="50"/>
  <c r="Q5" i="50"/>
  <c r="W28" i="50"/>
  <c r="N46" i="50"/>
  <c r="AD33" i="50"/>
  <c r="R26" i="50"/>
  <c r="AU39" i="50"/>
  <c r="AA22" i="50"/>
  <c r="M48" i="50"/>
  <c r="L39" i="50"/>
  <c r="AI39" i="50"/>
  <c r="AD25" i="50"/>
  <c r="AN34" i="50"/>
  <c r="T50" i="50"/>
  <c r="AU41" i="50"/>
  <c r="AY24" i="50"/>
  <c r="AO24" i="50"/>
  <c r="O4" i="50"/>
  <c r="P37" i="50"/>
  <c r="AL41" i="50"/>
  <c r="AC34" i="50"/>
  <c r="AT36" i="50"/>
  <c r="W15" i="50"/>
  <c r="AE13" i="50"/>
  <c r="AO34" i="50"/>
  <c r="AX47" i="50"/>
  <c r="AZ19" i="50"/>
  <c r="AG41" i="50"/>
  <c r="AM35" i="50"/>
  <c r="W42" i="50"/>
  <c r="T49" i="50"/>
  <c r="AR43" i="50"/>
  <c r="U16" i="50"/>
  <c r="AL21" i="50"/>
  <c r="P17" i="50"/>
  <c r="BC24" i="50"/>
  <c r="AQ34" i="50"/>
  <c r="AP22" i="50"/>
  <c r="AK21" i="50"/>
  <c r="AH46" i="50"/>
  <c r="AL30" i="50"/>
  <c r="O27" i="50"/>
  <c r="Z16" i="50"/>
  <c r="V45" i="50"/>
  <c r="AW5" i="50"/>
  <c r="AY49" i="50"/>
  <c r="Y45" i="50"/>
  <c r="AO26" i="50"/>
  <c r="AB19" i="50"/>
  <c r="T4" i="50"/>
  <c r="Q19" i="50"/>
  <c r="AF16" i="50"/>
  <c r="V24" i="50"/>
  <c r="BC14" i="50"/>
  <c r="Z36" i="50"/>
  <c r="AB50" i="50"/>
  <c r="BA44" i="50"/>
  <c r="AJ12" i="50"/>
  <c r="AV41" i="50"/>
  <c r="BB36" i="50"/>
  <c r="AT50" i="50"/>
  <c r="AU14" i="50"/>
  <c r="R20" i="50"/>
  <c r="Q38" i="50"/>
  <c r="AV43" i="50"/>
  <c r="Z4" i="50"/>
  <c r="AU31" i="50"/>
  <c r="AD39" i="50"/>
  <c r="BC39" i="50"/>
  <c r="S43" i="50"/>
  <c r="AE27" i="50"/>
  <c r="AK15" i="50"/>
  <c r="AF33" i="50"/>
  <c r="W39" i="50"/>
  <c r="U48" i="50"/>
  <c r="S19" i="50"/>
  <c r="BB49" i="50"/>
  <c r="AL36" i="50"/>
  <c r="AO17" i="50"/>
  <c r="AS49" i="50"/>
  <c r="AF35" i="50"/>
  <c r="AB21" i="50"/>
  <c r="AY26" i="50"/>
  <c r="AO31" i="50"/>
  <c r="AU19" i="50"/>
  <c r="X25" i="50"/>
  <c r="U32" i="50"/>
  <c r="P45" i="50"/>
  <c r="AG5" i="50"/>
  <c r="AK16" i="50"/>
  <c r="AC12" i="50"/>
  <c r="AW37" i="50"/>
  <c r="BC33" i="50"/>
  <c r="Z20" i="50"/>
  <c r="AH36" i="50"/>
  <c r="Z30" i="50"/>
  <c r="AK22" i="50"/>
  <c r="BA27" i="50"/>
  <c r="AN20" i="50"/>
  <c r="AN42" i="50"/>
  <c r="R13" i="50"/>
  <c r="AT45" i="50"/>
  <c r="L12" i="50"/>
  <c r="AZ37" i="50"/>
  <c r="U25" i="50"/>
  <c r="AD29" i="50"/>
  <c r="AN33" i="50"/>
  <c r="AC27" i="50"/>
  <c r="R21" i="50"/>
  <c r="AN37" i="50"/>
  <c r="W48" i="50"/>
  <c r="AI31" i="50"/>
  <c r="Q44" i="50"/>
  <c r="AS30" i="50"/>
  <c r="W27" i="50"/>
  <c r="AK39" i="50"/>
  <c r="U22" i="50"/>
  <c r="AK26" i="50"/>
  <c r="AH38" i="50"/>
  <c r="X48" i="50"/>
  <c r="R29" i="50"/>
  <c r="AS28" i="50"/>
  <c r="T14" i="50"/>
  <c r="AV13" i="50"/>
  <c r="X14" i="50"/>
  <c r="AI15" i="50"/>
  <c r="V47" i="50"/>
  <c r="P4" i="50"/>
  <c r="V48" i="50"/>
  <c r="AY25" i="50"/>
  <c r="AM38" i="50"/>
  <c r="AG24" i="50"/>
  <c r="AJ32" i="50"/>
  <c r="AQ37" i="50"/>
  <c r="AH15" i="50"/>
  <c r="AW25" i="50"/>
  <c r="AV27" i="50"/>
  <c r="AU28" i="50"/>
  <c r="AC33" i="50"/>
  <c r="BB40" i="50"/>
  <c r="AA26" i="50"/>
  <c r="AZ21" i="50"/>
  <c r="AB52" i="50"/>
  <c r="AE25" i="50"/>
  <c r="M25" i="50"/>
  <c r="AU4" i="50"/>
  <c r="W52" i="50"/>
  <c r="AO38" i="50"/>
  <c r="BB12" i="50"/>
  <c r="M17" i="50"/>
  <c r="AD36" i="50"/>
  <c r="AL29" i="50"/>
  <c r="AX29" i="50"/>
  <c r="AV16" i="50"/>
  <c r="AQ12" i="50"/>
  <c r="AL25" i="50"/>
  <c r="AK51" i="50"/>
  <c r="AW35" i="50"/>
  <c r="M50" i="50"/>
  <c r="AQ47" i="50"/>
  <c r="AL35" i="50"/>
  <c r="R25" i="50"/>
  <c r="AX52" i="50"/>
  <c r="AU20" i="50"/>
  <c r="AZ14" i="50"/>
  <c r="AV40" i="50"/>
  <c r="AP12" i="50"/>
  <c r="AC47" i="50"/>
  <c r="AY5" i="50"/>
  <c r="AF45" i="50"/>
  <c r="M36" i="50"/>
  <c r="Q46" i="50"/>
  <c r="AA29" i="50"/>
  <c r="AJ14" i="50"/>
  <c r="Z50" i="50"/>
  <c r="AI33" i="50"/>
  <c r="O28" i="50"/>
  <c r="AJ52" i="50"/>
  <c r="AR31" i="50"/>
  <c r="AG40" i="50"/>
  <c r="AB17" i="50"/>
  <c r="AE39" i="50"/>
  <c r="AK35" i="50"/>
  <c r="BC37" i="50"/>
  <c r="AZ41" i="50"/>
  <c r="AL18" i="50"/>
  <c r="U17" i="50"/>
  <c r="X18" i="50"/>
  <c r="W40" i="50"/>
  <c r="AB48" i="50"/>
  <c r="BA23" i="50"/>
  <c r="AA43" i="50"/>
  <c r="BC45" i="50"/>
  <c r="AC13" i="50"/>
  <c r="AD5" i="50"/>
  <c r="T19" i="50"/>
  <c r="AV21" i="50"/>
  <c r="AT41" i="50"/>
  <c r="Z42" i="50"/>
  <c r="P51" i="50"/>
  <c r="S46" i="50"/>
  <c r="AJ28" i="50"/>
  <c r="Y20" i="50"/>
  <c r="AW32" i="50"/>
  <c r="AN32" i="50"/>
  <c r="BA5" i="50"/>
  <c r="AV42" i="50"/>
  <c r="AC15" i="50"/>
  <c r="AS27" i="50"/>
  <c r="Q16" i="50"/>
  <c r="V37" i="50"/>
  <c r="AZ26" i="50"/>
  <c r="AD38" i="50"/>
  <c r="AN30" i="50"/>
  <c r="AS19" i="50"/>
  <c r="AC32" i="50"/>
  <c r="AY51" i="50"/>
  <c r="R23" i="50"/>
  <c r="AT32" i="50"/>
  <c r="BB25" i="50"/>
  <c r="AG47" i="50"/>
  <c r="AI34" i="50"/>
  <c r="Q33" i="50"/>
  <c r="V43" i="50"/>
  <c r="AB51" i="50"/>
  <c r="AE46" i="50"/>
  <c r="T48" i="50"/>
  <c r="Q35" i="50"/>
  <c r="X41" i="50"/>
  <c r="T38" i="50"/>
  <c r="AA27" i="50"/>
  <c r="AC26" i="50"/>
  <c r="AS21" i="50"/>
  <c r="Y28" i="50"/>
  <c r="V44" i="50"/>
  <c r="R18" i="50"/>
  <c r="AP14" i="50"/>
  <c r="AL23" i="50"/>
  <c r="AT43" i="50"/>
  <c r="AX23" i="50"/>
  <c r="X36" i="50"/>
  <c r="AK36" i="50"/>
  <c r="Z45" i="50"/>
  <c r="W14" i="50"/>
  <c r="V33" i="50"/>
  <c r="U24" i="50"/>
  <c r="AA38" i="50"/>
  <c r="AN35" i="50"/>
  <c r="BB45" i="50"/>
  <c r="Y41" i="50"/>
  <c r="N20" i="50"/>
  <c r="AE26" i="50"/>
  <c r="AJ25" i="50"/>
  <c r="AI40" i="50"/>
  <c r="L45" i="50"/>
  <c r="T13" i="50"/>
  <c r="AZ31" i="50"/>
  <c r="AJ17" i="50"/>
  <c r="AH14" i="50"/>
  <c r="O47" i="50"/>
  <c r="Y32" i="50"/>
  <c r="Q29" i="50"/>
  <c r="AP50" i="50"/>
  <c r="AA33" i="50"/>
  <c r="AQ36" i="50"/>
  <c r="W35" i="50"/>
  <c r="W41" i="50"/>
  <c r="L22" i="50"/>
  <c r="AO52" i="50"/>
  <c r="AL44" i="50"/>
  <c r="X35" i="50"/>
  <c r="AT46" i="50"/>
  <c r="Z21" i="50"/>
  <c r="AX49" i="50"/>
  <c r="S45" i="50"/>
  <c r="AE16" i="50"/>
  <c r="AH34" i="50"/>
  <c r="AR20" i="50"/>
  <c r="AP47" i="50"/>
  <c r="X28" i="50"/>
  <c r="AB20" i="50"/>
  <c r="AR25" i="50"/>
  <c r="Y44" i="50"/>
  <c r="AX15" i="50"/>
  <c r="AJ38" i="50"/>
  <c r="BA28" i="50"/>
  <c r="AW17" i="50"/>
  <c r="V51" i="50"/>
  <c r="AG35" i="50"/>
  <c r="BC43" i="50"/>
  <c r="AH21" i="50"/>
  <c r="Z33" i="50"/>
  <c r="P19" i="50"/>
  <c r="AD43" i="50"/>
  <c r="AG31" i="50"/>
  <c r="N47" i="50"/>
  <c r="AB47" i="50"/>
  <c r="AD28" i="50"/>
  <c r="S16" i="50"/>
  <c r="AM28" i="50"/>
  <c r="U29" i="50"/>
  <c r="U46" i="50"/>
  <c r="BA31" i="50"/>
  <c r="AM42" i="50"/>
  <c r="AH27" i="50"/>
  <c r="AW12" i="50"/>
  <c r="AN38" i="50"/>
  <c r="AE47" i="50"/>
  <c r="AN4" i="50"/>
  <c r="AG37" i="50"/>
  <c r="AW51" i="50"/>
  <c r="Z28" i="50"/>
  <c r="Z13" i="50"/>
  <c r="AD49" i="50"/>
  <c r="AC14" i="50"/>
  <c r="P27" i="50"/>
  <c r="AI13" i="50"/>
  <c r="AX20" i="50"/>
  <c r="AO21" i="50"/>
  <c r="AR33" i="50"/>
  <c r="L21" i="50"/>
  <c r="AT24" i="50"/>
  <c r="T17" i="50"/>
  <c r="AV19" i="50"/>
  <c r="AS22" i="50"/>
  <c r="AO28" i="50"/>
  <c r="R50" i="50"/>
  <c r="BC30" i="50"/>
  <c r="AI49" i="50"/>
  <c r="AY50" i="50"/>
  <c r="AZ49" i="50"/>
  <c r="AL22" i="50"/>
  <c r="AL12" i="50"/>
  <c r="AZ22" i="50"/>
  <c r="S23" i="50"/>
  <c r="AX24" i="50"/>
  <c r="AH26" i="50"/>
  <c r="X13" i="50"/>
  <c r="AC45" i="50"/>
  <c r="L37" i="50"/>
  <c r="AW52" i="50"/>
  <c r="AM18" i="50"/>
  <c r="AR28" i="50"/>
  <c r="BB21" i="50"/>
  <c r="U23" i="50"/>
  <c r="AY22" i="50"/>
  <c r="S28" i="50"/>
  <c r="AX28" i="50"/>
  <c r="AH23" i="50"/>
  <c r="AT33" i="50"/>
  <c r="U12" i="50"/>
  <c r="P40" i="50"/>
  <c r="S49" i="50"/>
  <c r="AR22" i="50"/>
  <c r="S15" i="50"/>
  <c r="AA25" i="50"/>
  <c r="BB15" i="50"/>
  <c r="AW43" i="50"/>
  <c r="AZ15" i="50"/>
  <c r="AP28" i="50"/>
  <c r="AT51" i="50"/>
  <c r="U50" i="50"/>
  <c r="AW20" i="50"/>
  <c r="AW36" i="50"/>
  <c r="N17" i="50"/>
  <c r="AH12" i="50"/>
  <c r="X46" i="50"/>
  <c r="AV14" i="50"/>
  <c r="X17" i="50"/>
  <c r="Y22" i="50"/>
  <c r="AJ23" i="50"/>
  <c r="AA50" i="50"/>
  <c r="AB38" i="50"/>
  <c r="AV32" i="50"/>
  <c r="AX45" i="50"/>
  <c r="AW27" i="50"/>
  <c r="AE5" i="50"/>
  <c r="AR17" i="50"/>
  <c r="AG19" i="50"/>
  <c r="O13" i="50"/>
  <c r="AE20" i="50"/>
  <c r="V46" i="50"/>
  <c r="Q40" i="50"/>
  <c r="AY33" i="50"/>
  <c r="M33" i="50"/>
  <c r="P34" i="50"/>
  <c r="AL32" i="50"/>
  <c r="M21" i="50"/>
  <c r="AT44" i="50"/>
  <c r="AD40" i="50"/>
  <c r="AJ41" i="50"/>
  <c r="V32" i="50"/>
  <c r="AA44" i="50"/>
  <c r="R5" i="50"/>
  <c r="AJ22" i="50"/>
  <c r="W36" i="50"/>
  <c r="M44" i="50"/>
  <c r="BB16" i="50"/>
  <c r="AR34" i="50"/>
  <c r="AT23" i="50"/>
  <c r="AK4" i="50"/>
  <c r="AS12" i="50"/>
  <c r="Y33" i="50"/>
  <c r="S50" i="50"/>
  <c r="Z41" i="50"/>
  <c r="R4" i="50"/>
  <c r="AI14" i="50"/>
  <c r="BC48" i="50"/>
  <c r="AW44" i="50"/>
  <c r="O23" i="50"/>
  <c r="AF36" i="50"/>
  <c r="AE30" i="50"/>
  <c r="BB52" i="50"/>
  <c r="AY14" i="50"/>
  <c r="V29" i="50"/>
  <c r="AK41" i="50"/>
  <c r="N21" i="50"/>
  <c r="V36" i="50"/>
  <c r="BC44" i="50"/>
  <c r="BB47" i="50"/>
  <c r="AJ29" i="50"/>
  <c r="Z5" i="50"/>
  <c r="T29" i="50"/>
  <c r="AI36" i="50"/>
  <c r="AH50" i="50"/>
  <c r="AO5" i="50"/>
  <c r="Y37" i="50"/>
  <c r="AN40" i="50"/>
  <c r="P18" i="50"/>
  <c r="AA39" i="50"/>
  <c r="AB18" i="50"/>
  <c r="AH40" i="50"/>
  <c r="AT48" i="50"/>
  <c r="AF21" i="50"/>
  <c r="AC5" i="50"/>
  <c r="AG44" i="50"/>
  <c r="AH29" i="50"/>
  <c r="AO43" i="50"/>
  <c r="AW47" i="50"/>
  <c r="AH44" i="50"/>
  <c r="AA28" i="50"/>
  <c r="BC47" i="50"/>
  <c r="W31" i="50"/>
  <c r="P32" i="50"/>
  <c r="O41" i="50"/>
  <c r="AO47" i="50"/>
  <c r="AP46" i="50"/>
  <c r="BA37" i="50"/>
  <c r="AT14" i="50"/>
  <c r="AN46" i="50"/>
  <c r="AI4" i="50"/>
  <c r="AY37" i="50"/>
  <c r="AF47" i="50"/>
  <c r="W20" i="50"/>
  <c r="Q26" i="50"/>
  <c r="AA40" i="50"/>
  <c r="AF28" i="50"/>
  <c r="Y35" i="50"/>
  <c r="BA41" i="50"/>
  <c r="AG20" i="50"/>
  <c r="AI45" i="50"/>
  <c r="AQ48" i="50"/>
  <c r="P36" i="50"/>
  <c r="R31" i="50"/>
  <c r="X38" i="50"/>
  <c r="AD48" i="50"/>
  <c r="AV33" i="50"/>
  <c r="AX38" i="50"/>
  <c r="AK31" i="50"/>
  <c r="Q52" i="50"/>
  <c r="AE49" i="50"/>
  <c r="AE37" i="50"/>
  <c r="BA21" i="50"/>
  <c r="AR44" i="50"/>
  <c r="AH51" i="50"/>
  <c r="AD31" i="50"/>
  <c r="AP26" i="50"/>
  <c r="AD14" i="50"/>
  <c r="N24" i="50"/>
  <c r="AJ31" i="50"/>
  <c r="U45" i="50"/>
  <c r="AM44" i="50"/>
  <c r="AO46" i="50"/>
  <c r="AA37" i="50"/>
  <c r="AL27" i="50"/>
  <c r="L49" i="50"/>
  <c r="W30" i="50"/>
  <c r="Z43" i="50"/>
  <c r="AM46" i="50"/>
  <c r="N39" i="50"/>
  <c r="Y4" i="50"/>
  <c r="AQ46" i="50"/>
  <c r="S5" i="50"/>
  <c r="AP39" i="50"/>
  <c r="AU43" i="50"/>
  <c r="N33" i="50"/>
  <c r="AM23" i="50"/>
  <c r="AS46" i="50"/>
  <c r="AA23" i="50"/>
  <c r="AB28" i="50"/>
  <c r="AG46" i="50"/>
  <c r="AJ27" i="50"/>
  <c r="AH13" i="50"/>
  <c r="W5" i="50"/>
  <c r="AE50" i="50"/>
  <c r="AE51" i="50"/>
  <c r="AM31" i="50"/>
  <c r="AN47" i="50"/>
  <c r="AH52" i="50"/>
  <c r="AN17" i="50"/>
  <c r="O44" i="50"/>
  <c r="AR27" i="50"/>
  <c r="AA20" i="50"/>
  <c r="AD46" i="50"/>
  <c r="AK33" i="50"/>
  <c r="L41" i="50"/>
  <c r="AO35" i="50"/>
  <c r="AA5" i="50"/>
  <c r="BB26" i="50"/>
  <c r="AO39" i="50"/>
  <c r="P26" i="50"/>
  <c r="AG49" i="50"/>
  <c r="AZ25" i="50"/>
  <c r="R39" i="50"/>
  <c r="BA34" i="50"/>
  <c r="AF26" i="50"/>
  <c r="AM27" i="50"/>
  <c r="AD52" i="50"/>
  <c r="BC25" i="50"/>
  <c r="N14" i="50"/>
  <c r="R27" i="50"/>
  <c r="AB32" i="50"/>
  <c r="L25" i="50"/>
  <c r="AA30" i="50"/>
  <c r="AZ20" i="50"/>
  <c r="AQ35" i="50"/>
  <c r="X5" i="50"/>
  <c r="AE19" i="50"/>
  <c r="AT18" i="50"/>
  <c r="AW42" i="50"/>
  <c r="Z47" i="50"/>
  <c r="AM37" i="50"/>
  <c r="AI51" i="50"/>
  <c r="AS29" i="50"/>
  <c r="AD41" i="50"/>
  <c r="AA16" i="50"/>
  <c r="AP42" i="50"/>
  <c r="BC49" i="50"/>
  <c r="AT4" i="50"/>
  <c r="BC36" i="50"/>
  <c r="AK13" i="50"/>
  <c r="BB31" i="50"/>
  <c r="T36" i="50"/>
  <c r="AS4" i="50"/>
  <c r="AZ12" i="50"/>
  <c r="AP38" i="50"/>
  <c r="Q12" i="50"/>
  <c r="AR52" i="50"/>
  <c r="O15" i="50"/>
  <c r="AT12" i="50"/>
  <c r="BC29" i="50"/>
  <c r="AK47" i="50"/>
  <c r="AD4" i="50"/>
  <c r="U26" i="50"/>
  <c r="AL20" i="50"/>
  <c r="AQ32" i="50"/>
  <c r="AY17" i="50"/>
  <c r="AF30" i="50"/>
  <c r="AD23" i="50"/>
  <c r="BC21" i="50"/>
  <c r="BB44" i="50"/>
  <c r="O19" i="50"/>
  <c r="AU25" i="50"/>
  <c r="AN5" i="50"/>
  <c r="U14" i="50"/>
  <c r="Z34" i="50"/>
  <c r="AP49" i="50"/>
  <c r="U47" i="50"/>
  <c r="U28" i="50"/>
  <c r="R28" i="50"/>
  <c r="AC35" i="50"/>
  <c r="S33" i="50"/>
  <c r="AR36" i="50"/>
  <c r="AG50" i="50"/>
  <c r="AA13" i="50"/>
  <c r="BB51" i="50"/>
  <c r="M32" i="50"/>
  <c r="R41" i="50"/>
  <c r="AS23" i="50"/>
  <c r="P15" i="50"/>
  <c r="AP43" i="50"/>
  <c r="AG43" i="50"/>
  <c r="AS26" i="50"/>
  <c r="AB42" i="50"/>
  <c r="M51" i="50"/>
  <c r="M42" i="50"/>
  <c r="AR15" i="50"/>
  <c r="BA36" i="50"/>
  <c r="Q41" i="50"/>
  <c r="AC50" i="50"/>
  <c r="O43" i="50"/>
  <c r="AR26" i="50"/>
  <c r="AM50" i="50"/>
  <c r="AF46" i="50"/>
  <c r="AY35" i="50"/>
  <c r="AU27" i="50"/>
  <c r="AY21" i="50"/>
  <c r="AF32" i="50"/>
  <c r="X4" i="50"/>
  <c r="AC29" i="50"/>
  <c r="U51" i="50"/>
  <c r="BA19" i="50"/>
  <c r="M37" i="50"/>
  <c r="AG51" i="50"/>
  <c r="AL46" i="50"/>
  <c r="S41" i="50"/>
  <c r="AE22" i="50"/>
  <c r="AF22" i="50"/>
  <c r="AE41" i="50"/>
  <c r="AO20" i="50"/>
  <c r="V35" i="50"/>
  <c r="O24" i="50"/>
  <c r="M26" i="50"/>
  <c r="Y47" i="50"/>
  <c r="Q28" i="50"/>
  <c r="AU21" i="50"/>
  <c r="AI30" i="50"/>
  <c r="AS48" i="50"/>
  <c r="M27" i="50"/>
  <c r="L18" i="50"/>
  <c r="P39" i="50"/>
  <c r="AP33" i="50"/>
  <c r="AY36" i="50"/>
  <c r="AR18" i="50"/>
  <c r="W32" i="50"/>
  <c r="BB38" i="50"/>
  <c r="AF44" i="50"/>
  <c r="Y50" i="50"/>
  <c r="Y38" i="50"/>
  <c r="AP48" i="50"/>
  <c r="R30" i="50"/>
  <c r="AP25" i="50"/>
  <c r="AD30" i="50"/>
  <c r="AO37" i="50"/>
  <c r="AY34" i="50"/>
  <c r="O21" i="50"/>
  <c r="AF13" i="50"/>
  <c r="AS36" i="50"/>
  <c r="AK14" i="50"/>
  <c r="Y17" i="50"/>
  <c r="AJ35" i="50"/>
  <c r="AZ13" i="50"/>
  <c r="AR14" i="50"/>
  <c r="N35" i="50"/>
  <c r="AS32" i="50"/>
  <c r="AQ17" i="50"/>
  <c r="Q25" i="50"/>
  <c r="P52" i="50"/>
  <c r="Z44" i="50"/>
  <c r="AP29" i="50"/>
  <c r="AR45" i="50"/>
  <c r="R32" i="50"/>
  <c r="BB4" i="50"/>
  <c r="AJ4" i="50"/>
  <c r="S21" i="50"/>
  <c r="AE29" i="50"/>
  <c r="R43" i="50"/>
  <c r="BA33" i="50"/>
  <c r="AK19" i="50"/>
  <c r="M19" i="50"/>
  <c r="M38" i="50"/>
  <c r="BC26" i="50"/>
  <c r="AQ31" i="50"/>
  <c r="BA49" i="50"/>
  <c r="Y27" i="50"/>
  <c r="AF25" i="50"/>
  <c r="AR37" i="50"/>
  <c r="Q24" i="50"/>
  <c r="AN39" i="50"/>
  <c r="T43" i="50"/>
  <c r="W21" i="50"/>
  <c r="AL33" i="50"/>
  <c r="AF51" i="50"/>
  <c r="L5" i="50"/>
  <c r="AO14" i="50"/>
  <c r="AK17" i="50"/>
  <c r="AM25" i="50"/>
  <c r="AQ13" i="50"/>
  <c r="AI22" i="50"/>
  <c r="AQ49" i="50"/>
  <c r="AZ45" i="50"/>
  <c r="X39" i="50"/>
  <c r="AM20" i="50"/>
  <c r="AH45" i="50"/>
  <c r="Q14" i="50"/>
  <c r="AZ42" i="50"/>
  <c r="AQ18" i="50"/>
  <c r="AY41" i="50"/>
  <c r="AB34" i="50"/>
  <c r="L44" i="50"/>
  <c r="P44" i="50"/>
  <c r="AJ20" i="50"/>
  <c r="AR16" i="50"/>
  <c r="BA24" i="50"/>
  <c r="BC20" i="50"/>
  <c r="Y23" i="50"/>
  <c r="AJ43" i="50"/>
  <c r="AJ5" i="50"/>
  <c r="AH39" i="50"/>
  <c r="AF20" i="50"/>
  <c r="AE32" i="50"/>
  <c r="Y48" i="50"/>
  <c r="AK46" i="50"/>
  <c r="AM30" i="50"/>
  <c r="BC34" i="50"/>
  <c r="AO48" i="50"/>
  <c r="Q31" i="50"/>
  <c r="U15" i="50"/>
  <c r="AQ28" i="50"/>
  <c r="Y39" i="50"/>
  <c r="T42" i="50"/>
  <c r="P29" i="50"/>
  <c r="AK20" i="50"/>
  <c r="Z38" i="50"/>
  <c r="V4" i="50"/>
  <c r="AX32" i="50"/>
  <c r="AT42" i="50"/>
  <c r="AN15" i="50"/>
  <c r="O25" i="50"/>
  <c r="AV28" i="50"/>
  <c r="AM26" i="50"/>
  <c r="AW14" i="50"/>
  <c r="AO36" i="50"/>
  <c r="AF12" i="50"/>
  <c r="P13" i="50"/>
  <c r="L48" i="50"/>
  <c r="R45" i="50"/>
  <c r="AJ13" i="50"/>
  <c r="AL39" i="50"/>
  <c r="AA36" i="50"/>
  <c r="AG21" i="50"/>
  <c r="AG17" i="50"/>
  <c r="T23" i="50"/>
  <c r="BB35" i="50"/>
  <c r="AE43" i="50"/>
  <c r="AB24" i="50"/>
  <c r="AA47" i="50"/>
  <c r="AU18" i="50"/>
  <c r="T15" i="50"/>
  <c r="O38" i="50"/>
  <c r="AG38" i="50"/>
  <c r="AL19" i="50"/>
  <c r="AQ38" i="50"/>
  <c r="AR46" i="50"/>
  <c r="AM40" i="50"/>
  <c r="AN13" i="50"/>
  <c r="AR12" i="50"/>
  <c r="AW41" i="50"/>
  <c r="AX40" i="50"/>
  <c r="AK49" i="50"/>
  <c r="U39" i="50"/>
  <c r="S42" i="50"/>
  <c r="AX25" i="50"/>
  <c r="M35" i="50"/>
  <c r="N44" i="50"/>
  <c r="AA31" i="50"/>
  <c r="AF34" i="50"/>
  <c r="Q18" i="50"/>
  <c r="AP20" i="50"/>
  <c r="AJ47" i="50"/>
  <c r="AC4" i="50"/>
  <c r="AA21" i="50"/>
  <c r="BA38" i="50"/>
  <c r="S13" i="50"/>
  <c r="AH47" i="50"/>
  <c r="AV46" i="50"/>
  <c r="AO32" i="50"/>
  <c r="AG29" i="50"/>
  <c r="AA24" i="50"/>
  <c r="AG52" i="50"/>
  <c r="R37" i="50"/>
  <c r="AN27" i="50"/>
  <c r="U49" i="50"/>
  <c r="AM5" i="50"/>
  <c r="AA18" i="50"/>
  <c r="AW40" i="50"/>
  <c r="AT34" i="50"/>
  <c r="O20" i="50"/>
  <c r="Z31" i="50"/>
  <c r="W18" i="50"/>
  <c r="AX37" i="50"/>
  <c r="O45" i="50"/>
  <c r="AP52" i="50"/>
  <c r="BA14" i="50"/>
  <c r="AM22" i="50"/>
  <c r="R38" i="50"/>
  <c r="AV29" i="50"/>
  <c r="X49" i="50"/>
  <c r="U42" i="50"/>
  <c r="W23" i="50"/>
  <c r="AL17" i="50"/>
  <c r="AX42" i="50"/>
  <c r="X52" i="50"/>
  <c r="AV31" i="50"/>
  <c r="V20" i="50"/>
  <c r="T5" i="50"/>
  <c r="AP51" i="50"/>
  <c r="AR4" i="50"/>
  <c r="AG22" i="50"/>
  <c r="AA4" i="50"/>
  <c r="Y16" i="50"/>
  <c r="AH19" i="50"/>
  <c r="T51" i="50"/>
  <c r="AQ45" i="50"/>
  <c r="AO19" i="50"/>
  <c r="AZ18" i="50"/>
  <c r="AQ14" i="50"/>
  <c r="AD45" i="50"/>
  <c r="U35" i="50"/>
  <c r="AA17" i="50"/>
  <c r="AB41" i="50"/>
  <c r="T20" i="50"/>
  <c r="L43" i="50"/>
  <c r="AW28" i="50"/>
  <c r="BC28" i="50"/>
  <c r="AP17" i="50"/>
  <c r="AO12" i="50"/>
  <c r="BB23" i="50"/>
  <c r="AV34" i="50"/>
  <c r="N40" i="50"/>
  <c r="N32" i="50"/>
  <c r="AV26" i="50"/>
  <c r="AW4" i="50"/>
  <c r="P33" i="50"/>
  <c r="AD47" i="50"/>
  <c r="AZ40" i="50"/>
  <c r="AP24" i="50"/>
  <c r="O30" i="50"/>
  <c r="AZ5" i="50"/>
  <c r="BB19" i="50"/>
  <c r="BC5" i="50"/>
  <c r="BC22" i="50"/>
  <c r="X20" i="50"/>
  <c r="AJ49" i="50"/>
  <c r="L20" i="50"/>
  <c r="AQ39" i="50"/>
  <c r="AJ50" i="50"/>
  <c r="AB35" i="50"/>
  <c r="U30" i="50"/>
  <c r="AU46" i="50"/>
  <c r="AY43" i="50"/>
  <c r="AR39" i="50"/>
  <c r="AK45" i="50"/>
  <c r="Y29" i="50"/>
  <c r="AT21" i="50"/>
  <c r="AL52" i="50"/>
  <c r="AJ39" i="50"/>
  <c r="AE33" i="50"/>
  <c r="W25" i="50"/>
  <c r="AI21" i="50"/>
  <c r="AG34" i="50"/>
  <c r="AM21" i="50"/>
  <c r="AX13" i="50"/>
  <c r="AC49" i="50"/>
  <c r="AL43" i="50"/>
  <c r="AB39" i="50"/>
  <c r="V42" i="50"/>
  <c r="N34" i="50"/>
  <c r="AB36" i="50"/>
  <c r="Q51" i="50"/>
  <c r="O34" i="50"/>
  <c r="AF23" i="50"/>
  <c r="AR48" i="50"/>
  <c r="L46" i="50"/>
  <c r="AR5" i="50"/>
  <c r="BC4" i="50"/>
  <c r="U19" i="50"/>
  <c r="AI28" i="50"/>
  <c r="R44" i="50"/>
  <c r="AU33" i="50"/>
  <c r="AS14" i="50"/>
  <c r="V31" i="50"/>
  <c r="U18" i="50"/>
  <c r="AT39" i="50"/>
  <c r="AW15" i="50"/>
  <c r="BB41" i="50"/>
  <c r="AC28" i="50"/>
  <c r="AG42" i="50"/>
  <c r="Y21" i="50"/>
  <c r="P16" i="50"/>
  <c r="T26" i="50"/>
  <c r="W45" i="50"/>
  <c r="AS33" i="50"/>
  <c r="AE38" i="50"/>
  <c r="AB12" i="50"/>
  <c r="T25" i="50"/>
  <c r="AO22" i="50"/>
  <c r="AY23" i="50"/>
  <c r="R33" i="50"/>
  <c r="AK32" i="50"/>
  <c r="AE17" i="50"/>
  <c r="AN52" i="50"/>
  <c r="AS34" i="50"/>
  <c r="AZ4" i="50"/>
  <c r="X24" i="50"/>
  <c r="P46" i="50"/>
  <c r="AE24" i="50"/>
  <c r="AT17" i="50"/>
  <c r="AE36" i="50"/>
  <c r="AP23" i="50"/>
  <c r="AK23" i="50"/>
  <c r="AZ44" i="50"/>
  <c r="AY47" i="50"/>
  <c r="AS40" i="50"/>
  <c r="AV48" i="50"/>
  <c r="O12" i="50"/>
  <c r="R47" i="50"/>
  <c r="R14" i="50"/>
  <c r="AN25" i="50"/>
  <c r="AJ36" i="50"/>
  <c r="AT31" i="50"/>
  <c r="O14" i="50"/>
  <c r="Q4" i="50"/>
  <c r="L17" i="50"/>
  <c r="AH33" i="50"/>
  <c r="AJ44" i="50"/>
  <c r="T46" i="50"/>
  <c r="AI41" i="50"/>
  <c r="AR51" i="50"/>
  <c r="AA15" i="50"/>
  <c r="L40" i="50"/>
  <c r="AV4" i="50"/>
  <c r="M16" i="50"/>
  <c r="L42" i="50"/>
  <c r="AA19" i="50"/>
  <c r="X23" i="50"/>
  <c r="BC31" i="50"/>
  <c r="N49" i="50"/>
  <c r="Q37" i="50"/>
  <c r="AG32" i="50"/>
  <c r="AV37" i="50"/>
  <c r="AR21" i="50"/>
  <c r="AW16" i="50"/>
  <c r="O40" i="50"/>
  <c r="AK50" i="50"/>
  <c r="V50" i="50"/>
  <c r="BC19" i="50"/>
  <c r="W24" i="50"/>
  <c r="N51" i="50"/>
  <c r="AA52" i="50"/>
  <c r="AH17" i="50"/>
  <c r="W43" i="50"/>
  <c r="W37" i="50"/>
  <c r="AL24" i="50"/>
  <c r="U5" i="50"/>
  <c r="Y30" i="50"/>
  <c r="AN44" i="50"/>
  <c r="AO18" i="50"/>
  <c r="P28" i="50"/>
  <c r="AG14" i="50"/>
  <c r="AB29" i="50"/>
  <c r="AF38" i="50"/>
  <c r="P22" i="50"/>
  <c r="W33" i="50"/>
  <c r="Z37" i="50"/>
  <c r="AE35" i="50"/>
  <c r="X30" i="50"/>
  <c r="AY4" i="50"/>
  <c r="S40" i="50"/>
  <c r="AU29" i="50"/>
  <c r="Y52" i="50"/>
  <c r="AO44" i="50"/>
  <c r="Y15" i="50"/>
  <c r="AY40" i="50"/>
  <c r="V16" i="50"/>
  <c r="AM19" i="50"/>
  <c r="X12" i="50"/>
  <c r="AN41" i="50"/>
  <c r="T27" i="50"/>
  <c r="L29" i="50"/>
  <c r="AI46" i="50"/>
  <c r="AK52" i="50"/>
  <c r="R19" i="50"/>
  <c r="AO33" i="50"/>
  <c r="AX31" i="50"/>
  <c r="AH30" i="50"/>
  <c r="O5" i="50"/>
  <c r="Z35" i="50"/>
  <c r="AO25" i="50"/>
  <c r="AS13" i="50"/>
  <c r="W34" i="50"/>
  <c r="AS15" i="50"/>
  <c r="T37" i="50"/>
  <c r="AC25" i="50"/>
  <c r="AP13" i="50"/>
  <c r="S4" i="50"/>
  <c r="AQ19" i="50"/>
  <c r="BB14" i="50"/>
  <c r="O46" i="50"/>
  <c r="U34" i="50"/>
  <c r="AS47" i="50"/>
  <c r="X19" i="50"/>
  <c r="BB39" i="50"/>
  <c r="AA14" i="50"/>
  <c r="P38" i="50"/>
  <c r="S51" i="50"/>
  <c r="AZ46" i="50"/>
  <c r="Z17" i="50"/>
  <c r="AG39" i="50"/>
  <c r="N45" i="50"/>
  <c r="AB26" i="50"/>
  <c r="M49" i="50"/>
  <c r="T52" i="50"/>
  <c r="X44" i="50"/>
  <c r="AY18" i="50"/>
  <c r="AX27" i="50"/>
  <c r="BB48" i="50"/>
  <c r="AM45" i="50"/>
  <c r="AL13" i="50"/>
  <c r="Q27" i="50"/>
  <c r="AS16" i="50"/>
  <c r="R35" i="50"/>
  <c r="AX48" i="50"/>
  <c r="L50" i="50"/>
  <c r="L15" i="50"/>
  <c r="AE48" i="50"/>
  <c r="BC52" i="50"/>
  <c r="BA46" i="50"/>
  <c r="AK44" i="50"/>
  <c r="AW34" i="50"/>
  <c r="U33" i="50"/>
  <c r="AJ16" i="50"/>
  <c r="AK42" i="50"/>
  <c r="AN26" i="50"/>
  <c r="AD22" i="50"/>
  <c r="N29" i="50"/>
  <c r="AV36" i="50"/>
  <c r="AK34" i="50"/>
  <c r="Q43" i="50"/>
  <c r="AR19" i="50"/>
  <c r="AK38" i="50"/>
  <c r="AZ17" i="50"/>
  <c r="BA25" i="50"/>
  <c r="AL26" i="50"/>
  <c r="AW39" i="50"/>
  <c r="AW22" i="50"/>
  <c r="AQ29" i="50"/>
  <c r="V30" i="50"/>
  <c r="AI17" i="50"/>
  <c r="AD26" i="50"/>
  <c r="Q39" i="50"/>
  <c r="AF40" i="50"/>
  <c r="P23" i="50"/>
  <c r="AM43" i="50"/>
  <c r="AX43" i="50"/>
  <c r="BC15" i="50"/>
  <c r="AD15" i="50"/>
  <c r="U38" i="50"/>
  <c r="AO16" i="50"/>
  <c r="O39" i="50"/>
  <c r="V12" i="50"/>
  <c r="AW21" i="50"/>
  <c r="AH32" i="50"/>
  <c r="AJ51" i="50"/>
  <c r="AU32" i="50"/>
  <c r="AP5" i="50"/>
  <c r="AV44" i="50"/>
  <c r="AC37" i="50"/>
  <c r="P41" i="50"/>
  <c r="BC17" i="50"/>
  <c r="N41" i="50"/>
  <c r="AC41" i="50"/>
  <c r="AT35" i="50"/>
  <c r="AV39" i="50"/>
  <c r="AX51" i="50"/>
  <c r="AJ26" i="50"/>
  <c r="BC46" i="50"/>
  <c r="R22" i="50"/>
  <c r="AY42" i="50"/>
  <c r="AS37" i="50"/>
  <c r="AN16" i="50"/>
  <c r="AO42" i="50"/>
  <c r="Y46" i="50"/>
  <c r="M45" i="50"/>
  <c r="AB49" i="50"/>
  <c r="AP4" i="50"/>
  <c r="AX4" i="50"/>
  <c r="O29" i="50"/>
  <c r="AZ52" i="50"/>
  <c r="V21" i="50"/>
  <c r="R34" i="50"/>
  <c r="AU36" i="50"/>
  <c r="N4" i="50"/>
  <c r="BB32" i="50"/>
  <c r="AL5" i="50"/>
  <c r="N30" i="50"/>
  <c r="O49" i="50"/>
  <c r="W22" i="50"/>
  <c r="M5" i="50"/>
  <c r="L16" i="50"/>
  <c r="AU35" i="50"/>
  <c r="M40" i="50"/>
  <c r="N27" i="50"/>
  <c r="O26" i="50"/>
  <c r="Q17" i="50"/>
  <c r="BA22" i="50"/>
  <c r="AH49" i="50"/>
  <c r="AW30" i="50"/>
  <c r="AH16" i="50"/>
  <c r="BB17" i="50"/>
  <c r="AG18" i="50"/>
  <c r="T40" i="50"/>
  <c r="AZ16" i="50"/>
  <c r="AT30" i="50"/>
  <c r="T45" i="50"/>
  <c r="U44" i="50"/>
  <c r="X51" i="50"/>
  <c r="N50" i="50"/>
  <c r="AD34" i="50"/>
  <c r="AZ43" i="50"/>
  <c r="AY48" i="50"/>
  <c r="BA52" i="50"/>
  <c r="AX39" i="50"/>
  <c r="AH48" i="50"/>
  <c r="W47" i="50"/>
  <c r="AE42" i="50"/>
  <c r="AZ35" i="50"/>
  <c r="AU23" i="50"/>
  <c r="X33" i="50"/>
  <c r="AO49" i="50"/>
  <c r="AM13" i="50"/>
  <c r="L38" i="50"/>
  <c r="AJ40" i="50"/>
  <c r="U37" i="50"/>
  <c r="AS38" i="50"/>
  <c r="AY13" i="50"/>
  <c r="AK27" i="50"/>
  <c r="T24" i="50"/>
  <c r="M20" i="50"/>
  <c r="AH28" i="50"/>
  <c r="AT15" i="50"/>
  <c r="R42" i="50"/>
  <c r="AX35" i="50"/>
  <c r="AL49" i="50"/>
  <c r="Q47" i="50"/>
  <c r="AD51" i="50"/>
  <c r="L35" i="50"/>
  <c r="AQ44" i="50"/>
  <c r="AI25" i="50"/>
  <c r="M34" i="50"/>
  <c r="AZ32" i="50"/>
  <c r="AD19" i="50"/>
  <c r="AG33" i="50"/>
  <c r="X50" i="50"/>
  <c r="X43" i="50"/>
  <c r="M14" i="50"/>
  <c r="AF4" i="50"/>
  <c r="Z14" i="50"/>
  <c r="AJ18" i="50"/>
  <c r="AK25" i="50"/>
  <c r="L30" i="50"/>
  <c r="AZ50" i="50"/>
  <c r="AI23" i="50"/>
  <c r="Y13" i="50"/>
  <c r="O17" i="50"/>
  <c r="AL4" i="50"/>
  <c r="Y36" i="50"/>
  <c r="Q22" i="50"/>
  <c r="AY20" i="50"/>
  <c r="L31" i="50"/>
  <c r="AX33" i="50"/>
  <c r="Y49" i="50"/>
  <c r="AE21" i="50"/>
  <c r="AA32" i="50"/>
  <c r="P50" i="50"/>
  <c r="AV49" i="50"/>
  <c r="AO29" i="50"/>
  <c r="S27" i="50"/>
  <c r="S14" i="50"/>
  <c r="M41" i="50"/>
  <c r="AK28" i="50"/>
  <c r="T12" i="50"/>
  <c r="AI32" i="50"/>
  <c r="AD27" i="50"/>
  <c r="M46" i="50"/>
  <c r="AZ28" i="50"/>
  <c r="AL51" i="50"/>
  <c r="AA41" i="50"/>
  <c r="AL14" i="50"/>
  <c r="AC40" i="50"/>
  <c r="BC42" i="50"/>
  <c r="AN23" i="50"/>
  <c r="AV50" i="50"/>
  <c r="AV15" i="50"/>
  <c r="AU51" i="50"/>
  <c r="AH37" i="50"/>
  <c r="AT52" i="50"/>
  <c r="AQ43" i="50"/>
  <c r="X34" i="50"/>
  <c r="S34" i="50"/>
  <c r="O18" i="50"/>
  <c r="AU52" i="50"/>
  <c r="AN22" i="50"/>
  <c r="AJ30" i="50"/>
  <c r="S12" i="50"/>
  <c r="AU47" i="50"/>
  <c r="AZ36" i="50"/>
  <c r="AG30" i="50"/>
  <c r="AM17" i="50"/>
  <c r="AJ42" i="50"/>
  <c r="M24" i="50"/>
  <c r="AV38" i="50"/>
  <c r="AS24" i="50"/>
  <c r="AD17" i="50"/>
  <c r="AF49" i="50"/>
  <c r="AO23" i="50"/>
  <c r="AZ33" i="50"/>
  <c r="L28" i="50"/>
  <c r="AV51" i="50"/>
  <c r="AF24" i="50"/>
  <c r="L32" i="50"/>
  <c r="M22" i="50"/>
  <c r="R16" i="50"/>
  <c r="AY12" i="50"/>
  <c r="T28" i="50"/>
  <c r="Q15" i="50"/>
  <c r="AE28" i="50"/>
  <c r="BA13" i="50"/>
  <c r="AC31" i="50"/>
  <c r="AM36" i="50"/>
  <c r="S36" i="50"/>
  <c r="AV52" i="50"/>
  <c r="W29" i="50"/>
  <c r="AQ22" i="50"/>
  <c r="AF17" i="50"/>
  <c r="AQ30" i="50"/>
  <c r="AG27" i="50"/>
  <c r="AS52" i="50"/>
  <c r="AN14" i="50"/>
  <c r="L26" i="50"/>
  <c r="AS5" i="50"/>
  <c r="AR30" i="50"/>
  <c r="N22" i="50"/>
  <c r="AW19" i="50"/>
  <c r="AC16" i="50"/>
  <c r="AQ23" i="50"/>
  <c r="AH25" i="50"/>
  <c r="AW38" i="50"/>
  <c r="AC30" i="50"/>
  <c r="BA29" i="50"/>
  <c r="S31" i="50"/>
  <c r="AE23" i="50"/>
  <c r="AB43" i="50"/>
  <c r="AO51" i="50"/>
  <c r="AP30" i="50"/>
  <c r="AQ40" i="50"/>
  <c r="BC38" i="50"/>
  <c r="AU15" i="50"/>
  <c r="U40" i="50"/>
  <c r="AN12" i="50"/>
  <c r="X42" i="50"/>
  <c r="Z49" i="50"/>
  <c r="AN18" i="50"/>
  <c r="AE12" i="50"/>
  <c r="AN28" i="50"/>
  <c r="R40" i="50"/>
  <c r="M15" i="50"/>
  <c r="AX18" i="50"/>
  <c r="AA49" i="50"/>
  <c r="S47" i="50"/>
  <c r="AJ34" i="50"/>
  <c r="Q45" i="50"/>
  <c r="AQ15" i="50"/>
  <c r="V14" i="50"/>
  <c r="AY32" i="50"/>
  <c r="BB46" i="50"/>
  <c r="AS45" i="50"/>
  <c r="V5" i="50"/>
  <c r="AH41" i="50"/>
  <c r="V17" i="50"/>
  <c r="L47" i="50"/>
  <c r="AP27" i="50"/>
  <c r="P14" i="50"/>
  <c r="AF18" i="50"/>
  <c r="U52" i="50"/>
  <c r="AP21" i="50"/>
  <c r="O50" i="50"/>
  <c r="AW26" i="50"/>
  <c r="AY44" i="50"/>
  <c r="AI5" i="50"/>
  <c r="N28" i="50"/>
  <c r="AU16" i="50"/>
  <c r="AC51" i="50"/>
  <c r="AE15" i="50"/>
  <c r="AS39" i="50"/>
  <c r="AC43" i="50"/>
  <c r="U21" i="50"/>
  <c r="X26" i="50"/>
  <c r="U31" i="50"/>
  <c r="S25" i="50"/>
  <c r="AZ34" i="50"/>
  <c r="AF29" i="50"/>
  <c r="L27" i="50"/>
  <c r="AB22" i="50"/>
  <c r="AM32" i="50"/>
  <c r="AI44" i="50"/>
  <c r="BC50" i="50"/>
  <c r="W38" i="50"/>
  <c r="AL34" i="50"/>
  <c r="AE44" i="50"/>
  <c r="AG48" i="50"/>
  <c r="AS35" i="50"/>
  <c r="Z48" i="50"/>
  <c r="AB27" i="50"/>
  <c r="T18" i="50"/>
  <c r="S52" i="50"/>
  <c r="AV17" i="50"/>
  <c r="T16" i="50"/>
  <c r="AX44" i="50"/>
  <c r="BC12" i="50"/>
  <c r="Z22" i="50"/>
  <c r="AI35" i="50"/>
  <c r="AU30" i="50"/>
  <c r="S29" i="50"/>
  <c r="AB4" i="50"/>
  <c r="V23" i="50"/>
  <c r="AR13" i="50"/>
  <c r="R17" i="50"/>
  <c r="AO40" i="50"/>
  <c r="AH5" i="50"/>
  <c r="N25" i="50"/>
  <c r="AV45" i="50"/>
  <c r="AI29" i="50"/>
  <c r="BA43" i="50"/>
  <c r="AX14" i="50"/>
  <c r="Y19" i="50"/>
  <c r="AX22" i="50"/>
  <c r="BB42" i="50"/>
  <c r="BC41" i="50"/>
  <c r="P20" i="50"/>
  <c r="AX36" i="50"/>
  <c r="AQ41" i="50"/>
  <c r="V40" i="50"/>
  <c r="AL42" i="50"/>
  <c r="AA48" i="50"/>
  <c r="U27" i="50"/>
  <c r="AG23" i="50"/>
  <c r="AR47" i="50"/>
  <c r="O42" i="50"/>
  <c r="AC36" i="50"/>
  <c r="AU13" i="50"/>
  <c r="BA50" i="50"/>
  <c r="AG15" i="50"/>
  <c r="BA17" i="50"/>
  <c r="AX21" i="50"/>
  <c r="R15" i="50"/>
  <c r="AS20" i="50"/>
  <c r="L52" i="50"/>
  <c r="BC18" i="50"/>
  <c r="AS17" i="50"/>
  <c r="Z32" i="50"/>
  <c r="AH22" i="50"/>
  <c r="W12" i="50"/>
  <c r="AF42" i="50"/>
  <c r="BC51" i="50"/>
  <c r="AP35" i="50"/>
  <c r="W49" i="50"/>
  <c r="P5" i="50"/>
  <c r="AQ33" i="50"/>
  <c r="AQ21" i="50"/>
  <c r="AM51" i="50"/>
  <c r="AS31" i="50"/>
  <c r="S44" i="50"/>
  <c r="AF19" i="50"/>
  <c r="AG12" i="50"/>
  <c r="M18" i="50"/>
  <c r="M13" i="50"/>
  <c r="AY15" i="50"/>
  <c r="T33" i="50"/>
  <c r="M43" i="50"/>
  <c r="AO45" i="50"/>
  <c r="AA12" i="50"/>
  <c r="AP36" i="50"/>
  <c r="AR42" i="50"/>
  <c r="M39" i="50"/>
  <c r="BB33" i="50"/>
  <c r="AW45" i="50"/>
  <c r="AU5" i="50"/>
  <c r="AW49" i="50"/>
  <c r="R12" i="50"/>
  <c r="AL31" i="50"/>
  <c r="AB45" i="50"/>
  <c r="AW24" i="50"/>
  <c r="BA16" i="50"/>
  <c r="AW48" i="50"/>
  <c r="AN19" i="50"/>
  <c r="AY16" i="50"/>
  <c r="N23" i="50"/>
  <c r="AM48" i="50"/>
  <c r="Q34" i="50"/>
  <c r="AM15" i="50"/>
  <c r="AY29" i="50"/>
  <c r="T32" i="50"/>
  <c r="BA12" i="50"/>
  <c r="AH31" i="50"/>
  <c r="AN49" i="50"/>
  <c r="L33" i="50"/>
  <c r="AL28" i="50"/>
  <c r="AZ23" i="50"/>
  <c r="AX34" i="50"/>
  <c r="X45" i="50"/>
  <c r="Y42" i="50"/>
  <c r="AM29" i="50"/>
  <c r="L34" i="50"/>
  <c r="AZ30" i="50"/>
  <c r="Q30" i="50"/>
  <c r="AD16" i="50"/>
  <c r="AU17" i="50"/>
  <c r="AK37" i="50"/>
  <c r="AW46" i="50"/>
  <c r="Q48" i="50"/>
  <c r="V13" i="50"/>
  <c r="AR35" i="50"/>
  <c r="S38" i="50"/>
  <c r="AI52" i="50"/>
  <c r="Z15" i="50"/>
  <c r="Y34" i="50"/>
  <c r="AU38" i="50"/>
  <c r="W50" i="50"/>
  <c r="Y51" i="50"/>
  <c r="P43" i="50"/>
  <c r="N42" i="50"/>
  <c r="AP34" i="50"/>
  <c r="AW23" i="50"/>
  <c r="AW18" i="50"/>
  <c r="AL38" i="50"/>
  <c r="AQ42" i="50"/>
  <c r="W26" i="50"/>
  <c r="AF5" i="50"/>
  <c r="BB30" i="50"/>
  <c r="AF39" i="50"/>
  <c r="BC32" i="50"/>
  <c r="P25" i="50"/>
  <c r="AU50" i="50"/>
  <c r="AJ15" i="50"/>
  <c r="AC21" i="50"/>
  <c r="AE31" i="50"/>
  <c r="AH43" i="50"/>
  <c r="T39" i="50"/>
  <c r="AQ52" i="50"/>
  <c r="AD32" i="50"/>
  <c r="Z29" i="50"/>
  <c r="AL50" i="50"/>
  <c r="AY38" i="50"/>
  <c r="M47" i="50"/>
  <c r="M30" i="50"/>
  <c r="AJ19" i="50"/>
  <c r="AM52" i="50"/>
  <c r="AM14" i="50"/>
  <c r="AQ25" i="50"/>
  <c r="BA51" i="50"/>
  <c r="M28" i="50"/>
  <c r="AS41" i="50"/>
  <c r="AU44" i="50"/>
  <c r="AX17" i="50"/>
  <c r="AQ27" i="50"/>
  <c r="AJ45" i="50"/>
  <c r="Z19" i="50"/>
  <c r="W44" i="50"/>
  <c r="AK48" i="50"/>
  <c r="BA15" i="50"/>
  <c r="AO4" i="50"/>
  <c r="AR29" i="50"/>
  <c r="AB5" i="50"/>
  <c r="BB27" i="50"/>
  <c r="P21" i="50"/>
  <c r="AS50" i="50"/>
  <c r="AJ37" i="50"/>
  <c r="M31" i="50"/>
  <c r="AR38" i="50"/>
  <c r="O48" i="50"/>
  <c r="AN24" i="50"/>
  <c r="AT47" i="50"/>
  <c r="Y24" i="50"/>
  <c r="BA47" i="50"/>
  <c r="AY39" i="50"/>
  <c r="AN36" i="50"/>
  <c r="L19" i="50"/>
  <c r="AH4" i="50"/>
  <c r="M12" i="50"/>
  <c r="BA4" i="50"/>
  <c r="BC16" i="50"/>
  <c r="AV18" i="50"/>
  <c r="P30" i="50"/>
  <c r="N18" i="50"/>
  <c r="P47" i="50"/>
  <c r="V22" i="50"/>
  <c r="S30" i="50"/>
  <c r="T22" i="50"/>
  <c r="AZ48" i="50"/>
  <c r="Y18" i="50"/>
  <c r="AV35" i="50"/>
  <c r="AF31" i="50"/>
  <c r="BB28" i="50"/>
  <c r="AF41" i="50"/>
  <c r="BC35" i="50"/>
  <c r="AY27" i="50"/>
  <c r="S20" i="50"/>
  <c r="AX50" i="50"/>
  <c r="AM34" i="50"/>
  <c r="AG26" i="50"/>
  <c r="AC24" i="50"/>
  <c r="O52" i="50"/>
  <c r="O31" i="50"/>
  <c r="AC52" i="50"/>
  <c r="O33" i="50"/>
  <c r="O16" i="50"/>
  <c r="AT49" i="50"/>
  <c r="AC39" i="50"/>
  <c r="AU49" i="50"/>
  <c r="AQ5" i="50"/>
  <c r="AU42" i="50"/>
  <c r="AZ47" i="50"/>
  <c r="P48" i="50"/>
  <c r="AN31" i="50"/>
  <c r="AT28" i="50"/>
  <c r="AP44" i="50"/>
  <c r="Z52" i="50"/>
  <c r="S48" i="50"/>
  <c r="AG13" i="50"/>
  <c r="AI27" i="50"/>
  <c r="AQ20" i="50"/>
  <c r="AW13" i="50"/>
  <c r="Q36" i="50"/>
  <c r="AN21" i="50"/>
  <c r="AO13" i="50"/>
  <c r="W46" i="50"/>
  <c r="AK30" i="50"/>
  <c r="AP19" i="50"/>
  <c r="AR32" i="50"/>
  <c r="W19" i="50"/>
  <c r="Y12" i="50"/>
  <c r="AS25" i="50"/>
  <c r="AF37" i="50"/>
  <c r="AC17" i="50"/>
  <c r="AB14" i="50"/>
  <c r="V18" i="50"/>
  <c r="AQ50" i="50"/>
  <c r="BB13" i="50"/>
  <c r="Y40" i="50"/>
  <c r="Z27" i="50"/>
  <c r="F19" i="50" l="1"/>
  <c r="F34" i="50"/>
  <c r="F33" i="50"/>
  <c r="F52" i="50"/>
  <c r="F27" i="50"/>
  <c r="F47" i="50"/>
  <c r="F26" i="50"/>
  <c r="F32" i="50"/>
  <c r="F28" i="50"/>
  <c r="F31" i="50"/>
  <c r="F30" i="50"/>
  <c r="F35" i="50"/>
  <c r="F38" i="50"/>
  <c r="F16" i="50"/>
  <c r="F15" i="50"/>
  <c r="F50" i="50"/>
  <c r="F29" i="50"/>
  <c r="F42" i="50"/>
  <c r="F40" i="50"/>
  <c r="F17" i="50"/>
  <c r="F46" i="50"/>
  <c r="F20" i="50"/>
  <c r="F43" i="50"/>
  <c r="F48" i="50"/>
  <c r="F44" i="50"/>
  <c r="F5" i="50"/>
  <c r="F18" i="50"/>
  <c r="F25" i="50"/>
  <c r="F41" i="50"/>
  <c r="F49" i="50"/>
  <c r="F37" i="50"/>
  <c r="F21" i="50"/>
  <c r="F22" i="50"/>
  <c r="F45" i="50"/>
  <c r="F12" i="50"/>
  <c r="F39" i="50"/>
  <c r="F24" i="50"/>
  <c r="F36" i="50"/>
  <c r="K4" i="50"/>
  <c r="F51" i="50"/>
  <c r="F14" i="50"/>
  <c r="F23" i="50"/>
  <c r="F13" i="50"/>
  <c r="X4" i="150"/>
  <c r="X4" i="4"/>
  <c r="X4" i="1"/>
  <c r="Y12" i="150" l="1"/>
  <c r="H51" i="50"/>
  <c r="J51" i="50"/>
  <c r="H39" i="50"/>
  <c r="Y19" i="4"/>
  <c r="J39" i="50"/>
  <c r="Y14" i="4"/>
  <c r="H21" i="50"/>
  <c r="J21" i="50"/>
  <c r="Y13" i="1"/>
  <c r="H25" i="50"/>
  <c r="J25" i="50"/>
  <c r="H48" i="50"/>
  <c r="J48" i="50"/>
  <c r="Y9" i="150"/>
  <c r="Y5" i="4"/>
  <c r="J17" i="50"/>
  <c r="H17" i="50"/>
  <c r="Y11" i="150"/>
  <c r="H50" i="50"/>
  <c r="J50" i="50"/>
  <c r="Y24" i="1"/>
  <c r="H35" i="50"/>
  <c r="J35" i="50"/>
  <c r="J32" i="50"/>
  <c r="H32" i="50"/>
  <c r="Y18" i="4"/>
  <c r="J52" i="50"/>
  <c r="H52" i="50"/>
  <c r="Y24" i="4"/>
  <c r="J13" i="50"/>
  <c r="Y14" i="137"/>
  <c r="H13" i="50"/>
  <c r="J12" i="50"/>
  <c r="H12" i="50"/>
  <c r="Y13" i="137"/>
  <c r="Y26" i="1"/>
  <c r="J37" i="50"/>
  <c r="H37" i="50"/>
  <c r="Y17" i="4"/>
  <c r="H18" i="50"/>
  <c r="J18" i="50"/>
  <c r="Y23" i="4"/>
  <c r="J43" i="50"/>
  <c r="H43" i="50"/>
  <c r="Y21" i="4"/>
  <c r="H40" i="50"/>
  <c r="J40" i="50"/>
  <c r="Y7" i="4"/>
  <c r="J15" i="50"/>
  <c r="H15" i="50"/>
  <c r="J30" i="50"/>
  <c r="H30" i="50"/>
  <c r="Y15" i="137"/>
  <c r="Y18" i="1"/>
  <c r="H26" i="50"/>
  <c r="J26" i="50"/>
  <c r="Y30" i="1"/>
  <c r="J33" i="50"/>
  <c r="H33" i="50"/>
  <c r="H23" i="50"/>
  <c r="Y9" i="1"/>
  <c r="J23" i="50"/>
  <c r="Y25" i="1"/>
  <c r="J36" i="50"/>
  <c r="H36" i="50"/>
  <c r="H45" i="50"/>
  <c r="J45" i="50"/>
  <c r="Y6" i="150"/>
  <c r="Y10" i="150"/>
  <c r="H49" i="50"/>
  <c r="J49" i="50"/>
  <c r="Y5" i="137"/>
  <c r="H5" i="50"/>
  <c r="F4" i="50"/>
  <c r="J5" i="50"/>
  <c r="Y16" i="4"/>
  <c r="J20" i="50"/>
  <c r="H20" i="50"/>
  <c r="H42" i="50"/>
  <c r="J42" i="50"/>
  <c r="Y29" i="1"/>
  <c r="Y9" i="4"/>
  <c r="H16" i="50"/>
  <c r="J16" i="50"/>
  <c r="Y20" i="4"/>
  <c r="H31" i="50"/>
  <c r="J31" i="50"/>
  <c r="J47" i="50"/>
  <c r="H47" i="50"/>
  <c r="Y8" i="150"/>
  <c r="Y11" i="137"/>
  <c r="J34" i="50"/>
  <c r="H34" i="50"/>
  <c r="Y12" i="137"/>
  <c r="H14" i="50"/>
  <c r="J14" i="50"/>
  <c r="H24" i="50"/>
  <c r="Y8" i="1"/>
  <c r="J24" i="50"/>
  <c r="Y15" i="4"/>
  <c r="J22" i="50"/>
  <c r="H22" i="50"/>
  <c r="H41" i="50"/>
  <c r="Y28" i="1"/>
  <c r="J41" i="50"/>
  <c r="H44" i="50"/>
  <c r="Y5" i="150"/>
  <c r="J44" i="50"/>
  <c r="Y7" i="150"/>
  <c r="H46" i="50"/>
  <c r="J46" i="50"/>
  <c r="Y21" i="1"/>
  <c r="J29" i="50"/>
  <c r="H29" i="50"/>
  <c r="H38" i="50"/>
  <c r="J38" i="50"/>
  <c r="Y27" i="1"/>
  <c r="Y8" i="4"/>
  <c r="J28" i="50"/>
  <c r="H28" i="50"/>
  <c r="Y11" i="4"/>
  <c r="H27" i="50"/>
  <c r="J27" i="50"/>
  <c r="J19" i="50"/>
  <c r="H19" i="50"/>
  <c r="Y13" i="4"/>
  <c r="O11" i="4" l="1"/>
  <c r="A11" i="4" s="1"/>
  <c r="N11" i="4"/>
  <c r="O29" i="1"/>
  <c r="A29" i="1" s="1"/>
  <c r="N29" i="1"/>
  <c r="O28" i="1"/>
  <c r="A28" i="1" s="1"/>
  <c r="N28" i="1"/>
  <c r="O16" i="4"/>
  <c r="A16" i="4" s="1"/>
  <c r="N16" i="4"/>
  <c r="N5" i="150"/>
  <c r="O5" i="150"/>
  <c r="Y4" i="150"/>
  <c r="O11" i="137"/>
  <c r="A11" i="137" s="1"/>
  <c r="N11" i="137"/>
  <c r="J4" i="50"/>
  <c r="I4" i="50" s="1"/>
  <c r="K14" i="50" s="1"/>
  <c r="N25" i="1"/>
  <c r="O25" i="1"/>
  <c r="A25" i="1" s="1"/>
  <c r="N17" i="4"/>
  <c r="O17" i="4"/>
  <c r="A17" i="4" s="1"/>
  <c r="N13" i="137"/>
  <c r="O13" i="137"/>
  <c r="A13" i="137" s="1"/>
  <c r="N14" i="137"/>
  <c r="O14" i="137"/>
  <c r="A14" i="137" s="1"/>
  <c r="O5" i="4"/>
  <c r="N5" i="4"/>
  <c r="Y4" i="4"/>
  <c r="N13" i="4"/>
  <c r="O13" i="4"/>
  <c r="A13" i="4" s="1"/>
  <c r="O8" i="1"/>
  <c r="N8" i="1"/>
  <c r="Y4" i="1"/>
  <c r="N12" i="137"/>
  <c r="O12" i="137"/>
  <c r="A12" i="137" s="1"/>
  <c r="N8" i="150"/>
  <c r="O8" i="150"/>
  <c r="A8" i="150" s="1"/>
  <c r="O9" i="4"/>
  <c r="A9" i="4" s="1"/>
  <c r="N9" i="4"/>
  <c r="O18" i="1"/>
  <c r="A18" i="1" s="1"/>
  <c r="N18" i="1"/>
  <c r="O23" i="4"/>
  <c r="A23" i="4" s="1"/>
  <c r="N23" i="4"/>
  <c r="O18" i="4"/>
  <c r="A18" i="4" s="1"/>
  <c r="N18" i="4"/>
  <c r="O11" i="150"/>
  <c r="A11" i="150" s="1"/>
  <c r="N11" i="150"/>
  <c r="N9" i="150"/>
  <c r="O9" i="150"/>
  <c r="A9" i="150" s="1"/>
  <c r="O14" i="4"/>
  <c r="A14" i="4" s="1"/>
  <c r="N14" i="4"/>
  <c r="N8" i="4"/>
  <c r="O8" i="4"/>
  <c r="A8" i="4" s="1"/>
  <c r="O7" i="150"/>
  <c r="A7" i="150" s="1"/>
  <c r="N7" i="150"/>
  <c r="N10" i="150"/>
  <c r="O10" i="150"/>
  <c r="A10" i="150" s="1"/>
  <c r="N9" i="1"/>
  <c r="O9" i="1"/>
  <c r="A9" i="1" s="1"/>
  <c r="N30" i="1"/>
  <c r="O30" i="1"/>
  <c r="A30" i="1" s="1"/>
  <c r="O15" i="137"/>
  <c r="A15" i="137" s="1"/>
  <c r="N15" i="137"/>
  <c r="O21" i="4"/>
  <c r="A21" i="4" s="1"/>
  <c r="N21" i="4"/>
  <c r="N24" i="4"/>
  <c r="O24" i="4"/>
  <c r="A24" i="4" s="1"/>
  <c r="N24" i="1"/>
  <c r="O24" i="1"/>
  <c r="A24" i="1" s="1"/>
  <c r="N13" i="1"/>
  <c r="O13" i="1"/>
  <c r="A13" i="1" s="1"/>
  <c r="N27" i="1"/>
  <c r="O27" i="1"/>
  <c r="A27" i="1" s="1"/>
  <c r="O20" i="4"/>
  <c r="A20" i="4" s="1"/>
  <c r="N20" i="4"/>
  <c r="H4" i="50"/>
  <c r="O21" i="1"/>
  <c r="A21" i="1" s="1"/>
  <c r="N21" i="1"/>
  <c r="N15" i="4"/>
  <c r="O15" i="4"/>
  <c r="A15" i="4" s="1"/>
  <c r="O5" i="137"/>
  <c r="N5" i="137"/>
  <c r="Y4" i="137"/>
  <c r="N6" i="150"/>
  <c r="O6" i="150"/>
  <c r="A6" i="150" s="1"/>
  <c r="N7" i="4"/>
  <c r="O7" i="4"/>
  <c r="A7" i="4" s="1"/>
  <c r="O26" i="1"/>
  <c r="A26" i="1" s="1"/>
  <c r="N26" i="1"/>
  <c r="O19" i="4"/>
  <c r="A19" i="4" s="1"/>
  <c r="N19" i="4"/>
  <c r="O12" i="150"/>
  <c r="A12" i="150" s="1"/>
  <c r="N12" i="150"/>
  <c r="A8" i="1" l="1"/>
  <c r="A4" i="1" s="1"/>
  <c r="O4" i="1"/>
  <c r="N4" i="4"/>
  <c r="N4" i="137"/>
  <c r="A5" i="4"/>
  <c r="A4" i="4" s="1"/>
  <c r="O4" i="4"/>
  <c r="A5" i="137"/>
  <c r="A4" i="137" s="1"/>
  <c r="O4" i="137"/>
  <c r="A5" i="150"/>
  <c r="A4" i="150" s="1"/>
  <c r="O4" i="150"/>
  <c r="N4" i="1"/>
  <c r="N4" i="150"/>
  <c r="A1" i="50" l="1"/>
  <c r="E1" i="50"/>
  <c r="I4" i="95"/>
  <c r="I5" i="95" s="1"/>
  <c r="C1" i="50"/>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<sst xmlns="http://schemas.openxmlformats.org/spreadsheetml/2006/main" count="1009" uniqueCount="313">
  <si>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</si>
  <si>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</si>
  <si>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</si>
  <si>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</si>
  <si>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</si>
  <si>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</si>
  <si>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</si>
  <si>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</si>
  <si>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</si>
  <si>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</si>
  <si>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</si>
  <si>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</si>
  <si>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</si>
  <si>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</si>
  <si>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</si>
  <si>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</si>
  <si>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</si>
  <si>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</si>
  <si>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</si>
  <si>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</si>
  <si>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</si>
  <si>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</si>
  <si>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</si>
  <si>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</si>
  <si>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</si>
  <si>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</si>
  <si>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</si>
  <si>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</si>
  <si>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</si>
  <si>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</si>
  <si>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</si>
  <si>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</si>
  <si>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</si>
  <si>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</si>
  <si>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</si>
  <si>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</si>
  <si>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</si>
  <si>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</si>
  <si>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</si>
  <si>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</si>
  <si>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</si>
  <si>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</si>
  <si>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</si>
  <si>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</si>
  <si>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</si>
  <si>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</si>
  <si>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</si>
  <si>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</si>
  <si>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</si>
  <si>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</si>
  <si>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</si>
  <si>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</si>
  <si>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</si>
  <si>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</si>
  <si>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</si>
  <si>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</si>
  <si>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</si>
  <si>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</si>
  <si>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</si>
  <si>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</si>
  <si>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</si>
  <si>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</si>
  <si>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</si>
  <si>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</si>
  <si>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</si>
  <si>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</si>
  <si>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</si>
  <si>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</si>
  <si>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</si>
  <si>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</si>
  <si>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</si>
  <si>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</si>
  <si>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</si>
  <si>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</si>
  <si>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</si>
  <si>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</si>
  <si>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</si>
  <si>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</si>
  <si>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</si>
  <si>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</si>
  <si>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</si>
  <si>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</si>
  <si>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</si>
  <si>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</si>
  <si>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</si>
  <si>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</si>
  <si>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</si>
  <si>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</si>
  <si>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</si>
  <si>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</si>
  <si>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</si>
  <si>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</si>
  <si>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</si>
  <si>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</si>
  <si>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</si>
  <si>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</si>
  <si>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</si>
  <si>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</si>
  <si>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</si>
  <si>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</si>
  <si>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</si>
  <si>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</si>
  <si>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</si>
  <si>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</si>
  <si>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</si>
  <si>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</si>
  <si>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</si>
  <si>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</si>
  <si>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</si>
  <si>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</si>
  <si>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</si>
  <si>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</si>
  <si>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</si>
  <si>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</si>
  <si>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</si>
  <si>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</si>
  <si>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</si>
  <si>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</si>
  <si>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</si>
  <si>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</si>
  <si>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</si>
  <si>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</si>
  <si>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</si>
  <si>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</si>
  <si>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</si>
  <si>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</si>
  <si>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</si>
  <si>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</si>
  <si>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</si>
  <si>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</si>
  <si>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</si>
  <si>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</si>
  <si>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</si>
  <si>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</si>
  <si>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</si>
  <si>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</si>
  <si>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</si>
  <si>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</si>
  <si>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</si>
  <si>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</si>
  <si>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</si>
  <si>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</si>
  <si>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</si>
  <si>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</si>
  <si>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</si>
  <si>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</si>
  <si>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</si>
  <si>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</si>
  <si>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</si>
  <si>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</si>
  <si>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</si>
  <si>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</si>
  <si>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</si>
  <si>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</si>
  <si>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</si>
  <si>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</si>
  <si>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</si>
  <si>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</si>
  <si>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</si>
  <si>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</si>
  <si>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</si>
  <si>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</si>
  <si>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</si>
  <si>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</si>
  <si>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</si>
  <si>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</si>
  <si>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</si>
  <si>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</si>
  <si>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</si>
  <si>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</si>
  <si>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</si>
  <si>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</si>
  <si>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</si>
  <si>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</si>
  <si>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</si>
  <si>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</si>
  <si>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</si>
  <si>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</si>
  <si>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</si>
  <si>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</si>
  <si>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</si>
  <si>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</si>
  <si>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</si>
  <si>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</si>
  <si>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</si>
  <si>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</si>
  <si>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</si>
  <si>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</si>
  <si>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</si>
  <si>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</si>
  <si>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</si>
  <si>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</si>
  <si>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</si>
  <si>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</si>
  <si>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</si>
  <si>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</si>
  <si>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</si>
  <si>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</si>
  <si>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</si>
  <si>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</si>
  <si>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</si>
  <si>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</si>
  <si>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</si>
  <si>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</si>
  <si>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</si>
  <si>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</si>
  <si>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</si>
  <si>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</si>
  <si>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</si>
  <si>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</si>
  <si>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</si>
  <si>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</si>
  <si>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</si>
  <si>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</si>
  <si>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</si>
  <si>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</si>
  <si>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</si>
  <si>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</si>
  <si>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</si>
  <si>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</si>
  <si>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</si>
  <si>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</si>
  <si>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</si>
  <si>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</si>
  <si>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</si>
  <si>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</si>
  <si>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</si>
  <si>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</si>
  <si>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</si>
  <si>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</si>
  <si>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</si>
  <si>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</si>
  <si>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</si>
  <si>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</si>
  <si>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</si>
  <si>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</si>
  <si>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</si>
  <si>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</si>
  <si>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</si>
  <si>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</si>
  <si>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</si>
  <si>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</si>
  <si>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</si>
  <si>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</si>
  <si>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</si>
  <si>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</si>
  <si>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</si>
  <si>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</si>
  <si>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</si>
  <si>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</si>
  <si>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</si>
  <si>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</si>
  <si>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</si>
  <si>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</si>
  <si>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</si>
  <si>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</si>
  <si>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</si>
  <si>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</si>
  <si>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</si>
  <si>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</si>
  <si>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</si>
  <si>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</si>
  <si>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</si>
  <si>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</si>
  <si>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</si>
  <si>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</si>
  <si>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</si>
  <si>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</si>
  <si>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</si>
  <si>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</si>
  <si>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</si>
  <si>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</si>
  <si>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</si>
  <si>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</si>
  <si>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</si>
  <si>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</si>
  <si>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</si>
  <si>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</si>
  <si>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</si>
  <si>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</si>
  <si>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</si>
  <si>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</si>
  <si>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</si>
  <si>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</si>
  <si>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</si>
  <si>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</si>
  <si>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</si>
  <si>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</si>
  <si>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</si>
  <si>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</si>
  <si>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</si>
  <si>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</si>
  <si>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</si>
  <si>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</si>
  <si>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</si>
  <si>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</si>
  <si>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</si>
  <si>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</si>
  <si>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</si>
  <si>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</si>
  <si>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</si>
  <si>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</si>
  <si>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</si>
  <si>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T12+T01+T02+T03+T04+T05+T06+T07+T08+T09+T10</t>
  </si>
  <si>
    <t>Chị Hiếu</t>
  </si>
  <si>
    <t>Phô mai que AN</t>
  </si>
  <si>
    <t/>
  </si>
  <si>
    <t>Chênh lệch giá</t>
  </si>
  <si>
    <t>KH lẻ</t>
  </si>
  <si>
    <t>Hà</t>
  </si>
  <si>
    <t>Chị Quyên</t>
  </si>
  <si>
    <t>Chị 5</t>
  </si>
  <si>
    <t>Bác Bình - LH4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</si>
</sst>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9">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0" fontId="4" fillId="0" borderId="1" xfId="1" applyNumberFormat="1" applyFont="1" applyFill="1" applyBorder="1" applyAlignment="1">
      <alignment horizontal="center" vertical="center"/>
    </xf>
    <xf numFmtId="164" fontId="4" fillId="0" borderId="1" xfId="1" applyFont="1" applyFill="1" applyBorder="1" applyAlignment="1">
      <alignment vertical="center"/>
    </xf>
    <xf numFmtId="0" fontId="5" fillId="0" borderId="1" xfId="1" applyNumberFormat="1" applyFont="1" applyFill="1" applyBorder="1" applyAlignment="1">
      <alignment horizontal="center" vertical="center"/>
    </xf>
    <xf numFmtId="170" fontId="4" fillId="0" borderId="1" xfId="1" applyNumberFormat="1" applyFont="1" applyFill="1" applyBorder="1" applyAlignment="1">
      <alignment vertical="center"/>
    </xf>
    <xf numFmtId="164" fontId="5" fillId="0" borderId="1" xfId="1" applyFont="1" applyFill="1" applyBorder="1" applyAlignment="1">
      <alignment vertical="center"/>
    </xf>
    <xf numFmtId="165" fontId="4" fillId="0" borderId="1" xfId="1" applyNumberFormat="1" applyFont="1" applyFill="1" applyBorder="1" applyAlignment="1">
      <alignment vertical="center"/>
    </xf>
    <xf numFmtId="166" fontId="4" fillId="0" borderId="1" xfId="1" applyNumberFormat="1" applyFont="1" applyFill="1" applyBorder="1" applyAlignment="1">
      <alignment vertical="center"/>
    </xf>
    <xf numFmtId="164" fontId="6" fillId="0" borderId="1" xfId="1" applyFont="1" applyFill="1" applyBorder="1" applyAlignment="1">
      <alignment vertical="center"/>
    </xf>
    <xf numFmtId="164" fontId="9" fillId="0" borderId="1" xfId="1" applyFont="1" applyFill="1" applyBorder="1" applyAlignment="1">
      <alignment vertical="center"/>
    </xf>
    <xf numFmtId="164" fontId="17" fillId="0" borderId="1" xfId="1" applyFont="1" applyFill="1" applyBorder="1" applyAlignment="1">
      <alignment horizontal="center" vertical="center"/>
    </xf>
    <xf numFmtId="164" fontId="4" fillId="0" borderId="1" xfId="1" applyFont="1" applyFill="1" applyBorder="1" applyAlignment="1">
      <alignment horizontal="center" vertical="center"/>
    </xf>
    <xf numFmtId="164" fontId="0" fillId="7" borderId="0" xfId="0" quotePrefix="1" applyNumberFormat="1" applyFill="1"/>
    <xf numFmtId="164" fontId="43"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0" fontId="44" fillId="0" borderId="1" xfId="0" pivotButton="1" applyFont="1" applyBorder="1" applyAlignment="1">
      <alignment horizontal="center" vertical="top"/>
    </xf>
    <xf numFmtId="0" fontId="44" fillId="0" borderId="0" xfId="0" applyFont="1" applyAlignment="1">
      <alignment horizontal="center" vertical="center"/>
    </xf>
    <xf numFmtId="0" fontId="44" fillId="0" borderId="1" xfId="0" pivotButton="1" applyFont="1" applyBorder="1" applyAlignment="1">
      <alignment horizontal="center" vertical="center"/>
    </xf>
    <xf numFmtId="0" fontId="44" fillId="0" borderId="0" xfId="0" applyFont="1" applyAlignment="1">
      <alignment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298">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297"/>
      <tableStyleElement type="headerRow" dxfId="296"/>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2337" name="Button 1" hidden="1">
              <a:extLst>
                <a:ext uri="{63B3BB69-23CF-44E3-9099-C40C66FF867C}">
                  <a14:compatExt spid="_x0000_s7823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1313" name="Button 1" hidden="1">
              <a:extLst>
                <a:ext uri="{63B3BB69-23CF-44E3-9099-C40C66FF867C}">
                  <a14:compatExt spid="_x0000_s7813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0289" name="Button 1" hidden="1">
              <a:extLst>
                <a:ext uri="{63B3BB69-23CF-44E3-9099-C40C66FF867C}">
                  <a14:compatExt spid="_x0000_s7802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9265" name="Button 1" hidden="1">
              <a:extLst>
                <a:ext uri="{63B3BB69-23CF-44E3-9099-C40C66FF867C}">
                  <a14:compatExt spid="_x0000_s779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8241" name="Button 1" hidden="1">
              <a:extLst>
                <a:ext uri="{63B3BB69-23CF-44E3-9099-C40C66FF867C}">
                  <a14:compatExt spid="_x0000_s778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7217" name="Button 1" hidden="1">
              <a:extLst>
                <a:ext uri="{63B3BB69-23CF-44E3-9099-C40C66FF867C}">
                  <a14:compatExt spid="_x0000_s777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269">
      <pivotArea field="3" type="button" dataOnly="0" labelOnly="1" outline="0" axis="axisRow" fieldPosition="3"/>
    </format>
    <format dxfId="268">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67">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66">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65">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64">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63">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62">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61">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60">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59">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58">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57">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56">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55">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54">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5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52">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51">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50">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49">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4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47">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46">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45">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44">
      <pivotArea field="1" type="button" dataOnly="0" labelOnly="1" outline="0" axis="axisRow" fieldPosition="2"/>
    </format>
    <format dxfId="243">
      <pivotArea dataOnly="0" labelOnly="1" outline="0" fieldPosition="0">
        <references count="1">
          <reference field="1" count="0"/>
        </references>
      </pivotArea>
    </format>
    <format dxfId="242">
      <pivotArea field="0" type="button" dataOnly="0" labelOnly="1" outline="0" axis="axisRow" fieldPosition="0"/>
    </format>
    <format dxfId="241">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40">
      <pivotArea dataOnly="0" labelOnly="1" grandRow="1" outline="0" fieldPosition="0"/>
    </format>
    <format dxfId="239">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38">
      <pivotArea dataOnly="0" labelOnly="1" grandRow="1" outline="0" fieldPosition="0"/>
    </format>
    <format dxfId="237">
      <pivotArea field="2" type="button" dataOnly="0" labelOnly="1" outline="0" axis="axisRow" fieldPosition="1"/>
    </format>
    <format dxfId="236">
      <pivotArea type="all" dataOnly="0" outline="0" fieldPosition="0"/>
    </format>
    <format dxfId="235">
      <pivotArea field="0" type="button" dataOnly="0" labelOnly="1" outline="0" axis="axisRow" fieldPosition="0"/>
    </format>
    <format dxfId="234">
      <pivotArea field="2" type="button" dataOnly="0" labelOnly="1" outline="0" axis="axisRow" fieldPosition="1"/>
    </format>
    <format dxfId="233">
      <pivotArea field="1" type="button" dataOnly="0" labelOnly="1" outline="0" axis="axisRow" fieldPosition="2"/>
    </format>
    <format dxfId="232">
      <pivotArea field="3" type="button" dataOnly="0" labelOnly="1" outline="0" axis="axisRow" fieldPosition="3"/>
    </format>
    <format dxfId="231">
      <pivotArea field="0" type="button" dataOnly="0" labelOnly="1" outline="0" axis="axisRow" fieldPosition="0"/>
    </format>
    <format dxfId="230">
      <pivotArea field="2" type="button" dataOnly="0" labelOnly="1" outline="0" axis="axisRow" fieldPosition="1"/>
    </format>
    <format dxfId="229">
      <pivotArea field="1" type="button" dataOnly="0" labelOnly="1" outline="0" axis="axisRow" fieldPosition="2"/>
    </format>
    <format dxfId="228">
      <pivotArea field="3" type="button" dataOnly="0" labelOnly="1" outline="0" axis="axisRow" fieldPosition="3"/>
    </format>
    <format dxfId="227">
      <pivotArea field="0" type="button" dataOnly="0" labelOnly="1" outline="0" axis="axisRow" fieldPosition="0"/>
    </format>
    <format dxfId="226">
      <pivotArea field="2" type="button" dataOnly="0" labelOnly="1" outline="0" axis="axisRow" fieldPosition="1"/>
    </format>
    <format dxfId="225">
      <pivotArea dataOnly="0" labelOnly="1" outline="0" fieldPosition="0">
        <references count="3">
          <reference field="0" count="1" selected="0">
            <x v="4"/>
          </reference>
          <reference field="1" count="1">
            <x v="2"/>
          </reference>
          <reference field="2" count="1" selected="0">
            <x v="4"/>
          </reference>
        </references>
      </pivotArea>
    </format>
    <format dxfId="224">
      <pivotArea dataOnly="0" labelOnly="1" outline="0" fieldPosition="0">
        <references count="3">
          <reference field="0" count="1" selected="0">
            <x v="5"/>
          </reference>
          <reference field="1" count="1">
            <x v="8"/>
          </reference>
          <reference field="2" count="1" selected="0">
            <x v="5"/>
          </reference>
        </references>
      </pivotArea>
    </format>
    <format dxfId="223">
      <pivotArea dataOnly="0" labelOnly="1" outline="0" fieldPosition="0">
        <references count="3">
          <reference field="0" count="1" selected="0">
            <x v="8"/>
          </reference>
          <reference field="1" count="1">
            <x v="7"/>
          </reference>
          <reference field="2" count="1" selected="0">
            <x v="8"/>
          </reference>
        </references>
      </pivotArea>
    </format>
    <format dxfId="222">
      <pivotArea dataOnly="0" labelOnly="1" outline="0" fieldPosition="0">
        <references count="3">
          <reference field="0" count="1" selected="0">
            <x v="10"/>
          </reference>
          <reference field="1" count="1">
            <x v="13"/>
          </reference>
          <reference field="2" count="1" selected="0">
            <x v="10"/>
          </reference>
        </references>
      </pivotArea>
    </format>
    <format dxfId="221">
      <pivotArea dataOnly="0" labelOnly="1" outline="0" fieldPosition="0">
        <references count="3">
          <reference field="0" count="1" selected="0">
            <x v="11"/>
          </reference>
          <reference field="1" count="1">
            <x v="14"/>
          </reference>
          <reference field="2" count="1" selected="0">
            <x v="11"/>
          </reference>
        </references>
      </pivotArea>
    </format>
    <format dxfId="220">
      <pivotArea dataOnly="0" labelOnly="1" outline="0" fieldPosition="0">
        <references count="3">
          <reference field="0" count="1" selected="0">
            <x v="12"/>
          </reference>
          <reference field="1" count="1">
            <x v="15"/>
          </reference>
          <reference field="2" count="1" selected="0">
            <x v="12"/>
          </reference>
        </references>
      </pivotArea>
    </format>
    <format dxfId="219">
      <pivotArea dataOnly="0" labelOnly="1" outline="0" fieldPosition="0">
        <references count="3">
          <reference field="0" count="1" selected="0">
            <x v="13"/>
          </reference>
          <reference field="1" count="1">
            <x v="16"/>
          </reference>
          <reference field="2" count="1" selected="0">
            <x v="13"/>
          </reference>
        </references>
      </pivotArea>
    </format>
    <format dxfId="218">
      <pivotArea dataOnly="0" labelOnly="1" outline="0" fieldPosition="0">
        <references count="3">
          <reference field="0" count="1" selected="0">
            <x v="14"/>
          </reference>
          <reference field="1" count="1">
            <x v="17"/>
          </reference>
          <reference field="2" count="1" selected="0">
            <x v="14"/>
          </reference>
        </references>
      </pivotArea>
    </format>
    <format dxfId="217">
      <pivotArea dataOnly="0" labelOnly="1" outline="0" fieldPosition="0">
        <references count="3">
          <reference field="0" count="1" selected="0">
            <x v="15"/>
          </reference>
          <reference field="1" count="1">
            <x v="10"/>
          </reference>
          <reference field="2" count="1" selected="0">
            <x v="15"/>
          </reference>
        </references>
      </pivotArea>
    </format>
    <format dxfId="216">
      <pivotArea dataOnly="0" labelOnly="1" outline="0" fieldPosition="0">
        <references count="3">
          <reference field="0" count="1" selected="0">
            <x v="16"/>
          </reference>
          <reference field="1" count="1">
            <x v="11"/>
          </reference>
          <reference field="2" count="1" selected="0">
            <x v="16"/>
          </reference>
        </references>
      </pivotArea>
    </format>
    <format dxfId="215">
      <pivotArea dataOnly="0" labelOnly="1" outline="0" fieldPosition="0">
        <references count="3">
          <reference field="0" count="1" selected="0">
            <x v="17"/>
          </reference>
          <reference field="1" count="1">
            <x v="3"/>
          </reference>
          <reference field="2" count="1" selected="0">
            <x v="17"/>
          </reference>
        </references>
      </pivotArea>
    </format>
    <format dxfId="214">
      <pivotArea dataOnly="0" labelOnly="1" outline="0" fieldPosition="0">
        <references count="3">
          <reference field="0" count="1" selected="0">
            <x v="20"/>
          </reference>
          <reference field="1" count="1">
            <x v="18"/>
          </reference>
          <reference field="2" count="1" selected="0">
            <x v="20"/>
          </reference>
        </references>
      </pivotArea>
    </format>
    <format dxfId="213">
      <pivotArea dataOnly="0" labelOnly="1" outline="0" fieldPosition="0">
        <references count="3">
          <reference field="0" count="1" selected="0">
            <x v="25"/>
          </reference>
          <reference field="1" count="1">
            <x v="1"/>
          </reference>
          <reference field="2" count="1" selected="0">
            <x v="25"/>
          </reference>
        </references>
      </pivotArea>
    </format>
    <format dxfId="212">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11">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10">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09">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08">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07">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06">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05">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04">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03">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02">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01">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00">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199">
      <pivotArea dataOnly="0" labelOnly="1" outline="0" fieldPosition="0">
        <references count="2">
          <reference field="0" count="1" selected="0">
            <x v="0"/>
          </reference>
          <reference field="2" count="1">
            <x v="0"/>
          </reference>
        </references>
      </pivotArea>
    </format>
    <format dxfId="198">
      <pivotArea dataOnly="0" labelOnly="1" outline="0" fieldPosition="0">
        <references count="2">
          <reference field="0" count="1" selected="0">
            <x v="1"/>
          </reference>
          <reference field="2" count="1">
            <x v="1"/>
          </reference>
        </references>
      </pivotArea>
    </format>
    <format dxfId="197">
      <pivotArea dataOnly="0" labelOnly="1" outline="0" fieldPosition="0">
        <references count="2">
          <reference field="0" count="1" selected="0">
            <x v="2"/>
          </reference>
          <reference field="2" count="1">
            <x v="2"/>
          </reference>
        </references>
      </pivotArea>
    </format>
    <format dxfId="196">
      <pivotArea dataOnly="0" labelOnly="1" outline="0" fieldPosition="0">
        <references count="2">
          <reference field="0" count="1" selected="0">
            <x v="3"/>
          </reference>
          <reference field="2" count="1">
            <x v="3"/>
          </reference>
        </references>
      </pivotArea>
    </format>
    <format dxfId="195">
      <pivotArea dataOnly="0" labelOnly="1" outline="0" fieldPosition="0">
        <references count="2">
          <reference field="0" count="1" selected="0">
            <x v="4"/>
          </reference>
          <reference field="2" count="1">
            <x v="4"/>
          </reference>
        </references>
      </pivotArea>
    </format>
    <format dxfId="194">
      <pivotArea dataOnly="0" labelOnly="1" outline="0" fieldPosition="0">
        <references count="2">
          <reference field="0" count="1" selected="0">
            <x v="5"/>
          </reference>
          <reference field="2" count="1">
            <x v="5"/>
          </reference>
        </references>
      </pivotArea>
    </format>
    <format dxfId="193">
      <pivotArea dataOnly="0" labelOnly="1" outline="0" fieldPosition="0">
        <references count="2">
          <reference field="0" count="1" selected="0">
            <x v="6"/>
          </reference>
          <reference field="2" count="1">
            <x v="6"/>
          </reference>
        </references>
      </pivotArea>
    </format>
    <format dxfId="192">
      <pivotArea dataOnly="0" labelOnly="1" outline="0" fieldPosition="0">
        <references count="2">
          <reference field="0" count="1" selected="0">
            <x v="7"/>
          </reference>
          <reference field="2" count="1">
            <x v="7"/>
          </reference>
        </references>
      </pivotArea>
    </format>
    <format dxfId="191">
      <pivotArea dataOnly="0" labelOnly="1" outline="0" fieldPosition="0">
        <references count="2">
          <reference field="0" count="1" selected="0">
            <x v="8"/>
          </reference>
          <reference field="2" count="1">
            <x v="8"/>
          </reference>
        </references>
      </pivotArea>
    </format>
    <format dxfId="190">
      <pivotArea dataOnly="0" labelOnly="1" outline="0" fieldPosition="0">
        <references count="2">
          <reference field="0" count="1" selected="0">
            <x v="9"/>
          </reference>
          <reference field="2" count="1">
            <x v="9"/>
          </reference>
        </references>
      </pivotArea>
    </format>
    <format dxfId="189">
      <pivotArea dataOnly="0" labelOnly="1" outline="0" fieldPosition="0">
        <references count="2">
          <reference field="0" count="1" selected="0">
            <x v="10"/>
          </reference>
          <reference field="2" count="1">
            <x v="10"/>
          </reference>
        </references>
      </pivotArea>
    </format>
    <format dxfId="188">
      <pivotArea dataOnly="0" labelOnly="1" outline="0" fieldPosition="0">
        <references count="2">
          <reference field="0" count="1" selected="0">
            <x v="11"/>
          </reference>
          <reference field="2" count="1">
            <x v="11"/>
          </reference>
        </references>
      </pivotArea>
    </format>
    <format dxfId="187">
      <pivotArea dataOnly="0" labelOnly="1" outline="0" fieldPosition="0">
        <references count="2">
          <reference field="0" count="1" selected="0">
            <x v="12"/>
          </reference>
          <reference field="2" count="1">
            <x v="12"/>
          </reference>
        </references>
      </pivotArea>
    </format>
    <format dxfId="186">
      <pivotArea dataOnly="0" labelOnly="1" outline="0" fieldPosition="0">
        <references count="2">
          <reference field="0" count="1" selected="0">
            <x v="13"/>
          </reference>
          <reference field="2" count="1">
            <x v="13"/>
          </reference>
        </references>
      </pivotArea>
    </format>
    <format dxfId="185">
      <pivotArea dataOnly="0" labelOnly="1" outline="0" fieldPosition="0">
        <references count="2">
          <reference field="0" count="1" selected="0">
            <x v="14"/>
          </reference>
          <reference field="2" count="1">
            <x v="14"/>
          </reference>
        </references>
      </pivotArea>
    </format>
    <format dxfId="184">
      <pivotArea dataOnly="0" labelOnly="1" outline="0" fieldPosition="0">
        <references count="2">
          <reference field="0" count="1" selected="0">
            <x v="15"/>
          </reference>
          <reference field="2" count="1">
            <x v="15"/>
          </reference>
        </references>
      </pivotArea>
    </format>
    <format dxfId="183">
      <pivotArea dataOnly="0" labelOnly="1" outline="0" fieldPosition="0">
        <references count="2">
          <reference field="0" count="1" selected="0">
            <x v="16"/>
          </reference>
          <reference field="2" count="1">
            <x v="16"/>
          </reference>
        </references>
      </pivotArea>
    </format>
    <format dxfId="182">
      <pivotArea dataOnly="0" labelOnly="1" outline="0" fieldPosition="0">
        <references count="2">
          <reference field="0" count="1" selected="0">
            <x v="17"/>
          </reference>
          <reference field="2" count="1">
            <x v="17"/>
          </reference>
        </references>
      </pivotArea>
    </format>
    <format dxfId="181">
      <pivotArea dataOnly="0" labelOnly="1" outline="0" fieldPosition="0">
        <references count="2">
          <reference field="0" count="1" selected="0">
            <x v="18"/>
          </reference>
          <reference field="2" count="1">
            <x v="18"/>
          </reference>
        </references>
      </pivotArea>
    </format>
    <format dxfId="180">
      <pivotArea dataOnly="0" labelOnly="1" outline="0" fieldPosition="0">
        <references count="2">
          <reference field="0" count="1" selected="0">
            <x v="19"/>
          </reference>
          <reference field="2" count="1">
            <x v="19"/>
          </reference>
        </references>
      </pivotArea>
    </format>
    <format dxfId="179">
      <pivotArea dataOnly="0" labelOnly="1" outline="0" fieldPosition="0">
        <references count="2">
          <reference field="0" count="1" selected="0">
            <x v="20"/>
          </reference>
          <reference field="2" count="1">
            <x v="20"/>
          </reference>
        </references>
      </pivotArea>
    </format>
    <format dxfId="178">
      <pivotArea dataOnly="0" labelOnly="1" outline="0" fieldPosition="0">
        <references count="2">
          <reference field="0" count="1" selected="0">
            <x v="21"/>
          </reference>
          <reference field="2" count="1">
            <x v="21"/>
          </reference>
        </references>
      </pivotArea>
    </format>
    <format dxfId="177">
      <pivotArea dataOnly="0" labelOnly="1" outline="0" fieldPosition="0">
        <references count="2">
          <reference field="0" count="1" selected="0">
            <x v="22"/>
          </reference>
          <reference field="2" count="1">
            <x v="22"/>
          </reference>
        </references>
      </pivotArea>
    </format>
    <format dxfId="176">
      <pivotArea dataOnly="0" labelOnly="1" outline="0" fieldPosition="0">
        <references count="2">
          <reference field="0" count="1" selected="0">
            <x v="23"/>
          </reference>
          <reference field="2" count="1">
            <x v="23"/>
          </reference>
        </references>
      </pivotArea>
    </format>
    <format dxfId="175">
      <pivotArea dataOnly="0" labelOnly="1" outline="0" fieldPosition="0">
        <references count="2">
          <reference field="0" count="1" selected="0">
            <x v="24"/>
          </reference>
          <reference field="2" count="1">
            <x v="24"/>
          </reference>
        </references>
      </pivotArea>
    </format>
    <format dxfId="174">
      <pivotArea dataOnly="0" labelOnly="1" outline="0" fieldPosition="0">
        <references count="2">
          <reference field="0" count="1" selected="0">
            <x v="25"/>
          </reference>
          <reference field="2" count="1">
            <x v="25"/>
          </reference>
        </references>
      </pivotArea>
    </format>
    <format dxfId="173">
      <pivotArea dataOnly="0" labelOnly="1" outline="0" fieldPosition="0">
        <references count="2">
          <reference field="0" count="1" selected="0">
            <x v="26"/>
          </reference>
          <reference field="2" count="1">
            <x v="26"/>
          </reference>
        </references>
      </pivotArea>
    </format>
    <format dxfId="172">
      <pivotArea dataOnly="0" labelOnly="1" outline="0" fieldPosition="0">
        <references count="2">
          <reference field="0" count="1" selected="0">
            <x v="27"/>
          </reference>
          <reference field="2" count="1">
            <x v="27"/>
          </reference>
        </references>
      </pivotArea>
    </format>
    <format dxfId="171">
      <pivotArea dataOnly="0" labelOnly="1" outline="0" fieldPosition="0">
        <references count="2">
          <reference field="0" count="1" selected="0">
            <x v="28"/>
          </reference>
          <reference field="2" count="1">
            <x v="28"/>
          </reference>
        </references>
      </pivotArea>
    </format>
    <format dxfId="170">
      <pivotArea dataOnly="0" labelOnly="1" outline="0" fieldPosition="0">
        <references count="2">
          <reference field="0" count="1" selected="0">
            <x v="29"/>
          </reference>
          <reference field="2" count="1">
            <x v="29"/>
          </reference>
        </references>
      </pivotArea>
    </format>
    <format dxfId="169">
      <pivotArea dataOnly="0" labelOnly="1" outline="0" fieldPosition="0">
        <references count="2">
          <reference field="0" count="1" selected="0">
            <x v="30"/>
          </reference>
          <reference field="2" count="1">
            <x v="30"/>
          </reference>
        </references>
      </pivotArea>
    </format>
    <format dxfId="168">
      <pivotArea dataOnly="0" labelOnly="1" outline="0" fieldPosition="0">
        <references count="2">
          <reference field="0" count="1" selected="0">
            <x v="31"/>
          </reference>
          <reference field="2" count="1">
            <x v="31"/>
          </reference>
        </references>
      </pivotArea>
    </format>
    <format dxfId="167">
      <pivotArea dataOnly="0" labelOnly="1" outline="0" fieldPosition="0">
        <references count="2">
          <reference field="0" count="1" selected="0">
            <x v="32"/>
          </reference>
          <reference field="2" count="1">
            <x v="32"/>
          </reference>
        </references>
      </pivotArea>
    </format>
    <format dxfId="166">
      <pivotArea dataOnly="0" labelOnly="1" outline="0" fieldPosition="0">
        <references count="2">
          <reference field="0" count="1" selected="0">
            <x v="33"/>
          </reference>
          <reference field="2" count="1">
            <x v="33"/>
          </reference>
        </references>
      </pivotArea>
    </format>
    <format dxfId="165">
      <pivotArea dataOnly="0" labelOnly="1" outline="0" fieldPosition="0">
        <references count="2">
          <reference field="0" count="1" selected="0">
            <x v="34"/>
          </reference>
          <reference field="2" count="1">
            <x v="34"/>
          </reference>
        </references>
      </pivotArea>
    </format>
    <format dxfId="164">
      <pivotArea dataOnly="0" labelOnly="1" outline="0" fieldPosition="0">
        <references count="2">
          <reference field="0" count="1" selected="0">
            <x v="35"/>
          </reference>
          <reference field="2" count="1">
            <x v="35"/>
          </reference>
        </references>
      </pivotArea>
    </format>
    <format dxfId="163">
      <pivotArea dataOnly="0" labelOnly="1" outline="0" fieldPosition="0">
        <references count="2">
          <reference field="0" count="1" selected="0">
            <x v="36"/>
          </reference>
          <reference field="2" count="1">
            <x v="36"/>
          </reference>
        </references>
      </pivotArea>
    </format>
    <format dxfId="162">
      <pivotArea dataOnly="0" labelOnly="1" outline="0" fieldPosition="0">
        <references count="2">
          <reference field="0" count="1" selected="0">
            <x v="37"/>
          </reference>
          <reference field="2" count="1">
            <x v="37"/>
          </reference>
        </references>
      </pivotArea>
    </format>
    <format dxfId="161">
      <pivotArea dataOnly="0" labelOnly="1" outline="0" fieldPosition="0">
        <references count="2">
          <reference field="0" count="1" selected="0">
            <x v="38"/>
          </reference>
          <reference field="2" count="1">
            <x v="38"/>
          </reference>
        </references>
      </pivotArea>
    </format>
    <format dxfId="160">
      <pivotArea dataOnly="0" labelOnly="1" outline="0" fieldPosition="0">
        <references count="2">
          <reference field="0" count="1" selected="0">
            <x v="39"/>
          </reference>
          <reference field="2" count="1">
            <x v="39"/>
          </reference>
        </references>
      </pivotArea>
    </format>
    <format dxfId="159">
      <pivotArea dataOnly="0" labelOnly="1" outline="0" fieldPosition="0">
        <references count="2">
          <reference field="0" count="1" selected="0">
            <x v="40"/>
          </reference>
          <reference field="2" count="1">
            <x v="40"/>
          </reference>
        </references>
      </pivotArea>
    </format>
    <format dxfId="158">
      <pivotArea dataOnly="0" labelOnly="1" outline="0" fieldPosition="0">
        <references count="3">
          <reference field="0" count="1" selected="0">
            <x v="4"/>
          </reference>
          <reference field="1" count="1">
            <x v="2"/>
          </reference>
          <reference field="2" count="1" selected="0">
            <x v="4"/>
          </reference>
        </references>
      </pivotArea>
    </format>
    <format dxfId="157">
      <pivotArea dataOnly="0" labelOnly="1" outline="0" fieldPosition="0">
        <references count="3">
          <reference field="0" count="1" selected="0">
            <x v="5"/>
          </reference>
          <reference field="1" count="1">
            <x v="8"/>
          </reference>
          <reference field="2" count="1" selected="0">
            <x v="5"/>
          </reference>
        </references>
      </pivotArea>
    </format>
    <format dxfId="156">
      <pivotArea dataOnly="0" labelOnly="1" outline="0" fieldPosition="0">
        <references count="3">
          <reference field="0" count="1" selected="0">
            <x v="8"/>
          </reference>
          <reference field="1" count="1">
            <x v="7"/>
          </reference>
          <reference field="2" count="1" selected="0">
            <x v="8"/>
          </reference>
        </references>
      </pivotArea>
    </format>
    <format dxfId="155">
      <pivotArea dataOnly="0" labelOnly="1" outline="0" fieldPosition="0">
        <references count="3">
          <reference field="0" count="1" selected="0">
            <x v="10"/>
          </reference>
          <reference field="1" count="1">
            <x v="13"/>
          </reference>
          <reference field="2" count="1" selected="0">
            <x v="10"/>
          </reference>
        </references>
      </pivotArea>
    </format>
    <format dxfId="154">
      <pivotArea dataOnly="0" labelOnly="1" outline="0" fieldPosition="0">
        <references count="3">
          <reference field="0" count="1" selected="0">
            <x v="11"/>
          </reference>
          <reference field="1" count="1">
            <x v="14"/>
          </reference>
          <reference field="2" count="1" selected="0">
            <x v="11"/>
          </reference>
        </references>
      </pivotArea>
    </format>
    <format dxfId="153">
      <pivotArea dataOnly="0" labelOnly="1" outline="0" fieldPosition="0">
        <references count="3">
          <reference field="0" count="1" selected="0">
            <x v="12"/>
          </reference>
          <reference field="1" count="1">
            <x v="15"/>
          </reference>
          <reference field="2" count="1" selected="0">
            <x v="12"/>
          </reference>
        </references>
      </pivotArea>
    </format>
    <format dxfId="152">
      <pivotArea dataOnly="0" labelOnly="1" outline="0" fieldPosition="0">
        <references count="3">
          <reference field="0" count="1" selected="0">
            <x v="13"/>
          </reference>
          <reference field="1" count="1">
            <x v="16"/>
          </reference>
          <reference field="2" count="1" selected="0">
            <x v="13"/>
          </reference>
        </references>
      </pivotArea>
    </format>
    <format dxfId="151">
      <pivotArea dataOnly="0" labelOnly="1" outline="0" fieldPosition="0">
        <references count="3">
          <reference field="0" count="1" selected="0">
            <x v="14"/>
          </reference>
          <reference field="1" count="1">
            <x v="17"/>
          </reference>
          <reference field="2" count="1" selected="0">
            <x v="14"/>
          </reference>
        </references>
      </pivotArea>
    </format>
    <format dxfId="150">
      <pivotArea dataOnly="0" labelOnly="1" outline="0" fieldPosition="0">
        <references count="3">
          <reference field="0" count="1" selected="0">
            <x v="15"/>
          </reference>
          <reference field="1" count="1">
            <x v="10"/>
          </reference>
          <reference field="2" count="1" selected="0">
            <x v="15"/>
          </reference>
        </references>
      </pivotArea>
    </format>
    <format dxfId="149">
      <pivotArea dataOnly="0" labelOnly="1" outline="0" fieldPosition="0">
        <references count="3">
          <reference field="0" count="1" selected="0">
            <x v="16"/>
          </reference>
          <reference field="1" count="1">
            <x v="11"/>
          </reference>
          <reference field="2" count="1" selected="0">
            <x v="16"/>
          </reference>
        </references>
      </pivotArea>
    </format>
    <format dxfId="148">
      <pivotArea dataOnly="0" labelOnly="1" outline="0" fieldPosition="0">
        <references count="3">
          <reference field="0" count="1" selected="0">
            <x v="17"/>
          </reference>
          <reference field="1" count="1">
            <x v="3"/>
          </reference>
          <reference field="2" count="1" selected="0">
            <x v="17"/>
          </reference>
        </references>
      </pivotArea>
    </format>
    <format dxfId="147">
      <pivotArea dataOnly="0" labelOnly="1" outline="0" fieldPosition="0">
        <references count="3">
          <reference field="0" count="1" selected="0">
            <x v="20"/>
          </reference>
          <reference field="1" count="1">
            <x v="18"/>
          </reference>
          <reference field="2" count="1" selected="0">
            <x v="20"/>
          </reference>
        </references>
      </pivotArea>
    </format>
    <format dxfId="146">
      <pivotArea dataOnly="0" labelOnly="1" outline="0" fieldPosition="0">
        <references count="3">
          <reference field="0" count="1" selected="0">
            <x v="25"/>
          </reference>
          <reference field="1" count="1">
            <x v="1"/>
          </reference>
          <reference field="2" count="1" selected="0">
            <x v="25"/>
          </reference>
        </references>
      </pivotArea>
    </format>
    <format dxfId="145">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144">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143">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142">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141">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140">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139">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138">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137">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136">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135">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134">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133">
      <pivotArea type="all" dataOnly="0" outline="0" fieldPosition="0"/>
    </format>
    <format dxfId="132">
      <pivotArea type="all" dataOnly="0" outline="0" fieldPosition="0"/>
    </format>
    <format dxfId="131">
      <pivotArea type="all" dataOnly="0" outline="0" fieldPosition="0"/>
    </format>
    <format dxfId="130">
      <pivotArea dataOnly="0" labelOnly="1" outline="0" fieldPosition="0">
        <references count="1">
          <reference field="0" count="3">
            <x v="0"/>
            <x v="1"/>
            <x v="2"/>
          </reference>
        </references>
      </pivotArea>
    </format>
    <format dxfId="129">
      <pivotArea dataOnly="0" labelOnly="1" outline="0" fieldPosition="0">
        <references count="2">
          <reference field="0" count="1" selected="0">
            <x v="0"/>
          </reference>
          <reference field="2" count="1">
            <x v="0"/>
          </reference>
        </references>
      </pivotArea>
    </format>
    <format dxfId="128">
      <pivotArea dataOnly="0" labelOnly="1" outline="0" fieldPosition="0">
        <references count="2">
          <reference field="0" count="1" selected="0">
            <x v="1"/>
          </reference>
          <reference field="2" count="1">
            <x v="1"/>
          </reference>
        </references>
      </pivotArea>
    </format>
    <format dxfId="127">
      <pivotArea dataOnly="0" labelOnly="1" outline="0" fieldPosition="0">
        <references count="2">
          <reference field="0" count="1" selected="0">
            <x v="2"/>
          </reference>
          <reference field="2" count="1">
            <x v="2"/>
          </reference>
        </references>
      </pivotArea>
    </format>
    <format dxfId="126">
      <pivotArea dataOnly="0" labelOnly="1" outline="0" fieldPosition="0">
        <references count="1">
          <reference field="1" count="0"/>
        </references>
      </pivotArea>
    </format>
    <format dxfId="125">
      <pivotArea dataOnly="0" labelOnly="1" outline="0" fieldPosition="0">
        <references count="1">
          <reference field="0" count="1">
            <x v="42"/>
          </reference>
        </references>
      </pivotArea>
    </format>
    <format dxfId="124">
      <pivotArea dataOnly="0" labelOnly="1" outline="0" fieldPosition="0">
        <references count="1">
          <reference field="0" count="1">
            <x v="41"/>
          </reference>
        </references>
      </pivotArea>
    </format>
    <format dxfId="123">
      <pivotArea dataOnly="0" labelOnly="1" outline="0" fieldPosition="0">
        <references count="1">
          <reference field="0" count="1">
            <x v="1"/>
          </reference>
        </references>
      </pivotArea>
    </format>
    <format dxfId="122">
      <pivotArea dataOnly="0" labelOnly="1" outline="0" fieldPosition="0">
        <references count="2">
          <reference field="0" count="1" selected="0">
            <x v="1"/>
          </reference>
          <reference field="2" count="1">
            <x v="1"/>
          </reference>
        </references>
      </pivotArea>
    </format>
    <format dxfId="121">
      <pivotArea field="1" type="button" dataOnly="0" labelOnly="1" outline="0" axis="axisRow" fieldPosition="2"/>
    </format>
    <format dxfId="120">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K1" zoomScale="85" zoomScaleNormal="85" workbookViewId="0">
      <selection activeCell="AH5" sqref="AH5"/>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245</v>
      </c>
      <c r="J1" s="208" t="s">
        <v>242</v>
      </c>
      <c r="K1" s="208" t="s">
        <v>243</v>
      </c>
      <c r="L1" s="208" t="s">
        <v>234</v>
      </c>
      <c r="M1" s="208" t="s">
        <v>236</v>
      </c>
      <c r="N1" s="234" t="s">
        <v>289</v>
      </c>
      <c r="O1" s="208" t="s">
        <v>248</v>
      </c>
      <c r="P1" s="209" t="s">
        <v>239</v>
      </c>
      <c r="Q1" s="209" t="s">
        <v>244</v>
      </c>
      <c r="R1" s="208" t="s">
        <v>240</v>
      </c>
      <c r="S1" s="208" t="s">
        <v>241</v>
      </c>
      <c r="V1" s="268" t="s">
        <v>270</v>
      </c>
      <c r="W1" s="155">
        <f>SUM(X1:BB1)</f>
        <v>2770</v>
      </c>
      <c r="X1" s="227">
        <v>250</v>
      </c>
      <c r="Y1" s="269">
        <f>COUNTIF(Y4:AA4,"&gt;0")*1000-SUM(Y4:AA4)</f>
        <v>670</v>
      </c>
      <c r="Z1" s="270"/>
      <c r="AA1" s="270"/>
      <c r="AB1" s="269">
        <f t="shared" ref="AB1" si="0">COUNTIF(AB4:AD4,"&gt;0")*1000-SUM(AB4:AD4)</f>
        <v>950</v>
      </c>
      <c r="AC1" s="270"/>
      <c r="AD1" s="270"/>
      <c r="AE1" s="269">
        <f t="shared" ref="AE1" si="1">COUNTIF(AE4:AG4,"&gt;0")*1000-SUM(AE4:AG4)</f>
        <v>700</v>
      </c>
      <c r="AF1" s="270"/>
      <c r="AG1" s="270"/>
      <c r="AH1" s="269">
        <f t="shared" ref="AH1" si="2">COUNTIF(AH4:AJ4,"&gt;0")*1000-SUM(AH4:AJ4)</f>
        <v>200</v>
      </c>
      <c r="AI1" s="270"/>
      <c r="AJ1" s="270"/>
      <c r="AK1" s="269">
        <f t="shared" ref="AK1" si="3">COUNTIF(AK4:AM4,"&gt;0")*1000-SUM(AK4:AM4)</f>
        <v>0</v>
      </c>
      <c r="AL1" s="270"/>
      <c r="AM1" s="270"/>
      <c r="AN1" s="269">
        <f t="shared" ref="AN1" si="4">COUNTIF(AN4:AP4,"&gt;0")*1000-SUM(AN4:AP4)</f>
        <v>0</v>
      </c>
      <c r="AO1" s="270"/>
      <c r="AP1" s="270"/>
      <c r="AQ1" s="269">
        <f t="shared" ref="AQ1" si="5">COUNTIF(AQ4:AS4,"&gt;0")*1000-SUM(AQ4:AS4)</f>
        <v>0</v>
      </c>
      <c r="AR1" s="270"/>
      <c r="AS1" s="270"/>
      <c r="AT1" s="269">
        <f t="shared" ref="AT1" si="6">COUNTIF(AT4:AV4,"&gt;0")*1000-SUM(AT4:AV4)</f>
        <v>0</v>
      </c>
      <c r="AU1" s="270"/>
      <c r="AV1" s="270"/>
      <c r="AW1" s="269">
        <f t="shared" ref="AW1" si="7">COUNTIF(AW4:AY4,"&gt;0")*1000-SUM(AW4:AY4)</f>
        <v>0</v>
      </c>
      <c r="AX1" s="270"/>
      <c r="AY1" s="270"/>
      <c r="AZ1" s="269">
        <f t="shared" ref="AZ1" si="8">COUNTIF(AZ4:BB4,"&gt;0")*1000-SUM(AZ4:BB4)</f>
        <v>0</v>
      </c>
      <c r="BA1" s="270"/>
      <c r="BB1" s="270"/>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8"/>
      <c r="W2" s="155"/>
      <c r="X2" s="106" t="s">
        <v>214</v>
      </c>
      <c r="Y2" s="267" t="s">
        <v>215</v>
      </c>
      <c r="Z2" s="267"/>
      <c r="AA2" s="267"/>
      <c r="AB2" s="266" t="s">
        <v>216</v>
      </c>
      <c r="AC2" s="266"/>
      <c r="AD2" s="266"/>
      <c r="AE2" s="267" t="s">
        <v>217</v>
      </c>
      <c r="AF2" s="267"/>
      <c r="AG2" s="267"/>
      <c r="AH2" s="266" t="s">
        <v>218</v>
      </c>
      <c r="AI2" s="266"/>
      <c r="AJ2" s="266"/>
      <c r="AK2" s="267" t="s">
        <v>219</v>
      </c>
      <c r="AL2" s="267"/>
      <c r="AM2" s="267"/>
      <c r="AN2" s="266" t="s">
        <v>220</v>
      </c>
      <c r="AO2" s="266"/>
      <c r="AP2" s="266"/>
      <c r="AQ2" s="267" t="s">
        <v>269</v>
      </c>
      <c r="AR2" s="267"/>
      <c r="AS2" s="267"/>
      <c r="AT2" s="266" t="s">
        <v>210</v>
      </c>
      <c r="AU2" s="266"/>
      <c r="AV2" s="266"/>
      <c r="AW2" s="267" t="s">
        <v>211</v>
      </c>
      <c r="AX2" s="267"/>
      <c r="AY2" s="267"/>
      <c r="AZ2" s="266" t="s">
        <v>212</v>
      </c>
      <c r="BA2" s="266"/>
      <c r="BB2" s="266"/>
    </row>
    <row r="3" spans="1:60" s="96" customFormat="1" ht="20.100000000000001" customHeight="1" x14ac:dyDescent="0.2">
      <c r="A3" s="102"/>
      <c r="B3" s="98"/>
      <c r="C3" s="105">
        <v>8.6000000000000014</v>
      </c>
      <c r="D3" s="105">
        <v>36</v>
      </c>
      <c r="E3" s="105"/>
      <c r="F3" s="99">
        <v>1509.4</v>
      </c>
      <c r="G3" s="99">
        <v>0</v>
      </c>
      <c r="H3" s="99">
        <v>1509.4</v>
      </c>
      <c r="I3" s="106" t="s">
        <v>209</v>
      </c>
      <c r="J3" s="206" t="s">
        <v>249</v>
      </c>
      <c r="K3" s="207">
        <f>SUM(L3:S3)</f>
        <v>5695.3333333333339</v>
      </c>
      <c r="L3" s="26" t="s">
        <v>235</v>
      </c>
      <c r="M3" s="26">
        <v>0</v>
      </c>
      <c r="N3" s="26">
        <v>0</v>
      </c>
      <c r="O3" s="26">
        <v>0</v>
      </c>
      <c r="P3" s="26">
        <v>1162</v>
      </c>
      <c r="Q3" s="26">
        <v>200</v>
      </c>
      <c r="R3" s="26">
        <v>1000</v>
      </c>
      <c r="S3" s="26">
        <f>40/12*1000</f>
        <v>3333.3333333333335</v>
      </c>
      <c r="V3" s="268"/>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249</v>
      </c>
      <c r="K4" s="207">
        <f t="shared" ref="K4:K14" si="10">SUM(L4:S4)</f>
        <v>8337.3333333333339</v>
      </c>
      <c r="L4" s="26">
        <v>2000</v>
      </c>
      <c r="M4" s="26">
        <v>300</v>
      </c>
      <c r="N4" s="26">
        <v>0</v>
      </c>
      <c r="O4" s="26">
        <v>0</v>
      </c>
      <c r="P4" s="26">
        <v>1204</v>
      </c>
      <c r="Q4" s="26">
        <v>500</v>
      </c>
      <c r="R4" s="26">
        <v>1000</v>
      </c>
      <c r="S4" s="26">
        <f>40/12*1000</f>
        <v>3333.3333333333335</v>
      </c>
      <c r="W4" s="230">
        <f>SUM(X4:BB4)</f>
        <v>8230</v>
      </c>
      <c r="X4" s="207">
        <v>750</v>
      </c>
      <c r="Y4" s="207">
        <v>700</v>
      </c>
      <c r="Z4" s="207">
        <v>850</v>
      </c>
      <c r="AA4" s="207">
        <v>780</v>
      </c>
      <c r="AB4" s="207">
        <v>700</v>
      </c>
      <c r="AC4" s="207">
        <v>650</v>
      </c>
      <c r="AD4" s="207">
        <v>700</v>
      </c>
      <c r="AE4" s="207">
        <v>800</v>
      </c>
      <c r="AF4" s="207">
        <v>750</v>
      </c>
      <c r="AG4" s="207">
        <v>750</v>
      </c>
      <c r="AH4" s="207">
        <v>800</v>
      </c>
      <c r="AI4" s="207">
        <v>0</v>
      </c>
      <c r="AJ4" s="207">
        <v>0</v>
      </c>
      <c r="AK4" s="207">
        <v>0</v>
      </c>
      <c r="AL4" s="207">
        <v>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249</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12910</v>
      </c>
      <c r="Y6" s="265">
        <v>4200</v>
      </c>
      <c r="Z6" s="265"/>
      <c r="AA6" s="265"/>
      <c r="AB6" s="265">
        <v>4100</v>
      </c>
      <c r="AC6" s="265"/>
      <c r="AD6" s="265"/>
      <c r="AE6" s="265">
        <v>4200</v>
      </c>
      <c r="AF6" s="265"/>
      <c r="AG6" s="265"/>
      <c r="AH6" s="265">
        <v>410</v>
      </c>
      <c r="AI6" s="265"/>
      <c r="AJ6" s="265"/>
      <c r="AK6" s="265"/>
      <c r="AL6" s="265"/>
      <c r="AM6" s="265"/>
      <c r="AN6" s="265"/>
      <c r="AO6" s="265"/>
      <c r="AP6" s="265"/>
      <c r="AQ6" s="265"/>
      <c r="AR6" s="265"/>
      <c r="AS6" s="265"/>
      <c r="AT6" s="265"/>
      <c r="AU6" s="265"/>
      <c r="AV6" s="265"/>
      <c r="AW6" s="265"/>
      <c r="AX6" s="265"/>
      <c r="AY6" s="265"/>
      <c r="AZ6" s="265"/>
      <c r="BA6" s="265"/>
      <c r="BB6" s="265"/>
      <c r="BC6" s="265"/>
      <c r="BD6" s="265"/>
      <c r="BE6" s="265"/>
      <c r="BF6" s="265"/>
      <c r="BG6" s="265"/>
      <c r="BH6" s="265"/>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7090</v>
      </c>
      <c r="Y8" s="265">
        <f>COUNTIF(Y6,"&gt;0")*5000-Y6</f>
        <v>800</v>
      </c>
      <c r="Z8" s="265"/>
      <c r="AA8" s="265"/>
      <c r="AB8" s="265">
        <f t="shared" ref="AB8" si="12">COUNTIF(AB6,"&gt;0")*5000-AB6</f>
        <v>900</v>
      </c>
      <c r="AC8" s="265"/>
      <c r="AD8" s="265"/>
      <c r="AE8" s="265">
        <f t="shared" ref="AE8" si="13">COUNTIF(AE6,"&gt;0")*5000-AE6</f>
        <v>800</v>
      </c>
      <c r="AF8" s="265"/>
      <c r="AG8" s="265"/>
      <c r="AH8" s="265">
        <f t="shared" ref="AH8" si="14">COUNTIF(AH6,"&gt;0")*5000-AH6</f>
        <v>4590</v>
      </c>
      <c r="AI8" s="265"/>
      <c r="AJ8" s="265"/>
      <c r="AK8" s="265">
        <f t="shared" ref="AK8" si="15">COUNTIF(AK6,"&gt;0")*5000-AK6</f>
        <v>0</v>
      </c>
      <c r="AL8" s="265"/>
      <c r="AM8" s="265"/>
      <c r="AN8" s="265">
        <f t="shared" ref="AN8" si="16">COUNTIF(AN6,"&gt;0")*5000-AN6</f>
        <v>0</v>
      </c>
      <c r="AO8" s="265"/>
      <c r="AP8" s="265"/>
      <c r="AQ8" s="265">
        <f t="shared" ref="AQ8" si="17">COUNTIF(AQ6,"&gt;0")*5000-AQ6</f>
        <v>0</v>
      </c>
      <c r="AR8" s="265"/>
      <c r="AS8" s="265"/>
      <c r="AT8" s="265">
        <f t="shared" ref="AT8" si="18">COUNTIF(AT6,"&gt;0")*5000-AT6</f>
        <v>0</v>
      </c>
      <c r="AU8" s="265"/>
      <c r="AV8" s="265"/>
      <c r="AW8" s="265">
        <f t="shared" ref="AW8" si="19">COUNTIF(AW6,"&gt;0")*5000-AW6</f>
        <v>0</v>
      </c>
      <c r="AX8" s="265"/>
      <c r="AY8" s="265"/>
      <c r="AZ8" s="265">
        <f t="shared" ref="AZ8" si="20">COUNTIF(AZ6,"&gt;0")*5000-AZ6</f>
        <v>0</v>
      </c>
      <c r="BA8" s="265"/>
      <c r="BB8" s="265"/>
      <c r="BC8" s="265">
        <f t="shared" ref="BC8" si="21">COUNTIF(BC6,"&gt;0")*5000-BC6</f>
        <v>0</v>
      </c>
      <c r="BD8" s="265"/>
      <c r="BE8" s="265"/>
      <c r="BF8" s="265">
        <f t="shared" ref="BF8" si="22">COUNTIF(BF6,"&gt;0")*5000-BF6</f>
        <v>0</v>
      </c>
      <c r="BG8" s="265"/>
      <c r="BH8" s="265"/>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W5" activePane="bottomRight" state="frozen"/>
      <selection activeCell="A2" sqref="A2"/>
      <selection pane="topRight" activeCell="R2" sqref="R2"/>
      <selection pane="bottomLeft" activeCell="A5" sqref="A5"/>
      <selection pane="bottomRight" activeCell="O9" sqref="O9"/>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135"/>
    </row>
    <row r="2" spans="1:50" ht="27.75" customHeight="1" x14ac:dyDescent="0.25">
      <c r="A2" s="1">
        <f>50+50+70+70+70+140+70+30+50+50</f>
        <v>650</v>
      </c>
      <c r="B2" s="155">
        <f>60+70+100+70</f>
        <v>300</v>
      </c>
      <c r="H2" s="157">
        <f>H15</f>
        <v>23400</v>
      </c>
      <c r="K2" s="13">
        <f>SUMPRODUCT((E5:E11)*(F5:F11))</f>
        <v>507</v>
      </c>
      <c r="L2" s="13">
        <f>M4-K4</f>
        <v>13755.983819212939</v>
      </c>
      <c r="M2" s="8">
        <f>M4/K4-1</f>
        <v>0.13033563849984708</v>
      </c>
      <c r="N2" s="8"/>
      <c r="O2" s="94"/>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55"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0*143</f>
        <v>0</v>
      </c>
    </row>
    <row r="4" spans="1:50" s="45" customFormat="1" ht="27" customHeight="1" x14ac:dyDescent="0.25">
      <c r="A4" s="49">
        <f ca="1">SUBTOTAL(9,A5:A21)</f>
        <v>13874.44606331586</v>
      </c>
      <c r="B4" s="16"/>
      <c r="C4" s="16"/>
      <c r="D4" s="46"/>
      <c r="E4" s="16">
        <f>SUMPRODUCT((E5:E21)*(F5:F21))</f>
        <v>1564.75</v>
      </c>
      <c r="F4" s="16">
        <f>SUBTOTAL(9,F5:F21)</f>
        <v>1701.75</v>
      </c>
      <c r="G4" s="7"/>
      <c r="H4" s="7">
        <f>SUBTOTAL(9,H5:H14)</f>
        <v>38916</v>
      </c>
      <c r="I4" s="12"/>
      <c r="J4" s="12"/>
      <c r="K4" s="12">
        <f>SUBTOTAL(9,K5:K21)</f>
        <v>105542.76618078706</v>
      </c>
      <c r="L4" s="47"/>
      <c r="M4" s="7">
        <f>SUBTOTAL(9,M5:M21)</f>
        <v>119298.75</v>
      </c>
      <c r="N4" s="7">
        <f ca="1">SUBTOTAL(9,N5:N21)</f>
        <v>99824.5</v>
      </c>
      <c r="O4" s="48">
        <f ca="1">SUBTOTAL(9,O5:O15)</f>
        <v>201</v>
      </c>
      <c r="P4" s="74">
        <f>SUBTOTAL(9,P5:P15)</f>
        <v>1</v>
      </c>
      <c r="Q4" s="74"/>
      <c r="R4" s="25">
        <f t="shared" ref="R4:AV4" si="0">SUBTOTAL(9,R5:R16)</f>
        <v>8</v>
      </c>
      <c r="S4" s="25">
        <f t="shared" si="0"/>
        <v>1</v>
      </c>
      <c r="T4" s="25">
        <f t="shared" si="0"/>
        <v>2</v>
      </c>
      <c r="U4" s="25">
        <f t="shared" si="0"/>
        <v>1</v>
      </c>
      <c r="V4" s="25">
        <f t="shared" si="0"/>
        <v>2</v>
      </c>
      <c r="W4" s="25">
        <f t="shared" si="0"/>
        <v>4.5</v>
      </c>
      <c r="X4" s="25">
        <f t="shared" si="0"/>
        <v>20</v>
      </c>
      <c r="Y4" s="25">
        <f t="shared" ca="1" si="0"/>
        <v>0.5</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0 Kg</v>
      </c>
      <c r="AX4" s="77">
        <f>SUBTOTAL(9,AX5:AX15)</f>
        <v>0</v>
      </c>
    </row>
    <row r="5" spans="1:50" ht="25.5" customHeight="1" x14ac:dyDescent="0.25">
      <c r="A5" s="58">
        <f ca="1">J5*O5</f>
        <v>0</v>
      </c>
      <c r="B5" s="6">
        <v>1</v>
      </c>
      <c r="C5" s="60" t="s">
        <v>271</v>
      </c>
      <c r="D5" s="68">
        <v>99</v>
      </c>
      <c r="E5" s="61">
        <v>1.2</v>
      </c>
      <c r="F5" s="61">
        <f>30+15</f>
        <v>45</v>
      </c>
      <c r="G5" s="62">
        <v>99</v>
      </c>
      <c r="H5" s="140">
        <f t="shared" ref="H5:H14" si="1">G5*F5</f>
        <v>4455</v>
      </c>
      <c r="I5" s="214">
        <f>((H5/$H$4)*$A$2)/F5</f>
        <v>1.6535615171137834</v>
      </c>
      <c r="J5" s="214">
        <f t="shared" ref="J5:J14" si="2">G5+I5</f>
        <v>100.65356151711379</v>
      </c>
      <c r="K5" s="65">
        <f>J5*F5</f>
        <v>4529.4102682701205</v>
      </c>
      <c r="L5" s="69">
        <v>110</v>
      </c>
      <c r="M5" s="63">
        <f>L5*F5</f>
        <v>4950</v>
      </c>
      <c r="N5" s="63">
        <f t="shared" ref="N5:N15" ca="1" si="3">SUMPRODUCT(($Q5:$AV5)*$L5)</f>
        <v>4950</v>
      </c>
      <c r="O5" s="70">
        <f t="shared" ref="O5:O15" ca="1" si="4">F5-SUM(Q5:AV5)-P5</f>
        <v>0</v>
      </c>
      <c r="P5" s="164">
        <v>0</v>
      </c>
      <c r="Q5" s="240">
        <v>45</v>
      </c>
      <c r="R5" s="232">
        <v>0</v>
      </c>
      <c r="S5" s="232">
        <v>0</v>
      </c>
      <c r="T5" s="232">
        <v>0</v>
      </c>
      <c r="U5" s="232">
        <v>0</v>
      </c>
      <c r="V5" s="232">
        <v>0</v>
      </c>
      <c r="W5" s="232">
        <v>0</v>
      </c>
      <c r="X5" s="232">
        <v>0</v>
      </c>
      <c r="Y5" s="232">
        <f ca="1">SUMIFS('Tổng Đơn'!$F:$F,'Tổng Đơn'!$B:$B,$C5)</f>
        <v>0</v>
      </c>
      <c r="Z5" s="232">
        <v>0</v>
      </c>
      <c r="AA5" s="232">
        <v>0</v>
      </c>
      <c r="AB5" s="232">
        <v>0</v>
      </c>
      <c r="AC5" s="232">
        <v>0</v>
      </c>
      <c r="AD5" s="232">
        <v>0</v>
      </c>
      <c r="AE5" s="232">
        <v>0</v>
      </c>
      <c r="AF5" s="232">
        <v>0</v>
      </c>
      <c r="AG5" s="232">
        <v>0</v>
      </c>
      <c r="AH5" s="232">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2795.9322643642718</v>
      </c>
      <c r="B6" s="6">
        <v>2</v>
      </c>
      <c r="C6" s="60" t="s">
        <v>272</v>
      </c>
      <c r="D6" s="68">
        <v>110</v>
      </c>
      <c r="E6" s="61">
        <v>1.5</v>
      </c>
      <c r="F6" s="61">
        <f>15+20+10+20+30+20+20</f>
        <v>135</v>
      </c>
      <c r="G6" s="62">
        <v>110</v>
      </c>
      <c r="H6" s="140">
        <f t="shared" si="1"/>
        <v>14850</v>
      </c>
      <c r="I6" s="214">
        <f t="shared" ref="I6:I14" si="7">((H6/$H$4)*$A$2)/F6</f>
        <v>1.8372905745708707</v>
      </c>
      <c r="J6" s="214">
        <f t="shared" si="2"/>
        <v>111.83729057457087</v>
      </c>
      <c r="K6" s="65">
        <f t="shared" ref="K6:K14" si="8">J6*F6</f>
        <v>15098.034227567068</v>
      </c>
      <c r="L6" s="69">
        <v>122</v>
      </c>
      <c r="M6" s="63">
        <f t="shared" ref="M6:M15" si="9">L6*F6</f>
        <v>16470</v>
      </c>
      <c r="N6" s="63">
        <f t="shared" ca="1" si="3"/>
        <v>13420</v>
      </c>
      <c r="O6" s="70">
        <f t="shared" ca="1" si="4"/>
        <v>25</v>
      </c>
      <c r="P6" s="164"/>
      <c r="Q6" s="240">
        <v>97</v>
      </c>
      <c r="R6" s="232">
        <v>0</v>
      </c>
      <c r="S6" s="232">
        <v>1</v>
      </c>
      <c r="T6" s="232">
        <v>0</v>
      </c>
      <c r="U6" s="232">
        <v>1</v>
      </c>
      <c r="V6" s="232">
        <v>0</v>
      </c>
      <c r="W6" s="232">
        <v>1</v>
      </c>
      <c r="X6" s="232">
        <v>10</v>
      </c>
      <c r="Y6" s="232">
        <f ca="1">SUMIFS('Tổng Đơn'!$F:$F,'Tổng Đơn'!$B:$B,$C6)</f>
        <v>0</v>
      </c>
      <c r="Z6" s="232">
        <v>0</v>
      </c>
      <c r="AA6" s="232">
        <v>0</v>
      </c>
      <c r="AB6" s="232">
        <v>0</v>
      </c>
      <c r="AC6" s="232">
        <v>0</v>
      </c>
      <c r="AD6" s="232">
        <v>0</v>
      </c>
      <c r="AE6" s="232">
        <v>0</v>
      </c>
      <c r="AF6" s="232">
        <v>0</v>
      </c>
      <c r="AG6" s="232">
        <v>0</v>
      </c>
      <c r="AH6" s="232">
        <v>0</v>
      </c>
      <c r="AI6" s="232">
        <v>0</v>
      </c>
      <c r="AJ6" s="232">
        <v>0</v>
      </c>
      <c r="AK6" s="232">
        <v>0</v>
      </c>
      <c r="AL6" s="232">
        <v>0</v>
      </c>
      <c r="AM6" s="232">
        <v>0</v>
      </c>
      <c r="AN6" s="232">
        <v>0</v>
      </c>
      <c r="AO6" s="232">
        <v>0</v>
      </c>
      <c r="AP6" s="232">
        <v>0</v>
      </c>
      <c r="AQ6" s="232">
        <v>0</v>
      </c>
      <c r="AR6" s="232">
        <v>0</v>
      </c>
      <c r="AS6" s="232">
        <v>0</v>
      </c>
      <c r="AT6" s="232">
        <v>0</v>
      </c>
      <c r="AU6" s="232">
        <v>0</v>
      </c>
      <c r="AV6" s="232">
        <v>0</v>
      </c>
      <c r="AW6" s="58">
        <v>0</v>
      </c>
      <c r="AX6" s="58">
        <f t="shared" si="5"/>
        <v>0</v>
      </c>
    </row>
    <row r="7" spans="1:50" ht="25.5" customHeight="1" x14ac:dyDescent="0.25">
      <c r="A7" s="58">
        <f t="shared" ca="1" si="6"/>
        <v>759.47687326549499</v>
      </c>
      <c r="B7" s="6">
        <v>3</v>
      </c>
      <c r="C7" s="60" t="s">
        <v>273</v>
      </c>
      <c r="D7" s="68">
        <v>83</v>
      </c>
      <c r="E7" s="61">
        <v>1</v>
      </c>
      <c r="F7" s="61">
        <f>10</f>
        <v>10</v>
      </c>
      <c r="G7" s="62">
        <v>83</v>
      </c>
      <c r="H7" s="140">
        <f t="shared" si="1"/>
        <v>830</v>
      </c>
      <c r="I7" s="214">
        <f t="shared" si="7"/>
        <v>1.3863192517216569</v>
      </c>
      <c r="J7" s="214">
        <f t="shared" si="2"/>
        <v>84.386319251721659</v>
      </c>
      <c r="K7" s="65">
        <f t="shared" si="8"/>
        <v>843.86319251721659</v>
      </c>
      <c r="L7" s="69">
        <v>95</v>
      </c>
      <c r="M7" s="63">
        <f t="shared" si="9"/>
        <v>950</v>
      </c>
      <c r="N7" s="63">
        <f t="shared" ca="1" si="3"/>
        <v>95</v>
      </c>
      <c r="O7" s="70">
        <f t="shared" ca="1" si="4"/>
        <v>9</v>
      </c>
      <c r="P7" s="164"/>
      <c r="Q7" s="240">
        <v>1</v>
      </c>
      <c r="R7" s="232">
        <v>0</v>
      </c>
      <c r="S7" s="232">
        <v>0</v>
      </c>
      <c r="T7" s="232">
        <v>0</v>
      </c>
      <c r="U7" s="232">
        <v>0</v>
      </c>
      <c r="V7" s="232">
        <v>0</v>
      </c>
      <c r="W7" s="232">
        <v>0</v>
      </c>
      <c r="X7" s="232">
        <v>0</v>
      </c>
      <c r="Y7" s="232">
        <f ca="1">SUMIFS('Tổng Đơn'!$F:$F,'Tổng Đơn'!$B:$B,$C7)</f>
        <v>0</v>
      </c>
      <c r="Z7" s="232">
        <v>0</v>
      </c>
      <c r="AA7" s="232">
        <v>0</v>
      </c>
      <c r="AB7" s="232">
        <v>0</v>
      </c>
      <c r="AC7" s="232">
        <v>0</v>
      </c>
      <c r="AD7" s="232">
        <v>0</v>
      </c>
      <c r="AE7" s="232">
        <v>0</v>
      </c>
      <c r="AF7" s="232">
        <v>0</v>
      </c>
      <c r="AG7" s="232">
        <v>0</v>
      </c>
      <c r="AH7" s="232">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418.88148833384724</v>
      </c>
      <c r="B8" s="6">
        <v>4</v>
      </c>
      <c r="C8" s="60" t="s">
        <v>287</v>
      </c>
      <c r="D8" s="68">
        <v>103</v>
      </c>
      <c r="E8" s="61">
        <v>1.2</v>
      </c>
      <c r="F8" s="61">
        <f>5+5+5+5</f>
        <v>20</v>
      </c>
      <c r="G8" s="62">
        <v>103</v>
      </c>
      <c r="H8" s="140">
        <f t="shared" si="1"/>
        <v>2060</v>
      </c>
      <c r="I8" s="214">
        <f t="shared" si="7"/>
        <v>1.7203720834618152</v>
      </c>
      <c r="J8" s="214">
        <f t="shared" si="2"/>
        <v>104.72037208346181</v>
      </c>
      <c r="K8" s="65">
        <f t="shared" si="8"/>
        <v>2094.4074416692361</v>
      </c>
      <c r="L8" s="69">
        <v>116</v>
      </c>
      <c r="M8" s="63">
        <f t="shared" si="9"/>
        <v>2320</v>
      </c>
      <c r="N8" s="63">
        <f t="shared" ca="1" si="3"/>
        <v>1856</v>
      </c>
      <c r="O8" s="70">
        <f t="shared" ca="1" si="4"/>
        <v>4</v>
      </c>
      <c r="P8" s="164"/>
      <c r="Q8" s="240">
        <v>15</v>
      </c>
      <c r="R8" s="232">
        <v>0</v>
      </c>
      <c r="S8" s="232">
        <v>0</v>
      </c>
      <c r="T8" s="232">
        <v>0</v>
      </c>
      <c r="U8" s="232">
        <v>0</v>
      </c>
      <c r="V8" s="232">
        <v>0</v>
      </c>
      <c r="W8" s="232">
        <v>0</v>
      </c>
      <c r="X8" s="232">
        <v>1</v>
      </c>
      <c r="Y8" s="232">
        <f ca="1">SUMIFS('Tổng Đơn'!$F:$F,'Tổng Đơn'!$B:$B,$C8)</f>
        <v>0</v>
      </c>
      <c r="Z8" s="232">
        <v>0</v>
      </c>
      <c r="AA8" s="232">
        <v>0</v>
      </c>
      <c r="AB8" s="232">
        <v>0</v>
      </c>
      <c r="AC8" s="232">
        <v>0</v>
      </c>
      <c r="AD8" s="232">
        <v>0</v>
      </c>
      <c r="AE8" s="232">
        <v>0</v>
      </c>
      <c r="AF8" s="232">
        <v>0</v>
      </c>
      <c r="AG8" s="232">
        <v>0</v>
      </c>
      <c r="AH8" s="232">
        <v>0</v>
      </c>
      <c r="AI8" s="232">
        <v>0</v>
      </c>
      <c r="AJ8" s="232">
        <v>0</v>
      </c>
      <c r="AK8" s="232">
        <v>0</v>
      </c>
      <c r="AL8" s="232">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325.34484530784255</v>
      </c>
      <c r="B9" s="6">
        <v>5</v>
      </c>
      <c r="C9" s="60" t="s">
        <v>274</v>
      </c>
      <c r="D9" s="68">
        <v>80</v>
      </c>
      <c r="E9" s="61">
        <v>0.5</v>
      </c>
      <c r="F9" s="61">
        <f>5+10+8+10+10+10+5</f>
        <v>58</v>
      </c>
      <c r="G9" s="62">
        <v>40</v>
      </c>
      <c r="H9" s="140">
        <f t="shared" si="1"/>
        <v>2320</v>
      </c>
      <c r="I9" s="214">
        <f t="shared" si="7"/>
        <v>0.66810566348031653</v>
      </c>
      <c r="J9" s="214">
        <f t="shared" si="2"/>
        <v>40.668105663480318</v>
      </c>
      <c r="K9" s="65">
        <f t="shared" si="8"/>
        <v>2358.7501284818586</v>
      </c>
      <c r="L9" s="69">
        <v>48</v>
      </c>
      <c r="M9" s="63">
        <f t="shared" si="9"/>
        <v>2784</v>
      </c>
      <c r="N9" s="63">
        <f t="shared" ca="1" si="3"/>
        <v>2400</v>
      </c>
      <c r="O9" s="70">
        <f t="shared" ca="1" si="4"/>
        <v>8</v>
      </c>
      <c r="P9" s="164"/>
      <c r="Q9" s="240">
        <v>46</v>
      </c>
      <c r="R9" s="232">
        <v>1</v>
      </c>
      <c r="S9" s="232">
        <v>0</v>
      </c>
      <c r="T9" s="232">
        <v>0</v>
      </c>
      <c r="U9" s="232">
        <v>0</v>
      </c>
      <c r="V9" s="232">
        <v>0</v>
      </c>
      <c r="W9" s="232">
        <v>0</v>
      </c>
      <c r="X9" s="232">
        <v>3</v>
      </c>
      <c r="Y9" s="232">
        <f ca="1">SUMIFS('Tổng Đơn'!$F:$F,'Tổng Đơn'!$B:$B,$C9)</f>
        <v>0</v>
      </c>
      <c r="Z9" s="232">
        <v>0</v>
      </c>
      <c r="AA9" s="232">
        <v>0</v>
      </c>
      <c r="AB9" s="232">
        <v>0</v>
      </c>
      <c r="AC9" s="232">
        <v>0</v>
      </c>
      <c r="AD9" s="232">
        <v>0</v>
      </c>
      <c r="AE9" s="232">
        <v>0</v>
      </c>
      <c r="AF9" s="232">
        <v>0</v>
      </c>
      <c r="AG9" s="232">
        <v>0</v>
      </c>
      <c r="AH9" s="232">
        <v>0</v>
      </c>
      <c r="AI9" s="232">
        <v>0</v>
      </c>
      <c r="AJ9" s="232">
        <v>0</v>
      </c>
      <c r="AK9" s="232">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380.24678795354095</v>
      </c>
      <c r="B10" s="6">
        <v>6</v>
      </c>
      <c r="C10" s="60" t="s">
        <v>275</v>
      </c>
      <c r="D10" s="68">
        <v>68</v>
      </c>
      <c r="E10" s="61">
        <v>0.5</v>
      </c>
      <c r="F10" s="61">
        <f>20+15</f>
        <v>35</v>
      </c>
      <c r="G10" s="62">
        <v>34</v>
      </c>
      <c r="H10" s="140">
        <f t="shared" si="1"/>
        <v>1190</v>
      </c>
      <c r="I10" s="214">
        <f t="shared" si="7"/>
        <v>0.5678898139582691</v>
      </c>
      <c r="J10" s="214">
        <f t="shared" si="2"/>
        <v>34.567889813958267</v>
      </c>
      <c r="K10" s="65">
        <f t="shared" si="8"/>
        <v>1209.8761434885394</v>
      </c>
      <c r="L10" s="69">
        <v>43</v>
      </c>
      <c r="M10" s="63">
        <f t="shared" si="9"/>
        <v>1505</v>
      </c>
      <c r="N10" s="63">
        <f t="shared" ca="1" si="3"/>
        <v>1032</v>
      </c>
      <c r="O10" s="70">
        <f t="shared" ca="1" si="4"/>
        <v>11</v>
      </c>
      <c r="P10" s="164"/>
      <c r="Q10" s="240">
        <v>20</v>
      </c>
      <c r="R10" s="232">
        <v>4</v>
      </c>
      <c r="S10" s="232">
        <v>0</v>
      </c>
      <c r="T10" s="232">
        <v>0</v>
      </c>
      <c r="U10" s="232">
        <v>0</v>
      </c>
      <c r="V10" s="232">
        <v>0</v>
      </c>
      <c r="W10" s="232">
        <v>0</v>
      </c>
      <c r="X10" s="232">
        <v>0</v>
      </c>
      <c r="Y10" s="232">
        <f ca="1">SUMIFS('Tổng Đơn'!$F:$F,'Tổng Đơn'!$B:$B,$C10)</f>
        <v>0</v>
      </c>
      <c r="Z10" s="232">
        <v>0</v>
      </c>
      <c r="AA10" s="232">
        <v>0</v>
      </c>
      <c r="AB10" s="232">
        <v>0</v>
      </c>
      <c r="AC10" s="232">
        <v>0</v>
      </c>
      <c r="AD10" s="232">
        <v>0</v>
      </c>
      <c r="AE10" s="232">
        <v>0</v>
      </c>
      <c r="AF10" s="232">
        <v>0</v>
      </c>
      <c r="AG10" s="232">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2358.7501284818582</v>
      </c>
      <c r="B11" s="6">
        <v>7</v>
      </c>
      <c r="C11" s="60" t="s">
        <v>268</v>
      </c>
      <c r="D11" s="68">
        <v>58</v>
      </c>
      <c r="E11" s="61">
        <v>1</v>
      </c>
      <c r="F11" s="61">
        <f>20+30+50+70</f>
        <v>170</v>
      </c>
      <c r="G11" s="62">
        <v>58</v>
      </c>
      <c r="H11" s="140">
        <f t="shared" si="1"/>
        <v>9860</v>
      </c>
      <c r="I11" s="214">
        <f t="shared" si="7"/>
        <v>0.96875321204645892</v>
      </c>
      <c r="J11" s="214">
        <f t="shared" si="2"/>
        <v>58.968753212046458</v>
      </c>
      <c r="K11" s="65">
        <f t="shared" si="8"/>
        <v>10024.688046047899</v>
      </c>
      <c r="L11" s="69">
        <v>65</v>
      </c>
      <c r="M11" s="63">
        <f t="shared" si="9"/>
        <v>11050</v>
      </c>
      <c r="N11" s="63">
        <f t="shared" ca="1" si="3"/>
        <v>8450</v>
      </c>
      <c r="O11" s="70">
        <f t="shared" ca="1" si="4"/>
        <v>40</v>
      </c>
      <c r="P11" s="164">
        <v>0</v>
      </c>
      <c r="Q11" s="240">
        <v>124</v>
      </c>
      <c r="R11" s="232">
        <v>0</v>
      </c>
      <c r="S11" s="232">
        <v>0</v>
      </c>
      <c r="T11" s="232">
        <v>0</v>
      </c>
      <c r="U11" s="232">
        <v>0</v>
      </c>
      <c r="V11" s="232">
        <v>0</v>
      </c>
      <c r="W11" s="232">
        <v>1</v>
      </c>
      <c r="X11" s="232">
        <v>5</v>
      </c>
      <c r="Y11" s="232">
        <f ca="1">SUMIFS('Tổng Đơn'!$F:$F,'Tổng Đơn'!$B:$B,$C11)</f>
        <v>0</v>
      </c>
      <c r="Z11" s="232">
        <v>0</v>
      </c>
      <c r="AA11" s="232">
        <v>0</v>
      </c>
      <c r="AB11" s="232">
        <v>0</v>
      </c>
      <c r="AC11" s="232">
        <v>0</v>
      </c>
      <c r="AD11" s="232">
        <v>0</v>
      </c>
      <c r="AE11" s="232">
        <v>0</v>
      </c>
      <c r="AF11" s="232">
        <v>0</v>
      </c>
      <c r="AG11" s="232">
        <v>0</v>
      </c>
      <c r="AH11" s="232">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0</v>
      </c>
      <c r="AX11" s="58">
        <f t="shared" si="5"/>
        <v>0</v>
      </c>
    </row>
    <row r="12" spans="1:50" ht="25.5" customHeight="1" x14ac:dyDescent="0.25">
      <c r="A12" s="58">
        <f t="shared" ca="1" si="6"/>
        <v>726.94238873471068</v>
      </c>
      <c r="B12" s="6">
        <v>8</v>
      </c>
      <c r="C12" s="60" t="s">
        <v>305</v>
      </c>
      <c r="D12" s="68">
        <v>65</v>
      </c>
      <c r="E12" s="61">
        <v>0.5</v>
      </c>
      <c r="F12" s="61">
        <v>30</v>
      </c>
      <c r="G12" s="62">
        <v>32.5</v>
      </c>
      <c r="H12" s="140">
        <f t="shared" ref="H12" si="10">G12*F12</f>
        <v>975</v>
      </c>
      <c r="I12" s="214">
        <f t="shared" ref="I12" si="11">((H12/$H$4)*$A$2)/F12</f>
        <v>0.54283585157775727</v>
      </c>
      <c r="J12" s="214">
        <f>G12+I12</f>
        <v>33.042835851577756</v>
      </c>
      <c r="K12" s="65">
        <f t="shared" ref="K12" si="12">J12*F12</f>
        <v>991.28507554733267</v>
      </c>
      <c r="L12" s="69">
        <v>45</v>
      </c>
      <c r="M12" s="63">
        <f t="shared" ref="M12" si="13">L12*F12</f>
        <v>1350</v>
      </c>
      <c r="N12" s="63">
        <f t="shared" ca="1" si="3"/>
        <v>360</v>
      </c>
      <c r="O12" s="70">
        <f t="shared" ca="1" si="4"/>
        <v>22</v>
      </c>
      <c r="P12" s="164"/>
      <c r="Q12" s="240">
        <v>0</v>
      </c>
      <c r="R12" s="232">
        <v>2</v>
      </c>
      <c r="S12" s="232">
        <v>0</v>
      </c>
      <c r="T12" s="232">
        <v>1</v>
      </c>
      <c r="U12" s="232">
        <v>0</v>
      </c>
      <c r="V12" s="232">
        <v>2</v>
      </c>
      <c r="W12" s="232">
        <v>2</v>
      </c>
      <c r="X12" s="232">
        <v>1</v>
      </c>
      <c r="Y12" s="232">
        <f ca="1">SUMIFS('Tổng Đơn'!$F:$F,'Tổng Đơn'!$B:$B,$C12)</f>
        <v>0</v>
      </c>
      <c r="Z12" s="232">
        <v>0</v>
      </c>
      <c r="AA12" s="232">
        <v>0</v>
      </c>
      <c r="AB12" s="232">
        <v>0</v>
      </c>
      <c r="AC12" s="232">
        <v>0</v>
      </c>
      <c r="AD12" s="232">
        <v>0</v>
      </c>
      <c r="AE12" s="232">
        <v>0</v>
      </c>
      <c r="AF12" s="232">
        <v>0</v>
      </c>
      <c r="AG12" s="232">
        <v>0</v>
      </c>
      <c r="AH12" s="232">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0</v>
      </c>
      <c r="AX12" s="58">
        <f t="shared" ref="AX12" si="14">AW12*G12</f>
        <v>0</v>
      </c>
    </row>
    <row r="13" spans="1:50" ht="25.5" customHeight="1" x14ac:dyDescent="0.25">
      <c r="A13" s="58">
        <f t="shared" ca="1" si="6"/>
        <v>147.42188303011613</v>
      </c>
      <c r="B13" s="6">
        <v>9</v>
      </c>
      <c r="C13" s="60" t="s">
        <v>277</v>
      </c>
      <c r="D13" s="68">
        <v>58</v>
      </c>
      <c r="E13" s="61">
        <v>0.5</v>
      </c>
      <c r="F13" s="61">
        <f>24</f>
        <v>24</v>
      </c>
      <c r="G13" s="62">
        <v>29</v>
      </c>
      <c r="H13" s="140">
        <f t="shared" si="1"/>
        <v>696</v>
      </c>
      <c r="I13" s="214">
        <f t="shared" si="7"/>
        <v>0.48437660602322952</v>
      </c>
      <c r="J13" s="214">
        <f t="shared" si="2"/>
        <v>29.484376606023229</v>
      </c>
      <c r="K13" s="65">
        <f t="shared" si="8"/>
        <v>707.62503854455747</v>
      </c>
      <c r="L13" s="69">
        <v>40</v>
      </c>
      <c r="M13" s="63">
        <f t="shared" si="9"/>
        <v>960</v>
      </c>
      <c r="N13" s="63">
        <f t="shared" ca="1" si="3"/>
        <v>760</v>
      </c>
      <c r="O13" s="70">
        <f t="shared" ca="1" si="4"/>
        <v>5</v>
      </c>
      <c r="P13" s="164"/>
      <c r="Q13" s="240">
        <v>18</v>
      </c>
      <c r="R13" s="232">
        <v>0</v>
      </c>
      <c r="S13" s="232">
        <v>0</v>
      </c>
      <c r="T13" s="232">
        <v>1</v>
      </c>
      <c r="U13" s="232">
        <v>0</v>
      </c>
      <c r="V13" s="232">
        <v>0</v>
      </c>
      <c r="W13" s="232">
        <v>0</v>
      </c>
      <c r="X13" s="232">
        <v>0</v>
      </c>
      <c r="Y13" s="232">
        <f ca="1">SUMIFS('Tổng Đơn'!$F:$F,'Tổng Đơn'!$B:$B,$C13)</f>
        <v>0</v>
      </c>
      <c r="Z13" s="232">
        <v>0</v>
      </c>
      <c r="AA13" s="232">
        <v>0</v>
      </c>
      <c r="AB13" s="232">
        <v>0</v>
      </c>
      <c r="AC13" s="232">
        <v>0</v>
      </c>
      <c r="AD13" s="232">
        <v>0</v>
      </c>
      <c r="AE13" s="232">
        <v>0</v>
      </c>
      <c r="AF13" s="232">
        <v>0</v>
      </c>
      <c r="AG13" s="232">
        <v>0</v>
      </c>
      <c r="AH13" s="232">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925.19940384417714</v>
      </c>
      <c r="B14" s="6">
        <v>10</v>
      </c>
      <c r="C14" s="60" t="s">
        <v>276</v>
      </c>
      <c r="D14" s="68">
        <v>70</v>
      </c>
      <c r="E14" s="61">
        <v>0.5</v>
      </c>
      <c r="F14" s="61">
        <f>24+24</f>
        <v>48</v>
      </c>
      <c r="G14" s="62">
        <v>35</v>
      </c>
      <c r="H14" s="140">
        <f t="shared" si="1"/>
        <v>1680</v>
      </c>
      <c r="I14" s="214">
        <f t="shared" si="7"/>
        <v>0.58459245554527695</v>
      </c>
      <c r="J14" s="214">
        <f t="shared" si="2"/>
        <v>35.584592455545277</v>
      </c>
      <c r="K14" s="65">
        <f t="shared" si="8"/>
        <v>1708.0604378661733</v>
      </c>
      <c r="L14" s="69">
        <v>42</v>
      </c>
      <c r="M14" s="63">
        <f t="shared" si="9"/>
        <v>2016</v>
      </c>
      <c r="N14" s="63">
        <f t="shared" ca="1" si="3"/>
        <v>924</v>
      </c>
      <c r="O14" s="70">
        <f t="shared" ca="1" si="4"/>
        <v>26</v>
      </c>
      <c r="P14" s="164"/>
      <c r="Q14" s="240">
        <v>21</v>
      </c>
      <c r="R14" s="232">
        <v>1</v>
      </c>
      <c r="S14" s="232">
        <v>0</v>
      </c>
      <c r="T14" s="232">
        <v>0</v>
      </c>
      <c r="U14" s="232">
        <v>0</v>
      </c>
      <c r="V14" s="232">
        <v>0</v>
      </c>
      <c r="W14" s="232">
        <v>0</v>
      </c>
      <c r="X14" s="232">
        <v>0</v>
      </c>
      <c r="Y14" s="232">
        <f ca="1">SUMIFS('Tổng Đơn'!$F:$F,'Tổng Đơn'!$B:$B,$C14)</f>
        <v>0</v>
      </c>
      <c r="Z14" s="232">
        <v>0</v>
      </c>
      <c r="AA14" s="232">
        <v>0</v>
      </c>
      <c r="AB14" s="232">
        <v>0</v>
      </c>
      <c r="AC14" s="232">
        <v>0</v>
      </c>
      <c r="AD14" s="232">
        <v>0</v>
      </c>
      <c r="AE14" s="232">
        <v>0</v>
      </c>
      <c r="AF14" s="232">
        <v>0</v>
      </c>
      <c r="AG14" s="232">
        <v>0</v>
      </c>
      <c r="AH14" s="232">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5036.25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19740</v>
      </c>
      <c r="O15" s="136">
        <f t="shared" ca="1" si="4"/>
        <v>51</v>
      </c>
      <c r="P15" s="164">
        <v>1</v>
      </c>
      <c r="Q15" s="240">
        <v>187</v>
      </c>
      <c r="R15" s="232">
        <v>0</v>
      </c>
      <c r="S15" s="232">
        <v>0</v>
      </c>
      <c r="T15" s="232">
        <v>0</v>
      </c>
      <c r="U15" s="232">
        <v>0</v>
      </c>
      <c r="V15" s="232">
        <v>0</v>
      </c>
      <c r="W15" s="232">
        <v>0.5</v>
      </c>
      <c r="X15" s="232">
        <v>0</v>
      </c>
      <c r="Y15" s="232">
        <f ca="1">SUMIFS('Tổng Đơn'!$F:$F,'Tổng Đơn'!$B:$B,$C15)</f>
        <v>0.5</v>
      </c>
      <c r="Z15" s="232">
        <v>0</v>
      </c>
      <c r="AA15" s="232">
        <v>0</v>
      </c>
      <c r="AB15" s="232">
        <v>0</v>
      </c>
      <c r="AC15" s="232">
        <v>0</v>
      </c>
      <c r="AD15" s="232">
        <v>0</v>
      </c>
      <c r="AE15" s="232">
        <v>0</v>
      </c>
      <c r="AF15" s="232">
        <v>0</v>
      </c>
      <c r="AG15" s="232">
        <v>0</v>
      </c>
      <c r="AH15" s="232">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230</v>
      </c>
      <c r="C17" s="185" t="s">
        <v>264</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230</v>
      </c>
      <c r="C18" s="185" t="s">
        <v>265</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230</v>
      </c>
      <c r="C19" s="185" t="s">
        <v>266</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230</v>
      </c>
      <c r="C20" s="185" t="s">
        <v>267</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230</v>
      </c>
      <c r="C21" s="185" t="s">
        <v>233</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295" priority="12">
      <formula>($O15/$O15)&lt;=1/4</formula>
    </cfRule>
  </conditionalFormatting>
  <conditionalFormatting sqref="C5:C16">
    <cfRule type="expression" dxfId="294"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71" t="s">
        <v>51</v>
      </c>
      <c r="C1" s="271"/>
      <c r="D1" s="271"/>
      <c r="E1" s="271"/>
      <c r="F1" s="271"/>
      <c r="G1" s="271"/>
      <c r="H1" s="271"/>
      <c r="I1" s="271"/>
      <c r="J1" s="271"/>
      <c r="K1" s="271"/>
      <c r="L1" s="271"/>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251</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293"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U17" activePane="bottomRight" state="frozen"/>
      <selection activeCell="A2" sqref="A2"/>
      <selection pane="topRight" activeCell="R2" sqref="R2"/>
      <selection pane="bottomLeft" activeCell="A5" sqref="A5"/>
      <selection pane="bottomRight" activeCell="X5" sqref="X5:X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59"/>
    </row>
    <row r="2" spans="1:50" ht="24" customHeight="1" x14ac:dyDescent="0.25">
      <c r="A2" s="1">
        <f>150+160+120+70+30+100+30+150+120+30+140+30+70+120+30+30+120+60+120+190+60+30+120+100+60+140+60+40+60+50+120+60+30+60+40+80+120+60+75+75+55+40+70+40+150+40+70+40+70+40+70+40+120+40+70+60+40+60+40+70+40+70+110+100+110+110+110+160+150+110+110+100+110+110+110+110+40+90+10+140+20+120+40</f>
        <v>6715</v>
      </c>
      <c r="K2" s="13"/>
      <c r="L2" s="13">
        <f>M4-K4</f>
        <v>38838.610973900999</v>
      </c>
      <c r="M2" s="8">
        <f>M4/K4-1</f>
        <v>0.14948311255554381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9600.127859654669</v>
      </c>
      <c r="B4" s="16"/>
      <c r="C4" s="16"/>
      <c r="D4" s="46"/>
      <c r="E4" s="16">
        <f>SUMPRODUCT((E5:E35)*(F5:F35))</f>
        <v>3870</v>
      </c>
      <c r="F4" s="16">
        <f>SUBTOTAL(9,F5:F103)</f>
        <v>7465</v>
      </c>
      <c r="G4" s="7"/>
      <c r="H4" s="7">
        <f>SUBTOTAL(9,H5:H103)</f>
        <v>253090</v>
      </c>
      <c r="I4" s="12"/>
      <c r="J4" s="12"/>
      <c r="K4" s="12">
        <f>SUBTOTAL(9,K5:K103)</f>
        <v>259819.389026099</v>
      </c>
      <c r="L4" s="47"/>
      <c r="M4" s="7">
        <f>SUBTOTAL(9,M5:M103)</f>
        <v>298658</v>
      </c>
      <c r="N4" s="7">
        <f ca="1">SUBTOTAL(9,N5:N103)</f>
        <v>286506</v>
      </c>
      <c r="O4" s="24">
        <f ca="1">SUBTOTAL(9,O5:O103)</f>
        <v>236</v>
      </c>
      <c r="P4" s="74">
        <f>SUBTOTAL(9,P5:P103)</f>
        <v>27</v>
      </c>
      <c r="Q4" s="74">
        <f>SUBTOTAL(9,Q5:Q103)</f>
        <v>7037</v>
      </c>
      <c r="R4" s="25">
        <f t="shared" ref="R4:AV4" si="0">SUBTOTAL(9,R5:R31)</f>
        <v>24</v>
      </c>
      <c r="S4" s="25">
        <f t="shared" si="0"/>
        <v>3</v>
      </c>
      <c r="T4" s="25">
        <f t="shared" si="0"/>
        <v>32</v>
      </c>
      <c r="U4" s="25">
        <f t="shared" si="0"/>
        <v>1</v>
      </c>
      <c r="V4" s="25">
        <f t="shared" si="0"/>
        <v>17</v>
      </c>
      <c r="W4" s="25">
        <f t="shared" si="0"/>
        <v>19</v>
      </c>
      <c r="X4" s="25">
        <f t="shared" si="0"/>
        <v>26</v>
      </c>
      <c r="Y4" s="25">
        <f t="shared" ca="1" si="0"/>
        <v>12</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0 Kg</v>
      </c>
      <c r="AX4" s="49">
        <f>SUBTOTAL(9,AX5:AX35)</f>
        <v>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0.5638063534710972</v>
      </c>
      <c r="J5" s="65">
        <f t="shared" ref="J5:J19" si="5">G5+I5</f>
        <v>21.813806353471097</v>
      </c>
      <c r="K5" s="65">
        <f t="shared" ref="K5:K24" si="6">J5*F5</f>
        <v>10906.903176735548</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f>SUMIFS('Tổng Đơn'!$F:$F,'Tổng Đơn'!$B:$B,$C5)</f>
        <v>0</v>
      </c>
      <c r="Z5" s="60">
        <v>0</v>
      </c>
      <c r="AA5" s="60">
        <v>0</v>
      </c>
      <c r="AB5" s="60">
        <v>0</v>
      </c>
      <c r="AC5" s="60">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0.58370540124066539</v>
      </c>
      <c r="J6" s="65">
        <f t="shared" si="5"/>
        <v>22.583705401240664</v>
      </c>
      <c r="K6" s="65">
        <f t="shared" si="6"/>
        <v>1806.6964320992531</v>
      </c>
      <c r="L6" s="72">
        <v>28</v>
      </c>
      <c r="M6" s="63">
        <f t="shared" si="7"/>
        <v>2240</v>
      </c>
      <c r="N6" s="63">
        <f t="shared" si="8"/>
        <v>2268</v>
      </c>
      <c r="O6" s="67">
        <f t="shared" si="9"/>
        <v>0</v>
      </c>
      <c r="P6" s="57">
        <v>-1</v>
      </c>
      <c r="Q6" s="57">
        <v>81</v>
      </c>
      <c r="R6" s="60">
        <v>0</v>
      </c>
      <c r="S6" s="60">
        <v>0</v>
      </c>
      <c r="T6" s="60">
        <v>0</v>
      </c>
      <c r="U6" s="60">
        <v>0</v>
      </c>
      <c r="V6" s="60">
        <v>0</v>
      </c>
      <c r="W6" s="60">
        <v>0</v>
      </c>
      <c r="X6" s="60">
        <v>0</v>
      </c>
      <c r="Y6" s="60">
        <f>SUMIFS('Tổng Đơn'!$F:$F,'Tổng Đơn'!$B:$B,$C6)</f>
        <v>0</v>
      </c>
      <c r="Z6" s="60">
        <v>0</v>
      </c>
      <c r="AA6" s="60">
        <v>0</v>
      </c>
      <c r="AB6" s="60">
        <v>0</v>
      </c>
      <c r="AC6" s="60">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si="1"/>
        <v>0</v>
      </c>
      <c r="B7" s="6">
        <v>3</v>
      </c>
      <c r="C7" s="60" t="s">
        <v>3</v>
      </c>
      <c r="D7" s="68">
        <v>43.5</v>
      </c>
      <c r="E7" s="6">
        <v>0.5</v>
      </c>
      <c r="F7" s="6">
        <v>70</v>
      </c>
      <c r="G7" s="71">
        <f t="shared" si="2"/>
        <v>21.75</v>
      </c>
      <c r="H7" s="63">
        <f t="shared" si="3"/>
        <v>1522.5</v>
      </c>
      <c r="I7" s="64">
        <f t="shared" si="4"/>
        <v>0.57707238531747596</v>
      </c>
      <c r="J7" s="65">
        <f t="shared" si="5"/>
        <v>22.327072385317475</v>
      </c>
      <c r="K7" s="65">
        <f t="shared" si="6"/>
        <v>1562.8950669722233</v>
      </c>
      <c r="L7" s="72">
        <v>30</v>
      </c>
      <c r="M7" s="63">
        <f t="shared" si="7"/>
        <v>2100</v>
      </c>
      <c r="N7" s="63">
        <f t="shared" si="8"/>
        <v>2100</v>
      </c>
      <c r="O7" s="67">
        <f t="shared" si="9"/>
        <v>0</v>
      </c>
      <c r="P7" s="57"/>
      <c r="Q7" s="57">
        <v>70</v>
      </c>
      <c r="R7" s="60">
        <v>0</v>
      </c>
      <c r="S7" s="60">
        <v>0</v>
      </c>
      <c r="T7" s="60">
        <v>0</v>
      </c>
      <c r="U7" s="60">
        <v>0</v>
      </c>
      <c r="V7" s="60">
        <v>0</v>
      </c>
      <c r="W7" s="60">
        <v>0</v>
      </c>
      <c r="X7" s="60">
        <v>0</v>
      </c>
      <c r="Y7" s="60">
        <f>SUMIFS('Tổng Đơn'!$F:$F,'Tổng Đơn'!$B:$B,$C7)</f>
        <v>0</v>
      </c>
      <c r="Z7" s="60">
        <v>0</v>
      </c>
      <c r="AA7" s="60">
        <v>0</v>
      </c>
      <c r="AB7" s="60">
        <v>0</v>
      </c>
      <c r="AC7" s="60">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400.34750484017542</v>
      </c>
      <c r="B8" s="6">
        <v>4</v>
      </c>
      <c r="C8" s="60" t="s">
        <v>4</v>
      </c>
      <c r="D8" s="68">
        <v>60</v>
      </c>
      <c r="E8" s="6">
        <v>0.5</v>
      </c>
      <c r="F8" s="6">
        <f>160+22+12+30+10+26+10+10+18+10</f>
        <v>308</v>
      </c>
      <c r="G8" s="71">
        <f t="shared" si="2"/>
        <v>30</v>
      </c>
      <c r="H8" s="73">
        <f t="shared" si="3"/>
        <v>9240</v>
      </c>
      <c r="I8" s="64">
        <f t="shared" si="4"/>
        <v>0.79596191078272549</v>
      </c>
      <c r="J8" s="65">
        <f t="shared" si="5"/>
        <v>30.795961910782726</v>
      </c>
      <c r="K8" s="65">
        <f t="shared" si="6"/>
        <v>9485.1562685210793</v>
      </c>
      <c r="L8" s="72">
        <v>40</v>
      </c>
      <c r="M8" s="63">
        <f t="shared" si="7"/>
        <v>12320</v>
      </c>
      <c r="N8" s="63">
        <f t="shared" ca="1" si="8"/>
        <v>11800</v>
      </c>
      <c r="O8" s="67">
        <f t="shared" ca="1" si="9"/>
        <v>13</v>
      </c>
      <c r="P8" s="57">
        <v>0</v>
      </c>
      <c r="Q8" s="57">
        <v>294</v>
      </c>
      <c r="R8" s="60">
        <v>0</v>
      </c>
      <c r="S8" s="60">
        <v>0</v>
      </c>
      <c r="T8" s="60">
        <v>0</v>
      </c>
      <c r="U8" s="60">
        <v>0</v>
      </c>
      <c r="V8" s="60">
        <v>0</v>
      </c>
      <c r="W8" s="60">
        <v>1</v>
      </c>
      <c r="X8" s="60">
        <v>0</v>
      </c>
      <c r="Y8" s="60">
        <f ca="1">SUMIFS('Tổng Đơn'!$F:$F,'Tổng Đơn'!$B:$B,$C8)</f>
        <v>0</v>
      </c>
      <c r="Z8" s="60">
        <v>0</v>
      </c>
      <c r="AA8" s="60">
        <v>0</v>
      </c>
      <c r="AB8" s="60">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1605.4961476154729</v>
      </c>
      <c r="B9" s="6">
        <v>5</v>
      </c>
      <c r="C9" s="60" t="s">
        <v>5</v>
      </c>
      <c r="D9" s="68">
        <v>68</v>
      </c>
      <c r="E9" s="6">
        <v>0.5</v>
      </c>
      <c r="F9" s="6">
        <f>285+40+50+20+50+50+40+60+92+36+30+50+20+50+40+30+50+30+20+60+5+40+30+30+20+40+80+20+59+85</f>
        <v>1512</v>
      </c>
      <c r="G9" s="71">
        <f t="shared" si="2"/>
        <v>34</v>
      </c>
      <c r="H9" s="73">
        <f t="shared" si="3"/>
        <v>51408</v>
      </c>
      <c r="I9" s="64">
        <f t="shared" si="4"/>
        <v>0.90209016555375565</v>
      </c>
      <c r="J9" s="65">
        <f t="shared" si="5"/>
        <v>34.902090165553759</v>
      </c>
      <c r="K9" s="65">
        <f t="shared" si="6"/>
        <v>52771.960330317284</v>
      </c>
      <c r="L9" s="72">
        <v>40</v>
      </c>
      <c r="M9" s="63">
        <f t="shared" si="7"/>
        <v>60480</v>
      </c>
      <c r="N9" s="63">
        <f t="shared" ca="1" si="8"/>
        <v>58640</v>
      </c>
      <c r="O9" s="67">
        <f t="shared" ca="1" si="9"/>
        <v>46</v>
      </c>
      <c r="P9" s="57">
        <f>1-1</f>
        <v>0</v>
      </c>
      <c r="Q9" s="57">
        <v>1425</v>
      </c>
      <c r="R9" s="60">
        <v>2</v>
      </c>
      <c r="S9" s="60">
        <v>0</v>
      </c>
      <c r="T9" s="60">
        <v>9</v>
      </c>
      <c r="U9" s="60">
        <v>0</v>
      </c>
      <c r="V9" s="60">
        <v>2</v>
      </c>
      <c r="W9" s="60">
        <v>8</v>
      </c>
      <c r="X9" s="60">
        <v>10</v>
      </c>
      <c r="Y9" s="60">
        <f ca="1">SUMIFS('Tổng Đơn'!$F:$F,'Tổng Đơn'!$B:$B,$C9)</f>
        <v>10</v>
      </c>
      <c r="Z9" s="60">
        <v>0</v>
      </c>
      <c r="AA9" s="60">
        <v>0</v>
      </c>
      <c r="AB9" s="60">
        <v>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58">
        <v>0</v>
      </c>
      <c r="AX9" s="58">
        <f t="shared" si="10"/>
        <v>0</v>
      </c>
    </row>
    <row r="10" spans="1:50" ht="18.75" x14ac:dyDescent="0.25">
      <c r="A10" s="58">
        <f t="shared" si="1"/>
        <v>0</v>
      </c>
      <c r="B10" s="6">
        <v>6</v>
      </c>
      <c r="C10" s="60" t="s">
        <v>6</v>
      </c>
      <c r="D10" s="68">
        <v>86</v>
      </c>
      <c r="E10" s="6">
        <v>0.5</v>
      </c>
      <c r="F10" s="6">
        <f>76+10</f>
        <v>86</v>
      </c>
      <c r="G10" s="71">
        <f t="shared" si="2"/>
        <v>43</v>
      </c>
      <c r="H10" s="73">
        <f t="shared" si="3"/>
        <v>3698</v>
      </c>
      <c r="I10" s="64">
        <f t="shared" si="4"/>
        <v>1.1408787387885733</v>
      </c>
      <c r="J10" s="65">
        <f t="shared" si="5"/>
        <v>44.140878738788572</v>
      </c>
      <c r="K10" s="65">
        <f t="shared" si="6"/>
        <v>3796.1155715358173</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f>SUMIFS('Tổng Đơn'!$F:$F,'Tổng Đơn'!$B:$B,$C10)</f>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222</v>
      </c>
      <c r="D11" s="68">
        <v>55</v>
      </c>
      <c r="E11" s="6">
        <v>0.5</v>
      </c>
      <c r="F11" s="6">
        <v>20</v>
      </c>
      <c r="G11" s="71">
        <f t="shared" si="2"/>
        <v>27.5</v>
      </c>
      <c r="H11" s="73">
        <f t="shared" si="3"/>
        <v>550</v>
      </c>
      <c r="I11" s="64">
        <f t="shared" si="4"/>
        <v>0.72963175155083171</v>
      </c>
      <c r="J11" s="65">
        <f t="shared" si="5"/>
        <v>28.229631751550833</v>
      </c>
      <c r="K11" s="65">
        <f t="shared" si="6"/>
        <v>564.5926350310167</v>
      </c>
      <c r="L11" s="72">
        <v>34</v>
      </c>
      <c r="M11" s="63">
        <f t="shared" si="7"/>
        <v>680</v>
      </c>
      <c r="N11" s="63">
        <f t="shared" si="8"/>
        <v>680</v>
      </c>
      <c r="O11" s="67">
        <f t="shared" si="9"/>
        <v>0</v>
      </c>
      <c r="P11" s="57"/>
      <c r="Q11" s="57">
        <v>20</v>
      </c>
      <c r="R11" s="60">
        <v>0</v>
      </c>
      <c r="S11" s="60">
        <v>0</v>
      </c>
      <c r="T11" s="60">
        <v>0</v>
      </c>
      <c r="U11" s="60">
        <v>0</v>
      </c>
      <c r="V11" s="60">
        <v>0</v>
      </c>
      <c r="W11" s="60">
        <v>0</v>
      </c>
      <c r="X11" s="60">
        <v>0</v>
      </c>
      <c r="Y11" s="60">
        <f>SUMIFS('Tổng Đơn'!$F:$F,'Tổng Đơn'!$B:$B,$C11)</f>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si="1"/>
        <v>0</v>
      </c>
      <c r="B12" s="6">
        <v>8</v>
      </c>
      <c r="C12" s="60" t="s">
        <v>7</v>
      </c>
      <c r="D12" s="68">
        <v>115</v>
      </c>
      <c r="E12" s="6">
        <v>0.5</v>
      </c>
      <c r="F12" s="6">
        <v>38</v>
      </c>
      <c r="G12" s="71">
        <f t="shared" si="2"/>
        <v>57.5</v>
      </c>
      <c r="H12" s="73">
        <f t="shared" si="3"/>
        <v>2185</v>
      </c>
      <c r="I12" s="64">
        <f t="shared" si="4"/>
        <v>1.5255936623335571</v>
      </c>
      <c r="J12" s="65">
        <f t="shared" si="5"/>
        <v>59.025593662333556</v>
      </c>
      <c r="K12" s="65">
        <f t="shared" si="6"/>
        <v>2242.9725591686752</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f>SUMIFS('Tổng Đơn'!$F:$F,'Tổng Đơn'!$B:$B,$C12)</f>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218.13806353471097</v>
      </c>
      <c r="B13" s="6">
        <v>9</v>
      </c>
      <c r="C13" s="60" t="s">
        <v>8</v>
      </c>
      <c r="D13" s="68">
        <v>85</v>
      </c>
      <c r="E13" s="6">
        <v>0.5</v>
      </c>
      <c r="F13" s="6">
        <f>190+30</f>
        <v>220</v>
      </c>
      <c r="G13" s="71">
        <f t="shared" si="2"/>
        <v>42.5</v>
      </c>
      <c r="H13" s="73">
        <f t="shared" si="3"/>
        <v>9350</v>
      </c>
      <c r="I13" s="64">
        <f t="shared" si="4"/>
        <v>1.1276127069421946</v>
      </c>
      <c r="J13" s="65">
        <f t="shared" si="5"/>
        <v>43.627612706942195</v>
      </c>
      <c r="K13" s="65">
        <f t="shared" si="6"/>
        <v>9598.0747955272836</v>
      </c>
      <c r="L13" s="72">
        <v>55</v>
      </c>
      <c r="M13" s="63">
        <f t="shared" si="7"/>
        <v>12100</v>
      </c>
      <c r="N13" s="63">
        <f t="shared" ca="1" si="8"/>
        <v>11715</v>
      </c>
      <c r="O13" s="67">
        <f t="shared" ca="1" si="9"/>
        <v>5</v>
      </c>
      <c r="P13" s="57">
        <v>2</v>
      </c>
      <c r="Q13" s="57">
        <v>213</v>
      </c>
      <c r="R13" s="60">
        <v>0</v>
      </c>
      <c r="S13" s="60">
        <v>0</v>
      </c>
      <c r="T13" s="60">
        <v>0</v>
      </c>
      <c r="U13" s="60">
        <v>0</v>
      </c>
      <c r="V13" s="60">
        <v>0</v>
      </c>
      <c r="W13" s="60">
        <v>0</v>
      </c>
      <c r="X13" s="60">
        <v>0</v>
      </c>
      <c r="Y13" s="60">
        <f ca="1">SUMIFS('Tổng Đơn'!$F:$F,'Tổng Đơn'!$B:$B,$C13)</f>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0.71636571970445295</v>
      </c>
      <c r="J14" s="65">
        <f t="shared" si="5"/>
        <v>27.716365719704452</v>
      </c>
      <c r="K14" s="65">
        <f t="shared" si="6"/>
        <v>831.49097159113353</v>
      </c>
      <c r="L14" s="72">
        <v>32</v>
      </c>
      <c r="M14" s="63">
        <f t="shared" si="7"/>
        <v>960</v>
      </c>
      <c r="N14" s="63">
        <f t="shared" si="8"/>
        <v>960</v>
      </c>
      <c r="O14" s="67">
        <f t="shared" si="9"/>
        <v>0</v>
      </c>
      <c r="P14" s="57"/>
      <c r="Q14" s="57">
        <v>30</v>
      </c>
      <c r="R14" s="60">
        <v>0</v>
      </c>
      <c r="S14" s="60">
        <v>0</v>
      </c>
      <c r="T14" s="60">
        <v>0</v>
      </c>
      <c r="U14" s="60">
        <v>0</v>
      </c>
      <c r="V14" s="60">
        <v>0</v>
      </c>
      <c r="W14" s="60">
        <v>0</v>
      </c>
      <c r="X14" s="60">
        <v>0</v>
      </c>
      <c r="Y14" s="60">
        <f>SUMIFS('Tổng Đơn'!$F:$F,'Tổng Đơn'!$B:$B,$C14)</f>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0.71636571970445295</v>
      </c>
      <c r="J15" s="65">
        <f t="shared" si="5"/>
        <v>27.716365719704452</v>
      </c>
      <c r="K15" s="65">
        <f t="shared" si="6"/>
        <v>277.16365719704453</v>
      </c>
      <c r="L15" s="72">
        <v>35</v>
      </c>
      <c r="M15" s="63">
        <f t="shared" si="7"/>
        <v>350</v>
      </c>
      <c r="N15" s="63">
        <f t="shared" si="8"/>
        <v>350</v>
      </c>
      <c r="O15" s="67">
        <f t="shared" si="9"/>
        <v>0</v>
      </c>
      <c r="P15" s="57"/>
      <c r="Q15" s="57">
        <v>10</v>
      </c>
      <c r="R15" s="60">
        <v>0</v>
      </c>
      <c r="S15" s="60">
        <v>0</v>
      </c>
      <c r="T15" s="60">
        <v>0</v>
      </c>
      <c r="U15" s="60">
        <v>0</v>
      </c>
      <c r="V15" s="60">
        <v>0</v>
      </c>
      <c r="W15" s="60">
        <v>0</v>
      </c>
      <c r="X15" s="60">
        <v>0</v>
      </c>
      <c r="Y15" s="60">
        <f>SUMIFS('Tổng Đơn'!$F:$F,'Tổng Đơn'!$B:$B,$C15)</f>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0.54390730570152912</v>
      </c>
      <c r="J16" s="65">
        <f t="shared" si="5"/>
        <v>21.043907305701531</v>
      </c>
      <c r="K16" s="65">
        <f t="shared" si="6"/>
        <v>3367.0251689122451</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f>SUMIFS('Tổng Đơn'!$F:$F,'Tổng Đơn'!$B:$B,$C16)</f>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0.54390730570152912</v>
      </c>
      <c r="J17" s="65">
        <f t="shared" si="5"/>
        <v>21.043907305701531</v>
      </c>
      <c r="K17" s="65">
        <f t="shared" si="6"/>
        <v>2314.8298036271685</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f>SUMIFS('Tổng Đơn'!$F:$F,'Tổng Đơn'!$B:$B,$C17)</f>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1638.345173653641</v>
      </c>
      <c r="B18" s="6">
        <v>14</v>
      </c>
      <c r="C18" s="60" t="s">
        <v>13</v>
      </c>
      <c r="D18" s="68">
        <v>57</v>
      </c>
      <c r="E18" s="6">
        <v>0.5</v>
      </c>
      <c r="F18" s="6">
        <f>30+46+100+40+60+50+40+100+100+70+80+100+50+60+100+100+60+40+100+70+110+61+30+60+100+120+80</f>
        <v>1957</v>
      </c>
      <c r="G18" s="71">
        <f>D18/2</f>
        <v>28.5</v>
      </c>
      <c r="H18" s="73">
        <f t="shared" ref="H18" si="11">G18*F18</f>
        <v>55774.5</v>
      </c>
      <c r="I18" s="64">
        <f t="shared" si="4"/>
        <v>0.75616381524358922</v>
      </c>
      <c r="J18" s="65">
        <f t="shared" si="5"/>
        <v>29.256163815243589</v>
      </c>
      <c r="K18" s="65">
        <f t="shared" si="6"/>
        <v>57254.312586431704</v>
      </c>
      <c r="L18" s="72">
        <v>33</v>
      </c>
      <c r="M18" s="63">
        <f t="shared" ref="M18" si="12">L18*F18</f>
        <v>64581</v>
      </c>
      <c r="N18" s="63">
        <f t="shared" ca="1" si="8"/>
        <v>62733</v>
      </c>
      <c r="O18" s="67">
        <f t="shared" ca="1" si="9"/>
        <v>56</v>
      </c>
      <c r="P18" s="57">
        <v>0</v>
      </c>
      <c r="Q18" s="57">
        <v>1830</v>
      </c>
      <c r="R18" s="60">
        <v>18</v>
      </c>
      <c r="S18" s="60">
        <v>0</v>
      </c>
      <c r="T18" s="60">
        <v>19</v>
      </c>
      <c r="U18" s="60">
        <v>1</v>
      </c>
      <c r="V18" s="60">
        <v>15</v>
      </c>
      <c r="W18" s="60">
        <v>4</v>
      </c>
      <c r="X18" s="60">
        <v>13</v>
      </c>
      <c r="Y18" s="60">
        <f ca="1">SUMIFS('Tổng Đơn'!$F:$F,'Tổng Đơn'!$B:$B,$C18)</f>
        <v>1</v>
      </c>
      <c r="Z18" s="60">
        <v>0</v>
      </c>
      <c r="AA18" s="60">
        <v>0</v>
      </c>
      <c r="AB18" s="60">
        <v>0</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0</v>
      </c>
      <c r="AX18" s="58">
        <f t="shared" si="10"/>
        <v>0</v>
      </c>
    </row>
    <row r="19" spans="1:50" ht="18.75" x14ac:dyDescent="0.25">
      <c r="A19" s="58">
        <f t="shared" si="1"/>
        <v>0</v>
      </c>
      <c r="B19" s="6">
        <v>15</v>
      </c>
      <c r="C19" s="60" t="s">
        <v>14</v>
      </c>
      <c r="D19" s="68">
        <v>60</v>
      </c>
      <c r="E19" s="6">
        <v>0.5</v>
      </c>
      <c r="F19" s="6">
        <v>10</v>
      </c>
      <c r="G19" s="71">
        <f t="shared" si="2"/>
        <v>30</v>
      </c>
      <c r="H19" s="73">
        <f t="shared" si="3"/>
        <v>300</v>
      </c>
      <c r="I19" s="64">
        <f t="shared" si="4"/>
        <v>0.79596191078272549</v>
      </c>
      <c r="J19" s="65">
        <f t="shared" si="5"/>
        <v>30.795961910782726</v>
      </c>
      <c r="K19" s="65">
        <f t="shared" si="6"/>
        <v>307.95961910782728</v>
      </c>
      <c r="L19" s="72">
        <v>35</v>
      </c>
      <c r="M19" s="63">
        <f t="shared" si="7"/>
        <v>350</v>
      </c>
      <c r="N19" s="63">
        <f t="shared" si="8"/>
        <v>350</v>
      </c>
      <c r="O19" s="67">
        <f t="shared" si="9"/>
        <v>0</v>
      </c>
      <c r="P19" s="57"/>
      <c r="Q19" s="57">
        <v>10</v>
      </c>
      <c r="R19" s="60">
        <v>0</v>
      </c>
      <c r="S19" s="60">
        <v>0</v>
      </c>
      <c r="T19" s="60">
        <v>0</v>
      </c>
      <c r="U19" s="60">
        <v>0</v>
      </c>
      <c r="V19" s="60">
        <v>0</v>
      </c>
      <c r="W19" s="60">
        <v>0</v>
      </c>
      <c r="X19" s="60">
        <v>0</v>
      </c>
      <c r="Y19" s="60">
        <f>SUMIFS('Tổng Đơn'!$F:$F,'Tổng Đơn'!$B:$B,$C19)</f>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129</v>
      </c>
      <c r="D20" s="68">
        <v>54</v>
      </c>
      <c r="E20" s="6">
        <v>0.5</v>
      </c>
      <c r="F20" s="6">
        <v>10</v>
      </c>
      <c r="G20" s="71">
        <f t="shared" si="2"/>
        <v>27</v>
      </c>
      <c r="H20" s="73">
        <f t="shared" si="3"/>
        <v>270</v>
      </c>
      <c r="I20" s="64">
        <f t="shared" si="4"/>
        <v>0.71636571970445295</v>
      </c>
      <c r="J20" s="65">
        <f t="shared" ref="J20:J23" si="13">G20+I20</f>
        <v>27.716365719704452</v>
      </c>
      <c r="K20" s="65">
        <f t="shared" si="6"/>
        <v>277.16365719704453</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f>SUMIFS('Tổng Đơn'!$F:$F,'Tổng Đơn'!$B:$B,$C20)</f>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509.1599035916077</v>
      </c>
      <c r="B21" s="6">
        <v>17</v>
      </c>
      <c r="C21" s="60" t="s">
        <v>223</v>
      </c>
      <c r="D21" s="68">
        <v>62</v>
      </c>
      <c r="E21" s="6">
        <v>0.5</v>
      </c>
      <c r="F21" s="6">
        <f>135+80+20+10+20+10+10+10+30+20+20+20</f>
        <v>385</v>
      </c>
      <c r="G21" s="71">
        <f t="shared" si="2"/>
        <v>31</v>
      </c>
      <c r="H21" s="73">
        <f t="shared" si="3"/>
        <v>11935</v>
      </c>
      <c r="I21" s="64">
        <f t="shared" si="4"/>
        <v>0.822493974475483</v>
      </c>
      <c r="J21" s="65">
        <f t="shared" si="13"/>
        <v>31.822493974475481</v>
      </c>
      <c r="K21" s="65">
        <f t="shared" si="6"/>
        <v>12251.660180173059</v>
      </c>
      <c r="L21" s="72">
        <v>40</v>
      </c>
      <c r="M21" s="63">
        <f t="shared" si="7"/>
        <v>15400</v>
      </c>
      <c r="N21" s="63">
        <f t="shared" ca="1" si="8"/>
        <v>14760</v>
      </c>
      <c r="O21" s="67">
        <f t="shared" ca="1" si="9"/>
        <v>16</v>
      </c>
      <c r="P21" s="57"/>
      <c r="Q21" s="57">
        <v>365</v>
      </c>
      <c r="R21" s="60">
        <v>0</v>
      </c>
      <c r="S21" s="60">
        <v>0</v>
      </c>
      <c r="T21" s="60">
        <v>0</v>
      </c>
      <c r="U21" s="60">
        <v>0</v>
      </c>
      <c r="V21" s="60">
        <v>0</v>
      </c>
      <c r="W21" s="60">
        <v>0</v>
      </c>
      <c r="X21" s="60">
        <v>3</v>
      </c>
      <c r="Y21" s="60">
        <f ca="1">SUMIFS('Tổng Đơn'!$F:$F,'Tổng Đơn'!$B:$B,$C21)</f>
        <v>1</v>
      </c>
      <c r="Z21" s="60">
        <v>0</v>
      </c>
      <c r="AA21" s="60">
        <v>0</v>
      </c>
      <c r="AB21" s="60">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0</v>
      </c>
      <c r="AX21" s="58">
        <f t="shared" si="10"/>
        <v>0</v>
      </c>
    </row>
    <row r="22" spans="1:50" ht="18.75" x14ac:dyDescent="0.25">
      <c r="A22" s="58">
        <f t="shared" si="1"/>
        <v>0</v>
      </c>
      <c r="B22" s="6">
        <v>18</v>
      </c>
      <c r="C22" s="60" t="s">
        <v>113</v>
      </c>
      <c r="D22" s="68">
        <v>43</v>
      </c>
      <c r="E22" s="6">
        <v>0.5</v>
      </c>
      <c r="F22" s="6">
        <v>25</v>
      </c>
      <c r="G22" s="71">
        <f t="shared" si="2"/>
        <v>21.5</v>
      </c>
      <c r="H22" s="73">
        <f t="shared" si="3"/>
        <v>537.5</v>
      </c>
      <c r="I22" s="64">
        <f t="shared" si="4"/>
        <v>0.57043936939428663</v>
      </c>
      <c r="J22" s="65">
        <f t="shared" si="13"/>
        <v>22.070439369394286</v>
      </c>
      <c r="K22" s="65">
        <f t="shared" si="6"/>
        <v>551.76098423485712</v>
      </c>
      <c r="L22" s="72">
        <v>35</v>
      </c>
      <c r="M22" s="63">
        <f t="shared" si="7"/>
        <v>875</v>
      </c>
      <c r="N22" s="63">
        <f t="shared" si="8"/>
        <v>875</v>
      </c>
      <c r="O22" s="67">
        <f t="shared" si="9"/>
        <v>0</v>
      </c>
      <c r="P22" s="57"/>
      <c r="Q22" s="57">
        <v>25</v>
      </c>
      <c r="R22" s="60">
        <v>0</v>
      </c>
      <c r="S22" s="60">
        <v>0</v>
      </c>
      <c r="T22" s="60">
        <v>0</v>
      </c>
      <c r="U22" s="60">
        <v>0</v>
      </c>
      <c r="V22" s="60">
        <v>0</v>
      </c>
      <c r="W22" s="60">
        <v>0</v>
      </c>
      <c r="X22" s="60">
        <v>0</v>
      </c>
      <c r="Y22" s="60">
        <f>SUMIFS('Tổng Đơn'!$F:$F,'Tổng Đơn'!$B:$B,$C22)</f>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137</v>
      </c>
      <c r="D23" s="68">
        <v>43.5</v>
      </c>
      <c r="E23" s="6">
        <v>0.5</v>
      </c>
      <c r="F23" s="6">
        <v>70</v>
      </c>
      <c r="G23" s="71">
        <f t="shared" si="2"/>
        <v>21.75</v>
      </c>
      <c r="H23" s="73">
        <f t="shared" si="3"/>
        <v>1522.5</v>
      </c>
      <c r="I23" s="64">
        <f t="shared" si="4"/>
        <v>0.57707238531747596</v>
      </c>
      <c r="J23" s="65">
        <f t="shared" si="13"/>
        <v>22.327072385317475</v>
      </c>
      <c r="K23" s="65">
        <f t="shared" si="6"/>
        <v>1562.8950669722233</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f>SUMIFS('Tổng Đơn'!$F:$F,'Tổng Đơn'!$B:$B,$C23)</f>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3051.3665593267219</v>
      </c>
      <c r="B24" s="6">
        <v>20</v>
      </c>
      <c r="C24" s="60" t="s">
        <v>136</v>
      </c>
      <c r="D24" s="68">
        <v>145</v>
      </c>
      <c r="E24" s="6">
        <v>0.5</v>
      </c>
      <c r="F24" s="6">
        <f>76+40+40+20+20+40+20+20+40+30+30+40+30+40+20+20+30</f>
        <v>556</v>
      </c>
      <c r="G24" s="71">
        <f t="shared" si="2"/>
        <v>72.5</v>
      </c>
      <c r="H24" s="73">
        <f t="shared" si="3"/>
        <v>40310</v>
      </c>
      <c r="I24" s="64">
        <f t="shared" si="4"/>
        <v>1.92357461772492</v>
      </c>
      <c r="J24" s="65">
        <f>G24+I24</f>
        <v>74.423574617724924</v>
      </c>
      <c r="K24" s="65">
        <f t="shared" si="6"/>
        <v>41379.507487455056</v>
      </c>
      <c r="L24" s="72">
        <v>80</v>
      </c>
      <c r="M24" s="63">
        <f t="shared" si="7"/>
        <v>44480</v>
      </c>
      <c r="N24" s="63">
        <f t="shared" ca="1" si="8"/>
        <v>41200</v>
      </c>
      <c r="O24" s="67">
        <f t="shared" ca="1" si="9"/>
        <v>41</v>
      </c>
      <c r="P24" s="57">
        <v>0</v>
      </c>
      <c r="Q24" s="57">
        <v>505</v>
      </c>
      <c r="R24" s="60">
        <v>3</v>
      </c>
      <c r="S24" s="60">
        <v>1</v>
      </c>
      <c r="T24" s="60">
        <v>2</v>
      </c>
      <c r="U24" s="60">
        <v>0</v>
      </c>
      <c r="V24" s="60">
        <v>0</v>
      </c>
      <c r="W24" s="60">
        <v>4</v>
      </c>
      <c r="X24" s="60">
        <v>0</v>
      </c>
      <c r="Y24" s="60">
        <f ca="1">SUMIFS('Tổng Đơn'!$F:$F,'Tổng Đơn'!$B:$B,$C24)</f>
        <v>0</v>
      </c>
      <c r="Z24" s="60">
        <v>0</v>
      </c>
      <c r="AA24" s="60">
        <v>0</v>
      </c>
      <c r="AB24" s="60">
        <v>0</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120.10425145205264</v>
      </c>
      <c r="B25" s="6">
        <v>21</v>
      </c>
      <c r="C25" s="60" t="s">
        <v>221</v>
      </c>
      <c r="D25" s="68">
        <v>78</v>
      </c>
      <c r="E25" s="6">
        <v>0.5</v>
      </c>
      <c r="F25" s="6">
        <f>27+20+10</f>
        <v>57</v>
      </c>
      <c r="G25" s="71">
        <f t="shared" si="2"/>
        <v>39</v>
      </c>
      <c r="H25" s="73">
        <f t="shared" si="3"/>
        <v>2223</v>
      </c>
      <c r="I25" s="64">
        <f t="shared" ref="I25:I29" si="14">((H25/$H$4)*$A$2)/F25</f>
        <v>1.0347504840175432</v>
      </c>
      <c r="J25" s="65">
        <f t="shared" ref="J25:J29" si="15">G25+I25</f>
        <v>40.034750484017543</v>
      </c>
      <c r="K25" s="65">
        <f t="shared" ref="K25:K29" si="16">J25*F25</f>
        <v>2281.9807775889999</v>
      </c>
      <c r="L25" s="72">
        <v>44</v>
      </c>
      <c r="M25" s="63">
        <f t="shared" si="7"/>
        <v>2508</v>
      </c>
      <c r="N25" s="63">
        <f t="shared" ca="1" si="8"/>
        <v>2376</v>
      </c>
      <c r="O25" s="67">
        <f t="shared" ca="1" si="9"/>
        <v>3</v>
      </c>
      <c r="P25" s="57"/>
      <c r="Q25" s="57">
        <v>54</v>
      </c>
      <c r="R25" s="60">
        <v>0</v>
      </c>
      <c r="S25" s="60">
        <v>0</v>
      </c>
      <c r="T25" s="60">
        <v>0</v>
      </c>
      <c r="U25" s="60">
        <v>0</v>
      </c>
      <c r="V25" s="60">
        <v>0</v>
      </c>
      <c r="W25" s="60">
        <v>0</v>
      </c>
      <c r="X25" s="60">
        <v>0</v>
      </c>
      <c r="Y25" s="60">
        <f ca="1">SUMIFS('Tổng Đơn'!$F:$F,'Tổng Đơn'!$B:$B,$C25)</f>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333.10965466829981</v>
      </c>
      <c r="B26" s="6">
        <v>22</v>
      </c>
      <c r="C26" s="60" t="s">
        <v>138</v>
      </c>
      <c r="D26" s="68">
        <v>59</v>
      </c>
      <c r="E26" s="6">
        <v>0.5</v>
      </c>
      <c r="F26" s="6">
        <f>10+10+20</f>
        <v>40</v>
      </c>
      <c r="G26" s="71">
        <f t="shared" si="2"/>
        <v>29.5</v>
      </c>
      <c r="H26" s="73">
        <f t="shared" si="3"/>
        <v>1180</v>
      </c>
      <c r="I26" s="64">
        <f t="shared" si="14"/>
        <v>0.78269587893634684</v>
      </c>
      <c r="J26" s="65">
        <f t="shared" si="15"/>
        <v>30.282695878936348</v>
      </c>
      <c r="K26" s="65">
        <f t="shared" si="16"/>
        <v>1211.3078351574538</v>
      </c>
      <c r="L26" s="72">
        <v>35</v>
      </c>
      <c r="M26" s="63">
        <f t="shared" si="7"/>
        <v>1400</v>
      </c>
      <c r="N26" s="63">
        <f t="shared" ca="1" si="8"/>
        <v>805</v>
      </c>
      <c r="O26" s="67">
        <f t="shared" ca="1" si="9"/>
        <v>11</v>
      </c>
      <c r="P26" s="57">
        <v>6</v>
      </c>
      <c r="Q26" s="57">
        <v>22</v>
      </c>
      <c r="R26" s="60">
        <v>0</v>
      </c>
      <c r="S26" s="60">
        <v>0</v>
      </c>
      <c r="T26" s="60">
        <v>1</v>
      </c>
      <c r="U26" s="60">
        <v>0</v>
      </c>
      <c r="V26" s="60">
        <v>0</v>
      </c>
      <c r="W26" s="60">
        <v>0</v>
      </c>
      <c r="X26" s="60">
        <v>0</v>
      </c>
      <c r="Y26" s="60">
        <f ca="1">SUMIFS('Tổng Đơn'!$F:$F,'Tổng Đơn'!$B:$B,$C26)</f>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258.6860800505749</v>
      </c>
      <c r="B27" s="6">
        <v>23</v>
      </c>
      <c r="C27" s="60" t="s">
        <v>139</v>
      </c>
      <c r="D27" s="68">
        <v>63</v>
      </c>
      <c r="E27" s="6">
        <v>0.5</v>
      </c>
      <c r="F27" s="6">
        <f>30+20+20+13+10+10+20</f>
        <v>123</v>
      </c>
      <c r="G27" s="217">
        <f t="shared" si="2"/>
        <v>31.5</v>
      </c>
      <c r="H27" s="73">
        <f t="shared" si="3"/>
        <v>3874.5</v>
      </c>
      <c r="I27" s="64">
        <f t="shared" si="14"/>
        <v>0.83576000632186176</v>
      </c>
      <c r="J27" s="65">
        <f t="shared" si="15"/>
        <v>32.335760006321863</v>
      </c>
      <c r="K27" s="65">
        <f t="shared" si="16"/>
        <v>3977.2984807775892</v>
      </c>
      <c r="L27" s="72">
        <v>38</v>
      </c>
      <c r="M27" s="63">
        <f t="shared" si="7"/>
        <v>4674</v>
      </c>
      <c r="N27" s="63">
        <f t="shared" ca="1" si="8"/>
        <v>4370</v>
      </c>
      <c r="O27" s="67">
        <f t="shared" ca="1" si="9"/>
        <v>8</v>
      </c>
      <c r="P27" s="57">
        <f>1-1</f>
        <v>0</v>
      </c>
      <c r="Q27" s="57">
        <v>115</v>
      </c>
      <c r="R27" s="60">
        <v>0</v>
      </c>
      <c r="S27" s="60">
        <v>0</v>
      </c>
      <c r="T27" s="60">
        <v>0</v>
      </c>
      <c r="U27" s="60">
        <v>0</v>
      </c>
      <c r="V27" s="60">
        <v>0</v>
      </c>
      <c r="W27" s="60">
        <v>0</v>
      </c>
      <c r="X27" s="60">
        <v>0</v>
      </c>
      <c r="Y27" s="60">
        <f ca="1">SUMIFS('Tổng Đơn'!$F:$F,'Tổng Đơn'!$B:$B,$C27)</f>
        <v>0</v>
      </c>
      <c r="Z27" s="60">
        <v>0</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982.39118495396895</v>
      </c>
      <c r="B28" s="6">
        <v>24</v>
      </c>
      <c r="C28" s="60" t="s">
        <v>157</v>
      </c>
      <c r="D28" s="68">
        <v>87</v>
      </c>
      <c r="E28" s="6">
        <v>0.5</v>
      </c>
      <c r="F28" s="6">
        <f>1+20+20</f>
        <v>41</v>
      </c>
      <c r="G28" s="216">
        <f>D28/(1/E28)</f>
        <v>43.5</v>
      </c>
      <c r="H28" s="73">
        <f t="shared" si="3"/>
        <v>1783.5</v>
      </c>
      <c r="I28" s="64">
        <f t="shared" si="14"/>
        <v>1.1541447706349521</v>
      </c>
      <c r="J28" s="65">
        <f t="shared" si="15"/>
        <v>44.65414477063495</v>
      </c>
      <c r="K28" s="65">
        <f t="shared" si="16"/>
        <v>1830.819935596033</v>
      </c>
      <c r="L28" s="72">
        <v>47</v>
      </c>
      <c r="M28" s="63">
        <f t="shared" si="7"/>
        <v>1927</v>
      </c>
      <c r="N28" s="63">
        <f t="shared" ca="1" si="8"/>
        <v>893</v>
      </c>
      <c r="O28" s="67">
        <f t="shared" ca="1" si="9"/>
        <v>22</v>
      </c>
      <c r="P28" s="57">
        <v>0</v>
      </c>
      <c r="Q28" s="57">
        <v>15</v>
      </c>
      <c r="R28" s="60">
        <v>1</v>
      </c>
      <c r="S28" s="60">
        <v>0</v>
      </c>
      <c r="T28" s="60">
        <v>1</v>
      </c>
      <c r="U28" s="60">
        <v>0</v>
      </c>
      <c r="V28" s="60">
        <v>0</v>
      </c>
      <c r="W28" s="60">
        <v>2</v>
      </c>
      <c r="X28" s="60">
        <v>0</v>
      </c>
      <c r="Y28" s="60">
        <f ca="1">SUMIFS('Tổng Đơn'!$F:$F,'Tổng Đơn'!$B:$B,$C28)</f>
        <v>0</v>
      </c>
      <c r="Z28" s="60">
        <v>0</v>
      </c>
      <c r="AA28" s="60">
        <v>0</v>
      </c>
      <c r="AB28" s="60">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0</v>
      </c>
      <c r="AX28" s="58">
        <f t="shared" si="10"/>
        <v>0</v>
      </c>
    </row>
    <row r="29" spans="1:50" ht="18.75" x14ac:dyDescent="0.25">
      <c r="A29" s="58">
        <f t="shared" ca="1" si="1"/>
        <v>44.65414477063495</v>
      </c>
      <c r="B29" s="6">
        <v>25</v>
      </c>
      <c r="C29" s="60" t="s">
        <v>159</v>
      </c>
      <c r="D29" s="68">
        <v>87</v>
      </c>
      <c r="E29" s="6">
        <v>0.5</v>
      </c>
      <c r="F29" s="6">
        <v>20</v>
      </c>
      <c r="G29" s="71">
        <f>D29/2</f>
        <v>43.5</v>
      </c>
      <c r="H29" s="73">
        <f t="shared" si="3"/>
        <v>870</v>
      </c>
      <c r="I29" s="64">
        <f t="shared" si="14"/>
        <v>1.1541447706349519</v>
      </c>
      <c r="J29" s="65">
        <f t="shared" si="15"/>
        <v>44.65414477063495</v>
      </c>
      <c r="K29" s="65">
        <f t="shared" si="16"/>
        <v>893.08289541269903</v>
      </c>
      <c r="L29" s="72">
        <v>50</v>
      </c>
      <c r="M29" s="63">
        <f t="shared" si="7"/>
        <v>1000</v>
      </c>
      <c r="N29" s="63">
        <f t="shared" ca="1" si="8"/>
        <v>950</v>
      </c>
      <c r="O29" s="67">
        <f t="shared" ca="1" si="9"/>
        <v>1</v>
      </c>
      <c r="P29" s="57"/>
      <c r="Q29" s="57">
        <v>19</v>
      </c>
      <c r="R29" s="60">
        <v>0</v>
      </c>
      <c r="S29" s="60">
        <v>0</v>
      </c>
      <c r="T29" s="60">
        <v>0</v>
      </c>
      <c r="U29" s="60">
        <v>0</v>
      </c>
      <c r="V29" s="60">
        <v>0</v>
      </c>
      <c r="W29" s="60">
        <v>0</v>
      </c>
      <c r="X29" s="60">
        <v>0</v>
      </c>
      <c r="Y29" s="60">
        <f ca="1">SUMIFS('Tổng Đơn'!$F:$F,'Tổng Đơn'!$B:$B,$C29)</f>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438.32919119680747</v>
      </c>
      <c r="B30" s="6">
        <v>26</v>
      </c>
      <c r="C30" s="60" t="s">
        <v>254</v>
      </c>
      <c r="D30" s="68">
        <v>61</v>
      </c>
      <c r="E30" s="6">
        <v>0.5</v>
      </c>
      <c r="F30" s="6">
        <f>20+40+20</f>
        <v>80</v>
      </c>
      <c r="G30" s="71">
        <f>D30/2</f>
        <v>30.5</v>
      </c>
      <c r="H30" s="73">
        <f t="shared" ref="H30" si="17">G30*F30</f>
        <v>2440</v>
      </c>
      <c r="I30" s="64">
        <f t="shared" ref="I30" si="18">((H30/$H$4)*$A$2)/F30</f>
        <v>0.80922794262910425</v>
      </c>
      <c r="J30" s="65">
        <f t="shared" ref="J30" si="19">G30+I30</f>
        <v>31.309227942629104</v>
      </c>
      <c r="K30" s="65">
        <f t="shared" ref="K30" si="20">J30*F30</f>
        <v>2504.7382354103283</v>
      </c>
      <c r="L30" s="72">
        <v>35</v>
      </c>
      <c r="M30" s="63">
        <f t="shared" si="7"/>
        <v>2800</v>
      </c>
      <c r="N30" s="63">
        <f t="shared" ca="1" si="8"/>
        <v>2310</v>
      </c>
      <c r="O30" s="67">
        <f t="shared" ca="1" si="9"/>
        <v>14</v>
      </c>
      <c r="P30" s="57"/>
      <c r="Q30" s="57">
        <v>64</v>
      </c>
      <c r="R30" s="60">
        <v>0</v>
      </c>
      <c r="S30" s="60">
        <v>2</v>
      </c>
      <c r="T30" s="60">
        <v>0</v>
      </c>
      <c r="U30" s="60">
        <v>0</v>
      </c>
      <c r="V30" s="60">
        <v>0</v>
      </c>
      <c r="W30" s="60">
        <v>0</v>
      </c>
      <c r="X30" s="60">
        <v>0</v>
      </c>
      <c r="Y30" s="60">
        <f ca="1">SUMIFS('Tổng Đơn'!$F:$F,'Tổng Đơn'!$B:$B,$C30)</f>
        <v>0</v>
      </c>
      <c r="Z30" s="60">
        <v>0</v>
      </c>
      <c r="AA30" s="60">
        <v>0</v>
      </c>
      <c r="AB30" s="60">
        <v>0</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230</v>
      </c>
      <c r="C32" s="185" t="s">
        <v>300</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230</v>
      </c>
      <c r="C33" s="185" t="s">
        <v>263</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230</v>
      </c>
      <c r="C34" s="185" t="s">
        <v>232</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230</v>
      </c>
      <c r="C35" s="185" t="s">
        <v>231</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292" priority="25">
      <formula>($O6/$O6)&lt;=1/4</formula>
    </cfRule>
  </conditionalFormatting>
  <conditionalFormatting sqref="C20">
    <cfRule type="expression" dxfId="291" priority="24">
      <formula>($O20/$O20)&lt;=1/4</formula>
    </cfRule>
  </conditionalFormatting>
  <conditionalFormatting sqref="C21">
    <cfRule type="expression" dxfId="290" priority="22">
      <formula>($O21/$O21)&lt;=1/4</formula>
    </cfRule>
  </conditionalFormatting>
  <conditionalFormatting sqref="C22">
    <cfRule type="expression" dxfId="289" priority="20">
      <formula>($O22/$O22)&lt;=1/4</formula>
    </cfRule>
  </conditionalFormatting>
  <conditionalFormatting sqref="C23">
    <cfRule type="expression" dxfId="288" priority="18">
      <formula>($O23/$O23)&lt;=1/4</formula>
    </cfRule>
  </conditionalFormatting>
  <conditionalFormatting sqref="C25">
    <cfRule type="expression" dxfId="287" priority="14">
      <formula>($O25/$O25)&lt;=1/4</formula>
    </cfRule>
  </conditionalFormatting>
  <conditionalFormatting sqref="C26:C27">
    <cfRule type="expression" dxfId="286" priority="12">
      <formula>($O26/$O26)&lt;=1/4</formula>
    </cfRule>
  </conditionalFormatting>
  <conditionalFormatting sqref="C28">
    <cfRule type="expression" dxfId="285" priority="9">
      <formula>($O28/$O28)&lt;=1/4</formula>
    </cfRule>
  </conditionalFormatting>
  <conditionalFormatting sqref="C29:C31">
    <cfRule type="expression" dxfId="284" priority="7">
      <formula>($O29/$O29)&lt;=1/4</formula>
    </cfRule>
  </conditionalFormatting>
  <conditionalFormatting sqref="C5:C31">
    <cfRule type="expression" dxfId="283"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Q8"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59"/>
    </row>
    <row r="2" spans="1:50" ht="34.5" customHeight="1" x14ac:dyDescent="0.25">
      <c r="A2" s="1">
        <f>370+100+80+150+170+60+300+200+40+180+50+100+30+60+30+160+60+70+70+30+50+60+40+20+90+40+30+70+40+20+60+50+60+20+20+40+60+60+60+140+40+80+40+40+60+50+80+20+160+30+20+20+20+160+40</f>
        <v>4200</v>
      </c>
      <c r="F2" s="13"/>
      <c r="H2" s="155">
        <f>880+1311</f>
        <v>2191</v>
      </c>
      <c r="K2" s="155">
        <f>902+1343</f>
        <v>2245</v>
      </c>
      <c r="L2" s="13"/>
      <c r="M2" s="155">
        <f>1080+1520</f>
        <v>2600</v>
      </c>
      <c r="N2" s="155">
        <f>1053+1520</f>
        <v>2573</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290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17774.72223822814</v>
      </c>
      <c r="B4" s="16"/>
      <c r="C4" s="16"/>
      <c r="D4" s="46"/>
      <c r="E4" s="16">
        <f>SUMPRODUCT((E5:E32)*(F5:F32))</f>
        <v>2564.1999999999998</v>
      </c>
      <c r="F4" s="16">
        <f>SUBTOTAL(9,F5:F32)</f>
        <v>5608</v>
      </c>
      <c r="G4" s="7"/>
      <c r="H4" s="7">
        <f>SUBTOTAL(9,H5:H32)+H2</f>
        <v>184007.78947368421</v>
      </c>
      <c r="I4" s="12"/>
      <c r="J4" s="12"/>
      <c r="K4" s="12">
        <f>SUBTOTAL(9,K5:K32)+K2</f>
        <v>188201.29413665892</v>
      </c>
      <c r="L4" s="47"/>
      <c r="M4" s="7">
        <f>SUBTOTAL(9,M5:M32)+M2</f>
        <v>222374</v>
      </c>
      <c r="N4" s="7">
        <f ca="1">SUBTOTAL(9,N5:N32)+N2</f>
        <v>201048</v>
      </c>
      <c r="O4" s="48">
        <f ca="1">SUBTOTAL(9,O5:O32)</f>
        <v>473</v>
      </c>
      <c r="P4" s="74">
        <f t="shared" ref="P4" si="0">SUBTOTAL(9,P5:P24)</f>
        <v>7</v>
      </c>
      <c r="Q4" s="74">
        <f>SUBTOTAL(9,Q5:Q32)</f>
        <v>4831</v>
      </c>
      <c r="R4" s="25">
        <f t="shared" ref="R4:AV4" si="1">SUBTOTAL(9,R5:R25)</f>
        <v>10</v>
      </c>
      <c r="S4" s="25">
        <f t="shared" si="1"/>
        <v>0</v>
      </c>
      <c r="T4" s="25">
        <f t="shared" si="1"/>
        <v>27</v>
      </c>
      <c r="U4" s="25">
        <f t="shared" si="1"/>
        <v>1</v>
      </c>
      <c r="V4" s="25">
        <f t="shared" si="1"/>
        <v>22</v>
      </c>
      <c r="W4" s="25">
        <f t="shared" si="1"/>
        <v>17</v>
      </c>
      <c r="X4" s="25">
        <f t="shared" si="1"/>
        <v>16</v>
      </c>
      <c r="Y4" s="25">
        <f t="shared" ca="1" si="1"/>
        <v>12</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32 Kg</v>
      </c>
      <c r="AX4" s="77">
        <f>SUBTOTAL(9,AX5:AX32)</f>
        <v>2464</v>
      </c>
    </row>
    <row r="5" spans="1:50" ht="18.75" x14ac:dyDescent="0.25">
      <c r="A5" s="58">
        <f t="shared" ref="A5:A28" ca="1" si="2">J5*O5</f>
        <v>2160.2066548670136</v>
      </c>
      <c r="B5" s="6">
        <v>1</v>
      </c>
      <c r="C5" s="60" t="s">
        <v>128</v>
      </c>
      <c r="D5" s="68">
        <v>64</v>
      </c>
      <c r="E5" s="61">
        <v>0.5</v>
      </c>
      <c r="F5" s="112">
        <f>80+100</f>
        <v>180</v>
      </c>
      <c r="G5" s="62">
        <f>D5/2</f>
        <v>32</v>
      </c>
      <c r="H5" s="63">
        <f t="shared" ref="H5:H19" si="3">G5*F5</f>
        <v>5760</v>
      </c>
      <c r="I5" s="64">
        <f t="shared" ref="I5:I19" si="4">((H5/$H$4)*$A$2)/F5</f>
        <v>0.73040386162141868</v>
      </c>
      <c r="J5" s="137">
        <f t="shared" ref="J5:J17" si="5">G5+I5</f>
        <v>32.730403861621419</v>
      </c>
      <c r="K5" s="65">
        <f>J5*F5</f>
        <v>5891.4726950918557</v>
      </c>
      <c r="L5" s="69">
        <v>45</v>
      </c>
      <c r="M5" s="63">
        <f t="shared" ref="M5:M18" si="6">L5*F5</f>
        <v>8100</v>
      </c>
      <c r="N5" s="63">
        <f t="shared" ref="N5:N25" ca="1" si="7">SUMPRODUCT(($Q5:$AV5)*$L5)</f>
        <v>5130</v>
      </c>
      <c r="O5" s="70">
        <f t="shared" ref="O5:O25" ca="1" si="8">F5-SUM(Q5:AV5)-P5</f>
        <v>66</v>
      </c>
      <c r="P5" s="57">
        <v>0</v>
      </c>
      <c r="Q5" s="57">
        <v>68</v>
      </c>
      <c r="R5" s="22">
        <v>4</v>
      </c>
      <c r="S5" s="22">
        <v>0</v>
      </c>
      <c r="T5" s="22">
        <v>16</v>
      </c>
      <c r="U5" s="22">
        <v>0</v>
      </c>
      <c r="V5" s="22">
        <v>7</v>
      </c>
      <c r="W5" s="22">
        <v>6</v>
      </c>
      <c r="X5" s="22">
        <v>3</v>
      </c>
      <c r="Y5" s="22">
        <f ca="1">SUMIFS('Tổng Đơn'!$F:$F,'Tổng Đơn'!$B:$B,$C5)</f>
        <v>10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1159.883686846209</v>
      </c>
      <c r="B6" s="6">
        <v>2</v>
      </c>
      <c r="C6" s="60" t="s">
        <v>224</v>
      </c>
      <c r="D6" s="68">
        <f t="shared" ref="D6:D11" si="10">G6*2</f>
        <v>81</v>
      </c>
      <c r="E6" s="61">
        <v>0.5</v>
      </c>
      <c r="F6" s="112">
        <f>20+60+20+20+20+20+20+20+20+40</f>
        <v>260</v>
      </c>
      <c r="G6" s="62">
        <v>40.5</v>
      </c>
      <c r="H6" s="63">
        <f t="shared" si="3"/>
        <v>10530</v>
      </c>
      <c r="I6" s="64">
        <f t="shared" si="4"/>
        <v>0.92441738736460821</v>
      </c>
      <c r="J6" s="137">
        <f t="shared" si="5"/>
        <v>41.424417387364606</v>
      </c>
      <c r="K6" s="65">
        <f t="shared" ref="K6:K17" si="11">J6*F6</f>
        <v>10770.348520714797</v>
      </c>
      <c r="L6" s="69">
        <v>46</v>
      </c>
      <c r="M6" s="63">
        <f t="shared" si="6"/>
        <v>11960</v>
      </c>
      <c r="N6" s="63">
        <f t="shared" ca="1" si="7"/>
        <v>10626</v>
      </c>
      <c r="O6" s="70">
        <f t="shared" ca="1" si="8"/>
        <v>28</v>
      </c>
      <c r="P6" s="57">
        <v>1</v>
      </c>
      <c r="Q6" s="57">
        <v>231</v>
      </c>
      <c r="R6" s="22">
        <v>0</v>
      </c>
      <c r="S6" s="22">
        <v>0</v>
      </c>
      <c r="T6" s="22">
        <v>0</v>
      </c>
      <c r="U6" s="22">
        <v>0</v>
      </c>
      <c r="V6" s="22">
        <v>0</v>
      </c>
      <c r="W6" s="22">
        <v>0</v>
      </c>
      <c r="X6" s="22">
        <v>0</v>
      </c>
      <c r="Y6" s="22">
        <f ca="1">SUMIFS('Tổng Đơn'!$F:$F,'Tổng Đơn'!$B:$B,$C6)</f>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598.3526955952666</v>
      </c>
      <c r="B7" s="6">
        <v>3</v>
      </c>
      <c r="C7" s="60" t="s">
        <v>27</v>
      </c>
      <c r="D7" s="68">
        <f t="shared" si="10"/>
        <v>65</v>
      </c>
      <c r="E7" s="61">
        <v>0.5</v>
      </c>
      <c r="F7" s="112">
        <f>120+40+40+40+40</f>
        <v>280</v>
      </c>
      <c r="G7" s="62">
        <v>32.5</v>
      </c>
      <c r="H7" s="63">
        <f t="shared" si="3"/>
        <v>9100</v>
      </c>
      <c r="I7" s="64">
        <f t="shared" si="4"/>
        <v>0.74181642195925346</v>
      </c>
      <c r="J7" s="137">
        <f t="shared" si="5"/>
        <v>33.241816421959257</v>
      </c>
      <c r="K7" s="65">
        <f t="shared" si="11"/>
        <v>9307.7085981485925</v>
      </c>
      <c r="L7" s="69">
        <v>38</v>
      </c>
      <c r="M7" s="63">
        <f t="shared" si="6"/>
        <v>10640</v>
      </c>
      <c r="N7" s="63">
        <f t="shared" ca="1" si="7"/>
        <v>9880</v>
      </c>
      <c r="O7" s="70">
        <f t="shared" ca="1" si="8"/>
        <v>18</v>
      </c>
      <c r="P7" s="57">
        <v>2</v>
      </c>
      <c r="Q7" s="57">
        <v>257</v>
      </c>
      <c r="R7" s="22">
        <v>0</v>
      </c>
      <c r="S7" s="22">
        <v>0</v>
      </c>
      <c r="T7" s="22">
        <v>2</v>
      </c>
      <c r="U7" s="22">
        <v>0</v>
      </c>
      <c r="V7" s="22">
        <v>0</v>
      </c>
      <c r="W7" s="22">
        <v>0</v>
      </c>
      <c r="X7" s="22">
        <v>0</v>
      </c>
      <c r="Y7" s="22">
        <f ca="1">SUMIFS('Tổng Đơn'!$F:$F,'Tổng Đơn'!$B:$B,$C7)</f>
        <v>1</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1022.8251206756694</v>
      </c>
      <c r="B8" s="6">
        <v>4</v>
      </c>
      <c r="C8" s="60" t="s">
        <v>26</v>
      </c>
      <c r="D8" s="68">
        <f t="shared" si="10"/>
        <v>80</v>
      </c>
      <c r="E8" s="61">
        <v>0.5</v>
      </c>
      <c r="F8" s="112">
        <f>70+30+20+30+20+20+20+30+10+10+20+20+30+30+20+10+10+10+20+30+40+30+30+20+30+20</f>
        <v>630</v>
      </c>
      <c r="G8" s="62">
        <v>40</v>
      </c>
      <c r="H8" s="63">
        <f t="shared" si="3"/>
        <v>25200</v>
      </c>
      <c r="I8" s="64">
        <f t="shared" si="4"/>
        <v>0.91300482702677344</v>
      </c>
      <c r="J8" s="137">
        <f t="shared" si="5"/>
        <v>40.913004827026775</v>
      </c>
      <c r="K8" s="65">
        <f t="shared" si="11"/>
        <v>25775.193041026869</v>
      </c>
      <c r="L8" s="69">
        <v>45</v>
      </c>
      <c r="M8" s="63">
        <f t="shared" si="6"/>
        <v>28350</v>
      </c>
      <c r="N8" s="63">
        <f t="shared" ca="1" si="7"/>
        <v>27180</v>
      </c>
      <c r="O8" s="70">
        <f t="shared" ca="1" si="8"/>
        <v>25</v>
      </c>
      <c r="P8" s="57">
        <f>-1+2</f>
        <v>1</v>
      </c>
      <c r="Q8" s="57">
        <v>587</v>
      </c>
      <c r="R8" s="22">
        <v>0</v>
      </c>
      <c r="S8" s="22">
        <v>0</v>
      </c>
      <c r="T8" s="22">
        <v>1</v>
      </c>
      <c r="U8" s="22">
        <v>1</v>
      </c>
      <c r="V8" s="22">
        <v>0</v>
      </c>
      <c r="W8" s="22">
        <v>2</v>
      </c>
      <c r="X8" s="22">
        <v>12</v>
      </c>
      <c r="Y8" s="22">
        <f ca="1">SUMIFS('Tổng Đơn'!$F:$F,'Tổng Đơn'!$B:$B,$C8)</f>
        <v>1</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1693.2869872785705</v>
      </c>
      <c r="B9" s="6">
        <v>5</v>
      </c>
      <c r="C9" s="60" t="s">
        <v>25</v>
      </c>
      <c r="D9" s="68">
        <v>77</v>
      </c>
      <c r="E9" s="61">
        <v>0.5</v>
      </c>
      <c r="F9" s="112">
        <f>30+40+24</f>
        <v>94</v>
      </c>
      <c r="G9" s="62">
        <f>D9/2</f>
        <v>38.5</v>
      </c>
      <c r="H9" s="63">
        <f>G9*F9</f>
        <v>3619</v>
      </c>
      <c r="I9" s="64">
        <f>((H9/$H$4)*$A$2)/F9</f>
        <v>0.87876714601326933</v>
      </c>
      <c r="J9" s="137">
        <f t="shared" si="5"/>
        <v>39.378767146013267</v>
      </c>
      <c r="K9" s="65">
        <f t="shared" si="11"/>
        <v>3701.6041117252471</v>
      </c>
      <c r="L9" s="69">
        <v>42</v>
      </c>
      <c r="M9" s="63">
        <f t="shared" si="6"/>
        <v>3948</v>
      </c>
      <c r="N9" s="63">
        <f t="shared" ca="1" si="7"/>
        <v>2142</v>
      </c>
      <c r="O9" s="70">
        <f t="shared" ca="1" si="8"/>
        <v>43</v>
      </c>
      <c r="P9" s="57">
        <v>0</v>
      </c>
      <c r="Q9" s="57">
        <v>34</v>
      </c>
      <c r="R9" s="22">
        <v>3</v>
      </c>
      <c r="S9" s="22">
        <v>0</v>
      </c>
      <c r="T9" s="22">
        <v>6</v>
      </c>
      <c r="U9" s="22">
        <v>0</v>
      </c>
      <c r="V9" s="22">
        <v>3</v>
      </c>
      <c r="W9" s="22">
        <v>4</v>
      </c>
      <c r="X9" s="22">
        <v>1</v>
      </c>
      <c r="Y9" s="22">
        <f ca="1">SUMIFS('Tổng Đơn'!$F:$F,'Tổng Đơn'!$B:$B,$C9)</f>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24</v>
      </c>
      <c r="AX9" s="58">
        <f t="shared" si="9"/>
        <v>924</v>
      </c>
    </row>
    <row r="10" spans="1:50" ht="18.75" x14ac:dyDescent="0.25">
      <c r="A10" s="58">
        <f t="shared" si="2"/>
        <v>0</v>
      </c>
      <c r="B10" s="6">
        <v>6</v>
      </c>
      <c r="C10" s="60" t="s">
        <v>53</v>
      </c>
      <c r="D10" s="68">
        <f t="shared" si="10"/>
        <v>59</v>
      </c>
      <c r="E10" s="61">
        <v>0.5</v>
      </c>
      <c r="F10" s="112">
        <f>60+20+40</f>
        <v>120</v>
      </c>
      <c r="G10" s="62">
        <v>29.5</v>
      </c>
      <c r="H10" s="63">
        <f t="shared" si="3"/>
        <v>3540</v>
      </c>
      <c r="I10" s="64">
        <f t="shared" si="4"/>
        <v>0.67334105993224536</v>
      </c>
      <c r="J10" s="137">
        <f t="shared" si="5"/>
        <v>30.173341059932245</v>
      </c>
      <c r="K10" s="65">
        <f t="shared" si="11"/>
        <v>3620.8009271918695</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f>SUMIFS('Tổng Đơn'!$F:$F,'Tổng Đơn'!$B:$B,$C10)</f>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270.0258318583767</v>
      </c>
      <c r="B11" s="6">
        <v>7</v>
      </c>
      <c r="C11" s="60" t="s">
        <v>225</v>
      </c>
      <c r="D11" s="68">
        <f t="shared" si="10"/>
        <v>66</v>
      </c>
      <c r="E11" s="61">
        <v>0.5</v>
      </c>
      <c r="F11" s="112">
        <f>10+10</f>
        <v>20</v>
      </c>
      <c r="G11" s="62">
        <v>33</v>
      </c>
      <c r="H11" s="63">
        <f t="shared" si="3"/>
        <v>660</v>
      </c>
      <c r="I11" s="64">
        <f t="shared" si="4"/>
        <v>0.75322898229708812</v>
      </c>
      <c r="J11" s="137">
        <f t="shared" si="5"/>
        <v>33.753228982297088</v>
      </c>
      <c r="K11" s="65">
        <f t="shared" si="11"/>
        <v>675.06457964594176</v>
      </c>
      <c r="L11" s="69">
        <v>40</v>
      </c>
      <c r="M11" s="63">
        <f t="shared" si="6"/>
        <v>800</v>
      </c>
      <c r="N11" s="63">
        <f t="shared" ca="1" si="7"/>
        <v>480</v>
      </c>
      <c r="O11" s="70">
        <f t="shared" ca="1" si="8"/>
        <v>8</v>
      </c>
      <c r="P11" s="57"/>
      <c r="Q11" s="57">
        <v>11</v>
      </c>
      <c r="R11" s="22">
        <v>1</v>
      </c>
      <c r="S11" s="22">
        <v>0</v>
      </c>
      <c r="T11" s="22">
        <v>0</v>
      </c>
      <c r="U11" s="22">
        <v>0</v>
      </c>
      <c r="V11" s="22">
        <v>0</v>
      </c>
      <c r="W11" s="22">
        <v>0</v>
      </c>
      <c r="X11" s="22">
        <v>0</v>
      </c>
      <c r="Y11" s="22">
        <f ca="1">SUMIFS('Tổng Đơn'!$F:$F,'Tổng Đơn'!$B:$B,$C11)</f>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0.64671175247729784</v>
      </c>
      <c r="J12" s="137">
        <f t="shared" si="5"/>
        <v>28.98004508581063</v>
      </c>
      <c r="K12" s="65">
        <f t="shared" si="11"/>
        <v>1043.2816230891826</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f>SUMIFS('Tổng Đơn'!$F:$F,'Tổng Đơn'!$B:$B,$C12)</f>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572.78206757837484</v>
      </c>
      <c r="B13" s="6">
        <v>9</v>
      </c>
      <c r="C13" s="60" t="s">
        <v>31</v>
      </c>
      <c r="D13" s="68">
        <f t="shared" ref="D13:D22" si="12">G13*2</f>
        <v>80</v>
      </c>
      <c r="E13" s="61">
        <v>0.5</v>
      </c>
      <c r="F13" s="112">
        <v>40</v>
      </c>
      <c r="G13" s="62">
        <v>40</v>
      </c>
      <c r="H13" s="63">
        <f t="shared" si="3"/>
        <v>1600</v>
      </c>
      <c r="I13" s="64">
        <f t="shared" si="4"/>
        <v>0.91300482702677344</v>
      </c>
      <c r="J13" s="137">
        <f t="shared" si="5"/>
        <v>40.913004827026775</v>
      </c>
      <c r="K13" s="65">
        <f t="shared" si="11"/>
        <v>1636.5201930810711</v>
      </c>
      <c r="L13" s="69">
        <v>45</v>
      </c>
      <c r="M13" s="63">
        <f t="shared" si="6"/>
        <v>1800</v>
      </c>
      <c r="N13" s="63">
        <f t="shared" ca="1" si="7"/>
        <v>1170</v>
      </c>
      <c r="O13" s="70">
        <f t="shared" ca="1" si="8"/>
        <v>14</v>
      </c>
      <c r="P13" s="57"/>
      <c r="Q13" s="57">
        <v>26</v>
      </c>
      <c r="R13" s="22">
        <v>0</v>
      </c>
      <c r="S13" s="22">
        <v>0</v>
      </c>
      <c r="T13" s="22">
        <v>0</v>
      </c>
      <c r="U13" s="22">
        <v>0</v>
      </c>
      <c r="V13" s="22">
        <v>0</v>
      </c>
      <c r="W13" s="22">
        <v>0</v>
      </c>
      <c r="X13" s="22">
        <v>0</v>
      </c>
      <c r="Y13" s="22">
        <f ca="1">SUMIFS('Tổng Đơn'!$F:$F,'Tổng Đơn'!$B:$B,$C13)</f>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1186.4771399837764</v>
      </c>
      <c r="B14" s="6">
        <v>10</v>
      </c>
      <c r="C14" s="60" t="s">
        <v>30</v>
      </c>
      <c r="D14" s="68">
        <f t="shared" si="12"/>
        <v>80</v>
      </c>
      <c r="E14" s="61">
        <v>0.5</v>
      </c>
      <c r="F14" s="112">
        <v>40</v>
      </c>
      <c r="G14" s="62">
        <v>40</v>
      </c>
      <c r="H14" s="63">
        <f t="shared" si="3"/>
        <v>1600</v>
      </c>
      <c r="I14" s="64">
        <f t="shared" si="4"/>
        <v>0.91300482702677344</v>
      </c>
      <c r="J14" s="137">
        <f t="shared" si="5"/>
        <v>40.913004827026775</v>
      </c>
      <c r="K14" s="65">
        <f t="shared" si="11"/>
        <v>1636.5201930810711</v>
      </c>
      <c r="L14" s="69">
        <v>45</v>
      </c>
      <c r="M14" s="63">
        <f t="shared" si="6"/>
        <v>1800</v>
      </c>
      <c r="N14" s="63">
        <f t="shared" ca="1" si="7"/>
        <v>495</v>
      </c>
      <c r="O14" s="70">
        <f t="shared" ca="1" si="8"/>
        <v>29</v>
      </c>
      <c r="P14" s="57"/>
      <c r="Q14" s="57">
        <v>11</v>
      </c>
      <c r="R14" s="22">
        <v>0</v>
      </c>
      <c r="S14" s="22">
        <v>0</v>
      </c>
      <c r="T14" s="22">
        <v>0</v>
      </c>
      <c r="U14" s="22">
        <v>0</v>
      </c>
      <c r="V14" s="22">
        <v>0</v>
      </c>
      <c r="W14" s="22">
        <v>0</v>
      </c>
      <c r="X14" s="22">
        <v>0</v>
      </c>
      <c r="Y14" s="22">
        <f ca="1">SUMIFS('Tổng Đơn'!$F:$F,'Tổng Đơn'!$B:$B,$C14)</f>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695.52108205945513</v>
      </c>
      <c r="B15" s="6">
        <v>11</v>
      </c>
      <c r="C15" s="60" t="s">
        <v>29</v>
      </c>
      <c r="D15" s="68">
        <f t="shared" si="12"/>
        <v>80</v>
      </c>
      <c r="E15" s="61">
        <v>0.5</v>
      </c>
      <c r="F15" s="112">
        <v>40</v>
      </c>
      <c r="G15" s="62">
        <v>40</v>
      </c>
      <c r="H15" s="63">
        <f t="shared" si="3"/>
        <v>1600</v>
      </c>
      <c r="I15" s="64">
        <f t="shared" si="4"/>
        <v>0.91300482702677344</v>
      </c>
      <c r="J15" s="137">
        <f t="shared" si="5"/>
        <v>40.913004827026775</v>
      </c>
      <c r="K15" s="65">
        <f t="shared" si="11"/>
        <v>1636.5201930810711</v>
      </c>
      <c r="L15" s="69">
        <v>45</v>
      </c>
      <c r="M15" s="63">
        <f t="shared" si="6"/>
        <v>1800</v>
      </c>
      <c r="N15" s="63">
        <f t="shared" ca="1" si="7"/>
        <v>1035</v>
      </c>
      <c r="O15" s="70">
        <f t="shared" ca="1" si="8"/>
        <v>17</v>
      </c>
      <c r="P15" s="57"/>
      <c r="Q15" s="57">
        <v>23</v>
      </c>
      <c r="R15" s="22">
        <v>0</v>
      </c>
      <c r="S15" s="22">
        <v>0</v>
      </c>
      <c r="T15" s="22">
        <v>0</v>
      </c>
      <c r="U15" s="22">
        <v>0</v>
      </c>
      <c r="V15" s="22">
        <v>0</v>
      </c>
      <c r="W15" s="22">
        <v>0</v>
      </c>
      <c r="X15" s="22">
        <v>0</v>
      </c>
      <c r="Y15" s="22">
        <f ca="1">SUMIFS('Tổng Đơn'!$F:$F,'Tổng Đơn'!$B:$B,$C15)</f>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1022.8251206756694</v>
      </c>
      <c r="B16" s="6">
        <v>12</v>
      </c>
      <c r="C16" s="60" t="s">
        <v>28</v>
      </c>
      <c r="D16" s="68">
        <f t="shared" si="12"/>
        <v>80</v>
      </c>
      <c r="E16" s="61">
        <v>0.5</v>
      </c>
      <c r="F16" s="112">
        <v>40</v>
      </c>
      <c r="G16" s="62">
        <v>40</v>
      </c>
      <c r="H16" s="63">
        <f t="shared" si="3"/>
        <v>1600</v>
      </c>
      <c r="I16" s="64">
        <f t="shared" si="4"/>
        <v>0.91300482702677344</v>
      </c>
      <c r="J16" s="137">
        <f t="shared" si="5"/>
        <v>40.913004827026775</v>
      </c>
      <c r="K16" s="65">
        <f t="shared" si="11"/>
        <v>1636.5201930810711</v>
      </c>
      <c r="L16" s="69">
        <v>45</v>
      </c>
      <c r="M16" s="63">
        <f t="shared" si="6"/>
        <v>1800</v>
      </c>
      <c r="N16" s="63">
        <f t="shared" ca="1" si="7"/>
        <v>675</v>
      </c>
      <c r="O16" s="70">
        <f t="shared" ca="1" si="8"/>
        <v>25</v>
      </c>
      <c r="P16" s="57"/>
      <c r="Q16" s="57">
        <v>15</v>
      </c>
      <c r="R16" s="22">
        <v>0</v>
      </c>
      <c r="S16" s="22">
        <v>0</v>
      </c>
      <c r="T16" s="22">
        <v>0</v>
      </c>
      <c r="U16" s="22">
        <v>0</v>
      </c>
      <c r="V16" s="22">
        <v>0</v>
      </c>
      <c r="W16" s="22">
        <v>0</v>
      </c>
      <c r="X16" s="22">
        <v>0</v>
      </c>
      <c r="Y16" s="22">
        <f ca="1">SUMIFS('Tổng Đơn'!$F:$F,'Tổng Đơn'!$B:$B,$C16)</f>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163.6520193081071</v>
      </c>
      <c r="B17" s="6">
        <v>13</v>
      </c>
      <c r="C17" s="60" t="s">
        <v>50</v>
      </c>
      <c r="D17" s="68">
        <f t="shared" si="12"/>
        <v>80</v>
      </c>
      <c r="E17" s="61">
        <v>0.5</v>
      </c>
      <c r="F17" s="112">
        <v>40</v>
      </c>
      <c r="G17" s="62">
        <v>40</v>
      </c>
      <c r="H17" s="63">
        <f t="shared" si="3"/>
        <v>1600</v>
      </c>
      <c r="I17" s="64">
        <f t="shared" si="4"/>
        <v>0.91300482702677344</v>
      </c>
      <c r="J17" s="137">
        <f t="shared" si="5"/>
        <v>40.913004827026775</v>
      </c>
      <c r="K17" s="65">
        <f t="shared" si="11"/>
        <v>1636.5201930810711</v>
      </c>
      <c r="L17" s="69">
        <v>45</v>
      </c>
      <c r="M17" s="63">
        <f t="shared" si="6"/>
        <v>1800</v>
      </c>
      <c r="N17" s="63">
        <f t="shared" ca="1" si="7"/>
        <v>1620</v>
      </c>
      <c r="O17" s="70">
        <f t="shared" ca="1" si="8"/>
        <v>4</v>
      </c>
      <c r="P17" s="57"/>
      <c r="Q17" s="57">
        <v>36</v>
      </c>
      <c r="R17" s="22">
        <v>0</v>
      </c>
      <c r="S17" s="22">
        <v>0</v>
      </c>
      <c r="T17" s="22">
        <v>0</v>
      </c>
      <c r="U17" s="22">
        <v>0</v>
      </c>
      <c r="V17" s="22">
        <v>0</v>
      </c>
      <c r="W17" s="22">
        <v>0</v>
      </c>
      <c r="X17" s="22">
        <v>0</v>
      </c>
      <c r="Y17" s="22">
        <f ca="1">SUMIFS('Tổng Đơn'!$F:$F,'Tổng Đơn'!$B:$B,$C17)</f>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361.63597128520934</v>
      </c>
      <c r="B18" s="6">
        <v>14</v>
      </c>
      <c r="C18" s="60" t="s">
        <v>116</v>
      </c>
      <c r="D18" s="68">
        <f t="shared" si="12"/>
        <v>54.39473684210526</v>
      </c>
      <c r="E18" s="61">
        <v>0.5</v>
      </c>
      <c r="F18" s="112">
        <f>80</f>
        <v>80</v>
      </c>
      <c r="G18" s="62">
        <f>1033.5/38</f>
        <v>27.19736842105263</v>
      </c>
      <c r="H18" s="63">
        <f t="shared" si="3"/>
        <v>2175.7894736842104</v>
      </c>
      <c r="I18" s="64">
        <f t="shared" si="4"/>
        <v>0.62078321627116462</v>
      </c>
      <c r="J18" s="137">
        <f t="shared" ref="J18" si="13">G18+I18</f>
        <v>27.818151637323794</v>
      </c>
      <c r="K18" s="65">
        <f t="shared" ref="K18" si="14">J18*F18</f>
        <v>2225.4521309859038</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f ca="1">SUMIFS('Tổng Đơn'!$F:$F,'Tổng Đơn'!$B:$B,$C18)</f>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1534.237681013504</v>
      </c>
      <c r="B19" s="6">
        <v>15</v>
      </c>
      <c r="C19" s="60" t="s">
        <v>143</v>
      </c>
      <c r="D19" s="68">
        <f t="shared" si="12"/>
        <v>120</v>
      </c>
      <c r="E19" s="61">
        <v>0.5</v>
      </c>
      <c r="F19" s="112">
        <f>60+20+20+20+20+20+20+20+60+40+40</f>
        <v>340</v>
      </c>
      <c r="G19" s="62">
        <v>60</v>
      </c>
      <c r="H19" s="63">
        <f t="shared" si="3"/>
        <v>20400</v>
      </c>
      <c r="I19" s="64">
        <f t="shared" si="4"/>
        <v>1.36950724054016</v>
      </c>
      <c r="J19" s="137">
        <f t="shared" ref="J19" si="15">G19+I19</f>
        <v>61.369507240540159</v>
      </c>
      <c r="K19" s="65">
        <f t="shared" ref="K19" si="16">J19*F19</f>
        <v>20865.632461783654</v>
      </c>
      <c r="L19" s="69">
        <v>70</v>
      </c>
      <c r="M19" s="63">
        <f t="shared" ref="M19" si="17">L19*F19</f>
        <v>23800</v>
      </c>
      <c r="N19" s="63">
        <f t="shared" ca="1" si="7"/>
        <v>21980</v>
      </c>
      <c r="O19" s="70">
        <f t="shared" ca="1" si="8"/>
        <v>25</v>
      </c>
      <c r="P19" s="57">
        <v>1</v>
      </c>
      <c r="Q19" s="57">
        <v>309</v>
      </c>
      <c r="R19" s="22">
        <v>0</v>
      </c>
      <c r="S19" s="22">
        <v>0</v>
      </c>
      <c r="T19" s="22">
        <v>1</v>
      </c>
      <c r="U19" s="22">
        <v>0</v>
      </c>
      <c r="V19" s="22">
        <v>2</v>
      </c>
      <c r="W19" s="22">
        <v>2</v>
      </c>
      <c r="X19" s="22">
        <v>0</v>
      </c>
      <c r="Y19" s="22">
        <f ca="1">SUMIFS('Tổng Đơn'!$F:$F,'Tổng Đơn'!$B:$B,$C19)</f>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2677.7561659289022</v>
      </c>
      <c r="B20" s="6">
        <v>16</v>
      </c>
      <c r="C20" s="60" t="s">
        <v>114</v>
      </c>
      <c r="D20" s="68">
        <v>77</v>
      </c>
      <c r="E20" s="61">
        <v>0.5</v>
      </c>
      <c r="F20" s="112">
        <f>40+40</f>
        <v>80</v>
      </c>
      <c r="G20" s="62">
        <f>D20/2</f>
        <v>38.5</v>
      </c>
      <c r="H20" s="63">
        <f t="shared" ref="H20:H25" si="18">G20*F20</f>
        <v>3080</v>
      </c>
      <c r="I20" s="64">
        <f t="shared" ref="I20:I21" si="19">((H20/$H$4)*$A$2)/F20</f>
        <v>0.87876714601326944</v>
      </c>
      <c r="J20" s="137">
        <f t="shared" ref="J20:J21" si="20">G20+I20</f>
        <v>39.378767146013267</v>
      </c>
      <c r="K20" s="65">
        <f t="shared" ref="K20:K21" si="21">J20*F20</f>
        <v>3150.3013716810615</v>
      </c>
      <c r="L20" s="69">
        <v>42</v>
      </c>
      <c r="M20" s="63">
        <f t="shared" ref="M20:M21" si="22">L20*F20</f>
        <v>3360</v>
      </c>
      <c r="N20" s="63">
        <f t="shared" ca="1" si="7"/>
        <v>504</v>
      </c>
      <c r="O20" s="70">
        <f t="shared" ca="1" si="8"/>
        <v>68</v>
      </c>
      <c r="P20" s="57">
        <v>0</v>
      </c>
      <c r="Q20" s="57">
        <v>7</v>
      </c>
      <c r="R20" s="22">
        <v>2</v>
      </c>
      <c r="S20" s="22">
        <v>0</v>
      </c>
      <c r="T20" s="22">
        <v>1</v>
      </c>
      <c r="U20" s="22">
        <v>0</v>
      </c>
      <c r="V20" s="22">
        <v>0</v>
      </c>
      <c r="W20" s="22">
        <v>2</v>
      </c>
      <c r="X20" s="22">
        <v>0</v>
      </c>
      <c r="Y20" s="22">
        <f ca="1">SUMIFS('Tổng Đơn'!$F:$F,'Tổng Đơn'!$B:$B,$C20)</f>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40</v>
      </c>
      <c r="AX20" s="58">
        <f t="shared" si="9"/>
        <v>1540</v>
      </c>
    </row>
    <row r="21" spans="1:50" ht="18.75" x14ac:dyDescent="0.25">
      <c r="A21" s="58">
        <f t="shared" ca="1" si="2"/>
        <v>2070.1980442475547</v>
      </c>
      <c r="B21" s="6">
        <v>17</v>
      </c>
      <c r="C21" s="60" t="s">
        <v>155</v>
      </c>
      <c r="D21" s="68">
        <f t="shared" si="12"/>
        <v>88</v>
      </c>
      <c r="E21" s="61">
        <v>0.5</v>
      </c>
      <c r="F21" s="112">
        <f>80</f>
        <v>80</v>
      </c>
      <c r="G21" s="62">
        <v>44</v>
      </c>
      <c r="H21" s="63">
        <f t="shared" si="18"/>
        <v>3520</v>
      </c>
      <c r="I21" s="64">
        <f t="shared" si="19"/>
        <v>1.004305309729451</v>
      </c>
      <c r="J21" s="137">
        <f t="shared" si="20"/>
        <v>45.004305309729453</v>
      </c>
      <c r="K21" s="65">
        <f t="shared" si="21"/>
        <v>3600.3444247783564</v>
      </c>
      <c r="L21" s="69">
        <v>54</v>
      </c>
      <c r="M21" s="63">
        <f t="shared" si="22"/>
        <v>4320</v>
      </c>
      <c r="N21" s="63">
        <f t="shared" ca="1" si="7"/>
        <v>1782</v>
      </c>
      <c r="O21" s="70">
        <f t="shared" ca="1" si="8"/>
        <v>46</v>
      </c>
      <c r="P21" s="57">
        <v>1</v>
      </c>
      <c r="Q21" s="57">
        <v>33</v>
      </c>
      <c r="R21" s="22">
        <v>0</v>
      </c>
      <c r="S21" s="22">
        <v>0</v>
      </c>
      <c r="T21" s="22">
        <v>0</v>
      </c>
      <c r="U21" s="22">
        <v>0</v>
      </c>
      <c r="V21" s="22">
        <v>0</v>
      </c>
      <c r="W21" s="22">
        <v>0</v>
      </c>
      <c r="X21" s="22">
        <v>0</v>
      </c>
      <c r="Y21" s="22">
        <f ca="1">SUMIFS('Tổng Đơn'!$F:$F,'Tổng Đơn'!$B:$B,$C21)</f>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si="2"/>
        <v>0</v>
      </c>
      <c r="B22" s="6">
        <v>18</v>
      </c>
      <c r="C22" s="60" t="s">
        <v>158</v>
      </c>
      <c r="D22" s="68">
        <f t="shared" si="12"/>
        <v>73</v>
      </c>
      <c r="E22" s="61">
        <v>0.5</v>
      </c>
      <c r="F22" s="112">
        <f>40</f>
        <v>40</v>
      </c>
      <c r="G22" s="62">
        <v>36.5</v>
      </c>
      <c r="H22" s="63">
        <f t="shared" si="18"/>
        <v>1460</v>
      </c>
      <c r="I22" s="64">
        <f t="shared" ref="I22:I23" si="23">((H22/$H$4)*$A$2)/F22</f>
        <v>0.83311690466193089</v>
      </c>
      <c r="J22" s="137">
        <f t="shared" ref="J22:J23" si="24">G22+I22</f>
        <v>37.333116904661928</v>
      </c>
      <c r="K22" s="65">
        <f t="shared" ref="K22:K23" si="25">J22*F22</f>
        <v>1493.3246761864771</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f>SUMIFS('Tổng Đơn'!$F:$F,'Tổng Đơn'!$B:$B,$C22)</f>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585.05596902648279</v>
      </c>
      <c r="B23" s="6">
        <v>19</v>
      </c>
      <c r="C23" s="60" t="s">
        <v>182</v>
      </c>
      <c r="D23" s="68">
        <v>26</v>
      </c>
      <c r="E23" s="61">
        <v>0.3</v>
      </c>
      <c r="F23" s="112">
        <f>60+40</f>
        <v>100</v>
      </c>
      <c r="G23" s="62">
        <f>D23/2</f>
        <v>13</v>
      </c>
      <c r="H23" s="63">
        <f t="shared" si="18"/>
        <v>1300</v>
      </c>
      <c r="I23" s="64">
        <f t="shared" si="23"/>
        <v>0.29672656878370135</v>
      </c>
      <c r="J23" s="137">
        <f t="shared" si="24"/>
        <v>13.296726568783701</v>
      </c>
      <c r="K23" s="65">
        <f t="shared" si="25"/>
        <v>1329.6726568783702</v>
      </c>
      <c r="L23" s="69">
        <v>16</v>
      </c>
      <c r="M23" s="63">
        <f t="shared" si="26"/>
        <v>1600</v>
      </c>
      <c r="N23" s="63">
        <f t="shared" ca="1" si="7"/>
        <v>896</v>
      </c>
      <c r="O23" s="70">
        <f t="shared" ca="1" si="8"/>
        <v>44</v>
      </c>
      <c r="P23" s="57">
        <v>0</v>
      </c>
      <c r="Q23" s="57">
        <v>45</v>
      </c>
      <c r="R23" s="22">
        <v>0</v>
      </c>
      <c r="S23" s="22">
        <v>0</v>
      </c>
      <c r="T23" s="22">
        <v>0</v>
      </c>
      <c r="U23" s="22">
        <v>0</v>
      </c>
      <c r="V23" s="22">
        <v>10</v>
      </c>
      <c r="W23" s="22">
        <v>1</v>
      </c>
      <c r="X23" s="22">
        <v>0</v>
      </c>
      <c r="Y23" s="22">
        <f ca="1">SUMIFS('Tổng Đơn'!$F:$F,'Tổng Đơn'!$B:$B,$C23)</f>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226</v>
      </c>
      <c r="D24" s="68">
        <f>G24*2</f>
        <v>68</v>
      </c>
      <c r="E24" s="61">
        <v>0.5</v>
      </c>
      <c r="F24" s="112">
        <v>10</v>
      </c>
      <c r="G24" s="62">
        <v>34</v>
      </c>
      <c r="H24" s="63">
        <f t="shared" si="18"/>
        <v>340</v>
      </c>
      <c r="I24" s="64">
        <f t="shared" ref="I24" si="27">((H24/$H$4)*$A$2)/F24</f>
        <v>0.77605410297275745</v>
      </c>
      <c r="J24" s="137">
        <f t="shared" ref="J24" si="28">G24+I24</f>
        <v>34.776054102972758</v>
      </c>
      <c r="K24" s="65">
        <f t="shared" ref="K24" si="29">J24*F24</f>
        <v>347.76054102972756</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f ca="1">SUMIFS('Tổng Đơn'!$F:$F,'Tổng Đơn'!$B:$B,$C24)</f>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si="2"/>
        <v>0</v>
      </c>
      <c r="B25" s="6">
        <v>21</v>
      </c>
      <c r="C25" s="60" t="s">
        <v>246</v>
      </c>
      <c r="D25" s="68">
        <f>G25*2</f>
        <v>64.599999999999994</v>
      </c>
      <c r="E25" s="61">
        <v>0.5</v>
      </c>
      <c r="F25" s="112">
        <v>40</v>
      </c>
      <c r="G25" s="62">
        <v>32.299999999999997</v>
      </c>
      <c r="H25" s="63">
        <f t="shared" si="18"/>
        <v>1292</v>
      </c>
      <c r="I25" s="64">
        <f t="shared" ref="I25" si="31">((H25/$H$4)*$A$2)/F25</f>
        <v>0.73725139782411953</v>
      </c>
      <c r="J25" s="137">
        <f t="shared" ref="J25" si="32">G25+I25</f>
        <v>33.037251397824114</v>
      </c>
      <c r="K25" s="65">
        <f t="shared" ref="K25" si="33">J25*F25</f>
        <v>1321.4900559129646</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f>SUMIFS('Tổng Đơn'!$F:$F,'Tổng Đơn'!$B:$B,$C25)</f>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230</v>
      </c>
      <c r="C28" s="185" t="s">
        <v>299</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230</v>
      </c>
      <c r="C29" s="185" t="s">
        <v>302</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230</v>
      </c>
      <c r="C30" s="185" t="s">
        <v>298</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230</v>
      </c>
      <c r="C31" s="185" t="s">
        <v>297</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230</v>
      </c>
      <c r="C32" s="185" t="s">
        <v>238</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282" priority="21">
      <formula>($O6/$O6)&lt;=1/4</formula>
    </cfRule>
  </conditionalFormatting>
  <conditionalFormatting sqref="C18">
    <cfRule type="expression" dxfId="281" priority="18">
      <formula>($O18/$O18)&lt;=1/4</formula>
    </cfRule>
  </conditionalFormatting>
  <conditionalFormatting sqref="C5:C18 C25:C27">
    <cfRule type="expression" dxfId="280" priority="29">
      <formula>($O5/$F5)&lt;=1/4</formula>
    </cfRule>
  </conditionalFormatting>
  <conditionalFormatting sqref="C19">
    <cfRule type="expression" dxfId="279" priority="9">
      <formula>($O19/$O19)&lt;=1/4</formula>
    </cfRule>
  </conditionalFormatting>
  <conditionalFormatting sqref="C19">
    <cfRule type="expression" dxfId="278" priority="10">
      <formula>($O19/$F19)&lt;=1/4</formula>
    </cfRule>
  </conditionalFormatting>
  <conditionalFormatting sqref="C20:C21">
    <cfRule type="expression" dxfId="277" priority="7">
      <formula>($O20/$O20)&lt;=1/4</formula>
    </cfRule>
  </conditionalFormatting>
  <conditionalFormatting sqref="C20:C21">
    <cfRule type="expression" dxfId="276" priority="8">
      <formula>($O20/$F20)&lt;=1/4</formula>
    </cfRule>
  </conditionalFormatting>
  <conditionalFormatting sqref="C22:C23">
    <cfRule type="expression" dxfId="275" priority="5">
      <formula>($O22/$O22)&lt;=1/4</formula>
    </cfRule>
  </conditionalFormatting>
  <conditionalFormatting sqref="C22:C23">
    <cfRule type="expression" dxfId="274" priority="6">
      <formula>($O22/$F22)&lt;=1/4</formula>
    </cfRule>
  </conditionalFormatting>
  <conditionalFormatting sqref="C24">
    <cfRule type="expression" dxfId="273" priority="3">
      <formula>($O24/$O24)&lt;=1/4</formula>
    </cfRule>
  </conditionalFormatting>
  <conditionalFormatting sqref="C24">
    <cfRule type="expression" dxfId="272"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7"/>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71" t="s">
        <v>51</v>
      </c>
      <c r="C1" s="271"/>
      <c r="D1" s="271"/>
      <c r="E1" s="271"/>
      <c r="F1" s="271"/>
      <c r="G1" s="271"/>
      <c r="H1" s="271"/>
      <c r="I1" s="271"/>
      <c r="J1" s="271"/>
      <c r="K1" s="271"/>
      <c r="L1" s="271"/>
      <c r="M1" s="271"/>
      <c r="N1" s="154"/>
    </row>
    <row r="2" spans="1:51" ht="34.5" customHeight="1" x14ac:dyDescent="0.25">
      <c r="A2" s="1">
        <f>300+200+120+200+200+200+140+190+120+60+100+95+145+70+100+165+70+80+320+100+270+80+100+140+50+170+140+170+110+140+200+60+100+140+180+80+160+100+240+120+120+300+280+120+240+200+280+200+100+200+280+140+220+80+180+300</f>
        <v>8965</v>
      </c>
      <c r="K2" s="13"/>
      <c r="L2" s="13"/>
      <c r="M2" s="8">
        <f>M4/K4-1</f>
        <v>0.18578510340291743</v>
      </c>
      <c r="N2" s="8"/>
      <c r="O2" s="13">
        <f>M4-K4</f>
        <v>73799.037995530525</v>
      </c>
      <c r="Q2" s="205"/>
      <c r="AW2" s="218"/>
      <c r="AX2" s="132"/>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9" t="s">
        <v>115</v>
      </c>
      <c r="Q3" s="236" t="s">
        <v>291</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2464</v>
      </c>
    </row>
    <row r="4" spans="1:51" s="45" customFormat="1" ht="27" customHeight="1" x14ac:dyDescent="0.25">
      <c r="A4" s="49">
        <f ca="1">SUBTOTAL(9,A5:A16)</f>
        <v>23834.113599310782</v>
      </c>
      <c r="B4" s="16"/>
      <c r="C4" s="16"/>
      <c r="D4" s="46"/>
      <c r="E4" s="16">
        <f>SUMPRODUCT((E5:E16)*(F5:F16))</f>
        <v>8911</v>
      </c>
      <c r="F4" s="16">
        <f>SUBTOTAL(9,F5:F16)</f>
        <v>17822</v>
      </c>
      <c r="G4" s="7"/>
      <c r="H4" s="7">
        <f>SUBTOTAL(9,H5:H16)</f>
        <v>387898</v>
      </c>
      <c r="I4" s="12"/>
      <c r="J4" s="12"/>
      <c r="K4" s="12">
        <f>SUBTOTAL(9,K5:K16)</f>
        <v>397227.96200446947</v>
      </c>
      <c r="L4" s="47"/>
      <c r="M4" s="7">
        <f>SUBTOTAL(9,M5:M16)</f>
        <v>471027</v>
      </c>
      <c r="N4" s="7">
        <f ca="1">SUBTOTAL(9,N5:N16)</f>
        <v>442461</v>
      </c>
      <c r="O4" s="48">
        <f ca="1">SUBTOTAL(9,O5:O16)</f>
        <v>998</v>
      </c>
      <c r="P4" s="74">
        <f>SUBTOTAL(9,P5:P16)</f>
        <v>21</v>
      </c>
      <c r="Q4" s="74"/>
      <c r="R4" s="25">
        <f>SUBTOTAL(9,R5:R12)</f>
        <v>113</v>
      </c>
      <c r="S4" s="25">
        <f t="shared" ref="S4:AV4" si="0">SUBTOTAL(9,S5:S12)</f>
        <v>8</v>
      </c>
      <c r="T4" s="25">
        <f t="shared" si="0"/>
        <v>101</v>
      </c>
      <c r="U4" s="25">
        <f t="shared" si="0"/>
        <v>12</v>
      </c>
      <c r="V4" s="25">
        <f t="shared" si="0"/>
        <v>155</v>
      </c>
      <c r="W4" s="25">
        <f t="shared" si="0"/>
        <v>71</v>
      </c>
      <c r="X4" s="25">
        <f t="shared" si="0"/>
        <v>50</v>
      </c>
      <c r="Y4" s="25">
        <f t="shared" ca="1" si="0"/>
        <v>29</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SUMPRODUCT(($AW$5:$AW$16)*($E$5:$E$16))&amp;" Kg"</f>
        <v>313 Kg</v>
      </c>
      <c r="AX4" s="77">
        <f>SUBTOTAL(9,AX5:AX16)</f>
        <v>14222</v>
      </c>
    </row>
    <row r="5" spans="1:51" ht="18.75" x14ac:dyDescent="0.25">
      <c r="A5" s="58">
        <f t="shared" ref="A5:A16" ca="1" si="1">J5*O5</f>
        <v>9389.0964918612626</v>
      </c>
      <c r="B5" s="6">
        <v>1</v>
      </c>
      <c r="C5" s="60" t="s">
        <v>174</v>
      </c>
      <c r="D5" s="68">
        <v>38</v>
      </c>
      <c r="E5" s="6">
        <v>0.5</v>
      </c>
      <c r="F5" s="6">
        <f>240+126+126+100+126+210+126+42+84+84+126+210+84+210+126+84+126+420+420+210+210+42+210+252+210+126+210+336+210+210+210+84+168+126+420+84+126+294+420+126+336+252+420+252+84+252+420+210+210+84+210+420</f>
        <v>10504</v>
      </c>
      <c r="G5" s="238">
        <f t="shared" ref="G5:G12" si="2">D5/(1/E5)</f>
        <v>19</v>
      </c>
      <c r="H5" s="63">
        <f t="shared" ref="H5:H12" si="3">G5*F5</f>
        <v>199576</v>
      </c>
      <c r="I5" s="64">
        <f t="shared" ref="I5:I12" si="4">((H5/$H$4)*$A$2)/F5</f>
        <v>0.43912317155540886</v>
      </c>
      <c r="J5" s="137">
        <f t="shared" ref="J5:J12" si="5">G5+I5</f>
        <v>19.439123171555408</v>
      </c>
      <c r="K5" s="65">
        <f>J5*F5</f>
        <v>204188.54979401801</v>
      </c>
      <c r="L5" s="69">
        <v>23</v>
      </c>
      <c r="M5" s="63">
        <f t="shared" ref="M5:M12" si="6">L5*F5</f>
        <v>241592</v>
      </c>
      <c r="N5" s="63">
        <f t="shared" ref="N5:N12" ca="1" si="7">SUMPRODUCT(($Q5:$AV5)*$L5)</f>
        <v>230299</v>
      </c>
      <c r="O5" s="70">
        <f t="shared" ref="O5:O12" ca="1" si="8">F5-SUM(Q5:AV5)-P5</f>
        <v>483</v>
      </c>
      <c r="P5" s="57">
        <v>8</v>
      </c>
      <c r="Q5" s="57">
        <v>9664</v>
      </c>
      <c r="R5" s="22">
        <v>84</v>
      </c>
      <c r="S5" s="22">
        <v>4</v>
      </c>
      <c r="T5" s="22">
        <v>57</v>
      </c>
      <c r="U5" s="22">
        <v>4</v>
      </c>
      <c r="V5" s="22">
        <v>110</v>
      </c>
      <c r="W5" s="22">
        <f>23+20</f>
        <v>43</v>
      </c>
      <c r="X5" s="22">
        <v>29</v>
      </c>
      <c r="Y5" s="22">
        <f ca="1">SUMIFS('Tổng Đơn'!$F:$F,'Tổng Đơn'!$B:$B,$C5)</f>
        <v>18</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f>10*42</f>
        <v>420</v>
      </c>
      <c r="AX5" s="58">
        <f>AW5*AY5/2</f>
        <v>7980</v>
      </c>
      <c r="AY5" s="58">
        <v>38</v>
      </c>
    </row>
    <row r="6" spans="1:51" ht="18.75" x14ac:dyDescent="0.25">
      <c r="A6" s="58">
        <f t="shared" ca="1" si="1"/>
        <v>537.13366658245207</v>
      </c>
      <c r="B6" s="6">
        <v>2</v>
      </c>
      <c r="C6" s="60" t="s">
        <v>175</v>
      </c>
      <c r="D6" s="68">
        <v>42</v>
      </c>
      <c r="E6" s="6">
        <v>0.5</v>
      </c>
      <c r="F6" s="6">
        <f>40+40+40+40+40</f>
        <v>200</v>
      </c>
      <c r="G6" s="238">
        <f t="shared" si="2"/>
        <v>21</v>
      </c>
      <c r="H6" s="63">
        <f t="shared" si="3"/>
        <v>4200</v>
      </c>
      <c r="I6" s="64">
        <f t="shared" si="4"/>
        <v>0.48534666329808351</v>
      </c>
      <c r="J6" s="137">
        <f t="shared" si="5"/>
        <v>21.485346663298085</v>
      </c>
      <c r="K6" s="65">
        <f>J6*F6</f>
        <v>4297.0693326596165</v>
      </c>
      <c r="L6" s="69">
        <v>26</v>
      </c>
      <c r="M6" s="63">
        <f t="shared" si="6"/>
        <v>5200</v>
      </c>
      <c r="N6" s="63">
        <f t="shared" ca="1" si="7"/>
        <v>4524</v>
      </c>
      <c r="O6" s="70">
        <f t="shared" ca="1" si="8"/>
        <v>25</v>
      </c>
      <c r="P6" s="57">
        <v>1</v>
      </c>
      <c r="Q6" s="57">
        <v>166</v>
      </c>
      <c r="R6" s="22">
        <v>0</v>
      </c>
      <c r="S6" s="22">
        <v>0</v>
      </c>
      <c r="T6" s="22">
        <v>6</v>
      </c>
      <c r="U6" s="22">
        <v>0</v>
      </c>
      <c r="V6" s="22">
        <v>0</v>
      </c>
      <c r="W6" s="22">
        <v>2</v>
      </c>
      <c r="X6" s="22">
        <v>0</v>
      </c>
      <c r="Y6" s="22">
        <f ca="1">SUMIFS('Tổng Đơn'!$F:$F,'Tổng Đơn'!$B:$B,$C6)</f>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9">AW6*AY6/2</f>
        <v>0</v>
      </c>
      <c r="AY6" s="58">
        <v>42</v>
      </c>
    </row>
    <row r="7" spans="1:51" ht="18.75" x14ac:dyDescent="0.25">
      <c r="A7" s="58">
        <f t="shared" ca="1" si="1"/>
        <v>580.1043599090483</v>
      </c>
      <c r="B7" s="6">
        <v>3</v>
      </c>
      <c r="C7" s="60" t="s">
        <v>176</v>
      </c>
      <c r="D7" s="68">
        <v>42</v>
      </c>
      <c r="E7" s="6">
        <v>0.5</v>
      </c>
      <c r="F7" s="6">
        <f>40+42+42+42+42+42+42+42+42+42+42+42</f>
        <v>502</v>
      </c>
      <c r="G7" s="238">
        <f t="shared" si="2"/>
        <v>21</v>
      </c>
      <c r="H7" s="63">
        <f t="shared" si="3"/>
        <v>10542</v>
      </c>
      <c r="I7" s="64">
        <f t="shared" si="4"/>
        <v>0.48534666329808351</v>
      </c>
      <c r="J7" s="137">
        <f t="shared" si="5"/>
        <v>21.485346663298085</v>
      </c>
      <c r="K7" s="65">
        <f t="shared" ref="K7:K12" si="10">J7*F7</f>
        <v>10785.644024975638</v>
      </c>
      <c r="L7" s="69">
        <v>26</v>
      </c>
      <c r="M7" s="63">
        <f t="shared" si="6"/>
        <v>13052</v>
      </c>
      <c r="N7" s="63">
        <f t="shared" ca="1" si="7"/>
        <v>12298</v>
      </c>
      <c r="O7" s="70">
        <f t="shared" ca="1" si="8"/>
        <v>27</v>
      </c>
      <c r="P7" s="57">
        <v>2</v>
      </c>
      <c r="Q7" s="57">
        <v>457</v>
      </c>
      <c r="R7" s="22">
        <v>0</v>
      </c>
      <c r="S7" s="22">
        <v>0</v>
      </c>
      <c r="T7" s="22">
        <v>1</v>
      </c>
      <c r="U7" s="22">
        <v>0</v>
      </c>
      <c r="V7" s="22">
        <v>11</v>
      </c>
      <c r="W7" s="22">
        <v>4</v>
      </c>
      <c r="X7" s="22">
        <v>0</v>
      </c>
      <c r="Y7" s="22">
        <f ca="1">SUMIFS('Tổng Đơn'!$F:$F,'Tổng Đơn'!$B:$B,$C7)</f>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c r="AY7" s="58">
        <v>42</v>
      </c>
    </row>
    <row r="8" spans="1:51" ht="18.75" x14ac:dyDescent="0.25">
      <c r="A8" s="58">
        <f t="shared" ca="1" si="1"/>
        <v>777.56492686221634</v>
      </c>
      <c r="B8" s="6">
        <v>4</v>
      </c>
      <c r="C8" s="60" t="s">
        <v>177</v>
      </c>
      <c r="D8" s="68">
        <v>40</v>
      </c>
      <c r="E8" s="6">
        <v>0.5</v>
      </c>
      <c r="F8" s="6">
        <f>40+42+42+42+42+42+42+42</f>
        <v>334</v>
      </c>
      <c r="G8" s="238">
        <f t="shared" si="2"/>
        <v>20</v>
      </c>
      <c r="H8" s="63">
        <f t="shared" si="3"/>
        <v>6680</v>
      </c>
      <c r="I8" s="64">
        <f t="shared" si="4"/>
        <v>0.46223491742674622</v>
      </c>
      <c r="J8" s="137">
        <f t="shared" si="5"/>
        <v>20.462234917426745</v>
      </c>
      <c r="K8" s="65">
        <f t="shared" si="10"/>
        <v>6834.3864624205326</v>
      </c>
      <c r="L8" s="69">
        <v>26</v>
      </c>
      <c r="M8" s="63">
        <f t="shared" si="6"/>
        <v>8684</v>
      </c>
      <c r="N8" s="63">
        <f t="shared" ca="1" si="7"/>
        <v>7670</v>
      </c>
      <c r="O8" s="70">
        <f t="shared" ca="1" si="8"/>
        <v>38</v>
      </c>
      <c r="P8" s="57">
        <v>1</v>
      </c>
      <c r="Q8" s="57">
        <v>277</v>
      </c>
      <c r="R8" s="22">
        <v>0</v>
      </c>
      <c r="S8" s="22">
        <v>0</v>
      </c>
      <c r="T8" s="22">
        <v>1</v>
      </c>
      <c r="U8" s="22">
        <v>0</v>
      </c>
      <c r="V8" s="22">
        <v>11</v>
      </c>
      <c r="W8" s="22">
        <v>4</v>
      </c>
      <c r="X8" s="22">
        <v>2</v>
      </c>
      <c r="Y8" s="22">
        <f ca="1">SUMIFS('Tổng Đơn'!$F:$F,'Tổng Đơn'!$B:$B,$C8)</f>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c r="AY8" s="58">
        <v>40</v>
      </c>
    </row>
    <row r="9" spans="1:51" ht="18.75" x14ac:dyDescent="0.25">
      <c r="A9" s="58">
        <f t="shared" ca="1" si="1"/>
        <v>3118.1655709396891</v>
      </c>
      <c r="B9" s="6">
        <v>5</v>
      </c>
      <c r="C9" s="60" t="s">
        <v>178</v>
      </c>
      <c r="D9" s="68">
        <f>(45*20)/22</f>
        <v>40.909090909090907</v>
      </c>
      <c r="E9" s="6">
        <v>0.5</v>
      </c>
      <c r="F9" s="6">
        <f>176+88+44+44+40+220+88+44+132+40+160+80+80+40+40+23+40+40+40+40+80+40+40+40+40+80+80+80+40+80+40+80+80+80+80+40+40+40+80</f>
        <v>2659</v>
      </c>
      <c r="G9" s="238">
        <f t="shared" si="2"/>
        <v>20.454545454545453</v>
      </c>
      <c r="H9" s="63">
        <f t="shared" si="3"/>
        <v>54388.63636363636</v>
      </c>
      <c r="I9" s="64">
        <f t="shared" si="4"/>
        <v>0.47274025645917217</v>
      </c>
      <c r="J9" s="137">
        <f t="shared" si="5"/>
        <v>20.927285711004625</v>
      </c>
      <c r="K9" s="65">
        <f t="shared" si="10"/>
        <v>55645.652705561297</v>
      </c>
      <c r="L9" s="69">
        <v>26</v>
      </c>
      <c r="M9" s="63">
        <f t="shared" si="6"/>
        <v>69134</v>
      </c>
      <c r="N9" s="63">
        <f t="shared" ca="1" si="7"/>
        <v>65156</v>
      </c>
      <c r="O9" s="70">
        <f t="shared" ca="1" si="8"/>
        <v>149</v>
      </c>
      <c r="P9" s="57">
        <f>5-1</f>
        <v>4</v>
      </c>
      <c r="Q9" s="57">
        <v>2449</v>
      </c>
      <c r="R9" s="22">
        <v>10</v>
      </c>
      <c r="S9" s="22">
        <v>1</v>
      </c>
      <c r="T9" s="22">
        <v>14</v>
      </c>
      <c r="U9" s="22">
        <v>1</v>
      </c>
      <c r="V9" s="22">
        <v>12</v>
      </c>
      <c r="W9" s="22">
        <v>6</v>
      </c>
      <c r="X9" s="22">
        <v>12</v>
      </c>
      <c r="Y9" s="22">
        <f ca="1">SUMIFS('Tổng Đơn'!$F:$F,'Tổng Đơn'!$B:$B,$C9)</f>
        <v>1</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80</v>
      </c>
      <c r="AX9" s="58">
        <f t="shared" si="9"/>
        <v>1800</v>
      </c>
      <c r="AY9" s="58">
        <v>45</v>
      </c>
    </row>
    <row r="10" spans="1:51" ht="18.75" x14ac:dyDescent="0.25">
      <c r="A10" s="58">
        <f ca="1">J10*O10</f>
        <v>5816.1856529293782</v>
      </c>
      <c r="B10" s="6">
        <v>6</v>
      </c>
      <c r="C10" s="60" t="s">
        <v>179</v>
      </c>
      <c r="D10" s="68">
        <f>68*19/20</f>
        <v>64.599999999999994</v>
      </c>
      <c r="E10" s="6">
        <v>0.5</v>
      </c>
      <c r="F10" s="6">
        <f>120+40+80+80</f>
        <v>320</v>
      </c>
      <c r="G10" s="238">
        <f t="shared" ref="G10" si="11">D10/(1/E10)</f>
        <v>32.299999999999997</v>
      </c>
      <c r="H10" s="63">
        <f t="shared" ref="H10" si="12">G10*F10</f>
        <v>10336</v>
      </c>
      <c r="I10" s="64">
        <f t="shared" ref="I10" si="13">((H10/$H$4)*$A$2)/F10</f>
        <v>0.74650939164419516</v>
      </c>
      <c r="J10" s="137">
        <f t="shared" ref="J10" si="14">G10+I10</f>
        <v>33.046509391644193</v>
      </c>
      <c r="K10" s="65">
        <f t="shared" ref="K10" si="15">J10*F10</f>
        <v>10574.883005326141</v>
      </c>
      <c r="L10" s="69">
        <v>37</v>
      </c>
      <c r="M10" s="63">
        <f t="shared" ref="M10" si="16">L10*F10</f>
        <v>11840</v>
      </c>
      <c r="N10" s="63">
        <f t="shared" ca="1" si="7"/>
        <v>5365</v>
      </c>
      <c r="O10" s="70">
        <f t="shared" ca="1" si="8"/>
        <v>176</v>
      </c>
      <c r="P10" s="57">
        <v>-1</v>
      </c>
      <c r="Q10" s="57">
        <v>68</v>
      </c>
      <c r="R10" s="22">
        <v>18</v>
      </c>
      <c r="S10" s="22">
        <v>3</v>
      </c>
      <c r="T10" s="22">
        <v>20</v>
      </c>
      <c r="U10" s="22">
        <v>5</v>
      </c>
      <c r="V10" s="22">
        <v>9</v>
      </c>
      <c r="W10" s="22">
        <f>1+6</f>
        <v>7</v>
      </c>
      <c r="X10" s="22">
        <v>5</v>
      </c>
      <c r="Y10" s="22">
        <f ca="1">SUMIFS('Tổng Đơn'!$F:$F,'Tổng Đơn'!$B:$B,$C10)</f>
        <v>10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80</v>
      </c>
      <c r="AX10" s="58">
        <f t="shared" ref="AX10" si="17">AW10*AY10/2</f>
        <v>2720</v>
      </c>
      <c r="AY10" s="58">
        <v>68</v>
      </c>
    </row>
    <row r="11" spans="1:51" ht="18.75" x14ac:dyDescent="0.25">
      <c r="A11" s="58">
        <f t="shared" ca="1" si="1"/>
        <v>1988.0921425454399</v>
      </c>
      <c r="B11" s="6">
        <v>7</v>
      </c>
      <c r="C11" s="60" t="s">
        <v>180</v>
      </c>
      <c r="D11" s="68">
        <f>(75*20)/22</f>
        <v>68.181818181818187</v>
      </c>
      <c r="E11" s="6">
        <v>0.5</v>
      </c>
      <c r="F11" s="6">
        <f>44+44+88+40+40+40+40+40+40+40</f>
        <v>456</v>
      </c>
      <c r="G11" s="238">
        <f t="shared" si="2"/>
        <v>34.090909090909093</v>
      </c>
      <c r="H11" s="63">
        <f t="shared" si="3"/>
        <v>15545.454545454546</v>
      </c>
      <c r="I11" s="64">
        <f t="shared" si="4"/>
        <v>0.78790042743195376</v>
      </c>
      <c r="J11" s="137">
        <f t="shared" si="5"/>
        <v>34.87880951834105</v>
      </c>
      <c r="K11" s="65">
        <f t="shared" si="10"/>
        <v>15904.737140363519</v>
      </c>
      <c r="L11" s="69">
        <v>40</v>
      </c>
      <c r="M11" s="63">
        <f t="shared" si="6"/>
        <v>18240</v>
      </c>
      <c r="N11" s="63">
        <f t="shared" ca="1" si="7"/>
        <v>15600</v>
      </c>
      <c r="O11" s="70">
        <f t="shared" ca="1" si="8"/>
        <v>57</v>
      </c>
      <c r="P11" s="57">
        <f>1+1+7</f>
        <v>9</v>
      </c>
      <c r="Q11" s="57">
        <v>378</v>
      </c>
      <c r="R11" s="22">
        <v>1</v>
      </c>
      <c r="S11" s="22">
        <v>0</v>
      </c>
      <c r="T11" s="22">
        <v>1</v>
      </c>
      <c r="U11" s="22">
        <v>1</v>
      </c>
      <c r="V11" s="22">
        <v>2</v>
      </c>
      <c r="W11" s="22">
        <v>5</v>
      </c>
      <c r="X11" s="22">
        <v>2</v>
      </c>
      <c r="Y11" s="22">
        <f ca="1">SUMIFS('Tổng Đơn'!$F:$F,'Tổng Đơn'!$B:$B,$C11)</f>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40</v>
      </c>
      <c r="AX11" s="58">
        <f>AW11*AY11/2</f>
        <v>1500</v>
      </c>
      <c r="AY11" s="58">
        <v>75</v>
      </c>
    </row>
    <row r="12" spans="1:51" ht="18.75" x14ac:dyDescent="0.25">
      <c r="A12" s="58">
        <f t="shared" ca="1" si="1"/>
        <v>1627.7707876812974</v>
      </c>
      <c r="B12" s="6">
        <v>8</v>
      </c>
      <c r="C12" s="60" t="s">
        <v>181</v>
      </c>
      <c r="D12" s="68">
        <v>74</v>
      </c>
      <c r="E12" s="6">
        <v>0.5</v>
      </c>
      <c r="F12" s="6">
        <f>80+80+40+40+40+40+40+40+40+3+6+6</f>
        <v>455</v>
      </c>
      <c r="G12" s="238">
        <f t="shared" si="2"/>
        <v>37</v>
      </c>
      <c r="H12" s="63">
        <f t="shared" si="3"/>
        <v>16835</v>
      </c>
      <c r="I12" s="64">
        <f t="shared" si="4"/>
        <v>0.85513459723948049</v>
      </c>
      <c r="J12" s="137">
        <f t="shared" si="5"/>
        <v>37.855134597239477</v>
      </c>
      <c r="K12" s="65">
        <f t="shared" si="10"/>
        <v>17224.08624174396</v>
      </c>
      <c r="L12" s="69">
        <v>43</v>
      </c>
      <c r="M12" s="63">
        <f t="shared" si="6"/>
        <v>19565</v>
      </c>
      <c r="N12" s="63">
        <f t="shared" ca="1" si="7"/>
        <v>17759</v>
      </c>
      <c r="O12" s="70">
        <f t="shared" ca="1" si="8"/>
        <v>43</v>
      </c>
      <c r="P12" s="57">
        <v>-1</v>
      </c>
      <c r="Q12" s="57">
        <v>411</v>
      </c>
      <c r="R12" s="22">
        <v>0</v>
      </c>
      <c r="S12" s="22">
        <v>0</v>
      </c>
      <c r="T12" s="22">
        <v>1</v>
      </c>
      <c r="U12" s="22">
        <v>1</v>
      </c>
      <c r="V12" s="22">
        <v>0</v>
      </c>
      <c r="W12" s="22">
        <v>0</v>
      </c>
      <c r="X12" s="22">
        <v>0</v>
      </c>
      <c r="Y12" s="22">
        <f ca="1">SUMIFS('Tổng Đơn'!$F:$F,'Tổng Đơn'!$B:$B,$C12)</f>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6</v>
      </c>
      <c r="AX12" s="58">
        <f t="shared" si="9"/>
        <v>222</v>
      </c>
      <c r="AY12" s="58">
        <v>74</v>
      </c>
    </row>
    <row r="13" spans="1:51" ht="18.75" x14ac:dyDescent="0.25">
      <c r="B13" s="243"/>
      <c r="C13" s="244"/>
      <c r="D13" s="245"/>
      <c r="E13" s="243"/>
      <c r="F13" s="243"/>
      <c r="G13" s="246"/>
      <c r="H13" s="247"/>
      <c r="I13" s="248"/>
      <c r="J13" s="249"/>
      <c r="K13" s="244"/>
      <c r="L13" s="250"/>
      <c r="M13" s="247"/>
      <c r="N13" s="247"/>
      <c r="O13" s="251"/>
      <c r="P13" s="252"/>
      <c r="Q13" s="252"/>
      <c r="R13" s="253"/>
      <c r="S13" s="253"/>
      <c r="T13" s="253"/>
      <c r="U13" s="253"/>
      <c r="V13" s="253"/>
      <c r="W13" s="253"/>
      <c r="X13" s="253"/>
      <c r="Y13" s="253"/>
      <c r="Z13" s="253"/>
      <c r="AA13" s="253"/>
      <c r="AB13" s="253"/>
      <c r="AC13" s="253"/>
      <c r="AD13" s="253"/>
      <c r="AE13" s="253"/>
      <c r="AF13" s="253"/>
      <c r="AG13" s="253"/>
      <c r="AH13" s="253"/>
      <c r="AI13" s="253"/>
      <c r="AJ13" s="253"/>
      <c r="AK13" s="253"/>
      <c r="AL13" s="253"/>
      <c r="AM13" s="253"/>
      <c r="AN13" s="253"/>
      <c r="AO13" s="253"/>
      <c r="AP13" s="253"/>
      <c r="AQ13" s="253"/>
      <c r="AR13" s="253"/>
      <c r="AS13" s="253"/>
      <c r="AT13" s="253"/>
      <c r="AU13" s="253"/>
      <c r="AV13" s="253"/>
      <c r="AW13" s="58">
        <v>0</v>
      </c>
    </row>
    <row r="14" spans="1:51" x14ac:dyDescent="0.25">
      <c r="B14" s="241"/>
      <c r="C14" s="241"/>
      <c r="D14" s="241"/>
      <c r="E14" s="241"/>
      <c r="F14" s="241"/>
      <c r="G14" s="241"/>
      <c r="H14" s="241"/>
      <c r="I14" s="241"/>
      <c r="J14" s="241"/>
      <c r="K14" s="241"/>
      <c r="L14" s="241"/>
      <c r="M14" s="241"/>
      <c r="N14" s="241"/>
      <c r="O14" s="241"/>
      <c r="P14" s="241"/>
      <c r="Q14" s="241"/>
      <c r="R14" s="241"/>
      <c r="S14" s="241"/>
      <c r="T14" s="241"/>
      <c r="U14" s="241"/>
      <c r="V14" s="241"/>
      <c r="W14" s="241"/>
      <c r="X14" s="241"/>
      <c r="Y14" s="241"/>
      <c r="Z14" s="241"/>
      <c r="AA14" s="241"/>
      <c r="AB14" s="241"/>
      <c r="AC14" s="241"/>
      <c r="AD14" s="241"/>
      <c r="AE14" s="241"/>
      <c r="AF14" s="241"/>
      <c r="AG14" s="241"/>
      <c r="AH14" s="241"/>
      <c r="AI14" s="241"/>
      <c r="AJ14" s="241"/>
      <c r="AK14" s="241"/>
      <c r="AL14" s="241"/>
      <c r="AM14" s="241"/>
      <c r="AN14" s="241"/>
      <c r="AO14" s="241"/>
      <c r="AP14" s="241"/>
      <c r="AQ14" s="241"/>
      <c r="AR14" s="241"/>
      <c r="AS14" s="241"/>
      <c r="AT14" s="241"/>
      <c r="AU14" s="241"/>
      <c r="AV14" s="241"/>
      <c r="AW14" s="58">
        <v>0</v>
      </c>
    </row>
    <row r="15" spans="1:51" ht="18.75" x14ac:dyDescent="0.25">
      <c r="A15" s="58">
        <v>0</v>
      </c>
      <c r="B15" s="186" t="s">
        <v>230</v>
      </c>
      <c r="C15" s="185" t="s">
        <v>301</v>
      </c>
      <c r="D15" s="187">
        <v>60.8</v>
      </c>
      <c r="E15" s="186">
        <v>0.5</v>
      </c>
      <c r="F15" s="186">
        <v>160</v>
      </c>
      <c r="G15" s="242">
        <v>30.4</v>
      </c>
      <c r="H15" s="191">
        <v>4864</v>
      </c>
      <c r="I15" s="189">
        <v>0.70614512114449179</v>
      </c>
      <c r="J15" s="202">
        <v>31.10614512114449</v>
      </c>
      <c r="K15" s="185">
        <v>4976.983219383118</v>
      </c>
      <c r="L15" s="197">
        <v>35</v>
      </c>
      <c r="M15" s="191">
        <v>5600</v>
      </c>
      <c r="N15" s="191">
        <v>5600</v>
      </c>
      <c r="O15" s="203">
        <v>0</v>
      </c>
      <c r="P15" s="124"/>
      <c r="Q15" s="124">
        <v>0</v>
      </c>
      <c r="R15" s="204">
        <v>0</v>
      </c>
      <c r="S15" s="204">
        <v>0</v>
      </c>
      <c r="T15" s="204">
        <v>0</v>
      </c>
      <c r="U15" s="204">
        <v>0</v>
      </c>
      <c r="V15" s="204">
        <v>0</v>
      </c>
      <c r="W15" s="204">
        <v>0</v>
      </c>
      <c r="X15" s="204">
        <v>0</v>
      </c>
      <c r="Y15" s="204">
        <v>0</v>
      </c>
      <c r="Z15" s="204">
        <v>5</v>
      </c>
      <c r="AA15" s="204">
        <v>9</v>
      </c>
      <c r="AB15" s="204">
        <v>20</v>
      </c>
      <c r="AC15" s="204">
        <v>8</v>
      </c>
      <c r="AD15" s="204">
        <v>6</v>
      </c>
      <c r="AE15" s="204">
        <v>4</v>
      </c>
      <c r="AF15" s="204">
        <v>45</v>
      </c>
      <c r="AG15" s="204">
        <v>5</v>
      </c>
      <c r="AH15" s="204">
        <v>4</v>
      </c>
      <c r="AI15" s="204">
        <v>5</v>
      </c>
      <c r="AJ15" s="204">
        <v>5</v>
      </c>
      <c r="AK15" s="204">
        <v>20</v>
      </c>
      <c r="AL15" s="204">
        <v>7</v>
      </c>
      <c r="AM15" s="204">
        <v>3</v>
      </c>
      <c r="AN15" s="204">
        <v>14</v>
      </c>
      <c r="AO15" s="204">
        <v>0</v>
      </c>
      <c r="AP15" s="204">
        <v>0</v>
      </c>
      <c r="AQ15" s="204">
        <v>0</v>
      </c>
      <c r="AR15" s="204">
        <v>0</v>
      </c>
      <c r="AS15" s="204">
        <v>0</v>
      </c>
      <c r="AT15" s="204">
        <v>0</v>
      </c>
      <c r="AU15" s="204">
        <v>0</v>
      </c>
      <c r="AV15" s="204">
        <v>0</v>
      </c>
      <c r="AY15" s="58">
        <v>62</v>
      </c>
    </row>
    <row r="16" spans="1:51" ht="18.75" x14ac:dyDescent="0.25">
      <c r="A16" s="58">
        <f t="shared" si="1"/>
        <v>0</v>
      </c>
      <c r="B16" s="186" t="s">
        <v>230</v>
      </c>
      <c r="C16" s="185" t="s">
        <v>296</v>
      </c>
      <c r="D16" s="187">
        <v>58.18181818181818</v>
      </c>
      <c r="E16" s="186">
        <v>0.5</v>
      </c>
      <c r="F16" s="186">
        <v>2232</v>
      </c>
      <c r="G16" s="242">
        <v>29.09090909090909</v>
      </c>
      <c r="H16" s="191">
        <v>64930.909090909088</v>
      </c>
      <c r="I16" s="189">
        <v>0.83560080067590692</v>
      </c>
      <c r="J16" s="202">
        <v>29.926509891584995</v>
      </c>
      <c r="K16" s="185">
        <v>66795.970078017708</v>
      </c>
      <c r="L16" s="197">
        <v>35</v>
      </c>
      <c r="M16" s="191">
        <v>78120</v>
      </c>
      <c r="N16" s="191">
        <v>78190</v>
      </c>
      <c r="O16" s="203">
        <v>0</v>
      </c>
      <c r="P16" s="124">
        <v>-2</v>
      </c>
      <c r="Q16" s="124">
        <v>2163</v>
      </c>
      <c r="R16" s="204">
        <v>4</v>
      </c>
      <c r="S16" s="204">
        <v>8</v>
      </c>
      <c r="T16" s="204">
        <v>6</v>
      </c>
      <c r="U16" s="204">
        <v>13</v>
      </c>
      <c r="V16" s="204">
        <v>14</v>
      </c>
      <c r="W16" s="204">
        <v>8</v>
      </c>
      <c r="X16" s="204">
        <v>6</v>
      </c>
      <c r="Y16" s="204">
        <v>11</v>
      </c>
      <c r="Z16" s="204">
        <v>1</v>
      </c>
      <c r="AA16" s="204">
        <v>0</v>
      </c>
      <c r="AB16" s="204">
        <v>0</v>
      </c>
      <c r="AC16" s="204">
        <v>0</v>
      </c>
      <c r="AD16" s="204">
        <v>0</v>
      </c>
      <c r="AE16" s="204">
        <v>0</v>
      </c>
      <c r="AF16" s="204">
        <v>0</v>
      </c>
      <c r="AG16" s="204">
        <v>0</v>
      </c>
      <c r="AH16" s="204">
        <v>0</v>
      </c>
      <c r="AI16" s="204">
        <v>0</v>
      </c>
      <c r="AJ16" s="204">
        <v>0</v>
      </c>
      <c r="AK16" s="204">
        <v>0</v>
      </c>
      <c r="AL16" s="204">
        <v>0</v>
      </c>
      <c r="AM16" s="204">
        <v>0</v>
      </c>
      <c r="AN16" s="204">
        <v>0</v>
      </c>
      <c r="AO16" s="204">
        <v>0</v>
      </c>
      <c r="AP16" s="204">
        <v>0</v>
      </c>
      <c r="AQ16" s="204">
        <v>0</v>
      </c>
      <c r="AR16" s="204">
        <v>0</v>
      </c>
      <c r="AS16" s="204">
        <v>0</v>
      </c>
      <c r="AT16" s="204">
        <v>0</v>
      </c>
      <c r="AU16" s="204">
        <v>0</v>
      </c>
      <c r="AV16" s="204">
        <v>0</v>
      </c>
      <c r="AW16" s="58">
        <v>0</v>
      </c>
      <c r="AX16" s="58">
        <v>0</v>
      </c>
      <c r="AY16" s="58">
        <v>64</v>
      </c>
    </row>
    <row r="17" spans="4:4" x14ac:dyDescent="0.25">
      <c r="D17" s="218"/>
    </row>
  </sheetData>
  <autoFilter ref="B4:AW12"/>
  <mergeCells count="1">
    <mergeCell ref="B1:M1"/>
  </mergeCells>
  <conditionalFormatting sqref="C6:C12">
    <cfRule type="expression" dxfId="271" priority="8">
      <formula>($O6/$O6)&lt;=1/4</formula>
    </cfRule>
  </conditionalFormatting>
  <conditionalFormatting sqref="C5:C12">
    <cfRule type="expression" dxfId="270"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60" t="s">
        <v>89</v>
      </c>
      <c r="M1" s="260" t="s">
        <v>90</v>
      </c>
      <c r="N1" s="258" t="s">
        <v>16</v>
      </c>
      <c r="O1" s="258" t="s">
        <v>100</v>
      </c>
      <c r="P1" s="256" t="s">
        <v>90</v>
      </c>
      <c r="Q1" s="115" t="s">
        <v>144</v>
      </c>
      <c r="R1" s="116">
        <f>SUBTOTAL(9,R2:R82)</f>
        <v>0</v>
      </c>
    </row>
    <row r="2" spans="1:18" s="121" customFormat="1" ht="18.75" x14ac:dyDescent="0.3">
      <c r="A2" s="117" t="s">
        <v>161</v>
      </c>
      <c r="B2" s="118" t="s">
        <v>271</v>
      </c>
      <c r="C2" s="117" t="s">
        <v>162</v>
      </c>
      <c r="D2" s="119">
        <v>110000</v>
      </c>
      <c r="E2" s="120"/>
      <c r="F2" s="120"/>
      <c r="G2" s="120"/>
      <c r="H2" s="120"/>
      <c r="I2" s="120"/>
      <c r="J2" s="120"/>
      <c r="K2" s="120"/>
      <c r="L2" s="259">
        <v>1</v>
      </c>
      <c r="M2" s="259" t="s">
        <v>91</v>
      </c>
      <c r="N2" s="262" t="s">
        <v>224</v>
      </c>
      <c r="O2" s="263">
        <v>48000</v>
      </c>
      <c r="P2" s="130">
        <f>IF($N2="","",LOOKUP(2,1/($N2=$B$2:$B$82),$A$2:$A$82))</f>
        <v>1</v>
      </c>
      <c r="Q2" s="257"/>
      <c r="R2" s="123">
        <f t="shared" ref="R2:R60" si="0">O2*Q2</f>
        <v>0</v>
      </c>
    </row>
    <row r="3" spans="1:18" s="121" customFormat="1" ht="18.75" x14ac:dyDescent="0.3">
      <c r="A3" s="117" t="s">
        <v>278</v>
      </c>
      <c r="B3" s="118" t="s">
        <v>272</v>
      </c>
      <c r="C3" s="117" t="s">
        <v>283</v>
      </c>
      <c r="D3" s="119">
        <v>122000</v>
      </c>
      <c r="E3" s="120"/>
      <c r="F3" s="120"/>
      <c r="G3" s="120"/>
      <c r="H3" s="120"/>
      <c r="I3" s="120"/>
      <c r="J3" s="120"/>
      <c r="K3" s="120"/>
      <c r="L3" s="259">
        <v>2</v>
      </c>
      <c r="M3" s="259" t="s">
        <v>92</v>
      </c>
      <c r="N3" s="262" t="s">
        <v>277</v>
      </c>
      <c r="O3" s="263">
        <v>40000</v>
      </c>
      <c r="P3" s="130">
        <f t="shared" ref="P3:P60" si="1">IF($N3="","",LOOKUP(2,1/($N3=$B$2:$B$82),$A$2:$A$82))</f>
        <v>2</v>
      </c>
      <c r="Q3" s="257"/>
      <c r="R3" s="123">
        <f t="shared" si="0"/>
        <v>0</v>
      </c>
    </row>
    <row r="4" spans="1:18" s="121" customFormat="1" ht="18.75" x14ac:dyDescent="0.3">
      <c r="A4" s="117" t="s">
        <v>279</v>
      </c>
      <c r="B4" s="118" t="s">
        <v>273</v>
      </c>
      <c r="C4" s="117" t="s">
        <v>284</v>
      </c>
      <c r="D4" s="119">
        <v>95000</v>
      </c>
      <c r="E4" s="120"/>
      <c r="F4" s="120"/>
      <c r="G4" s="120"/>
      <c r="H4" s="120"/>
      <c r="I4" s="120"/>
      <c r="J4" s="120"/>
      <c r="K4" s="120"/>
      <c r="L4" s="259">
        <v>3</v>
      </c>
      <c r="M4" s="259" t="s">
        <v>93</v>
      </c>
      <c r="N4" s="262" t="s">
        <v>276</v>
      </c>
      <c r="O4" s="263">
        <v>42000</v>
      </c>
      <c r="P4" s="130">
        <f t="shared" si="1"/>
        <v>3</v>
      </c>
      <c r="Q4" s="257"/>
      <c r="R4" s="123">
        <f t="shared" si="0"/>
        <v>0</v>
      </c>
    </row>
    <row r="5" spans="1:18" s="121" customFormat="1" ht="18.75" x14ac:dyDescent="0.3">
      <c r="A5" s="117" t="s">
        <v>280</v>
      </c>
      <c r="B5" s="118" t="s">
        <v>287</v>
      </c>
      <c r="C5" s="117" t="s">
        <v>285</v>
      </c>
      <c r="D5" s="119">
        <v>116000</v>
      </c>
      <c r="E5" s="120"/>
      <c r="F5" s="120"/>
      <c r="G5" s="120"/>
      <c r="H5" s="120"/>
      <c r="I5" s="120"/>
      <c r="J5" s="120"/>
      <c r="K5" s="120"/>
      <c r="L5" s="259">
        <v>4</v>
      </c>
      <c r="M5" s="261" t="s">
        <v>94</v>
      </c>
      <c r="N5" s="262" t="s">
        <v>305</v>
      </c>
      <c r="O5" s="263">
        <v>45000</v>
      </c>
      <c r="P5" s="130">
        <f t="shared" si="1"/>
        <v>4</v>
      </c>
      <c r="Q5" s="257"/>
      <c r="R5" s="123">
        <f t="shared" si="0"/>
        <v>0</v>
      </c>
    </row>
    <row r="6" spans="1:18" s="121" customFormat="1" ht="18.75" x14ac:dyDescent="0.3">
      <c r="A6" s="117" t="s">
        <v>281</v>
      </c>
      <c r="B6" s="118" t="s">
        <v>274</v>
      </c>
      <c r="C6" s="117" t="s">
        <v>286</v>
      </c>
      <c r="D6" s="119">
        <v>48000</v>
      </c>
      <c r="E6" s="120"/>
      <c r="F6" s="120"/>
      <c r="G6" s="120"/>
      <c r="H6" s="120"/>
      <c r="I6" s="120"/>
      <c r="J6" s="120"/>
      <c r="K6" s="120"/>
      <c r="L6" s="259">
        <v>5</v>
      </c>
      <c r="M6" s="261" t="s">
        <v>95</v>
      </c>
      <c r="N6" s="262" t="s">
        <v>27</v>
      </c>
      <c r="O6" s="264">
        <v>38000</v>
      </c>
      <c r="P6" s="130">
        <f t="shared" si="1"/>
        <v>5</v>
      </c>
      <c r="Q6" s="257"/>
      <c r="R6" s="123">
        <f t="shared" si="0"/>
        <v>0</v>
      </c>
    </row>
    <row r="7" spans="1:18" s="121" customFormat="1" ht="18.75" x14ac:dyDescent="0.3">
      <c r="A7" s="117" t="s">
        <v>282</v>
      </c>
      <c r="B7" s="118" t="s">
        <v>275</v>
      </c>
      <c r="C7" s="117" t="s">
        <v>288</v>
      </c>
      <c r="D7" s="119">
        <v>43000</v>
      </c>
      <c r="E7" s="120"/>
      <c r="F7" s="120"/>
      <c r="G7" s="120"/>
      <c r="H7" s="120"/>
      <c r="I7" s="120"/>
      <c r="J7" s="120"/>
      <c r="K7" s="120"/>
      <c r="L7" s="259">
        <v>6</v>
      </c>
      <c r="M7" s="261" t="s">
        <v>96</v>
      </c>
      <c r="N7" s="262" t="s">
        <v>25</v>
      </c>
      <c r="O7" s="264">
        <v>42000</v>
      </c>
      <c r="P7" s="130">
        <f t="shared" si="1"/>
        <v>6</v>
      </c>
      <c r="Q7" s="257"/>
      <c r="R7" s="123">
        <f t="shared" si="0"/>
        <v>0</v>
      </c>
    </row>
    <row r="8" spans="1:18" s="121" customFormat="1" ht="18.75" x14ac:dyDescent="0.3">
      <c r="A8" s="117">
        <v>1</v>
      </c>
      <c r="B8" s="118" t="s">
        <v>224</v>
      </c>
      <c r="C8" s="117" t="s">
        <v>91</v>
      </c>
      <c r="D8" s="119">
        <v>48000</v>
      </c>
      <c r="E8" s="120"/>
      <c r="F8" s="120"/>
      <c r="G8" s="120"/>
      <c r="H8" s="120"/>
      <c r="I8" s="120"/>
      <c r="J8" s="120"/>
      <c r="K8" s="120"/>
      <c r="L8" s="259">
        <v>7</v>
      </c>
      <c r="M8" s="261" t="s">
        <v>97</v>
      </c>
      <c r="N8" s="262" t="s">
        <v>128</v>
      </c>
      <c r="O8" s="263">
        <v>45000</v>
      </c>
      <c r="P8" s="130">
        <f t="shared" si="1"/>
        <v>7</v>
      </c>
      <c r="Q8" s="257"/>
      <c r="R8" s="123">
        <f t="shared" si="0"/>
        <v>0</v>
      </c>
    </row>
    <row r="9" spans="1:18" s="121" customFormat="1" ht="18.75" x14ac:dyDescent="0.3">
      <c r="A9" s="117">
        <v>2</v>
      </c>
      <c r="B9" s="118" t="s">
        <v>277</v>
      </c>
      <c r="C9" s="117" t="s">
        <v>92</v>
      </c>
      <c r="D9" s="119">
        <v>40000</v>
      </c>
      <c r="E9" s="120"/>
      <c r="F9" s="120"/>
      <c r="G9" s="120"/>
      <c r="H9" s="120"/>
      <c r="I9" s="120"/>
      <c r="J9" s="120"/>
      <c r="K9" s="120"/>
      <c r="L9" s="259">
        <v>8</v>
      </c>
      <c r="M9" s="261" t="s">
        <v>98</v>
      </c>
      <c r="N9" s="262" t="s">
        <v>50</v>
      </c>
      <c r="O9" s="263">
        <v>45000</v>
      </c>
      <c r="P9" s="130">
        <f t="shared" si="1"/>
        <v>8</v>
      </c>
      <c r="Q9" s="257"/>
      <c r="R9" s="123">
        <f t="shared" si="0"/>
        <v>0</v>
      </c>
    </row>
    <row r="10" spans="1:18" s="121" customFormat="1" ht="18.75" x14ac:dyDescent="0.3">
      <c r="A10" s="117">
        <v>3</v>
      </c>
      <c r="B10" s="118" t="s">
        <v>276</v>
      </c>
      <c r="C10" s="117" t="s">
        <v>93</v>
      </c>
      <c r="D10" s="119">
        <v>42000</v>
      </c>
      <c r="E10" s="120"/>
      <c r="F10" s="120"/>
      <c r="G10" s="120"/>
      <c r="H10" s="120"/>
      <c r="I10" s="120"/>
      <c r="J10" s="120"/>
      <c r="K10" s="120"/>
      <c r="L10" s="259">
        <v>9</v>
      </c>
      <c r="M10" s="261" t="s">
        <v>99</v>
      </c>
      <c r="N10" s="262" t="s">
        <v>31</v>
      </c>
      <c r="O10" s="263">
        <v>45000</v>
      </c>
      <c r="P10" s="130">
        <f t="shared" si="1"/>
        <v>9</v>
      </c>
      <c r="Q10" s="257"/>
      <c r="R10" s="123">
        <f t="shared" si="0"/>
        <v>0</v>
      </c>
    </row>
    <row r="11" spans="1:18" s="121" customFormat="1" ht="18.75" x14ac:dyDescent="0.3">
      <c r="A11" s="117">
        <v>4</v>
      </c>
      <c r="B11" s="118" t="s">
        <v>305</v>
      </c>
      <c r="C11" s="117" t="s">
        <v>94</v>
      </c>
      <c r="D11" s="119">
        <v>45000</v>
      </c>
      <c r="E11" s="120"/>
      <c r="F11" s="120"/>
      <c r="G11" s="120"/>
      <c r="H11" s="120"/>
      <c r="I11" s="120"/>
      <c r="J11" s="120"/>
      <c r="K11" s="120"/>
      <c r="L11" s="259">
        <v>10</v>
      </c>
      <c r="M11" s="261" t="s">
        <v>56</v>
      </c>
      <c r="N11" s="262" t="s">
        <v>28</v>
      </c>
      <c r="O11" s="263">
        <v>45000</v>
      </c>
      <c r="P11" s="130">
        <f t="shared" si="1"/>
        <v>10</v>
      </c>
      <c r="Q11" s="257"/>
      <c r="R11" s="123">
        <f t="shared" si="0"/>
        <v>0</v>
      </c>
    </row>
    <row r="12" spans="1:18" s="121" customFormat="1" ht="18.75" x14ac:dyDescent="0.3">
      <c r="A12" s="117">
        <v>5</v>
      </c>
      <c r="B12" s="118" t="s">
        <v>27</v>
      </c>
      <c r="C12" s="117" t="s">
        <v>95</v>
      </c>
      <c r="D12" s="119">
        <v>38000</v>
      </c>
      <c r="E12" s="120"/>
      <c r="F12" s="120"/>
      <c r="G12" s="120"/>
      <c r="H12" s="120"/>
      <c r="I12" s="120"/>
      <c r="J12" s="120"/>
      <c r="K12" s="120"/>
      <c r="L12" s="259">
        <v>11</v>
      </c>
      <c r="M12" s="261" t="s">
        <v>57</v>
      </c>
      <c r="N12" s="262" t="s">
        <v>30</v>
      </c>
      <c r="O12" s="263">
        <v>45000</v>
      </c>
      <c r="P12" s="130">
        <f t="shared" si="1"/>
        <v>11</v>
      </c>
      <c r="Q12" s="257"/>
      <c r="R12" s="123">
        <f t="shared" si="0"/>
        <v>0</v>
      </c>
    </row>
    <row r="13" spans="1:18" s="121" customFormat="1" ht="18.75" x14ac:dyDescent="0.3">
      <c r="A13" s="117">
        <v>6</v>
      </c>
      <c r="B13" s="118" t="s">
        <v>25</v>
      </c>
      <c r="C13" s="117" t="s">
        <v>96</v>
      </c>
      <c r="D13" s="119">
        <v>42000</v>
      </c>
      <c r="E13" s="120"/>
      <c r="F13" s="120"/>
      <c r="G13" s="120"/>
      <c r="H13" s="120"/>
      <c r="I13" s="120"/>
      <c r="J13" s="120"/>
      <c r="K13" s="120"/>
      <c r="L13" s="259">
        <v>12</v>
      </c>
      <c r="M13" s="261" t="s">
        <v>58</v>
      </c>
      <c r="N13" s="262" t="s">
        <v>29</v>
      </c>
      <c r="O13" s="263">
        <v>45000</v>
      </c>
      <c r="P13" s="130">
        <f t="shared" si="1"/>
        <v>12</v>
      </c>
      <c r="Q13" s="257"/>
      <c r="R13" s="123">
        <f t="shared" si="0"/>
        <v>0</v>
      </c>
    </row>
    <row r="14" spans="1:18" s="121" customFormat="1" ht="18.75" x14ac:dyDescent="0.3">
      <c r="A14" s="117">
        <v>7</v>
      </c>
      <c r="B14" s="118" t="s">
        <v>128</v>
      </c>
      <c r="C14" s="117" t="s">
        <v>97</v>
      </c>
      <c r="D14" s="119">
        <v>45000</v>
      </c>
      <c r="E14" s="120"/>
      <c r="F14" s="120"/>
      <c r="G14" s="120"/>
      <c r="H14" s="120"/>
      <c r="I14" s="120"/>
      <c r="J14" s="120"/>
      <c r="K14" s="120"/>
      <c r="L14" s="259">
        <v>13</v>
      </c>
      <c r="M14" s="261" t="s">
        <v>59</v>
      </c>
      <c r="N14" s="262" t="s">
        <v>5</v>
      </c>
      <c r="O14" s="263">
        <v>40000</v>
      </c>
      <c r="P14" s="130">
        <f t="shared" si="1"/>
        <v>13</v>
      </c>
      <c r="Q14" s="257"/>
      <c r="R14" s="123">
        <f t="shared" si="0"/>
        <v>0</v>
      </c>
    </row>
    <row r="15" spans="1:18" s="121" customFormat="1" ht="18.75" x14ac:dyDescent="0.3">
      <c r="A15" s="117">
        <v>8</v>
      </c>
      <c r="B15" s="118" t="s">
        <v>50</v>
      </c>
      <c r="C15" s="117" t="s">
        <v>98</v>
      </c>
      <c r="D15" s="119">
        <v>45000</v>
      </c>
      <c r="E15" s="120"/>
      <c r="F15" s="120"/>
      <c r="G15" s="120"/>
      <c r="H15" s="120"/>
      <c r="I15" s="120"/>
      <c r="J15" s="120"/>
      <c r="K15" s="120"/>
      <c r="L15" s="259">
        <v>14</v>
      </c>
      <c r="M15" s="261" t="s">
        <v>60</v>
      </c>
      <c r="N15" s="262" t="s">
        <v>4</v>
      </c>
      <c r="O15" s="263">
        <v>40000</v>
      </c>
      <c r="P15" s="130">
        <f t="shared" si="1"/>
        <v>14</v>
      </c>
      <c r="Q15" s="257"/>
      <c r="R15" s="123">
        <f t="shared" si="0"/>
        <v>0</v>
      </c>
    </row>
    <row r="16" spans="1:18" s="121" customFormat="1" ht="18.75" x14ac:dyDescent="0.3">
      <c r="A16" s="117">
        <v>9</v>
      </c>
      <c r="B16" s="118" t="s">
        <v>31</v>
      </c>
      <c r="C16" s="117" t="s">
        <v>99</v>
      </c>
      <c r="D16" s="119">
        <v>45000</v>
      </c>
      <c r="E16" s="120"/>
      <c r="F16" s="120"/>
      <c r="G16" s="120"/>
      <c r="H16" s="120"/>
      <c r="I16" s="120"/>
      <c r="J16" s="120"/>
      <c r="K16" s="120"/>
      <c r="L16" s="259">
        <v>15</v>
      </c>
      <c r="M16" s="261" t="s">
        <v>61</v>
      </c>
      <c r="N16" s="262" t="s">
        <v>8</v>
      </c>
      <c r="O16" s="263">
        <v>55000</v>
      </c>
      <c r="P16" s="130">
        <f t="shared" si="1"/>
        <v>15</v>
      </c>
      <c r="Q16" s="257"/>
      <c r="R16" s="123">
        <f t="shared" si="0"/>
        <v>0</v>
      </c>
    </row>
    <row r="17" spans="1:18" s="121" customFormat="1" ht="18.75" x14ac:dyDescent="0.3">
      <c r="A17" s="117">
        <v>10</v>
      </c>
      <c r="B17" s="118" t="s">
        <v>28</v>
      </c>
      <c r="C17" s="117" t="s">
        <v>56</v>
      </c>
      <c r="D17" s="119">
        <v>45000</v>
      </c>
      <c r="E17" s="120"/>
      <c r="F17" s="120"/>
      <c r="G17" s="120"/>
      <c r="H17" s="120"/>
      <c r="I17" s="120"/>
      <c r="J17" s="120"/>
      <c r="K17" s="120"/>
      <c r="L17" s="259">
        <v>16</v>
      </c>
      <c r="M17" s="261" t="s">
        <v>62</v>
      </c>
      <c r="N17" s="262" t="s">
        <v>13</v>
      </c>
      <c r="O17" s="263">
        <v>35000</v>
      </c>
      <c r="P17" s="130">
        <f t="shared" si="1"/>
        <v>16</v>
      </c>
      <c r="Q17" s="257"/>
      <c r="R17" s="123">
        <f t="shared" si="0"/>
        <v>0</v>
      </c>
    </row>
    <row r="18" spans="1:18" s="121" customFormat="1" ht="18.75" x14ac:dyDescent="0.3">
      <c r="A18" s="117">
        <v>11</v>
      </c>
      <c r="B18" s="118" t="s">
        <v>30</v>
      </c>
      <c r="C18" s="117" t="s">
        <v>57</v>
      </c>
      <c r="D18" s="119">
        <v>45000</v>
      </c>
      <c r="E18" s="120"/>
      <c r="F18" s="120"/>
      <c r="G18" s="120"/>
      <c r="H18" s="120"/>
      <c r="I18" s="120"/>
      <c r="J18" s="120"/>
      <c r="K18" s="120"/>
      <c r="L18" s="259">
        <v>17</v>
      </c>
      <c r="M18" s="261" t="s">
        <v>63</v>
      </c>
      <c r="N18" s="262" t="s">
        <v>225</v>
      </c>
      <c r="O18" s="263">
        <v>40000</v>
      </c>
      <c r="P18" s="130">
        <f t="shared" si="1"/>
        <v>17</v>
      </c>
      <c r="Q18" s="257"/>
      <c r="R18" s="123">
        <f t="shared" si="0"/>
        <v>0</v>
      </c>
    </row>
    <row r="19" spans="1:18" s="121" customFormat="1" ht="18.75" x14ac:dyDescent="0.3">
      <c r="A19" s="117">
        <v>12</v>
      </c>
      <c r="B19" s="118" t="s">
        <v>29</v>
      </c>
      <c r="C19" s="117" t="s">
        <v>58</v>
      </c>
      <c r="D19" s="119">
        <v>45000</v>
      </c>
      <c r="E19" s="120"/>
      <c r="F19" s="120"/>
      <c r="G19" s="120"/>
      <c r="H19" s="120"/>
      <c r="I19" s="120"/>
      <c r="J19" s="120"/>
      <c r="K19" s="120"/>
      <c r="L19" s="259">
        <v>18</v>
      </c>
      <c r="M19" s="261" t="s">
        <v>64</v>
      </c>
      <c r="N19" s="262" t="s">
        <v>26</v>
      </c>
      <c r="O19" s="263">
        <v>50000</v>
      </c>
      <c r="P19" s="130">
        <f t="shared" si="1"/>
        <v>18</v>
      </c>
      <c r="Q19" s="257"/>
      <c r="R19" s="123">
        <f t="shared" si="0"/>
        <v>0</v>
      </c>
    </row>
    <row r="20" spans="1:18" s="121" customFormat="1" ht="18.75" x14ac:dyDescent="0.3">
      <c r="A20" s="117">
        <v>13</v>
      </c>
      <c r="B20" s="118" t="s">
        <v>5</v>
      </c>
      <c r="C20" s="117" t="s">
        <v>59</v>
      </c>
      <c r="D20" s="119">
        <v>40000</v>
      </c>
      <c r="E20" s="120"/>
      <c r="F20" s="120"/>
      <c r="G20" s="120"/>
      <c r="H20" s="120"/>
      <c r="I20" s="120"/>
      <c r="J20" s="120"/>
      <c r="K20" s="120"/>
      <c r="L20" s="259">
        <v>19</v>
      </c>
      <c r="M20" s="261" t="s">
        <v>65</v>
      </c>
      <c r="N20" s="262" t="s">
        <v>223</v>
      </c>
      <c r="O20" s="263">
        <v>40000</v>
      </c>
      <c r="P20" s="130">
        <f t="shared" si="1"/>
        <v>19</v>
      </c>
      <c r="Q20" s="257"/>
      <c r="R20" s="123">
        <f t="shared" si="0"/>
        <v>0</v>
      </c>
    </row>
    <row r="21" spans="1:18" s="121" customFormat="1" ht="18.75" x14ac:dyDescent="0.3">
      <c r="A21" s="117">
        <v>14</v>
      </c>
      <c r="B21" s="118" t="s">
        <v>4</v>
      </c>
      <c r="C21" s="117" t="s">
        <v>60</v>
      </c>
      <c r="D21" s="119">
        <v>40000</v>
      </c>
      <c r="E21" s="120"/>
      <c r="F21" s="120"/>
      <c r="G21" s="120"/>
      <c r="H21" s="120"/>
      <c r="I21" s="120"/>
      <c r="J21" s="120"/>
      <c r="K21" s="120"/>
      <c r="L21" s="259">
        <v>20</v>
      </c>
      <c r="M21" s="261" t="s">
        <v>66</v>
      </c>
      <c r="N21" s="262" t="s">
        <v>190</v>
      </c>
      <c r="O21" s="263">
        <v>105000</v>
      </c>
      <c r="P21" s="130">
        <f t="shared" si="1"/>
        <v>20</v>
      </c>
      <c r="Q21" s="257"/>
      <c r="R21" s="123">
        <f t="shared" si="0"/>
        <v>0</v>
      </c>
    </row>
    <row r="22" spans="1:18" s="121" customFormat="1" ht="18.75" x14ac:dyDescent="0.3">
      <c r="A22" s="117">
        <v>15</v>
      </c>
      <c r="B22" s="118" t="s">
        <v>8</v>
      </c>
      <c r="C22" s="117" t="s">
        <v>61</v>
      </c>
      <c r="D22" s="119">
        <v>55000</v>
      </c>
      <c r="E22" s="120"/>
      <c r="F22" s="120"/>
      <c r="G22" s="120"/>
      <c r="H22" s="120"/>
      <c r="I22" s="120"/>
      <c r="J22" s="120"/>
      <c r="K22" s="120"/>
      <c r="L22" s="259">
        <v>21</v>
      </c>
      <c r="M22" s="261" t="s">
        <v>67</v>
      </c>
      <c r="N22" s="262" t="s">
        <v>114</v>
      </c>
      <c r="O22" s="263">
        <v>42000</v>
      </c>
      <c r="P22" s="130">
        <f t="shared" si="1"/>
        <v>21</v>
      </c>
      <c r="Q22" s="257"/>
      <c r="R22" s="123">
        <f t="shared" si="0"/>
        <v>0</v>
      </c>
    </row>
    <row r="23" spans="1:18" s="121" customFormat="1" ht="18.75" x14ac:dyDescent="0.3">
      <c r="A23" s="117">
        <v>16</v>
      </c>
      <c r="B23" s="118" t="s">
        <v>13</v>
      </c>
      <c r="C23" s="117" t="s">
        <v>62</v>
      </c>
      <c r="D23" s="119">
        <v>35000</v>
      </c>
      <c r="E23" s="120"/>
      <c r="F23" s="120"/>
      <c r="G23" s="120"/>
      <c r="H23" s="120"/>
      <c r="I23" s="120"/>
      <c r="J23" s="120"/>
      <c r="K23" s="120"/>
      <c r="L23" s="259">
        <v>22</v>
      </c>
      <c r="M23" s="261" t="s">
        <v>68</v>
      </c>
      <c r="N23" s="262" t="s">
        <v>116</v>
      </c>
      <c r="O23" s="263">
        <v>35000</v>
      </c>
      <c r="P23" s="130">
        <f t="shared" si="1"/>
        <v>22</v>
      </c>
      <c r="Q23" s="257"/>
      <c r="R23" s="123">
        <f t="shared" si="0"/>
        <v>0</v>
      </c>
    </row>
    <row r="24" spans="1:18" s="121" customFormat="1" ht="18.75" x14ac:dyDescent="0.3">
      <c r="A24" s="117">
        <v>17</v>
      </c>
      <c r="B24" s="118" t="s">
        <v>225</v>
      </c>
      <c r="C24" s="117" t="s">
        <v>63</v>
      </c>
      <c r="D24" s="119">
        <v>40000</v>
      </c>
      <c r="E24" s="120"/>
      <c r="F24" s="120"/>
      <c r="G24" s="120"/>
      <c r="H24" s="120"/>
      <c r="I24" s="120"/>
      <c r="J24" s="120"/>
      <c r="K24" s="120"/>
      <c r="L24" s="259">
        <v>23</v>
      </c>
      <c r="M24" s="261" t="s">
        <v>69</v>
      </c>
      <c r="N24" s="262" t="s">
        <v>254</v>
      </c>
      <c r="O24" s="263">
        <v>35000</v>
      </c>
      <c r="P24" s="130">
        <f t="shared" si="1"/>
        <v>23</v>
      </c>
      <c r="Q24" s="257"/>
      <c r="R24" s="123">
        <f t="shared" si="0"/>
        <v>0</v>
      </c>
    </row>
    <row r="25" spans="1:18" s="121" customFormat="1" ht="18.75" x14ac:dyDescent="0.3">
      <c r="A25" s="117">
        <v>18</v>
      </c>
      <c r="B25" s="118" t="s">
        <v>26</v>
      </c>
      <c r="C25" s="117" t="s">
        <v>64</v>
      </c>
      <c r="D25" s="119">
        <v>50000</v>
      </c>
      <c r="E25" s="120"/>
      <c r="F25" s="120"/>
      <c r="G25" s="120"/>
      <c r="H25" s="120"/>
      <c r="I25" s="120"/>
      <c r="J25" s="120"/>
      <c r="K25" s="120"/>
      <c r="L25" s="259">
        <v>24</v>
      </c>
      <c r="M25" s="261" t="s">
        <v>70</v>
      </c>
      <c r="N25" s="262" t="s">
        <v>268</v>
      </c>
      <c r="O25" s="263">
        <v>65000</v>
      </c>
      <c r="P25" s="130">
        <f t="shared" si="1"/>
        <v>24</v>
      </c>
      <c r="Q25" s="257"/>
      <c r="R25" s="123">
        <f t="shared" si="0"/>
        <v>0</v>
      </c>
    </row>
    <row r="26" spans="1:18" s="121" customFormat="1" ht="18.75" x14ac:dyDescent="0.3">
      <c r="A26" s="117">
        <v>19</v>
      </c>
      <c r="B26" s="118" t="s">
        <v>223</v>
      </c>
      <c r="C26" s="117" t="s">
        <v>65</v>
      </c>
      <c r="D26" s="119">
        <v>40000</v>
      </c>
      <c r="E26" s="120"/>
      <c r="F26" s="120"/>
      <c r="G26" s="120"/>
      <c r="H26" s="120"/>
      <c r="I26" s="120"/>
      <c r="J26" s="120"/>
      <c r="K26" s="120"/>
      <c r="L26" s="259">
        <v>25</v>
      </c>
      <c r="M26" s="261" t="s">
        <v>71</v>
      </c>
      <c r="N26" s="262" t="s">
        <v>136</v>
      </c>
      <c r="O26" s="263">
        <v>80000</v>
      </c>
      <c r="P26" s="130">
        <f t="shared" si="1"/>
        <v>25</v>
      </c>
      <c r="Q26" s="257"/>
      <c r="R26" s="123">
        <f t="shared" si="0"/>
        <v>0</v>
      </c>
    </row>
    <row r="27" spans="1:18" s="121" customFormat="1" ht="18.75" x14ac:dyDescent="0.3">
      <c r="A27" s="117">
        <v>20</v>
      </c>
      <c r="B27" s="118" t="s">
        <v>190</v>
      </c>
      <c r="C27" s="117" t="s">
        <v>66</v>
      </c>
      <c r="D27" s="119">
        <v>105000</v>
      </c>
      <c r="E27" s="120"/>
      <c r="F27" s="120"/>
      <c r="G27" s="120"/>
      <c r="H27" s="120"/>
      <c r="I27" s="120"/>
      <c r="J27" s="120"/>
      <c r="K27" s="120"/>
      <c r="L27" s="259">
        <v>26</v>
      </c>
      <c r="M27" s="261" t="s">
        <v>72</v>
      </c>
      <c r="N27" s="262" t="s">
        <v>221</v>
      </c>
      <c r="O27" s="263">
        <v>44000</v>
      </c>
      <c r="P27" s="130">
        <f t="shared" si="1"/>
        <v>26</v>
      </c>
      <c r="Q27" s="257"/>
      <c r="R27" s="123">
        <f t="shared" si="0"/>
        <v>0</v>
      </c>
    </row>
    <row r="28" spans="1:18" s="121" customFormat="1" ht="18.75" x14ac:dyDescent="0.3">
      <c r="A28" s="117">
        <v>21</v>
      </c>
      <c r="B28" s="118" t="s">
        <v>114</v>
      </c>
      <c r="C28" s="117" t="s">
        <v>67</v>
      </c>
      <c r="D28" s="119">
        <v>42000</v>
      </c>
      <c r="E28" s="120"/>
      <c r="F28" s="120"/>
      <c r="G28" s="120"/>
      <c r="H28" s="120"/>
      <c r="I28" s="120"/>
      <c r="J28" s="120"/>
      <c r="K28" s="120"/>
      <c r="L28" s="259">
        <v>27</v>
      </c>
      <c r="M28" s="261" t="s">
        <v>73</v>
      </c>
      <c r="N28" s="262" t="s">
        <v>138</v>
      </c>
      <c r="O28" s="263">
        <v>35000</v>
      </c>
      <c r="P28" s="130">
        <f t="shared" si="1"/>
        <v>27</v>
      </c>
      <c r="Q28" s="257"/>
      <c r="R28" s="123">
        <f t="shared" si="0"/>
        <v>0</v>
      </c>
    </row>
    <row r="29" spans="1:18" s="121" customFormat="1" ht="18.75" x14ac:dyDescent="0.3">
      <c r="A29" s="117">
        <v>22</v>
      </c>
      <c r="B29" s="118" t="s">
        <v>116</v>
      </c>
      <c r="C29" s="117" t="s">
        <v>68</v>
      </c>
      <c r="D29" s="119">
        <v>35000</v>
      </c>
      <c r="E29" s="120"/>
      <c r="F29" s="120"/>
      <c r="G29" s="120"/>
      <c r="H29" s="120"/>
      <c r="I29" s="120"/>
      <c r="J29" s="120"/>
      <c r="K29" s="120"/>
      <c r="L29" s="259">
        <v>28</v>
      </c>
      <c r="M29" s="261" t="s">
        <v>74</v>
      </c>
      <c r="N29" s="262" t="s">
        <v>139</v>
      </c>
      <c r="O29" s="263">
        <v>38000</v>
      </c>
      <c r="P29" s="130">
        <f t="shared" si="1"/>
        <v>28</v>
      </c>
      <c r="Q29" s="257"/>
      <c r="R29" s="123">
        <f t="shared" si="0"/>
        <v>0</v>
      </c>
    </row>
    <row r="30" spans="1:18" s="121" customFormat="1" ht="18.75" x14ac:dyDescent="0.3">
      <c r="A30" s="117">
        <v>23</v>
      </c>
      <c r="B30" s="118" t="s">
        <v>254</v>
      </c>
      <c r="C30" s="117" t="s">
        <v>69</v>
      </c>
      <c r="D30" s="119">
        <v>35000</v>
      </c>
      <c r="E30" s="120"/>
      <c r="F30" s="120"/>
      <c r="G30" s="120"/>
      <c r="H30" s="120"/>
      <c r="I30" s="120"/>
      <c r="J30" s="120"/>
      <c r="K30" s="120"/>
      <c r="L30" s="259">
        <v>29</v>
      </c>
      <c r="M30" s="261" t="s">
        <v>75</v>
      </c>
      <c r="N30" s="262" t="s">
        <v>143</v>
      </c>
      <c r="O30" s="263">
        <v>70000</v>
      </c>
      <c r="P30" s="130">
        <f t="shared" si="1"/>
        <v>29</v>
      </c>
      <c r="Q30" s="257"/>
      <c r="R30" s="123">
        <f t="shared" si="0"/>
        <v>0</v>
      </c>
    </row>
    <row r="31" spans="1:18" s="121" customFormat="1" ht="18.75" x14ac:dyDescent="0.3">
      <c r="A31" s="117">
        <v>24</v>
      </c>
      <c r="B31" s="118" t="s">
        <v>268</v>
      </c>
      <c r="C31" s="117" t="s">
        <v>70</v>
      </c>
      <c r="D31" s="119">
        <v>65000</v>
      </c>
      <c r="E31" s="120"/>
      <c r="F31" s="120"/>
      <c r="G31" s="120"/>
      <c r="H31" s="120"/>
      <c r="I31" s="120"/>
      <c r="J31" s="120"/>
      <c r="K31" s="120"/>
      <c r="L31" s="259">
        <v>30</v>
      </c>
      <c r="M31" s="261" t="s">
        <v>76</v>
      </c>
      <c r="N31" s="262" t="s">
        <v>155</v>
      </c>
      <c r="O31" s="263">
        <v>54000</v>
      </c>
      <c r="P31" s="130">
        <f t="shared" si="1"/>
        <v>30</v>
      </c>
      <c r="Q31" s="257"/>
      <c r="R31" s="123">
        <f t="shared" si="0"/>
        <v>0</v>
      </c>
    </row>
    <row r="32" spans="1:18" s="121" customFormat="1" ht="18.75" x14ac:dyDescent="0.3">
      <c r="A32" s="117">
        <v>25</v>
      </c>
      <c r="B32" s="118" t="s">
        <v>136</v>
      </c>
      <c r="C32" s="117" t="s">
        <v>71</v>
      </c>
      <c r="D32" s="119">
        <v>80000</v>
      </c>
      <c r="E32" s="120"/>
      <c r="F32" s="120"/>
      <c r="G32" s="120"/>
      <c r="H32" s="120"/>
      <c r="I32" s="120"/>
      <c r="J32" s="120"/>
      <c r="K32" s="120"/>
      <c r="L32" s="259">
        <v>31</v>
      </c>
      <c r="M32" s="261" t="s">
        <v>77</v>
      </c>
      <c r="N32" s="262" t="s">
        <v>157</v>
      </c>
      <c r="O32" s="263">
        <v>47000</v>
      </c>
      <c r="P32" s="130">
        <f t="shared" si="1"/>
        <v>31</v>
      </c>
      <c r="Q32" s="257"/>
      <c r="R32" s="123">
        <f t="shared" si="0"/>
        <v>0</v>
      </c>
    </row>
    <row r="33" spans="1:18" s="121" customFormat="1" ht="18.75" x14ac:dyDescent="0.3">
      <c r="A33" s="117">
        <v>26</v>
      </c>
      <c r="B33" s="118" t="s">
        <v>221</v>
      </c>
      <c r="C33" s="117" t="s">
        <v>72</v>
      </c>
      <c r="D33" s="119">
        <v>44000</v>
      </c>
      <c r="E33" s="120"/>
      <c r="F33" s="120"/>
      <c r="G33" s="120"/>
      <c r="H33" s="120"/>
      <c r="I33" s="120"/>
      <c r="J33" s="120"/>
      <c r="K33" s="120"/>
      <c r="L33" s="259">
        <v>32</v>
      </c>
      <c r="M33" s="261" t="s">
        <v>78</v>
      </c>
      <c r="N33" s="262" t="s">
        <v>159</v>
      </c>
      <c r="O33" s="263">
        <v>50000</v>
      </c>
      <c r="P33" s="130">
        <f t="shared" si="1"/>
        <v>32</v>
      </c>
      <c r="Q33" s="257"/>
      <c r="R33" s="123">
        <f t="shared" si="0"/>
        <v>0</v>
      </c>
    </row>
    <row r="34" spans="1:18" s="121" customFormat="1" ht="18.75" x14ac:dyDescent="0.3">
      <c r="A34" s="117">
        <v>27</v>
      </c>
      <c r="B34" s="118" t="s">
        <v>138</v>
      </c>
      <c r="C34" s="117" t="s">
        <v>73</v>
      </c>
      <c r="D34" s="119">
        <v>35000</v>
      </c>
      <c r="E34" s="120"/>
      <c r="F34" s="120"/>
      <c r="G34" s="120"/>
      <c r="H34" s="120"/>
      <c r="I34" s="120"/>
      <c r="J34" s="120"/>
      <c r="K34" s="120"/>
      <c r="L34" s="259">
        <v>33</v>
      </c>
      <c r="M34" s="261" t="s">
        <v>79</v>
      </c>
      <c r="N34" s="262" t="s">
        <v>182</v>
      </c>
      <c r="O34" s="263">
        <v>18000</v>
      </c>
      <c r="P34" s="130">
        <f t="shared" si="1"/>
        <v>33</v>
      </c>
      <c r="Q34" s="257"/>
      <c r="R34" s="123">
        <f t="shared" si="0"/>
        <v>0</v>
      </c>
    </row>
    <row r="35" spans="1:18" s="121" customFormat="1" ht="18.75" x14ac:dyDescent="0.3">
      <c r="A35" s="117">
        <v>28</v>
      </c>
      <c r="B35" s="118" t="s">
        <v>139</v>
      </c>
      <c r="C35" s="117" t="s">
        <v>74</v>
      </c>
      <c r="D35" s="119">
        <v>38000</v>
      </c>
      <c r="E35" s="120"/>
      <c r="F35" s="120"/>
      <c r="G35" s="120"/>
      <c r="H35" s="120"/>
      <c r="I35" s="120"/>
      <c r="J35" s="120"/>
      <c r="K35" s="120"/>
      <c r="L35" s="259">
        <v>34</v>
      </c>
      <c r="M35" s="261" t="s">
        <v>80</v>
      </c>
      <c r="N35" s="262" t="s">
        <v>174</v>
      </c>
      <c r="O35" s="263">
        <v>25000</v>
      </c>
      <c r="P35" s="130">
        <f t="shared" si="1"/>
        <v>34</v>
      </c>
      <c r="Q35" s="257"/>
      <c r="R35" s="123">
        <f t="shared" si="0"/>
        <v>0</v>
      </c>
    </row>
    <row r="36" spans="1:18" s="121" customFormat="1" ht="18.75" x14ac:dyDescent="0.3">
      <c r="A36" s="117">
        <v>29</v>
      </c>
      <c r="B36" s="118" t="s">
        <v>143</v>
      </c>
      <c r="C36" s="117" t="s">
        <v>75</v>
      </c>
      <c r="D36" s="119">
        <v>70000</v>
      </c>
      <c r="E36" s="120"/>
      <c r="F36" s="120"/>
      <c r="G36" s="120"/>
      <c r="H36" s="120"/>
      <c r="I36" s="120"/>
      <c r="J36" s="120"/>
      <c r="K36" s="120"/>
      <c r="L36" s="259">
        <v>35</v>
      </c>
      <c r="M36" s="261" t="s">
        <v>81</v>
      </c>
      <c r="N36" s="262" t="s">
        <v>175</v>
      </c>
      <c r="O36" s="263">
        <v>26000</v>
      </c>
      <c r="P36" s="130">
        <f t="shared" si="1"/>
        <v>35</v>
      </c>
      <c r="Q36" s="257"/>
      <c r="R36" s="123">
        <f t="shared" si="0"/>
        <v>0</v>
      </c>
    </row>
    <row r="37" spans="1:18" s="121" customFormat="1" ht="18.75" x14ac:dyDescent="0.3">
      <c r="A37" s="117">
        <v>30</v>
      </c>
      <c r="B37" s="118" t="s">
        <v>155</v>
      </c>
      <c r="C37" s="117" t="s">
        <v>76</v>
      </c>
      <c r="D37" s="119">
        <v>54000</v>
      </c>
      <c r="E37" s="120"/>
      <c r="F37" s="120"/>
      <c r="G37" s="120"/>
      <c r="H37" s="120"/>
      <c r="I37" s="120"/>
      <c r="J37" s="120"/>
      <c r="K37" s="120"/>
      <c r="L37" s="259">
        <v>36</v>
      </c>
      <c r="M37" s="261" t="s">
        <v>82</v>
      </c>
      <c r="N37" s="262" t="s">
        <v>176</v>
      </c>
      <c r="O37" s="263">
        <v>28000</v>
      </c>
      <c r="P37" s="130">
        <f t="shared" si="1"/>
        <v>36</v>
      </c>
      <c r="Q37" s="257"/>
      <c r="R37" s="123">
        <f t="shared" si="0"/>
        <v>0</v>
      </c>
    </row>
    <row r="38" spans="1:18" s="121" customFormat="1" ht="18.75" x14ac:dyDescent="0.3">
      <c r="A38" s="117">
        <v>31</v>
      </c>
      <c r="B38" s="118" t="s">
        <v>157</v>
      </c>
      <c r="C38" s="117" t="s">
        <v>77</v>
      </c>
      <c r="D38" s="119">
        <v>47000</v>
      </c>
      <c r="E38" s="120"/>
      <c r="F38" s="120"/>
      <c r="G38" s="120"/>
      <c r="H38" s="120"/>
      <c r="I38" s="120"/>
      <c r="J38" s="120"/>
      <c r="K38" s="120"/>
      <c r="L38" s="259">
        <v>37</v>
      </c>
      <c r="M38" s="261" t="s">
        <v>83</v>
      </c>
      <c r="N38" s="262" t="s">
        <v>177</v>
      </c>
      <c r="O38" s="263">
        <v>28000</v>
      </c>
      <c r="P38" s="130">
        <f t="shared" si="1"/>
        <v>37</v>
      </c>
      <c r="Q38" s="257"/>
      <c r="R38" s="123">
        <f t="shared" si="0"/>
        <v>0</v>
      </c>
    </row>
    <row r="39" spans="1:18" s="121" customFormat="1" ht="18.75" x14ac:dyDescent="0.3">
      <c r="A39" s="117">
        <v>32</v>
      </c>
      <c r="B39" s="118" t="s">
        <v>159</v>
      </c>
      <c r="C39" s="117" t="s">
        <v>78</v>
      </c>
      <c r="D39" s="119">
        <v>50000</v>
      </c>
      <c r="E39" s="120"/>
      <c r="F39" s="120"/>
      <c r="G39" s="120"/>
      <c r="H39" s="120"/>
      <c r="I39" s="120"/>
      <c r="J39" s="120"/>
      <c r="K39" s="120"/>
      <c r="L39" s="259">
        <v>38</v>
      </c>
      <c r="M39" s="261" t="s">
        <v>84</v>
      </c>
      <c r="N39" s="262" t="s">
        <v>178</v>
      </c>
      <c r="O39" s="263">
        <v>26000</v>
      </c>
      <c r="P39" s="130">
        <f t="shared" si="1"/>
        <v>38</v>
      </c>
      <c r="Q39" s="257"/>
      <c r="R39" s="123">
        <f t="shared" si="0"/>
        <v>0</v>
      </c>
    </row>
    <row r="40" spans="1:18" s="121" customFormat="1" ht="18.75" x14ac:dyDescent="0.3">
      <c r="A40" s="117">
        <v>33</v>
      </c>
      <c r="B40" s="118" t="s">
        <v>182</v>
      </c>
      <c r="C40" s="117" t="s">
        <v>79</v>
      </c>
      <c r="D40" s="119">
        <v>18000</v>
      </c>
      <c r="E40" s="120"/>
      <c r="F40" s="120"/>
      <c r="G40" s="120"/>
      <c r="H40" s="120"/>
      <c r="I40" s="120"/>
      <c r="J40" s="120"/>
      <c r="K40" s="120"/>
      <c r="L40" s="259">
        <v>39</v>
      </c>
      <c r="M40" s="261" t="s">
        <v>85</v>
      </c>
      <c r="N40" s="262" t="s">
        <v>179</v>
      </c>
      <c r="O40" s="263">
        <v>37000</v>
      </c>
      <c r="P40" s="130">
        <f t="shared" si="1"/>
        <v>39</v>
      </c>
      <c r="Q40" s="257"/>
      <c r="R40" s="123">
        <f t="shared" si="0"/>
        <v>0</v>
      </c>
    </row>
    <row r="41" spans="1:18" s="121" customFormat="1" ht="18.75" x14ac:dyDescent="0.3">
      <c r="A41" s="117">
        <v>34</v>
      </c>
      <c r="B41" s="118" t="s">
        <v>174</v>
      </c>
      <c r="C41" s="117" t="s">
        <v>80</v>
      </c>
      <c r="D41" s="119">
        <v>25000</v>
      </c>
      <c r="E41" s="120"/>
      <c r="F41" s="120"/>
      <c r="G41" s="120"/>
      <c r="H41" s="120"/>
      <c r="I41" s="120"/>
      <c r="J41" s="120"/>
      <c r="K41" s="120"/>
      <c r="L41" s="259">
        <v>40</v>
      </c>
      <c r="M41" s="261" t="s">
        <v>86</v>
      </c>
      <c r="N41" s="262" t="s">
        <v>180</v>
      </c>
      <c r="O41" s="263">
        <v>42000</v>
      </c>
      <c r="P41" s="130">
        <f t="shared" si="1"/>
        <v>40</v>
      </c>
      <c r="Q41" s="257"/>
      <c r="R41" s="123">
        <f t="shared" si="0"/>
        <v>0</v>
      </c>
    </row>
    <row r="42" spans="1:18" s="121" customFormat="1" ht="18.75" x14ac:dyDescent="0.3">
      <c r="A42" s="117">
        <v>35</v>
      </c>
      <c r="B42" s="118" t="s">
        <v>175</v>
      </c>
      <c r="C42" s="117" t="s">
        <v>81</v>
      </c>
      <c r="D42" s="119">
        <v>26000</v>
      </c>
      <c r="E42" s="120"/>
      <c r="F42" s="120"/>
      <c r="G42" s="120"/>
      <c r="H42" s="120"/>
      <c r="I42" s="120"/>
      <c r="J42" s="120"/>
      <c r="K42" s="120"/>
      <c r="L42" s="259">
        <v>41</v>
      </c>
      <c r="M42" s="261" t="s">
        <v>87</v>
      </c>
      <c r="N42" s="262" t="s">
        <v>181</v>
      </c>
      <c r="O42" s="263">
        <v>45000</v>
      </c>
      <c r="P42" s="130">
        <f t="shared" si="1"/>
        <v>41</v>
      </c>
      <c r="Q42" s="257"/>
      <c r="R42" s="123">
        <f t="shared" si="0"/>
        <v>0</v>
      </c>
    </row>
    <row r="43" spans="1:18" s="121" customFormat="1" ht="18.75" x14ac:dyDescent="0.3">
      <c r="A43" s="117">
        <v>36</v>
      </c>
      <c r="B43" s="118" t="s">
        <v>176</v>
      </c>
      <c r="C43" s="117" t="s">
        <v>82</v>
      </c>
      <c r="D43" s="119">
        <v>28000</v>
      </c>
      <c r="E43" s="120"/>
      <c r="F43" s="120"/>
      <c r="G43" s="120"/>
      <c r="H43" s="120"/>
      <c r="I43" s="120"/>
      <c r="J43" s="120"/>
      <c r="K43" s="120"/>
      <c r="L43" s="259">
        <v>42</v>
      </c>
      <c r="M43" s="261" t="s">
        <v>88</v>
      </c>
      <c r="N43" s="262" t="s">
        <v>226</v>
      </c>
      <c r="O43" s="263">
        <v>40000</v>
      </c>
      <c r="P43" s="130">
        <f t="shared" si="1"/>
        <v>42</v>
      </c>
      <c r="Q43" s="257"/>
      <c r="R43" s="123">
        <f t="shared" si="0"/>
        <v>0</v>
      </c>
    </row>
    <row r="44" spans="1:18" s="121" customFormat="1" ht="18.75" x14ac:dyDescent="0.3">
      <c r="A44" s="117">
        <v>37</v>
      </c>
      <c r="B44" s="118" t="s">
        <v>177</v>
      </c>
      <c r="C44" s="117" t="s">
        <v>83</v>
      </c>
      <c r="D44" s="119">
        <v>28000</v>
      </c>
      <c r="E44" s="120"/>
      <c r="F44" s="120"/>
      <c r="G44" s="120"/>
      <c r="H44" s="120"/>
      <c r="I44" s="120"/>
      <c r="J44" s="120"/>
      <c r="K44" s="120"/>
      <c r="L44" s="259" t="s">
        <v>161</v>
      </c>
      <c r="M44" s="261" t="s">
        <v>162</v>
      </c>
      <c r="N44" s="262" t="s">
        <v>271</v>
      </c>
      <c r="O44" s="263">
        <v>110000</v>
      </c>
      <c r="P44" s="130" t="str">
        <f t="shared" si="1"/>
        <v>G1</v>
      </c>
      <c r="Q44" s="257"/>
      <c r="R44" s="123">
        <f t="shared" si="0"/>
        <v>0</v>
      </c>
    </row>
    <row r="45" spans="1:18" s="121" customFormat="1" ht="18.75" x14ac:dyDescent="0.3">
      <c r="A45" s="117">
        <v>38</v>
      </c>
      <c r="B45" s="118" t="s">
        <v>178</v>
      </c>
      <c r="C45" s="117" t="s">
        <v>84</v>
      </c>
      <c r="D45" s="119">
        <v>26000</v>
      </c>
      <c r="E45" s="120"/>
      <c r="F45" s="120"/>
      <c r="G45" s="120"/>
      <c r="H45" s="120"/>
      <c r="I45" s="120"/>
      <c r="J45" s="120"/>
      <c r="K45" s="120"/>
      <c r="L45" s="261" t="s">
        <v>278</v>
      </c>
      <c r="M45" s="261" t="s">
        <v>283</v>
      </c>
      <c r="N45" s="262" t="s">
        <v>272</v>
      </c>
      <c r="O45" s="263">
        <v>122000</v>
      </c>
      <c r="P45" s="130" t="str">
        <f t="shared" si="1"/>
        <v>G2</v>
      </c>
      <c r="Q45" s="257"/>
      <c r="R45" s="123">
        <f t="shared" si="0"/>
        <v>0</v>
      </c>
    </row>
    <row r="46" spans="1:18" s="121" customFormat="1" ht="18.75" x14ac:dyDescent="0.3">
      <c r="A46" s="117">
        <v>39</v>
      </c>
      <c r="B46" s="118" t="s">
        <v>179</v>
      </c>
      <c r="C46" s="117" t="s">
        <v>85</v>
      </c>
      <c r="D46" s="119">
        <v>37000</v>
      </c>
      <c r="E46" s="120"/>
      <c r="F46" s="120"/>
      <c r="G46" s="120"/>
      <c r="H46" s="120"/>
      <c r="I46" s="120"/>
      <c r="J46" s="120"/>
      <c r="K46" s="120"/>
      <c r="L46" s="261" t="s">
        <v>279</v>
      </c>
      <c r="M46" s="261" t="s">
        <v>284</v>
      </c>
      <c r="N46" s="262" t="s">
        <v>273</v>
      </c>
      <c r="O46" s="263">
        <v>95000</v>
      </c>
      <c r="P46" s="130" t="str">
        <f t="shared" si="1"/>
        <v>G3</v>
      </c>
      <c r="Q46" s="257"/>
      <c r="R46" s="123">
        <f t="shared" si="0"/>
        <v>0</v>
      </c>
    </row>
    <row r="47" spans="1:18" s="121" customFormat="1" ht="18.75" x14ac:dyDescent="0.3">
      <c r="A47" s="117">
        <v>40</v>
      </c>
      <c r="B47" s="118" t="s">
        <v>180</v>
      </c>
      <c r="C47" s="117" t="s">
        <v>86</v>
      </c>
      <c r="D47" s="119">
        <v>42000</v>
      </c>
      <c r="E47" s="120"/>
      <c r="F47" s="120"/>
      <c r="G47" s="120"/>
      <c r="H47" s="120"/>
      <c r="I47" s="120"/>
      <c r="J47" s="120"/>
      <c r="K47" s="120"/>
      <c r="L47" s="261" t="s">
        <v>280</v>
      </c>
      <c r="M47" s="261" t="s">
        <v>285</v>
      </c>
      <c r="N47" s="262" t="s">
        <v>287</v>
      </c>
      <c r="O47" s="263">
        <v>116000</v>
      </c>
      <c r="P47" s="130" t="str">
        <f t="shared" si="1"/>
        <v>G4</v>
      </c>
      <c r="Q47" s="257"/>
      <c r="R47" s="123">
        <f t="shared" si="0"/>
        <v>0</v>
      </c>
    </row>
    <row r="48" spans="1:18" s="121" customFormat="1" ht="18.75" x14ac:dyDescent="0.3">
      <c r="A48" s="117">
        <v>41</v>
      </c>
      <c r="B48" s="118" t="s">
        <v>181</v>
      </c>
      <c r="C48" s="117" t="s">
        <v>87</v>
      </c>
      <c r="D48" s="119">
        <v>45000</v>
      </c>
      <c r="E48" s="120"/>
      <c r="F48" s="120"/>
      <c r="G48" s="120"/>
      <c r="H48" s="120"/>
      <c r="I48" s="120"/>
      <c r="J48" s="120"/>
      <c r="K48" s="120"/>
      <c r="L48" s="261" t="s">
        <v>281</v>
      </c>
      <c r="M48" s="261" t="s">
        <v>286</v>
      </c>
      <c r="N48" s="262" t="s">
        <v>274</v>
      </c>
      <c r="O48" s="263">
        <v>48000</v>
      </c>
      <c r="P48" s="130" t="str">
        <f t="shared" si="1"/>
        <v>G5</v>
      </c>
      <c r="Q48" s="257"/>
      <c r="R48" s="123">
        <f t="shared" si="0"/>
        <v>0</v>
      </c>
    </row>
    <row r="49" spans="1:18" s="121" customFormat="1" ht="18.75" x14ac:dyDescent="0.3">
      <c r="A49" s="117">
        <v>42</v>
      </c>
      <c r="B49" s="118" t="s">
        <v>226</v>
      </c>
      <c r="C49" s="117" t="s">
        <v>88</v>
      </c>
      <c r="D49" s="119">
        <v>40000</v>
      </c>
      <c r="E49" s="120"/>
      <c r="F49" s="120"/>
      <c r="G49" s="120"/>
      <c r="H49" s="120"/>
      <c r="I49" s="120"/>
      <c r="J49" s="120"/>
      <c r="K49" s="120"/>
      <c r="L49" s="261" t="s">
        <v>282</v>
      </c>
      <c r="M49" s="261" t="s">
        <v>288</v>
      </c>
      <c r="N49" s="262" t="s">
        <v>275</v>
      </c>
      <c r="O49" s="263">
        <v>43000</v>
      </c>
      <c r="P49" s="130" t="str">
        <f t="shared" si="1"/>
        <v>G6</v>
      </c>
      <c r="Q49" s="257"/>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8" activePane="bottomLeft" state="frozen"/>
      <selection activeCell="Q2" sqref="Q2"/>
      <selection pane="bottomLeft" activeCell="F3" sqref="F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72">
        <f ca="1">'Quốc Nhân'!N4+'La Cusina'!N4+TVP!M4+Gà!N4+Kitkool!N4-('Quốc Nhân'!K4+'La Cusina'!K4+TVP!J4+Gà!K4+Kitkool!K4-('Quốc Nhân'!A4+'La Cusina'!A4+TVP!A4+Gà!A4+Kitkool!A4))</f>
        <v>145559.99841249513</v>
      </c>
      <c r="B1" s="278" t="str">
        <f>"Tiền Hàng: "&amp;INT('Quốc Nhân'!K4+'La Cusina'!K4+TVP!J4+Gà!K4+Kitkool!K4)</f>
        <v>Tiền Hàng: 996689</v>
      </c>
      <c r="C1" s="277" t="str">
        <f ca="1">"Giá trị hàng Tồn: "&amp;INT('Quốc Nhân'!A4+'La Cusina'!A4+TVP!A4+Gà!A4+Kitkool!A4)</f>
        <v>Giá trị hàng Tồn: 65083</v>
      </c>
      <c r="D1" s="276" t="str">
        <f ca="1">"Giá trị Hàng xuất: "&amp;CHAR(10)&amp;INT('Quốc Nhân'!K4+'La Cusina'!K4+TVP!J4+Gà!K4+Kitkool!K4-('Quốc Nhân'!A4+'La Cusina'!A4+TVP!A4+Gà!A4+Kitkool!A4))</f>
        <v>Giá trị Hàng xuất: 
931606</v>
      </c>
      <c r="E1" s="279" t="str">
        <f ca="1">"Doanh Thu Tích Lũy: "&amp;INT('Quốc Nhân'!N4+'La Cusina'!N4+TVP!M4+Gà!N4+Kitkool!N4)</f>
        <v>Doanh Thu Tích Lũy: 1077166</v>
      </c>
      <c r="F1" s="274">
        <f>1845-825-340</f>
        <v>680</v>
      </c>
      <c r="G1" s="174">
        <f>-774-503+13</f>
        <v>-1264</v>
      </c>
      <c r="H1" s="175" t="s">
        <v>207</v>
      </c>
      <c r="I1" s="176">
        <v>-176</v>
      </c>
      <c r="J1" s="177" t="s">
        <v>208</v>
      </c>
      <c r="K1" s="193">
        <f>852+1435+230</f>
        <v>2517</v>
      </c>
      <c r="L1" s="193" t="s">
        <v>253</v>
      </c>
      <c r="M1" s="193"/>
      <c r="N1" s="193"/>
      <c r="O1" s="178"/>
      <c r="P1" s="178"/>
      <c r="Q1" s="178"/>
    </row>
    <row r="2" spans="1:55" s="179" customFormat="1" ht="20.25" customHeight="1" x14ac:dyDescent="0.25">
      <c r="A2" s="273"/>
      <c r="B2" s="278"/>
      <c r="C2" s="277"/>
      <c r="D2" s="276"/>
      <c r="E2" s="279"/>
      <c r="F2" s="275"/>
      <c r="G2" s="180">
        <v>825</v>
      </c>
      <c r="H2" s="181" t="s">
        <v>247</v>
      </c>
      <c r="I2" s="174">
        <v>-374</v>
      </c>
      <c r="J2" s="175" t="s">
        <v>227</v>
      </c>
      <c r="K2" s="233"/>
      <c r="L2" s="193"/>
      <c r="M2" s="193"/>
      <c r="N2" s="193"/>
    </row>
    <row r="3" spans="1:55" s="28" customFormat="1" ht="30" customHeight="1" x14ac:dyDescent="0.25">
      <c r="A3" s="19" t="s">
        <v>89</v>
      </c>
      <c r="B3" s="19" t="s">
        <v>16</v>
      </c>
      <c r="C3" s="19" t="s">
        <v>90</v>
      </c>
      <c r="D3" s="19" t="s">
        <v>100</v>
      </c>
      <c r="E3" s="39" t="s">
        <v>49</v>
      </c>
      <c r="F3" s="39" t="s">
        <v>295</v>
      </c>
      <c r="G3" s="19" t="s">
        <v>250</v>
      </c>
      <c r="H3" s="182" t="s">
        <v>228</v>
      </c>
      <c r="I3" s="183" t="s">
        <v>229</v>
      </c>
      <c r="J3" s="39" t="s">
        <v>102</v>
      </c>
      <c r="K3" s="39" t="s">
        <v>293</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26.75</v>
      </c>
      <c r="G4" s="40"/>
      <c r="H4" s="51">
        <f ca="1">SUBTOTAL(9,H5:H71)</f>
        <v>349269.98397409922</v>
      </c>
      <c r="I4" s="51">
        <f ca="1">K4-J4</f>
        <v>282769.98397409916</v>
      </c>
      <c r="J4" s="25">
        <f ca="1">SUBTOTAL(9,J5:J71)</f>
        <v>1562230.0160259008</v>
      </c>
      <c r="K4" s="25">
        <f ca="1">SUM(L4:BC4)</f>
        <v>1845000</v>
      </c>
      <c r="L4" s="55">
        <f ca="1">IFERROR(INDIRECT("'Thanh Toán ("&amp;L$3&amp;")'!$H"&amp;SUBTOTAL(3,INDIRECT("'Thanh Toán ("&amp;L$3&amp;")'!$H$8:$H$50"))+7-COUNTIF(INDIRECT("'Thanh Toán ("&amp;L$3&amp;")'!$H$8:$H$50"),""&amp;"*")),"")</f>
        <v>259000</v>
      </c>
      <c r="M4" s="55">
        <f t="shared" ref="M4:AN4" ca="1" si="0">IFERROR(INDIRECT("'Thanh Toán ("&amp;M$3&amp;")'!$H"&amp;SUBTOTAL(3,INDIRECT("'Thanh Toán ("&amp;M$3&amp;")'!$H$8:$H$50"))+7-COUNTIF(INDIRECT("'Thanh Toán ("&amp;M$3&amp;")'!$H$8:$H$50"),""&amp;"*")),"")</f>
        <v>46000</v>
      </c>
      <c r="N4" s="55">
        <f t="shared" ca="1" si="0"/>
        <v>460000</v>
      </c>
      <c r="O4" s="55">
        <f t="shared" ca="1" si="0"/>
        <v>200000</v>
      </c>
      <c r="P4" s="55">
        <f t="shared" ca="1" si="0"/>
        <v>55000</v>
      </c>
      <c r="Q4" s="55">
        <f t="shared" ca="1" si="0"/>
        <v>825000</v>
      </c>
      <c r="R4" s="55" t="str">
        <f t="shared" ca="1" si="0"/>
        <v/>
      </c>
      <c r="S4" s="55" t="str">
        <f t="shared" ca="1" si="0"/>
        <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271</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100.65356151711379</v>
      </c>
      <c r="H5" s="171">
        <f ca="1">(D5-G5*1000)*$F5</f>
        <v>0</v>
      </c>
      <c r="I5" s="192">
        <f>D5/(G5*1000)-1</f>
        <v>9.2857503917504802E-2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278</v>
      </c>
      <c r="B6" s="166" t="s">
        <v>272</v>
      </c>
      <c r="C6" s="165" t="s">
        <v>283</v>
      </c>
      <c r="D6" s="167">
        <f>VLOOKUP($C6,Sheet1!$C$2:$D$80,2,0)</f>
        <v>122000</v>
      </c>
      <c r="E6" s="168">
        <v>1.5</v>
      </c>
      <c r="F6" s="169">
        <f t="shared" ca="1" si="2"/>
        <v>0</v>
      </c>
      <c r="G6" s="170">
        <f>IFERROR(VLOOKUP($B6,Gà!C:J,8,0),IFERROR(VLOOKUP($B6,TVP!C:J,7,0),IFERROR(VLOOKUP($B6,Kitkool!C:J,8,0),IFERROR(VLOOKUP($B6,'La Cusina'!C:J,8,0),VLOOKUP($B6,'Quốc Nhân'!C:J,8,0)))))</f>
        <v>111.83729057457087</v>
      </c>
      <c r="H6" s="171">
        <f t="shared" ref="H6:H9" ca="1" si="3">(D6-G6*1000)*$F6</f>
        <v>0</v>
      </c>
      <c r="I6" s="192">
        <f t="shared" ref="I6:I9" si="4">D6/(G6*1000)-1</f>
        <v>9.0870490274018501E-2</v>
      </c>
      <c r="J6" s="171">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279</v>
      </c>
      <c r="B7" s="166" t="s">
        <v>273</v>
      </c>
      <c r="C7" s="165" t="s">
        <v>284</v>
      </c>
      <c r="D7" s="167">
        <f>VLOOKUP($C7,Sheet1!$C$2:$D$80,2,0)</f>
        <v>95000</v>
      </c>
      <c r="E7" s="168">
        <v>1</v>
      </c>
      <c r="F7" s="169">
        <f t="shared" ca="1" si="2"/>
        <v>0</v>
      </c>
      <c r="G7" s="170">
        <f>IFERROR(VLOOKUP($B7,Gà!C:J,8,0),IFERROR(VLOOKUP($B7,TVP!C:J,7,0),IFERROR(VLOOKUP($B7,Kitkool!C:J,8,0),IFERROR(VLOOKUP($B7,'La Cusina'!C:J,8,0),VLOOKUP($B7,'Quốc Nhân'!C:J,8,0)))))</f>
        <v>84.386319251721659</v>
      </c>
      <c r="H7" s="171">
        <f t="shared" ca="1" si="3"/>
        <v>0</v>
      </c>
      <c r="I7" s="192">
        <f t="shared" si="4"/>
        <v>0.12577489861381541</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280</v>
      </c>
      <c r="B8" s="166" t="s">
        <v>287</v>
      </c>
      <c r="C8" s="165" t="s">
        <v>285</v>
      </c>
      <c r="D8" s="167">
        <f>VLOOKUP($C8,Sheet1!$C$2:$D$80,2,0)</f>
        <v>116000</v>
      </c>
      <c r="E8" s="168">
        <v>1.2</v>
      </c>
      <c r="F8" s="169">
        <f t="shared" ca="1" si="2"/>
        <v>0</v>
      </c>
      <c r="G8" s="170">
        <f>IFERROR(VLOOKUP($B8,Gà!C:J,8,0),IFERROR(VLOOKUP($B8,TVP!C:J,7,0),IFERROR(VLOOKUP($B8,Kitkool!C:J,8,0),IFERROR(VLOOKUP($B8,'La Cusina'!C:J,8,0),VLOOKUP($B8,'Quốc Nhân'!C:J,8,0)))))</f>
        <v>104.72037208346181</v>
      </c>
      <c r="H8" s="171">
        <f t="shared" ca="1" si="3"/>
        <v>0</v>
      </c>
      <c r="I8" s="192">
        <f t="shared" si="4"/>
        <v>0.1077118777571604</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281</v>
      </c>
      <c r="B9" s="166" t="s">
        <v>274</v>
      </c>
      <c r="C9" s="165" t="s">
        <v>286</v>
      </c>
      <c r="D9" s="167">
        <f>VLOOKUP($C9,Sheet1!$C$2:$D$80,2,0)</f>
        <v>48000</v>
      </c>
      <c r="E9" s="168">
        <v>0.5</v>
      </c>
      <c r="F9" s="169">
        <f t="shared" ca="1" si="2"/>
        <v>0</v>
      </c>
      <c r="G9" s="170">
        <f>IFERROR(VLOOKUP($B9,Gà!C:J,8,0),IFERROR(VLOOKUP($B9,TVP!C:J,7,0),IFERROR(VLOOKUP($B9,Kitkool!C:J,8,0),IFERROR(VLOOKUP($B9,'La Cusina'!C:J,8,0),VLOOKUP($B9,'Quốc Nhân'!C:J,8,0)))))</f>
        <v>40.668105663480318</v>
      </c>
      <c r="H9" s="171">
        <f t="shared" ca="1" si="3"/>
        <v>0</v>
      </c>
      <c r="I9" s="192">
        <f t="shared" si="4"/>
        <v>0.18028610423090541</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282</v>
      </c>
      <c r="B10" s="166" t="s">
        <v>275</v>
      </c>
      <c r="C10" s="165" t="s">
        <v>288</v>
      </c>
      <c r="D10" s="167">
        <f>VLOOKUP($C10,Sheet1!$C$2:$D$80,2,0)</f>
        <v>43000</v>
      </c>
      <c r="E10" s="168">
        <v>0.5</v>
      </c>
      <c r="F10" s="169">
        <f t="shared" ref="F10" ca="1" si="6">SUM(L10:BR10)</f>
        <v>0</v>
      </c>
      <c r="G10" s="170">
        <f>IFERROR(VLOOKUP($B10,Gà!C:J,8,0),IFERROR(VLOOKUP($B10,TVP!C:J,7,0),IFERROR(VLOOKUP($B10,Kitkool!C:J,8,0),IFERROR(VLOOKUP($B10,'La Cusina'!C:J,8,0),VLOOKUP($B10,'Quốc Nhân'!C:J,8,0)))))</f>
        <v>34.567889813958267</v>
      </c>
      <c r="H10" s="171">
        <f t="shared" ref="H10" ca="1" si="7">(D10-G10*1000)*$F10</f>
        <v>0</v>
      </c>
      <c r="I10" s="192">
        <f t="shared" ref="I10" si="8">D10/(G10*1000)-1</f>
        <v>0.24392898240021887</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41.424417387364606</v>
      </c>
      <c r="H11" s="171">
        <f t="shared" ref="H11:H52" ca="1" si="10">(D11-G11*1000)*$F11</f>
        <v>0</v>
      </c>
      <c r="I11" s="192">
        <f t="shared" ref="I11:I52" si="11">D11/(G11*1000)-1</f>
        <v>0.15873687615558585</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277</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29.484376606023229</v>
      </c>
      <c r="H12" s="171">
        <f t="shared" ca="1" si="10"/>
        <v>0</v>
      </c>
      <c r="I12" s="192">
        <f t="shared" si="11"/>
        <v>0.35665069451828191</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276</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35.584592455545277</v>
      </c>
      <c r="H13" s="171">
        <f t="shared" ca="1" si="10"/>
        <v>0</v>
      </c>
      <c r="I13" s="192">
        <f t="shared" si="11"/>
        <v>0.18028610423090519</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305</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33.042835851577756</v>
      </c>
      <c r="H14" s="171">
        <f t="shared" ca="1" si="10"/>
        <v>0</v>
      </c>
      <c r="I14" s="192">
        <f t="shared" si="11"/>
        <v>0.36186858180489079</v>
      </c>
      <c r="J14" s="171">
        <f t="shared" ca="1" si="12"/>
        <v>0</v>
      </c>
      <c r="K14" s="113">
        <f ca="1">I4/J4</f>
        <v>0.18100406538944069</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1</v>
      </c>
      <c r="G15" s="170">
        <f>IFERROR(VLOOKUP($B15,Gà!C:J,8,0),IFERROR(VLOOKUP($B15,TVP!C:J,7,0),IFERROR(VLOOKUP($B15,Kitkool!C:J,8,0),IFERROR(VLOOKUP($B15,'La Cusina'!C:J,8,0),VLOOKUP($B15,'Quốc Nhân'!C:J,8,0)))))</f>
        <v>33.241816421959257</v>
      </c>
      <c r="H15" s="171">
        <f t="shared" ca="1" si="10"/>
        <v>4758.1835780407418</v>
      </c>
      <c r="I15" s="192">
        <f t="shared" si="11"/>
        <v>0.14313849513041421</v>
      </c>
      <c r="J15" s="171">
        <f t="shared" ca="1" si="12"/>
        <v>33241.816421959258</v>
      </c>
      <c r="K15" s="38"/>
      <c r="L15" s="2">
        <f ca="1">IFERROR(SUMIFS(INDIRECT("'Thanh Toán ("&amp;L$3&amp;")'!$F:$F"),INDIRECT("'Thanh Toán ("&amp;L$3&amp;")'!$D:$D"),'Tổng Đơn'!$B15),0)</f>
        <v>1</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0</v>
      </c>
      <c r="G16" s="170">
        <f>IFERROR(VLOOKUP($B16,Gà!C:J,8,0),IFERROR(VLOOKUP($B16,TVP!C:J,7,0),IFERROR(VLOOKUP($B16,Kitkool!C:J,8,0),IFERROR(VLOOKUP($B16,'La Cusina'!C:J,8,0),VLOOKUP($B16,'Quốc Nhân'!C:J,8,0)))))</f>
        <v>39.378767146013267</v>
      </c>
      <c r="H16" s="171">
        <f t="shared" ca="1" si="10"/>
        <v>0</v>
      </c>
      <c r="I16" s="192">
        <f t="shared" si="11"/>
        <v>6.6564624643209669E-2</v>
      </c>
      <c r="J16" s="171">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10</v>
      </c>
      <c r="G17" s="170">
        <f>IFERROR(VLOOKUP($B17,Gà!C:J,8,0),IFERROR(VLOOKUP($B17,TVP!C:J,7,0),IFERROR(VLOOKUP($B17,Kitkool!C:J,8,0),IFERROR(VLOOKUP($B17,'La Cusina'!C:J,8,0),VLOOKUP($B17,'Quốc Nhân'!C:J,8,0)))))</f>
        <v>32.730403861621419</v>
      </c>
      <c r="H17" s="171">
        <f t="shared" ca="1" si="10"/>
        <v>122695.96138378579</v>
      </c>
      <c r="I17" s="192">
        <f t="shared" si="11"/>
        <v>0.37486846145413733</v>
      </c>
      <c r="J17" s="171">
        <f t="shared" ca="1" si="12"/>
        <v>327304.03861621418</v>
      </c>
      <c r="K17" s="38"/>
      <c r="L17" s="2">
        <f ca="1">IFERROR(SUMIFS(INDIRECT("'Thanh Toán ("&amp;L$3&amp;")'!$F:$F"),INDIRECT("'Thanh Toán ("&amp;L$3&amp;")'!$D:$D"),'Tổng Đơn'!$B17),0)</f>
        <v>1</v>
      </c>
      <c r="M17" s="2">
        <f ca="1">IFERROR(SUMIFS(INDIRECT("'Thanh Toán ("&amp;M$3&amp;")'!$F:$F"),INDIRECT("'Thanh Toán ("&amp;M$3&amp;")'!$D:$D"),'Tổng Đơn'!$B17),0)</f>
        <v>0</v>
      </c>
      <c r="N17" s="2">
        <f ca="1">IFERROR(SUMIFS(INDIRECT("'Thanh Toán ("&amp;N$3&amp;")'!$F:$F"),INDIRECT("'Thanh Toán ("&amp;N$3&amp;")'!$D:$D"),'Tổng Đơn'!$B17),0)</f>
        <v>4</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5</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40.913004827026775</v>
      </c>
      <c r="H18" s="171">
        <f t="shared" ca="1" si="10"/>
        <v>0</v>
      </c>
      <c r="I18" s="192">
        <f t="shared" si="11"/>
        <v>9.9894769163310082E-2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40.913004827026775</v>
      </c>
      <c r="H19" s="171">
        <f t="shared" ca="1" si="10"/>
        <v>0</v>
      </c>
      <c r="I19" s="192">
        <f t="shared" si="11"/>
        <v>9.9894769163310082E-2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40.913004827026775</v>
      </c>
      <c r="H20" s="171">
        <f t="shared" ca="1" si="10"/>
        <v>0</v>
      </c>
      <c r="I20" s="192">
        <f t="shared" si="11"/>
        <v>9.9894769163310082E-2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40.913004827026775</v>
      </c>
      <c r="H21" s="171">
        <f t="shared" ca="1" si="10"/>
        <v>0</v>
      </c>
      <c r="I21" s="192">
        <f t="shared" si="11"/>
        <v>9.9894769163310082E-2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40.913004827026775</v>
      </c>
      <c r="H22" s="171">
        <f t="shared" ca="1" si="10"/>
        <v>0</v>
      </c>
      <c r="I22" s="192">
        <f t="shared" si="11"/>
        <v>9.9894769163310082E-2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10</v>
      </c>
      <c r="G23" s="170">
        <f>IFERROR(VLOOKUP($B23,Gà!C:J,8,0),IFERROR(VLOOKUP($B23,TVP!C:J,7,0),IFERROR(VLOOKUP($B23,Kitkool!C:J,8,0),IFERROR(VLOOKUP($B23,'La Cusina'!C:J,8,0),VLOOKUP($B23,'Quốc Nhân'!C:J,8,0)))))</f>
        <v>34.902090165553759</v>
      </c>
      <c r="H23" s="171">
        <f t="shared" ca="1" si="10"/>
        <v>50979.0983444624</v>
      </c>
      <c r="I23" s="192">
        <f t="shared" si="11"/>
        <v>0.14606316728496593</v>
      </c>
      <c r="J23" s="171">
        <f t="shared" ca="1" si="12"/>
        <v>349020.9016555376</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5</v>
      </c>
      <c r="P23" s="2">
        <f ca="1">IFERROR(SUMIFS(INDIRECT("'Thanh Toán ("&amp;P$3&amp;")'!$F:$F"),INDIRECT("'Thanh Toán ("&amp;P$3&amp;")'!$D:$D"),'Tổng Đơn'!$B23),0)</f>
        <v>0</v>
      </c>
      <c r="Q23" s="2">
        <f ca="1">IFERROR(SUMIFS(INDIRECT("'Thanh Toán ("&amp;Q$3&amp;")'!$F:$F"),INDIRECT("'Thanh Toán ("&amp;Q$3&amp;")'!$D:$D"),'Tổng Đơn'!$B23),0)</f>
        <v>5</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0</v>
      </c>
      <c r="G24" s="170">
        <f>IFERROR(VLOOKUP($B24,Gà!C:J,8,0),IFERROR(VLOOKUP($B24,TVP!C:J,7,0),IFERROR(VLOOKUP($B24,Kitkool!C:J,8,0),IFERROR(VLOOKUP($B24,'La Cusina'!C:J,8,0),VLOOKUP($B24,'Quốc Nhân'!C:J,8,0)))))</f>
        <v>30.795961910782726</v>
      </c>
      <c r="H24" s="171">
        <f t="shared" ca="1" si="10"/>
        <v>0</v>
      </c>
      <c r="I24" s="192">
        <f t="shared" si="11"/>
        <v>0.29887158958962812</v>
      </c>
      <c r="J24" s="171">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43.627612706942195</v>
      </c>
      <c r="H25" s="171">
        <f t="shared" ca="1" si="10"/>
        <v>0</v>
      </c>
      <c r="I25" s="192">
        <f t="shared" si="11"/>
        <v>0.26066948401346268</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1</v>
      </c>
      <c r="G26" s="170">
        <f>IFERROR(VLOOKUP($B26,Gà!C:J,8,0),IFERROR(VLOOKUP($B26,TVP!C:J,7,0),IFERROR(VLOOKUP($B26,Kitkool!C:J,8,0),IFERROR(VLOOKUP($B26,'La Cusina'!C:J,8,0),VLOOKUP($B26,'Quốc Nhân'!C:J,8,0)))))</f>
        <v>29.256163815243589</v>
      </c>
      <c r="H26" s="171">
        <f t="shared" ca="1" si="10"/>
        <v>5743.836184756412</v>
      </c>
      <c r="I26" s="192">
        <f t="shared" si="11"/>
        <v>0.19632909567465751</v>
      </c>
      <c r="J26" s="171">
        <f t="shared" ca="1" si="12"/>
        <v>29256.163815243588</v>
      </c>
      <c r="K26" s="38"/>
      <c r="L26" s="2">
        <f ca="1">IFERROR(SUMIFS(INDIRECT("'Thanh Toán ("&amp;L$3&amp;")'!$F:$F"),INDIRECT("'Thanh Toán ("&amp;L$3&amp;")'!$D:$D"),'Tổng Đơn'!$B26),0)</f>
        <v>1</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33.753228982297088</v>
      </c>
      <c r="H27" s="171">
        <f t="shared" ca="1" si="10"/>
        <v>0</v>
      </c>
      <c r="I27" s="192">
        <f t="shared" si="11"/>
        <v>0.18507180515912203</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1</v>
      </c>
      <c r="G28" s="170">
        <f>IFERROR(VLOOKUP($B28,Gà!C:J,8,0),IFERROR(VLOOKUP($B28,TVP!C:J,7,0),IFERROR(VLOOKUP($B28,Kitkool!C:J,8,0),IFERROR(VLOOKUP($B28,'La Cusina'!C:J,8,0),VLOOKUP($B28,'Quốc Nhân'!C:J,8,0)))))</f>
        <v>40.913004827026775</v>
      </c>
      <c r="H28" s="171">
        <f t="shared" ca="1" si="10"/>
        <v>9086.9951729732275</v>
      </c>
      <c r="I28" s="192">
        <f t="shared" si="11"/>
        <v>0.22210529907034449</v>
      </c>
      <c r="J28" s="171">
        <f t="shared" ca="1" si="12"/>
        <v>40913.004827026773</v>
      </c>
      <c r="K28" s="38"/>
      <c r="L28" s="2">
        <f ca="1">IFERROR(SUMIFS(INDIRECT("'Thanh Toán ("&amp;L$3&amp;")'!$F:$F"),INDIRECT("'Thanh Toán ("&amp;L$3&amp;")'!$D:$D"),'Tổng Đơn'!$B28),0)</f>
        <v>1</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1</v>
      </c>
      <c r="G29" s="170">
        <f>IFERROR(VLOOKUP($B29,Gà!C:J,8,0),IFERROR(VLOOKUP($B29,TVP!C:J,7,0),IFERROR(VLOOKUP($B29,Kitkool!C:J,8,0),IFERROR(VLOOKUP($B29,'La Cusina'!C:J,8,0),VLOOKUP($B29,'Quốc Nhân'!C:J,8,0)))))</f>
        <v>31.822493974475481</v>
      </c>
      <c r="H29" s="171">
        <f t="shared" ca="1" si="10"/>
        <v>8177.5060255245189</v>
      </c>
      <c r="I29" s="192">
        <f t="shared" si="11"/>
        <v>0.25697250605447897</v>
      </c>
      <c r="J29" s="171">
        <f t="shared" ca="1" si="12"/>
        <v>31822.493974475481</v>
      </c>
      <c r="K29" s="38"/>
      <c r="L29" s="2">
        <f ca="1">IFERROR(SUMIFS(INDIRECT("'Thanh Toán ("&amp;L$3&amp;")'!$F:$F"),INDIRECT("'Thanh Toán ("&amp;L$3&amp;")'!$D:$D"),'Tổng Đơn'!$B29),0)</f>
        <v>1</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0.5</v>
      </c>
      <c r="G30" s="170">
        <f>IFERROR(VLOOKUP($B30,Gà!C:J,8,0),IFERROR(VLOOKUP($B30,TVP!C:J,7,0),IFERROR(VLOOKUP($B30,Kitkool!C:J,8,0),IFERROR(VLOOKUP($B30,'La Cusina'!C:J,8,0),VLOOKUP($B30,'Quốc Nhân'!C:J,8,0)))))</f>
        <v>98.75</v>
      </c>
      <c r="H30" s="171">
        <f t="shared" ca="1" si="10"/>
        <v>3125</v>
      </c>
      <c r="I30" s="192">
        <f t="shared" si="11"/>
        <v>6.3291139240506222E-2</v>
      </c>
      <c r="J30" s="171">
        <f t="shared" ca="1" si="12"/>
        <v>49375</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0.5</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0</v>
      </c>
      <c r="G31" s="170">
        <f>IFERROR(VLOOKUP($B31,Gà!C:J,8,0),IFERROR(VLOOKUP($B31,TVP!C:J,7,0),IFERROR(VLOOKUP($B31,Kitkool!C:J,8,0),IFERROR(VLOOKUP($B31,'La Cusina'!C:J,8,0),VLOOKUP($B31,'Quốc Nhân'!C:J,8,0)))))</f>
        <v>39.378767146013267</v>
      </c>
      <c r="H31" s="171">
        <f t="shared" ca="1" si="10"/>
        <v>0</v>
      </c>
      <c r="I31" s="192">
        <f t="shared" si="11"/>
        <v>6.6564624643209669E-2</v>
      </c>
      <c r="J31" s="171">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27.818151637323794</v>
      </c>
      <c r="H32" s="171">
        <f t="shared" ca="1" si="10"/>
        <v>0</v>
      </c>
      <c r="I32" s="192">
        <f t="shared" si="11"/>
        <v>0.25817129967183994</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254</v>
      </c>
      <c r="C33" s="165" t="s">
        <v>69</v>
      </c>
      <c r="D33" s="167">
        <f>VLOOKUP($C33,Sheet1!$C$8:$D$80,2,0)</f>
        <v>35000</v>
      </c>
      <c r="E33" s="168">
        <v>0.2</v>
      </c>
      <c r="F33" s="169">
        <f t="shared" ca="1" si="2"/>
        <v>0</v>
      </c>
      <c r="G33" s="170">
        <f>IFERROR(VLOOKUP($B33,Gà!C:J,8,0),IFERROR(VLOOKUP($B33,TVP!C:J,7,0),IFERROR(VLOOKUP($B33,Kitkool!C:J,8,0),IFERROR(VLOOKUP($B33,'La Cusina'!C:J,8,0),VLOOKUP($B33,'Quốc Nhân'!C:J,8,0)))))</f>
        <v>31.309227942629104</v>
      </c>
      <c r="H33" s="171">
        <f t="shared" ca="1" si="10"/>
        <v>0</v>
      </c>
      <c r="I33" s="192">
        <f t="shared" si="11"/>
        <v>0.11788128612222093</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268</v>
      </c>
      <c r="C34" s="172" t="s">
        <v>70</v>
      </c>
      <c r="D34" s="167">
        <f>VLOOKUP($C34,Sheet1!$C$8:$D$80,2,0)</f>
        <v>65000</v>
      </c>
      <c r="E34" s="168">
        <v>0.5</v>
      </c>
      <c r="F34" s="169">
        <f t="shared" ca="1" si="2"/>
        <v>0</v>
      </c>
      <c r="G34" s="170">
        <f>IFERROR(VLOOKUP($B34,Gà!C:J,8,0),IFERROR(VLOOKUP($B34,TVP!C:J,7,0),IFERROR(VLOOKUP($B34,Kitkool!C:J,8,0),IFERROR(VLOOKUP($B34,'La Cusina'!C:J,8,0),VLOOKUP($B34,'Quốc Nhân'!C:J,8,0)))))</f>
        <v>58.968753212046458</v>
      </c>
      <c r="H34" s="171">
        <f t="shared" ca="1" si="10"/>
        <v>0</v>
      </c>
      <c r="I34" s="192">
        <f t="shared" si="11"/>
        <v>0.10227868929610406</v>
      </c>
      <c r="J34" s="171">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0</v>
      </c>
      <c r="G35" s="170">
        <f>IFERROR(VLOOKUP($B35,Gà!C:J,8,0),IFERROR(VLOOKUP($B35,TVP!C:J,7,0),IFERROR(VLOOKUP($B35,Kitkool!C:J,8,0),IFERROR(VLOOKUP($B35,'La Cusina'!C:J,8,0),VLOOKUP($B35,'Quốc Nhân'!C:J,8,0)))))</f>
        <v>74.423574617724924</v>
      </c>
      <c r="H35" s="171">
        <f t="shared" ca="1" si="10"/>
        <v>0</v>
      </c>
      <c r="I35" s="192">
        <f t="shared" si="11"/>
        <v>7.4928212074174994E-2</v>
      </c>
      <c r="J35" s="171">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40.034750484017543</v>
      </c>
      <c r="H36" s="171">
        <f t="shared" ca="1" si="10"/>
        <v>0</v>
      </c>
      <c r="I36" s="192">
        <f t="shared" si="11"/>
        <v>9.9045191191223791E-2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30.282695878936348</v>
      </c>
      <c r="H37" s="171">
        <f t="shared" ca="1" si="10"/>
        <v>0</v>
      </c>
      <c r="I37" s="192">
        <f t="shared" si="11"/>
        <v>0.15577556700771988</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32.335760006321863</v>
      </c>
      <c r="H38" s="171">
        <f t="shared" ca="1" si="10"/>
        <v>0</v>
      </c>
      <c r="I38" s="192">
        <f t="shared" si="11"/>
        <v>0.17516953343823483</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0</v>
      </c>
      <c r="G39" s="170">
        <f>IFERROR(VLOOKUP($B39,Gà!C:J,8,0),IFERROR(VLOOKUP($B39,TVP!C:J,7,0),IFERROR(VLOOKUP($B39,Kitkool!C:J,8,0),IFERROR(VLOOKUP($B39,'La Cusina'!C:J,8,0),VLOOKUP($B39,'Quốc Nhân'!C:J,8,0)))))</f>
        <v>61.369507240540159</v>
      </c>
      <c r="H39" s="171">
        <f t="shared" ca="1" si="10"/>
        <v>0</v>
      </c>
      <c r="I39" s="192">
        <f t="shared" si="11"/>
        <v>0.14063161246565481</v>
      </c>
      <c r="J39" s="171">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45.004305309729453</v>
      </c>
      <c r="H40" s="171">
        <f t="shared" ca="1" si="10"/>
        <v>0</v>
      </c>
      <c r="I40" s="192">
        <f t="shared" si="11"/>
        <v>0.19988520272361088</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0</v>
      </c>
      <c r="G41" s="170">
        <f>IFERROR(VLOOKUP($B41,Gà!C:J,8,0),IFERROR(VLOOKUP($B41,TVP!C:J,7,0),IFERROR(VLOOKUP($B41,Kitkool!C:J,8,0),IFERROR(VLOOKUP($B41,'La Cusina'!C:J,8,0),VLOOKUP($B41,'Quốc Nhân'!C:J,8,0)))))</f>
        <v>44.65414477063495</v>
      </c>
      <c r="H41" s="171">
        <f t="shared" ca="1" si="10"/>
        <v>0</v>
      </c>
      <c r="I41" s="192">
        <f t="shared" si="11"/>
        <v>5.2533874322629792E-2</v>
      </c>
      <c r="J41" s="171">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44.65414477063495</v>
      </c>
      <c r="H42" s="171">
        <f t="shared" ca="1" si="10"/>
        <v>0</v>
      </c>
      <c r="I42" s="192">
        <f t="shared" si="11"/>
        <v>0.11971688757726562</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0</v>
      </c>
      <c r="G43" s="170">
        <f>IFERROR(VLOOKUP($B43,Gà!C:J,8,0),IFERROR(VLOOKUP($B43,TVP!C:J,7,0),IFERROR(VLOOKUP($B43,Kitkool!C:J,8,0),IFERROR(VLOOKUP($B43,'La Cusina'!C:J,8,0),VLOOKUP($B43,'Quốc Nhân'!C:J,8,0)))))</f>
        <v>13.296726568783701</v>
      </c>
      <c r="H43" s="171">
        <f t="shared" ca="1" si="10"/>
        <v>0</v>
      </c>
      <c r="I43" s="192">
        <f t="shared" si="11"/>
        <v>0.35371663897022776</v>
      </c>
      <c r="J43" s="171">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18</v>
      </c>
      <c r="G44" s="170">
        <f>IFERROR(VLOOKUP($B44,Gà!C:J,8,0),IFERROR(VLOOKUP($B44,TVP!C:J,7,0),IFERROR(VLOOKUP($B44,Kitkool!C:J,8,0),IFERROR(VLOOKUP($B44,'La Cusina'!C:J,8,0),VLOOKUP($B44,'Quốc Nhân'!C:J,8,0)))))</f>
        <v>19.439123171555408</v>
      </c>
      <c r="H44" s="171">
        <f t="shared" ca="1" si="10"/>
        <v>100095.78291200263</v>
      </c>
      <c r="I44" s="192">
        <f t="shared" si="11"/>
        <v>0.28606623762648042</v>
      </c>
      <c r="J44" s="171">
        <f t="shared" ca="1" si="12"/>
        <v>349904.21708799736</v>
      </c>
      <c r="K44" s="38"/>
      <c r="L44" s="2">
        <f ca="1">IFERROR(SUMIFS(INDIRECT("'Thanh Toán ("&amp;L$3&amp;")'!$F:$F"),INDIRECT("'Thanh Toán ("&amp;L$3&amp;")'!$D:$D"),'Tổng Đơn'!$B44),0)</f>
        <v>1</v>
      </c>
      <c r="M44" s="2">
        <f ca="1">IFERROR(SUMIFS(INDIRECT("'Thanh Toán ("&amp;M$3&amp;")'!$F:$F"),INDIRECT("'Thanh Toán ("&amp;M$3&amp;")'!$D:$D"),'Tổng Đơn'!$B44),0)</f>
        <v>2</v>
      </c>
      <c r="N44" s="2">
        <f ca="1">IFERROR(SUMIFS(INDIRECT("'Thanh Toán ("&amp;N$3&amp;")'!$F:$F"),INDIRECT("'Thanh Toán ("&amp;N$3&amp;")'!$D:$D"),'Tổng Đơn'!$B44),0)</f>
        <v>5</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10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26000</v>
      </c>
      <c r="E45" s="168">
        <v>0.5</v>
      </c>
      <c r="F45" s="169">
        <f t="shared" ca="1" si="13"/>
        <v>0</v>
      </c>
      <c r="G45" s="170">
        <f>IFERROR(VLOOKUP($B45,Gà!C:J,8,0),IFERROR(VLOOKUP($B45,TVP!C:J,7,0),IFERROR(VLOOKUP($B45,Kitkool!C:J,8,0),IFERROR(VLOOKUP($B45,'La Cusina'!C:J,8,0),VLOOKUP($B45,'Quốc Nhân'!C:J,8,0)))))</f>
        <v>21.485346663298085</v>
      </c>
      <c r="H45" s="171">
        <f t="shared" ca="1" si="10"/>
        <v>0</v>
      </c>
      <c r="I45" s="192">
        <f t="shared" si="11"/>
        <v>0.21012708835710714</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0</v>
      </c>
      <c r="G46" s="170">
        <f>IFERROR(VLOOKUP($B46,Gà!C:J,8,0),IFERROR(VLOOKUP($B46,TVP!C:J,7,0),IFERROR(VLOOKUP($B46,Kitkool!C:J,8,0),IFERROR(VLOOKUP($B46,'La Cusina'!C:J,8,0),VLOOKUP($B46,'Quốc Nhân'!C:J,8,0)))))</f>
        <v>21.485346663298085</v>
      </c>
      <c r="H46" s="171">
        <f t="shared" ca="1" si="10"/>
        <v>0</v>
      </c>
      <c r="I46" s="192">
        <f t="shared" si="11"/>
        <v>0.30321378746149996</v>
      </c>
      <c r="J46" s="171">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0</v>
      </c>
      <c r="G47" s="170">
        <f>IFERROR(VLOOKUP($B47,Gà!C:J,8,0),IFERROR(VLOOKUP($B47,TVP!C:J,7,0),IFERROR(VLOOKUP($B47,Kitkool!C:J,8,0),IFERROR(VLOOKUP($B47,'La Cusina'!C:J,8,0),VLOOKUP($B47,'Quốc Nhân'!C:J,8,0)))))</f>
        <v>20.462234917426745</v>
      </c>
      <c r="H47" s="171">
        <f t="shared" ca="1" si="10"/>
        <v>0</v>
      </c>
      <c r="I47" s="192">
        <f t="shared" si="11"/>
        <v>0.36837447683457536</v>
      </c>
      <c r="J47" s="171">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1</v>
      </c>
      <c r="G48" s="170">
        <f>IFERROR(VLOOKUP($B48,Gà!C:J,8,0),IFERROR(VLOOKUP($B48,TVP!C:J,7,0),IFERROR(VLOOKUP($B48,Kitkool!C:J,8,0),IFERROR(VLOOKUP($B48,'La Cusina'!C:J,8,0),VLOOKUP($B48,'Quốc Nhân'!C:J,8,0)))))</f>
        <v>20.927285711004625</v>
      </c>
      <c r="H48" s="171">
        <f t="shared" ca="1" si="10"/>
        <v>5072.7142889953757</v>
      </c>
      <c r="I48" s="192">
        <f t="shared" si="11"/>
        <v>0.24239714404663038</v>
      </c>
      <c r="J48" s="171">
        <f t="shared" ca="1" si="12"/>
        <v>20927.285711004624</v>
      </c>
      <c r="K48" s="38"/>
      <c r="L48" s="2">
        <f ca="1">IFERROR(SUMIFS(INDIRECT("'Thanh Toán ("&amp;L$3&amp;")'!$F:$F"),INDIRECT("'Thanh Toán ("&amp;L$3&amp;")'!$D:$D"),'Tổng Đơn'!$B48),0)</f>
        <v>1</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10</v>
      </c>
      <c r="G49" s="170">
        <f>IFERROR(VLOOKUP($B49,Gà!C:J,8,0),IFERROR(VLOOKUP($B49,TVP!C:J,7,0),IFERROR(VLOOKUP($B49,Kitkool!C:J,8,0),IFERROR(VLOOKUP($B49,'La Cusina'!C:J,8,0),VLOOKUP($B49,'Quốc Nhân'!C:J,8,0)))))</f>
        <v>33.046509391644193</v>
      </c>
      <c r="H49" s="171">
        <f t="shared" ca="1" si="10"/>
        <v>39534.906083558089</v>
      </c>
      <c r="I49" s="192">
        <f t="shared" si="11"/>
        <v>0.11963413628658315</v>
      </c>
      <c r="J49" s="171">
        <f t="shared" ca="1" si="12"/>
        <v>330465.0939164419</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5</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5</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0</v>
      </c>
      <c r="G50" s="170">
        <f>IFERROR(VLOOKUP($B50,Gà!C:J,8,0),IFERROR(VLOOKUP($B50,TVP!C:J,7,0),IFERROR(VLOOKUP($B50,Kitkool!C:J,8,0),IFERROR(VLOOKUP($B50,'La Cusina'!C:J,8,0),VLOOKUP($B50,'Quốc Nhân'!C:J,8,0)))))</f>
        <v>34.87880951834105</v>
      </c>
      <c r="H50" s="171">
        <f t="shared" ca="1" si="10"/>
        <v>0</v>
      </c>
      <c r="I50" s="192">
        <f t="shared" si="11"/>
        <v>0.20416953961442608</v>
      </c>
      <c r="J50" s="171">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0</v>
      </c>
      <c r="G51" s="170">
        <f>IFERROR(VLOOKUP($B51,Gà!C:J,8,0),IFERROR(VLOOKUP($B51,TVP!C:J,7,0),IFERROR(VLOOKUP($B51,Kitkool!C:J,8,0),IFERROR(VLOOKUP($B51,'La Cusina'!C:J,8,0),VLOOKUP($B51,'Quốc Nhân'!C:J,8,0)))))</f>
        <v>37.855134597239477</v>
      </c>
      <c r="H51" s="171">
        <f t="shared" ca="1" si="10"/>
        <v>0</v>
      </c>
      <c r="I51" s="192">
        <f t="shared" si="11"/>
        <v>0.18874230613042253</v>
      </c>
      <c r="J51" s="171">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34.776054102972758</v>
      </c>
      <c r="H52" s="171">
        <f t="shared" ca="1" si="10"/>
        <v>0</v>
      </c>
      <c r="I52" s="192">
        <f t="shared" si="11"/>
        <v>0.15021675206620633</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119"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30"/>
  <sheetViews>
    <sheetView tabSelected="1" topLeftCell="G1" zoomScale="90" zoomScaleNormal="90" workbookViewId="0">
      <selection activeCell="I6" sqref="I6:I17"/>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SUBTOTAL(9,B5:B183)</f>
        <v>7964</v>
      </c>
      <c r="C1" s="36"/>
      <c r="D1" s="155">
        <f>SUBTOTAL(9,D2:D183)</f>
        <v>50825</v>
      </c>
      <c r="G1" s="79" t="s">
        <v>121</v>
      </c>
      <c r="H1" s="129">
        <f>60000+6217+H4+H5</f>
        <v>126867</v>
      </c>
      <c r="I1" s="80">
        <f>H1-H2-H3</f>
        <v>-920647</v>
      </c>
      <c r="J1" s="87" t="s">
        <v>119</v>
      </c>
      <c r="K1" s="280" t="s">
        <v>258</v>
      </c>
      <c r="L1" s="281"/>
      <c r="M1" s="221" t="s">
        <v>257</v>
      </c>
      <c r="N1" s="222">
        <v>50000</v>
      </c>
    </row>
    <row r="2" spans="1:18" ht="30.75" customHeight="1" x14ac:dyDescent="0.25">
      <c r="E2" s="93"/>
      <c r="G2" s="90" t="s">
        <v>118</v>
      </c>
      <c r="H2" s="81">
        <f>D1</f>
        <v>50825</v>
      </c>
      <c r="I2" s="82">
        <v>-5288</v>
      </c>
      <c r="J2" s="82" t="s">
        <v>122</v>
      </c>
      <c r="K2" s="280">
        <v>235000</v>
      </c>
      <c r="L2" s="281"/>
      <c r="M2" s="221" t="s">
        <v>256</v>
      </c>
      <c r="N2" s="222">
        <v>80000</v>
      </c>
    </row>
    <row r="3" spans="1:18" ht="30.75" customHeight="1" x14ac:dyDescent="0.25">
      <c r="G3" s="83" t="s">
        <v>120</v>
      </c>
      <c r="H3" s="95">
        <f>INT('Quốc Nhân'!K4+'La Cusina'!K4+TVP!J4+Gà!K4+Kitkool!K4)</f>
        <v>996689</v>
      </c>
      <c r="I3" s="84">
        <f>I1+I2</f>
        <v>-925935</v>
      </c>
      <c r="J3" s="88" t="s">
        <v>117</v>
      </c>
      <c r="M3" s="221" t="s">
        <v>259</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931606</v>
      </c>
      <c r="J4" s="89" t="s">
        <v>126</v>
      </c>
      <c r="M4" s="221" t="s">
        <v>260</v>
      </c>
      <c r="N4" s="222">
        <v>10000</v>
      </c>
    </row>
    <row r="5" spans="1:18" ht="30.75" customHeight="1" x14ac:dyDescent="0.25">
      <c r="A5" s="110" t="s">
        <v>171</v>
      </c>
      <c r="B5">
        <v>200</v>
      </c>
      <c r="G5" s="85" t="s">
        <v>262</v>
      </c>
      <c r="H5" s="125">
        <f>7400+5000+2400+10000+5000-2000-1000-1000-150</f>
        <v>25650</v>
      </c>
      <c r="I5" s="91">
        <f ca="1">I4+I3</f>
        <v>5671</v>
      </c>
      <c r="J5" s="92" t="s">
        <v>127</v>
      </c>
      <c r="M5" s="223" t="s">
        <v>261</v>
      </c>
      <c r="N5" s="224">
        <v>81600</v>
      </c>
    </row>
    <row r="6" spans="1:18" x14ac:dyDescent="0.25">
      <c r="A6" s="110" t="s">
        <v>172</v>
      </c>
      <c r="B6">
        <f>1162+1204+1064</f>
        <v>3430</v>
      </c>
      <c r="C6" t="s">
        <v>105</v>
      </c>
      <c r="D6">
        <v>400</v>
      </c>
      <c r="E6" t="s">
        <v>106</v>
      </c>
      <c r="H6" s="128"/>
      <c r="I6" s="93">
        <v>1000</v>
      </c>
      <c r="J6" s="93" t="s">
        <v>292</v>
      </c>
      <c r="K6" s="93"/>
      <c r="L6" s="93"/>
      <c r="M6" s="212"/>
      <c r="N6" s="14"/>
      <c r="O6" s="14"/>
      <c r="P6" s="14"/>
      <c r="Q6" s="14"/>
      <c r="R6" s="14"/>
    </row>
    <row r="7" spans="1:18" x14ac:dyDescent="0.25">
      <c r="A7" s="110" t="s">
        <v>173</v>
      </c>
      <c r="B7">
        <v>1000</v>
      </c>
      <c r="C7" t="s">
        <v>107</v>
      </c>
      <c r="D7">
        <v>1000</v>
      </c>
      <c r="E7" t="s">
        <v>106</v>
      </c>
      <c r="H7" s="93"/>
      <c r="I7" s="254">
        <f>0+200+100+50</f>
        <v>350</v>
      </c>
      <c r="J7" s="237"/>
      <c r="K7" s="93"/>
      <c r="L7" s="93"/>
      <c r="M7" s="14"/>
      <c r="N7" s="14"/>
      <c r="O7" s="14"/>
      <c r="P7" s="14"/>
      <c r="Q7" s="14"/>
      <c r="R7" s="14"/>
    </row>
    <row r="8" spans="1:18" x14ac:dyDescent="0.25">
      <c r="A8" t="s">
        <v>189</v>
      </c>
      <c r="B8">
        <v>250</v>
      </c>
      <c r="C8" t="s">
        <v>108</v>
      </c>
      <c r="D8">
        <v>80</v>
      </c>
      <c r="E8" t="s">
        <v>106</v>
      </c>
      <c r="H8" s="93"/>
      <c r="I8" s="93">
        <f>830</f>
        <v>830</v>
      </c>
      <c r="J8" s="93"/>
      <c r="M8" s="14"/>
      <c r="N8" s="14"/>
      <c r="O8" s="14"/>
      <c r="P8" s="14"/>
      <c r="Q8" s="14"/>
      <c r="R8" s="14"/>
    </row>
    <row r="9" spans="1:18" x14ac:dyDescent="0.25">
      <c r="A9" t="s">
        <v>191</v>
      </c>
      <c r="B9">
        <v>400</v>
      </c>
      <c r="C9" t="s">
        <v>109</v>
      </c>
      <c r="D9">
        <v>145</v>
      </c>
      <c r="E9" t="s">
        <v>110</v>
      </c>
      <c r="H9" s="93"/>
      <c r="I9" s="93">
        <v>335</v>
      </c>
      <c r="J9" s="93"/>
      <c r="N9" s="14"/>
    </row>
    <row r="10" spans="1:18" x14ac:dyDescent="0.25">
      <c r="A10" t="s">
        <v>183</v>
      </c>
      <c r="B10">
        <v>300</v>
      </c>
      <c r="C10" t="s">
        <v>111</v>
      </c>
      <c r="D10">
        <v>800</v>
      </c>
      <c r="E10" t="s">
        <v>110</v>
      </c>
      <c r="H10" s="215"/>
      <c r="I10" s="93">
        <f>186+22</f>
        <v>208</v>
      </c>
      <c r="J10" s="93"/>
      <c r="N10" s="14"/>
    </row>
    <row r="11" spans="1:18" x14ac:dyDescent="0.25">
      <c r="A11" t="s">
        <v>184</v>
      </c>
      <c r="B11">
        <f>45+56</f>
        <v>101</v>
      </c>
      <c r="C11" t="s">
        <v>112</v>
      </c>
      <c r="D11">
        <v>1500</v>
      </c>
      <c r="E11" t="s">
        <v>110</v>
      </c>
      <c r="H11" s="215"/>
      <c r="I11" s="93">
        <f>91+11</f>
        <v>102</v>
      </c>
      <c r="J11" s="93"/>
      <c r="N11" s="14"/>
    </row>
    <row r="12" spans="1:18" x14ac:dyDescent="0.25">
      <c r="A12" t="s">
        <v>185</v>
      </c>
      <c r="B12">
        <v>119</v>
      </c>
      <c r="C12" t="s">
        <v>123</v>
      </c>
      <c r="D12">
        <v>160</v>
      </c>
      <c r="E12" t="s">
        <v>110</v>
      </c>
      <c r="I12" s="93">
        <f>2287+230</f>
        <v>2517</v>
      </c>
      <c r="J12" s="93" t="s">
        <v>253</v>
      </c>
      <c r="N12" s="14"/>
    </row>
    <row r="13" spans="1:18" x14ac:dyDescent="0.25">
      <c r="A13" t="s">
        <v>187</v>
      </c>
      <c r="B13">
        <v>140</v>
      </c>
      <c r="C13" t="s">
        <v>135</v>
      </c>
      <c r="D13">
        <v>42</v>
      </c>
      <c r="E13" t="s">
        <v>110</v>
      </c>
      <c r="H13" s="93"/>
      <c r="I13" s="93">
        <f>1000</f>
        <v>1000</v>
      </c>
      <c r="J13" s="93" t="s">
        <v>253</v>
      </c>
      <c r="K13" s="93"/>
      <c r="L13" s="93"/>
    </row>
    <row r="14" spans="1:18" x14ac:dyDescent="0.25">
      <c r="A14" t="s">
        <v>188</v>
      </c>
      <c r="B14">
        <v>40</v>
      </c>
      <c r="C14" s="110" t="s">
        <v>140</v>
      </c>
      <c r="D14" s="110">
        <v>7500</v>
      </c>
      <c r="E14" s="110" t="s">
        <v>110</v>
      </c>
      <c r="H14" s="93"/>
      <c r="I14" s="93"/>
    </row>
    <row r="15" spans="1:18" x14ac:dyDescent="0.25">
      <c r="A15" t="s">
        <v>192</v>
      </c>
      <c r="B15">
        <v>65</v>
      </c>
      <c r="C15" t="s">
        <v>141</v>
      </c>
      <c r="D15">
        <v>160</v>
      </c>
      <c r="E15" t="s">
        <v>110</v>
      </c>
      <c r="H15" s="93"/>
      <c r="I15" s="93">
        <v>100</v>
      </c>
      <c r="J15" s="93" t="s">
        <v>294</v>
      </c>
    </row>
    <row r="16" spans="1:18" x14ac:dyDescent="0.25">
      <c r="A16" s="158" t="s">
        <v>193</v>
      </c>
      <c r="B16">
        <v>70</v>
      </c>
      <c r="C16" t="s">
        <v>145</v>
      </c>
      <c r="D16">
        <v>50</v>
      </c>
      <c r="E16" t="s">
        <v>110</v>
      </c>
      <c r="I16" s="93">
        <f>45*4</f>
        <v>180</v>
      </c>
      <c r="J16" s="93" t="s">
        <v>304</v>
      </c>
    </row>
    <row r="17" spans="1:10" x14ac:dyDescent="0.25">
      <c r="A17" s="158"/>
      <c r="I17" s="93">
        <v>-1000</v>
      </c>
      <c r="J17" s="93"/>
    </row>
    <row r="18" spans="1:10" x14ac:dyDescent="0.25">
      <c r="A18" t="s">
        <v>194</v>
      </c>
      <c r="B18">
        <v>59</v>
      </c>
      <c r="C18" t="s">
        <v>135</v>
      </c>
      <c r="D18">
        <f>45+65+130+25+60+25+78+84+65+25+43+43+44+88+45+45+46+44+90+37+88</f>
        <v>1215</v>
      </c>
      <c r="E18" t="s">
        <v>110</v>
      </c>
      <c r="I18" s="93"/>
      <c r="J18" s="93"/>
    </row>
    <row r="19" spans="1:10" x14ac:dyDescent="0.25">
      <c r="A19" t="s">
        <v>195</v>
      </c>
      <c r="B19">
        <v>920</v>
      </c>
      <c r="C19" s="110" t="s">
        <v>160</v>
      </c>
      <c r="D19" s="110">
        <v>15300</v>
      </c>
      <c r="E19" t="s">
        <v>156</v>
      </c>
      <c r="I19" s="93"/>
      <c r="J19" s="93"/>
    </row>
    <row r="20" spans="1:10" x14ac:dyDescent="0.25">
      <c r="A20" t="s">
        <v>196</v>
      </c>
      <c r="B20">
        <v>120</v>
      </c>
      <c r="C20" t="s">
        <v>163</v>
      </c>
      <c r="D20">
        <v>50</v>
      </c>
      <c r="E20" t="s">
        <v>110</v>
      </c>
      <c r="I20" s="93"/>
      <c r="J20" s="93"/>
    </row>
    <row r="21" spans="1:10" x14ac:dyDescent="0.25">
      <c r="A21" t="s">
        <v>197</v>
      </c>
      <c r="B21">
        <v>69</v>
      </c>
      <c r="C21" s="110" t="s">
        <v>160</v>
      </c>
      <c r="D21">
        <v>15000</v>
      </c>
      <c r="J21" s="93"/>
    </row>
    <row r="22" spans="1:10" x14ac:dyDescent="0.25">
      <c r="A22" t="s">
        <v>198</v>
      </c>
      <c r="B22">
        <v>110</v>
      </c>
      <c r="C22" t="s">
        <v>237</v>
      </c>
      <c r="D22">
        <f>85+100</f>
        <v>185</v>
      </c>
    </row>
    <row r="23" spans="1:10" x14ac:dyDescent="0.25">
      <c r="A23" t="s">
        <v>199</v>
      </c>
      <c r="B23">
        <v>69</v>
      </c>
      <c r="C23" s="110" t="s">
        <v>247</v>
      </c>
      <c r="D23">
        <f>'Tổng Đơn'!G2</f>
        <v>825</v>
      </c>
    </row>
    <row r="24" spans="1:10" x14ac:dyDescent="0.25">
      <c r="A24" t="s">
        <v>200</v>
      </c>
      <c r="B24">
        <v>54</v>
      </c>
      <c r="C24" s="219" t="s">
        <v>252</v>
      </c>
      <c r="D24">
        <v>1200</v>
      </c>
    </row>
    <row r="25" spans="1:10" x14ac:dyDescent="0.25">
      <c r="A25" t="s">
        <v>201</v>
      </c>
      <c r="B25">
        <v>65</v>
      </c>
      <c r="C25" s="219" t="s">
        <v>255</v>
      </c>
      <c r="D25">
        <v>5213</v>
      </c>
    </row>
    <row r="26" spans="1:10" x14ac:dyDescent="0.25">
      <c r="A26" t="s">
        <v>202</v>
      </c>
      <c r="B26">
        <f>54+66</f>
        <v>120</v>
      </c>
    </row>
    <row r="27" spans="1:10" x14ac:dyDescent="0.25">
      <c r="A27" t="s">
        <v>204</v>
      </c>
      <c r="B27">
        <v>65</v>
      </c>
    </row>
    <row r="28" spans="1:10" x14ac:dyDescent="0.25">
      <c r="A28" t="s">
        <v>205</v>
      </c>
      <c r="B28">
        <v>66</v>
      </c>
    </row>
    <row r="29" spans="1:10" x14ac:dyDescent="0.25">
      <c r="A29" t="s">
        <v>203</v>
      </c>
      <c r="B29">
        <v>66</v>
      </c>
    </row>
    <row r="30" spans="1:10" x14ac:dyDescent="0.25">
      <c r="A30" t="s">
        <v>206</v>
      </c>
      <c r="B30">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c r="E6" s="148"/>
      <c r="F6" s="148"/>
      <c r="G6" s="282" t="str">
        <f ca="1">"Ngày "&amp;DAY(TODAY())&amp;" Tháng "&amp;MONTH(TODAY())&amp;" Năm "&amp;YEAR(TODAY())</f>
        <v>Ngày 9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73">
      <formula>$C22=MAX($C$8:$C$37)</formula>
    </cfRule>
  </conditionalFormatting>
  <conditionalFormatting sqref="C23:C37">
    <cfRule type="expression" dxfId="117" priority="72">
      <formula>$C22=MAX($C$8:$C$37)</formula>
    </cfRule>
  </conditionalFormatting>
  <conditionalFormatting sqref="E23:E38">
    <cfRule type="expression" dxfId="116" priority="74">
      <formula>AND($A23="",$F23&lt;&gt;"")</formula>
    </cfRule>
  </conditionalFormatting>
  <conditionalFormatting sqref="F23:F38">
    <cfRule type="expression" dxfId="115" priority="75">
      <formula>AND($F23="",$A23&lt;&gt;"")</formula>
    </cfRule>
  </conditionalFormatting>
  <conditionalFormatting sqref="D20:H22">
    <cfRule type="expression" dxfId="114" priority="21">
      <formula>$C19=MAX($C$8:$C$37)</formula>
    </cfRule>
  </conditionalFormatting>
  <conditionalFormatting sqref="C20:C22">
    <cfRule type="expression" dxfId="113" priority="20">
      <formula>$C19=MAX($C$8:$C$37)</formula>
    </cfRule>
  </conditionalFormatting>
  <conditionalFormatting sqref="E20:E22">
    <cfRule type="expression" dxfId="112" priority="22">
      <formula>AND($A20="",$F20&lt;&gt;"")</formula>
    </cfRule>
  </conditionalFormatting>
  <conditionalFormatting sqref="F20:F22">
    <cfRule type="expression" dxfId="111" priority="23">
      <formula>AND($F20="",$A20&lt;&gt;"")</formula>
    </cfRule>
  </conditionalFormatting>
  <conditionalFormatting sqref="D9:H19">
    <cfRule type="expression" dxfId="110" priority="17">
      <formula>$C8=MAX($C$8:$C$37)</formula>
    </cfRule>
  </conditionalFormatting>
  <conditionalFormatting sqref="C9:C19">
    <cfRule type="expression" dxfId="109" priority="16">
      <formula>$C8=MAX($C$8:$C$37)</formula>
    </cfRule>
  </conditionalFormatting>
  <conditionalFormatting sqref="E9:E19">
    <cfRule type="expression" dxfId="108" priority="18">
      <formula>AND($A9="",$F9&lt;&gt;"")</formula>
    </cfRule>
  </conditionalFormatting>
  <conditionalFormatting sqref="F9:F19">
    <cfRule type="expression" dxfId="107" priority="1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312</v>
      </c>
      <c r="E6" s="148"/>
      <c r="F6" s="148"/>
      <c r="G6" s="282" t="str">
        <f ca="1">"Ngày "&amp;DAY(TODAY())&amp;" Tháng "&amp;MONTH(TODAY())&amp;" Năm "&amp;YEAR(TODAY())</f>
        <v>Ngày 9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12.5</v>
      </c>
      <c r="L7" s="143"/>
    </row>
    <row r="8" spans="1:14" s="29" customFormat="1" ht="14.25" customHeight="1" x14ac:dyDescent="0.25">
      <c r="A8" s="153">
        <v>7</v>
      </c>
      <c r="B8" s="153">
        <v>5</v>
      </c>
      <c r="C8" s="30">
        <f t="shared" ref="C8:C37" si="0">IF(OR(SUM($C7,$A8&lt;&gt;"")=0,$A8=""),"",SUM($C7,$A8&lt;&gt;""))</f>
        <v>1</v>
      </c>
      <c r="D8" s="150" t="str">
        <f>IFERROR(VLOOKUP($A8,Sheet1!$A$1:$B$80,2,0),"")</f>
        <v>Hải sản sốt cam LC</v>
      </c>
      <c r="E8" s="30">
        <f>IFERROR(VLOOKUP($A8,'Tổng Đơn'!$A$5:$E$52,5,0),"")</f>
        <v>0.5</v>
      </c>
      <c r="F8" s="30">
        <f t="shared" ref="F8:F37" si="1">IF($B8="","",B8)</f>
        <v>5</v>
      </c>
      <c r="G8" s="160">
        <f>IFERROR(VLOOKUP($A8,Sheet1!$A1:$D$80,4,0),"")</f>
        <v>45000</v>
      </c>
      <c r="H8" s="151">
        <f>IF($C7=MAX($C$8:$C$56),SUM($H7:$H$8),IFERROR($G8*$F8,""))</f>
        <v>225000</v>
      </c>
      <c r="I8" s="54">
        <f t="shared" ref="I8:I37" si="2">IF(TYPE($A8)&lt;&gt;1,"",IFERROR(F8*E8,""))</f>
        <v>2.5</v>
      </c>
      <c r="L8" s="32"/>
    </row>
    <row r="9" spans="1:14" s="29" customFormat="1" ht="14.25" customHeight="1" x14ac:dyDescent="0.25">
      <c r="A9" s="153">
        <v>13</v>
      </c>
      <c r="B9" s="153">
        <v>5</v>
      </c>
      <c r="C9" s="30">
        <f t="shared" si="0"/>
        <v>2</v>
      </c>
      <c r="D9" s="159" t="str">
        <f>IFERROR(VLOOKUP($A9,Sheet1!$A$1:$B$80,2,0),"")</f>
        <v>Phô mai que (13 que)</v>
      </c>
      <c r="E9" s="30">
        <f>IFERROR(VLOOKUP($A9,'Tổng Đơn'!$A$5:$E$52,5,0),"")</f>
        <v>0.5</v>
      </c>
      <c r="F9" s="30">
        <f t="shared" si="1"/>
        <v>5</v>
      </c>
      <c r="G9" s="160">
        <f>IF(AND($C9="",$C8&lt;&gt;""),"Tổng Cộng",IFERROR(VLOOKUP($A9,Sheet1!$A$1:$D$80,4,0),""))</f>
        <v>40000</v>
      </c>
      <c r="H9" s="151">
        <f>IF($C8=MAX($C$8:$C$56),SUM($H$8:$H8),IFERROR($G9*$F9,""))</f>
        <v>200000</v>
      </c>
      <c r="I9" s="54">
        <f t="shared" si="2"/>
        <v>2.5</v>
      </c>
      <c r="L9" s="31"/>
    </row>
    <row r="10" spans="1:14" s="29" customFormat="1" ht="14.25" customHeight="1" x14ac:dyDescent="0.25">
      <c r="A10" s="153">
        <v>34</v>
      </c>
      <c r="B10" s="153">
        <v>10</v>
      </c>
      <c r="C10" s="30">
        <f t="shared" si="0"/>
        <v>3</v>
      </c>
      <c r="D10" s="159" t="str">
        <f>IFERROR(VLOOKUP($A10,Sheet1!$A$1:$B$80,2,0),"")</f>
        <v>Cá viên KK</v>
      </c>
      <c r="E10" s="30">
        <f>IFERROR(VLOOKUP($A10,'Tổng Đơn'!$A$5:$E$52,5,0),"")</f>
        <v>0.5</v>
      </c>
      <c r="F10" s="30">
        <f t="shared" si="1"/>
        <v>10</v>
      </c>
      <c r="G10" s="160">
        <f>IF(AND($C10="",$C9&lt;&gt;""),"Tổng Cộng",IFERROR(VLOOKUP($A10,Sheet1!$A$1:$D$80,4,0),""))</f>
        <v>25000</v>
      </c>
      <c r="H10" s="151">
        <f>IF($C9=MAX($C$8:$C$56),SUM($H$8:$H9),IFERROR($G10*$F10,""))</f>
        <v>250000</v>
      </c>
      <c r="I10" s="54">
        <f t="shared" si="2"/>
        <v>5</v>
      </c>
      <c r="L10" s="31"/>
    </row>
    <row r="11" spans="1:14" s="29" customFormat="1" ht="14.25" customHeight="1" x14ac:dyDescent="0.25">
      <c r="A11" s="153">
        <v>39</v>
      </c>
      <c r="B11" s="153">
        <v>5</v>
      </c>
      <c r="C11" s="30">
        <f t="shared" si="0"/>
        <v>4</v>
      </c>
      <c r="D11" s="159" t="str">
        <f>IFERROR(VLOOKUP($A11,Sheet1!$A$1:$B$80,2,0),"")</f>
        <v>XX Đức KK</v>
      </c>
      <c r="E11" s="30">
        <f>IFERROR(VLOOKUP($A11,'Tổng Đơn'!$A$5:$E$52,5,0),"")</f>
        <v>0.5</v>
      </c>
      <c r="F11" s="30">
        <f t="shared" si="1"/>
        <v>5</v>
      </c>
      <c r="G11" s="160">
        <f>IF(AND($C11="",$C10&lt;&gt;""),"Tổng Cộng",IFERROR(VLOOKUP($A11,Sheet1!$A$1:$D$80,4,0),""))</f>
        <v>37000</v>
      </c>
      <c r="H11" s="151">
        <f>IF($C10=MAX($C$8:$C$56),SUM($H$8:$H10),IFERROR($G11*$F11,""))</f>
        <v>185000</v>
      </c>
      <c r="I11" s="54">
        <f t="shared" si="2"/>
        <v>2.5</v>
      </c>
      <c r="L11" s="31"/>
    </row>
    <row r="12" spans="1:14" s="29" customFormat="1" ht="14.25" customHeight="1" x14ac:dyDescent="0.25">
      <c r="A12" s="153">
        <v>1</v>
      </c>
      <c r="B12" s="153">
        <v>1</v>
      </c>
      <c r="C12" s="30">
        <f t="shared" si="0"/>
        <v>5</v>
      </c>
      <c r="D12" s="159" t="s">
        <v>307</v>
      </c>
      <c r="E12" s="30" t="s">
        <v>235</v>
      </c>
      <c r="F12" s="30" t="s">
        <v>235</v>
      </c>
      <c r="G12" s="160" t="s">
        <v>235</v>
      </c>
      <c r="H12" s="151">
        <f>-10*2000-5*3000</f>
        <v>-35000</v>
      </c>
      <c r="I12" s="54" t="str">
        <f t="shared" si="2"/>
        <v/>
      </c>
      <c r="J12" s="126"/>
      <c r="L12" s="31"/>
      <c r="M12" s="133"/>
      <c r="N12" s="127"/>
    </row>
    <row r="13" spans="1:14" s="29" customFormat="1" ht="14.25" customHeight="1" x14ac:dyDescent="0.25">
      <c r="A13" s="153" t="s">
        <v>306</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825000</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23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308</v>
      </c>
      <c r="E6" s="148"/>
      <c r="F6" s="148"/>
      <c r="G6" s="282" t="str">
        <f ca="1">"Ngày "&amp;DAY(TODAY())&amp;" Tháng "&amp;MONTH(TODAY())&amp;" Năm "&amp;YEAR(TODAY())</f>
        <v>Ngày 9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0.25</v>
      </c>
      <c r="L7" s="143"/>
    </row>
    <row r="8" spans="1:14" s="29" customFormat="1" ht="14.25" customHeight="1" x14ac:dyDescent="0.25">
      <c r="A8" s="153">
        <v>20</v>
      </c>
      <c r="B8" s="153">
        <v>0.5</v>
      </c>
      <c r="C8" s="30">
        <f t="shared" ref="C8:C37" si="0">IF(OR(SUM($C7,$A8&lt;&gt;"")=0,$A8=""),"",SUM($C7,$A8&lt;&gt;""))</f>
        <v>1</v>
      </c>
      <c r="D8" s="150" t="str">
        <f>IFERROR(VLOOKUP($A8,Sheet1!$A$1:$B$80,2,0),"")</f>
        <v>0-Bò cuộn Excel Canada</v>
      </c>
      <c r="E8" s="30">
        <f>IFERROR(VLOOKUP($A8,'Tổng Đơn'!$A$5:$E$52,5,0),"")</f>
        <v>0.5</v>
      </c>
      <c r="F8" s="30">
        <f t="shared" ref="F8:F37" si="1">IF($B8="","",B8)</f>
        <v>0.5</v>
      </c>
      <c r="G8" s="160">
        <f>IFERROR(VLOOKUP($A8,Sheet1!$A1:$D$80,4,0),"")</f>
        <v>105000</v>
      </c>
      <c r="H8" s="151">
        <f>IF($C7=MAX($C$8:$C$56),SUM($H7:$H$8),IFERROR($G8*$F8,""))</f>
        <v>52500</v>
      </c>
      <c r="I8" s="54">
        <f t="shared" ref="I8:I37" si="2">IF(TYPE($A8)&lt;&gt;1,"",IFERROR(F8*E8,""))</f>
        <v>0.25</v>
      </c>
      <c r="L8" s="32"/>
    </row>
    <row r="9" spans="1:14" s="29" customFormat="1" ht="14.25" customHeight="1" x14ac:dyDescent="0.25">
      <c r="A9" s="153">
        <v>1</v>
      </c>
      <c r="B9" s="153">
        <v>1</v>
      </c>
      <c r="C9" s="30">
        <f t="shared" si="0"/>
        <v>2</v>
      </c>
      <c r="D9" s="159" t="s">
        <v>307</v>
      </c>
      <c r="E9" s="30" t="s">
        <v>235</v>
      </c>
      <c r="F9" s="30" t="s">
        <v>235</v>
      </c>
      <c r="G9" s="160" t="s">
        <v>235</v>
      </c>
      <c r="H9" s="151">
        <v>2500</v>
      </c>
      <c r="I9" s="54" t="str">
        <f t="shared" si="2"/>
        <v/>
      </c>
      <c r="L9" s="31"/>
    </row>
    <row r="10" spans="1:14" s="29" customFormat="1" ht="14.25" customHeight="1" x14ac:dyDescent="0.25">
      <c r="A10" s="153" t="s">
        <v>306</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55000</v>
      </c>
      <c r="I10" s="54" t="str">
        <f t="shared" si="2"/>
        <v/>
      </c>
      <c r="L10" s="31"/>
    </row>
    <row r="11" spans="1:14" s="29" customFormat="1" ht="14.25" customHeight="1" x14ac:dyDescent="0.25">
      <c r="A11" s="153" t="s">
        <v>306</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306</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306</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13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311</v>
      </c>
      <c r="E6" s="148"/>
      <c r="F6" s="148"/>
      <c r="G6" s="282" t="str">
        <f ca="1">"Ngày "&amp;DAY(TODAY())&amp;" Tháng "&amp;MONTH(TODAY())&amp;" Năm "&amp;YEAR(TODAY())</f>
        <v>Ngày 9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13</v>
      </c>
      <c r="B8" s="153">
        <v>5</v>
      </c>
      <c r="C8" s="30">
        <f t="shared" ref="C8:C37" si="0">IF(OR(SUM($C7,$A8&lt;&gt;"")=0,$A8=""),"",SUM($C7,$A8&lt;&gt;""))</f>
        <v>1</v>
      </c>
      <c r="D8" s="150" t="str">
        <f>IFERROR(VLOOKUP($A8,Sheet1!$A$1:$B$80,2,0),"")</f>
        <v>Phô mai que (13 que)</v>
      </c>
      <c r="E8" s="30">
        <f>IFERROR(VLOOKUP($A8,'Tổng Đơn'!$A$5:$E$52,5,0),"")</f>
        <v>0.5</v>
      </c>
      <c r="F8" s="30">
        <f t="shared" ref="F8:F37" si="1">IF($B8="","",B8)</f>
        <v>5</v>
      </c>
      <c r="G8" s="160">
        <f>IFERROR(VLOOKUP($A8,Sheet1!$A1:$D$80,4,0),"")</f>
        <v>40000</v>
      </c>
      <c r="H8" s="151">
        <f>IF($C7=MAX($C$8:$C$56),SUM($H7:$H$8),IFERROR($G8*$F8,""))</f>
        <v>200000</v>
      </c>
      <c r="I8" s="54">
        <f t="shared" ref="I8:I37" si="2">IF(TYPE($A8)&lt;&gt;1,"",IFERROR(F8*E8,""))</f>
        <v>2.5</v>
      </c>
      <c r="L8" s="32"/>
    </row>
    <row r="9" spans="1:14" s="29" customFormat="1" ht="14.25" customHeight="1" x14ac:dyDescent="0.25">
      <c r="A9" s="153" t="s">
        <v>306</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200000</v>
      </c>
      <c r="I9" s="54" t="str">
        <f t="shared" si="2"/>
        <v/>
      </c>
      <c r="L9" s="31"/>
    </row>
    <row r="10" spans="1:14" s="29" customFormat="1" ht="14.25" customHeight="1" x14ac:dyDescent="0.25">
      <c r="A10" s="153" t="s">
        <v>306</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306</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306</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306</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02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310</v>
      </c>
      <c r="E6" s="148"/>
      <c r="F6" s="148"/>
      <c r="G6" s="282" t="str">
        <f ca="1">"Ngày "&amp;DAY(TODAY())&amp;" Tháng "&amp;MONTH(TODAY())&amp;" Năm "&amp;YEAR(TODAY())</f>
        <v>Ngày 9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7</v>
      </c>
      <c r="L7" s="143"/>
    </row>
    <row r="8" spans="1:14" s="29" customFormat="1" ht="14.25" customHeight="1" x14ac:dyDescent="0.25">
      <c r="A8" s="153">
        <v>7</v>
      </c>
      <c r="B8" s="153">
        <v>4</v>
      </c>
      <c r="C8" s="30">
        <f t="shared" ref="C8:C37" si="0">IF(OR(SUM($C7,$A8&lt;&gt;"")=0,$A8=""),"",SUM($C7,$A8&lt;&gt;""))</f>
        <v>1</v>
      </c>
      <c r="D8" s="150" t="str">
        <f>IFERROR(VLOOKUP($A8,Sheet1!$A$1:$B$80,2,0),"")</f>
        <v>Hải sản sốt cam LC</v>
      </c>
      <c r="E8" s="30">
        <f>IFERROR(VLOOKUP($A8,'Tổng Đơn'!$A$5:$E$52,5,0),"")</f>
        <v>0.5</v>
      </c>
      <c r="F8" s="30">
        <f t="shared" ref="F8:F37" si="1">IF($B8="","",B8)</f>
        <v>4</v>
      </c>
      <c r="G8" s="160">
        <f>IFERROR(VLOOKUP($A8,Sheet1!$A1:$D$80,4,0),"")</f>
        <v>45000</v>
      </c>
      <c r="H8" s="151">
        <f>IF($C7=MAX($C$8:$C$56),SUM($H7:$H$8),IFERROR($G8*$F8,""))</f>
        <v>180000</v>
      </c>
      <c r="I8" s="54">
        <f t="shared" ref="I8:I37" si="2">IF(TYPE($A8)&lt;&gt;1,"",IFERROR(F8*E8,""))</f>
        <v>2</v>
      </c>
      <c r="L8" s="32"/>
    </row>
    <row r="9" spans="1:14" s="29" customFormat="1" ht="14.25" customHeight="1" x14ac:dyDescent="0.25">
      <c r="A9" s="153">
        <v>34</v>
      </c>
      <c r="B9" s="153">
        <v>5</v>
      </c>
      <c r="C9" s="30">
        <f t="shared" si="0"/>
        <v>2</v>
      </c>
      <c r="D9" s="159" t="str">
        <f>IFERROR(VLOOKUP($A9,Sheet1!$A$1:$B$80,2,0),"")</f>
        <v>Cá viên KK</v>
      </c>
      <c r="E9" s="30">
        <f>IFERROR(VLOOKUP($A9,'Tổng Đơn'!$A$5:$E$52,5,0),"")</f>
        <v>0.5</v>
      </c>
      <c r="F9" s="30">
        <f t="shared" si="1"/>
        <v>5</v>
      </c>
      <c r="G9" s="160">
        <f>IF(AND($C9="",$C8&lt;&gt;""),"Tổng Cộng",IFERROR(VLOOKUP($A9,Sheet1!$A$1:$D$80,4,0),""))</f>
        <v>25000</v>
      </c>
      <c r="H9" s="151">
        <f>IF($C8=MAX($C$8:$C$56),SUM($H$8:$H8),IFERROR($G9*$F9,""))</f>
        <v>125000</v>
      </c>
      <c r="I9" s="54">
        <f t="shared" si="2"/>
        <v>2.5</v>
      </c>
      <c r="L9" s="31"/>
    </row>
    <row r="10" spans="1:14" s="29" customFormat="1" ht="14.25" customHeight="1" x14ac:dyDescent="0.25">
      <c r="A10" s="153">
        <v>39</v>
      </c>
      <c r="B10" s="153">
        <v>5</v>
      </c>
      <c r="C10" s="30">
        <f t="shared" si="0"/>
        <v>3</v>
      </c>
      <c r="D10" s="159" t="str">
        <f>IFERROR(VLOOKUP($A10,Sheet1!$A$1:$B$80,2,0),"")</f>
        <v>XX Đức KK</v>
      </c>
      <c r="E10" s="30">
        <f>IFERROR(VLOOKUP($A10,'Tổng Đơn'!$A$5:$E$52,5,0),"")</f>
        <v>0.5</v>
      </c>
      <c r="F10" s="30">
        <f t="shared" si="1"/>
        <v>5</v>
      </c>
      <c r="G10" s="160">
        <f>IF(AND($C10="",$C9&lt;&gt;""),"Tổng Cộng",IFERROR(VLOOKUP($A10,Sheet1!$A$1:$D$80,4,0),""))</f>
        <v>37000</v>
      </c>
      <c r="H10" s="151">
        <f>IF($C9=MAX($C$8:$C$56),SUM($H$8:$H9),IFERROR($G10*$F10,""))</f>
        <v>185000</v>
      </c>
      <c r="I10" s="54">
        <f t="shared" si="2"/>
        <v>2.5</v>
      </c>
      <c r="L10" s="31"/>
    </row>
    <row r="11" spans="1:14" s="29" customFormat="1" ht="14.25" customHeight="1" x14ac:dyDescent="0.25">
      <c r="A11" s="153">
        <v>1</v>
      </c>
      <c r="B11" s="153">
        <v>1</v>
      </c>
      <c r="C11" s="30">
        <f t="shared" si="0"/>
        <v>4</v>
      </c>
      <c r="D11" s="159" t="s">
        <v>307</v>
      </c>
      <c r="E11" s="30" t="s">
        <v>235</v>
      </c>
      <c r="F11" s="30" t="s">
        <v>235</v>
      </c>
      <c r="G11" s="160" t="s">
        <v>235</v>
      </c>
      <c r="H11" s="151">
        <f>-5*2000-4*5000</f>
        <v>-30000</v>
      </c>
      <c r="I11" s="54" t="str">
        <f t="shared" si="2"/>
        <v/>
      </c>
      <c r="L11" s="31"/>
    </row>
    <row r="12" spans="1:14" s="29" customFormat="1" ht="14.25" customHeight="1" x14ac:dyDescent="0.25">
      <c r="A12" s="153" t="s">
        <v>306</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460000</v>
      </c>
      <c r="I12" s="54" t="str">
        <f t="shared" si="2"/>
        <v/>
      </c>
      <c r="J12" s="126"/>
      <c r="L12" s="31"/>
      <c r="M12" s="133"/>
      <c r="N12" s="127"/>
    </row>
    <row r="13" spans="1:14" s="29" customFormat="1" ht="14.25" customHeight="1" x14ac:dyDescent="0.25">
      <c r="A13" s="153" t="s">
        <v>306</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92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309</v>
      </c>
      <c r="E6" s="148"/>
      <c r="F6" s="148"/>
      <c r="G6" s="282" t="str">
        <f ca="1">"Ngày "&amp;DAY(TODAY())&amp;" Tháng "&amp;MONTH(TODAY())&amp;" Năm "&amp;YEAR(TODAY())</f>
        <v>Ngày 9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1</v>
      </c>
      <c r="B9" s="153">
        <v>1</v>
      </c>
      <c r="C9" s="30">
        <f t="shared" si="0"/>
        <v>2</v>
      </c>
      <c r="D9" s="159" t="s">
        <v>307</v>
      </c>
      <c r="E9" s="30" t="s">
        <v>235</v>
      </c>
      <c r="F9" s="30" t="s">
        <v>235</v>
      </c>
      <c r="G9" s="160" t="s">
        <v>235</v>
      </c>
      <c r="H9" s="151">
        <v>-4000</v>
      </c>
      <c r="I9" s="54" t="str">
        <f t="shared" si="2"/>
        <v/>
      </c>
      <c r="L9" s="31"/>
    </row>
    <row r="10" spans="1:14" s="29" customFormat="1" ht="14.25" customHeight="1" x14ac:dyDescent="0.25">
      <c r="A10" s="153" t="s">
        <v>306</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46000</v>
      </c>
      <c r="I10" s="54" t="str">
        <f t="shared" si="2"/>
        <v/>
      </c>
      <c r="L10" s="31"/>
    </row>
    <row r="11" spans="1:14" s="29" customFormat="1" ht="14.25" customHeight="1" x14ac:dyDescent="0.25">
      <c r="A11" s="153" t="s">
        <v>306</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306</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306</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82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C6" sqref="C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294</v>
      </c>
      <c r="E6" s="148"/>
      <c r="F6" s="148"/>
      <c r="G6" s="282" t="str">
        <f ca="1">"Ngày "&amp;DAY(TODAY())&amp;" Tháng "&amp;MONTH(TODAY())&amp;" Năm "&amp;YEAR(TODAY())</f>
        <v>Ngày 9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3.5</v>
      </c>
      <c r="L7" s="143"/>
    </row>
    <row r="8" spans="1:14" s="29" customFormat="1" ht="14.25" customHeight="1" x14ac:dyDescent="0.25">
      <c r="A8" s="153">
        <v>5</v>
      </c>
      <c r="B8" s="153">
        <v>1</v>
      </c>
      <c r="C8" s="30">
        <f t="shared" ref="C8:C37" si="0">IF(OR(SUM($C7,$A8&lt;&gt;"")=0,$A8=""),"",SUM($C7,$A8&lt;&gt;""))</f>
        <v>1</v>
      </c>
      <c r="D8" s="150" t="str">
        <f>IFERROR(VLOOKUP($A8,Sheet1!$A$1:$B$80,2,0),"")</f>
        <v>Chả tôm hình Surimi LC</v>
      </c>
      <c r="E8" s="30">
        <f>IFERROR(VLOOKUP($A8,'Tổng Đơn'!$A$5:$E$52,5,0),"")</f>
        <v>0.5</v>
      </c>
      <c r="F8" s="30">
        <f t="shared" ref="F8:F37" si="1">IF($B8="","",B8)</f>
        <v>1</v>
      </c>
      <c r="G8" s="160">
        <f>IFERROR(VLOOKUP($A8,Sheet1!$A1:$D$80,4,0),"")</f>
        <v>38000</v>
      </c>
      <c r="H8" s="151">
        <f>IF($C7=MAX($C$8:$C$56),SUM($H7:$H$8),IFERROR($G8*$F8,""))</f>
        <v>38000</v>
      </c>
      <c r="I8" s="54">
        <f t="shared" ref="I8:I37" si="2">IF(TYPE($A8)&lt;&gt;1,"",IFERROR(F8*E8,""))</f>
        <v>0.5</v>
      </c>
      <c r="L8" s="32"/>
    </row>
    <row r="9" spans="1:14" s="29" customFormat="1" ht="14.25" customHeight="1" x14ac:dyDescent="0.25">
      <c r="A9" s="153">
        <v>7</v>
      </c>
      <c r="B9" s="153">
        <v>1</v>
      </c>
      <c r="C9" s="30">
        <f t="shared" si="0"/>
        <v>2</v>
      </c>
      <c r="D9" s="159" t="str">
        <f>IFERROR(VLOOKUP($A9,Sheet1!$A$1:$B$80,2,0),"")</f>
        <v>Hải sản sốt cam LC</v>
      </c>
      <c r="E9" s="30">
        <f>IFERROR(VLOOKUP($A9,'Tổng Đơn'!$A$5:$E$52,5,0),"")</f>
        <v>0.5</v>
      </c>
      <c r="F9" s="30">
        <f t="shared" si="1"/>
        <v>1</v>
      </c>
      <c r="G9" s="160">
        <f>IF(AND($C9="",$C8&lt;&gt;""),"Tổng Cộng",IFERROR(VLOOKUP($A9,Sheet1!$A$1:$D$80,4,0),""))</f>
        <v>45000</v>
      </c>
      <c r="H9" s="151">
        <f>IF($C8=MAX($C$8:$C$56),SUM($H$8:$H8),IFERROR($G9*$F9,""))</f>
        <v>45000</v>
      </c>
      <c r="I9" s="54">
        <f t="shared" si="2"/>
        <v>0.5</v>
      </c>
      <c r="L9" s="31"/>
    </row>
    <row r="10" spans="1:14" s="29" customFormat="1" ht="14.25" customHeight="1" x14ac:dyDescent="0.25">
      <c r="A10" s="153">
        <v>16</v>
      </c>
      <c r="B10" s="153">
        <v>1</v>
      </c>
      <c r="C10" s="30">
        <f t="shared" si="0"/>
        <v>3</v>
      </c>
      <c r="D10" s="159" t="str">
        <f>IFERROR(VLOOKUP($A10,Sheet1!$A$1:$B$80,2,0),"")</f>
        <v>XX Đức HS ĐNA</v>
      </c>
      <c r="E10" s="30">
        <f>IFERROR(VLOOKUP($A10,'Tổng Đơn'!$A$5:$E$52,5,0),"")</f>
        <v>0.5</v>
      </c>
      <c r="F10" s="30">
        <f t="shared" si="1"/>
        <v>1</v>
      </c>
      <c r="G10" s="160">
        <f>IF(AND($C10="",$C9&lt;&gt;""),"Tổng Cộng",IFERROR(VLOOKUP($A10,Sheet1!$A$1:$D$80,4,0),""))</f>
        <v>35000</v>
      </c>
      <c r="H10" s="151">
        <f>IF($C9=MAX($C$8:$C$56),SUM($H$8:$H9),IFERROR($G10*$F10,""))</f>
        <v>35000</v>
      </c>
      <c r="I10" s="54">
        <f t="shared" si="2"/>
        <v>0.5</v>
      </c>
      <c r="L10" s="31"/>
    </row>
    <row r="11" spans="1:14" s="29" customFormat="1" ht="14.25" customHeight="1" x14ac:dyDescent="0.25">
      <c r="A11" s="153">
        <v>18</v>
      </c>
      <c r="B11" s="153">
        <v>1</v>
      </c>
      <c r="C11" s="30">
        <f t="shared" si="0"/>
        <v>4</v>
      </c>
      <c r="D11" s="159" t="str">
        <f>IFERROR(VLOOKUP($A11,Sheet1!$A$1:$B$80,2,0),"")</f>
        <v>Chả giò Rế tôm mực LC</v>
      </c>
      <c r="E11" s="30">
        <f>IFERROR(VLOOKUP($A11,'Tổng Đơn'!$A$5:$E$52,5,0),"")</f>
        <v>0.5</v>
      </c>
      <c r="F11" s="30">
        <f t="shared" si="1"/>
        <v>1</v>
      </c>
      <c r="G11" s="160">
        <f>IF(AND($C11="",$C10&lt;&gt;""),"Tổng Cộng",IFERROR(VLOOKUP($A11,Sheet1!$A$1:$D$80,4,0),""))</f>
        <v>50000</v>
      </c>
      <c r="H11" s="151">
        <f>IF($C10=MAX($C$8:$C$56),SUM($H$8:$H10),IFERROR($G11*$F11,""))</f>
        <v>50000</v>
      </c>
      <c r="I11" s="54">
        <f t="shared" si="2"/>
        <v>0.5</v>
      </c>
      <c r="L11" s="31"/>
    </row>
    <row r="12" spans="1:14" s="29" customFormat="1" ht="14.25" customHeight="1" x14ac:dyDescent="0.25">
      <c r="A12" s="153">
        <v>19</v>
      </c>
      <c r="B12" s="153">
        <v>1</v>
      </c>
      <c r="C12" s="30">
        <f t="shared" si="0"/>
        <v>5</v>
      </c>
      <c r="D12" s="159" t="str">
        <f>IFERROR(VLOOKUP($A12,Sheet1!$A$1:$B$80,2,0),"")</f>
        <v>XX Hotdog Phô mai</v>
      </c>
      <c r="E12" s="30">
        <f>IFERROR(VLOOKUP($A12,'Tổng Đơn'!$A$5:$E$52,5,0),"")</f>
        <v>0.5</v>
      </c>
      <c r="F12" s="30">
        <f t="shared" si="1"/>
        <v>1</v>
      </c>
      <c r="G12" s="160">
        <f>IF(AND($C12="",$C11&lt;&gt;""),"Tổng Cộng",IFERROR(VLOOKUP($A12,Sheet1!$A$1:$D$80,4,0),""))</f>
        <v>40000</v>
      </c>
      <c r="H12" s="151">
        <f>IF($C11=MAX($C$8:$C$56),SUM($H$8:$H11),IFERROR($G12*$F12,""))</f>
        <v>40000</v>
      </c>
      <c r="I12" s="54">
        <f t="shared" si="2"/>
        <v>0.5</v>
      </c>
      <c r="J12" s="126"/>
      <c r="L12" s="31"/>
      <c r="M12" s="133"/>
      <c r="N12" s="127"/>
    </row>
    <row r="13" spans="1:14" s="29" customFormat="1" ht="14.25" customHeight="1" x14ac:dyDescent="0.25">
      <c r="A13" s="153">
        <v>34</v>
      </c>
      <c r="B13" s="153">
        <v>1</v>
      </c>
      <c r="C13" s="30">
        <f t="shared" si="0"/>
        <v>6</v>
      </c>
      <c r="D13" s="159" t="str">
        <f>IFERROR(VLOOKUP($A13,Sheet1!$A$1:$B$80,2,0),"")</f>
        <v>Cá viên KK</v>
      </c>
      <c r="E13" s="30">
        <f>IFERROR(VLOOKUP($A13,'Tổng Đơn'!$A$5:$E$52,5,0),"")</f>
        <v>0.5</v>
      </c>
      <c r="F13" s="30">
        <f t="shared" si="1"/>
        <v>1</v>
      </c>
      <c r="G13" s="160">
        <f>IF(AND($C13="",$C12&lt;&gt;""),"Tổng Cộng",IFERROR(VLOOKUP($A13,Sheet1!$A$1:$D$80,4,0),""))</f>
        <v>25000</v>
      </c>
      <c r="H13" s="151">
        <f>IF($C12=MAX($C$8:$C$56),SUM($H$8:$H12),IFERROR($G13*$F13,""))</f>
        <v>25000</v>
      </c>
      <c r="I13" s="54">
        <f t="shared" si="2"/>
        <v>0.5</v>
      </c>
      <c r="L13" s="31"/>
    </row>
    <row r="14" spans="1:14" s="29" customFormat="1" ht="14.25" customHeight="1" x14ac:dyDescent="0.25">
      <c r="A14" s="153">
        <v>38</v>
      </c>
      <c r="B14" s="153">
        <v>1</v>
      </c>
      <c r="C14" s="30">
        <f t="shared" si="0"/>
        <v>7</v>
      </c>
      <c r="D14" s="159" t="str">
        <f>IFERROR(VLOOKUP($A14,Sheet1!$A$1:$B$80,2,0),"")</f>
        <v>XX Đỏ KK</v>
      </c>
      <c r="E14" s="30">
        <f>IFERROR(VLOOKUP($A14,'Tổng Đơn'!$A$5:$E$52,5,0),"")</f>
        <v>0.5</v>
      </c>
      <c r="F14" s="30">
        <f t="shared" si="1"/>
        <v>1</v>
      </c>
      <c r="G14" s="160">
        <f>IF(AND($C14="",$C13&lt;&gt;""),"Tổng Cộng",IFERROR(VLOOKUP($A14,Sheet1!$A$1:$D$80,4,0),""))</f>
        <v>26000</v>
      </c>
      <c r="H14" s="151">
        <f>IF($C13=MAX($C$8:$C$56),SUM($H$8:$H13),IFERROR($G14*$F14,""))</f>
        <v>26000</v>
      </c>
      <c r="I14" s="54">
        <f t="shared" si="2"/>
        <v>0.5</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Tổng Cộng</v>
      </c>
      <c r="H15" s="151">
        <f>IF($C14=MAX($C$8:$C$56),SUM($H$8:$H14),IFERROR($G15*$F15,""))</f>
        <v>259000</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7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7</vt:i4>
      </vt:variant>
    </vt:vector>
  </HeadingPairs>
  <TitlesOfParts>
    <vt:vector size="23" baseType="lpstr">
      <vt:lpstr>Chi phí ra hàng tháng</vt:lpstr>
      <vt:lpstr>Gà</vt:lpstr>
      <vt:lpstr>TVP</vt:lpstr>
      <vt:lpstr>Quốc Nhân</vt:lpstr>
      <vt:lpstr>La Cusina</vt:lpstr>
      <vt:lpstr>Kitkool</vt:lpstr>
      <vt:lpstr>Sheet1</vt:lpstr>
      <vt:lpstr>Tổng Đơn</vt:lpstr>
      <vt:lpstr>Chi phí</vt:lpstr>
      <vt:lpstr>Thanh Toán</vt:lpstr>
      <vt:lpstr>Thanh Toán (7)</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lpstr>'Thanh Toán (7)'!Print_Area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2022-11-09T00:27:54Z</dcterms:modified>
</cp:coreProperties>
</file>