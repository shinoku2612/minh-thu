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12" activeTab="1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518" r:id="rId11"/>
    <sheet name="Thanh Toán (11)" sheetId="517" r:id="rId12"/>
    <sheet name="Thanh Toán (10)" sheetId="516" r:id="rId13"/>
    <sheet name="Thanh Toán (9)" sheetId="515" r:id="rId14"/>
    <sheet name="Thanh Toán (8)" sheetId="514" r:id="rId15"/>
    <sheet name="Thanh Toán (7)" sheetId="513" r:id="rId16"/>
    <sheet name="Thanh Toán (6)" sheetId="512" r:id="rId17"/>
    <sheet name="Thanh Toán (5)" sheetId="511" r:id="rId18"/>
    <sheet name="Thanh Toán (4)" sheetId="510" r:id="rId19"/>
    <sheet name="Thanh Toán (3)" sheetId="509" r:id="rId20"/>
    <sheet name="Thanh Toán (2)" sheetId="508"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Sheet1!$A$1:$D$70</definedName>
    <definedName name="_xlnm._FilterDatabase" localSheetId="8" hidden="1">'Tổng Đơn'!$A$4:$AO$74</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1"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H10" i="518"/>
  <c r="I37" i="518"/>
  <c r="F37" i="518"/>
  <c r="E37" i="518"/>
  <c r="D37" i="518"/>
  <c r="I36" i="518"/>
  <c r="F36" i="518"/>
  <c r="E36" i="518"/>
  <c r="D36" i="518"/>
  <c r="I35" i="518"/>
  <c r="F35" i="518"/>
  <c r="E35" i="518"/>
  <c r="D35" i="518"/>
  <c r="I34" i="518"/>
  <c r="F34" i="518"/>
  <c r="E34" i="518"/>
  <c r="D34" i="518"/>
  <c r="I33" i="518"/>
  <c r="F33" i="518"/>
  <c r="E33" i="518"/>
  <c r="D33" i="518"/>
  <c r="I32" i="518"/>
  <c r="F32" i="518"/>
  <c r="E32" i="518"/>
  <c r="D32" i="518"/>
  <c r="I31" i="518"/>
  <c r="F31" i="518"/>
  <c r="E31" i="518"/>
  <c r="D31" i="518"/>
  <c r="I30" i="518"/>
  <c r="F30" i="518"/>
  <c r="E30" i="518"/>
  <c r="D30" i="518"/>
  <c r="I29" i="518"/>
  <c r="F29" i="518"/>
  <c r="E29" i="518"/>
  <c r="D29" i="518"/>
  <c r="I28" i="518"/>
  <c r="F28" i="518"/>
  <c r="E28" i="518"/>
  <c r="D28" i="518"/>
  <c r="I27" i="518"/>
  <c r="F27" i="518"/>
  <c r="E27" i="518"/>
  <c r="D27" i="518"/>
  <c r="I26" i="518"/>
  <c r="F26" i="518"/>
  <c r="E26" i="518"/>
  <c r="D26" i="518"/>
  <c r="I25" i="518"/>
  <c r="F25" i="518"/>
  <c r="E25" i="518"/>
  <c r="D25" i="518"/>
  <c r="I24" i="518"/>
  <c r="F24" i="518"/>
  <c r="E24" i="518"/>
  <c r="D24" i="518"/>
  <c r="I23" i="518"/>
  <c r="F23" i="518"/>
  <c r="E23" i="518"/>
  <c r="D23" i="518"/>
  <c r="I22" i="518"/>
  <c r="F22" i="518"/>
  <c r="E22" i="518"/>
  <c r="D22" i="518"/>
  <c r="I21" i="518"/>
  <c r="F21" i="518"/>
  <c r="E21" i="518"/>
  <c r="D21" i="518"/>
  <c r="I20" i="518"/>
  <c r="F20" i="518"/>
  <c r="E20" i="518"/>
  <c r="D20" i="518"/>
  <c r="I19" i="518"/>
  <c r="F19" i="518"/>
  <c r="E19" i="518"/>
  <c r="D19" i="518"/>
  <c r="I18" i="518"/>
  <c r="F18" i="518"/>
  <c r="E18" i="518"/>
  <c r="D18" i="518"/>
  <c r="I17" i="518"/>
  <c r="F17" i="518"/>
  <c r="E17" i="518"/>
  <c r="D17" i="518"/>
  <c r="I16" i="518"/>
  <c r="F16" i="518"/>
  <c r="E16" i="518"/>
  <c r="D16" i="518"/>
  <c r="I15" i="518"/>
  <c r="F15" i="518"/>
  <c r="E15" i="518"/>
  <c r="D15" i="518"/>
  <c r="I14" i="518"/>
  <c r="F14" i="518"/>
  <c r="E14" i="518"/>
  <c r="D14" i="518"/>
  <c r="I13" i="518"/>
  <c r="F13" i="518"/>
  <c r="E13" i="518"/>
  <c r="D13" i="518"/>
  <c r="I12" i="518"/>
  <c r="F12" i="518"/>
  <c r="E12" i="518"/>
  <c r="D12" i="518"/>
  <c r="I11" i="518"/>
  <c r="F11" i="518"/>
  <c r="E11" i="518"/>
  <c r="D11" i="518"/>
  <c r="I10" i="518"/>
  <c r="F9" i="518"/>
  <c r="E9" i="518"/>
  <c r="I9" i="518" s="1"/>
  <c r="D9" i="518"/>
  <c r="G8" i="518"/>
  <c r="F8" i="518"/>
  <c r="I8" i="518" s="1"/>
  <c r="E8" i="518"/>
  <c r="D8" i="518"/>
  <c r="C8" i="518"/>
  <c r="C9" i="518" s="1"/>
  <c r="E7" i="518"/>
  <c r="G6" i="518"/>
  <c r="I37" i="517"/>
  <c r="F37" i="517"/>
  <c r="E37" i="517"/>
  <c r="D37" i="517"/>
  <c r="I36" i="517"/>
  <c r="F36" i="517"/>
  <c r="E36" i="517"/>
  <c r="D36" i="517"/>
  <c r="I35" i="517"/>
  <c r="F35" i="517"/>
  <c r="E35" i="517"/>
  <c r="D35" i="517"/>
  <c r="I34" i="517"/>
  <c r="F34" i="517"/>
  <c r="E34" i="517"/>
  <c r="D34" i="517"/>
  <c r="I33" i="517"/>
  <c r="F33" i="517"/>
  <c r="E33" i="517"/>
  <c r="D33" i="517"/>
  <c r="I32" i="517"/>
  <c r="F32" i="517"/>
  <c r="E32" i="517"/>
  <c r="D32" i="517"/>
  <c r="I31" i="517"/>
  <c r="F31" i="517"/>
  <c r="E31" i="517"/>
  <c r="D31" i="517"/>
  <c r="I30" i="517"/>
  <c r="F30" i="517"/>
  <c r="E30" i="517"/>
  <c r="D30" i="517"/>
  <c r="I29" i="517"/>
  <c r="F29" i="517"/>
  <c r="E29" i="517"/>
  <c r="D29" i="517"/>
  <c r="I28" i="517"/>
  <c r="F28" i="517"/>
  <c r="E28" i="517"/>
  <c r="D28" i="517"/>
  <c r="I27" i="517"/>
  <c r="F27" i="517"/>
  <c r="E27" i="517"/>
  <c r="D27" i="517"/>
  <c r="I26" i="517"/>
  <c r="F26" i="517"/>
  <c r="E26" i="517"/>
  <c r="D26" i="517"/>
  <c r="I25" i="517"/>
  <c r="F25" i="517"/>
  <c r="E25" i="517"/>
  <c r="D25" i="517"/>
  <c r="I24" i="517"/>
  <c r="F24" i="517"/>
  <c r="E24" i="517"/>
  <c r="D24" i="517"/>
  <c r="I23" i="517"/>
  <c r="F23" i="517"/>
  <c r="E23" i="517"/>
  <c r="D23" i="517"/>
  <c r="I22" i="517"/>
  <c r="F22" i="517"/>
  <c r="E22" i="517"/>
  <c r="D22" i="517"/>
  <c r="I21" i="517"/>
  <c r="F21" i="517"/>
  <c r="E21" i="517"/>
  <c r="D21" i="517"/>
  <c r="I20" i="517"/>
  <c r="F20" i="517"/>
  <c r="E20" i="517"/>
  <c r="D20" i="517"/>
  <c r="I19" i="517"/>
  <c r="F19" i="517"/>
  <c r="E19" i="517"/>
  <c r="D19" i="517"/>
  <c r="I18" i="517"/>
  <c r="F18" i="517"/>
  <c r="E18" i="517"/>
  <c r="D18" i="517"/>
  <c r="I17" i="517"/>
  <c r="F17" i="517"/>
  <c r="E17" i="517"/>
  <c r="D17" i="517"/>
  <c r="I16" i="517"/>
  <c r="F16" i="517"/>
  <c r="E16" i="517"/>
  <c r="D16" i="517"/>
  <c r="I15" i="517"/>
  <c r="F15" i="517"/>
  <c r="E15" i="517"/>
  <c r="D15" i="517"/>
  <c r="I14" i="517"/>
  <c r="F14" i="517"/>
  <c r="E14" i="517"/>
  <c r="D14" i="517"/>
  <c r="I13" i="517"/>
  <c r="F13" i="517"/>
  <c r="E13" i="517"/>
  <c r="D13" i="517"/>
  <c r="I12" i="517"/>
  <c r="F12" i="517"/>
  <c r="E12" i="517"/>
  <c r="D12" i="517"/>
  <c r="I11" i="517"/>
  <c r="F11" i="517"/>
  <c r="E11" i="517"/>
  <c r="D11" i="517"/>
  <c r="I10" i="517"/>
  <c r="F10" i="517"/>
  <c r="E10" i="517"/>
  <c r="D10" i="517"/>
  <c r="I9" i="517"/>
  <c r="F9" i="517"/>
  <c r="E9" i="517"/>
  <c r="D9" i="517"/>
  <c r="G8" i="517"/>
  <c r="F8" i="517"/>
  <c r="I8" i="517" s="1"/>
  <c r="I7" i="517" s="1"/>
  <c r="E8" i="517"/>
  <c r="D8" i="517"/>
  <c r="C8" i="517"/>
  <c r="C9" i="517" s="1"/>
  <c r="E7" i="517"/>
  <c r="G6" i="517"/>
  <c r="I37" i="516"/>
  <c r="F37" i="516"/>
  <c r="E37" i="516"/>
  <c r="D37" i="516"/>
  <c r="I36" i="516"/>
  <c r="F36" i="516"/>
  <c r="E36" i="516"/>
  <c r="D36" i="516"/>
  <c r="I35" i="516"/>
  <c r="F35" i="516"/>
  <c r="E35" i="516"/>
  <c r="D35" i="516"/>
  <c r="I34" i="516"/>
  <c r="F34" i="516"/>
  <c r="E34" i="516"/>
  <c r="D34" i="516"/>
  <c r="I33" i="516"/>
  <c r="F33" i="516"/>
  <c r="E33" i="516"/>
  <c r="D33" i="516"/>
  <c r="I32" i="516"/>
  <c r="F32" i="516"/>
  <c r="E32" i="516"/>
  <c r="D32" i="516"/>
  <c r="I31" i="516"/>
  <c r="F31" i="516"/>
  <c r="E31" i="516"/>
  <c r="D31" i="516"/>
  <c r="I30" i="516"/>
  <c r="F30" i="516"/>
  <c r="E30" i="516"/>
  <c r="D30" i="516"/>
  <c r="I29" i="516"/>
  <c r="F29" i="516"/>
  <c r="E29" i="516"/>
  <c r="D29" i="516"/>
  <c r="I28" i="516"/>
  <c r="F28" i="516"/>
  <c r="E28" i="516"/>
  <c r="D28" i="516"/>
  <c r="I27" i="516"/>
  <c r="F27" i="516"/>
  <c r="E27" i="516"/>
  <c r="D27" i="516"/>
  <c r="I26" i="516"/>
  <c r="F26" i="516"/>
  <c r="E26" i="516"/>
  <c r="D26" i="516"/>
  <c r="I25" i="516"/>
  <c r="F25" i="516"/>
  <c r="E25" i="516"/>
  <c r="D25" i="516"/>
  <c r="I24" i="516"/>
  <c r="F24" i="516"/>
  <c r="E24" i="516"/>
  <c r="D24" i="516"/>
  <c r="I23" i="516"/>
  <c r="F23" i="516"/>
  <c r="E23" i="516"/>
  <c r="D23" i="516"/>
  <c r="I22" i="516"/>
  <c r="F22" i="516"/>
  <c r="E22" i="516"/>
  <c r="D22" i="516"/>
  <c r="I21" i="516"/>
  <c r="F21" i="516"/>
  <c r="E21" i="516"/>
  <c r="D21" i="516"/>
  <c r="I20" i="516"/>
  <c r="F20" i="516"/>
  <c r="E20" i="516"/>
  <c r="D20" i="516"/>
  <c r="I19" i="516"/>
  <c r="F19" i="516"/>
  <c r="E19" i="516"/>
  <c r="D19" i="516"/>
  <c r="I18" i="516"/>
  <c r="F18" i="516"/>
  <c r="E18" i="516"/>
  <c r="D18" i="516"/>
  <c r="I17" i="516"/>
  <c r="F17" i="516"/>
  <c r="E17" i="516"/>
  <c r="D17" i="516"/>
  <c r="I16" i="516"/>
  <c r="F16" i="516"/>
  <c r="E16" i="516"/>
  <c r="D16" i="516"/>
  <c r="I15" i="516"/>
  <c r="F15" i="516"/>
  <c r="E15" i="516"/>
  <c r="D15" i="516"/>
  <c r="I14" i="516"/>
  <c r="F14" i="516"/>
  <c r="E14" i="516"/>
  <c r="D14" i="516"/>
  <c r="I13" i="516"/>
  <c r="F13" i="516"/>
  <c r="E13" i="516"/>
  <c r="D13" i="516"/>
  <c r="I12" i="516"/>
  <c r="F12" i="516"/>
  <c r="E12" i="516"/>
  <c r="D12" i="516"/>
  <c r="I11" i="516"/>
  <c r="F11" i="516"/>
  <c r="E11" i="516"/>
  <c r="D11" i="516"/>
  <c r="I10" i="516"/>
  <c r="F10" i="516"/>
  <c r="E10" i="516"/>
  <c r="D10" i="516"/>
  <c r="I9" i="516"/>
  <c r="F9" i="516"/>
  <c r="E9" i="516"/>
  <c r="D9" i="516"/>
  <c r="G8" i="516"/>
  <c r="F8" i="516"/>
  <c r="E8" i="516"/>
  <c r="I8" i="516" s="1"/>
  <c r="I7" i="516" s="1"/>
  <c r="D8" i="516"/>
  <c r="C8" i="516"/>
  <c r="C9" i="516" s="1"/>
  <c r="E7" i="516"/>
  <c r="G6" i="516"/>
  <c r="I37" i="515"/>
  <c r="F37" i="515"/>
  <c r="E37" i="515"/>
  <c r="D37" i="515"/>
  <c r="I36" i="515"/>
  <c r="F36" i="515"/>
  <c r="E36" i="515"/>
  <c r="D36" i="515"/>
  <c r="I35" i="515"/>
  <c r="F35" i="515"/>
  <c r="E35" i="515"/>
  <c r="D35" i="515"/>
  <c r="I34" i="515"/>
  <c r="F34" i="515"/>
  <c r="E34" i="515"/>
  <c r="D34" i="515"/>
  <c r="I33" i="515"/>
  <c r="F33" i="515"/>
  <c r="E33" i="515"/>
  <c r="D33" i="515"/>
  <c r="I32" i="515"/>
  <c r="F32" i="515"/>
  <c r="E32" i="515"/>
  <c r="D32" i="515"/>
  <c r="I31" i="515"/>
  <c r="F31" i="515"/>
  <c r="E31" i="515"/>
  <c r="D31" i="515"/>
  <c r="I30" i="515"/>
  <c r="F30" i="515"/>
  <c r="E30" i="515"/>
  <c r="D30" i="515"/>
  <c r="I29" i="515"/>
  <c r="F29" i="515"/>
  <c r="E29" i="515"/>
  <c r="D29" i="515"/>
  <c r="I28" i="515"/>
  <c r="F28" i="515"/>
  <c r="E28" i="515"/>
  <c r="D28" i="515"/>
  <c r="I27" i="515"/>
  <c r="F27" i="515"/>
  <c r="E27" i="515"/>
  <c r="D27" i="515"/>
  <c r="I26" i="515"/>
  <c r="F26" i="515"/>
  <c r="E26" i="515"/>
  <c r="D26" i="515"/>
  <c r="I25" i="515"/>
  <c r="F25" i="515"/>
  <c r="E25" i="515"/>
  <c r="D25" i="515"/>
  <c r="I24" i="515"/>
  <c r="F24" i="515"/>
  <c r="E24" i="515"/>
  <c r="D24" i="515"/>
  <c r="I23" i="515"/>
  <c r="F23" i="515"/>
  <c r="E23" i="515"/>
  <c r="D23" i="515"/>
  <c r="I22" i="515"/>
  <c r="F22" i="515"/>
  <c r="E22" i="515"/>
  <c r="D22" i="515"/>
  <c r="I21" i="515"/>
  <c r="F21" i="515"/>
  <c r="E21" i="515"/>
  <c r="D21" i="515"/>
  <c r="I20" i="515"/>
  <c r="F20" i="515"/>
  <c r="E20" i="515"/>
  <c r="D20" i="515"/>
  <c r="I19" i="515"/>
  <c r="F19" i="515"/>
  <c r="E19" i="515"/>
  <c r="D19" i="515"/>
  <c r="I18" i="515"/>
  <c r="F18" i="515"/>
  <c r="E18" i="515"/>
  <c r="D18" i="515"/>
  <c r="I17" i="515"/>
  <c r="F17" i="515"/>
  <c r="E17" i="515"/>
  <c r="D17" i="515"/>
  <c r="I16" i="515"/>
  <c r="F16" i="515"/>
  <c r="E16" i="515"/>
  <c r="D16" i="515"/>
  <c r="I15" i="515"/>
  <c r="F15" i="515"/>
  <c r="E15" i="515"/>
  <c r="D15" i="515"/>
  <c r="I14" i="515"/>
  <c r="F14" i="515"/>
  <c r="E14" i="515"/>
  <c r="D14" i="515"/>
  <c r="I13" i="515"/>
  <c r="F13" i="515"/>
  <c r="E13" i="515"/>
  <c r="D13" i="515"/>
  <c r="I12" i="515"/>
  <c r="F12" i="515"/>
  <c r="E12" i="515"/>
  <c r="D12" i="515"/>
  <c r="I11" i="515"/>
  <c r="F11" i="515"/>
  <c r="E11" i="515"/>
  <c r="D11" i="515"/>
  <c r="I10" i="515"/>
  <c r="F10" i="515"/>
  <c r="E10" i="515"/>
  <c r="D10" i="515"/>
  <c r="I9" i="515"/>
  <c r="F9" i="515"/>
  <c r="E9" i="515"/>
  <c r="D9" i="515"/>
  <c r="G8" i="515"/>
  <c r="F8" i="515"/>
  <c r="E8" i="515"/>
  <c r="I8" i="515" s="1"/>
  <c r="I7" i="515" s="1"/>
  <c r="D8" i="515"/>
  <c r="C8" i="515"/>
  <c r="C9" i="515" s="1"/>
  <c r="E7" i="515"/>
  <c r="G6" i="515"/>
  <c r="I37" i="514"/>
  <c r="F37" i="514"/>
  <c r="E37" i="514"/>
  <c r="D37" i="514"/>
  <c r="I36" i="514"/>
  <c r="F36" i="514"/>
  <c r="E36" i="514"/>
  <c r="D36" i="514"/>
  <c r="I35" i="514"/>
  <c r="F35" i="514"/>
  <c r="E35" i="514"/>
  <c r="D35" i="514"/>
  <c r="I34" i="514"/>
  <c r="F34" i="514"/>
  <c r="E34" i="514"/>
  <c r="D34" i="514"/>
  <c r="I33" i="514"/>
  <c r="F33" i="514"/>
  <c r="E33" i="514"/>
  <c r="D33" i="514"/>
  <c r="I32" i="514"/>
  <c r="F32" i="514"/>
  <c r="E32" i="514"/>
  <c r="D32" i="514"/>
  <c r="I31" i="514"/>
  <c r="F31" i="514"/>
  <c r="E31" i="514"/>
  <c r="D31" i="514"/>
  <c r="I30" i="514"/>
  <c r="F30" i="514"/>
  <c r="E30" i="514"/>
  <c r="D30" i="514"/>
  <c r="I29" i="514"/>
  <c r="F29" i="514"/>
  <c r="E29" i="514"/>
  <c r="D29" i="514"/>
  <c r="I28" i="514"/>
  <c r="F28" i="514"/>
  <c r="E28" i="514"/>
  <c r="D28" i="514"/>
  <c r="I27" i="514"/>
  <c r="F27" i="514"/>
  <c r="E27" i="514"/>
  <c r="D27" i="514"/>
  <c r="I26" i="514"/>
  <c r="F26" i="514"/>
  <c r="E26" i="514"/>
  <c r="D26" i="514"/>
  <c r="I25" i="514"/>
  <c r="F25" i="514"/>
  <c r="E25" i="514"/>
  <c r="D25" i="514"/>
  <c r="I24" i="514"/>
  <c r="F24" i="514"/>
  <c r="E24" i="514"/>
  <c r="D24" i="514"/>
  <c r="I23" i="514"/>
  <c r="F23" i="514"/>
  <c r="E23" i="514"/>
  <c r="D23" i="514"/>
  <c r="I22" i="514"/>
  <c r="F22" i="514"/>
  <c r="E22" i="514"/>
  <c r="D22" i="514"/>
  <c r="I21" i="514"/>
  <c r="F21" i="514"/>
  <c r="E21" i="514"/>
  <c r="D21" i="514"/>
  <c r="I20" i="514"/>
  <c r="F20" i="514"/>
  <c r="E20" i="514"/>
  <c r="D20" i="514"/>
  <c r="I19" i="514"/>
  <c r="F19" i="514"/>
  <c r="E19" i="514"/>
  <c r="D19" i="514"/>
  <c r="I18" i="514"/>
  <c r="F18" i="514"/>
  <c r="E18" i="514"/>
  <c r="D18" i="514"/>
  <c r="I17" i="514"/>
  <c r="F17" i="514"/>
  <c r="E17" i="514"/>
  <c r="D17" i="514"/>
  <c r="I16" i="514"/>
  <c r="F16" i="514"/>
  <c r="E16" i="514"/>
  <c r="D16" i="514"/>
  <c r="I15" i="514"/>
  <c r="F15" i="514"/>
  <c r="E15" i="514"/>
  <c r="D15" i="514"/>
  <c r="I14" i="514"/>
  <c r="F14" i="514"/>
  <c r="E14" i="514"/>
  <c r="D14" i="514"/>
  <c r="I13" i="514"/>
  <c r="F13" i="514"/>
  <c r="E13" i="514"/>
  <c r="D13" i="514"/>
  <c r="I12" i="514"/>
  <c r="F12" i="514"/>
  <c r="E12" i="514"/>
  <c r="D12" i="514"/>
  <c r="I11" i="514"/>
  <c r="F11" i="514"/>
  <c r="E11" i="514"/>
  <c r="D11" i="514"/>
  <c r="I10" i="514"/>
  <c r="F10" i="514"/>
  <c r="E10" i="514"/>
  <c r="D10" i="514"/>
  <c r="I9" i="514"/>
  <c r="F9" i="514"/>
  <c r="E9" i="514"/>
  <c r="D9" i="514"/>
  <c r="G8" i="514"/>
  <c r="F8" i="514"/>
  <c r="I8" i="514" s="1"/>
  <c r="I7" i="514" s="1"/>
  <c r="E8" i="514"/>
  <c r="D8" i="514"/>
  <c r="C8" i="514"/>
  <c r="C9" i="514" s="1"/>
  <c r="E7" i="514"/>
  <c r="G6" i="514"/>
  <c r="I37" i="513"/>
  <c r="F37" i="513"/>
  <c r="E37" i="513"/>
  <c r="D37" i="513"/>
  <c r="I36" i="513"/>
  <c r="F36" i="513"/>
  <c r="E36" i="513"/>
  <c r="D36" i="513"/>
  <c r="I35" i="513"/>
  <c r="F35" i="513"/>
  <c r="E35" i="513"/>
  <c r="D35" i="513"/>
  <c r="I34" i="513"/>
  <c r="F34" i="513"/>
  <c r="E34" i="513"/>
  <c r="D34" i="513"/>
  <c r="I33" i="513"/>
  <c r="F33" i="513"/>
  <c r="E33" i="513"/>
  <c r="D33" i="513"/>
  <c r="I32" i="513"/>
  <c r="F32" i="513"/>
  <c r="E32" i="513"/>
  <c r="D32" i="513"/>
  <c r="I31" i="513"/>
  <c r="F31" i="513"/>
  <c r="E31" i="513"/>
  <c r="D31" i="513"/>
  <c r="I30" i="513"/>
  <c r="F30" i="513"/>
  <c r="E30" i="513"/>
  <c r="D30" i="513"/>
  <c r="I29" i="513"/>
  <c r="F29" i="513"/>
  <c r="E29" i="513"/>
  <c r="D29" i="513"/>
  <c r="I28" i="513"/>
  <c r="F28" i="513"/>
  <c r="E28" i="513"/>
  <c r="D28" i="513"/>
  <c r="I27" i="513"/>
  <c r="F27" i="513"/>
  <c r="E27" i="513"/>
  <c r="D27" i="513"/>
  <c r="I26" i="513"/>
  <c r="F26" i="513"/>
  <c r="E26" i="513"/>
  <c r="D26" i="513"/>
  <c r="I25" i="513"/>
  <c r="F25" i="513"/>
  <c r="E25" i="513"/>
  <c r="D25" i="513"/>
  <c r="I24" i="513"/>
  <c r="F24" i="513"/>
  <c r="E24" i="513"/>
  <c r="D24" i="513"/>
  <c r="I23" i="513"/>
  <c r="F23" i="513"/>
  <c r="E23" i="513"/>
  <c r="D23" i="513"/>
  <c r="I22" i="513"/>
  <c r="F22" i="513"/>
  <c r="E22" i="513"/>
  <c r="D22" i="513"/>
  <c r="I21" i="513"/>
  <c r="F21" i="513"/>
  <c r="E21" i="513"/>
  <c r="D21" i="513"/>
  <c r="I20" i="513"/>
  <c r="F20" i="513"/>
  <c r="E20" i="513"/>
  <c r="D20" i="513"/>
  <c r="I19" i="513"/>
  <c r="F19" i="513"/>
  <c r="E19" i="513"/>
  <c r="D19" i="513"/>
  <c r="I18" i="513"/>
  <c r="F18" i="513"/>
  <c r="E18" i="513"/>
  <c r="D18" i="513"/>
  <c r="I17" i="513"/>
  <c r="F17" i="513"/>
  <c r="E17" i="513"/>
  <c r="D17" i="513"/>
  <c r="I16" i="513"/>
  <c r="F16" i="513"/>
  <c r="E16" i="513"/>
  <c r="D16" i="513"/>
  <c r="I15" i="513"/>
  <c r="F15" i="513"/>
  <c r="E15" i="513"/>
  <c r="D15" i="513"/>
  <c r="I14" i="513"/>
  <c r="F14" i="513"/>
  <c r="E14" i="513"/>
  <c r="D14" i="513"/>
  <c r="I13" i="513"/>
  <c r="F13" i="513"/>
  <c r="E13" i="513"/>
  <c r="D13" i="513"/>
  <c r="I12" i="513"/>
  <c r="F12" i="513"/>
  <c r="E12" i="513"/>
  <c r="D12" i="513"/>
  <c r="I11" i="513"/>
  <c r="F11" i="513"/>
  <c r="E11" i="513"/>
  <c r="D11" i="513"/>
  <c r="I10" i="513"/>
  <c r="F10" i="513"/>
  <c r="E10" i="513"/>
  <c r="D10" i="513"/>
  <c r="I9" i="513"/>
  <c r="G8" i="513"/>
  <c r="F8" i="513"/>
  <c r="E8" i="513"/>
  <c r="D8" i="513"/>
  <c r="C8" i="513"/>
  <c r="C9" i="513" s="1"/>
  <c r="E7" i="513"/>
  <c r="G6" i="513"/>
  <c r="I37" i="512"/>
  <c r="F37" i="512"/>
  <c r="E37" i="512"/>
  <c r="D37" i="512"/>
  <c r="I36" i="512"/>
  <c r="F36" i="512"/>
  <c r="E36" i="512"/>
  <c r="D36" i="512"/>
  <c r="I35" i="512"/>
  <c r="F35" i="512"/>
  <c r="E35" i="512"/>
  <c r="D35" i="512"/>
  <c r="I34" i="512"/>
  <c r="F34" i="512"/>
  <c r="E34" i="512"/>
  <c r="D34" i="512"/>
  <c r="I33" i="512"/>
  <c r="F33" i="512"/>
  <c r="E33" i="512"/>
  <c r="D33" i="512"/>
  <c r="I32" i="512"/>
  <c r="F32" i="512"/>
  <c r="E32" i="512"/>
  <c r="D32" i="512"/>
  <c r="I31" i="512"/>
  <c r="F31" i="512"/>
  <c r="E31" i="512"/>
  <c r="D31" i="512"/>
  <c r="I30" i="512"/>
  <c r="F30" i="512"/>
  <c r="E30" i="512"/>
  <c r="D30" i="512"/>
  <c r="I29" i="512"/>
  <c r="F29" i="512"/>
  <c r="E29" i="512"/>
  <c r="D29" i="512"/>
  <c r="I28" i="512"/>
  <c r="F28" i="512"/>
  <c r="E28" i="512"/>
  <c r="D28" i="512"/>
  <c r="I27" i="512"/>
  <c r="F27" i="512"/>
  <c r="E27" i="512"/>
  <c r="D27" i="512"/>
  <c r="I26" i="512"/>
  <c r="F26" i="512"/>
  <c r="E26" i="512"/>
  <c r="D26" i="512"/>
  <c r="I25" i="512"/>
  <c r="F25" i="512"/>
  <c r="E25" i="512"/>
  <c r="D25" i="512"/>
  <c r="I24" i="512"/>
  <c r="F24" i="512"/>
  <c r="E24" i="512"/>
  <c r="D24" i="512"/>
  <c r="I23" i="512"/>
  <c r="F23" i="512"/>
  <c r="E23" i="512"/>
  <c r="D23" i="512"/>
  <c r="I22" i="512"/>
  <c r="F22" i="512"/>
  <c r="E22" i="512"/>
  <c r="D22" i="512"/>
  <c r="I21" i="512"/>
  <c r="F21" i="512"/>
  <c r="E21" i="512"/>
  <c r="D21" i="512"/>
  <c r="I20" i="512"/>
  <c r="F20" i="512"/>
  <c r="E20" i="512"/>
  <c r="D20" i="512"/>
  <c r="I19" i="512"/>
  <c r="F19" i="512"/>
  <c r="E19" i="512"/>
  <c r="D19" i="512"/>
  <c r="I18" i="512"/>
  <c r="F18" i="512"/>
  <c r="E18" i="512"/>
  <c r="D18" i="512"/>
  <c r="I17" i="512"/>
  <c r="F17" i="512"/>
  <c r="E17" i="512"/>
  <c r="D17" i="512"/>
  <c r="I16" i="512"/>
  <c r="F16" i="512"/>
  <c r="E16" i="512"/>
  <c r="D16" i="512"/>
  <c r="I15" i="512"/>
  <c r="F15" i="512"/>
  <c r="E15" i="512"/>
  <c r="D15" i="512"/>
  <c r="I14" i="512"/>
  <c r="F14" i="512"/>
  <c r="E14" i="512"/>
  <c r="D14" i="512"/>
  <c r="I13" i="512"/>
  <c r="F13" i="512"/>
  <c r="E13" i="512"/>
  <c r="D13" i="512"/>
  <c r="I12" i="512"/>
  <c r="F12" i="512"/>
  <c r="E12" i="512"/>
  <c r="D12" i="512"/>
  <c r="I11" i="512"/>
  <c r="F11" i="512"/>
  <c r="E11" i="512"/>
  <c r="D11" i="512"/>
  <c r="F10" i="512"/>
  <c r="E10" i="512"/>
  <c r="I10" i="512" s="1"/>
  <c r="D10" i="512"/>
  <c r="F9" i="512"/>
  <c r="I9" i="512" s="1"/>
  <c r="E9" i="512"/>
  <c r="D9" i="512"/>
  <c r="G8" i="512"/>
  <c r="F8" i="512"/>
  <c r="E8" i="512"/>
  <c r="I8" i="512" s="1"/>
  <c r="D8" i="512"/>
  <c r="C8" i="512"/>
  <c r="C9" i="512" s="1"/>
  <c r="E7" i="512"/>
  <c r="G6" i="512"/>
  <c r="I37" i="511"/>
  <c r="F37" i="511"/>
  <c r="E37" i="511"/>
  <c r="D37" i="511"/>
  <c r="I36" i="511"/>
  <c r="F36" i="511"/>
  <c r="E36" i="511"/>
  <c r="D36" i="511"/>
  <c r="I35" i="511"/>
  <c r="F35" i="511"/>
  <c r="E35" i="511"/>
  <c r="D35" i="511"/>
  <c r="I34" i="511"/>
  <c r="F34" i="511"/>
  <c r="E34" i="511"/>
  <c r="D34" i="511"/>
  <c r="I33" i="511"/>
  <c r="F33" i="511"/>
  <c r="E33" i="511"/>
  <c r="D33" i="511"/>
  <c r="I32" i="511"/>
  <c r="F32" i="511"/>
  <c r="E32" i="511"/>
  <c r="D32" i="511"/>
  <c r="I31" i="511"/>
  <c r="F31" i="511"/>
  <c r="E31" i="511"/>
  <c r="D31" i="511"/>
  <c r="I30" i="511"/>
  <c r="F30" i="511"/>
  <c r="E30" i="511"/>
  <c r="D30" i="511"/>
  <c r="I29" i="511"/>
  <c r="F29" i="511"/>
  <c r="E29" i="511"/>
  <c r="D29" i="511"/>
  <c r="I28" i="511"/>
  <c r="F28" i="511"/>
  <c r="E28" i="511"/>
  <c r="D28" i="511"/>
  <c r="I27" i="511"/>
  <c r="F27" i="511"/>
  <c r="E27" i="511"/>
  <c r="D27" i="511"/>
  <c r="I26" i="511"/>
  <c r="F26" i="511"/>
  <c r="E26" i="511"/>
  <c r="D26" i="511"/>
  <c r="I25" i="511"/>
  <c r="F25" i="511"/>
  <c r="E25" i="511"/>
  <c r="D25" i="511"/>
  <c r="I24" i="511"/>
  <c r="F24" i="511"/>
  <c r="E24" i="511"/>
  <c r="D24" i="511"/>
  <c r="I23" i="511"/>
  <c r="F23" i="511"/>
  <c r="E23" i="511"/>
  <c r="D23" i="511"/>
  <c r="I22" i="511"/>
  <c r="F22" i="511"/>
  <c r="E22" i="511"/>
  <c r="D22" i="511"/>
  <c r="I21" i="511"/>
  <c r="F21" i="511"/>
  <c r="E21" i="511"/>
  <c r="D21" i="511"/>
  <c r="I20" i="511"/>
  <c r="F20" i="511"/>
  <c r="E20" i="511"/>
  <c r="D20" i="511"/>
  <c r="I19" i="511"/>
  <c r="F19" i="511"/>
  <c r="E19" i="511"/>
  <c r="D19" i="511"/>
  <c r="I18" i="511"/>
  <c r="F18" i="511"/>
  <c r="E18" i="511"/>
  <c r="D18" i="511"/>
  <c r="I17" i="511"/>
  <c r="F17" i="511"/>
  <c r="E17" i="511"/>
  <c r="D17" i="511"/>
  <c r="I16" i="511"/>
  <c r="F16" i="511"/>
  <c r="E16" i="511"/>
  <c r="D16" i="511"/>
  <c r="I15" i="511"/>
  <c r="F15" i="511"/>
  <c r="E15" i="511"/>
  <c r="D15" i="511"/>
  <c r="I14" i="511"/>
  <c r="F14" i="511"/>
  <c r="E14" i="511"/>
  <c r="D14" i="511"/>
  <c r="I13" i="511"/>
  <c r="F13" i="511"/>
  <c r="E13" i="511"/>
  <c r="D13" i="511"/>
  <c r="I12" i="511"/>
  <c r="F12" i="511"/>
  <c r="E12" i="511"/>
  <c r="D12" i="511"/>
  <c r="F11" i="511"/>
  <c r="I11" i="511" s="1"/>
  <c r="E11" i="511"/>
  <c r="D11" i="511"/>
  <c r="F10" i="511"/>
  <c r="E10" i="511"/>
  <c r="I10" i="511" s="1"/>
  <c r="D10" i="511"/>
  <c r="F9" i="511"/>
  <c r="I9" i="511" s="1"/>
  <c r="E9" i="511"/>
  <c r="D9" i="511"/>
  <c r="G8" i="511"/>
  <c r="F8" i="511"/>
  <c r="E8" i="511"/>
  <c r="I8" i="511" s="1"/>
  <c r="I7" i="511" s="1"/>
  <c r="D8" i="511"/>
  <c r="C8" i="511"/>
  <c r="C9" i="511" s="1"/>
  <c r="E7" i="511"/>
  <c r="G6" i="511"/>
  <c r="I37" i="510"/>
  <c r="F37" i="510"/>
  <c r="E37" i="510"/>
  <c r="D37" i="510"/>
  <c r="I36" i="510"/>
  <c r="F36" i="510"/>
  <c r="E36" i="510"/>
  <c r="D36" i="510"/>
  <c r="I35" i="510"/>
  <c r="F35" i="510"/>
  <c r="E35" i="510"/>
  <c r="D35" i="510"/>
  <c r="I34" i="510"/>
  <c r="F34" i="510"/>
  <c r="E34" i="510"/>
  <c r="D34" i="510"/>
  <c r="I33" i="510"/>
  <c r="F33" i="510"/>
  <c r="E33" i="510"/>
  <c r="D33" i="510"/>
  <c r="I32" i="510"/>
  <c r="F32" i="510"/>
  <c r="E32" i="510"/>
  <c r="D32" i="510"/>
  <c r="I31" i="510"/>
  <c r="F31" i="510"/>
  <c r="E31" i="510"/>
  <c r="D31" i="510"/>
  <c r="I30" i="510"/>
  <c r="F30" i="510"/>
  <c r="E30" i="510"/>
  <c r="D30" i="510"/>
  <c r="I29" i="510"/>
  <c r="F29" i="510"/>
  <c r="E29" i="510"/>
  <c r="D29" i="510"/>
  <c r="I28" i="510"/>
  <c r="F28" i="510"/>
  <c r="E28" i="510"/>
  <c r="D28" i="510"/>
  <c r="I27" i="510"/>
  <c r="F27" i="510"/>
  <c r="E27" i="510"/>
  <c r="D27" i="510"/>
  <c r="I26" i="510"/>
  <c r="F26" i="510"/>
  <c r="E26" i="510"/>
  <c r="D26" i="510"/>
  <c r="I25" i="510"/>
  <c r="F25" i="510"/>
  <c r="E25" i="510"/>
  <c r="D25" i="510"/>
  <c r="I24" i="510"/>
  <c r="F24" i="510"/>
  <c r="E24" i="510"/>
  <c r="D24" i="510"/>
  <c r="I23" i="510"/>
  <c r="F23" i="510"/>
  <c r="E23" i="510"/>
  <c r="D23" i="510"/>
  <c r="I22" i="510"/>
  <c r="F22" i="510"/>
  <c r="E22" i="510"/>
  <c r="D22" i="510"/>
  <c r="I21" i="510"/>
  <c r="F21" i="510"/>
  <c r="E21" i="510"/>
  <c r="D21" i="510"/>
  <c r="I20" i="510"/>
  <c r="F20" i="510"/>
  <c r="E20" i="510"/>
  <c r="D20" i="510"/>
  <c r="I19" i="510"/>
  <c r="F19" i="510"/>
  <c r="E19" i="510"/>
  <c r="D19" i="510"/>
  <c r="I18" i="510"/>
  <c r="F18" i="510"/>
  <c r="E18" i="510"/>
  <c r="D18" i="510"/>
  <c r="I17" i="510"/>
  <c r="F17" i="510"/>
  <c r="E17" i="510"/>
  <c r="D17" i="510"/>
  <c r="I16" i="510"/>
  <c r="F16" i="510"/>
  <c r="E16" i="510"/>
  <c r="D16" i="510"/>
  <c r="I15" i="510"/>
  <c r="F15" i="510"/>
  <c r="E15" i="510"/>
  <c r="D15" i="510"/>
  <c r="I14" i="510"/>
  <c r="F14" i="510"/>
  <c r="E14" i="510"/>
  <c r="D14" i="510"/>
  <c r="I13" i="510"/>
  <c r="F13" i="510"/>
  <c r="E13" i="510"/>
  <c r="D13" i="510"/>
  <c r="I12" i="510"/>
  <c r="F12" i="510"/>
  <c r="E12" i="510"/>
  <c r="D12" i="510"/>
  <c r="I11" i="510"/>
  <c r="F11" i="510"/>
  <c r="E11" i="510"/>
  <c r="D11" i="510"/>
  <c r="F10" i="510"/>
  <c r="E10" i="510"/>
  <c r="I10" i="510" s="1"/>
  <c r="D10" i="510"/>
  <c r="F9" i="510"/>
  <c r="E9" i="510"/>
  <c r="I9" i="510" s="1"/>
  <c r="D9" i="510"/>
  <c r="G8" i="510"/>
  <c r="F8" i="510"/>
  <c r="E8" i="510"/>
  <c r="D8" i="510"/>
  <c r="C8" i="510"/>
  <c r="C9" i="510" s="1"/>
  <c r="E7" i="510"/>
  <c r="G6" i="510"/>
  <c r="I37" i="509"/>
  <c r="F37" i="509"/>
  <c r="E37" i="509"/>
  <c r="D37" i="509"/>
  <c r="I36" i="509"/>
  <c r="F36" i="509"/>
  <c r="E36" i="509"/>
  <c r="D36" i="509"/>
  <c r="I35" i="509"/>
  <c r="F35" i="509"/>
  <c r="E35" i="509"/>
  <c r="D35" i="509"/>
  <c r="I34" i="509"/>
  <c r="F34" i="509"/>
  <c r="E34" i="509"/>
  <c r="D34" i="509"/>
  <c r="I33" i="509"/>
  <c r="F33" i="509"/>
  <c r="E33" i="509"/>
  <c r="D33" i="509"/>
  <c r="I32" i="509"/>
  <c r="F32" i="509"/>
  <c r="E32" i="509"/>
  <c r="D32" i="509"/>
  <c r="I31" i="509"/>
  <c r="F31" i="509"/>
  <c r="E31" i="509"/>
  <c r="D31" i="509"/>
  <c r="I30" i="509"/>
  <c r="F30" i="509"/>
  <c r="E30" i="509"/>
  <c r="D30" i="509"/>
  <c r="I29" i="509"/>
  <c r="F29" i="509"/>
  <c r="E29" i="509"/>
  <c r="D29" i="509"/>
  <c r="I28" i="509"/>
  <c r="F28" i="509"/>
  <c r="E28" i="509"/>
  <c r="D28" i="509"/>
  <c r="I27" i="509"/>
  <c r="F27" i="509"/>
  <c r="E27" i="509"/>
  <c r="D27" i="509"/>
  <c r="I26" i="509"/>
  <c r="F26" i="509"/>
  <c r="E26" i="509"/>
  <c r="D26" i="509"/>
  <c r="I25" i="509"/>
  <c r="F25" i="509"/>
  <c r="E25" i="509"/>
  <c r="D25" i="509"/>
  <c r="I24" i="509"/>
  <c r="F24" i="509"/>
  <c r="E24" i="509"/>
  <c r="D24" i="509"/>
  <c r="I23" i="509"/>
  <c r="F23" i="509"/>
  <c r="E23" i="509"/>
  <c r="D23" i="509"/>
  <c r="I22" i="509"/>
  <c r="F22" i="509"/>
  <c r="E22" i="509"/>
  <c r="D22" i="509"/>
  <c r="I21" i="509"/>
  <c r="F21" i="509"/>
  <c r="E21" i="509"/>
  <c r="D21" i="509"/>
  <c r="I20" i="509"/>
  <c r="F20" i="509"/>
  <c r="E20" i="509"/>
  <c r="D20" i="509"/>
  <c r="I19" i="509"/>
  <c r="F19" i="509"/>
  <c r="E19" i="509"/>
  <c r="D19" i="509"/>
  <c r="I18" i="509"/>
  <c r="F18" i="509"/>
  <c r="E18" i="509"/>
  <c r="D18" i="509"/>
  <c r="I17" i="509"/>
  <c r="F17" i="509"/>
  <c r="E17" i="509"/>
  <c r="D17" i="509"/>
  <c r="I16" i="509"/>
  <c r="F16" i="509"/>
  <c r="E16" i="509"/>
  <c r="D16" i="509"/>
  <c r="I15" i="509"/>
  <c r="F15" i="509"/>
  <c r="E15" i="509"/>
  <c r="D15" i="509"/>
  <c r="I14" i="509"/>
  <c r="F14" i="509"/>
  <c r="E14" i="509"/>
  <c r="D14" i="509"/>
  <c r="I13" i="509"/>
  <c r="F13" i="509"/>
  <c r="E13" i="509"/>
  <c r="D13" i="509"/>
  <c r="I12" i="509"/>
  <c r="F12" i="509"/>
  <c r="E12" i="509"/>
  <c r="D12" i="509"/>
  <c r="I11" i="509"/>
  <c r="F11" i="509"/>
  <c r="E11" i="509"/>
  <c r="D11" i="509"/>
  <c r="I10" i="509"/>
  <c r="F10" i="509"/>
  <c r="E10" i="509"/>
  <c r="D10" i="509"/>
  <c r="I9" i="509"/>
  <c r="F9" i="509"/>
  <c r="E9" i="509"/>
  <c r="D9" i="509"/>
  <c r="G8" i="509"/>
  <c r="F8" i="509"/>
  <c r="I8" i="509" s="1"/>
  <c r="I7" i="509" s="1"/>
  <c r="E8" i="509"/>
  <c r="D8" i="509"/>
  <c r="C8" i="509"/>
  <c r="C9" i="509" s="1"/>
  <c r="E7" i="509"/>
  <c r="G6" i="509"/>
  <c r="I37" i="508"/>
  <c r="F37" i="508"/>
  <c r="E37" i="508"/>
  <c r="D37" i="508"/>
  <c r="I36" i="508"/>
  <c r="F36" i="508"/>
  <c r="E36" i="508"/>
  <c r="D36" i="508"/>
  <c r="I35" i="508"/>
  <c r="F35" i="508"/>
  <c r="E35" i="508"/>
  <c r="D35" i="508"/>
  <c r="I34" i="508"/>
  <c r="F34" i="508"/>
  <c r="E34" i="508"/>
  <c r="D34" i="508"/>
  <c r="I33" i="508"/>
  <c r="F33" i="508"/>
  <c r="E33" i="508"/>
  <c r="D33" i="508"/>
  <c r="I32" i="508"/>
  <c r="F32" i="508"/>
  <c r="E32" i="508"/>
  <c r="D32" i="508"/>
  <c r="I31" i="508"/>
  <c r="F31" i="508"/>
  <c r="E31" i="508"/>
  <c r="D31" i="508"/>
  <c r="I30" i="508"/>
  <c r="F30" i="508"/>
  <c r="E30" i="508"/>
  <c r="D30" i="508"/>
  <c r="I29" i="508"/>
  <c r="F29" i="508"/>
  <c r="E29" i="508"/>
  <c r="D29" i="508"/>
  <c r="I28" i="508"/>
  <c r="F28" i="508"/>
  <c r="E28" i="508"/>
  <c r="D28" i="508"/>
  <c r="I27" i="508"/>
  <c r="F27" i="508"/>
  <c r="E27" i="508"/>
  <c r="D27" i="508"/>
  <c r="I26" i="508"/>
  <c r="F26" i="508"/>
  <c r="E26" i="508"/>
  <c r="D26" i="508"/>
  <c r="I25" i="508"/>
  <c r="F25" i="508"/>
  <c r="E25" i="508"/>
  <c r="D25" i="508"/>
  <c r="I24" i="508"/>
  <c r="F24" i="508"/>
  <c r="E24" i="508"/>
  <c r="D24" i="508"/>
  <c r="I23" i="508"/>
  <c r="F23" i="508"/>
  <c r="E23" i="508"/>
  <c r="D23" i="508"/>
  <c r="I22" i="508"/>
  <c r="F22" i="508"/>
  <c r="E22" i="508"/>
  <c r="D22" i="508"/>
  <c r="I21" i="508"/>
  <c r="F21" i="508"/>
  <c r="E21" i="508"/>
  <c r="D21" i="508"/>
  <c r="I20" i="508"/>
  <c r="F20" i="508"/>
  <c r="E20" i="508"/>
  <c r="D20" i="508"/>
  <c r="I19" i="508"/>
  <c r="F19" i="508"/>
  <c r="E19" i="508"/>
  <c r="D19" i="508"/>
  <c r="I18" i="508"/>
  <c r="F18" i="508"/>
  <c r="E18" i="508"/>
  <c r="D18" i="508"/>
  <c r="I17" i="508"/>
  <c r="F17" i="508"/>
  <c r="E17" i="508"/>
  <c r="D17" i="508"/>
  <c r="I16" i="508"/>
  <c r="F16" i="508"/>
  <c r="E16" i="508"/>
  <c r="D16" i="508"/>
  <c r="I15" i="508"/>
  <c r="F15" i="508"/>
  <c r="E15" i="508"/>
  <c r="D15" i="508"/>
  <c r="I14" i="508"/>
  <c r="F14" i="508"/>
  <c r="E14" i="508"/>
  <c r="D14" i="508"/>
  <c r="I13" i="508"/>
  <c r="F13" i="508"/>
  <c r="E13" i="508"/>
  <c r="D13" i="508"/>
  <c r="I12" i="508"/>
  <c r="F12" i="508"/>
  <c r="E12" i="508"/>
  <c r="D12" i="508"/>
  <c r="I11" i="508"/>
  <c r="F11" i="508"/>
  <c r="E11" i="508"/>
  <c r="D11" i="508"/>
  <c r="I10" i="508"/>
  <c r="F10" i="508"/>
  <c r="E10" i="508"/>
  <c r="D10" i="508"/>
  <c r="F9" i="508"/>
  <c r="I9" i="508" s="1"/>
  <c r="E9" i="508"/>
  <c r="D9" i="508"/>
  <c r="G8" i="508"/>
  <c r="F8" i="508"/>
  <c r="E8" i="508"/>
  <c r="I8" i="508" s="1"/>
  <c r="I7" i="508" s="1"/>
  <c r="D8" i="508"/>
  <c r="C8" i="508"/>
  <c r="C9" i="508" s="1"/>
  <c r="E7" i="508"/>
  <c r="G6" i="508"/>
  <c r="AG12" i="4"/>
  <c r="AG11" i="1"/>
  <c r="AG14" i="1"/>
  <c r="AG15" i="1"/>
  <c r="AG16" i="1"/>
  <c r="AG17" i="1"/>
  <c r="AG19" i="1"/>
  <c r="AG20" i="1"/>
  <c r="AG23" i="1"/>
  <c r="I7" i="95"/>
  <c r="H5" i="95"/>
  <c r="I8" i="510" l="1"/>
  <c r="I7" i="510" s="1"/>
  <c r="I7" i="518"/>
  <c r="I8" i="513"/>
  <c r="I7" i="513" s="1"/>
  <c r="G9" i="518"/>
  <c r="C10" i="518"/>
  <c r="G9" i="517"/>
  <c r="C10" i="517"/>
  <c r="G9" i="516"/>
  <c r="C10" i="516"/>
  <c r="G9" i="515"/>
  <c r="C10" i="515"/>
  <c r="G9" i="514"/>
  <c r="C10" i="514"/>
  <c r="C10" i="513"/>
  <c r="G9" i="512"/>
  <c r="C10" i="512"/>
  <c r="I7" i="512"/>
  <c r="G9" i="511"/>
  <c r="C10" i="511"/>
  <c r="G9" i="510"/>
  <c r="C10" i="510"/>
  <c r="G9" i="509"/>
  <c r="C10" i="509"/>
  <c r="G9" i="508"/>
  <c r="C10" i="508"/>
  <c r="M9" i="120"/>
  <c r="C11" i="518" l="1"/>
  <c r="G10" i="517"/>
  <c r="C11" i="517"/>
  <c r="G10" i="516"/>
  <c r="C11" i="516"/>
  <c r="G10" i="515"/>
  <c r="C11" i="515"/>
  <c r="G10" i="514"/>
  <c r="C11" i="514"/>
  <c r="G10" i="513"/>
  <c r="C11" i="513"/>
  <c r="G10" i="512"/>
  <c r="C11" i="512"/>
  <c r="G10" i="511"/>
  <c r="C11" i="511"/>
  <c r="G10" i="510"/>
  <c r="C11" i="510"/>
  <c r="G10" i="509"/>
  <c r="C11" i="509"/>
  <c r="G10" i="508"/>
  <c r="C11" i="508"/>
  <c r="I2" i="95"/>
  <c r="A2" i="4"/>
  <c r="F23" i="4"/>
  <c r="F8" i="4"/>
  <c r="F6" i="4"/>
  <c r="F5" i="4"/>
  <c r="A2" i="150"/>
  <c r="F10" i="150"/>
  <c r="F9" i="150"/>
  <c r="F5" i="150"/>
  <c r="G11" i="518" l="1"/>
  <c r="C12" i="518"/>
  <c r="G11" i="517"/>
  <c r="C12" i="517"/>
  <c r="C12" i="516"/>
  <c r="G11" i="516"/>
  <c r="C12" i="515"/>
  <c r="G11" i="515"/>
  <c r="C12" i="514"/>
  <c r="G11" i="514"/>
  <c r="C12" i="513"/>
  <c r="G11" i="513"/>
  <c r="C12" i="512"/>
  <c r="G11" i="512"/>
  <c r="C12" i="511"/>
  <c r="G11" i="511"/>
  <c r="G11" i="510"/>
  <c r="C12" i="510"/>
  <c r="C12" i="509"/>
  <c r="G11" i="509"/>
  <c r="C12" i="508"/>
  <c r="G11" i="508"/>
  <c r="A2" i="1"/>
  <c r="F18" i="1"/>
  <c r="F28" i="1"/>
  <c r="M31" i="1"/>
  <c r="H31" i="1"/>
  <c r="C13" i="518" l="1"/>
  <c r="G12" i="518"/>
  <c r="C13" i="517"/>
  <c r="G12" i="517"/>
  <c r="C13" i="516"/>
  <c r="G12" i="516"/>
  <c r="C13" i="515"/>
  <c r="G12" i="515"/>
  <c r="C13" i="514"/>
  <c r="G12" i="514"/>
  <c r="C13" i="513"/>
  <c r="G12" i="513"/>
  <c r="C13" i="512"/>
  <c r="G12" i="512"/>
  <c r="C13" i="511"/>
  <c r="G12" i="511"/>
  <c r="C13" i="510"/>
  <c r="G12" i="510"/>
  <c r="C13" i="509"/>
  <c r="G12" i="509"/>
  <c r="C13" i="508"/>
  <c r="G12" i="508"/>
  <c r="D15" i="439"/>
  <c r="E15" i="439"/>
  <c r="F15" i="439"/>
  <c r="G31" i="1"/>
  <c r="F20" i="4"/>
  <c r="F29" i="1"/>
  <c r="F25" i="1"/>
  <c r="F9" i="1"/>
  <c r="G13" i="518" l="1"/>
  <c r="C14" i="518"/>
  <c r="G13" i="517"/>
  <c r="C14" i="517"/>
  <c r="G13" i="516"/>
  <c r="C14" i="516"/>
  <c r="G13" i="515"/>
  <c r="C14" i="515"/>
  <c r="G13" i="514"/>
  <c r="C14" i="514"/>
  <c r="G13" i="513"/>
  <c r="C14" i="513"/>
  <c r="G13" i="512"/>
  <c r="C14" i="512"/>
  <c r="G13" i="511"/>
  <c r="C14" i="511"/>
  <c r="G13" i="510"/>
  <c r="C14" i="510"/>
  <c r="G13" i="509"/>
  <c r="C14" i="509"/>
  <c r="G13" i="508"/>
  <c r="C14" i="508"/>
  <c r="I12" i="95"/>
  <c r="K1" i="50"/>
  <c r="G14" i="518" l="1"/>
  <c r="C15" i="518"/>
  <c r="G14" i="517"/>
  <c r="C15" i="517"/>
  <c r="G14" i="516"/>
  <c r="C15" i="516"/>
  <c r="G14" i="515"/>
  <c r="C15" i="515"/>
  <c r="G14" i="514"/>
  <c r="C15" i="514"/>
  <c r="G14" i="513"/>
  <c r="C15" i="513"/>
  <c r="G14" i="512"/>
  <c r="C15" i="512"/>
  <c r="G14" i="511"/>
  <c r="C15" i="511"/>
  <c r="G14" i="510"/>
  <c r="C15" i="510"/>
  <c r="G14" i="509"/>
  <c r="C15" i="509"/>
  <c r="G14" i="508"/>
  <c r="C15" i="508"/>
  <c r="X10" i="150"/>
  <c r="X9" i="150"/>
  <c r="X5" i="150"/>
  <c r="G15" i="518" l="1"/>
  <c r="C16" i="518"/>
  <c r="C16" i="517"/>
  <c r="G15" i="517"/>
  <c r="C16" i="516"/>
  <c r="G15" i="516"/>
  <c r="G15" i="515"/>
  <c r="C16" i="515"/>
  <c r="C16" i="514"/>
  <c r="G15" i="514"/>
  <c r="C16" i="513"/>
  <c r="G15" i="513"/>
  <c r="C16" i="512"/>
  <c r="G15" i="512"/>
  <c r="G15" i="511"/>
  <c r="C16" i="511"/>
  <c r="G15" i="510"/>
  <c r="C16" i="510"/>
  <c r="C16" i="509"/>
  <c r="G15" i="509"/>
  <c r="C16" i="508"/>
  <c r="G15" i="508"/>
  <c r="R2" i="8"/>
  <c r="R3" i="8"/>
  <c r="R4" i="8"/>
  <c r="R5" i="8"/>
  <c r="R6" i="8"/>
  <c r="R7" i="8"/>
  <c r="R8" i="8"/>
  <c r="R9" i="8"/>
  <c r="F16" i="439"/>
  <c r="E16" i="439"/>
  <c r="D16"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F19" i="439"/>
  <c r="E19" i="439"/>
  <c r="D19" i="439"/>
  <c r="F18" i="439"/>
  <c r="E18" i="439"/>
  <c r="D18" i="439"/>
  <c r="F17" i="439"/>
  <c r="E17" i="439"/>
  <c r="D17" i="439"/>
  <c r="C17" i="518" l="1"/>
  <c r="G16" i="518"/>
  <c r="C17" i="517"/>
  <c r="G16" i="517"/>
  <c r="C17" i="516"/>
  <c r="G16" i="516"/>
  <c r="C17" i="515"/>
  <c r="G16" i="515"/>
  <c r="C17" i="514"/>
  <c r="G16" i="514"/>
  <c r="C17" i="513"/>
  <c r="G16" i="513"/>
  <c r="C17" i="512"/>
  <c r="G16" i="512"/>
  <c r="C17" i="511"/>
  <c r="G16" i="511"/>
  <c r="C17" i="510"/>
  <c r="G16" i="510"/>
  <c r="C17" i="509"/>
  <c r="G16" i="509"/>
  <c r="C17" i="508"/>
  <c r="G16" i="508"/>
  <c r="G9" i="439"/>
  <c r="C10" i="439"/>
  <c r="F11" i="150"/>
  <c r="F6" i="150"/>
  <c r="B1" i="95"/>
  <c r="G17" i="518" l="1"/>
  <c r="C18" i="518"/>
  <c r="G17" i="517"/>
  <c r="C18" i="517"/>
  <c r="G17" i="516"/>
  <c r="C18" i="516"/>
  <c r="G17" i="515"/>
  <c r="C18" i="515"/>
  <c r="G17" i="514"/>
  <c r="C18" i="514"/>
  <c r="G17" i="513"/>
  <c r="C18" i="513"/>
  <c r="G17" i="512"/>
  <c r="C18" i="512"/>
  <c r="G17" i="511"/>
  <c r="C18" i="511"/>
  <c r="G17" i="510"/>
  <c r="C18" i="510"/>
  <c r="G17" i="509"/>
  <c r="C18" i="509"/>
  <c r="G17" i="508"/>
  <c r="C18" i="508"/>
  <c r="G10" i="439"/>
  <c r="C11" i="439"/>
  <c r="P11" i="150"/>
  <c r="C19" i="518" l="1"/>
  <c r="G18" i="518"/>
  <c r="C19" i="517"/>
  <c r="G18" i="517"/>
  <c r="G18" i="516"/>
  <c r="C19" i="516"/>
  <c r="G18" i="515"/>
  <c r="C19" i="515"/>
  <c r="G18" i="514"/>
  <c r="C19" i="514"/>
  <c r="G18" i="513"/>
  <c r="C19" i="513"/>
  <c r="G18" i="512"/>
  <c r="C19" i="512"/>
  <c r="G18" i="511"/>
  <c r="C19" i="511"/>
  <c r="G18" i="510"/>
  <c r="C19" i="510"/>
  <c r="G18" i="509"/>
  <c r="C19" i="509"/>
  <c r="G18" i="508"/>
  <c r="C19" i="508"/>
  <c r="C12" i="439"/>
  <c r="G11" i="439"/>
  <c r="T8" i="120"/>
  <c r="G19" i="518" l="1"/>
  <c r="C20" i="518"/>
  <c r="G19" i="517"/>
  <c r="C20" i="517"/>
  <c r="G19" i="516"/>
  <c r="C20" i="516"/>
  <c r="C20" i="515"/>
  <c r="G19" i="515"/>
  <c r="G19" i="514"/>
  <c r="C20" i="514"/>
  <c r="C20" i="513"/>
  <c r="G19" i="513"/>
  <c r="G19" i="512"/>
  <c r="C20" i="512"/>
  <c r="C20" i="511"/>
  <c r="G19" i="511"/>
  <c r="C20" i="510"/>
  <c r="G19" i="510"/>
  <c r="C20" i="509"/>
  <c r="G19" i="509"/>
  <c r="C20" i="508"/>
  <c r="G19" i="508"/>
  <c r="G12" i="439"/>
  <c r="C13" i="439"/>
  <c r="F9" i="4"/>
  <c r="F12" i="150"/>
  <c r="C21" i="518" l="1"/>
  <c r="G20" i="518"/>
  <c r="C21" i="517"/>
  <c r="G20" i="517"/>
  <c r="C21" i="516"/>
  <c r="G20" i="516"/>
  <c r="C21" i="515"/>
  <c r="G20" i="515"/>
  <c r="C21" i="514"/>
  <c r="G20" i="514"/>
  <c r="C21" i="513"/>
  <c r="G20" i="513"/>
  <c r="C21" i="512"/>
  <c r="G20" i="512"/>
  <c r="C21" i="511"/>
  <c r="G20" i="511"/>
  <c r="C21" i="510"/>
  <c r="G20" i="510"/>
  <c r="C21" i="509"/>
  <c r="G20" i="509"/>
  <c r="C21" i="508"/>
  <c r="G20" i="508"/>
  <c r="C14" i="439"/>
  <c r="G13" i="439"/>
  <c r="N8" i="120"/>
  <c r="G21" i="518" l="1"/>
  <c r="C22" i="518"/>
  <c r="G21" i="517"/>
  <c r="C22" i="517"/>
  <c r="G21" i="516"/>
  <c r="C22" i="516"/>
  <c r="G21" i="515"/>
  <c r="C22" i="515"/>
  <c r="G21" i="514"/>
  <c r="C22" i="514"/>
  <c r="G21" i="513"/>
  <c r="C22" i="513"/>
  <c r="G21" i="512"/>
  <c r="C22" i="512"/>
  <c r="G21" i="511"/>
  <c r="C22" i="511"/>
  <c r="G21" i="510"/>
  <c r="C22" i="510"/>
  <c r="G21" i="509"/>
  <c r="C22" i="509"/>
  <c r="G21" i="508"/>
  <c r="C22" i="508"/>
  <c r="C15" i="439"/>
  <c r="G14" i="439"/>
  <c r="M8" i="120"/>
  <c r="B2" i="137"/>
  <c r="F9" i="137"/>
  <c r="F21" i="1"/>
  <c r="G22" i="518" l="1"/>
  <c r="C23" i="518"/>
  <c r="G22" i="517"/>
  <c r="C23" i="517"/>
  <c r="G22" i="516"/>
  <c r="C23" i="516"/>
  <c r="G22" i="515"/>
  <c r="C23" i="515"/>
  <c r="G22" i="514"/>
  <c r="C23" i="514"/>
  <c r="G22" i="513"/>
  <c r="C23" i="513"/>
  <c r="G22" i="512"/>
  <c r="C23" i="512"/>
  <c r="G22" i="511"/>
  <c r="C23" i="511"/>
  <c r="G22" i="510"/>
  <c r="C23" i="510"/>
  <c r="G22" i="509"/>
  <c r="C23" i="509"/>
  <c r="G22" i="508"/>
  <c r="C23" i="508"/>
  <c r="G15" i="439"/>
  <c r="C16" i="439"/>
  <c r="F8" i="150"/>
  <c r="F7" i="150"/>
  <c r="G23" i="518" l="1"/>
  <c r="C24" i="518"/>
  <c r="C24" i="517"/>
  <c r="G23" i="517"/>
  <c r="C24" i="516"/>
  <c r="G23" i="516"/>
  <c r="C24" i="515"/>
  <c r="G23" i="515"/>
  <c r="C24" i="514"/>
  <c r="G23" i="514"/>
  <c r="G23" i="513"/>
  <c r="C24" i="513"/>
  <c r="C24" i="512"/>
  <c r="G23" i="512"/>
  <c r="C24" i="511"/>
  <c r="G23" i="511"/>
  <c r="C24" i="510"/>
  <c r="G23" i="510"/>
  <c r="C24" i="509"/>
  <c r="G23" i="509"/>
  <c r="G23" i="508"/>
  <c r="C24" i="508"/>
  <c r="G16" i="439"/>
  <c r="S8" i="120"/>
  <c r="C25" i="518" l="1"/>
  <c r="G24" i="518"/>
  <c r="C25" i="517"/>
  <c r="G24" i="517"/>
  <c r="C25" i="516"/>
  <c r="G24" i="516"/>
  <c r="C25" i="515"/>
  <c r="G24" i="515"/>
  <c r="C25" i="514"/>
  <c r="G24" i="514"/>
  <c r="C25" i="513"/>
  <c r="G24" i="513"/>
  <c r="C25" i="512"/>
  <c r="G24" i="512"/>
  <c r="C25" i="511"/>
  <c r="G24" i="511"/>
  <c r="C25" i="510"/>
  <c r="G24" i="510"/>
  <c r="C25" i="509"/>
  <c r="G24" i="509"/>
  <c r="C25" i="508"/>
  <c r="G24" i="508"/>
  <c r="C17" i="439"/>
  <c r="F19" i="4"/>
  <c r="G25" i="518" l="1"/>
  <c r="C26" i="518"/>
  <c r="G25" i="517"/>
  <c r="C26" i="517"/>
  <c r="G25" i="516"/>
  <c r="C26" i="516"/>
  <c r="G25" i="515"/>
  <c r="C26" i="515"/>
  <c r="G25" i="514"/>
  <c r="C26" i="514"/>
  <c r="G25" i="513"/>
  <c r="C26" i="513"/>
  <c r="G25" i="512"/>
  <c r="C26" i="512"/>
  <c r="G25" i="511"/>
  <c r="C26" i="511"/>
  <c r="G25" i="510"/>
  <c r="C26" i="510"/>
  <c r="G25" i="509"/>
  <c r="C26" i="509"/>
  <c r="G25" i="508"/>
  <c r="C26" i="508"/>
  <c r="G17" i="439"/>
  <c r="C18" i="439"/>
  <c r="G26" i="518" l="1"/>
  <c r="C27" i="518"/>
  <c r="C27" i="517"/>
  <c r="G26" i="517"/>
  <c r="G26" i="516"/>
  <c r="C27" i="516"/>
  <c r="G26" i="515"/>
  <c r="C27" i="515"/>
  <c r="G26" i="514"/>
  <c r="C27" i="514"/>
  <c r="G26" i="513"/>
  <c r="C27" i="513"/>
  <c r="G26" i="512"/>
  <c r="C27" i="512"/>
  <c r="G26" i="511"/>
  <c r="C27" i="511"/>
  <c r="G26" i="510"/>
  <c r="C27" i="510"/>
  <c r="G26" i="509"/>
  <c r="C27" i="509"/>
  <c r="G26" i="508"/>
  <c r="C27" i="508"/>
  <c r="C19" i="439"/>
  <c r="G18" i="439"/>
  <c r="G27" i="518" l="1"/>
  <c r="C28" i="518"/>
  <c r="G27" i="517"/>
  <c r="C28" i="517"/>
  <c r="G27" i="516"/>
  <c r="C28" i="516"/>
  <c r="G27" i="515"/>
  <c r="C28" i="515"/>
  <c r="G27" i="514"/>
  <c r="C28" i="514"/>
  <c r="C28" i="513"/>
  <c r="G27" i="513"/>
  <c r="G27" i="512"/>
  <c r="C28" i="512"/>
  <c r="G27" i="511"/>
  <c r="C28" i="511"/>
  <c r="C28" i="510"/>
  <c r="G27" i="510"/>
  <c r="C28" i="509"/>
  <c r="G27" i="509"/>
  <c r="G27" i="508"/>
  <c r="C28" i="508"/>
  <c r="G19" i="439"/>
  <c r="L30" i="4"/>
  <c r="C29" i="518" l="1"/>
  <c r="G28" i="518"/>
  <c r="C29" i="517"/>
  <c r="G28" i="517"/>
  <c r="C29" i="516"/>
  <c r="G28" i="516"/>
  <c r="C29" i="515"/>
  <c r="G28" i="515"/>
  <c r="C29" i="514"/>
  <c r="G28" i="514"/>
  <c r="C29" i="513"/>
  <c r="G28" i="513"/>
  <c r="C29" i="512"/>
  <c r="G28" i="512"/>
  <c r="C29" i="511"/>
  <c r="G28" i="511"/>
  <c r="C29" i="510"/>
  <c r="G28" i="510"/>
  <c r="C29" i="509"/>
  <c r="G28" i="509"/>
  <c r="C29" i="508"/>
  <c r="G28" i="508"/>
  <c r="AX31" i="1"/>
  <c r="AX32" i="1"/>
  <c r="AX33" i="1"/>
  <c r="AX34" i="1"/>
  <c r="G29" i="518" l="1"/>
  <c r="C30" i="518"/>
  <c r="G29" i="517"/>
  <c r="C30" i="517"/>
  <c r="G29" i="516"/>
  <c r="C30" i="516"/>
  <c r="G29" i="515"/>
  <c r="C30" i="515"/>
  <c r="G29" i="514"/>
  <c r="C30" i="514"/>
  <c r="G29" i="513"/>
  <c r="C30" i="513"/>
  <c r="G29" i="512"/>
  <c r="C30" i="512"/>
  <c r="G29" i="511"/>
  <c r="C30" i="511"/>
  <c r="G29" i="510"/>
  <c r="C30" i="510"/>
  <c r="G29" i="509"/>
  <c r="C30" i="509"/>
  <c r="G29" i="508"/>
  <c r="C30" i="50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0" i="518" l="1"/>
  <c r="C31" i="518"/>
  <c r="C31" i="517"/>
  <c r="G30" i="517"/>
  <c r="G30" i="516"/>
  <c r="C31" i="516"/>
  <c r="G30" i="515"/>
  <c r="C31" i="515"/>
  <c r="G30" i="514"/>
  <c r="C31" i="514"/>
  <c r="G30" i="513"/>
  <c r="C31" i="513"/>
  <c r="G30" i="512"/>
  <c r="C31" i="512"/>
  <c r="G30" i="511"/>
  <c r="C31" i="511"/>
  <c r="G30" i="510"/>
  <c r="C31" i="510"/>
  <c r="G30" i="509"/>
  <c r="C31" i="509"/>
  <c r="G30" i="508"/>
  <c r="C31" i="508"/>
  <c r="P7" i="137"/>
  <c r="D22" i="95"/>
  <c r="G31" i="518" l="1"/>
  <c r="C32" i="518"/>
  <c r="G31" i="517"/>
  <c r="C32" i="517"/>
  <c r="G31" i="516"/>
  <c r="C32" i="516"/>
  <c r="C32" i="515"/>
  <c r="G31" i="515"/>
  <c r="C32" i="514"/>
  <c r="G31" i="514"/>
  <c r="C32" i="513"/>
  <c r="G31" i="513"/>
  <c r="C32" i="512"/>
  <c r="G31" i="512"/>
  <c r="C32" i="511"/>
  <c r="G31" i="511"/>
  <c r="G31" i="510"/>
  <c r="C32" i="510"/>
  <c r="C32" i="509"/>
  <c r="G31" i="509"/>
  <c r="G31" i="508"/>
  <c r="C32" i="508"/>
  <c r="M7" i="120"/>
  <c r="C33" i="518" l="1"/>
  <c r="G32" i="518"/>
  <c r="C33" i="517"/>
  <c r="G32" i="517"/>
  <c r="C33" i="516"/>
  <c r="G32" i="516"/>
  <c r="C33" i="515"/>
  <c r="G32" i="515"/>
  <c r="C33" i="514"/>
  <c r="G32" i="514"/>
  <c r="C33" i="513"/>
  <c r="G32" i="513"/>
  <c r="C33" i="512"/>
  <c r="G32" i="512"/>
  <c r="C33" i="511"/>
  <c r="G32" i="511"/>
  <c r="C33" i="510"/>
  <c r="G32" i="510"/>
  <c r="C33" i="509"/>
  <c r="G32" i="509"/>
  <c r="C33" i="508"/>
  <c r="G32" i="508"/>
  <c r="F7" i="4"/>
  <c r="G33" i="518" l="1"/>
  <c r="C34" i="518"/>
  <c r="G33" i="517"/>
  <c r="C34" i="517"/>
  <c r="G33" i="516"/>
  <c r="C34" i="516"/>
  <c r="G33" i="515"/>
  <c r="C34" i="515"/>
  <c r="G33" i="514"/>
  <c r="C34" i="514"/>
  <c r="G33" i="513"/>
  <c r="C34" i="513"/>
  <c r="G33" i="512"/>
  <c r="C34" i="512"/>
  <c r="G33" i="511"/>
  <c r="C34" i="511"/>
  <c r="G33" i="510"/>
  <c r="C34" i="510"/>
  <c r="G33" i="509"/>
  <c r="C34" i="509"/>
  <c r="G33" i="508"/>
  <c r="C34" i="508"/>
  <c r="N7" i="120"/>
  <c r="G34" i="518" l="1"/>
  <c r="C35" i="518"/>
  <c r="G34" i="517"/>
  <c r="C35" i="517"/>
  <c r="G34" i="516"/>
  <c r="C35" i="516"/>
  <c r="G34" i="515"/>
  <c r="C35" i="515"/>
  <c r="G34" i="514"/>
  <c r="C35" i="514"/>
  <c r="G34" i="513"/>
  <c r="C35" i="513"/>
  <c r="G34" i="512"/>
  <c r="C35" i="512"/>
  <c r="G34" i="511"/>
  <c r="C35" i="511"/>
  <c r="G34" i="510"/>
  <c r="C35" i="510"/>
  <c r="G34" i="509"/>
  <c r="C35" i="509"/>
  <c r="G34" i="508"/>
  <c r="C35" i="508"/>
  <c r="G29" i="1"/>
  <c r="G35" i="518" l="1"/>
  <c r="C36" i="518"/>
  <c r="G35" i="517"/>
  <c r="C36" i="517"/>
  <c r="G35" i="516"/>
  <c r="C36" i="516"/>
  <c r="G35" i="515"/>
  <c r="C36" i="515"/>
  <c r="C36" i="514"/>
  <c r="G35" i="514"/>
  <c r="C36" i="513"/>
  <c r="G35" i="513"/>
  <c r="C36" i="512"/>
  <c r="G35" i="512"/>
  <c r="C36" i="511"/>
  <c r="G35" i="511"/>
  <c r="G35" i="510"/>
  <c r="C36" i="510"/>
  <c r="C36" i="509"/>
  <c r="G35" i="509"/>
  <c r="C36" i="508"/>
  <c r="G35" i="508"/>
  <c r="D17" i="95"/>
  <c r="C37" i="518" l="1"/>
  <c r="G36" i="518"/>
  <c r="H33" i="518"/>
  <c r="H36" i="518"/>
  <c r="C37" i="517"/>
  <c r="G36" i="517"/>
  <c r="H30" i="517"/>
  <c r="H34" i="517"/>
  <c r="H36" i="517"/>
  <c r="C37" i="516"/>
  <c r="G36" i="516"/>
  <c r="H33" i="516"/>
  <c r="H34" i="516"/>
  <c r="H30" i="516"/>
  <c r="C37" i="515"/>
  <c r="G36" i="515"/>
  <c r="H35" i="515"/>
  <c r="H32" i="515"/>
  <c r="C37" i="514"/>
  <c r="G36" i="514"/>
  <c r="C37" i="513"/>
  <c r="H8" i="513" s="1"/>
  <c r="G36" i="513"/>
  <c r="C37" i="512"/>
  <c r="G36" i="512"/>
  <c r="C37" i="511"/>
  <c r="G36" i="511"/>
  <c r="C37" i="510"/>
  <c r="G36" i="510"/>
  <c r="C37" i="509"/>
  <c r="G36" i="509"/>
  <c r="C37" i="508"/>
  <c r="G36" i="508"/>
  <c r="H32" i="508"/>
  <c r="H35" i="508"/>
  <c r="H36" i="508"/>
  <c r="H34" i="508"/>
  <c r="H4" i="95"/>
  <c r="H1" i="95" s="1"/>
  <c r="G37" i="518" l="1"/>
  <c r="G38" i="518"/>
  <c r="H38" i="518" s="1"/>
  <c r="H9" i="518"/>
  <c r="H11" i="518" s="1"/>
  <c r="H14" i="518"/>
  <c r="H13" i="518"/>
  <c r="H8" i="518"/>
  <c r="H12" i="518"/>
  <c r="H17" i="518"/>
  <c r="H16" i="518"/>
  <c r="H15" i="518"/>
  <c r="H18" i="518"/>
  <c r="H19" i="518"/>
  <c r="H20" i="518"/>
  <c r="H21" i="518"/>
  <c r="H22" i="518"/>
  <c r="H23" i="518"/>
  <c r="H25" i="518"/>
  <c r="H26" i="518"/>
  <c r="H24" i="518"/>
  <c r="H27" i="518"/>
  <c r="H30" i="518"/>
  <c r="H28" i="518"/>
  <c r="H29" i="518"/>
  <c r="H31" i="518"/>
  <c r="H32" i="518"/>
  <c r="H34" i="518"/>
  <c r="H35" i="518"/>
  <c r="H37" i="518"/>
  <c r="H31" i="517"/>
  <c r="G37" i="517"/>
  <c r="H37" i="517" s="1"/>
  <c r="G38" i="517"/>
  <c r="H38" i="517" s="1"/>
  <c r="H9" i="517"/>
  <c r="H8" i="517"/>
  <c r="H10" i="517"/>
  <c r="H13" i="517"/>
  <c r="H11" i="517"/>
  <c r="H12" i="517"/>
  <c r="H14" i="517"/>
  <c r="H17" i="517"/>
  <c r="H16" i="517"/>
  <c r="H18" i="517"/>
  <c r="H15" i="517"/>
  <c r="H19" i="517"/>
  <c r="H20" i="517"/>
  <c r="H21" i="517"/>
  <c r="H22" i="517"/>
  <c r="H23" i="517"/>
  <c r="H26" i="517"/>
  <c r="H24" i="517"/>
  <c r="H27" i="517"/>
  <c r="H25" i="517"/>
  <c r="H29" i="517"/>
  <c r="H28" i="517"/>
  <c r="H32" i="517"/>
  <c r="H33" i="517"/>
  <c r="H35" i="517"/>
  <c r="H32" i="516"/>
  <c r="H35" i="516"/>
  <c r="H31" i="516"/>
  <c r="G37" i="516"/>
  <c r="H37" i="516" s="1"/>
  <c r="G38" i="516"/>
  <c r="H38" i="516" s="1"/>
  <c r="H9" i="516"/>
  <c r="H8" i="516"/>
  <c r="H10" i="516"/>
  <c r="H12" i="516"/>
  <c r="H11" i="516"/>
  <c r="H13" i="516"/>
  <c r="H16" i="516"/>
  <c r="H15" i="516"/>
  <c r="H14" i="516"/>
  <c r="H19" i="516"/>
  <c r="H18" i="516"/>
  <c r="H17" i="516"/>
  <c r="H21" i="516"/>
  <c r="H20" i="516"/>
  <c r="H24" i="516"/>
  <c r="H22" i="516"/>
  <c r="H23" i="516"/>
  <c r="H25" i="516"/>
  <c r="H26" i="516"/>
  <c r="H28" i="516"/>
  <c r="H27" i="516"/>
  <c r="H29" i="516"/>
  <c r="H36" i="516"/>
  <c r="G37" i="515"/>
  <c r="G38" i="515"/>
  <c r="H38" i="515" s="1"/>
  <c r="H9" i="515"/>
  <c r="H8" i="515"/>
  <c r="H10" i="515"/>
  <c r="H12" i="515"/>
  <c r="H11" i="515"/>
  <c r="H13" i="515"/>
  <c r="H14" i="515"/>
  <c r="H16" i="515"/>
  <c r="H17" i="515"/>
  <c r="H15" i="515"/>
  <c r="H18" i="515"/>
  <c r="H21" i="515"/>
  <c r="H19" i="515"/>
  <c r="H20" i="515"/>
  <c r="H23" i="515"/>
  <c r="H22" i="515"/>
  <c r="H24" i="515"/>
  <c r="H25" i="515"/>
  <c r="H26" i="515"/>
  <c r="H28" i="515"/>
  <c r="H27" i="515"/>
  <c r="H29" i="515"/>
  <c r="H33" i="515"/>
  <c r="H30" i="515"/>
  <c r="H31" i="515"/>
  <c r="H36" i="515"/>
  <c r="H37" i="515"/>
  <c r="H34" i="515"/>
  <c r="G37" i="514"/>
  <c r="H37" i="514" s="1"/>
  <c r="G38" i="514"/>
  <c r="H38" i="514" s="1"/>
  <c r="H8" i="514"/>
  <c r="H9" i="514" s="1"/>
  <c r="H12" i="514"/>
  <c r="H10" i="514"/>
  <c r="H11" i="514"/>
  <c r="H13" i="514"/>
  <c r="H14" i="514"/>
  <c r="H15" i="514"/>
  <c r="H18" i="514"/>
  <c r="H17" i="514"/>
  <c r="H16" i="514"/>
  <c r="H19" i="514"/>
  <c r="H21" i="514"/>
  <c r="H20" i="514"/>
  <c r="H22" i="514"/>
  <c r="H23" i="514"/>
  <c r="H25" i="514"/>
  <c r="H24" i="514"/>
  <c r="H26" i="514"/>
  <c r="H27" i="514"/>
  <c r="H29" i="514"/>
  <c r="H30" i="514"/>
  <c r="H31" i="514"/>
  <c r="H28" i="514"/>
  <c r="H32" i="514"/>
  <c r="H35" i="514"/>
  <c r="H34" i="514"/>
  <c r="H33" i="514"/>
  <c r="H36" i="514"/>
  <c r="G37" i="513"/>
  <c r="H37" i="513" s="1"/>
  <c r="G38" i="513"/>
  <c r="H38" i="513" s="1"/>
  <c r="H12" i="513"/>
  <c r="H10" i="513"/>
  <c r="H11" i="513"/>
  <c r="H13" i="513"/>
  <c r="H14" i="513"/>
  <c r="H16" i="513"/>
  <c r="H17" i="513"/>
  <c r="H15" i="513"/>
  <c r="H19" i="513"/>
  <c r="H18" i="513"/>
  <c r="H21" i="513"/>
  <c r="H20" i="513"/>
  <c r="H22" i="513"/>
  <c r="H24" i="513"/>
  <c r="H26" i="513"/>
  <c r="H23" i="513"/>
  <c r="H27" i="513"/>
  <c r="H29" i="513"/>
  <c r="H25" i="513"/>
  <c r="H31" i="513"/>
  <c r="H28" i="513"/>
  <c r="H30" i="513"/>
  <c r="H36" i="513"/>
  <c r="H33" i="513"/>
  <c r="H32" i="513"/>
  <c r="H35" i="513"/>
  <c r="H34" i="513"/>
  <c r="G37" i="512"/>
  <c r="G38" i="512"/>
  <c r="H38" i="512" s="1"/>
  <c r="H9" i="512"/>
  <c r="H12" i="512"/>
  <c r="H8" i="512"/>
  <c r="H11" i="512"/>
  <c r="H10" i="512"/>
  <c r="H16" i="512"/>
  <c r="H14" i="512"/>
  <c r="H13" i="512"/>
  <c r="H17" i="512"/>
  <c r="H15" i="512"/>
  <c r="H21" i="512"/>
  <c r="H18" i="512"/>
  <c r="H19" i="512"/>
  <c r="H22" i="512"/>
  <c r="H20" i="512"/>
  <c r="H24" i="512"/>
  <c r="H23" i="512"/>
  <c r="H25" i="512"/>
  <c r="H26" i="512"/>
  <c r="H28" i="512"/>
  <c r="H27" i="512"/>
  <c r="H29" i="512"/>
  <c r="H32" i="512"/>
  <c r="H30" i="512"/>
  <c r="H36" i="512"/>
  <c r="H34" i="512"/>
  <c r="H33" i="512"/>
  <c r="H31" i="512"/>
  <c r="H35" i="512"/>
  <c r="H37" i="512"/>
  <c r="G37" i="511"/>
  <c r="H37" i="511" s="1"/>
  <c r="G38" i="511"/>
  <c r="H38" i="511" s="1"/>
  <c r="H8" i="511"/>
  <c r="H12" i="511" s="1"/>
  <c r="H9" i="511"/>
  <c r="H10" i="511"/>
  <c r="H11" i="511"/>
  <c r="H14" i="511"/>
  <c r="H13" i="511"/>
  <c r="H15" i="511"/>
  <c r="H17" i="511"/>
  <c r="H18" i="511"/>
  <c r="H19" i="511"/>
  <c r="H16" i="511"/>
  <c r="H20" i="511"/>
  <c r="H21" i="511"/>
  <c r="H22" i="511"/>
  <c r="H23" i="511"/>
  <c r="H25" i="511"/>
  <c r="H24" i="511"/>
  <c r="H26" i="511"/>
  <c r="H27" i="511"/>
  <c r="H29" i="511"/>
  <c r="H28" i="511"/>
  <c r="H30" i="511"/>
  <c r="H31" i="511"/>
  <c r="H32" i="511"/>
  <c r="H33" i="511"/>
  <c r="H34" i="511"/>
  <c r="H35" i="511"/>
  <c r="H36" i="511"/>
  <c r="G37" i="510"/>
  <c r="H37" i="510" s="1"/>
  <c r="G38" i="510"/>
  <c r="H38" i="510" s="1"/>
  <c r="H10" i="510"/>
  <c r="H9" i="510"/>
  <c r="H8" i="510"/>
  <c r="H11" i="510" s="1"/>
  <c r="H13" i="510"/>
  <c r="H12" i="510"/>
  <c r="H14" i="510"/>
  <c r="H15" i="510"/>
  <c r="H17" i="510"/>
  <c r="H16" i="510"/>
  <c r="H18" i="510"/>
  <c r="H20" i="510"/>
  <c r="H19" i="510"/>
  <c r="H22" i="510"/>
  <c r="H21" i="510"/>
  <c r="H24" i="510"/>
  <c r="H23" i="510"/>
  <c r="H28" i="510"/>
  <c r="H25" i="510"/>
  <c r="H26" i="510"/>
  <c r="H27" i="510"/>
  <c r="H30" i="510"/>
  <c r="H36" i="510"/>
  <c r="H32" i="510"/>
  <c r="H34" i="510"/>
  <c r="H35" i="510"/>
  <c r="H33" i="510"/>
  <c r="H29" i="510"/>
  <c r="H31" i="510"/>
  <c r="G37" i="509"/>
  <c r="H37" i="509" s="1"/>
  <c r="G38" i="509"/>
  <c r="H38" i="509" s="1"/>
  <c r="H8" i="509"/>
  <c r="H9" i="509"/>
  <c r="H12" i="509"/>
  <c r="H10" i="509"/>
  <c r="H11" i="509"/>
  <c r="H13" i="509"/>
  <c r="H14" i="509"/>
  <c r="H16" i="509"/>
  <c r="H15" i="509"/>
  <c r="H18" i="509"/>
  <c r="H17" i="509"/>
  <c r="H20" i="509"/>
  <c r="H19" i="509"/>
  <c r="H22" i="509"/>
  <c r="H21" i="509"/>
  <c r="H24" i="509"/>
  <c r="H23" i="509"/>
  <c r="H25" i="509"/>
  <c r="H26" i="509"/>
  <c r="H29" i="509"/>
  <c r="H27" i="509"/>
  <c r="H28" i="509"/>
  <c r="H30" i="509"/>
  <c r="H31" i="509"/>
  <c r="H32" i="509"/>
  <c r="H34" i="509"/>
  <c r="H33" i="509"/>
  <c r="H35" i="509"/>
  <c r="H36" i="509"/>
  <c r="G37" i="508"/>
  <c r="H37" i="508" s="1"/>
  <c r="G38" i="508"/>
  <c r="H38" i="508" s="1"/>
  <c r="H9" i="508"/>
  <c r="H8" i="508"/>
  <c r="H12" i="508"/>
  <c r="H10" i="508"/>
  <c r="H11" i="508"/>
  <c r="H13" i="508"/>
  <c r="H14" i="508"/>
  <c r="H16" i="508"/>
  <c r="H17" i="508"/>
  <c r="H15" i="508"/>
  <c r="H20" i="508"/>
  <c r="H18" i="508"/>
  <c r="H19" i="508"/>
  <c r="H21" i="508"/>
  <c r="H22" i="508"/>
  <c r="H24" i="508"/>
  <c r="H25" i="508"/>
  <c r="H23" i="508"/>
  <c r="H26" i="508"/>
  <c r="H27" i="508"/>
  <c r="H28" i="508"/>
  <c r="H29" i="508"/>
  <c r="H30" i="508"/>
  <c r="H31" i="508"/>
  <c r="H33" i="508"/>
  <c r="J6" i="120"/>
  <c r="M6" i="120" l="1"/>
  <c r="A2" i="137" l="1"/>
  <c r="F7" i="137"/>
  <c r="N6" i="120" l="1"/>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2" i="1"/>
  <c r="A33" i="1"/>
  <c r="A34" i="1"/>
  <c r="L6" i="50"/>
  <c r="AK6" i="50"/>
  <c r="AM6" i="50"/>
  <c r="AO6" i="50"/>
  <c r="AE6" i="50"/>
  <c r="AL6" i="50"/>
  <c r="V6" i="50"/>
  <c r="AV6" i="50"/>
  <c r="X6" i="50"/>
  <c r="AD6" i="50"/>
  <c r="AH6" i="50"/>
  <c r="AP6" i="50"/>
  <c r="U6" i="50"/>
  <c r="AS6" i="50"/>
  <c r="R6" i="50"/>
  <c r="W6" i="50"/>
  <c r="AI6" i="50"/>
  <c r="AA6" i="50"/>
  <c r="AC6" i="50"/>
  <c r="AB6" i="50"/>
  <c r="AN6" i="50"/>
  <c r="T6" i="50"/>
  <c r="Y6" i="50"/>
  <c r="Z6" i="50"/>
  <c r="AJ6" i="50"/>
  <c r="AR6" i="50"/>
  <c r="N6" i="50"/>
  <c r="AQ6" i="50"/>
  <c r="AU6" i="50"/>
  <c r="AT6" i="50"/>
  <c r="P6" i="50"/>
  <c r="O6" i="50"/>
  <c r="Q6" i="50"/>
  <c r="BC6" i="50"/>
  <c r="AZ6" i="50"/>
  <c r="AX6" i="50"/>
  <c r="BA6" i="50"/>
  <c r="AY6" i="50"/>
  <c r="S6" i="50"/>
  <c r="AG6" i="50"/>
  <c r="BB6" i="50"/>
  <c r="M6" i="50"/>
  <c r="AW6" i="50"/>
  <c r="AF6" i="50"/>
  <c r="F6" i="50" l="1"/>
  <c r="AG6" i="137" l="1"/>
  <c r="C20" i="439"/>
  <c r="G20" i="439" l="1"/>
  <c r="C21" i="439"/>
  <c r="M6" i="137"/>
  <c r="F5" i="137"/>
  <c r="H6" i="137"/>
  <c r="G21" i="439" l="1"/>
  <c r="C22" i="439"/>
  <c r="G22" i="439" l="1"/>
  <c r="C23" i="439"/>
  <c r="C24" i="439" l="1"/>
  <c r="G23" i="439"/>
  <c r="P9" i="150"/>
  <c r="C25" i="439" l="1"/>
  <c r="G24" i="439"/>
  <c r="D74" i="50"/>
  <c r="U74" i="50"/>
  <c r="V74" i="50"/>
  <c r="AW74" i="50"/>
  <c r="AH74" i="50"/>
  <c r="AO74" i="50"/>
  <c r="AG74" i="50"/>
  <c r="AB74" i="50"/>
  <c r="AK74" i="50"/>
  <c r="AY74" i="50"/>
  <c r="L74" i="50"/>
  <c r="X74" i="50"/>
  <c r="T74" i="50"/>
  <c r="M74" i="50"/>
  <c r="AS74" i="50"/>
  <c r="Q74" i="50"/>
  <c r="W74" i="50"/>
  <c r="AM74" i="50"/>
  <c r="AJ74" i="50"/>
  <c r="AL74" i="50"/>
  <c r="N74" i="50"/>
  <c r="AA74" i="50"/>
  <c r="AE74" i="50"/>
  <c r="AT74" i="50"/>
  <c r="AP74" i="50"/>
  <c r="BB74" i="50"/>
  <c r="AZ74" i="50"/>
  <c r="AD74" i="50"/>
  <c r="AI74" i="50"/>
  <c r="Y74" i="50"/>
  <c r="AQ74" i="50"/>
  <c r="S74" i="50"/>
  <c r="AC74" i="50"/>
  <c r="BC74" i="50"/>
  <c r="AX74" i="50"/>
  <c r="R74" i="50"/>
  <c r="BA74" i="50"/>
  <c r="AN74" i="50"/>
  <c r="AV74" i="50"/>
  <c r="P74" i="50"/>
  <c r="AU74" i="50"/>
  <c r="O74" i="50"/>
  <c r="AR74" i="50"/>
  <c r="AF74" i="50"/>
  <c r="Z74" i="50"/>
  <c r="G25" i="439" l="1"/>
  <c r="C26" i="439"/>
  <c r="F74" i="50"/>
  <c r="AX25" i="4"/>
  <c r="M25" i="4"/>
  <c r="H25" i="4"/>
  <c r="D25" i="4"/>
  <c r="AG25" i="4" l="1"/>
  <c r="G26" i="439"/>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9" i="439" s="1"/>
  <c r="H19" i="439"/>
  <c r="H28" i="439"/>
  <c r="H34" i="439"/>
  <c r="H27" i="439"/>
  <c r="H25" i="439"/>
  <c r="H32" i="439"/>
  <c r="H26" i="439"/>
  <c r="H29" i="439"/>
  <c r="H30" i="439"/>
  <c r="H33" i="439"/>
  <c r="H31" i="439"/>
  <c r="H24" i="439"/>
  <c r="H35" i="439"/>
  <c r="H23" i="439"/>
  <c r="H22" i="439"/>
  <c r="H36" i="439"/>
  <c r="G37" i="439"/>
  <c r="H37" i="439" s="1"/>
  <c r="G38" i="439"/>
  <c r="H38" i="439" s="1"/>
  <c r="H10" i="439" l="1"/>
  <c r="M18" i="1"/>
  <c r="G18" i="1"/>
  <c r="H11" i="439" l="1"/>
  <c r="H18" i="1"/>
  <c r="H12"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3" i="439" l="1"/>
  <c r="AW4" i="4"/>
  <c r="H14" i="439" l="1"/>
  <c r="H15" i="439" s="1"/>
  <c r="H16" i="439"/>
  <c r="H20" i="439"/>
  <c r="H21" i="439" s="1"/>
  <c r="F10" i="1"/>
  <c r="F10" i="4"/>
  <c r="H17" i="439" l="1"/>
  <c r="H18" i="439"/>
  <c r="M5" i="137"/>
  <c r="AX11" i="150" l="1"/>
  <c r="AW4" i="1" l="1"/>
  <c r="P4" i="1"/>
  <c r="I1" i="50" l="1"/>
  <c r="L4" i="50"/>
  <c r="F5" i="1" l="1"/>
  <c r="F13" i="1" l="1"/>
  <c r="F4" i="1" l="1"/>
  <c r="E4" i="1"/>
  <c r="M2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1" i="1" s="1"/>
  <c r="J31"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1" i="1" l="1"/>
  <c r="M4" i="4"/>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1" i="1" l="1"/>
  <c r="A11" i="1" s="1"/>
  <c r="N14" i="1"/>
  <c r="N19" i="1"/>
  <c r="N20" i="1"/>
  <c r="N12" i="4"/>
  <c r="O17" i="1"/>
  <c r="A17" i="1" s="1"/>
  <c r="O15" i="1"/>
  <c r="A15" i="1" s="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H4" i="150" l="1"/>
  <c r="AL4" i="150"/>
  <c r="AP4" i="150"/>
  <c r="AT4" i="150"/>
  <c r="AO4" i="150"/>
  <c r="AI4" i="150"/>
  <c r="AM4" i="150"/>
  <c r="AQ4" i="150"/>
  <c r="AS4" i="150"/>
  <c r="AJ4" i="150"/>
  <c r="AN4" i="150"/>
  <c r="AR4" i="150"/>
  <c r="AK4" i="150"/>
  <c r="AO4" i="4"/>
  <c r="AH4" i="137"/>
  <c r="AL4" i="137"/>
  <c r="AP4" i="137"/>
  <c r="AT4" i="137"/>
  <c r="AK4" i="137"/>
  <c r="AI4" i="137"/>
  <c r="AM4" i="137"/>
  <c r="AQ4" i="137"/>
  <c r="AJ4" i="137"/>
  <c r="AN4" i="137"/>
  <c r="AR4" i="137"/>
  <c r="AO4" i="137"/>
  <c r="AS4" i="137"/>
  <c r="AV4" i="1"/>
  <c r="AV4" i="150"/>
  <c r="AV4" i="4"/>
  <c r="AM4" i="1" l="1"/>
  <c r="AT4" i="1"/>
  <c r="AN4" i="1"/>
  <c r="AO4" i="1"/>
  <c r="AR4" i="1"/>
  <c r="AQ4" i="1"/>
  <c r="AP4" i="1"/>
  <c r="AL4" i="1"/>
  <c r="AS4" i="1"/>
  <c r="AK4" i="1"/>
  <c r="AJ4" i="1"/>
  <c r="AI4" i="1"/>
  <c r="AH4" i="1"/>
  <c r="AR4" i="4"/>
  <c r="AQ4" i="4"/>
  <c r="AP4" i="4"/>
  <c r="AN4" i="4"/>
  <c r="AM4" i="4"/>
  <c r="AL4" i="4"/>
  <c r="AS4" i="4"/>
  <c r="AK4" i="4"/>
  <c r="AJ4" i="4"/>
  <c r="AI4" i="4"/>
  <c r="AH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F4" i="150" l="1"/>
  <c r="AF4" i="4"/>
  <c r="AF4" i="137"/>
  <c r="AF4" i="1"/>
  <c r="AU26" i="50"/>
  <c r="BA70" i="50"/>
  <c r="AP67" i="50"/>
  <c r="AD19" i="50"/>
  <c r="Z13" i="50"/>
  <c r="R52" i="50"/>
  <c r="Q20" i="50"/>
  <c r="AD23" i="50"/>
  <c r="R65" i="50"/>
  <c r="AA11" i="50"/>
  <c r="AR28" i="50"/>
  <c r="R4" i="50"/>
  <c r="Z62" i="50"/>
  <c r="AD7" i="50"/>
  <c r="AM56" i="50"/>
  <c r="AZ71" i="50"/>
  <c r="Q56" i="50"/>
  <c r="AO67" i="50"/>
  <c r="X22" i="50"/>
  <c r="Z19" i="50"/>
  <c r="L59" i="50"/>
  <c r="T40" i="50"/>
  <c r="AB60" i="50"/>
  <c r="AI21" i="50"/>
  <c r="AT24" i="50"/>
  <c r="AY13" i="50"/>
  <c r="P26" i="50"/>
  <c r="AW8" i="50"/>
  <c r="Z11" i="50"/>
  <c r="AS15" i="50"/>
  <c r="AG59" i="50"/>
  <c r="AP14" i="50"/>
  <c r="AL18" i="50"/>
  <c r="Q29" i="50"/>
  <c r="AD65" i="50"/>
  <c r="AU15" i="50"/>
  <c r="M48" i="50"/>
  <c r="M37" i="50"/>
  <c r="AD37" i="50"/>
  <c r="O65" i="50"/>
  <c r="R44" i="50"/>
  <c r="AY25" i="50"/>
  <c r="P66" i="50"/>
  <c r="AL10" i="50"/>
  <c r="U70" i="50"/>
  <c r="AI64" i="50"/>
  <c r="BA65" i="50"/>
  <c r="AB10" i="50"/>
  <c r="P49" i="50"/>
  <c r="AA34" i="50"/>
  <c r="AO65" i="50"/>
  <c r="S44" i="50"/>
  <c r="AP32" i="50"/>
  <c r="M12" i="50"/>
  <c r="P72" i="50"/>
  <c r="AI59" i="50"/>
  <c r="AV29" i="50"/>
  <c r="BA50" i="50"/>
  <c r="AH42" i="50"/>
  <c r="W18" i="50"/>
  <c r="AM49" i="50"/>
  <c r="AH41" i="50"/>
  <c r="R40" i="50"/>
  <c r="S7" i="50"/>
  <c r="N24" i="50"/>
  <c r="AA33" i="50"/>
  <c r="S46" i="50"/>
  <c r="N62" i="50"/>
  <c r="T28" i="50"/>
  <c r="AD4" i="50"/>
  <c r="S29" i="50"/>
  <c r="AH66" i="50"/>
  <c r="AD50" i="50"/>
  <c r="AJ26" i="50"/>
  <c r="AU40" i="50"/>
  <c r="AQ8" i="50"/>
  <c r="AE68" i="50"/>
  <c r="T51" i="50"/>
  <c r="AX45" i="50"/>
  <c r="AC66" i="50"/>
  <c r="AP18" i="50"/>
  <c r="S57" i="50"/>
  <c r="V43" i="50"/>
  <c r="AO17" i="50"/>
  <c r="T17" i="50"/>
  <c r="AR21" i="50"/>
  <c r="V5" i="50"/>
  <c r="AM59" i="50"/>
  <c r="AO13" i="50"/>
  <c r="AH17" i="50"/>
  <c r="AT69" i="50"/>
  <c r="AB17" i="50"/>
  <c r="W64" i="50"/>
  <c r="Q24" i="50"/>
  <c r="BC28" i="50"/>
  <c r="U60" i="50"/>
  <c r="R63" i="50"/>
  <c r="AW20" i="50"/>
  <c r="AK12" i="50"/>
  <c r="AB25" i="50"/>
  <c r="AS54" i="50"/>
  <c r="U58" i="50"/>
  <c r="BB25" i="50"/>
  <c r="M56" i="50"/>
  <c r="AW28" i="50"/>
  <c r="AW38" i="50"/>
  <c r="AZ46" i="50"/>
  <c r="AT41" i="50"/>
  <c r="L12" i="50"/>
  <c r="W66" i="50"/>
  <c r="AT34" i="50"/>
  <c r="AD62" i="50"/>
  <c r="AW18" i="50"/>
  <c r="Z18" i="50"/>
  <c r="AR47" i="50"/>
  <c r="AA36" i="50"/>
  <c r="AD34" i="50"/>
  <c r="AF68" i="50"/>
  <c r="AE23" i="50"/>
  <c r="N43" i="50"/>
  <c r="AY21" i="50"/>
  <c r="AH70" i="50"/>
  <c r="AW17" i="50"/>
  <c r="AT64" i="50"/>
  <c r="S63" i="50"/>
  <c r="AO39" i="50"/>
  <c r="AI61" i="50"/>
  <c r="AM57" i="50"/>
  <c r="AQ73" i="50"/>
  <c r="AW41" i="50"/>
  <c r="AC41" i="50"/>
  <c r="AL50" i="50"/>
  <c r="AD67" i="50"/>
  <c r="AM23" i="50"/>
  <c r="AQ69" i="50"/>
  <c r="R58" i="50"/>
  <c r="R61" i="50"/>
  <c r="AG48" i="50"/>
  <c r="U48" i="50"/>
  <c r="AK56" i="50"/>
  <c r="U66" i="50"/>
  <c r="Z55" i="50"/>
  <c r="T14" i="50"/>
  <c r="AM55" i="50"/>
  <c r="AE21" i="50"/>
  <c r="AB49" i="50"/>
  <c r="AW45" i="50"/>
  <c r="AQ72" i="50"/>
  <c r="AO18" i="50"/>
  <c r="R5" i="50"/>
  <c r="S42" i="50"/>
  <c r="AL57" i="50"/>
  <c r="AM29" i="50"/>
  <c r="AV43" i="50"/>
  <c r="T22" i="50"/>
  <c r="AB73" i="50"/>
  <c r="L50" i="50"/>
  <c r="AC27" i="50"/>
  <c r="AZ69" i="50"/>
  <c r="AY59" i="50"/>
  <c r="U42" i="50"/>
  <c r="AY23" i="50"/>
  <c r="AD18" i="50"/>
  <c r="AK55" i="50"/>
  <c r="R41" i="50"/>
  <c r="AP25" i="50"/>
  <c r="AL9" i="50"/>
  <c r="AX30" i="50"/>
  <c r="AS4" i="50"/>
  <c r="X21" i="50"/>
  <c r="N65" i="50"/>
  <c r="W46" i="50"/>
  <c r="Q15" i="50"/>
  <c r="AL70" i="50"/>
  <c r="AE62" i="50"/>
  <c r="AR55" i="50"/>
  <c r="AR44" i="50"/>
  <c r="BB10" i="50"/>
  <c r="BB28" i="50"/>
  <c r="AR72" i="50"/>
  <c r="X14" i="50"/>
  <c r="AR30" i="50"/>
  <c r="S56" i="50"/>
  <c r="BC58" i="50"/>
  <c r="BB48" i="50"/>
  <c r="AV50" i="50"/>
  <c r="R51" i="50"/>
  <c r="AR63" i="50"/>
  <c r="AR29" i="50"/>
  <c r="AF70" i="50"/>
  <c r="R67" i="50"/>
  <c r="AB71" i="50"/>
  <c r="AT25" i="50"/>
  <c r="BC46" i="50"/>
  <c r="AB7" i="50"/>
  <c r="BA62" i="50"/>
  <c r="M41" i="50"/>
  <c r="AW27" i="50"/>
  <c r="AN26" i="50"/>
  <c r="AG27" i="50"/>
  <c r="AS17" i="50"/>
  <c r="V56" i="50"/>
  <c r="AT44" i="50"/>
  <c r="BA39" i="50"/>
  <c r="P30" i="50"/>
  <c r="N64" i="50"/>
  <c r="AH34" i="50"/>
  <c r="T45" i="50"/>
  <c r="AT62" i="50"/>
  <c r="L34" i="50"/>
  <c r="AO61" i="50"/>
  <c r="AO40" i="50"/>
  <c r="AG28" i="50"/>
  <c r="U68" i="50"/>
  <c r="AW52" i="50"/>
  <c r="V28" i="50"/>
  <c r="R54" i="50"/>
  <c r="AM10" i="50"/>
  <c r="AU36" i="50"/>
  <c r="AY64" i="50"/>
  <c r="R72" i="50"/>
  <c r="AD63" i="50"/>
  <c r="P5" i="50"/>
  <c r="AL55" i="50"/>
  <c r="R30" i="50"/>
  <c r="M29" i="50"/>
  <c r="Y54" i="50"/>
  <c r="AR25" i="50"/>
  <c r="AI66" i="50"/>
  <c r="AH58" i="50"/>
  <c r="BC27" i="50"/>
  <c r="AO9" i="50"/>
  <c r="AB62" i="50"/>
  <c r="AW60" i="50"/>
  <c r="O59" i="50"/>
  <c r="AP73" i="50"/>
  <c r="AZ18" i="50"/>
  <c r="AJ38" i="50"/>
  <c r="M55" i="50"/>
  <c r="BC68" i="50"/>
  <c r="BC32" i="50"/>
  <c r="AY34" i="50"/>
  <c r="AU7" i="50"/>
  <c r="W60" i="50"/>
  <c r="W38" i="50"/>
  <c r="M15" i="50"/>
  <c r="AX53" i="50"/>
  <c r="X45" i="50"/>
  <c r="AK26" i="50"/>
  <c r="X49" i="50"/>
  <c r="O16" i="50"/>
  <c r="X53" i="50"/>
  <c r="AY69" i="50"/>
  <c r="AW15" i="50"/>
  <c r="AM15" i="50"/>
  <c r="AU73" i="50"/>
  <c r="AW22" i="50"/>
  <c r="W65" i="50"/>
  <c r="AK20" i="50"/>
  <c r="AV63" i="50"/>
  <c r="AU41" i="50"/>
  <c r="AE19" i="50"/>
  <c r="AP33" i="50"/>
  <c r="U71" i="50"/>
  <c r="AW58" i="50"/>
  <c r="AK54" i="50"/>
  <c r="AS11" i="50"/>
  <c r="T42" i="50"/>
  <c r="AU42" i="50"/>
  <c r="T39" i="50"/>
  <c r="O8" i="50"/>
  <c r="AQ36" i="50"/>
  <c r="AA22" i="50"/>
  <c r="U46" i="50"/>
  <c r="W62" i="50"/>
  <c r="AJ70" i="50"/>
  <c r="Z49" i="50"/>
  <c r="O18" i="50"/>
  <c r="BA19" i="50"/>
  <c r="Q44" i="50"/>
  <c r="AJ51" i="50"/>
  <c r="S39" i="50"/>
  <c r="AJ40" i="50"/>
  <c r="AI45" i="50"/>
  <c r="Q53" i="50"/>
  <c r="AZ7" i="50"/>
  <c r="AX34" i="50"/>
  <c r="L70" i="50"/>
  <c r="AK50" i="50"/>
  <c r="Y13" i="50"/>
  <c r="AX25" i="50"/>
  <c r="N25" i="50"/>
  <c r="BB19" i="50"/>
  <c r="AX71" i="50"/>
  <c r="AE61" i="50"/>
  <c r="Y58" i="50"/>
  <c r="BB13" i="50"/>
  <c r="AM46" i="50"/>
  <c r="Y69" i="50"/>
  <c r="AM40" i="50"/>
  <c r="R71" i="50"/>
  <c r="BB23" i="50"/>
  <c r="M65" i="50"/>
  <c r="AZ32" i="50"/>
  <c r="AW70" i="50"/>
  <c r="BC25" i="50"/>
  <c r="BA8" i="50"/>
  <c r="Y46" i="50"/>
  <c r="AG11" i="50"/>
  <c r="BA71" i="50"/>
  <c r="AB53" i="50"/>
  <c r="AP52" i="50"/>
  <c r="AR66" i="50"/>
  <c r="AR61" i="50"/>
  <c r="AA19" i="50"/>
  <c r="W55" i="50"/>
  <c r="AG49" i="50"/>
  <c r="AZ12" i="50"/>
  <c r="AV32" i="50"/>
  <c r="AZ25" i="50"/>
  <c r="AE56" i="50"/>
  <c r="S73" i="50"/>
  <c r="N34" i="50"/>
  <c r="AT53" i="50"/>
  <c r="O56" i="50"/>
  <c r="V19" i="50"/>
  <c r="T31" i="50"/>
  <c r="AF22" i="50"/>
  <c r="W70" i="50"/>
  <c r="R66" i="50"/>
  <c r="U43" i="50"/>
  <c r="AO27" i="50"/>
  <c r="AS16" i="50"/>
  <c r="AW40" i="50"/>
  <c r="AU14" i="50"/>
  <c r="Y67" i="50"/>
  <c r="AD64" i="50"/>
  <c r="R9" i="50"/>
  <c r="R17" i="50"/>
  <c r="AG33" i="50"/>
  <c r="BA60" i="50"/>
  <c r="AC29" i="50"/>
  <c r="AP4" i="50"/>
  <c r="AK41" i="50"/>
  <c r="AX47" i="50"/>
  <c r="BC16" i="50"/>
  <c r="AW4" i="50"/>
  <c r="AC65" i="50"/>
  <c r="V17" i="50"/>
  <c r="P9" i="50"/>
  <c r="AH26" i="50"/>
  <c r="AX16" i="50"/>
  <c r="AP69" i="50"/>
  <c r="AM33" i="50"/>
  <c r="V13" i="50"/>
  <c r="P56" i="50"/>
  <c r="Y34" i="50"/>
  <c r="AI9" i="50"/>
  <c r="M33" i="50"/>
  <c r="T18" i="50"/>
  <c r="R55" i="50"/>
  <c r="AE11" i="50"/>
  <c r="BA52" i="50"/>
  <c r="S61" i="50"/>
  <c r="AQ39" i="50"/>
  <c r="AN50" i="50"/>
  <c r="M62" i="50"/>
  <c r="AA23" i="50"/>
  <c r="P60" i="50"/>
  <c r="R34" i="50"/>
  <c r="X54" i="50"/>
  <c r="AN40" i="50"/>
  <c r="AY39" i="50"/>
  <c r="L7" i="50"/>
  <c r="U65" i="50"/>
  <c r="AF43" i="50"/>
  <c r="AC35" i="50"/>
  <c r="AH49" i="50"/>
  <c r="T68" i="50"/>
  <c r="AI73" i="50"/>
  <c r="AA47" i="50"/>
  <c r="AF42" i="50"/>
  <c r="AN41" i="50"/>
  <c r="N29" i="50"/>
  <c r="V46" i="50"/>
  <c r="V59" i="50"/>
  <c r="P62" i="50"/>
  <c r="AX62" i="50"/>
  <c r="X73" i="50"/>
  <c r="AC40" i="50"/>
  <c r="AB44" i="50"/>
  <c r="AI20" i="50"/>
  <c r="AW26" i="50"/>
  <c r="AZ64" i="50"/>
  <c r="R43" i="50"/>
  <c r="Q49" i="50"/>
  <c r="O60" i="50"/>
  <c r="AL49" i="50"/>
  <c r="AB41" i="50"/>
  <c r="Z56" i="50"/>
  <c r="N56" i="50"/>
  <c r="AE72" i="50"/>
  <c r="AJ65" i="50"/>
  <c r="AO5" i="50"/>
  <c r="AU44" i="50"/>
  <c r="AE65" i="50"/>
  <c r="BB34" i="50"/>
  <c r="S50" i="50"/>
  <c r="AC73" i="50"/>
  <c r="AI49" i="50"/>
  <c r="AE26" i="50"/>
  <c r="AP60" i="50"/>
  <c r="U9" i="50"/>
  <c r="BA63" i="50"/>
  <c r="AE57" i="50"/>
  <c r="AL14" i="50"/>
  <c r="AP28" i="50"/>
  <c r="AA18" i="50"/>
  <c r="S49" i="50"/>
  <c r="R18" i="50"/>
  <c r="AC44" i="50"/>
  <c r="AC71" i="50"/>
  <c r="AP24" i="50"/>
  <c r="BB62" i="50"/>
  <c r="AU57" i="50"/>
  <c r="AU33" i="50"/>
  <c r="T69" i="50"/>
  <c r="L26" i="50"/>
  <c r="AY11" i="50"/>
  <c r="AM34" i="50"/>
  <c r="AP70" i="50"/>
  <c r="AU43" i="50"/>
  <c r="X23" i="50"/>
  <c r="AV70" i="50"/>
  <c r="AT48" i="50"/>
  <c r="V9" i="50"/>
  <c r="AI68" i="50"/>
  <c r="AH67" i="50"/>
  <c r="BA58" i="50"/>
  <c r="AE53" i="50"/>
  <c r="N20" i="50"/>
  <c r="AK15" i="50"/>
  <c r="BC61" i="50"/>
  <c r="N50" i="50"/>
  <c r="V40" i="50"/>
  <c r="BB60" i="50"/>
  <c r="T33" i="50"/>
  <c r="X29" i="50"/>
  <c r="AX27" i="50"/>
  <c r="Q48" i="50"/>
  <c r="V60" i="50"/>
  <c r="O19" i="50"/>
  <c r="AR43" i="50"/>
  <c r="AU12" i="50"/>
  <c r="AL33" i="50"/>
  <c r="W53" i="50"/>
  <c r="AR15" i="50"/>
  <c r="AG24" i="50"/>
  <c r="AS46" i="50"/>
  <c r="AG60" i="50"/>
  <c r="R62" i="50"/>
  <c r="N58" i="50"/>
  <c r="AJ17" i="50"/>
  <c r="AG29" i="50"/>
  <c r="AM20" i="50"/>
  <c r="S19" i="50"/>
  <c r="BB61" i="50"/>
  <c r="BC14" i="50"/>
  <c r="W61" i="50"/>
  <c r="U32" i="50"/>
  <c r="Q38" i="50"/>
  <c r="AS38" i="50"/>
  <c r="AK46" i="50"/>
  <c r="AB23" i="50"/>
  <c r="W58" i="50"/>
  <c r="AU21" i="50"/>
  <c r="L38" i="50"/>
  <c r="AL47" i="50"/>
  <c r="AH57" i="50"/>
  <c r="AG68" i="50"/>
  <c r="Q27" i="50"/>
  <c r="AG43" i="50"/>
  <c r="AC49" i="50"/>
  <c r="AO58" i="50"/>
  <c r="AB14" i="50"/>
  <c r="U67" i="50"/>
  <c r="AA58" i="50"/>
  <c r="X63" i="50"/>
  <c r="W22" i="50"/>
  <c r="AK9" i="50"/>
  <c r="AJ58" i="50"/>
  <c r="AY73" i="50"/>
  <c r="P48" i="50"/>
  <c r="AJ50" i="50"/>
  <c r="BC41" i="50"/>
  <c r="N15" i="50"/>
  <c r="BC22" i="50"/>
  <c r="AD47" i="50"/>
  <c r="AI22" i="50"/>
  <c r="W48" i="50"/>
  <c r="AH4" i="50"/>
  <c r="BB47" i="50"/>
  <c r="AS68" i="50"/>
  <c r="L55" i="50"/>
  <c r="AU8" i="50"/>
  <c r="T66" i="50"/>
  <c r="Q50" i="50"/>
  <c r="AT59" i="50"/>
  <c r="AM41" i="50"/>
  <c r="AN15" i="50"/>
  <c r="AU48" i="50"/>
  <c r="L53" i="50"/>
  <c r="T52" i="50"/>
  <c r="AI37" i="50"/>
  <c r="V42" i="50"/>
  <c r="AF49" i="50"/>
  <c r="AZ42" i="50"/>
  <c r="AS28" i="50"/>
  <c r="AA16" i="50"/>
  <c r="M68" i="50"/>
  <c r="AW61" i="50"/>
  <c r="Q60" i="50"/>
  <c r="T12" i="50"/>
  <c r="N71" i="50"/>
  <c r="BC39" i="50"/>
  <c r="AR54" i="50"/>
  <c r="AV34" i="50"/>
  <c r="AN49" i="50"/>
  <c r="L42" i="50"/>
  <c r="AE31" i="50"/>
  <c r="AU9" i="50"/>
  <c r="S24" i="50"/>
  <c r="AE4" i="50"/>
  <c r="O27" i="50"/>
  <c r="AU58" i="50"/>
  <c r="W56" i="50"/>
  <c r="AD54" i="50"/>
  <c r="X9" i="50"/>
  <c r="AQ20" i="50"/>
  <c r="BA43" i="50"/>
  <c r="AB28" i="50"/>
  <c r="AN57" i="50"/>
  <c r="AG42" i="50"/>
  <c r="AT65" i="50"/>
  <c r="AV69" i="50"/>
  <c r="L17" i="50"/>
  <c r="AK22" i="50"/>
  <c r="AN36" i="50"/>
  <c r="AQ9" i="50"/>
  <c r="AZ53" i="50"/>
  <c r="S23" i="50"/>
  <c r="AJ62" i="50"/>
  <c r="AZ22" i="50"/>
  <c r="AP61" i="50"/>
  <c r="AB59" i="50"/>
  <c r="BC33" i="50"/>
  <c r="O48" i="50"/>
  <c r="AR56" i="50"/>
  <c r="AF18" i="50"/>
  <c r="U18" i="50"/>
  <c r="U63" i="50"/>
  <c r="Q13" i="50"/>
  <c r="Z53" i="50"/>
  <c r="AP23" i="50"/>
  <c r="AF51" i="50"/>
  <c r="Y20" i="50"/>
  <c r="AP51" i="50"/>
  <c r="BC49" i="50"/>
  <c r="AG18" i="50"/>
  <c r="AL69" i="50"/>
  <c r="AS71" i="50"/>
  <c r="AZ8" i="50"/>
  <c r="W9" i="50"/>
  <c r="M45" i="50"/>
  <c r="AR57" i="50"/>
  <c r="AY8" i="50"/>
  <c r="AH29" i="50"/>
  <c r="AF31" i="50"/>
  <c r="AX17" i="50"/>
  <c r="AK64" i="50"/>
  <c r="Z50" i="50"/>
  <c r="AT12" i="50"/>
  <c r="AO46" i="50"/>
  <c r="AG38" i="50"/>
  <c r="P10" i="50"/>
  <c r="Q57" i="50"/>
  <c r="AB51" i="50"/>
  <c r="AO23" i="50"/>
  <c r="Y16" i="50"/>
  <c r="AH38" i="50"/>
  <c r="Z25" i="50"/>
  <c r="AM25" i="50"/>
  <c r="AN28" i="50"/>
  <c r="AR16" i="50"/>
  <c r="AY46" i="50"/>
  <c r="AO4" i="50"/>
  <c r="S38" i="50"/>
  <c r="M43" i="50"/>
  <c r="AA50" i="50"/>
  <c r="AB50" i="50"/>
  <c r="AE36" i="50"/>
  <c r="N18" i="50"/>
  <c r="AJ63" i="50"/>
  <c r="AX61" i="50"/>
  <c r="AF62" i="50"/>
  <c r="AK65" i="50"/>
  <c r="N13" i="50"/>
  <c r="AG17" i="50"/>
  <c r="AR34" i="50"/>
  <c r="AP16" i="50"/>
  <c r="V68" i="50"/>
  <c r="AL39" i="50"/>
  <c r="AT26" i="50"/>
  <c r="M50" i="50"/>
  <c r="AG41" i="50"/>
  <c r="AO30" i="50"/>
  <c r="AZ11" i="50"/>
  <c r="AB35" i="50"/>
  <c r="BA33" i="50"/>
  <c r="AG20" i="50"/>
  <c r="V71" i="50"/>
  <c r="AF40" i="50"/>
  <c r="AL16" i="50"/>
  <c r="R19" i="50"/>
  <c r="BB58" i="50"/>
  <c r="BC35" i="50"/>
  <c r="AY9" i="50"/>
  <c r="W33" i="50"/>
  <c r="L40" i="50"/>
  <c r="AB5" i="50"/>
  <c r="Z21" i="50"/>
  <c r="AQ18" i="50"/>
  <c r="P4" i="50"/>
  <c r="AK5" i="50"/>
  <c r="AT38" i="50"/>
  <c r="V36" i="50"/>
  <c r="U34" i="50"/>
  <c r="AP64" i="50"/>
  <c r="AI52" i="50"/>
  <c r="AI42" i="50"/>
  <c r="AV54" i="50"/>
  <c r="BC29" i="50"/>
  <c r="AN21" i="50"/>
  <c r="X67" i="50"/>
  <c r="L39" i="50"/>
  <c r="AY22" i="50"/>
  <c r="BA47" i="50"/>
  <c r="V15" i="50"/>
  <c r="T15" i="50"/>
  <c r="AL7" i="50"/>
  <c r="X12" i="50"/>
  <c r="T49" i="50"/>
  <c r="BB35" i="50"/>
  <c r="N37" i="50"/>
  <c r="AP72" i="50"/>
  <c r="AC12" i="50"/>
  <c r="V7" i="50"/>
  <c r="V39" i="50"/>
  <c r="BA59" i="50"/>
  <c r="AB13" i="50"/>
  <c r="AF35" i="50"/>
  <c r="AA26" i="50"/>
  <c r="AF30" i="50"/>
  <c r="W43" i="50"/>
  <c r="AE59" i="50"/>
  <c r="AV20" i="50"/>
  <c r="AE24" i="50"/>
  <c r="AV58" i="50"/>
  <c r="T16" i="50"/>
  <c r="AY33" i="50"/>
  <c r="AO56" i="50"/>
  <c r="N7" i="50"/>
  <c r="T8" i="50"/>
  <c r="W26" i="50"/>
  <c r="S34" i="50"/>
  <c r="U28" i="50"/>
  <c r="AY61" i="50"/>
  <c r="AV15" i="50"/>
  <c r="AL20" i="50"/>
  <c r="AT52" i="50"/>
  <c r="BA55" i="50"/>
  <c r="Z48" i="50"/>
  <c r="V18" i="50"/>
  <c r="P38" i="50"/>
  <c r="AE32" i="50"/>
  <c r="AJ25" i="50"/>
  <c r="X47" i="50"/>
  <c r="BB31" i="50"/>
  <c r="M26" i="50"/>
  <c r="V34" i="50"/>
  <c r="AF45" i="50"/>
  <c r="AU69" i="50"/>
  <c r="W31" i="50"/>
  <c r="O46" i="50"/>
  <c r="AH68" i="50"/>
  <c r="AQ71" i="50"/>
  <c r="Z30" i="50"/>
  <c r="Q12" i="50"/>
  <c r="AX59" i="50"/>
  <c r="AN5" i="50"/>
  <c r="BB15" i="50"/>
  <c r="AZ40" i="50"/>
  <c r="V62" i="50"/>
  <c r="AW55" i="50"/>
  <c r="Q47" i="50"/>
  <c r="AM36" i="50"/>
  <c r="AG21" i="50"/>
  <c r="W49" i="50"/>
  <c r="AE54" i="50"/>
  <c r="T63" i="50"/>
  <c r="BC45" i="50"/>
  <c r="T56" i="50"/>
  <c r="AX9" i="50"/>
  <c r="P47" i="50"/>
  <c r="Y25" i="50"/>
  <c r="AW31" i="50"/>
  <c r="AA28" i="50"/>
  <c r="AB40" i="50"/>
  <c r="N59" i="50"/>
  <c r="T44" i="50"/>
  <c r="N39" i="50"/>
  <c r="O49" i="50"/>
  <c r="N17" i="50"/>
  <c r="AA4" i="50"/>
  <c r="Y35" i="50"/>
  <c r="O54" i="50"/>
  <c r="AO15" i="50"/>
  <c r="S36" i="50"/>
  <c r="AD73" i="50"/>
  <c r="V30" i="50"/>
  <c r="AA46" i="50"/>
  <c r="W41" i="50"/>
  <c r="L52" i="50"/>
  <c r="P24" i="50"/>
  <c r="AH52" i="50"/>
  <c r="AQ17" i="50"/>
  <c r="AM5" i="50"/>
  <c r="AH18" i="50"/>
  <c r="AG31" i="50"/>
  <c r="BA31" i="50"/>
  <c r="AS35" i="50"/>
  <c r="AB9" i="50"/>
  <c r="AI12" i="50"/>
  <c r="U72" i="50"/>
  <c r="AA40" i="50"/>
  <c r="N31" i="50"/>
  <c r="AW34" i="50"/>
  <c r="AB29" i="50"/>
  <c r="AT36" i="50"/>
  <c r="AF39" i="50"/>
  <c r="BC26" i="50"/>
  <c r="O58" i="50"/>
  <c r="U41" i="50"/>
  <c r="AH22" i="50"/>
  <c r="AY17" i="50"/>
  <c r="AS27" i="50"/>
  <c r="U24" i="50"/>
  <c r="X65" i="50"/>
  <c r="AX50" i="50"/>
  <c r="O5" i="50"/>
  <c r="Q69" i="50"/>
  <c r="AR37" i="50"/>
  <c r="AH14" i="50"/>
  <c r="AT46" i="50"/>
  <c r="AY42" i="50"/>
  <c r="AN13" i="50"/>
  <c r="AV61" i="50"/>
  <c r="AO48" i="50"/>
  <c r="AM8" i="50"/>
  <c r="AE71" i="50"/>
  <c r="Y15" i="50"/>
  <c r="T21" i="50"/>
  <c r="Z52" i="50"/>
  <c r="BB49" i="50"/>
  <c r="AG62" i="50"/>
  <c r="M60" i="50"/>
  <c r="R73" i="50"/>
  <c r="AM38" i="50"/>
  <c r="AV47" i="50"/>
  <c r="BB66" i="50"/>
  <c r="AW59" i="50"/>
  <c r="P23" i="50"/>
  <c r="X8" i="50"/>
  <c r="AU34" i="50"/>
  <c r="T61" i="50"/>
  <c r="AM60" i="50"/>
  <c r="BA12" i="50"/>
  <c r="AX68" i="50"/>
  <c r="AZ50" i="50"/>
  <c r="AN42" i="50"/>
  <c r="X11" i="50"/>
  <c r="Y73" i="50"/>
  <c r="V21" i="50"/>
  <c r="AS22" i="50"/>
  <c r="AX23" i="50"/>
  <c r="Z5" i="50"/>
  <c r="AE33" i="50"/>
  <c r="M20" i="50"/>
  <c r="AH37" i="50"/>
  <c r="T4" i="50"/>
  <c r="AG70" i="50"/>
  <c r="Y63" i="50"/>
  <c r="AP10" i="50"/>
  <c r="AP40" i="50"/>
  <c r="N73" i="50"/>
  <c r="AN23" i="50"/>
  <c r="AH32" i="50"/>
  <c r="AK17" i="50"/>
  <c r="AI71" i="50"/>
  <c r="AE35" i="50"/>
  <c r="AF33" i="50"/>
  <c r="Y53" i="50"/>
  <c r="R24" i="50"/>
  <c r="AW9" i="50"/>
  <c r="AR68" i="50"/>
  <c r="AL22" i="50"/>
  <c r="T26" i="50"/>
  <c r="AK27" i="50"/>
  <c r="S32" i="50"/>
  <c r="AH10" i="50"/>
  <c r="L71" i="50"/>
  <c r="AD36" i="50"/>
  <c r="AB66" i="50"/>
  <c r="AD29" i="50"/>
  <c r="P71" i="50"/>
  <c r="N72" i="50"/>
  <c r="Q41" i="50"/>
  <c r="AG65" i="50"/>
  <c r="AE16" i="50"/>
  <c r="AB27" i="50"/>
  <c r="AJ55" i="50"/>
  <c r="AV45" i="50"/>
  <c r="BA69" i="50"/>
  <c r="AF64" i="50"/>
  <c r="Y44" i="50"/>
  <c r="AI67" i="50"/>
  <c r="AL44" i="50"/>
  <c r="S18" i="50"/>
  <c r="AB39" i="50"/>
  <c r="AT71" i="50"/>
  <c r="AI33" i="50"/>
  <c r="AU55" i="50"/>
  <c r="T37" i="50"/>
  <c r="AE22" i="50"/>
  <c r="AJ15" i="50"/>
  <c r="Q73" i="50"/>
  <c r="AG56" i="50"/>
  <c r="O7" i="50"/>
  <c r="AH53" i="50"/>
  <c r="AR60" i="50"/>
  <c r="R69" i="50"/>
  <c r="T27" i="50"/>
  <c r="AS5" i="50"/>
  <c r="AO70" i="50"/>
  <c r="AT33" i="50"/>
  <c r="Y52" i="50"/>
  <c r="AT29" i="50"/>
  <c r="AO59" i="50"/>
  <c r="V10" i="50"/>
  <c r="V41" i="50"/>
  <c r="R11" i="50"/>
  <c r="AI70" i="50"/>
  <c r="AX28" i="50"/>
  <c r="AS56" i="50"/>
  <c r="BB68" i="50"/>
  <c r="AB34" i="50"/>
  <c r="L19" i="50"/>
  <c r="AB37" i="50"/>
  <c r="AM69" i="50"/>
  <c r="AN52" i="50"/>
  <c r="AF20" i="50"/>
  <c r="AQ30" i="50"/>
  <c r="Z28" i="50"/>
  <c r="O69" i="50"/>
  <c r="AW23" i="50"/>
  <c r="R8" i="50"/>
  <c r="AT39" i="50"/>
  <c r="AY10" i="50"/>
  <c r="AV16" i="50"/>
  <c r="X64" i="50"/>
  <c r="AH11" i="50"/>
  <c r="L21" i="50"/>
  <c r="AM28" i="50"/>
  <c r="AM31" i="50"/>
  <c r="L45" i="50"/>
  <c r="AM51" i="50"/>
  <c r="AZ41" i="50"/>
  <c r="AC22" i="50"/>
  <c r="N70" i="50"/>
  <c r="L61" i="50"/>
  <c r="AW32" i="50"/>
  <c r="L41" i="50"/>
  <c r="AT54" i="50"/>
  <c r="AG30" i="50"/>
  <c r="AQ51" i="50"/>
  <c r="AN54" i="50"/>
  <c r="BA27" i="50"/>
  <c r="W11" i="50"/>
  <c r="U51" i="50"/>
  <c r="AV26" i="50"/>
  <c r="U22" i="50"/>
  <c r="AC7" i="50"/>
  <c r="AB55" i="50"/>
  <c r="AR8" i="50"/>
  <c r="AG46" i="50"/>
  <c r="AT9" i="50"/>
  <c r="AJ48" i="50"/>
  <c r="AJ9" i="50"/>
  <c r="AV25" i="50"/>
  <c r="P51" i="50"/>
  <c r="AO43" i="50"/>
  <c r="BA10" i="50"/>
  <c r="M28" i="50"/>
  <c r="V66" i="50"/>
  <c r="AU46" i="50"/>
  <c r="W24" i="50"/>
  <c r="AT4" i="50"/>
  <c r="AN46" i="50"/>
  <c r="N5" i="50"/>
  <c r="AL61" i="50"/>
  <c r="AZ19" i="50"/>
  <c r="AK70" i="50"/>
  <c r="AC38" i="50"/>
  <c r="AR49" i="50"/>
  <c r="AQ24" i="50"/>
  <c r="AL19" i="50"/>
  <c r="W52" i="50"/>
  <c r="T29" i="50"/>
  <c r="AG54" i="50"/>
  <c r="AQ59" i="50"/>
  <c r="AU63" i="50"/>
  <c r="AI30" i="50"/>
  <c r="AV66" i="50"/>
  <c r="X10" i="50"/>
  <c r="Q36" i="50"/>
  <c r="R38" i="50"/>
  <c r="AH55" i="50"/>
  <c r="AJ19" i="50"/>
  <c r="U20" i="50"/>
  <c r="AR38" i="50"/>
  <c r="AQ52" i="50"/>
  <c r="P29" i="50"/>
  <c r="AE38" i="50"/>
  <c r="AV23" i="50"/>
  <c r="L30" i="50"/>
  <c r="BB33" i="50"/>
  <c r="AA24" i="50"/>
  <c r="AX60" i="50"/>
  <c r="AI26" i="50"/>
  <c r="AE47" i="50"/>
  <c r="AK51" i="50"/>
  <c r="S17" i="50"/>
  <c r="AY16" i="50"/>
  <c r="AL68" i="50"/>
  <c r="U39" i="50"/>
  <c r="AX22" i="50"/>
  <c r="AV48" i="50"/>
  <c r="L25" i="50"/>
  <c r="BA21" i="50"/>
  <c r="AZ33" i="50"/>
  <c r="AO68" i="50"/>
  <c r="O37" i="50"/>
  <c r="AU38" i="50"/>
  <c r="AE34" i="50"/>
  <c r="AW67" i="50"/>
  <c r="Y26" i="50"/>
  <c r="U17" i="50"/>
  <c r="AB32" i="50"/>
  <c r="AV21" i="50"/>
  <c r="AM50" i="50"/>
  <c r="V32" i="50"/>
  <c r="O20" i="50"/>
  <c r="T30" i="50"/>
  <c r="AH62" i="50"/>
  <c r="AA10" i="50"/>
  <c r="AV73" i="50"/>
  <c r="Y41" i="50"/>
  <c r="AK34" i="50"/>
  <c r="X59" i="50"/>
  <c r="S69" i="50"/>
  <c r="M10" i="50"/>
  <c r="N14" i="50"/>
  <c r="AC33" i="50"/>
  <c r="AC59" i="50"/>
  <c r="AE29" i="50"/>
  <c r="AR71" i="50"/>
  <c r="AU22" i="50"/>
  <c r="BB37" i="50"/>
  <c r="Q45" i="50"/>
  <c r="P13" i="50"/>
  <c r="P44" i="50"/>
  <c r="AG69" i="50"/>
  <c r="R7" i="50"/>
  <c r="BC65" i="50"/>
  <c r="W72" i="50"/>
  <c r="AY37" i="50"/>
  <c r="AE14" i="50"/>
  <c r="W37" i="50"/>
  <c r="AX24" i="50"/>
  <c r="AF66" i="50"/>
  <c r="W12" i="50"/>
  <c r="AS23" i="50"/>
  <c r="AI54" i="50"/>
  <c r="BC12" i="50"/>
  <c r="AK42" i="50"/>
  <c r="AH31" i="50"/>
  <c r="Z14" i="50"/>
  <c r="AF10" i="50"/>
  <c r="N9" i="50"/>
  <c r="AG40" i="50"/>
  <c r="P61" i="50"/>
  <c r="AH25" i="50"/>
  <c r="X46" i="50"/>
  <c r="AM19" i="50"/>
  <c r="AI19" i="50"/>
  <c r="AE52" i="50"/>
  <c r="AT30" i="50"/>
  <c r="AL29" i="50"/>
  <c r="AI47" i="50"/>
  <c r="AN10" i="50"/>
  <c r="AO64" i="50"/>
  <c r="AR42" i="50"/>
  <c r="BC66" i="50"/>
  <c r="AQ13" i="50"/>
  <c r="AK38" i="50"/>
  <c r="AR58" i="50"/>
  <c r="AS61" i="50"/>
  <c r="AF36" i="50"/>
  <c r="O67" i="50"/>
  <c r="AT51" i="50"/>
  <c r="AM30" i="50"/>
  <c r="Y32" i="50"/>
  <c r="BC24" i="50"/>
  <c r="AN56" i="50"/>
  <c r="AR41" i="50"/>
  <c r="AC42" i="50"/>
  <c r="Z71" i="50"/>
  <c r="AZ48" i="50"/>
  <c r="N55" i="50"/>
  <c r="R45" i="50"/>
  <c r="V44" i="50"/>
  <c r="Q70" i="50"/>
  <c r="BC67" i="50"/>
  <c r="AZ49" i="50"/>
  <c r="AW50" i="50"/>
  <c r="N41" i="50"/>
  <c r="AU39" i="50"/>
  <c r="AP44" i="50"/>
  <c r="N45" i="50"/>
  <c r="AO66" i="50"/>
  <c r="AH40" i="50"/>
  <c r="L44" i="50"/>
  <c r="AR20" i="50"/>
  <c r="Q31" i="50"/>
  <c r="AC50" i="50"/>
  <c r="BC40" i="50"/>
  <c r="AI13" i="50"/>
  <c r="AT73" i="50"/>
  <c r="AX32" i="50"/>
  <c r="L28" i="50"/>
  <c r="Y39" i="50"/>
  <c r="S21" i="50"/>
  <c r="AI25" i="50"/>
  <c r="N23" i="50"/>
  <c r="Z33" i="50"/>
  <c r="AR69" i="50"/>
  <c r="AH47" i="50"/>
  <c r="L22" i="50"/>
  <c r="W19" i="50"/>
  <c r="AX8" i="50"/>
  <c r="AJ29" i="50"/>
  <c r="AZ16" i="50"/>
  <c r="AT35" i="50"/>
  <c r="S62" i="50"/>
  <c r="T65" i="50"/>
  <c r="M19" i="50"/>
  <c r="Y30" i="50"/>
  <c r="P39" i="50"/>
  <c r="BB73" i="50"/>
  <c r="AY52" i="50"/>
  <c r="AX51" i="50"/>
  <c r="AC23" i="50"/>
  <c r="AV51" i="50"/>
  <c r="O57" i="50"/>
  <c r="P34" i="50"/>
  <c r="AR22" i="50"/>
  <c r="AY36" i="50"/>
  <c r="T7" i="50"/>
  <c r="AT19" i="50"/>
  <c r="BA45" i="50"/>
  <c r="AT15" i="50"/>
  <c r="U57" i="50"/>
  <c r="AQ45" i="50"/>
  <c r="AB48" i="50"/>
  <c r="AC28" i="50"/>
  <c r="AH28" i="50"/>
  <c r="BA26" i="50"/>
  <c r="Z45" i="50"/>
  <c r="AO20" i="50"/>
  <c r="AK52" i="50"/>
  <c r="AQ12" i="50"/>
  <c r="AI4" i="50"/>
  <c r="AL32" i="50"/>
  <c r="AS44" i="50"/>
  <c r="AS65" i="50"/>
  <c r="AE28" i="50"/>
  <c r="AZ31" i="50"/>
  <c r="AA35" i="50"/>
  <c r="AK69" i="50"/>
  <c r="W71" i="50"/>
  <c r="L10" i="50"/>
  <c r="AO33" i="50"/>
  <c r="S41" i="50"/>
  <c r="AX41" i="50"/>
  <c r="W27" i="50"/>
  <c r="AN27" i="50"/>
  <c r="AT22" i="50"/>
  <c r="AH50" i="50"/>
  <c r="AH73" i="50"/>
  <c r="AB67" i="50"/>
  <c r="AI50" i="50"/>
  <c r="X70" i="50"/>
  <c r="Q11" i="50"/>
  <c r="AM43" i="50"/>
  <c r="AJ69" i="50"/>
  <c r="AV18" i="50"/>
  <c r="L58" i="50"/>
  <c r="BC37" i="50"/>
  <c r="N61" i="50"/>
  <c r="AA51" i="50"/>
  <c r="BC17" i="50"/>
  <c r="AN30" i="50"/>
  <c r="P20" i="50"/>
  <c r="U29" i="50"/>
  <c r="AH35" i="50"/>
  <c r="AB21" i="50"/>
  <c r="AS9" i="50"/>
  <c r="N27" i="50"/>
  <c r="S60" i="50"/>
  <c r="U45" i="50"/>
  <c r="AM62" i="50"/>
  <c r="Z39" i="50"/>
  <c r="AD40" i="50"/>
  <c r="BA30" i="50"/>
  <c r="AK68" i="50"/>
  <c r="P52" i="50"/>
  <c r="AN65" i="50"/>
  <c r="AC63" i="50"/>
  <c r="AI39" i="50"/>
  <c r="R29" i="50"/>
  <c r="AE45" i="50"/>
  <c r="O33" i="50"/>
  <c r="AF60" i="50"/>
  <c r="AP55" i="50"/>
  <c r="T67" i="50"/>
  <c r="X24" i="50"/>
  <c r="AP21" i="50"/>
  <c r="AN68" i="50"/>
  <c r="S30" i="50"/>
  <c r="X25" i="50"/>
  <c r="BB7" i="50"/>
  <c r="AQ31" i="50"/>
  <c r="AZ43" i="50"/>
  <c r="BA24" i="50"/>
  <c r="AH13" i="50"/>
  <c r="Y61" i="50"/>
  <c r="Z23" i="50"/>
  <c r="AE17" i="50"/>
  <c r="AK67" i="50"/>
  <c r="AE39" i="50"/>
  <c r="AD14" i="50"/>
  <c r="AG71" i="50"/>
  <c r="AI18" i="50"/>
  <c r="N30" i="50"/>
  <c r="AN39" i="50"/>
  <c r="BC73" i="50"/>
  <c r="AQ48" i="50"/>
  <c r="AV72" i="50"/>
  <c r="AG16" i="50"/>
  <c r="AP7" i="50"/>
  <c r="O73" i="50"/>
  <c r="L47" i="50"/>
  <c r="BA61" i="50"/>
  <c r="AN45" i="50"/>
  <c r="AI24" i="50"/>
  <c r="AU49" i="50"/>
  <c r="AL30" i="50"/>
  <c r="M59" i="50"/>
  <c r="O61" i="50"/>
  <c r="AB30" i="50"/>
  <c r="Y10" i="50"/>
  <c r="M40" i="50"/>
  <c r="Y33" i="50"/>
  <c r="AY54" i="50"/>
  <c r="AF41" i="50"/>
  <c r="Y51" i="50"/>
  <c r="AA21" i="50"/>
  <c r="AT45" i="50"/>
  <c r="BC50" i="50"/>
  <c r="AK58" i="50"/>
  <c r="AT50" i="50"/>
  <c r="T50" i="50"/>
  <c r="U56" i="50"/>
  <c r="AG19" i="50"/>
  <c r="Y71" i="50"/>
  <c r="AP57" i="50"/>
  <c r="L51" i="50"/>
  <c r="AO71" i="50"/>
  <c r="W63" i="50"/>
  <c r="M8" i="50"/>
  <c r="Q8" i="50"/>
  <c r="S54" i="50"/>
  <c r="M64" i="50"/>
  <c r="AV36" i="50"/>
  <c r="AO60" i="50"/>
  <c r="Z57" i="50"/>
  <c r="N33" i="50"/>
  <c r="W67" i="50"/>
  <c r="AO34" i="50"/>
  <c r="AL67" i="50"/>
  <c r="BA35" i="50"/>
  <c r="AW42" i="50"/>
  <c r="AN18" i="50"/>
  <c r="P7" i="50"/>
  <c r="AZ26" i="50"/>
  <c r="W10" i="50"/>
  <c r="AP59" i="50"/>
  <c r="BB41" i="50"/>
  <c r="AU16" i="50"/>
  <c r="AI43" i="50"/>
  <c r="AO22" i="50"/>
  <c r="AG32" i="50"/>
  <c r="AN33" i="50"/>
  <c r="AD59" i="50"/>
  <c r="AN55" i="50"/>
  <c r="AD69" i="50"/>
  <c r="AL8" i="50"/>
  <c r="AS64" i="50"/>
  <c r="P8" i="50"/>
  <c r="AG66" i="50"/>
  <c r="AR70" i="50"/>
  <c r="AP50" i="50"/>
  <c r="AW21" i="50"/>
  <c r="AT63" i="50"/>
  <c r="BC19" i="50"/>
  <c r="X32" i="50"/>
  <c r="AG13" i="50"/>
  <c r="AB19" i="50"/>
  <c r="AM45" i="50"/>
  <c r="AY15" i="50"/>
  <c r="P63" i="50"/>
  <c r="BA54" i="50"/>
  <c r="AQ68" i="50"/>
  <c r="AS63" i="50"/>
  <c r="M61" i="50"/>
  <c r="Y27" i="50"/>
  <c r="T53" i="50"/>
  <c r="AX5" i="50"/>
  <c r="U49" i="50"/>
  <c r="X28" i="50"/>
  <c r="AB61" i="50"/>
  <c r="AN24" i="50"/>
  <c r="V73" i="50"/>
  <c r="AJ22" i="50"/>
  <c r="AZ28" i="50"/>
  <c r="AI41" i="50"/>
  <c r="AG8" i="50"/>
  <c r="V4" i="50"/>
  <c r="BA13" i="50"/>
  <c r="AK13" i="50"/>
  <c r="AQ66" i="50"/>
  <c r="BB43" i="50"/>
  <c r="L31" i="50"/>
  <c r="AJ45" i="50"/>
  <c r="Z58" i="50"/>
  <c r="M39" i="50"/>
  <c r="AL56" i="50"/>
  <c r="BC55" i="50"/>
  <c r="N35" i="50"/>
  <c r="BB8" i="50"/>
  <c r="AV30" i="50"/>
  <c r="X5" i="50"/>
  <c r="AD20" i="50"/>
  <c r="AS12" i="50"/>
  <c r="AX18" i="50"/>
  <c r="AS66" i="50"/>
  <c r="BC51" i="50"/>
  <c r="AL25" i="50"/>
  <c r="AQ65" i="50"/>
  <c r="U53" i="50"/>
  <c r="AP56" i="50"/>
  <c r="AA68" i="50"/>
  <c r="AI69" i="50"/>
  <c r="AJ46" i="50"/>
  <c r="AA62" i="50"/>
  <c r="AS40" i="50"/>
  <c r="AZ47" i="50"/>
  <c r="AL60" i="50"/>
  <c r="U8" i="50"/>
  <c r="AA5" i="50"/>
  <c r="AB52" i="50"/>
  <c r="AS25" i="50"/>
  <c r="O14" i="50"/>
  <c r="U10" i="50"/>
  <c r="AR13" i="50"/>
  <c r="AR10" i="50"/>
  <c r="AI46" i="50"/>
  <c r="AA45" i="50"/>
  <c r="Y4" i="50"/>
  <c r="AC11" i="50"/>
  <c r="R32" i="50"/>
  <c r="AU66" i="50"/>
  <c r="AX12" i="50"/>
  <c r="AK21" i="50"/>
  <c r="M66" i="50"/>
  <c r="AM18" i="50"/>
  <c r="AP48" i="50"/>
  <c r="W30" i="50"/>
  <c r="AZ62" i="50"/>
  <c r="AJ11" i="50"/>
  <c r="AC20" i="50"/>
  <c r="V50" i="50"/>
  <c r="AF19" i="50"/>
  <c r="V25" i="50"/>
  <c r="W16" i="50"/>
  <c r="Z46" i="50"/>
  <c r="M67" i="50"/>
  <c r="AB46" i="50"/>
  <c r="W40" i="50"/>
  <c r="O15" i="50"/>
  <c r="AW5" i="50"/>
  <c r="V69" i="50"/>
  <c r="AO72" i="50"/>
  <c r="X43" i="50"/>
  <c r="O63" i="50"/>
  <c r="AA7" i="50"/>
  <c r="BB17" i="50"/>
  <c r="W8" i="50"/>
  <c r="R25" i="50"/>
  <c r="AK49" i="50"/>
  <c r="AS31" i="50"/>
  <c r="AJ28" i="50"/>
  <c r="T13" i="50"/>
  <c r="AL35" i="50"/>
  <c r="BC18" i="50"/>
  <c r="AY71" i="50"/>
  <c r="AV19" i="50"/>
  <c r="AC57" i="50"/>
  <c r="BA38" i="50"/>
  <c r="L8" i="50"/>
  <c r="U19" i="50"/>
  <c r="AT13" i="50"/>
  <c r="V37" i="50"/>
  <c r="AJ54" i="50"/>
  <c r="U47" i="50"/>
  <c r="AL37" i="50"/>
  <c r="AV28" i="50"/>
  <c r="AR35" i="50"/>
  <c r="AU13" i="50"/>
  <c r="Q65" i="50"/>
  <c r="S28" i="50"/>
  <c r="AA27" i="50"/>
  <c r="AW51" i="50"/>
  <c r="V65" i="50"/>
  <c r="AV60" i="50"/>
  <c r="AT11" i="50"/>
  <c r="AV64" i="50"/>
  <c r="AM17" i="50"/>
  <c r="BA56" i="50"/>
  <c r="AS10" i="50"/>
  <c r="AQ42" i="50"/>
  <c r="U64" i="50"/>
  <c r="AE69" i="50"/>
  <c r="AN63" i="50"/>
  <c r="AO16" i="50"/>
  <c r="W29" i="50"/>
  <c r="AD57" i="50"/>
  <c r="S37" i="50"/>
  <c r="V8" i="50"/>
  <c r="P40" i="50"/>
  <c r="N49" i="50"/>
  <c r="AA54" i="50"/>
  <c r="AH15" i="50"/>
  <c r="X17" i="50"/>
  <c r="R37" i="50"/>
  <c r="AE46" i="50"/>
  <c r="Q71" i="50"/>
  <c r="AJ39" i="50"/>
  <c r="N47" i="50"/>
  <c r="N52" i="50"/>
  <c r="AP17" i="50"/>
  <c r="AK19" i="50"/>
  <c r="W51" i="50"/>
  <c r="AM73" i="50"/>
  <c r="AC60" i="50"/>
  <c r="AM26" i="50"/>
  <c r="R20" i="50"/>
  <c r="AA65" i="50"/>
  <c r="AF54" i="50"/>
  <c r="AK43" i="50"/>
  <c r="T64" i="50"/>
  <c r="P19" i="50"/>
  <c r="AN7" i="50"/>
  <c r="Y42" i="50"/>
  <c r="BC60" i="50"/>
  <c r="AU17" i="50"/>
  <c r="AX14" i="50"/>
  <c r="AH51" i="50"/>
  <c r="AW13" i="50"/>
  <c r="Z7" i="50"/>
  <c r="AD53" i="50"/>
  <c r="T32" i="50"/>
  <c r="AL15" i="50"/>
  <c r="AT43" i="50"/>
  <c r="U4" i="50"/>
  <c r="AA67" i="50"/>
  <c r="AH61" i="50"/>
  <c r="L66" i="50"/>
  <c r="AG10" i="50"/>
  <c r="Y37" i="50"/>
  <c r="AR52" i="50"/>
  <c r="AA60" i="50"/>
  <c r="AT57" i="50"/>
  <c r="Y56" i="50"/>
  <c r="AA52" i="50"/>
  <c r="AH33" i="50"/>
  <c r="BB71" i="50"/>
  <c r="M21" i="50"/>
  <c r="AX46" i="50"/>
  <c r="M25" i="50"/>
  <c r="Q4" i="50"/>
  <c r="AJ71" i="50"/>
  <c r="AB70" i="50"/>
  <c r="AP43" i="50"/>
  <c r="P58" i="50"/>
  <c r="Z63" i="50"/>
  <c r="AB4" i="50"/>
  <c r="AV5" i="50"/>
  <c r="AJ49" i="50"/>
  <c r="O25" i="50"/>
  <c r="L60" i="50"/>
  <c r="AD24" i="50"/>
  <c r="Z40" i="50"/>
  <c r="AG12" i="50"/>
  <c r="AI40" i="50"/>
  <c r="N38" i="50"/>
  <c r="AS45" i="50"/>
  <c r="AU32" i="50"/>
  <c r="AD32" i="50"/>
  <c r="AN4" i="50"/>
  <c r="AD66" i="50"/>
  <c r="AA63" i="50"/>
  <c r="AK53" i="50"/>
  <c r="BA73" i="50"/>
  <c r="AF26" i="50"/>
  <c r="AC21" i="50"/>
  <c r="AT5" i="50"/>
  <c r="X50" i="50"/>
  <c r="AN12" i="50"/>
  <c r="S5" i="50"/>
  <c r="AQ70" i="50"/>
  <c r="AV59" i="50"/>
  <c r="Y59" i="50"/>
  <c r="AR46" i="50"/>
  <c r="Q72" i="50"/>
  <c r="AI14" i="50"/>
  <c r="AX57" i="50"/>
  <c r="AA69" i="50"/>
  <c r="AE73" i="50"/>
  <c r="N10" i="50"/>
  <c r="AR67" i="50"/>
  <c r="AM48" i="50"/>
  <c r="Z32" i="50"/>
  <c r="O21" i="50"/>
  <c r="AL28" i="50"/>
  <c r="AX31" i="50"/>
  <c r="Q66" i="50"/>
  <c r="AU31" i="50"/>
  <c r="AZ23" i="50"/>
  <c r="AL26" i="50"/>
  <c r="Y64" i="50"/>
  <c r="AG35" i="50"/>
  <c r="R47" i="50"/>
  <c r="Q14" i="50"/>
  <c r="AZ59" i="50"/>
  <c r="O42" i="50"/>
  <c r="AY19" i="50"/>
  <c r="AY4" i="50"/>
  <c r="AW72" i="50"/>
  <c r="AL54" i="50"/>
  <c r="AI36" i="50"/>
  <c r="AU64" i="50"/>
  <c r="W23" i="50"/>
  <c r="L9" i="50"/>
  <c r="U30" i="50"/>
  <c r="AC51" i="50"/>
  <c r="AJ57" i="50"/>
  <c r="S48" i="50"/>
  <c r="AL62" i="50"/>
  <c r="N19" i="50"/>
  <c r="U69" i="50"/>
  <c r="AB45" i="50"/>
  <c r="M57" i="50"/>
  <c r="AL58" i="50"/>
  <c r="AR26" i="50"/>
  <c r="AU56" i="50"/>
  <c r="AL24" i="50"/>
  <c r="V11" i="50"/>
  <c r="AT37" i="50"/>
  <c r="AV44" i="50"/>
  <c r="R35" i="50"/>
  <c r="AJ44" i="50"/>
  <c r="P33" i="50"/>
  <c r="X57" i="50"/>
  <c r="AG45" i="50"/>
  <c r="W39" i="50"/>
  <c r="AM53" i="50"/>
  <c r="V29" i="50"/>
  <c r="AU53" i="50"/>
  <c r="AX4" i="50"/>
  <c r="L16" i="50"/>
  <c r="AV17" i="50"/>
  <c r="AD26" i="50"/>
  <c r="AH65" i="50"/>
  <c r="BB44" i="50"/>
  <c r="AF53" i="50"/>
  <c r="T55" i="50"/>
  <c r="V67" i="50"/>
  <c r="AD52" i="50"/>
  <c r="AF12" i="50"/>
  <c r="BA57" i="50"/>
  <c r="AV14" i="50"/>
  <c r="Y68" i="50"/>
  <c r="T72" i="50"/>
  <c r="AE58" i="50"/>
  <c r="AJ72" i="50"/>
  <c r="Y45" i="50"/>
  <c r="AT21" i="50"/>
  <c r="AN66" i="50"/>
  <c r="O55" i="50"/>
  <c r="T58" i="50"/>
  <c r="AQ62" i="50"/>
  <c r="AC25" i="50"/>
  <c r="R68" i="50"/>
  <c r="AE49" i="50"/>
  <c r="R50" i="50"/>
  <c r="AU25" i="50"/>
  <c r="AJ47" i="50"/>
  <c r="AQ41" i="50"/>
  <c r="BB64" i="50"/>
  <c r="AY49" i="50"/>
  <c r="AT17" i="50"/>
  <c r="AI56" i="50"/>
  <c r="AD17" i="50"/>
  <c r="T70" i="50"/>
  <c r="AL43" i="50"/>
  <c r="AY18" i="50"/>
  <c r="V54" i="50"/>
  <c r="AX69" i="50"/>
  <c r="AS34" i="50"/>
  <c r="AO38" i="50"/>
  <c r="L46" i="50"/>
  <c r="BB36" i="50"/>
  <c r="AB26" i="50"/>
  <c r="X62" i="50"/>
  <c r="AA14" i="50"/>
  <c r="AD8" i="50"/>
  <c r="AF11" i="50"/>
  <c r="Q23" i="50"/>
  <c r="AN11" i="50"/>
  <c r="AF14" i="50"/>
  <c r="V57" i="50"/>
  <c r="L67" i="50"/>
  <c r="BC20" i="50"/>
  <c r="R27" i="50"/>
  <c r="Q28" i="50"/>
  <c r="AJ24" i="50"/>
  <c r="AJ7" i="50"/>
  <c r="P37" i="50"/>
  <c r="AZ36" i="50"/>
  <c r="AN64" i="50"/>
  <c r="O70" i="50"/>
  <c r="AT49" i="50"/>
  <c r="M35" i="50"/>
  <c r="BB38" i="50"/>
  <c r="M23" i="50"/>
  <c r="AF24" i="50"/>
  <c r="AA43" i="50"/>
  <c r="AD30" i="50"/>
  <c r="AF23" i="50"/>
  <c r="AR11" i="50"/>
  <c r="AS18" i="50"/>
  <c r="AK57" i="50"/>
  <c r="AV37" i="50"/>
  <c r="Y11" i="50"/>
  <c r="AO32" i="50"/>
  <c r="AJ30" i="50"/>
  <c r="R49" i="50"/>
  <c r="AK71" i="50"/>
  <c r="AU60" i="50"/>
  <c r="AR45" i="50"/>
  <c r="P15" i="50"/>
  <c r="AQ50" i="50"/>
  <c r="AT60" i="50"/>
  <c r="Q18" i="50"/>
  <c r="S31" i="50"/>
  <c r="AO44" i="50"/>
  <c r="AM66" i="50"/>
  <c r="U15" i="50"/>
  <c r="AK7" i="50"/>
  <c r="AJ4" i="50"/>
  <c r="X48" i="50"/>
  <c r="V12" i="50"/>
  <c r="AY68" i="50"/>
  <c r="O9" i="50"/>
  <c r="N51" i="50"/>
  <c r="V33" i="50"/>
  <c r="AL66" i="50"/>
  <c r="U21" i="50"/>
  <c r="AZ24" i="50"/>
  <c r="AO54" i="50"/>
  <c r="AO35" i="50"/>
  <c r="AT56" i="50"/>
  <c r="AW14" i="50"/>
  <c r="N8" i="50"/>
  <c r="BC56" i="50"/>
  <c r="AR24" i="50"/>
  <c r="AL31" i="50"/>
  <c r="W32" i="50"/>
  <c r="AF73" i="50"/>
  <c r="P18" i="50"/>
  <c r="Z15" i="50"/>
  <c r="X18" i="50"/>
  <c r="U14" i="50"/>
  <c r="AU71" i="50"/>
  <c r="Q34" i="50"/>
  <c r="AR64" i="50"/>
  <c r="BB40" i="50"/>
  <c r="M73" i="50"/>
  <c r="AP58" i="50"/>
  <c r="O71" i="50"/>
  <c r="BC54" i="50"/>
  <c r="BC38" i="50"/>
  <c r="Y60" i="50"/>
  <c r="L63" i="50"/>
  <c r="AR32" i="50"/>
  <c r="N63" i="50"/>
  <c r="AT16" i="50"/>
  <c r="AD21" i="50"/>
  <c r="AI44" i="50"/>
  <c r="R39" i="50"/>
  <c r="AH20" i="50"/>
  <c r="AT18" i="50"/>
  <c r="O53" i="50"/>
  <c r="AY47" i="50"/>
  <c r="AE20" i="50"/>
  <c r="AH71" i="50"/>
  <c r="M52" i="50"/>
  <c r="AC37" i="50"/>
  <c r="T25" i="50"/>
  <c r="AF52" i="50"/>
  <c r="BB53" i="50"/>
  <c r="AH63" i="50"/>
  <c r="AK45" i="50"/>
  <c r="AE44" i="50"/>
  <c r="AZ67" i="50"/>
  <c r="L65" i="50"/>
  <c r="AF38" i="50"/>
  <c r="AG23" i="50"/>
  <c r="AH45" i="50"/>
  <c r="Y72" i="50"/>
  <c r="AC36" i="50"/>
  <c r="L64" i="50"/>
  <c r="X35" i="50"/>
  <c r="AK47" i="50"/>
  <c r="AR62" i="50"/>
  <c r="W59" i="50"/>
  <c r="AC26" i="50"/>
  <c r="AA20" i="50"/>
  <c r="AE48" i="50"/>
  <c r="AQ22" i="50"/>
  <c r="AD12" i="50"/>
  <c r="P64" i="50"/>
  <c r="U50" i="50"/>
  <c r="AD71" i="50"/>
  <c r="BB45" i="50"/>
  <c r="AN58" i="50"/>
  <c r="AS69" i="50"/>
  <c r="AU20" i="50"/>
  <c r="U38" i="50"/>
  <c r="AF37" i="50"/>
  <c r="U33" i="50"/>
  <c r="AL5" i="50"/>
  <c r="AX63" i="50"/>
  <c r="M16" i="50"/>
  <c r="AC13" i="50"/>
  <c r="M71" i="50"/>
  <c r="AJ20" i="50"/>
  <c r="P55" i="50"/>
  <c r="BB54" i="50"/>
  <c r="AA64" i="50"/>
  <c r="AA8" i="50"/>
  <c r="AF13" i="50"/>
  <c r="BA4" i="50"/>
  <c r="AH44" i="50"/>
  <c r="AR33" i="50"/>
  <c r="BA23" i="50"/>
  <c r="AB57" i="50"/>
  <c r="AA12" i="50"/>
  <c r="AL17" i="50"/>
  <c r="AY7" i="50"/>
  <c r="AY70" i="50"/>
  <c r="AY58" i="50"/>
  <c r="W15" i="50"/>
  <c r="BC5" i="50"/>
  <c r="AD61" i="50"/>
  <c r="AN73" i="50"/>
  <c r="AA25" i="50"/>
  <c r="AJ14" i="50"/>
  <c r="AF46" i="50"/>
  <c r="Q37" i="50"/>
  <c r="AW29" i="50"/>
  <c r="AV53" i="50"/>
  <c r="O40" i="50"/>
  <c r="R33" i="50"/>
  <c r="AK11" i="50"/>
  <c r="AV55" i="50"/>
  <c r="AW7" i="50"/>
  <c r="V35" i="50"/>
  <c r="BB46" i="50"/>
  <c r="AS24" i="50"/>
  <c r="AZ27" i="50"/>
  <c r="M46" i="50"/>
  <c r="AI57" i="50"/>
  <c r="AN29" i="50"/>
  <c r="AQ46" i="50"/>
  <c r="AG7" i="50"/>
  <c r="V16" i="50"/>
  <c r="Y55" i="50"/>
  <c r="AR51" i="50"/>
  <c r="V49" i="50"/>
  <c r="AS39" i="50"/>
  <c r="O44" i="50"/>
  <c r="BB30" i="50"/>
  <c r="AN70" i="50"/>
  <c r="BB14" i="50"/>
  <c r="AL51" i="50"/>
  <c r="AU4" i="50"/>
  <c r="AF61" i="50"/>
  <c r="AA38" i="50"/>
  <c r="AD15" i="50"/>
  <c r="O23" i="50"/>
  <c r="AI11" i="50"/>
  <c r="S70" i="50"/>
  <c r="AY35" i="50"/>
  <c r="BA16" i="50"/>
  <c r="AQ37" i="50"/>
  <c r="AJ61" i="50"/>
  <c r="Y23" i="50"/>
  <c r="AH46" i="50"/>
  <c r="AB11" i="50"/>
  <c r="AE66" i="50"/>
  <c r="AY62" i="50"/>
  <c r="AP29" i="50"/>
  <c r="BA67" i="50"/>
  <c r="S67" i="50"/>
  <c r="BB16" i="50"/>
  <c r="AD51" i="50"/>
  <c r="AQ64" i="50"/>
  <c r="AD48" i="50"/>
  <c r="W28" i="50"/>
  <c r="BA7" i="50"/>
  <c r="AV4" i="50"/>
  <c r="AW73" i="50"/>
  <c r="AL73" i="50"/>
  <c r="U27" i="50"/>
  <c r="AX10" i="50"/>
  <c r="U37" i="50"/>
  <c r="AR12" i="50"/>
  <c r="AQ54" i="50"/>
  <c r="AE12" i="50"/>
  <c r="AJ35" i="50"/>
  <c r="AX42" i="50"/>
  <c r="Q21" i="50"/>
  <c r="AB38" i="50"/>
  <c r="BB72" i="50"/>
  <c r="O51" i="50"/>
  <c r="BC71" i="50"/>
  <c r="AD58" i="50"/>
  <c r="AN35" i="50"/>
  <c r="AQ34" i="50"/>
  <c r="R36" i="50"/>
  <c r="AX20" i="50"/>
  <c r="AW36" i="50"/>
  <c r="M13" i="50"/>
  <c r="AR73" i="50"/>
  <c r="AF67" i="50"/>
  <c r="AT23" i="50"/>
  <c r="AJ18" i="50"/>
  <c r="L23" i="50"/>
  <c r="W68" i="50"/>
  <c r="Z60" i="50"/>
  <c r="AR9" i="50"/>
  <c r="P43" i="50"/>
  <c r="Q33" i="50"/>
  <c r="O31" i="50"/>
  <c r="AW48" i="50"/>
  <c r="T62" i="50"/>
  <c r="Y28" i="50"/>
  <c r="BA44" i="50"/>
  <c r="Q7" i="50"/>
  <c r="AQ11" i="50"/>
  <c r="AO51" i="50"/>
  <c r="AE7" i="50"/>
  <c r="AT72" i="50"/>
  <c r="Q51" i="50"/>
  <c r="R10" i="50"/>
  <c r="AW33" i="50"/>
  <c r="AP26" i="50"/>
  <c r="AY5" i="50"/>
  <c r="S15" i="50"/>
  <c r="AP46" i="50"/>
  <c r="AT28" i="50"/>
  <c r="X52" i="50"/>
  <c r="X27" i="50"/>
  <c r="AD31" i="50"/>
  <c r="R15" i="50"/>
  <c r="X55" i="50"/>
  <c r="AF4" i="50"/>
  <c r="AF8" i="50"/>
  <c r="AI7" i="50"/>
  <c r="R56" i="50"/>
  <c r="AW57" i="50"/>
  <c r="M53" i="50"/>
  <c r="O36" i="50"/>
  <c r="Z10" i="50"/>
  <c r="AU70" i="50"/>
  <c r="Z42" i="50"/>
  <c r="AK33" i="50"/>
  <c r="AG55" i="50"/>
  <c r="AR18" i="50"/>
  <c r="AF32" i="50"/>
  <c r="BA40" i="50"/>
  <c r="AD45" i="50"/>
  <c r="AB64" i="50"/>
  <c r="AU5" i="50"/>
  <c r="AN44" i="50"/>
  <c r="BA17" i="50"/>
  <c r="AA37" i="50"/>
  <c r="AX29" i="50"/>
  <c r="M9" i="50"/>
  <c r="BA42" i="50"/>
  <c r="AN48" i="50"/>
  <c r="AB58" i="50"/>
  <c r="AS33" i="50"/>
  <c r="AO45" i="50"/>
  <c r="AV68" i="50"/>
  <c r="X20" i="50"/>
  <c r="Z31" i="50"/>
  <c r="S51" i="50"/>
  <c r="AI65" i="50"/>
  <c r="AE15" i="50"/>
  <c r="AX13" i="50"/>
  <c r="AO7" i="50"/>
  <c r="P41" i="50"/>
  <c r="AB69" i="50"/>
  <c r="AW66" i="50"/>
  <c r="AG63" i="50"/>
  <c r="AJ43" i="50"/>
  <c r="AW10" i="50"/>
  <c r="AG36" i="50"/>
  <c r="AS29" i="50"/>
  <c r="AO52" i="50"/>
  <c r="W20" i="50"/>
  <c r="O24" i="50"/>
  <c r="BC64" i="50"/>
  <c r="AP54" i="50"/>
  <c r="T48" i="50"/>
  <c r="Q26" i="50"/>
  <c r="Y47" i="50"/>
  <c r="BA68" i="50"/>
  <c r="AJ56" i="50"/>
  <c r="AI48" i="50"/>
  <c r="BC11" i="50"/>
  <c r="AQ15" i="50"/>
  <c r="AT47" i="50"/>
  <c r="Q19" i="50"/>
  <c r="AE43" i="50"/>
  <c r="AM22" i="50"/>
  <c r="AC70" i="50"/>
  <c r="AW35" i="50"/>
  <c r="AM72" i="50"/>
  <c r="T35" i="50"/>
  <c r="AA44" i="50"/>
  <c r="W54" i="50"/>
  <c r="AV52" i="50"/>
  <c r="Q25" i="50"/>
  <c r="AI58" i="50"/>
  <c r="L54" i="50"/>
  <c r="BC47" i="50"/>
  <c r="AZ5" i="50"/>
  <c r="AI15" i="50"/>
  <c r="S11" i="50"/>
  <c r="AF15" i="50"/>
  <c r="AP20" i="50"/>
  <c r="AA57" i="50"/>
  <c r="V58" i="50"/>
  <c r="AL72" i="50"/>
  <c r="AX40" i="50"/>
  <c r="AQ43" i="50"/>
  <c r="AO49" i="50"/>
  <c r="BA41" i="50"/>
  <c r="Q46" i="50"/>
  <c r="N68" i="50"/>
  <c r="AV40" i="50"/>
  <c r="AJ42" i="50"/>
  <c r="AJ36" i="50"/>
  <c r="Z12" i="50"/>
  <c r="T57" i="50"/>
  <c r="AO57" i="50"/>
  <c r="AN61" i="50"/>
  <c r="T73" i="50"/>
  <c r="AS55" i="50"/>
  <c r="AZ52" i="50"/>
  <c r="AG44" i="50"/>
  <c r="AS13" i="50"/>
  <c r="L35" i="50"/>
  <c r="AK28" i="50"/>
  <c r="T34" i="50"/>
  <c r="AB43" i="50"/>
  <c r="AG61" i="50"/>
  <c r="AL53" i="50"/>
  <c r="AH23" i="50"/>
  <c r="AL23" i="50"/>
  <c r="AN69" i="50"/>
  <c r="AD10" i="50"/>
  <c r="AQ10" i="50"/>
  <c r="AK8" i="50"/>
  <c r="AM4" i="50"/>
  <c r="AM52" i="50"/>
  <c r="BB57" i="50"/>
  <c r="AP38" i="50"/>
  <c r="AD22" i="50"/>
  <c r="AM71" i="50"/>
  <c r="V72" i="50"/>
  <c r="AQ40" i="50"/>
  <c r="AQ27" i="50"/>
  <c r="AG22" i="50"/>
  <c r="AF16" i="50"/>
  <c r="AM21" i="50"/>
  <c r="Q32" i="50"/>
  <c r="BA15" i="50"/>
  <c r="AI38" i="50"/>
  <c r="AJ37" i="50"/>
  <c r="AS8" i="50"/>
  <c r="AS58" i="50"/>
  <c r="AN14" i="50"/>
  <c r="AQ7" i="50"/>
  <c r="AU11" i="50"/>
  <c r="T24" i="50"/>
  <c r="AK29" i="50"/>
  <c r="AZ65" i="50"/>
  <c r="L48" i="50"/>
  <c r="X34" i="50"/>
  <c r="AN59" i="50"/>
  <c r="AU47" i="50"/>
  <c r="AP41" i="50"/>
  <c r="AK61" i="50"/>
  <c r="X26" i="50"/>
  <c r="T10" i="50"/>
  <c r="P69" i="50"/>
  <c r="AL46" i="50"/>
  <c r="M72" i="50"/>
  <c r="AA53" i="50"/>
  <c r="AE60" i="50"/>
  <c r="AZ68" i="50"/>
  <c r="AU10" i="50"/>
  <c r="M69" i="50"/>
  <c r="AG25" i="50"/>
  <c r="AA13" i="50"/>
  <c r="AK18" i="50"/>
  <c r="R21" i="50"/>
  <c r="AK24" i="50"/>
  <c r="AW24" i="50"/>
  <c r="AU54" i="50"/>
  <c r="AY48" i="50"/>
  <c r="AE40" i="50"/>
  <c r="AJ27" i="50"/>
  <c r="AZ57" i="50"/>
  <c r="AB15" i="50"/>
  <c r="V55" i="50"/>
  <c r="AK37" i="50"/>
  <c r="S68" i="50"/>
  <c r="AB24" i="50"/>
  <c r="Z4" i="50"/>
  <c r="AJ16" i="50"/>
  <c r="Q62" i="50"/>
  <c r="AC47" i="50"/>
  <c r="T20" i="50"/>
  <c r="R23" i="50"/>
  <c r="AG53" i="50"/>
  <c r="AC19" i="50"/>
  <c r="AN34" i="50"/>
  <c r="AY65" i="50"/>
  <c r="M14" i="50"/>
  <c r="M27" i="50"/>
  <c r="AP34" i="50"/>
  <c r="AM47" i="50"/>
  <c r="AK60" i="50"/>
  <c r="AW12" i="50"/>
  <c r="AL63" i="50"/>
  <c r="AT55" i="50"/>
  <c r="Y18" i="50"/>
  <c r="N66" i="50"/>
  <c r="AX66" i="50"/>
  <c r="BA48" i="50"/>
  <c r="AY32" i="50"/>
  <c r="AH24" i="50"/>
  <c r="AS37" i="50"/>
  <c r="BA36" i="50"/>
  <c r="P28" i="50"/>
  <c r="AU67" i="50"/>
  <c r="AG58" i="50"/>
  <c r="W45" i="50"/>
  <c r="AR5" i="50"/>
  <c r="X60" i="50"/>
  <c r="O34" i="50"/>
  <c r="R70" i="50"/>
  <c r="AW19" i="50"/>
  <c r="Q5" i="50"/>
  <c r="AB18" i="50"/>
  <c r="O12" i="50"/>
  <c r="P16" i="50"/>
  <c r="AG14" i="50"/>
  <c r="AS48" i="50"/>
  <c r="AZ9" i="50"/>
  <c r="O39" i="50"/>
  <c r="AE63" i="50"/>
  <c r="AK14" i="50"/>
  <c r="AW68" i="50"/>
  <c r="AR17" i="50"/>
  <c r="AB42" i="50"/>
  <c r="AN71" i="50"/>
  <c r="Y50" i="50"/>
  <c r="AD72" i="50"/>
  <c r="P27" i="50"/>
  <c r="BA49" i="50"/>
  <c r="AQ21" i="50"/>
  <c r="BA64" i="50"/>
  <c r="AJ34" i="50"/>
  <c r="AE13" i="50"/>
  <c r="P45" i="50"/>
  <c r="AK48" i="50"/>
  <c r="Q52" i="50"/>
  <c r="P54" i="50"/>
  <c r="Z70" i="50"/>
  <c r="AI62" i="50"/>
  <c r="AF48" i="50"/>
  <c r="AI35" i="50"/>
  <c r="AM12" i="50"/>
  <c r="V51" i="50"/>
  <c r="AX55" i="50"/>
  <c r="AC69" i="50"/>
  <c r="S53" i="50"/>
  <c r="AY27" i="50"/>
  <c r="AM27" i="50"/>
  <c r="AW63" i="50"/>
  <c r="Q16" i="50"/>
  <c r="AC32" i="50"/>
  <c r="T9" i="50"/>
  <c r="Z20" i="50"/>
  <c r="AV41" i="50"/>
  <c r="W34" i="50"/>
  <c r="AQ55" i="50"/>
  <c r="BC9" i="50"/>
  <c r="W69" i="50"/>
  <c r="AA72" i="50"/>
  <c r="Q68" i="50"/>
  <c r="V20" i="50"/>
  <c r="AP62" i="50"/>
  <c r="AK62" i="50"/>
  <c r="R57" i="50"/>
  <c r="AL27" i="50"/>
  <c r="AW37" i="50"/>
  <c r="AN37" i="50"/>
  <c r="AI5" i="50"/>
  <c r="BB21" i="50"/>
  <c r="AJ68" i="50"/>
  <c r="X15" i="50"/>
  <c r="N22" i="50"/>
  <c r="L32" i="50"/>
  <c r="AY45" i="50"/>
  <c r="BB65" i="50"/>
  <c r="AD13" i="50"/>
  <c r="AQ47" i="50"/>
  <c r="BC42" i="50"/>
  <c r="Q64" i="50"/>
  <c r="AV11" i="50"/>
  <c r="AS7" i="50"/>
  <c r="AS21" i="50"/>
  <c r="M38" i="50"/>
  <c r="BC53" i="50"/>
  <c r="AQ26" i="50"/>
  <c r="T43" i="50"/>
  <c r="AF71" i="50"/>
  <c r="X41" i="50"/>
  <c r="AP9" i="50"/>
  <c r="L27" i="50"/>
  <c r="AI28" i="50"/>
  <c r="S59" i="50"/>
  <c r="T5" i="50"/>
  <c r="AT8" i="50"/>
  <c r="AC56" i="50"/>
  <c r="AD28" i="50"/>
  <c r="AG52" i="50"/>
  <c r="AR65" i="50"/>
  <c r="BB9" i="50"/>
  <c r="BC10" i="50"/>
  <c r="BB55" i="50"/>
  <c r="AN25" i="50"/>
  <c r="S40" i="50"/>
  <c r="AX73" i="50"/>
  <c r="AA39" i="50"/>
  <c r="AX56" i="50"/>
  <c r="V24" i="50"/>
  <c r="AB16" i="50"/>
  <c r="AX21" i="50"/>
  <c r="X33" i="50"/>
  <c r="AJ10" i="50"/>
  <c r="AX52" i="50"/>
  <c r="N42" i="50"/>
  <c r="Y17" i="50"/>
  <c r="AQ44" i="50"/>
  <c r="AQ25" i="50"/>
  <c r="AE67" i="50"/>
  <c r="AI10" i="50"/>
  <c r="AQ63" i="50"/>
  <c r="V52" i="50"/>
  <c r="W57" i="50"/>
  <c r="AV57" i="50"/>
  <c r="AW25" i="50"/>
  <c r="L33" i="50"/>
  <c r="AZ54" i="50"/>
  <c r="AL71" i="50"/>
  <c r="AQ61" i="50"/>
  <c r="AJ23" i="50"/>
  <c r="V64" i="50"/>
  <c r="X69" i="50"/>
  <c r="AD56" i="50"/>
  <c r="AP27" i="50"/>
  <c r="AM32" i="50"/>
  <c r="T23" i="50"/>
  <c r="AM39" i="50"/>
  <c r="Z51" i="50"/>
  <c r="X19" i="50"/>
  <c r="AE64" i="50"/>
  <c r="X44" i="50"/>
  <c r="AM14" i="50"/>
  <c r="AN43" i="50"/>
  <c r="AW62" i="50"/>
  <c r="AP47" i="50"/>
  <c r="T19" i="50"/>
  <c r="AO14" i="50"/>
  <c r="P70" i="50"/>
  <c r="AX35" i="50"/>
  <c r="AM35" i="50"/>
  <c r="AF29" i="50"/>
  <c r="AI17" i="50"/>
  <c r="AN19" i="50"/>
  <c r="AP30" i="50"/>
  <c r="AP19" i="50"/>
  <c r="AC58" i="50"/>
  <c r="AY24" i="50"/>
  <c r="AI53" i="50"/>
  <c r="AE51" i="50"/>
  <c r="Z65" i="50"/>
  <c r="Q9" i="50"/>
  <c r="X7" i="50"/>
  <c r="N32" i="50"/>
  <c r="AC31" i="50"/>
  <c r="AP66" i="50"/>
  <c r="M58" i="50"/>
  <c r="AS70" i="50"/>
  <c r="Z26" i="50"/>
  <c r="AO69" i="50"/>
  <c r="R31" i="50"/>
  <c r="M51" i="50"/>
  <c r="AR39" i="50"/>
  <c r="L56" i="50"/>
  <c r="AC62" i="50"/>
  <c r="BB67" i="50"/>
  <c r="AC68" i="50"/>
  <c r="AI34" i="50"/>
  <c r="AJ33" i="50"/>
  <c r="AY55" i="50"/>
  <c r="AG37" i="50"/>
  <c r="AT14" i="50"/>
  <c r="AF56" i="50"/>
  <c r="BA28" i="50"/>
  <c r="AH48" i="50"/>
  <c r="AP68" i="50"/>
  <c r="AY44" i="50"/>
  <c r="AQ23" i="50"/>
  <c r="BB4" i="50"/>
  <c r="M7" i="50"/>
  <c r="AW56" i="50"/>
  <c r="AM63" i="50"/>
  <c r="AX11" i="50"/>
  <c r="O13" i="50"/>
  <c r="S27" i="50"/>
  <c r="AU27" i="50"/>
  <c r="U40" i="50"/>
  <c r="X40" i="50"/>
  <c r="AH12" i="50"/>
  <c r="U7" i="50"/>
  <c r="U12" i="50"/>
  <c r="N67" i="50"/>
  <c r="AI27" i="50"/>
  <c r="AH36" i="50"/>
  <c r="AY66" i="50"/>
  <c r="BC4" i="50"/>
  <c r="X30" i="50"/>
  <c r="L20" i="50"/>
  <c r="AJ73" i="50"/>
  <c r="AY60" i="50"/>
  <c r="N48" i="50"/>
  <c r="Z41" i="50"/>
  <c r="AV42" i="50"/>
  <c r="AP39" i="50"/>
  <c r="AF28" i="50"/>
  <c r="AZ58" i="50"/>
  <c r="Z27" i="50"/>
  <c r="Q59" i="50"/>
  <c r="AC17" i="50"/>
  <c r="AV9" i="50"/>
  <c r="AE70" i="50"/>
  <c r="W5" i="50"/>
  <c r="S22" i="50"/>
  <c r="BB5" i="50"/>
  <c r="AB65" i="50"/>
  <c r="AU59" i="50"/>
  <c r="P11" i="50"/>
  <c r="AS49" i="50"/>
  <c r="AP71" i="50"/>
  <c r="AZ34" i="50"/>
  <c r="AC16" i="50"/>
  <c r="AB31" i="50"/>
  <c r="R13" i="50"/>
  <c r="V31" i="50"/>
  <c r="AT61" i="50"/>
  <c r="O52" i="50"/>
  <c r="AG50" i="50"/>
  <c r="P36" i="50"/>
  <c r="M49" i="50"/>
  <c r="AY40" i="50"/>
  <c r="P65" i="50"/>
  <c r="BA11" i="50"/>
  <c r="AJ52" i="50"/>
  <c r="S72" i="50"/>
  <c r="AR53" i="50"/>
  <c r="AI72" i="50"/>
  <c r="X16" i="50"/>
  <c r="AZ38" i="50"/>
  <c r="AM7" i="50"/>
  <c r="X37" i="50"/>
  <c r="AH59" i="50"/>
  <c r="AJ13" i="50"/>
  <c r="BA53" i="50"/>
  <c r="BB63" i="50"/>
  <c r="P12" i="50"/>
  <c r="Z16" i="50"/>
  <c r="S65" i="50"/>
  <c r="AM54" i="50"/>
  <c r="AR31" i="50"/>
  <c r="AD60" i="50"/>
  <c r="AD42" i="50"/>
  <c r="AO11" i="50"/>
  <c r="AV39" i="50"/>
  <c r="AV67" i="50"/>
  <c r="AD5" i="50"/>
  <c r="Y9" i="50"/>
  <c r="Y19" i="50"/>
  <c r="T46" i="50"/>
  <c r="AD44" i="50"/>
  <c r="AY31" i="50"/>
  <c r="AG57" i="50"/>
  <c r="AW43" i="50"/>
  <c r="S66" i="50"/>
  <c r="P32" i="50"/>
  <c r="AJ59" i="50"/>
  <c r="R42" i="50"/>
  <c r="AV22" i="50"/>
  <c r="AL36" i="50"/>
  <c r="Z8" i="50"/>
  <c r="AA59" i="50"/>
  <c r="AF69" i="50"/>
  <c r="BB39" i="50"/>
  <c r="AS50" i="50"/>
  <c r="O64" i="50"/>
  <c r="AH72" i="50"/>
  <c r="P57" i="50"/>
  <c r="AW54" i="50"/>
  <c r="AQ49" i="50"/>
  <c r="N11" i="50"/>
  <c r="BB51" i="50"/>
  <c r="AJ5" i="50"/>
  <c r="W50" i="50"/>
  <c r="AV71" i="50"/>
  <c r="AT31" i="50"/>
  <c r="Q61" i="50"/>
  <c r="AL48" i="50"/>
  <c r="AE55" i="50"/>
  <c r="X66" i="50"/>
  <c r="AI31" i="50"/>
  <c r="BB29" i="50"/>
  <c r="AX39" i="50"/>
  <c r="S4" i="50"/>
  <c r="AQ53" i="50"/>
  <c r="U62" i="50"/>
  <c r="AF57" i="50"/>
  <c r="N26" i="50"/>
  <c r="AL21" i="50"/>
  <c r="V53" i="50"/>
  <c r="AG9" i="50"/>
  <c r="AA73" i="50"/>
  <c r="BA46" i="50"/>
  <c r="AF5" i="50"/>
  <c r="AK16" i="50"/>
  <c r="BC70" i="50"/>
  <c r="L18" i="50"/>
  <c r="AS30" i="50"/>
  <c r="O41" i="50"/>
  <c r="U73" i="50"/>
  <c r="AU35" i="50"/>
  <c r="X13" i="50"/>
  <c r="AV38" i="50"/>
  <c r="AY28" i="50"/>
  <c r="AX7" i="50"/>
  <c r="Q39" i="50"/>
  <c r="S8" i="50"/>
  <c r="N57" i="50"/>
  <c r="AG67" i="50"/>
  <c r="R16" i="50"/>
  <c r="AH69" i="50"/>
  <c r="AJ64" i="50"/>
  <c r="AK63" i="50"/>
  <c r="AY38" i="50"/>
  <c r="AY20" i="50"/>
  <c r="AD16" i="50"/>
  <c r="V27" i="50"/>
  <c r="AU19" i="50"/>
  <c r="S33" i="50"/>
  <c r="AR7" i="50"/>
  <c r="AD41" i="50"/>
  <c r="BC44" i="50"/>
  <c r="X4" i="50"/>
  <c r="AU51" i="50"/>
  <c r="AK31" i="50"/>
  <c r="T60" i="50"/>
  <c r="V23" i="50"/>
  <c r="AY57" i="50"/>
  <c r="AR59" i="50"/>
  <c r="T71" i="50"/>
  <c r="AG39" i="50"/>
  <c r="AB72" i="50"/>
  <c r="O30" i="50"/>
  <c r="V26" i="50"/>
  <c r="AQ16" i="50"/>
  <c r="AU68" i="50"/>
  <c r="AM24" i="50"/>
  <c r="AY43" i="50"/>
  <c r="AM42" i="50"/>
  <c r="P73" i="50"/>
  <c r="AU45" i="50"/>
  <c r="AA56" i="50"/>
  <c r="Z72" i="50"/>
  <c r="P14" i="50"/>
  <c r="AS62" i="50"/>
  <c r="Q10" i="50"/>
  <c r="L43" i="50"/>
  <c r="R28" i="50"/>
  <c r="AC4" i="50"/>
  <c r="Y66" i="50"/>
  <c r="V47" i="50"/>
  <c r="AD46" i="50"/>
  <c r="AY63" i="50"/>
  <c r="AB63" i="50"/>
  <c r="AP37" i="50"/>
  <c r="AX43" i="50"/>
  <c r="Y7" i="50"/>
  <c r="AK66" i="50"/>
  <c r="AJ60" i="50"/>
  <c r="AA31" i="50"/>
  <c r="M42" i="50"/>
  <c r="AY53" i="50"/>
  <c r="Y65" i="50"/>
  <c r="AN53" i="50"/>
  <c r="AR14" i="50"/>
  <c r="M22" i="50"/>
  <c r="AX33" i="50"/>
  <c r="S52" i="50"/>
  <c r="N46" i="50"/>
  <c r="AZ17" i="50"/>
  <c r="AV10" i="50"/>
  <c r="AO62" i="50"/>
  <c r="AD68" i="50"/>
  <c r="P22" i="50"/>
  <c r="AS41" i="50"/>
  <c r="S10" i="50"/>
  <c r="AO50" i="50"/>
  <c r="AZ21" i="50"/>
  <c r="O28" i="50"/>
  <c r="AO8" i="50"/>
  <c r="L62" i="50"/>
  <c r="AB68" i="50"/>
  <c r="AW39" i="50"/>
  <c r="AL13" i="50"/>
  <c r="AT67" i="50"/>
  <c r="AA41" i="50"/>
  <c r="AB47" i="50"/>
  <c r="M17" i="50"/>
  <c r="Q22" i="50"/>
  <c r="AC24" i="50"/>
  <c r="N12" i="50"/>
  <c r="AK36" i="50"/>
  <c r="M70" i="50"/>
  <c r="AV65" i="50"/>
  <c r="O47" i="50"/>
  <c r="O29" i="50"/>
  <c r="AZ63" i="50"/>
  <c r="R26" i="50"/>
  <c r="AB12" i="50"/>
  <c r="AH21" i="50"/>
  <c r="AS67" i="50"/>
  <c r="AF58" i="50"/>
  <c r="AF21" i="50"/>
  <c r="AZ66" i="50"/>
  <c r="AQ67" i="50"/>
  <c r="R60" i="50"/>
  <c r="AR40" i="50"/>
  <c r="AN72" i="50"/>
  <c r="AP31" i="50"/>
  <c r="S12" i="50"/>
  <c r="AO73" i="50"/>
  <c r="AD49" i="50"/>
  <c r="AQ33" i="50"/>
  <c r="R14" i="50"/>
  <c r="AW69" i="50"/>
  <c r="AD39" i="50"/>
  <c r="AK10" i="50"/>
  <c r="BA32" i="50"/>
  <c r="Y40" i="50"/>
  <c r="Y48" i="50"/>
  <c r="T36" i="50"/>
  <c r="X36" i="50"/>
  <c r="Y49" i="50"/>
  <c r="AM61" i="50"/>
  <c r="AJ31" i="50"/>
  <c r="AY26" i="50"/>
  <c r="O66" i="50"/>
  <c r="AO37" i="50"/>
  <c r="V70" i="50"/>
  <c r="AE50" i="50"/>
  <c r="AK72" i="50"/>
  <c r="AD43" i="50"/>
  <c r="AY29" i="50"/>
  <c r="AU61" i="50"/>
  <c r="BB50" i="50"/>
  <c r="U61" i="50"/>
  <c r="M32" i="50"/>
  <c r="AS43" i="50"/>
  <c r="AG64" i="50"/>
  <c r="AA66" i="50"/>
  <c r="AO10" i="50"/>
  <c r="AC39" i="50"/>
  <c r="AH43" i="50"/>
  <c r="AG5" i="50"/>
  <c r="AE42" i="50"/>
  <c r="AN32" i="50"/>
  <c r="BC7" i="50"/>
  <c r="AO55" i="50"/>
  <c r="AD70" i="50"/>
  <c r="AG47" i="50"/>
  <c r="AE27" i="50"/>
  <c r="Y8" i="50"/>
  <c r="AJ8" i="50"/>
  <c r="BC57" i="50"/>
  <c r="AO24" i="50"/>
  <c r="AA70" i="50"/>
  <c r="AS42" i="50"/>
  <c r="W36" i="50"/>
  <c r="AA42" i="50"/>
  <c r="Z24" i="50"/>
  <c r="Z43" i="50"/>
  <c r="BC31" i="50"/>
  <c r="AC67" i="50"/>
  <c r="AC64" i="50"/>
  <c r="Y43" i="50"/>
  <c r="BC62" i="50"/>
  <c r="AW64" i="50"/>
  <c r="N69" i="50"/>
  <c r="AZ73" i="50"/>
  <c r="AM13" i="50"/>
  <c r="AB36" i="50"/>
  <c r="W21" i="50"/>
  <c r="AZ15" i="50"/>
  <c r="AK39" i="50"/>
  <c r="AJ66" i="50"/>
  <c r="Z64" i="50"/>
  <c r="AM64" i="50"/>
  <c r="AS52" i="50"/>
  <c r="AQ14" i="50"/>
  <c r="AA29" i="50"/>
  <c r="AH39" i="50"/>
  <c r="AS57" i="50"/>
  <c r="M18" i="50"/>
  <c r="AU65" i="50"/>
  <c r="O45" i="50"/>
  <c r="AO63" i="50"/>
  <c r="Z73" i="50"/>
  <c r="AN20" i="50"/>
  <c r="AG51" i="50"/>
  <c r="V45" i="50"/>
  <c r="AH7" i="50"/>
  <c r="R59" i="50"/>
  <c r="W47" i="50"/>
  <c r="AC55" i="50"/>
  <c r="N21" i="50"/>
  <c r="AP8" i="50"/>
  <c r="AV12" i="50"/>
  <c r="U5" i="50"/>
  <c r="AZ61" i="50"/>
  <c r="AT58" i="50"/>
  <c r="U52" i="50"/>
  <c r="AM44" i="50"/>
  <c r="W25" i="50"/>
  <c r="R64" i="50"/>
  <c r="M5" i="50"/>
  <c r="U13" i="50"/>
  <c r="AL52" i="50"/>
  <c r="W4" i="50"/>
  <c r="AO25" i="50"/>
  <c r="AM65" i="50"/>
  <c r="Q67" i="50"/>
  <c r="AD55" i="50"/>
  <c r="BB56" i="50"/>
  <c r="Z61" i="50"/>
  <c r="Q55" i="50"/>
  <c r="L57" i="50"/>
  <c r="AH30" i="50"/>
  <c r="AP22" i="50"/>
  <c r="W73" i="50"/>
  <c r="AG26" i="50"/>
  <c r="O72" i="50"/>
  <c r="AZ37" i="50"/>
  <c r="N40" i="50"/>
  <c r="AS73" i="50"/>
  <c r="AY50" i="50"/>
  <c r="AZ30" i="50"/>
  <c r="AA30" i="50"/>
  <c r="AD25" i="50"/>
  <c r="AA48" i="50"/>
  <c r="AB20" i="50"/>
  <c r="Z37" i="50"/>
  <c r="AC14" i="50"/>
  <c r="Y38" i="50"/>
  <c r="AK30" i="50"/>
  <c r="BA72" i="50"/>
  <c r="Y14" i="50"/>
  <c r="X42" i="50"/>
  <c r="R46" i="50"/>
  <c r="AV8" i="50"/>
  <c r="AW11" i="50"/>
  <c r="Z34" i="50"/>
  <c r="AT42" i="50"/>
  <c r="N28" i="50"/>
  <c r="Q54" i="50"/>
  <c r="L68" i="50"/>
  <c r="Z69" i="50"/>
  <c r="AF47" i="50"/>
  <c r="L14" i="50"/>
  <c r="Y36" i="50"/>
  <c r="BA37" i="50"/>
  <c r="Y24" i="50"/>
  <c r="BC34" i="50"/>
  <c r="AS20" i="50"/>
  <c r="AK23" i="50"/>
  <c r="Q17" i="50"/>
  <c r="BA20" i="50"/>
  <c r="AY72" i="50"/>
  <c r="AX49" i="50"/>
  <c r="AC30" i="50"/>
  <c r="Z59" i="50"/>
  <c r="AZ10" i="50"/>
  <c r="M30" i="50"/>
  <c r="BA5" i="50"/>
  <c r="AI60" i="50"/>
  <c r="BB26" i="50"/>
  <c r="U26" i="50"/>
  <c r="AO36" i="50"/>
  <c r="AE8" i="50"/>
  <c r="S26" i="50"/>
  <c r="AH27" i="50"/>
  <c r="AA15" i="50"/>
  <c r="AL4" i="50"/>
  <c r="AH8" i="50"/>
  <c r="AP11" i="50"/>
  <c r="S64" i="50"/>
  <c r="Q63" i="50"/>
  <c r="AW44" i="50"/>
  <c r="S9" i="50"/>
  <c r="AL34" i="50"/>
  <c r="AD35" i="50"/>
  <c r="AP63" i="50"/>
  <c r="AT32" i="50"/>
  <c r="P21" i="50"/>
  <c r="P68" i="50"/>
  <c r="AM9" i="50"/>
  <c r="AU24" i="50"/>
  <c r="BA29" i="50"/>
  <c r="AI16" i="50"/>
  <c r="AP49" i="50"/>
  <c r="AV13" i="50"/>
  <c r="AS72" i="50"/>
  <c r="L49" i="50"/>
  <c r="AW65" i="50"/>
  <c r="Q35" i="50"/>
  <c r="AK73" i="50"/>
  <c r="AP15" i="50"/>
  <c r="L29" i="50"/>
  <c r="AI51" i="50"/>
  <c r="R53" i="50"/>
  <c r="S47" i="50"/>
  <c r="AM67" i="50"/>
  <c r="AK4" i="50"/>
  <c r="AZ39" i="50"/>
  <c r="P35" i="50"/>
  <c r="BB24" i="50"/>
  <c r="AY14" i="50"/>
  <c r="V61" i="50"/>
  <c r="Q58" i="50"/>
  <c r="O50" i="50"/>
  <c r="AM58" i="50"/>
  <c r="AH9" i="50"/>
  <c r="T59" i="50"/>
  <c r="L72" i="50"/>
  <c r="AU37" i="50"/>
  <c r="AF7" i="50"/>
  <c r="BA18" i="50"/>
  <c r="AN60" i="50"/>
  <c r="S58" i="50"/>
  <c r="AT20" i="50"/>
  <c r="L73" i="50"/>
  <c r="AC53" i="50"/>
  <c r="BA25" i="50"/>
  <c r="Z17" i="50"/>
  <c r="AC48" i="50"/>
  <c r="AT27" i="50"/>
  <c r="AU23" i="50"/>
  <c r="AP12" i="50"/>
  <c r="AP45" i="50"/>
  <c r="Z44" i="50"/>
  <c r="S16" i="50"/>
  <c r="AZ14" i="50"/>
  <c r="AH60" i="50"/>
  <c r="X61" i="50"/>
  <c r="AI55" i="50"/>
  <c r="M63" i="50"/>
  <c r="AS36" i="50"/>
  <c r="L69" i="50"/>
  <c r="AK40" i="50"/>
  <c r="BB42" i="50"/>
  <c r="AC61" i="50"/>
  <c r="AF55" i="50"/>
  <c r="N4" i="50"/>
  <c r="S20" i="50"/>
  <c r="X68" i="50"/>
  <c r="R48" i="50"/>
  <c r="AA49" i="50"/>
  <c r="P53" i="50"/>
  <c r="AJ41" i="50"/>
  <c r="AN47" i="50"/>
  <c r="AX15" i="50"/>
  <c r="AC34" i="50"/>
  <c r="AB22" i="50"/>
  <c r="AY12" i="50"/>
  <c r="AT66" i="50"/>
  <c r="BA22" i="50"/>
  <c r="AB8" i="50"/>
  <c r="AF72" i="50"/>
  <c r="AU62" i="50"/>
  <c r="AJ53" i="50"/>
  <c r="AF25" i="50"/>
  <c r="AU52" i="50"/>
  <c r="AN38" i="50"/>
  <c r="U16" i="50"/>
  <c r="L24" i="50"/>
  <c r="BA9" i="50"/>
  <c r="AD9" i="50"/>
  <c r="AT70" i="50"/>
  <c r="Q30" i="50"/>
  <c r="S35" i="50"/>
  <c r="V38" i="50"/>
  <c r="AQ19" i="50"/>
  <c r="P25" i="50"/>
  <c r="AV46" i="50"/>
  <c r="L15" i="50"/>
  <c r="AZ55" i="50"/>
  <c r="Y12" i="50"/>
  <c r="AL59" i="50"/>
  <c r="AN31" i="50"/>
  <c r="AK59" i="50"/>
  <c r="AO21" i="50"/>
  <c r="BB11" i="50"/>
  <c r="BB52" i="50"/>
  <c r="V22" i="50"/>
  <c r="T41" i="50"/>
  <c r="AX44" i="50"/>
  <c r="AE41" i="50"/>
  <c r="P42" i="50"/>
  <c r="AI32" i="50"/>
  <c r="AL11" i="50"/>
  <c r="AH64" i="50"/>
  <c r="AZ35" i="50"/>
  <c r="BB12" i="50"/>
  <c r="AO41" i="50"/>
  <c r="AP42" i="50"/>
  <c r="O11" i="50"/>
  <c r="O43" i="50"/>
  <c r="Z29" i="50"/>
  <c r="AA55" i="50"/>
  <c r="AC9" i="50"/>
  <c r="X39" i="50"/>
  <c r="AO29" i="50"/>
  <c r="AC72" i="50"/>
  <c r="Y31" i="50"/>
  <c r="AF17" i="50"/>
  <c r="O22" i="50"/>
  <c r="W42" i="50"/>
  <c r="Z9" i="50"/>
  <c r="AE10" i="50"/>
  <c r="AC45" i="50"/>
  <c r="AQ29" i="50"/>
  <c r="BB32" i="50"/>
  <c r="W14" i="50"/>
  <c r="AO19" i="50"/>
  <c r="AS53" i="50"/>
  <c r="AG15" i="50"/>
  <c r="BA14" i="50"/>
  <c r="AA32" i="50"/>
  <c r="BC36" i="50"/>
  <c r="BC8" i="50"/>
  <c r="AY67" i="50"/>
  <c r="O62" i="50"/>
  <c r="AX26" i="50"/>
  <c r="BC59" i="50"/>
  <c r="O35" i="50"/>
  <c r="AV49" i="50"/>
  <c r="AS14" i="50"/>
  <c r="AI63" i="50"/>
  <c r="AD27" i="50"/>
  <c r="AC43" i="50"/>
  <c r="AN22" i="50"/>
  <c r="S43" i="50"/>
  <c r="Z47" i="50"/>
  <c r="AK32" i="50"/>
  <c r="O26" i="50"/>
  <c r="BA51" i="50"/>
  <c r="AU28" i="50"/>
  <c r="X31" i="50"/>
  <c r="AX54" i="50"/>
  <c r="AZ4" i="50"/>
  <c r="M47" i="50"/>
  <c r="Z36" i="50"/>
  <c r="AC10" i="50"/>
  <c r="AH54" i="50"/>
  <c r="AO28" i="50"/>
  <c r="AT10" i="50"/>
  <c r="AQ32" i="50"/>
  <c r="AW47" i="50"/>
  <c r="AZ45" i="50"/>
  <c r="AX48" i="50"/>
  <c r="W35" i="50"/>
  <c r="AQ38" i="50"/>
  <c r="X58" i="50"/>
  <c r="T54" i="50"/>
  <c r="AF63" i="50"/>
  <c r="U31" i="50"/>
  <c r="AY41" i="50"/>
  <c r="AZ29" i="50"/>
  <c r="AV33" i="50"/>
  <c r="AV27" i="50"/>
  <c r="N44" i="50"/>
  <c r="AZ72" i="50"/>
  <c r="M11" i="50"/>
  <c r="AB56" i="50"/>
  <c r="BB59" i="50"/>
  <c r="BC13" i="50"/>
  <c r="AX64" i="50"/>
  <c r="AR50" i="50"/>
  <c r="AL65" i="50"/>
  <c r="AM68" i="50"/>
  <c r="AQ56" i="50"/>
  <c r="Z35" i="50"/>
  <c r="Y70" i="50"/>
  <c r="O32" i="50"/>
  <c r="AR19" i="50"/>
  <c r="AR36" i="50"/>
  <c r="AP65" i="50"/>
  <c r="Z68" i="50"/>
  <c r="AF34" i="50"/>
  <c r="AZ56" i="50"/>
  <c r="AN51" i="50"/>
  <c r="AW49" i="50"/>
  <c r="L36" i="50"/>
  <c r="AA71" i="50"/>
  <c r="BC72" i="50"/>
  <c r="AV24" i="50"/>
  <c r="BC48" i="50"/>
  <c r="M44" i="50"/>
  <c r="AK35" i="50"/>
  <c r="AA17" i="50"/>
  <c r="AU50" i="50"/>
  <c r="V14" i="50"/>
  <c r="AL38" i="50"/>
  <c r="BB22" i="50"/>
  <c r="X72" i="50"/>
  <c r="AU72" i="50"/>
  <c r="AW71" i="50"/>
  <c r="AG72" i="50"/>
  <c r="BB70" i="50"/>
  <c r="AZ44" i="50"/>
  <c r="AX58" i="50"/>
  <c r="AM16" i="50"/>
  <c r="AY51" i="50"/>
  <c r="BA66" i="50"/>
  <c r="AM11" i="50"/>
  <c r="AX65" i="50"/>
  <c r="AI29" i="50"/>
  <c r="T47" i="50"/>
  <c r="AQ35" i="50"/>
  <c r="AE9" i="50"/>
  <c r="AB54" i="50"/>
  <c r="M34" i="50"/>
  <c r="N36" i="50"/>
  <c r="T11" i="50"/>
  <c r="AF44" i="50"/>
  <c r="AY30" i="50"/>
  <c r="AX19" i="50"/>
  <c r="O4" i="50"/>
  <c r="X51" i="50"/>
  <c r="AU30" i="50"/>
  <c r="Z38" i="50"/>
  <c r="W17" i="50"/>
  <c r="AG4" i="50"/>
  <c r="AF65" i="50"/>
  <c r="AA61" i="50"/>
  <c r="BC63" i="50"/>
  <c r="U55" i="50"/>
  <c r="AL64" i="50"/>
  <c r="Z67" i="50"/>
  <c r="AE5" i="50"/>
  <c r="AV31" i="50"/>
  <c r="AC54" i="50"/>
  <c r="AP36" i="50"/>
  <c r="AF59" i="50"/>
  <c r="O68" i="50"/>
  <c r="AS60" i="50"/>
  <c r="S13" i="50"/>
  <c r="AZ20" i="50"/>
  <c r="N53" i="50"/>
  <c r="AP13" i="50"/>
  <c r="AG34" i="50"/>
  <c r="AZ13" i="50"/>
  <c r="S45" i="50"/>
  <c r="L37" i="50"/>
  <c r="AC15" i="50"/>
  <c r="AS26" i="50"/>
  <c r="Y22" i="50"/>
  <c r="Z22" i="50"/>
  <c r="AW16" i="50"/>
  <c r="AX38" i="50"/>
  <c r="AW30" i="50"/>
  <c r="AX70" i="50"/>
  <c r="AZ70" i="50"/>
  <c r="BC21" i="50"/>
  <c r="AC46" i="50"/>
  <c r="R12" i="50"/>
  <c r="AP35" i="50"/>
  <c r="P46" i="50"/>
  <c r="AT7" i="50"/>
  <c r="AF9" i="50"/>
  <c r="AB33" i="50"/>
  <c r="AE37" i="50"/>
  <c r="AN8" i="50"/>
  <c r="AN16" i="50"/>
  <c r="AS32" i="50"/>
  <c r="AJ21" i="50"/>
  <c r="AM70" i="50"/>
  <c r="V63" i="50"/>
  <c r="M4" i="50"/>
  <c r="AL41" i="50"/>
  <c r="S71" i="50"/>
  <c r="Z54" i="50"/>
  <c r="P67" i="50"/>
  <c r="AD38" i="50"/>
  <c r="AO31" i="50"/>
  <c r="AC52" i="50"/>
  <c r="X38" i="50"/>
  <c r="O17" i="50"/>
  <c r="V48" i="50"/>
  <c r="AK44" i="50"/>
  <c r="BC43" i="50"/>
  <c r="O10" i="50"/>
  <c r="BB27" i="50"/>
  <c r="AM37" i="50"/>
  <c r="BB69" i="50"/>
  <c r="AN67" i="50"/>
  <c r="U23" i="50"/>
  <c r="Y21" i="50"/>
  <c r="AP53" i="50"/>
  <c r="BC52" i="50"/>
  <c r="AL45" i="50"/>
  <c r="AX72" i="50"/>
  <c r="AP5" i="50"/>
  <c r="L11" i="50"/>
  <c r="BC30" i="50"/>
  <c r="S25" i="50"/>
  <c r="AR48" i="50"/>
  <c r="O38" i="50"/>
  <c r="AV7" i="50"/>
  <c r="AX67" i="50"/>
  <c r="AR23" i="50"/>
  <c r="AZ51" i="50"/>
  <c r="AL40" i="50"/>
  <c r="AH16" i="50"/>
  <c r="AV35" i="50"/>
  <c r="Q43" i="50"/>
  <c r="AN62" i="50"/>
  <c r="Q42" i="50"/>
  <c r="BB20" i="50"/>
  <c r="P31" i="50"/>
  <c r="U59" i="50"/>
  <c r="AE18" i="50"/>
  <c r="AE25" i="50"/>
  <c r="L13" i="50"/>
  <c r="AW53" i="50"/>
  <c r="AC18" i="50"/>
  <c r="AS47" i="50"/>
  <c r="P50" i="50"/>
  <c r="U44" i="50"/>
  <c r="AS59" i="50"/>
  <c r="U11" i="50"/>
  <c r="AH19" i="50"/>
  <c r="AO53" i="50"/>
  <c r="W44" i="50"/>
  <c r="S14" i="50"/>
  <c r="AL42" i="50"/>
  <c r="AC5" i="50"/>
  <c r="Y62" i="50"/>
  <c r="AQ5" i="50"/>
  <c r="AX37" i="50"/>
  <c r="AL12" i="50"/>
  <c r="AS19" i="50"/>
  <c r="AZ60" i="50"/>
  <c r="U36" i="50"/>
  <c r="Y29" i="50"/>
  <c r="BB18" i="50"/>
  <c r="AG73" i="50"/>
  <c r="P17" i="50"/>
  <c r="AV56" i="50"/>
  <c r="AY56" i="50"/>
  <c r="L5" i="50"/>
  <c r="N60" i="50"/>
  <c r="AJ32" i="50"/>
  <c r="AQ58" i="50"/>
  <c r="AH56" i="50"/>
  <c r="AN17" i="50"/>
  <c r="BC69" i="50"/>
  <c r="AR27" i="50"/>
  <c r="Y57" i="50"/>
  <c r="AO47" i="50"/>
  <c r="W13" i="50"/>
  <c r="AO12" i="50"/>
  <c r="Q40" i="50"/>
  <c r="AQ60" i="50"/>
  <c r="AT68" i="50"/>
  <c r="AX36" i="50"/>
  <c r="T38" i="50"/>
  <c r="Y5" i="50"/>
  <c r="AF50" i="50"/>
  <c r="N54" i="50"/>
  <c r="P59" i="50"/>
  <c r="M31" i="50"/>
  <c r="X71" i="50"/>
  <c r="AN9" i="50"/>
  <c r="AV62" i="50"/>
  <c r="AS51" i="50"/>
  <c r="AQ57" i="50"/>
  <c r="S55" i="50"/>
  <c r="AK25" i="50"/>
  <c r="AI23" i="50"/>
  <c r="X56" i="50"/>
  <c r="AH5" i="50"/>
  <c r="AD11" i="50"/>
  <c r="Z66" i="50"/>
  <c r="AJ12" i="50"/>
  <c r="AJ67" i="50"/>
  <c r="AU29" i="50"/>
  <c r="U54" i="50"/>
  <c r="R22" i="50"/>
  <c r="U25" i="50"/>
  <c r="BC23" i="50"/>
  <c r="AE30" i="50"/>
  <c r="M36" i="50"/>
  <c r="AD33" i="50"/>
  <c r="AW46" i="50"/>
  <c r="AU18" i="50"/>
  <c r="AI8" i="50"/>
  <c r="AO42" i="50"/>
  <c r="AA9" i="50"/>
  <c r="W7" i="50"/>
  <c r="BC15" i="50"/>
  <c r="AF27" i="50"/>
  <c r="AQ4" i="50"/>
  <c r="AO26" i="50"/>
  <c r="AQ28" i="50"/>
  <c r="M24" i="50"/>
  <c r="BA34" i="50"/>
  <c r="N16" i="50"/>
  <c r="AT40" i="50"/>
  <c r="AR4" i="50"/>
  <c r="M54" i="50"/>
  <c r="AC8" i="50"/>
  <c r="U35" i="50"/>
  <c r="F5" i="50" l="1"/>
  <c r="F13" i="50"/>
  <c r="F11" i="50"/>
  <c r="K4" i="50"/>
  <c r="F37" i="50"/>
  <c r="F36" i="50"/>
  <c r="F15" i="50"/>
  <c r="F24" i="50"/>
  <c r="F69" i="50"/>
  <c r="F73" i="50"/>
  <c r="F72" i="50"/>
  <c r="F29" i="50"/>
  <c r="F49" i="50"/>
  <c r="F14" i="50"/>
  <c r="F68" i="50"/>
  <c r="F57" i="50"/>
  <c r="F62" i="50"/>
  <c r="F43" i="50"/>
  <c r="F18" i="50"/>
  <c r="F20" i="50"/>
  <c r="F56" i="50"/>
  <c r="F33" i="50"/>
  <c r="F27" i="50"/>
  <c r="F32" i="50"/>
  <c r="F48" i="50"/>
  <c r="F35" i="50"/>
  <c r="F54" i="50"/>
  <c r="F23" i="50"/>
  <c r="F64" i="50"/>
  <c r="F65" i="50"/>
  <c r="F63" i="50"/>
  <c r="F67" i="50"/>
  <c r="F46" i="50"/>
  <c r="F16" i="50"/>
  <c r="F9" i="50"/>
  <c r="F60" i="50"/>
  <c r="F66" i="50"/>
  <c r="F8" i="50"/>
  <c r="F31" i="50"/>
  <c r="F51" i="50"/>
  <c r="F47" i="50"/>
  <c r="F58" i="50"/>
  <c r="F10" i="50"/>
  <c r="F22" i="50"/>
  <c r="F28" i="50"/>
  <c r="F44" i="50"/>
  <c r="F25" i="50"/>
  <c r="F30" i="50"/>
  <c r="F41" i="50"/>
  <c r="F61" i="50"/>
  <c r="F45" i="50"/>
  <c r="F21" i="50"/>
  <c r="F19" i="50"/>
  <c r="F71" i="50"/>
  <c r="F52" i="50"/>
  <c r="F39" i="50"/>
  <c r="F40" i="50"/>
  <c r="F17" i="50"/>
  <c r="F42" i="50"/>
  <c r="F53" i="50"/>
  <c r="F55" i="50"/>
  <c r="F38" i="50"/>
  <c r="F26" i="50"/>
  <c r="F7" i="50"/>
  <c r="F70" i="50"/>
  <c r="F34" i="50"/>
  <c r="F50" i="50"/>
  <c r="F12" i="50"/>
  <c r="F59" i="50"/>
  <c r="AG7" i="1" l="1"/>
  <c r="H12" i="50"/>
  <c r="J12" i="50"/>
  <c r="AG7" i="137"/>
  <c r="J7" i="50"/>
  <c r="H7" i="50"/>
  <c r="AG31" i="1"/>
  <c r="H53" i="50"/>
  <c r="J53" i="50"/>
  <c r="H39" i="50"/>
  <c r="J39" i="50"/>
  <c r="AG14" i="4"/>
  <c r="J21" i="50"/>
  <c r="H21" i="50"/>
  <c r="H30" i="50"/>
  <c r="J30" i="50"/>
  <c r="AG15" i="4"/>
  <c r="J22" i="50"/>
  <c r="H22" i="50"/>
  <c r="H51" i="50"/>
  <c r="J51" i="50"/>
  <c r="AG21" i="4"/>
  <c r="H60" i="50"/>
  <c r="J60" i="50"/>
  <c r="AG7" i="150"/>
  <c r="H67" i="50"/>
  <c r="J67" i="50"/>
  <c r="AG9" i="1"/>
  <c r="H23" i="50"/>
  <c r="J23" i="50"/>
  <c r="H32" i="50"/>
  <c r="J32" i="50"/>
  <c r="AG16" i="4"/>
  <c r="H20" i="50"/>
  <c r="J20" i="50"/>
  <c r="AG27" i="1"/>
  <c r="H57" i="50"/>
  <c r="J57" i="50"/>
  <c r="AG8" i="4"/>
  <c r="J29" i="50"/>
  <c r="H29" i="50"/>
  <c r="AG8" i="1"/>
  <c r="H24" i="50"/>
  <c r="J24" i="50"/>
  <c r="AG18" i="4"/>
  <c r="H50" i="50"/>
  <c r="J50" i="50"/>
  <c r="AG18" i="1"/>
  <c r="H26" i="50"/>
  <c r="J26" i="50"/>
  <c r="J42" i="50"/>
  <c r="H42" i="50"/>
  <c r="J52" i="50"/>
  <c r="H52" i="50"/>
  <c r="H45" i="50"/>
  <c r="J45" i="50"/>
  <c r="AG13" i="1"/>
  <c r="J25" i="50"/>
  <c r="H25" i="50"/>
  <c r="AG5" i="1"/>
  <c r="H10" i="50"/>
  <c r="J10" i="50"/>
  <c r="H31" i="50"/>
  <c r="J31" i="50"/>
  <c r="AG6" i="4"/>
  <c r="H9" i="50"/>
  <c r="J9" i="50"/>
  <c r="AG22" i="4"/>
  <c r="J63" i="50"/>
  <c r="H63" i="50"/>
  <c r="AG24" i="1"/>
  <c r="J54" i="50"/>
  <c r="H54" i="50"/>
  <c r="AG12" i="1"/>
  <c r="J27" i="50"/>
  <c r="H27" i="50"/>
  <c r="AG17" i="4"/>
  <c r="J18" i="50"/>
  <c r="H18" i="50"/>
  <c r="AG8" i="150"/>
  <c r="J68" i="50"/>
  <c r="H68" i="50"/>
  <c r="AG12" i="150"/>
  <c r="J72" i="50"/>
  <c r="H72" i="50"/>
  <c r="AG10" i="4"/>
  <c r="H15" i="50"/>
  <c r="J15" i="50"/>
  <c r="AG6" i="1"/>
  <c r="H11" i="50"/>
  <c r="J11" i="50"/>
  <c r="J34" i="50"/>
  <c r="H34" i="50"/>
  <c r="H38" i="50"/>
  <c r="J38" i="50"/>
  <c r="AG10" i="1"/>
  <c r="J17" i="50"/>
  <c r="H17" i="50"/>
  <c r="AG11" i="150"/>
  <c r="H71" i="50"/>
  <c r="J71" i="50"/>
  <c r="AG29" i="1"/>
  <c r="H61" i="50"/>
  <c r="J61" i="50"/>
  <c r="J44" i="50"/>
  <c r="H44" i="50"/>
  <c r="AG28" i="1"/>
  <c r="J58" i="50"/>
  <c r="H58" i="50"/>
  <c r="AG8" i="137"/>
  <c r="H8" i="50"/>
  <c r="J8" i="50"/>
  <c r="AG5" i="4"/>
  <c r="J16" i="50"/>
  <c r="H16" i="50"/>
  <c r="AG5" i="150"/>
  <c r="J65" i="50"/>
  <c r="H65" i="50"/>
  <c r="H35" i="50"/>
  <c r="J35" i="50"/>
  <c r="J33" i="50"/>
  <c r="H33" i="50"/>
  <c r="J43" i="50"/>
  <c r="H43" i="50"/>
  <c r="AG9" i="4"/>
  <c r="H14" i="50"/>
  <c r="J14" i="50"/>
  <c r="AG24" i="4"/>
  <c r="J73" i="50"/>
  <c r="H73" i="50"/>
  <c r="H36" i="50"/>
  <c r="J36" i="50"/>
  <c r="AG7" i="4"/>
  <c r="J13" i="50"/>
  <c r="H13" i="50"/>
  <c r="AG19" i="4"/>
  <c r="J59" i="50"/>
  <c r="H59" i="50"/>
  <c r="AG10" i="150"/>
  <c r="H70" i="50"/>
  <c r="J70" i="50"/>
  <c r="AG25" i="1"/>
  <c r="J55" i="50"/>
  <c r="H55" i="50"/>
  <c r="H40" i="50"/>
  <c r="J40" i="50"/>
  <c r="AG13" i="4"/>
  <c r="H19" i="50"/>
  <c r="J19" i="50"/>
  <c r="H41" i="50"/>
  <c r="J41" i="50"/>
  <c r="AG11" i="4"/>
  <c r="J28" i="50"/>
  <c r="H28" i="50"/>
  <c r="AG22" i="1"/>
  <c r="J47" i="50"/>
  <c r="H47" i="50"/>
  <c r="AG6" i="150"/>
  <c r="H66" i="50"/>
  <c r="J66" i="50"/>
  <c r="AG21" i="1"/>
  <c r="J46" i="50"/>
  <c r="H46" i="50"/>
  <c r="AG23" i="4"/>
  <c r="H64" i="50"/>
  <c r="J64" i="50"/>
  <c r="H48" i="50"/>
  <c r="AG9" i="137"/>
  <c r="J48" i="50"/>
  <c r="AG26" i="1"/>
  <c r="H56" i="50"/>
  <c r="J56" i="50"/>
  <c r="AG30" i="1"/>
  <c r="H62" i="50"/>
  <c r="J62" i="50"/>
  <c r="AG20" i="4"/>
  <c r="H49" i="50"/>
  <c r="J49" i="50"/>
  <c r="AG9" i="150"/>
  <c r="J69" i="50"/>
  <c r="H69" i="50"/>
  <c r="J37" i="50"/>
  <c r="H37" i="50"/>
  <c r="J5" i="50"/>
  <c r="J4" i="50" s="1"/>
  <c r="I4" i="50" s="1"/>
  <c r="K12" i="50" s="1"/>
  <c r="H5" i="50"/>
  <c r="H4" i="50" s="1"/>
  <c r="AG5" i="137"/>
  <c r="F4" i="50"/>
  <c r="O23" i="4" l="1"/>
  <c r="A23" i="4" s="1"/>
  <c r="N23" i="4"/>
  <c r="O19" i="4"/>
  <c r="A19" i="4" s="1"/>
  <c r="N19" i="4"/>
  <c r="AG4" i="150"/>
  <c r="N5" i="150"/>
  <c r="O5" i="150"/>
  <c r="O10" i="1"/>
  <c r="A10" i="1" s="1"/>
  <c r="N10" i="1"/>
  <c r="O8" i="150"/>
  <c r="A8" i="150" s="1"/>
  <c r="N8" i="150"/>
  <c r="O22" i="4"/>
  <c r="A22" i="4" s="1"/>
  <c r="N22" i="4"/>
  <c r="AG4" i="1"/>
  <c r="O5" i="1"/>
  <c r="N5" i="1"/>
  <c r="O18" i="1"/>
  <c r="A18" i="1" s="1"/>
  <c r="N18" i="1"/>
  <c r="N27" i="1"/>
  <c r="O27" i="1"/>
  <c r="A27" i="1" s="1"/>
  <c r="O9" i="1"/>
  <c r="A9" i="1" s="1"/>
  <c r="N9" i="1"/>
  <c r="N14" i="4"/>
  <c r="O14" i="4"/>
  <c r="A14" i="4" s="1"/>
  <c r="O7" i="137"/>
  <c r="A7" i="137" s="1"/>
  <c r="N7" i="137"/>
  <c r="O20" i="4"/>
  <c r="A20" i="4" s="1"/>
  <c r="N20" i="4"/>
  <c r="N11" i="4"/>
  <c r="O11" i="4"/>
  <c r="A11" i="4" s="1"/>
  <c r="O24" i="4"/>
  <c r="A24" i="4" s="1"/>
  <c r="N24" i="4"/>
  <c r="O9" i="150"/>
  <c r="A9" i="150" s="1"/>
  <c r="N9" i="150"/>
  <c r="N22" i="1"/>
  <c r="O22" i="1"/>
  <c r="A22" i="1" s="1"/>
  <c r="O13" i="4"/>
  <c r="A13" i="4" s="1"/>
  <c r="N13" i="4"/>
  <c r="O10" i="150"/>
  <c r="A10" i="150" s="1"/>
  <c r="N10" i="150"/>
  <c r="N28" i="1"/>
  <c r="O28" i="1"/>
  <c r="A28" i="1" s="1"/>
  <c r="N11" i="150"/>
  <c r="O11" i="150"/>
  <c r="A11" i="150" s="1"/>
  <c r="O12" i="150"/>
  <c r="A12" i="150" s="1"/>
  <c r="N12" i="150"/>
  <c r="N24" i="1"/>
  <c r="O24" i="1"/>
  <c r="A24" i="1" s="1"/>
  <c r="N8" i="4"/>
  <c r="O8" i="4"/>
  <c r="A8" i="4" s="1"/>
  <c r="N31" i="1"/>
  <c r="O31" i="1"/>
  <c r="A31" i="1" s="1"/>
  <c r="O9" i="137"/>
  <c r="A9" i="137" s="1"/>
  <c r="N9" i="137"/>
  <c r="AG4" i="137"/>
  <c r="O5" i="137"/>
  <c r="N5" i="137"/>
  <c r="O26" i="1"/>
  <c r="A26" i="1" s="1"/>
  <c r="N26" i="1"/>
  <c r="N6" i="150"/>
  <c r="O6" i="150"/>
  <c r="A6" i="150" s="1"/>
  <c r="O25" i="1"/>
  <c r="A25" i="1" s="1"/>
  <c r="N25" i="1"/>
  <c r="O8" i="137"/>
  <c r="A8" i="137" s="1"/>
  <c r="N8" i="137"/>
  <c r="N29" i="1"/>
  <c r="O29" i="1"/>
  <c r="A29" i="1" s="1"/>
  <c r="O10" i="4"/>
  <c r="A10" i="4" s="1"/>
  <c r="N10" i="4"/>
  <c r="O12" i="1"/>
  <c r="A12" i="1" s="1"/>
  <c r="N12" i="1"/>
  <c r="O8" i="1"/>
  <c r="A8" i="1" s="1"/>
  <c r="N8" i="1"/>
  <c r="O21" i="4"/>
  <c r="A21" i="4" s="1"/>
  <c r="N21" i="4"/>
  <c r="O30" i="1"/>
  <c r="A30" i="1" s="1"/>
  <c r="N30" i="1"/>
  <c r="N21" i="1"/>
  <c r="O21" i="1"/>
  <c r="A21" i="1" s="1"/>
  <c r="O7" i="4"/>
  <c r="A7" i="4" s="1"/>
  <c r="N7" i="4"/>
  <c r="O9" i="4"/>
  <c r="A9" i="4" s="1"/>
  <c r="N9" i="4"/>
  <c r="AG4" i="4"/>
  <c r="O5" i="4"/>
  <c r="N5" i="4"/>
  <c r="O6" i="1"/>
  <c r="A6" i="1" s="1"/>
  <c r="N6" i="1"/>
  <c r="O17" i="4"/>
  <c r="A17" i="4" s="1"/>
  <c r="N17" i="4"/>
  <c r="O6" i="4"/>
  <c r="A6" i="4" s="1"/>
  <c r="N6" i="4"/>
  <c r="N13" i="1"/>
  <c r="O13" i="1"/>
  <c r="A13" i="1" s="1"/>
  <c r="O18" i="4"/>
  <c r="A18" i="4" s="1"/>
  <c r="N18" i="4"/>
  <c r="O16" i="4"/>
  <c r="A16" i="4" s="1"/>
  <c r="N16" i="4"/>
  <c r="N7" i="150"/>
  <c r="O7" i="150"/>
  <c r="A7" i="150" s="1"/>
  <c r="O15" i="4"/>
  <c r="A15" i="4" s="1"/>
  <c r="N15" i="4"/>
  <c r="O7" i="1"/>
  <c r="A7" i="1" s="1"/>
  <c r="N7" i="1"/>
  <c r="A5" i="137" l="1"/>
  <c r="A4" i="137" s="1"/>
  <c r="O4" i="137"/>
  <c r="N4" i="1"/>
  <c r="O4" i="1"/>
  <c r="A5" i="1"/>
  <c r="A4" i="1" s="1"/>
  <c r="O4" i="150"/>
  <c r="A5" i="150"/>
  <c r="A4" i="150" s="1"/>
  <c r="N4" i="4"/>
  <c r="N4" i="150"/>
  <c r="A5" i="4"/>
  <c r="A4" i="4" s="1"/>
  <c r="O4" i="4"/>
  <c r="N4" i="137"/>
  <c r="E1" i="50" l="1"/>
  <c r="A1" i="50"/>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<sst xmlns="http://schemas.openxmlformats.org/spreadsheetml/2006/main" count="1309" uniqueCount="312">
  <si>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</si>
  <si>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</si>
  <si>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</si>
  <si>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</si>
  <si>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</si>
  <si>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</si>
  <si>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</si>
  <si>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</si>
  <si>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</si>
  <si>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</si>
  <si>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</si>
  <si>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</si>
  <si>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</si>
  <si>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</si>
  <si>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</si>
  <si>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</si>
  <si>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</si>
  <si>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</si>
  <si>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</si>
  <si>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</si>
  <si>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</si>
  <si>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</si>
  <si>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</si>
  <si>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</si>
  <si>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</si>
  <si>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</si>
  <si>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</si>
  <si>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</si>
  <si>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</si>
  <si>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</si>
  <si>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</si>
  <si>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</si>
  <si>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</si>
  <si>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</si>
  <si>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</si>
  <si>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</si>
  <si>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</si>
  <si>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</si>
  <si>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</si>
  <si>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</si>
  <si>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</si>
  <si>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</si>
  <si>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</si>
  <si>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</si>
  <si>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</si>
  <si>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</si>
  <si>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</si>
  <si>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</si>
  <si>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</si>
  <si>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</si>
  <si>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</si>
  <si>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</si>
  <si>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</si>
  <si>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</si>
  <si>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</si>
  <si>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</si>
  <si>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</si>
  <si>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</si>
  <si>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</si>
  <si>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</si>
  <si>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</si>
  <si>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</si>
  <si>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</si>
  <si>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</si>
  <si>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</si>
  <si>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</si>
  <si>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</si>
  <si>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</si>
  <si>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</si>
  <si>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</si>
  <si>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</si>
  <si>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</si>
  <si>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</si>
  <si>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</si>
  <si>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</si>
  <si>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</si>
  <si>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</si>
  <si>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</si>
  <si>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</si>
  <si>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</si>
  <si>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</si>
  <si>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</si>
  <si>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</si>
  <si>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</si>
  <si>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</si>
  <si>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</si>
  <si>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</si>
  <si>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</si>
  <si>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</si>
  <si>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</si>
  <si>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</si>
  <si>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</si>
  <si>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</si>
  <si>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</si>
  <si>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</si>
  <si>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</si>
  <si>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</si>
  <si>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</si>
  <si>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</si>
  <si>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</si>
  <si>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</si>
  <si>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</si>
  <si>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</si>
  <si>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</si>
  <si>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</si>
  <si>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</si>
  <si>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</si>
  <si>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</si>
  <si>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</si>
  <si>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</si>
  <si>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</si>
  <si>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</si>
  <si>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</si>
  <si>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</si>
  <si>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</si>
  <si>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</si>
  <si>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</si>
  <si>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</si>
  <si>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</si>
  <si>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</si>
  <si>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</si>
  <si>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</si>
  <si>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</si>
  <si>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</si>
  <si>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</si>
  <si>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</si>
  <si>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</si>
  <si>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</si>
  <si>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</si>
  <si>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</si>
  <si>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</si>
  <si>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</si>
  <si>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</si>
  <si>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</si>
  <si>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</si>
  <si>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</si>
  <si>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</si>
  <si>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</si>
  <si>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</si>
  <si>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</si>
  <si>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</si>
  <si>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</si>
  <si>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</si>
  <si>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</si>
  <si>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</si>
  <si>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</si>
  <si>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</si>
  <si>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</si>
  <si>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</si>
  <si>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</si>
  <si>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</si>
  <si>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</si>
  <si>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</si>
  <si>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</si>
  <si>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</si>
  <si>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</si>
  <si>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</si>
  <si>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</si>
  <si>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</si>
  <si>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</si>
  <si>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</si>
  <si>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</si>
  <si>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</si>
  <si>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</si>
  <si>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</si>
  <si>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</si>
  <si>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</si>
  <si>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</si>
  <si>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</si>
  <si>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</si>
  <si>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</si>
  <si>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</si>
  <si>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</si>
  <si>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</si>
  <si>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</si>
  <si>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</si>
  <si>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</si>
  <si>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</si>
  <si>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</si>
  <si>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</si>
  <si>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</si>
  <si>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</si>
  <si>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</si>
  <si>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</si>
  <si>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</si>
  <si>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</si>
  <si>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</si>
  <si>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</si>
  <si>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</si>
  <si>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</si>
  <si>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</si>
  <si>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</si>
  <si>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</si>
  <si>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</si>
  <si>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</si>
  <si>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</si>
  <si>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</si>
  <si>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</si>
  <si>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</si>
  <si>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</si>
  <si>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</si>
  <si>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</si>
  <si>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</si>
  <si>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</si>
  <si>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</si>
  <si>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</si>
  <si>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</si>
  <si>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</si>
  <si>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</si>
  <si>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</si>
  <si>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</si>
  <si>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</si>
  <si>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</si>
  <si>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</si>
  <si>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</si>
  <si>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</si>
  <si>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</si>
  <si>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</si>
  <si>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</si>
  <si>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</si>
  <si>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</si>
  <si>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</si>
  <si>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</si>
  <si>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</si>
  <si>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</si>
  <si>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</si>
  <si>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</si>
  <si>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</si>
  <si>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</si>
  <si>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</si>
  <si>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</si>
  <si>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</si>
  <si>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</si>
  <si>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</si>
  <si>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</si>
  <si>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</si>
  <si>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</si>
  <si>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</si>
  <si>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</si>
  <si>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</si>
  <si>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</si>
  <si>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</si>
  <si>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</si>
  <si>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</si>
  <si>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</si>
  <si>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</si>
  <si>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</si>
  <si>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</si>
  <si>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</si>
  <si>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</si>
  <si>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</si>
  <si>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</si>
  <si>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</si>
  <si>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</si>
  <si>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</si>
  <si>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</si>
  <si>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</si>
  <si>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</si>
  <si>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</si>
  <si>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</si>
  <si>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</si>
  <si>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</si>
  <si>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</si>
  <si>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</si>
  <si>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</si>
  <si>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</si>
  <si>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</si>
  <si>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</si>
  <si>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</si>
  <si>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</si>
  <si>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</si>
  <si>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</si>
  <si>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</si>
  <si>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</si>
  <si>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</si>
  <si>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</si>
  <si>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</si>
  <si>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</si>
  <si>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</si>
  <si>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</si>
  <si>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</si>
  <si>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</si>
  <si>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</si>
  <si>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</si>
  <si>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</si>
  <si>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</si>
  <si>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</si>
  <si>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</si>
  <si>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</si>
  <si>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T12+T01+T02+T03+T04+T05</t>
  </si>
  <si>
    <t>T01 (19-31) + T02 + T03+T04+T05</t>
  </si>
  <si>
    <t>T12+T01+T02+T03+T04+T05+T06</t>
  </si>
  <si>
    <t>Hủy tồn Gà</t>
  </si>
  <si>
    <t>Cô Linh</t>
  </si>
  <si>
    <t>Sủi cảo</t>
  </si>
  <si>
    <t/>
  </si>
  <si>
    <t>Chênh lệch giá</t>
  </si>
  <si>
    <t>KH lẻ</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</si>
  <si>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</si>
  <si>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</si>
  <si>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</si>
  <si>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</si>
  <si>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</si>
  <si>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</si>
  <si>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</si>
  <si>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</si>
  <si>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 Lẻ</t>
  </si>
  <si>
    <t>Má C. Lào</t>
  </si>
  <si>
    <t>Dì Tư</t>
  </si>
  <si>
    <t xml:space="preserve">Chị Tiên </t>
  </si>
  <si>
    <t xml:space="preserve">                       </t>
  </si>
  <si>
    <t>MỸ Duyên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</si>
</sst>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0"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0" fontId="39" fillId="0" borderId="0" xfId="0" applyFont="1" applyAlignment="1">
      <alignment horizontal="center" vertical="center"/>
    </xf>
    <xf numFmtId="0" fontId="39" fillId="0" borderId="0" xfId="0" applyFont="1" applyAlignment="1">
      <alignment vertical="center"/>
    </xf>
    <xf numFmtId="0" fontId="39" fillId="0" borderId="1" xfId="0" pivotButton="1" applyFont="1" applyBorder="1" applyAlignment="1">
      <alignment horizontal="center" vertical="center"/>
    </xf>
    <xf numFmtId="0" fontId="39" fillId="0" borderId="0" xfId="0" applyFont="1" applyAlignment="1">
      <alignment horizontal="left" vertical="center"/>
    </xf>
    <xf numFmtId="164" fontId="39" fillId="0" borderId="0" xfId="0" applyNumberFormat="1" applyFont="1" applyAlignment="1">
      <alignment vertical="center"/>
    </xf>
    <xf numFmtId="164" fontId="39" fillId="0" borderId="0" xfId="0" applyNumberFormat="1" applyFont="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8">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7"/>
      <tableStyleElement type="headerRow" dxfId="59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2145" name="Button 1" hidden="1">
              <a:extLst>
                <a:ext uri="{63B3BB69-23CF-44E3-9099-C40C66FF867C}">
                  <a14:compatExt spid="_x0000_s902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1121" name="Button 1" hidden="1">
              <a:extLst>
                <a:ext uri="{63B3BB69-23CF-44E3-9099-C40C66FF867C}">
                  <a14:compatExt spid="_x0000_s901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0097" name="Button 1" hidden="1">
              <a:extLst>
                <a:ext uri="{63B3BB69-23CF-44E3-9099-C40C66FF867C}">
                  <a14:compatExt spid="_x0000_s900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9073" name="Button 1" hidden="1">
              <a:extLst>
                <a:ext uri="{63B3BB69-23CF-44E3-9099-C40C66FF867C}">
                  <a14:compatExt spid="_x0000_s899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8049" name="Button 1" hidden="1">
              <a:extLst>
                <a:ext uri="{63B3BB69-23CF-44E3-9099-C40C66FF867C}">
                  <a14:compatExt spid="_x0000_s898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7025" name="Button 1" hidden="1">
              <a:extLst>
                <a:ext uri="{63B3BB69-23CF-44E3-9099-C40C66FF867C}">
                  <a14:compatExt spid="_x0000_s897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6001" name="Button 1" hidden="1">
              <a:extLst>
                <a:ext uri="{63B3BB69-23CF-44E3-9099-C40C66FF867C}">
                  <a14:compatExt spid="_x0000_s896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4977" name="Button 1" hidden="1">
              <a:extLst>
                <a:ext uri="{63B3BB69-23CF-44E3-9099-C40C66FF867C}">
                  <a14:compatExt spid="_x0000_s894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3953" name="Button 1" hidden="1">
              <a:extLst>
                <a:ext uri="{63B3BB69-23CF-44E3-9099-C40C66FF867C}">
                  <a14:compatExt spid="_x0000_s893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2929" name="Button 1" hidden="1">
              <a:extLst>
                <a:ext uri="{63B3BB69-23CF-44E3-9099-C40C66FF867C}">
                  <a14:compatExt spid="_x0000_s892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1905" name="Button 1" hidden="1">
              <a:extLst>
                <a:ext uri="{63B3BB69-23CF-44E3-9099-C40C66FF867C}">
                  <a14:compatExt spid="_x0000_s891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52.338992939818"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2">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9"/>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2">
        <item x="44"/>
        <item m="1" x="70"/>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1"/>
        <item x="2"/>
        <item x="3"/>
        <item x="43"/>
        <item x="51"/>
        <item x="41"/>
        <item x="4"/>
        <item x="23"/>
        <item x="59"/>
        <item x="60"/>
        <item x="61"/>
        <item x="62"/>
        <item x="63"/>
        <item x="64"/>
        <item x="65"/>
        <item x="66"/>
        <item x="67"/>
        <item x="68"/>
        <item x="69"/>
        <item x="0"/>
        <item x="1"/>
        <item x="48"/>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64">
      <pivotArea field="3" type="button" dataOnly="0" labelOnly="1" outline="0" axis="axisRow" fieldPosition="3"/>
    </format>
    <format dxfId="5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3">
      <pivotArea field="1" type="button" dataOnly="0" labelOnly="1" outline="0" axis="axisRow" fieldPosition="2"/>
    </format>
    <format dxfId="482">
      <pivotArea dataOnly="0" labelOnly="1" outline="0" fieldPosition="0">
        <references count="1">
          <reference field="1" count="0"/>
        </references>
      </pivotArea>
    </format>
    <format dxfId="481">
      <pivotArea field="0" type="button" dataOnly="0" labelOnly="1" outline="0" axis="axisRow" fieldPosition="0"/>
    </format>
    <format dxfId="4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9">
      <pivotArea dataOnly="0" labelOnly="1" outline="0" fieldPosition="0">
        <references count="1">
          <reference field="0" count="5">
            <x v="50"/>
            <x v="51"/>
            <x v="52"/>
            <x v="53"/>
            <x v="54"/>
          </reference>
        </references>
      </pivotArea>
    </format>
    <format dxfId="478">
      <pivotArea dataOnly="0" labelOnly="1" grandRow="1" outline="0" fieldPosition="0"/>
    </format>
    <format dxfId="47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6">
      <pivotArea dataOnly="0" labelOnly="1" outline="0" fieldPosition="0">
        <references count="1">
          <reference field="0" count="5">
            <x v="50"/>
            <x v="51"/>
            <x v="52"/>
            <x v="53"/>
            <x v="54"/>
          </reference>
        </references>
      </pivotArea>
    </format>
    <format dxfId="475">
      <pivotArea dataOnly="0" labelOnly="1" grandRow="1" outline="0" fieldPosition="0"/>
    </format>
    <format dxfId="474">
      <pivotArea field="2" type="button" dataOnly="0" labelOnly="1" outline="0" axis="axisRow" fieldPosition="1"/>
    </format>
    <format dxfId="473">
      <pivotArea type="all" dataOnly="0" outline="0" fieldPosition="0"/>
    </format>
    <format dxfId="472">
      <pivotArea field="0" type="button" dataOnly="0" labelOnly="1" outline="0" axis="axisRow" fieldPosition="0"/>
    </format>
    <format dxfId="471">
      <pivotArea field="2" type="button" dataOnly="0" labelOnly="1" outline="0" axis="axisRow" fieldPosition="1"/>
    </format>
    <format dxfId="470">
      <pivotArea field="1" type="button" dataOnly="0" labelOnly="1" outline="0" axis="axisRow" fieldPosition="2"/>
    </format>
    <format dxfId="469">
      <pivotArea field="3" type="button" dataOnly="0" labelOnly="1" outline="0" axis="axisRow" fieldPosition="3"/>
    </format>
    <format dxfId="468">
      <pivotArea field="0" type="button" dataOnly="0" labelOnly="1" outline="0" axis="axisRow" fieldPosition="0"/>
    </format>
    <format dxfId="467">
      <pivotArea field="2" type="button" dataOnly="0" labelOnly="1" outline="0" axis="axisRow" fieldPosition="1"/>
    </format>
    <format dxfId="466">
      <pivotArea field="1" type="button" dataOnly="0" labelOnly="1" outline="0" axis="axisRow" fieldPosition="2"/>
    </format>
    <format dxfId="465">
      <pivotArea field="3" type="button" dataOnly="0" labelOnly="1" outline="0" axis="axisRow" fieldPosition="3"/>
    </format>
    <format dxfId="464">
      <pivotArea field="0" type="button" dataOnly="0" labelOnly="1" outline="0" axis="axisRow" fieldPosition="0"/>
    </format>
    <format dxfId="463">
      <pivotArea field="2" type="button" dataOnly="0" labelOnly="1" outline="0" axis="axisRow" fieldPosition="1"/>
    </format>
    <format dxfId="462">
      <pivotArea dataOnly="0" labelOnly="1" outline="0" fieldPosition="0">
        <references count="3">
          <reference field="0" count="1" selected="0">
            <x v="1"/>
          </reference>
          <reference field="1" count="1">
            <x v="5"/>
          </reference>
          <reference field="2" count="1" selected="0">
            <x v="1"/>
          </reference>
        </references>
      </pivotArea>
    </format>
    <format dxfId="461">
      <pivotArea dataOnly="0" labelOnly="1" outline="0" fieldPosition="0">
        <references count="3">
          <reference field="0" count="1" selected="0">
            <x v="2"/>
          </reference>
          <reference field="1" count="1">
            <x v="6"/>
          </reference>
          <reference field="2" count="1" selected="0">
            <x v="2"/>
          </reference>
        </references>
      </pivotArea>
    </format>
    <format dxfId="460">
      <pivotArea dataOnly="0" labelOnly="1" outline="0" fieldPosition="0">
        <references count="3">
          <reference field="0" count="1" selected="0">
            <x v="3"/>
          </reference>
          <reference field="1" count="1">
            <x v="31"/>
          </reference>
          <reference field="2" count="1" selected="0">
            <x v="3"/>
          </reference>
        </references>
      </pivotArea>
    </format>
    <format dxfId="459">
      <pivotArea dataOnly="0" labelOnly="1" outline="0" fieldPosition="0">
        <references count="3">
          <reference field="0" count="1" selected="0">
            <x v="4"/>
          </reference>
          <reference field="1" count="1">
            <x v="12"/>
          </reference>
          <reference field="2" count="1" selected="0">
            <x v="4"/>
          </reference>
        </references>
      </pivotArea>
    </format>
    <format dxfId="458">
      <pivotArea dataOnly="0" labelOnly="1" outline="0" fieldPosition="0">
        <references count="3">
          <reference field="0" count="1" selected="0">
            <x v="5"/>
          </reference>
          <reference field="1" count="1">
            <x v="25"/>
          </reference>
          <reference field="2" count="1" selected="0">
            <x v="5"/>
          </reference>
        </references>
      </pivotArea>
    </format>
    <format dxfId="457">
      <pivotArea dataOnly="0" labelOnly="1" outline="0" fieldPosition="0">
        <references count="3">
          <reference field="0" count="1" selected="0">
            <x v="7"/>
          </reference>
          <reference field="1" count="1">
            <x v="22"/>
          </reference>
          <reference field="2" count="1" selected="0">
            <x v="7"/>
          </reference>
        </references>
      </pivotArea>
    </format>
    <format dxfId="456">
      <pivotArea dataOnly="0" labelOnly="1" outline="0" fieldPosition="0">
        <references count="3">
          <reference field="0" count="1" selected="0">
            <x v="8"/>
          </reference>
          <reference field="1" count="1">
            <x v="21"/>
          </reference>
          <reference field="2" count="1" selected="0">
            <x v="8"/>
          </reference>
        </references>
      </pivotArea>
    </format>
    <format dxfId="455">
      <pivotArea dataOnly="0" labelOnly="1" outline="0" fieldPosition="0">
        <references count="3">
          <reference field="0" count="1" selected="0">
            <x v="9"/>
          </reference>
          <reference field="1" count="1">
            <x v="34"/>
          </reference>
          <reference field="2" count="1" selected="0">
            <x v="9"/>
          </reference>
        </references>
      </pivotArea>
    </format>
    <format dxfId="454">
      <pivotArea dataOnly="0" labelOnly="1" outline="0" fieldPosition="0">
        <references count="3">
          <reference field="0" count="1" selected="0">
            <x v="10"/>
          </reference>
          <reference field="1" count="1">
            <x v="35"/>
          </reference>
          <reference field="2" count="1" selected="0">
            <x v="10"/>
          </reference>
        </references>
      </pivotArea>
    </format>
    <format dxfId="453">
      <pivotArea dataOnly="0" labelOnly="1" outline="0" fieldPosition="0">
        <references count="3">
          <reference field="0" count="1" selected="0">
            <x v="11"/>
          </reference>
          <reference field="1" count="1">
            <x v="36"/>
          </reference>
          <reference field="2" count="1" selected="0">
            <x v="11"/>
          </reference>
        </references>
      </pivotArea>
    </format>
    <format dxfId="452">
      <pivotArea dataOnly="0" labelOnly="1" outline="0" fieldPosition="0">
        <references count="3">
          <reference field="0" count="1" selected="0">
            <x v="12"/>
          </reference>
          <reference field="1" count="1">
            <x v="37"/>
          </reference>
          <reference field="2" count="1" selected="0">
            <x v="12"/>
          </reference>
        </references>
      </pivotArea>
    </format>
    <format dxfId="451">
      <pivotArea dataOnly="0" labelOnly="1" outline="0" fieldPosition="0">
        <references count="3">
          <reference field="0" count="1" selected="0">
            <x v="13"/>
          </reference>
          <reference field="1" count="1">
            <x v="38"/>
          </reference>
          <reference field="2" count="1" selected="0">
            <x v="13"/>
          </reference>
        </references>
      </pivotArea>
    </format>
    <format dxfId="450">
      <pivotArea dataOnly="0" labelOnly="1" outline="0" fieldPosition="0">
        <references count="3">
          <reference field="0" count="1" selected="0">
            <x v="14"/>
          </reference>
          <reference field="1" count="1">
            <x v="39"/>
          </reference>
          <reference field="2" count="1" selected="0">
            <x v="14"/>
          </reference>
        </references>
      </pivotArea>
    </format>
    <format dxfId="449">
      <pivotArea dataOnly="0" labelOnly="1" outline="0" fieldPosition="0">
        <references count="3">
          <reference field="0" count="1" selected="0">
            <x v="15"/>
          </reference>
          <reference field="1" count="1">
            <x v="28"/>
          </reference>
          <reference field="2" count="1" selected="0">
            <x v="15"/>
          </reference>
        </references>
      </pivotArea>
    </format>
    <format dxfId="448">
      <pivotArea dataOnly="0" labelOnly="1" outline="0" fieldPosition="0">
        <references count="3">
          <reference field="0" count="1" selected="0">
            <x v="16"/>
          </reference>
          <reference field="1" count="1">
            <x v="29"/>
          </reference>
          <reference field="2" count="1" selected="0">
            <x v="16"/>
          </reference>
        </references>
      </pivotArea>
    </format>
    <format dxfId="447">
      <pivotArea dataOnly="0" labelOnly="1" outline="0" fieldPosition="0">
        <references count="3">
          <reference field="0" count="1" selected="0">
            <x v="17"/>
          </reference>
          <reference field="1" count="1">
            <x v="14"/>
          </reference>
          <reference field="2" count="1" selected="0">
            <x v="17"/>
          </reference>
        </references>
      </pivotArea>
    </format>
    <format dxfId="446">
      <pivotArea dataOnly="0" labelOnly="1" outline="0" fieldPosition="0">
        <references count="3">
          <reference field="0" count="1" selected="0">
            <x v="20"/>
          </reference>
          <reference field="1" count="1">
            <x v="42"/>
          </reference>
          <reference field="2" count="1" selected="0">
            <x v="20"/>
          </reference>
        </references>
      </pivotArea>
    </format>
    <format dxfId="445">
      <pivotArea dataOnly="0" labelOnly="1" outline="0" fieldPosition="0">
        <references count="3">
          <reference field="0" count="1" selected="0">
            <x v="22"/>
          </reference>
          <reference field="1" count="1">
            <x v="45"/>
          </reference>
          <reference field="2" count="1" selected="0">
            <x v="22"/>
          </reference>
        </references>
      </pivotArea>
    </format>
    <format dxfId="444">
      <pivotArea dataOnly="0" labelOnly="1" outline="0" fieldPosition="0">
        <references count="3">
          <reference field="0" count="1" selected="0">
            <x v="25"/>
          </reference>
          <reference field="1" count="1">
            <x v="10"/>
          </reference>
          <reference field="2" count="1" selected="0">
            <x v="25"/>
          </reference>
        </references>
      </pivotArea>
    </format>
    <format dxfId="443">
      <pivotArea dataOnly="0" labelOnly="1" outline="0" fieldPosition="0">
        <references count="3">
          <reference field="0" count="1" selected="0">
            <x v="28"/>
          </reference>
          <reference field="1" count="1">
            <x v="8"/>
          </reference>
          <reference field="2" count="1" selected="0">
            <x v="28"/>
          </reference>
        </references>
      </pivotArea>
    </format>
    <format dxfId="442">
      <pivotArea dataOnly="0" labelOnly="1" outline="0" fieldPosition="0">
        <references count="3">
          <reference field="0" count="1" selected="0">
            <x v="29"/>
          </reference>
          <reference field="1" count="1">
            <x v="9"/>
          </reference>
          <reference field="2" count="1" selected="0">
            <x v="29"/>
          </reference>
        </references>
      </pivotArea>
    </format>
    <format dxfId="441">
      <pivotArea dataOnly="0" labelOnly="1" outline="0" fieldPosition="0">
        <references count="3">
          <reference field="0" count="1" selected="0">
            <x v="30"/>
          </reference>
          <reference field="1" count="1">
            <x v="7"/>
          </reference>
          <reference field="2" count="1" selected="0">
            <x v="30"/>
          </reference>
        </references>
      </pivotArea>
    </format>
    <format dxfId="440">
      <pivotArea dataOnly="0" labelOnly="1" outline="0" fieldPosition="0">
        <references count="3">
          <reference field="0" count="1" selected="0">
            <x v="31"/>
          </reference>
          <reference field="1" count="1">
            <x v="32"/>
          </reference>
          <reference field="2" count="1" selected="0">
            <x v="31"/>
          </reference>
        </references>
      </pivotArea>
    </format>
    <format dxfId="439">
      <pivotArea dataOnly="0" labelOnly="1" outline="0" fieldPosition="0">
        <references count="3">
          <reference field="0" count="1" selected="0">
            <x v="32"/>
          </reference>
          <reference field="1" count="1">
            <x v="33"/>
          </reference>
          <reference field="2" count="1" selected="0">
            <x v="32"/>
          </reference>
        </references>
      </pivotArea>
    </format>
    <format dxfId="438">
      <pivotArea dataOnly="0" labelOnly="1" outline="0" fieldPosition="0">
        <references count="3">
          <reference field="0" count="1" selected="0">
            <x v="33"/>
          </reference>
          <reference field="1" count="1">
            <x v="3"/>
          </reference>
          <reference field="2" count="1" selected="0">
            <x v="33"/>
          </reference>
        </references>
      </pivotArea>
    </format>
    <format dxfId="437">
      <pivotArea dataOnly="0" labelOnly="1" outline="0" fieldPosition="0">
        <references count="3">
          <reference field="0" count="1" selected="0">
            <x v="34"/>
          </reference>
          <reference field="1" count="1">
            <x v="4"/>
          </reference>
          <reference field="2" count="1" selected="0">
            <x v="34"/>
          </reference>
        </references>
      </pivotArea>
    </format>
    <format dxfId="436">
      <pivotArea dataOnly="0" labelOnly="1" outline="0" fieldPosition="0">
        <references count="3">
          <reference field="0" count="1" selected="0">
            <x v="35"/>
          </reference>
          <reference field="1" count="1">
            <x v="40"/>
          </reference>
          <reference field="2" count="1" selected="0">
            <x v="35"/>
          </reference>
        </references>
      </pivotArea>
    </format>
    <format dxfId="435">
      <pivotArea dataOnly="0" labelOnly="1" outline="0" fieldPosition="0">
        <references count="3">
          <reference field="0" count="1" selected="0">
            <x v="36"/>
          </reference>
          <reference field="1" count="1">
            <x v="41"/>
          </reference>
          <reference field="2" count="1" selected="0">
            <x v="36"/>
          </reference>
        </references>
      </pivotArea>
    </format>
    <format dxfId="434">
      <pivotArea dataOnly="0" labelOnly="1" outline="0" fieldPosition="0">
        <references count="3">
          <reference field="0" count="1" selected="0">
            <x v="37"/>
          </reference>
          <reference field="1" count="1">
            <x v="43"/>
          </reference>
          <reference field="2" count="1" selected="0">
            <x v="37"/>
          </reference>
        </references>
      </pivotArea>
    </format>
    <format dxfId="433">
      <pivotArea dataOnly="0" labelOnly="1" outline="0" fieldPosition="0">
        <references count="3">
          <reference field="0" count="1" selected="0">
            <x v="38"/>
          </reference>
          <reference field="1" count="1">
            <x v="44"/>
          </reference>
          <reference field="2" count="1" selected="0">
            <x v="38"/>
          </reference>
        </references>
      </pivotArea>
    </format>
    <format dxfId="432">
      <pivotArea dataOnly="0" labelOnly="1" outline="0" fieldPosition="0">
        <references count="3">
          <reference field="0" count="1" selected="0">
            <x v="39"/>
          </reference>
          <reference field="1" count="1">
            <x v="26"/>
          </reference>
          <reference field="2" count="1" selected="0">
            <x v="39"/>
          </reference>
        </references>
      </pivotArea>
    </format>
    <format dxfId="431">
      <pivotArea dataOnly="0" labelOnly="1" outline="0" fieldPosition="0">
        <references count="3">
          <reference field="0" count="1" selected="0">
            <x v="40"/>
          </reference>
          <reference field="1" count="1">
            <x v="23"/>
          </reference>
          <reference field="2" count="1" selected="0">
            <x v="40"/>
          </reference>
        </references>
      </pivotArea>
    </format>
    <format dxfId="430">
      <pivotArea dataOnly="0" labelOnly="1" outline="0" fieldPosition="0">
        <references count="3">
          <reference field="0" count="1" selected="0">
            <x v="43"/>
          </reference>
          <reference field="1" count="1">
            <x v="16"/>
          </reference>
          <reference field="2" count="1" selected="0">
            <x v="42"/>
          </reference>
        </references>
      </pivotArea>
    </format>
    <format dxfId="429">
      <pivotArea dataOnly="0" labelOnly="1" outline="0" fieldPosition="0">
        <references count="3">
          <reference field="0" count="1" selected="0">
            <x v="44"/>
          </reference>
          <reference field="1" count="1">
            <x v="17"/>
          </reference>
          <reference field="2" count="1" selected="0">
            <x v="43"/>
          </reference>
        </references>
      </pivotArea>
    </format>
    <format dxfId="428">
      <pivotArea dataOnly="0" labelOnly="1" outline="0" fieldPosition="0">
        <references count="3">
          <reference field="0" count="1" selected="0">
            <x v="45"/>
          </reference>
          <reference field="1" count="1">
            <x v="18"/>
          </reference>
          <reference field="2" count="1" selected="0">
            <x v="44"/>
          </reference>
        </references>
      </pivotArea>
    </format>
    <format dxfId="427">
      <pivotArea dataOnly="0" labelOnly="1" outline="0" fieldPosition="0">
        <references count="3">
          <reference field="0" count="1" selected="0">
            <x v="47"/>
          </reference>
          <reference field="1" count="1">
            <x v="13"/>
          </reference>
          <reference field="2" count="1" selected="0">
            <x v="46"/>
          </reference>
        </references>
      </pivotArea>
    </format>
    <format dxfId="426">
      <pivotArea dataOnly="0" labelOnly="1" outline="0" fieldPosition="0">
        <references count="3">
          <reference field="0" count="1" selected="0">
            <x v="49"/>
          </reference>
          <reference field="1" count="1">
            <x v="0"/>
          </reference>
          <reference field="2" count="1" selected="0">
            <x v="48"/>
          </reference>
        </references>
      </pivotArea>
    </format>
    <format dxfId="425">
      <pivotArea dataOnly="0" labelOnly="1" outline="0" fieldPosition="0">
        <references count="3">
          <reference field="0" count="1" selected="0">
            <x v="50"/>
          </reference>
          <reference field="1" count="1">
            <x v="27"/>
          </reference>
          <reference field="2" count="1" selected="0">
            <x v="49"/>
          </reference>
        </references>
      </pivotArea>
    </format>
    <format dxfId="424">
      <pivotArea dataOnly="0" labelOnly="1" outline="0" fieldPosition="0">
        <references count="3">
          <reference field="0" count="1" selected="0">
            <x v="51"/>
          </reference>
          <reference field="1" count="1">
            <x v="11"/>
          </reference>
          <reference field="2" count="1" selected="0">
            <x v="50"/>
          </reference>
        </references>
      </pivotArea>
    </format>
    <format dxfId="423">
      <pivotArea dataOnly="0" labelOnly="1" outline="0" fieldPosition="0">
        <references count="3">
          <reference field="0" count="1" selected="0">
            <x v="52"/>
          </reference>
          <reference field="1" count="1">
            <x v="2"/>
          </reference>
          <reference field="2" count="1" selected="0">
            <x v="51"/>
          </reference>
        </references>
      </pivotArea>
    </format>
    <format dxfId="422">
      <pivotArea dataOnly="0" labelOnly="1" outline="0" fieldPosition="0">
        <references count="3">
          <reference field="0" count="1" selected="0">
            <x v="53"/>
          </reference>
          <reference field="1" count="1">
            <x v="1"/>
          </reference>
          <reference field="2" count="1" selected="0">
            <x v="52"/>
          </reference>
        </references>
      </pivotArea>
    </format>
    <format dxfId="421">
      <pivotArea dataOnly="0" labelOnly="1" outline="0" fieldPosition="0">
        <references count="3">
          <reference field="0" count="1" selected="0">
            <x v="54"/>
          </reference>
          <reference field="1" count="1">
            <x v="24"/>
          </reference>
          <reference field="2" count="1" selected="0">
            <x v="53"/>
          </reference>
        </references>
      </pivotArea>
    </format>
    <format dxfId="4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5">
            <x v="50"/>
            <x v="51"/>
            <x v="52"/>
            <x v="53"/>
            <x v="54"/>
          </reference>
        </references>
      </pivotArea>
    </format>
    <format dxfId="378">
      <pivotArea dataOnly="0" labelOnly="1" outline="0" fieldPosition="0">
        <references count="2">
          <reference field="0" count="1" selected="0">
            <x v="0"/>
          </reference>
          <reference field="2" count="1">
            <x v="0"/>
          </reference>
        </references>
      </pivotArea>
    </format>
    <format dxfId="377">
      <pivotArea dataOnly="0" labelOnly="1" outline="0" fieldPosition="0">
        <references count="2">
          <reference field="0" count="1" selected="0">
            <x v="1"/>
          </reference>
          <reference field="2" count="1">
            <x v="1"/>
          </reference>
        </references>
      </pivotArea>
    </format>
    <format dxfId="376">
      <pivotArea dataOnly="0" labelOnly="1" outline="0" fieldPosition="0">
        <references count="2">
          <reference field="0" count="1" selected="0">
            <x v="2"/>
          </reference>
          <reference field="2" count="1">
            <x v="2"/>
          </reference>
        </references>
      </pivotArea>
    </format>
    <format dxfId="375">
      <pivotArea dataOnly="0" labelOnly="1" outline="0" fieldPosition="0">
        <references count="2">
          <reference field="0" count="1" selected="0">
            <x v="3"/>
          </reference>
          <reference field="2" count="1">
            <x v="3"/>
          </reference>
        </references>
      </pivotArea>
    </format>
    <format dxfId="374">
      <pivotArea dataOnly="0" labelOnly="1" outline="0" fieldPosition="0">
        <references count="2">
          <reference field="0" count="1" selected="0">
            <x v="4"/>
          </reference>
          <reference field="2" count="1">
            <x v="4"/>
          </reference>
        </references>
      </pivotArea>
    </format>
    <format dxfId="373">
      <pivotArea dataOnly="0" labelOnly="1" outline="0" fieldPosition="0">
        <references count="2">
          <reference field="0" count="1" selected="0">
            <x v="5"/>
          </reference>
          <reference field="2" count="1">
            <x v="5"/>
          </reference>
        </references>
      </pivotArea>
    </format>
    <format dxfId="372">
      <pivotArea dataOnly="0" labelOnly="1" outline="0" fieldPosition="0">
        <references count="2">
          <reference field="0" count="1" selected="0">
            <x v="6"/>
          </reference>
          <reference field="2" count="1">
            <x v="6"/>
          </reference>
        </references>
      </pivotArea>
    </format>
    <format dxfId="371">
      <pivotArea dataOnly="0" labelOnly="1" outline="0" fieldPosition="0">
        <references count="2">
          <reference field="0" count="1" selected="0">
            <x v="7"/>
          </reference>
          <reference field="2" count="1">
            <x v="7"/>
          </reference>
        </references>
      </pivotArea>
    </format>
    <format dxfId="370">
      <pivotArea dataOnly="0" labelOnly="1" outline="0" fieldPosition="0">
        <references count="2">
          <reference field="0" count="1" selected="0">
            <x v="8"/>
          </reference>
          <reference field="2" count="1">
            <x v="8"/>
          </reference>
        </references>
      </pivotArea>
    </format>
    <format dxfId="369">
      <pivotArea dataOnly="0" labelOnly="1" outline="0" fieldPosition="0">
        <references count="2">
          <reference field="0" count="1" selected="0">
            <x v="9"/>
          </reference>
          <reference field="2" count="1">
            <x v="9"/>
          </reference>
        </references>
      </pivotArea>
    </format>
    <format dxfId="368">
      <pivotArea dataOnly="0" labelOnly="1" outline="0" fieldPosition="0">
        <references count="2">
          <reference field="0" count="1" selected="0">
            <x v="10"/>
          </reference>
          <reference field="2" count="1">
            <x v="10"/>
          </reference>
        </references>
      </pivotArea>
    </format>
    <format dxfId="367">
      <pivotArea dataOnly="0" labelOnly="1" outline="0" fieldPosition="0">
        <references count="2">
          <reference field="0" count="1" selected="0">
            <x v="11"/>
          </reference>
          <reference field="2" count="1">
            <x v="11"/>
          </reference>
        </references>
      </pivotArea>
    </format>
    <format dxfId="366">
      <pivotArea dataOnly="0" labelOnly="1" outline="0" fieldPosition="0">
        <references count="2">
          <reference field="0" count="1" selected="0">
            <x v="12"/>
          </reference>
          <reference field="2" count="1">
            <x v="12"/>
          </reference>
        </references>
      </pivotArea>
    </format>
    <format dxfId="365">
      <pivotArea dataOnly="0" labelOnly="1" outline="0" fieldPosition="0">
        <references count="2">
          <reference field="0" count="1" selected="0">
            <x v="13"/>
          </reference>
          <reference field="2" count="1">
            <x v="13"/>
          </reference>
        </references>
      </pivotArea>
    </format>
    <format dxfId="364">
      <pivotArea dataOnly="0" labelOnly="1" outline="0" fieldPosition="0">
        <references count="2">
          <reference field="0" count="1" selected="0">
            <x v="14"/>
          </reference>
          <reference field="2" count="1">
            <x v="14"/>
          </reference>
        </references>
      </pivotArea>
    </format>
    <format dxfId="363">
      <pivotArea dataOnly="0" labelOnly="1" outline="0" fieldPosition="0">
        <references count="2">
          <reference field="0" count="1" selected="0">
            <x v="15"/>
          </reference>
          <reference field="2" count="1">
            <x v="15"/>
          </reference>
        </references>
      </pivotArea>
    </format>
    <format dxfId="362">
      <pivotArea dataOnly="0" labelOnly="1" outline="0" fieldPosition="0">
        <references count="2">
          <reference field="0" count="1" selected="0">
            <x v="16"/>
          </reference>
          <reference field="2" count="1">
            <x v="16"/>
          </reference>
        </references>
      </pivotArea>
    </format>
    <format dxfId="361">
      <pivotArea dataOnly="0" labelOnly="1" outline="0" fieldPosition="0">
        <references count="2">
          <reference field="0" count="1" selected="0">
            <x v="17"/>
          </reference>
          <reference field="2" count="1">
            <x v="17"/>
          </reference>
        </references>
      </pivotArea>
    </format>
    <format dxfId="360">
      <pivotArea dataOnly="0" labelOnly="1" outline="0" fieldPosition="0">
        <references count="2">
          <reference field="0" count="1" selected="0">
            <x v="18"/>
          </reference>
          <reference field="2" count="1">
            <x v="18"/>
          </reference>
        </references>
      </pivotArea>
    </format>
    <format dxfId="359">
      <pivotArea dataOnly="0" labelOnly="1" outline="0" fieldPosition="0">
        <references count="2">
          <reference field="0" count="1" selected="0">
            <x v="19"/>
          </reference>
          <reference field="2" count="1">
            <x v="19"/>
          </reference>
        </references>
      </pivotArea>
    </format>
    <format dxfId="358">
      <pivotArea dataOnly="0" labelOnly="1" outline="0" fieldPosition="0">
        <references count="2">
          <reference field="0" count="1" selected="0">
            <x v="20"/>
          </reference>
          <reference field="2" count="1">
            <x v="20"/>
          </reference>
        </references>
      </pivotArea>
    </format>
    <format dxfId="357">
      <pivotArea dataOnly="0" labelOnly="1" outline="0" fieldPosition="0">
        <references count="2">
          <reference field="0" count="1" selected="0">
            <x v="21"/>
          </reference>
          <reference field="2" count="1">
            <x v="21"/>
          </reference>
        </references>
      </pivotArea>
    </format>
    <format dxfId="356">
      <pivotArea dataOnly="0" labelOnly="1" outline="0" fieldPosition="0">
        <references count="2">
          <reference field="0" count="1" selected="0">
            <x v="22"/>
          </reference>
          <reference field="2" count="1">
            <x v="22"/>
          </reference>
        </references>
      </pivotArea>
    </format>
    <format dxfId="355">
      <pivotArea dataOnly="0" labelOnly="1" outline="0" fieldPosition="0">
        <references count="2">
          <reference field="0" count="1" selected="0">
            <x v="23"/>
          </reference>
          <reference field="2" count="1">
            <x v="23"/>
          </reference>
        </references>
      </pivotArea>
    </format>
    <format dxfId="354">
      <pivotArea dataOnly="0" labelOnly="1" outline="0" fieldPosition="0">
        <references count="2">
          <reference field="0" count="1" selected="0">
            <x v="24"/>
          </reference>
          <reference field="2" count="1">
            <x v="24"/>
          </reference>
        </references>
      </pivotArea>
    </format>
    <format dxfId="353">
      <pivotArea dataOnly="0" labelOnly="1" outline="0" fieldPosition="0">
        <references count="2">
          <reference field="0" count="1" selected="0">
            <x v="25"/>
          </reference>
          <reference field="2" count="1">
            <x v="25"/>
          </reference>
        </references>
      </pivotArea>
    </format>
    <format dxfId="352">
      <pivotArea dataOnly="0" labelOnly="1" outline="0" fieldPosition="0">
        <references count="2">
          <reference field="0" count="1" selected="0">
            <x v="26"/>
          </reference>
          <reference field="2" count="1">
            <x v="26"/>
          </reference>
        </references>
      </pivotArea>
    </format>
    <format dxfId="351">
      <pivotArea dataOnly="0" labelOnly="1" outline="0" fieldPosition="0">
        <references count="2">
          <reference field="0" count="1" selected="0">
            <x v="27"/>
          </reference>
          <reference field="2" count="1">
            <x v="27"/>
          </reference>
        </references>
      </pivotArea>
    </format>
    <format dxfId="350">
      <pivotArea dataOnly="0" labelOnly="1" outline="0" fieldPosition="0">
        <references count="2">
          <reference field="0" count="1" selected="0">
            <x v="28"/>
          </reference>
          <reference field="2" count="1">
            <x v="28"/>
          </reference>
        </references>
      </pivotArea>
    </format>
    <format dxfId="349">
      <pivotArea dataOnly="0" labelOnly="1" outline="0" fieldPosition="0">
        <references count="2">
          <reference field="0" count="1" selected="0">
            <x v="29"/>
          </reference>
          <reference field="2" count="1">
            <x v="29"/>
          </reference>
        </references>
      </pivotArea>
    </format>
    <format dxfId="348">
      <pivotArea dataOnly="0" labelOnly="1" outline="0" fieldPosition="0">
        <references count="2">
          <reference field="0" count="1" selected="0">
            <x v="30"/>
          </reference>
          <reference field="2" count="1">
            <x v="30"/>
          </reference>
        </references>
      </pivotArea>
    </format>
    <format dxfId="347">
      <pivotArea dataOnly="0" labelOnly="1" outline="0" fieldPosition="0">
        <references count="2">
          <reference field="0" count="1" selected="0">
            <x v="31"/>
          </reference>
          <reference field="2" count="1">
            <x v="31"/>
          </reference>
        </references>
      </pivotArea>
    </format>
    <format dxfId="346">
      <pivotArea dataOnly="0" labelOnly="1" outline="0" fieldPosition="0">
        <references count="2">
          <reference field="0" count="1" selected="0">
            <x v="32"/>
          </reference>
          <reference field="2" count="1">
            <x v="32"/>
          </reference>
        </references>
      </pivotArea>
    </format>
    <format dxfId="345">
      <pivotArea dataOnly="0" labelOnly="1" outline="0" fieldPosition="0">
        <references count="2">
          <reference field="0" count="1" selected="0">
            <x v="33"/>
          </reference>
          <reference field="2" count="1">
            <x v="33"/>
          </reference>
        </references>
      </pivotArea>
    </format>
    <format dxfId="344">
      <pivotArea dataOnly="0" labelOnly="1" outline="0" fieldPosition="0">
        <references count="2">
          <reference field="0" count="1" selected="0">
            <x v="34"/>
          </reference>
          <reference field="2" count="1">
            <x v="34"/>
          </reference>
        </references>
      </pivotArea>
    </format>
    <format dxfId="343">
      <pivotArea dataOnly="0" labelOnly="1" outline="0" fieldPosition="0">
        <references count="2">
          <reference field="0" count="1" selected="0">
            <x v="35"/>
          </reference>
          <reference field="2" count="1">
            <x v="35"/>
          </reference>
        </references>
      </pivotArea>
    </format>
    <format dxfId="342">
      <pivotArea dataOnly="0" labelOnly="1" outline="0" fieldPosition="0">
        <references count="2">
          <reference field="0" count="1" selected="0">
            <x v="36"/>
          </reference>
          <reference field="2" count="1">
            <x v="36"/>
          </reference>
        </references>
      </pivotArea>
    </format>
    <format dxfId="341">
      <pivotArea dataOnly="0" labelOnly="1" outline="0" fieldPosition="0">
        <references count="2">
          <reference field="0" count="1" selected="0">
            <x v="37"/>
          </reference>
          <reference field="2" count="1">
            <x v="37"/>
          </reference>
        </references>
      </pivotArea>
    </format>
    <format dxfId="340">
      <pivotArea dataOnly="0" labelOnly="1" outline="0" fieldPosition="0">
        <references count="2">
          <reference field="0" count="1" selected="0">
            <x v="38"/>
          </reference>
          <reference field="2" count="1">
            <x v="38"/>
          </reference>
        </references>
      </pivotArea>
    </format>
    <format dxfId="339">
      <pivotArea dataOnly="0" labelOnly="1" outline="0" fieldPosition="0">
        <references count="2">
          <reference field="0" count="1" selected="0">
            <x v="39"/>
          </reference>
          <reference field="2" count="1">
            <x v="39"/>
          </reference>
        </references>
      </pivotArea>
    </format>
    <format dxfId="338">
      <pivotArea dataOnly="0" labelOnly="1" outline="0" fieldPosition="0">
        <references count="2">
          <reference field="0" count="1" selected="0">
            <x v="40"/>
          </reference>
          <reference field="2" count="1">
            <x v="40"/>
          </reference>
        </references>
      </pivotArea>
    </format>
    <format dxfId="337">
      <pivotArea dataOnly="0" labelOnly="1" outline="0" fieldPosition="0">
        <references count="2">
          <reference field="0" count="1" selected="0">
            <x v="42"/>
          </reference>
          <reference field="2" count="1">
            <x v="41"/>
          </reference>
        </references>
      </pivotArea>
    </format>
    <format dxfId="336">
      <pivotArea dataOnly="0" labelOnly="1" outline="0" fieldPosition="0">
        <references count="2">
          <reference field="0" count="1" selected="0">
            <x v="43"/>
          </reference>
          <reference field="2" count="1">
            <x v="42"/>
          </reference>
        </references>
      </pivotArea>
    </format>
    <format dxfId="335">
      <pivotArea dataOnly="0" labelOnly="1" outline="0" fieldPosition="0">
        <references count="2">
          <reference field="0" count="1" selected="0">
            <x v="44"/>
          </reference>
          <reference field="2" count="1">
            <x v="43"/>
          </reference>
        </references>
      </pivotArea>
    </format>
    <format dxfId="334">
      <pivotArea dataOnly="0" labelOnly="1" outline="0" fieldPosition="0">
        <references count="2">
          <reference field="0" count="1" selected="0">
            <x v="45"/>
          </reference>
          <reference field="2" count="1">
            <x v="44"/>
          </reference>
        </references>
      </pivotArea>
    </format>
    <format dxfId="333">
      <pivotArea dataOnly="0" labelOnly="1" outline="0" fieldPosition="0">
        <references count="2">
          <reference field="0" count="1" selected="0">
            <x v="46"/>
          </reference>
          <reference field="2" count="1">
            <x v="45"/>
          </reference>
        </references>
      </pivotArea>
    </format>
    <format dxfId="332">
      <pivotArea dataOnly="0" labelOnly="1" outline="0" fieldPosition="0">
        <references count="2">
          <reference field="0" count="1" selected="0">
            <x v="47"/>
          </reference>
          <reference field="2" count="1">
            <x v="46"/>
          </reference>
        </references>
      </pivotArea>
    </format>
    <format dxfId="331">
      <pivotArea dataOnly="0" labelOnly="1" outline="0" fieldPosition="0">
        <references count="2">
          <reference field="0" count="1" selected="0">
            <x v="48"/>
          </reference>
          <reference field="2" count="1">
            <x v="47"/>
          </reference>
        </references>
      </pivotArea>
    </format>
    <format dxfId="330">
      <pivotArea dataOnly="0" labelOnly="1" outline="0" fieldPosition="0">
        <references count="2">
          <reference field="0" count="1" selected="0">
            <x v="49"/>
          </reference>
          <reference field="2" count="1">
            <x v="48"/>
          </reference>
        </references>
      </pivotArea>
    </format>
    <format dxfId="329">
      <pivotArea dataOnly="0" labelOnly="1" outline="0" fieldPosition="0">
        <references count="2">
          <reference field="0" count="1" selected="0">
            <x v="50"/>
          </reference>
          <reference field="2" count="1">
            <x v="49"/>
          </reference>
        </references>
      </pivotArea>
    </format>
    <format dxfId="328">
      <pivotArea dataOnly="0" labelOnly="1" outline="0" fieldPosition="0">
        <references count="2">
          <reference field="0" count="1" selected="0">
            <x v="51"/>
          </reference>
          <reference field="2" count="1">
            <x v="50"/>
          </reference>
        </references>
      </pivotArea>
    </format>
    <format dxfId="327">
      <pivotArea dataOnly="0" labelOnly="1" outline="0" fieldPosition="0">
        <references count="2">
          <reference field="0" count="1" selected="0">
            <x v="52"/>
          </reference>
          <reference field="2" count="1">
            <x v="51"/>
          </reference>
        </references>
      </pivotArea>
    </format>
    <format dxfId="326">
      <pivotArea dataOnly="0" labelOnly="1" outline="0" fieldPosition="0">
        <references count="2">
          <reference field="0" count="1" selected="0">
            <x v="53"/>
          </reference>
          <reference field="2" count="1">
            <x v="52"/>
          </reference>
        </references>
      </pivotArea>
    </format>
    <format dxfId="325">
      <pivotArea dataOnly="0" labelOnly="1" outline="0" fieldPosition="0">
        <references count="2">
          <reference field="0" count="1" selected="0">
            <x v="54"/>
          </reference>
          <reference field="2" count="1">
            <x v="53"/>
          </reference>
        </references>
      </pivotArea>
    </format>
    <format dxfId="324">
      <pivotArea dataOnly="0" labelOnly="1" outline="0" fieldPosition="0">
        <references count="3">
          <reference field="0" count="1" selected="0">
            <x v="1"/>
          </reference>
          <reference field="1" count="1">
            <x v="5"/>
          </reference>
          <reference field="2" count="1" selected="0">
            <x v="1"/>
          </reference>
        </references>
      </pivotArea>
    </format>
    <format dxfId="323">
      <pivotArea dataOnly="0" labelOnly="1" outline="0" fieldPosition="0">
        <references count="3">
          <reference field="0" count="1" selected="0">
            <x v="2"/>
          </reference>
          <reference field="1" count="1">
            <x v="6"/>
          </reference>
          <reference field="2" count="1" selected="0">
            <x v="2"/>
          </reference>
        </references>
      </pivotArea>
    </format>
    <format dxfId="322">
      <pivotArea dataOnly="0" labelOnly="1" outline="0" fieldPosition="0">
        <references count="3">
          <reference field="0" count="1" selected="0">
            <x v="3"/>
          </reference>
          <reference field="1" count="1">
            <x v="31"/>
          </reference>
          <reference field="2" count="1" selected="0">
            <x v="3"/>
          </reference>
        </references>
      </pivotArea>
    </format>
    <format dxfId="321">
      <pivotArea dataOnly="0" labelOnly="1" outline="0" fieldPosition="0">
        <references count="3">
          <reference field="0" count="1" selected="0">
            <x v="4"/>
          </reference>
          <reference field="1" count="1">
            <x v="12"/>
          </reference>
          <reference field="2" count="1" selected="0">
            <x v="4"/>
          </reference>
        </references>
      </pivotArea>
    </format>
    <format dxfId="320">
      <pivotArea dataOnly="0" labelOnly="1" outline="0" fieldPosition="0">
        <references count="3">
          <reference field="0" count="1" selected="0">
            <x v="5"/>
          </reference>
          <reference field="1" count="1">
            <x v="25"/>
          </reference>
          <reference field="2" count="1" selected="0">
            <x v="5"/>
          </reference>
        </references>
      </pivotArea>
    </format>
    <format dxfId="319">
      <pivotArea dataOnly="0" labelOnly="1" outline="0" fieldPosition="0">
        <references count="3">
          <reference field="0" count="1" selected="0">
            <x v="7"/>
          </reference>
          <reference field="1" count="1">
            <x v="22"/>
          </reference>
          <reference field="2" count="1" selected="0">
            <x v="7"/>
          </reference>
        </references>
      </pivotArea>
    </format>
    <format dxfId="318">
      <pivotArea dataOnly="0" labelOnly="1" outline="0" fieldPosition="0">
        <references count="3">
          <reference field="0" count="1" selected="0">
            <x v="8"/>
          </reference>
          <reference field="1" count="1">
            <x v="21"/>
          </reference>
          <reference field="2" count="1" selected="0">
            <x v="8"/>
          </reference>
        </references>
      </pivotArea>
    </format>
    <format dxfId="317">
      <pivotArea dataOnly="0" labelOnly="1" outline="0" fieldPosition="0">
        <references count="3">
          <reference field="0" count="1" selected="0">
            <x v="9"/>
          </reference>
          <reference field="1" count="1">
            <x v="34"/>
          </reference>
          <reference field="2" count="1" selected="0">
            <x v="9"/>
          </reference>
        </references>
      </pivotArea>
    </format>
    <format dxfId="316">
      <pivotArea dataOnly="0" labelOnly="1" outline="0" fieldPosition="0">
        <references count="3">
          <reference field="0" count="1" selected="0">
            <x v="10"/>
          </reference>
          <reference field="1" count="1">
            <x v="35"/>
          </reference>
          <reference field="2" count="1" selected="0">
            <x v="10"/>
          </reference>
        </references>
      </pivotArea>
    </format>
    <format dxfId="315">
      <pivotArea dataOnly="0" labelOnly="1" outline="0" fieldPosition="0">
        <references count="3">
          <reference field="0" count="1" selected="0">
            <x v="11"/>
          </reference>
          <reference field="1" count="1">
            <x v="36"/>
          </reference>
          <reference field="2" count="1" selected="0">
            <x v="11"/>
          </reference>
        </references>
      </pivotArea>
    </format>
    <format dxfId="314">
      <pivotArea dataOnly="0" labelOnly="1" outline="0" fieldPosition="0">
        <references count="3">
          <reference field="0" count="1" selected="0">
            <x v="12"/>
          </reference>
          <reference field="1" count="1">
            <x v="37"/>
          </reference>
          <reference field="2" count="1" selected="0">
            <x v="12"/>
          </reference>
        </references>
      </pivotArea>
    </format>
    <format dxfId="313">
      <pivotArea dataOnly="0" labelOnly="1" outline="0" fieldPosition="0">
        <references count="3">
          <reference field="0" count="1" selected="0">
            <x v="13"/>
          </reference>
          <reference field="1" count="1">
            <x v="38"/>
          </reference>
          <reference field="2" count="1" selected="0">
            <x v="13"/>
          </reference>
        </references>
      </pivotArea>
    </format>
    <format dxfId="312">
      <pivotArea dataOnly="0" labelOnly="1" outline="0" fieldPosition="0">
        <references count="3">
          <reference field="0" count="1" selected="0">
            <x v="14"/>
          </reference>
          <reference field="1" count="1">
            <x v="39"/>
          </reference>
          <reference field="2" count="1" selected="0">
            <x v="14"/>
          </reference>
        </references>
      </pivotArea>
    </format>
    <format dxfId="311">
      <pivotArea dataOnly="0" labelOnly="1" outline="0" fieldPosition="0">
        <references count="3">
          <reference field="0" count="1" selected="0">
            <x v="15"/>
          </reference>
          <reference field="1" count="1">
            <x v="28"/>
          </reference>
          <reference field="2" count="1" selected="0">
            <x v="15"/>
          </reference>
        </references>
      </pivotArea>
    </format>
    <format dxfId="310">
      <pivotArea dataOnly="0" labelOnly="1" outline="0" fieldPosition="0">
        <references count="3">
          <reference field="0" count="1" selected="0">
            <x v="16"/>
          </reference>
          <reference field="1" count="1">
            <x v="29"/>
          </reference>
          <reference field="2" count="1" selected="0">
            <x v="16"/>
          </reference>
        </references>
      </pivotArea>
    </format>
    <format dxfId="309">
      <pivotArea dataOnly="0" labelOnly="1" outline="0" fieldPosition="0">
        <references count="3">
          <reference field="0" count="1" selected="0">
            <x v="17"/>
          </reference>
          <reference field="1" count="1">
            <x v="14"/>
          </reference>
          <reference field="2" count="1" selected="0">
            <x v="17"/>
          </reference>
        </references>
      </pivotArea>
    </format>
    <format dxfId="308">
      <pivotArea dataOnly="0" labelOnly="1" outline="0" fieldPosition="0">
        <references count="3">
          <reference field="0" count="1" selected="0">
            <x v="20"/>
          </reference>
          <reference field="1" count="1">
            <x v="42"/>
          </reference>
          <reference field="2" count="1" selected="0">
            <x v="20"/>
          </reference>
        </references>
      </pivotArea>
    </format>
    <format dxfId="307">
      <pivotArea dataOnly="0" labelOnly="1" outline="0" fieldPosition="0">
        <references count="3">
          <reference field="0" count="1" selected="0">
            <x v="22"/>
          </reference>
          <reference field="1" count="1">
            <x v="45"/>
          </reference>
          <reference field="2" count="1" selected="0">
            <x v="22"/>
          </reference>
        </references>
      </pivotArea>
    </format>
    <format dxfId="306">
      <pivotArea dataOnly="0" labelOnly="1" outline="0" fieldPosition="0">
        <references count="3">
          <reference field="0" count="1" selected="0">
            <x v="25"/>
          </reference>
          <reference field="1" count="1">
            <x v="10"/>
          </reference>
          <reference field="2" count="1" selected="0">
            <x v="25"/>
          </reference>
        </references>
      </pivotArea>
    </format>
    <format dxfId="305">
      <pivotArea dataOnly="0" labelOnly="1" outline="0" fieldPosition="0">
        <references count="3">
          <reference field="0" count="1" selected="0">
            <x v="28"/>
          </reference>
          <reference field="1" count="1">
            <x v="8"/>
          </reference>
          <reference field="2" count="1" selected="0">
            <x v="28"/>
          </reference>
        </references>
      </pivotArea>
    </format>
    <format dxfId="304">
      <pivotArea dataOnly="0" labelOnly="1" outline="0" fieldPosition="0">
        <references count="3">
          <reference field="0" count="1" selected="0">
            <x v="29"/>
          </reference>
          <reference field="1" count="1">
            <x v="9"/>
          </reference>
          <reference field="2" count="1" selected="0">
            <x v="29"/>
          </reference>
        </references>
      </pivotArea>
    </format>
    <format dxfId="303">
      <pivotArea dataOnly="0" labelOnly="1" outline="0" fieldPosition="0">
        <references count="3">
          <reference field="0" count="1" selected="0">
            <x v="30"/>
          </reference>
          <reference field="1" count="1">
            <x v="7"/>
          </reference>
          <reference field="2" count="1" selected="0">
            <x v="30"/>
          </reference>
        </references>
      </pivotArea>
    </format>
    <format dxfId="302">
      <pivotArea dataOnly="0" labelOnly="1" outline="0" fieldPosition="0">
        <references count="3">
          <reference field="0" count="1" selected="0">
            <x v="31"/>
          </reference>
          <reference field="1" count="1">
            <x v="32"/>
          </reference>
          <reference field="2" count="1" selected="0">
            <x v="31"/>
          </reference>
        </references>
      </pivotArea>
    </format>
    <format dxfId="301">
      <pivotArea dataOnly="0" labelOnly="1" outline="0" fieldPosition="0">
        <references count="3">
          <reference field="0" count="1" selected="0">
            <x v="32"/>
          </reference>
          <reference field="1" count="1">
            <x v="33"/>
          </reference>
          <reference field="2" count="1" selected="0">
            <x v="32"/>
          </reference>
        </references>
      </pivotArea>
    </format>
    <format dxfId="300">
      <pivotArea dataOnly="0" labelOnly="1" outline="0" fieldPosition="0">
        <references count="3">
          <reference field="0" count="1" selected="0">
            <x v="33"/>
          </reference>
          <reference field="1" count="1">
            <x v="3"/>
          </reference>
          <reference field="2" count="1" selected="0">
            <x v="33"/>
          </reference>
        </references>
      </pivotArea>
    </format>
    <format dxfId="299">
      <pivotArea dataOnly="0" labelOnly="1" outline="0" fieldPosition="0">
        <references count="3">
          <reference field="0" count="1" selected="0">
            <x v="34"/>
          </reference>
          <reference field="1" count="1">
            <x v="4"/>
          </reference>
          <reference field="2" count="1" selected="0">
            <x v="34"/>
          </reference>
        </references>
      </pivotArea>
    </format>
    <format dxfId="298">
      <pivotArea dataOnly="0" labelOnly="1" outline="0" fieldPosition="0">
        <references count="3">
          <reference field="0" count="1" selected="0">
            <x v="35"/>
          </reference>
          <reference field="1" count="1">
            <x v="40"/>
          </reference>
          <reference field="2" count="1" selected="0">
            <x v="35"/>
          </reference>
        </references>
      </pivotArea>
    </format>
    <format dxfId="297">
      <pivotArea dataOnly="0" labelOnly="1" outline="0" fieldPosition="0">
        <references count="3">
          <reference field="0" count="1" selected="0">
            <x v="36"/>
          </reference>
          <reference field="1" count="1">
            <x v="41"/>
          </reference>
          <reference field="2" count="1" selected="0">
            <x v="36"/>
          </reference>
        </references>
      </pivotArea>
    </format>
    <format dxfId="296">
      <pivotArea dataOnly="0" labelOnly="1" outline="0" fieldPosition="0">
        <references count="3">
          <reference field="0" count="1" selected="0">
            <x v="37"/>
          </reference>
          <reference field="1" count="1">
            <x v="43"/>
          </reference>
          <reference field="2" count="1" selected="0">
            <x v="37"/>
          </reference>
        </references>
      </pivotArea>
    </format>
    <format dxfId="295">
      <pivotArea dataOnly="0" labelOnly="1" outline="0" fieldPosition="0">
        <references count="3">
          <reference field="0" count="1" selected="0">
            <x v="38"/>
          </reference>
          <reference field="1" count="1">
            <x v="44"/>
          </reference>
          <reference field="2" count="1" selected="0">
            <x v="38"/>
          </reference>
        </references>
      </pivotArea>
    </format>
    <format dxfId="294">
      <pivotArea dataOnly="0" labelOnly="1" outline="0" fieldPosition="0">
        <references count="3">
          <reference field="0" count="1" selected="0">
            <x v="39"/>
          </reference>
          <reference field="1" count="1">
            <x v="26"/>
          </reference>
          <reference field="2" count="1" selected="0">
            <x v="39"/>
          </reference>
        </references>
      </pivotArea>
    </format>
    <format dxfId="293">
      <pivotArea dataOnly="0" labelOnly="1" outline="0" fieldPosition="0">
        <references count="3">
          <reference field="0" count="1" selected="0">
            <x v="40"/>
          </reference>
          <reference field="1" count="1">
            <x v="23"/>
          </reference>
          <reference field="2" count="1" selected="0">
            <x v="40"/>
          </reference>
        </references>
      </pivotArea>
    </format>
    <format dxfId="292">
      <pivotArea dataOnly="0" labelOnly="1" outline="0" fieldPosition="0">
        <references count="3">
          <reference field="0" count="1" selected="0">
            <x v="43"/>
          </reference>
          <reference field="1" count="1">
            <x v="16"/>
          </reference>
          <reference field="2" count="1" selected="0">
            <x v="42"/>
          </reference>
        </references>
      </pivotArea>
    </format>
    <format dxfId="291">
      <pivotArea dataOnly="0" labelOnly="1" outline="0" fieldPosition="0">
        <references count="3">
          <reference field="0" count="1" selected="0">
            <x v="44"/>
          </reference>
          <reference field="1" count="1">
            <x v="17"/>
          </reference>
          <reference field="2" count="1" selected="0">
            <x v="43"/>
          </reference>
        </references>
      </pivotArea>
    </format>
    <format dxfId="290">
      <pivotArea dataOnly="0" labelOnly="1" outline="0" fieldPosition="0">
        <references count="3">
          <reference field="0" count="1" selected="0">
            <x v="45"/>
          </reference>
          <reference field="1" count="1">
            <x v="18"/>
          </reference>
          <reference field="2" count="1" selected="0">
            <x v="44"/>
          </reference>
        </references>
      </pivotArea>
    </format>
    <format dxfId="289">
      <pivotArea dataOnly="0" labelOnly="1" outline="0" fieldPosition="0">
        <references count="3">
          <reference field="0" count="1" selected="0">
            <x v="47"/>
          </reference>
          <reference field="1" count="1">
            <x v="13"/>
          </reference>
          <reference field="2" count="1" selected="0">
            <x v="46"/>
          </reference>
        </references>
      </pivotArea>
    </format>
    <format dxfId="288">
      <pivotArea dataOnly="0" labelOnly="1" outline="0" fieldPosition="0">
        <references count="3">
          <reference field="0" count="1" selected="0">
            <x v="49"/>
          </reference>
          <reference field="1" count="1">
            <x v="0"/>
          </reference>
          <reference field="2" count="1" selected="0">
            <x v="48"/>
          </reference>
        </references>
      </pivotArea>
    </format>
    <format dxfId="287">
      <pivotArea dataOnly="0" labelOnly="1" outline="0" fieldPosition="0">
        <references count="3">
          <reference field="0" count="1" selected="0">
            <x v="50"/>
          </reference>
          <reference field="1" count="1">
            <x v="27"/>
          </reference>
          <reference field="2" count="1" selected="0">
            <x v="49"/>
          </reference>
        </references>
      </pivotArea>
    </format>
    <format dxfId="286">
      <pivotArea dataOnly="0" labelOnly="1" outline="0" fieldPosition="0">
        <references count="3">
          <reference field="0" count="1" selected="0">
            <x v="51"/>
          </reference>
          <reference field="1" count="1">
            <x v="11"/>
          </reference>
          <reference field="2" count="1" selected="0">
            <x v="50"/>
          </reference>
        </references>
      </pivotArea>
    </format>
    <format dxfId="285">
      <pivotArea dataOnly="0" labelOnly="1" outline="0" fieldPosition="0">
        <references count="3">
          <reference field="0" count="1" selected="0">
            <x v="52"/>
          </reference>
          <reference field="1" count="1">
            <x v="2"/>
          </reference>
          <reference field="2" count="1" selected="0">
            <x v="51"/>
          </reference>
        </references>
      </pivotArea>
    </format>
    <format dxfId="284">
      <pivotArea dataOnly="0" labelOnly="1" outline="0" fieldPosition="0">
        <references count="3">
          <reference field="0" count="1" selected="0">
            <x v="53"/>
          </reference>
          <reference field="1" count="1">
            <x v="1"/>
          </reference>
          <reference field="2" count="1" selected="0">
            <x v="52"/>
          </reference>
        </references>
      </pivotArea>
    </format>
    <format dxfId="283">
      <pivotArea dataOnly="0" labelOnly="1" outline="0" fieldPosition="0">
        <references count="3">
          <reference field="0" count="1" selected="0">
            <x v="54"/>
          </reference>
          <reference field="1" count="1">
            <x v="24"/>
          </reference>
          <reference field="2" count="1" selected="0">
            <x v="53"/>
          </reference>
        </references>
      </pivotArea>
    </format>
    <format dxfId="2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2">
      <pivotArea type="all" dataOnly="0" outline="0" fieldPosition="0"/>
    </format>
    <format dxfId="241">
      <pivotArea type="all" dataOnly="0" outline="0" fieldPosition="0"/>
    </format>
    <format dxfId="240">
      <pivotArea type="all" dataOnly="0" outline="0" fieldPosition="0"/>
    </format>
    <format dxfId="239">
      <pivotArea dataOnly="0" labelOnly="1" outline="0" fieldPosition="0">
        <references count="1">
          <reference field="0" count="3">
            <x v="0"/>
            <x v="1"/>
            <x v="2"/>
          </reference>
        </references>
      </pivotArea>
    </format>
    <format dxfId="238">
      <pivotArea dataOnly="0" labelOnly="1" outline="0" fieldPosition="0">
        <references count="2">
          <reference field="0" count="1" selected="0">
            <x v="0"/>
          </reference>
          <reference field="2" count="1">
            <x v="0"/>
          </reference>
        </references>
      </pivotArea>
    </format>
    <format dxfId="237">
      <pivotArea dataOnly="0" labelOnly="1" outline="0" fieldPosition="0">
        <references count="2">
          <reference field="0" count="1" selected="0">
            <x v="1"/>
          </reference>
          <reference field="2" count="1">
            <x v="1"/>
          </reference>
        </references>
      </pivotArea>
    </format>
    <format dxfId="236">
      <pivotArea dataOnly="0" labelOnly="1" outline="0" fieldPosition="0">
        <references count="2">
          <reference field="0" count="1" selected="0">
            <x v="2"/>
          </reference>
          <reference field="2" count="1">
            <x v="2"/>
          </reference>
        </references>
      </pivotArea>
    </format>
    <format dxfId="235">
      <pivotArea dataOnly="0" labelOnly="1" outline="0" fieldPosition="0">
        <references count="3">
          <reference field="0" count="1" selected="0">
            <x v="1"/>
          </reference>
          <reference field="1" count="1">
            <x v="5"/>
          </reference>
          <reference field="2" count="1" selected="0">
            <x v="1"/>
          </reference>
        </references>
      </pivotArea>
    </format>
    <format dxfId="234">
      <pivotArea dataOnly="0" labelOnly="1" outline="0" fieldPosition="0">
        <references count="3">
          <reference field="0" count="1" selected="0">
            <x v="2"/>
          </reference>
          <reference field="1" count="1">
            <x v="6"/>
          </reference>
          <reference field="2" count="1" selected="0">
            <x v="2"/>
          </reference>
        </references>
      </pivotArea>
    </format>
    <format dxfId="2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1">
      <pivotArea dataOnly="0" labelOnly="1" outline="0" fieldPosition="0">
        <references count="1">
          <reference field="1" count="0"/>
        </references>
      </pivotArea>
    </format>
    <format dxfId="230">
      <pivotArea dataOnly="0" labelOnly="1" outline="0" fieldPosition="0">
        <references count="1">
          <reference field="0" count="3">
            <x v="66"/>
            <x v="67"/>
            <x v="68"/>
          </reference>
        </references>
      </pivotArea>
    </format>
    <format dxfId="229">
      <pivotArea dataOnly="0" labelOnly="1" outline="0" fieldPosition="0">
        <references count="1">
          <reference field="0" count="1">
            <x v="68"/>
          </reference>
        </references>
      </pivotArea>
    </format>
    <format dxfId="228">
      <pivotArea dataOnly="0" labelOnly="1" outline="0" fieldPosition="0">
        <references count="1">
          <reference field="0" count="1">
            <x v="68"/>
          </reference>
        </references>
      </pivotArea>
    </format>
    <format dxfId="227">
      <pivotArea dataOnly="0" labelOnly="1" outline="0" fieldPosition="0">
        <references count="1">
          <reference field="0" count="1">
            <x v="41"/>
          </reference>
        </references>
      </pivotArea>
    </format>
    <format dxfId="226">
      <pivotArea dataOnly="0" outline="0" fieldPosition="0">
        <references count="1">
          <reference field="0" count="10">
            <x v="55"/>
            <x v="56"/>
            <x v="57"/>
            <x v="58"/>
            <x v="59"/>
            <x v="60"/>
            <x v="61"/>
            <x v="62"/>
            <x v="63"/>
            <x v="64"/>
          </reference>
        </references>
      </pivotArea>
    </format>
    <format dxfId="225">
      <pivotArea dataOnly="0" outline="0" fieldPosition="0">
        <references count="1">
          <reference field="0" count="10">
            <x v="55"/>
            <x v="56"/>
            <x v="57"/>
            <x v="58"/>
            <x v="59"/>
            <x v="60"/>
            <x v="61"/>
            <x v="62"/>
            <x v="63"/>
            <x v="64"/>
          </reference>
        </references>
      </pivotArea>
    </format>
    <format dxfId="224">
      <pivotArea dataOnly="0" labelOnly="1" outline="0" fieldPosition="0">
        <references count="1">
          <reference field="0" count="1">
            <x v="65"/>
          </reference>
        </references>
      </pivotArea>
    </format>
    <format dxfId="223">
      <pivotArea dataOnly="0" labelOnly="1" outline="0" fieldPosition="0">
        <references count="1">
          <reference field="0" count="1">
            <x v="1"/>
          </reference>
        </references>
      </pivotArea>
    </format>
    <format dxfId="222">
      <pivotArea dataOnly="0" labelOnly="1" outline="0" fieldPosition="0">
        <references count="2">
          <reference field="0" count="1" selected="0">
            <x v="1"/>
          </reference>
          <reference field="2" count="1">
            <x v="1"/>
          </reference>
        </references>
      </pivotArea>
    </format>
    <format dxfId="221">
      <pivotArea dataOnly="0" labelOnly="1" outline="0" fieldPosition="0">
        <references count="3">
          <reference field="0" count="1" selected="0">
            <x v="1"/>
          </reference>
          <reference field="1" count="1">
            <x v="5"/>
          </reference>
          <reference field="2" count="1" selected="0">
            <x v="1"/>
          </reference>
        </references>
      </pivotArea>
    </format>
    <format dxfId="2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9">
      <pivotArea dataOnly="0" labelOnly="1" outline="0" fieldPosition="0">
        <references count="3">
          <reference field="0" count="1" selected="0">
            <x v="1"/>
          </reference>
          <reference field="1" count="1">
            <x v="5"/>
          </reference>
          <reference field="2" count="1" selected="0">
            <x v="1"/>
          </reference>
        </references>
      </pivotArea>
    </format>
    <format dxfId="218">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2">
        <i x="43" s="1"/>
        <i x="2" s="1"/>
        <i x="0" s="1"/>
        <i x="1" s="1"/>
        <i x="3" s="1"/>
        <i x="59" s="1"/>
        <i x="67" s="1"/>
        <i x="44"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48" s="1"/>
        <i x="57" s="1"/>
        <i x="7" s="1"/>
        <i x="63" s="1"/>
        <i x="28" s="1"/>
        <i x="29" s="1"/>
        <i x="54" s="1"/>
        <i x="12" s="1"/>
        <i x="56" s="1"/>
        <i x="13" s="1"/>
        <i x="14" s="1"/>
        <i x="15" s="1"/>
        <i x="16" s="1"/>
        <i x="17" s="1"/>
        <i x="32" s="1"/>
        <i x="33" s="1"/>
        <i x="64" s="1"/>
        <i x="21" s="1"/>
        <i x="65" s="1"/>
        <i x="41" s="1"/>
        <i x="34" s="1"/>
        <i x="35" s="1"/>
        <i x="22" s="1"/>
        <i x="69" s="1"/>
        <i x="71" s="1" nd="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21"/>
  <sheetViews>
    <sheetView topLeftCell="I1" zoomScaleNormal="100" workbookViewId="0">
      <selection activeCell="M10" sqref="M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2" s="36" customFormat="1" ht="30" customHeight="1" x14ac:dyDescent="0.25">
      <c r="A1" s="98" t="s">
        <v>0</v>
      </c>
      <c r="B1" s="98" t="s">
        <v>16</v>
      </c>
      <c r="C1" s="98" t="s">
        <v>145</v>
      </c>
      <c r="D1" s="98" t="s">
        <v>15</v>
      </c>
      <c r="E1" s="98" t="s">
        <v>17</v>
      </c>
      <c r="F1" s="98" t="s">
        <v>18</v>
      </c>
      <c r="G1" s="98" t="s">
        <v>146</v>
      </c>
      <c r="H1" s="108" t="s">
        <v>147</v>
      </c>
      <c r="I1" s="214" t="s">
        <v>277</v>
      </c>
      <c r="J1" s="214" t="s">
        <v>274</v>
      </c>
      <c r="K1" s="214" t="s">
        <v>275</v>
      </c>
      <c r="L1" s="214" t="s">
        <v>266</v>
      </c>
      <c r="M1" s="214" t="s">
        <v>268</v>
      </c>
      <c r="N1" s="214" t="s">
        <v>285</v>
      </c>
      <c r="O1" s="214" t="s">
        <v>286</v>
      </c>
      <c r="P1" s="215" t="s">
        <v>271</v>
      </c>
      <c r="Q1" s="215" t="s">
        <v>276</v>
      </c>
      <c r="R1" s="214" t="s">
        <v>272</v>
      </c>
      <c r="S1" s="214" t="s">
        <v>273</v>
      </c>
    </row>
    <row r="2" spans="1:22" s="36" customFormat="1" ht="30" customHeight="1" x14ac:dyDescent="0.25">
      <c r="A2" s="98"/>
      <c r="B2" s="98"/>
      <c r="C2" s="98"/>
      <c r="D2" s="98"/>
      <c r="E2" s="98"/>
      <c r="F2" s="98"/>
      <c r="G2" s="98"/>
      <c r="H2" s="108"/>
      <c r="I2" s="216"/>
      <c r="J2" s="217">
        <f>SUBTOTAL(9,J3:J14)</f>
        <v>39154</v>
      </c>
      <c r="K2" s="217">
        <f t="shared" ref="K2:S2" si="0">SUBTOTAL(9,K3:K14)</f>
        <v>85900</v>
      </c>
      <c r="L2" s="217">
        <f t="shared" si="0"/>
        <v>20800</v>
      </c>
      <c r="M2" s="217">
        <f t="shared" si="0"/>
        <v>2525</v>
      </c>
      <c r="N2" s="217">
        <f t="shared" si="0"/>
        <v>555</v>
      </c>
      <c r="O2" s="217">
        <f t="shared" si="0"/>
        <v>2152</v>
      </c>
      <c r="P2" s="217">
        <f t="shared" si="0"/>
        <v>7168</v>
      </c>
      <c r="Q2" s="217">
        <f t="shared" si="0"/>
        <v>700</v>
      </c>
      <c r="R2" s="217">
        <f t="shared" si="0"/>
        <v>12000</v>
      </c>
      <c r="S2" s="217">
        <f t="shared" si="0"/>
        <v>40000</v>
      </c>
    </row>
    <row r="3" spans="1:22" s="97" customFormat="1" ht="20.100000000000001" customHeight="1" x14ac:dyDescent="0.2">
      <c r="A3" s="103"/>
      <c r="B3" s="99"/>
      <c r="C3" s="106">
        <v>8.6000000000000014</v>
      </c>
      <c r="D3" s="106">
        <v>36</v>
      </c>
      <c r="E3" s="106"/>
      <c r="F3" s="100">
        <v>1509.4</v>
      </c>
      <c r="G3" s="100">
        <v>0</v>
      </c>
      <c r="H3" s="100">
        <v>1509.4</v>
      </c>
      <c r="I3" s="107" t="s">
        <v>241</v>
      </c>
      <c r="J3" s="212" t="s">
        <v>287</v>
      </c>
      <c r="K3" s="213">
        <f>SUM(L3:S3)</f>
        <v>5695.3333333333339</v>
      </c>
      <c r="L3" s="26" t="s">
        <v>267</v>
      </c>
      <c r="M3" s="26">
        <v>0</v>
      </c>
      <c r="N3" s="26">
        <v>0</v>
      </c>
      <c r="O3" s="26">
        <v>0</v>
      </c>
      <c r="P3" s="26">
        <v>1162</v>
      </c>
      <c r="Q3" s="26">
        <v>200</v>
      </c>
      <c r="R3" s="26">
        <v>1000</v>
      </c>
      <c r="S3" s="26">
        <f>40/12*1000</f>
        <v>3333.3333333333335</v>
      </c>
    </row>
    <row r="4" spans="1:22" ht="20.100000000000001" customHeight="1" x14ac:dyDescent="0.25">
      <c r="A4" s="104">
        <v>1</v>
      </c>
      <c r="B4" s="101" t="s">
        <v>48</v>
      </c>
      <c r="C4" s="102">
        <v>0.5</v>
      </c>
      <c r="D4" s="102">
        <v>2</v>
      </c>
      <c r="E4" s="102">
        <v>45</v>
      </c>
      <c r="F4" s="107">
        <v>90</v>
      </c>
      <c r="G4" s="26">
        <v>0</v>
      </c>
      <c r="H4" s="107">
        <v>90</v>
      </c>
      <c r="I4" s="107" t="s">
        <v>242</v>
      </c>
      <c r="J4" s="212" t="s">
        <v>287</v>
      </c>
      <c r="K4" s="213">
        <f t="shared" ref="K4:K14" si="1">SUM(L4:S4)</f>
        <v>8337.3333333333339</v>
      </c>
      <c r="L4" s="26">
        <v>2000</v>
      </c>
      <c r="M4" s="26">
        <v>300</v>
      </c>
      <c r="N4" s="26">
        <v>0</v>
      </c>
      <c r="O4" s="26">
        <v>0</v>
      </c>
      <c r="P4" s="26">
        <v>1204</v>
      </c>
      <c r="Q4" s="26">
        <v>500</v>
      </c>
      <c r="R4" s="26">
        <v>1000</v>
      </c>
      <c r="S4" s="26">
        <f>40/12*1000</f>
        <v>3333.3333333333335</v>
      </c>
    </row>
    <row r="5" spans="1:22" ht="20.100000000000001" customHeight="1" x14ac:dyDescent="0.25">
      <c r="A5" s="104">
        <v>2</v>
      </c>
      <c r="B5" s="101" t="s">
        <v>47</v>
      </c>
      <c r="C5" s="102">
        <v>0.5</v>
      </c>
      <c r="D5" s="102">
        <v>2</v>
      </c>
      <c r="E5" s="102">
        <v>54</v>
      </c>
      <c r="F5" s="107">
        <v>108</v>
      </c>
      <c r="G5" s="26">
        <v>0</v>
      </c>
      <c r="H5" s="107">
        <v>108</v>
      </c>
      <c r="I5" s="107" t="s">
        <v>243</v>
      </c>
      <c r="J5" s="212" t="s">
        <v>287</v>
      </c>
      <c r="K5" s="213">
        <f t="shared" si="1"/>
        <v>8224.3333333333339</v>
      </c>
      <c r="L5" s="26">
        <v>1800</v>
      </c>
      <c r="M5" s="26">
        <f>85+100+100+90</f>
        <v>375</v>
      </c>
      <c r="N5" s="26">
        <v>0</v>
      </c>
      <c r="O5" s="26">
        <f>52+200+190+70+70+70</f>
        <v>652</v>
      </c>
      <c r="P5" s="26">
        <v>1064</v>
      </c>
      <c r="Q5" s="26">
        <v>0</v>
      </c>
      <c r="R5" s="26">
        <v>1000</v>
      </c>
      <c r="S5" s="26">
        <f t="shared" ref="S5:S14" si="2">40/12*1000</f>
        <v>3333.3333333333335</v>
      </c>
    </row>
    <row r="6" spans="1:22" ht="20.100000000000001" customHeight="1" x14ac:dyDescent="0.25">
      <c r="A6" s="104">
        <v>3</v>
      </c>
      <c r="B6" s="101" t="s">
        <v>32</v>
      </c>
      <c r="C6" s="102">
        <v>0.5</v>
      </c>
      <c r="D6" s="102">
        <v>2</v>
      </c>
      <c r="E6" s="102">
        <v>55.5</v>
      </c>
      <c r="F6" s="107">
        <v>111</v>
      </c>
      <c r="G6" s="26">
        <v>0</v>
      </c>
      <c r="H6" s="107">
        <v>111</v>
      </c>
      <c r="I6" s="107" t="s">
        <v>244</v>
      </c>
      <c r="J6" s="212">
        <f>4500+7200+2300+550+180+50+6</f>
        <v>14786</v>
      </c>
      <c r="K6" s="213">
        <f t="shared" si="1"/>
        <v>8312.3333333333339</v>
      </c>
      <c r="L6" s="26">
        <v>2000</v>
      </c>
      <c r="M6" s="26">
        <f>90+80+90+95+90</f>
        <v>445</v>
      </c>
      <c r="N6" s="26">
        <f>44+90+44+37</f>
        <v>215</v>
      </c>
      <c r="O6" s="26">
        <v>0</v>
      </c>
      <c r="P6" s="26">
        <v>1319</v>
      </c>
      <c r="Q6" s="26">
        <v>0</v>
      </c>
      <c r="R6" s="26">
        <v>1000</v>
      </c>
      <c r="S6" s="26">
        <f t="shared" si="2"/>
        <v>3333.3333333333335</v>
      </c>
    </row>
    <row r="7" spans="1:22" ht="20.100000000000001" customHeight="1" x14ac:dyDescent="0.25">
      <c r="A7" s="104">
        <v>4</v>
      </c>
      <c r="B7" s="101" t="s">
        <v>33</v>
      </c>
      <c r="C7" s="102">
        <v>0.5</v>
      </c>
      <c r="D7" s="102">
        <v>2</v>
      </c>
      <c r="E7" s="102">
        <v>55.5</v>
      </c>
      <c r="F7" s="107">
        <v>111</v>
      </c>
      <c r="G7" s="26">
        <v>0</v>
      </c>
      <c r="H7" s="107">
        <v>111</v>
      </c>
      <c r="I7" s="107" t="s">
        <v>245</v>
      </c>
      <c r="J7" s="212">
        <v>14000</v>
      </c>
      <c r="K7" s="213">
        <f t="shared" si="1"/>
        <v>8900.3333333333339</v>
      </c>
      <c r="L7" s="26">
        <v>2000</v>
      </c>
      <c r="M7" s="26">
        <f>200+100+105+100+100</f>
        <v>605</v>
      </c>
      <c r="N7" s="26">
        <f>88+45</f>
        <v>133</v>
      </c>
      <c r="O7" s="26">
        <v>800</v>
      </c>
      <c r="P7" s="26">
        <v>1029</v>
      </c>
      <c r="Q7" s="26">
        <v>0</v>
      </c>
      <c r="R7" s="26">
        <v>1000</v>
      </c>
      <c r="S7" s="26">
        <f t="shared" si="2"/>
        <v>3333.3333333333335</v>
      </c>
    </row>
    <row r="8" spans="1:22" ht="20.100000000000001" customHeight="1" x14ac:dyDescent="0.25">
      <c r="A8" s="104">
        <v>5</v>
      </c>
      <c r="B8" s="101" t="s">
        <v>46</v>
      </c>
      <c r="C8" s="102">
        <v>1</v>
      </c>
      <c r="D8" s="102">
        <v>2</v>
      </c>
      <c r="E8" s="102">
        <v>102</v>
      </c>
      <c r="F8" s="107">
        <v>204</v>
      </c>
      <c r="G8" s="26">
        <v>0</v>
      </c>
      <c r="H8" s="107">
        <v>204</v>
      </c>
      <c r="I8" s="107" t="s">
        <v>246</v>
      </c>
      <c r="J8" s="212">
        <v>10368</v>
      </c>
      <c r="K8" s="213">
        <f t="shared" si="1"/>
        <v>7290.3333333333339</v>
      </c>
      <c r="L8" s="230">
        <v>1000</v>
      </c>
      <c r="M8" s="26">
        <f>100+100+100+100+100</f>
        <v>500</v>
      </c>
      <c r="N8" s="26">
        <f>119+88</f>
        <v>207</v>
      </c>
      <c r="O8" s="26">
        <v>700</v>
      </c>
      <c r="P8" s="26">
        <v>550</v>
      </c>
      <c r="Q8" s="26">
        <v>0</v>
      </c>
      <c r="R8" s="26">
        <v>1000</v>
      </c>
      <c r="S8" s="26">
        <f t="shared" si="2"/>
        <v>3333.3333333333335</v>
      </c>
      <c r="T8" s="14">
        <f>-3333*5</f>
        <v>-16665</v>
      </c>
    </row>
    <row r="9" spans="1:22" ht="20.100000000000001" customHeight="1" x14ac:dyDescent="0.25">
      <c r="A9" s="104">
        <v>6</v>
      </c>
      <c r="B9" s="101" t="s">
        <v>34</v>
      </c>
      <c r="C9" s="102">
        <v>0.5</v>
      </c>
      <c r="D9" s="102">
        <v>2</v>
      </c>
      <c r="E9" s="102">
        <v>26.5</v>
      </c>
      <c r="F9" s="107">
        <v>53</v>
      </c>
      <c r="G9" s="26">
        <v>0</v>
      </c>
      <c r="H9" s="107">
        <v>53</v>
      </c>
      <c r="I9" s="107" t="s">
        <v>247</v>
      </c>
      <c r="J9" s="212"/>
      <c r="K9" s="213">
        <f t="shared" si="1"/>
        <v>7473.3333333333339</v>
      </c>
      <c r="L9" s="26">
        <v>2000</v>
      </c>
      <c r="M9" s="26">
        <f>100+100+100</f>
        <v>300</v>
      </c>
      <c r="N9" s="26">
        <v>0</v>
      </c>
      <c r="O9" s="26">
        <v>0</v>
      </c>
      <c r="P9" s="26">
        <v>840</v>
      </c>
      <c r="Q9" s="26">
        <v>0</v>
      </c>
      <c r="R9" s="26">
        <v>1000</v>
      </c>
      <c r="S9" s="26">
        <f t="shared" si="2"/>
        <v>3333.3333333333335</v>
      </c>
      <c r="T9" s="231">
        <v>4998</v>
      </c>
      <c r="V9" s="236"/>
    </row>
    <row r="10" spans="1:22" ht="20.100000000000001" customHeight="1" x14ac:dyDescent="0.25">
      <c r="A10" s="104">
        <v>7</v>
      </c>
      <c r="B10" s="101" t="s">
        <v>35</v>
      </c>
      <c r="C10" s="102">
        <v>0.2</v>
      </c>
      <c r="D10" s="102">
        <v>2</v>
      </c>
      <c r="E10" s="102">
        <v>11.2</v>
      </c>
      <c r="F10" s="107">
        <v>22.4</v>
      </c>
      <c r="G10" s="26">
        <v>0</v>
      </c>
      <c r="H10" s="107">
        <v>22.4</v>
      </c>
      <c r="I10" s="107" t="s">
        <v>248</v>
      </c>
      <c r="J10" s="212"/>
      <c r="K10" s="213">
        <f t="shared" si="1"/>
        <v>6333.3333333333339</v>
      </c>
      <c r="L10" s="26">
        <v>2000</v>
      </c>
      <c r="M10" s="26">
        <v>0</v>
      </c>
      <c r="N10" s="26">
        <v>0</v>
      </c>
      <c r="O10" s="26">
        <v>0</v>
      </c>
      <c r="P10" s="26">
        <v>0</v>
      </c>
      <c r="Q10" s="26">
        <v>0</v>
      </c>
      <c r="R10" s="26">
        <v>1000</v>
      </c>
      <c r="S10" s="26">
        <f t="shared" si="2"/>
        <v>3333.3333333333335</v>
      </c>
    </row>
    <row r="11" spans="1:22" ht="20.100000000000001" customHeight="1" x14ac:dyDescent="0.25">
      <c r="A11" s="104">
        <v>8</v>
      </c>
      <c r="B11" s="101" t="s">
        <v>36</v>
      </c>
      <c r="C11" s="102">
        <v>0.5</v>
      </c>
      <c r="D11" s="102">
        <v>2</v>
      </c>
      <c r="E11" s="102">
        <v>28.5</v>
      </c>
      <c r="F11" s="107">
        <v>57</v>
      </c>
      <c r="G11" s="26">
        <v>0</v>
      </c>
      <c r="H11" s="107">
        <v>57</v>
      </c>
      <c r="I11" s="107" t="s">
        <v>249</v>
      </c>
      <c r="J11" s="212"/>
      <c r="K11" s="213">
        <f t="shared" si="1"/>
        <v>6333.3333333333339</v>
      </c>
      <c r="L11" s="26">
        <v>2000</v>
      </c>
      <c r="M11" s="26">
        <v>0</v>
      </c>
      <c r="N11" s="26">
        <v>0</v>
      </c>
      <c r="O11" s="26">
        <v>0</v>
      </c>
      <c r="P11" s="26">
        <v>0</v>
      </c>
      <c r="Q11" s="26">
        <v>0</v>
      </c>
      <c r="R11" s="26">
        <v>1000</v>
      </c>
      <c r="S11" s="26">
        <f t="shared" si="2"/>
        <v>3333.3333333333335</v>
      </c>
    </row>
    <row r="12" spans="1:22" ht="20.100000000000001" customHeight="1" x14ac:dyDescent="0.25">
      <c r="A12" s="104">
        <v>9</v>
      </c>
      <c r="B12" s="101" t="s">
        <v>37</v>
      </c>
      <c r="C12" s="102">
        <v>0.2</v>
      </c>
      <c r="D12" s="102">
        <v>2</v>
      </c>
      <c r="E12" s="102">
        <v>12</v>
      </c>
      <c r="F12" s="107">
        <v>24</v>
      </c>
      <c r="G12" s="26">
        <v>0</v>
      </c>
      <c r="H12" s="107">
        <v>24</v>
      </c>
      <c r="I12" s="107" t="s">
        <v>250</v>
      </c>
      <c r="J12" s="212"/>
      <c r="K12" s="213">
        <f t="shared" si="1"/>
        <v>6333.3333333333339</v>
      </c>
      <c r="L12" s="26">
        <v>2000</v>
      </c>
      <c r="M12" s="26">
        <v>0</v>
      </c>
      <c r="N12" s="26">
        <v>0</v>
      </c>
      <c r="O12" s="26">
        <v>0</v>
      </c>
      <c r="P12" s="26">
        <v>0</v>
      </c>
      <c r="Q12" s="26">
        <v>0</v>
      </c>
      <c r="R12" s="26">
        <v>1000</v>
      </c>
      <c r="S12" s="26">
        <f t="shared" si="2"/>
        <v>3333.3333333333335</v>
      </c>
    </row>
    <row r="13" spans="1:22" ht="20.100000000000001" customHeight="1" x14ac:dyDescent="0.25">
      <c r="A13" s="104">
        <v>10</v>
      </c>
      <c r="B13" s="101" t="s">
        <v>38</v>
      </c>
      <c r="C13" s="102">
        <v>0.5</v>
      </c>
      <c r="D13" s="102">
        <v>2</v>
      </c>
      <c r="E13" s="102">
        <v>28.5</v>
      </c>
      <c r="F13" s="107">
        <v>57</v>
      </c>
      <c r="G13" s="26">
        <v>0</v>
      </c>
      <c r="H13" s="107">
        <v>57</v>
      </c>
      <c r="I13" s="107" t="s">
        <v>251</v>
      </c>
      <c r="J13" s="212"/>
      <c r="K13" s="213">
        <f t="shared" si="1"/>
        <v>6333.3333333333339</v>
      </c>
      <c r="L13" s="26">
        <v>2000</v>
      </c>
      <c r="M13" s="26">
        <v>0</v>
      </c>
      <c r="N13" s="26">
        <v>0</v>
      </c>
      <c r="O13" s="26">
        <v>0</v>
      </c>
      <c r="P13" s="26">
        <v>0</v>
      </c>
      <c r="Q13" s="26">
        <v>0</v>
      </c>
      <c r="R13" s="26">
        <v>1000</v>
      </c>
      <c r="S13" s="26">
        <f t="shared" si="2"/>
        <v>3333.3333333333335</v>
      </c>
    </row>
    <row r="14" spans="1:22" ht="20.100000000000001" customHeight="1" x14ac:dyDescent="0.25">
      <c r="A14" s="104">
        <v>11</v>
      </c>
      <c r="B14" s="101" t="s">
        <v>39</v>
      </c>
      <c r="C14" s="102">
        <v>0.2</v>
      </c>
      <c r="D14" s="102">
        <v>2</v>
      </c>
      <c r="E14" s="102">
        <v>12</v>
      </c>
      <c r="F14" s="107">
        <v>24</v>
      </c>
      <c r="G14" s="26">
        <v>0</v>
      </c>
      <c r="H14" s="107">
        <v>24</v>
      </c>
      <c r="I14" s="107" t="s">
        <v>252</v>
      </c>
      <c r="J14" s="212"/>
      <c r="K14" s="213">
        <f t="shared" si="1"/>
        <v>6333.3333333333339</v>
      </c>
      <c r="L14" s="26">
        <v>2000</v>
      </c>
      <c r="M14" s="26">
        <v>0</v>
      </c>
      <c r="N14" s="26">
        <v>0</v>
      </c>
      <c r="O14" s="26">
        <v>0</v>
      </c>
      <c r="P14" s="26">
        <v>0</v>
      </c>
      <c r="Q14" s="26">
        <v>0</v>
      </c>
      <c r="R14" s="26">
        <v>1000</v>
      </c>
      <c r="S14" s="26">
        <f t="shared" si="2"/>
        <v>3333.3333333333335</v>
      </c>
    </row>
    <row r="15" spans="1:22" x14ac:dyDescent="0.25">
      <c r="A15" s="104">
        <v>12</v>
      </c>
      <c r="B15" s="101" t="s">
        <v>55</v>
      </c>
      <c r="C15" s="102">
        <v>0.5</v>
      </c>
      <c r="D15" s="102">
        <v>2</v>
      </c>
      <c r="E15" s="102">
        <v>26.5</v>
      </c>
      <c r="F15" s="107">
        <v>53</v>
      </c>
      <c r="G15" s="26">
        <v>0</v>
      </c>
      <c r="H15" s="107">
        <v>53</v>
      </c>
      <c r="L15" s="105"/>
      <c r="M15" s="36"/>
      <c r="N15" s="36"/>
      <c r="O15" s="36"/>
    </row>
    <row r="16" spans="1:22"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F5" sqref="AF5:AF9"/>
    </sheetView>
  </sheetViews>
  <sheetFormatPr defaultColWidth="9.140625" defaultRowHeight="15" x14ac:dyDescent="0.25"/>
  <cols>
    <col min="1" max="1" width="16.28515625" style="59" customWidth="1"/>
    <col min="2" max="2" width="9.140625" style="59"/>
    <col min="3" max="3" width="38.7109375" style="59" customWidth="1"/>
    <col min="4" max="4" width="9" style="59" customWidth="1"/>
    <col min="5" max="5" width="9.140625" style="59" customWidth="1"/>
    <col min="6"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137"/>
    </row>
    <row r="2" spans="1:50" ht="34.5" customHeight="1" x14ac:dyDescent="0.25">
      <c r="A2" s="1">
        <f>221+120+60+130-(165+219)+60+110+80+130-140+120+150+130+60+130+70+60+130+60+120+120+120+50+80+50+30+70+50+100+80+70</f>
        <v>2237</v>
      </c>
      <c r="B2" s="158">
        <f>60+70+100</f>
        <v>230</v>
      </c>
      <c r="H2" s="160">
        <f>H9</f>
        <v>17550</v>
      </c>
      <c r="K2" s="13">
        <f>SUMPRODUCT((E5:E8)*(F5:F8))</f>
        <v>826.75</v>
      </c>
      <c r="L2" s="13">
        <f>M4-K4</f>
        <v>10484.935143547322</v>
      </c>
      <c r="M2" s="8">
        <f>M4/K4-1</f>
        <v>0.14601181156529219</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291</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SUBTOTAL(9,A5:A12)</f>
        <v>4938.8888888888878</v>
      </c>
      <c r="B4" s="16"/>
      <c r="C4" s="16"/>
      <c r="D4" s="47"/>
      <c r="E4" s="16">
        <f>SUMPRODUCT((E5:E12)*(F5:F12))</f>
        <v>1171.75</v>
      </c>
      <c r="F4" s="16">
        <f>SUBTOTAL(9,F5:F12)</f>
        <v>1261.75</v>
      </c>
      <c r="G4" s="7"/>
      <c r="H4" s="7">
        <f>SUBTOTAL(9,H5:H8)+H11+H12</f>
        <v>51965.75</v>
      </c>
      <c r="I4" s="12"/>
      <c r="J4" s="12"/>
      <c r="K4" s="12">
        <f>SUBTOTAL(9,K5:K12)</f>
        <v>71808.814856452678</v>
      </c>
      <c r="L4" s="48"/>
      <c r="M4" s="7">
        <f>SUBTOTAL(9,M5:M12)</f>
        <v>82293.75</v>
      </c>
      <c r="N4" s="7">
        <f ca="1">SUBTOTAL(9,N5:N12)</f>
        <v>73624</v>
      </c>
      <c r="O4" s="49">
        <f ca="1">SUBTOTAL(9,O5:O9)</f>
        <v>49.999999999999993</v>
      </c>
      <c r="P4" s="75">
        <f>SUBTOTAL(9,P5:P9)</f>
        <v>62.440000000000005</v>
      </c>
      <c r="Q4" s="75"/>
      <c r="R4" s="25">
        <f>SUBTOTAL(9,R5:R10)</f>
        <v>0</v>
      </c>
      <c r="S4" s="25">
        <f t="shared" ref="S4:AV4" si="0">SUBTOTAL(9,S5:S10)</f>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ca="1" si="0"/>
        <v>0.5</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SUBTOTAL(9,AX5:AX9)</f>
        <v>0</v>
      </c>
    </row>
    <row r="5" spans="1:50" ht="35.25" customHeight="1" x14ac:dyDescent="0.25">
      <c r="A5" s="59">
        <f ca="1">J5*O5</f>
        <v>0</v>
      </c>
      <c r="B5" s="6">
        <v>1</v>
      </c>
      <c r="C5" s="61" t="s">
        <v>282</v>
      </c>
      <c r="D5" s="69">
        <v>31.5</v>
      </c>
      <c r="E5" s="62">
        <v>1</v>
      </c>
      <c r="F5" s="62">
        <f>48+60</f>
        <v>108</v>
      </c>
      <c r="G5" s="63">
        <v>31.5</v>
      </c>
      <c r="H5" s="142">
        <f t="shared" ref="H5:H7" si="1">G5*F5</f>
        <v>3402</v>
      </c>
      <c r="I5" s="143">
        <f>((H5/$H$4)*$A$2)/F5</f>
        <v>1.3559989031236921</v>
      </c>
      <c r="J5" s="222">
        <f t="shared" ref="J5:J8" si="2">G5+I5</f>
        <v>32.855998903123691</v>
      </c>
      <c r="K5" s="66">
        <f>J5*F5</f>
        <v>3548.4478815373586</v>
      </c>
      <c r="L5" s="70">
        <v>50</v>
      </c>
      <c r="M5" s="64">
        <f>L5*F5</f>
        <v>5400</v>
      </c>
      <c r="N5" s="64">
        <f ca="1">SUMPRODUCT(($Q5:$AV5)*$L5)</f>
        <v>4385</v>
      </c>
      <c r="O5" s="167">
        <f ca="1">F5-SUM(Q5:AV5)-P5</f>
        <v>0</v>
      </c>
      <c r="P5" s="169">
        <v>20.3</v>
      </c>
      <c r="Q5" s="226">
        <v>87.7</v>
      </c>
      <c r="R5" s="168">
        <v>0</v>
      </c>
      <c r="S5" s="168">
        <v>0</v>
      </c>
      <c r="T5" s="168">
        <v>0</v>
      </c>
      <c r="U5" s="168">
        <v>0</v>
      </c>
      <c r="V5" s="168">
        <v>0</v>
      </c>
      <c r="W5" s="168">
        <v>0</v>
      </c>
      <c r="X5" s="168">
        <v>0</v>
      </c>
      <c r="Y5" s="168">
        <v>0</v>
      </c>
      <c r="Z5" s="168">
        <v>0</v>
      </c>
      <c r="AA5" s="168">
        <v>0</v>
      </c>
      <c r="AB5" s="168">
        <v>0</v>
      </c>
      <c r="AC5" s="168">
        <v>0</v>
      </c>
      <c r="AD5" s="168">
        <v>0</v>
      </c>
      <c r="AE5" s="168">
        <v>0</v>
      </c>
      <c r="AF5" s="168">
        <v>0</v>
      </c>
      <c r="AG5" s="168">
        <f ca="1">SUMIFS('Tổng Đơn'!$F:$F,'Tổng Đơn'!$B:$B,$C5)</f>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9" ca="1" si="3">J6*O6</f>
        <v>-5.9955180807333057E-13</v>
      </c>
      <c r="B6" s="6">
        <v>2</v>
      </c>
      <c r="C6" s="61" t="s">
        <v>281</v>
      </c>
      <c r="D6" s="69">
        <v>57</v>
      </c>
      <c r="E6" s="62">
        <v>1</v>
      </c>
      <c r="F6" s="62">
        <f>120+15</f>
        <v>135</v>
      </c>
      <c r="G6" s="63">
        <v>57</v>
      </c>
      <c r="H6" s="142">
        <f t="shared" si="1"/>
        <v>7695</v>
      </c>
      <c r="I6" s="143">
        <f>((H6/$H$4)*$A$2)/(F6+F12)</f>
        <v>1.6987239006164931</v>
      </c>
      <c r="J6" s="222">
        <f t="shared" ref="J6" si="4">G6+I6</f>
        <v>58.698723900616493</v>
      </c>
      <c r="K6" s="66">
        <f>J6*F6</f>
        <v>7924.3277265832266</v>
      </c>
      <c r="L6" s="70">
        <v>60</v>
      </c>
      <c r="M6" s="64">
        <f>L6*F6</f>
        <v>8100</v>
      </c>
      <c r="N6" s="64">
        <f ca="1">SUMPRODUCT(($Q6:$AV6)*$L6)</f>
        <v>7936.2000000000007</v>
      </c>
      <c r="O6" s="167">
        <f ca="1">F6-SUM(Q6:AV6)-P6</f>
        <v>-1.021405182655144E-14</v>
      </c>
      <c r="P6" s="169">
        <v>2.73</v>
      </c>
      <c r="Q6" s="226">
        <v>132.27000000000001</v>
      </c>
      <c r="R6" s="168">
        <v>0</v>
      </c>
      <c r="S6" s="168">
        <v>0</v>
      </c>
      <c r="T6" s="168">
        <v>0</v>
      </c>
      <c r="U6" s="168">
        <v>0</v>
      </c>
      <c r="V6" s="168">
        <v>0</v>
      </c>
      <c r="W6" s="168">
        <v>0</v>
      </c>
      <c r="X6" s="168">
        <v>0</v>
      </c>
      <c r="Y6" s="168">
        <v>0</v>
      </c>
      <c r="Z6" s="168">
        <v>0</v>
      </c>
      <c r="AA6" s="168">
        <v>0</v>
      </c>
      <c r="AB6" s="168">
        <v>0</v>
      </c>
      <c r="AC6" s="168">
        <v>0</v>
      </c>
      <c r="AD6" s="168">
        <v>0</v>
      </c>
      <c r="AE6" s="168">
        <v>0</v>
      </c>
      <c r="AF6" s="168">
        <v>0</v>
      </c>
      <c r="AG6" s="168">
        <f ca="1">SUMIFS('Tổng Đơn'!$F:$F,'Tổng Đơn'!$B:$B,$C6)</f>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0</v>
      </c>
      <c r="B7" s="6">
        <v>3</v>
      </c>
      <c r="C7" s="61" t="s">
        <v>192</v>
      </c>
      <c r="D7" s="69">
        <v>53</v>
      </c>
      <c r="E7" s="62">
        <v>1</v>
      </c>
      <c r="F7" s="62">
        <f>25+30+20+50+40+40+50</f>
        <v>255</v>
      </c>
      <c r="G7" s="63">
        <v>53</v>
      </c>
      <c r="H7" s="142">
        <f t="shared" si="1"/>
        <v>13515</v>
      </c>
      <c r="I7" s="143">
        <f>((H7/$H$4)*$A$2)/(F7+F11)</f>
        <v>1.2928624462586735</v>
      </c>
      <c r="J7" s="222">
        <f t="shared" si="2"/>
        <v>54.292862446258674</v>
      </c>
      <c r="K7" s="66">
        <f t="shared" ref="K7:K8" si="5">J7*F7</f>
        <v>13844.679923795962</v>
      </c>
      <c r="L7" s="70">
        <v>70</v>
      </c>
      <c r="M7" s="64">
        <f t="shared" ref="M7:M8" si="6">L7*F7</f>
        <v>17850</v>
      </c>
      <c r="N7" s="64">
        <f ca="1">SUMPRODUCT(($Q7:$AV7)*$L7)</f>
        <v>16732.8</v>
      </c>
      <c r="O7" s="167">
        <f ca="1">F7-SUM(Q7:AV7)-P7</f>
        <v>0</v>
      </c>
      <c r="P7" s="169">
        <f>9.05+6.91</f>
        <v>15.96</v>
      </c>
      <c r="Q7" s="226">
        <v>239.04</v>
      </c>
      <c r="R7" s="168">
        <v>0</v>
      </c>
      <c r="S7" s="168">
        <v>0</v>
      </c>
      <c r="T7" s="168">
        <v>0</v>
      </c>
      <c r="U7" s="168">
        <v>0</v>
      </c>
      <c r="V7" s="168">
        <v>0</v>
      </c>
      <c r="W7" s="168">
        <v>0</v>
      </c>
      <c r="X7" s="168">
        <v>0</v>
      </c>
      <c r="Y7" s="168">
        <v>0</v>
      </c>
      <c r="Z7" s="168">
        <v>0</v>
      </c>
      <c r="AA7" s="168">
        <v>0</v>
      </c>
      <c r="AB7" s="168">
        <v>0</v>
      </c>
      <c r="AC7" s="168">
        <v>0</v>
      </c>
      <c r="AD7" s="168">
        <v>0</v>
      </c>
      <c r="AE7" s="168">
        <v>0</v>
      </c>
      <c r="AF7" s="168">
        <v>0</v>
      </c>
      <c r="AG7" s="168">
        <f ca="1">SUMIFS('Tổng Đơn'!$F:$F,'Tổng Đơn'!$B:$B,$C7)</f>
        <v>0</v>
      </c>
      <c r="AH7" s="168">
        <v>0</v>
      </c>
      <c r="AI7" s="168">
        <v>0</v>
      </c>
      <c r="AJ7" s="168">
        <v>0</v>
      </c>
      <c r="AK7" s="168">
        <v>0</v>
      </c>
      <c r="AL7" s="168">
        <v>0</v>
      </c>
      <c r="AM7" s="168">
        <v>0</v>
      </c>
      <c r="AN7" s="168">
        <v>0</v>
      </c>
      <c r="AO7" s="168">
        <v>0</v>
      </c>
      <c r="AP7" s="168">
        <v>0</v>
      </c>
      <c r="AQ7" s="168">
        <v>0</v>
      </c>
      <c r="AR7" s="168">
        <v>0</v>
      </c>
      <c r="AS7" s="168">
        <v>0</v>
      </c>
      <c r="AT7" s="168">
        <v>0</v>
      </c>
      <c r="AU7" s="168">
        <v>0</v>
      </c>
      <c r="AV7" s="168">
        <v>0</v>
      </c>
      <c r="AX7" s="59">
        <f>AW7*G7</f>
        <v>0</v>
      </c>
    </row>
    <row r="8" spans="1:50" ht="35.25" customHeight="1" x14ac:dyDescent="0.25">
      <c r="A8" s="59">
        <f t="shared" ca="1" si="3"/>
        <v>0</v>
      </c>
      <c r="B8" s="6">
        <v>4</v>
      </c>
      <c r="C8" s="61" t="s">
        <v>193</v>
      </c>
      <c r="D8" s="69">
        <v>41</v>
      </c>
      <c r="E8" s="62">
        <v>1</v>
      </c>
      <c r="F8" s="62">
        <f>28.75+30+30+30+30+30+30+30+45+45</f>
        <v>328.75</v>
      </c>
      <c r="G8" s="63">
        <v>41</v>
      </c>
      <c r="H8" s="142">
        <f>G8*F8</f>
        <v>13478.75</v>
      </c>
      <c r="I8" s="143">
        <f t="shared" ref="I8" si="7">((H8/$H$4)*$A$2)/F8</f>
        <v>1.7649509532721073</v>
      </c>
      <c r="J8" s="222">
        <f t="shared" si="2"/>
        <v>42.764950953272105</v>
      </c>
      <c r="K8" s="66">
        <f t="shared" si="5"/>
        <v>14058.977625888205</v>
      </c>
      <c r="L8" s="70">
        <v>45</v>
      </c>
      <c r="M8" s="64">
        <f t="shared" si="6"/>
        <v>14793.75</v>
      </c>
      <c r="N8" s="64">
        <f ca="1">SUMPRODUCT(($Q8:$AV8)*$L8)</f>
        <v>13783.5</v>
      </c>
      <c r="O8" s="167">
        <f ca="1">F8-SUM(Q8:AV8)-P8</f>
        <v>0</v>
      </c>
      <c r="P8" s="169">
        <f>9.35+1.55+0.05+5+2.7+3.8</f>
        <v>22.450000000000003</v>
      </c>
      <c r="Q8" s="226">
        <v>306.3</v>
      </c>
      <c r="R8" s="168">
        <v>0</v>
      </c>
      <c r="S8" s="168">
        <v>0</v>
      </c>
      <c r="T8" s="168">
        <v>0</v>
      </c>
      <c r="U8" s="168">
        <v>0</v>
      </c>
      <c r="V8" s="168">
        <v>0</v>
      </c>
      <c r="W8" s="168">
        <v>0</v>
      </c>
      <c r="X8" s="168">
        <v>0</v>
      </c>
      <c r="Y8" s="168">
        <v>0</v>
      </c>
      <c r="Z8" s="168">
        <v>0</v>
      </c>
      <c r="AA8" s="168">
        <v>0</v>
      </c>
      <c r="AB8" s="168">
        <v>0</v>
      </c>
      <c r="AC8" s="168">
        <v>0</v>
      </c>
      <c r="AD8" s="168">
        <v>0</v>
      </c>
      <c r="AE8" s="168">
        <v>0</v>
      </c>
      <c r="AF8" s="168">
        <v>0</v>
      </c>
      <c r="AG8" s="168">
        <f ca="1">SUMIFS('Tổng Đơn'!$F:$F,'Tổng Đơn'!$B:$B,$C8)</f>
        <v>0</v>
      </c>
      <c r="AH8" s="168">
        <v>0</v>
      </c>
      <c r="AI8" s="168">
        <v>0</v>
      </c>
      <c r="AJ8" s="168">
        <v>0</v>
      </c>
      <c r="AK8" s="168">
        <v>0</v>
      </c>
      <c r="AL8" s="168">
        <v>0</v>
      </c>
      <c r="AM8" s="168">
        <v>0</v>
      </c>
      <c r="AN8" s="168">
        <v>0</v>
      </c>
      <c r="AO8" s="168">
        <v>0</v>
      </c>
      <c r="AP8" s="168">
        <v>0</v>
      </c>
      <c r="AQ8" s="168">
        <v>0</v>
      </c>
      <c r="AR8" s="168">
        <v>0</v>
      </c>
      <c r="AS8" s="168">
        <v>0</v>
      </c>
      <c r="AT8" s="168">
        <v>0</v>
      </c>
      <c r="AU8" s="168">
        <v>0</v>
      </c>
      <c r="AV8" s="168">
        <v>0</v>
      </c>
      <c r="AX8" s="59">
        <f>AW8*G8</f>
        <v>0</v>
      </c>
    </row>
    <row r="9" spans="1:50" ht="35.25" customHeight="1" x14ac:dyDescent="0.25">
      <c r="A9" s="59">
        <f t="shared" ca="1" si="3"/>
        <v>4938.8888888888887</v>
      </c>
      <c r="B9" s="6">
        <v>5</v>
      </c>
      <c r="C9" s="61" t="s">
        <v>222</v>
      </c>
      <c r="D9" s="69">
        <v>195</v>
      </c>
      <c r="E9" s="62">
        <v>0.5</v>
      </c>
      <c r="F9" s="62">
        <f>60+60+60</f>
        <v>180</v>
      </c>
      <c r="G9" s="63">
        <f>D9/(1/E9)</f>
        <v>97.5</v>
      </c>
      <c r="H9" s="142">
        <f>G9*F9</f>
        <v>17550</v>
      </c>
      <c r="I9" s="143">
        <f>((H9/$H$2)*$B$2)/F9</f>
        <v>1.2777777777777777</v>
      </c>
      <c r="J9" s="222">
        <f>G9+I9</f>
        <v>98.777777777777771</v>
      </c>
      <c r="K9" s="66">
        <f>J9*F9</f>
        <v>17780</v>
      </c>
      <c r="L9" s="70">
        <v>105</v>
      </c>
      <c r="M9" s="64">
        <f>L9*F9</f>
        <v>18900</v>
      </c>
      <c r="N9" s="64">
        <f ca="1">SUMPRODUCT(($Q9:$AV9)*$L9)</f>
        <v>13545</v>
      </c>
      <c r="O9" s="138">
        <f ca="1">F9-SUM(Q9:AV9)-P9</f>
        <v>50</v>
      </c>
      <c r="P9" s="169">
        <v>1</v>
      </c>
      <c r="Q9" s="226">
        <v>126.5</v>
      </c>
      <c r="R9" s="6">
        <v>0</v>
      </c>
      <c r="S9" s="6">
        <v>0</v>
      </c>
      <c r="T9" s="6">
        <v>0</v>
      </c>
      <c r="U9" s="6">
        <v>0</v>
      </c>
      <c r="V9" s="6">
        <v>0</v>
      </c>
      <c r="W9" s="6">
        <v>0.5</v>
      </c>
      <c r="X9" s="6">
        <v>0</v>
      </c>
      <c r="Y9" s="6">
        <v>0</v>
      </c>
      <c r="Z9" s="6">
        <v>0</v>
      </c>
      <c r="AA9" s="6">
        <v>0.5</v>
      </c>
      <c r="AB9" s="6">
        <v>0</v>
      </c>
      <c r="AC9" s="6">
        <v>0</v>
      </c>
      <c r="AD9" s="6">
        <v>0</v>
      </c>
      <c r="AE9" s="6">
        <v>0</v>
      </c>
      <c r="AF9" s="6">
        <v>1</v>
      </c>
      <c r="AG9" s="6">
        <f ca="1">SUMIFS('Tổng Đơn'!$F:$F,'Tổng Đơn'!$B:$B,$C9)</f>
        <v>0.5</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61"/>
      <c r="D10" s="69"/>
      <c r="E10" s="62"/>
      <c r="F10" s="62"/>
      <c r="G10" s="141"/>
      <c r="H10" s="142"/>
      <c r="I10" s="143"/>
      <c r="J10" s="143"/>
      <c r="K10" s="66"/>
      <c r="L10" s="70"/>
      <c r="M10" s="64"/>
      <c r="N10" s="64"/>
      <c r="O10" s="138"/>
      <c r="P10" s="169"/>
      <c r="Q10" s="165"/>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192" t="s">
        <v>262</v>
      </c>
      <c r="C11" s="191" t="s">
        <v>192</v>
      </c>
      <c r="D11" s="193">
        <v>57</v>
      </c>
      <c r="E11" s="200">
        <v>1</v>
      </c>
      <c r="F11" s="200">
        <v>195</v>
      </c>
      <c r="G11" s="201">
        <v>57</v>
      </c>
      <c r="H11" s="202">
        <v>11115</v>
      </c>
      <c r="I11" s="201">
        <v>3.2669162854647493</v>
      </c>
      <c r="J11" s="201">
        <v>60.266916285464752</v>
      </c>
      <c r="K11" s="191">
        <v>11752.048675665626</v>
      </c>
      <c r="L11" s="203">
        <v>70</v>
      </c>
      <c r="M11" s="197">
        <v>13650</v>
      </c>
      <c r="N11" s="197">
        <v>14241.5</v>
      </c>
      <c r="O11" s="204">
        <v>0</v>
      </c>
      <c r="P11" s="205">
        <v>-8.4500000000000011</v>
      </c>
      <c r="Q11" s="206">
        <v>177.25</v>
      </c>
      <c r="R11" s="192">
        <v>1</v>
      </c>
      <c r="S11" s="192">
        <v>4</v>
      </c>
      <c r="T11" s="192">
        <v>6.1</v>
      </c>
      <c r="U11" s="192">
        <v>1.5</v>
      </c>
      <c r="V11" s="192">
        <v>8.5</v>
      </c>
      <c r="W11" s="192">
        <v>5.0999999999999996</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customHeight="1" x14ac:dyDescent="0.25">
      <c r="A12" s="59">
        <v>0</v>
      </c>
      <c r="B12" s="192" t="s">
        <v>262</v>
      </c>
      <c r="C12" s="191" t="s">
        <v>265</v>
      </c>
      <c r="D12" s="193">
        <v>46</v>
      </c>
      <c r="E12" s="200">
        <v>1</v>
      </c>
      <c r="F12" s="200">
        <v>60</v>
      </c>
      <c r="G12" s="201">
        <v>46</v>
      </c>
      <c r="H12" s="202">
        <v>2760</v>
      </c>
      <c r="I12" s="201">
        <v>2.338883716371833</v>
      </c>
      <c r="J12" s="201">
        <v>48.338883716371832</v>
      </c>
      <c r="K12" s="191">
        <v>2900.33302298231</v>
      </c>
      <c r="L12" s="203">
        <v>60</v>
      </c>
      <c r="M12" s="197">
        <v>3600</v>
      </c>
      <c r="N12" s="197">
        <v>3000</v>
      </c>
      <c r="O12" s="204">
        <v>0</v>
      </c>
      <c r="P12" s="205">
        <v>10</v>
      </c>
      <c r="Q12" s="206">
        <v>50</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sheetData>
  <autoFilter ref="B4:M4"/>
  <mergeCells count="1">
    <mergeCell ref="B1:M1"/>
  </mergeCells>
  <conditionalFormatting sqref="C7:C8">
    <cfRule type="expression" dxfId="595" priority="12">
      <formula>($O7/$O7)&lt;=1/4</formula>
    </cfRule>
  </conditionalFormatting>
  <conditionalFormatting sqref="C5:C8">
    <cfRule type="expression" dxfId="594" priority="13">
      <formula>($O5/$F5)&lt;=1/4</formula>
    </cfRule>
  </conditionalFormatting>
  <conditionalFormatting sqref="C9:C10">
    <cfRule type="expression" dxfId="593" priority="3">
      <formula>($O9/$O9)&lt;=1/4</formula>
    </cfRule>
  </conditionalFormatting>
  <conditionalFormatting sqref="C9:C10">
    <cfRule type="expression" dxfId="592"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3" t="s">
        <v>51</v>
      </c>
      <c r="C1" s="243"/>
      <c r="D1" s="243"/>
      <c r="E1" s="243"/>
      <c r="F1" s="243"/>
      <c r="G1" s="243"/>
      <c r="H1" s="243"/>
      <c r="I1" s="243"/>
      <c r="J1" s="243"/>
      <c r="K1" s="243"/>
      <c r="L1" s="24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9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4" sqref="AX4"/>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24" customHeight="1" x14ac:dyDescent="0.25">
      <c r="A2" s="1">
        <f>150+160+120+70+30+100+30+150+120+30+140+30+70+120+30+30+120+60+120+190+60+30+120+100+60+140+60+40+60+50+120+60+30+60+40+80+120+60+75+75+55+40+70+40+150+40+70+40+70+40+70+40+120+40+70+60+40+60+40+70+40+70+110+100+110</f>
        <v>4965</v>
      </c>
      <c r="K2" s="13"/>
      <c r="L2" s="13">
        <f>M4-K4</f>
        <v>29858.186000859278</v>
      </c>
      <c r="M2" s="8">
        <f>M4/K4-1</f>
        <v>0.15646499556402516</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9570.5153585821372</v>
      </c>
      <c r="B4" s="16"/>
      <c r="C4" s="16"/>
      <c r="D4" s="47"/>
      <c r="E4" s="16">
        <f>SUMPRODUCT((E5:E34)*(F5:F34))</f>
        <v>2896</v>
      </c>
      <c r="F4" s="16">
        <f>SUBTOTAL(9,F5:F102)</f>
        <v>5517</v>
      </c>
      <c r="G4" s="7"/>
      <c r="H4" s="7">
        <f>SUBTOTAL(9,H5:H102)</f>
        <v>185857</v>
      </c>
      <c r="I4" s="12"/>
      <c r="J4" s="12"/>
      <c r="K4" s="12">
        <f>SUBTOTAL(9,K5:K102)</f>
        <v>190829.81399914072</v>
      </c>
      <c r="L4" s="48"/>
      <c r="M4" s="7">
        <f t="shared" ref="M4:Q4" si="0">SUBTOTAL(9,M5:M102)</f>
        <v>220688</v>
      </c>
      <c r="N4" s="7">
        <f t="shared" ca="1" si="0"/>
        <v>208767</v>
      </c>
      <c r="O4" s="24">
        <f t="shared" ca="1" si="0"/>
        <v>239</v>
      </c>
      <c r="P4" s="75">
        <f t="shared" si="0"/>
        <v>18</v>
      </c>
      <c r="Q4" s="75">
        <f t="shared" si="0"/>
        <v>4966</v>
      </c>
      <c r="R4" s="25">
        <f>SUBTOTAL(9,R5:R32)</f>
        <v>32</v>
      </c>
      <c r="S4" s="25">
        <f t="shared" ref="S4:AV4" si="1">SUBTOTAL(9,S5:S32)</f>
        <v>1</v>
      </c>
      <c r="T4" s="25">
        <f t="shared" si="1"/>
        <v>17</v>
      </c>
      <c r="U4" s="25">
        <f t="shared" si="1"/>
        <v>18</v>
      </c>
      <c r="V4" s="25">
        <f t="shared" si="1"/>
        <v>16</v>
      </c>
      <c r="W4" s="25">
        <f t="shared" si="1"/>
        <v>5</v>
      </c>
      <c r="X4" s="25">
        <f t="shared" si="1"/>
        <v>22</v>
      </c>
      <c r="Y4" s="25">
        <f t="shared" si="1"/>
        <v>16</v>
      </c>
      <c r="Z4" s="25">
        <f t="shared" si="1"/>
        <v>18</v>
      </c>
      <c r="AA4" s="25">
        <f t="shared" si="1"/>
        <v>17</v>
      </c>
      <c r="AB4" s="25">
        <f t="shared" si="1"/>
        <v>3</v>
      </c>
      <c r="AC4" s="25">
        <f t="shared" si="1"/>
        <v>29</v>
      </c>
      <c r="AD4" s="25">
        <f t="shared" si="1"/>
        <v>14</v>
      </c>
      <c r="AE4" s="25">
        <f t="shared" si="1"/>
        <v>25</v>
      </c>
      <c r="AF4" s="25">
        <f t="shared" si="1"/>
        <v>45</v>
      </c>
      <c r="AG4" s="25">
        <f t="shared" ca="1" si="1"/>
        <v>2</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133" t="str">
        <f>SUMPRODUCT(($AW$5:$AW$52)*($E$5:$E$52))&amp;" Kg"</f>
        <v>50 Kg</v>
      </c>
      <c r="AX4" s="50">
        <f>SUBTOTAL(9,AX5:AX34)</f>
        <v>2875</v>
      </c>
    </row>
    <row r="5" spans="1:50" ht="18.75" x14ac:dyDescent="0.25">
      <c r="A5" s="59">
        <f t="shared" ref="A5:A34" ca="1" si="2">IFERROR(J5*O5,"")</f>
        <v>130.90604604615376</v>
      </c>
      <c r="B5" s="6">
        <v>1</v>
      </c>
      <c r="C5" s="61" t="s">
        <v>1</v>
      </c>
      <c r="D5" s="69">
        <v>42.5</v>
      </c>
      <c r="E5" s="6">
        <v>0.5</v>
      </c>
      <c r="F5" s="6">
        <f>430+30+40</f>
        <v>500</v>
      </c>
      <c r="G5" s="72">
        <f t="shared" ref="G5:G28" si="3">D5/(1/E5)</f>
        <v>21.25</v>
      </c>
      <c r="H5" s="64">
        <f t="shared" ref="H5:H30" si="4">G5*F5</f>
        <v>10625</v>
      </c>
      <c r="I5" s="65">
        <f t="shared" ref="I5:I25" si="5">((H5/$H$4)*$A$2)/F5</f>
        <v>0.56767434102562719</v>
      </c>
      <c r="J5" s="66">
        <f t="shared" ref="J5:J19" si="6">G5+I5</f>
        <v>21.817674341025626</v>
      </c>
      <c r="K5" s="66">
        <f t="shared" ref="K5:K25" si="7">J5*F5</f>
        <v>10908.837170512812</v>
      </c>
      <c r="L5" s="73">
        <v>25</v>
      </c>
      <c r="M5" s="64">
        <f t="shared" ref="M5:M31" si="8">L5*F5</f>
        <v>12500</v>
      </c>
      <c r="N5" s="64">
        <f t="shared" ref="N5:N31" ca="1" si="9">SUMPRODUCT($L5*($Q5:$AV5))</f>
        <v>12225</v>
      </c>
      <c r="O5" s="68">
        <f t="shared" ref="O5:O31" ca="1" si="10">F5-SUM(Q5:AV5)-P5</f>
        <v>6</v>
      </c>
      <c r="P5" s="58">
        <v>5</v>
      </c>
      <c r="Q5" s="58">
        <v>489</v>
      </c>
      <c r="R5" s="61">
        <v>0</v>
      </c>
      <c r="S5" s="61">
        <v>0</v>
      </c>
      <c r="T5" s="61">
        <v>0</v>
      </c>
      <c r="U5" s="61">
        <v>0</v>
      </c>
      <c r="V5" s="61">
        <v>0</v>
      </c>
      <c r="W5" s="61">
        <v>0</v>
      </c>
      <c r="X5" s="61">
        <v>0</v>
      </c>
      <c r="Y5" s="61">
        <v>0</v>
      </c>
      <c r="Z5" s="61">
        <v>0</v>
      </c>
      <c r="AA5" s="61">
        <v>0</v>
      </c>
      <c r="AB5" s="61">
        <v>0</v>
      </c>
      <c r="AC5" s="61">
        <v>0</v>
      </c>
      <c r="AD5" s="61">
        <v>0</v>
      </c>
      <c r="AE5" s="61">
        <v>0</v>
      </c>
      <c r="AF5" s="61">
        <v>0</v>
      </c>
      <c r="AG5" s="61">
        <f ca="1">SUMIFS('Tổng Đơn'!$F:$F,'Tổng Đơn'!$B:$B,$C5)</f>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4" si="11">AW5*G5</f>
        <v>0</v>
      </c>
    </row>
    <row r="6" spans="1:50" ht="18.75" x14ac:dyDescent="0.25">
      <c r="A6" s="59">
        <f t="shared" ca="1" si="2"/>
        <v>0</v>
      </c>
      <c r="B6" s="6">
        <v>2</v>
      </c>
      <c r="C6" s="61" t="s">
        <v>2</v>
      </c>
      <c r="D6" s="69">
        <v>44</v>
      </c>
      <c r="E6" s="6">
        <v>0.5</v>
      </c>
      <c r="F6" s="6">
        <v>80</v>
      </c>
      <c r="G6" s="72">
        <f t="shared" si="3"/>
        <v>22</v>
      </c>
      <c r="H6" s="64">
        <f t="shared" si="4"/>
        <v>1760</v>
      </c>
      <c r="I6" s="65">
        <f t="shared" si="5"/>
        <v>0.58770990600300232</v>
      </c>
      <c r="J6" s="66">
        <f t="shared" si="6"/>
        <v>22.587709906003003</v>
      </c>
      <c r="K6" s="66">
        <f t="shared" si="7"/>
        <v>1807.0167924802402</v>
      </c>
      <c r="L6" s="73">
        <v>28</v>
      </c>
      <c r="M6" s="64">
        <f t="shared" si="8"/>
        <v>2240</v>
      </c>
      <c r="N6" s="64">
        <f t="shared" ca="1" si="9"/>
        <v>2268</v>
      </c>
      <c r="O6" s="68">
        <f t="shared" ca="1" si="10"/>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f ca="1">SUMIFS('Tổng Đơn'!$F:$F,'Tổng Đơn'!$B:$B,$C6)</f>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1"/>
        <v>0</v>
      </c>
    </row>
    <row r="7" spans="1:50" ht="18.75" x14ac:dyDescent="0.25">
      <c r="A7" s="59">
        <f t="shared" ca="1" si="2"/>
        <v>0</v>
      </c>
      <c r="B7" s="6">
        <v>3</v>
      </c>
      <c r="C7" s="61" t="s">
        <v>3</v>
      </c>
      <c r="D7" s="69">
        <v>43.5</v>
      </c>
      <c r="E7" s="6">
        <v>0.5</v>
      </c>
      <c r="F7" s="6">
        <v>70</v>
      </c>
      <c r="G7" s="72">
        <f t="shared" si="3"/>
        <v>21.75</v>
      </c>
      <c r="H7" s="64">
        <f t="shared" si="4"/>
        <v>1522.5</v>
      </c>
      <c r="I7" s="65">
        <f t="shared" si="5"/>
        <v>0.58103138434387736</v>
      </c>
      <c r="J7" s="66">
        <f t="shared" si="6"/>
        <v>22.331031384343877</v>
      </c>
      <c r="K7" s="66">
        <f t="shared" si="7"/>
        <v>1563.1721969040714</v>
      </c>
      <c r="L7" s="73">
        <v>30</v>
      </c>
      <c r="M7" s="64">
        <f t="shared" si="8"/>
        <v>2100</v>
      </c>
      <c r="N7" s="64">
        <f t="shared" ca="1" si="9"/>
        <v>2100</v>
      </c>
      <c r="O7" s="68">
        <f t="shared" ca="1" si="10"/>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f ca="1">SUMIFS('Tổng Đơn'!$F:$F,'Tổng Đơn'!$B:$B,$C7)</f>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1"/>
        <v>0</v>
      </c>
    </row>
    <row r="8" spans="1:50" ht="18.75" x14ac:dyDescent="0.25">
      <c r="A8" s="59">
        <f t="shared" ca="1" si="2"/>
        <v>338.81564859004504</v>
      </c>
      <c r="B8" s="6">
        <v>4</v>
      </c>
      <c r="C8" s="61" t="s">
        <v>4</v>
      </c>
      <c r="D8" s="69">
        <v>60</v>
      </c>
      <c r="E8" s="6">
        <v>0.5</v>
      </c>
      <c r="F8" s="6">
        <f>160+22+12+30+10+26</f>
        <v>260</v>
      </c>
      <c r="G8" s="72">
        <f t="shared" si="3"/>
        <v>30</v>
      </c>
      <c r="H8" s="74">
        <f t="shared" si="4"/>
        <v>7800</v>
      </c>
      <c r="I8" s="65">
        <f t="shared" si="5"/>
        <v>0.80142259909500313</v>
      </c>
      <c r="J8" s="66">
        <f t="shared" si="6"/>
        <v>30.801422599095002</v>
      </c>
      <c r="K8" s="66">
        <f t="shared" si="7"/>
        <v>8008.3698757647007</v>
      </c>
      <c r="L8" s="73">
        <v>40</v>
      </c>
      <c r="M8" s="64">
        <f t="shared" si="8"/>
        <v>10400</v>
      </c>
      <c r="N8" s="64">
        <f t="shared" ca="1" si="9"/>
        <v>9920</v>
      </c>
      <c r="O8" s="68">
        <f t="shared" ca="1" si="10"/>
        <v>11</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f ca="1">SUMIFS('Tổng Đơn'!$F:$F,'Tổng Đơn'!$B:$B,$C8)</f>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1"/>
        <v>0</v>
      </c>
    </row>
    <row r="9" spans="1:50" ht="18.75" x14ac:dyDescent="0.25">
      <c r="A9" s="59">
        <f t="shared" ca="1" si="2"/>
        <v>1151.9732052061531</v>
      </c>
      <c r="B9" s="6">
        <v>5</v>
      </c>
      <c r="C9" s="61" t="s">
        <v>5</v>
      </c>
      <c r="D9" s="69">
        <v>68</v>
      </c>
      <c r="E9" s="6">
        <v>0.5</v>
      </c>
      <c r="F9" s="6">
        <f>285+40+50+20+50+50+40+60+92+36+30+50+20+50+40+30+50+30+20</f>
        <v>1043</v>
      </c>
      <c r="G9" s="72">
        <f t="shared" si="3"/>
        <v>34</v>
      </c>
      <c r="H9" s="74">
        <f t="shared" si="4"/>
        <v>35462</v>
      </c>
      <c r="I9" s="65">
        <f t="shared" si="5"/>
        <v>0.90827894564100353</v>
      </c>
      <c r="J9" s="66">
        <f t="shared" si="6"/>
        <v>34.908278945641001</v>
      </c>
      <c r="K9" s="66">
        <f t="shared" si="7"/>
        <v>36409.334940303561</v>
      </c>
      <c r="L9" s="73">
        <v>40</v>
      </c>
      <c r="M9" s="64">
        <f t="shared" si="8"/>
        <v>41720</v>
      </c>
      <c r="N9" s="64">
        <f t="shared" ca="1" si="9"/>
        <v>40360</v>
      </c>
      <c r="O9" s="68">
        <f t="shared" ca="1" si="10"/>
        <v>33</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f ca="1">SUMIFS('Tổng Đơn'!$F:$F,'Tổng Đơn'!$B:$B,$C9)</f>
        <v>1</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1"/>
        <v>0</v>
      </c>
    </row>
    <row r="10" spans="1:50" ht="18.75" x14ac:dyDescent="0.25">
      <c r="A10" s="59">
        <f t="shared" ca="1" si="2"/>
        <v>0</v>
      </c>
      <c r="B10" s="6">
        <v>6</v>
      </c>
      <c r="C10" s="61" t="s">
        <v>6</v>
      </c>
      <c r="D10" s="69">
        <v>86</v>
      </c>
      <c r="E10" s="6">
        <v>0.5</v>
      </c>
      <c r="F10" s="6">
        <f>76+10</f>
        <v>86</v>
      </c>
      <c r="G10" s="72">
        <f t="shared" si="3"/>
        <v>43</v>
      </c>
      <c r="H10" s="74">
        <f t="shared" si="4"/>
        <v>3698</v>
      </c>
      <c r="I10" s="65">
        <f t="shared" si="5"/>
        <v>1.1487057253695045</v>
      </c>
      <c r="J10" s="66">
        <f t="shared" si="6"/>
        <v>44.148705725369503</v>
      </c>
      <c r="K10" s="66">
        <f t="shared" si="7"/>
        <v>3796.7886923817773</v>
      </c>
      <c r="L10" s="73">
        <v>50</v>
      </c>
      <c r="M10" s="64">
        <f t="shared" si="8"/>
        <v>4300</v>
      </c>
      <c r="N10" s="64">
        <f t="shared" ca="1" si="9"/>
        <v>4200</v>
      </c>
      <c r="O10" s="68">
        <f t="shared" ca="1" si="10"/>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f ca="1">SUMIFS('Tổng Đơn'!$F:$F,'Tổng Đơn'!$B:$B,$C10)</f>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1"/>
        <v>0</v>
      </c>
    </row>
    <row r="11" spans="1:50" ht="18.75" x14ac:dyDescent="0.25">
      <c r="A11" s="59">
        <f t="shared" si="2"/>
        <v>0</v>
      </c>
      <c r="B11" s="6">
        <v>7</v>
      </c>
      <c r="C11" s="61" t="s">
        <v>254</v>
      </c>
      <c r="D11" s="69">
        <v>55</v>
      </c>
      <c r="E11" s="6">
        <v>0.5</v>
      </c>
      <c r="F11" s="6">
        <v>20</v>
      </c>
      <c r="G11" s="72">
        <f t="shared" si="3"/>
        <v>27.5</v>
      </c>
      <c r="H11" s="74">
        <f t="shared" si="4"/>
        <v>550</v>
      </c>
      <c r="I11" s="65">
        <f t="shared" si="5"/>
        <v>0.73463738250375288</v>
      </c>
      <c r="J11" s="66">
        <f t="shared" si="6"/>
        <v>28.234637382503752</v>
      </c>
      <c r="K11" s="66">
        <f t="shared" si="7"/>
        <v>564.69274765007503</v>
      </c>
      <c r="L11" s="73">
        <v>34</v>
      </c>
      <c r="M11" s="64">
        <f t="shared" si="8"/>
        <v>680</v>
      </c>
      <c r="N11" s="64">
        <f t="shared" si="9"/>
        <v>680</v>
      </c>
      <c r="O11" s="68">
        <f t="shared" si="10"/>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f>SUMIFS('Tổng Đơn'!$F:$F,'Tổng Đơn'!$B:$B,$C11)</f>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1"/>
        <v>0</v>
      </c>
    </row>
    <row r="12" spans="1:50" ht="19.5" customHeight="1" x14ac:dyDescent="0.25">
      <c r="A12" s="59">
        <f t="shared" ca="1" si="2"/>
        <v>0</v>
      </c>
      <c r="B12" s="6">
        <v>8</v>
      </c>
      <c r="C12" s="61" t="s">
        <v>7</v>
      </c>
      <c r="D12" s="69">
        <v>115</v>
      </c>
      <c r="E12" s="6">
        <v>0.5</v>
      </c>
      <c r="F12" s="6">
        <v>38</v>
      </c>
      <c r="G12" s="72">
        <f t="shared" si="3"/>
        <v>57.5</v>
      </c>
      <c r="H12" s="74">
        <f t="shared" si="4"/>
        <v>2185</v>
      </c>
      <c r="I12" s="65">
        <f t="shared" si="5"/>
        <v>1.5360599815987559</v>
      </c>
      <c r="J12" s="66">
        <f t="shared" si="6"/>
        <v>59.036059981598754</v>
      </c>
      <c r="K12" s="66">
        <f t="shared" si="7"/>
        <v>2243.3702793007528</v>
      </c>
      <c r="L12" s="73">
        <v>69</v>
      </c>
      <c r="M12" s="64">
        <f t="shared" si="8"/>
        <v>2622</v>
      </c>
      <c r="N12" s="64">
        <f t="shared" ca="1" si="9"/>
        <v>1863</v>
      </c>
      <c r="O12" s="68">
        <f t="shared" ca="1" si="10"/>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f ca="1">SUMIFS('Tổng Đơn'!$F:$F,'Tổng Đơn'!$B:$B,$C12)</f>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1"/>
        <v>0</v>
      </c>
    </row>
    <row r="13" spans="1:50" ht="18.75" x14ac:dyDescent="0.25">
      <c r="A13" s="59">
        <f t="shared" ca="1" si="2"/>
        <v>392.71813813846126</v>
      </c>
      <c r="B13" s="6">
        <v>9</v>
      </c>
      <c r="C13" s="61" t="s">
        <v>8</v>
      </c>
      <c r="D13" s="69">
        <v>85</v>
      </c>
      <c r="E13" s="6">
        <v>0.5</v>
      </c>
      <c r="F13" s="6">
        <f>190+30</f>
        <v>220</v>
      </c>
      <c r="G13" s="72">
        <f t="shared" si="3"/>
        <v>42.5</v>
      </c>
      <c r="H13" s="74">
        <f t="shared" si="4"/>
        <v>9350</v>
      </c>
      <c r="I13" s="65">
        <f t="shared" si="5"/>
        <v>1.1353486820512544</v>
      </c>
      <c r="J13" s="66">
        <f t="shared" si="6"/>
        <v>43.635348682051252</v>
      </c>
      <c r="K13" s="66">
        <f t="shared" si="7"/>
        <v>9599.7767100512756</v>
      </c>
      <c r="L13" s="73">
        <v>55</v>
      </c>
      <c r="M13" s="64">
        <f t="shared" si="8"/>
        <v>12100</v>
      </c>
      <c r="N13" s="64">
        <f t="shared" ca="1" si="9"/>
        <v>11495</v>
      </c>
      <c r="O13" s="68">
        <f t="shared" ca="1" si="10"/>
        <v>9</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f ca="1">SUMIFS('Tổng Đơn'!$F:$F,'Tổng Đơn'!$B:$B,$C13)</f>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1"/>
        <v>0</v>
      </c>
    </row>
    <row r="14" spans="1:50" ht="18.75" x14ac:dyDescent="0.25">
      <c r="A14" s="59">
        <f t="shared" si="2"/>
        <v>0</v>
      </c>
      <c r="B14" s="6">
        <v>10</v>
      </c>
      <c r="C14" s="61" t="s">
        <v>9</v>
      </c>
      <c r="D14" s="69">
        <v>54</v>
      </c>
      <c r="E14" s="6">
        <v>0.5</v>
      </c>
      <c r="F14" s="6">
        <v>30</v>
      </c>
      <c r="G14" s="72">
        <f t="shared" si="3"/>
        <v>27</v>
      </c>
      <c r="H14" s="74">
        <f t="shared" si="4"/>
        <v>810</v>
      </c>
      <c r="I14" s="65">
        <f t="shared" si="5"/>
        <v>0.72128033918550283</v>
      </c>
      <c r="J14" s="66">
        <f t="shared" si="6"/>
        <v>27.721280339185501</v>
      </c>
      <c r="K14" s="66">
        <f t="shared" si="7"/>
        <v>831.63841017556501</v>
      </c>
      <c r="L14" s="73">
        <v>32</v>
      </c>
      <c r="M14" s="64">
        <f t="shared" si="8"/>
        <v>960</v>
      </c>
      <c r="N14" s="64">
        <f t="shared" si="9"/>
        <v>960</v>
      </c>
      <c r="O14" s="68">
        <f t="shared" si="10"/>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f>SUMIFS('Tổng Đơn'!$F:$F,'Tổng Đơn'!$B:$B,$C14)</f>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1"/>
        <v>0</v>
      </c>
    </row>
    <row r="15" spans="1:50" ht="18.75" x14ac:dyDescent="0.25">
      <c r="A15" s="59">
        <f t="shared" si="2"/>
        <v>0</v>
      </c>
      <c r="B15" s="6">
        <v>11</v>
      </c>
      <c r="C15" s="61" t="s">
        <v>10</v>
      </c>
      <c r="D15" s="69">
        <v>54</v>
      </c>
      <c r="E15" s="6">
        <v>0.5</v>
      </c>
      <c r="F15" s="6">
        <v>10</v>
      </c>
      <c r="G15" s="72">
        <f t="shared" si="3"/>
        <v>27</v>
      </c>
      <c r="H15" s="74">
        <f t="shared" si="4"/>
        <v>270</v>
      </c>
      <c r="I15" s="65">
        <f t="shared" si="5"/>
        <v>0.72128033918550283</v>
      </c>
      <c r="J15" s="66">
        <f t="shared" si="6"/>
        <v>27.721280339185501</v>
      </c>
      <c r="K15" s="66">
        <f t="shared" si="7"/>
        <v>277.212803391855</v>
      </c>
      <c r="L15" s="73">
        <v>35</v>
      </c>
      <c r="M15" s="64">
        <f t="shared" si="8"/>
        <v>350</v>
      </c>
      <c r="N15" s="64">
        <f t="shared" si="9"/>
        <v>350</v>
      </c>
      <c r="O15" s="68">
        <f t="shared" si="10"/>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f>SUMIFS('Tổng Đơn'!$F:$F,'Tổng Đơn'!$B:$B,$C15)</f>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1"/>
        <v>0</v>
      </c>
    </row>
    <row r="16" spans="1:50" ht="18.75" x14ac:dyDescent="0.25">
      <c r="A16" s="59">
        <f t="shared" si="2"/>
        <v>0</v>
      </c>
      <c r="B16" s="6">
        <v>12</v>
      </c>
      <c r="C16" s="61" t="s">
        <v>11</v>
      </c>
      <c r="D16" s="69">
        <v>41</v>
      </c>
      <c r="E16" s="6">
        <v>0.5</v>
      </c>
      <c r="F16" s="6">
        <v>160</v>
      </c>
      <c r="G16" s="72">
        <f t="shared" si="3"/>
        <v>20.5</v>
      </c>
      <c r="H16" s="74">
        <f t="shared" si="4"/>
        <v>3280</v>
      </c>
      <c r="I16" s="65">
        <f t="shared" si="5"/>
        <v>0.54763877604825217</v>
      </c>
      <c r="J16" s="66">
        <f t="shared" si="6"/>
        <v>21.047638776048252</v>
      </c>
      <c r="K16" s="66">
        <f t="shared" si="7"/>
        <v>3367.6222041677202</v>
      </c>
      <c r="L16" s="73">
        <v>26</v>
      </c>
      <c r="M16" s="64">
        <f t="shared" si="8"/>
        <v>4160</v>
      </c>
      <c r="N16" s="64">
        <f t="shared" si="9"/>
        <v>4160</v>
      </c>
      <c r="O16" s="68">
        <f t="shared" si="10"/>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f>SUMIFS('Tổng Đơn'!$F:$F,'Tổng Đơn'!$B:$B,$C16)</f>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1"/>
        <v>0</v>
      </c>
    </row>
    <row r="17" spans="1:50" ht="18.75" x14ac:dyDescent="0.25">
      <c r="A17" s="59">
        <f t="shared" si="2"/>
        <v>0</v>
      </c>
      <c r="B17" s="6">
        <v>13</v>
      </c>
      <c r="C17" s="61" t="s">
        <v>12</v>
      </c>
      <c r="D17" s="69">
        <v>41</v>
      </c>
      <c r="E17" s="6">
        <v>0.5</v>
      </c>
      <c r="F17" s="6">
        <v>110</v>
      </c>
      <c r="G17" s="72">
        <f t="shared" si="3"/>
        <v>20.5</v>
      </c>
      <c r="H17" s="74">
        <f t="shared" si="4"/>
        <v>2255</v>
      </c>
      <c r="I17" s="65">
        <f t="shared" si="5"/>
        <v>0.54763877604825217</v>
      </c>
      <c r="J17" s="66">
        <f t="shared" si="6"/>
        <v>21.047638776048252</v>
      </c>
      <c r="K17" s="66">
        <f t="shared" si="7"/>
        <v>2315.2402653653076</v>
      </c>
      <c r="L17" s="73">
        <v>28</v>
      </c>
      <c r="M17" s="64">
        <f t="shared" si="8"/>
        <v>3080</v>
      </c>
      <c r="N17" s="64">
        <f t="shared" si="9"/>
        <v>3080</v>
      </c>
      <c r="O17" s="68">
        <f t="shared" si="10"/>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f>SUMIFS('Tổng Đơn'!$F:$F,'Tổng Đơn'!$B:$B,$C17)</f>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1"/>
        <v>0</v>
      </c>
    </row>
    <row r="18" spans="1:50" ht="18.75" x14ac:dyDescent="0.25">
      <c r="A18" s="59">
        <f t="shared" ca="1" si="2"/>
        <v>877.84054407420751</v>
      </c>
      <c r="B18" s="6">
        <v>14</v>
      </c>
      <c r="C18" s="61" t="s">
        <v>13</v>
      </c>
      <c r="D18" s="69">
        <v>57</v>
      </c>
      <c r="E18" s="6">
        <v>0.5</v>
      </c>
      <c r="F18" s="6">
        <f>30+46+100+40+60+50+40+100+100+70+80+100+50+60</f>
        <v>926</v>
      </c>
      <c r="G18" s="72">
        <f>D18/2</f>
        <v>28.5</v>
      </c>
      <c r="H18" s="74">
        <f t="shared" ref="H18" si="12">G18*F18</f>
        <v>26391</v>
      </c>
      <c r="I18" s="65">
        <f t="shared" si="5"/>
        <v>0.76135146914025309</v>
      </c>
      <c r="J18" s="66">
        <f t="shared" si="6"/>
        <v>29.261351469140251</v>
      </c>
      <c r="K18" s="66">
        <f t="shared" si="7"/>
        <v>27096.011460423873</v>
      </c>
      <c r="L18" s="73">
        <v>33</v>
      </c>
      <c r="M18" s="64">
        <f t="shared" ref="M18" si="13">L18*F18</f>
        <v>30558</v>
      </c>
      <c r="N18" s="64">
        <f t="shared" ca="1" si="9"/>
        <v>29964</v>
      </c>
      <c r="O18" s="68">
        <f t="shared" ca="1" si="10"/>
        <v>30</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f ca="1">SUMIFS('Tổng Đơn'!$F:$F,'Tổng Đơn'!$B:$B,$C18)</f>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90</v>
      </c>
      <c r="AX18" s="59">
        <f t="shared" si="11"/>
        <v>2565</v>
      </c>
    </row>
    <row r="19" spans="1:50" ht="18.75" x14ac:dyDescent="0.25">
      <c r="A19" s="59">
        <f t="shared" si="2"/>
        <v>0</v>
      </c>
      <c r="B19" s="6">
        <v>15</v>
      </c>
      <c r="C19" s="61" t="s">
        <v>14</v>
      </c>
      <c r="D19" s="69">
        <v>60</v>
      </c>
      <c r="E19" s="6">
        <v>0.5</v>
      </c>
      <c r="F19" s="6">
        <v>10</v>
      </c>
      <c r="G19" s="72">
        <f t="shared" si="3"/>
        <v>30</v>
      </c>
      <c r="H19" s="74">
        <f t="shared" si="4"/>
        <v>300</v>
      </c>
      <c r="I19" s="65">
        <f t="shared" si="5"/>
        <v>0.80142259909500324</v>
      </c>
      <c r="J19" s="66">
        <f t="shared" si="6"/>
        <v>30.801422599095002</v>
      </c>
      <c r="K19" s="66">
        <f t="shared" si="7"/>
        <v>308.01422599095002</v>
      </c>
      <c r="L19" s="73">
        <v>35</v>
      </c>
      <c r="M19" s="64">
        <f t="shared" si="8"/>
        <v>350</v>
      </c>
      <c r="N19" s="64">
        <f t="shared" si="9"/>
        <v>350</v>
      </c>
      <c r="O19" s="68">
        <f t="shared" si="10"/>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f>SUMIFS('Tổng Đơn'!$F:$F,'Tổng Đơn'!$B:$B,$C19)</f>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1"/>
        <v>0</v>
      </c>
    </row>
    <row r="20" spans="1:50" ht="18.75" x14ac:dyDescent="0.25">
      <c r="A20" s="59">
        <f t="shared" si="2"/>
        <v>0</v>
      </c>
      <c r="B20" s="6">
        <v>16</v>
      </c>
      <c r="C20" s="61" t="s">
        <v>140</v>
      </c>
      <c r="D20" s="69">
        <v>54</v>
      </c>
      <c r="E20" s="6">
        <v>0.5</v>
      </c>
      <c r="F20" s="6">
        <v>10</v>
      </c>
      <c r="G20" s="72">
        <f t="shared" si="3"/>
        <v>27</v>
      </c>
      <c r="H20" s="74">
        <f t="shared" si="4"/>
        <v>270</v>
      </c>
      <c r="I20" s="65">
        <f t="shared" si="5"/>
        <v>0.72128033918550283</v>
      </c>
      <c r="J20" s="66">
        <f t="shared" ref="J20:J24" si="14">G20+I20</f>
        <v>27.721280339185501</v>
      </c>
      <c r="K20" s="66">
        <f t="shared" si="7"/>
        <v>277.212803391855</v>
      </c>
      <c r="L20" s="73">
        <v>45</v>
      </c>
      <c r="M20" s="64">
        <f t="shared" si="8"/>
        <v>450</v>
      </c>
      <c r="N20" s="64">
        <f t="shared" si="9"/>
        <v>405</v>
      </c>
      <c r="O20" s="68">
        <f t="shared" si="10"/>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f>SUMIFS('Tổng Đơn'!$F:$F,'Tổng Đơn'!$B:$B,$C20)</f>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1"/>
        <v>0</v>
      </c>
    </row>
    <row r="21" spans="1:50" ht="18.75" x14ac:dyDescent="0.25">
      <c r="A21" s="59">
        <f t="shared" ca="1" si="2"/>
        <v>381.93764022877804</v>
      </c>
      <c r="B21" s="6">
        <v>17</v>
      </c>
      <c r="C21" s="61" t="s">
        <v>255</v>
      </c>
      <c r="D21" s="69">
        <v>62</v>
      </c>
      <c r="E21" s="6">
        <v>0.5</v>
      </c>
      <c r="F21" s="6">
        <f>135+80+20+10+20+10</f>
        <v>275</v>
      </c>
      <c r="G21" s="72">
        <f t="shared" si="3"/>
        <v>31</v>
      </c>
      <c r="H21" s="74">
        <f t="shared" si="4"/>
        <v>8525</v>
      </c>
      <c r="I21" s="65">
        <f t="shared" si="5"/>
        <v>0.82813668573150334</v>
      </c>
      <c r="J21" s="66">
        <f t="shared" si="14"/>
        <v>31.828136685731504</v>
      </c>
      <c r="K21" s="66">
        <f t="shared" si="7"/>
        <v>8752.737588576163</v>
      </c>
      <c r="L21" s="73">
        <v>40</v>
      </c>
      <c r="M21" s="64">
        <f t="shared" si="8"/>
        <v>11000</v>
      </c>
      <c r="N21" s="64">
        <f t="shared" ca="1" si="9"/>
        <v>10520</v>
      </c>
      <c r="O21" s="68">
        <f t="shared" ca="1" si="10"/>
        <v>12</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f ca="1">SUMIFS('Tổng Đơn'!$F:$F,'Tổng Đơn'!$B:$B,$C21)</f>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10</v>
      </c>
      <c r="AX21" s="59">
        <f t="shared" si="11"/>
        <v>310</v>
      </c>
    </row>
    <row r="22" spans="1:50" ht="18.75" x14ac:dyDescent="0.25">
      <c r="A22" s="59">
        <f t="shared" ca="1" si="2"/>
        <v>0</v>
      </c>
      <c r="B22" s="6">
        <v>18</v>
      </c>
      <c r="C22" s="61" t="s">
        <v>120</v>
      </c>
      <c r="D22" s="69">
        <v>43</v>
      </c>
      <c r="E22" s="6">
        <v>0.5</v>
      </c>
      <c r="F22" s="6">
        <v>25</v>
      </c>
      <c r="G22" s="72">
        <f t="shared" si="3"/>
        <v>21.5</v>
      </c>
      <c r="H22" s="74">
        <f t="shared" si="4"/>
        <v>537.5</v>
      </c>
      <c r="I22" s="65">
        <f t="shared" si="5"/>
        <v>0.57435286268475227</v>
      </c>
      <c r="J22" s="66">
        <f t="shared" si="14"/>
        <v>22.074352862684751</v>
      </c>
      <c r="K22" s="66">
        <f t="shared" si="7"/>
        <v>551.85882156711875</v>
      </c>
      <c r="L22" s="73">
        <v>35</v>
      </c>
      <c r="M22" s="64">
        <f t="shared" si="8"/>
        <v>875</v>
      </c>
      <c r="N22" s="64">
        <f t="shared" ca="1" si="9"/>
        <v>875</v>
      </c>
      <c r="O22" s="68">
        <f t="shared" ca="1" si="10"/>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f ca="1">SUMIFS('Tổng Đơn'!$F:$F,'Tổng Đơn'!$B:$B,$C22)</f>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1"/>
        <v>0</v>
      </c>
    </row>
    <row r="23" spans="1:50" ht="18.75" x14ac:dyDescent="0.25">
      <c r="A23" s="59">
        <f t="shared" si="2"/>
        <v>0</v>
      </c>
      <c r="B23" s="6">
        <v>19</v>
      </c>
      <c r="C23" s="61" t="s">
        <v>153</v>
      </c>
      <c r="D23" s="69">
        <v>43.5</v>
      </c>
      <c r="E23" s="6">
        <v>0.5</v>
      </c>
      <c r="F23" s="6">
        <v>70</v>
      </c>
      <c r="G23" s="72">
        <f t="shared" si="3"/>
        <v>21.75</v>
      </c>
      <c r="H23" s="74">
        <f t="shared" si="4"/>
        <v>1522.5</v>
      </c>
      <c r="I23" s="65">
        <f t="shared" si="5"/>
        <v>0.58103138434387736</v>
      </c>
      <c r="J23" s="66">
        <f t="shared" si="14"/>
        <v>22.331031384343877</v>
      </c>
      <c r="K23" s="66">
        <f t="shared" si="7"/>
        <v>1563.1721969040714</v>
      </c>
      <c r="L23" s="73">
        <v>30</v>
      </c>
      <c r="M23" s="64">
        <f t="shared" si="8"/>
        <v>2100</v>
      </c>
      <c r="N23" s="64">
        <f t="shared" si="9"/>
        <v>2070</v>
      </c>
      <c r="O23" s="68">
        <f t="shared" si="10"/>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f>SUMIFS('Tổng Đơn'!$F:$F,'Tổng Đơn'!$B:$B,$C23)</f>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1"/>
        <v>0</v>
      </c>
    </row>
    <row r="24" spans="1:50" ht="18.75" x14ac:dyDescent="0.25">
      <c r="A24" s="59">
        <f t="shared" ca="1" si="2"/>
        <v>0</v>
      </c>
      <c r="B24" s="6">
        <v>20</v>
      </c>
      <c r="C24" s="61" t="s">
        <v>151</v>
      </c>
      <c r="D24" s="69">
        <v>39</v>
      </c>
      <c r="E24" s="6">
        <v>1</v>
      </c>
      <c r="F24" s="6">
        <f>105+35+40+30+50+15</f>
        <v>275</v>
      </c>
      <c r="G24" s="72">
        <f t="shared" si="3"/>
        <v>39</v>
      </c>
      <c r="H24" s="74">
        <f t="shared" si="4"/>
        <v>10725</v>
      </c>
      <c r="I24" s="65">
        <f t="shared" si="5"/>
        <v>1.0418493788235041</v>
      </c>
      <c r="J24" s="66">
        <f t="shared" si="14"/>
        <v>40.041849378823507</v>
      </c>
      <c r="K24" s="66">
        <f t="shared" si="7"/>
        <v>11011.508579176465</v>
      </c>
      <c r="L24" s="73">
        <v>45</v>
      </c>
      <c r="M24" s="64">
        <f t="shared" si="8"/>
        <v>12375</v>
      </c>
      <c r="N24" s="64">
        <f t="shared" ca="1" si="9"/>
        <v>12420</v>
      </c>
      <c r="O24" s="68">
        <f t="shared" ca="1" si="10"/>
        <v>0</v>
      </c>
      <c r="P24" s="58">
        <v>-1</v>
      </c>
      <c r="Q24" s="58">
        <v>276</v>
      </c>
      <c r="R24" s="61">
        <v>0</v>
      </c>
      <c r="S24" s="61">
        <v>0</v>
      </c>
      <c r="T24" s="61">
        <v>0</v>
      </c>
      <c r="U24" s="61">
        <v>0</v>
      </c>
      <c r="V24" s="61">
        <v>0</v>
      </c>
      <c r="W24" s="61">
        <v>0</v>
      </c>
      <c r="X24" s="61">
        <v>0</v>
      </c>
      <c r="Y24" s="61">
        <v>0</v>
      </c>
      <c r="Z24" s="61">
        <v>0</v>
      </c>
      <c r="AA24" s="61">
        <v>0</v>
      </c>
      <c r="AB24" s="61">
        <v>0</v>
      </c>
      <c r="AC24" s="61">
        <v>0</v>
      </c>
      <c r="AD24" s="61">
        <v>0</v>
      </c>
      <c r="AE24" s="61">
        <v>0</v>
      </c>
      <c r="AF24" s="61">
        <v>0</v>
      </c>
      <c r="AG24" s="61">
        <f ca="1">SUMIFS('Tổng Đơn'!$F:$F,'Tổng Đơn'!$B:$B,$C24)</f>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1"/>
        <v>0</v>
      </c>
    </row>
    <row r="25" spans="1:50" ht="18.75" x14ac:dyDescent="0.25">
      <c r="A25" s="59">
        <f t="shared" ca="1" si="2"/>
        <v>2158.6663671532415</v>
      </c>
      <c r="B25" s="6">
        <v>21</v>
      </c>
      <c r="C25" s="61" t="s">
        <v>149</v>
      </c>
      <c r="D25" s="69">
        <v>145</v>
      </c>
      <c r="E25" s="6">
        <v>0.5</v>
      </c>
      <c r="F25" s="6">
        <f>76+40+40+20+20+40+20+20+40+30+30</f>
        <v>376</v>
      </c>
      <c r="G25" s="72">
        <f t="shared" si="3"/>
        <v>72.5</v>
      </c>
      <c r="H25" s="74">
        <f t="shared" si="4"/>
        <v>27260</v>
      </c>
      <c r="I25" s="65">
        <f t="shared" si="5"/>
        <v>1.9367712811462579</v>
      </c>
      <c r="J25" s="66">
        <f>G25+I25</f>
        <v>74.436771281146264</v>
      </c>
      <c r="K25" s="66">
        <f t="shared" si="7"/>
        <v>27988.226001710995</v>
      </c>
      <c r="L25" s="73">
        <v>80</v>
      </c>
      <c r="M25" s="64">
        <f t="shared" si="8"/>
        <v>30080</v>
      </c>
      <c r="N25" s="64">
        <f t="shared" ca="1" si="9"/>
        <v>27680</v>
      </c>
      <c r="O25" s="68">
        <f t="shared" ca="1" si="10"/>
        <v>29</v>
      </c>
      <c r="P25" s="58">
        <v>1</v>
      </c>
      <c r="Q25" s="58">
        <v>315</v>
      </c>
      <c r="R25" s="61">
        <v>5</v>
      </c>
      <c r="S25" s="61">
        <v>1</v>
      </c>
      <c r="T25" s="61">
        <v>2</v>
      </c>
      <c r="U25" s="61">
        <v>0</v>
      </c>
      <c r="V25" s="61">
        <v>5</v>
      </c>
      <c r="W25" s="61">
        <v>3</v>
      </c>
      <c r="X25" s="61">
        <v>0</v>
      </c>
      <c r="Y25" s="61">
        <v>1</v>
      </c>
      <c r="Z25" s="61">
        <v>1</v>
      </c>
      <c r="AA25" s="61">
        <v>2</v>
      </c>
      <c r="AB25" s="61">
        <v>1</v>
      </c>
      <c r="AC25" s="61">
        <v>5</v>
      </c>
      <c r="AD25" s="61">
        <v>2</v>
      </c>
      <c r="AE25" s="61">
        <v>0</v>
      </c>
      <c r="AF25" s="61">
        <v>3</v>
      </c>
      <c r="AG25" s="61">
        <f ca="1">SUMIFS('Tổng Đơn'!$F:$F,'Tổng Đơn'!$B:$B,$C25)</f>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1"/>
        <v>0</v>
      </c>
    </row>
    <row r="26" spans="1:50" ht="18.75" x14ac:dyDescent="0.25">
      <c r="A26" s="59">
        <f t="shared" ca="1" si="2"/>
        <v>360.37664440941154</v>
      </c>
      <c r="B26" s="6">
        <v>22</v>
      </c>
      <c r="C26" s="61" t="s">
        <v>253</v>
      </c>
      <c r="D26" s="69">
        <v>78</v>
      </c>
      <c r="E26" s="6">
        <v>0.5</v>
      </c>
      <c r="F26" s="6">
        <f>27+20</f>
        <v>47</v>
      </c>
      <c r="G26" s="72">
        <f t="shared" si="3"/>
        <v>39</v>
      </c>
      <c r="H26" s="74">
        <f t="shared" si="4"/>
        <v>1833</v>
      </c>
      <c r="I26" s="65">
        <f t="shared" ref="I26:I30" si="15">((H26/$H$4)*$A$2)/F26</f>
        <v>1.0418493788235041</v>
      </c>
      <c r="J26" s="66">
        <f t="shared" ref="J26:J30" si="16">G26+I26</f>
        <v>40.041849378823507</v>
      </c>
      <c r="K26" s="66">
        <f t="shared" ref="K26:K30" si="17">J26*F26</f>
        <v>1881.9669208047048</v>
      </c>
      <c r="L26" s="73">
        <v>44</v>
      </c>
      <c r="M26" s="64">
        <f t="shared" si="8"/>
        <v>2068</v>
      </c>
      <c r="N26" s="64">
        <f t="shared" ca="1" si="9"/>
        <v>1672</v>
      </c>
      <c r="O26" s="68">
        <f t="shared" ca="1" si="10"/>
        <v>9</v>
      </c>
      <c r="P26" s="58"/>
      <c r="Q26" s="58">
        <v>31</v>
      </c>
      <c r="R26" s="61">
        <v>0</v>
      </c>
      <c r="S26" s="61">
        <v>0</v>
      </c>
      <c r="T26" s="61">
        <v>0</v>
      </c>
      <c r="U26" s="61">
        <v>0</v>
      </c>
      <c r="V26" s="61">
        <v>0</v>
      </c>
      <c r="W26" s="61">
        <v>0</v>
      </c>
      <c r="X26" s="61">
        <v>0</v>
      </c>
      <c r="Y26" s="61">
        <v>0</v>
      </c>
      <c r="Z26" s="61">
        <v>1</v>
      </c>
      <c r="AA26" s="61">
        <v>3</v>
      </c>
      <c r="AB26" s="61">
        <v>0</v>
      </c>
      <c r="AC26" s="61">
        <v>0</v>
      </c>
      <c r="AD26" s="61">
        <v>0</v>
      </c>
      <c r="AE26" s="61">
        <v>3</v>
      </c>
      <c r="AF26" s="61">
        <v>0</v>
      </c>
      <c r="AG26" s="61">
        <f ca="1">SUMIFS('Tổng Đơn'!$F:$F,'Tổng Đơn'!$B:$B,$C26)</f>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1"/>
        <v>0</v>
      </c>
    </row>
    <row r="27" spans="1:50" ht="18.75" x14ac:dyDescent="0.25">
      <c r="A27" s="59">
        <f t="shared" ca="1" si="2"/>
        <v>363.45678666932105</v>
      </c>
      <c r="B27" s="6">
        <v>23</v>
      </c>
      <c r="C27" s="61" t="s">
        <v>156</v>
      </c>
      <c r="D27" s="69">
        <v>59</v>
      </c>
      <c r="E27" s="6">
        <v>0.5</v>
      </c>
      <c r="F27" s="6">
        <f>10+10+20</f>
        <v>40</v>
      </c>
      <c r="G27" s="72">
        <f t="shared" si="3"/>
        <v>29.5</v>
      </c>
      <c r="H27" s="74">
        <f t="shared" si="4"/>
        <v>1180</v>
      </c>
      <c r="I27" s="65">
        <f t="shared" si="15"/>
        <v>0.78806555577675319</v>
      </c>
      <c r="J27" s="66">
        <f t="shared" si="16"/>
        <v>30.288065555776754</v>
      </c>
      <c r="K27" s="66">
        <f t="shared" si="17"/>
        <v>1211.5226222310703</v>
      </c>
      <c r="L27" s="73">
        <v>35</v>
      </c>
      <c r="M27" s="64">
        <f t="shared" si="8"/>
        <v>1400</v>
      </c>
      <c r="N27" s="64">
        <f t="shared" ca="1" si="9"/>
        <v>770</v>
      </c>
      <c r="O27" s="68">
        <f t="shared" ca="1" si="10"/>
        <v>12</v>
      </c>
      <c r="P27" s="58">
        <v>6</v>
      </c>
      <c r="Q27" s="58">
        <v>22</v>
      </c>
      <c r="R27" s="61">
        <v>0</v>
      </c>
      <c r="S27" s="61">
        <v>0</v>
      </c>
      <c r="T27" s="61">
        <v>0</v>
      </c>
      <c r="U27" s="61">
        <v>0</v>
      </c>
      <c r="V27" s="61">
        <v>0</v>
      </c>
      <c r="W27" s="61">
        <v>0</v>
      </c>
      <c r="X27" s="61">
        <v>0</v>
      </c>
      <c r="Y27" s="61">
        <v>0</v>
      </c>
      <c r="Z27" s="61">
        <v>0</v>
      </c>
      <c r="AA27" s="61">
        <v>0</v>
      </c>
      <c r="AB27" s="61">
        <v>0</v>
      </c>
      <c r="AC27" s="61">
        <v>0</v>
      </c>
      <c r="AD27" s="61">
        <v>0</v>
      </c>
      <c r="AE27" s="61">
        <v>0</v>
      </c>
      <c r="AF27" s="61">
        <v>0</v>
      </c>
      <c r="AG27" s="61">
        <f ca="1">SUMIFS('Tổng Đơn'!$F:$F,'Tổng Đơn'!$B:$B,$C27)</f>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1"/>
        <v>0</v>
      </c>
    </row>
    <row r="28" spans="1:50" ht="18.75" x14ac:dyDescent="0.25">
      <c r="A28" s="59">
        <f t="shared" ca="1" si="2"/>
        <v>646.82987458099501</v>
      </c>
      <c r="B28" s="6">
        <v>24</v>
      </c>
      <c r="C28" s="61" t="s">
        <v>157</v>
      </c>
      <c r="D28" s="69">
        <v>63</v>
      </c>
      <c r="E28" s="6">
        <v>0.5</v>
      </c>
      <c r="F28" s="6">
        <f>30+20+20+13+10+10+20</f>
        <v>123</v>
      </c>
      <c r="G28" s="225">
        <f t="shared" si="3"/>
        <v>31.5</v>
      </c>
      <c r="H28" s="74">
        <f t="shared" si="4"/>
        <v>3874.5</v>
      </c>
      <c r="I28" s="65">
        <f t="shared" si="15"/>
        <v>0.84149372904975328</v>
      </c>
      <c r="J28" s="66">
        <f t="shared" si="16"/>
        <v>32.341493729049752</v>
      </c>
      <c r="K28" s="66">
        <f t="shared" si="17"/>
        <v>3978.0037286731194</v>
      </c>
      <c r="L28" s="73">
        <v>38</v>
      </c>
      <c r="M28" s="64">
        <f t="shared" si="8"/>
        <v>4674</v>
      </c>
      <c r="N28" s="64">
        <f t="shared" ca="1" si="9"/>
        <v>3876</v>
      </c>
      <c r="O28" s="68">
        <f t="shared" ca="1" si="10"/>
        <v>20</v>
      </c>
      <c r="P28" s="58">
        <v>1</v>
      </c>
      <c r="Q28" s="58">
        <v>97</v>
      </c>
      <c r="R28" s="61">
        <v>0</v>
      </c>
      <c r="S28" s="61">
        <v>0</v>
      </c>
      <c r="T28" s="61">
        <v>0</v>
      </c>
      <c r="U28" s="61">
        <v>0</v>
      </c>
      <c r="V28" s="61">
        <v>0</v>
      </c>
      <c r="W28" s="61">
        <v>0</v>
      </c>
      <c r="X28" s="61">
        <v>0</v>
      </c>
      <c r="Y28" s="61">
        <v>0</v>
      </c>
      <c r="Z28" s="61">
        <v>5</v>
      </c>
      <c r="AA28" s="61">
        <v>0</v>
      </c>
      <c r="AB28" s="61">
        <v>0</v>
      </c>
      <c r="AC28" s="61">
        <v>0</v>
      </c>
      <c r="AD28" s="61">
        <v>0</v>
      </c>
      <c r="AE28" s="61">
        <v>0</v>
      </c>
      <c r="AF28" s="61">
        <v>0</v>
      </c>
      <c r="AG28" s="61">
        <f ca="1">SUMIFS('Tổng Đơn'!$F:$F,'Tổng Đơn'!$B:$B,$C28)</f>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1"/>
        <v>0</v>
      </c>
    </row>
    <row r="29" spans="1:50" ht="18.75" x14ac:dyDescent="0.25">
      <c r="A29" s="59">
        <f t="shared" ca="1" si="2"/>
        <v>1832.6846446461525</v>
      </c>
      <c r="B29" s="6">
        <v>25</v>
      </c>
      <c r="C29" s="61" t="s">
        <v>179</v>
      </c>
      <c r="D29" s="69">
        <v>85</v>
      </c>
      <c r="E29" s="6">
        <v>0.5</v>
      </c>
      <c r="F29" s="6">
        <f>50+40+40+30+20+20</f>
        <v>200</v>
      </c>
      <c r="G29" s="224">
        <f>D29/(1/E29)</f>
        <v>42.5</v>
      </c>
      <c r="H29" s="74">
        <f t="shared" si="4"/>
        <v>8500</v>
      </c>
      <c r="I29" s="65">
        <f t="shared" si="15"/>
        <v>1.1353486820512544</v>
      </c>
      <c r="J29" s="66">
        <f t="shared" si="16"/>
        <v>43.635348682051252</v>
      </c>
      <c r="K29" s="66">
        <f t="shared" si="17"/>
        <v>8727.0697364102507</v>
      </c>
      <c r="L29" s="73">
        <v>47</v>
      </c>
      <c r="M29" s="64">
        <f t="shared" si="8"/>
        <v>9400</v>
      </c>
      <c r="N29" s="64">
        <f t="shared" ca="1" si="9"/>
        <v>7379</v>
      </c>
      <c r="O29" s="68">
        <f t="shared" ca="1" si="10"/>
        <v>42</v>
      </c>
      <c r="P29" s="58">
        <v>1</v>
      </c>
      <c r="Q29" s="58">
        <v>149</v>
      </c>
      <c r="R29" s="61">
        <v>2</v>
      </c>
      <c r="S29" s="61">
        <v>0</v>
      </c>
      <c r="T29" s="61">
        <v>1</v>
      </c>
      <c r="U29" s="61">
        <v>0</v>
      </c>
      <c r="V29" s="61">
        <v>0</v>
      </c>
      <c r="W29" s="61">
        <v>0</v>
      </c>
      <c r="X29" s="61">
        <v>0</v>
      </c>
      <c r="Y29" s="61">
        <v>1</v>
      </c>
      <c r="Z29" s="61">
        <v>0</v>
      </c>
      <c r="AA29" s="61">
        <v>1</v>
      </c>
      <c r="AB29" s="61">
        <v>0</v>
      </c>
      <c r="AC29" s="61">
        <v>1</v>
      </c>
      <c r="AD29" s="61">
        <v>0</v>
      </c>
      <c r="AE29" s="61">
        <v>0</v>
      </c>
      <c r="AF29" s="61">
        <v>2</v>
      </c>
      <c r="AG29" s="61">
        <f ca="1">SUMIFS('Tổng Đơn'!$F:$F,'Tổng Đơn'!$B:$B,$C29)</f>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1"/>
        <v>0</v>
      </c>
    </row>
    <row r="30" spans="1:50" ht="18.75" x14ac:dyDescent="0.25">
      <c r="A30" s="59">
        <f t="shared" ca="1" si="2"/>
        <v>401.95856491818978</v>
      </c>
      <c r="B30" s="6">
        <v>26</v>
      </c>
      <c r="C30" s="61" t="s">
        <v>182</v>
      </c>
      <c r="D30" s="69">
        <v>87</v>
      </c>
      <c r="E30" s="6">
        <v>0.5</v>
      </c>
      <c r="F30" s="6">
        <v>20</v>
      </c>
      <c r="G30" s="72">
        <f>D30/2</f>
        <v>43.5</v>
      </c>
      <c r="H30" s="74">
        <f t="shared" si="4"/>
        <v>870</v>
      </c>
      <c r="I30" s="65">
        <f t="shared" si="15"/>
        <v>1.1620627686877545</v>
      </c>
      <c r="J30" s="66">
        <f t="shared" si="16"/>
        <v>44.662062768687754</v>
      </c>
      <c r="K30" s="66">
        <f t="shared" si="17"/>
        <v>893.24125537375505</v>
      </c>
      <c r="L30" s="73">
        <v>50</v>
      </c>
      <c r="M30" s="64">
        <f t="shared" si="8"/>
        <v>1000</v>
      </c>
      <c r="N30" s="64">
        <f t="shared" ca="1" si="9"/>
        <v>550</v>
      </c>
      <c r="O30" s="68">
        <f t="shared" ca="1" si="10"/>
        <v>9</v>
      </c>
      <c r="P30" s="58"/>
      <c r="Q30" s="58">
        <v>11</v>
      </c>
      <c r="R30" s="61">
        <v>0</v>
      </c>
      <c r="S30" s="61">
        <v>0</v>
      </c>
      <c r="T30" s="61">
        <v>0</v>
      </c>
      <c r="U30" s="61">
        <v>0</v>
      </c>
      <c r="V30" s="61">
        <v>0</v>
      </c>
      <c r="W30" s="61">
        <v>0</v>
      </c>
      <c r="X30" s="61">
        <v>0</v>
      </c>
      <c r="Y30" s="61">
        <v>0</v>
      </c>
      <c r="Z30" s="61">
        <v>0</v>
      </c>
      <c r="AA30" s="61">
        <v>0</v>
      </c>
      <c r="AB30" s="61">
        <v>0</v>
      </c>
      <c r="AC30" s="61">
        <v>0</v>
      </c>
      <c r="AD30" s="61">
        <v>0</v>
      </c>
      <c r="AE30" s="61">
        <v>0</v>
      </c>
      <c r="AF30" s="61">
        <v>0</v>
      </c>
      <c r="AG30" s="61">
        <f ca="1">SUMIFS('Tổng Đơn'!$F:$F,'Tổng Đơn'!$B:$B,$C30)</f>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1"/>
        <v>0</v>
      </c>
    </row>
    <row r="31" spans="1:50" ht="18.75" x14ac:dyDescent="0.25">
      <c r="A31" s="59">
        <f t="shared" ca="1" si="2"/>
        <v>532.35125392102532</v>
      </c>
      <c r="B31" s="6">
        <v>27</v>
      </c>
      <c r="C31" s="61" t="s">
        <v>294</v>
      </c>
      <c r="D31" s="69">
        <v>61</v>
      </c>
      <c r="E31" s="6">
        <v>0.5</v>
      </c>
      <c r="F31" s="6">
        <v>20</v>
      </c>
      <c r="G31" s="72">
        <f>D31/2</f>
        <v>30.5</v>
      </c>
      <c r="H31" s="74">
        <f t="shared" ref="H31" si="18">G31*F31</f>
        <v>610</v>
      </c>
      <c r="I31" s="65">
        <f t="shared" ref="I31" si="19">((H31/$H$4)*$A$2)/F31</f>
        <v>0.81477964241325318</v>
      </c>
      <c r="J31" s="66">
        <f t="shared" ref="J31" si="20">G31+I31</f>
        <v>31.314779642413253</v>
      </c>
      <c r="K31" s="66">
        <f t="shared" ref="K31" si="21">J31*F31</f>
        <v>626.29559284826507</v>
      </c>
      <c r="L31" s="73">
        <v>35</v>
      </c>
      <c r="M31" s="64">
        <f t="shared" si="8"/>
        <v>700</v>
      </c>
      <c r="N31" s="64">
        <f t="shared" ca="1" si="9"/>
        <v>105</v>
      </c>
      <c r="O31" s="68">
        <f t="shared" ca="1" si="10"/>
        <v>17</v>
      </c>
      <c r="P31" s="58"/>
      <c r="Q31" s="58">
        <v>0</v>
      </c>
      <c r="R31" s="61">
        <v>0</v>
      </c>
      <c r="S31" s="61">
        <v>0</v>
      </c>
      <c r="T31" s="61">
        <v>0</v>
      </c>
      <c r="U31" s="61">
        <v>0</v>
      </c>
      <c r="V31" s="61">
        <v>0</v>
      </c>
      <c r="W31" s="61">
        <v>0</v>
      </c>
      <c r="X31" s="61">
        <v>0</v>
      </c>
      <c r="Y31" s="61">
        <v>0</v>
      </c>
      <c r="Z31" s="61">
        <v>0</v>
      </c>
      <c r="AA31" s="61">
        <v>1</v>
      </c>
      <c r="AB31" s="61">
        <v>0</v>
      </c>
      <c r="AC31" s="61">
        <v>0</v>
      </c>
      <c r="AD31" s="61">
        <v>1</v>
      </c>
      <c r="AE31" s="61">
        <v>0</v>
      </c>
      <c r="AF31" s="61">
        <v>0</v>
      </c>
      <c r="AG31" s="61">
        <f ca="1">SUMIFS('Tổng Đơn'!$F:$F,'Tổng Đơn'!$B:$B,$C31)</f>
        <v>1</v>
      </c>
      <c r="AH31" s="61">
        <v>0</v>
      </c>
      <c r="AI31" s="61">
        <v>0</v>
      </c>
      <c r="AJ31" s="61">
        <v>0</v>
      </c>
      <c r="AK31" s="61">
        <v>0</v>
      </c>
      <c r="AL31" s="61">
        <v>0</v>
      </c>
      <c r="AM31" s="61">
        <v>0</v>
      </c>
      <c r="AN31" s="61">
        <v>0</v>
      </c>
      <c r="AO31" s="61">
        <v>0</v>
      </c>
      <c r="AP31" s="61">
        <v>0</v>
      </c>
      <c r="AQ31" s="61">
        <v>0</v>
      </c>
      <c r="AR31" s="61">
        <v>0</v>
      </c>
      <c r="AS31" s="61">
        <v>0</v>
      </c>
      <c r="AT31" s="61">
        <v>0</v>
      </c>
      <c r="AU31" s="61">
        <v>0</v>
      </c>
      <c r="AV31" s="61">
        <v>0</v>
      </c>
      <c r="AW31" s="59">
        <v>0</v>
      </c>
      <c r="AX31" s="59">
        <f t="shared" si="11"/>
        <v>0</v>
      </c>
    </row>
    <row r="32" spans="1:50" ht="18.75" x14ac:dyDescent="0.25">
      <c r="A32" s="59">
        <f t="shared" si="2"/>
        <v>0</v>
      </c>
      <c r="B32" s="6"/>
      <c r="C32" s="61"/>
      <c r="D32" s="69"/>
      <c r="E32" s="6"/>
      <c r="F32" s="6"/>
      <c r="G32" s="72"/>
      <c r="H32" s="74"/>
      <c r="I32" s="65"/>
      <c r="J32" s="66"/>
      <c r="K32" s="66"/>
      <c r="L32" s="73"/>
      <c r="M32" s="64"/>
      <c r="N32" s="64"/>
      <c r="O32" s="68"/>
      <c r="P32" s="58"/>
      <c r="Q32" s="58"/>
      <c r="R32" s="61"/>
      <c r="S32" s="61"/>
      <c r="T32" s="61"/>
      <c r="U32" s="61"/>
      <c r="V32" s="61"/>
      <c r="W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59">
        <v>0</v>
      </c>
      <c r="AX32" s="59">
        <f t="shared" si="11"/>
        <v>0</v>
      </c>
    </row>
    <row r="33" spans="1:50" ht="18.75" x14ac:dyDescent="0.25">
      <c r="A33" s="59">
        <f t="shared" si="2"/>
        <v>0</v>
      </c>
      <c r="B33" s="192" t="s">
        <v>262</v>
      </c>
      <c r="C33" s="191" t="s">
        <v>264</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1"/>
        <v>0</v>
      </c>
    </row>
    <row r="34" spans="1:50" ht="18.75" x14ac:dyDescent="0.25">
      <c r="A34" s="59">
        <f t="shared" si="2"/>
        <v>0</v>
      </c>
      <c r="B34" s="192" t="s">
        <v>262</v>
      </c>
      <c r="C34" s="191" t="s">
        <v>263</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1"/>
        <v>0</v>
      </c>
    </row>
  </sheetData>
  <autoFilter ref="B4:AW34"/>
  <mergeCells count="1">
    <mergeCell ref="B1:M1"/>
  </mergeCells>
  <conditionalFormatting sqref="C6:C19">
    <cfRule type="expression" dxfId="590" priority="25">
      <formula>($O6/$O6)&lt;=1/4</formula>
    </cfRule>
  </conditionalFormatting>
  <conditionalFormatting sqref="C20">
    <cfRule type="expression" dxfId="589" priority="24">
      <formula>($O20/$O20)&lt;=1/4</formula>
    </cfRule>
  </conditionalFormatting>
  <conditionalFormatting sqref="C21">
    <cfRule type="expression" dxfId="588" priority="22">
      <formula>($O21/$O21)&lt;=1/4</formula>
    </cfRule>
  </conditionalFormatting>
  <conditionalFormatting sqref="C22">
    <cfRule type="expression" dxfId="587" priority="20">
      <formula>($O22/$O22)&lt;=1/4</formula>
    </cfRule>
  </conditionalFormatting>
  <conditionalFormatting sqref="C23">
    <cfRule type="expression" dxfId="586" priority="18">
      <formula>($O23/$O23)&lt;=1/4</formula>
    </cfRule>
  </conditionalFormatting>
  <conditionalFormatting sqref="C24:C25">
    <cfRule type="expression" dxfId="585" priority="16">
      <formula>($O24/$O24)&lt;=1/4</formula>
    </cfRule>
  </conditionalFormatting>
  <conditionalFormatting sqref="C26">
    <cfRule type="expression" dxfId="584" priority="14">
      <formula>($O26/$O26)&lt;=1/4</formula>
    </cfRule>
  </conditionalFormatting>
  <conditionalFormatting sqref="C27:C28">
    <cfRule type="expression" dxfId="583" priority="12">
      <formula>($O27/$O27)&lt;=1/4</formula>
    </cfRule>
  </conditionalFormatting>
  <conditionalFormatting sqref="C29">
    <cfRule type="expression" dxfId="582" priority="9">
      <formula>($O29/$O29)&lt;=1/4</formula>
    </cfRule>
  </conditionalFormatting>
  <conditionalFormatting sqref="C30:C32">
    <cfRule type="expression" dxfId="581" priority="7">
      <formula>($O30/$O30)&lt;=1/4</formula>
    </cfRule>
  </conditionalFormatting>
  <conditionalFormatting sqref="C5:C32">
    <cfRule type="expression" dxfId="58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C17" activePane="bottomRight" state="frozen"/>
      <selection activeCell="A2" sqref="A2"/>
      <selection pane="topRight" activeCell="R2" sqref="R2"/>
      <selection pane="bottomLeft" activeCell="A5" sqref="A5"/>
      <selection pane="bottomRight" activeCell="AF5" sqref="AF5:AF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34.5" customHeight="1" x14ac:dyDescent="0.25">
      <c r="A2" s="1">
        <f>370+100+80+150+170+60+300+200+40+180+50+100+30+60+30+160+60+70+70+30+50+60+40+20+90+40+30+70+40+20+60+50+60+20+20+40+60</f>
        <v>3080</v>
      </c>
      <c r="F2" s="13">
        <f>SUMPRODUCT((E5:E18)*(F5:F18))</f>
        <v>1037.5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20503.91434950543</v>
      </c>
      <c r="B4" s="16"/>
      <c r="C4" s="16"/>
      <c r="D4" s="47"/>
      <c r="E4" s="16">
        <f>SUMPRODUCT((E5:E27)*(F5:F27))</f>
        <v>1888.2</v>
      </c>
      <c r="F4" s="16">
        <f>SUBTOTAL(9,F5:F27)</f>
        <v>4136</v>
      </c>
      <c r="G4" s="7"/>
      <c r="H4" s="7">
        <f>SUBTOTAL(9,H5:H27)+H2</f>
        <v>137178.78947368421</v>
      </c>
      <c r="I4" s="12"/>
      <c r="J4" s="12"/>
      <c r="K4" s="12">
        <f>SUBTOTAL(9,K5:K27)+K2</f>
        <v>140259.74904511435</v>
      </c>
      <c r="L4" s="48"/>
      <c r="M4" s="7">
        <f>SUBTOTAL(9,M5:M27)+M2</f>
        <v>165190</v>
      </c>
      <c r="N4" s="7">
        <f ca="1">SUBTOTAL(9,N5:N27)+N2</f>
        <v>140813</v>
      </c>
      <c r="O4" s="49">
        <f ca="1">SUBTOTAL(9,O5:O27)</f>
        <v>499</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ca="1" si="1"/>
        <v>6</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1352.7045922014183</v>
      </c>
      <c r="B5" s="6">
        <v>1</v>
      </c>
      <c r="C5" s="61" t="s">
        <v>139</v>
      </c>
      <c r="D5" s="69">
        <f>G5*2</f>
        <v>63</v>
      </c>
      <c r="E5" s="62">
        <v>0.5</v>
      </c>
      <c r="F5" s="113">
        <f>160+41+55+72+72+48+24+120+24+24</f>
        <v>640</v>
      </c>
      <c r="G5" s="63">
        <v>31.5</v>
      </c>
      <c r="H5" s="64">
        <f t="shared" ref="H5:H19" si="3">G5*F5</f>
        <v>20160</v>
      </c>
      <c r="I5" s="65">
        <f t="shared" ref="I5:I19" si="4">((H5/$H$4)*$A$2)/F5</f>
        <v>0.70725219527186378</v>
      </c>
      <c r="J5" s="139">
        <f t="shared" ref="J5:J17" si="5">G5+I5</f>
        <v>32.207252195271863</v>
      </c>
      <c r="K5" s="66">
        <f>J5*F5</f>
        <v>20612.641404973991</v>
      </c>
      <c r="L5" s="70">
        <v>45</v>
      </c>
      <c r="M5" s="64">
        <f t="shared" ref="M5:M18" si="6">L5*F5</f>
        <v>28800</v>
      </c>
      <c r="N5" s="64">
        <f t="shared" ref="N5:N25" ca="1" si="7">SUMPRODUCT(($Q5:$AV5)*$L5)</f>
        <v>26820</v>
      </c>
      <c r="O5" s="71">
        <f t="shared" ref="O5:O25" ca="1" si="8">F5-SUM(Q5:AV5)-P5</f>
        <v>42</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f ca="1">SUMIFS('Tổng Đơn'!$F:$F,'Tổng Đơn'!$B:$B,$C5)</f>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1532.1449972893615</v>
      </c>
      <c r="B6" s="6">
        <v>2</v>
      </c>
      <c r="C6" s="61" t="s">
        <v>256</v>
      </c>
      <c r="D6" s="69">
        <f t="shared" ref="D6:D11" si="10">G6*2</f>
        <v>81</v>
      </c>
      <c r="E6" s="62">
        <v>0.5</v>
      </c>
      <c r="F6" s="113">
        <f>20+60+20+20+20+20+20+20</f>
        <v>200</v>
      </c>
      <c r="G6" s="63">
        <v>40.5</v>
      </c>
      <c r="H6" s="64">
        <f t="shared" si="3"/>
        <v>8100</v>
      </c>
      <c r="I6" s="65">
        <f t="shared" si="4"/>
        <v>0.90932425106382486</v>
      </c>
      <c r="J6" s="139">
        <f t="shared" si="5"/>
        <v>41.409324251063822</v>
      </c>
      <c r="K6" s="66">
        <f t="shared" ref="K6:K17" si="11">J6*F6</f>
        <v>8281.8648502127653</v>
      </c>
      <c r="L6" s="70">
        <v>46</v>
      </c>
      <c r="M6" s="64">
        <f t="shared" si="6"/>
        <v>9200</v>
      </c>
      <c r="N6" s="64">
        <f t="shared" ca="1" si="7"/>
        <v>7452</v>
      </c>
      <c r="O6" s="71">
        <f t="shared" ca="1" si="8"/>
        <v>37</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f ca="1">SUMIFS('Tổng Đơn'!$F:$F,'Tổng Đơn'!$B:$B,$C6)</f>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963.66143473154693</v>
      </c>
      <c r="B7" s="6">
        <v>3</v>
      </c>
      <c r="C7" s="61" t="s">
        <v>27</v>
      </c>
      <c r="D7" s="69">
        <f t="shared" si="10"/>
        <v>65</v>
      </c>
      <c r="E7" s="62">
        <v>0.5</v>
      </c>
      <c r="F7" s="113">
        <f>120+40+40+40</f>
        <v>240</v>
      </c>
      <c r="G7" s="63">
        <v>32.5</v>
      </c>
      <c r="H7" s="64">
        <f t="shared" si="3"/>
        <v>7800</v>
      </c>
      <c r="I7" s="65">
        <f t="shared" si="4"/>
        <v>0.72970464591541506</v>
      </c>
      <c r="J7" s="139">
        <f t="shared" si="5"/>
        <v>33.229704645915412</v>
      </c>
      <c r="K7" s="66">
        <f t="shared" si="11"/>
        <v>7975.1291150196985</v>
      </c>
      <c r="L7" s="70">
        <v>38</v>
      </c>
      <c r="M7" s="64">
        <f t="shared" si="6"/>
        <v>9120</v>
      </c>
      <c r="N7" s="64">
        <f t="shared" ca="1" si="7"/>
        <v>7942</v>
      </c>
      <c r="O7" s="71">
        <f t="shared" ca="1" si="8"/>
        <v>29</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f ca="1">SUMIFS('Tổng Đơn'!$F:$F,'Tổng Đơn'!$B:$B,$C7)</f>
        <v>1</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1145.1467447207774</v>
      </c>
      <c r="B8" s="6">
        <v>4</v>
      </c>
      <c r="C8" s="61" t="s">
        <v>26</v>
      </c>
      <c r="D8" s="69">
        <f t="shared" si="10"/>
        <v>80</v>
      </c>
      <c r="E8" s="62">
        <v>0.5</v>
      </c>
      <c r="F8" s="113">
        <f>70+30+20+30+20+20+20+30+10+10+20+20+30+30+20+10</f>
        <v>390</v>
      </c>
      <c r="G8" s="63">
        <v>40</v>
      </c>
      <c r="H8" s="64">
        <f t="shared" si="3"/>
        <v>15600</v>
      </c>
      <c r="I8" s="65">
        <f t="shared" si="4"/>
        <v>0.89809802574204933</v>
      </c>
      <c r="J8" s="139">
        <f t="shared" si="5"/>
        <v>40.898098025742051</v>
      </c>
      <c r="K8" s="66">
        <f t="shared" si="11"/>
        <v>15950.258230039401</v>
      </c>
      <c r="L8" s="70">
        <v>45</v>
      </c>
      <c r="M8" s="64">
        <f t="shared" si="6"/>
        <v>17550</v>
      </c>
      <c r="N8" s="64">
        <f t="shared" ca="1" si="7"/>
        <v>16245</v>
      </c>
      <c r="O8" s="71">
        <f t="shared" ca="1" si="8"/>
        <v>28</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f ca="1">SUMIFS('Tổng Đơn'!$F:$F,'Tổng Đơn'!$B:$B,$C8)</f>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1533.6786759653269</v>
      </c>
      <c r="B9" s="6">
        <v>5</v>
      </c>
      <c r="C9" s="61" t="s">
        <v>25</v>
      </c>
      <c r="D9" s="69">
        <f t="shared" si="10"/>
        <v>75</v>
      </c>
      <c r="E9" s="62">
        <v>0.5</v>
      </c>
      <c r="F9" s="113">
        <f>9+48+24+24+24+24+24</f>
        <v>177</v>
      </c>
      <c r="G9" s="63">
        <v>37.5</v>
      </c>
      <c r="H9" s="64">
        <f>G9*F9</f>
        <v>6637.5</v>
      </c>
      <c r="I9" s="65">
        <f>((H9/$H$4)*$A$2)/F9</f>
        <v>0.84196689913317124</v>
      </c>
      <c r="J9" s="139">
        <f t="shared" si="5"/>
        <v>38.341966899133169</v>
      </c>
      <c r="K9" s="66">
        <f t="shared" si="11"/>
        <v>6786.5281411465712</v>
      </c>
      <c r="L9" s="70">
        <v>42</v>
      </c>
      <c r="M9" s="64">
        <f t="shared" si="6"/>
        <v>7434</v>
      </c>
      <c r="N9" s="64">
        <f t="shared" ca="1" si="7"/>
        <v>5712</v>
      </c>
      <c r="O9" s="71">
        <f t="shared" ca="1" si="8"/>
        <v>40</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f ca="1">SUMIFS('Tổng Đơn'!$F:$F,'Tổng Đơn'!$B:$B,$C9)</f>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0.66234729398476133</v>
      </c>
      <c r="J10" s="139">
        <f t="shared" si="5"/>
        <v>30.162347293984762</v>
      </c>
      <c r="K10" s="66">
        <f t="shared" si="11"/>
        <v>3619.4816752781717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f ca="1">SUMIFS('Tổng Đơn'!$F:$F,'Tổng Đơn'!$B:$B,$C10)</f>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257</v>
      </c>
      <c r="D11" s="69">
        <f t="shared" si="10"/>
        <v>66</v>
      </c>
      <c r="E11" s="62">
        <v>0.5</v>
      </c>
      <c r="F11" s="113">
        <v>10</v>
      </c>
      <c r="G11" s="63">
        <v>33</v>
      </c>
      <c r="H11" s="64">
        <f t="shared" si="3"/>
        <v>330</v>
      </c>
      <c r="I11" s="65">
        <f t="shared" si="4"/>
        <v>0.74093087123719059</v>
      </c>
      <c r="J11" s="139">
        <f t="shared" si="5"/>
        <v>33.74093087123719</v>
      </c>
      <c r="K11" s="66">
        <f t="shared" si="11"/>
        <v>337.40930871237191</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f ca="1">SUMIFS('Tổng Đơn'!$F:$F,'Tổng Đơn'!$B:$B,$C11)</f>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0.63615276823395162</v>
      </c>
      <c r="J12" s="139">
        <f t="shared" si="5"/>
        <v>28.969486101567284</v>
      </c>
      <c r="K12" s="66">
        <f t="shared" si="11"/>
        <v>1042.9014996564222</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f>SUMIFS('Tổng Đơn'!$F:$F,'Tổng Đơn'!$B:$B,$C12)</f>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613.47147038613082</v>
      </c>
      <c r="B13" s="6">
        <v>9</v>
      </c>
      <c r="C13" s="61" t="s">
        <v>31</v>
      </c>
      <c r="D13" s="69">
        <f t="shared" ref="D13:D22" si="12">G13*2</f>
        <v>80</v>
      </c>
      <c r="E13" s="62">
        <v>0.5</v>
      </c>
      <c r="F13" s="113">
        <v>40</v>
      </c>
      <c r="G13" s="63">
        <v>40</v>
      </c>
      <c r="H13" s="64">
        <f t="shared" si="3"/>
        <v>1600</v>
      </c>
      <c r="I13" s="65">
        <f t="shared" si="4"/>
        <v>0.89809802574204922</v>
      </c>
      <c r="J13" s="139">
        <f t="shared" si="5"/>
        <v>40.898098025742051</v>
      </c>
      <c r="K13" s="66">
        <f t="shared" si="11"/>
        <v>1635.9239210296821</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f ca="1">SUMIFS('Tổng Đơn'!$F:$F,'Tổng Đơn'!$B:$B,$C13)</f>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1308.7391368237456</v>
      </c>
      <c r="B14" s="6">
        <v>10</v>
      </c>
      <c r="C14" s="61" t="s">
        <v>30</v>
      </c>
      <c r="D14" s="69">
        <f t="shared" si="12"/>
        <v>80</v>
      </c>
      <c r="E14" s="62">
        <v>0.5</v>
      </c>
      <c r="F14" s="113">
        <v>40</v>
      </c>
      <c r="G14" s="63">
        <v>40</v>
      </c>
      <c r="H14" s="64">
        <f t="shared" si="3"/>
        <v>1600</v>
      </c>
      <c r="I14" s="65">
        <f t="shared" si="4"/>
        <v>0.89809802574204922</v>
      </c>
      <c r="J14" s="139">
        <f t="shared" si="5"/>
        <v>40.898098025742051</v>
      </c>
      <c r="K14" s="66">
        <f t="shared" si="11"/>
        <v>1635.9239210296821</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f ca="1">SUMIFS('Tổng Đơn'!$F:$F,'Tổng Đơn'!$B:$B,$C14)</f>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736.16576446335694</v>
      </c>
      <c r="B15" s="6">
        <v>11</v>
      </c>
      <c r="C15" s="61" t="s">
        <v>29</v>
      </c>
      <c r="D15" s="69">
        <f t="shared" si="12"/>
        <v>80</v>
      </c>
      <c r="E15" s="62">
        <v>0.5</v>
      </c>
      <c r="F15" s="113">
        <v>40</v>
      </c>
      <c r="G15" s="63">
        <v>40</v>
      </c>
      <c r="H15" s="64">
        <f t="shared" si="3"/>
        <v>1600</v>
      </c>
      <c r="I15" s="65">
        <f t="shared" si="4"/>
        <v>0.89809802574204922</v>
      </c>
      <c r="J15" s="139">
        <f t="shared" si="5"/>
        <v>40.898098025742051</v>
      </c>
      <c r="K15" s="66">
        <f t="shared" si="11"/>
        <v>1635.9239210296821</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f ca="1">SUMIFS('Tổng Đơn'!$F:$F,'Tổng Đơn'!$B:$B,$C15)</f>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1063.3505486692934</v>
      </c>
      <c r="B16" s="6">
        <v>12</v>
      </c>
      <c r="C16" s="61" t="s">
        <v>28</v>
      </c>
      <c r="D16" s="69">
        <f t="shared" si="12"/>
        <v>80</v>
      </c>
      <c r="E16" s="62">
        <v>0.5</v>
      </c>
      <c r="F16" s="113">
        <v>40</v>
      </c>
      <c r="G16" s="63">
        <v>40</v>
      </c>
      <c r="H16" s="64">
        <f t="shared" si="3"/>
        <v>1600</v>
      </c>
      <c r="I16" s="65">
        <f t="shared" si="4"/>
        <v>0.89809802574204922</v>
      </c>
      <c r="J16" s="139">
        <f t="shared" si="5"/>
        <v>40.898098025742051</v>
      </c>
      <c r="K16" s="66">
        <f t="shared" si="11"/>
        <v>1635.9239210296821</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f ca="1">SUMIFS('Tổng Đơn'!$F:$F,'Tổng Đơn'!$B:$B,$C16)</f>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286.28668618019435</v>
      </c>
      <c r="B17" s="6">
        <v>13</v>
      </c>
      <c r="C17" s="61" t="s">
        <v>50</v>
      </c>
      <c r="D17" s="69">
        <f t="shared" si="12"/>
        <v>80</v>
      </c>
      <c r="E17" s="62">
        <v>0.5</v>
      </c>
      <c r="F17" s="113">
        <v>40</v>
      </c>
      <c r="G17" s="63">
        <v>40</v>
      </c>
      <c r="H17" s="64">
        <f t="shared" si="3"/>
        <v>1600</v>
      </c>
      <c r="I17" s="65">
        <f t="shared" si="4"/>
        <v>0.89809802574204922</v>
      </c>
      <c r="J17" s="139">
        <f t="shared" si="5"/>
        <v>40.898098025742051</v>
      </c>
      <c r="K17" s="66">
        <f t="shared" si="11"/>
        <v>1635.9239210296821</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f ca="1">SUMIFS('Tổng Đơn'!$F:$F,'Tổng Đơn'!$B:$B,$C17)</f>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417.12023989741192</v>
      </c>
      <c r="B18" s="6">
        <v>14</v>
      </c>
      <c r="C18" s="61" t="s">
        <v>126</v>
      </c>
      <c r="D18" s="69">
        <f t="shared" si="12"/>
        <v>54.39473684210526</v>
      </c>
      <c r="E18" s="62">
        <v>0.5</v>
      </c>
      <c r="F18" s="113">
        <f>80</f>
        <v>80</v>
      </c>
      <c r="G18" s="63">
        <f>1033.5/38</f>
        <v>27.19736842105263</v>
      </c>
      <c r="H18" s="64">
        <f t="shared" si="3"/>
        <v>2175.7894736842104</v>
      </c>
      <c r="I18" s="65">
        <f t="shared" si="4"/>
        <v>0.61064757210816301</v>
      </c>
      <c r="J18" s="139">
        <f t="shared" ref="J18" si="13">G18+I18</f>
        <v>27.808015993160794</v>
      </c>
      <c r="K18" s="66">
        <f t="shared" ref="K18" si="14">J18*F18</f>
        <v>2224.6412794528633</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f ca="1">SUMIFS('Tổng Đơn'!$F:$F,'Tổng Đơn'!$B:$B,$C18)</f>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4785.0774690118196</v>
      </c>
      <c r="B19" s="6">
        <v>15</v>
      </c>
      <c r="C19" s="61" t="s">
        <v>163</v>
      </c>
      <c r="D19" s="69">
        <f t="shared" si="12"/>
        <v>120</v>
      </c>
      <c r="E19" s="62">
        <v>0.5</v>
      </c>
      <c r="F19" s="113">
        <f>60+20+20+20+20+20+20+20+60+40</f>
        <v>300</v>
      </c>
      <c r="G19" s="63">
        <v>60</v>
      </c>
      <c r="H19" s="64">
        <f t="shared" si="3"/>
        <v>18000</v>
      </c>
      <c r="I19" s="65">
        <f t="shared" si="4"/>
        <v>1.3471470386130737</v>
      </c>
      <c r="J19" s="139">
        <f t="shared" ref="J19" si="15">G19+I19</f>
        <v>61.347147038613073</v>
      </c>
      <c r="K19" s="66">
        <f t="shared" ref="K19" si="16">J19*F19</f>
        <v>18404.144111583922</v>
      </c>
      <c r="L19" s="70">
        <v>70</v>
      </c>
      <c r="M19" s="64">
        <f t="shared" ref="M19" si="17">L19*F19</f>
        <v>21000</v>
      </c>
      <c r="N19" s="64">
        <f t="shared" ca="1" si="7"/>
        <v>15470</v>
      </c>
      <c r="O19" s="71">
        <f t="shared" ca="1" si="8"/>
        <v>78</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f ca="1">SUMIFS('Tổng Đơn'!$F:$F,'Tổng Đơn'!$B:$B,$C19)</f>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1955.4403118557916</v>
      </c>
      <c r="B20" s="6">
        <v>16</v>
      </c>
      <c r="C20" s="61" t="s">
        <v>123</v>
      </c>
      <c r="D20" s="69">
        <f t="shared" si="12"/>
        <v>75</v>
      </c>
      <c r="E20" s="62">
        <v>0.5</v>
      </c>
      <c r="F20" s="113">
        <f>161+40+80+40+40+40+40+40+40</f>
        <v>521</v>
      </c>
      <c r="G20" s="63">
        <v>37.5</v>
      </c>
      <c r="H20" s="64">
        <f t="shared" ref="H20:H25" si="18">G20*F20</f>
        <v>19537.5</v>
      </c>
      <c r="I20" s="65">
        <f t="shared" ref="I20:I21" si="19">((H20/$H$4)*$A$2)/F20</f>
        <v>0.84196689913317124</v>
      </c>
      <c r="J20" s="139">
        <f t="shared" ref="J20:J21" si="20">G20+I20</f>
        <v>38.341966899133169</v>
      </c>
      <c r="K20" s="66">
        <f t="shared" ref="K20:K21" si="21">J20*F20</f>
        <v>19976.164754448382</v>
      </c>
      <c r="L20" s="70">
        <v>42</v>
      </c>
      <c r="M20" s="64">
        <f t="shared" ref="M20:M21" si="22">L20*F20</f>
        <v>21882</v>
      </c>
      <c r="N20" s="64">
        <f t="shared" ca="1" si="7"/>
        <v>19530</v>
      </c>
      <c r="O20" s="71">
        <f t="shared" ca="1" si="8"/>
        <v>51</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f ca="1">SUMIFS('Tổng Đơn'!$F:$F,'Tổng Đơn'!$B:$B,$C20)</f>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2384.3591149007616</v>
      </c>
      <c r="B21" s="6">
        <v>17</v>
      </c>
      <c r="C21" s="61" t="s">
        <v>176</v>
      </c>
      <c r="D21" s="69">
        <f t="shared" si="12"/>
        <v>88</v>
      </c>
      <c r="E21" s="62">
        <v>0.5</v>
      </c>
      <c r="F21" s="113">
        <f>80</f>
        <v>80</v>
      </c>
      <c r="G21" s="63">
        <v>44</v>
      </c>
      <c r="H21" s="64">
        <f t="shared" si="18"/>
        <v>3520</v>
      </c>
      <c r="I21" s="65">
        <f t="shared" si="19"/>
        <v>0.98790782831625423</v>
      </c>
      <c r="J21" s="139">
        <f t="shared" si="20"/>
        <v>44.987907828316253</v>
      </c>
      <c r="K21" s="66">
        <f t="shared" si="21"/>
        <v>3599.0326262653002</v>
      </c>
      <c r="L21" s="70">
        <v>54</v>
      </c>
      <c r="M21" s="64">
        <f t="shared" si="22"/>
        <v>4320</v>
      </c>
      <c r="N21" s="64">
        <f t="shared" ca="1" si="7"/>
        <v>1404</v>
      </c>
      <c r="O21" s="71">
        <f t="shared" ca="1" si="8"/>
        <v>53</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f ca="1">SUMIFS('Tổng Đơn'!$F:$F,'Tổng Đơn'!$B:$B,$C21)</f>
        <v>1</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181</v>
      </c>
      <c r="D22" s="69">
        <f t="shared" si="12"/>
        <v>73</v>
      </c>
      <c r="E22" s="62">
        <v>0.5</v>
      </c>
      <c r="F22" s="113">
        <f>40</f>
        <v>40</v>
      </c>
      <c r="G22" s="63">
        <v>36.5</v>
      </c>
      <c r="H22" s="64">
        <f t="shared" si="18"/>
        <v>1460</v>
      </c>
      <c r="I22" s="65">
        <f t="shared" ref="I22:I23" si="23">((H22/$H$4)*$A$2)/F22</f>
        <v>0.81951444848961985</v>
      </c>
      <c r="J22" s="139">
        <f t="shared" ref="J22:J23" si="24">G22+I22</f>
        <v>37.31951444848962</v>
      </c>
      <c r="K22" s="66">
        <f t="shared" ref="K22:K23" si="25">J22*F22</f>
        <v>1492.7805779395849</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f ca="1">SUMIFS('Tổng Đơn'!$F:$F,'Tổng Đơn'!$B:$B,$C22)</f>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294.4663057853428</v>
      </c>
      <c r="B23" s="6">
        <v>19</v>
      </c>
      <c r="C23" s="61" t="s">
        <v>213</v>
      </c>
      <c r="D23" s="69">
        <v>24</v>
      </c>
      <c r="E23" s="62">
        <v>0.3</v>
      </c>
      <c r="F23" s="113">
        <f>260+40+80+100+40-16+80+40+40+10+40+40+20+60+20</f>
        <v>854</v>
      </c>
      <c r="G23" s="63">
        <f>D23/2</f>
        <v>12</v>
      </c>
      <c r="H23" s="64">
        <f t="shared" si="18"/>
        <v>10248</v>
      </c>
      <c r="I23" s="65">
        <f t="shared" si="23"/>
        <v>0.26942940772261476</v>
      </c>
      <c r="J23" s="139">
        <f t="shared" si="24"/>
        <v>12.269429407722615</v>
      </c>
      <c r="K23" s="66">
        <f t="shared" si="25"/>
        <v>10478.092714195114</v>
      </c>
      <c r="L23" s="70">
        <v>16</v>
      </c>
      <c r="M23" s="64">
        <f t="shared" si="26"/>
        <v>13664</v>
      </c>
      <c r="N23" s="64">
        <f t="shared" ca="1" si="7"/>
        <v>13216</v>
      </c>
      <c r="O23" s="71">
        <f t="shared" ca="1" si="8"/>
        <v>24</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f ca="1">SUMIFS('Tổng Đơn'!$F:$F,'Tổng Đơn'!$B:$B,$C23)</f>
        <v>3</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258</v>
      </c>
      <c r="D24" s="69">
        <f>G24*2</f>
        <v>68</v>
      </c>
      <c r="E24" s="62">
        <v>0.5</v>
      </c>
      <c r="F24" s="113">
        <v>10</v>
      </c>
      <c r="G24" s="63">
        <v>34</v>
      </c>
      <c r="H24" s="64">
        <f t="shared" si="18"/>
        <v>340</v>
      </c>
      <c r="I24" s="65">
        <f t="shared" ref="I24" si="27">((H24/$H$4)*$A$2)/F24</f>
        <v>0.76338332188074176</v>
      </c>
      <c r="J24" s="139">
        <f t="shared" ref="J24" si="28">G24+I24</f>
        <v>34.763383321880738</v>
      </c>
      <c r="K24" s="66">
        <f t="shared" ref="K24" si="29">J24*F24</f>
        <v>347.63383321880735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f ca="1">SUMIFS('Tổng Đơn'!$F:$F,'Tổng Đơn'!$B:$B,$C24)</f>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132.1008566231468</v>
      </c>
      <c r="B25" s="6">
        <v>21</v>
      </c>
      <c r="C25" s="61" t="s">
        <v>278</v>
      </c>
      <c r="D25" s="69">
        <f>G25*2</f>
        <v>64.599999999999994</v>
      </c>
      <c r="E25" s="62">
        <v>0.5</v>
      </c>
      <c r="F25" s="113">
        <v>40</v>
      </c>
      <c r="G25" s="63">
        <v>32.299999999999997</v>
      </c>
      <c r="H25" s="64">
        <f t="shared" si="18"/>
        <v>1292</v>
      </c>
      <c r="I25" s="65">
        <f t="shared" ref="I25" si="31">((H25/$H$4)*$A$2)/F25</f>
        <v>0.72521415578670478</v>
      </c>
      <c r="J25" s="139">
        <f t="shared" ref="J25" si="32">G25+I25</f>
        <v>33.025214155786699</v>
      </c>
      <c r="K25" s="66">
        <f t="shared" ref="K25" si="33">J25*F25</f>
        <v>1321.008566231468</v>
      </c>
      <c r="L25" s="70">
        <v>40</v>
      </c>
      <c r="M25" s="64">
        <f t="shared" si="30"/>
        <v>1600</v>
      </c>
      <c r="N25" s="64">
        <f t="shared" ca="1" si="7"/>
        <v>1440</v>
      </c>
      <c r="O25" s="71">
        <f t="shared" ca="1" si="8"/>
        <v>4</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f ca="1">SUMIFS('Tổng Đơn'!$F:$F,'Tổng Đơn'!$B:$B,$C25)</f>
        <v>1</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262</v>
      </c>
      <c r="C27" s="191" t="s">
        <v>270</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79" priority="21">
      <formula>($O6/$O6)&lt;=1/4</formula>
    </cfRule>
  </conditionalFormatting>
  <conditionalFormatting sqref="C18">
    <cfRule type="expression" dxfId="578" priority="18">
      <formula>($O18/$O18)&lt;=1/4</formula>
    </cfRule>
  </conditionalFormatting>
  <conditionalFormatting sqref="C5:C18">
    <cfRule type="expression" dxfId="577" priority="29">
      <formula>($O5/$F5)&lt;=1/4</formula>
    </cfRule>
  </conditionalFormatting>
  <conditionalFormatting sqref="C19">
    <cfRule type="expression" dxfId="576" priority="9">
      <formula>($O19/$O19)&lt;=1/4</formula>
    </cfRule>
  </conditionalFormatting>
  <conditionalFormatting sqref="C19">
    <cfRule type="expression" dxfId="575" priority="10">
      <formula>($O19/$F19)&lt;=1/4</formula>
    </cfRule>
  </conditionalFormatting>
  <conditionalFormatting sqref="C20:C21">
    <cfRule type="expression" dxfId="574" priority="7">
      <formula>($O20/$O20)&lt;=1/4</formula>
    </cfRule>
  </conditionalFormatting>
  <conditionalFormatting sqref="C20:C21">
    <cfRule type="expression" dxfId="573" priority="8">
      <formula>($O20/$F20)&lt;=1/4</formula>
    </cfRule>
  </conditionalFormatting>
  <conditionalFormatting sqref="C22:C23">
    <cfRule type="expression" dxfId="572" priority="5">
      <formula>($O22/$O22)&lt;=1/4</formula>
    </cfRule>
  </conditionalFormatting>
  <conditionalFormatting sqref="C22:C23">
    <cfRule type="expression" dxfId="571" priority="6">
      <formula>($O22/$F22)&lt;=1/4</formula>
    </cfRule>
  </conditionalFormatting>
  <conditionalFormatting sqref="C24">
    <cfRule type="expression" dxfId="570" priority="3">
      <formula>($O24/$O24)&lt;=1/4</formula>
    </cfRule>
  </conditionalFormatting>
  <conditionalFormatting sqref="C24">
    <cfRule type="expression" dxfId="569" priority="4">
      <formula>($O24/$F24)&lt;=1/4</formula>
    </cfRule>
  </conditionalFormatting>
  <conditionalFormatting sqref="C25:C26">
    <cfRule type="expression" dxfId="568" priority="1">
      <formula>($O25/$O25)&lt;=1/4</formula>
    </cfRule>
  </conditionalFormatting>
  <conditionalFormatting sqref="C25:C26">
    <cfRule type="expression" dxfId="56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L9" sqref="AL9"/>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3" t="s">
        <v>51</v>
      </c>
      <c r="C1" s="243"/>
      <c r="D1" s="243"/>
      <c r="E1" s="243"/>
      <c r="F1" s="243"/>
      <c r="G1" s="243"/>
      <c r="H1" s="243"/>
      <c r="I1" s="243"/>
      <c r="J1" s="243"/>
      <c r="K1" s="243"/>
      <c r="L1" s="243"/>
      <c r="M1" s="243"/>
      <c r="N1" s="157"/>
    </row>
    <row r="2" spans="1:51" ht="34.5" customHeight="1" x14ac:dyDescent="0.25">
      <c r="A2" s="1">
        <f>300+200+120+200+200+200+140+190+120+60+100+95+145+70+100+165+70+80+320+100+270+80+100+140+50+170+140+170+110+140+200+60+100+140+180+80+160+100+240</f>
        <v>5605</v>
      </c>
      <c r="K2" s="13">
        <f>SUMPRODUCT((E5:E12)*(F5:F12))</f>
        <v>5496.5</v>
      </c>
      <c r="L2" s="13">
        <f>M4-K4</f>
        <v>46358.000000000029</v>
      </c>
      <c r="M2" s="8">
        <f>M4/K4-1</f>
        <v>0.18880019548749716</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15330.870519856704</v>
      </c>
      <c r="B4" s="16"/>
      <c r="C4" s="16"/>
      <c r="D4" s="47"/>
      <c r="E4" s="16">
        <f>SUMPRODUCT((E5:E12)*(F5:F12))</f>
        <v>5496.5</v>
      </c>
      <c r="F4" s="16">
        <f>SUBTOTAL(9,F5:F12)</f>
        <v>10993</v>
      </c>
      <c r="G4" s="7"/>
      <c r="H4" s="7">
        <f>SUBTOTAL(9,H5:H12)</f>
        <v>239934.99999999997</v>
      </c>
      <c r="I4" s="12"/>
      <c r="J4" s="12"/>
      <c r="K4" s="12">
        <f>SUBTOTAL(9,K5:K12)</f>
        <v>245539.99999999997</v>
      </c>
      <c r="L4" s="48"/>
      <c r="M4" s="7">
        <f>SUBTOTAL(9,M5:M12)</f>
        <v>291898</v>
      </c>
      <c r="N4" s="7">
        <f ca="1">SUBTOTAL(9,N5:N12)</f>
        <v>272584</v>
      </c>
      <c r="O4" s="49">
        <f ca="1">SUBTOTAL(9,O5:O12)</f>
        <v>692</v>
      </c>
      <c r="P4" s="75">
        <f>SUBTOTAL(9,P5:P12)</f>
        <v>34</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ca="1" si="0"/>
        <v>15</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7952.5343947319061</v>
      </c>
      <c r="B5" s="6">
        <v>1</v>
      </c>
      <c r="C5" s="61" t="s">
        <v>205</v>
      </c>
      <c r="D5" s="69">
        <v>38</v>
      </c>
      <c r="E5" s="6">
        <v>0.5</v>
      </c>
      <c r="F5" s="6">
        <f>240+126+126+100+126+210+126+42+84+84+126+210+84+210+126+84+126+420+420+210+210+42+210+252+210+126+210+336+210+210+210+84+168+126+420</f>
        <v>6304</v>
      </c>
      <c r="G5" s="63">
        <f t="shared" ref="G5:G12" si="2">D5/(1/E5)</f>
        <v>19</v>
      </c>
      <c r="H5" s="64">
        <f t="shared" ref="H5:H12" si="3">G5*F5</f>
        <v>119776</v>
      </c>
      <c r="I5" s="65">
        <f t="shared" ref="I5:I12" si="4">((H5/$H$4)*$A$2)/F5</f>
        <v>0.44384937587263223</v>
      </c>
      <c r="J5" s="139">
        <f t="shared" ref="J5:J12" si="5">G5+I5</f>
        <v>19.443849375872631</v>
      </c>
      <c r="K5" s="66">
        <f>J5*F5</f>
        <v>122574.02646550107</v>
      </c>
      <c r="L5" s="70">
        <v>23</v>
      </c>
      <c r="M5" s="64">
        <f t="shared" ref="M5:M12" si="6">L5*F5</f>
        <v>144992</v>
      </c>
      <c r="N5" s="64">
        <f t="shared" ref="N5:N12" ca="1" si="7">SUMPRODUCT(($Q5:$AV5)*$L5)</f>
        <v>135424</v>
      </c>
      <c r="O5" s="71">
        <f t="shared" ref="O5:O12" ca="1" si="8">F5-SUM(Q5:AV5)-P5</f>
        <v>409</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f ca="1">SUMIFS('Tổng Đơn'!$F:$F,'Tổng Đơn'!$B:$B,$C5)</f>
        <v>5</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666.20768124700442</v>
      </c>
      <c r="B6" s="6">
        <v>2</v>
      </c>
      <c r="C6" s="61" t="s">
        <v>206</v>
      </c>
      <c r="D6" s="69">
        <v>42</v>
      </c>
      <c r="E6" s="6">
        <v>0.5</v>
      </c>
      <c r="F6" s="6">
        <f>40+40</f>
        <v>80</v>
      </c>
      <c r="G6" s="63">
        <f t="shared" si="2"/>
        <v>21</v>
      </c>
      <c r="H6" s="64">
        <f t="shared" si="3"/>
        <v>1680</v>
      </c>
      <c r="I6" s="65">
        <f t="shared" si="4"/>
        <v>0.4905703628065935</v>
      </c>
      <c r="J6" s="139">
        <f t="shared" si="5"/>
        <v>21.490570362806594</v>
      </c>
      <c r="K6" s="66">
        <f>J6*F6</f>
        <v>1719.2456290245275</v>
      </c>
      <c r="L6" s="70">
        <v>26</v>
      </c>
      <c r="M6" s="64">
        <f t="shared" si="6"/>
        <v>2080</v>
      </c>
      <c r="N6" s="64">
        <f t="shared" ca="1" si="7"/>
        <v>1274</v>
      </c>
      <c r="O6" s="71">
        <f t="shared" ca="1" si="8"/>
        <v>31</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f ca="1">SUMIFS('Tổng Đơn'!$F:$F,'Tổng Đơn'!$B:$B,$C6)</f>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408.32083689332529</v>
      </c>
      <c r="B7" s="6">
        <v>3</v>
      </c>
      <c r="C7" s="61" t="s">
        <v>207</v>
      </c>
      <c r="D7" s="69">
        <v>42</v>
      </c>
      <c r="E7" s="6">
        <v>0.5</v>
      </c>
      <c r="F7" s="6">
        <f>40+42+42+42+42+42+42+42</f>
        <v>334</v>
      </c>
      <c r="G7" s="63">
        <f t="shared" si="2"/>
        <v>21</v>
      </c>
      <c r="H7" s="64">
        <f t="shared" si="3"/>
        <v>7014</v>
      </c>
      <c r="I7" s="65">
        <f t="shared" si="4"/>
        <v>0.4905703628065935</v>
      </c>
      <c r="J7" s="139">
        <f t="shared" si="5"/>
        <v>21.490570362806594</v>
      </c>
      <c r="K7" s="66">
        <f t="shared" ref="K7:K12" si="10">J7*F7</f>
        <v>7177.8505011774023</v>
      </c>
      <c r="L7" s="70">
        <v>26</v>
      </c>
      <c r="M7" s="64">
        <f t="shared" si="6"/>
        <v>8684</v>
      </c>
      <c r="N7" s="64">
        <f t="shared" ca="1" si="7"/>
        <v>8138</v>
      </c>
      <c r="O7" s="71">
        <f t="shared" ca="1" si="8"/>
        <v>19</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f ca="1">SUMIFS('Tổng Đơn'!$F:$F,'Tổng Đơn'!$B:$B,$C7)</f>
        <v>3</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368.40977764811305</v>
      </c>
      <c r="B8" s="6">
        <v>4</v>
      </c>
      <c r="C8" s="61" t="s">
        <v>208</v>
      </c>
      <c r="D8" s="69">
        <v>40</v>
      </c>
      <c r="E8" s="6">
        <v>0.5</v>
      </c>
      <c r="F8" s="6">
        <f>40+42+42+42+42</f>
        <v>208</v>
      </c>
      <c r="G8" s="63">
        <f t="shared" si="2"/>
        <v>20</v>
      </c>
      <c r="H8" s="64">
        <f t="shared" si="3"/>
        <v>4160</v>
      </c>
      <c r="I8" s="65">
        <f t="shared" si="4"/>
        <v>0.46720986933961284</v>
      </c>
      <c r="J8" s="139">
        <f t="shared" si="5"/>
        <v>20.467209869339612</v>
      </c>
      <c r="K8" s="66">
        <f t="shared" si="10"/>
        <v>4257.1796528226396</v>
      </c>
      <c r="L8" s="70">
        <v>26</v>
      </c>
      <c r="M8" s="64">
        <f t="shared" si="6"/>
        <v>5408</v>
      </c>
      <c r="N8" s="64">
        <f t="shared" ca="1" si="7"/>
        <v>4914</v>
      </c>
      <c r="O8" s="71">
        <f t="shared" ca="1" si="8"/>
        <v>18</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f ca="1">SUMIFS('Tổng Đơn'!$F:$F,'Tổng Đơn'!$B:$B,$C8)</f>
        <v>2</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1695.5222721305202</v>
      </c>
      <c r="B9" s="6">
        <v>5</v>
      </c>
      <c r="C9" s="61" t="s">
        <v>209</v>
      </c>
      <c r="D9" s="69">
        <f>(45*20)/22</f>
        <v>40.909090909090907</v>
      </c>
      <c r="E9" s="6">
        <v>0.5</v>
      </c>
      <c r="F9" s="6">
        <f>176+88+44+44+40+220+88+44+132+40+160+80+80+40+40+23+40+40+40+40+80+40+40+40+40</f>
        <v>1739</v>
      </c>
      <c r="G9" s="63">
        <f t="shared" si="2"/>
        <v>20.454545454545453</v>
      </c>
      <c r="H9" s="64">
        <f t="shared" si="3"/>
        <v>35570.454545454544</v>
      </c>
      <c r="I9" s="65">
        <f t="shared" si="4"/>
        <v>0.47782827546096768</v>
      </c>
      <c r="J9" s="139">
        <f t="shared" si="5"/>
        <v>20.932373730006422</v>
      </c>
      <c r="K9" s="66">
        <f t="shared" si="10"/>
        <v>36401.397916481168</v>
      </c>
      <c r="L9" s="70">
        <v>26</v>
      </c>
      <c r="M9" s="64">
        <f t="shared" si="6"/>
        <v>45214</v>
      </c>
      <c r="N9" s="64">
        <f t="shared" ca="1" si="7"/>
        <v>43030</v>
      </c>
      <c r="O9" s="71">
        <f t="shared" ca="1" si="8"/>
        <v>81</v>
      </c>
      <c r="P9" s="58">
        <f>1+2</f>
        <v>3</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f ca="1">SUMIFS('Tổng Đơn'!$F:$F,'Tổng Đơn'!$B:$B,$C9)</f>
        <v>1</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2738.8848116061736</v>
      </c>
      <c r="B10" s="6">
        <v>6</v>
      </c>
      <c r="C10" s="61" t="s">
        <v>210</v>
      </c>
      <c r="D10" s="69">
        <f>(64*20)/22</f>
        <v>58.18181818181818</v>
      </c>
      <c r="E10" s="6">
        <v>0.5</v>
      </c>
      <c r="F10" s="6">
        <f>176+88+88+132+88+132+44+44+40+80+120+40+40+40+40+40+40+40+40+40+80+40+40+40+40+40+40</f>
        <v>1712</v>
      </c>
      <c r="G10" s="63">
        <f t="shared" si="2"/>
        <v>29.09090909090909</v>
      </c>
      <c r="H10" s="64">
        <f t="shared" si="3"/>
        <v>49803.63636363636</v>
      </c>
      <c r="I10" s="65">
        <f t="shared" si="4"/>
        <v>0.67957799176670963</v>
      </c>
      <c r="J10" s="139">
        <f t="shared" si="5"/>
        <v>29.7704870826758</v>
      </c>
      <c r="K10" s="66">
        <f t="shared" si="10"/>
        <v>50967.073885540973</v>
      </c>
      <c r="L10" s="70">
        <v>35</v>
      </c>
      <c r="M10" s="64">
        <f t="shared" si="6"/>
        <v>59920</v>
      </c>
      <c r="N10" s="64">
        <f t="shared" ca="1" si="7"/>
        <v>56280</v>
      </c>
      <c r="O10" s="71">
        <f t="shared" ca="1" si="8"/>
        <v>92</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f ca="1">SUMIFS('Tổng Đơn'!$F:$F,'Tổng Đơn'!$B:$B,$C10)</f>
        <v>3</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1046.6186865003212</v>
      </c>
      <c r="B11" s="6">
        <v>7</v>
      </c>
      <c r="C11" s="61" t="s">
        <v>211</v>
      </c>
      <c r="D11" s="69">
        <f>(75*20)/22</f>
        <v>68.181818181818187</v>
      </c>
      <c r="E11" s="6">
        <v>0.5</v>
      </c>
      <c r="F11" s="6">
        <f>44+44+88+40+40+40</f>
        <v>296</v>
      </c>
      <c r="G11" s="63">
        <f t="shared" si="2"/>
        <v>34.090909090909093</v>
      </c>
      <c r="H11" s="64">
        <f t="shared" si="3"/>
        <v>10090.909090909092</v>
      </c>
      <c r="I11" s="65">
        <f t="shared" si="4"/>
        <v>0.79638045910161293</v>
      </c>
      <c r="J11" s="139">
        <f t="shared" si="5"/>
        <v>34.887289550010706</v>
      </c>
      <c r="K11" s="66">
        <f t="shared" si="10"/>
        <v>10326.637706803169</v>
      </c>
      <c r="L11" s="70">
        <v>40</v>
      </c>
      <c r="M11" s="64">
        <f t="shared" si="6"/>
        <v>11840</v>
      </c>
      <c r="N11" s="64">
        <f t="shared" ca="1" si="7"/>
        <v>10280</v>
      </c>
      <c r="O11" s="71">
        <f t="shared" ca="1" si="8"/>
        <v>30</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f ca="1">SUMIFS('Tổng Đơn'!$F:$F,'Tổng Đơn'!$B:$B,$C11)</f>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454.37205909933937</v>
      </c>
      <c r="B12" s="6">
        <v>8</v>
      </c>
      <c r="C12" s="61" t="s">
        <v>212</v>
      </c>
      <c r="D12" s="69">
        <v>74</v>
      </c>
      <c r="E12" s="6">
        <v>0.5</v>
      </c>
      <c r="F12" s="6">
        <f>80+80+40+40+40+40</f>
        <v>320</v>
      </c>
      <c r="G12" s="63">
        <f t="shared" si="2"/>
        <v>37</v>
      </c>
      <c r="H12" s="64">
        <f t="shared" si="3"/>
        <v>11840</v>
      </c>
      <c r="I12" s="65">
        <f t="shared" si="4"/>
        <v>0.86433825827828381</v>
      </c>
      <c r="J12" s="139">
        <f t="shared" si="5"/>
        <v>37.864338258278281</v>
      </c>
      <c r="K12" s="66">
        <f t="shared" si="10"/>
        <v>12116.58824264905</v>
      </c>
      <c r="L12" s="70">
        <v>43</v>
      </c>
      <c r="M12" s="64">
        <f t="shared" si="6"/>
        <v>13760</v>
      </c>
      <c r="N12" s="64">
        <f t="shared" ca="1" si="7"/>
        <v>13244</v>
      </c>
      <c r="O12" s="71">
        <f t="shared" ca="1" si="8"/>
        <v>12</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f ca="1">SUMIFS('Tổng Đơn'!$F:$F,'Tổng Đơn'!$B:$B,$C12)</f>
        <v>1</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66" priority="8">
      <formula>($O6/$O6)&lt;=1/4</formula>
    </cfRule>
  </conditionalFormatting>
  <conditionalFormatting sqref="C5:C12">
    <cfRule type="expression" dxfId="56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topLeftCell="A46"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39" t="s">
        <v>93</v>
      </c>
      <c r="M1" s="239" t="s">
        <v>94</v>
      </c>
      <c r="N1" s="239" t="s">
        <v>16</v>
      </c>
      <c r="O1" s="239" t="s">
        <v>104</v>
      </c>
      <c r="P1" s="131" t="s">
        <v>94</v>
      </c>
      <c r="Q1" s="116" t="s">
        <v>165</v>
      </c>
      <c r="R1" s="117">
        <f>SUBTOTAL(9,R2:R31)</f>
        <v>0</v>
      </c>
    </row>
    <row r="2" spans="1:18" s="122" customFormat="1" ht="18.75" x14ac:dyDescent="0.3">
      <c r="A2" s="118" t="s">
        <v>186</v>
      </c>
      <c r="B2" s="119" t="s">
        <v>282</v>
      </c>
      <c r="C2" s="118" t="s">
        <v>189</v>
      </c>
      <c r="D2" s="120">
        <v>50000</v>
      </c>
      <c r="E2" s="121"/>
      <c r="F2" s="121"/>
      <c r="G2" s="121"/>
      <c r="H2" s="121"/>
      <c r="I2" s="121"/>
      <c r="J2" s="121"/>
      <c r="K2" s="121"/>
      <c r="L2" s="237">
        <v>1</v>
      </c>
      <c r="M2" s="237" t="s">
        <v>95</v>
      </c>
      <c r="N2" s="240" t="s">
        <v>256</v>
      </c>
      <c r="O2" s="241">
        <v>48000</v>
      </c>
      <c r="P2" s="132">
        <f t="shared" ref="P2:P65" si="0">IF($N2="","",LOOKUP(2,1/($N2=$B$2:$B$100),$A$2:$A$100))</f>
        <v>1</v>
      </c>
      <c r="Q2" s="123"/>
      <c r="R2" s="124">
        <f t="shared" ref="R2:R9" si="1">O2*Q2</f>
        <v>0</v>
      </c>
    </row>
    <row r="3" spans="1:18" s="122" customFormat="1" ht="18.75" x14ac:dyDescent="0.3">
      <c r="A3" s="118" t="s">
        <v>187</v>
      </c>
      <c r="B3" s="119" t="s">
        <v>281</v>
      </c>
      <c r="C3" s="118" t="s">
        <v>190</v>
      </c>
      <c r="D3" s="120">
        <v>65000</v>
      </c>
      <c r="E3" s="121"/>
      <c r="F3" s="121"/>
      <c r="G3" s="121"/>
      <c r="H3" s="121"/>
      <c r="I3" s="121"/>
      <c r="J3" s="121"/>
      <c r="K3" s="121"/>
      <c r="L3" s="237">
        <v>2</v>
      </c>
      <c r="M3" s="237" t="s">
        <v>96</v>
      </c>
      <c r="N3" s="240" t="s">
        <v>1</v>
      </c>
      <c r="O3" s="242">
        <v>25000</v>
      </c>
      <c r="P3" s="132">
        <f t="shared" si="0"/>
        <v>2</v>
      </c>
      <c r="Q3" s="123"/>
      <c r="R3" s="124">
        <f t="shared" si="1"/>
        <v>0</v>
      </c>
    </row>
    <row r="4" spans="1:18" s="122" customFormat="1" ht="18.75" x14ac:dyDescent="0.3">
      <c r="A4" s="118" t="s">
        <v>188</v>
      </c>
      <c r="B4" s="119" t="s">
        <v>192</v>
      </c>
      <c r="C4" s="118" t="s">
        <v>191</v>
      </c>
      <c r="D4" s="120">
        <v>70000</v>
      </c>
      <c r="E4" s="121"/>
      <c r="F4" s="121"/>
      <c r="G4" s="121"/>
      <c r="H4" s="121"/>
      <c r="I4" s="121"/>
      <c r="J4" s="121"/>
      <c r="K4" s="121"/>
      <c r="L4" s="237">
        <v>3</v>
      </c>
      <c r="M4" s="237" t="s">
        <v>97</v>
      </c>
      <c r="N4" s="240" t="s">
        <v>2</v>
      </c>
      <c r="O4" s="242">
        <v>28000</v>
      </c>
      <c r="P4" s="132">
        <f t="shared" si="0"/>
        <v>3</v>
      </c>
      <c r="Q4" s="123"/>
      <c r="R4" s="124">
        <f t="shared" si="1"/>
        <v>0</v>
      </c>
    </row>
    <row r="5" spans="1:18" s="122" customFormat="1" ht="18.75" x14ac:dyDescent="0.3">
      <c r="A5" s="118" t="s">
        <v>283</v>
      </c>
      <c r="B5" s="119" t="s">
        <v>193</v>
      </c>
      <c r="C5" s="118" t="s">
        <v>284</v>
      </c>
      <c r="D5" s="120">
        <v>48000</v>
      </c>
      <c r="E5" s="121"/>
      <c r="F5" s="121"/>
      <c r="G5" s="121"/>
      <c r="H5" s="121"/>
      <c r="I5" s="121"/>
      <c r="J5" s="121"/>
      <c r="K5" s="121"/>
      <c r="L5" s="237">
        <v>4</v>
      </c>
      <c r="M5" s="238" t="s">
        <v>98</v>
      </c>
      <c r="N5" s="240" t="s">
        <v>3</v>
      </c>
      <c r="O5" s="242">
        <v>30000</v>
      </c>
      <c r="P5" s="132">
        <f t="shared" si="0"/>
        <v>4</v>
      </c>
      <c r="Q5" s="123"/>
      <c r="R5" s="124">
        <f t="shared" si="1"/>
        <v>0</v>
      </c>
    </row>
    <row r="6" spans="1:18" s="122" customFormat="1" ht="18.75" x14ac:dyDescent="0.3">
      <c r="A6" s="118">
        <v>1</v>
      </c>
      <c r="B6" s="119" t="s">
        <v>256</v>
      </c>
      <c r="C6" s="118" t="s">
        <v>95</v>
      </c>
      <c r="D6" s="120">
        <v>48000</v>
      </c>
      <c r="E6" s="121"/>
      <c r="F6" s="121"/>
      <c r="G6" s="121"/>
      <c r="H6" s="121"/>
      <c r="I6" s="121"/>
      <c r="J6" s="121"/>
      <c r="K6" s="121"/>
      <c r="L6" s="237">
        <v>5</v>
      </c>
      <c r="M6" s="238" t="s">
        <v>99</v>
      </c>
      <c r="N6" s="240" t="s">
        <v>27</v>
      </c>
      <c r="O6" s="242">
        <v>38000</v>
      </c>
      <c r="P6" s="132">
        <f t="shared" si="0"/>
        <v>5</v>
      </c>
      <c r="Q6" s="123"/>
      <c r="R6" s="124">
        <f t="shared" si="1"/>
        <v>0</v>
      </c>
    </row>
    <row r="7" spans="1:18" s="122" customFormat="1" ht="18.75" x14ac:dyDescent="0.3">
      <c r="A7" s="118">
        <v>2</v>
      </c>
      <c r="B7" s="119" t="s">
        <v>1</v>
      </c>
      <c r="C7" s="118" t="s">
        <v>96</v>
      </c>
      <c r="D7" s="120">
        <v>25000</v>
      </c>
      <c r="E7" s="121"/>
      <c r="F7" s="121"/>
      <c r="G7" s="121"/>
      <c r="H7" s="121"/>
      <c r="I7" s="121"/>
      <c r="J7" s="121"/>
      <c r="K7" s="121"/>
      <c r="L7" s="237">
        <v>6</v>
      </c>
      <c r="M7" s="238" t="s">
        <v>100</v>
      </c>
      <c r="N7" s="240" t="s">
        <v>25</v>
      </c>
      <c r="O7" s="242">
        <v>42000</v>
      </c>
      <c r="P7" s="132">
        <f t="shared" si="0"/>
        <v>6</v>
      </c>
      <c r="Q7" s="123"/>
      <c r="R7" s="124">
        <f t="shared" si="1"/>
        <v>0</v>
      </c>
    </row>
    <row r="8" spans="1:18" s="122" customFormat="1" ht="18.75" x14ac:dyDescent="0.3">
      <c r="A8" s="118">
        <v>3</v>
      </c>
      <c r="B8" s="119" t="s">
        <v>2</v>
      </c>
      <c r="C8" s="118" t="s">
        <v>97</v>
      </c>
      <c r="D8" s="120">
        <v>28000</v>
      </c>
      <c r="E8" s="121"/>
      <c r="F8" s="121"/>
      <c r="G8" s="121"/>
      <c r="H8" s="121"/>
      <c r="I8" s="121"/>
      <c r="J8" s="121"/>
      <c r="K8" s="121"/>
      <c r="L8" s="237">
        <v>7</v>
      </c>
      <c r="M8" s="238" t="s">
        <v>101</v>
      </c>
      <c r="N8" s="240" t="s">
        <v>53</v>
      </c>
      <c r="O8" s="241">
        <v>35000</v>
      </c>
      <c r="P8" s="132">
        <f t="shared" si="0"/>
        <v>7</v>
      </c>
      <c r="Q8" s="123"/>
      <c r="R8" s="124">
        <f t="shared" si="1"/>
        <v>0</v>
      </c>
    </row>
    <row r="9" spans="1:18" s="122" customFormat="1" ht="18.75" x14ac:dyDescent="0.3">
      <c r="A9" s="118">
        <v>4</v>
      </c>
      <c r="B9" s="119" t="s">
        <v>3</v>
      </c>
      <c r="C9" s="118" t="s">
        <v>98</v>
      </c>
      <c r="D9" s="120">
        <v>30000</v>
      </c>
      <c r="E9" s="121"/>
      <c r="F9" s="121"/>
      <c r="G9" s="121"/>
      <c r="H9" s="121"/>
      <c r="I9" s="121"/>
      <c r="J9" s="121"/>
      <c r="K9" s="121"/>
      <c r="L9" s="237">
        <v>8</v>
      </c>
      <c r="M9" s="238" t="s">
        <v>102</v>
      </c>
      <c r="N9" s="240" t="s">
        <v>139</v>
      </c>
      <c r="O9" s="241">
        <v>45000</v>
      </c>
      <c r="P9" s="132">
        <f t="shared" si="0"/>
        <v>8</v>
      </c>
      <c r="Q9" s="123"/>
      <c r="R9" s="124">
        <f t="shared" si="1"/>
        <v>0</v>
      </c>
    </row>
    <row r="10" spans="1:18" s="122" customFormat="1" ht="18.75" x14ac:dyDescent="0.3">
      <c r="A10" s="118">
        <v>5</v>
      </c>
      <c r="B10" s="119" t="s">
        <v>27</v>
      </c>
      <c r="C10" s="118" t="s">
        <v>99</v>
      </c>
      <c r="D10" s="120">
        <v>38000</v>
      </c>
      <c r="E10" s="121"/>
      <c r="F10" s="121"/>
      <c r="G10" s="121"/>
      <c r="H10" s="121"/>
      <c r="I10" s="121"/>
      <c r="J10" s="121"/>
      <c r="K10" s="121"/>
      <c r="L10" s="237">
        <v>9</v>
      </c>
      <c r="M10" s="238" t="s">
        <v>103</v>
      </c>
      <c r="N10" s="240" t="s">
        <v>6</v>
      </c>
      <c r="O10" s="241">
        <v>50000</v>
      </c>
      <c r="P10" s="132">
        <f t="shared" si="0"/>
        <v>9</v>
      </c>
      <c r="Q10" s="123"/>
      <c r="R10" s="124">
        <f t="shared" ref="R10:R31" si="2">O10*Q10</f>
        <v>0</v>
      </c>
    </row>
    <row r="11" spans="1:18" s="122" customFormat="1" ht="18.75" x14ac:dyDescent="0.3">
      <c r="A11" s="118">
        <v>6</v>
      </c>
      <c r="B11" s="119" t="s">
        <v>25</v>
      </c>
      <c r="C11" s="118" t="s">
        <v>100</v>
      </c>
      <c r="D11" s="120">
        <v>42000</v>
      </c>
      <c r="E11" s="121"/>
      <c r="F11" s="121"/>
      <c r="G11" s="121"/>
      <c r="H11" s="121"/>
      <c r="I11" s="121"/>
      <c r="J11" s="121"/>
      <c r="K11" s="121"/>
      <c r="L11" s="237">
        <v>10</v>
      </c>
      <c r="M11" s="238" t="s">
        <v>56</v>
      </c>
      <c r="N11" s="240" t="s">
        <v>50</v>
      </c>
      <c r="O11" s="241">
        <v>45000</v>
      </c>
      <c r="P11" s="132">
        <f t="shared" si="0"/>
        <v>10</v>
      </c>
      <c r="Q11" s="123"/>
      <c r="R11" s="124">
        <f t="shared" si="2"/>
        <v>0</v>
      </c>
    </row>
    <row r="12" spans="1:18" s="122" customFormat="1" ht="18.75" x14ac:dyDescent="0.3">
      <c r="A12" s="118">
        <v>7</v>
      </c>
      <c r="B12" s="119" t="s">
        <v>53</v>
      </c>
      <c r="C12" s="118" t="s">
        <v>101</v>
      </c>
      <c r="D12" s="120">
        <v>35000</v>
      </c>
      <c r="E12" s="121"/>
      <c r="F12" s="121"/>
      <c r="G12" s="121"/>
      <c r="H12" s="121"/>
      <c r="I12" s="121"/>
      <c r="J12" s="121"/>
      <c r="K12" s="121"/>
      <c r="L12" s="237">
        <v>11</v>
      </c>
      <c r="M12" s="238" t="s">
        <v>57</v>
      </c>
      <c r="N12" s="240" t="s">
        <v>31</v>
      </c>
      <c r="O12" s="241">
        <v>45000</v>
      </c>
      <c r="P12" s="132">
        <f t="shared" si="0"/>
        <v>11</v>
      </c>
      <c r="Q12" s="123"/>
      <c r="R12" s="124">
        <f t="shared" si="2"/>
        <v>0</v>
      </c>
    </row>
    <row r="13" spans="1:18" s="122" customFormat="1" ht="18.75" x14ac:dyDescent="0.3">
      <c r="A13" s="118">
        <v>8</v>
      </c>
      <c r="B13" s="119" t="s">
        <v>139</v>
      </c>
      <c r="C13" s="118" t="s">
        <v>102</v>
      </c>
      <c r="D13" s="120">
        <v>45000</v>
      </c>
      <c r="E13" s="121"/>
      <c r="F13" s="121"/>
      <c r="G13" s="121"/>
      <c r="H13" s="121"/>
      <c r="I13" s="121"/>
      <c r="J13" s="121"/>
      <c r="K13" s="121"/>
      <c r="L13" s="237">
        <v>12</v>
      </c>
      <c r="M13" s="238" t="s">
        <v>58</v>
      </c>
      <c r="N13" s="240" t="s">
        <v>28</v>
      </c>
      <c r="O13" s="241">
        <v>45000</v>
      </c>
      <c r="P13" s="132">
        <f t="shared" si="0"/>
        <v>12</v>
      </c>
      <c r="Q13" s="123"/>
      <c r="R13" s="124">
        <f t="shared" si="2"/>
        <v>0</v>
      </c>
    </row>
    <row r="14" spans="1:18" s="122" customFormat="1" ht="18.75" x14ac:dyDescent="0.3">
      <c r="A14" s="118">
        <v>9</v>
      </c>
      <c r="B14" s="119" t="s">
        <v>6</v>
      </c>
      <c r="C14" s="118" t="s">
        <v>103</v>
      </c>
      <c r="D14" s="120">
        <v>50000</v>
      </c>
      <c r="E14" s="121"/>
      <c r="F14" s="121"/>
      <c r="G14" s="121"/>
      <c r="H14" s="121"/>
      <c r="I14" s="121"/>
      <c r="J14" s="121"/>
      <c r="K14" s="121"/>
      <c r="L14" s="237">
        <v>13</v>
      </c>
      <c r="M14" s="238" t="s">
        <v>59</v>
      </c>
      <c r="N14" s="240" t="s">
        <v>30</v>
      </c>
      <c r="O14" s="241">
        <v>45000</v>
      </c>
      <c r="P14" s="132">
        <f t="shared" si="0"/>
        <v>13</v>
      </c>
      <c r="Q14" s="123"/>
      <c r="R14" s="124">
        <f t="shared" si="2"/>
        <v>0</v>
      </c>
    </row>
    <row r="15" spans="1:18" s="122" customFormat="1" ht="18.75" x14ac:dyDescent="0.3">
      <c r="A15" s="118">
        <v>10</v>
      </c>
      <c r="B15" s="119" t="s">
        <v>50</v>
      </c>
      <c r="C15" s="118" t="s">
        <v>56</v>
      </c>
      <c r="D15" s="120">
        <v>45000</v>
      </c>
      <c r="E15" s="121"/>
      <c r="F15" s="121"/>
      <c r="G15" s="121"/>
      <c r="H15" s="121"/>
      <c r="I15" s="121"/>
      <c r="J15" s="121"/>
      <c r="K15" s="121"/>
      <c r="L15" s="237">
        <v>14</v>
      </c>
      <c r="M15" s="238" t="s">
        <v>60</v>
      </c>
      <c r="N15" s="240" t="s">
        <v>29</v>
      </c>
      <c r="O15" s="241">
        <v>45000</v>
      </c>
      <c r="P15" s="132">
        <f t="shared" si="0"/>
        <v>14</v>
      </c>
      <c r="Q15" s="123"/>
      <c r="R15" s="124">
        <f t="shared" si="2"/>
        <v>0</v>
      </c>
    </row>
    <row r="16" spans="1:18" s="122" customFormat="1" ht="18.75" x14ac:dyDescent="0.3">
      <c r="A16" s="118">
        <v>11</v>
      </c>
      <c r="B16" s="119" t="s">
        <v>31</v>
      </c>
      <c r="C16" s="118" t="s">
        <v>57</v>
      </c>
      <c r="D16" s="120">
        <v>45000</v>
      </c>
      <c r="E16" s="121"/>
      <c r="F16" s="121"/>
      <c r="G16" s="121"/>
      <c r="H16" s="121"/>
      <c r="I16" s="121"/>
      <c r="J16" s="121"/>
      <c r="K16" s="121"/>
      <c r="L16" s="237">
        <v>15</v>
      </c>
      <c r="M16" s="238" t="s">
        <v>61</v>
      </c>
      <c r="N16" s="240" t="s">
        <v>5</v>
      </c>
      <c r="O16" s="241">
        <v>40000</v>
      </c>
      <c r="P16" s="132">
        <f t="shared" si="0"/>
        <v>15</v>
      </c>
      <c r="Q16" s="123"/>
      <c r="R16" s="124">
        <f t="shared" si="2"/>
        <v>0</v>
      </c>
    </row>
    <row r="17" spans="1:18" s="122" customFormat="1" ht="18.75" x14ac:dyDescent="0.3">
      <c r="A17" s="118">
        <v>12</v>
      </c>
      <c r="B17" s="119" t="s">
        <v>28</v>
      </c>
      <c r="C17" s="118" t="s">
        <v>58</v>
      </c>
      <c r="D17" s="120">
        <v>45000</v>
      </c>
      <c r="E17" s="121"/>
      <c r="F17" s="121"/>
      <c r="G17" s="121"/>
      <c r="H17" s="121"/>
      <c r="I17" s="121"/>
      <c r="J17" s="121"/>
      <c r="K17" s="121"/>
      <c r="L17" s="237">
        <v>16</v>
      </c>
      <c r="M17" s="238" t="s">
        <v>62</v>
      </c>
      <c r="N17" s="240" t="s">
        <v>4</v>
      </c>
      <c r="O17" s="241">
        <v>40000</v>
      </c>
      <c r="P17" s="132">
        <f t="shared" si="0"/>
        <v>16</v>
      </c>
      <c r="Q17" s="123"/>
      <c r="R17" s="124" t="s">
        <v>310</v>
      </c>
    </row>
    <row r="18" spans="1:18" s="122" customFormat="1" ht="18.75" x14ac:dyDescent="0.3">
      <c r="A18" s="118">
        <v>13</v>
      </c>
      <c r="B18" s="119" t="s">
        <v>30</v>
      </c>
      <c r="C18" s="118" t="s">
        <v>59</v>
      </c>
      <c r="D18" s="120">
        <v>45000</v>
      </c>
      <c r="E18" s="121"/>
      <c r="F18" s="121"/>
      <c r="G18" s="121"/>
      <c r="H18" s="121"/>
      <c r="I18" s="121"/>
      <c r="J18" s="121"/>
      <c r="K18" s="121"/>
      <c r="L18" s="237">
        <v>17</v>
      </c>
      <c r="M18" s="238" t="s">
        <v>63</v>
      </c>
      <c r="N18" s="240" t="s">
        <v>8</v>
      </c>
      <c r="O18" s="241">
        <v>55000</v>
      </c>
      <c r="P18" s="132">
        <f t="shared" si="0"/>
        <v>17</v>
      </c>
      <c r="Q18" s="123"/>
      <c r="R18" s="124">
        <f t="shared" si="2"/>
        <v>0</v>
      </c>
    </row>
    <row r="19" spans="1:18" s="122" customFormat="1" ht="18.75" x14ac:dyDescent="0.3">
      <c r="A19" s="118">
        <v>14</v>
      </c>
      <c r="B19" s="119" t="s">
        <v>29</v>
      </c>
      <c r="C19" s="118" t="s">
        <v>60</v>
      </c>
      <c r="D19" s="120">
        <v>45000</v>
      </c>
      <c r="E19" s="121"/>
      <c r="F19" s="121"/>
      <c r="G19" s="121"/>
      <c r="H19" s="121"/>
      <c r="I19" s="121"/>
      <c r="J19" s="121"/>
      <c r="K19" s="121"/>
      <c r="L19" s="237">
        <v>18</v>
      </c>
      <c r="M19" s="238" t="s">
        <v>64</v>
      </c>
      <c r="N19" s="240" t="s">
        <v>13</v>
      </c>
      <c r="O19" s="241">
        <v>35000</v>
      </c>
      <c r="P19" s="132">
        <f t="shared" si="0"/>
        <v>18</v>
      </c>
      <c r="Q19" s="123"/>
      <c r="R19" s="124">
        <f t="shared" si="2"/>
        <v>0</v>
      </c>
    </row>
    <row r="20" spans="1:18" s="122" customFormat="1" ht="18.75" x14ac:dyDescent="0.3">
      <c r="A20" s="118">
        <v>15</v>
      </c>
      <c r="B20" s="119" t="s">
        <v>5</v>
      </c>
      <c r="C20" s="118" t="s">
        <v>61</v>
      </c>
      <c r="D20" s="120">
        <v>40000</v>
      </c>
      <c r="E20" s="121"/>
      <c r="F20" s="121"/>
      <c r="G20" s="121"/>
      <c r="H20" s="121"/>
      <c r="I20" s="121"/>
      <c r="J20" s="121"/>
      <c r="K20" s="121"/>
      <c r="L20" s="237">
        <v>19</v>
      </c>
      <c r="M20" s="238" t="s">
        <v>65</v>
      </c>
      <c r="N20" s="240" t="s">
        <v>7</v>
      </c>
      <c r="O20" s="241">
        <v>69000</v>
      </c>
      <c r="P20" s="132">
        <f t="shared" si="0"/>
        <v>19</v>
      </c>
      <c r="Q20" s="123"/>
      <c r="R20" s="124">
        <f t="shared" si="2"/>
        <v>0</v>
      </c>
    </row>
    <row r="21" spans="1:18" s="122" customFormat="1" ht="18.75" x14ac:dyDescent="0.3">
      <c r="A21" s="118">
        <v>16</v>
      </c>
      <c r="B21" s="119" t="s">
        <v>4</v>
      </c>
      <c r="C21" s="118" t="s">
        <v>62</v>
      </c>
      <c r="D21" s="120">
        <v>40000</v>
      </c>
      <c r="E21" s="121"/>
      <c r="F21" s="121"/>
      <c r="G21" s="121"/>
      <c r="H21" s="121"/>
      <c r="I21" s="121"/>
      <c r="J21" s="121"/>
      <c r="K21" s="121"/>
      <c r="L21" s="237">
        <v>20</v>
      </c>
      <c r="M21" s="238" t="s">
        <v>66</v>
      </c>
      <c r="N21" s="240" t="s">
        <v>257</v>
      </c>
      <c r="O21" s="241">
        <v>40000</v>
      </c>
      <c r="P21" s="132">
        <f t="shared" si="0"/>
        <v>20</v>
      </c>
      <c r="Q21" s="123"/>
      <c r="R21" s="124">
        <f t="shared" si="2"/>
        <v>0</v>
      </c>
    </row>
    <row r="22" spans="1:18" s="122" customFormat="1" ht="18.75" x14ac:dyDescent="0.3">
      <c r="A22" s="118">
        <v>17</v>
      </c>
      <c r="B22" s="119" t="s">
        <v>8</v>
      </c>
      <c r="C22" s="118" t="s">
        <v>63</v>
      </c>
      <c r="D22" s="120">
        <v>55000</v>
      </c>
      <c r="E22" s="121"/>
      <c r="F22" s="121"/>
      <c r="G22" s="121"/>
      <c r="H22" s="121"/>
      <c r="I22" s="121"/>
      <c r="J22" s="121"/>
      <c r="K22" s="121"/>
      <c r="L22" s="237">
        <v>21</v>
      </c>
      <c r="M22" s="238" t="s">
        <v>67</v>
      </c>
      <c r="N22" s="240" t="s">
        <v>26</v>
      </c>
      <c r="O22" s="241">
        <v>50000</v>
      </c>
      <c r="P22" s="132">
        <f t="shared" si="0"/>
        <v>21</v>
      </c>
      <c r="Q22" s="123"/>
      <c r="R22" s="124">
        <f t="shared" si="2"/>
        <v>0</v>
      </c>
    </row>
    <row r="23" spans="1:18" s="122" customFormat="1" ht="18.75" x14ac:dyDescent="0.3">
      <c r="A23" s="118">
        <v>18</v>
      </c>
      <c r="B23" s="119" t="s">
        <v>13</v>
      </c>
      <c r="C23" s="118" t="s">
        <v>64</v>
      </c>
      <c r="D23" s="120">
        <v>35000</v>
      </c>
      <c r="E23" s="121"/>
      <c r="F23" s="121"/>
      <c r="G23" s="121"/>
      <c r="H23" s="121"/>
      <c r="I23" s="121"/>
      <c r="J23" s="121"/>
      <c r="K23" s="121"/>
      <c r="L23" s="237">
        <v>22</v>
      </c>
      <c r="M23" s="238" t="s">
        <v>68</v>
      </c>
      <c r="N23" s="240" t="s">
        <v>34</v>
      </c>
      <c r="O23" s="241">
        <v>32000</v>
      </c>
      <c r="P23" s="132">
        <f t="shared" si="0"/>
        <v>22</v>
      </c>
      <c r="Q23" s="123"/>
      <c r="R23" s="124">
        <f t="shared" si="2"/>
        <v>0</v>
      </c>
    </row>
    <row r="24" spans="1:18" s="122" customFormat="1" ht="18.75" x14ac:dyDescent="0.3">
      <c r="A24" s="118">
        <v>19</v>
      </c>
      <c r="B24" s="119" t="s">
        <v>7</v>
      </c>
      <c r="C24" s="118" t="s">
        <v>65</v>
      </c>
      <c r="D24" s="120">
        <v>69000</v>
      </c>
      <c r="E24" s="121"/>
      <c r="F24" s="121"/>
      <c r="G24" s="121"/>
      <c r="H24" s="121"/>
      <c r="I24" s="121"/>
      <c r="J24" s="121"/>
      <c r="K24" s="121"/>
      <c r="L24" s="237">
        <v>23</v>
      </c>
      <c r="M24" s="238" t="s">
        <v>69</v>
      </c>
      <c r="N24" s="240" t="s">
        <v>35</v>
      </c>
      <c r="O24" s="241">
        <v>14000</v>
      </c>
      <c r="P24" s="132">
        <f t="shared" si="0"/>
        <v>23</v>
      </c>
      <c r="Q24" s="123"/>
      <c r="R24" s="124">
        <f t="shared" si="2"/>
        <v>0</v>
      </c>
    </row>
    <row r="25" spans="1:18" s="122" customFormat="1" ht="18.75" x14ac:dyDescent="0.3">
      <c r="A25" s="118">
        <v>20</v>
      </c>
      <c r="B25" s="119" t="s">
        <v>257</v>
      </c>
      <c r="C25" s="118" t="s">
        <v>66</v>
      </c>
      <c r="D25" s="120">
        <v>40000</v>
      </c>
      <c r="E25" s="121"/>
      <c r="F25" s="121"/>
      <c r="G25" s="121"/>
      <c r="H25" s="121"/>
      <c r="I25" s="121"/>
      <c r="J25" s="121"/>
      <c r="K25" s="121"/>
      <c r="L25" s="237">
        <v>24</v>
      </c>
      <c r="M25" s="238" t="s">
        <v>70</v>
      </c>
      <c r="N25" s="240" t="s">
        <v>55</v>
      </c>
      <c r="O25" s="241">
        <v>32000</v>
      </c>
      <c r="P25" s="132">
        <f t="shared" si="0"/>
        <v>24</v>
      </c>
      <c r="Q25" s="123"/>
      <c r="R25" s="124">
        <f t="shared" si="2"/>
        <v>0</v>
      </c>
    </row>
    <row r="26" spans="1:18" s="122" customFormat="1" ht="18.75" x14ac:dyDescent="0.3">
      <c r="A26" s="118">
        <v>21</v>
      </c>
      <c r="B26" s="119" t="s">
        <v>26</v>
      </c>
      <c r="C26" s="118" t="s">
        <v>67</v>
      </c>
      <c r="D26" s="120">
        <v>50000</v>
      </c>
      <c r="E26" s="121"/>
      <c r="F26" s="121"/>
      <c r="G26" s="121"/>
      <c r="H26" s="121"/>
      <c r="I26" s="121"/>
      <c r="J26" s="121"/>
      <c r="K26" s="121"/>
      <c r="L26" s="237">
        <v>25</v>
      </c>
      <c r="M26" s="238" t="s">
        <v>71</v>
      </c>
      <c r="N26" s="240" t="s">
        <v>36</v>
      </c>
      <c r="O26" s="241">
        <v>35000</v>
      </c>
      <c r="P26" s="132">
        <f t="shared" si="0"/>
        <v>25</v>
      </c>
      <c r="Q26" s="123"/>
      <c r="R26" s="124">
        <f t="shared" si="2"/>
        <v>0</v>
      </c>
    </row>
    <row r="27" spans="1:18" s="122" customFormat="1" ht="18.75" x14ac:dyDescent="0.3">
      <c r="A27" s="118">
        <v>22</v>
      </c>
      <c r="B27" s="119" t="s">
        <v>34</v>
      </c>
      <c r="C27" s="118" t="s">
        <v>68</v>
      </c>
      <c r="D27" s="120">
        <v>32000</v>
      </c>
      <c r="E27" s="121"/>
      <c r="F27" s="121"/>
      <c r="G27" s="121"/>
      <c r="H27" s="121"/>
      <c r="I27" s="121"/>
      <c r="J27" s="121"/>
      <c r="K27" s="121"/>
      <c r="L27" s="237">
        <v>26</v>
      </c>
      <c r="M27" s="238" t="s">
        <v>72</v>
      </c>
      <c r="N27" s="240" t="s">
        <v>37</v>
      </c>
      <c r="O27" s="241">
        <v>14000</v>
      </c>
      <c r="P27" s="132">
        <f t="shared" si="0"/>
        <v>26</v>
      </c>
      <c r="Q27" s="123"/>
      <c r="R27" s="124">
        <f t="shared" si="2"/>
        <v>0</v>
      </c>
    </row>
    <row r="28" spans="1:18" s="122" customFormat="1" ht="18.75" x14ac:dyDescent="0.3">
      <c r="A28" s="118">
        <v>23</v>
      </c>
      <c r="B28" s="119" t="s">
        <v>35</v>
      </c>
      <c r="C28" s="118" t="s">
        <v>69</v>
      </c>
      <c r="D28" s="120">
        <v>14000</v>
      </c>
      <c r="E28" s="121"/>
      <c r="F28" s="121"/>
      <c r="G28" s="121"/>
      <c r="H28" s="121"/>
      <c r="I28" s="121"/>
      <c r="J28" s="121"/>
      <c r="K28" s="121"/>
      <c r="L28" s="237">
        <v>27</v>
      </c>
      <c r="M28" s="238" t="s">
        <v>73</v>
      </c>
      <c r="N28" s="240" t="s">
        <v>38</v>
      </c>
      <c r="O28" s="241">
        <v>35000</v>
      </c>
      <c r="P28" s="132">
        <f t="shared" si="0"/>
        <v>27</v>
      </c>
      <c r="Q28" s="123"/>
      <c r="R28" s="124">
        <f t="shared" si="2"/>
        <v>0</v>
      </c>
    </row>
    <row r="29" spans="1:18" s="122" customFormat="1" ht="18.75" x14ac:dyDescent="0.3">
      <c r="A29" s="118">
        <v>24</v>
      </c>
      <c r="B29" s="119" t="s">
        <v>55</v>
      </c>
      <c r="C29" s="118" t="s">
        <v>70</v>
      </c>
      <c r="D29" s="120">
        <v>32000</v>
      </c>
      <c r="E29" s="121"/>
      <c r="F29" s="121"/>
      <c r="G29" s="121"/>
      <c r="H29" s="121"/>
      <c r="I29" s="121"/>
      <c r="J29" s="121"/>
      <c r="K29" s="121"/>
      <c r="L29" s="237">
        <v>28</v>
      </c>
      <c r="M29" s="238" t="s">
        <v>74</v>
      </c>
      <c r="N29" s="240" t="s">
        <v>39</v>
      </c>
      <c r="O29" s="241">
        <v>14000</v>
      </c>
      <c r="P29" s="132">
        <f t="shared" si="0"/>
        <v>28</v>
      </c>
      <c r="Q29" s="123"/>
      <c r="R29" s="124">
        <f t="shared" si="2"/>
        <v>0</v>
      </c>
    </row>
    <row r="30" spans="1:18" s="122" customFormat="1" ht="18.75" x14ac:dyDescent="0.3">
      <c r="A30" s="118">
        <v>25</v>
      </c>
      <c r="B30" s="119" t="s">
        <v>36</v>
      </c>
      <c r="C30" s="118" t="s">
        <v>71</v>
      </c>
      <c r="D30" s="120">
        <v>35000</v>
      </c>
      <c r="E30" s="121"/>
      <c r="F30" s="121"/>
      <c r="G30" s="121"/>
      <c r="H30" s="121"/>
      <c r="I30" s="121"/>
      <c r="J30" s="121"/>
      <c r="K30" s="121"/>
      <c r="L30" s="237">
        <v>29</v>
      </c>
      <c r="M30" s="238" t="s">
        <v>75</v>
      </c>
      <c r="N30" s="240" t="s">
        <v>44</v>
      </c>
      <c r="O30" s="241">
        <v>59000</v>
      </c>
      <c r="P30" s="132">
        <f t="shared" si="0"/>
        <v>29</v>
      </c>
      <c r="Q30" s="123"/>
      <c r="R30" s="124">
        <f t="shared" si="2"/>
        <v>0</v>
      </c>
    </row>
    <row r="31" spans="1:18" s="122" customFormat="1" ht="18.75" x14ac:dyDescent="0.3">
      <c r="A31" s="118">
        <v>26</v>
      </c>
      <c r="B31" s="119" t="s">
        <v>37</v>
      </c>
      <c r="C31" s="118" t="s">
        <v>72</v>
      </c>
      <c r="D31" s="120">
        <v>14000</v>
      </c>
      <c r="E31" s="121"/>
      <c r="F31" s="121"/>
      <c r="G31" s="121"/>
      <c r="H31" s="121"/>
      <c r="I31" s="121"/>
      <c r="J31" s="121"/>
      <c r="K31" s="121"/>
      <c r="L31" s="237">
        <v>30</v>
      </c>
      <c r="M31" s="238" t="s">
        <v>76</v>
      </c>
      <c r="N31" s="240" t="s">
        <v>45</v>
      </c>
      <c r="O31" s="241">
        <v>52000</v>
      </c>
      <c r="P31" s="132">
        <f t="shared" si="0"/>
        <v>30</v>
      </c>
      <c r="Q31" s="123"/>
      <c r="R31" s="124">
        <f t="shared" si="2"/>
        <v>0</v>
      </c>
    </row>
    <row r="32" spans="1:18" s="122" customFormat="1" ht="18.75" x14ac:dyDescent="0.3">
      <c r="A32" s="118">
        <v>27</v>
      </c>
      <c r="B32" s="119" t="s">
        <v>38</v>
      </c>
      <c r="C32" s="118" t="s">
        <v>73</v>
      </c>
      <c r="D32" s="120">
        <v>35000</v>
      </c>
      <c r="E32" s="121"/>
      <c r="F32" s="121"/>
      <c r="G32" s="121"/>
      <c r="H32" s="121"/>
      <c r="I32" s="121"/>
      <c r="J32" s="121"/>
      <c r="K32" s="121"/>
      <c r="L32" s="237">
        <v>31</v>
      </c>
      <c r="M32" s="238" t="s">
        <v>77</v>
      </c>
      <c r="N32" s="240" t="s">
        <v>41</v>
      </c>
      <c r="O32" s="241">
        <v>65000</v>
      </c>
      <c r="P32" s="132">
        <f t="shared" si="0"/>
        <v>31</v>
      </c>
      <c r="Q32" s="123"/>
      <c r="R32" s="123"/>
    </row>
    <row r="33" spans="1:18" s="122" customFormat="1" ht="18.75" x14ac:dyDescent="0.3">
      <c r="A33" s="118">
        <v>28</v>
      </c>
      <c r="B33" s="119" t="s">
        <v>39</v>
      </c>
      <c r="C33" s="118" t="s">
        <v>74</v>
      </c>
      <c r="D33" s="120">
        <v>14000</v>
      </c>
      <c r="E33" s="121"/>
      <c r="F33" s="121"/>
      <c r="G33" s="121"/>
      <c r="H33" s="121"/>
      <c r="I33" s="121"/>
      <c r="J33" s="121"/>
      <c r="K33" s="121"/>
      <c r="L33" s="237">
        <v>32</v>
      </c>
      <c r="M33" s="238" t="s">
        <v>78</v>
      </c>
      <c r="N33" s="240" t="s">
        <v>40</v>
      </c>
      <c r="O33" s="241">
        <v>44000</v>
      </c>
      <c r="P33" s="132">
        <f t="shared" si="0"/>
        <v>32</v>
      </c>
      <c r="Q33" s="123"/>
      <c r="R33" s="123"/>
    </row>
    <row r="34" spans="1:18" s="122" customFormat="1" ht="18.75" x14ac:dyDescent="0.3">
      <c r="A34" s="118">
        <v>29</v>
      </c>
      <c r="B34" s="119" t="s">
        <v>44</v>
      </c>
      <c r="C34" s="118" t="s">
        <v>75</v>
      </c>
      <c r="D34" s="120">
        <v>59000</v>
      </c>
      <c r="E34" s="121"/>
      <c r="F34" s="121"/>
      <c r="G34" s="121"/>
      <c r="H34" s="121"/>
      <c r="I34" s="121"/>
      <c r="J34" s="121"/>
      <c r="K34" s="121"/>
      <c r="L34" s="237">
        <v>33</v>
      </c>
      <c r="M34" s="238" t="s">
        <v>79</v>
      </c>
      <c r="N34" s="240" t="s">
        <v>43</v>
      </c>
      <c r="O34" s="241">
        <v>79000</v>
      </c>
      <c r="P34" s="132">
        <f t="shared" si="0"/>
        <v>33</v>
      </c>
      <c r="Q34" s="123"/>
      <c r="R34" s="123"/>
    </row>
    <row r="35" spans="1:18" s="122" customFormat="1" ht="18.75" x14ac:dyDescent="0.3">
      <c r="A35" s="118">
        <v>30</v>
      </c>
      <c r="B35" s="119" t="s">
        <v>45</v>
      </c>
      <c r="C35" s="118" t="s">
        <v>76</v>
      </c>
      <c r="D35" s="120">
        <v>52000</v>
      </c>
      <c r="E35" s="121"/>
      <c r="F35" s="121"/>
      <c r="G35" s="121"/>
      <c r="H35" s="121"/>
      <c r="I35" s="121"/>
      <c r="J35" s="121"/>
      <c r="K35" s="121"/>
      <c r="L35" s="237">
        <v>34</v>
      </c>
      <c r="M35" s="238" t="s">
        <v>80</v>
      </c>
      <c r="N35" s="240" t="s">
        <v>33</v>
      </c>
      <c r="O35" s="241">
        <v>66000</v>
      </c>
      <c r="P35" s="132">
        <f t="shared" si="0"/>
        <v>34</v>
      </c>
      <c r="Q35" s="123"/>
      <c r="R35" s="123"/>
    </row>
    <row r="36" spans="1:18" s="122" customFormat="1" ht="18.75" x14ac:dyDescent="0.3">
      <c r="A36" s="118">
        <v>31</v>
      </c>
      <c r="B36" s="119" t="s">
        <v>41</v>
      </c>
      <c r="C36" s="118" t="s">
        <v>77</v>
      </c>
      <c r="D36" s="120">
        <v>65000</v>
      </c>
      <c r="E36" s="121"/>
      <c r="F36" s="121"/>
      <c r="G36" s="121"/>
      <c r="H36" s="121"/>
      <c r="I36" s="121"/>
      <c r="J36" s="121"/>
      <c r="K36" s="121"/>
      <c r="L36" s="237">
        <v>35</v>
      </c>
      <c r="M36" s="238" t="s">
        <v>81</v>
      </c>
      <c r="N36" s="240" t="s">
        <v>47</v>
      </c>
      <c r="O36" s="241">
        <v>65000</v>
      </c>
      <c r="P36" s="132">
        <f t="shared" si="0"/>
        <v>35</v>
      </c>
      <c r="Q36" s="123"/>
      <c r="R36" s="123"/>
    </row>
    <row r="37" spans="1:18" s="122" customFormat="1" ht="18.75" x14ac:dyDescent="0.3">
      <c r="A37" s="118">
        <v>32</v>
      </c>
      <c r="B37" s="119" t="s">
        <v>40</v>
      </c>
      <c r="C37" s="118" t="s">
        <v>78</v>
      </c>
      <c r="D37" s="120">
        <v>44000</v>
      </c>
      <c r="E37" s="121"/>
      <c r="F37" s="121"/>
      <c r="G37" s="121"/>
      <c r="H37" s="121"/>
      <c r="I37" s="121"/>
      <c r="J37" s="121"/>
      <c r="K37" s="121"/>
      <c r="L37" s="237">
        <v>36</v>
      </c>
      <c r="M37" s="238" t="s">
        <v>82</v>
      </c>
      <c r="N37" s="240" t="s">
        <v>48</v>
      </c>
      <c r="O37" s="241">
        <v>54000</v>
      </c>
      <c r="P37" s="132">
        <f t="shared" si="0"/>
        <v>36</v>
      </c>
      <c r="Q37" s="123"/>
      <c r="R37" s="123"/>
    </row>
    <row r="38" spans="1:18" s="122" customFormat="1" ht="18.75" x14ac:dyDescent="0.3">
      <c r="A38" s="118">
        <v>33</v>
      </c>
      <c r="B38" s="119" t="s">
        <v>43</v>
      </c>
      <c r="C38" s="118" t="s">
        <v>79</v>
      </c>
      <c r="D38" s="120">
        <v>79000</v>
      </c>
      <c r="E38" s="121"/>
      <c r="F38" s="121"/>
      <c r="G38" s="121"/>
      <c r="H38" s="121"/>
      <c r="I38" s="121"/>
      <c r="J38" s="121"/>
      <c r="K38" s="121"/>
      <c r="L38" s="237">
        <v>37</v>
      </c>
      <c r="M38" s="238" t="s">
        <v>83</v>
      </c>
      <c r="N38" s="240" t="s">
        <v>42</v>
      </c>
      <c r="O38" s="241">
        <v>59000</v>
      </c>
      <c r="P38" s="132">
        <f t="shared" si="0"/>
        <v>37</v>
      </c>
      <c r="Q38" s="123"/>
      <c r="R38" s="123"/>
    </row>
    <row r="39" spans="1:18" s="122" customFormat="1" ht="18.75" x14ac:dyDescent="0.3">
      <c r="A39" s="118">
        <v>34</v>
      </c>
      <c r="B39" s="119" t="s">
        <v>33</v>
      </c>
      <c r="C39" s="118" t="s">
        <v>80</v>
      </c>
      <c r="D39" s="120">
        <v>66000</v>
      </c>
      <c r="E39" s="121"/>
      <c r="F39" s="121"/>
      <c r="G39" s="121"/>
      <c r="H39" s="121"/>
      <c r="I39" s="121"/>
      <c r="J39" s="121"/>
      <c r="K39" s="121"/>
      <c r="L39" s="237">
        <v>38</v>
      </c>
      <c r="M39" s="238" t="s">
        <v>84</v>
      </c>
      <c r="N39" s="240" t="s">
        <v>255</v>
      </c>
      <c r="O39" s="241">
        <v>40000</v>
      </c>
      <c r="P39" s="132">
        <f t="shared" si="0"/>
        <v>38</v>
      </c>
      <c r="Q39" s="123"/>
      <c r="R39" s="123"/>
    </row>
    <row r="40" spans="1:18" s="122" customFormat="1" ht="18.75" x14ac:dyDescent="0.3">
      <c r="A40" s="118">
        <v>35</v>
      </c>
      <c r="B40" s="119" t="s">
        <v>47</v>
      </c>
      <c r="C40" s="118" t="s">
        <v>81</v>
      </c>
      <c r="D40" s="120">
        <v>65000</v>
      </c>
      <c r="E40" s="121"/>
      <c r="F40" s="121"/>
      <c r="G40" s="121"/>
      <c r="H40" s="121"/>
      <c r="I40" s="121"/>
      <c r="J40" s="121"/>
      <c r="K40" s="121"/>
      <c r="L40" s="237">
        <v>39</v>
      </c>
      <c r="M40" s="238" t="s">
        <v>85</v>
      </c>
      <c r="N40" s="240" t="s">
        <v>120</v>
      </c>
      <c r="O40" s="241">
        <v>35000</v>
      </c>
      <c r="P40" s="132">
        <f t="shared" si="0"/>
        <v>39</v>
      </c>
      <c r="Q40" s="123"/>
      <c r="R40" s="123"/>
    </row>
    <row r="41" spans="1:18" s="122" customFormat="1" ht="18.75" x14ac:dyDescent="0.3">
      <c r="A41" s="118">
        <v>36</v>
      </c>
      <c r="B41" s="119" t="s">
        <v>48</v>
      </c>
      <c r="C41" s="118" t="s">
        <v>82</v>
      </c>
      <c r="D41" s="120">
        <v>54000</v>
      </c>
      <c r="E41" s="121"/>
      <c r="F41" s="121"/>
      <c r="G41" s="121"/>
      <c r="H41" s="121"/>
      <c r="I41" s="121"/>
      <c r="J41" s="121"/>
      <c r="K41" s="121"/>
      <c r="L41" s="237">
        <v>40</v>
      </c>
      <c r="M41" s="238" t="s">
        <v>86</v>
      </c>
      <c r="N41" s="240" t="s">
        <v>222</v>
      </c>
      <c r="O41" s="241">
        <v>105000</v>
      </c>
      <c r="P41" s="132">
        <f t="shared" si="0"/>
        <v>40</v>
      </c>
      <c r="Q41" s="123"/>
      <c r="R41" s="123"/>
    </row>
    <row r="42" spans="1:18" s="122" customFormat="1" ht="18.75" x14ac:dyDescent="0.3">
      <c r="A42" s="118">
        <v>37</v>
      </c>
      <c r="B42" s="119" t="s">
        <v>42</v>
      </c>
      <c r="C42" s="118" t="s">
        <v>83</v>
      </c>
      <c r="D42" s="120">
        <v>59000</v>
      </c>
      <c r="E42" s="121"/>
      <c r="F42" s="121"/>
      <c r="G42" s="121"/>
      <c r="H42" s="121"/>
      <c r="I42" s="121"/>
      <c r="J42" s="121"/>
      <c r="K42" s="121"/>
      <c r="L42" s="237">
        <v>41</v>
      </c>
      <c r="M42" s="238" t="s">
        <v>87</v>
      </c>
      <c r="N42" s="240" t="s">
        <v>123</v>
      </c>
      <c r="O42" s="241">
        <v>42000</v>
      </c>
      <c r="P42" s="132">
        <f t="shared" si="0"/>
        <v>41</v>
      </c>
      <c r="Q42" s="123"/>
      <c r="R42" s="123"/>
    </row>
    <row r="43" spans="1:18" s="122" customFormat="1" ht="18.75" x14ac:dyDescent="0.3">
      <c r="A43" s="118">
        <v>38</v>
      </c>
      <c r="B43" s="119" t="s">
        <v>255</v>
      </c>
      <c r="C43" s="118" t="s">
        <v>84</v>
      </c>
      <c r="D43" s="120">
        <v>40000</v>
      </c>
      <c r="E43" s="121"/>
      <c r="F43" s="121"/>
      <c r="G43" s="121"/>
      <c r="H43" s="121"/>
      <c r="I43" s="121"/>
      <c r="J43" s="121"/>
      <c r="K43" s="121"/>
      <c r="L43" s="237">
        <v>42</v>
      </c>
      <c r="M43" s="238" t="s">
        <v>88</v>
      </c>
      <c r="N43" s="240" t="s">
        <v>126</v>
      </c>
      <c r="O43" s="241">
        <v>35000</v>
      </c>
      <c r="P43" s="132">
        <f t="shared" si="0"/>
        <v>42</v>
      </c>
      <c r="Q43" s="123"/>
      <c r="R43" s="123"/>
    </row>
    <row r="44" spans="1:18" s="122" customFormat="1" ht="18.75" x14ac:dyDescent="0.3">
      <c r="A44" s="118">
        <v>39</v>
      </c>
      <c r="B44" s="119" t="s">
        <v>120</v>
      </c>
      <c r="C44" s="118" t="s">
        <v>85</v>
      </c>
      <c r="D44" s="120">
        <v>35000</v>
      </c>
      <c r="E44" s="121"/>
      <c r="F44" s="121"/>
      <c r="G44" s="121"/>
      <c r="H44" s="121"/>
      <c r="I44" s="121"/>
      <c r="J44" s="121"/>
      <c r="K44" s="121"/>
      <c r="L44" s="237">
        <v>43</v>
      </c>
      <c r="M44" s="238" t="s">
        <v>89</v>
      </c>
      <c r="N44" s="240" t="s">
        <v>141</v>
      </c>
      <c r="O44" s="241">
        <v>69000</v>
      </c>
      <c r="P44" s="132">
        <f t="shared" si="0"/>
        <v>43</v>
      </c>
      <c r="Q44" s="123"/>
      <c r="R44" s="123"/>
    </row>
    <row r="45" spans="1:18" s="122" customFormat="1" ht="18.75" x14ac:dyDescent="0.3">
      <c r="A45" s="118">
        <v>40</v>
      </c>
      <c r="B45" s="119" t="s">
        <v>222</v>
      </c>
      <c r="C45" s="118" t="s">
        <v>86</v>
      </c>
      <c r="D45" s="120">
        <v>105000</v>
      </c>
      <c r="E45" s="121"/>
      <c r="F45" s="121"/>
      <c r="G45" s="121"/>
      <c r="H45" s="121"/>
      <c r="I45" s="121"/>
      <c r="J45" s="121"/>
      <c r="K45" s="121"/>
      <c r="L45" s="237">
        <v>44</v>
      </c>
      <c r="M45" s="238" t="s">
        <v>90</v>
      </c>
      <c r="N45" s="240" t="s">
        <v>143</v>
      </c>
      <c r="O45" s="241">
        <v>76000</v>
      </c>
      <c r="P45" s="132">
        <f t="shared" si="0"/>
        <v>44</v>
      </c>
      <c r="Q45" s="123"/>
      <c r="R45" s="123"/>
    </row>
    <row r="46" spans="1:18" s="122" customFormat="1" ht="18.75" x14ac:dyDescent="0.3">
      <c r="A46" s="118">
        <v>41</v>
      </c>
      <c r="B46" s="119" t="s">
        <v>123</v>
      </c>
      <c r="C46" s="118" t="s">
        <v>87</v>
      </c>
      <c r="D46" s="120">
        <v>42000</v>
      </c>
      <c r="E46" s="121"/>
      <c r="F46" s="121"/>
      <c r="G46" s="121"/>
      <c r="H46" s="121"/>
      <c r="I46" s="121"/>
      <c r="J46" s="121"/>
      <c r="K46" s="121"/>
      <c r="L46" s="237">
        <v>45</v>
      </c>
      <c r="M46" s="238" t="s">
        <v>91</v>
      </c>
      <c r="N46" s="240" t="s">
        <v>294</v>
      </c>
      <c r="O46" s="241">
        <v>35000</v>
      </c>
      <c r="P46" s="132">
        <f t="shared" si="0"/>
        <v>45</v>
      </c>
      <c r="Q46" s="123"/>
      <c r="R46" s="123"/>
    </row>
    <row r="47" spans="1:18" s="122" customFormat="1" ht="18.75" x14ac:dyDescent="0.3">
      <c r="A47" s="118">
        <v>42</v>
      </c>
      <c r="B47" s="119" t="s">
        <v>126</v>
      </c>
      <c r="C47" s="118" t="s">
        <v>88</v>
      </c>
      <c r="D47" s="120">
        <v>35000</v>
      </c>
      <c r="E47" s="121"/>
      <c r="F47" s="121"/>
      <c r="G47" s="121"/>
      <c r="H47" s="121"/>
      <c r="I47" s="121"/>
      <c r="J47" s="121"/>
      <c r="K47" s="121"/>
      <c r="L47" s="237">
        <v>46</v>
      </c>
      <c r="M47" s="238" t="s">
        <v>92</v>
      </c>
      <c r="N47" s="240" t="s">
        <v>151</v>
      </c>
      <c r="O47" s="241">
        <v>49000</v>
      </c>
      <c r="P47" s="132">
        <f t="shared" si="0"/>
        <v>46</v>
      </c>
      <c r="Q47" s="123"/>
      <c r="R47" s="123"/>
    </row>
    <row r="48" spans="1:18" s="122" customFormat="1" ht="18.75" x14ac:dyDescent="0.3">
      <c r="A48" s="118">
        <v>43</v>
      </c>
      <c r="B48" s="119" t="s">
        <v>141</v>
      </c>
      <c r="C48" s="118" t="s">
        <v>89</v>
      </c>
      <c r="D48" s="120">
        <v>69000</v>
      </c>
      <c r="E48" s="121"/>
      <c r="F48" s="121"/>
      <c r="G48" s="121"/>
      <c r="H48" s="121"/>
      <c r="I48" s="121"/>
      <c r="J48" s="121"/>
      <c r="K48" s="121"/>
      <c r="L48" s="237">
        <v>47</v>
      </c>
      <c r="M48" s="238" t="s">
        <v>110</v>
      </c>
      <c r="N48" s="240" t="s">
        <v>149</v>
      </c>
      <c r="O48" s="241">
        <v>80000</v>
      </c>
      <c r="P48" s="132">
        <f t="shared" si="0"/>
        <v>47</v>
      </c>
      <c r="Q48" s="123"/>
      <c r="R48" s="123"/>
    </row>
    <row r="49" spans="1:18" s="122" customFormat="1" ht="18.75" x14ac:dyDescent="0.3">
      <c r="A49" s="118">
        <v>44</v>
      </c>
      <c r="B49" s="119" t="s">
        <v>143</v>
      </c>
      <c r="C49" s="118" t="s">
        <v>90</v>
      </c>
      <c r="D49" s="120">
        <v>76000</v>
      </c>
      <c r="E49" s="121"/>
      <c r="F49" s="121"/>
      <c r="G49" s="121"/>
      <c r="H49" s="121"/>
      <c r="I49" s="121"/>
      <c r="J49" s="121"/>
      <c r="K49" s="121"/>
      <c r="L49" s="237">
        <v>48</v>
      </c>
      <c r="M49" s="238" t="s">
        <v>121</v>
      </c>
      <c r="N49" s="240" t="s">
        <v>253</v>
      </c>
      <c r="O49" s="241">
        <v>44000</v>
      </c>
      <c r="P49" s="132">
        <f t="shared" si="0"/>
        <v>48</v>
      </c>
      <c r="Q49" s="123"/>
      <c r="R49" s="123"/>
    </row>
    <row r="50" spans="1:18" s="122" customFormat="1" ht="18.75" x14ac:dyDescent="0.3">
      <c r="A50" s="118">
        <v>45</v>
      </c>
      <c r="B50" s="119" t="s">
        <v>294</v>
      </c>
      <c r="C50" s="118" t="s">
        <v>91</v>
      </c>
      <c r="D50" s="120">
        <v>35000</v>
      </c>
      <c r="E50" s="121"/>
      <c r="F50" s="121"/>
      <c r="G50" s="121"/>
      <c r="H50" s="121"/>
      <c r="I50" s="121"/>
      <c r="J50" s="121"/>
      <c r="K50" s="121"/>
      <c r="L50" s="237">
        <v>49</v>
      </c>
      <c r="M50" s="238" t="s">
        <v>122</v>
      </c>
      <c r="N50" s="240" t="s">
        <v>156</v>
      </c>
      <c r="O50" s="241">
        <v>35000</v>
      </c>
      <c r="P50" s="132">
        <f t="shared" si="0"/>
        <v>49</v>
      </c>
      <c r="Q50" s="123"/>
      <c r="R50" s="123"/>
    </row>
    <row r="51" spans="1:18" s="122" customFormat="1" ht="18.75" x14ac:dyDescent="0.3">
      <c r="A51" s="118">
        <v>46</v>
      </c>
      <c r="B51" s="119" t="s">
        <v>151</v>
      </c>
      <c r="C51" s="118" t="s">
        <v>92</v>
      </c>
      <c r="D51" s="120">
        <v>49000</v>
      </c>
      <c r="E51" s="121"/>
      <c r="F51" s="121"/>
      <c r="G51" s="121"/>
      <c r="H51" s="121"/>
      <c r="I51" s="121"/>
      <c r="J51" s="121"/>
      <c r="K51" s="121"/>
      <c r="L51" s="237">
        <v>50</v>
      </c>
      <c r="M51" s="238" t="s">
        <v>124</v>
      </c>
      <c r="N51" s="240" t="s">
        <v>157</v>
      </c>
      <c r="O51" s="241">
        <v>38000</v>
      </c>
      <c r="P51" s="132">
        <f t="shared" si="0"/>
        <v>50</v>
      </c>
      <c r="Q51" s="123"/>
      <c r="R51" s="123"/>
    </row>
    <row r="52" spans="1:18" s="122" customFormat="1" ht="18.75" x14ac:dyDescent="0.3">
      <c r="A52" s="118">
        <v>47</v>
      </c>
      <c r="B52" s="119" t="s">
        <v>149</v>
      </c>
      <c r="C52" s="118" t="s">
        <v>110</v>
      </c>
      <c r="D52" s="120">
        <v>80000</v>
      </c>
      <c r="E52" s="121"/>
      <c r="F52" s="121"/>
      <c r="G52" s="121"/>
      <c r="H52" s="121"/>
      <c r="I52" s="121"/>
      <c r="J52" s="121"/>
      <c r="K52" s="121"/>
      <c r="L52" s="237">
        <v>51</v>
      </c>
      <c r="M52" s="238" t="s">
        <v>136</v>
      </c>
      <c r="N52" s="240" t="s">
        <v>163</v>
      </c>
      <c r="O52" s="241">
        <v>70000</v>
      </c>
      <c r="P52" s="132">
        <f t="shared" si="0"/>
        <v>51</v>
      </c>
      <c r="Q52" s="123"/>
      <c r="R52" s="123"/>
    </row>
    <row r="53" spans="1:18" s="122" customFormat="1" ht="18.75" x14ac:dyDescent="0.3">
      <c r="A53" s="118">
        <v>48</v>
      </c>
      <c r="B53" s="119" t="s">
        <v>253</v>
      </c>
      <c r="C53" s="118" t="s">
        <v>121</v>
      </c>
      <c r="D53" s="120">
        <v>44000</v>
      </c>
      <c r="E53" s="121"/>
      <c r="F53" s="121"/>
      <c r="G53" s="121"/>
      <c r="H53" s="121"/>
      <c r="I53" s="121"/>
      <c r="J53" s="121"/>
      <c r="K53" s="121"/>
      <c r="L53" s="237">
        <v>52</v>
      </c>
      <c r="M53" s="238" t="s">
        <v>142</v>
      </c>
      <c r="N53" s="240" t="s">
        <v>176</v>
      </c>
      <c r="O53" s="241">
        <v>54000</v>
      </c>
      <c r="P53" s="132">
        <f t="shared" si="0"/>
        <v>52</v>
      </c>
      <c r="Q53" s="123"/>
      <c r="R53" s="123"/>
    </row>
    <row r="54" spans="1:18" s="122" customFormat="1" ht="18.75" x14ac:dyDescent="0.3">
      <c r="A54" s="118">
        <v>49</v>
      </c>
      <c r="B54" s="119" t="s">
        <v>156</v>
      </c>
      <c r="C54" s="118" t="s">
        <v>122</v>
      </c>
      <c r="D54" s="120">
        <v>35000</v>
      </c>
      <c r="E54" s="121"/>
      <c r="F54" s="121"/>
      <c r="G54" s="121"/>
      <c r="H54" s="121"/>
      <c r="I54" s="121"/>
      <c r="J54" s="121"/>
      <c r="K54" s="121"/>
      <c r="L54" s="237">
        <v>53</v>
      </c>
      <c r="M54" s="238" t="s">
        <v>144</v>
      </c>
      <c r="N54" s="240" t="s">
        <v>179</v>
      </c>
      <c r="O54" s="241">
        <v>47000</v>
      </c>
      <c r="P54" s="132">
        <f t="shared" si="0"/>
        <v>53</v>
      </c>
      <c r="Q54" s="123"/>
      <c r="R54" s="123"/>
    </row>
    <row r="55" spans="1:18" s="122" customFormat="1" ht="18.75" x14ac:dyDescent="0.3">
      <c r="A55" s="118">
        <v>50</v>
      </c>
      <c r="B55" s="119" t="s">
        <v>157</v>
      </c>
      <c r="C55" s="118" t="s">
        <v>124</v>
      </c>
      <c r="D55" s="120">
        <v>38000</v>
      </c>
      <c r="E55" s="121"/>
      <c r="F55" s="121"/>
      <c r="G55" s="121"/>
      <c r="H55" s="121"/>
      <c r="I55" s="121"/>
      <c r="J55" s="121"/>
      <c r="K55" s="121"/>
      <c r="L55" s="237">
        <v>54</v>
      </c>
      <c r="M55" s="238" t="s">
        <v>150</v>
      </c>
      <c r="N55" s="240" t="s">
        <v>182</v>
      </c>
      <c r="O55" s="241">
        <v>50000</v>
      </c>
      <c r="P55" s="132">
        <f t="shared" si="0"/>
        <v>54</v>
      </c>
      <c r="Q55" s="123"/>
      <c r="R55" s="123"/>
    </row>
    <row r="56" spans="1:18" s="122" customFormat="1" ht="18.75" x14ac:dyDescent="0.3">
      <c r="A56" s="118">
        <v>51</v>
      </c>
      <c r="B56" s="119" t="s">
        <v>163</v>
      </c>
      <c r="C56" s="118" t="s">
        <v>136</v>
      </c>
      <c r="D56" s="120">
        <v>70000</v>
      </c>
      <c r="E56" s="121"/>
      <c r="F56" s="121"/>
      <c r="G56" s="121"/>
      <c r="H56" s="121"/>
      <c r="I56" s="121"/>
      <c r="J56" s="121"/>
      <c r="K56" s="121"/>
      <c r="L56" s="237">
        <v>55</v>
      </c>
      <c r="M56" s="238" t="s">
        <v>152</v>
      </c>
      <c r="N56" s="240" t="s">
        <v>181</v>
      </c>
      <c r="O56" s="241">
        <v>42000</v>
      </c>
      <c r="P56" s="132">
        <f t="shared" si="0"/>
        <v>55</v>
      </c>
      <c r="Q56" s="123"/>
      <c r="R56" s="123"/>
    </row>
    <row r="57" spans="1:18" s="122" customFormat="1" ht="18.75" x14ac:dyDescent="0.3">
      <c r="A57" s="118">
        <v>52</v>
      </c>
      <c r="B57" s="119" t="s">
        <v>176</v>
      </c>
      <c r="C57" s="118" t="s">
        <v>142</v>
      </c>
      <c r="D57" s="120">
        <v>54000</v>
      </c>
      <c r="E57" s="121"/>
      <c r="F57" s="121"/>
      <c r="G57" s="121"/>
      <c r="H57" s="121"/>
      <c r="I57" s="121"/>
      <c r="J57" s="121"/>
      <c r="K57" s="121"/>
      <c r="L57" s="237">
        <v>56</v>
      </c>
      <c r="M57" s="238" t="s">
        <v>154</v>
      </c>
      <c r="N57" s="240" t="s">
        <v>213</v>
      </c>
      <c r="O57" s="241">
        <v>16000</v>
      </c>
      <c r="P57" s="132">
        <f t="shared" si="0"/>
        <v>56</v>
      </c>
      <c r="Q57" s="123"/>
      <c r="R57" s="123"/>
    </row>
    <row r="58" spans="1:18" s="122" customFormat="1" ht="18.75" x14ac:dyDescent="0.3">
      <c r="A58" s="118">
        <v>53</v>
      </c>
      <c r="B58" s="119" t="s">
        <v>179</v>
      </c>
      <c r="C58" s="118" t="s">
        <v>144</v>
      </c>
      <c r="D58" s="120">
        <v>47000</v>
      </c>
      <c r="E58" s="121"/>
      <c r="F58" s="121"/>
      <c r="G58" s="121"/>
      <c r="H58" s="121"/>
      <c r="I58" s="121"/>
      <c r="J58" s="121"/>
      <c r="K58" s="121"/>
      <c r="L58" s="237">
        <v>57</v>
      </c>
      <c r="M58" s="238" t="s">
        <v>155</v>
      </c>
      <c r="N58" s="240" t="s">
        <v>205</v>
      </c>
      <c r="O58" s="241">
        <v>25000</v>
      </c>
      <c r="P58" s="132">
        <f t="shared" si="0"/>
        <v>57</v>
      </c>
      <c r="Q58" s="123"/>
      <c r="R58" s="123"/>
    </row>
    <row r="59" spans="1:18" s="122" customFormat="1" ht="18.75" x14ac:dyDescent="0.3">
      <c r="A59" s="118">
        <v>54</v>
      </c>
      <c r="B59" s="119" t="s">
        <v>182</v>
      </c>
      <c r="C59" s="118" t="s">
        <v>150</v>
      </c>
      <c r="D59" s="120">
        <v>50000</v>
      </c>
      <c r="E59" s="121"/>
      <c r="F59" s="121"/>
      <c r="G59" s="121"/>
      <c r="H59" s="121"/>
      <c r="I59" s="121"/>
      <c r="J59" s="121"/>
      <c r="K59" s="121"/>
      <c r="L59" s="237">
        <v>58</v>
      </c>
      <c r="M59" s="238" t="s">
        <v>158</v>
      </c>
      <c r="N59" s="240" t="s">
        <v>206</v>
      </c>
      <c r="O59" s="241">
        <v>26000</v>
      </c>
      <c r="P59" s="132">
        <f t="shared" si="0"/>
        <v>58</v>
      </c>
      <c r="Q59" s="123"/>
      <c r="R59" s="123"/>
    </row>
    <row r="60" spans="1:18" s="122" customFormat="1" ht="18.75" x14ac:dyDescent="0.3">
      <c r="A60" s="118">
        <v>55</v>
      </c>
      <c r="B60" s="119" t="s">
        <v>181</v>
      </c>
      <c r="C60" s="118" t="s">
        <v>152</v>
      </c>
      <c r="D60" s="120">
        <v>42000</v>
      </c>
      <c r="E60" s="121"/>
      <c r="F60" s="121"/>
      <c r="G60" s="121"/>
      <c r="H60" s="121"/>
      <c r="I60" s="121"/>
      <c r="J60" s="121"/>
      <c r="K60" s="121"/>
      <c r="L60" s="237">
        <v>59</v>
      </c>
      <c r="M60" s="238" t="s">
        <v>159</v>
      </c>
      <c r="N60" s="240" t="s">
        <v>207</v>
      </c>
      <c r="O60" s="241">
        <v>28000</v>
      </c>
      <c r="P60" s="132">
        <f t="shared" si="0"/>
        <v>59</v>
      </c>
      <c r="Q60" s="123"/>
      <c r="R60" s="123"/>
    </row>
    <row r="61" spans="1:18" s="122" customFormat="1" ht="18.75" x14ac:dyDescent="0.3">
      <c r="A61" s="118">
        <v>56</v>
      </c>
      <c r="B61" s="119" t="s">
        <v>213</v>
      </c>
      <c r="C61" s="118" t="s">
        <v>154</v>
      </c>
      <c r="D61" s="120">
        <v>16000</v>
      </c>
      <c r="E61" s="121"/>
      <c r="F61" s="121"/>
      <c r="G61" s="121"/>
      <c r="H61" s="121"/>
      <c r="I61" s="121"/>
      <c r="J61" s="121"/>
      <c r="K61" s="121"/>
      <c r="L61" s="237">
        <v>60</v>
      </c>
      <c r="M61" s="238" t="s">
        <v>164</v>
      </c>
      <c r="N61" s="240" t="s">
        <v>208</v>
      </c>
      <c r="O61" s="241">
        <v>28000</v>
      </c>
      <c r="P61" s="132">
        <f t="shared" si="0"/>
        <v>60</v>
      </c>
      <c r="Q61" s="123"/>
      <c r="R61" s="123"/>
    </row>
    <row r="62" spans="1:18" s="122" customFormat="1" ht="18.75" x14ac:dyDescent="0.3">
      <c r="A62" s="118">
        <v>57</v>
      </c>
      <c r="B62" s="119" t="s">
        <v>205</v>
      </c>
      <c r="C62" s="118" t="s">
        <v>155</v>
      </c>
      <c r="D62" s="120">
        <v>25000</v>
      </c>
      <c r="E62" s="121"/>
      <c r="F62" s="121"/>
      <c r="G62" s="121"/>
      <c r="H62" s="121"/>
      <c r="I62" s="121"/>
      <c r="J62" s="121"/>
      <c r="K62" s="121"/>
      <c r="L62" s="237">
        <v>61</v>
      </c>
      <c r="M62" s="238" t="s">
        <v>177</v>
      </c>
      <c r="N62" s="240" t="s">
        <v>209</v>
      </c>
      <c r="O62" s="241">
        <v>26000</v>
      </c>
      <c r="P62" s="132">
        <f t="shared" si="0"/>
        <v>61</v>
      </c>
      <c r="Q62" s="123"/>
      <c r="R62" s="123"/>
    </row>
    <row r="63" spans="1:18" s="122" customFormat="1" ht="18.75" x14ac:dyDescent="0.3">
      <c r="A63" s="118">
        <v>58</v>
      </c>
      <c r="B63" s="119" t="s">
        <v>206</v>
      </c>
      <c r="C63" s="118" t="s">
        <v>158</v>
      </c>
      <c r="D63" s="120">
        <v>26000</v>
      </c>
      <c r="E63" s="121"/>
      <c r="F63" s="121"/>
      <c r="G63" s="121"/>
      <c r="H63" s="121"/>
      <c r="I63" s="121"/>
      <c r="J63" s="121"/>
      <c r="K63" s="121"/>
      <c r="L63" s="237">
        <v>62</v>
      </c>
      <c r="M63" s="238" t="s">
        <v>180</v>
      </c>
      <c r="N63" s="240" t="s">
        <v>210</v>
      </c>
      <c r="O63" s="241">
        <v>35000</v>
      </c>
      <c r="P63" s="132">
        <f t="shared" si="0"/>
        <v>62</v>
      </c>
      <c r="Q63" s="123"/>
      <c r="R63" s="123"/>
    </row>
    <row r="64" spans="1:18" s="122" customFormat="1" ht="18.75" x14ac:dyDescent="0.3">
      <c r="A64" s="118">
        <v>59</v>
      </c>
      <c r="B64" s="119" t="s">
        <v>207</v>
      </c>
      <c r="C64" s="118" t="s">
        <v>159</v>
      </c>
      <c r="D64" s="120">
        <v>28000</v>
      </c>
      <c r="E64" s="121"/>
      <c r="F64" s="121"/>
      <c r="G64" s="121"/>
      <c r="H64" s="121"/>
      <c r="I64" s="121"/>
      <c r="J64" s="121"/>
      <c r="K64" s="121"/>
      <c r="L64" s="237">
        <v>63</v>
      </c>
      <c r="M64" s="238" t="s">
        <v>183</v>
      </c>
      <c r="N64" s="240" t="s">
        <v>211</v>
      </c>
      <c r="O64" s="241">
        <v>42000</v>
      </c>
      <c r="P64" s="132">
        <f t="shared" si="0"/>
        <v>63</v>
      </c>
      <c r="Q64" s="123"/>
      <c r="R64" s="123"/>
    </row>
    <row r="65" spans="1:18" s="122" customFormat="1" ht="18.75" x14ac:dyDescent="0.3">
      <c r="A65" s="118">
        <v>60</v>
      </c>
      <c r="B65" s="119" t="s">
        <v>208</v>
      </c>
      <c r="C65" s="118" t="s">
        <v>164</v>
      </c>
      <c r="D65" s="120">
        <v>28000</v>
      </c>
      <c r="E65" s="121"/>
      <c r="F65" s="121"/>
      <c r="G65" s="121"/>
      <c r="H65" s="121"/>
      <c r="I65" s="121"/>
      <c r="J65" s="121"/>
      <c r="K65" s="121"/>
      <c r="L65" s="237">
        <v>64</v>
      </c>
      <c r="M65" s="238" t="s">
        <v>184</v>
      </c>
      <c r="N65" s="240" t="s">
        <v>212</v>
      </c>
      <c r="O65" s="241">
        <v>45000</v>
      </c>
      <c r="P65" s="132">
        <f t="shared" si="0"/>
        <v>64</v>
      </c>
      <c r="Q65" s="123"/>
      <c r="R65" s="123"/>
    </row>
    <row r="66" spans="1:18" ht="18.75" x14ac:dyDescent="0.3">
      <c r="A66" s="118">
        <v>61</v>
      </c>
      <c r="B66" s="119" t="s">
        <v>209</v>
      </c>
      <c r="C66" s="118" t="s">
        <v>177</v>
      </c>
      <c r="D66" s="120">
        <v>26000</v>
      </c>
      <c r="L66" s="237">
        <v>65</v>
      </c>
      <c r="M66" s="238" t="s">
        <v>214</v>
      </c>
      <c r="N66" s="240" t="s">
        <v>258</v>
      </c>
      <c r="O66" s="241">
        <v>40000</v>
      </c>
      <c r="P66" s="132">
        <f t="shared" ref="P66:P78" si="3">IF($N66="","",LOOKUP(2,1/($N66=$B$2:$B$100),$A$2:$A$100))</f>
        <v>65</v>
      </c>
      <c r="Q66" s="123"/>
    </row>
    <row r="67" spans="1:18" ht="18.75" x14ac:dyDescent="0.3">
      <c r="A67" s="118">
        <v>62</v>
      </c>
      <c r="B67" s="119" t="s">
        <v>210</v>
      </c>
      <c r="C67" s="118" t="s">
        <v>180</v>
      </c>
      <c r="D67" s="120">
        <v>35000</v>
      </c>
      <c r="L67" s="237">
        <v>66</v>
      </c>
      <c r="M67" s="238" t="s">
        <v>279</v>
      </c>
      <c r="N67" s="240" t="s">
        <v>278</v>
      </c>
      <c r="O67" s="241">
        <v>40000</v>
      </c>
      <c r="P67" s="132">
        <f t="shared" si="3"/>
        <v>66</v>
      </c>
      <c r="Q67" s="123"/>
    </row>
    <row r="68" spans="1:18" ht="18.75" x14ac:dyDescent="0.3">
      <c r="A68" s="118">
        <v>63</v>
      </c>
      <c r="B68" s="119" t="s">
        <v>211</v>
      </c>
      <c r="C68" s="118" t="s">
        <v>183</v>
      </c>
      <c r="D68" s="120">
        <v>42000</v>
      </c>
      <c r="L68" s="237" t="s">
        <v>186</v>
      </c>
      <c r="M68" s="238" t="s">
        <v>189</v>
      </c>
      <c r="N68" s="240" t="s">
        <v>282</v>
      </c>
      <c r="O68" s="241">
        <v>50000</v>
      </c>
      <c r="P68" s="132" t="str">
        <f t="shared" si="3"/>
        <v>G1</v>
      </c>
      <c r="Q68" s="123"/>
    </row>
    <row r="69" spans="1:18" ht="18.75" x14ac:dyDescent="0.3">
      <c r="A69" s="118">
        <v>64</v>
      </c>
      <c r="B69" s="119" t="s">
        <v>212</v>
      </c>
      <c r="C69" s="118" t="s">
        <v>184</v>
      </c>
      <c r="D69" s="120">
        <v>45000</v>
      </c>
      <c r="L69" s="237" t="s">
        <v>187</v>
      </c>
      <c r="M69" s="238" t="s">
        <v>190</v>
      </c>
      <c r="N69" s="240" t="s">
        <v>281</v>
      </c>
      <c r="O69" s="241">
        <v>65000</v>
      </c>
      <c r="P69" s="132" t="str">
        <f t="shared" si="3"/>
        <v>G2</v>
      </c>
      <c r="Q69" s="123"/>
    </row>
    <row r="70" spans="1:18" ht="18.75" x14ac:dyDescent="0.3">
      <c r="A70" s="118">
        <v>65</v>
      </c>
      <c r="B70" s="119" t="s">
        <v>258</v>
      </c>
      <c r="C70" s="118" t="s">
        <v>214</v>
      </c>
      <c r="D70" s="120">
        <v>40000</v>
      </c>
      <c r="L70" s="237" t="s">
        <v>188</v>
      </c>
      <c r="M70" s="238" t="s">
        <v>191</v>
      </c>
      <c r="N70" s="240" t="s">
        <v>192</v>
      </c>
      <c r="O70" s="241">
        <v>70000</v>
      </c>
      <c r="P70" s="132" t="str">
        <f t="shared" si="3"/>
        <v>G3</v>
      </c>
      <c r="Q70" s="123"/>
    </row>
    <row r="71" spans="1:18" ht="18.75" x14ac:dyDescent="0.3">
      <c r="A71" s="118">
        <v>66</v>
      </c>
      <c r="B71" s="119" t="s">
        <v>278</v>
      </c>
      <c r="C71" s="118" t="s">
        <v>279</v>
      </c>
      <c r="D71" s="120">
        <v>40000</v>
      </c>
      <c r="L71" s="237" t="s">
        <v>283</v>
      </c>
      <c r="M71" s="238" t="s">
        <v>284</v>
      </c>
      <c r="N71" s="240" t="s">
        <v>193</v>
      </c>
      <c r="O71" s="241">
        <v>48000</v>
      </c>
      <c r="P71" s="132" t="str">
        <f t="shared" si="3"/>
        <v>G4</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13" sqref="I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-615319</v>
      </c>
      <c r="J1" s="88" t="s">
        <v>129</v>
      </c>
      <c r="K1" s="244" t="s">
        <v>301</v>
      </c>
      <c r="L1" s="245"/>
      <c r="M1" s="232" t="s">
        <v>300</v>
      </c>
      <c r="N1" s="233">
        <v>50000</v>
      </c>
    </row>
    <row r="2" spans="1:18" ht="30.75" customHeight="1" x14ac:dyDescent="0.25">
      <c r="E2" s="94"/>
      <c r="G2" s="91" t="s">
        <v>128</v>
      </c>
      <c r="H2" s="82">
        <f>D1</f>
        <v>50000</v>
      </c>
      <c r="I2" s="83">
        <f>-16262</f>
        <v>-16262</v>
      </c>
      <c r="J2" s="83" t="s">
        <v>132</v>
      </c>
      <c r="K2" s="244">
        <v>235000</v>
      </c>
      <c r="L2" s="245"/>
      <c r="M2" s="232" t="s">
        <v>299</v>
      </c>
      <c r="N2" s="233">
        <v>80000</v>
      </c>
    </row>
    <row r="3" spans="1:18" ht="30.75" customHeight="1" x14ac:dyDescent="0.25">
      <c r="G3" s="84" t="s">
        <v>130</v>
      </c>
      <c r="H3" s="96">
        <f>INT('Quốc Nhân'!K4+'La Cusina'!K4+TVP!J4+Gà!K4+Kitkool!K4)</f>
        <v>694336</v>
      </c>
      <c r="I3" s="85">
        <f>I1+I2</f>
        <v>-631581</v>
      </c>
      <c r="J3" s="89" t="s">
        <v>127</v>
      </c>
      <c r="M3" s="232" t="s">
        <v>302</v>
      </c>
      <c r="N3" s="233">
        <v>55000</v>
      </c>
    </row>
    <row r="4" spans="1:18" ht="30.75" customHeight="1" x14ac:dyDescent="0.25">
      <c r="A4" s="111" t="s">
        <v>218</v>
      </c>
      <c r="B4">
        <v>3500</v>
      </c>
      <c r="G4" s="86" t="s">
        <v>178</v>
      </c>
      <c r="H4" s="126">
        <f>35000</f>
        <v>35000</v>
      </c>
      <c r="I4" s="87">
        <f ca="1">INT('Quốc Nhân'!K4+'La Cusina'!K4+TVP!J4+Gà!K4+Kitkool!K4-('Quốc Nhân'!A4+'La Cusina'!A4+TVP!A4+Gà!A4+Kitkool!A4))</f>
        <v>643992</v>
      </c>
      <c r="J4" s="90" t="s">
        <v>137</v>
      </c>
      <c r="M4" s="232" t="s">
        <v>303</v>
      </c>
      <c r="N4" s="233">
        <v>10000</v>
      </c>
    </row>
    <row r="5" spans="1:18" ht="30.75" customHeight="1" x14ac:dyDescent="0.25">
      <c r="A5" s="111" t="s">
        <v>202</v>
      </c>
      <c r="B5">
        <v>200</v>
      </c>
      <c r="G5" s="86" t="s">
        <v>305</v>
      </c>
      <c r="H5" s="126">
        <f>7400+5000+2400+10000+5000-2000</f>
        <v>27800</v>
      </c>
      <c r="I5" s="92">
        <f ca="1">I4+I3</f>
        <v>12411</v>
      </c>
      <c r="J5" s="93" t="s">
        <v>138</v>
      </c>
      <c r="M5" s="234" t="s">
        <v>304</v>
      </c>
      <c r="N5" s="235">
        <v>81600</v>
      </c>
    </row>
    <row r="6" spans="1:18" x14ac:dyDescent="0.25">
      <c r="A6" s="111" t="s">
        <v>203</v>
      </c>
      <c r="B6">
        <f>1162+1204+1064</f>
        <v>3430</v>
      </c>
      <c r="C6" t="s">
        <v>112</v>
      </c>
      <c r="D6">
        <v>400</v>
      </c>
      <c r="E6" t="s">
        <v>113</v>
      </c>
      <c r="H6" s="129"/>
      <c r="I6" s="94"/>
      <c r="J6" s="94"/>
      <c r="K6" s="94"/>
      <c r="L6" s="94"/>
      <c r="M6" s="218"/>
      <c r="N6" s="14"/>
      <c r="O6" s="14"/>
      <c r="P6" s="14"/>
      <c r="Q6" s="14"/>
      <c r="R6" s="14"/>
    </row>
    <row r="7" spans="1:18" x14ac:dyDescent="0.25">
      <c r="A7" s="111" t="s">
        <v>204</v>
      </c>
      <c r="B7">
        <v>1000</v>
      </c>
      <c r="C7" t="s">
        <v>114</v>
      </c>
      <c r="D7">
        <v>1000</v>
      </c>
      <c r="E7" t="s">
        <v>113</v>
      </c>
      <c r="H7" s="94"/>
      <c r="I7" s="94">
        <f>3000+2000+900+2150</f>
        <v>8050</v>
      </c>
      <c r="J7" s="94"/>
      <c r="K7" s="94"/>
      <c r="L7" s="94"/>
      <c r="M7" s="14"/>
      <c r="N7" s="14"/>
      <c r="O7" s="14"/>
      <c r="P7" s="14"/>
      <c r="Q7" s="14"/>
      <c r="R7" s="14"/>
    </row>
    <row r="8" spans="1:18" x14ac:dyDescent="0.25">
      <c r="A8" t="s">
        <v>221</v>
      </c>
      <c r="B8">
        <v>250</v>
      </c>
      <c r="C8" t="s">
        <v>115</v>
      </c>
      <c r="D8">
        <v>80</v>
      </c>
      <c r="E8" t="s">
        <v>113</v>
      </c>
      <c r="H8" s="94"/>
      <c r="I8" s="94">
        <v>1060</v>
      </c>
      <c r="J8" s="94"/>
      <c r="M8" s="14"/>
      <c r="N8" s="14"/>
      <c r="O8" s="14"/>
      <c r="P8" s="14"/>
      <c r="Q8" s="14"/>
      <c r="R8" s="14"/>
    </row>
    <row r="9" spans="1:18" x14ac:dyDescent="0.25">
      <c r="A9" t="s">
        <v>223</v>
      </c>
      <c r="B9">
        <v>400</v>
      </c>
      <c r="C9" t="s">
        <v>116</v>
      </c>
      <c r="D9">
        <v>145</v>
      </c>
      <c r="E9" t="s">
        <v>117</v>
      </c>
      <c r="H9" s="94"/>
      <c r="I9" s="94">
        <v>90</v>
      </c>
      <c r="J9" s="94"/>
      <c r="N9" s="14"/>
    </row>
    <row r="10" spans="1:18" x14ac:dyDescent="0.25">
      <c r="A10" t="s">
        <v>215</v>
      </c>
      <c r="B10">
        <v>300</v>
      </c>
      <c r="C10" t="s">
        <v>118</v>
      </c>
      <c r="D10">
        <v>800</v>
      </c>
      <c r="E10" t="s">
        <v>117</v>
      </c>
      <c r="H10" s="223"/>
      <c r="I10" s="94">
        <v>54</v>
      </c>
      <c r="J10" s="94"/>
      <c r="N10" s="14"/>
    </row>
    <row r="11" spans="1:18" x14ac:dyDescent="0.25">
      <c r="A11" t="s">
        <v>216</v>
      </c>
      <c r="B11">
        <f>45+56</f>
        <v>101</v>
      </c>
      <c r="C11" t="s">
        <v>119</v>
      </c>
      <c r="D11">
        <v>1500</v>
      </c>
      <c r="E11" t="s">
        <v>117</v>
      </c>
      <c r="H11" s="223"/>
      <c r="I11" s="94">
        <v>37</v>
      </c>
      <c r="J11" s="94"/>
      <c r="N11" s="14"/>
    </row>
    <row r="12" spans="1:18" x14ac:dyDescent="0.25">
      <c r="A12" t="s">
        <v>217</v>
      </c>
      <c r="B12">
        <v>119</v>
      </c>
      <c r="C12" t="s">
        <v>133</v>
      </c>
      <c r="D12">
        <v>160</v>
      </c>
      <c r="E12" t="s">
        <v>117</v>
      </c>
      <c r="I12" s="94">
        <f>2287+230</f>
        <v>2517</v>
      </c>
      <c r="J12" s="94" t="s">
        <v>293</v>
      </c>
      <c r="N12" s="14"/>
    </row>
    <row r="13" spans="1:18" x14ac:dyDescent="0.25">
      <c r="A13" t="s">
        <v>219</v>
      </c>
      <c r="B13">
        <v>140</v>
      </c>
      <c r="C13" t="s">
        <v>148</v>
      </c>
      <c r="D13">
        <v>42</v>
      </c>
      <c r="E13" t="s">
        <v>117</v>
      </c>
      <c r="H13" s="94"/>
      <c r="I13" s="94"/>
      <c r="J13" s="94"/>
      <c r="K13" s="94"/>
      <c r="L13" s="94"/>
    </row>
    <row r="14" spans="1:18" x14ac:dyDescent="0.25">
      <c r="A14" t="s">
        <v>220</v>
      </c>
      <c r="B14">
        <v>40</v>
      </c>
      <c r="C14" s="111" t="s">
        <v>160</v>
      </c>
      <c r="D14" s="111">
        <v>7500</v>
      </c>
      <c r="E14" s="111" t="s">
        <v>117</v>
      </c>
      <c r="H14" s="94"/>
      <c r="I14" s="94"/>
      <c r="J14" s="94"/>
    </row>
    <row r="15" spans="1:18" x14ac:dyDescent="0.25">
      <c r="A15" t="s">
        <v>224</v>
      </c>
      <c r="B15">
        <v>65</v>
      </c>
      <c r="C15" t="s">
        <v>161</v>
      </c>
      <c r="D15">
        <v>160</v>
      </c>
      <c r="E15" t="s">
        <v>117</v>
      </c>
      <c r="H15" s="94"/>
      <c r="I15" s="94"/>
      <c r="J15" s="94"/>
    </row>
    <row r="16" spans="1:18" x14ac:dyDescent="0.25">
      <c r="A16" s="161" t="s">
        <v>225</v>
      </c>
      <c r="B16">
        <v>70</v>
      </c>
      <c r="C16" t="s">
        <v>166</v>
      </c>
      <c r="D16">
        <v>50</v>
      </c>
      <c r="E16" t="s">
        <v>117</v>
      </c>
      <c r="I16" s="94"/>
      <c r="J16" s="94"/>
    </row>
    <row r="17" spans="1:10" x14ac:dyDescent="0.25">
      <c r="A17" t="s">
        <v>226</v>
      </c>
      <c r="B17">
        <v>59</v>
      </c>
      <c r="C17" t="s">
        <v>148</v>
      </c>
      <c r="D17">
        <f>45+65+130+25+60+25+78+84+65+25+43+43+44+88+45+45+46+44+90+37+88</f>
        <v>1215</v>
      </c>
      <c r="E17" t="s">
        <v>117</v>
      </c>
      <c r="J17" s="94"/>
    </row>
    <row r="18" spans="1:10" x14ac:dyDescent="0.25">
      <c r="A18" t="s">
        <v>227</v>
      </c>
      <c r="B18">
        <v>920</v>
      </c>
      <c r="C18" s="111" t="s">
        <v>185</v>
      </c>
      <c r="D18" s="111">
        <v>15300</v>
      </c>
      <c r="E18" t="s">
        <v>178</v>
      </c>
      <c r="J18" s="94"/>
    </row>
    <row r="19" spans="1:10" x14ac:dyDescent="0.25">
      <c r="A19" t="s">
        <v>228</v>
      </c>
      <c r="B19">
        <v>120</v>
      </c>
      <c r="C19" t="s">
        <v>194</v>
      </c>
      <c r="D19">
        <v>50</v>
      </c>
      <c r="E19" t="s">
        <v>117</v>
      </c>
      <c r="J19" s="94"/>
    </row>
    <row r="20" spans="1:10" x14ac:dyDescent="0.25">
      <c r="A20" t="s">
        <v>229</v>
      </c>
      <c r="B20">
        <v>69</v>
      </c>
      <c r="C20" s="111" t="s">
        <v>185</v>
      </c>
      <c r="D20">
        <v>15000</v>
      </c>
      <c r="J20" s="94"/>
    </row>
    <row r="21" spans="1:10" x14ac:dyDescent="0.25">
      <c r="A21" t="s">
        <v>230</v>
      </c>
      <c r="B21">
        <v>110</v>
      </c>
      <c r="C21" t="s">
        <v>269</v>
      </c>
      <c r="D21">
        <f>85+100</f>
        <v>185</v>
      </c>
    </row>
    <row r="22" spans="1:10" x14ac:dyDescent="0.25">
      <c r="A22" t="s">
        <v>231</v>
      </c>
      <c r="B22">
        <v>69</v>
      </c>
      <c r="C22" s="111" t="s">
        <v>280</v>
      </c>
      <c r="D22">
        <f>'Tổng Đơn'!G2</f>
        <v>0</v>
      </c>
    </row>
    <row r="23" spans="1:10" x14ac:dyDescent="0.25">
      <c r="A23" t="s">
        <v>232</v>
      </c>
      <c r="B23">
        <v>54</v>
      </c>
      <c r="C23" s="229" t="s">
        <v>292</v>
      </c>
      <c r="D23">
        <v>1200</v>
      </c>
    </row>
    <row r="24" spans="1:10" x14ac:dyDescent="0.25">
      <c r="A24" t="s">
        <v>233</v>
      </c>
      <c r="B24">
        <v>65</v>
      </c>
      <c r="C24" s="229" t="s">
        <v>298</v>
      </c>
      <c r="D24">
        <v>5213</v>
      </c>
    </row>
    <row r="25" spans="1:10" x14ac:dyDescent="0.25">
      <c r="A25" t="s">
        <v>234</v>
      </c>
      <c r="B25">
        <f>54+66</f>
        <v>120</v>
      </c>
    </row>
    <row r="26" spans="1:10" x14ac:dyDescent="0.25">
      <c r="A26" t="s">
        <v>236</v>
      </c>
      <c r="B26">
        <v>65</v>
      </c>
    </row>
    <row r="27" spans="1:10" x14ac:dyDescent="0.25">
      <c r="A27" t="s">
        <v>237</v>
      </c>
      <c r="B27">
        <v>66</v>
      </c>
    </row>
    <row r="28" spans="1:10" x14ac:dyDescent="0.25">
      <c r="A28" t="s">
        <v>235</v>
      </c>
      <c r="B28">
        <v>66</v>
      </c>
    </row>
    <row r="29" spans="1:10" x14ac:dyDescent="0.25">
      <c r="A29" t="s">
        <v>238</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6">
        <f ca="1">'Quốc Nhân'!N4+'La Cusina'!N4+TVP!M4+Gà!N4+Kitkool!N4-('Quốc Nhân'!K4+'La Cusina'!K4+TVP!J4+Gà!K4+Kitkool!K4-('Quốc Nhân'!A4+'La Cusina'!A4+TVP!A4+Gà!A4+Kitkool!A4))</f>
        <v>99122.311216125381</v>
      </c>
      <c r="B1" s="252" t="str">
        <f>"Tiền Hàng: "&amp;INT('Quốc Nhân'!K4+'La Cusina'!K4+TVP!J4+Gà!K4+Kitkool!K4)</f>
        <v>Tiền Hàng: 694336</v>
      </c>
      <c r="C1" s="251" t="str">
        <f ca="1">"Giá trị hàng Tồn: "&amp;INT('Quốc Nhân'!A4+'La Cusina'!A4+TVP!A4+Gà!A4+Kitkool!A4)</f>
        <v>Giá trị hàng Tồn: 50344</v>
      </c>
      <c r="D1" s="250" t="str">
        <f ca="1">"Giá trị Hàng xuất: "&amp;CHAR(10)&amp;INT('Quốc Nhân'!K4+'La Cusina'!K4+TVP!J4+Gà!K4+Kitkool!K4-('Quốc Nhân'!A4+'La Cusina'!A4+TVP!A4+Gà!A4+Kitkool!A4))</f>
        <v>Giá trị Hàng xuất: 
643992</v>
      </c>
      <c r="E1" s="253" t="str">
        <f ca="1">"Doanh Thu Tích Lũy: "&amp;INT('Quốc Nhân'!N4+'La Cusina'!N4+TVP!M4+Gà!N4+Kitkool!N4)</f>
        <v>Doanh Thu Tích Lũy: 743115</v>
      </c>
      <c r="F1" s="248">
        <v>9999</v>
      </c>
      <c r="G1" s="180">
        <f>-774-503+13</f>
        <v>-1264</v>
      </c>
      <c r="H1" s="181" t="s">
        <v>239</v>
      </c>
      <c r="I1" s="182">
        <f>-176</f>
        <v>-176</v>
      </c>
      <c r="J1" s="183" t="s">
        <v>240</v>
      </c>
      <c r="K1" s="199">
        <f>852+1435+230</f>
        <v>2517</v>
      </c>
      <c r="L1" s="199" t="s">
        <v>293</v>
      </c>
      <c r="M1" s="199"/>
      <c r="N1" s="199"/>
      <c r="O1" s="184"/>
      <c r="P1" s="184"/>
      <c r="Q1" s="184"/>
    </row>
    <row r="2" spans="1:55" s="185" customFormat="1" ht="20.25" customHeight="1" x14ac:dyDescent="0.25">
      <c r="A2" s="247"/>
      <c r="B2" s="252"/>
      <c r="C2" s="251"/>
      <c r="D2" s="250"/>
      <c r="E2" s="253"/>
      <c r="F2" s="249"/>
      <c r="G2" s="186">
        <v>0</v>
      </c>
      <c r="H2" s="187" t="s">
        <v>280</v>
      </c>
      <c r="I2" s="180">
        <v>-374</v>
      </c>
      <c r="J2" s="181" t="s">
        <v>259</v>
      </c>
      <c r="K2" s="199">
        <f>747-400</f>
        <v>347</v>
      </c>
      <c r="L2" s="227"/>
      <c r="M2" s="199"/>
      <c r="N2" s="199"/>
    </row>
    <row r="3" spans="1:55" s="28" customFormat="1" ht="30" customHeight="1" x14ac:dyDescent="0.25">
      <c r="A3" s="19" t="s">
        <v>93</v>
      </c>
      <c r="B3" s="19" t="s">
        <v>16</v>
      </c>
      <c r="C3" s="19" t="s">
        <v>94</v>
      </c>
      <c r="D3" s="19" t="s">
        <v>104</v>
      </c>
      <c r="E3" s="39" t="s">
        <v>49</v>
      </c>
      <c r="F3" s="39" t="s">
        <v>106</v>
      </c>
      <c r="G3" s="19" t="s">
        <v>288</v>
      </c>
      <c r="H3" s="188" t="s">
        <v>260</v>
      </c>
      <c r="I3" s="189" t="s">
        <v>261</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SUBTOTAL(3,B5:B783)</f>
        <v>70</v>
      </c>
      <c r="C4" s="40"/>
      <c r="D4" s="40"/>
      <c r="E4" s="40"/>
      <c r="F4" s="40">
        <f ca="1">SUMPRODUCT(($E$5:$E$73)*($F$5:$F$73))</f>
        <v>10.65</v>
      </c>
      <c r="G4" s="40"/>
      <c r="H4" s="52">
        <f ca="1">SUBTOTAL(9,H5:H93)</f>
        <v>134103.3867270964</v>
      </c>
      <c r="I4" s="52">
        <f ca="1">K4-J4</f>
        <v>132603.3867270964</v>
      </c>
      <c r="J4" s="25">
        <f ca="1">SUBTOTAL(9,J5:J93)</f>
        <v>614396.6132729036</v>
      </c>
      <c r="K4" s="44">
        <f ca="1">SUM(L4:BC4)</f>
        <v>747000</v>
      </c>
      <c r="L4" s="56">
        <f ca="1">IFERROR(INDIRECT("'Thanh Toán ("&amp;L$3&amp;")'!$H"&amp;SUBTOTAL(3,INDIRECT("'Thanh Toán ("&amp;L$3&amp;")'!$H$8:$H$50"))+7-COUNTIF(INDIRECT("'Thanh Toán ("&amp;L$3&amp;")'!$H$8:$H$50"),""&amp;"*")),"")</f>
        <v>51000</v>
      </c>
      <c r="M4" s="56">
        <f t="shared" ref="M4:AN4" ca="1" si="0">IFERROR(INDIRECT("'Thanh Toán ("&amp;M$3&amp;")'!$H"&amp;SUBTOTAL(3,INDIRECT("'Thanh Toán ("&amp;M$3&amp;")'!$H$8:$H$50"))+7-COUNTIF(INDIRECT("'Thanh Toán ("&amp;M$3&amp;")'!$H$8:$H$50"),""&amp;"*")),"")</f>
        <v>38000</v>
      </c>
      <c r="N4" s="56">
        <f t="shared" ca="1" si="0"/>
        <v>120000</v>
      </c>
      <c r="O4" s="56">
        <f t="shared" ca="1" si="0"/>
        <v>150000</v>
      </c>
      <c r="P4" s="56">
        <f t="shared" ca="1" si="0"/>
        <v>158000</v>
      </c>
      <c r="Q4" s="56">
        <f t="shared" ca="1" si="0"/>
        <v>55000</v>
      </c>
      <c r="R4" s="56">
        <f t="shared" ca="1" si="0"/>
        <v>32000</v>
      </c>
      <c r="S4" s="56">
        <f t="shared" ca="1" si="0"/>
        <v>25000</v>
      </c>
      <c r="T4" s="56">
        <f t="shared" ca="1" si="0"/>
        <v>16000</v>
      </c>
      <c r="U4" s="56">
        <f t="shared" ca="1" si="0"/>
        <v>28000</v>
      </c>
      <c r="V4" s="56">
        <f t="shared" ca="1" si="0"/>
        <v>74000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186</v>
      </c>
      <c r="B5" s="171" t="s">
        <v>282</v>
      </c>
      <c r="C5" s="170" t="s">
        <v>189</v>
      </c>
      <c r="D5" s="172">
        <v>50000</v>
      </c>
      <c r="E5" s="173">
        <v>1</v>
      </c>
      <c r="F5" s="174">
        <f t="shared" ref="F5:F37" ca="1" si="2">SUM(L5:BR5)</f>
        <v>0</v>
      </c>
      <c r="G5" s="175">
        <f>IFERROR(VLOOKUP($B5,Gà!C:J,8,0),IFERROR(VLOOKUP($B5,TVP!C:J,7,0),IFERROR(VLOOKUP($B5,Kitkool!C:J,8,0),IFERROR(VLOOKUP($B5,'La Cusina'!C:J,8,0),VLOOKUP($B5,'Quốc Nhân'!C:J,8,0)))))</f>
        <v>32.855998903123691</v>
      </c>
      <c r="H5" s="176">
        <f ca="1">(D5-G5*1000)*$F5</f>
        <v>0</v>
      </c>
      <c r="I5" s="198">
        <f>D5/(G5*1000)-1</f>
        <v>0.52179211313664831</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t="s">
        <v>187</v>
      </c>
      <c r="B6" s="171" t="s">
        <v>281</v>
      </c>
      <c r="C6" s="170" t="s">
        <v>190</v>
      </c>
      <c r="D6" s="172">
        <v>65000</v>
      </c>
      <c r="E6" s="173">
        <v>1</v>
      </c>
      <c r="F6" s="174">
        <f t="shared" ca="1" si="2"/>
        <v>0</v>
      </c>
      <c r="G6" s="175">
        <f>IFERROR(VLOOKUP($B6,Gà!C:J,8,0),IFERROR(VLOOKUP($B6,TVP!C:J,7,0),IFERROR(VLOOKUP($B6,Kitkool!C:J,8,0),IFERROR(VLOOKUP($B6,'La Cusina'!C:J,8,0),VLOOKUP($B6,'Quốc Nhân'!C:J,8,0)))))</f>
        <v>58.698723900616493</v>
      </c>
      <c r="H6" s="176">
        <f ca="1">(D6-G6*1000)*$F6</f>
        <v>0</v>
      </c>
      <c r="I6" s="198">
        <f>D6/(G6*1000)-1</f>
        <v>0.10734945635363857</v>
      </c>
      <c r="J6" s="176">
        <f ca="1">F6*G6*1000</f>
        <v>0</v>
      </c>
      <c r="K6" s="38"/>
      <c r="L6" s="156">
        <f ca="1">IFERROR(SUMIFS(INDIRECT("'Thanh Toán ("&amp;L$3&amp;")'!$F:$F"),INDIRECT("'Thanh Toán ("&amp;L$3&amp;")'!$D:$D"),'Tổng Đơn'!$B6),0)</f>
        <v>0</v>
      </c>
      <c r="M6" s="156">
        <f ca="1">IFERROR(SUMIFS(INDIRECT("'Thanh Toán ("&amp;M$3&amp;")'!$F:$F"),INDIRECT("'Thanh Toán ("&amp;M$3&amp;")'!$D:$D"),'Tổng Đơn'!$B6),0)</f>
        <v>0</v>
      </c>
      <c r="N6" s="156">
        <f ca="1">IFERROR(SUMIFS(INDIRECT("'Thanh Toán ("&amp;N$3&amp;")'!$F:$F"),INDIRECT("'Thanh Toán ("&amp;N$3&amp;")'!$D:$D"),'Tổng Đơn'!$B6),0)</f>
        <v>0</v>
      </c>
      <c r="O6" s="156">
        <f ca="1">IFERROR(SUMIFS(INDIRECT("'Thanh Toán ("&amp;O$3&amp;")'!$F:$F"),INDIRECT("'Thanh Toán ("&amp;O$3&amp;")'!$D:$D"),'Tổng Đơn'!$B6),0)</f>
        <v>0</v>
      </c>
      <c r="P6" s="156">
        <f ca="1">IFERROR(SUMIFS(INDIRECT("'Thanh Toán ("&amp;P$3&amp;")'!$F:$F"),INDIRECT("'Thanh Toán ("&amp;P$3&amp;")'!$D:$D"),'Tổng Đơn'!$B6),0)</f>
        <v>0</v>
      </c>
      <c r="Q6" s="156">
        <f ca="1">IFERROR(SUMIFS(INDIRECT("'Thanh Toán ("&amp;Q$3&amp;")'!$F:$F"),INDIRECT("'Thanh Toán ("&amp;Q$3&amp;")'!$D:$D"),'Tổng Đơn'!$B6),0)</f>
        <v>0</v>
      </c>
      <c r="R6" s="156">
        <f ca="1">IFERROR(SUMIFS(INDIRECT("'Thanh Toán ("&amp;R$3&amp;")'!$F:$F"),INDIRECT("'Thanh Toán ("&amp;R$3&amp;")'!$D:$D"),'Tổng Đơn'!$B6),0)</f>
        <v>0</v>
      </c>
      <c r="S6" s="156">
        <f ca="1">IFERROR(SUMIFS(INDIRECT("'Thanh Toán ("&amp;S$3&amp;")'!$F:$F"),INDIRECT("'Thanh Toán ("&amp;S$3&amp;")'!$D:$D"),'Tổng Đơn'!$B6),0)</f>
        <v>0</v>
      </c>
      <c r="T6" s="156">
        <f ca="1">IFERROR(SUMIFS(INDIRECT("'Thanh Toán ("&amp;T$3&amp;")'!$F:$F"),INDIRECT("'Thanh Toán ("&amp;T$3&amp;")'!$D:$D"),'Tổng Đơn'!$B6),0)</f>
        <v>0</v>
      </c>
      <c r="U6" s="156">
        <f ca="1">IFERROR(SUMIFS(INDIRECT("'Thanh Toán ("&amp;U$3&amp;")'!$F:$F"),INDIRECT("'Thanh Toán ("&amp;U$3&amp;")'!$D:$D"),'Tổng Đơn'!$B6),0)</f>
        <v>0</v>
      </c>
      <c r="V6" s="156">
        <f ca="1">IFERROR(SUMIFS(INDIRECT("'Thanh Toán ("&amp;V$3&amp;")'!$F:$F"),INDIRECT("'Thanh Toán ("&amp;V$3&amp;")'!$D:$D"),'Tổng Đơn'!$B6),0)</f>
        <v>0</v>
      </c>
      <c r="W6" s="156">
        <f ca="1">IFERROR(SUMIFS(INDIRECT("'Thanh Toán ("&amp;W$3&amp;")'!$F:$F"),INDIRECT("'Thanh Toán ("&amp;W$3&amp;")'!$D:$D"),'Tổng Đơn'!$B6),0)</f>
        <v>0</v>
      </c>
      <c r="X6" s="156">
        <f ca="1">IFERROR(SUMIFS(INDIRECT("'Thanh Toán ("&amp;X$3&amp;")'!$F:$F"),INDIRECT("'Thanh Toán ("&amp;X$3&amp;")'!$D:$D"),'Tổng Đơn'!$B6),0)</f>
        <v>0</v>
      </c>
      <c r="Y6" s="156">
        <f ca="1">IFERROR(SUMIFS(INDIRECT("'Thanh Toán ("&amp;Y$3&amp;")'!$F:$F"),INDIRECT("'Thanh Toán ("&amp;Y$3&amp;")'!$D:$D"),'Tổng Đơn'!$B6),0)</f>
        <v>0</v>
      </c>
      <c r="Z6" s="156">
        <f ca="1">IFERROR(SUMIFS(INDIRECT("'Thanh Toán ("&amp;Z$3&amp;")'!$F:$F"),INDIRECT("'Thanh Toán ("&amp;Z$3&amp;")'!$D:$D"),'Tổng Đơn'!$B6),0)</f>
        <v>0</v>
      </c>
      <c r="AA6" s="156">
        <f ca="1">IFERROR(SUMIFS(INDIRECT("'Thanh Toán ("&amp;AA$3&amp;")'!$F:$F"),INDIRECT("'Thanh Toán ("&amp;AA$3&amp;")'!$D:$D"),'Tổng Đơn'!$B6),0)</f>
        <v>0</v>
      </c>
      <c r="AB6" s="156">
        <f ca="1">IFERROR(SUMIFS(INDIRECT("'Thanh Toán ("&amp;AB$3&amp;")'!$F:$F"),INDIRECT("'Thanh Toán ("&amp;AB$3&amp;")'!$D:$D"),'Tổng Đơn'!$B6),0)</f>
        <v>0</v>
      </c>
      <c r="AC6" s="156">
        <f ca="1">IFERROR(SUMIFS(INDIRECT("'Thanh Toán ("&amp;AC$3&amp;")'!$F:$F"),INDIRECT("'Thanh Toán ("&amp;AC$3&amp;")'!$D:$D"),'Tổng Đơn'!$B6),0)</f>
        <v>0</v>
      </c>
      <c r="AD6" s="156">
        <f ca="1">IFERROR(SUMIFS(INDIRECT("'Thanh Toán ("&amp;AD$3&amp;")'!$F:$F"),INDIRECT("'Thanh Toán ("&amp;AD$3&amp;")'!$D:$D"),'Tổng Đơn'!$B6),0)</f>
        <v>0</v>
      </c>
      <c r="AE6" s="156">
        <f ca="1">IFERROR(SUMIFS(INDIRECT("'Thanh Toán ("&amp;AE$3&amp;")'!$F:$F"),INDIRECT("'Thanh Toán ("&amp;AE$3&amp;")'!$D:$D"),'Tổng Đơn'!$B6),0)</f>
        <v>0</v>
      </c>
      <c r="AF6" s="156">
        <f ca="1">IFERROR(SUMIFS(INDIRECT("'Thanh Toán ("&amp;AF$3&amp;")'!$F:$F"),INDIRECT("'Thanh Toán ("&amp;AF$3&amp;")'!$D:$D"),'Tổng Đơn'!$B6),0)</f>
        <v>0</v>
      </c>
      <c r="AG6" s="156">
        <f ca="1">IFERROR(SUMIFS(INDIRECT("'Thanh Toán ("&amp;AG$3&amp;")'!$F:$F"),INDIRECT("'Thanh Toán ("&amp;AG$3&amp;")'!$D:$D"),'Tổng Đơn'!$B6),0)</f>
        <v>0</v>
      </c>
      <c r="AH6" s="156">
        <f ca="1">IFERROR(SUMIFS(INDIRECT("'Thanh Toán ("&amp;AH$3&amp;")'!$F:$F"),INDIRECT("'Thanh Toán ("&amp;AH$3&amp;")'!$D:$D"),'Tổng Đơn'!$B6),0)</f>
        <v>0</v>
      </c>
      <c r="AI6" s="156">
        <f ca="1">IFERROR(SUMIFS(INDIRECT("'Thanh Toán ("&amp;AI$3&amp;")'!$F:$F"),INDIRECT("'Thanh Toán ("&amp;AI$3&amp;")'!$D:$D"),'Tổng Đơn'!$B6),0)</f>
        <v>0</v>
      </c>
      <c r="AJ6" s="156">
        <f ca="1">IFERROR(SUMIFS(INDIRECT("'Thanh Toán ("&amp;AJ$3&amp;")'!$F:$F"),INDIRECT("'Thanh Toán ("&amp;AJ$3&amp;")'!$D:$D"),'Tổng Đơn'!$B6),0)</f>
        <v>0</v>
      </c>
      <c r="AK6" s="156">
        <f ca="1">IFERROR(SUMIFS(INDIRECT("'Thanh Toán ("&amp;AK$3&amp;")'!$F:$F"),INDIRECT("'Thanh Toán ("&amp;AK$3&amp;")'!$D:$D"),'Tổng Đơn'!$B6),0)</f>
        <v>0</v>
      </c>
      <c r="AL6" s="156">
        <f ca="1">IFERROR(SUMIFS(INDIRECT("'Thanh Toán ("&amp;AL$3&amp;")'!$F:$F"),INDIRECT("'Thanh Toán ("&amp;AL$3&amp;")'!$D:$D"),'Tổng Đơn'!$B6),0)</f>
        <v>0</v>
      </c>
      <c r="AM6" s="156">
        <f ca="1">IFERROR(SUMIFS(INDIRECT("'Thanh Toán ("&amp;AM$3&amp;")'!$F:$F"),INDIRECT("'Thanh Toán ("&amp;AM$3&amp;")'!$D:$D"),'Tổng Đơn'!$B6),0)</f>
        <v>0</v>
      </c>
      <c r="AN6" s="156">
        <f ca="1">IFERROR(SUMIFS(INDIRECT("'Thanh Toán ("&amp;AN$3&amp;")'!$F:$F"),INDIRECT("'Thanh Toán ("&amp;AN$3&amp;")'!$D:$D"),'Tổng Đơn'!$B6),0)</f>
        <v>0</v>
      </c>
      <c r="AO6" s="156">
        <f ca="1">IFERROR(SUMIFS(INDIRECT("'Thanh Toán ("&amp;AO$3&amp;")'!$F:$F"),INDIRECT("'Thanh Toán ("&amp;AO$3&amp;")'!$D:$D"),'Tổng Đơn'!$B6),0)</f>
        <v>0</v>
      </c>
      <c r="AP6" s="156">
        <f ca="1">IFERROR(SUMIFS(INDIRECT("'Thanh Toán ("&amp;AP$3&amp;")'!$F:$F"),INDIRECT("'Thanh Toán ("&amp;AP$3&amp;")'!$D:$D"),'Tổng Đơn'!$B6),0)</f>
        <v>0</v>
      </c>
      <c r="AQ6" s="156">
        <f ca="1">IFERROR(SUMIFS(INDIRECT("'Thanh Toán ("&amp;AQ$3&amp;")'!$F:$F"),INDIRECT("'Thanh Toán ("&amp;AQ$3&amp;")'!$D:$D"),'Tổng Đơn'!$B6),0)</f>
        <v>0</v>
      </c>
      <c r="AR6" s="156">
        <f ca="1">IFERROR(SUMIFS(INDIRECT("'Thanh Toán ("&amp;AR$3&amp;")'!$F:$F"),INDIRECT("'Thanh Toán ("&amp;AR$3&amp;")'!$D:$D"),'Tổng Đơn'!$B6),0)</f>
        <v>0</v>
      </c>
      <c r="AS6" s="156">
        <f ca="1">IFERROR(SUMIFS(INDIRECT("'Thanh Toán ("&amp;AS$3&amp;")'!$F:$F"),INDIRECT("'Thanh Toán ("&amp;AS$3&amp;")'!$D:$D"),'Tổng Đơn'!$B6),0)</f>
        <v>0</v>
      </c>
      <c r="AT6" s="156">
        <f ca="1">IFERROR(SUMIFS(INDIRECT("'Thanh Toán ("&amp;AT$3&amp;")'!$F:$F"),INDIRECT("'Thanh Toán ("&amp;AT$3&amp;")'!$D:$D"),'Tổng Đơn'!$B6),0)</f>
        <v>0</v>
      </c>
      <c r="AU6" s="156">
        <f ca="1">IFERROR(SUMIFS(INDIRECT("'Thanh Toán ("&amp;AU$3&amp;")'!$F:$F"),INDIRECT("'Thanh Toán ("&amp;AU$3&amp;")'!$D:$D"),'Tổng Đơn'!$B6),0)</f>
        <v>0</v>
      </c>
      <c r="AV6" s="156">
        <f ca="1">IFERROR(SUMIFS(INDIRECT("'Thanh Toán ("&amp;AV$3&amp;")'!$F:$F"),INDIRECT("'Thanh Toán ("&amp;AV$3&amp;")'!$D:$D"),'Tổng Đơn'!$B6),0)</f>
        <v>0</v>
      </c>
      <c r="AW6" s="156">
        <f ca="1">IFERROR(SUMIFS(INDIRECT("'Thanh Toán ("&amp;AW$3&amp;")'!$F:$F"),INDIRECT("'Thanh Toán ("&amp;AW$3&amp;")'!$D:$D"),'Tổng Đơn'!$B6),0)</f>
        <v>0</v>
      </c>
      <c r="AX6" s="156">
        <f ca="1">IFERROR(SUMIFS(INDIRECT("'Thanh Toán ("&amp;AX$3&amp;")'!$F:$F"),INDIRECT("'Thanh Toán ("&amp;AX$3&amp;")'!$D:$D"),'Tổng Đơn'!$B6),0)</f>
        <v>0</v>
      </c>
      <c r="AY6" s="156">
        <f ca="1">IFERROR(SUMIFS(INDIRECT("'Thanh Toán ("&amp;AY$3&amp;")'!$F:$F"),INDIRECT("'Thanh Toán ("&amp;AY$3&amp;")'!$D:$D"),'Tổng Đơn'!$B6),0)</f>
        <v>0</v>
      </c>
      <c r="AZ6" s="156">
        <f ca="1">IFERROR(SUMIFS(INDIRECT("'Thanh Toán ("&amp;AZ$3&amp;")'!$F:$F"),INDIRECT("'Thanh Toán ("&amp;AZ$3&amp;")'!$D:$D"),'Tổng Đơn'!$B6),0)</f>
        <v>0</v>
      </c>
      <c r="BA6" s="156">
        <f ca="1">IFERROR(SUMIFS(INDIRECT("'Thanh Toán ("&amp;BA$3&amp;")'!$F:$F"),INDIRECT("'Thanh Toán ("&amp;BA$3&amp;")'!$D:$D"),'Tổng Đơn'!$B6),0)</f>
        <v>0</v>
      </c>
      <c r="BB6" s="156">
        <f ca="1">IFERROR(SUMIFS(INDIRECT("'Thanh Toán ("&amp;BB$3&amp;")'!$F:$F"),INDIRECT("'Thanh Toán ("&amp;BB$3&amp;")'!$D:$D"),'Tổng Đơn'!$B6),0)</f>
        <v>0</v>
      </c>
      <c r="BC6" s="156">
        <f ca="1">IFERROR(SUMIFS(INDIRECT("'Thanh Toán ("&amp;BC$3&amp;")'!$F:$F"),INDIRECT("'Thanh Toán ("&amp;BC$3&amp;")'!$D:$D"),'Tổng Đơn'!$B6),0)</f>
        <v>0</v>
      </c>
    </row>
    <row r="7" spans="1:55" ht="18" customHeight="1" x14ac:dyDescent="0.25">
      <c r="A7" s="170" t="s">
        <v>188</v>
      </c>
      <c r="B7" s="171" t="s">
        <v>192</v>
      </c>
      <c r="C7" s="170" t="s">
        <v>191</v>
      </c>
      <c r="D7" s="172">
        <v>70000</v>
      </c>
      <c r="E7" s="173">
        <v>1</v>
      </c>
      <c r="F7" s="174">
        <f t="shared" ca="1" si="2"/>
        <v>0</v>
      </c>
      <c r="G7" s="175">
        <f>IFERROR(VLOOKUP($B7,Gà!C:J,8,0),IFERROR(VLOOKUP($B7,TVP!C:J,7,0),IFERROR(VLOOKUP($B7,Kitkool!C:J,8,0),IFERROR(VLOOKUP($B7,'La Cusina'!C:J,8,0),VLOOKUP($B7,'Quốc Nhân'!C:J,8,0)))))</f>
        <v>54.292862446258674</v>
      </c>
      <c r="H7" s="176">
        <f ca="1">(D7-G7*1000)*$F7</f>
        <v>0</v>
      </c>
      <c r="I7" s="198">
        <f t="shared" ref="I7:I70" si="3">D7/(G7*1000)-1</f>
        <v>0.28930391300125136</v>
      </c>
      <c r="J7" s="176">
        <f t="shared" ref="J7:J70" ca="1" si="4">F7*G7*1000</f>
        <v>0</v>
      </c>
      <c r="K7" s="38"/>
      <c r="L7" s="156">
        <f ca="1">IFERROR(SUMIFS(INDIRECT("'Thanh Toán ("&amp;L$3&amp;")'!$F:$F"),INDIRECT("'Thanh Toán ("&amp;L$3&amp;")'!$D:$D"),'Tổng Đơn'!$B7),0)</f>
        <v>0</v>
      </c>
      <c r="M7" s="156">
        <f ca="1">IFERROR(SUMIFS(INDIRECT("'Thanh Toán ("&amp;M$3&amp;")'!$F:$F"),INDIRECT("'Thanh Toán ("&amp;M$3&amp;")'!$D:$D"),'Tổng Đơn'!$B7),0)</f>
        <v>0</v>
      </c>
      <c r="N7" s="156">
        <f ca="1">IFERROR(SUMIFS(INDIRECT("'Thanh Toán ("&amp;N$3&amp;")'!$F:$F"),INDIRECT("'Thanh Toán ("&amp;N$3&amp;")'!$D:$D"),'Tổng Đơn'!$B7),0)</f>
        <v>0</v>
      </c>
      <c r="O7" s="156">
        <f ca="1">IFERROR(SUMIFS(INDIRECT("'Thanh Toán ("&amp;O$3&amp;")'!$F:$F"),INDIRECT("'Thanh Toán ("&amp;O$3&amp;")'!$D:$D"),'Tổng Đơn'!$B7),0)</f>
        <v>0</v>
      </c>
      <c r="P7" s="156">
        <f ca="1">IFERROR(SUMIFS(INDIRECT("'Thanh Toán ("&amp;P$3&amp;")'!$F:$F"),INDIRECT("'Thanh Toán ("&amp;P$3&amp;")'!$D:$D"),'Tổng Đơn'!$B7),0)</f>
        <v>0</v>
      </c>
      <c r="Q7" s="156">
        <f ca="1">IFERROR(SUMIFS(INDIRECT("'Thanh Toán ("&amp;Q$3&amp;")'!$F:$F"),INDIRECT("'Thanh Toán ("&amp;Q$3&amp;")'!$D:$D"),'Tổng Đơn'!$B7),0)</f>
        <v>0</v>
      </c>
      <c r="R7" s="156">
        <f ca="1">IFERROR(SUMIFS(INDIRECT("'Thanh Toán ("&amp;R$3&amp;")'!$F:$F"),INDIRECT("'Thanh Toán ("&amp;R$3&amp;")'!$D:$D"),'Tổng Đơn'!$B7),0)</f>
        <v>0</v>
      </c>
      <c r="S7" s="156">
        <f ca="1">IFERROR(SUMIFS(INDIRECT("'Thanh Toán ("&amp;S$3&amp;")'!$F:$F"),INDIRECT("'Thanh Toán ("&amp;S$3&amp;")'!$D:$D"),'Tổng Đơn'!$B7),0)</f>
        <v>0</v>
      </c>
      <c r="T7" s="156">
        <f ca="1">IFERROR(SUMIFS(INDIRECT("'Thanh Toán ("&amp;T$3&amp;")'!$F:$F"),INDIRECT("'Thanh Toán ("&amp;T$3&amp;")'!$D:$D"),'Tổng Đơn'!$B7),0)</f>
        <v>0</v>
      </c>
      <c r="U7" s="156">
        <f ca="1">IFERROR(SUMIFS(INDIRECT("'Thanh Toán ("&amp;U$3&amp;")'!$F:$F"),INDIRECT("'Thanh Toán ("&amp;U$3&amp;")'!$D:$D"),'Tổng Đơn'!$B7),0)</f>
        <v>0</v>
      </c>
      <c r="V7" s="156">
        <f ca="1">IFERROR(SUMIFS(INDIRECT("'Thanh Toán ("&amp;V$3&amp;")'!$F:$F"),INDIRECT("'Thanh Toán ("&amp;V$3&amp;")'!$D:$D"),'Tổng Đơn'!$B7),0)</f>
        <v>0</v>
      </c>
      <c r="W7" s="156">
        <f ca="1">IFERROR(SUMIFS(INDIRECT("'Thanh Toán ("&amp;W$3&amp;")'!$F:$F"),INDIRECT("'Thanh Toán ("&amp;W$3&amp;")'!$D:$D"),'Tổng Đơn'!$B7),0)</f>
        <v>0</v>
      </c>
      <c r="X7" s="156">
        <f ca="1">IFERROR(SUMIFS(INDIRECT("'Thanh Toán ("&amp;X$3&amp;")'!$F:$F"),INDIRECT("'Thanh Toán ("&amp;X$3&amp;")'!$D:$D"),'Tổng Đơn'!$B7),0)</f>
        <v>0</v>
      </c>
      <c r="Y7" s="156">
        <f ca="1">IFERROR(SUMIFS(INDIRECT("'Thanh Toán ("&amp;Y$3&amp;")'!$F:$F"),INDIRECT("'Thanh Toán ("&amp;Y$3&amp;")'!$D:$D"),'Tổng Đơn'!$B7),0)</f>
        <v>0</v>
      </c>
      <c r="Z7" s="156">
        <f ca="1">IFERROR(SUMIFS(INDIRECT("'Thanh Toán ("&amp;Z$3&amp;")'!$F:$F"),INDIRECT("'Thanh Toán ("&amp;Z$3&amp;")'!$D:$D"),'Tổng Đơn'!$B7),0)</f>
        <v>0</v>
      </c>
      <c r="AA7" s="156">
        <f ca="1">IFERROR(SUMIFS(INDIRECT("'Thanh Toán ("&amp;AA$3&amp;")'!$F:$F"),INDIRECT("'Thanh Toán ("&amp;AA$3&amp;")'!$D:$D"),'Tổng Đơn'!$B7),0)</f>
        <v>0</v>
      </c>
      <c r="AB7" s="156">
        <f ca="1">IFERROR(SUMIFS(INDIRECT("'Thanh Toán ("&amp;AB$3&amp;")'!$F:$F"),INDIRECT("'Thanh Toán ("&amp;AB$3&amp;")'!$D:$D"),'Tổng Đơn'!$B7),0)</f>
        <v>0</v>
      </c>
      <c r="AC7" s="156">
        <f ca="1">IFERROR(SUMIFS(INDIRECT("'Thanh Toán ("&amp;AC$3&amp;")'!$F:$F"),INDIRECT("'Thanh Toán ("&amp;AC$3&amp;")'!$D:$D"),'Tổng Đơn'!$B7),0)</f>
        <v>0</v>
      </c>
      <c r="AD7" s="156">
        <f ca="1">IFERROR(SUMIFS(INDIRECT("'Thanh Toán ("&amp;AD$3&amp;")'!$F:$F"),INDIRECT("'Thanh Toán ("&amp;AD$3&amp;")'!$D:$D"),'Tổng Đơn'!$B7),0)</f>
        <v>0</v>
      </c>
      <c r="AE7" s="156">
        <f ca="1">IFERROR(SUMIFS(INDIRECT("'Thanh Toán ("&amp;AE$3&amp;")'!$F:$F"),INDIRECT("'Thanh Toán ("&amp;AE$3&amp;")'!$D:$D"),'Tổng Đơn'!$B7),0)</f>
        <v>0</v>
      </c>
      <c r="AF7" s="156">
        <f ca="1">IFERROR(SUMIFS(INDIRECT("'Thanh Toán ("&amp;AF$3&amp;")'!$F:$F"),INDIRECT("'Thanh Toán ("&amp;AF$3&amp;")'!$D:$D"),'Tổng Đơn'!$B7),0)</f>
        <v>0</v>
      </c>
      <c r="AG7" s="156">
        <f ca="1">IFERROR(SUMIFS(INDIRECT("'Thanh Toán ("&amp;AG$3&amp;")'!$F:$F"),INDIRECT("'Thanh Toán ("&amp;AG$3&amp;")'!$D:$D"),'Tổng Đơn'!$B7),0)</f>
        <v>0</v>
      </c>
      <c r="AH7" s="156">
        <f ca="1">IFERROR(SUMIFS(INDIRECT("'Thanh Toán ("&amp;AH$3&amp;")'!$F:$F"),INDIRECT("'Thanh Toán ("&amp;AH$3&amp;")'!$D:$D"),'Tổng Đơn'!$B7),0)</f>
        <v>0</v>
      </c>
      <c r="AI7" s="156">
        <f ca="1">IFERROR(SUMIFS(INDIRECT("'Thanh Toán ("&amp;AI$3&amp;")'!$F:$F"),INDIRECT("'Thanh Toán ("&amp;AI$3&amp;")'!$D:$D"),'Tổng Đơn'!$B7),0)</f>
        <v>0</v>
      </c>
      <c r="AJ7" s="156">
        <f ca="1">IFERROR(SUMIFS(INDIRECT("'Thanh Toán ("&amp;AJ$3&amp;")'!$F:$F"),INDIRECT("'Thanh Toán ("&amp;AJ$3&amp;")'!$D:$D"),'Tổng Đơn'!$B7),0)</f>
        <v>0</v>
      </c>
      <c r="AK7" s="156">
        <f ca="1">IFERROR(SUMIFS(INDIRECT("'Thanh Toán ("&amp;AK$3&amp;")'!$F:$F"),INDIRECT("'Thanh Toán ("&amp;AK$3&amp;")'!$D:$D"),'Tổng Đơn'!$B7),0)</f>
        <v>0</v>
      </c>
      <c r="AL7" s="156">
        <f ca="1">IFERROR(SUMIFS(INDIRECT("'Thanh Toán ("&amp;AL$3&amp;")'!$F:$F"),INDIRECT("'Thanh Toán ("&amp;AL$3&amp;")'!$D:$D"),'Tổng Đơn'!$B7),0)</f>
        <v>0</v>
      </c>
      <c r="AM7" s="156">
        <f ca="1">IFERROR(SUMIFS(INDIRECT("'Thanh Toán ("&amp;AM$3&amp;")'!$F:$F"),INDIRECT("'Thanh Toán ("&amp;AM$3&amp;")'!$D:$D"),'Tổng Đơn'!$B7),0)</f>
        <v>0</v>
      </c>
      <c r="AN7" s="156">
        <f ca="1">IFERROR(SUMIFS(INDIRECT("'Thanh Toán ("&amp;AN$3&amp;")'!$F:$F"),INDIRECT("'Thanh Toán ("&amp;AN$3&amp;")'!$D:$D"),'Tổng Đơn'!$B7),0)</f>
        <v>0</v>
      </c>
      <c r="AO7" s="156">
        <f ca="1">IFERROR(SUMIFS(INDIRECT("'Thanh Toán ("&amp;AO$3&amp;")'!$F:$F"),INDIRECT("'Thanh Toán ("&amp;AO$3&amp;")'!$D:$D"),'Tổng Đơn'!$B7),0)</f>
        <v>0</v>
      </c>
      <c r="AP7" s="156">
        <f ca="1">IFERROR(SUMIFS(INDIRECT("'Thanh Toán ("&amp;AP$3&amp;")'!$F:$F"),INDIRECT("'Thanh Toán ("&amp;AP$3&amp;")'!$D:$D"),'Tổng Đơn'!$B7),0)</f>
        <v>0</v>
      </c>
      <c r="AQ7" s="156">
        <f ca="1">IFERROR(SUMIFS(INDIRECT("'Thanh Toán ("&amp;AQ$3&amp;")'!$F:$F"),INDIRECT("'Thanh Toán ("&amp;AQ$3&amp;")'!$D:$D"),'Tổng Đơn'!$B7),0)</f>
        <v>0</v>
      </c>
      <c r="AR7" s="156">
        <f ca="1">IFERROR(SUMIFS(INDIRECT("'Thanh Toán ("&amp;AR$3&amp;")'!$F:$F"),INDIRECT("'Thanh Toán ("&amp;AR$3&amp;")'!$D:$D"),'Tổng Đơn'!$B7),0)</f>
        <v>0</v>
      </c>
      <c r="AS7" s="156">
        <f ca="1">IFERROR(SUMIFS(INDIRECT("'Thanh Toán ("&amp;AS$3&amp;")'!$F:$F"),INDIRECT("'Thanh Toán ("&amp;AS$3&amp;")'!$D:$D"),'Tổng Đơn'!$B7),0)</f>
        <v>0</v>
      </c>
      <c r="AT7" s="156">
        <f ca="1">IFERROR(SUMIFS(INDIRECT("'Thanh Toán ("&amp;AT$3&amp;")'!$F:$F"),INDIRECT("'Thanh Toán ("&amp;AT$3&amp;")'!$D:$D"),'Tổng Đơn'!$B7),0)</f>
        <v>0</v>
      </c>
      <c r="AU7" s="156">
        <f ca="1">IFERROR(SUMIFS(INDIRECT("'Thanh Toán ("&amp;AU$3&amp;")'!$F:$F"),INDIRECT("'Thanh Toán ("&amp;AU$3&amp;")'!$D:$D"),'Tổng Đơn'!$B7),0)</f>
        <v>0</v>
      </c>
      <c r="AV7" s="156">
        <f ca="1">IFERROR(SUMIFS(INDIRECT("'Thanh Toán ("&amp;AV$3&amp;")'!$F:$F"),INDIRECT("'Thanh Toán ("&amp;AV$3&amp;")'!$D:$D"),'Tổng Đơn'!$B7),0)</f>
        <v>0</v>
      </c>
      <c r="AW7" s="156">
        <f ca="1">IFERROR(SUMIFS(INDIRECT("'Thanh Toán ("&amp;AW$3&amp;")'!$F:$F"),INDIRECT("'Thanh Toán ("&amp;AW$3&amp;")'!$D:$D"),'Tổng Đơn'!$B7),0)</f>
        <v>0</v>
      </c>
      <c r="AX7" s="156">
        <f ca="1">IFERROR(SUMIFS(INDIRECT("'Thanh Toán ("&amp;AX$3&amp;")'!$F:$F"),INDIRECT("'Thanh Toán ("&amp;AX$3&amp;")'!$D:$D"),'Tổng Đơn'!$B7),0)</f>
        <v>0</v>
      </c>
      <c r="AY7" s="156">
        <f ca="1">IFERROR(SUMIFS(INDIRECT("'Thanh Toán ("&amp;AY$3&amp;")'!$F:$F"),INDIRECT("'Thanh Toán ("&amp;AY$3&amp;")'!$D:$D"),'Tổng Đơn'!$B7),0)</f>
        <v>0</v>
      </c>
      <c r="AZ7" s="156">
        <f ca="1">IFERROR(SUMIFS(INDIRECT("'Thanh Toán ("&amp;AZ$3&amp;")'!$F:$F"),INDIRECT("'Thanh Toán ("&amp;AZ$3&amp;")'!$D:$D"),'Tổng Đơn'!$B7),0)</f>
        <v>0</v>
      </c>
      <c r="BA7" s="156">
        <f ca="1">IFERROR(SUMIFS(INDIRECT("'Thanh Toán ("&amp;BA$3&amp;")'!$F:$F"),INDIRECT("'Thanh Toán ("&amp;BA$3&amp;")'!$D:$D"),'Tổng Đơn'!$B7),0)</f>
        <v>0</v>
      </c>
      <c r="BB7" s="156">
        <f ca="1">IFERROR(SUMIFS(INDIRECT("'Thanh Toán ("&amp;BB$3&amp;")'!$F:$F"),INDIRECT("'Thanh Toán ("&amp;BB$3&amp;")'!$D:$D"),'Tổng Đơn'!$B7),0)</f>
        <v>0</v>
      </c>
      <c r="BC7" s="156">
        <f ca="1">IFERROR(SUMIFS(INDIRECT("'Thanh Toán ("&amp;BC$3&amp;")'!$F:$F"),INDIRECT("'Thanh Toán ("&amp;BC$3&amp;")'!$D:$D"),'Tổng Đơn'!$B7),0)</f>
        <v>0</v>
      </c>
    </row>
    <row r="8" spans="1:55" ht="18" customHeight="1" x14ac:dyDescent="0.25">
      <c r="A8" s="170" t="s">
        <v>283</v>
      </c>
      <c r="B8" s="171" t="s">
        <v>193</v>
      </c>
      <c r="C8" s="170" t="s">
        <v>191</v>
      </c>
      <c r="D8" s="172">
        <v>48000</v>
      </c>
      <c r="E8" s="173">
        <v>1</v>
      </c>
      <c r="F8" s="174">
        <f t="shared" ca="1" si="2"/>
        <v>0</v>
      </c>
      <c r="G8" s="175">
        <f>IFERROR(VLOOKUP($B8,Gà!C:J,8,0),IFERROR(VLOOKUP($B8,TVP!C:J,7,0),IFERROR(VLOOKUP($B8,Kitkool!C:J,8,0),IFERROR(VLOOKUP($B8,'La Cusina'!C:J,8,0),VLOOKUP($B8,'Quốc Nhân'!C:J,8,0)))))</f>
        <v>42.764950953272105</v>
      </c>
      <c r="H8" s="176">
        <f t="shared" ref="H8:H70" ca="1" si="5">(D8-G8*1000)*$F8</f>
        <v>0</v>
      </c>
      <c r="I8" s="198">
        <f t="shared" si="3"/>
        <v>0.12241447564029873</v>
      </c>
      <c r="J8" s="176">
        <f t="shared" ca="1" si="4"/>
        <v>0</v>
      </c>
      <c r="K8" s="38"/>
      <c r="L8" s="156">
        <f ca="1">IFERROR(SUMIFS(INDIRECT("'Thanh Toán ("&amp;L$3&amp;")'!$F:$F"),INDIRECT("'Thanh Toán ("&amp;L$3&amp;")'!$D:$D"),'Tổng Đơn'!$B8),0)</f>
        <v>0</v>
      </c>
      <c r="M8" s="156">
        <f ca="1">IFERROR(SUMIFS(INDIRECT("'Thanh Toán ("&amp;M$3&amp;")'!$F:$F"),INDIRECT("'Thanh Toán ("&amp;M$3&amp;")'!$D:$D"),'Tổng Đơn'!$B8),0)</f>
        <v>0</v>
      </c>
      <c r="N8" s="156">
        <f ca="1">IFERROR(SUMIFS(INDIRECT("'Thanh Toán ("&amp;N$3&amp;")'!$F:$F"),INDIRECT("'Thanh Toán ("&amp;N$3&amp;")'!$D:$D"),'Tổng Đơn'!$B8),0)</f>
        <v>0</v>
      </c>
      <c r="O8" s="156">
        <f ca="1">IFERROR(SUMIFS(INDIRECT("'Thanh Toán ("&amp;O$3&amp;")'!$F:$F"),INDIRECT("'Thanh Toán ("&amp;O$3&amp;")'!$D:$D"),'Tổng Đơn'!$B8),0)</f>
        <v>0</v>
      </c>
      <c r="P8" s="156">
        <f ca="1">IFERROR(SUMIFS(INDIRECT("'Thanh Toán ("&amp;P$3&amp;")'!$F:$F"),INDIRECT("'Thanh Toán ("&amp;P$3&amp;")'!$D:$D"),'Tổng Đơn'!$B8),0)</f>
        <v>0</v>
      </c>
      <c r="Q8" s="156">
        <f ca="1">IFERROR(SUMIFS(INDIRECT("'Thanh Toán ("&amp;Q$3&amp;")'!$F:$F"),INDIRECT("'Thanh Toán ("&amp;Q$3&amp;")'!$D:$D"),'Tổng Đơn'!$B8),0)</f>
        <v>0</v>
      </c>
      <c r="R8" s="156">
        <f ca="1">IFERROR(SUMIFS(INDIRECT("'Thanh Toán ("&amp;R$3&amp;")'!$F:$F"),INDIRECT("'Thanh Toán ("&amp;R$3&amp;")'!$D:$D"),'Tổng Đơn'!$B8),0)</f>
        <v>0</v>
      </c>
      <c r="S8" s="156">
        <f ca="1">IFERROR(SUMIFS(INDIRECT("'Thanh Toán ("&amp;S$3&amp;")'!$F:$F"),INDIRECT("'Thanh Toán ("&amp;S$3&amp;")'!$D:$D"),'Tổng Đơn'!$B8),0)</f>
        <v>0</v>
      </c>
      <c r="T8" s="156">
        <f ca="1">IFERROR(SUMIFS(INDIRECT("'Thanh Toán ("&amp;T$3&amp;")'!$F:$F"),INDIRECT("'Thanh Toán ("&amp;T$3&amp;")'!$D:$D"),'Tổng Đơn'!$B8),0)</f>
        <v>0</v>
      </c>
      <c r="U8" s="156">
        <f ca="1">IFERROR(SUMIFS(INDIRECT("'Thanh Toán ("&amp;U$3&amp;")'!$F:$F"),INDIRECT("'Thanh Toán ("&amp;U$3&amp;")'!$D:$D"),'Tổng Đơn'!$B8),0)</f>
        <v>0</v>
      </c>
      <c r="V8" s="156">
        <f ca="1">IFERROR(SUMIFS(INDIRECT("'Thanh Toán ("&amp;V$3&amp;")'!$F:$F"),INDIRECT("'Thanh Toán ("&amp;V$3&amp;")'!$D:$D"),'Tổng Đơn'!$B8),0)</f>
        <v>0</v>
      </c>
      <c r="W8" s="156">
        <f ca="1">IFERROR(SUMIFS(INDIRECT("'Thanh Toán ("&amp;W$3&amp;")'!$F:$F"),INDIRECT("'Thanh Toán ("&amp;W$3&amp;")'!$D:$D"),'Tổng Đơn'!$B8),0)</f>
        <v>0</v>
      </c>
      <c r="X8" s="156">
        <f ca="1">IFERROR(SUMIFS(INDIRECT("'Thanh Toán ("&amp;X$3&amp;")'!$F:$F"),INDIRECT("'Thanh Toán ("&amp;X$3&amp;")'!$D:$D"),'Tổng Đơn'!$B8),0)</f>
        <v>0</v>
      </c>
      <c r="Y8" s="156">
        <f ca="1">IFERROR(SUMIFS(INDIRECT("'Thanh Toán ("&amp;Y$3&amp;")'!$F:$F"),INDIRECT("'Thanh Toán ("&amp;Y$3&amp;")'!$D:$D"),'Tổng Đơn'!$B8),0)</f>
        <v>0</v>
      </c>
      <c r="Z8" s="156">
        <f ca="1">IFERROR(SUMIFS(INDIRECT("'Thanh Toán ("&amp;Z$3&amp;")'!$F:$F"),INDIRECT("'Thanh Toán ("&amp;Z$3&amp;")'!$D:$D"),'Tổng Đơn'!$B8),0)</f>
        <v>0</v>
      </c>
      <c r="AA8" s="156">
        <f ca="1">IFERROR(SUMIFS(INDIRECT("'Thanh Toán ("&amp;AA$3&amp;")'!$F:$F"),INDIRECT("'Thanh Toán ("&amp;AA$3&amp;")'!$D:$D"),'Tổng Đơn'!$B8),0)</f>
        <v>0</v>
      </c>
      <c r="AB8" s="156">
        <f ca="1">IFERROR(SUMIFS(INDIRECT("'Thanh Toán ("&amp;AB$3&amp;")'!$F:$F"),INDIRECT("'Thanh Toán ("&amp;AB$3&amp;")'!$D:$D"),'Tổng Đơn'!$B8),0)</f>
        <v>0</v>
      </c>
      <c r="AC8" s="156">
        <f ca="1">IFERROR(SUMIFS(INDIRECT("'Thanh Toán ("&amp;AC$3&amp;")'!$F:$F"),INDIRECT("'Thanh Toán ("&amp;AC$3&amp;")'!$D:$D"),'Tổng Đơn'!$B8),0)</f>
        <v>0</v>
      </c>
      <c r="AD8" s="156">
        <f ca="1">IFERROR(SUMIFS(INDIRECT("'Thanh Toán ("&amp;AD$3&amp;")'!$F:$F"),INDIRECT("'Thanh Toán ("&amp;AD$3&amp;")'!$D:$D"),'Tổng Đơn'!$B8),0)</f>
        <v>0</v>
      </c>
      <c r="AE8" s="156">
        <f ca="1">IFERROR(SUMIFS(INDIRECT("'Thanh Toán ("&amp;AE$3&amp;")'!$F:$F"),INDIRECT("'Thanh Toán ("&amp;AE$3&amp;")'!$D:$D"),'Tổng Đơn'!$B8),0)</f>
        <v>0</v>
      </c>
      <c r="AF8" s="156">
        <f ca="1">IFERROR(SUMIFS(INDIRECT("'Thanh Toán ("&amp;AF$3&amp;")'!$F:$F"),INDIRECT("'Thanh Toán ("&amp;AF$3&amp;")'!$D:$D"),'Tổng Đơn'!$B8),0)</f>
        <v>0</v>
      </c>
      <c r="AG8" s="156">
        <f ca="1">IFERROR(SUMIFS(INDIRECT("'Thanh Toán ("&amp;AG$3&amp;")'!$F:$F"),INDIRECT("'Thanh Toán ("&amp;AG$3&amp;")'!$D:$D"),'Tổng Đơn'!$B8),0)</f>
        <v>0</v>
      </c>
      <c r="AH8" s="156">
        <f ca="1">IFERROR(SUMIFS(INDIRECT("'Thanh Toán ("&amp;AH$3&amp;")'!$F:$F"),INDIRECT("'Thanh Toán ("&amp;AH$3&amp;")'!$D:$D"),'Tổng Đơn'!$B8),0)</f>
        <v>0</v>
      </c>
      <c r="AI8" s="156">
        <f ca="1">IFERROR(SUMIFS(INDIRECT("'Thanh Toán ("&amp;AI$3&amp;")'!$F:$F"),INDIRECT("'Thanh Toán ("&amp;AI$3&amp;")'!$D:$D"),'Tổng Đơn'!$B8),0)</f>
        <v>0</v>
      </c>
      <c r="AJ8" s="156">
        <f ca="1">IFERROR(SUMIFS(INDIRECT("'Thanh Toán ("&amp;AJ$3&amp;")'!$F:$F"),INDIRECT("'Thanh Toán ("&amp;AJ$3&amp;")'!$D:$D"),'Tổng Đơn'!$B8),0)</f>
        <v>0</v>
      </c>
      <c r="AK8" s="156">
        <f ca="1">IFERROR(SUMIFS(INDIRECT("'Thanh Toán ("&amp;AK$3&amp;")'!$F:$F"),INDIRECT("'Thanh Toán ("&amp;AK$3&amp;")'!$D:$D"),'Tổng Đơn'!$B8),0)</f>
        <v>0</v>
      </c>
      <c r="AL8" s="156">
        <f ca="1">IFERROR(SUMIFS(INDIRECT("'Thanh Toán ("&amp;AL$3&amp;")'!$F:$F"),INDIRECT("'Thanh Toán ("&amp;AL$3&amp;")'!$D:$D"),'Tổng Đơn'!$B8),0)</f>
        <v>0</v>
      </c>
      <c r="AM8" s="156">
        <f ca="1">IFERROR(SUMIFS(INDIRECT("'Thanh Toán ("&amp;AM$3&amp;")'!$F:$F"),INDIRECT("'Thanh Toán ("&amp;AM$3&amp;")'!$D:$D"),'Tổng Đơn'!$B8),0)</f>
        <v>0</v>
      </c>
      <c r="AN8" s="156">
        <f ca="1">IFERROR(SUMIFS(INDIRECT("'Thanh Toán ("&amp;AN$3&amp;")'!$F:$F"),INDIRECT("'Thanh Toán ("&amp;AN$3&amp;")'!$D:$D"),'Tổng Đơn'!$B8),0)</f>
        <v>0</v>
      </c>
      <c r="AO8" s="156">
        <f ca="1">IFERROR(SUMIFS(INDIRECT("'Thanh Toán ("&amp;AO$3&amp;")'!$F:$F"),INDIRECT("'Thanh Toán ("&amp;AO$3&amp;")'!$D:$D"),'Tổng Đơn'!$B8),0)</f>
        <v>0</v>
      </c>
      <c r="AP8" s="156">
        <f ca="1">IFERROR(SUMIFS(INDIRECT("'Thanh Toán ("&amp;AP$3&amp;")'!$F:$F"),INDIRECT("'Thanh Toán ("&amp;AP$3&amp;")'!$D:$D"),'Tổng Đơn'!$B8),0)</f>
        <v>0</v>
      </c>
      <c r="AQ8" s="156">
        <f ca="1">IFERROR(SUMIFS(INDIRECT("'Thanh Toán ("&amp;AQ$3&amp;")'!$F:$F"),INDIRECT("'Thanh Toán ("&amp;AQ$3&amp;")'!$D:$D"),'Tổng Đơn'!$B8),0)</f>
        <v>0</v>
      </c>
      <c r="AR8" s="156">
        <f ca="1">IFERROR(SUMIFS(INDIRECT("'Thanh Toán ("&amp;AR$3&amp;")'!$F:$F"),INDIRECT("'Thanh Toán ("&amp;AR$3&amp;")'!$D:$D"),'Tổng Đơn'!$B8),0)</f>
        <v>0</v>
      </c>
      <c r="AS8" s="156">
        <f ca="1">IFERROR(SUMIFS(INDIRECT("'Thanh Toán ("&amp;AS$3&amp;")'!$F:$F"),INDIRECT("'Thanh Toán ("&amp;AS$3&amp;")'!$D:$D"),'Tổng Đơn'!$B8),0)</f>
        <v>0</v>
      </c>
      <c r="AT8" s="156">
        <f ca="1">IFERROR(SUMIFS(INDIRECT("'Thanh Toán ("&amp;AT$3&amp;")'!$F:$F"),INDIRECT("'Thanh Toán ("&amp;AT$3&amp;")'!$D:$D"),'Tổng Đơn'!$B8),0)</f>
        <v>0</v>
      </c>
      <c r="AU8" s="156">
        <f ca="1">IFERROR(SUMIFS(INDIRECT("'Thanh Toán ("&amp;AU$3&amp;")'!$F:$F"),INDIRECT("'Thanh Toán ("&amp;AU$3&amp;")'!$D:$D"),'Tổng Đơn'!$B8),0)</f>
        <v>0</v>
      </c>
      <c r="AV8" s="156">
        <f ca="1">IFERROR(SUMIFS(INDIRECT("'Thanh Toán ("&amp;AV$3&amp;")'!$F:$F"),INDIRECT("'Thanh Toán ("&amp;AV$3&amp;")'!$D:$D"),'Tổng Đơn'!$B8),0)</f>
        <v>0</v>
      </c>
      <c r="AW8" s="156">
        <f ca="1">IFERROR(SUMIFS(INDIRECT("'Thanh Toán ("&amp;AW$3&amp;")'!$F:$F"),INDIRECT("'Thanh Toán ("&amp;AW$3&amp;")'!$D:$D"),'Tổng Đơn'!$B8),0)</f>
        <v>0</v>
      </c>
      <c r="AX8" s="156">
        <f ca="1">IFERROR(SUMIFS(INDIRECT("'Thanh Toán ("&amp;AX$3&amp;")'!$F:$F"),INDIRECT("'Thanh Toán ("&amp;AX$3&amp;")'!$D:$D"),'Tổng Đơn'!$B8),0)</f>
        <v>0</v>
      </c>
      <c r="AY8" s="156">
        <f ca="1">IFERROR(SUMIFS(INDIRECT("'Thanh Toán ("&amp;AY$3&amp;")'!$F:$F"),INDIRECT("'Thanh Toán ("&amp;AY$3&amp;")'!$D:$D"),'Tổng Đơn'!$B8),0)</f>
        <v>0</v>
      </c>
      <c r="AZ8" s="156">
        <f ca="1">IFERROR(SUMIFS(INDIRECT("'Thanh Toán ("&amp;AZ$3&amp;")'!$F:$F"),INDIRECT("'Thanh Toán ("&amp;AZ$3&amp;")'!$D:$D"),'Tổng Đơn'!$B8),0)</f>
        <v>0</v>
      </c>
      <c r="BA8" s="156">
        <f ca="1">IFERROR(SUMIFS(INDIRECT("'Thanh Toán ("&amp;BA$3&amp;")'!$F:$F"),INDIRECT("'Thanh Toán ("&amp;BA$3&amp;")'!$D:$D"),'Tổng Đơn'!$B8),0)</f>
        <v>0</v>
      </c>
      <c r="BB8" s="156">
        <f ca="1">IFERROR(SUMIFS(INDIRECT("'Thanh Toán ("&amp;BB$3&amp;")'!$F:$F"),INDIRECT("'Thanh Toán ("&amp;BB$3&amp;")'!$D:$D"),'Tổng Đơn'!$B8),0)</f>
        <v>0</v>
      </c>
      <c r="BC8" s="156">
        <f ca="1">IFERROR(SUMIFS(INDIRECT("'Thanh Toán ("&amp;BC$3&amp;")'!$F:$F"),INDIRECT("'Thanh Toán ("&amp;BC$3&amp;")'!$D:$D"),'Tổng Đơn'!$B8),0)</f>
        <v>0</v>
      </c>
    </row>
    <row r="9" spans="1:55" ht="18" customHeight="1" x14ac:dyDescent="0.25">
      <c r="A9" s="170">
        <v>1</v>
      </c>
      <c r="B9" s="171" t="s">
        <v>256</v>
      </c>
      <c r="C9" s="170" t="s">
        <v>95</v>
      </c>
      <c r="D9" s="172">
        <f>VLOOKUP($C9,Sheet1!$C$6:$D$98,2,0)</f>
        <v>48000</v>
      </c>
      <c r="E9" s="173">
        <v>0.5</v>
      </c>
      <c r="F9" s="174">
        <f t="shared" ca="1" si="2"/>
        <v>0</v>
      </c>
      <c r="G9" s="175">
        <f>IFERROR(VLOOKUP($B9,Gà!C:J,8,0),IFERROR(VLOOKUP($B9,TVP!C:J,7,0),IFERROR(VLOOKUP($B9,Kitkool!C:J,8,0),IFERROR(VLOOKUP($B9,'La Cusina'!C:J,8,0),VLOOKUP($B9,'Quốc Nhân'!C:J,8,0)))))</f>
        <v>41.409324251063822</v>
      </c>
      <c r="H9" s="176">
        <f t="shared" ca="1" si="5"/>
        <v>0</v>
      </c>
      <c r="I9" s="198">
        <f t="shared" si="3"/>
        <v>0.15915922000989569</v>
      </c>
      <c r="J9" s="17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77" customFormat="1" ht="18" customHeight="1" x14ac:dyDescent="0.25">
      <c r="A10" s="177">
        <v>2</v>
      </c>
      <c r="B10" s="178" t="s">
        <v>1</v>
      </c>
      <c r="C10" s="177" t="s">
        <v>96</v>
      </c>
      <c r="D10" s="172">
        <f>VLOOKUP($C10,Sheet1!$C$6:$D$98,2,0)</f>
        <v>25000</v>
      </c>
      <c r="E10" s="173">
        <v>0.5</v>
      </c>
      <c r="F10" s="174">
        <f t="shared" ca="1" si="2"/>
        <v>0</v>
      </c>
      <c r="G10" s="175">
        <f>IFERROR(VLOOKUP($B10,Gà!C:J,8,0),IFERROR(VLOOKUP($B10,TVP!C:J,7,0),IFERROR(VLOOKUP($B10,Kitkool!C:J,8,0),IFERROR(VLOOKUP($B10,'La Cusina'!C:J,8,0),VLOOKUP($B10,'Quốc Nhân'!C:J,8,0)))))</f>
        <v>21.817674341025626</v>
      </c>
      <c r="H10" s="176">
        <f t="shared" ca="1" si="5"/>
        <v>0</v>
      </c>
      <c r="I10" s="198">
        <f t="shared" si="3"/>
        <v>0.14585998531430899</v>
      </c>
      <c r="J10" s="176">
        <f t="shared" ca="1" si="4"/>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3</v>
      </c>
      <c r="B11" s="171" t="s">
        <v>2</v>
      </c>
      <c r="C11" s="170" t="s">
        <v>97</v>
      </c>
      <c r="D11" s="172">
        <f>VLOOKUP($C11,Sheet1!$C$6:$D$98,2,0)</f>
        <v>28000</v>
      </c>
      <c r="E11" s="173">
        <v>0.5</v>
      </c>
      <c r="F11" s="174">
        <f t="shared" ca="1" si="2"/>
        <v>0</v>
      </c>
      <c r="G11" s="175">
        <f>IFERROR(VLOOKUP($B11,Gà!C:J,8,0),IFERROR(VLOOKUP($B11,TVP!C:J,7,0),IFERROR(VLOOKUP($B11,Kitkool!C:J,8,0),IFERROR(VLOOKUP($B11,'La Cusina'!C:J,8,0),VLOOKUP($B11,'Quốc Nhân'!C:J,8,0)))))</f>
        <v>22.587709906003003</v>
      </c>
      <c r="H11" s="176">
        <f t="shared" ca="1" si="5"/>
        <v>0</v>
      </c>
      <c r="I11" s="198">
        <f t="shared" si="3"/>
        <v>0.23961216593093426</v>
      </c>
      <c r="J11" s="176">
        <f t="shared" ca="1" si="4"/>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4</v>
      </c>
      <c r="B12" s="171" t="s">
        <v>3</v>
      </c>
      <c r="C12" s="177" t="s">
        <v>98</v>
      </c>
      <c r="D12" s="172">
        <f>VLOOKUP($C12,Sheet1!$C$6:$D$98,2,0)</f>
        <v>30000</v>
      </c>
      <c r="E12" s="173">
        <v>0.5</v>
      </c>
      <c r="F12" s="174">
        <f t="shared" ca="1" si="2"/>
        <v>0</v>
      </c>
      <c r="G12" s="175">
        <f>IFERROR(VLOOKUP($B12,Gà!C:J,8,0),IFERROR(VLOOKUP($B12,TVP!C:J,7,0),IFERROR(VLOOKUP($B12,Kitkool!C:J,8,0),IFERROR(VLOOKUP($B12,'La Cusina'!C:J,8,0),VLOOKUP($B12,'Quốc Nhân'!C:J,8,0)))))</f>
        <v>22.331031384343877</v>
      </c>
      <c r="H12" s="176">
        <f t="shared" ca="1" si="5"/>
        <v>0</v>
      </c>
      <c r="I12" s="198">
        <f t="shared" si="3"/>
        <v>0.34342205174781038</v>
      </c>
      <c r="J12" s="176">
        <f t="shared" ca="1" si="4"/>
        <v>0</v>
      </c>
      <c r="K12" s="114">
        <f ca="1">I4/J4</f>
        <v>0.21582701444383845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5</v>
      </c>
      <c r="B13" s="171" t="s">
        <v>27</v>
      </c>
      <c r="C13" s="170" t="s">
        <v>99</v>
      </c>
      <c r="D13" s="172">
        <f>VLOOKUP($C13,Sheet1!$C$6:$D$98,2,0)</f>
        <v>38000</v>
      </c>
      <c r="E13" s="173">
        <v>0.5</v>
      </c>
      <c r="F13" s="174">
        <f t="shared" ca="1" si="2"/>
        <v>1</v>
      </c>
      <c r="G13" s="175">
        <f>IFERROR(VLOOKUP($B13,Gà!C:J,8,0),IFERROR(VLOOKUP($B13,TVP!C:J,7,0),IFERROR(VLOOKUP($B13,Kitkool!C:J,8,0),IFERROR(VLOOKUP($B13,'La Cusina'!C:J,8,0),VLOOKUP($B13,'Quốc Nhân'!C:J,8,0)))))</f>
        <v>33.229704645915412</v>
      </c>
      <c r="H13" s="176">
        <f t="shared" ca="1" si="5"/>
        <v>4770.2953540845847</v>
      </c>
      <c r="I13" s="198">
        <f t="shared" si="3"/>
        <v>0.14355515358668547</v>
      </c>
      <c r="J13" s="176">
        <f t="shared" ca="1" si="4"/>
        <v>33229.704645915415</v>
      </c>
      <c r="K13" s="38"/>
      <c r="L13" s="2">
        <f ca="1">IFERROR(SUMIFS(INDIRECT("'Thanh Toán ("&amp;L$3&amp;")'!$F:$F"),INDIRECT("'Thanh Toán ("&amp;L$3&amp;")'!$D:$D"),'Tổng Đơn'!$B13),0)</f>
        <v>0</v>
      </c>
      <c r="M13" s="2">
        <f ca="1">IFERROR(SUMIFS(INDIRECT("'Thanh Toán ("&amp;M$3&amp;")'!$F:$F"),INDIRECT("'Thanh Toán ("&amp;M$3&amp;")'!$D:$D"),'Tổng Đơn'!$B13),0)</f>
        <v>1</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6</v>
      </c>
      <c r="B14" s="171" t="s">
        <v>25</v>
      </c>
      <c r="C14" s="177" t="s">
        <v>100</v>
      </c>
      <c r="D14" s="172">
        <f>VLOOKUP($C14,Sheet1!$C$6:$D$98,2,0)</f>
        <v>42000</v>
      </c>
      <c r="E14" s="173">
        <v>0.5</v>
      </c>
      <c r="F14" s="174">
        <f t="shared" ca="1" si="2"/>
        <v>0</v>
      </c>
      <c r="G14" s="175">
        <f>IFERROR(VLOOKUP($B14,Gà!C:J,8,0),IFERROR(VLOOKUP($B14,TVP!C:J,7,0),IFERROR(VLOOKUP($B14,Kitkool!C:J,8,0),IFERROR(VLOOKUP($B14,'La Cusina'!C:J,8,0),VLOOKUP($B14,'Quốc Nhân'!C:J,8,0)))))</f>
        <v>38.341966899133169</v>
      </c>
      <c r="H14" s="176">
        <f t="shared" ca="1" si="5"/>
        <v>0</v>
      </c>
      <c r="I14" s="198">
        <f t="shared" si="3"/>
        <v>9.5405462909351479E-2</v>
      </c>
      <c r="J14" s="176">
        <f t="shared" ca="1" si="4"/>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7</v>
      </c>
      <c r="B15" s="171" t="s">
        <v>53</v>
      </c>
      <c r="C15" s="170" t="s">
        <v>101</v>
      </c>
      <c r="D15" s="172">
        <f>VLOOKUP($C15,Sheet1!$C$6:$D$98,2,0)</f>
        <v>35000</v>
      </c>
      <c r="E15" s="173">
        <v>0.5</v>
      </c>
      <c r="F15" s="174">
        <f t="shared" ca="1" si="2"/>
        <v>0</v>
      </c>
      <c r="G15" s="175">
        <f>IFERROR(VLOOKUP($B15,Gà!C:J,8,0),IFERROR(VLOOKUP($B15,TVP!C:J,7,0),IFERROR(VLOOKUP($B15,Kitkool!C:J,8,0),IFERROR(VLOOKUP($B15,'La Cusina'!C:J,8,0),VLOOKUP($B15,'Quốc Nhân'!C:J,8,0)))))</f>
        <v>30.162347293984762</v>
      </c>
      <c r="H15" s="176">
        <f t="shared" ca="1" si="5"/>
        <v>0</v>
      </c>
      <c r="I15" s="198">
        <f t="shared" si="3"/>
        <v>0.16038714291244838</v>
      </c>
      <c r="J15" s="176">
        <f t="shared" ca="1" si="4"/>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8</v>
      </c>
      <c r="B16" s="171" t="s">
        <v>139</v>
      </c>
      <c r="C16" s="177" t="s">
        <v>102</v>
      </c>
      <c r="D16" s="172">
        <f>VLOOKUP($C16,Sheet1!$C$6:$D$98,2,0)</f>
        <v>45000</v>
      </c>
      <c r="E16" s="173">
        <v>0.5</v>
      </c>
      <c r="F16" s="174">
        <f t="shared" ca="1" si="2"/>
        <v>0</v>
      </c>
      <c r="G16" s="175">
        <f>IFERROR(VLOOKUP($B16,Gà!C:J,8,0),IFERROR(VLOOKUP($B16,TVP!C:J,7,0),IFERROR(VLOOKUP($B16,Kitkool!C:J,8,0),IFERROR(VLOOKUP($B16,'La Cusina'!C:J,8,0),VLOOKUP($B16,'Quốc Nhân'!C:J,8,0)))))</f>
        <v>32.207252195271863</v>
      </c>
      <c r="H16" s="176">
        <f t="shared" ca="1" si="5"/>
        <v>0</v>
      </c>
      <c r="I16" s="198">
        <f t="shared" si="3"/>
        <v>0.39720084554764212</v>
      </c>
      <c r="J16" s="176">
        <f t="shared" ca="1" si="4"/>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9</v>
      </c>
      <c r="B17" s="171" t="s">
        <v>6</v>
      </c>
      <c r="C17" s="170" t="s">
        <v>103</v>
      </c>
      <c r="D17" s="172">
        <f>VLOOKUP($C17,Sheet1!$C$6:$D$98,2,0)</f>
        <v>50000</v>
      </c>
      <c r="E17" s="173">
        <v>0.5</v>
      </c>
      <c r="F17" s="174">
        <f t="shared" ca="1" si="2"/>
        <v>0</v>
      </c>
      <c r="G17" s="175">
        <f>IFERROR(VLOOKUP($B17,Gà!C:J,8,0),IFERROR(VLOOKUP($B17,TVP!C:J,7,0),IFERROR(VLOOKUP($B17,Kitkool!C:J,8,0),IFERROR(VLOOKUP($B17,'La Cusina'!C:J,8,0),VLOOKUP($B17,'Quốc Nhân'!C:J,8,0)))))</f>
        <v>44.148705725369503</v>
      </c>
      <c r="H17" s="176">
        <f t="shared" ca="1" si="5"/>
        <v>0</v>
      </c>
      <c r="I17" s="198">
        <f t="shared" si="3"/>
        <v>0.13253603199670083</v>
      </c>
      <c r="J17" s="176">
        <f t="shared" ca="1" si="4"/>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10</v>
      </c>
      <c r="B18" s="171" t="s">
        <v>50</v>
      </c>
      <c r="C18" s="177" t="s">
        <v>56</v>
      </c>
      <c r="D18" s="172">
        <f>VLOOKUP($C18,Sheet1!$C$6:$D$98,2,0)</f>
        <v>45000</v>
      </c>
      <c r="E18" s="173">
        <v>0.5</v>
      </c>
      <c r="F18" s="174">
        <f t="shared" ca="1" si="2"/>
        <v>0</v>
      </c>
      <c r="G18" s="175">
        <f>IFERROR(VLOOKUP($B18,Gà!C:J,8,0),IFERROR(VLOOKUP($B18,TVP!C:J,7,0),IFERROR(VLOOKUP($B18,Kitkool!C:J,8,0),IFERROR(VLOOKUP($B18,'La Cusina'!C:J,8,0),VLOOKUP($B18,'Quốc Nhân'!C:J,8,0)))))</f>
        <v>40.898098025742051</v>
      </c>
      <c r="H18" s="176">
        <f t="shared" ca="1" si="5"/>
        <v>0</v>
      </c>
      <c r="I18" s="198">
        <f t="shared" si="3"/>
        <v>0.10029566586876815</v>
      </c>
      <c r="J18" s="176">
        <f t="shared" ca="1" si="4"/>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11</v>
      </c>
      <c r="B19" s="171" t="s">
        <v>31</v>
      </c>
      <c r="C19" s="170" t="s">
        <v>57</v>
      </c>
      <c r="D19" s="172">
        <f>VLOOKUP($C19,Sheet1!$C$6:$D$98,2,0)</f>
        <v>45000</v>
      </c>
      <c r="E19" s="173">
        <v>0.5</v>
      </c>
      <c r="F19" s="174">
        <f t="shared" ca="1" si="2"/>
        <v>0</v>
      </c>
      <c r="G19" s="175">
        <f>IFERROR(VLOOKUP($B19,Gà!C:J,8,0),IFERROR(VLOOKUP($B19,TVP!C:J,7,0),IFERROR(VLOOKUP($B19,Kitkool!C:J,8,0),IFERROR(VLOOKUP($B19,'La Cusina'!C:J,8,0),VLOOKUP($B19,'Quốc Nhân'!C:J,8,0)))))</f>
        <v>40.898098025742051</v>
      </c>
      <c r="H19" s="176">
        <f t="shared" ca="1" si="5"/>
        <v>0</v>
      </c>
      <c r="I19" s="198">
        <f t="shared" si="3"/>
        <v>0.10029566586876815</v>
      </c>
      <c r="J19" s="176">
        <f t="shared" ca="1" si="4"/>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12</v>
      </c>
      <c r="B20" s="171" t="s">
        <v>28</v>
      </c>
      <c r="C20" s="177" t="s">
        <v>58</v>
      </c>
      <c r="D20" s="172">
        <f>VLOOKUP($C20,Sheet1!$C$6:$D$98,2,0)</f>
        <v>45000</v>
      </c>
      <c r="E20" s="173">
        <v>0.5</v>
      </c>
      <c r="F20" s="174">
        <f t="shared" ca="1" si="2"/>
        <v>0</v>
      </c>
      <c r="G20" s="175">
        <f>IFERROR(VLOOKUP($B20,Gà!C:J,8,0),IFERROR(VLOOKUP($B20,TVP!C:J,7,0),IFERROR(VLOOKUP($B20,Kitkool!C:J,8,0),IFERROR(VLOOKUP($B20,'La Cusina'!C:J,8,0),VLOOKUP($B20,'Quốc Nhân'!C:J,8,0)))))</f>
        <v>40.898098025742051</v>
      </c>
      <c r="H20" s="176">
        <f t="shared" ca="1" si="5"/>
        <v>0</v>
      </c>
      <c r="I20" s="198">
        <f t="shared" si="3"/>
        <v>0.10029566586876815</v>
      </c>
      <c r="J20" s="176">
        <f t="shared" ca="1" si="4"/>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13</v>
      </c>
      <c r="B21" s="171" t="s">
        <v>30</v>
      </c>
      <c r="C21" s="170" t="s">
        <v>59</v>
      </c>
      <c r="D21" s="172">
        <f>VLOOKUP($C21,Sheet1!$C$6:$D$98,2,0)</f>
        <v>45000</v>
      </c>
      <c r="E21" s="173">
        <v>0.5</v>
      </c>
      <c r="F21" s="174">
        <f t="shared" ca="1" si="2"/>
        <v>0</v>
      </c>
      <c r="G21" s="175">
        <f>IFERROR(VLOOKUP($B21,Gà!C:J,8,0),IFERROR(VLOOKUP($B21,TVP!C:J,7,0),IFERROR(VLOOKUP($B21,Kitkool!C:J,8,0),IFERROR(VLOOKUP($B21,'La Cusina'!C:J,8,0),VLOOKUP($B21,'Quốc Nhân'!C:J,8,0)))))</f>
        <v>40.898098025742051</v>
      </c>
      <c r="H21" s="176">
        <f t="shared" ca="1" si="5"/>
        <v>0</v>
      </c>
      <c r="I21" s="198">
        <f t="shared" si="3"/>
        <v>0.10029566586876815</v>
      </c>
      <c r="J21" s="176">
        <f t="shared" ca="1" si="4"/>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14</v>
      </c>
      <c r="B22" s="171" t="s">
        <v>29</v>
      </c>
      <c r="C22" s="177" t="s">
        <v>60</v>
      </c>
      <c r="D22" s="172">
        <f>VLOOKUP($C22,Sheet1!$C$6:$D$98,2,0)</f>
        <v>45000</v>
      </c>
      <c r="E22" s="173">
        <v>0.5</v>
      </c>
      <c r="F22" s="174">
        <f t="shared" ca="1" si="2"/>
        <v>0</v>
      </c>
      <c r="G22" s="175">
        <f>IFERROR(VLOOKUP($B22,Gà!C:J,8,0),IFERROR(VLOOKUP($B22,TVP!C:J,7,0),IFERROR(VLOOKUP($B22,Kitkool!C:J,8,0),IFERROR(VLOOKUP($B22,'La Cusina'!C:J,8,0),VLOOKUP($B22,'Quốc Nhân'!C:J,8,0)))))</f>
        <v>40.898098025742051</v>
      </c>
      <c r="H22" s="176">
        <f t="shared" ca="1" si="5"/>
        <v>0</v>
      </c>
      <c r="I22" s="198">
        <f t="shared" si="3"/>
        <v>0.10029566586876815</v>
      </c>
      <c r="J22" s="176">
        <f t="shared" ca="1" si="4"/>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15</v>
      </c>
      <c r="B23" s="171" t="s">
        <v>5</v>
      </c>
      <c r="C23" s="170" t="s">
        <v>61</v>
      </c>
      <c r="D23" s="172">
        <f>VLOOKUP($C23,Sheet1!$C$6:$D$98,2,0)</f>
        <v>40000</v>
      </c>
      <c r="E23" s="173">
        <v>0.5</v>
      </c>
      <c r="F23" s="174">
        <f t="shared" ca="1" si="2"/>
        <v>1</v>
      </c>
      <c r="G23" s="175">
        <f>IFERROR(VLOOKUP($B23,Gà!C:J,8,0),IFERROR(VLOOKUP($B23,TVP!C:J,7,0),IFERROR(VLOOKUP($B23,Kitkool!C:J,8,0),IFERROR(VLOOKUP($B23,'La Cusina'!C:J,8,0),VLOOKUP($B23,'Quốc Nhân'!C:J,8,0)))))</f>
        <v>34.908278945641001</v>
      </c>
      <c r="H23" s="176">
        <f t="shared" ca="1" si="5"/>
        <v>5091.7210543589972</v>
      </c>
      <c r="I23" s="198">
        <f t="shared" si="3"/>
        <v>0.14585998531430899</v>
      </c>
      <c r="J23" s="176">
        <f t="shared" ca="1" si="4"/>
        <v>34908.278945641003</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16</v>
      </c>
      <c r="B24" s="171" t="s">
        <v>4</v>
      </c>
      <c r="C24" s="177" t="s">
        <v>62</v>
      </c>
      <c r="D24" s="172">
        <f>VLOOKUP($C24,Sheet1!$C$6:$D$98,2,0)</f>
        <v>40000</v>
      </c>
      <c r="E24" s="173">
        <v>0.5</v>
      </c>
      <c r="F24" s="174">
        <f t="shared" ca="1" si="2"/>
        <v>0</v>
      </c>
      <c r="G24" s="175">
        <f>IFERROR(VLOOKUP($B24,Gà!C:J,8,0),IFERROR(VLOOKUP($B24,TVP!C:J,7,0),IFERROR(VLOOKUP($B24,Kitkool!C:J,8,0),IFERROR(VLOOKUP($B24,'La Cusina'!C:J,8,0),VLOOKUP($B24,'Quốc Nhân'!C:J,8,0)))))</f>
        <v>30.801422599095002</v>
      </c>
      <c r="H24" s="176">
        <f t="shared" ca="1" si="5"/>
        <v>0</v>
      </c>
      <c r="I24" s="198">
        <f t="shared" si="3"/>
        <v>0.2986413166895503</v>
      </c>
      <c r="J24" s="176">
        <f t="shared" ca="1" si="4"/>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17</v>
      </c>
      <c r="B25" s="171" t="s">
        <v>8</v>
      </c>
      <c r="C25" s="170" t="s">
        <v>63</v>
      </c>
      <c r="D25" s="172">
        <f>VLOOKUP($C25,Sheet1!$C$6:$D$98,2,0)</f>
        <v>55000</v>
      </c>
      <c r="E25" s="173">
        <v>0.5</v>
      </c>
      <c r="F25" s="174">
        <f t="shared" ca="1" si="2"/>
        <v>0</v>
      </c>
      <c r="G25" s="175">
        <f>IFERROR(VLOOKUP($B25,Gà!C:J,8,0),IFERROR(VLOOKUP($B25,TVP!C:J,7,0),IFERROR(VLOOKUP($B25,Kitkool!C:J,8,0),IFERROR(VLOOKUP($B25,'La Cusina'!C:J,8,0),VLOOKUP($B25,'Quốc Nhân'!C:J,8,0)))))</f>
        <v>43.635348682051252</v>
      </c>
      <c r="H25" s="176">
        <f t="shared" ca="1" si="5"/>
        <v>0</v>
      </c>
      <c r="I25" s="198">
        <f t="shared" si="3"/>
        <v>0.26044598384574003</v>
      </c>
      <c r="J25" s="176">
        <f t="shared" ca="1" si="4"/>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18</v>
      </c>
      <c r="B26" s="171" t="s">
        <v>13</v>
      </c>
      <c r="C26" s="177" t="s">
        <v>64</v>
      </c>
      <c r="D26" s="172">
        <f>VLOOKUP($C26,Sheet1!$C$6:$D$98,2,0)</f>
        <v>35000</v>
      </c>
      <c r="E26" s="173">
        <v>0.5</v>
      </c>
      <c r="F26" s="174">
        <f t="shared" ca="1" si="2"/>
        <v>0</v>
      </c>
      <c r="G26" s="175">
        <f>IFERROR(VLOOKUP($B26,Gà!C:J,8,0),IFERROR(VLOOKUP($B26,TVP!C:J,7,0),IFERROR(VLOOKUP($B26,Kitkool!C:J,8,0),IFERROR(VLOOKUP($B26,'La Cusina'!C:J,8,0),VLOOKUP($B26,'Quốc Nhân'!C:J,8,0)))))</f>
        <v>29.261351469140251</v>
      </c>
      <c r="H26" s="176">
        <f t="shared" ca="1" si="5"/>
        <v>0</v>
      </c>
      <c r="I26" s="198">
        <f t="shared" si="3"/>
        <v>0.19611700221405926</v>
      </c>
      <c r="J26" s="176">
        <f t="shared" ca="1" si="4"/>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19</v>
      </c>
      <c r="B27" s="171" t="s">
        <v>7</v>
      </c>
      <c r="C27" s="170" t="s">
        <v>65</v>
      </c>
      <c r="D27" s="172">
        <f>VLOOKUP($C27,Sheet1!$C$6:$D$98,2,0)</f>
        <v>69000</v>
      </c>
      <c r="E27" s="173">
        <v>0.5</v>
      </c>
      <c r="F27" s="174">
        <f t="shared" ca="1" si="2"/>
        <v>0</v>
      </c>
      <c r="G27" s="175">
        <f>IFERROR(VLOOKUP($B27,Gà!C:J,8,0),IFERROR(VLOOKUP($B27,TVP!C:J,7,0),IFERROR(VLOOKUP($B27,Kitkool!C:J,8,0),IFERROR(VLOOKUP($B27,'La Cusina'!C:J,8,0),VLOOKUP($B27,'Quốc Nhân'!C:J,8,0)))))</f>
        <v>59.036059981598754</v>
      </c>
      <c r="H27" s="176">
        <f t="shared" ca="1" si="5"/>
        <v>0</v>
      </c>
      <c r="I27" s="198">
        <f t="shared" si="3"/>
        <v>0.16877718502059524</v>
      </c>
      <c r="J27" s="176">
        <f t="shared" ca="1" si="4"/>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20</v>
      </c>
      <c r="B28" s="171" t="s">
        <v>257</v>
      </c>
      <c r="C28" s="177" t="s">
        <v>66</v>
      </c>
      <c r="D28" s="172">
        <f>VLOOKUP($C28,Sheet1!$C$6:$D$98,2,0)</f>
        <v>40000</v>
      </c>
      <c r="E28" s="173">
        <v>0.5</v>
      </c>
      <c r="F28" s="174">
        <f t="shared" ca="1" si="2"/>
        <v>0</v>
      </c>
      <c r="G28" s="175">
        <f>IFERROR(VLOOKUP($B28,Gà!C:J,8,0),IFERROR(VLOOKUP($B28,TVP!C:J,7,0),IFERROR(VLOOKUP($B28,Kitkool!C:J,8,0),IFERROR(VLOOKUP($B28,'La Cusina'!C:J,8,0),VLOOKUP($B28,'Quốc Nhân'!C:J,8,0)))))</f>
        <v>33.74093087123719</v>
      </c>
      <c r="H28" s="176">
        <f t="shared" ca="1" si="5"/>
        <v>0</v>
      </c>
      <c r="I28" s="198">
        <f t="shared" si="3"/>
        <v>0.18550374773739331</v>
      </c>
      <c r="J28" s="176">
        <f t="shared" ca="1" si="4"/>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21</v>
      </c>
      <c r="B29" s="171" t="s">
        <v>26</v>
      </c>
      <c r="C29" s="170" t="s">
        <v>67</v>
      </c>
      <c r="D29" s="172">
        <f>VLOOKUP($C29,Sheet1!$C$6:$D$98,2,0)</f>
        <v>50000</v>
      </c>
      <c r="E29" s="173">
        <v>0.5</v>
      </c>
      <c r="F29" s="174">
        <f t="shared" ca="1" si="2"/>
        <v>0</v>
      </c>
      <c r="G29" s="175">
        <f>IFERROR(VLOOKUP($B29,Gà!C:J,8,0),IFERROR(VLOOKUP($B29,TVP!C:J,7,0),IFERROR(VLOOKUP($B29,Kitkool!C:J,8,0),IFERROR(VLOOKUP($B29,'La Cusina'!C:J,8,0),VLOOKUP($B29,'Quốc Nhân'!C:J,8,0)))))</f>
        <v>40.898098025742051</v>
      </c>
      <c r="H29" s="176">
        <f t="shared" ca="1" si="5"/>
        <v>0</v>
      </c>
      <c r="I29" s="198">
        <f t="shared" si="3"/>
        <v>0.22255073985418683</v>
      </c>
      <c r="J29" s="176">
        <f t="shared" ca="1" si="4"/>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22</v>
      </c>
      <c r="B30" s="171" t="s">
        <v>34</v>
      </c>
      <c r="C30" s="177" t="s">
        <v>68</v>
      </c>
      <c r="D30" s="172">
        <f>VLOOKUP($C30,Sheet1!$C$6:$D$98,2,0)</f>
        <v>32000</v>
      </c>
      <c r="E30" s="173">
        <v>0.5</v>
      </c>
      <c r="F30" s="174">
        <f t="shared" ca="1" si="2"/>
        <v>0</v>
      </c>
      <c r="G30" s="175">
        <f>IFERROR(VLOOKUP($B30,Gà!C:J,8,0),IFERROR(VLOOKUP($B30,TVP!C:J,7,0),IFERROR(VLOOKUP($B30,Kitkool!C:J,8,0),IFERROR(VLOOKUP($B30,'La Cusina'!C:J,8,0),VLOOKUP($B30,'Quốc Nhân'!C:J,8,0)))))</f>
        <v>26.621803079549558</v>
      </c>
      <c r="H30" s="176">
        <f t="shared" ca="1" si="5"/>
        <v>0</v>
      </c>
      <c r="I30" s="198">
        <f t="shared" si="3"/>
        <v>0.20202226364531595</v>
      </c>
      <c r="J30" s="176">
        <f t="shared" ca="1" si="4"/>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23</v>
      </c>
      <c r="B31" s="171" t="s">
        <v>35</v>
      </c>
      <c r="C31" s="170" t="s">
        <v>69</v>
      </c>
      <c r="D31" s="172">
        <f>VLOOKUP($C31,Sheet1!$C$6:$D$98,2,0)</f>
        <v>14000</v>
      </c>
      <c r="E31" s="173">
        <v>0.2</v>
      </c>
      <c r="F31" s="174">
        <f t="shared" ca="1" si="2"/>
        <v>0</v>
      </c>
      <c r="G31" s="175">
        <f>IFERROR(VLOOKUP($B31,Gà!C:J,8,0),IFERROR(VLOOKUP($B31,TVP!C:J,7,0),IFERROR(VLOOKUP($B31,Kitkool!C:J,8,0),IFERROR(VLOOKUP($B31,'La Cusina'!C:J,8,0),VLOOKUP($B31,'Quốc Nhân'!C:J,8,0)))))</f>
        <v>11.25147903739453</v>
      </c>
      <c r="H31" s="176">
        <f t="shared" ca="1" si="5"/>
        <v>0</v>
      </c>
      <c r="I31" s="198">
        <f t="shared" si="3"/>
        <v>0.24428085885159634</v>
      </c>
      <c r="J31" s="176">
        <f t="shared" ca="1" si="4"/>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24</v>
      </c>
      <c r="B32" s="171" t="s">
        <v>55</v>
      </c>
      <c r="C32" s="177" t="s">
        <v>70</v>
      </c>
      <c r="D32" s="172">
        <f>VLOOKUP($C32,Sheet1!$C$6:$D$98,2,0)</f>
        <v>32000</v>
      </c>
      <c r="E32" s="173">
        <v>0.5</v>
      </c>
      <c r="F32" s="174">
        <f t="shared" ca="1" si="2"/>
        <v>0</v>
      </c>
      <c r="G32" s="175">
        <f>IFERROR(VLOOKUP($B32,Gà!C:J,8,0),IFERROR(VLOOKUP($B32,TVP!C:J,7,0),IFERROR(VLOOKUP($B32,Kitkool!C:J,8,0),IFERROR(VLOOKUP($B32,'La Cusina'!C:J,8,0),VLOOKUP($B32,'Quốc Nhân'!C:J,8,0)))))</f>
        <v>26.621803079549558</v>
      </c>
      <c r="H32" s="176">
        <f t="shared" ca="1" si="5"/>
        <v>0</v>
      </c>
      <c r="I32" s="198">
        <f t="shared" si="3"/>
        <v>0.20202226364531595</v>
      </c>
      <c r="J32" s="176">
        <f t="shared" ca="1" si="4"/>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25</v>
      </c>
      <c r="B33" s="171" t="s">
        <v>36</v>
      </c>
      <c r="C33" s="170" t="s">
        <v>71</v>
      </c>
      <c r="D33" s="172">
        <f>VLOOKUP($C33,Sheet1!$C$6:$D$98,2,0)</f>
        <v>35000</v>
      </c>
      <c r="E33" s="173">
        <v>0.5</v>
      </c>
      <c r="F33" s="174">
        <f t="shared" ca="1" si="2"/>
        <v>0</v>
      </c>
      <c r="G33" s="175">
        <f>IFERROR(VLOOKUP($B33,Gà!C:J,8,0),IFERROR(VLOOKUP($B33,TVP!C:J,7,0),IFERROR(VLOOKUP($B33,Kitkool!C:J,8,0),IFERROR(VLOOKUP($B33,'La Cusina'!C:J,8,0),VLOOKUP($B33,'Quốc Nhân'!C:J,8,0)))))</f>
        <v>28.63099576479858</v>
      </c>
      <c r="H33" s="176">
        <f t="shared" ca="1" si="5"/>
        <v>0</v>
      </c>
      <c r="I33" s="198">
        <f t="shared" si="3"/>
        <v>0.22245137009981408</v>
      </c>
      <c r="J33" s="176">
        <f t="shared" ca="1" si="4"/>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26</v>
      </c>
      <c r="B34" s="171" t="s">
        <v>37</v>
      </c>
      <c r="C34" s="177" t="s">
        <v>72</v>
      </c>
      <c r="D34" s="172">
        <f>VLOOKUP($C34,Sheet1!$C$6:$D$98,2,0)</f>
        <v>14000</v>
      </c>
      <c r="E34" s="173">
        <v>0.2</v>
      </c>
      <c r="F34" s="174">
        <f t="shared" ca="1" si="2"/>
        <v>0</v>
      </c>
      <c r="G34" s="175">
        <f>IFERROR(VLOOKUP($B34,Gà!C:J,8,0),IFERROR(VLOOKUP($B34,TVP!C:J,7,0),IFERROR(VLOOKUP($B34,Kitkool!C:J,8,0),IFERROR(VLOOKUP($B34,'La Cusina'!C:J,8,0),VLOOKUP($B34,'Quốc Nhân'!C:J,8,0)))))</f>
        <v>12.05515611149414</v>
      </c>
      <c r="H34" s="176">
        <f t="shared" ca="1" si="5"/>
        <v>0</v>
      </c>
      <c r="I34" s="198">
        <f t="shared" si="3"/>
        <v>0.16132880159482332</v>
      </c>
      <c r="J34" s="176">
        <f t="shared" ca="1" si="4"/>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27</v>
      </c>
      <c r="B35" s="171" t="s">
        <v>38</v>
      </c>
      <c r="C35" s="170" t="s">
        <v>73</v>
      </c>
      <c r="D35" s="172">
        <f>VLOOKUP($C35,Sheet1!$C$6:$D$98,2,0)</f>
        <v>35000</v>
      </c>
      <c r="E35" s="173">
        <v>0.5</v>
      </c>
      <c r="F35" s="174">
        <f t="shared" ca="1" si="2"/>
        <v>0</v>
      </c>
      <c r="G35" s="175">
        <f>IFERROR(VLOOKUP($B35,Gà!C:J,8,0),IFERROR(VLOOKUP($B35,TVP!C:J,7,0),IFERROR(VLOOKUP($B35,Kitkool!C:J,8,0),IFERROR(VLOOKUP($B35,'La Cusina'!C:J,8,0),VLOOKUP($B35,'Quốc Nhân'!C:J,8,0)))))</f>
        <v>28.63099576479858</v>
      </c>
      <c r="H35" s="176">
        <f t="shared" ca="1" si="5"/>
        <v>0</v>
      </c>
      <c r="I35" s="198">
        <f t="shared" si="3"/>
        <v>0.22245137009981408</v>
      </c>
      <c r="J35" s="176">
        <f t="shared" ca="1" si="4"/>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28</v>
      </c>
      <c r="B36" s="171" t="s">
        <v>39</v>
      </c>
      <c r="C36" s="177" t="s">
        <v>74</v>
      </c>
      <c r="D36" s="172">
        <f>VLOOKUP($C36,Sheet1!$C$6:$D$98,2,0)</f>
        <v>14000</v>
      </c>
      <c r="E36" s="173">
        <v>0.2</v>
      </c>
      <c r="F36" s="174">
        <f t="shared" ca="1" si="2"/>
        <v>0</v>
      </c>
      <c r="G36" s="175">
        <f>IFERROR(VLOOKUP($B36,Gà!C:J,8,0),IFERROR(VLOOKUP($B36,TVP!C:J,7,0),IFERROR(VLOOKUP($B36,Kitkool!C:J,8,0),IFERROR(VLOOKUP($B36,'La Cusina'!C:J,8,0),VLOOKUP($B36,'Quốc Nhân'!C:J,8,0)))))</f>
        <v>12.05515611149414</v>
      </c>
      <c r="H36" s="176">
        <f t="shared" ca="1" si="5"/>
        <v>0</v>
      </c>
      <c r="I36" s="198">
        <f t="shared" si="3"/>
        <v>0.16132880159482332</v>
      </c>
      <c r="J36" s="176">
        <f t="shared" ca="1" si="4"/>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29</v>
      </c>
      <c r="B37" s="171" t="s">
        <v>44</v>
      </c>
      <c r="C37" s="170" t="s">
        <v>75</v>
      </c>
      <c r="D37" s="172">
        <f>VLOOKUP($C37,Sheet1!$C$6:$D$98,2,0)</f>
        <v>59000</v>
      </c>
      <c r="E37" s="173">
        <v>0.5</v>
      </c>
      <c r="F37" s="174">
        <f t="shared" ca="1" si="2"/>
        <v>0</v>
      </c>
      <c r="G37" s="175">
        <f>IFERROR(VLOOKUP($B37,Gà!C:J,8,0),IFERROR(VLOOKUP($B37,TVP!C:J,7,0),IFERROR(VLOOKUP($B37,Kitkool!C:J,8,0),IFERROR(VLOOKUP($B37,'La Cusina'!C:J,8,0),VLOOKUP($B37,'Quốc Nhân'!C:J,8,0)))))</f>
        <v>49.225220788601071</v>
      </c>
      <c r="H37" s="176">
        <f t="shared" ca="1" si="5"/>
        <v>0</v>
      </c>
      <c r="I37" s="198">
        <f t="shared" si="3"/>
        <v>0.19857258240398679</v>
      </c>
      <c r="J37" s="176">
        <f t="shared" ca="1" si="4"/>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30</v>
      </c>
      <c r="B38" s="171" t="s">
        <v>45</v>
      </c>
      <c r="C38" s="177" t="s">
        <v>76</v>
      </c>
      <c r="D38" s="172">
        <f>VLOOKUP($C38,Sheet1!$C$6:$D$98,2,0)</f>
        <v>52000</v>
      </c>
      <c r="E38" s="173">
        <v>0.5</v>
      </c>
      <c r="F38" s="174">
        <f t="shared" ref="F38:F68" ca="1" si="6">SUM(L38:BR38)</f>
        <v>0</v>
      </c>
      <c r="G38" s="175">
        <f>IFERROR(VLOOKUP($B38,Gà!C:J,8,0),IFERROR(VLOOKUP($B38,TVP!C:J,7,0),IFERROR(VLOOKUP($B38,Kitkool!C:J,8,0),IFERROR(VLOOKUP($B38,'La Cusina'!C:J,8,0),VLOOKUP($B38,'Quốc Nhân'!C:J,8,0)))))</f>
        <v>43.197642732854</v>
      </c>
      <c r="H38" s="176">
        <f t="shared" ca="1" si="5"/>
        <v>0</v>
      </c>
      <c r="I38" s="198">
        <f t="shared" si="3"/>
        <v>0.20376938902852126</v>
      </c>
      <c r="J38" s="176">
        <f t="shared" ca="1" si="4"/>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31</v>
      </c>
      <c r="B39" s="171" t="s">
        <v>41</v>
      </c>
      <c r="C39" s="170" t="s">
        <v>77</v>
      </c>
      <c r="D39" s="172">
        <f>VLOOKUP($C39,Sheet1!$C$6:$D$98,2,0)</f>
        <v>65000</v>
      </c>
      <c r="E39" s="173">
        <v>0.5</v>
      </c>
      <c r="F39" s="174">
        <f t="shared" ca="1" si="6"/>
        <v>0</v>
      </c>
      <c r="G39" s="175">
        <f>IFERROR(VLOOKUP($B39,Gà!C:J,8,0),IFERROR(VLOOKUP($B39,TVP!C:J,7,0),IFERROR(VLOOKUP($B39,Kitkool!C:J,8,0),IFERROR(VLOOKUP($B39,'La Cusina'!C:J,8,0),VLOOKUP($B39,'Quốc Nhân'!C:J,8,0)))))</f>
        <v>54.248202501723625</v>
      </c>
      <c r="H39" s="176">
        <f t="shared" ca="1" si="5"/>
        <v>0</v>
      </c>
      <c r="I39" s="198">
        <f t="shared" si="3"/>
        <v>0.19819638259783368</v>
      </c>
      <c r="J39" s="176">
        <f t="shared" ca="1" si="4"/>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32</v>
      </c>
      <c r="B40" s="171" t="s">
        <v>40</v>
      </c>
      <c r="C40" s="177" t="s">
        <v>78</v>
      </c>
      <c r="D40" s="172">
        <f>VLOOKUP($C40,Sheet1!$C$6:$D$98,2,0)</f>
        <v>44000</v>
      </c>
      <c r="E40" s="173">
        <v>0.5</v>
      </c>
      <c r="F40" s="174">
        <f t="shared" ca="1" si="6"/>
        <v>0</v>
      </c>
      <c r="G40" s="175">
        <f>IFERROR(VLOOKUP($B40,Gà!C:J,8,0),IFERROR(VLOOKUP($B40,TVP!C:J,7,0),IFERROR(VLOOKUP($B40,Kitkool!C:J,8,0),IFERROR(VLOOKUP($B40,'La Cusina'!C:J,8,0),VLOOKUP($B40,'Quốc Nhân'!C:J,8,0)))))</f>
        <v>36.667766505794674</v>
      </c>
      <c r="H40" s="176">
        <f t="shared" ca="1" si="5"/>
        <v>0</v>
      </c>
      <c r="I40" s="198">
        <f t="shared" si="3"/>
        <v>0.19996400634455336</v>
      </c>
      <c r="J40" s="176">
        <f t="shared" ca="1" si="4"/>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33</v>
      </c>
      <c r="B41" s="171" t="s">
        <v>43</v>
      </c>
      <c r="C41" s="170" t="s">
        <v>79</v>
      </c>
      <c r="D41" s="172">
        <f>VLOOKUP($C41,Sheet1!$C$6:$D$98,2,0)</f>
        <v>79000</v>
      </c>
      <c r="E41" s="173">
        <v>0.5</v>
      </c>
      <c r="F41" s="174">
        <f t="shared" ca="1" si="6"/>
        <v>0</v>
      </c>
      <c r="G41" s="175">
        <f>IFERROR(VLOOKUP($B41,Gà!C:J,8,0),IFERROR(VLOOKUP($B41,TVP!C:J,7,0),IFERROR(VLOOKUP($B41,Kitkool!C:J,8,0),IFERROR(VLOOKUP($B41,'La Cusina'!C:J,8,0),VLOOKUP($B41,'Quốc Nhân'!C:J,8,0)))))</f>
        <v>66.303358613217767</v>
      </c>
      <c r="H41" s="176">
        <f t="shared" ca="1" si="5"/>
        <v>0</v>
      </c>
      <c r="I41" s="198">
        <f t="shared" si="3"/>
        <v>0.19149318605183163</v>
      </c>
      <c r="J41" s="176">
        <f t="shared" ca="1" si="4"/>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34</v>
      </c>
      <c r="B42" s="171" t="s">
        <v>33</v>
      </c>
      <c r="C42" s="177" t="s">
        <v>80</v>
      </c>
      <c r="D42" s="172">
        <f>VLOOKUP($C42,Sheet1!$C$6:$D$98,2,0)</f>
        <v>66000</v>
      </c>
      <c r="E42" s="173">
        <v>0.5</v>
      </c>
      <c r="F42" s="174">
        <f t="shared" ca="1" si="6"/>
        <v>0</v>
      </c>
      <c r="G42" s="175">
        <f>IFERROR(VLOOKUP($B42,Gà!C:J,8,0),IFERROR(VLOOKUP($B42,TVP!C:J,7,0),IFERROR(VLOOKUP($B42,Kitkool!C:J,8,0),IFERROR(VLOOKUP($B42,'La Cusina'!C:J,8,0),VLOOKUP($B42,'Quốc Nhân'!C:J,8,0)))))</f>
        <v>55.755097015660397</v>
      </c>
      <c r="H42" s="176">
        <f t="shared" ca="1" si="5"/>
        <v>0</v>
      </c>
      <c r="I42" s="198">
        <f t="shared" si="3"/>
        <v>0.18374827652908632</v>
      </c>
      <c r="J42" s="176">
        <f t="shared" ca="1" si="4"/>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35</v>
      </c>
      <c r="B43" s="171" t="s">
        <v>47</v>
      </c>
      <c r="C43" s="170" t="s">
        <v>81</v>
      </c>
      <c r="D43" s="172">
        <f>VLOOKUP($C43,Sheet1!$C$6:$D$98,2,0)</f>
        <v>65000</v>
      </c>
      <c r="E43" s="173">
        <v>0.5</v>
      </c>
      <c r="F43" s="174">
        <f t="shared" ca="1" si="6"/>
        <v>0</v>
      </c>
      <c r="G43" s="175">
        <f>IFERROR(VLOOKUP($B43,Gà!C:J,8,0),IFERROR(VLOOKUP($B43,TVP!C:J,7,0),IFERROR(VLOOKUP($B43,Kitkool!C:J,8,0),IFERROR(VLOOKUP($B43,'La Cusina'!C:J,8,0),VLOOKUP($B43,'Quốc Nhân'!C:J,8,0)))))</f>
        <v>54.248202501723625</v>
      </c>
      <c r="H43" s="176">
        <f t="shared" ca="1" si="5"/>
        <v>0</v>
      </c>
      <c r="I43" s="198">
        <f t="shared" si="3"/>
        <v>0.19819638259783368</v>
      </c>
      <c r="J43" s="176">
        <f t="shared" ca="1" si="4"/>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36</v>
      </c>
      <c r="B44" s="171" t="s">
        <v>48</v>
      </c>
      <c r="C44" s="177" t="s">
        <v>82</v>
      </c>
      <c r="D44" s="172">
        <f>VLOOKUP($C44,Sheet1!$C$6:$D$98,2,0)</f>
        <v>54000</v>
      </c>
      <c r="E44" s="173">
        <v>0.5</v>
      </c>
      <c r="F44" s="174">
        <f t="shared" ca="1" si="6"/>
        <v>0</v>
      </c>
      <c r="G44" s="175">
        <f>IFERROR(VLOOKUP($B44,Gà!C:J,8,0),IFERROR(VLOOKUP($B44,TVP!C:J,7,0),IFERROR(VLOOKUP($B44,Kitkool!C:J,8,0),IFERROR(VLOOKUP($B44,'La Cusina'!C:J,8,0),VLOOKUP($B44,'Quốc Nhân'!C:J,8,0)))))</f>
        <v>45.206835418103026</v>
      </c>
      <c r="H44" s="176">
        <f t="shared" ca="1" si="5"/>
        <v>0</v>
      </c>
      <c r="I44" s="198">
        <f t="shared" si="3"/>
        <v>0.19450962449753262</v>
      </c>
      <c r="J44" s="176">
        <f t="shared" ca="1" si="4"/>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37</v>
      </c>
      <c r="B45" s="171" t="s">
        <v>42</v>
      </c>
      <c r="C45" s="170" t="s">
        <v>83</v>
      </c>
      <c r="D45" s="172">
        <f>VLOOKUP($C45,Sheet1!$C$6:$D$98,2,0)</f>
        <v>59000</v>
      </c>
      <c r="E45" s="173">
        <v>0.5</v>
      </c>
      <c r="F45" s="174">
        <f t="shared" ca="1" si="6"/>
        <v>0</v>
      </c>
      <c r="G45" s="175">
        <f>IFERROR(VLOOKUP($B45,Gà!C:J,8,0),IFERROR(VLOOKUP($B45,TVP!C:J,7,0),IFERROR(VLOOKUP($B45,Kitkool!C:J,8,0),IFERROR(VLOOKUP($B45,'La Cusina'!C:J,8,0),VLOOKUP($B45,'Quốc Nhân'!C:J,8,0)))))</f>
        <v>49.225220788601071</v>
      </c>
      <c r="H45" s="176">
        <f t="shared" ca="1" si="5"/>
        <v>0</v>
      </c>
      <c r="I45" s="198">
        <f t="shared" si="3"/>
        <v>0.19857258240398679</v>
      </c>
      <c r="J45" s="176">
        <f t="shared" ca="1" si="4"/>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38</v>
      </c>
      <c r="B46" s="171" t="s">
        <v>255</v>
      </c>
      <c r="C46" s="177" t="s">
        <v>84</v>
      </c>
      <c r="D46" s="172">
        <f>VLOOKUP($C46,Sheet1!$C$6:$D$98,2,0)</f>
        <v>40000</v>
      </c>
      <c r="E46" s="173">
        <v>0.5</v>
      </c>
      <c r="F46" s="174">
        <f t="shared" ca="1" si="6"/>
        <v>0</v>
      </c>
      <c r="G46" s="175">
        <f>IFERROR(VLOOKUP($B46,Gà!C:J,8,0),IFERROR(VLOOKUP($B46,TVP!C:J,7,0),IFERROR(VLOOKUP($B46,Kitkool!C:J,8,0),IFERROR(VLOOKUP($B46,'La Cusina'!C:J,8,0),VLOOKUP($B46,'Quốc Nhân'!C:J,8,0)))))</f>
        <v>31.828136685731504</v>
      </c>
      <c r="H46" s="176">
        <f t="shared" ca="1" si="5"/>
        <v>0</v>
      </c>
      <c r="I46" s="198">
        <f t="shared" si="3"/>
        <v>0.25674966131246779</v>
      </c>
      <c r="J46" s="176">
        <f t="shared" ca="1" si="4"/>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39</v>
      </c>
      <c r="B47" s="171" t="s">
        <v>120</v>
      </c>
      <c r="C47" s="170" t="s">
        <v>85</v>
      </c>
      <c r="D47" s="172">
        <f>VLOOKUP($C47,Sheet1!$C$6:$D$98,2,0)</f>
        <v>35000</v>
      </c>
      <c r="E47" s="173">
        <v>0.5</v>
      </c>
      <c r="F47" s="174">
        <f t="shared" ca="1" si="6"/>
        <v>0</v>
      </c>
      <c r="G47" s="175">
        <f>IFERROR(VLOOKUP($B47,Gà!C:J,8,0),IFERROR(VLOOKUP($B47,TVP!C:J,7,0),IFERROR(VLOOKUP($B47,Kitkool!C:J,8,0),IFERROR(VLOOKUP($B47,'La Cusina'!C:J,8,0),VLOOKUP($B47,'Quốc Nhân'!C:J,8,0)))))</f>
        <v>22.074352862684751</v>
      </c>
      <c r="H47" s="176">
        <f t="shared" ca="1" si="5"/>
        <v>0</v>
      </c>
      <c r="I47" s="198">
        <f t="shared" si="3"/>
        <v>0.58555044479538099</v>
      </c>
      <c r="J47" s="176">
        <f t="shared" ca="1" si="4"/>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40</v>
      </c>
      <c r="B48" s="171" t="s">
        <v>222</v>
      </c>
      <c r="C48" s="177" t="s">
        <v>86</v>
      </c>
      <c r="D48" s="172">
        <f>VLOOKUP($C48,Sheet1!$C$6:$D$98,2,0)</f>
        <v>105000</v>
      </c>
      <c r="E48" s="173">
        <v>0.5</v>
      </c>
      <c r="F48" s="174">
        <f t="shared" ca="1" si="6"/>
        <v>0.5</v>
      </c>
      <c r="G48" s="175">
        <f>IFERROR(VLOOKUP($B48,Gà!C:J,8,0),IFERROR(VLOOKUP($B48,TVP!C:J,7,0),IFERROR(VLOOKUP($B48,Kitkool!C:J,8,0),IFERROR(VLOOKUP($B48,'La Cusina'!C:J,8,0),VLOOKUP($B48,'Quốc Nhân'!C:J,8,0)))))</f>
        <v>98.777777777777771</v>
      </c>
      <c r="H48" s="176">
        <f t="shared" ca="1" si="5"/>
        <v>3111.1111111111168</v>
      </c>
      <c r="I48" s="198">
        <f t="shared" si="3"/>
        <v>6.2992125984252079E-2</v>
      </c>
      <c r="J48" s="176">
        <f t="shared" ca="1" si="4"/>
        <v>49388.888888888883</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0.5</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41</v>
      </c>
      <c r="B49" s="171" t="s">
        <v>123</v>
      </c>
      <c r="C49" s="170" t="s">
        <v>87</v>
      </c>
      <c r="D49" s="172">
        <f>VLOOKUP($C49,Sheet1!$C$6:$D$98,2,0)</f>
        <v>42000</v>
      </c>
      <c r="E49" s="173">
        <v>0.5</v>
      </c>
      <c r="F49" s="174">
        <f t="shared" ca="1" si="6"/>
        <v>0</v>
      </c>
      <c r="G49" s="175">
        <f>IFERROR(VLOOKUP($B49,Gà!C:J,8,0),IFERROR(VLOOKUP($B49,TVP!C:J,7,0),IFERROR(VLOOKUP($B49,Kitkool!C:J,8,0),IFERROR(VLOOKUP($B49,'La Cusina'!C:J,8,0),VLOOKUP($B49,'Quốc Nhân'!C:J,8,0)))))</f>
        <v>38.341966899133169</v>
      </c>
      <c r="H49" s="176">
        <f t="shared" ca="1" si="5"/>
        <v>0</v>
      </c>
      <c r="I49" s="198">
        <f t="shared" si="3"/>
        <v>9.5405462909351479E-2</v>
      </c>
      <c r="J49" s="176">
        <f t="shared" ca="1" si="4"/>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42</v>
      </c>
      <c r="B50" s="171" t="s">
        <v>126</v>
      </c>
      <c r="C50" s="177" t="s">
        <v>88</v>
      </c>
      <c r="D50" s="172">
        <f>VLOOKUP($C50,Sheet1!$C$6:$D$98,2,0)</f>
        <v>35000</v>
      </c>
      <c r="E50" s="173">
        <v>0.5</v>
      </c>
      <c r="F50" s="174">
        <f t="shared" ca="1" si="6"/>
        <v>0</v>
      </c>
      <c r="G50" s="175">
        <f>IFERROR(VLOOKUP($B50,Gà!C:J,8,0),IFERROR(VLOOKUP($B50,TVP!C:J,7,0),IFERROR(VLOOKUP($B50,Kitkool!C:J,8,0),IFERROR(VLOOKUP($B50,'La Cusina'!C:J,8,0),VLOOKUP($B50,'Quốc Nhân'!C:J,8,0)))))</f>
        <v>27.808015993160794</v>
      </c>
      <c r="H50" s="176">
        <f t="shared" ca="1" si="5"/>
        <v>0</v>
      </c>
      <c r="I50" s="198">
        <f t="shared" si="3"/>
        <v>0.25862988602308157</v>
      </c>
      <c r="J50" s="176">
        <f t="shared" ca="1" si="4"/>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43</v>
      </c>
      <c r="B51" s="171" t="s">
        <v>141</v>
      </c>
      <c r="C51" s="170" t="s">
        <v>89</v>
      </c>
      <c r="D51" s="172">
        <f>VLOOKUP($C51,Sheet1!$C$6:$D$98,2,0)</f>
        <v>69000</v>
      </c>
      <c r="E51" s="173">
        <v>0.5</v>
      </c>
      <c r="F51" s="174">
        <f t="shared" ca="1" si="6"/>
        <v>0</v>
      </c>
      <c r="G51" s="175">
        <f>IFERROR(VLOOKUP($B51,Gà!C:J,8,0),IFERROR(VLOOKUP($B51,TVP!C:J,7,0),IFERROR(VLOOKUP($B51,Kitkool!C:J,8,0),IFERROR(VLOOKUP($B51,'La Cusina'!C:J,8,0),VLOOKUP($B51,'Quốc Nhân'!C:J,8,0)))))</f>
        <v>58.266587872221677</v>
      </c>
      <c r="H51" s="176">
        <f t="shared" ca="1" si="5"/>
        <v>0</v>
      </c>
      <c r="I51" s="198">
        <f t="shared" si="3"/>
        <v>0.1842121277346227</v>
      </c>
      <c r="J51" s="176">
        <f t="shared" ca="1" si="4"/>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44</v>
      </c>
      <c r="B52" s="171" t="s">
        <v>143</v>
      </c>
      <c r="C52" s="177" t="s">
        <v>90</v>
      </c>
      <c r="D52" s="172">
        <f>VLOOKUP($C52,Sheet1!$C$6:$D$98,2,0)</f>
        <v>76000</v>
      </c>
      <c r="E52" s="173">
        <v>0.5</v>
      </c>
      <c r="F52" s="174">
        <f t="shared" ca="1" si="6"/>
        <v>0</v>
      </c>
      <c r="G52" s="175">
        <f>IFERROR(VLOOKUP($B52,Gà!C:J,8,0),IFERROR(VLOOKUP($B52,TVP!C:J,7,0),IFERROR(VLOOKUP($B52,Kitkool!C:J,8,0),IFERROR(VLOOKUP($B52,'La Cusina'!C:J,8,0),VLOOKUP($B52,'Quốc Nhân'!C:J,8,0)))))</f>
        <v>63.289569585344232</v>
      </c>
      <c r="H52" s="176">
        <f t="shared" ca="1" si="5"/>
        <v>0</v>
      </c>
      <c r="I52" s="198">
        <f t="shared" si="3"/>
        <v>0.20082978124090589</v>
      </c>
      <c r="J52" s="176">
        <f t="shared" ca="1" si="4"/>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45</v>
      </c>
      <c r="B53" s="171" t="s">
        <v>294</v>
      </c>
      <c r="C53" s="170" t="s">
        <v>91</v>
      </c>
      <c r="D53" s="172">
        <f>VLOOKUP($C53,Sheet1!$C$6:$D$98,2,0)</f>
        <v>35000</v>
      </c>
      <c r="E53" s="173">
        <v>0.5</v>
      </c>
      <c r="F53" s="174">
        <f t="shared" ca="1" si="6"/>
        <v>1</v>
      </c>
      <c r="G53" s="175">
        <f>IFERROR(VLOOKUP($B53,Gà!C:J,8,0),IFERROR(VLOOKUP($B53,TVP!C:J,7,0),IFERROR(VLOOKUP($B53,Kitkool!C:J,8,0),IFERROR(VLOOKUP($B53,'La Cusina'!C:J,8,0),VLOOKUP($B53,'Quốc Nhân'!C:J,8,0)))))</f>
        <v>31.314779642413253</v>
      </c>
      <c r="H53" s="176">
        <f t="shared" ca="1" si="5"/>
        <v>3685.2203575867461</v>
      </c>
      <c r="I53" s="198">
        <f t="shared" si="3"/>
        <v>0.1176831004295309</v>
      </c>
      <c r="J53" s="176">
        <f t="shared" ca="1" si="4"/>
        <v>31314.779642413254</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1</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46</v>
      </c>
      <c r="B54" s="179" t="s">
        <v>151</v>
      </c>
      <c r="C54" s="170" t="s">
        <v>92</v>
      </c>
      <c r="D54" s="172">
        <f>VLOOKUP($C54,Sheet1!$C$6:$D$98,2,0)</f>
        <v>49000</v>
      </c>
      <c r="E54" s="173">
        <v>1</v>
      </c>
      <c r="F54" s="174">
        <f t="shared" ca="1" si="6"/>
        <v>0</v>
      </c>
      <c r="G54" s="175">
        <f>IFERROR(VLOOKUP($B54,Gà!C:J,8,0),IFERROR(VLOOKUP($B54,TVP!C:J,7,0),IFERROR(VLOOKUP($B54,Kitkool!C:J,8,0),IFERROR(VLOOKUP($B54,'La Cusina'!C:J,8,0),VLOOKUP($B54,'Quốc Nhân'!C:J,8,0)))))</f>
        <v>40.041849378823507</v>
      </c>
      <c r="H54" s="176">
        <f t="shared" ca="1" si="5"/>
        <v>0</v>
      </c>
      <c r="I54" s="198">
        <f t="shared" si="3"/>
        <v>0.22371970226515292</v>
      </c>
      <c r="J54" s="176">
        <f t="shared" ca="1" si="4"/>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47</v>
      </c>
      <c r="B55" s="179" t="s">
        <v>149</v>
      </c>
      <c r="C55" s="170" t="s">
        <v>110</v>
      </c>
      <c r="D55" s="172">
        <f>VLOOKUP($C55,Sheet1!$C$6:$D$98,2,0)</f>
        <v>80000</v>
      </c>
      <c r="E55" s="173">
        <v>0.5</v>
      </c>
      <c r="F55" s="174">
        <f t="shared" ca="1" si="6"/>
        <v>0</v>
      </c>
      <c r="G55" s="175">
        <f>IFERROR(VLOOKUP($B55,Gà!C:J,8,0),IFERROR(VLOOKUP($B55,TVP!C:J,7,0),IFERROR(VLOOKUP($B55,Kitkool!C:J,8,0),IFERROR(VLOOKUP($B55,'La Cusina'!C:J,8,0),VLOOKUP($B55,'Quốc Nhân'!C:J,8,0)))))</f>
        <v>74.436771281146264</v>
      </c>
      <c r="H55" s="176">
        <f t="shared" ca="1" si="5"/>
        <v>0</v>
      </c>
      <c r="I55" s="198">
        <f t="shared" si="3"/>
        <v>7.4737641398248122E-2</v>
      </c>
      <c r="J55" s="176">
        <f t="shared" ca="1" si="4"/>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48</v>
      </c>
      <c r="B56" s="179" t="s">
        <v>253</v>
      </c>
      <c r="C56" s="170" t="s">
        <v>121</v>
      </c>
      <c r="D56" s="172">
        <f>VLOOKUP($C56,Sheet1!$C$6:$D$98,2,0)</f>
        <v>44000</v>
      </c>
      <c r="E56" s="173">
        <v>0.5</v>
      </c>
      <c r="F56" s="174">
        <f t="shared" ca="1" si="6"/>
        <v>0</v>
      </c>
      <c r="G56" s="175">
        <f>IFERROR(VLOOKUP($B56,Gà!C:J,8,0),IFERROR(VLOOKUP($B56,TVP!C:J,7,0),IFERROR(VLOOKUP($B56,Kitkool!C:J,8,0),IFERROR(VLOOKUP($B56,'La Cusina'!C:J,8,0),VLOOKUP($B56,'Quốc Nhân'!C:J,8,0)))))</f>
        <v>40.041849378823507</v>
      </c>
      <c r="H56" s="176">
        <f t="shared" ca="1" si="5"/>
        <v>0</v>
      </c>
      <c r="I56" s="198">
        <f t="shared" si="3"/>
        <v>9.8850344891157738E-2</v>
      </c>
      <c r="J56" s="176">
        <f t="shared" ca="1" si="4"/>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49</v>
      </c>
      <c r="B57" s="179" t="s">
        <v>156</v>
      </c>
      <c r="C57" s="170" t="s">
        <v>122</v>
      </c>
      <c r="D57" s="172">
        <f>VLOOKUP($C57,Sheet1!$C$6:$D$98,2,0)</f>
        <v>35000</v>
      </c>
      <c r="E57" s="173">
        <v>0.5</v>
      </c>
      <c r="F57" s="174">
        <f t="shared" ca="1" si="6"/>
        <v>0</v>
      </c>
      <c r="G57" s="175">
        <f>IFERROR(VLOOKUP($B57,Gà!C:J,8,0),IFERROR(VLOOKUP($B57,TVP!C:J,7,0),IFERROR(VLOOKUP($B57,Kitkool!C:J,8,0),IFERROR(VLOOKUP($B57,'La Cusina'!C:J,8,0),VLOOKUP($B57,'Quốc Nhân'!C:J,8,0)))))</f>
        <v>30.288065555776754</v>
      </c>
      <c r="H57" s="176">
        <f t="shared" ca="1" si="5"/>
        <v>0</v>
      </c>
      <c r="I57" s="198">
        <f t="shared" si="3"/>
        <v>0.15557066315595569</v>
      </c>
      <c r="J57" s="176">
        <f t="shared" ca="1" si="4"/>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50</v>
      </c>
      <c r="B58" s="179" t="s">
        <v>157</v>
      </c>
      <c r="C58" s="170" t="s">
        <v>124</v>
      </c>
      <c r="D58" s="172">
        <f>VLOOKUP($C58,Sheet1!$C$6:$D$98,2,0)</f>
        <v>38000</v>
      </c>
      <c r="E58" s="173">
        <v>0.5</v>
      </c>
      <c r="F58" s="174">
        <f t="shared" ca="1" si="6"/>
        <v>0</v>
      </c>
      <c r="G58" s="175">
        <f>IFERROR(VLOOKUP($B58,Gà!C:J,8,0),IFERROR(VLOOKUP($B58,TVP!C:J,7,0),IFERROR(VLOOKUP($B58,Kitkool!C:J,8,0),IFERROR(VLOOKUP($B58,'La Cusina'!C:J,8,0),VLOOKUP($B58,'Quốc Nhân'!C:J,8,0)))))</f>
        <v>32.341493729049752</v>
      </c>
      <c r="H58" s="176">
        <f t="shared" ca="1" si="5"/>
        <v>0</v>
      </c>
      <c r="I58" s="198">
        <f t="shared" si="3"/>
        <v>0.17496119129054533</v>
      </c>
      <c r="J58" s="176">
        <f t="shared" ca="1" si="4"/>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51</v>
      </c>
      <c r="B59" s="179" t="s">
        <v>163</v>
      </c>
      <c r="C59" s="170" t="s">
        <v>136</v>
      </c>
      <c r="D59" s="172">
        <f>VLOOKUP($C59,Sheet1!$C$6:$D$98,2,0)</f>
        <v>70000</v>
      </c>
      <c r="E59" s="173">
        <v>0.5</v>
      </c>
      <c r="F59" s="174">
        <f t="shared" ca="1" si="6"/>
        <v>0</v>
      </c>
      <c r="G59" s="175">
        <f>IFERROR(VLOOKUP($B59,Gà!C:J,8,0),IFERROR(VLOOKUP($B59,TVP!C:J,7,0),IFERROR(VLOOKUP($B59,Kitkool!C:J,8,0),IFERROR(VLOOKUP($B59,'La Cusina'!C:J,8,0),VLOOKUP($B59,'Quốc Nhân'!C:J,8,0)))))</f>
        <v>61.347147038613073</v>
      </c>
      <c r="H59" s="176">
        <f t="shared" ca="1" si="5"/>
        <v>0</v>
      </c>
      <c r="I59" s="198">
        <f t="shared" si="3"/>
        <v>0.14104735719724104</v>
      </c>
      <c r="J59" s="176">
        <f t="shared" ca="1" si="4"/>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52</v>
      </c>
      <c r="B60" s="179" t="s">
        <v>176</v>
      </c>
      <c r="C60" s="170" t="s">
        <v>142</v>
      </c>
      <c r="D60" s="172">
        <f>VLOOKUP($C60,Sheet1!$C$6:$D$98,2,0)</f>
        <v>54000</v>
      </c>
      <c r="E60" s="173">
        <v>0.5</v>
      </c>
      <c r="F60" s="174">
        <f t="shared" ca="1" si="6"/>
        <v>1</v>
      </c>
      <c r="G60" s="175">
        <f>IFERROR(VLOOKUP($B60,Gà!C:J,8,0),IFERROR(VLOOKUP($B60,TVP!C:J,7,0),IFERROR(VLOOKUP($B60,Kitkool!C:J,8,0),IFERROR(VLOOKUP($B60,'La Cusina'!C:J,8,0),VLOOKUP($B60,'Quốc Nhân'!C:J,8,0)))))</f>
        <v>44.987907828316253</v>
      </c>
      <c r="H60" s="176">
        <f t="shared" ca="1" si="5"/>
        <v>9012.0921716837474</v>
      </c>
      <c r="I60" s="198">
        <f t="shared" si="3"/>
        <v>0.20032254458411081</v>
      </c>
      <c r="J60" s="176">
        <f t="shared" ca="1" si="4"/>
        <v>44987.907828316253</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1</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53</v>
      </c>
      <c r="B61" s="179" t="s">
        <v>179</v>
      </c>
      <c r="C61" s="170" t="s">
        <v>144</v>
      </c>
      <c r="D61" s="172">
        <f>VLOOKUP($C61,Sheet1!$C$6:$D$98,2,0)</f>
        <v>47000</v>
      </c>
      <c r="E61" s="173">
        <v>0.5</v>
      </c>
      <c r="F61" s="174">
        <f t="shared" ca="1" si="6"/>
        <v>0</v>
      </c>
      <c r="G61" s="175">
        <f>IFERROR(VLOOKUP($B61,Gà!C:J,8,0),IFERROR(VLOOKUP($B61,TVP!C:J,7,0),IFERROR(VLOOKUP($B61,Kitkool!C:J,8,0),IFERROR(VLOOKUP($B61,'La Cusina'!C:J,8,0),VLOOKUP($B61,'Quốc Nhân'!C:J,8,0)))))</f>
        <v>43.635348682051252</v>
      </c>
      <c r="H61" s="176">
        <f t="shared" ca="1" si="5"/>
        <v>0</v>
      </c>
      <c r="I61" s="198">
        <f t="shared" si="3"/>
        <v>7.7108386195450462E-2</v>
      </c>
      <c r="J61" s="176">
        <f t="shared" ca="1" si="4"/>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54</v>
      </c>
      <c r="B62" s="179" t="s">
        <v>182</v>
      </c>
      <c r="C62" s="170" t="s">
        <v>150</v>
      </c>
      <c r="D62" s="172">
        <f>VLOOKUP($C62,Sheet1!$C$6:$D$98,2,0)</f>
        <v>50000</v>
      </c>
      <c r="E62" s="173">
        <v>0.5</v>
      </c>
      <c r="F62" s="174">
        <f t="shared" ca="1" si="6"/>
        <v>0</v>
      </c>
      <c r="G62" s="175">
        <f>IFERROR(VLOOKUP($B62,Gà!C:J,8,0),IFERROR(VLOOKUP($B62,TVP!C:J,7,0),IFERROR(VLOOKUP($B62,Kitkool!C:J,8,0),IFERROR(VLOOKUP($B62,'La Cusina'!C:J,8,0),VLOOKUP($B62,'Quốc Nhân'!C:J,8,0)))))</f>
        <v>44.662062768687754</v>
      </c>
      <c r="H62" s="176">
        <f t="shared" ca="1" si="5"/>
        <v>0</v>
      </c>
      <c r="I62" s="198">
        <f t="shared" si="3"/>
        <v>0.11951837645650865</v>
      </c>
      <c r="J62" s="176">
        <f t="shared" ca="1" si="4"/>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55</v>
      </c>
      <c r="B63" s="179" t="s">
        <v>181</v>
      </c>
      <c r="C63" s="170" t="s">
        <v>152</v>
      </c>
      <c r="D63" s="172">
        <f>VLOOKUP($C63,Sheet1!$C$6:$D$98,2,0)</f>
        <v>42000</v>
      </c>
      <c r="E63" s="173">
        <v>0.5</v>
      </c>
      <c r="F63" s="174">
        <f t="shared" ca="1" si="6"/>
        <v>0</v>
      </c>
      <c r="G63" s="175">
        <f>IFERROR(VLOOKUP($B63,Gà!C:J,8,0),IFERROR(VLOOKUP($B63,TVP!C:J,7,0),IFERROR(VLOOKUP($B63,Kitkool!C:J,8,0),IFERROR(VLOOKUP($B63,'La Cusina'!C:J,8,0),VLOOKUP($B63,'Quốc Nhân'!C:J,8,0)))))</f>
        <v>37.31951444848962</v>
      </c>
      <c r="H63" s="176">
        <f t="shared" ca="1" si="5"/>
        <v>0</v>
      </c>
      <c r="I63" s="198">
        <f t="shared" si="3"/>
        <v>0.12541657148221019</v>
      </c>
      <c r="J63" s="176">
        <f t="shared" ca="1" si="4"/>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56</v>
      </c>
      <c r="B64" s="179" t="s">
        <v>213</v>
      </c>
      <c r="C64" s="170" t="s">
        <v>154</v>
      </c>
      <c r="D64" s="172">
        <f>VLOOKUP($C64,Sheet1!$C$6:$D$98,2,0)</f>
        <v>16000</v>
      </c>
      <c r="E64" s="173">
        <v>0.3</v>
      </c>
      <c r="F64" s="174">
        <f t="shared" ca="1" si="6"/>
        <v>3</v>
      </c>
      <c r="G64" s="175">
        <f>IFERROR(VLOOKUP($B64,Gà!C:J,8,0),IFERROR(VLOOKUP($B64,TVP!C:J,7,0),IFERROR(VLOOKUP($B64,Kitkool!C:J,8,0),IFERROR(VLOOKUP($B64,'La Cusina'!C:J,8,0),VLOOKUP($B64,'Quốc Nhân'!C:J,8,0)))))</f>
        <v>12.269429407722615</v>
      </c>
      <c r="H64" s="176">
        <f t="shared" ca="1" si="5"/>
        <v>11191.711776832155</v>
      </c>
      <c r="I64" s="198">
        <f t="shared" si="3"/>
        <v>0.30405412251113262</v>
      </c>
      <c r="J64" s="176">
        <f t="shared" ca="1" si="4"/>
        <v>36808.288223167852</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2</v>
      </c>
      <c r="S64" s="2">
        <f ca="1">IFERROR(SUMIFS(INDIRECT("'Thanh Toán ("&amp;S$3&amp;")'!$F:$F"),INDIRECT("'Thanh Toán ("&amp;S$3&amp;")'!$D:$D"),'Tổng Đơn'!$B64),0)</f>
        <v>0</v>
      </c>
      <c r="T64" s="2">
        <f ca="1">IFERROR(SUMIFS(INDIRECT("'Thanh Toán ("&amp;T$3&amp;")'!$F:$F"),INDIRECT("'Thanh Toán ("&amp;T$3&amp;")'!$D:$D"),'Tổng Đơn'!$B64),0)</f>
        <v>1</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57</v>
      </c>
      <c r="B65" s="179" t="s">
        <v>205</v>
      </c>
      <c r="C65" s="170" t="s">
        <v>155</v>
      </c>
      <c r="D65" s="172">
        <f>VLOOKUP($C65,Sheet1!$C$6:$D$98,2,0)</f>
        <v>25000</v>
      </c>
      <c r="E65" s="173">
        <v>0.5</v>
      </c>
      <c r="F65" s="174">
        <f t="shared" ca="1" si="6"/>
        <v>5</v>
      </c>
      <c r="G65" s="175">
        <f>IFERROR(VLOOKUP($B65,Gà!C:J,8,0),IFERROR(VLOOKUP($B65,TVP!C:J,7,0),IFERROR(VLOOKUP($B65,Kitkool!C:J,8,0),IFERROR(VLOOKUP($B65,'La Cusina'!C:J,8,0),VLOOKUP($B65,'Quốc Nhân'!C:J,8,0)))))</f>
        <v>19.443849375872631</v>
      </c>
      <c r="H65" s="176">
        <f t="shared" ca="1" si="5"/>
        <v>27780.753120636837</v>
      </c>
      <c r="I65" s="198">
        <f t="shared" si="3"/>
        <v>0.28575363430977041</v>
      </c>
      <c r="J65" s="176">
        <f t="shared" ca="1" si="4"/>
        <v>97219.246879363156</v>
      </c>
      <c r="K65" s="38"/>
      <c r="L65" s="2">
        <f ca="1">IFERROR(SUMIFS(INDIRECT("'Thanh Toán ("&amp;L$3&amp;")'!$F:$F"),INDIRECT("'Thanh Toán ("&amp;L$3&amp;")'!$D:$D"),'Tổng Đơn'!$B65),0)</f>
        <v>1</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1</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1</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2</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58</v>
      </c>
      <c r="B66" s="179" t="s">
        <v>206</v>
      </c>
      <c r="C66" s="170" t="s">
        <v>158</v>
      </c>
      <c r="D66" s="172">
        <f>VLOOKUP($C66,Sheet1!$C$6:$D$98,2,0)</f>
        <v>26000</v>
      </c>
      <c r="E66" s="173">
        <v>0.5</v>
      </c>
      <c r="F66" s="174">
        <f t="shared" ca="1" si="6"/>
        <v>0</v>
      </c>
      <c r="G66" s="175">
        <f>IFERROR(VLOOKUP($B66,Gà!C:J,8,0),IFERROR(VLOOKUP($B66,TVP!C:J,7,0),IFERROR(VLOOKUP($B66,Kitkool!C:J,8,0),IFERROR(VLOOKUP($B66,'La Cusina'!C:J,8,0),VLOOKUP($B66,'Quốc Nhân'!C:J,8,0)))))</f>
        <v>21.490570362806594</v>
      </c>
      <c r="H66" s="176">
        <f t="shared" ca="1" si="5"/>
        <v>0</v>
      </c>
      <c r="I66" s="198">
        <f t="shared" si="3"/>
        <v>0.20983294352195547</v>
      </c>
      <c r="J66" s="176">
        <f t="shared" ca="1" si="4"/>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59</v>
      </c>
      <c r="B67" s="179" t="s">
        <v>207</v>
      </c>
      <c r="C67" s="170" t="s">
        <v>159</v>
      </c>
      <c r="D67" s="172">
        <f>VLOOKUP($C67,Sheet1!$C$6:$D$98,2,0)</f>
        <v>28000</v>
      </c>
      <c r="E67" s="173">
        <v>0.5</v>
      </c>
      <c r="F67" s="174">
        <f t="shared" ca="1" si="6"/>
        <v>3</v>
      </c>
      <c r="G67" s="175">
        <f>IFERROR(VLOOKUP($B67,Gà!C:J,8,0),IFERROR(VLOOKUP($B67,TVP!C:J,7,0),IFERROR(VLOOKUP($B67,Kitkool!C:J,8,0),IFERROR(VLOOKUP($B67,'La Cusina'!C:J,8,0),VLOOKUP($B67,'Quốc Nhân'!C:J,8,0)))))</f>
        <v>21.490570362806594</v>
      </c>
      <c r="H67" s="176">
        <f t="shared" ca="1" si="5"/>
        <v>19528.288911580221</v>
      </c>
      <c r="I67" s="198">
        <f t="shared" si="3"/>
        <v>0.30289701610056752</v>
      </c>
      <c r="J67" s="176">
        <f t="shared" ca="1" si="4"/>
        <v>64471.711088419783</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1</v>
      </c>
      <c r="V67" s="2">
        <f ca="1">IFERROR(SUMIFS(INDIRECT("'Thanh Toán ("&amp;V$3&amp;")'!$F:$F"),INDIRECT("'Thanh Toán ("&amp;V$3&amp;")'!$D:$D"),'Tổng Đơn'!$B67),0)</f>
        <v>1</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60</v>
      </c>
      <c r="B68" s="179" t="s">
        <v>208</v>
      </c>
      <c r="C68" s="170" t="s">
        <v>164</v>
      </c>
      <c r="D68" s="172">
        <f>VLOOKUP($C68,Sheet1!$C$6:$D$98,2,0)</f>
        <v>28000</v>
      </c>
      <c r="E68" s="173">
        <v>0.5</v>
      </c>
      <c r="F68" s="174">
        <f t="shared" ca="1" si="6"/>
        <v>2</v>
      </c>
      <c r="G68" s="175">
        <f>IFERROR(VLOOKUP($B68,Gà!C:J,8,0),IFERROR(VLOOKUP($B68,TVP!C:J,7,0),IFERROR(VLOOKUP($B68,Kitkool!C:J,8,0),IFERROR(VLOOKUP($B68,'La Cusina'!C:J,8,0),VLOOKUP($B68,'Quốc Nhân'!C:J,8,0)))))</f>
        <v>20.467209869339612</v>
      </c>
      <c r="H68" s="176">
        <f t="shared" ca="1" si="5"/>
        <v>15065.580261320778</v>
      </c>
      <c r="I68" s="198">
        <f t="shared" si="3"/>
        <v>0.36804186690559604</v>
      </c>
      <c r="J68" s="176">
        <f t="shared" ca="1" si="4"/>
        <v>40934.419738679222</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1</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61</v>
      </c>
      <c r="B69" s="179" t="s">
        <v>209</v>
      </c>
      <c r="C69" s="170" t="s">
        <v>177</v>
      </c>
      <c r="D69" s="172">
        <f>VLOOKUP($C69,Sheet1!$C$6:$D$98,2,0)</f>
        <v>26000</v>
      </c>
      <c r="E69" s="173">
        <v>0.5</v>
      </c>
      <c r="F69" s="174">
        <f t="shared" ref="F69:F74" ca="1" si="7">SUM(L69:BR69)</f>
        <v>1</v>
      </c>
      <c r="G69" s="175">
        <f>IFERROR(VLOOKUP($B69,Gà!C:J,8,0),IFERROR(VLOOKUP($B69,TVP!C:J,7,0),IFERROR(VLOOKUP($B69,Kitkool!C:J,8,0),IFERROR(VLOOKUP($B69,'La Cusina'!C:J,8,0),VLOOKUP($B69,'Quốc Nhân'!C:J,8,0)))))</f>
        <v>20.932373730006422</v>
      </c>
      <c r="H69" s="176">
        <f t="shared" ca="1" si="5"/>
        <v>5067.6262699935796</v>
      </c>
      <c r="I69" s="198">
        <f t="shared" si="3"/>
        <v>0.24209515534920767</v>
      </c>
      <c r="J69" s="176">
        <f t="shared" ca="1" si="4"/>
        <v>20932.37373000642</v>
      </c>
      <c r="K69" s="38"/>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62</v>
      </c>
      <c r="B70" s="179" t="s">
        <v>210</v>
      </c>
      <c r="C70" s="170" t="s">
        <v>180</v>
      </c>
      <c r="D70" s="172">
        <f>VLOOKUP($C70,Sheet1!$C$6:$D$98,2,0)</f>
        <v>35000</v>
      </c>
      <c r="E70" s="173">
        <v>0.5</v>
      </c>
      <c r="F70" s="174">
        <f t="shared" ca="1" si="7"/>
        <v>3</v>
      </c>
      <c r="G70" s="175">
        <f>IFERROR(VLOOKUP($B70,Gà!C:J,8,0),IFERROR(VLOOKUP($B70,TVP!C:J,7,0),IFERROR(VLOOKUP($B70,Kitkool!C:J,8,0),IFERROR(VLOOKUP($B70,'La Cusina'!C:J,8,0),VLOOKUP($B70,'Quốc Nhân'!C:J,8,0)))))</f>
        <v>29.7704870826758</v>
      </c>
      <c r="H70" s="176">
        <f t="shared" ca="1" si="5"/>
        <v>15688.538751972606</v>
      </c>
      <c r="I70" s="198">
        <f t="shared" si="3"/>
        <v>0.17566097937199654</v>
      </c>
      <c r="J70" s="176">
        <f t="shared" ca="1" si="4"/>
        <v>89311.461248027394</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3</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0">
        <v>63</v>
      </c>
      <c r="B71" s="179" t="s">
        <v>211</v>
      </c>
      <c r="C71" s="170" t="s">
        <v>183</v>
      </c>
      <c r="D71" s="172">
        <f>VLOOKUP($C71,Sheet1!$C$6:$D$98,2,0)</f>
        <v>42000</v>
      </c>
      <c r="E71" s="173">
        <v>0.5</v>
      </c>
      <c r="F71" s="174">
        <f t="shared" ca="1" si="7"/>
        <v>0</v>
      </c>
      <c r="G71" s="175">
        <f>IFERROR(VLOOKUP($B71,Gà!C:J,8,0),IFERROR(VLOOKUP($B71,TVP!C:J,7,0),IFERROR(VLOOKUP($B71,Kitkool!C:J,8,0),IFERROR(VLOOKUP($B71,'La Cusina'!C:J,8,0),VLOOKUP($B71,'Quốc Nhân'!C:J,8,0)))))</f>
        <v>34.887289550010706</v>
      </c>
      <c r="H71" s="176">
        <f t="shared" ref="H71:H74" ca="1" si="8">(D71-G71*1000)*$F71</f>
        <v>0</v>
      </c>
      <c r="I71" s="198">
        <f t="shared" ref="I71:I74" si="9">D71/(G71*1000)-1</f>
        <v>0.2038768428769242</v>
      </c>
      <c r="J71" s="176">
        <f t="shared" ref="J71:J73" ca="1" si="10">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0">
        <v>64</v>
      </c>
      <c r="B72" s="179" t="s">
        <v>212</v>
      </c>
      <c r="C72" s="170" t="s">
        <v>184</v>
      </c>
      <c r="D72" s="172">
        <f>VLOOKUP($C72,Sheet1!$C$6:$D$98,2,0)</f>
        <v>45000</v>
      </c>
      <c r="E72" s="173">
        <v>0.5</v>
      </c>
      <c r="F72" s="174">
        <f t="shared" ca="1" si="7"/>
        <v>1</v>
      </c>
      <c r="G72" s="175">
        <f>IFERROR(VLOOKUP($B72,Gà!C:J,8,0),IFERROR(VLOOKUP($B72,TVP!C:J,7,0),IFERROR(VLOOKUP($B72,Kitkool!C:J,8,0),IFERROR(VLOOKUP($B72,'La Cusina'!C:J,8,0),VLOOKUP($B72,'Quốc Nhân'!C:J,8,0)))))</f>
        <v>37.864338258278281</v>
      </c>
      <c r="H72" s="176">
        <f t="shared" ca="1" si="8"/>
        <v>7135.6617417217203</v>
      </c>
      <c r="I72" s="198">
        <f t="shared" si="9"/>
        <v>0.18845335928092322</v>
      </c>
      <c r="J72" s="176">
        <f t="shared" ca="1" si="10"/>
        <v>37864.33825827828</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77">
        <v>65</v>
      </c>
      <c r="B73" s="179" t="s">
        <v>258</v>
      </c>
      <c r="C73" s="170" t="s">
        <v>214</v>
      </c>
      <c r="D73" s="172">
        <f>VLOOKUP($C73,Sheet1!$C$6:$D$98,2,0)</f>
        <v>40000</v>
      </c>
      <c r="E73" s="173">
        <v>0.5</v>
      </c>
      <c r="F73" s="174">
        <f t="shared" ca="1" si="7"/>
        <v>0</v>
      </c>
      <c r="G73" s="175">
        <f>IFERROR(VLOOKUP($B73,Gà!C:J,8,0),IFERROR(VLOOKUP($B73,TVP!C:J,7,0),IFERROR(VLOOKUP($B73,Kitkool!C:J,8,0),IFERROR(VLOOKUP($B73,'La Cusina'!C:J,8,0),VLOOKUP($B73,'Quốc Nhân'!C:J,8,0)))))</f>
        <v>34.763383321880738</v>
      </c>
      <c r="H73" s="176">
        <f t="shared" ca="1" si="8"/>
        <v>0</v>
      </c>
      <c r="I73" s="198">
        <f t="shared" si="9"/>
        <v>0.15063599045099929</v>
      </c>
      <c r="J73" s="176">
        <f t="shared" ca="1" si="10"/>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77">
        <v>66</v>
      </c>
      <c r="B74" s="179" t="s">
        <v>278</v>
      </c>
      <c r="C74" s="170" t="s">
        <v>279</v>
      </c>
      <c r="D74" s="172">
        <f>VLOOKUP($C74,Sheet1!$C$6:$D$98,2,0)</f>
        <v>40000</v>
      </c>
      <c r="E74" s="173">
        <v>0.5</v>
      </c>
      <c r="F74" s="174">
        <f t="shared" ca="1" si="7"/>
        <v>1</v>
      </c>
      <c r="G74" s="175">
        <f>IFERROR(VLOOKUP($B74,Gà!C:J,8,0),IFERROR(VLOOKUP($B74,TVP!C:J,7,0),IFERROR(VLOOKUP($B74,Kitkool!C:J,8,0),IFERROR(VLOOKUP($B74,'La Cusina'!C:J,8,0),VLOOKUP($B74,'Quốc Nhân'!C:J,8,0)))))</f>
        <v>33.025214155786699</v>
      </c>
      <c r="H74" s="176">
        <f t="shared" ca="1" si="8"/>
        <v>6974.7858442133002</v>
      </c>
      <c r="I74" s="198">
        <f t="shared" si="9"/>
        <v>0.21119577942210488</v>
      </c>
      <c r="J74" s="176">
        <f t="shared" ref="J74" ca="1" si="11">F74*G74*1000</f>
        <v>33025.2141557867</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1</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217"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16" si="0">IF(OR(SUM($C7,$A8&lt;&gt;"")=0,$A8=""),"",SUM($C7,$A8&lt;&gt;""))</f>
        <v/>
      </c>
      <c r="D8" s="152" t="str">
        <f>IFERROR(VLOOKUP($A8,Sheet1!$A$1:$B$98,2,0),"")</f>
        <v/>
      </c>
      <c r="E8" s="30" t="str">
        <f>IFERROR(VLOOKUP($A8,'Tổng Đơn'!$A$5:$E$73,5,0),"")</f>
        <v/>
      </c>
      <c r="F8" s="30" t="str">
        <f t="shared" ref="F8:F16"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Đơn'!$A$5:$E$74,5,0),"")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ref="C17:C19" si="3">IF(OR(SUM($C16,$A17&lt;&gt;"")=0,$A17=""),"",SUM($C16,$A17&lt;&gt;""))</f>
        <v/>
      </c>
      <c r="D17" s="162" t="str">
        <f>IFERROR(VLOOKUP($A17,Sheet1!$A$1:$B$98,2,0),"")</f>
        <v/>
      </c>
      <c r="E17" s="30" t="str">
        <f>IFERROR(VLOOKUP($A17,'Tổng Đơn'!$A$5:$E$73,5,0),"")</f>
        <v/>
      </c>
      <c r="F17" s="30" t="str">
        <f t="shared" ref="F17:F19" si="4">IF($B17="","",B17)</f>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2" t="str">
        <f>IFERROR(VLOOKUP($A18,Sheet1!$A$1:$B$98,2,0),"")</f>
        <v/>
      </c>
      <c r="E18" s="30" t="str">
        <f>IFERROR(VLOOKUP($A18,'Tổng Đơn'!$A$5:$E$73,5,0),"")</f>
        <v/>
      </c>
      <c r="F18" s="30" t="str">
        <f t="shared" si="4"/>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2" t="str">
        <f>IFERROR(VLOOKUP($A19,Sheet1!$A$1:$B$98,2,0),"")</f>
        <v/>
      </c>
      <c r="E19" s="30" t="str">
        <f>IFERROR(VLOOKUP($A19,'Tổng Đơn'!$A$5:$E$73,5,0),"")</f>
        <v/>
      </c>
      <c r="F19" s="30" t="str">
        <f t="shared" si="4"/>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ref="C20:C37" si="5">IF(OR(SUM($C19,$A20&lt;&gt;"")=0,$A20=""),"",SUM($C19,$A20&lt;&gt;""))</f>
        <v/>
      </c>
      <c r="D20" s="162" t="str">
        <f>IFERROR(VLOOKUP($A20,Sheet1!$A$1:$B$98,2,0),"")</f>
        <v/>
      </c>
      <c r="E20" s="30" t="str">
        <f>IFERROR(VLOOKUP($A20,'Tổng Đơn'!$A$5:$E$73,5,0),"")</f>
        <v/>
      </c>
      <c r="F20" s="30" t="str">
        <f t="shared" ref="F20:F37" si="6">IF($B20="","",B20)</f>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5"/>
        <v/>
      </c>
      <c r="D21" s="162" t="str">
        <f>IFERROR(VLOOKUP($A21,Sheet1!$A$1:$B$98,2,0),"")</f>
        <v/>
      </c>
      <c r="E21" s="30" t="str">
        <f>IFERROR(VLOOKUP($A21,'Tổng Đơn'!$A$5:$E$73,5,0),"")</f>
        <v/>
      </c>
      <c r="F21" s="30" t="str">
        <f t="shared" si="6"/>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5"/>
        <v/>
      </c>
      <c r="D22" s="152" t="str">
        <f>IFERROR(VLOOKUP($A22,Sheet1!$A$1:$B$98,2,0),"")</f>
        <v/>
      </c>
      <c r="E22" s="30" t="str">
        <f>IFERROR(VLOOKUP($A22,'Tổng Đơn'!$A$5:$E$73,5,0),"")</f>
        <v/>
      </c>
      <c r="F22" s="30" t="str">
        <f t="shared" si="6"/>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si="5"/>
        <v/>
      </c>
      <c r="D23" s="152" t="str">
        <f>IFERROR(VLOOKUP($A23,Sheet1!$A$1:$B$98,2,0),"")</f>
        <v/>
      </c>
      <c r="E23" s="30" t="str">
        <f>IFERROR(VLOOKUP($A23,'Tổng Đơn'!$A$5:$E$73,5,0),"")</f>
        <v/>
      </c>
      <c r="F23" s="30" t="str">
        <f t="shared" si="6"/>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Đơn'!$A$5:$E$73,5,0),"")</f>
        <v/>
      </c>
      <c r="F24" s="30" t="str">
        <f t="shared" si="6"/>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Đơn'!$A$5:$E$73,5,0),"")</f>
        <v/>
      </c>
      <c r="F25" s="30" t="str">
        <f t="shared" si="6"/>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Đơn'!$A$5:$E$73,5,0),"")</f>
        <v/>
      </c>
      <c r="F26" s="30" t="str">
        <f t="shared" si="6"/>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Đơn'!$A$5:$E$73,5,0),"")</f>
        <v/>
      </c>
      <c r="F27" s="30" t="str">
        <f t="shared" si="6"/>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Đơn'!$A$5:$E$73,5,0),"")</f>
        <v/>
      </c>
      <c r="F28" s="30" t="str">
        <f t="shared" si="6"/>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Đơn'!$A$5:$E$73,5,0),"")</f>
        <v/>
      </c>
      <c r="F29" s="30" t="str">
        <f t="shared" si="6"/>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Đơn'!$A$5:$E$73,5,0),"")</f>
        <v/>
      </c>
      <c r="F30" s="30" t="str">
        <f t="shared" si="6"/>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Đơn'!$A$5:$E$73,5,0),"")</f>
        <v/>
      </c>
      <c r="F31" s="30" t="str">
        <f t="shared" si="6"/>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Đơn'!$A$5:$E$73,5,0),"")</f>
        <v/>
      </c>
      <c r="F32" s="30" t="str">
        <f t="shared" si="6"/>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Đơn'!$A$5:$E$73,5,0),"")</f>
        <v/>
      </c>
      <c r="F33" s="30" t="str">
        <f t="shared" si="6"/>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Đơn'!$A$5:$E$73,5,0),"")</f>
        <v/>
      </c>
      <c r="F34" s="30" t="str">
        <f t="shared" si="6"/>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Đơn'!$A$5:$E$73,5,0),"")</f>
        <v/>
      </c>
      <c r="F35" s="30" t="str">
        <f t="shared" si="6"/>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Đơn'!$A$5:$E$73,5,0),"")</f>
        <v/>
      </c>
      <c r="F36" s="30" t="str">
        <f t="shared" si="6"/>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Đơn'!$A$5:$E$73,5,0),"")</f>
        <v/>
      </c>
      <c r="F37" s="30" t="str">
        <f t="shared" si="6"/>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16" priority="50">
      <formula>$C19=MAX($C$8:$C$37)</formula>
    </cfRule>
  </conditionalFormatting>
  <conditionalFormatting sqref="C20:C37">
    <cfRule type="expression" dxfId="215" priority="49">
      <formula>$C19=MAX($C$8:$C$37)</formula>
    </cfRule>
  </conditionalFormatting>
  <conditionalFormatting sqref="E20:E38">
    <cfRule type="expression" dxfId="214" priority="51">
      <formula>AND($A20="",$F20&lt;&gt;"")</formula>
    </cfRule>
  </conditionalFormatting>
  <conditionalFormatting sqref="F20:F38">
    <cfRule type="expression" dxfId="213" priority="52">
      <formula>AND($F20="",$A20&lt;&gt;"")</formula>
    </cfRule>
  </conditionalFormatting>
  <conditionalFormatting sqref="D17:H19">
    <cfRule type="expression" dxfId="212" priority="18">
      <formula>$C16=MAX($C$8:$C$37)</formula>
    </cfRule>
  </conditionalFormatting>
  <conditionalFormatting sqref="C17:C19">
    <cfRule type="expression" dxfId="211" priority="17">
      <formula>$C16=MAX($C$8:$C$37)</formula>
    </cfRule>
  </conditionalFormatting>
  <conditionalFormatting sqref="E17:E19">
    <cfRule type="expression" dxfId="210" priority="19">
      <formula>AND($A17="",$F17&lt;&gt;"")</formula>
    </cfRule>
  </conditionalFormatting>
  <conditionalFormatting sqref="F17:F19">
    <cfRule type="expression" dxfId="209" priority="20">
      <formula>AND($F17="",$A17&lt;&gt;"")</formula>
    </cfRule>
  </conditionalFormatting>
  <conditionalFormatting sqref="D15:H16 D9:G14">
    <cfRule type="expression" dxfId="208" priority="8">
      <formula>$C8=MAX($C$8:$C$37)</formula>
    </cfRule>
  </conditionalFormatting>
  <conditionalFormatting sqref="C9:C16">
    <cfRule type="expression" dxfId="207" priority="7">
      <formula>$C8=MAX($C$8:$C$37)</formula>
    </cfRule>
  </conditionalFormatting>
  <conditionalFormatting sqref="E9:E16">
    <cfRule type="expression" dxfId="206" priority="9">
      <formula>AND($A9="",$F9&lt;&gt;"")</formula>
    </cfRule>
  </conditionalFormatting>
  <conditionalFormatting sqref="F9:F16">
    <cfRule type="expression" dxfId="205" priority="10">
      <formula>AND($F9="",$A9&lt;&gt;"")</formula>
    </cfRule>
  </conditionalFormatting>
  <conditionalFormatting sqref="D8:G8">
    <cfRule type="expression" dxfId="204" priority="4">
      <formula>$C7=MAX($C$8:$C$37)</formula>
    </cfRule>
  </conditionalFormatting>
  <conditionalFormatting sqref="C8">
    <cfRule type="expression" dxfId="203" priority="3">
      <formula>$C7=MAX($C$8:$C$37)</formula>
    </cfRule>
  </conditionalFormatting>
  <conditionalFormatting sqref="E8">
    <cfRule type="expression" dxfId="202" priority="5">
      <formula>AND($A8="",$F8&lt;&gt;"")</formula>
    </cfRule>
  </conditionalFormatting>
  <conditionalFormatting sqref="F8">
    <cfRule type="expression" dxfId="201" priority="6">
      <formula>AND($F8="",$A8&lt;&gt;"")</formula>
    </cfRule>
  </conditionalFormatting>
  <conditionalFormatting sqref="H9:H14">
    <cfRule type="expression" dxfId="200" priority="2">
      <formula>$C8=MAX($C$8:$C$37)</formula>
    </cfRule>
  </conditionalFormatting>
  <conditionalFormatting sqref="H8">
    <cfRule type="expression" dxfId="19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311</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Đơn'!$A$5:$E$73,5,0),"")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59</v>
      </c>
      <c r="B9" s="155">
        <v>1</v>
      </c>
      <c r="C9" s="30">
        <f t="shared" si="0"/>
        <v>2</v>
      </c>
      <c r="D9" s="152" t="str">
        <f>IFERROR(VLOOKUP($A9,Sheet1!$A$1:$B$98,2,0),"")</f>
        <v>Bò viên KK</v>
      </c>
      <c r="E9" s="30">
        <f>IFERROR(VLOOKUP($A9,'Tổng Đơn'!$A$5:$E$74,5,0),"")</f>
        <v>0.5</v>
      </c>
      <c r="F9" s="30">
        <f t="shared" si="1"/>
        <v>1</v>
      </c>
      <c r="G9" s="163">
        <f>IF(AND($C9="",$C8&lt;&gt;""),"Tổng Cộng",IFERROR(VLOOKUP($A9,Sheet1!$A$1:$D$98,4,0),""))</f>
        <v>28000</v>
      </c>
      <c r="H9" s="153">
        <f>IF($C8=MAX($C$8:$C$56),SUM($H$8:$H8),IFERROR($G9*$F9,""))</f>
        <v>28000</v>
      </c>
      <c r="I9" s="55">
        <f t="shared" si="2"/>
        <v>0.5</v>
      </c>
      <c r="L9" s="31"/>
    </row>
    <row r="10" spans="1:14" s="29" customFormat="1" ht="14.25" customHeight="1" x14ac:dyDescent="0.25">
      <c r="A10" s="155">
        <v>11</v>
      </c>
      <c r="B10" s="155"/>
      <c r="C10" s="30">
        <f t="shared" si="0"/>
        <v>3</v>
      </c>
      <c r="D10" s="152" t="s">
        <v>296</v>
      </c>
      <c r="E10" s="30" t="s">
        <v>267</v>
      </c>
      <c r="F10" s="30" t="s">
        <v>267</v>
      </c>
      <c r="G10" s="163" t="s">
        <v>267</v>
      </c>
      <c r="H10" s="153">
        <f>-2*2000</f>
        <v>-4000</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74000</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98" priority="16">
      <formula>$C19=MAX($C$8:$C$37)</formula>
    </cfRule>
  </conditionalFormatting>
  <conditionalFormatting sqref="C20:C37">
    <cfRule type="expression" dxfId="197" priority="15">
      <formula>$C19=MAX($C$8:$C$37)</formula>
    </cfRule>
  </conditionalFormatting>
  <conditionalFormatting sqref="E20:E38">
    <cfRule type="expression" dxfId="196" priority="17">
      <formula>AND($A20="",$F20&lt;&gt;"")</formula>
    </cfRule>
  </conditionalFormatting>
  <conditionalFormatting sqref="F20:F38">
    <cfRule type="expression" dxfId="195" priority="18">
      <formula>AND($F20="",$A20&lt;&gt;"")</formula>
    </cfRule>
  </conditionalFormatting>
  <conditionalFormatting sqref="D17:H19">
    <cfRule type="expression" dxfId="194" priority="12">
      <formula>$C16=MAX($C$8:$C$37)</formula>
    </cfRule>
  </conditionalFormatting>
  <conditionalFormatting sqref="C17:C19">
    <cfRule type="expression" dxfId="193" priority="11">
      <formula>$C16=MAX($C$8:$C$37)</formula>
    </cfRule>
  </conditionalFormatting>
  <conditionalFormatting sqref="E17:E19">
    <cfRule type="expression" dxfId="192" priority="13">
      <formula>AND($A17="",$F17&lt;&gt;"")</formula>
    </cfRule>
  </conditionalFormatting>
  <conditionalFormatting sqref="F17:F19">
    <cfRule type="expression" dxfId="191" priority="14">
      <formula>AND($F17="",$A17&lt;&gt;"")</formula>
    </cfRule>
  </conditionalFormatting>
  <conditionalFormatting sqref="D15:H16 D9:G14">
    <cfRule type="expression" dxfId="190" priority="8">
      <formula>$C8=MAX($C$8:$C$37)</formula>
    </cfRule>
  </conditionalFormatting>
  <conditionalFormatting sqref="C9:C16">
    <cfRule type="expression" dxfId="189" priority="7">
      <formula>$C8=MAX($C$8:$C$37)</formula>
    </cfRule>
  </conditionalFormatting>
  <conditionalFormatting sqref="E9:E16">
    <cfRule type="expression" dxfId="188" priority="9">
      <formula>AND($A9="",$F9&lt;&gt;"")</formula>
    </cfRule>
  </conditionalFormatting>
  <conditionalFormatting sqref="F9:F16">
    <cfRule type="expression" dxfId="187" priority="10">
      <formula>AND($F9="",$A9&lt;&gt;"")</formula>
    </cfRule>
  </conditionalFormatting>
  <conditionalFormatting sqref="D8:G8">
    <cfRule type="expression" dxfId="186" priority="4">
      <formula>$C7=MAX($C$8:$C$37)</formula>
    </cfRule>
  </conditionalFormatting>
  <conditionalFormatting sqref="C8">
    <cfRule type="expression" dxfId="185" priority="3">
      <formula>$C7=MAX($C$8:$C$37)</formula>
    </cfRule>
  </conditionalFormatting>
  <conditionalFormatting sqref="E8">
    <cfRule type="expression" dxfId="184" priority="5">
      <formula>AND($A8="",$F8&lt;&gt;"")</formula>
    </cfRule>
  </conditionalFormatting>
  <conditionalFormatting sqref="F8">
    <cfRule type="expression" dxfId="183" priority="6">
      <formula>AND($F8="",$A8&lt;&gt;"")</formula>
    </cfRule>
  </conditionalFormatting>
  <conditionalFormatting sqref="H9:H14">
    <cfRule type="expression" dxfId="182" priority="2">
      <formula>$C8=MAX($C$8:$C$37)</formula>
    </cfRule>
  </conditionalFormatting>
  <conditionalFormatting sqref="H8">
    <cfRule type="expression" dxfId="18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2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306</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59</v>
      </c>
      <c r="B8" s="155">
        <v>1</v>
      </c>
      <c r="C8" s="30">
        <f t="shared" ref="C8:C37" si="0">IF(OR(SUM($C7,$A8&lt;&gt;"")=0,$A8=""),"",SUM($C7,$A8&lt;&gt;""))</f>
        <v>1</v>
      </c>
      <c r="D8" s="152" t="str">
        <f>IFERROR(VLOOKUP($A8,Sheet1!$A$1:$B$98,2,0),"")</f>
        <v>Bò viên KK</v>
      </c>
      <c r="E8" s="30">
        <f>IFERROR(VLOOKUP($A8,'Tổng Đơn'!$A$5:$E$73,5,0),"")</f>
        <v>0.5</v>
      </c>
      <c r="F8" s="30">
        <f t="shared" ref="F8:F37" si="1">IF($B8="","",B8)</f>
        <v>1</v>
      </c>
      <c r="G8" s="163">
        <f>IFERROR(VLOOKUP($A8,Sheet1!$A1:$D$98,4,0),"")</f>
        <v>28000</v>
      </c>
      <c r="H8" s="153">
        <f>IF($C7=MAX($C$8:$C$56),SUM($H7:$H$8),IFERROR($G8*$F8,""))</f>
        <v>28000</v>
      </c>
      <c r="I8" s="55">
        <f t="shared" ref="I8:I37" si="2">IF(TYPE($A8)&lt;&gt;1,"",IFERROR(F8*E8,""))</f>
        <v>0.5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28000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80" priority="16">
      <formula>$C19=MAX($C$8:$C$37)</formula>
    </cfRule>
  </conditionalFormatting>
  <conditionalFormatting sqref="C20:C37">
    <cfRule type="expression" dxfId="179" priority="15">
      <formula>$C19=MAX($C$8:$C$37)</formula>
    </cfRule>
  </conditionalFormatting>
  <conditionalFormatting sqref="E20:E38">
    <cfRule type="expression" dxfId="178" priority="17">
      <formula>AND($A20="",$F20&lt;&gt;"")</formula>
    </cfRule>
  </conditionalFormatting>
  <conditionalFormatting sqref="F20:F38">
    <cfRule type="expression" dxfId="177" priority="18">
      <formula>AND($F20="",$A20&lt;&gt;"")</formula>
    </cfRule>
  </conditionalFormatting>
  <conditionalFormatting sqref="D17:H19">
    <cfRule type="expression" dxfId="176" priority="12">
      <formula>$C16=MAX($C$8:$C$37)</formula>
    </cfRule>
  </conditionalFormatting>
  <conditionalFormatting sqref="C17:C19">
    <cfRule type="expression" dxfId="175" priority="11">
      <formula>$C16=MAX($C$8:$C$37)</formula>
    </cfRule>
  </conditionalFormatting>
  <conditionalFormatting sqref="E17:E19">
    <cfRule type="expression" dxfId="174" priority="13">
      <formula>AND($A17="",$F17&lt;&gt;"")</formula>
    </cfRule>
  </conditionalFormatting>
  <conditionalFormatting sqref="F17:F19">
    <cfRule type="expression" dxfId="173" priority="14">
      <formula>AND($F17="",$A17&lt;&gt;"")</formula>
    </cfRule>
  </conditionalFormatting>
  <conditionalFormatting sqref="D15:H16 D9:G14">
    <cfRule type="expression" dxfId="172" priority="8">
      <formula>$C8=MAX($C$8:$C$37)</formula>
    </cfRule>
  </conditionalFormatting>
  <conditionalFormatting sqref="C9:C16">
    <cfRule type="expression" dxfId="171" priority="7">
      <formula>$C8=MAX($C$8:$C$37)</formula>
    </cfRule>
  </conditionalFormatting>
  <conditionalFormatting sqref="E9:E16">
    <cfRule type="expression" dxfId="170" priority="9">
      <formula>AND($A9="",$F9&lt;&gt;"")</formula>
    </cfRule>
  </conditionalFormatting>
  <conditionalFormatting sqref="F9:F16">
    <cfRule type="expression" dxfId="169" priority="10">
      <formula>AND($F9="",$A9&lt;&gt;"")</formula>
    </cfRule>
  </conditionalFormatting>
  <conditionalFormatting sqref="D8:G8">
    <cfRule type="expression" dxfId="168" priority="4">
      <formula>$C7=MAX($C$8:$C$37)</formula>
    </cfRule>
  </conditionalFormatting>
  <conditionalFormatting sqref="C8">
    <cfRule type="expression" dxfId="167" priority="3">
      <formula>$C7=MAX($C$8:$C$37)</formula>
    </cfRule>
  </conditionalFormatting>
  <conditionalFormatting sqref="E8">
    <cfRule type="expression" dxfId="166" priority="5">
      <formula>AND($A8="",$F8&lt;&gt;"")</formula>
    </cfRule>
  </conditionalFormatting>
  <conditionalFormatting sqref="F8">
    <cfRule type="expression" dxfId="165" priority="6">
      <formula>AND($F8="",$A8&lt;&gt;"")</formula>
    </cfRule>
  </conditionalFormatting>
  <conditionalFormatting sqref="H9:H14">
    <cfRule type="expression" dxfId="164" priority="2">
      <formula>$C8=MAX($C$8:$C$37)</formula>
    </cfRule>
  </conditionalFormatting>
  <conditionalFormatting sqref="H8">
    <cfRule type="expression" dxfId="16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1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306</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0.3</v>
      </c>
      <c r="L7" s="145"/>
    </row>
    <row r="8" spans="1:14" s="29" customFormat="1" ht="14.25" customHeight="1" x14ac:dyDescent="0.25">
      <c r="A8" s="155">
        <v>56</v>
      </c>
      <c r="B8" s="155">
        <v>1</v>
      </c>
      <c r="C8" s="30">
        <f t="shared" ref="C8:C37" si="0">IF(OR(SUM($C7,$A8&lt;&gt;"")=0,$A8=""),"",SUM($C7,$A8&lt;&gt;""))</f>
        <v>1</v>
      </c>
      <c r="D8" s="152" t="str">
        <f>IFERROR(VLOOKUP($A8,Sheet1!$A$1:$B$98,2,0),"")</f>
        <v>Bánh bao ngọt không nhân</v>
      </c>
      <c r="E8" s="30">
        <f>IFERROR(VLOOKUP($A8,'Tổng Đơn'!$A$5:$E$73,5,0),"")</f>
        <v>0.3</v>
      </c>
      <c r="F8" s="30">
        <f t="shared" ref="F8:F37" si="1">IF($B8="","",B8)</f>
        <v>1</v>
      </c>
      <c r="G8" s="163">
        <f>IFERROR(VLOOKUP($A8,Sheet1!$A1:$D$98,4,0),"")</f>
        <v>16000</v>
      </c>
      <c r="H8" s="153">
        <f>IF($C7=MAX($C$8:$C$56),SUM($H7:$H$8),IFERROR($G8*$F8,""))</f>
        <v>16000</v>
      </c>
      <c r="I8" s="55">
        <f t="shared" ref="I8:I37" si="2">IF(TYPE($A8)&lt;&gt;1,"",IFERROR(F8*E8,""))</f>
        <v>0.3</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16000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62" priority="16">
      <formula>$C19=MAX($C$8:$C$37)</formula>
    </cfRule>
  </conditionalFormatting>
  <conditionalFormatting sqref="C20:C37">
    <cfRule type="expression" dxfId="161" priority="15">
      <formula>$C19=MAX($C$8:$C$37)</formula>
    </cfRule>
  </conditionalFormatting>
  <conditionalFormatting sqref="E20:E38">
    <cfRule type="expression" dxfId="160" priority="17">
      <formula>AND($A20="",$F20&lt;&gt;"")</formula>
    </cfRule>
  </conditionalFormatting>
  <conditionalFormatting sqref="F20:F38">
    <cfRule type="expression" dxfId="159" priority="18">
      <formula>AND($F20="",$A20&lt;&gt;"")</formula>
    </cfRule>
  </conditionalFormatting>
  <conditionalFormatting sqref="D17:H19">
    <cfRule type="expression" dxfId="158" priority="12">
      <formula>$C16=MAX($C$8:$C$37)</formula>
    </cfRule>
  </conditionalFormatting>
  <conditionalFormatting sqref="C17:C19">
    <cfRule type="expression" dxfId="157" priority="11">
      <formula>$C16=MAX($C$8:$C$37)</formula>
    </cfRule>
  </conditionalFormatting>
  <conditionalFormatting sqref="E17:E19">
    <cfRule type="expression" dxfId="156" priority="13">
      <formula>AND($A17="",$F17&lt;&gt;"")</formula>
    </cfRule>
  </conditionalFormatting>
  <conditionalFormatting sqref="F17:F19">
    <cfRule type="expression" dxfId="155" priority="14">
      <formula>AND($F17="",$A17&lt;&gt;"")</formula>
    </cfRule>
  </conditionalFormatting>
  <conditionalFormatting sqref="D15:H16 D9:G14">
    <cfRule type="expression" dxfId="154" priority="8">
      <formula>$C8=MAX($C$8:$C$37)</formula>
    </cfRule>
  </conditionalFormatting>
  <conditionalFormatting sqref="C9:C16">
    <cfRule type="expression" dxfId="153" priority="7">
      <formula>$C8=MAX($C$8:$C$37)</formula>
    </cfRule>
  </conditionalFormatting>
  <conditionalFormatting sqref="E9:E16">
    <cfRule type="expression" dxfId="152" priority="9">
      <formula>AND($A9="",$F9&lt;&gt;"")</formula>
    </cfRule>
  </conditionalFormatting>
  <conditionalFormatting sqref="F9:F16">
    <cfRule type="expression" dxfId="151" priority="10">
      <formula>AND($F9="",$A9&lt;&gt;"")</formula>
    </cfRule>
  </conditionalFormatting>
  <conditionalFormatting sqref="D8:G8">
    <cfRule type="expression" dxfId="150" priority="4">
      <formula>$C7=MAX($C$8:$C$37)</formula>
    </cfRule>
  </conditionalFormatting>
  <conditionalFormatting sqref="C8">
    <cfRule type="expression" dxfId="149" priority="3">
      <formula>$C7=MAX($C$8:$C$37)</formula>
    </cfRule>
  </conditionalFormatting>
  <conditionalFormatting sqref="E8">
    <cfRule type="expression" dxfId="148" priority="5">
      <formula>AND($A8="",$F8&lt;&gt;"")</formula>
    </cfRule>
  </conditionalFormatting>
  <conditionalFormatting sqref="F8">
    <cfRule type="expression" dxfId="147" priority="6">
      <formula>AND($F8="",$A8&lt;&gt;"")</formula>
    </cfRule>
  </conditionalFormatting>
  <conditionalFormatting sqref="H9:H14">
    <cfRule type="expression" dxfId="146" priority="2">
      <formula>$C8=MAX($C$8:$C$37)</formula>
    </cfRule>
  </conditionalFormatting>
  <conditionalFormatting sqref="H8">
    <cfRule type="expression" dxfId="14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0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306</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44" priority="16">
      <formula>$C19=MAX($C$8:$C$37)</formula>
    </cfRule>
  </conditionalFormatting>
  <conditionalFormatting sqref="C20:C37">
    <cfRule type="expression" dxfId="143" priority="15">
      <formula>$C19=MAX($C$8:$C$37)</formula>
    </cfRule>
  </conditionalFormatting>
  <conditionalFormatting sqref="E20:E38">
    <cfRule type="expression" dxfId="142" priority="17">
      <formula>AND($A20="",$F20&lt;&gt;"")</formula>
    </cfRule>
  </conditionalFormatting>
  <conditionalFormatting sqref="F20:F38">
    <cfRule type="expression" dxfId="141" priority="18">
      <formula>AND($F20="",$A20&lt;&gt;"")</formula>
    </cfRule>
  </conditionalFormatting>
  <conditionalFormatting sqref="D17:H19">
    <cfRule type="expression" dxfId="140" priority="12">
      <formula>$C16=MAX($C$8:$C$37)</formula>
    </cfRule>
  </conditionalFormatting>
  <conditionalFormatting sqref="C17:C19">
    <cfRule type="expression" dxfId="139" priority="11">
      <formula>$C16=MAX($C$8:$C$37)</formula>
    </cfRule>
  </conditionalFormatting>
  <conditionalFormatting sqref="E17:E19">
    <cfRule type="expression" dxfId="138" priority="13">
      <formula>AND($A17="",$F17&lt;&gt;"")</formula>
    </cfRule>
  </conditionalFormatting>
  <conditionalFormatting sqref="F17:F19">
    <cfRule type="expression" dxfId="137" priority="14">
      <formula>AND($F17="",$A17&lt;&gt;"")</formula>
    </cfRule>
  </conditionalFormatting>
  <conditionalFormatting sqref="D15:H16 D9:G14">
    <cfRule type="expression" dxfId="136" priority="8">
      <formula>$C8=MAX($C$8:$C$37)</formula>
    </cfRule>
  </conditionalFormatting>
  <conditionalFormatting sqref="C9:C16">
    <cfRule type="expression" dxfId="135" priority="7">
      <formula>$C8=MAX($C$8:$C$37)</formula>
    </cfRule>
  </conditionalFormatting>
  <conditionalFormatting sqref="E9:E16">
    <cfRule type="expression" dxfId="134" priority="9">
      <formula>AND($A9="",$F9&lt;&gt;"")</formula>
    </cfRule>
  </conditionalFormatting>
  <conditionalFormatting sqref="F9:F16">
    <cfRule type="expression" dxfId="133" priority="10">
      <formula>AND($F9="",$A9&lt;&gt;"")</formula>
    </cfRule>
  </conditionalFormatting>
  <conditionalFormatting sqref="D8:G8">
    <cfRule type="expression" dxfId="132" priority="4">
      <formula>$C7=MAX($C$8:$C$37)</formula>
    </cfRule>
  </conditionalFormatting>
  <conditionalFormatting sqref="C8">
    <cfRule type="expression" dxfId="131" priority="3">
      <formula>$C7=MAX($C$8:$C$37)</formula>
    </cfRule>
  </conditionalFormatting>
  <conditionalFormatting sqref="E8">
    <cfRule type="expression" dxfId="130" priority="5">
      <formula>AND($A8="",$F8&lt;&gt;"")</formula>
    </cfRule>
  </conditionalFormatting>
  <conditionalFormatting sqref="F8">
    <cfRule type="expression" dxfId="129" priority="6">
      <formula>AND($F8="",$A8&lt;&gt;"")</formula>
    </cfRule>
  </conditionalFormatting>
  <conditionalFormatting sqref="H9:H14">
    <cfRule type="expression" dxfId="128" priority="2">
      <formula>$C8=MAX($C$8:$C$37)</formula>
    </cfRule>
  </conditionalFormatting>
  <conditionalFormatting sqref="H8">
    <cfRule type="expression" dxfId="12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9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8" sqref="H8:H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306</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0.6</v>
      </c>
      <c r="L7" s="145"/>
    </row>
    <row r="8" spans="1:14" s="29" customFormat="1" ht="14.25" customHeight="1" x14ac:dyDescent="0.25">
      <c r="A8" s="155">
        <v>56</v>
      </c>
      <c r="B8" s="155">
        <v>2</v>
      </c>
      <c r="C8" s="30">
        <f t="shared" ref="C8:C37" si="0">IF(OR(SUM($C7,$A8&lt;&gt;"")=0,$A8=""),"",SUM($C7,$A8&lt;&gt;""))</f>
        <v>1</v>
      </c>
      <c r="D8" s="152" t="str">
        <f>IFERROR(VLOOKUP($A8,Sheet1!$A$1:$B$98,2,0),"")</f>
        <v>Bánh bao ngọt không nhân</v>
      </c>
      <c r="E8" s="30">
        <f>IFERROR(VLOOKUP($A8,'Tổng Đơn'!$A$5:$E$73,5,0),"")</f>
        <v>0.3</v>
      </c>
      <c r="F8" s="30">
        <f t="shared" ref="F8:F37" si="1">IF($B8="","",B8)</f>
        <v>2</v>
      </c>
      <c r="G8" s="163">
        <f>IFERROR(VLOOKUP($A8,Sheet1!$A1:$D$98,4,0),"")</f>
        <v>16000</v>
      </c>
      <c r="H8" s="153">
        <f>IF($C7=MAX($C$8:$C$56),SUM($H7:$H$8),IFERROR($G8*$F8,""))</f>
        <v>32000</v>
      </c>
      <c r="I8" s="55">
        <f t="shared" ref="I8:I37" si="2">IF(TYPE($A8)&lt;&gt;1,"",IFERROR(F8*E8,""))</f>
        <v>0.6</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32000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26" priority="16">
      <formula>$C19=MAX($C$8:$C$37)</formula>
    </cfRule>
  </conditionalFormatting>
  <conditionalFormatting sqref="C20:C37">
    <cfRule type="expression" dxfId="125" priority="15">
      <formula>$C19=MAX($C$8:$C$37)</formula>
    </cfRule>
  </conditionalFormatting>
  <conditionalFormatting sqref="E20:E38">
    <cfRule type="expression" dxfId="124" priority="17">
      <formula>AND($A20="",$F20&lt;&gt;"")</formula>
    </cfRule>
  </conditionalFormatting>
  <conditionalFormatting sqref="F20:F38">
    <cfRule type="expression" dxfId="123" priority="18">
      <formula>AND($F20="",$A20&lt;&gt;"")</formula>
    </cfRule>
  </conditionalFormatting>
  <conditionalFormatting sqref="D17:H19">
    <cfRule type="expression" dxfId="122" priority="12">
      <formula>$C16=MAX($C$8:$C$37)</formula>
    </cfRule>
  </conditionalFormatting>
  <conditionalFormatting sqref="C17:C19">
    <cfRule type="expression" dxfId="121" priority="11">
      <formula>$C16=MAX($C$8:$C$37)</formula>
    </cfRule>
  </conditionalFormatting>
  <conditionalFormatting sqref="E17:E19">
    <cfRule type="expression" dxfId="120" priority="13">
      <formula>AND($A17="",$F17&lt;&gt;"")</formula>
    </cfRule>
  </conditionalFormatting>
  <conditionalFormatting sqref="F17:F19">
    <cfRule type="expression" dxfId="119" priority="14">
      <formula>AND($F17="",$A17&lt;&gt;"")</formula>
    </cfRule>
  </conditionalFormatting>
  <conditionalFormatting sqref="D15:H16 D9:G14">
    <cfRule type="expression" dxfId="118" priority="8">
      <formula>$C8=MAX($C$8:$C$37)</formula>
    </cfRule>
  </conditionalFormatting>
  <conditionalFormatting sqref="C9:C16">
    <cfRule type="expression" dxfId="117" priority="7">
      <formula>$C8=MAX($C$8:$C$37)</formula>
    </cfRule>
  </conditionalFormatting>
  <conditionalFormatting sqref="E9:E16">
    <cfRule type="expression" dxfId="116" priority="9">
      <formula>AND($A9="",$F9&lt;&gt;"")</formula>
    </cfRule>
  </conditionalFormatting>
  <conditionalFormatting sqref="F9:F16">
    <cfRule type="expression" dxfId="115" priority="10">
      <formula>AND($F9="",$A9&lt;&gt;"")</formula>
    </cfRule>
  </conditionalFormatting>
  <conditionalFormatting sqref="D8:G8">
    <cfRule type="expression" dxfId="114" priority="4">
      <formula>$C7=MAX($C$8:$C$37)</formula>
    </cfRule>
  </conditionalFormatting>
  <conditionalFormatting sqref="C8">
    <cfRule type="expression" dxfId="113" priority="3">
      <formula>$C7=MAX($C$8:$C$37)</formula>
    </cfRule>
  </conditionalFormatting>
  <conditionalFormatting sqref="E8">
    <cfRule type="expression" dxfId="112" priority="5">
      <formula>AND($A8="",$F8&lt;&gt;"")</formula>
    </cfRule>
  </conditionalFormatting>
  <conditionalFormatting sqref="F8">
    <cfRule type="expression" dxfId="111" priority="6">
      <formula>AND($F8="",$A8&lt;&gt;"")</formula>
    </cfRule>
  </conditionalFormatting>
  <conditionalFormatting sqref="H9:H14">
    <cfRule type="expression" dxfId="110" priority="2">
      <formula>$C8=MAX($C$8:$C$37)</formula>
    </cfRule>
  </conditionalFormatting>
  <conditionalFormatting sqref="H8">
    <cfRule type="expression" dxfId="1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8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306</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0.25</v>
      </c>
      <c r="L7" s="145"/>
    </row>
    <row r="8" spans="1:14" s="29" customFormat="1" ht="14.25" customHeight="1" x14ac:dyDescent="0.25">
      <c r="A8" s="155">
        <v>40</v>
      </c>
      <c r="B8" s="155">
        <v>0.5</v>
      </c>
      <c r="C8" s="30">
        <f t="shared" ref="C8:C37" si="0">IF(OR(SUM($C7,$A8&lt;&gt;"")=0,$A8=""),"",SUM($C7,$A8&lt;&gt;""))</f>
        <v>1</v>
      </c>
      <c r="D8" s="152" t="str">
        <f>IFERROR(VLOOKUP($A8,Sheet1!$A$1:$B$98,2,0),"")</f>
        <v>0-Bò cuộn Excel Canada</v>
      </c>
      <c r="E8" s="30">
        <f>IFERROR(VLOOKUP($A8,'Tổng Đơn'!$A$5:$E$73,5,0),"")</f>
        <v>0.5</v>
      </c>
      <c r="F8" s="30">
        <f t="shared" ref="F8:F37" si="1">IF($B8="","",B8)</f>
        <v>0.5</v>
      </c>
      <c r="G8" s="163">
        <f>IFERROR(VLOOKUP($A8,Sheet1!$A1:$D$98,4,0),"")</f>
        <v>105000</v>
      </c>
      <c r="H8" s="153">
        <f>IF($C7=MAX($C$8:$C$56),SUM($H7:$H$8),IFERROR($G8*$F8,""))</f>
        <v>52500</v>
      </c>
      <c r="I8" s="55">
        <f t="shared" ref="I8:I37" si="2">IF(TYPE($A8)&lt;&gt;1,"",IFERROR(F8*E8,""))</f>
        <v>0.25</v>
      </c>
      <c r="L8" s="32"/>
    </row>
    <row r="9" spans="1:14" s="29" customFormat="1" ht="14.25" customHeight="1" x14ac:dyDescent="0.25">
      <c r="A9" s="155">
        <v>1</v>
      </c>
      <c r="B9" s="155">
        <v>1</v>
      </c>
      <c r="C9" s="30">
        <f t="shared" si="0"/>
        <v>2</v>
      </c>
      <c r="D9" s="152" t="s">
        <v>296</v>
      </c>
      <c r="E9" s="30" t="s">
        <v>267</v>
      </c>
      <c r="F9" s="30" t="s">
        <v>267</v>
      </c>
      <c r="G9" s="163" t="s">
        <v>267</v>
      </c>
      <c r="H9" s="153">
        <v>2500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55000</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08" priority="18">
      <formula>$C19=MAX($C$8:$C$37)</formula>
    </cfRule>
  </conditionalFormatting>
  <conditionalFormatting sqref="C20:C37">
    <cfRule type="expression" dxfId="107" priority="17">
      <formula>$C19=MAX($C$8:$C$37)</formula>
    </cfRule>
  </conditionalFormatting>
  <conditionalFormatting sqref="E20:E38">
    <cfRule type="expression" dxfId="106" priority="19">
      <formula>AND($A20="",$F20&lt;&gt;"")</formula>
    </cfRule>
  </conditionalFormatting>
  <conditionalFormatting sqref="F20:F38">
    <cfRule type="expression" dxfId="105" priority="20">
      <formula>AND($F20="",$A20&lt;&gt;"")</formula>
    </cfRule>
  </conditionalFormatting>
  <conditionalFormatting sqref="D17:H19">
    <cfRule type="expression" dxfId="104" priority="14">
      <formula>$C16=MAX($C$8:$C$37)</formula>
    </cfRule>
  </conditionalFormatting>
  <conditionalFormatting sqref="C17:C19">
    <cfRule type="expression" dxfId="103" priority="13">
      <formula>$C16=MAX($C$8:$C$37)</formula>
    </cfRule>
  </conditionalFormatting>
  <conditionalFormatting sqref="E17:E19">
    <cfRule type="expression" dxfId="102" priority="15">
      <formula>AND($A17="",$F17&lt;&gt;"")</formula>
    </cfRule>
  </conditionalFormatting>
  <conditionalFormatting sqref="F17:F19">
    <cfRule type="expression" dxfId="101" priority="16">
      <formula>AND($F17="",$A17&lt;&gt;"")</formula>
    </cfRule>
  </conditionalFormatting>
  <conditionalFormatting sqref="D15:H16 D9:G14">
    <cfRule type="expression" dxfId="100" priority="10">
      <formula>$C8=MAX($C$8:$C$37)</formula>
    </cfRule>
  </conditionalFormatting>
  <conditionalFormatting sqref="C9:C16">
    <cfRule type="expression" dxfId="99" priority="9">
      <formula>$C8=MAX($C$8:$C$37)</formula>
    </cfRule>
  </conditionalFormatting>
  <conditionalFormatting sqref="E9:E16">
    <cfRule type="expression" dxfId="98" priority="11">
      <formula>AND($A9="",$F9&lt;&gt;"")</formula>
    </cfRule>
  </conditionalFormatting>
  <conditionalFormatting sqref="F9:F16">
    <cfRule type="expression" dxfId="97" priority="12">
      <formula>AND($F9="",$A9&lt;&gt;"")</formula>
    </cfRule>
  </conditionalFormatting>
  <conditionalFormatting sqref="D8:G8">
    <cfRule type="expression" dxfId="96" priority="6">
      <formula>$C7=MAX($C$8:$C$37)</formula>
    </cfRule>
  </conditionalFormatting>
  <conditionalFormatting sqref="C8">
    <cfRule type="expression" dxfId="95" priority="5">
      <formula>$C7=MAX($C$8:$C$37)</formula>
    </cfRule>
  </conditionalFormatting>
  <conditionalFormatting sqref="E8">
    <cfRule type="expression" dxfId="94" priority="7">
      <formula>AND($A8="",$F8&lt;&gt;"")</formula>
    </cfRule>
  </conditionalFormatting>
  <conditionalFormatting sqref="F8">
    <cfRule type="expression" dxfId="93" priority="8">
      <formula>AND($F8="",$A8&lt;&gt;"")</formula>
    </cfRule>
  </conditionalFormatting>
  <conditionalFormatting sqref="H10:H14">
    <cfRule type="expression" dxfId="92" priority="4">
      <formula>$C9=MAX($C$8:$C$37)</formula>
    </cfRule>
  </conditionalFormatting>
  <conditionalFormatting sqref="H9">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7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309</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60</v>
      </c>
      <c r="B9" s="155">
        <v>1</v>
      </c>
      <c r="C9" s="30">
        <f t="shared" si="0"/>
        <v>2</v>
      </c>
      <c r="D9" s="152" t="str">
        <f>IFERROR(VLOOKUP($A9,Sheet1!$A$1:$B$98,2,0),"")</f>
        <v>Tôm viên KK</v>
      </c>
      <c r="E9" s="30">
        <f>IFERROR(VLOOKUP($A9,'Tổng Đơn'!$A$5:$E$74,5,0),"")</f>
        <v>0.5</v>
      </c>
      <c r="F9" s="30">
        <f t="shared" si="1"/>
        <v>1</v>
      </c>
      <c r="G9" s="163">
        <f>IF(AND($C9="",$C8&lt;&gt;""),"Tổng Cộng",IFERROR(VLOOKUP($A9,Sheet1!$A$1:$D$98,4,0),""))</f>
        <v>28000</v>
      </c>
      <c r="H9" s="153">
        <f>IF($C8=MAX($C$8:$C$56),SUM($H$8:$H8),IFERROR($G9*$F9,""))</f>
        <v>28000</v>
      </c>
      <c r="I9" s="55">
        <f t="shared" si="2"/>
        <v>0.5</v>
      </c>
      <c r="L9" s="31"/>
    </row>
    <row r="10" spans="1:14" s="29" customFormat="1" ht="14.25" customHeight="1" x14ac:dyDescent="0.25">
      <c r="A10" s="155">
        <v>62</v>
      </c>
      <c r="B10" s="155">
        <v>3</v>
      </c>
      <c r="C10" s="30">
        <f t="shared" si="0"/>
        <v>3</v>
      </c>
      <c r="D10" s="152" t="str">
        <f>IFERROR(VLOOKUP($A10,Sheet1!$A$1:$B$98,2,0),"")</f>
        <v>XX Đức KK</v>
      </c>
      <c r="E10" s="30">
        <f>IFERROR(VLOOKUP($A10,'Tổng Đơn'!$A$5:$E$74,5,0),"")</f>
        <v>0.5</v>
      </c>
      <c r="F10" s="30">
        <f t="shared" si="1"/>
        <v>3</v>
      </c>
      <c r="G10" s="163">
        <f>IF(AND($C10="",$C9&lt;&gt;""),"Tổng Cộng",IFERROR(VLOOKUP($A10,Sheet1!$A$1:$D$98,4,0),""))</f>
        <v>35000</v>
      </c>
      <c r="H10" s="153">
        <f>IF($C9=MAX($C$8:$C$56),SUM($H$8:$H9),IFERROR($G10*$F10,""))</f>
        <v>105000</v>
      </c>
      <c r="I10" s="55">
        <f t="shared" si="2"/>
        <v>1.5</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158000</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89" priority="16">
      <formula>$C19=MAX($C$8:$C$37)</formula>
    </cfRule>
  </conditionalFormatting>
  <conditionalFormatting sqref="C20:C37">
    <cfRule type="expression" dxfId="88" priority="15">
      <formula>$C19=MAX($C$8:$C$37)</formula>
    </cfRule>
  </conditionalFormatting>
  <conditionalFormatting sqref="E20:E38">
    <cfRule type="expression" dxfId="87" priority="17">
      <formula>AND($A20="",$F20&lt;&gt;"")</formula>
    </cfRule>
  </conditionalFormatting>
  <conditionalFormatting sqref="F20:F38">
    <cfRule type="expression" dxfId="86" priority="18">
      <formula>AND($F20="",$A20&lt;&gt;"")</formula>
    </cfRule>
  </conditionalFormatting>
  <conditionalFormatting sqref="D17:H19">
    <cfRule type="expression" dxfId="85" priority="12">
      <formula>$C16=MAX($C$8:$C$37)</formula>
    </cfRule>
  </conditionalFormatting>
  <conditionalFormatting sqref="C17:C19">
    <cfRule type="expression" dxfId="84" priority="11">
      <formula>$C16=MAX($C$8:$C$37)</formula>
    </cfRule>
  </conditionalFormatting>
  <conditionalFormatting sqref="E17:E19">
    <cfRule type="expression" dxfId="83" priority="13">
      <formula>AND($A17="",$F17&lt;&gt;"")</formula>
    </cfRule>
  </conditionalFormatting>
  <conditionalFormatting sqref="F17:F19">
    <cfRule type="expression" dxfId="82" priority="14">
      <formula>AND($F17="",$A17&lt;&gt;"")</formula>
    </cfRule>
  </conditionalFormatting>
  <conditionalFormatting sqref="D15:H16 D9:G14">
    <cfRule type="expression" dxfId="81" priority="8">
      <formula>$C8=MAX($C$8:$C$37)</formula>
    </cfRule>
  </conditionalFormatting>
  <conditionalFormatting sqref="C9:C16">
    <cfRule type="expression" dxfId="80" priority="7">
      <formula>$C8=MAX($C$8:$C$37)</formula>
    </cfRule>
  </conditionalFormatting>
  <conditionalFormatting sqref="E9:E16">
    <cfRule type="expression" dxfId="79" priority="9">
      <formula>AND($A9="",$F9&lt;&gt;"")</formula>
    </cfRule>
  </conditionalFormatting>
  <conditionalFormatting sqref="F9:F16">
    <cfRule type="expression" dxfId="78" priority="10">
      <formula>AND($F9="",$A9&lt;&gt;"")</formula>
    </cfRule>
  </conditionalFormatting>
  <conditionalFormatting sqref="D8:G8">
    <cfRule type="expression" dxfId="77" priority="4">
      <formula>$C7=MAX($C$8:$C$37)</formula>
    </cfRule>
  </conditionalFormatting>
  <conditionalFormatting sqref="C8">
    <cfRule type="expression" dxfId="76" priority="3">
      <formula>$C7=MAX($C$8:$C$37)</formula>
    </cfRule>
  </conditionalFormatting>
  <conditionalFormatting sqref="E8">
    <cfRule type="expression" dxfId="75" priority="5">
      <formula>AND($A8="",$F8&lt;&gt;"")</formula>
    </cfRule>
  </conditionalFormatting>
  <conditionalFormatting sqref="F8">
    <cfRule type="expression" dxfId="74" priority="6">
      <formula>AND($F8="",$A8&lt;&gt;"")</formula>
    </cfRule>
  </conditionalFormatting>
  <conditionalFormatting sqref="H9:H14">
    <cfRule type="expression" dxfId="73" priority="2">
      <formula>$C8=MAX($C$8:$C$37)</formula>
    </cfRule>
  </conditionalFormatting>
  <conditionalFormatting sqref="H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6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306</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52</v>
      </c>
      <c r="B8" s="155">
        <v>1</v>
      </c>
      <c r="C8" s="30">
        <f t="shared" ref="C8:C37" si="0">IF(OR(SUM($C7,$A8&lt;&gt;"")=0,$A8=""),"",SUM($C7,$A8&lt;&gt;""))</f>
        <v>1</v>
      </c>
      <c r="D8" s="152" t="str">
        <f>IFERROR(VLOOKUP($A8,Sheet1!$A$1:$B$98,2,0),"")</f>
        <v>Gà viên phô mai</v>
      </c>
      <c r="E8" s="30">
        <f>IFERROR(VLOOKUP($A8,'Tổng Đơn'!$A$5:$E$73,5,0),"")</f>
        <v>0.5</v>
      </c>
      <c r="F8" s="30">
        <f t="shared" ref="F8:F37" si="1">IF($B8="","",B8)</f>
        <v>1</v>
      </c>
      <c r="G8" s="163">
        <f>IFERROR(VLOOKUP($A8,Sheet1!$A1:$D$98,4,0),"")</f>
        <v>54000</v>
      </c>
      <c r="H8" s="153">
        <f>IF($C7=MAX($C$8:$C$56),SUM($H7:$H$8),IFERROR($G8*$F8,""))</f>
        <v>54000</v>
      </c>
      <c r="I8" s="55">
        <f t="shared" ref="I8:I37" si="2">IF(TYPE($A8)&lt;&gt;1,"",IFERROR(F8*E8,""))</f>
        <v>0.5</v>
      </c>
      <c r="L8" s="32"/>
    </row>
    <row r="9" spans="1:14" s="29" customFormat="1" ht="14.25" customHeight="1" x14ac:dyDescent="0.25">
      <c r="A9" s="155">
        <v>59</v>
      </c>
      <c r="B9" s="155">
        <v>1</v>
      </c>
      <c r="C9" s="30">
        <f t="shared" si="0"/>
        <v>2</v>
      </c>
      <c r="D9" s="152" t="str">
        <f>IFERROR(VLOOKUP($A9,Sheet1!$A$1:$B$98,2,0),"")</f>
        <v>Bò viên KK</v>
      </c>
      <c r="E9" s="30">
        <f>IFERROR(VLOOKUP($A9,'Tổng Đơn'!$A$5:$E$74,5,0),"")</f>
        <v>0.5</v>
      </c>
      <c r="F9" s="30">
        <f t="shared" si="1"/>
        <v>1</v>
      </c>
      <c r="G9" s="163">
        <f>IF(AND($C9="",$C8&lt;&gt;""),"Tổng Cộng",IFERROR(VLOOKUP($A9,Sheet1!$A$1:$D$98,4,0),""))</f>
        <v>28000</v>
      </c>
      <c r="H9" s="153">
        <f>IF($C8=MAX($C$8:$C$56),SUM($H$8:$H8),IFERROR($G9*$F9,""))</f>
        <v>28000</v>
      </c>
      <c r="I9" s="55">
        <f t="shared" si="2"/>
        <v>0.5</v>
      </c>
      <c r="L9" s="31"/>
    </row>
    <row r="10" spans="1:14" s="29" customFormat="1" ht="14.25" customHeight="1" x14ac:dyDescent="0.25">
      <c r="A10" s="155">
        <v>60</v>
      </c>
      <c r="B10" s="155">
        <v>1</v>
      </c>
      <c r="C10" s="30">
        <f t="shared" si="0"/>
        <v>3</v>
      </c>
      <c r="D10" s="152" t="str">
        <f>IFERROR(VLOOKUP($A10,Sheet1!$A$1:$B$98,2,0),"")</f>
        <v>Tôm viên KK</v>
      </c>
      <c r="E10" s="30">
        <f>IFERROR(VLOOKUP($A10,'Tổng Đơn'!$A$5:$E$74,5,0),"")</f>
        <v>0.5</v>
      </c>
      <c r="F10" s="30">
        <f t="shared" si="1"/>
        <v>1</v>
      </c>
      <c r="G10" s="163">
        <f>IF(AND($C10="",$C9&lt;&gt;""),"Tổng Cộng",IFERROR(VLOOKUP($A10,Sheet1!$A$1:$D$98,4,0),""))</f>
        <v>28000</v>
      </c>
      <c r="H10" s="153">
        <f>IF($C9=MAX($C$8:$C$56),SUM($H$8:$H9),IFERROR($G10*$F10,""))</f>
        <v>28000</v>
      </c>
      <c r="I10" s="55">
        <f t="shared" si="2"/>
        <v>0.5</v>
      </c>
      <c r="L10" s="31"/>
    </row>
    <row r="11" spans="1:14" s="29" customFormat="1" ht="14.25" customHeight="1" x14ac:dyDescent="0.25">
      <c r="A11" s="155">
        <v>66</v>
      </c>
      <c r="B11" s="155">
        <v>1</v>
      </c>
      <c r="C11" s="30">
        <f t="shared" si="0"/>
        <v>4</v>
      </c>
      <c r="D11" s="152" t="str">
        <f>IFERROR(VLOOKUP($A11,Sheet1!$A$1:$B$98,2,0),"")</f>
        <v>XX Yummy</v>
      </c>
      <c r="E11" s="30">
        <f>IFERROR(VLOOKUP($A11,'Tổng Đơn'!$A$5:$E$74,5,0),"")</f>
        <v>0.5</v>
      </c>
      <c r="F11" s="30">
        <f t="shared" si="1"/>
        <v>1</v>
      </c>
      <c r="G11" s="163">
        <f>IF(AND($C11="",$C10&lt;&gt;""),"Tổng Cộng",IFERROR(VLOOKUP($A11,Sheet1!$A$1:$D$98,4,0),""))</f>
        <v>40000</v>
      </c>
      <c r="H11" s="153">
        <f>IF($C10=MAX($C$8:$C$56),SUM($H$8:$H10),IFERROR($G11*$F11,""))</f>
        <v>40000</v>
      </c>
      <c r="I11" s="55">
        <f t="shared" si="2"/>
        <v>0.5</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Tổng Cộng</v>
      </c>
      <c r="H12" s="153">
        <f>IF($C11=MAX($C$8:$C$56),SUM($H$8:$H11),IFERROR($G12*$F12,""))</f>
        <v>150000</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71" priority="16">
      <formula>$C19=MAX($C$8:$C$37)</formula>
    </cfRule>
  </conditionalFormatting>
  <conditionalFormatting sqref="C20:C37">
    <cfRule type="expression" dxfId="70" priority="15">
      <formula>$C19=MAX($C$8:$C$37)</formula>
    </cfRule>
  </conditionalFormatting>
  <conditionalFormatting sqref="E20:E38">
    <cfRule type="expression" dxfId="69" priority="17">
      <formula>AND($A20="",$F20&lt;&gt;"")</formula>
    </cfRule>
  </conditionalFormatting>
  <conditionalFormatting sqref="F20:F38">
    <cfRule type="expression" dxfId="68" priority="18">
      <formula>AND($F20="",$A20&lt;&gt;"")</formula>
    </cfRule>
  </conditionalFormatting>
  <conditionalFormatting sqref="D17:H19">
    <cfRule type="expression" dxfId="67" priority="12">
      <formula>$C16=MAX($C$8:$C$37)</formula>
    </cfRule>
  </conditionalFormatting>
  <conditionalFormatting sqref="C17:C19">
    <cfRule type="expression" dxfId="66" priority="11">
      <formula>$C16=MAX($C$8:$C$37)</formula>
    </cfRule>
  </conditionalFormatting>
  <conditionalFormatting sqref="E17:E19">
    <cfRule type="expression" dxfId="65" priority="13">
      <formula>AND($A17="",$F17&lt;&gt;"")</formula>
    </cfRule>
  </conditionalFormatting>
  <conditionalFormatting sqref="F17:F19">
    <cfRule type="expression" dxfId="64" priority="14">
      <formula>AND($F17="",$A17&lt;&gt;"")</formula>
    </cfRule>
  </conditionalFormatting>
  <conditionalFormatting sqref="D15:H16 D9:G14">
    <cfRule type="expression" dxfId="63" priority="8">
      <formula>$C8=MAX($C$8:$C$37)</formula>
    </cfRule>
  </conditionalFormatting>
  <conditionalFormatting sqref="C9:C16">
    <cfRule type="expression" dxfId="62" priority="7">
      <formula>$C8=MAX($C$8:$C$37)</formula>
    </cfRule>
  </conditionalFormatting>
  <conditionalFormatting sqref="E9:E16">
    <cfRule type="expression" dxfId="61" priority="9">
      <formula>AND($A9="",$F9&lt;&gt;"")</formula>
    </cfRule>
  </conditionalFormatting>
  <conditionalFormatting sqref="F9:F16">
    <cfRule type="expression" dxfId="60" priority="10">
      <formula>AND($F9="",$A9&lt;&gt;"")</formula>
    </cfRule>
  </conditionalFormatting>
  <conditionalFormatting sqref="D8:G8">
    <cfRule type="expression" dxfId="59" priority="4">
      <formula>$C7=MAX($C$8:$C$37)</formula>
    </cfRule>
  </conditionalFormatting>
  <conditionalFormatting sqref="C8">
    <cfRule type="expression" dxfId="58" priority="3">
      <formula>$C7=MAX($C$8:$C$37)</formula>
    </cfRule>
  </conditionalFormatting>
  <conditionalFormatting sqref="E8">
    <cfRule type="expression" dxfId="57" priority="5">
      <formula>AND($A8="",$F8&lt;&gt;"")</formula>
    </cfRule>
  </conditionalFormatting>
  <conditionalFormatting sqref="F8">
    <cfRule type="expression" dxfId="56" priority="6">
      <formula>AND($F8="",$A8&lt;&gt;"")</formula>
    </cfRule>
  </conditionalFormatting>
  <conditionalFormatting sqref="H9:H14">
    <cfRule type="expression" dxfId="55" priority="2">
      <formula>$C8=MAX($C$8:$C$37)</formula>
    </cfRule>
  </conditionalFormatting>
  <conditionalFormatting sqref="H8">
    <cfRule type="expression" dxfId="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4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tabSelected="1" zoomScaleNormal="100" workbookViewId="0">
      <pane ySplit="7" topLeftCell="A8" activePane="bottomLeft" state="frozen"/>
      <selection activeCell="L2" sqref="L2:L29"/>
      <selection pane="bottomLeft" activeCell="A9" sqref="A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308</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45</v>
      </c>
      <c r="B8" s="155">
        <v>1</v>
      </c>
      <c r="C8" s="30">
        <f t="shared" ref="C8:C37" si="0">IF(OR(SUM($C7,$A8&lt;&gt;"")=0,$A8=""),"",SUM($C7,$A8&lt;&gt;""))</f>
        <v>1</v>
      </c>
      <c r="D8" s="152" t="str">
        <f>IFERROR(VLOOKUP($A8,Sheet1!$A$1:$B$98,2,0),"")</f>
        <v>Sủi cảo</v>
      </c>
      <c r="E8" s="30">
        <f>IFERROR(VLOOKUP($A8,'Tổng Đơn'!$A$5:$E$73,5,0),"")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v>15</v>
      </c>
      <c r="B9" s="155">
        <v>1</v>
      </c>
      <c r="C9" s="30">
        <f t="shared" si="0"/>
        <v>2</v>
      </c>
      <c r="D9" s="152" t="str">
        <f>IFERROR(VLOOKUP($A9,Sheet1!$A$1:$B$98,2,0),"")</f>
        <v>Phô mai que (13 que)</v>
      </c>
      <c r="E9" s="30">
        <f>IFERROR(VLOOKUP($A9,'Tổng Đơn'!$A$5:$E$74,5,0),"")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64</v>
      </c>
      <c r="B10" s="155">
        <v>1</v>
      </c>
      <c r="C10" s="30">
        <f t="shared" si="0"/>
        <v>3</v>
      </c>
      <c r="D10" s="152" t="str">
        <f>IFERROR(VLOOKUP($A10,Sheet1!$A$1:$B$98,2,0),"")</f>
        <v>Bánh bao thả lẩu Trứng cá KK</v>
      </c>
      <c r="E10" s="30">
        <f>IFERROR(VLOOKUP($A10,'Tổng Đơn'!$A$5:$E$74,5,0),"")</f>
        <v>0.5</v>
      </c>
      <c r="F10" s="30">
        <f t="shared" si="1"/>
        <v>1</v>
      </c>
      <c r="G10" s="163">
        <f>IF(AND($C10="",$C9&lt;&gt;""),"Tổng Cộng",IFERROR(VLOOKUP($A10,Sheet1!$A$1:$D$98,4,0),""))</f>
        <v>45000</v>
      </c>
      <c r="H10" s="153">
        <f>IF($C9=MAX($C$8:$C$56),SUM($H$8:$H9),IFERROR($G10*$F10,""))</f>
        <v>45000</v>
      </c>
      <c r="I10" s="55">
        <f t="shared" si="2"/>
        <v>0.5</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120000</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53" priority="16">
      <formula>$C19=MAX($C$8:$C$37)</formula>
    </cfRule>
  </conditionalFormatting>
  <conditionalFormatting sqref="C20:C37">
    <cfRule type="expression" dxfId="52" priority="15">
      <formula>$C19=MAX($C$8:$C$37)</formula>
    </cfRule>
  </conditionalFormatting>
  <conditionalFormatting sqref="E20:E38">
    <cfRule type="expression" dxfId="51" priority="17">
      <formula>AND($A20="",$F20&lt;&gt;"")</formula>
    </cfRule>
  </conditionalFormatting>
  <conditionalFormatting sqref="F20:F38">
    <cfRule type="expression" dxfId="50" priority="18">
      <formula>AND($F20="",$A20&lt;&gt;"")</formula>
    </cfRule>
  </conditionalFormatting>
  <conditionalFormatting sqref="D17:H19">
    <cfRule type="expression" dxfId="49" priority="12">
      <formula>$C16=MAX($C$8:$C$37)</formula>
    </cfRule>
  </conditionalFormatting>
  <conditionalFormatting sqref="C17:C19">
    <cfRule type="expression" dxfId="48" priority="11">
      <formula>$C16=MAX($C$8:$C$37)</formula>
    </cfRule>
  </conditionalFormatting>
  <conditionalFormatting sqref="E17:E19">
    <cfRule type="expression" dxfId="47" priority="13">
      <formula>AND($A17="",$F17&lt;&gt;"")</formula>
    </cfRule>
  </conditionalFormatting>
  <conditionalFormatting sqref="F17:F19">
    <cfRule type="expression" dxfId="46" priority="14">
      <formula>AND($F17="",$A17&lt;&gt;"")</formula>
    </cfRule>
  </conditionalFormatting>
  <conditionalFormatting sqref="D15:H16 D9:G14">
    <cfRule type="expression" dxfId="45" priority="8">
      <formula>$C8=MAX($C$8:$C$37)</formula>
    </cfRule>
  </conditionalFormatting>
  <conditionalFormatting sqref="C9:C16">
    <cfRule type="expression" dxfId="44" priority="7">
      <formula>$C8=MAX($C$8:$C$37)</formula>
    </cfRule>
  </conditionalFormatting>
  <conditionalFormatting sqref="E9:E16">
    <cfRule type="expression" dxfId="43" priority="9">
      <formula>AND($A9="",$F9&lt;&gt;"")</formula>
    </cfRule>
  </conditionalFormatting>
  <conditionalFormatting sqref="F9:F16">
    <cfRule type="expression" dxfId="42" priority="10">
      <formula>AND($F9="",$A9&lt;&gt;"")</formula>
    </cfRule>
  </conditionalFormatting>
  <conditionalFormatting sqref="D8:G8">
    <cfRule type="expression" dxfId="41" priority="4">
      <formula>$C7=MAX($C$8:$C$37)</formula>
    </cfRule>
  </conditionalFormatting>
  <conditionalFormatting sqref="C8">
    <cfRule type="expression" dxfId="40" priority="3">
      <formula>$C7=MAX($C$8:$C$37)</formula>
    </cfRule>
  </conditionalFormatting>
  <conditionalFormatting sqref="E8">
    <cfRule type="expression" dxfId="39" priority="5">
      <formula>AND($A8="",$F8&lt;&gt;"")</formula>
    </cfRule>
  </conditionalFormatting>
  <conditionalFormatting sqref="F8">
    <cfRule type="expression" dxfId="38" priority="6">
      <formula>AND($F8="",$A8&lt;&gt;"")</formula>
    </cfRule>
  </conditionalFormatting>
  <conditionalFormatting sqref="H9:H14">
    <cfRule type="expression" dxfId="37" priority="2">
      <formula>$C8=MAX($C$8:$C$37)</formula>
    </cfRule>
  </conditionalFormatting>
  <conditionalFormatting sqref="H8">
    <cfRule type="expression" dxfId="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3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307</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Đơn'!$A$5:$E$73,5,0),"")</f>
        <v>0.5</v>
      </c>
      <c r="F8" s="30">
        <f t="shared" ref="F8:F37" si="1">IF($B8="","",B8)</f>
        <v>1</v>
      </c>
      <c r="G8" s="163">
        <f>IFERROR(VLOOKUP($A8,Sheet1!$A1:$D$98,4,0),"")</f>
        <v>38000</v>
      </c>
      <c r="H8" s="153">
        <f>IF($C7=MAX($C$8:$C$56),SUM($H7:$H$8),IFERROR($G8*$F8,""))</f>
        <v>38000</v>
      </c>
      <c r="I8" s="55">
        <f t="shared" ref="I8:I37" si="2">IF(TYPE($A8)&lt;&gt;1,"",IFERROR(F8*E8,""))</f>
        <v>0.5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38000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35" priority="16">
      <formula>$C19=MAX($C$8:$C$37)</formula>
    </cfRule>
  </conditionalFormatting>
  <conditionalFormatting sqref="C20:C37">
    <cfRule type="expression" dxfId="34" priority="15">
      <formula>$C19=MAX($C$8:$C$37)</formula>
    </cfRule>
  </conditionalFormatting>
  <conditionalFormatting sqref="E20:E38">
    <cfRule type="expression" dxfId="33" priority="17">
      <formula>AND($A20="",$F20&lt;&gt;"")</formula>
    </cfRule>
  </conditionalFormatting>
  <conditionalFormatting sqref="F20:F38">
    <cfRule type="expression" dxfId="32" priority="18">
      <formula>AND($F20="",$A20&lt;&gt;"")</formula>
    </cfRule>
  </conditionalFormatting>
  <conditionalFormatting sqref="D17:H19">
    <cfRule type="expression" dxfId="31" priority="12">
      <formula>$C16=MAX($C$8:$C$37)</formula>
    </cfRule>
  </conditionalFormatting>
  <conditionalFormatting sqref="C17:C19">
    <cfRule type="expression" dxfId="30" priority="11">
      <formula>$C16=MAX($C$8:$C$37)</formula>
    </cfRule>
  </conditionalFormatting>
  <conditionalFormatting sqref="E17:E19">
    <cfRule type="expression" dxfId="29" priority="13">
      <formula>AND($A17="",$F17&lt;&gt;"")</formula>
    </cfRule>
  </conditionalFormatting>
  <conditionalFormatting sqref="F17:F19">
    <cfRule type="expression" dxfId="28" priority="14">
      <formula>AND($F17="",$A17&lt;&gt;"")</formula>
    </cfRule>
  </conditionalFormatting>
  <conditionalFormatting sqref="D15:H16 D9:G14">
    <cfRule type="expression" dxfId="27" priority="8">
      <formula>$C8=MAX($C$8:$C$37)</formula>
    </cfRule>
  </conditionalFormatting>
  <conditionalFormatting sqref="C9:C16">
    <cfRule type="expression" dxfId="26" priority="7">
      <formula>$C8=MAX($C$8:$C$37)</formula>
    </cfRule>
  </conditionalFormatting>
  <conditionalFormatting sqref="E9:E16">
    <cfRule type="expression" dxfId="25" priority="9">
      <formula>AND($A9="",$F9&lt;&gt;"")</formula>
    </cfRule>
  </conditionalFormatting>
  <conditionalFormatting sqref="F9:F16">
    <cfRule type="expression" dxfId="24" priority="10">
      <formula>AND($F9="",$A9&lt;&gt;"")</formula>
    </cfRule>
  </conditionalFormatting>
  <conditionalFormatting sqref="D8:G8">
    <cfRule type="expression" dxfId="23" priority="4">
      <formula>$C7=MAX($C$8:$C$37)</formula>
    </cfRule>
  </conditionalFormatting>
  <conditionalFormatting sqref="C8">
    <cfRule type="expression" dxfId="22" priority="3">
      <formula>$C7=MAX($C$8:$C$37)</formula>
    </cfRule>
  </conditionalFormatting>
  <conditionalFormatting sqref="E8">
    <cfRule type="expression" dxfId="21" priority="5">
      <formula>AND($A8="",$F8&lt;&gt;"")</formula>
    </cfRule>
  </conditionalFormatting>
  <conditionalFormatting sqref="F8">
    <cfRule type="expression" dxfId="20" priority="6">
      <formula>AND($F8="",$A8&lt;&gt;"")</formula>
    </cfRule>
  </conditionalFormatting>
  <conditionalFormatting sqref="H9:H14">
    <cfRule type="expression" dxfId="19" priority="2">
      <formula>$C8=MAX($C$8:$C$37)</formula>
    </cfRule>
  </conditionalFormatting>
  <conditionalFormatting sqref="H8">
    <cfRule type="expression" dxfId="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2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297</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Đơn'!$A$5:$E$74,5,0),"")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51000</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 priority="16">
      <formula>$C19=MAX($C$8:$C$37)</formula>
    </cfRule>
  </conditionalFormatting>
  <conditionalFormatting sqref="C20:C37">
    <cfRule type="expression" dxfId="16" priority="15">
      <formula>$C19=MAX($C$8:$C$37)</formula>
    </cfRule>
  </conditionalFormatting>
  <conditionalFormatting sqref="E20:E38">
    <cfRule type="expression" dxfId="15" priority="17">
      <formula>AND($A20="",$F20&lt;&gt;"")</formula>
    </cfRule>
  </conditionalFormatting>
  <conditionalFormatting sqref="F20:F38">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1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2022-07-18T00:44:45Z</dcterms:modified>
</cp:coreProperties>
</file>