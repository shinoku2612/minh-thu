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7)" sheetId="167" r:id="rId13"/>
    <sheet name="Thanh Toán (16)" sheetId="166" r:id="rId14"/>
    <sheet name="Thanh Toán (15)" sheetId="165" r:id="rId15"/>
    <sheet name="Thanh Toán (14)" sheetId="164" r:id="rId16"/>
    <sheet name="Thanh Toán (13)" sheetId="163" r:id="rId17"/>
    <sheet name="Thanh Toán (12)" sheetId="162" r:id="rId18"/>
    <sheet name="Thanh Toán (11)" sheetId="161" r:id="rId19"/>
    <sheet name="Thanh Toán (10)" sheetId="160" r:id="rId20"/>
    <sheet name="Thanh Toán (9)" sheetId="159" r:id="rId21"/>
    <sheet name="Thanh Toán (8)" sheetId="158" r:id="rId22"/>
    <sheet name="Thanh Toán (7)" sheetId="157" r:id="rId23"/>
    <sheet name="Thanh Toán (6)" sheetId="156" r:id="rId24"/>
    <sheet name="Thanh Toán (5)" sheetId="155" r:id="rId25"/>
    <sheet name="Thanh Toán (4)" sheetId="154" r:id="rId26"/>
    <sheet name="Thanh Toán (3)" sheetId="152" r:id="rId27"/>
    <sheet name="Thanh Toán (2)" sheetId="151"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7" l="1"/>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F10" i="167"/>
  <c r="E10" i="167"/>
  <c r="I10" i="167" s="1"/>
  <c r="D10" i="167"/>
  <c r="F9" i="167"/>
  <c r="I9" i="167" s="1"/>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I8" i="166"/>
  <c r="I7" i="166" s="1"/>
  <c r="G8" i="166"/>
  <c r="F8" i="166"/>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0" i="165"/>
  <c r="E10" i="165"/>
  <c r="I10" i="165" s="1"/>
  <c r="D10" i="165"/>
  <c r="F9" i="165"/>
  <c r="I9" i="165" s="1"/>
  <c r="E9" i="165"/>
  <c r="D9" i="165"/>
  <c r="G8" i="165"/>
  <c r="F8" i="165"/>
  <c r="E8" i="165"/>
  <c r="I8"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P7" i="137"/>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F10" i="162"/>
  <c r="E10" i="162"/>
  <c r="I10" i="162" s="1"/>
  <c r="D10" i="162"/>
  <c r="F9" i="162"/>
  <c r="E9" i="162"/>
  <c r="I9" i="162" s="1"/>
  <c r="D9" i="162"/>
  <c r="G8" i="162"/>
  <c r="F8" i="162"/>
  <c r="E8" i="162"/>
  <c r="I8"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1" i="160"/>
  <c r="F11" i="160"/>
  <c r="E11" i="160"/>
  <c r="D11" i="160"/>
  <c r="I10" i="160"/>
  <c r="F10" i="160"/>
  <c r="E10" i="160"/>
  <c r="D10" i="160"/>
  <c r="I9" i="160"/>
  <c r="F9" i="160"/>
  <c r="E9" i="160"/>
  <c r="D9" i="160"/>
  <c r="G8" i="160"/>
  <c r="F8" i="160"/>
  <c r="E8" i="160"/>
  <c r="I8" i="160" s="1"/>
  <c r="D8" i="160"/>
  <c r="C8" i="160"/>
  <c r="C9" i="160" s="1"/>
  <c r="E7" i="160"/>
  <c r="G6" i="160"/>
  <c r="I2" i="95"/>
  <c r="A2" i="1"/>
  <c r="F26" i="1"/>
  <c r="F25" i="1"/>
  <c r="F18" i="1"/>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9" i="156"/>
  <c r="F9" i="156"/>
  <c r="E9" i="156"/>
  <c r="D9" i="156"/>
  <c r="I8"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G8" i="155"/>
  <c r="F8" i="155"/>
  <c r="I8" i="155" s="1"/>
  <c r="E8" i="155"/>
  <c r="D8" i="155"/>
  <c r="C8" i="155"/>
  <c r="C9" i="155" s="1"/>
  <c r="E7" i="155"/>
  <c r="G6" i="155"/>
  <c r="G9" i="167" l="1"/>
  <c r="C10" i="167"/>
  <c r="G9" i="166"/>
  <c r="C10" i="166"/>
  <c r="I7" i="161"/>
  <c r="G9" i="165"/>
  <c r="C10" i="165"/>
  <c r="I7" i="165"/>
  <c r="G9" i="164"/>
  <c r="C10" i="164"/>
  <c r="G9" i="163"/>
  <c r="C10" i="163"/>
  <c r="I11" i="162"/>
  <c r="I7" i="162" s="1"/>
  <c r="G9" i="162"/>
  <c r="C10" i="162"/>
  <c r="G9" i="161"/>
  <c r="C10" i="161"/>
  <c r="I12" i="160"/>
  <c r="I7" i="160" s="1"/>
  <c r="G9" i="160"/>
  <c r="C10" i="160"/>
  <c r="G9" i="159"/>
  <c r="C10" i="159"/>
  <c r="G9" i="158"/>
  <c r="C10" i="158"/>
  <c r="G9" i="157"/>
  <c r="C10" i="157"/>
  <c r="I10" i="156"/>
  <c r="I7" i="156" s="1"/>
  <c r="G9" i="156"/>
  <c r="C10" i="156"/>
  <c r="I9" i="155"/>
  <c r="I7" i="155" s="1"/>
  <c r="C10" i="155"/>
  <c r="F37" i="154"/>
  <c r="I37" i="154" s="1"/>
  <c r="E37" i="154"/>
  <c r="D37" i="154"/>
  <c r="F36" i="154"/>
  <c r="I36" i="154" s="1"/>
  <c r="E36" i="154"/>
  <c r="D36" i="154"/>
  <c r="F35" i="154"/>
  <c r="I35" i="154" s="1"/>
  <c r="E35" i="154"/>
  <c r="D35" i="154"/>
  <c r="F34" i="154"/>
  <c r="E34" i="154"/>
  <c r="I34" i="154" s="1"/>
  <c r="D34" i="154"/>
  <c r="F33" i="154"/>
  <c r="E33" i="154"/>
  <c r="I33" i="154" s="1"/>
  <c r="D33" i="154"/>
  <c r="F32" i="154"/>
  <c r="I32" i="154" s="1"/>
  <c r="E32" i="154"/>
  <c r="D32" i="154"/>
  <c r="F31" i="154"/>
  <c r="I31" i="154" s="1"/>
  <c r="E31" i="154"/>
  <c r="D31" i="154"/>
  <c r="F30" i="154"/>
  <c r="E30" i="154"/>
  <c r="I30" i="154" s="1"/>
  <c r="D30" i="154"/>
  <c r="F29" i="154"/>
  <c r="E29" i="154"/>
  <c r="I29" i="154" s="1"/>
  <c r="D29" i="154"/>
  <c r="F28" i="154"/>
  <c r="I28" i="154" s="1"/>
  <c r="E28" i="154"/>
  <c r="D28" i="154"/>
  <c r="F27" i="154"/>
  <c r="I27" i="154" s="1"/>
  <c r="E27" i="154"/>
  <c r="D27" i="154"/>
  <c r="F26" i="154"/>
  <c r="E26" i="154"/>
  <c r="I26" i="154" s="1"/>
  <c r="D26" i="154"/>
  <c r="F25" i="154"/>
  <c r="E25" i="154"/>
  <c r="I25" i="154" s="1"/>
  <c r="D25" i="154"/>
  <c r="F24" i="154"/>
  <c r="I24" i="154" s="1"/>
  <c r="E24" i="154"/>
  <c r="D24" i="154"/>
  <c r="F23" i="154"/>
  <c r="I23" i="154" s="1"/>
  <c r="E23" i="154"/>
  <c r="D23" i="154"/>
  <c r="F22" i="154"/>
  <c r="E22" i="154"/>
  <c r="I22" i="154" s="1"/>
  <c r="D22" i="154"/>
  <c r="F21" i="154"/>
  <c r="E21" i="154"/>
  <c r="I21" i="154" s="1"/>
  <c r="D21" i="154"/>
  <c r="F20" i="154"/>
  <c r="I20" i="154" s="1"/>
  <c r="E20" i="154"/>
  <c r="D20" i="154"/>
  <c r="F19" i="154"/>
  <c r="I19" i="154" s="1"/>
  <c r="E19" i="154"/>
  <c r="D19" i="154"/>
  <c r="F18" i="154"/>
  <c r="E18" i="154"/>
  <c r="I18" i="154" s="1"/>
  <c r="D18" i="154"/>
  <c r="F17" i="154"/>
  <c r="E17" i="154"/>
  <c r="I17" i="154" s="1"/>
  <c r="D17" i="154"/>
  <c r="F16" i="154"/>
  <c r="I16" i="154" s="1"/>
  <c r="E16" i="154"/>
  <c r="D16" i="154"/>
  <c r="F15" i="154"/>
  <c r="I15" i="154" s="1"/>
  <c r="E15" i="154"/>
  <c r="D15" i="154"/>
  <c r="F14" i="154"/>
  <c r="E14" i="154"/>
  <c r="I14" i="154" s="1"/>
  <c r="D14" i="154"/>
  <c r="F13" i="154"/>
  <c r="I13" i="154" s="1"/>
  <c r="E13" i="154"/>
  <c r="D13" i="154"/>
  <c r="I12" i="154"/>
  <c r="F11" i="154"/>
  <c r="I11" i="154" s="1"/>
  <c r="E11" i="154"/>
  <c r="D11" i="154"/>
  <c r="F10" i="154"/>
  <c r="E10" i="154"/>
  <c r="I10" i="154" s="1"/>
  <c r="D10" i="154"/>
  <c r="F9" i="154"/>
  <c r="I9" i="154" s="1"/>
  <c r="E9" i="154"/>
  <c r="D9" i="154"/>
  <c r="G8" i="154"/>
  <c r="F8" i="154"/>
  <c r="I8" i="154" s="1"/>
  <c r="E8" i="154"/>
  <c r="D8" i="154"/>
  <c r="C8" i="154"/>
  <c r="C9" i="154" s="1"/>
  <c r="E7" i="154"/>
  <c r="G6" i="154"/>
  <c r="D12" i="9"/>
  <c r="E12" i="9"/>
  <c r="F12" i="9"/>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5" i="152"/>
  <c r="I15" i="152" s="1"/>
  <c r="E15" i="152"/>
  <c r="D15" i="152"/>
  <c r="F14" i="152"/>
  <c r="E14" i="152"/>
  <c r="I14" i="152" s="1"/>
  <c r="D14" i="152"/>
  <c r="F13" i="152"/>
  <c r="E13" i="152"/>
  <c r="I13" i="152" s="1"/>
  <c r="D13" i="152"/>
  <c r="F12" i="152"/>
  <c r="I12" i="152" s="1"/>
  <c r="E12" i="152"/>
  <c r="D12" i="152"/>
  <c r="F11" i="152"/>
  <c r="I11" i="152" s="1"/>
  <c r="E11" i="152"/>
  <c r="D11" i="152"/>
  <c r="F10" i="152"/>
  <c r="E10" i="152"/>
  <c r="I10" i="152" s="1"/>
  <c r="D10" i="152"/>
  <c r="F9" i="152"/>
  <c r="E9" i="152"/>
  <c r="I9" i="152" s="1"/>
  <c r="D9" i="152"/>
  <c r="G8" i="152"/>
  <c r="F8" i="152"/>
  <c r="I8"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2" i="151"/>
  <c r="F12" i="151"/>
  <c r="E12" i="151"/>
  <c r="D12" i="151"/>
  <c r="I11" i="151"/>
  <c r="F11" i="151"/>
  <c r="E11" i="151"/>
  <c r="D11" i="151"/>
  <c r="F10" i="151"/>
  <c r="E10" i="151"/>
  <c r="I10" i="151" s="1"/>
  <c r="D10" i="151"/>
  <c r="F9" i="151"/>
  <c r="I9" i="151" s="1"/>
  <c r="E9" i="151"/>
  <c r="D9" i="151"/>
  <c r="G8" i="151"/>
  <c r="F8" i="151"/>
  <c r="E8" i="151"/>
  <c r="I8" i="151" s="1"/>
  <c r="D8" i="151"/>
  <c r="C8" i="151"/>
  <c r="C9" i="151" s="1"/>
  <c r="E7" i="151"/>
  <c r="G6" i="151"/>
  <c r="G10" i="167" l="1"/>
  <c r="C11" i="167"/>
  <c r="G10" i="166"/>
  <c r="C11" i="166"/>
  <c r="G10" i="165"/>
  <c r="C11" i="165"/>
  <c r="G10" i="164"/>
  <c r="C11" i="164"/>
  <c r="G10" i="163"/>
  <c r="C11" i="163"/>
  <c r="G10" i="162"/>
  <c r="C11" i="162"/>
  <c r="G10" i="161"/>
  <c r="C11" i="161"/>
  <c r="G10" i="160"/>
  <c r="C11" i="160"/>
  <c r="G10" i="159"/>
  <c r="C11" i="159"/>
  <c r="G10" i="158"/>
  <c r="C11" i="158"/>
  <c r="G10" i="157"/>
  <c r="C11" i="157"/>
  <c r="C11" i="156"/>
  <c r="G10" i="155"/>
  <c r="C11" i="155"/>
  <c r="G9" i="154"/>
  <c r="C10" i="154"/>
  <c r="I7" i="154"/>
  <c r="I7" i="152"/>
  <c r="G9" i="152"/>
  <c r="C10" i="152"/>
  <c r="I13" i="151"/>
  <c r="I7" i="151" s="1"/>
  <c r="G9" i="151"/>
  <c r="C10" i="151"/>
  <c r="C12" i="167" l="1"/>
  <c r="G11" i="167"/>
  <c r="C12" i="166"/>
  <c r="G11" i="166"/>
  <c r="C12" i="165"/>
  <c r="G11" i="164"/>
  <c r="C12" i="164"/>
  <c r="C12" i="163"/>
  <c r="G11" i="163"/>
  <c r="C12" i="162"/>
  <c r="C12" i="161"/>
  <c r="G11" i="161"/>
  <c r="C12" i="160"/>
  <c r="G11" i="160"/>
  <c r="C12" i="159"/>
  <c r="G11" i="159"/>
  <c r="C12" i="158"/>
  <c r="G11" i="158"/>
  <c r="G11" i="157"/>
  <c r="C12" i="157"/>
  <c r="C12" i="156"/>
  <c r="G11" i="156"/>
  <c r="C12" i="155"/>
  <c r="G11" i="155"/>
  <c r="G10" i="154"/>
  <c r="C11" i="154"/>
  <c r="G10" i="152"/>
  <c r="C11" i="152"/>
  <c r="G10" i="151"/>
  <c r="C11" i="151"/>
  <c r="D17" i="95"/>
  <c r="C13" i="167" l="1"/>
  <c r="G12" i="167"/>
  <c r="C13" i="166"/>
  <c r="G12" i="166"/>
  <c r="C13" i="165"/>
  <c r="G12" i="165"/>
  <c r="C13" i="164"/>
  <c r="G12" i="164"/>
  <c r="C13" i="163"/>
  <c r="G12" i="163"/>
  <c r="C13" i="162"/>
  <c r="G12" i="162"/>
  <c r="C13" i="161"/>
  <c r="G12" i="161"/>
  <c r="C13" i="160"/>
  <c r="C13" i="159"/>
  <c r="G12" i="159"/>
  <c r="C13" i="158"/>
  <c r="G12" i="158"/>
  <c r="C13" i="157"/>
  <c r="G12" i="157"/>
  <c r="C13" i="156"/>
  <c r="G12" i="156"/>
  <c r="C13" i="155"/>
  <c r="G12" i="155"/>
  <c r="C12" i="154"/>
  <c r="G11" i="154"/>
  <c r="C12" i="152"/>
  <c r="G11" i="152"/>
  <c r="C12" i="151"/>
  <c r="G11" i="151"/>
  <c r="A2" i="4"/>
  <c r="L1" i="95"/>
  <c r="A2" i="137"/>
  <c r="F5" i="137"/>
  <c r="A2" i="150"/>
  <c r="F8" i="4"/>
  <c r="F9" i="150"/>
  <c r="F5" i="150"/>
  <c r="G13" i="167" l="1"/>
  <c r="C14" i="167"/>
  <c r="G13" i="166"/>
  <c r="C14" i="166"/>
  <c r="G13" i="165"/>
  <c r="C14" i="165"/>
  <c r="G13" i="164"/>
  <c r="C14" i="164"/>
  <c r="G13" i="163"/>
  <c r="C14" i="163"/>
  <c r="G13" i="162"/>
  <c r="C14" i="162"/>
  <c r="G13" i="161"/>
  <c r="C14" i="161"/>
  <c r="G13" i="160"/>
  <c r="C14" i="160"/>
  <c r="G13" i="159"/>
  <c r="C14" i="159"/>
  <c r="G13" i="158"/>
  <c r="C14" i="158"/>
  <c r="G13" i="157"/>
  <c r="C14" i="157"/>
  <c r="G13" i="156"/>
  <c r="C14" i="156"/>
  <c r="G13" i="155"/>
  <c r="C14" i="155"/>
  <c r="C13" i="154"/>
  <c r="C13" i="152"/>
  <c r="G12" i="152"/>
  <c r="C13" i="151"/>
  <c r="G12" i="151"/>
  <c r="K1" i="50"/>
  <c r="B6" i="95"/>
  <c r="G14" i="167" l="1"/>
  <c r="C15" i="167"/>
  <c r="G14" i="166"/>
  <c r="C15" i="166"/>
  <c r="G14" i="165"/>
  <c r="C15" i="165"/>
  <c r="G14" i="164"/>
  <c r="C15" i="164"/>
  <c r="G14" i="163"/>
  <c r="C15" i="163"/>
  <c r="G14" i="162"/>
  <c r="C15" i="162"/>
  <c r="G14" i="161"/>
  <c r="C15" i="161"/>
  <c r="G14" i="160"/>
  <c r="C15" i="160"/>
  <c r="G14" i="159"/>
  <c r="C15" i="159"/>
  <c r="G14" i="158"/>
  <c r="C15" i="158"/>
  <c r="G14" i="157"/>
  <c r="C15" i="157"/>
  <c r="G14" i="156"/>
  <c r="C15" i="156"/>
  <c r="C15" i="155"/>
  <c r="G14" i="155"/>
  <c r="G13" i="154"/>
  <c r="C14" i="154"/>
  <c r="G13" i="152"/>
  <c r="C14" i="152"/>
  <c r="C14" i="151"/>
  <c r="N5" i="120"/>
  <c r="C16" i="167" l="1"/>
  <c r="G15" i="167"/>
  <c r="C16" i="166"/>
  <c r="G15" i="166"/>
  <c r="C16" i="165"/>
  <c r="G15" i="165"/>
  <c r="C16" i="164"/>
  <c r="G15" i="164"/>
  <c r="C16" i="163"/>
  <c r="G15" i="163"/>
  <c r="C16" i="162"/>
  <c r="G15" i="162"/>
  <c r="G15" i="161"/>
  <c r="C16" i="161"/>
  <c r="C16" i="160"/>
  <c r="G15" i="160"/>
  <c r="C16" i="159"/>
  <c r="G15" i="159"/>
  <c r="C16" i="158"/>
  <c r="G15" i="158"/>
  <c r="C16" i="157"/>
  <c r="G15" i="157"/>
  <c r="C16" i="156"/>
  <c r="G15" i="156"/>
  <c r="G15" i="155"/>
  <c r="C16" i="155"/>
  <c r="G14" i="154"/>
  <c r="C15" i="154"/>
  <c r="C15" i="152"/>
  <c r="G14" i="152"/>
  <c r="G14" i="151"/>
  <c r="C15"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17" i="167" l="1"/>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6" i="154"/>
  <c r="G15" i="154"/>
  <c r="G15" i="152"/>
  <c r="C16" i="152"/>
  <c r="G15" i="151"/>
  <c r="C16" i="151"/>
  <c r="L2" i="120"/>
  <c r="G17" i="167" l="1"/>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7" i="155"/>
  <c r="C18" i="155"/>
  <c r="C17" i="154"/>
  <c r="G16" i="154"/>
  <c r="C17" i="152"/>
  <c r="C17" i="151"/>
  <c r="G16" i="151"/>
  <c r="F28" i="1"/>
  <c r="F27" i="1"/>
  <c r="F24" i="1"/>
  <c r="F9" i="1"/>
  <c r="F6" i="137"/>
  <c r="B2" i="137"/>
  <c r="F8" i="137"/>
  <c r="G18" i="167" l="1"/>
  <c r="C19" i="167"/>
  <c r="G18" i="166"/>
  <c r="C19" i="166"/>
  <c r="G18" i="165"/>
  <c r="C19" i="165"/>
  <c r="G18" i="164"/>
  <c r="C19" i="164"/>
  <c r="G18" i="163"/>
  <c r="C19" i="163"/>
  <c r="G18" i="162"/>
  <c r="C19" i="162"/>
  <c r="G18" i="161"/>
  <c r="C19" i="161"/>
  <c r="G18" i="160"/>
  <c r="C19" i="160"/>
  <c r="G18" i="159"/>
  <c r="C19" i="159"/>
  <c r="G18" i="158"/>
  <c r="C19" i="158"/>
  <c r="G18" i="157"/>
  <c r="C19" i="157"/>
  <c r="G18" i="156"/>
  <c r="C19" i="156"/>
  <c r="C19" i="155"/>
  <c r="G18" i="155"/>
  <c r="G17" i="154"/>
  <c r="C18" i="154"/>
  <c r="G17" i="152"/>
  <c r="C18" i="152"/>
  <c r="G17" i="151"/>
  <c r="C18" i="151"/>
  <c r="F10" i="150"/>
  <c r="F23" i="4"/>
  <c r="C20" i="167" l="1"/>
  <c r="G19" i="167"/>
  <c r="C20" i="166"/>
  <c r="G19" i="166"/>
  <c r="C20" i="165"/>
  <c r="G19" i="165"/>
  <c r="C20" i="164"/>
  <c r="G19" i="164"/>
  <c r="C20" i="163"/>
  <c r="G19" i="163"/>
  <c r="G19" i="162"/>
  <c r="C20" i="162"/>
  <c r="C20" i="161"/>
  <c r="G19" i="161"/>
  <c r="C20" i="160"/>
  <c r="G19" i="160"/>
  <c r="C20" i="159"/>
  <c r="G19" i="159"/>
  <c r="C20" i="158"/>
  <c r="G19" i="158"/>
  <c r="G19" i="157"/>
  <c r="C20" i="157"/>
  <c r="G19" i="156"/>
  <c r="C20" i="156"/>
  <c r="G19" i="155"/>
  <c r="C20" i="155"/>
  <c r="G18" i="154"/>
  <c r="C19" i="154"/>
  <c r="G18" i="152"/>
  <c r="C19" i="152"/>
  <c r="G18" i="151"/>
  <c r="C19" i="151"/>
  <c r="G1" i="50"/>
  <c r="F7" i="137"/>
  <c r="D21" i="95"/>
  <c r="C21" i="167" l="1"/>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0" i="154"/>
  <c r="G19" i="154"/>
  <c r="C20" i="152"/>
  <c r="G19" i="152"/>
  <c r="C20" i="151"/>
  <c r="G19" i="151"/>
  <c r="G21" i="167" l="1"/>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C21" i="154"/>
  <c r="G20" i="154"/>
  <c r="C21" i="152"/>
  <c r="G20" i="152"/>
  <c r="C21" i="151"/>
  <c r="G20"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G22" i="167" l="1"/>
  <c r="C23" i="167"/>
  <c r="G22" i="166"/>
  <c r="C23" i="166"/>
  <c r="G22" i="165"/>
  <c r="C23" i="165"/>
  <c r="G22" i="164"/>
  <c r="C23" i="164"/>
  <c r="G22" i="163"/>
  <c r="C23" i="163"/>
  <c r="G22" i="162"/>
  <c r="C23" i="162"/>
  <c r="G22" i="161"/>
  <c r="C23" i="161"/>
  <c r="G22" i="160"/>
  <c r="C23" i="160"/>
  <c r="G22" i="159"/>
  <c r="C23" i="159"/>
  <c r="G22" i="158"/>
  <c r="C23" i="158"/>
  <c r="G22" i="157"/>
  <c r="C23" i="157"/>
  <c r="G22" i="156"/>
  <c r="C23" i="156"/>
  <c r="G22" i="155"/>
  <c r="C23" i="155"/>
  <c r="G21" i="154"/>
  <c r="C22" i="154"/>
  <c r="G21" i="152"/>
  <c r="C22" i="152"/>
  <c r="G21" i="151"/>
  <c r="C22" i="151"/>
  <c r="F5" i="4"/>
  <c r="C24" i="167" l="1"/>
  <c r="G23" i="167"/>
  <c r="C24" i="166"/>
  <c r="G23" i="166"/>
  <c r="C24" i="165"/>
  <c r="G23" i="165"/>
  <c r="G23" i="164"/>
  <c r="C24" i="164"/>
  <c r="G23" i="163"/>
  <c r="C24" i="163"/>
  <c r="G23" i="162"/>
  <c r="C24" i="162"/>
  <c r="C24" i="161"/>
  <c r="G23" i="161"/>
  <c r="C24" i="160"/>
  <c r="G23" i="160"/>
  <c r="C24" i="159"/>
  <c r="G23" i="159"/>
  <c r="C24" i="158"/>
  <c r="G23" i="158"/>
  <c r="C24" i="157"/>
  <c r="G23" i="157"/>
  <c r="C24" i="156"/>
  <c r="G23" i="156"/>
  <c r="G23" i="155"/>
  <c r="C24" i="155"/>
  <c r="G22" i="154"/>
  <c r="C23" i="154"/>
  <c r="G22" i="152"/>
  <c r="C23" i="152"/>
  <c r="G22" i="151"/>
  <c r="C23" i="151"/>
  <c r="D13" i="9"/>
  <c r="E13" i="9"/>
  <c r="F13" i="9"/>
  <c r="D14" i="9"/>
  <c r="E14" i="9"/>
  <c r="F14" i="9"/>
  <c r="C25" i="167" l="1"/>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G23" i="154"/>
  <c r="C24" i="154"/>
  <c r="C24" i="152"/>
  <c r="G23" i="152"/>
  <c r="G23" i="151"/>
  <c r="C24" i="151"/>
  <c r="D10" i="9"/>
  <c r="E10" i="9"/>
  <c r="F10" i="9"/>
  <c r="D18" i="9"/>
  <c r="E18" i="9"/>
  <c r="F18" i="9"/>
  <c r="G25" i="167" l="1"/>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C25" i="154"/>
  <c r="G24" i="154"/>
  <c r="C25" i="152"/>
  <c r="G24" i="152"/>
  <c r="C25" i="151"/>
  <c r="G24" i="151"/>
  <c r="AX6" i="137"/>
  <c r="AX7" i="137"/>
  <c r="G26" i="167" l="1"/>
  <c r="C27" i="167"/>
  <c r="G26" i="166"/>
  <c r="C27" i="166"/>
  <c r="G26" i="165"/>
  <c r="C27" i="165"/>
  <c r="G26" i="164"/>
  <c r="C27" i="164"/>
  <c r="G26" i="163"/>
  <c r="C27" i="163"/>
  <c r="G26" i="162"/>
  <c r="C27" i="162"/>
  <c r="G26" i="161"/>
  <c r="C27" i="161"/>
  <c r="G26" i="160"/>
  <c r="C27" i="160"/>
  <c r="G26" i="159"/>
  <c r="C27" i="159"/>
  <c r="G26" i="158"/>
  <c r="C27" i="158"/>
  <c r="G26" i="157"/>
  <c r="C27" i="157"/>
  <c r="G26" i="156"/>
  <c r="C27" i="156"/>
  <c r="C27" i="155"/>
  <c r="G26" i="155"/>
  <c r="G25" i="154"/>
  <c r="C26" i="154"/>
  <c r="G25" i="152"/>
  <c r="C26" i="152"/>
  <c r="G25" i="151"/>
  <c r="C26" i="151"/>
  <c r="E4" i="137"/>
  <c r="F4" i="137"/>
  <c r="C28" i="167" l="1"/>
  <c r="G27" i="167"/>
  <c r="C28" i="166"/>
  <c r="G27" i="166"/>
  <c r="G27" i="165"/>
  <c r="C28" i="165"/>
  <c r="C28" i="164"/>
  <c r="G27" i="164"/>
  <c r="C28" i="163"/>
  <c r="G27" i="163"/>
  <c r="C28" i="162"/>
  <c r="G27" i="162"/>
  <c r="G27" i="161"/>
  <c r="C28" i="161"/>
  <c r="C28" i="160"/>
  <c r="G27" i="160"/>
  <c r="G27" i="159"/>
  <c r="C28" i="159"/>
  <c r="C28" i="158"/>
  <c r="G27" i="158"/>
  <c r="C28" i="157"/>
  <c r="G27" i="157"/>
  <c r="C28" i="156"/>
  <c r="G27" i="156"/>
  <c r="G27" i="155"/>
  <c r="C28" i="155"/>
  <c r="G26" i="154"/>
  <c r="C27" i="154"/>
  <c r="G26" i="152"/>
  <c r="C27" i="152"/>
  <c r="G26" i="151"/>
  <c r="C27" i="151"/>
  <c r="F7" i="4"/>
  <c r="D9" i="9"/>
  <c r="E9" i="9"/>
  <c r="F9" i="9"/>
  <c r="R2" i="8"/>
  <c r="C29" i="167" l="1"/>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8" i="154"/>
  <c r="G27" i="154"/>
  <c r="G27" i="152"/>
  <c r="C28" i="152"/>
  <c r="G27" i="151"/>
  <c r="C28" i="151"/>
  <c r="M18" i="1"/>
  <c r="G18" i="1"/>
  <c r="G29" i="167" l="1"/>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C29" i="154"/>
  <c r="G28" i="154"/>
  <c r="C29" i="152"/>
  <c r="G28" i="152"/>
  <c r="C29" i="151"/>
  <c r="G28" i="151"/>
  <c r="H18" i="1"/>
  <c r="G30" i="167" l="1"/>
  <c r="C31" i="167"/>
  <c r="G30" i="166"/>
  <c r="C31" i="166"/>
  <c r="G30" i="165"/>
  <c r="C31" i="165"/>
  <c r="G30" i="164"/>
  <c r="C31" i="164"/>
  <c r="G30" i="163"/>
  <c r="C31" i="163"/>
  <c r="G30" i="162"/>
  <c r="C31" i="162"/>
  <c r="G30" i="161"/>
  <c r="C31" i="161"/>
  <c r="G30" i="160"/>
  <c r="C31" i="160"/>
  <c r="G30" i="159"/>
  <c r="C31" i="159"/>
  <c r="G30" i="158"/>
  <c r="C31" i="158"/>
  <c r="G30" i="157"/>
  <c r="C31" i="157"/>
  <c r="G30" i="156"/>
  <c r="C31" i="156"/>
  <c r="C31" i="155"/>
  <c r="G30" i="155"/>
  <c r="G29" i="154"/>
  <c r="C30" i="154"/>
  <c r="G29" i="152"/>
  <c r="C30" i="152"/>
  <c r="G29" i="151"/>
  <c r="C30"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31" i="167" l="1"/>
  <c r="C32" i="167"/>
  <c r="G31" i="166"/>
  <c r="C32" i="166"/>
  <c r="G31" i="165"/>
  <c r="C32" i="165"/>
  <c r="G31" i="164"/>
  <c r="C32" i="164"/>
  <c r="G31" i="163"/>
  <c r="C32" i="163"/>
  <c r="G31" i="162"/>
  <c r="C32" i="162"/>
  <c r="G31" i="161"/>
  <c r="C32" i="161"/>
  <c r="G31" i="160"/>
  <c r="C32" i="160"/>
  <c r="C32" i="159"/>
  <c r="G31" i="159"/>
  <c r="C32" i="158"/>
  <c r="G31" i="158"/>
  <c r="C32" i="157"/>
  <c r="G31" i="157"/>
  <c r="C32" i="156"/>
  <c r="G31" i="156"/>
  <c r="G31" i="155"/>
  <c r="C32" i="155"/>
  <c r="G30" i="154"/>
  <c r="C31" i="154"/>
  <c r="G30" i="152"/>
  <c r="C31" i="152"/>
  <c r="G30" i="151"/>
  <c r="C31" i="151"/>
  <c r="AW4" i="4"/>
  <c r="C33" i="167" l="1"/>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2" i="154"/>
  <c r="G31" i="154"/>
  <c r="C32" i="152"/>
  <c r="G31" i="152"/>
  <c r="G31" i="151"/>
  <c r="C32" i="151"/>
  <c r="F10" i="1"/>
  <c r="F8" i="1"/>
  <c r="F10" i="4"/>
  <c r="G33" i="167" l="1"/>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C33" i="154"/>
  <c r="G32" i="154"/>
  <c r="C33" i="152"/>
  <c r="G32" i="152"/>
  <c r="C33" i="151"/>
  <c r="G32" i="151"/>
  <c r="M5" i="137"/>
  <c r="G34" i="167" l="1"/>
  <c r="C35" i="167"/>
  <c r="G34" i="166"/>
  <c r="C35" i="166"/>
  <c r="G34" i="165"/>
  <c r="C35" i="165"/>
  <c r="G34" i="164"/>
  <c r="C35" i="164"/>
  <c r="G34" i="163"/>
  <c r="C35" i="163"/>
  <c r="G34" i="162"/>
  <c r="C35" i="162"/>
  <c r="G34" i="161"/>
  <c r="C35" i="161"/>
  <c r="G34" i="160"/>
  <c r="C35" i="160"/>
  <c r="G34" i="159"/>
  <c r="C35" i="159"/>
  <c r="G34" i="158"/>
  <c r="C35" i="158"/>
  <c r="G34" i="157"/>
  <c r="C35" i="157"/>
  <c r="G34" i="156"/>
  <c r="C35" i="156"/>
  <c r="G34" i="155"/>
  <c r="C35" i="155"/>
  <c r="G33" i="154"/>
  <c r="C34" i="154"/>
  <c r="G33" i="152"/>
  <c r="C34" i="152"/>
  <c r="G33" i="151"/>
  <c r="C34"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5" i="167" l="1"/>
  <c r="C36" i="167"/>
  <c r="G35" i="166"/>
  <c r="C36" i="166"/>
  <c r="G35" i="165"/>
  <c r="C36" i="165"/>
  <c r="G35" i="164"/>
  <c r="C36" i="164"/>
  <c r="C36" i="163"/>
  <c r="G35" i="163"/>
  <c r="C36" i="162"/>
  <c r="G35" i="162"/>
  <c r="C36" i="161"/>
  <c r="G35" i="161"/>
  <c r="C36" i="160"/>
  <c r="G35" i="160"/>
  <c r="C36" i="159"/>
  <c r="G35" i="159"/>
  <c r="C36" i="158"/>
  <c r="G35" i="158"/>
  <c r="C36" i="157"/>
  <c r="G35" i="157"/>
  <c r="G35" i="156"/>
  <c r="C36" i="156"/>
  <c r="G35" i="155"/>
  <c r="C36" i="155"/>
  <c r="G34" i="154"/>
  <c r="C35" i="154"/>
  <c r="G34" i="152"/>
  <c r="C35" i="152"/>
  <c r="G34" i="151"/>
  <c r="C35" i="151"/>
  <c r="F11" i="150"/>
  <c r="F21" i="1"/>
  <c r="C37" i="167" l="1"/>
  <c r="G36" i="167"/>
  <c r="C37" i="166"/>
  <c r="G36" i="166"/>
  <c r="H36" i="166" s="1"/>
  <c r="H34" i="166"/>
  <c r="C37" i="165"/>
  <c r="G36" i="165"/>
  <c r="H36" i="165" s="1"/>
  <c r="C37" i="164"/>
  <c r="G36" i="164"/>
  <c r="C37" i="163"/>
  <c r="G36" i="163"/>
  <c r="C37" i="162"/>
  <c r="G36" i="162"/>
  <c r="H31" i="162"/>
  <c r="H36" i="162"/>
  <c r="H34" i="162"/>
  <c r="C37" i="161"/>
  <c r="G36" i="161"/>
  <c r="C37" i="160"/>
  <c r="G36" i="160"/>
  <c r="H34" i="160"/>
  <c r="H29" i="160"/>
  <c r="C37" i="159"/>
  <c r="G36" i="159"/>
  <c r="H34" i="159"/>
  <c r="C37" i="158"/>
  <c r="G36" i="158"/>
  <c r="C37" i="157"/>
  <c r="G36" i="157"/>
  <c r="H34" i="157"/>
  <c r="H35" i="157"/>
  <c r="C37" i="156"/>
  <c r="G36" i="156"/>
  <c r="C37" i="155"/>
  <c r="G36" i="155"/>
  <c r="G35" i="154"/>
  <c r="C36" i="154"/>
  <c r="C36" i="152"/>
  <c r="G35" i="152"/>
  <c r="C36" i="151"/>
  <c r="G35" i="151"/>
  <c r="AX11" i="150"/>
  <c r="G37" i="167" l="1"/>
  <c r="G38" i="167"/>
  <c r="H38" i="167" s="1"/>
  <c r="H10" i="167"/>
  <c r="H12" i="167"/>
  <c r="H8" i="167"/>
  <c r="H11" i="167"/>
  <c r="H9" i="167"/>
  <c r="H14" i="167"/>
  <c r="H13" i="167"/>
  <c r="H15" i="167"/>
  <c r="H16" i="167"/>
  <c r="H17" i="167"/>
  <c r="H18" i="167"/>
  <c r="H20" i="167"/>
  <c r="H21" i="167"/>
  <c r="H19" i="167"/>
  <c r="H22" i="167"/>
  <c r="H25" i="167"/>
  <c r="H24" i="167"/>
  <c r="H26" i="167"/>
  <c r="H23" i="167"/>
  <c r="H28" i="167"/>
  <c r="H29" i="167"/>
  <c r="H27" i="167"/>
  <c r="H30" i="167"/>
  <c r="H31" i="167"/>
  <c r="H33" i="167"/>
  <c r="H34" i="167"/>
  <c r="H36" i="167"/>
  <c r="H32" i="167"/>
  <c r="H37" i="167"/>
  <c r="H35" i="167"/>
  <c r="H33" i="166"/>
  <c r="H35" i="166"/>
  <c r="G37" i="166"/>
  <c r="H37" i="166" s="1"/>
  <c r="G38" i="166"/>
  <c r="H38" i="166" s="1"/>
  <c r="H10" i="166"/>
  <c r="H12" i="166"/>
  <c r="H8" i="166"/>
  <c r="H9" i="166" s="1"/>
  <c r="H11" i="166"/>
  <c r="H13" i="166"/>
  <c r="H14" i="166"/>
  <c r="H16" i="166"/>
  <c r="H15" i="166"/>
  <c r="H17" i="166"/>
  <c r="H20" i="166"/>
  <c r="H18" i="166"/>
  <c r="H21" i="166"/>
  <c r="H19" i="166"/>
  <c r="H22" i="166"/>
  <c r="H23" i="166"/>
  <c r="H25" i="166"/>
  <c r="H24" i="166"/>
  <c r="H26" i="166"/>
  <c r="H28" i="166"/>
  <c r="H27" i="166"/>
  <c r="H29" i="166"/>
  <c r="H31" i="166"/>
  <c r="H30" i="166"/>
  <c r="H32" i="166"/>
  <c r="G37" i="165"/>
  <c r="H37" i="165" s="1"/>
  <c r="G38" i="165"/>
  <c r="H38" i="165" s="1"/>
  <c r="H9" i="165"/>
  <c r="H10" i="165"/>
  <c r="H13" i="165"/>
  <c r="H8" i="165"/>
  <c r="H14" i="165"/>
  <c r="H15" i="165"/>
  <c r="H16" i="165"/>
  <c r="H17" i="165"/>
  <c r="H18" i="165"/>
  <c r="H20" i="165"/>
  <c r="H19" i="165"/>
  <c r="H21" i="165"/>
  <c r="H22" i="165"/>
  <c r="H24" i="165"/>
  <c r="H23" i="165"/>
  <c r="H26" i="165"/>
  <c r="H25" i="165"/>
  <c r="H29" i="165"/>
  <c r="H27" i="165"/>
  <c r="H30" i="165"/>
  <c r="H28" i="165"/>
  <c r="H31" i="165"/>
  <c r="H32" i="165"/>
  <c r="H35" i="165"/>
  <c r="H34" i="165"/>
  <c r="H33" i="165"/>
  <c r="H37" i="164"/>
  <c r="H35" i="164"/>
  <c r="H34" i="164"/>
  <c r="H36" i="164"/>
  <c r="G37" i="164"/>
  <c r="G38" i="164"/>
  <c r="H38" i="164" s="1"/>
  <c r="H10" i="164"/>
  <c r="H13" i="164"/>
  <c r="H8" i="164"/>
  <c r="H9" i="164" s="1"/>
  <c r="H11" i="164"/>
  <c r="H14" i="164"/>
  <c r="H12" i="164"/>
  <c r="H16" i="164"/>
  <c r="H15" i="164"/>
  <c r="H17" i="164"/>
  <c r="H18" i="164"/>
  <c r="H19" i="164"/>
  <c r="H20" i="164"/>
  <c r="H21" i="164"/>
  <c r="H23" i="164"/>
  <c r="H22" i="164"/>
  <c r="H24" i="164"/>
  <c r="H25" i="164"/>
  <c r="H26" i="164"/>
  <c r="H27" i="164"/>
  <c r="H28" i="164"/>
  <c r="H29" i="164"/>
  <c r="H30" i="164"/>
  <c r="H31" i="164"/>
  <c r="H33" i="164"/>
  <c r="H32" i="164"/>
  <c r="G37" i="163"/>
  <c r="H37" i="163" s="1"/>
  <c r="G38" i="163"/>
  <c r="H38" i="163" s="1"/>
  <c r="H9" i="163"/>
  <c r="H10" i="163"/>
  <c r="H8" i="163"/>
  <c r="H11" i="163"/>
  <c r="H12" i="163"/>
  <c r="H13" i="163"/>
  <c r="H14" i="163"/>
  <c r="H16" i="163"/>
  <c r="H15" i="163"/>
  <c r="H17" i="163"/>
  <c r="H20" i="163"/>
  <c r="H19" i="163"/>
  <c r="H18" i="163"/>
  <c r="H24" i="163"/>
  <c r="H21" i="163"/>
  <c r="H22" i="163"/>
  <c r="H23" i="163"/>
  <c r="H25" i="163"/>
  <c r="H26" i="163"/>
  <c r="H28" i="163"/>
  <c r="H27" i="163"/>
  <c r="H29" i="163"/>
  <c r="H30" i="163"/>
  <c r="H31" i="163"/>
  <c r="H32" i="163"/>
  <c r="H34" i="163"/>
  <c r="H33" i="163"/>
  <c r="H35" i="163"/>
  <c r="H36" i="163"/>
  <c r="G37" i="162"/>
  <c r="H37" i="162" s="1"/>
  <c r="G38" i="162"/>
  <c r="H38" i="162" s="1"/>
  <c r="H10" i="162"/>
  <c r="H8" i="162"/>
  <c r="H9" i="162"/>
  <c r="H16" i="162"/>
  <c r="H14" i="162"/>
  <c r="H13" i="162"/>
  <c r="H15" i="162"/>
  <c r="H18" i="162"/>
  <c r="H17" i="162"/>
  <c r="H19" i="162"/>
  <c r="H21" i="162"/>
  <c r="H24" i="162"/>
  <c r="H20" i="162"/>
  <c r="H23" i="162"/>
  <c r="H22" i="162"/>
  <c r="H25" i="162"/>
  <c r="H26" i="162"/>
  <c r="H29" i="162"/>
  <c r="H27" i="162"/>
  <c r="H30" i="162"/>
  <c r="H28" i="162"/>
  <c r="H33" i="162"/>
  <c r="H35" i="162"/>
  <c r="H32" i="162"/>
  <c r="G37" i="161"/>
  <c r="H37" i="161" s="1"/>
  <c r="G38" i="161"/>
  <c r="H38" i="161" s="1"/>
  <c r="H10" i="161"/>
  <c r="H12" i="161"/>
  <c r="H8" i="161"/>
  <c r="H9" i="161" s="1"/>
  <c r="H11" i="161"/>
  <c r="H14" i="161"/>
  <c r="H13" i="161"/>
  <c r="H15" i="161"/>
  <c r="H18" i="161"/>
  <c r="H17" i="161"/>
  <c r="H16" i="161"/>
  <c r="H19" i="161"/>
  <c r="H20" i="161"/>
  <c r="H22" i="161"/>
  <c r="H21" i="161"/>
  <c r="H24" i="161"/>
  <c r="H25" i="161"/>
  <c r="H23" i="161"/>
  <c r="H26" i="161"/>
  <c r="H27" i="161"/>
  <c r="H29" i="161"/>
  <c r="H28" i="161"/>
  <c r="H30" i="161"/>
  <c r="H31" i="161"/>
  <c r="H32" i="161"/>
  <c r="H33" i="161"/>
  <c r="H36" i="161"/>
  <c r="H35" i="161"/>
  <c r="H34" i="161"/>
  <c r="H32" i="160"/>
  <c r="G37" i="160"/>
  <c r="H37" i="160" s="1"/>
  <c r="G38" i="160"/>
  <c r="H38" i="160" s="1"/>
  <c r="H11" i="160"/>
  <c r="H10" i="160"/>
  <c r="H9" i="160"/>
  <c r="H8" i="160"/>
  <c r="H13" i="160" s="1"/>
  <c r="H14" i="160"/>
  <c r="H15" i="160"/>
  <c r="H16" i="160"/>
  <c r="H20" i="160"/>
  <c r="H17" i="160"/>
  <c r="H21" i="160"/>
  <c r="H19" i="160"/>
  <c r="H18" i="160"/>
  <c r="H24" i="160"/>
  <c r="H22" i="160"/>
  <c r="H23" i="160"/>
  <c r="H25" i="160"/>
  <c r="H26" i="160"/>
  <c r="H28" i="160"/>
  <c r="H27" i="160"/>
  <c r="H31" i="160"/>
  <c r="H33" i="160"/>
  <c r="H30" i="160"/>
  <c r="H35" i="160"/>
  <c r="H36" i="160"/>
  <c r="H37" i="159"/>
  <c r="H33" i="159"/>
  <c r="G37" i="159"/>
  <c r="G38" i="159"/>
  <c r="H38" i="159" s="1"/>
  <c r="H10" i="159"/>
  <c r="H12" i="159"/>
  <c r="H8" i="159"/>
  <c r="H11" i="159"/>
  <c r="H9" i="159"/>
  <c r="H14" i="159"/>
  <c r="H13" i="159"/>
  <c r="H16" i="159"/>
  <c r="H15" i="159"/>
  <c r="H17" i="159"/>
  <c r="H20" i="159"/>
  <c r="H18" i="159"/>
  <c r="H21" i="159"/>
  <c r="H19" i="159"/>
  <c r="H22" i="159"/>
  <c r="H24" i="159"/>
  <c r="H23" i="159"/>
  <c r="H25" i="159"/>
  <c r="H26" i="159"/>
  <c r="H27" i="159"/>
  <c r="H28" i="159"/>
  <c r="H29" i="159"/>
  <c r="H30" i="159"/>
  <c r="H31" i="159"/>
  <c r="H32" i="159"/>
  <c r="H35" i="159"/>
  <c r="H36" i="159"/>
  <c r="G37" i="158"/>
  <c r="G38" i="158"/>
  <c r="H38" i="158" s="1"/>
  <c r="H12" i="158"/>
  <c r="H9" i="158"/>
  <c r="H11" i="158"/>
  <c r="H8" i="158"/>
  <c r="H10" i="158" s="1"/>
  <c r="H16" i="158"/>
  <c r="H13" i="158"/>
  <c r="H14" i="158"/>
  <c r="H17" i="158"/>
  <c r="H15" i="158"/>
  <c r="H20" i="158"/>
  <c r="H18" i="158"/>
  <c r="H19" i="158"/>
  <c r="H24" i="158"/>
  <c r="H22" i="158"/>
  <c r="H21" i="158"/>
  <c r="H23" i="158"/>
  <c r="H25" i="158"/>
  <c r="H28" i="158"/>
  <c r="H27" i="158"/>
  <c r="H29" i="158"/>
  <c r="H26" i="158"/>
  <c r="H30" i="158"/>
  <c r="H31" i="158"/>
  <c r="H32" i="158"/>
  <c r="H33" i="158"/>
  <c r="H35" i="158"/>
  <c r="H37" i="158"/>
  <c r="H34" i="158"/>
  <c r="H36" i="158"/>
  <c r="H33" i="157"/>
  <c r="H36" i="157"/>
  <c r="G37" i="157"/>
  <c r="H37" i="157" s="1"/>
  <c r="G38" i="157"/>
  <c r="H38" i="157" s="1"/>
  <c r="H8" i="157"/>
  <c r="H9" i="157"/>
  <c r="H10" i="157" s="1"/>
  <c r="H13" i="157"/>
  <c r="H11" i="157"/>
  <c r="H12" i="157"/>
  <c r="H15" i="157"/>
  <c r="H16" i="157"/>
  <c r="H14" i="157"/>
  <c r="H18" i="157"/>
  <c r="H17" i="157"/>
  <c r="H20" i="157"/>
  <c r="H19" i="157"/>
  <c r="H21" i="157"/>
  <c r="H23" i="157"/>
  <c r="H22" i="157"/>
  <c r="H24" i="157"/>
  <c r="H25" i="157"/>
  <c r="H26" i="157"/>
  <c r="H28" i="157"/>
  <c r="H29" i="157"/>
  <c r="H27" i="157"/>
  <c r="H30" i="157"/>
  <c r="H31" i="157"/>
  <c r="H32" i="157"/>
  <c r="H34" i="156"/>
  <c r="G37" i="156"/>
  <c r="H37" i="156" s="1"/>
  <c r="G38" i="156"/>
  <c r="H38" i="156" s="1"/>
  <c r="H8" i="156"/>
  <c r="H9" i="156"/>
  <c r="H12" i="156"/>
  <c r="H13" i="156"/>
  <c r="H15" i="156"/>
  <c r="H17" i="156"/>
  <c r="H14" i="156"/>
  <c r="H18" i="156"/>
  <c r="H16" i="156"/>
  <c r="H19" i="156"/>
  <c r="H21" i="156"/>
  <c r="H20" i="156"/>
  <c r="H22" i="156"/>
  <c r="H23" i="156"/>
  <c r="H25" i="156"/>
  <c r="H26" i="156"/>
  <c r="H24" i="156"/>
  <c r="H28" i="156"/>
  <c r="H27" i="156"/>
  <c r="H29" i="156"/>
  <c r="H30" i="156"/>
  <c r="H32" i="156"/>
  <c r="H33" i="156"/>
  <c r="H31" i="156"/>
  <c r="H35" i="156"/>
  <c r="H36" i="156"/>
  <c r="H33" i="155"/>
  <c r="H36" i="155"/>
  <c r="G37" i="155"/>
  <c r="H37" i="155" s="1"/>
  <c r="G38" i="155"/>
  <c r="H38" i="155" s="1"/>
  <c r="H8" i="155"/>
  <c r="H13" i="155"/>
  <c r="H10" i="155"/>
  <c r="H12" i="155"/>
  <c r="H11" i="155"/>
  <c r="H15" i="155"/>
  <c r="H14" i="155"/>
  <c r="H16" i="155"/>
  <c r="H17" i="155"/>
  <c r="H19" i="155"/>
  <c r="H20" i="155"/>
  <c r="H21" i="155"/>
  <c r="H18" i="155"/>
  <c r="H22" i="155"/>
  <c r="H23" i="155"/>
  <c r="H25" i="155"/>
  <c r="H24" i="155"/>
  <c r="H27" i="155"/>
  <c r="H26" i="155"/>
  <c r="H28" i="155"/>
  <c r="H29" i="155"/>
  <c r="H30" i="155"/>
  <c r="H31" i="155"/>
  <c r="H34" i="155"/>
  <c r="H32" i="155"/>
  <c r="H35" i="155"/>
  <c r="C37" i="154"/>
  <c r="G36" i="154"/>
  <c r="H33" i="154"/>
  <c r="H32" i="154"/>
  <c r="C37" i="152"/>
  <c r="H35" i="152" s="1"/>
  <c r="G36" i="152"/>
  <c r="C37" i="151"/>
  <c r="G36" i="151"/>
  <c r="A31" i="1"/>
  <c r="H12" i="165" l="1"/>
  <c r="H12" i="162"/>
  <c r="H11" i="156"/>
  <c r="G37" i="154"/>
  <c r="H37" i="154" s="1"/>
  <c r="G38" i="154"/>
  <c r="H38" i="154" s="1"/>
  <c r="H8" i="154"/>
  <c r="H10" i="154"/>
  <c r="H9" i="154"/>
  <c r="H11" i="154"/>
  <c r="H13" i="154"/>
  <c r="H14" i="154"/>
  <c r="H16" i="154"/>
  <c r="H15" i="154"/>
  <c r="H20" i="154"/>
  <c r="H17" i="154"/>
  <c r="H18" i="154"/>
  <c r="H21" i="154"/>
  <c r="H19" i="154"/>
  <c r="H22" i="154"/>
  <c r="H23" i="154"/>
  <c r="H24" i="154"/>
  <c r="H25" i="154"/>
  <c r="H26" i="154"/>
  <c r="H28" i="154"/>
  <c r="H27" i="154"/>
  <c r="H29" i="154"/>
  <c r="H30" i="154"/>
  <c r="H35" i="154"/>
  <c r="H31" i="154"/>
  <c r="H34" i="154"/>
  <c r="H36" i="154"/>
  <c r="G37" i="152"/>
  <c r="H37" i="152" s="1"/>
  <c r="G38" i="152"/>
  <c r="H38" i="152" s="1"/>
  <c r="H9" i="152"/>
  <c r="H17" i="152" s="1"/>
  <c r="H12" i="152"/>
  <c r="H10" i="152"/>
  <c r="H8" i="152"/>
  <c r="H11" i="152"/>
  <c r="H13" i="152"/>
  <c r="H14" i="152"/>
  <c r="H18" i="152"/>
  <c r="H15" i="152"/>
  <c r="H19" i="152"/>
  <c r="H21" i="152"/>
  <c r="H20" i="152"/>
  <c r="H22" i="152"/>
  <c r="H24" i="152"/>
  <c r="H23" i="152"/>
  <c r="H27" i="152"/>
  <c r="H25" i="152"/>
  <c r="H26" i="152"/>
  <c r="H28" i="152"/>
  <c r="H29" i="152"/>
  <c r="H30" i="152"/>
  <c r="H33" i="152"/>
  <c r="H32" i="152"/>
  <c r="H31" i="152"/>
  <c r="H34" i="152"/>
  <c r="H36" i="152"/>
  <c r="G37" i="151"/>
  <c r="H37" i="151" s="1"/>
  <c r="G38" i="151"/>
  <c r="H38" i="151" s="1"/>
  <c r="H10" i="151"/>
  <c r="H8" i="151"/>
  <c r="H14" i="151" s="1"/>
  <c r="H9" i="151"/>
  <c r="H11" i="151"/>
  <c r="H15" i="151"/>
  <c r="H12" i="151"/>
  <c r="H17" i="151"/>
  <c r="H18" i="151"/>
  <c r="H16" i="151"/>
  <c r="H19" i="151"/>
  <c r="H20" i="151"/>
  <c r="H22" i="151"/>
  <c r="H21" i="151"/>
  <c r="H25" i="151"/>
  <c r="H23" i="151"/>
  <c r="H24" i="151"/>
  <c r="H26" i="151"/>
  <c r="H29" i="151"/>
  <c r="H27" i="151"/>
  <c r="H30" i="151"/>
  <c r="H28" i="151"/>
  <c r="H32" i="151"/>
  <c r="H31" i="151"/>
  <c r="H33" i="151"/>
  <c r="H36" i="151"/>
  <c r="H34" i="151"/>
  <c r="H35" i="151"/>
  <c r="A34" i="1"/>
  <c r="AX31" i="1"/>
  <c r="AX34" i="1"/>
  <c r="AW4" i="1"/>
  <c r="AT4" i="1"/>
  <c r="AU4" i="1"/>
  <c r="AV4" i="1"/>
  <c r="P4" i="1"/>
  <c r="Q2" i="1" l="1"/>
  <c r="F12" i="150" l="1"/>
  <c r="I1" i="50" l="1"/>
  <c r="L4"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P4" i="137" l="1"/>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R15" i="1" l="1"/>
  <c r="AR20" i="1"/>
  <c r="AR16" i="1"/>
  <c r="AR12" i="4"/>
  <c r="AR11" i="1"/>
  <c r="AR17" i="1"/>
  <c r="AR7" i="5"/>
  <c r="AR14" i="1"/>
  <c r="AR19" i="1"/>
  <c r="AR9" i="5"/>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AP4" i="137" l="1"/>
  <c r="AP4" i="150"/>
  <c r="AP4" i="4"/>
  <c r="AP4" i="1"/>
  <c r="AP4" i="5"/>
  <c r="AQ4" i="5" l="1"/>
  <c r="AQ4" i="1"/>
  <c r="AQ4" i="137"/>
  <c r="AQ4" i="150"/>
  <c r="AQ4" i="4"/>
  <c r="AZ28" i="50"/>
  <c r="W4" i="50"/>
  <c r="U13" i="50"/>
  <c r="AK25" i="50"/>
  <c r="AG45" i="50"/>
  <c r="AK22" i="50"/>
  <c r="BB24" i="50"/>
  <c r="BB5" i="50"/>
  <c r="V55" i="50"/>
  <c r="O67" i="50"/>
  <c r="AJ44" i="50"/>
  <c r="AR40" i="50"/>
  <c r="BA36" i="50"/>
  <c r="AQ49" i="50"/>
  <c r="AV15" i="50"/>
  <c r="AK61" i="50"/>
  <c r="R11" i="50"/>
  <c r="AM66" i="50"/>
  <c r="V32" i="50"/>
  <c r="AU41" i="50"/>
  <c r="U41" i="50"/>
  <c r="L70" i="50"/>
  <c r="AO25" i="50"/>
  <c r="AQ11" i="50"/>
  <c r="AJ69" i="50"/>
  <c r="Z59" i="50"/>
  <c r="AH8" i="50"/>
  <c r="AP55" i="50"/>
  <c r="Y40" i="50"/>
  <c r="R49" i="50"/>
  <c r="M46" i="50"/>
  <c r="U39" i="50"/>
  <c r="AT70" i="50"/>
  <c r="L41" i="50"/>
  <c r="AO20" i="50"/>
  <c r="V38" i="50"/>
  <c r="AC55" i="50"/>
  <c r="P69" i="50"/>
  <c r="AO55" i="50"/>
  <c r="AF54" i="50"/>
  <c r="AY60" i="50"/>
  <c r="Q69" i="50"/>
  <c r="BC22" i="50"/>
  <c r="W63" i="50"/>
  <c r="AT62" i="50"/>
  <c r="AH29" i="50"/>
  <c r="P45" i="50"/>
  <c r="L6" i="50"/>
  <c r="AR66" i="50"/>
  <c r="AZ33" i="50"/>
  <c r="L11" i="50"/>
  <c r="AP71" i="50"/>
  <c r="AX55" i="50"/>
  <c r="Z7" i="50"/>
  <c r="AL27" i="50"/>
  <c r="AO37" i="50"/>
  <c r="N29" i="50"/>
  <c r="O28" i="50"/>
  <c r="X68" i="50"/>
  <c r="AZ61" i="50"/>
  <c r="AO21" i="50"/>
  <c r="AX26" i="50"/>
  <c r="S20" i="50"/>
  <c r="AT56" i="50"/>
  <c r="AL61" i="50"/>
  <c r="AB31" i="50"/>
  <c r="BA52" i="50"/>
  <c r="AI51" i="50"/>
  <c r="AS67" i="50"/>
  <c r="AJ13" i="50"/>
  <c r="AK54" i="50"/>
  <c r="P62" i="50"/>
  <c r="AF64" i="50"/>
  <c r="AR21" i="50"/>
  <c r="U54" i="50"/>
  <c r="AQ71" i="50"/>
  <c r="AL62" i="50"/>
  <c r="BA47" i="50"/>
  <c r="AY34" i="50"/>
  <c r="AO49" i="50"/>
  <c r="AB68" i="50"/>
  <c r="AT63" i="50"/>
  <c r="L69" i="50"/>
  <c r="U6" i="50"/>
  <c r="U53" i="50"/>
  <c r="W13" i="50"/>
  <c r="BC44" i="50"/>
  <c r="AJ5" i="50"/>
  <c r="AI42" i="50"/>
  <c r="BC5" i="50"/>
  <c r="AH52" i="50"/>
  <c r="AW57" i="50"/>
  <c r="AR22" i="50"/>
  <c r="AS6" i="50"/>
  <c r="X10" i="50"/>
  <c r="AB18" i="50"/>
  <c r="BB56" i="50"/>
  <c r="AT29" i="50"/>
  <c r="AT12" i="50"/>
  <c r="L49" i="50"/>
  <c r="L33" i="50"/>
  <c r="AF4" i="50"/>
  <c r="AW18" i="50"/>
  <c r="BC28" i="50"/>
  <c r="AB67" i="50"/>
  <c r="Q64" i="50"/>
  <c r="Y26" i="50"/>
  <c r="AO54" i="50"/>
  <c r="T65" i="50"/>
  <c r="AW40" i="50"/>
  <c r="L58" i="50"/>
  <c r="T42" i="50"/>
  <c r="V6" i="50"/>
  <c r="L32" i="50"/>
  <c r="V17" i="50"/>
  <c r="AK46" i="50"/>
  <c r="AW31" i="50"/>
  <c r="AR15" i="50"/>
  <c r="AT17" i="50"/>
  <c r="AG15" i="50"/>
  <c r="BC16" i="50"/>
  <c r="AY48" i="50"/>
  <c r="AC6" i="50"/>
  <c r="BB4" i="50"/>
  <c r="AK44" i="50"/>
  <c r="AE52" i="50"/>
  <c r="R52" i="50"/>
  <c r="AG64" i="50"/>
  <c r="M9" i="50"/>
  <c r="AP23" i="50"/>
  <c r="AX21" i="50"/>
  <c r="BA45" i="50"/>
  <c r="AT45" i="50"/>
  <c r="BA59" i="50"/>
  <c r="O51" i="50"/>
  <c r="AI64" i="50"/>
  <c r="O46" i="50"/>
  <c r="AA39" i="50"/>
  <c r="U28" i="50"/>
  <c r="AO31" i="50"/>
  <c r="AA19" i="50"/>
  <c r="AW59" i="50"/>
  <c r="S6" i="50"/>
  <c r="M22" i="50"/>
  <c r="AA43" i="50"/>
  <c r="U69" i="50"/>
  <c r="BA12" i="50"/>
  <c r="Z37" i="50"/>
  <c r="AH39" i="50"/>
  <c r="AY9" i="50"/>
  <c r="S12" i="50"/>
  <c r="S37" i="50"/>
  <c r="AN45" i="50"/>
  <c r="AH22" i="50"/>
  <c r="AU52" i="50"/>
  <c r="U61" i="50"/>
  <c r="S27" i="50"/>
  <c r="AM19" i="50"/>
  <c r="AF67" i="50"/>
  <c r="AF66" i="50"/>
  <c r="AX8" i="50"/>
  <c r="AL71" i="50"/>
  <c r="BC39" i="50"/>
  <c r="AY39" i="50"/>
  <c r="AO16" i="50"/>
  <c r="M16" i="50"/>
  <c r="AD17" i="50"/>
  <c r="AA41" i="50"/>
  <c r="AI66" i="50"/>
  <c r="BA50" i="50"/>
  <c r="BA43" i="50"/>
  <c r="S64" i="50"/>
  <c r="AO71" i="50"/>
  <c r="AJ34" i="50"/>
  <c r="AY31" i="50"/>
  <c r="AH4" i="50"/>
  <c r="AC62" i="50"/>
  <c r="AA59" i="50"/>
  <c r="AM18" i="50"/>
  <c r="AY46" i="50"/>
  <c r="AD30" i="50"/>
  <c r="AV44" i="50"/>
  <c r="M50" i="50"/>
  <c r="AE45" i="50"/>
  <c r="AE12" i="50"/>
  <c r="AC51" i="50"/>
  <c r="T13" i="50"/>
  <c r="AW56" i="50"/>
  <c r="AN42" i="50"/>
  <c r="AL42" i="50"/>
  <c r="N4" i="50"/>
  <c r="BB59" i="50"/>
  <c r="AV22" i="50"/>
  <c r="L71" i="50"/>
  <c r="AK59" i="50"/>
  <c r="AR70" i="50"/>
  <c r="AI53" i="50"/>
  <c r="L54" i="50"/>
  <c r="Q50" i="50"/>
  <c r="AC33" i="50"/>
  <c r="AR16" i="50"/>
  <c r="AI7" i="50"/>
  <c r="AF49" i="50"/>
  <c r="Q31" i="50"/>
  <c r="AH59" i="50"/>
  <c r="AK16" i="50"/>
  <c r="AM12" i="50"/>
  <c r="AC58" i="50"/>
  <c r="AO23" i="50"/>
  <c r="AP56" i="50"/>
  <c r="X14" i="50"/>
  <c r="AO68" i="50"/>
  <c r="AB57" i="50"/>
  <c r="P11" i="50"/>
  <c r="AE35" i="50"/>
  <c r="W18" i="50"/>
  <c r="R67" i="50"/>
  <c r="AV70" i="50"/>
  <c r="U49" i="50"/>
  <c r="AM17" i="50"/>
  <c r="U31" i="50"/>
  <c r="X30" i="50"/>
  <c r="BA38" i="50"/>
  <c r="L29" i="50"/>
  <c r="AN62" i="50"/>
  <c r="AF41" i="50"/>
  <c r="AX42" i="50"/>
  <c r="Q28" i="50"/>
  <c r="L31" i="50"/>
  <c r="AR30" i="50"/>
  <c r="L60" i="50"/>
  <c r="AY50" i="50"/>
  <c r="AZ38" i="50"/>
  <c r="AW39" i="50"/>
  <c r="AZ29" i="50"/>
  <c r="AE54" i="50"/>
  <c r="AN67" i="50"/>
  <c r="M57" i="50"/>
  <c r="Q68" i="50"/>
  <c r="AX71" i="50"/>
  <c r="AB25" i="50"/>
  <c r="L43" i="50"/>
  <c r="AS7" i="50"/>
  <c r="W59" i="50"/>
  <c r="BC58" i="50"/>
  <c r="BC6" i="50"/>
  <c r="T55" i="50"/>
  <c r="N11" i="50"/>
  <c r="BB42" i="50"/>
  <c r="X53" i="50"/>
  <c r="M38" i="50"/>
  <c r="AX47" i="50"/>
  <c r="AX43" i="50"/>
  <c r="X21" i="50"/>
  <c r="AH43" i="50"/>
  <c r="AZ57" i="50"/>
  <c r="AH32" i="50"/>
  <c r="AN66" i="50"/>
  <c r="T61" i="50"/>
  <c r="AL60" i="50"/>
  <c r="AM5" i="50"/>
  <c r="AJ27" i="50"/>
  <c r="BC41" i="50"/>
  <c r="AZ15" i="50"/>
  <c r="AD67" i="50"/>
  <c r="AA57" i="50"/>
  <c r="O18" i="50"/>
  <c r="S5" i="50"/>
  <c r="AM53" i="50"/>
  <c r="AC49" i="50"/>
  <c r="O52" i="50"/>
  <c r="AF23" i="50"/>
  <c r="BA64" i="50"/>
  <c r="AL28" i="50"/>
  <c r="AH49" i="50"/>
  <c r="AZ17" i="50"/>
  <c r="AU14" i="50"/>
  <c r="AM32" i="50"/>
  <c r="AV24" i="50"/>
  <c r="AX24" i="50"/>
  <c r="AN17" i="50"/>
  <c r="S62" i="50"/>
  <c r="AE33" i="50"/>
  <c r="P56" i="50"/>
  <c r="V28" i="50"/>
  <c r="X67" i="50"/>
  <c r="AE6" i="50"/>
  <c r="L50" i="50"/>
  <c r="AI70" i="50"/>
  <c r="AJ17" i="50"/>
  <c r="AA56" i="50"/>
  <c r="AW54" i="50"/>
  <c r="P47" i="50"/>
  <c r="AV47" i="50"/>
  <c r="AU57" i="50"/>
  <c r="T22" i="50"/>
  <c r="W62" i="50"/>
  <c r="AQ43" i="50"/>
  <c r="AD41" i="50"/>
  <c r="AD4" i="50"/>
  <c r="O68" i="50"/>
  <c r="AG29" i="50"/>
  <c r="V67" i="50"/>
  <c r="AI39" i="50"/>
  <c r="AT58" i="50"/>
  <c r="AG27" i="50"/>
  <c r="M58" i="50"/>
  <c r="P23" i="50"/>
  <c r="L59" i="50"/>
  <c r="AQ20" i="50"/>
  <c r="AP37" i="50"/>
  <c r="AB58" i="50"/>
  <c r="BC27" i="50"/>
  <c r="AO28" i="50"/>
  <c r="AZ65" i="50"/>
  <c r="AG36" i="50"/>
  <c r="Z33" i="50"/>
  <c r="L22" i="50"/>
  <c r="X15" i="50"/>
  <c r="AH67" i="50"/>
  <c r="AF17" i="50"/>
  <c r="AM51" i="50"/>
  <c r="AH60" i="50"/>
  <c r="AS18" i="50"/>
  <c r="Z56" i="50"/>
  <c r="S30" i="50"/>
  <c r="AK9" i="50"/>
  <c r="AV28" i="50"/>
  <c r="T28" i="50"/>
  <c r="AH30" i="50"/>
  <c r="BA7" i="50"/>
  <c r="AP57" i="50"/>
  <c r="X13" i="50"/>
  <c r="W48" i="50"/>
  <c r="Y24" i="50"/>
  <c r="O49" i="50"/>
  <c r="T29" i="50"/>
  <c r="AN15" i="50"/>
  <c r="BC65" i="50"/>
  <c r="AS23" i="50"/>
  <c r="AV26" i="50"/>
  <c r="AA37" i="50"/>
  <c r="O23" i="50"/>
  <c r="AM46" i="50"/>
  <c r="T19" i="50"/>
  <c r="AV54" i="50"/>
  <c r="AU50" i="50"/>
  <c r="V23" i="50"/>
  <c r="AZ13" i="50"/>
  <c r="N24" i="50"/>
  <c r="AO38" i="50"/>
  <c r="AT47" i="50"/>
  <c r="W20" i="50"/>
  <c r="X23" i="50"/>
  <c r="AE64" i="50"/>
  <c r="AZ4" i="50"/>
  <c r="AG39" i="50"/>
  <c r="N39" i="50"/>
  <c r="S46" i="50"/>
  <c r="AG70" i="50"/>
  <c r="AT68" i="50"/>
  <c r="AP39" i="50"/>
  <c r="AY32" i="50"/>
  <c r="AX29" i="50"/>
  <c r="AU65" i="50"/>
  <c r="AP69" i="50"/>
  <c r="AM6" i="50"/>
  <c r="AU58" i="50"/>
  <c r="W37" i="50"/>
  <c r="O57" i="50"/>
  <c r="AF25" i="50"/>
  <c r="AS55" i="50"/>
  <c r="AS19" i="50"/>
  <c r="AP33" i="50"/>
  <c r="V43" i="50"/>
  <c r="BA16" i="50"/>
  <c r="AA4" i="50"/>
  <c r="T54" i="50"/>
  <c r="L25" i="50"/>
  <c r="AR67" i="50"/>
  <c r="AT34" i="50"/>
  <c r="Z62" i="50"/>
  <c r="AX9" i="50"/>
  <c r="Z32" i="50"/>
  <c r="M64" i="50"/>
  <c r="AQ41" i="50"/>
  <c r="AZ66" i="50"/>
  <c r="R61" i="50"/>
  <c r="N58" i="50"/>
  <c r="AK12" i="50"/>
  <c r="Q72" i="50"/>
  <c r="R50" i="50"/>
  <c r="AR62" i="50"/>
  <c r="AV67" i="50"/>
  <c r="AN56" i="50"/>
  <c r="AC29" i="50"/>
  <c r="AZ46" i="50"/>
  <c r="AL66" i="50"/>
  <c r="AF61" i="50"/>
  <c r="L13" i="50"/>
  <c r="V37" i="50"/>
  <c r="AK32" i="50"/>
  <c r="BB57" i="50"/>
  <c r="AC48" i="50"/>
  <c r="P22" i="50"/>
  <c r="T30" i="50"/>
  <c r="AW44" i="50"/>
  <c r="AL55" i="50"/>
  <c r="AF60" i="50"/>
  <c r="Q32" i="50"/>
  <c r="BB45" i="50"/>
  <c r="AE32" i="50"/>
  <c r="AD44" i="50"/>
  <c r="AS37" i="50"/>
  <c r="AD22" i="50"/>
  <c r="S55" i="50"/>
  <c r="AO48" i="50"/>
  <c r="X45" i="50"/>
  <c r="AI17" i="50"/>
  <c r="BC63" i="50"/>
  <c r="P44" i="50"/>
  <c r="AB14" i="50"/>
  <c r="M28" i="50"/>
  <c r="AL30" i="50"/>
  <c r="AS34" i="50"/>
  <c r="AI65" i="50"/>
  <c r="AN63" i="50"/>
  <c r="W69" i="50"/>
  <c r="AZ39" i="50"/>
  <c r="Z15" i="50"/>
  <c r="O8" i="50"/>
  <c r="BA54" i="50"/>
  <c r="AP18" i="50"/>
  <c r="AW35" i="50"/>
  <c r="L14" i="50"/>
  <c r="N61" i="50"/>
  <c r="AO50" i="50"/>
  <c r="AM11" i="50"/>
  <c r="AM38" i="50"/>
  <c r="AC35" i="50"/>
  <c r="W14" i="50"/>
  <c r="AY10" i="50"/>
  <c r="R47" i="50"/>
  <c r="Z8" i="50"/>
  <c r="V30" i="50"/>
  <c r="AZ52" i="50"/>
  <c r="AW32" i="50"/>
  <c r="Q44" i="50"/>
  <c r="N41" i="50"/>
  <c r="AS27" i="50"/>
  <c r="AL49" i="50"/>
  <c r="AR53" i="50"/>
  <c r="AA49" i="50"/>
  <c r="AR64" i="50"/>
  <c r="AW63" i="50"/>
  <c r="AZ37" i="50"/>
  <c r="AO5" i="50"/>
  <c r="AM65" i="50"/>
  <c r="AV60" i="50"/>
  <c r="V71" i="50"/>
  <c r="AF47" i="50"/>
  <c r="AJ37" i="50"/>
  <c r="L64" i="50"/>
  <c r="W30" i="50"/>
  <c r="AW14" i="50"/>
  <c r="Y60" i="50"/>
  <c r="O43" i="50"/>
  <c r="S56" i="50"/>
  <c r="BC21" i="50"/>
  <c r="V64" i="50"/>
  <c r="M40" i="50"/>
  <c r="U68" i="50"/>
  <c r="AP8" i="50"/>
  <c r="AJ56" i="50"/>
  <c r="O32" i="50"/>
  <c r="U9" i="50"/>
  <c r="AG42" i="50"/>
  <c r="T11" i="50"/>
  <c r="AD65" i="50"/>
  <c r="AS31" i="50"/>
  <c r="L24" i="50"/>
  <c r="AA53" i="50"/>
  <c r="AY23" i="50"/>
  <c r="Z42" i="50"/>
  <c r="AD60" i="50"/>
  <c r="AJ38" i="50"/>
  <c r="L12" i="50"/>
  <c r="BA10" i="50"/>
  <c r="AC23" i="50"/>
  <c r="AW27" i="50"/>
  <c r="AI10" i="50"/>
  <c r="AT57" i="50"/>
  <c r="BC13" i="50"/>
  <c r="U4" i="50"/>
  <c r="Y20" i="50"/>
  <c r="W66" i="50"/>
  <c r="AE60" i="50"/>
  <c r="N69" i="50"/>
  <c r="AX15" i="50"/>
  <c r="AE39" i="50"/>
  <c r="BA18" i="50"/>
  <c r="Z55" i="50"/>
  <c r="S44" i="50"/>
  <c r="AJ25" i="50"/>
  <c r="AF68" i="50"/>
  <c r="BC29" i="50"/>
  <c r="O21" i="50"/>
  <c r="AU47" i="50"/>
  <c r="AS8" i="50"/>
  <c r="X69" i="50"/>
  <c r="AU61" i="50"/>
  <c r="S31" i="50"/>
  <c r="Z29" i="50"/>
  <c r="AW4" i="50"/>
  <c r="AP27" i="50"/>
  <c r="AH16" i="50"/>
  <c r="AF31" i="50"/>
  <c r="AK49" i="50"/>
  <c r="AQ38" i="50"/>
  <c r="AG58" i="50"/>
  <c r="BB52" i="50"/>
  <c r="AJ62" i="50"/>
  <c r="AN37" i="50"/>
  <c r="AI12" i="50"/>
  <c r="AF9" i="50"/>
  <c r="AX17" i="50"/>
  <c r="AS62" i="50"/>
  <c r="AC41" i="50"/>
  <c r="AM22" i="50"/>
  <c r="AS20" i="50"/>
  <c r="BA17" i="50"/>
  <c r="AR19" i="50"/>
  <c r="AL44" i="50"/>
  <c r="AK23" i="50"/>
  <c r="AJ23" i="50"/>
  <c r="X22" i="50"/>
  <c r="AP40" i="50"/>
  <c r="AH19" i="50"/>
  <c r="N9" i="50"/>
  <c r="P61" i="50"/>
  <c r="AO27" i="50"/>
  <c r="AL58" i="50"/>
  <c r="N67" i="50"/>
  <c r="V26" i="50"/>
  <c r="AF14" i="50"/>
  <c r="U25" i="50"/>
  <c r="AW5" i="50"/>
  <c r="AR29" i="50"/>
  <c r="AL6" i="50"/>
  <c r="W42" i="50"/>
  <c r="O24" i="50"/>
  <c r="M34" i="50"/>
  <c r="AP72" i="50"/>
  <c r="V48" i="50"/>
  <c r="AC40" i="50"/>
  <c r="W22" i="50"/>
  <c r="R20" i="50"/>
  <c r="AY40" i="50"/>
  <c r="X72" i="50"/>
  <c r="BB11" i="50"/>
  <c r="AU19" i="50"/>
  <c r="Q43" i="50"/>
  <c r="AP53" i="50"/>
  <c r="AV32" i="50"/>
  <c r="AG10" i="50"/>
  <c r="BA61" i="50"/>
  <c r="N23" i="50"/>
  <c r="AA70" i="50"/>
  <c r="N64" i="50"/>
  <c r="AE46" i="50"/>
  <c r="Q25" i="50"/>
  <c r="AU49" i="50"/>
  <c r="AR10" i="50"/>
  <c r="N65" i="50"/>
  <c r="AA30" i="50"/>
  <c r="AF19" i="50"/>
  <c r="U45" i="50"/>
  <c r="AH44" i="50"/>
  <c r="AF24" i="50"/>
  <c r="BC11" i="50"/>
  <c r="AB43" i="50"/>
  <c r="AT71" i="50"/>
  <c r="BC35" i="50"/>
  <c r="AK14" i="50"/>
  <c r="O61" i="50"/>
  <c r="AX35" i="50"/>
  <c r="U36" i="50"/>
  <c r="AO53" i="50"/>
  <c r="BB47" i="50"/>
  <c r="Y39" i="50"/>
  <c r="AO7" i="50"/>
  <c r="AB42" i="50"/>
  <c r="AR11" i="50"/>
  <c r="AH14" i="50"/>
  <c r="X59" i="50"/>
  <c r="X38" i="50"/>
  <c r="AC14" i="50"/>
  <c r="AM60" i="50"/>
  <c r="AH41" i="50"/>
  <c r="AQ16" i="50"/>
  <c r="S19" i="50"/>
  <c r="BA20" i="50"/>
  <c r="R68" i="50"/>
  <c r="N45" i="50"/>
  <c r="W40" i="50"/>
  <c r="AT24" i="50"/>
  <c r="AV34" i="50"/>
  <c r="AV48" i="50"/>
  <c r="AQ55" i="50"/>
  <c r="T27" i="50"/>
  <c r="AS14" i="50"/>
  <c r="AE71" i="50"/>
  <c r="AH55" i="50"/>
  <c r="R8" i="50"/>
  <c r="AX19" i="50"/>
  <c r="AO59" i="50"/>
  <c r="AB11" i="50"/>
  <c r="AQ27" i="50"/>
  <c r="Q65" i="50"/>
  <c r="Q26" i="50"/>
  <c r="BB49" i="50"/>
  <c r="W12" i="50"/>
  <c r="BA57" i="50"/>
  <c r="AE18" i="50"/>
  <c r="V13" i="50"/>
  <c r="BC57" i="50"/>
  <c r="AY56" i="50"/>
  <c r="AP65" i="50"/>
  <c r="AG5" i="50"/>
  <c r="AP31" i="50"/>
  <c r="P6" i="50"/>
  <c r="P40" i="50"/>
  <c r="BB28" i="50"/>
  <c r="AN59" i="50"/>
  <c r="O27" i="50"/>
  <c r="AX70" i="50"/>
  <c r="M51" i="50"/>
  <c r="AH20" i="50"/>
  <c r="V21" i="50"/>
  <c r="AQ6" i="50"/>
  <c r="BB36" i="50"/>
  <c r="AA50" i="50"/>
  <c r="AZ53" i="50"/>
  <c r="BA34" i="50"/>
  <c r="BA72" i="50"/>
  <c r="AP6" i="50"/>
  <c r="N53" i="50"/>
  <c r="AL70" i="50"/>
  <c r="AN34" i="50"/>
  <c r="AJ55" i="50"/>
  <c r="Y56" i="50"/>
  <c r="AP67" i="50"/>
  <c r="AI30" i="50"/>
  <c r="AL64" i="50"/>
  <c r="AY12" i="50"/>
  <c r="N59" i="50"/>
  <c r="Z34" i="50"/>
  <c r="L23" i="50"/>
  <c r="M63" i="50"/>
  <c r="AG48" i="50"/>
  <c r="BB44" i="50"/>
  <c r="AC72" i="50"/>
  <c r="AH37" i="50"/>
  <c r="AH66" i="50"/>
  <c r="U19" i="50"/>
  <c r="AS45" i="50"/>
  <c r="M69" i="50"/>
  <c r="S28" i="50"/>
  <c r="AJ31" i="50"/>
  <c r="R7" i="50"/>
  <c r="W33" i="50"/>
  <c r="S16" i="50"/>
  <c r="AX54" i="50"/>
  <c r="M62" i="50"/>
  <c r="AB9" i="50"/>
  <c r="AX65" i="50"/>
  <c r="AC20" i="50"/>
  <c r="BB18" i="50"/>
  <c r="AP24" i="50"/>
  <c r="AM44" i="50"/>
  <c r="AN6" i="50"/>
  <c r="AN52" i="50"/>
  <c r="O56" i="50"/>
  <c r="AB36" i="50"/>
  <c r="AQ10" i="50"/>
  <c r="AE41" i="50"/>
  <c r="AY24" i="50"/>
  <c r="AR18" i="50"/>
  <c r="V40" i="50"/>
  <c r="AA18" i="50"/>
  <c r="AT44" i="50"/>
  <c r="AK35" i="50"/>
  <c r="P30" i="50"/>
  <c r="AR47" i="50"/>
  <c r="AM48" i="50"/>
  <c r="AU38" i="50"/>
  <c r="AU46" i="50"/>
  <c r="AT31" i="50"/>
  <c r="P42" i="50"/>
  <c r="AA33" i="50"/>
  <c r="N56" i="50"/>
  <c r="L67" i="50"/>
  <c r="AV27" i="50"/>
  <c r="AZ48" i="50"/>
  <c r="M8" i="50"/>
  <c r="BC53" i="50"/>
  <c r="Q7" i="50"/>
  <c r="AC38" i="50"/>
  <c r="AI48" i="50"/>
  <c r="R10" i="50"/>
  <c r="AH17" i="50"/>
  <c r="AK55" i="50"/>
  <c r="X49" i="50"/>
  <c r="BC34" i="50"/>
  <c r="AU56" i="50"/>
  <c r="AH27" i="50"/>
  <c r="AM35" i="50"/>
  <c r="AL51" i="50"/>
  <c r="AZ47" i="50"/>
  <c r="AT65" i="50"/>
  <c r="AE70" i="50"/>
  <c r="AC28" i="50"/>
  <c r="T43" i="50"/>
  <c r="AZ19" i="50"/>
  <c r="M10" i="50"/>
  <c r="Y48" i="50"/>
  <c r="AT33" i="50"/>
  <c r="AQ59" i="50"/>
  <c r="AS10" i="50"/>
  <c r="S24" i="50"/>
  <c r="BC42" i="50"/>
  <c r="Q42" i="50"/>
  <c r="AF55" i="50"/>
  <c r="P57" i="50"/>
  <c r="W44" i="50"/>
  <c r="O26" i="50"/>
  <c r="AX11" i="50"/>
  <c r="Y4" i="50"/>
  <c r="BB60" i="50"/>
  <c r="AS42" i="50"/>
  <c r="AQ48" i="50"/>
  <c r="O44" i="50"/>
  <c r="AK47" i="50"/>
  <c r="Y6" i="50"/>
  <c r="AG47" i="50"/>
  <c r="AI31" i="50"/>
  <c r="AZ70" i="50"/>
  <c r="T64" i="50"/>
  <c r="R35" i="50"/>
  <c r="Y28" i="50"/>
  <c r="AZ71" i="50"/>
  <c r="AA20" i="50"/>
  <c r="Z53" i="50"/>
  <c r="V57" i="50"/>
  <c r="AI47" i="50"/>
  <c r="AR5" i="50"/>
  <c r="AM56" i="50"/>
  <c r="AT53" i="50"/>
  <c r="AH6" i="50"/>
  <c r="AP43" i="50"/>
  <c r="AR43" i="50"/>
  <c r="L72" i="50"/>
  <c r="O47" i="50"/>
  <c r="AU6" i="50"/>
  <c r="P53" i="50"/>
  <c r="AJ52" i="50"/>
  <c r="AL40" i="50"/>
  <c r="AX41" i="50"/>
  <c r="AH61" i="50"/>
  <c r="AZ58" i="50"/>
  <c r="AK4" i="50"/>
  <c r="BA11" i="50"/>
  <c r="AZ49" i="50"/>
  <c r="AA60" i="50"/>
  <c r="Q24" i="50"/>
  <c r="AQ34" i="50"/>
  <c r="AI49" i="50"/>
  <c r="AB24" i="50"/>
  <c r="V47" i="50"/>
  <c r="AX38" i="50"/>
  <c r="AW71" i="50"/>
  <c r="AT10" i="50"/>
  <c r="AJ29" i="50"/>
  <c r="T7" i="50"/>
  <c r="S38" i="50"/>
  <c r="O66" i="50"/>
  <c r="S7" i="50"/>
  <c r="AN53" i="50"/>
  <c r="AY13" i="50"/>
  <c r="BA71" i="50"/>
  <c r="BA29" i="50"/>
  <c r="AO6" i="50"/>
  <c r="AV18" i="50"/>
  <c r="Z25" i="50"/>
  <c r="X41" i="50"/>
  <c r="Y71" i="50"/>
  <c r="AI8" i="50"/>
  <c r="AT39" i="50"/>
  <c r="P4" i="50"/>
  <c r="AO43" i="50"/>
  <c r="O17" i="50"/>
  <c r="S50" i="50"/>
  <c r="M20" i="50"/>
  <c r="AE40" i="50"/>
  <c r="AZ44" i="50"/>
  <c r="AD14" i="50"/>
  <c r="AL33" i="50"/>
  <c r="AR37" i="50"/>
  <c r="P63" i="50"/>
  <c r="R40" i="50"/>
  <c r="W67" i="50"/>
  <c r="AY41" i="50"/>
  <c r="AQ15" i="50"/>
  <c r="Z50" i="50"/>
  <c r="AG46" i="50"/>
  <c r="AS60" i="50"/>
  <c r="U62" i="50"/>
  <c r="AR49" i="50"/>
  <c r="R23" i="50"/>
  <c r="X11" i="50"/>
  <c r="Y54" i="50"/>
  <c r="AG18" i="50"/>
  <c r="AR28" i="50"/>
  <c r="AM13" i="50"/>
  <c r="BB22" i="50"/>
  <c r="AG66" i="50"/>
  <c r="AA26" i="50"/>
  <c r="AE47" i="50"/>
  <c r="AD71" i="50"/>
  <c r="X36" i="50"/>
  <c r="O12" i="50"/>
  <c r="AV8" i="50"/>
  <c r="L40" i="50"/>
  <c r="AV36" i="50"/>
  <c r="O55" i="50"/>
  <c r="P50" i="50"/>
  <c r="AD62" i="50"/>
  <c r="BA28" i="50"/>
  <c r="P71" i="50"/>
  <c r="N20" i="50"/>
  <c r="M7" i="50"/>
  <c r="AX14" i="50"/>
  <c r="AE10" i="50"/>
  <c r="AT35" i="50"/>
  <c r="M39" i="50"/>
  <c r="AY47" i="50"/>
  <c r="AM68" i="50"/>
  <c r="T70" i="50"/>
  <c r="L28" i="50"/>
  <c r="U8" i="50"/>
  <c r="AD8" i="50"/>
  <c r="R59" i="50"/>
  <c r="AE37" i="50"/>
  <c r="BB14" i="50"/>
  <c r="Y34" i="50"/>
  <c r="U47" i="50"/>
  <c r="AE42" i="50"/>
  <c r="AG9" i="50"/>
  <c r="AR56" i="50"/>
  <c r="Q58" i="50"/>
  <c r="BB8" i="50"/>
  <c r="AM10" i="50"/>
  <c r="AS28" i="50"/>
  <c r="AK68" i="50"/>
  <c r="L65" i="50"/>
  <c r="Q23" i="50"/>
  <c r="AY52" i="50"/>
  <c r="AG72" i="50"/>
  <c r="Y23" i="50"/>
  <c r="AL67" i="50"/>
  <c r="AH47" i="50"/>
  <c r="AU31" i="50"/>
  <c r="S4" i="50"/>
  <c r="AC17" i="50"/>
  <c r="AP19" i="50"/>
  <c r="N46" i="50"/>
  <c r="AL5" i="50"/>
  <c r="AC54" i="50"/>
  <c r="AG55" i="50"/>
  <c r="BB67" i="50"/>
  <c r="Y51" i="50"/>
  <c r="AE19" i="50"/>
  <c r="AL54" i="50"/>
  <c r="BB33" i="50"/>
  <c r="M72" i="50"/>
  <c r="AO56" i="50"/>
  <c r="AU22" i="50"/>
  <c r="P70" i="50"/>
  <c r="AO36" i="50"/>
  <c r="AJ18" i="50"/>
  <c r="AB29" i="50"/>
  <c r="S47" i="50"/>
  <c r="AU63" i="50"/>
  <c r="AL15" i="50"/>
  <c r="U18" i="50"/>
  <c r="S14" i="50"/>
  <c r="AE11" i="50"/>
  <c r="AC42" i="50"/>
  <c r="AI5" i="50"/>
  <c r="AK30" i="50"/>
  <c r="Y18" i="50"/>
  <c r="AL4" i="50"/>
  <c r="AP34" i="50"/>
  <c r="AN32" i="50"/>
  <c r="AD20" i="50"/>
  <c r="AB53" i="50"/>
  <c r="U16" i="50"/>
  <c r="AR58" i="50"/>
  <c r="U20" i="50"/>
  <c r="AP62" i="50"/>
  <c r="AX67" i="50"/>
  <c r="AV72" i="50"/>
  <c r="AV17" i="50"/>
  <c r="X60" i="50"/>
  <c r="O36" i="50"/>
  <c r="AY44" i="50"/>
  <c r="AO57" i="50"/>
  <c r="AQ54" i="50"/>
  <c r="R48" i="50"/>
  <c r="N62" i="50"/>
  <c r="AY35" i="50"/>
  <c r="AQ47" i="50"/>
  <c r="AS71" i="50"/>
  <c r="L26" i="50"/>
  <c r="AK6" i="50"/>
  <c r="AU29" i="50"/>
  <c r="AE69" i="50"/>
  <c r="BB35" i="50"/>
  <c r="AO9" i="50"/>
  <c r="AB72" i="50"/>
  <c r="N70" i="50"/>
  <c r="S60" i="50"/>
  <c r="R51" i="50"/>
  <c r="AZ20" i="50"/>
  <c r="O34" i="50"/>
  <c r="AR59" i="50"/>
  <c r="AA23" i="50"/>
  <c r="AJ14" i="50"/>
  <c r="Y44" i="50"/>
  <c r="BB30" i="50"/>
  <c r="X42" i="50"/>
  <c r="AD45" i="50"/>
  <c r="AW65" i="50"/>
  <c r="AJ68" i="50"/>
  <c r="M67" i="50"/>
  <c r="O10" i="50"/>
  <c r="AK11" i="50"/>
  <c r="M11" i="50"/>
  <c r="AZ23" i="50"/>
  <c r="AV35" i="50"/>
  <c r="AM57" i="50"/>
  <c r="AF62" i="50"/>
  <c r="BC49" i="50"/>
  <c r="N63" i="50"/>
  <c r="AG68" i="50"/>
  <c r="T20" i="50"/>
  <c r="AP59" i="50"/>
  <c r="Z63" i="50"/>
  <c r="Q15" i="50"/>
  <c r="BB63" i="50"/>
  <c r="V58" i="50"/>
  <c r="AN14" i="50"/>
  <c r="P7" i="50"/>
  <c r="AA44" i="50"/>
  <c r="AJ45" i="50"/>
  <c r="M31" i="50"/>
  <c r="M33" i="50"/>
  <c r="BA5" i="50"/>
  <c r="AB21" i="50"/>
  <c r="Q35" i="50"/>
  <c r="AX60" i="50"/>
  <c r="N43" i="50"/>
  <c r="AL16" i="50"/>
  <c r="AV62" i="50"/>
  <c r="U67" i="50"/>
  <c r="AW20" i="50"/>
  <c r="AL69" i="50"/>
  <c r="AQ35" i="50"/>
  <c r="AS54" i="50"/>
  <c r="AC4" i="50"/>
  <c r="AY27" i="50"/>
  <c r="AK60" i="50"/>
  <c r="AZ7" i="50"/>
  <c r="AZ35" i="50"/>
  <c r="AK36" i="50"/>
  <c r="AB5" i="50"/>
  <c r="AW38" i="50"/>
  <c r="AY8" i="50"/>
  <c r="AW10" i="50"/>
  <c r="AU35" i="50"/>
  <c r="AO4" i="50"/>
  <c r="Y33" i="50"/>
  <c r="AV19" i="50"/>
  <c r="AD54" i="50"/>
  <c r="AJ61" i="50"/>
  <c r="R15" i="50"/>
  <c r="AO35" i="50"/>
  <c r="P46" i="50"/>
  <c r="AF59" i="50"/>
  <c r="S15" i="50"/>
  <c r="Z21" i="50"/>
  <c r="Z22" i="50"/>
  <c r="AN68" i="50"/>
  <c r="AX27" i="50"/>
  <c r="BA14" i="50"/>
  <c r="Q29" i="50"/>
  <c r="AQ17" i="50"/>
  <c r="AW25" i="50"/>
  <c r="AT18" i="50"/>
  <c r="BB64" i="50"/>
  <c r="V68" i="50"/>
  <c r="AV30" i="50"/>
  <c r="Q30" i="50"/>
  <c r="AH24" i="50"/>
  <c r="AQ42" i="50"/>
  <c r="T58" i="50"/>
  <c r="AS38" i="50"/>
  <c r="AV39" i="50"/>
  <c r="AY53" i="50"/>
  <c r="AT7" i="50"/>
  <c r="AQ30" i="50"/>
  <c r="AX69" i="50"/>
  <c r="BB25" i="50"/>
  <c r="S29" i="50"/>
  <c r="AR12" i="50"/>
  <c r="AE34" i="50"/>
  <c r="AJ66" i="50"/>
  <c r="AY38" i="50"/>
  <c r="O59" i="50"/>
  <c r="S61" i="50"/>
  <c r="W43" i="50"/>
  <c r="X7" i="50"/>
  <c r="W39" i="50"/>
  <c r="AM64" i="50"/>
  <c r="AS25" i="50"/>
  <c r="Z13" i="50"/>
  <c r="L46" i="50"/>
  <c r="AK37" i="50"/>
  <c r="AH25" i="50"/>
  <c r="AU45" i="50"/>
  <c r="R58" i="50"/>
  <c r="BB54" i="50"/>
  <c r="M52" i="50"/>
  <c r="AD18" i="50"/>
  <c r="V72" i="50"/>
  <c r="BA51" i="50"/>
  <c r="AX66" i="50"/>
  <c r="AE5" i="50"/>
  <c r="V31" i="50"/>
  <c r="W9" i="50"/>
  <c r="AQ18" i="50"/>
  <c r="Z65" i="50"/>
  <c r="AM71" i="50"/>
  <c r="AC30" i="50"/>
  <c r="BC25" i="50"/>
  <c r="AZ34" i="50"/>
  <c r="AC8" i="50"/>
  <c r="AK70" i="50"/>
  <c r="Z39" i="50"/>
  <c r="AA11" i="50"/>
  <c r="AI52" i="50"/>
  <c r="M24" i="50"/>
  <c r="Z31" i="50"/>
  <c r="AF26" i="50"/>
  <c r="AV61" i="50"/>
  <c r="AF45" i="50"/>
  <c r="AQ23" i="50"/>
  <c r="L18" i="50"/>
  <c r="AT41" i="50"/>
  <c r="X50" i="50"/>
  <c r="AS39" i="50"/>
  <c r="P38" i="50"/>
  <c r="Y57" i="50"/>
  <c r="AL23" i="50"/>
  <c r="AW36" i="50"/>
  <c r="U5" i="50"/>
  <c r="L55" i="50"/>
  <c r="V46" i="50"/>
  <c r="AN25" i="50"/>
  <c r="BA25" i="50"/>
  <c r="AA72" i="50"/>
  <c r="AF7" i="50"/>
  <c r="AE49" i="50"/>
  <c r="AD23" i="50"/>
  <c r="AU7" i="50"/>
  <c r="O60" i="50"/>
  <c r="AB39" i="50"/>
  <c r="L57" i="50"/>
  <c r="AO24" i="50"/>
  <c r="L52" i="50"/>
  <c r="AA21" i="50"/>
  <c r="O62" i="50"/>
  <c r="W17" i="50"/>
  <c r="BC64" i="50"/>
  <c r="Y8" i="50"/>
  <c r="R39" i="50"/>
  <c r="Y41" i="50"/>
  <c r="AP63" i="50"/>
  <c r="AV56" i="50"/>
  <c r="U14" i="50"/>
  <c r="L35" i="50"/>
  <c r="AN46" i="50"/>
  <c r="AT36" i="50"/>
  <c r="BA13" i="50"/>
  <c r="AM37" i="50"/>
  <c r="AF30" i="50"/>
  <c r="AP26" i="50"/>
  <c r="V12" i="50"/>
  <c r="AK58" i="50"/>
  <c r="Y68" i="50"/>
  <c r="AL35" i="50"/>
  <c r="AS17" i="50"/>
  <c r="N19" i="50"/>
  <c r="AV4" i="50"/>
  <c r="AN19" i="50"/>
  <c r="AW24" i="50"/>
  <c r="AL38" i="50"/>
  <c r="W55" i="50"/>
  <c r="Y16" i="50"/>
  <c r="AB17" i="50"/>
  <c r="AR6" i="50"/>
  <c r="L47" i="50"/>
  <c r="U32" i="50"/>
  <c r="AY20" i="50"/>
  <c r="R18" i="50"/>
  <c r="AM62" i="50"/>
  <c r="O38" i="50"/>
  <c r="AW50" i="50"/>
  <c r="AJ72" i="50"/>
  <c r="AB60" i="50"/>
  <c r="P36" i="50"/>
  <c r="AC16" i="50"/>
  <c r="T10" i="50"/>
  <c r="AQ25" i="50"/>
  <c r="AT54" i="50"/>
  <c r="AR20" i="50"/>
  <c r="V69" i="50"/>
  <c r="Z66" i="50"/>
  <c r="AC68" i="50"/>
  <c r="AC59" i="50"/>
  <c r="AA63" i="50"/>
  <c r="AP21" i="50"/>
  <c r="Q12" i="50"/>
  <c r="AW37" i="50"/>
  <c r="AM52" i="50"/>
  <c r="O7" i="50"/>
  <c r="BB48" i="50"/>
  <c r="U38" i="50"/>
  <c r="AS72" i="50"/>
  <c r="AJ51" i="50"/>
  <c r="AE13" i="50"/>
  <c r="AL53" i="50"/>
  <c r="AE51" i="50"/>
  <c r="U40" i="50"/>
  <c r="U63" i="50"/>
  <c r="AP52" i="50"/>
  <c r="AC44" i="50"/>
  <c r="AP5" i="50"/>
  <c r="BA55" i="50"/>
  <c r="R42" i="50"/>
  <c r="BC43" i="50"/>
  <c r="AX31" i="50"/>
  <c r="W36" i="50"/>
  <c r="AP4" i="50"/>
  <c r="X62" i="50"/>
  <c r="AM40" i="50"/>
  <c r="AQ40" i="50"/>
  <c r="AY70" i="50"/>
  <c r="AM43" i="50"/>
  <c r="AR42" i="50"/>
  <c r="AI28" i="50"/>
  <c r="AI34" i="50"/>
  <c r="AJ15" i="50"/>
  <c r="U21" i="50"/>
  <c r="AM55" i="50"/>
  <c r="AK31" i="50"/>
  <c r="N37" i="50"/>
  <c r="BA24" i="50"/>
  <c r="AX62" i="50"/>
  <c r="AA40" i="50"/>
  <c r="AM9" i="50"/>
  <c r="O50" i="50"/>
  <c r="U46" i="50"/>
  <c r="AU54" i="50"/>
  <c r="AU43" i="50"/>
  <c r="AY51" i="50"/>
  <c r="M35" i="50"/>
  <c r="AE66" i="50"/>
  <c r="P37" i="50"/>
  <c r="AB50" i="50"/>
  <c r="AU34" i="50"/>
  <c r="W8" i="50"/>
  <c r="AP68" i="50"/>
  <c r="BC17" i="50"/>
  <c r="AS57" i="50"/>
  <c r="AE27" i="50"/>
  <c r="W23" i="50"/>
  <c r="R53" i="50"/>
  <c r="AI23" i="50"/>
  <c r="X37" i="50"/>
  <c r="AI11" i="50"/>
  <c r="N68" i="50"/>
  <c r="AT5" i="50"/>
  <c r="AB16" i="50"/>
  <c r="AZ5" i="50"/>
  <c r="AL14" i="50"/>
  <c r="AO62" i="50"/>
  <c r="N50" i="50"/>
  <c r="M59" i="50"/>
  <c r="AU40" i="50"/>
  <c r="T71" i="50"/>
  <c r="Z10" i="50"/>
  <c r="M56" i="50"/>
  <c r="AZ41" i="50"/>
  <c r="AF56" i="50"/>
  <c r="BC56" i="50"/>
  <c r="R28" i="50"/>
  <c r="BC59" i="50"/>
  <c r="N30" i="50"/>
  <c r="N28" i="50"/>
  <c r="X58" i="50"/>
  <c r="AW26" i="50"/>
  <c r="AH34" i="50"/>
  <c r="AT49" i="50"/>
  <c r="AH40" i="50"/>
  <c r="O72" i="50"/>
  <c r="AH38" i="50"/>
  <c r="Y53" i="50"/>
  <c r="AC71" i="50"/>
  <c r="AL9" i="50"/>
  <c r="N15" i="50"/>
  <c r="N72" i="50"/>
  <c r="W28" i="50"/>
  <c r="AQ51" i="50"/>
  <c r="AE50" i="50"/>
  <c r="Q70" i="50"/>
  <c r="AK26" i="50"/>
  <c r="M37" i="50"/>
  <c r="O19" i="50"/>
  <c r="AX53" i="50"/>
  <c r="M4" i="50"/>
  <c r="AS64" i="50"/>
  <c r="BA32" i="50"/>
  <c r="X52" i="50"/>
  <c r="AM29" i="50"/>
  <c r="AY72" i="50"/>
  <c r="AI35" i="50"/>
  <c r="AU21" i="50"/>
  <c r="AA65" i="50"/>
  <c r="AT15" i="50"/>
  <c r="AV53" i="50"/>
  <c r="AX44" i="50"/>
  <c r="Q41" i="50"/>
  <c r="O54" i="50"/>
  <c r="AO60" i="50"/>
  <c r="M15" i="50"/>
  <c r="AH9" i="50"/>
  <c r="BB7" i="50"/>
  <c r="AU36" i="50"/>
  <c r="AN28" i="50"/>
  <c r="AK57" i="50"/>
  <c r="BB61" i="50"/>
  <c r="AS11" i="50"/>
  <c r="AN5" i="50"/>
  <c r="AS53" i="50"/>
  <c r="V45" i="50"/>
  <c r="AP50" i="50"/>
  <c r="AK7" i="50"/>
  <c r="AJ16" i="50"/>
  <c r="BC36" i="50"/>
  <c r="AP22" i="50"/>
  <c r="AU67" i="50"/>
  <c r="AC52" i="50"/>
  <c r="AI19" i="50"/>
  <c r="O9" i="50"/>
  <c r="Q46" i="50"/>
  <c r="Z19" i="50"/>
  <c r="AJ32" i="50"/>
  <c r="R24" i="50"/>
  <c r="AQ19" i="50"/>
  <c r="P64" i="50"/>
  <c r="Y22" i="50"/>
  <c r="AJ20" i="50"/>
  <c r="AI4" i="50"/>
  <c r="AN27" i="50"/>
  <c r="T52" i="50"/>
  <c r="AL29" i="50"/>
  <c r="Q9" i="50"/>
  <c r="AO51" i="50"/>
  <c r="L36" i="50"/>
  <c r="AJ33" i="50"/>
  <c r="AU55" i="50"/>
  <c r="X43" i="50"/>
  <c r="AY58" i="50"/>
  <c r="AC47" i="50"/>
  <c r="AD47" i="50"/>
  <c r="AN22" i="50"/>
  <c r="T63" i="50"/>
  <c r="AR26" i="50"/>
  <c r="AI60" i="50"/>
  <c r="AK48" i="50"/>
  <c r="Y12" i="50"/>
  <c r="AV71" i="50"/>
  <c r="AG22" i="50"/>
  <c r="X66" i="50"/>
  <c r="L38" i="50"/>
  <c r="AH11" i="50"/>
  <c r="V8" i="50"/>
  <c r="AC5" i="50"/>
  <c r="Z47" i="50"/>
  <c r="AA36" i="50"/>
  <c r="AA58" i="50"/>
  <c r="Y19" i="50"/>
  <c r="BA39" i="50"/>
  <c r="AE58" i="50"/>
  <c r="N22" i="50"/>
  <c r="AR27" i="50"/>
  <c r="AK19" i="50"/>
  <c r="Z57" i="50"/>
  <c r="AH56" i="50"/>
  <c r="AA54" i="50"/>
  <c r="AJ11" i="50"/>
  <c r="BA4" i="50"/>
  <c r="AB15" i="50"/>
  <c r="BA65" i="50"/>
  <c r="AG37" i="50"/>
  <c r="T47" i="50"/>
  <c r="BB69" i="50"/>
  <c r="AO11" i="50"/>
  <c r="T49" i="50"/>
  <c r="BB12" i="50"/>
  <c r="AI68" i="50"/>
  <c r="AC12" i="50"/>
  <c r="AY22" i="50"/>
  <c r="AN51" i="50"/>
  <c r="L44" i="50"/>
  <c r="AL11" i="50"/>
  <c r="U30" i="50"/>
  <c r="L56" i="50"/>
  <c r="W58" i="50"/>
  <c r="W60" i="50"/>
  <c r="AA29" i="50"/>
  <c r="AN26" i="50"/>
  <c r="AE24" i="50"/>
  <c r="X5" i="50"/>
  <c r="Z68" i="50"/>
  <c r="Z61" i="50"/>
  <c r="W27" i="50"/>
  <c r="BC10" i="50"/>
  <c r="AF33" i="50"/>
  <c r="U24" i="50"/>
  <c r="AD29" i="50"/>
  <c r="AJ70" i="50"/>
  <c r="AA64" i="50"/>
  <c r="AE59" i="50"/>
  <c r="BC20" i="50"/>
  <c r="M61" i="50"/>
  <c r="X25" i="50"/>
  <c r="AT9" i="50"/>
  <c r="AS22" i="50"/>
  <c r="Z14" i="50"/>
  <c r="AA71" i="50"/>
  <c r="AC32" i="50"/>
  <c r="AH10" i="50"/>
  <c r="AH57" i="50"/>
  <c r="AN9" i="50"/>
  <c r="AZ30" i="50"/>
  <c r="S59" i="50"/>
  <c r="AL50" i="50"/>
  <c r="AO64" i="50"/>
  <c r="AT6" i="50"/>
  <c r="AP54" i="50"/>
  <c r="AY68" i="50"/>
  <c r="M53" i="50"/>
  <c r="AT8" i="50"/>
  <c r="AP51" i="50"/>
  <c r="BA8" i="50"/>
  <c r="Q33" i="50"/>
  <c r="AT67" i="50"/>
  <c r="AZ31" i="50"/>
  <c r="S10" i="50"/>
  <c r="AR33" i="50"/>
  <c r="T68" i="50"/>
  <c r="R30" i="50"/>
  <c r="AS68" i="50"/>
  <c r="AS15" i="50"/>
  <c r="T9" i="50"/>
  <c r="BA19" i="50"/>
  <c r="AB62" i="50"/>
  <c r="W7" i="50"/>
  <c r="P9" i="50"/>
  <c r="AX34" i="50"/>
  <c r="AK56" i="50"/>
  <c r="AX20" i="50"/>
  <c r="AE57" i="50"/>
  <c r="AU12" i="50"/>
  <c r="BB10" i="50"/>
  <c r="M54" i="50"/>
  <c r="AC26" i="50"/>
  <c r="Y49" i="50"/>
  <c r="U10" i="50"/>
  <c r="AM21" i="50"/>
  <c r="AH31" i="50"/>
  <c r="M48" i="50"/>
  <c r="AT30" i="50"/>
  <c r="AQ64" i="50"/>
  <c r="AL24" i="50"/>
  <c r="AB6" i="50"/>
  <c r="Q13" i="50"/>
  <c r="L61" i="50"/>
  <c r="Z69" i="50"/>
  <c r="N38" i="50"/>
  <c r="AK28" i="50"/>
  <c r="AV25" i="50"/>
  <c r="AV46" i="50"/>
  <c r="Y38" i="50"/>
  <c r="AO14" i="50"/>
  <c r="AW46" i="50"/>
  <c r="AZ21" i="50"/>
  <c r="R41" i="50"/>
  <c r="BC7" i="50"/>
  <c r="AO63" i="50"/>
  <c r="AK62" i="50"/>
  <c r="AL63" i="50"/>
  <c r="O4" i="50"/>
  <c r="AQ67" i="50"/>
  <c r="X17" i="50"/>
  <c r="AB26" i="50"/>
  <c r="AX30" i="50"/>
  <c r="AZ59" i="50"/>
  <c r="L37" i="50"/>
  <c r="AA47" i="50"/>
  <c r="O30" i="50"/>
  <c r="AA24" i="50"/>
  <c r="AE16" i="50"/>
  <c r="AF63" i="50"/>
  <c r="AN38" i="50"/>
  <c r="BA44" i="50"/>
  <c r="Z52" i="50"/>
  <c r="AR63" i="50"/>
  <c r="BA9" i="50"/>
  <c r="Y21" i="50"/>
  <c r="AS13" i="50"/>
  <c r="AR14" i="50"/>
  <c r="Z20" i="50"/>
  <c r="BC8" i="50"/>
  <c r="AV38" i="50"/>
  <c r="AK21" i="50"/>
  <c r="R13" i="50"/>
  <c r="AX50" i="50"/>
  <c r="AC19" i="50"/>
  <c r="AB52" i="50"/>
  <c r="S52" i="50"/>
  <c r="AU59" i="50"/>
  <c r="AV66" i="50"/>
  <c r="O33" i="50"/>
  <c r="AO17" i="50"/>
  <c r="AM58" i="50"/>
  <c r="Q62" i="50"/>
  <c r="AZ72" i="50"/>
  <c r="W65" i="50"/>
  <c r="AA66" i="50"/>
  <c r="AA14" i="50"/>
  <c r="AO18" i="50"/>
  <c r="Q10" i="50"/>
  <c r="Y27" i="50"/>
  <c r="AE55" i="50"/>
  <c r="Z23" i="50"/>
  <c r="AB48" i="50"/>
  <c r="AA15" i="50"/>
  <c r="AP46" i="50"/>
  <c r="BA46" i="50"/>
  <c r="AQ24" i="50"/>
  <c r="AK51" i="50"/>
  <c r="BA62" i="50"/>
  <c r="AW15" i="50"/>
  <c r="AN23" i="50"/>
  <c r="AF44" i="50"/>
  <c r="AJ6" i="50"/>
  <c r="BC46" i="50"/>
  <c r="O11" i="50"/>
  <c r="AS48" i="50"/>
  <c r="AG26" i="50"/>
  <c r="AO67" i="50"/>
  <c r="BA30" i="50"/>
  <c r="AA9" i="50"/>
  <c r="AH13" i="50"/>
  <c r="AJ30" i="50"/>
  <c r="AG51" i="50"/>
  <c r="AC63" i="50"/>
  <c r="AJ59" i="50"/>
  <c r="AQ63" i="50"/>
  <c r="AG21" i="50"/>
  <c r="P59" i="50"/>
  <c r="Q21" i="50"/>
  <c r="AW22" i="50"/>
  <c r="AZ67" i="50"/>
  <c r="AY7" i="50"/>
  <c r="AB34" i="50"/>
  <c r="Q11" i="50"/>
  <c r="AS32" i="50"/>
  <c r="X44" i="50"/>
  <c r="AD68" i="50"/>
  <c r="Y14" i="50"/>
  <c r="BB66" i="50"/>
  <c r="AV31" i="50"/>
  <c r="AS21" i="50"/>
  <c r="AH64" i="50"/>
  <c r="AM25" i="50"/>
  <c r="AH42" i="50"/>
  <c r="BA49" i="50"/>
  <c r="BC19" i="50"/>
  <c r="AX22" i="50"/>
  <c r="AH36" i="50"/>
  <c r="AS4" i="50"/>
  <c r="AJ50" i="50"/>
  <c r="AJ10" i="50"/>
  <c r="R33" i="50"/>
  <c r="AT32" i="50"/>
  <c r="BB53" i="50"/>
  <c r="AO33" i="50"/>
  <c r="AN16" i="50"/>
  <c r="AX5" i="50"/>
  <c r="Z45" i="50"/>
  <c r="AK10" i="50"/>
  <c r="P12" i="50"/>
  <c r="AG30" i="50"/>
  <c r="AB56" i="50"/>
  <c r="Y36" i="50"/>
  <c r="AJ63" i="50"/>
  <c r="AB12" i="50"/>
  <c r="AD33" i="50"/>
  <c r="BB40" i="50"/>
  <c r="U42" i="50"/>
  <c r="P10" i="50"/>
  <c r="T18" i="50"/>
  <c r="AS9" i="50"/>
  <c r="Y9" i="50"/>
  <c r="U57" i="50"/>
  <c r="M21" i="50"/>
  <c r="L16" i="50"/>
  <c r="AH12" i="50"/>
  <c r="BA48" i="50"/>
  <c r="AD50" i="50"/>
  <c r="M25" i="50"/>
  <c r="AS47" i="50"/>
  <c r="AP12" i="50"/>
  <c r="AX52" i="50"/>
  <c r="AK33" i="50"/>
  <c r="AZ60" i="50"/>
  <c r="W71" i="50"/>
  <c r="AY54" i="50"/>
  <c r="AP38" i="50"/>
  <c r="AU16" i="50"/>
  <c r="AF46" i="50"/>
  <c r="AN57" i="50"/>
  <c r="AO13" i="50"/>
  <c r="V60" i="50"/>
  <c r="AL65" i="50"/>
  <c r="P15" i="50"/>
  <c r="S34" i="50"/>
  <c r="BA56" i="50"/>
  <c r="W29" i="50"/>
  <c r="AQ13" i="50"/>
  <c r="Q61" i="50"/>
  <c r="S17" i="50"/>
  <c r="AM16" i="50"/>
  <c r="Q19" i="50"/>
  <c r="AE65" i="50"/>
  <c r="S72" i="50"/>
  <c r="BA21" i="50"/>
  <c r="AV7" i="50"/>
  <c r="AW51" i="50"/>
  <c r="BA69" i="50"/>
  <c r="BA63" i="50"/>
  <c r="AJ60" i="50"/>
  <c r="Y30" i="50"/>
  <c r="AW13" i="50"/>
  <c r="AJ21" i="50"/>
  <c r="AI16" i="50"/>
  <c r="X9" i="50"/>
  <c r="AL43" i="50"/>
  <c r="AL25" i="50"/>
  <c r="AY25" i="50"/>
  <c r="W61" i="50"/>
  <c r="BC69" i="50"/>
  <c r="V62" i="50"/>
  <c r="AR31" i="50"/>
  <c r="BA33" i="50"/>
  <c r="L7" i="50"/>
  <c r="AC57" i="50"/>
  <c r="Z44" i="50"/>
  <c r="M55" i="50"/>
  <c r="Y35" i="50"/>
  <c r="AE72" i="50"/>
  <c r="P58" i="50"/>
  <c r="AT51" i="50"/>
  <c r="O16" i="50"/>
  <c r="AX23" i="50"/>
  <c r="P35" i="50"/>
  <c r="Z40" i="50"/>
  <c r="AL31" i="50"/>
  <c r="V15" i="50"/>
  <c r="AH33" i="50"/>
  <c r="BB68" i="50"/>
  <c r="X61" i="50"/>
  <c r="AN65" i="50"/>
  <c r="R37" i="50"/>
  <c r="AV14" i="50"/>
  <c r="AD59" i="50"/>
  <c r="AK13" i="50"/>
  <c r="AJ9" i="50"/>
  <c r="W41" i="50"/>
  <c r="P54" i="50"/>
  <c r="AA55" i="50"/>
  <c r="AJ12" i="50"/>
  <c r="AH45" i="50"/>
  <c r="AD34" i="50"/>
  <c r="Y52" i="50"/>
  <c r="AN69" i="50"/>
  <c r="L42" i="50"/>
  <c r="AY71" i="50"/>
  <c r="AC65" i="50"/>
  <c r="T17" i="50"/>
  <c r="AG25" i="50"/>
  <c r="U15" i="50"/>
  <c r="AT66" i="50"/>
  <c r="Z12" i="50"/>
  <c r="O69" i="50"/>
  <c r="S36" i="50"/>
  <c r="BB13" i="50"/>
  <c r="AL7" i="50"/>
  <c r="BC54" i="50"/>
  <c r="T56" i="50"/>
  <c r="BA22" i="50"/>
  <c r="AH46" i="50"/>
  <c r="AG62" i="50"/>
  <c r="AH65" i="50"/>
  <c r="BC24" i="50"/>
  <c r="AO44" i="50"/>
  <c r="BC23" i="50"/>
  <c r="AZ42" i="50"/>
  <c r="BB43" i="50"/>
  <c r="Y13" i="50"/>
  <c r="Y29" i="50"/>
  <c r="AZ62" i="50"/>
  <c r="AK63" i="50"/>
  <c r="AH18" i="50"/>
  <c r="R21" i="50"/>
  <c r="AY45" i="50"/>
  <c r="U37" i="50"/>
  <c r="T40" i="50"/>
  <c r="AM27" i="50"/>
  <c r="BB27" i="50"/>
  <c r="AK39" i="50"/>
  <c r="AB8" i="50"/>
  <c r="AG8" i="50"/>
  <c r="AM36" i="50"/>
  <c r="AG20" i="50"/>
  <c r="Z30" i="50"/>
  <c r="BC31" i="50"/>
  <c r="R63" i="50"/>
  <c r="V70" i="50"/>
  <c r="Q56" i="50"/>
  <c r="AK5" i="50"/>
  <c r="AG53" i="50"/>
  <c r="AW23" i="50"/>
  <c r="AB66" i="50"/>
  <c r="N8" i="50"/>
  <c r="X51" i="50"/>
  <c r="AW53" i="50"/>
  <c r="AX33" i="50"/>
  <c r="T14" i="50"/>
  <c r="AI6" i="50"/>
  <c r="AW29" i="50"/>
  <c r="AL57" i="50"/>
  <c r="AE56" i="50"/>
  <c r="BB20" i="50"/>
  <c r="AH51" i="50"/>
  <c r="AL59" i="50"/>
  <c r="S49" i="50"/>
  <c r="BB9" i="50"/>
  <c r="AD64" i="50"/>
  <c r="AU42" i="50"/>
  <c r="V44" i="50"/>
  <c r="M70" i="50"/>
  <c r="BB15" i="50"/>
  <c r="AI61" i="50"/>
  <c r="P41" i="50"/>
  <c r="AQ8" i="50"/>
  <c r="Z70" i="50"/>
  <c r="AN4" i="50"/>
  <c r="AD7" i="50"/>
  <c r="AD32" i="50"/>
  <c r="AR60" i="50"/>
  <c r="AT26" i="50"/>
  <c r="AE31" i="50"/>
  <c r="AR61" i="50"/>
  <c r="N25" i="50"/>
  <c r="AI58" i="50"/>
  <c r="X8" i="50"/>
  <c r="AE7" i="50"/>
  <c r="U11" i="50"/>
  <c r="Y47" i="50"/>
  <c r="U71" i="50"/>
  <c r="AI33" i="50"/>
  <c r="AA32" i="50"/>
  <c r="Y66" i="50"/>
  <c r="AL18" i="50"/>
  <c r="P39" i="50"/>
  <c r="AE17" i="50"/>
  <c r="N40" i="50"/>
  <c r="V4" i="50"/>
  <c r="V20" i="50"/>
  <c r="U34" i="50"/>
  <c r="M19" i="50"/>
  <c r="P24" i="50"/>
  <c r="N66" i="50"/>
  <c r="AL39" i="50"/>
  <c r="W57" i="50"/>
  <c r="AJ28" i="50"/>
  <c r="AC64" i="50"/>
  <c r="W5" i="50"/>
  <c r="AG33" i="50"/>
  <c r="AG34" i="50"/>
  <c r="BA60" i="50"/>
  <c r="AA34" i="50"/>
  <c r="X70" i="50"/>
  <c r="BC18" i="50"/>
  <c r="AZ9" i="50"/>
  <c r="BA35" i="50"/>
  <c r="AV55" i="50"/>
  <c r="AA42" i="50"/>
  <c r="AP45" i="50"/>
  <c r="X56" i="50"/>
  <c r="W26" i="50"/>
  <c r="AO34" i="50"/>
  <c r="W49" i="50"/>
  <c r="U44" i="50"/>
  <c r="T35" i="50"/>
  <c r="AU53" i="50"/>
  <c r="O53" i="50"/>
  <c r="AT72" i="50"/>
  <c r="AR72" i="50"/>
  <c r="T67" i="50"/>
  <c r="O15" i="50"/>
  <c r="AH70" i="50"/>
  <c r="AJ26" i="50"/>
  <c r="AH21" i="50"/>
  <c r="AF38" i="50"/>
  <c r="AG16" i="50"/>
  <c r="AQ33" i="50"/>
  <c r="AJ58" i="50"/>
  <c r="P26" i="50"/>
  <c r="Z36" i="50"/>
  <c r="T59" i="50"/>
  <c r="AA69" i="50"/>
  <c r="V5" i="50"/>
  <c r="AL20" i="50"/>
  <c r="U35" i="50"/>
  <c r="AD69" i="50"/>
  <c r="AD70" i="50"/>
  <c r="AG41" i="50"/>
  <c r="AI21" i="50"/>
  <c r="M42" i="50"/>
  <c r="AO45" i="50"/>
  <c r="BC68" i="50"/>
  <c r="L53" i="50"/>
  <c r="S71" i="50"/>
  <c r="AL52" i="50"/>
  <c r="T66" i="50"/>
  <c r="U59" i="50"/>
  <c r="AM63" i="50"/>
  <c r="X34" i="50"/>
  <c r="AB65" i="50"/>
  <c r="W72" i="50"/>
  <c r="AE44" i="50"/>
  <c r="AX12" i="50"/>
  <c r="AU51" i="50"/>
  <c r="M13" i="50"/>
  <c r="N32" i="50"/>
  <c r="AP10" i="50"/>
  <c r="N71" i="50"/>
  <c r="AF13" i="50"/>
  <c r="AK43" i="50"/>
  <c r="AG61" i="50"/>
  <c r="BC71" i="50"/>
  <c r="L17" i="50"/>
  <c r="AO39" i="50"/>
  <c r="AZ50" i="50"/>
  <c r="AD66" i="50"/>
  <c r="BB32" i="50"/>
  <c r="AV16" i="50"/>
  <c r="P32" i="50"/>
  <c r="AS56" i="50"/>
  <c r="M71" i="50"/>
  <c r="AG67" i="50"/>
  <c r="AD10" i="50"/>
  <c r="AX10" i="50"/>
  <c r="U29" i="50"/>
  <c r="AM15" i="50"/>
  <c r="AB54" i="50"/>
  <c r="AG12" i="50"/>
  <c r="X24" i="50"/>
  <c r="AS30" i="50"/>
  <c r="Q34" i="50"/>
  <c r="AU60" i="50"/>
  <c r="Z4" i="50"/>
  <c r="AB4" i="50"/>
  <c r="W47" i="50"/>
  <c r="AT46" i="50"/>
  <c r="AI27" i="50"/>
  <c r="AT52" i="50"/>
  <c r="Y17" i="50"/>
  <c r="BB17" i="50"/>
  <c r="R12" i="50"/>
  <c r="AU70" i="50"/>
  <c r="AL41" i="50"/>
  <c r="AB59" i="50"/>
  <c r="W46" i="50"/>
  <c r="AA8" i="50"/>
  <c r="AV9" i="50"/>
  <c r="AI55" i="50"/>
  <c r="P65" i="50"/>
  <c r="AN13" i="50"/>
  <c r="AT4" i="50"/>
  <c r="AX4" i="50"/>
  <c r="AL32" i="50"/>
  <c r="R62" i="50"/>
  <c r="T46" i="50"/>
  <c r="W24" i="50"/>
  <c r="BC15" i="50"/>
  <c r="AW68" i="50"/>
  <c r="M65" i="50"/>
  <c r="AH53" i="50"/>
  <c r="AA67" i="50"/>
  <c r="AE62" i="50"/>
  <c r="AJ48" i="50"/>
  <c r="AU17" i="50"/>
  <c r="AU25" i="50"/>
  <c r="AD53" i="50"/>
  <c r="AI25" i="50"/>
  <c r="V49" i="50"/>
  <c r="AF34" i="50"/>
  <c r="P60" i="50"/>
  <c r="AS40" i="50"/>
  <c r="Z41" i="50"/>
  <c r="AV52" i="50"/>
  <c r="N27" i="50"/>
  <c r="AQ22" i="50"/>
  <c r="AY67" i="50"/>
  <c r="AI15" i="50"/>
  <c r="AJ4" i="50"/>
  <c r="AN49" i="50"/>
  <c r="T69" i="50"/>
  <c r="AA17" i="50"/>
  <c r="AW52" i="50"/>
  <c r="R69" i="50"/>
  <c r="X39" i="50"/>
  <c r="U27" i="50"/>
  <c r="AK24" i="50"/>
  <c r="AB61" i="50"/>
  <c r="AD24" i="50"/>
  <c r="AC34" i="50"/>
  <c r="V39" i="50"/>
  <c r="AN8" i="50"/>
  <c r="Q16" i="50"/>
  <c r="AE8" i="50"/>
  <c r="AM20" i="50"/>
  <c r="AQ45" i="50"/>
  <c r="P18" i="50"/>
  <c r="AR48" i="50"/>
  <c r="V42" i="50"/>
  <c r="AG13" i="50"/>
  <c r="L48" i="50"/>
  <c r="AQ58" i="50"/>
  <c r="Y59" i="50"/>
  <c r="Q51" i="50"/>
  <c r="AM54" i="50"/>
  <c r="AQ9" i="50"/>
  <c r="AV65" i="50"/>
  <c r="R17" i="50"/>
  <c r="AF10" i="50"/>
  <c r="M60" i="50"/>
  <c r="AW72" i="50"/>
  <c r="T60" i="50"/>
  <c r="U55" i="50"/>
  <c r="AK15" i="50"/>
  <c r="AR7" i="50"/>
  <c r="M41" i="50"/>
  <c r="N31" i="50"/>
  <c r="BC61" i="50"/>
  <c r="AW43" i="50"/>
  <c r="AV10" i="50"/>
  <c r="BC33" i="50"/>
  <c r="AF28" i="50"/>
  <c r="AV43" i="50"/>
  <c r="BC72" i="50"/>
  <c r="AX63" i="50"/>
  <c r="AJ36" i="50"/>
  <c r="N7" i="50"/>
  <c r="M14" i="50"/>
  <c r="X29" i="50"/>
  <c r="AC18" i="50"/>
  <c r="BB71" i="50"/>
  <c r="BC52" i="50"/>
  <c r="BA26" i="50"/>
  <c r="AY66" i="50"/>
  <c r="AD28" i="50"/>
  <c r="AP48" i="50"/>
  <c r="AQ4" i="50"/>
  <c r="S67" i="50"/>
  <c r="P55" i="50"/>
  <c r="N6" i="50"/>
  <c r="AF21" i="50"/>
  <c r="X18" i="50"/>
  <c r="AI9" i="50"/>
  <c r="AZ10" i="50"/>
  <c r="T45" i="50"/>
  <c r="AF12" i="50"/>
  <c r="P25" i="50"/>
  <c r="V65" i="50"/>
  <c r="N36" i="50"/>
  <c r="AK40" i="50"/>
  <c r="AJ24" i="50"/>
  <c r="AM70" i="50"/>
  <c r="AB32" i="50"/>
  <c r="AJ71" i="50"/>
  <c r="AN35" i="50"/>
  <c r="T38" i="50"/>
  <c r="AG57" i="50"/>
  <c r="O5" i="50"/>
  <c r="AL46" i="50"/>
  <c r="AQ68" i="50"/>
  <c r="BA6" i="50"/>
  <c r="Q48" i="50"/>
  <c r="AU72" i="50"/>
  <c r="L30" i="50"/>
  <c r="BA53" i="50"/>
  <c r="Q54" i="50"/>
  <c r="R55" i="50"/>
  <c r="AV68" i="50"/>
  <c r="AU68" i="50"/>
  <c r="T41" i="50"/>
  <c r="AD46" i="50"/>
  <c r="AG65" i="50"/>
  <c r="W19" i="50"/>
  <c r="AG54" i="50"/>
  <c r="AO40" i="50"/>
  <c r="AC60" i="50"/>
  <c r="AD12" i="50"/>
  <c r="M29" i="50"/>
  <c r="BA37" i="50"/>
  <c r="BA27" i="50"/>
  <c r="Y31" i="50"/>
  <c r="L8" i="50"/>
  <c r="N57" i="50"/>
  <c r="AN24" i="50"/>
  <c r="AM23" i="50"/>
  <c r="Q53" i="50"/>
  <c r="AO41" i="50"/>
  <c r="AO26" i="50"/>
  <c r="AY62" i="50"/>
  <c r="R45" i="50"/>
  <c r="AR13" i="50"/>
  <c r="AC39" i="50"/>
  <c r="AP32" i="50"/>
  <c r="W70" i="50"/>
  <c r="AT13" i="50"/>
  <c r="AY64" i="50"/>
  <c r="AE61" i="50"/>
  <c r="AX72" i="50"/>
  <c r="P31" i="50"/>
  <c r="AG69" i="50"/>
  <c r="AZ69" i="50"/>
  <c r="AW67" i="50"/>
  <c r="T37" i="50"/>
  <c r="V19" i="50"/>
  <c r="AU4" i="50"/>
  <c r="AW69" i="50"/>
  <c r="AY28" i="50"/>
  <c r="AW61" i="50"/>
  <c r="AM24" i="50"/>
  <c r="Q22" i="50"/>
  <c r="O63" i="50"/>
  <c r="AT64" i="50"/>
  <c r="AN36" i="50"/>
  <c r="AF27" i="50"/>
  <c r="U50" i="50"/>
  <c r="AT21" i="50"/>
  <c r="AT38" i="50"/>
  <c r="X16" i="50"/>
  <c r="AM30" i="50"/>
  <c r="T8" i="50"/>
  <c r="Y50" i="50"/>
  <c r="R72" i="50"/>
  <c r="N42" i="50"/>
  <c r="AW58" i="50"/>
  <c r="AT25" i="50"/>
  <c r="AB27" i="50"/>
  <c r="BC67" i="50"/>
  <c r="AG71" i="50"/>
  <c r="R29" i="50"/>
  <c r="AZ68" i="50"/>
  <c r="Z6" i="50"/>
  <c r="AJ41" i="50"/>
  <c r="AN44" i="50"/>
  <c r="AP60" i="50"/>
  <c r="AI26" i="50"/>
  <c r="O41" i="50"/>
  <c r="Y62" i="50"/>
  <c r="AW28" i="50"/>
  <c r="AU39" i="50"/>
  <c r="AU48" i="50"/>
  <c r="X28" i="50"/>
  <c r="T12" i="50"/>
  <c r="AX45" i="50"/>
  <c r="AC22" i="50"/>
  <c r="V35" i="50"/>
  <c r="X31" i="50"/>
  <c r="AZ25" i="50"/>
  <c r="U65" i="50"/>
  <c r="AM49" i="50"/>
  <c r="AM41" i="50"/>
  <c r="AT14" i="50"/>
  <c r="M17" i="50"/>
  <c r="O65" i="50"/>
  <c r="AN29" i="50"/>
  <c r="Y72" i="50"/>
  <c r="BA42" i="50"/>
  <c r="AQ61" i="50"/>
  <c r="AU33" i="50"/>
  <c r="AV33" i="50"/>
  <c r="L39" i="50"/>
  <c r="AQ60" i="50"/>
  <c r="AT50" i="50"/>
  <c r="AA35" i="50"/>
  <c r="AF39" i="50"/>
  <c r="AF32" i="50"/>
  <c r="AX40" i="50"/>
  <c r="R71" i="50"/>
  <c r="AZ43" i="50"/>
  <c r="AE26" i="50"/>
  <c r="AD37" i="50"/>
  <c r="AT69" i="50"/>
  <c r="AM26" i="50"/>
  <c r="AQ31" i="50"/>
  <c r="AL45" i="50"/>
  <c r="AV64" i="50"/>
  <c r="AA5" i="50"/>
  <c r="AS51" i="50"/>
  <c r="AS66" i="50"/>
  <c r="BB58" i="50"/>
  <c r="Z5" i="50"/>
  <c r="W52" i="50"/>
  <c r="BC37" i="50"/>
  <c r="L19" i="50"/>
  <c r="Y63" i="50"/>
  <c r="AU30" i="50"/>
  <c r="AR69" i="50"/>
  <c r="AG14" i="50"/>
  <c r="S43" i="50"/>
  <c r="AZ8" i="50"/>
  <c r="AD63" i="50"/>
  <c r="AM50" i="50"/>
  <c r="AJ65" i="50"/>
  <c r="AP9" i="50"/>
  <c r="BC60" i="50"/>
  <c r="P43" i="50"/>
  <c r="AP20" i="50"/>
  <c r="O39" i="50"/>
  <c r="W45" i="50"/>
  <c r="U56" i="50"/>
  <c r="AX13" i="50"/>
  <c r="AM61" i="50"/>
  <c r="AF57" i="50"/>
  <c r="AY5" i="50"/>
  <c r="AP15" i="50"/>
  <c r="AN20" i="50"/>
  <c r="Q49" i="50"/>
  <c r="AD13" i="50"/>
  <c r="AD31" i="50"/>
  <c r="AI38" i="50"/>
  <c r="BC38" i="50"/>
  <c r="U43" i="50"/>
  <c r="AW21" i="50"/>
  <c r="X55" i="50"/>
  <c r="AJ64" i="50"/>
  <c r="AS44" i="50"/>
  <c r="AH72" i="50"/>
  <c r="AD43" i="50"/>
  <c r="S42" i="50"/>
  <c r="AE9" i="50"/>
  <c r="P29" i="50"/>
  <c r="AN41" i="50"/>
  <c r="AQ53" i="50"/>
  <c r="BB23" i="50"/>
  <c r="AA38" i="50"/>
  <c r="AK27" i="50"/>
  <c r="AV50" i="50"/>
  <c r="AZ32" i="50"/>
  <c r="AR44" i="50"/>
  <c r="R60" i="50"/>
  <c r="L51" i="50"/>
  <c r="AI22" i="50"/>
  <c r="AI29" i="50"/>
  <c r="AI14" i="50"/>
  <c r="AP49" i="50"/>
  <c r="AO42" i="50"/>
  <c r="N16" i="50"/>
  <c r="Z27" i="50"/>
  <c r="AM14" i="50"/>
  <c r="Y7" i="50"/>
  <c r="AJ40" i="50"/>
  <c r="N35" i="50"/>
  <c r="AE14" i="50"/>
  <c r="AT55" i="50"/>
  <c r="Q18" i="50"/>
  <c r="AW64" i="50"/>
  <c r="AH50" i="50"/>
  <c r="AF42" i="50"/>
  <c r="BC70" i="50"/>
  <c r="AI36" i="50"/>
  <c r="W53" i="50"/>
  <c r="AT40" i="50"/>
  <c r="S41" i="50"/>
  <c r="AN21" i="50"/>
  <c r="AY43" i="50"/>
  <c r="S68" i="50"/>
  <c r="AP36" i="50"/>
  <c r="AO30" i="50"/>
  <c r="AA16" i="50"/>
  <c r="BA31" i="50"/>
  <c r="AF37" i="50"/>
  <c r="AU5" i="50"/>
  <c r="V51" i="50"/>
  <c r="AH15" i="50"/>
  <c r="O71" i="50"/>
  <c r="BC32" i="50"/>
  <c r="Z54" i="50"/>
  <c r="AV63" i="50"/>
  <c r="AQ28" i="50"/>
  <c r="R36" i="50"/>
  <c r="AK67" i="50"/>
  <c r="O14" i="50"/>
  <c r="AU37" i="50"/>
  <c r="AK41" i="50"/>
  <c r="AW55" i="50"/>
  <c r="AN11" i="50"/>
  <c r="U12" i="50"/>
  <c r="AX39" i="50"/>
  <c r="N54" i="50"/>
  <c r="AC56" i="50"/>
  <c r="P19" i="50"/>
  <c r="M30" i="50"/>
  <c r="AM31" i="50"/>
  <c r="AW8" i="50"/>
  <c r="L9" i="50"/>
  <c r="AN64" i="50"/>
  <c r="AQ46" i="50"/>
  <c r="AF40" i="50"/>
  <c r="U60" i="50"/>
  <c r="Q27" i="50"/>
  <c r="AB64" i="50"/>
  <c r="AS49" i="50"/>
  <c r="S26" i="50"/>
  <c r="S53" i="50"/>
  <c r="AQ37" i="50"/>
  <c r="AU15" i="50"/>
  <c r="AP70" i="50"/>
  <c r="T6" i="50"/>
  <c r="AH71" i="50"/>
  <c r="AY26" i="50"/>
  <c r="AF15" i="50"/>
  <c r="AX48" i="50"/>
  <c r="T31" i="50"/>
  <c r="AE63" i="50"/>
  <c r="AI59" i="50"/>
  <c r="AP7" i="50"/>
  <c r="S39" i="50"/>
  <c r="T34" i="50"/>
  <c r="W54" i="50"/>
  <c r="AZ24" i="50"/>
  <c r="AM45" i="50"/>
  <c r="M18" i="50"/>
  <c r="AS59" i="50"/>
  <c r="AC11" i="50"/>
  <c r="N47" i="50"/>
  <c r="AV23" i="50"/>
  <c r="AG49" i="50"/>
  <c r="Q4" i="50"/>
  <c r="T57" i="50"/>
  <c r="AG6" i="50"/>
  <c r="V27" i="50"/>
  <c r="AI72" i="50"/>
  <c r="AA45" i="50"/>
  <c r="U58" i="50"/>
  <c r="Q5" i="50"/>
  <c r="AO70" i="50"/>
  <c r="AP44" i="50"/>
  <c r="AN7" i="50"/>
  <c r="AS36" i="50"/>
  <c r="AJ39" i="50"/>
  <c r="P17" i="50"/>
  <c r="AI44" i="50"/>
  <c r="BB39" i="50"/>
  <c r="AC7" i="50"/>
  <c r="AD11" i="50"/>
  <c r="AV45" i="50"/>
  <c r="AC61" i="50"/>
  <c r="AO10" i="50"/>
  <c r="S40" i="50"/>
  <c r="AN33" i="50"/>
  <c r="AV6" i="50"/>
  <c r="AF72" i="50"/>
  <c r="M45" i="50"/>
  <c r="W16" i="50"/>
  <c r="BA70" i="50"/>
  <c r="AK69" i="50"/>
  <c r="AK53" i="50"/>
  <c r="W34" i="50"/>
  <c r="V7" i="50"/>
  <c r="AL13" i="50"/>
  <c r="AH26" i="50"/>
  <c r="AQ14" i="50"/>
  <c r="T72" i="50"/>
  <c r="AC67" i="50"/>
  <c r="AX64" i="50"/>
  <c r="AJ57" i="50"/>
  <c r="O64" i="50"/>
  <c r="AP61" i="50"/>
  <c r="AD51" i="50"/>
  <c r="W38" i="50"/>
  <c r="BA40" i="50"/>
  <c r="L15" i="50"/>
  <c r="R14" i="50"/>
  <c r="AW66" i="50"/>
  <c r="AO66" i="50"/>
  <c r="AZ45" i="50"/>
  <c r="BA15" i="50"/>
  <c r="AB69" i="50"/>
  <c r="AS35" i="50"/>
  <c r="P33" i="50"/>
  <c r="R22" i="50"/>
  <c r="AN10" i="50"/>
  <c r="M66" i="50"/>
  <c r="AL47" i="50"/>
  <c r="AU13" i="50"/>
  <c r="AX25" i="50"/>
  <c r="AY19" i="50"/>
  <c r="AG24" i="50"/>
  <c r="AM34" i="50"/>
  <c r="AE29" i="50"/>
  <c r="AV12" i="50"/>
  <c r="BB50" i="50"/>
  <c r="S58" i="50"/>
  <c r="W21" i="50"/>
  <c r="AP14" i="50"/>
  <c r="BB37" i="50"/>
  <c r="AP28" i="50"/>
  <c r="AR32" i="50"/>
  <c r="AM42" i="50"/>
  <c r="AV5" i="50"/>
  <c r="AX58" i="50"/>
  <c r="AC37" i="50"/>
  <c r="S65" i="50"/>
  <c r="AA68" i="50"/>
  <c r="AH68" i="50"/>
  <c r="R66" i="50"/>
  <c r="V16" i="50"/>
  <c r="AX57" i="50"/>
  <c r="AD38" i="50"/>
  <c r="AK20" i="50"/>
  <c r="P49" i="50"/>
  <c r="AW33" i="50"/>
  <c r="Q67" i="50"/>
  <c r="Z24" i="50"/>
  <c r="AZ36" i="50"/>
  <c r="AY4" i="50"/>
  <c r="AX6" i="50"/>
  <c r="X64" i="50"/>
  <c r="AK50" i="50"/>
  <c r="AJ43" i="50"/>
  <c r="W50" i="50"/>
  <c r="AL17" i="50"/>
  <c r="Y65" i="50"/>
  <c r="L21" i="50"/>
  <c r="AG28" i="50"/>
  <c r="Q45" i="50"/>
  <c r="BB21" i="50"/>
  <c r="Z18" i="50"/>
  <c r="AV49" i="50"/>
  <c r="Q57" i="50"/>
  <c r="R6" i="50"/>
  <c r="O31" i="50"/>
  <c r="AS69" i="50"/>
  <c r="AY37" i="50"/>
  <c r="AO32" i="50"/>
  <c r="AK72" i="50"/>
  <c r="AQ7" i="50"/>
  <c r="AK34" i="50"/>
  <c r="O20" i="50"/>
  <c r="AF43" i="50"/>
  <c r="X32" i="50"/>
  <c r="V25" i="50"/>
  <c r="AK17" i="50"/>
  <c r="AP41" i="50"/>
  <c r="AL12" i="50"/>
  <c r="BA41" i="50"/>
  <c r="AU20" i="50"/>
  <c r="AR55" i="50"/>
  <c r="AI20" i="50"/>
  <c r="S18" i="50"/>
  <c r="Z43" i="50"/>
  <c r="L5" i="50"/>
  <c r="AD36" i="50"/>
  <c r="AV58" i="50"/>
  <c r="X4" i="50"/>
  <c r="AZ6" i="50"/>
  <c r="Y55" i="50"/>
  <c r="Q36" i="50"/>
  <c r="P68" i="50"/>
  <c r="AP25" i="50"/>
  <c r="Y42" i="50"/>
  <c r="T16" i="50"/>
  <c r="AW41" i="50"/>
  <c r="AZ12" i="50"/>
  <c r="AS50" i="50"/>
  <c r="Z48" i="50"/>
  <c r="AV59" i="50"/>
  <c r="AC31" i="50"/>
  <c r="AV20" i="50"/>
  <c r="BB62" i="50"/>
  <c r="AO47" i="50"/>
  <c r="AQ21" i="50"/>
  <c r="Q66" i="50"/>
  <c r="AG35" i="50"/>
  <c r="P34" i="50"/>
  <c r="AR35" i="50"/>
  <c r="U66" i="50"/>
  <c r="S33" i="50"/>
  <c r="AC25" i="50"/>
  <c r="AJ67" i="50"/>
  <c r="AZ40" i="50"/>
  <c r="AY17" i="50"/>
  <c r="X71" i="50"/>
  <c r="V50" i="50"/>
  <c r="AD42" i="50"/>
  <c r="AD39" i="50"/>
  <c r="T48" i="50"/>
  <c r="AN54" i="50"/>
  <c r="AS12" i="50"/>
  <c r="T33" i="50"/>
  <c r="Z16" i="50"/>
  <c r="L10" i="50"/>
  <c r="AN48" i="50"/>
  <c r="AB37" i="50"/>
  <c r="S32" i="50"/>
  <c r="AU71" i="50"/>
  <c r="AQ70" i="50"/>
  <c r="AO8" i="50"/>
  <c r="AI63" i="50"/>
  <c r="AZ63" i="50"/>
  <c r="R70" i="50"/>
  <c r="AC53" i="50"/>
  <c r="AE23" i="50"/>
  <c r="P72" i="50"/>
  <c r="AZ54" i="50"/>
  <c r="Y64" i="50"/>
  <c r="AI32" i="50"/>
  <c r="AK66" i="50"/>
  <c r="AA52" i="50"/>
  <c r="X6" i="50"/>
  <c r="AJ19" i="50"/>
  <c r="T21" i="50"/>
  <c r="T36" i="50"/>
  <c r="AO69" i="50"/>
  <c r="AS46" i="50"/>
  <c r="T26" i="50"/>
  <c r="AS58" i="50"/>
  <c r="AA51" i="50"/>
  <c r="Y70" i="50"/>
  <c r="AT43" i="50"/>
  <c r="AS63" i="50"/>
  <c r="AC43" i="50"/>
  <c r="U72" i="50"/>
  <c r="AB7" i="50"/>
  <c r="AL26" i="50"/>
  <c r="W56" i="50"/>
  <c r="W35" i="50"/>
  <c r="AN43" i="50"/>
  <c r="AW6" i="50"/>
  <c r="BC66" i="50"/>
  <c r="L66" i="50"/>
  <c r="AP11" i="50"/>
  <c r="AA22" i="50"/>
  <c r="AG43" i="50"/>
  <c r="BB26" i="50"/>
  <c r="AQ5" i="50"/>
  <c r="S13" i="50"/>
  <c r="Z58" i="50"/>
  <c r="AV41" i="50"/>
  <c r="AB19" i="50"/>
  <c r="AU66" i="50"/>
  <c r="AD52" i="50"/>
  <c r="X47" i="50"/>
  <c r="AL37" i="50"/>
  <c r="AJ47" i="50"/>
  <c r="AE48" i="50"/>
  <c r="U22" i="50"/>
  <c r="S48" i="50"/>
  <c r="AK29" i="50"/>
  <c r="AD58" i="50"/>
  <c r="AI18" i="50"/>
  <c r="R25" i="50"/>
  <c r="Q14" i="50"/>
  <c r="AU26" i="50"/>
  <c r="T4" i="50"/>
  <c r="AB47" i="50"/>
  <c r="AL72" i="50"/>
  <c r="S66" i="50"/>
  <c r="AP64" i="50"/>
  <c r="Z46" i="50"/>
  <c r="AR24" i="50"/>
  <c r="AF65" i="50"/>
  <c r="Q17" i="50"/>
  <c r="AH23" i="50"/>
  <c r="AC21" i="50"/>
  <c r="AS65" i="50"/>
  <c r="R34" i="50"/>
  <c r="AJ46" i="50"/>
  <c r="AN55" i="50"/>
  <c r="BB41" i="50"/>
  <c r="Q37" i="50"/>
  <c r="BC47" i="50"/>
  <c r="AV29" i="50"/>
  <c r="AJ22" i="50"/>
  <c r="P16" i="50"/>
  <c r="AX7" i="50"/>
  <c r="AD57" i="50"/>
  <c r="V29" i="50"/>
  <c r="S54" i="50"/>
  <c r="AQ50" i="50"/>
  <c r="AA61" i="50"/>
  <c r="AY55" i="50"/>
  <c r="AC27" i="50"/>
  <c r="AJ35" i="50"/>
  <c r="P5" i="50"/>
  <c r="R46" i="50"/>
  <c r="AQ39" i="50"/>
  <c r="AK42" i="50"/>
  <c r="R54" i="50"/>
  <c r="AY11" i="50"/>
  <c r="M26" i="50"/>
  <c r="AN31" i="50"/>
  <c r="AY15" i="50"/>
  <c r="AD25" i="50"/>
  <c r="AO15" i="50"/>
  <c r="S63" i="50"/>
  <c r="AX46" i="50"/>
  <c r="AR45" i="50"/>
  <c r="AL48" i="50"/>
  <c r="O37" i="50"/>
  <c r="AL8" i="50"/>
  <c r="AN71" i="50"/>
  <c r="T44" i="50"/>
  <c r="AP16" i="50"/>
  <c r="T62" i="50"/>
  <c r="Z71" i="50"/>
  <c r="AG17" i="50"/>
  <c r="AQ52" i="50"/>
  <c r="AO72" i="50"/>
  <c r="AT22" i="50"/>
  <c r="W11" i="50"/>
  <c r="AT37" i="50"/>
  <c r="AF11" i="50"/>
  <c r="AX51" i="50"/>
  <c r="AW11" i="50"/>
  <c r="AZ18" i="50"/>
  <c r="AC69" i="50"/>
  <c r="BB31" i="50"/>
  <c r="AP47" i="50"/>
  <c r="AH5" i="50"/>
  <c r="AR36" i="50"/>
  <c r="U52" i="50"/>
  <c r="AQ57" i="50"/>
  <c r="AD40" i="50"/>
  <c r="AI43" i="50"/>
  <c r="AY57" i="50"/>
  <c r="BB70" i="50"/>
  <c r="AG19" i="50"/>
  <c r="AR65" i="50"/>
  <c r="AZ64" i="50"/>
  <c r="AB63" i="50"/>
  <c r="O6" i="50"/>
  <c r="V61" i="50"/>
  <c r="O70" i="50"/>
  <c r="R19" i="50"/>
  <c r="AH35" i="50"/>
  <c r="AF5" i="50"/>
  <c r="AI71" i="50"/>
  <c r="AB33" i="50"/>
  <c r="Q59" i="50"/>
  <c r="AY36" i="50"/>
  <c r="AX56" i="50"/>
  <c r="Z60" i="50"/>
  <c r="M49" i="50"/>
  <c r="AZ22" i="50"/>
  <c r="AD5" i="50"/>
  <c r="T15" i="50"/>
  <c r="X46" i="50"/>
  <c r="AI45" i="50"/>
  <c r="Q39" i="50"/>
  <c r="AK45" i="50"/>
  <c r="AF6" i="50"/>
  <c r="AJ54" i="50"/>
  <c r="AG4" i="50"/>
  <c r="X35" i="50"/>
  <c r="AM72" i="50"/>
  <c r="AQ44" i="50"/>
  <c r="AB40" i="50"/>
  <c r="AM69" i="50"/>
  <c r="AN47" i="50"/>
  <c r="Y25" i="50"/>
  <c r="T25" i="50"/>
  <c r="AN39" i="50"/>
  <c r="AX59" i="50"/>
  <c r="AQ62" i="50"/>
  <c r="AE28" i="50"/>
  <c r="AU64" i="50"/>
  <c r="AW7" i="50"/>
  <c r="AI50" i="50"/>
  <c r="AD21" i="50"/>
  <c r="BC9" i="50"/>
  <c r="AS29" i="50"/>
  <c r="AN30" i="50"/>
  <c r="AF29" i="50"/>
  <c r="AR50" i="50"/>
  <c r="AB38" i="50"/>
  <c r="N10" i="50"/>
  <c r="Z35" i="50"/>
  <c r="X65" i="50"/>
  <c r="Q38" i="50"/>
  <c r="P13" i="50"/>
  <c r="AG31" i="50"/>
  <c r="S8" i="50"/>
  <c r="V66" i="50"/>
  <c r="Z67" i="50"/>
  <c r="P28" i="50"/>
  <c r="AF36" i="50"/>
  <c r="X12" i="50"/>
  <c r="AD15" i="50"/>
  <c r="AG40" i="50"/>
  <c r="AL68" i="50"/>
  <c r="AB28" i="50"/>
  <c r="X54" i="50"/>
  <c r="L62" i="50"/>
  <c r="V14" i="50"/>
  <c r="BB46" i="50"/>
  <c r="AA6" i="50"/>
  <c r="O45" i="50"/>
  <c r="BB29" i="50"/>
  <c r="AD49" i="50"/>
  <c r="AI41" i="50"/>
  <c r="BA68" i="50"/>
  <c r="AX18" i="50"/>
  <c r="AW42" i="50"/>
  <c r="P52" i="50"/>
  <c r="AA62" i="50"/>
  <c r="R43" i="50"/>
  <c r="U7" i="50"/>
  <c r="V22" i="50"/>
  <c r="AU44" i="50"/>
  <c r="O42" i="50"/>
  <c r="AB55" i="50"/>
  <c r="AU27" i="50"/>
  <c r="AI69" i="50"/>
  <c r="AF16" i="50"/>
  <c r="R32" i="50"/>
  <c r="BA23" i="50"/>
  <c r="BC14" i="50"/>
  <c r="AO22" i="50"/>
  <c r="AZ14" i="50"/>
  <c r="AQ32" i="50"/>
  <c r="AO29" i="50"/>
  <c r="AR41" i="50"/>
  <c r="AA25" i="50"/>
  <c r="AK8" i="50"/>
  <c r="AB46" i="50"/>
  <c r="AF8" i="50"/>
  <c r="BC4" i="50"/>
  <c r="S57" i="50"/>
  <c r="U48" i="50"/>
  <c r="AM7" i="50"/>
  <c r="AC10" i="50"/>
  <c r="AB71" i="50"/>
  <c r="AU10" i="50"/>
  <c r="AM59" i="50"/>
  <c r="AY69" i="50"/>
  <c r="AX49" i="50"/>
  <c r="O40" i="50"/>
  <c r="S21" i="50"/>
  <c r="R38" i="50"/>
  <c r="U51" i="50"/>
  <c r="Q8" i="50"/>
  <c r="AH54" i="50"/>
  <c r="AU62" i="50"/>
  <c r="AG59" i="50"/>
  <c r="S25" i="50"/>
  <c r="AF53" i="50"/>
  <c r="AF58" i="50"/>
  <c r="AC36" i="50"/>
  <c r="X20" i="50"/>
  <c r="U33" i="50"/>
  <c r="AY42" i="50"/>
  <c r="AM33" i="50"/>
  <c r="AD56" i="50"/>
  <c r="O25" i="50"/>
  <c r="X33" i="50"/>
  <c r="Q55" i="50"/>
  <c r="AR71" i="50"/>
  <c r="BC51" i="50"/>
  <c r="R4" i="50"/>
  <c r="R9" i="50"/>
  <c r="Z49" i="50"/>
  <c r="AY63" i="50"/>
  <c r="AU18" i="50"/>
  <c r="AF51" i="50"/>
  <c r="AK38" i="50"/>
  <c r="AB20" i="50"/>
  <c r="O22" i="50"/>
  <c r="AZ56" i="50"/>
  <c r="AT11" i="50"/>
  <c r="AM28" i="50"/>
  <c r="M36" i="50"/>
  <c r="AB41" i="50"/>
  <c r="N44" i="50"/>
  <c r="AI57" i="50"/>
  <c r="N13" i="50"/>
  <c r="AW9" i="50"/>
  <c r="AO46" i="50"/>
  <c r="N55" i="50"/>
  <c r="AH48" i="50"/>
  <c r="Q6" i="50"/>
  <c r="AN72" i="50"/>
  <c r="AR9" i="50"/>
  <c r="AB30" i="50"/>
  <c r="AY30" i="50"/>
  <c r="Y32" i="50"/>
  <c r="AT16" i="50"/>
  <c r="AV51" i="50"/>
  <c r="AN50" i="50"/>
  <c r="X26" i="50"/>
  <c r="AZ51" i="50"/>
  <c r="W25" i="50"/>
  <c r="Q63" i="50"/>
  <c r="AU23" i="50"/>
  <c r="AI40" i="50"/>
  <c r="AX28" i="50"/>
  <c r="AV40" i="50"/>
  <c r="BC50" i="50"/>
  <c r="AL34" i="50"/>
  <c r="R56" i="50"/>
  <c r="AB23" i="50"/>
  <c r="AB13" i="50"/>
  <c r="V24" i="50"/>
  <c r="S9" i="50"/>
  <c r="AD48" i="50"/>
  <c r="AO19" i="50"/>
  <c r="AS41" i="50"/>
  <c r="BA67" i="50"/>
  <c r="AY16" i="50"/>
  <c r="M27" i="50"/>
  <c r="W64" i="50"/>
  <c r="BB65" i="50"/>
  <c r="AB70" i="50"/>
  <c r="AY33" i="50"/>
  <c r="N60" i="50"/>
  <c r="AJ49" i="50"/>
  <c r="Y10" i="50"/>
  <c r="N49" i="50"/>
  <c r="AF52" i="50"/>
  <c r="AQ66" i="50"/>
  <c r="AC9" i="50"/>
  <c r="AC15" i="50"/>
  <c r="AR17" i="50"/>
  <c r="AW60" i="50"/>
  <c r="M44" i="50"/>
  <c r="R44" i="50"/>
  <c r="O13" i="50"/>
  <c r="AH69" i="50"/>
  <c r="AU28" i="50"/>
  <c r="AH58" i="50"/>
  <c r="AN40" i="50"/>
  <c r="AF20" i="50"/>
  <c r="AV11" i="50"/>
  <c r="AG11" i="50"/>
  <c r="Y58" i="50"/>
  <c r="AA10" i="50"/>
  <c r="M47" i="50"/>
  <c r="AX61" i="50"/>
  <c r="O48" i="50"/>
  <c r="S45" i="50"/>
  <c r="AM47" i="50"/>
  <c r="AU8" i="50"/>
  <c r="AB22" i="50"/>
  <c r="S23" i="50"/>
  <c r="Y15" i="50"/>
  <c r="X40" i="50"/>
  <c r="BB51" i="50"/>
  <c r="AS33" i="50"/>
  <c r="N14" i="50"/>
  <c r="AV42" i="50"/>
  <c r="M12" i="50"/>
  <c r="N21" i="50"/>
  <c r="Q20" i="50"/>
  <c r="AY49" i="50"/>
  <c r="AW49" i="50"/>
  <c r="P21" i="50"/>
  <c r="AD16" i="50"/>
  <c r="S69" i="50"/>
  <c r="AP66" i="50"/>
  <c r="AF50" i="50"/>
  <c r="AD55" i="50"/>
  <c r="Z17" i="50"/>
  <c r="AG23" i="50"/>
  <c r="L63" i="50"/>
  <c r="AW48" i="50"/>
  <c r="AY59" i="50"/>
  <c r="AX32" i="50"/>
  <c r="R57" i="50"/>
  <c r="V36" i="50"/>
  <c r="AG56" i="50"/>
  <c r="AC24" i="50"/>
  <c r="AR57" i="50"/>
  <c r="AN60" i="50"/>
  <c r="AB51" i="50"/>
  <c r="AA28" i="50"/>
  <c r="AW17" i="50"/>
  <c r="AO58" i="50"/>
  <c r="BB19" i="50"/>
  <c r="P67" i="50"/>
  <c r="N26" i="50"/>
  <c r="AF22" i="50"/>
  <c r="AH63" i="50"/>
  <c r="AW12" i="50"/>
  <c r="AY61" i="50"/>
  <c r="AI54" i="50"/>
  <c r="AG52" i="50"/>
  <c r="V59" i="50"/>
  <c r="AU32" i="50"/>
  <c r="AH62" i="50"/>
  <c r="AD9" i="50"/>
  <c r="AF48" i="50"/>
  <c r="M43" i="50"/>
  <c r="AZ26" i="50"/>
  <c r="Y46" i="50"/>
  <c r="AP30" i="50"/>
  <c r="AR52" i="50"/>
  <c r="S70" i="50"/>
  <c r="AT28" i="50"/>
  <c r="R27" i="50"/>
  <c r="AE22" i="50"/>
  <c r="AW70" i="50"/>
  <c r="AL19" i="50"/>
  <c r="AT42" i="50"/>
  <c r="BA58" i="50"/>
  <c r="V41" i="50"/>
  <c r="AR68" i="50"/>
  <c r="M23" i="50"/>
  <c r="S35" i="50"/>
  <c r="AU9" i="50"/>
  <c r="AK71" i="50"/>
  <c r="AI13" i="50"/>
  <c r="AR51" i="50"/>
  <c r="AT60" i="50"/>
  <c r="T23" i="50"/>
  <c r="AA27" i="50"/>
  <c r="Y69" i="50"/>
  <c r="N51" i="50"/>
  <c r="BB16" i="50"/>
  <c r="AY21" i="50"/>
  <c r="AD6" i="50"/>
  <c r="AW30" i="50"/>
  <c r="T32" i="50"/>
  <c r="T5" i="50"/>
  <c r="AE15" i="50"/>
  <c r="N34" i="50"/>
  <c r="AT48" i="50"/>
  <c r="U17" i="50"/>
  <c r="Z9" i="50"/>
  <c r="AM4" i="50"/>
  <c r="AI24" i="50"/>
  <c r="Z38" i="50"/>
  <c r="AW47" i="50"/>
  <c r="AS43" i="50"/>
  <c r="M68" i="50"/>
  <c r="AE25" i="50"/>
  <c r="Y37" i="50"/>
  <c r="AR25" i="50"/>
  <c r="AF71" i="50"/>
  <c r="AG44" i="50"/>
  <c r="AQ29" i="50"/>
  <c r="AQ56" i="50"/>
  <c r="Z28" i="50"/>
  <c r="O35" i="50"/>
  <c r="AS61" i="50"/>
  <c r="Y67" i="50"/>
  <c r="V54" i="50"/>
  <c r="AA12" i="50"/>
  <c r="BC40" i="50"/>
  <c r="AY18" i="50"/>
  <c r="L20" i="50"/>
  <c r="AT19" i="50"/>
  <c r="M32" i="50"/>
  <c r="AE30" i="50"/>
  <c r="V52" i="50"/>
  <c r="AD72" i="50"/>
  <c r="AE21" i="50"/>
  <c r="N18" i="50"/>
  <c r="O58" i="50"/>
  <c r="R65" i="50"/>
  <c r="AC70" i="50"/>
  <c r="AS16" i="50"/>
  <c r="AQ36" i="50"/>
  <c r="W68" i="50"/>
  <c r="AN18" i="50"/>
  <c r="AM67" i="50"/>
  <c r="AB45" i="50"/>
  <c r="AW34" i="50"/>
  <c r="AI67" i="50"/>
  <c r="AB49" i="50"/>
  <c r="N5" i="50"/>
  <c r="AG38" i="50"/>
  <c r="AS24" i="50"/>
  <c r="AE38" i="50"/>
  <c r="AG63" i="50"/>
  <c r="AX37" i="50"/>
  <c r="AJ53" i="50"/>
  <c r="AP17" i="50"/>
  <c r="AH7" i="50"/>
  <c r="U26" i="50"/>
  <c r="AV57" i="50"/>
  <c r="AK18" i="50"/>
  <c r="AF69" i="50"/>
  <c r="AA13" i="50"/>
  <c r="AZ55" i="50"/>
  <c r="BC45" i="50"/>
  <c r="AK65" i="50"/>
  <c r="AO61" i="50"/>
  <c r="L34" i="50"/>
  <c r="T53" i="50"/>
  <c r="U23" i="50"/>
  <c r="AF70" i="50"/>
  <c r="AE53" i="50"/>
  <c r="Y11" i="50"/>
  <c r="BA66" i="50"/>
  <c r="AM39" i="50"/>
  <c r="AE4" i="50"/>
  <c r="Q60" i="50"/>
  <c r="AO65" i="50"/>
  <c r="AP13" i="50"/>
  <c r="AU69" i="50"/>
  <c r="AR39" i="50"/>
  <c r="AV69" i="50"/>
  <c r="Z26" i="50"/>
  <c r="AG50" i="50"/>
  <c r="AW45" i="50"/>
  <c r="AJ7" i="50"/>
  <c r="AT61" i="50"/>
  <c r="AT23" i="50"/>
  <c r="N33" i="50"/>
  <c r="P48" i="50"/>
  <c r="W10" i="50"/>
  <c r="Y5" i="50"/>
  <c r="P66" i="50"/>
  <c r="AI37" i="50"/>
  <c r="AC45" i="50"/>
  <c r="S11" i="50"/>
  <c r="BC48" i="50"/>
  <c r="N52" i="50"/>
  <c r="AV21" i="50"/>
  <c r="R16" i="50"/>
  <c r="R5" i="50"/>
  <c r="BC62" i="50"/>
  <c r="Z51" i="50"/>
  <c r="AR4" i="50"/>
  <c r="W6" i="50"/>
  <c r="AL22" i="50"/>
  <c r="AG32" i="50"/>
  <c r="P14" i="50"/>
  <c r="AE20" i="50"/>
  <c r="Q52" i="50"/>
  <c r="AC66" i="50"/>
  <c r="S51" i="50"/>
  <c r="AS52" i="50"/>
  <c r="R64" i="50"/>
  <c r="U64" i="50"/>
  <c r="AG60" i="50"/>
  <c r="W51" i="50"/>
  <c r="AP29" i="50"/>
  <c r="AB44" i="50"/>
  <c r="V63" i="50"/>
  <c r="AX68" i="50"/>
  <c r="BC26" i="50"/>
  <c r="AZ11" i="50"/>
  <c r="X19" i="50"/>
  <c r="V56" i="50"/>
  <c r="AY6" i="50"/>
  <c r="AN58" i="50"/>
  <c r="T39" i="50"/>
  <c r="Q71" i="50"/>
  <c r="AA48" i="50"/>
  <c r="AL56" i="50"/>
  <c r="X63" i="50"/>
  <c r="AX36" i="50"/>
  <c r="AQ69" i="50"/>
  <c r="AB35" i="50"/>
  <c r="N17" i="50"/>
  <c r="Y43" i="50"/>
  <c r="V18" i="50"/>
  <c r="AE68" i="50"/>
  <c r="AB10" i="50"/>
  <c r="AQ12" i="50"/>
  <c r="AW16" i="50"/>
  <c r="AZ27" i="50"/>
  <c r="T24" i="50"/>
  <c r="P27" i="50"/>
  <c r="AN12" i="50"/>
  <c r="AE67" i="50"/>
  <c r="AK52" i="50"/>
  <c r="BC30" i="50"/>
  <c r="AH28" i="50"/>
  <c r="AD61" i="50"/>
  <c r="AV13" i="50"/>
  <c r="AV37" i="50"/>
  <c r="AP42" i="50"/>
  <c r="AT20" i="50"/>
  <c r="U70" i="50"/>
  <c r="V11" i="50"/>
  <c r="BC12" i="50"/>
  <c r="AD26" i="50"/>
  <c r="AG7" i="50"/>
  <c r="AA7" i="50"/>
  <c r="M6" i="50"/>
  <c r="BB38" i="50"/>
  <c r="AE36" i="50"/>
  <c r="AD35" i="50"/>
  <c r="AJ8" i="50"/>
  <c r="BB34" i="50"/>
  <c r="AR23" i="50"/>
  <c r="AD27" i="50"/>
  <c r="AW19" i="50"/>
  <c r="AA46" i="50"/>
  <c r="L27" i="50"/>
  <c r="AA31" i="50"/>
  <c r="AW62" i="50"/>
  <c r="R26" i="50"/>
  <c r="T51" i="50"/>
  <c r="AI56" i="50"/>
  <c r="R31" i="50"/>
  <c r="AQ72" i="50"/>
  <c r="Q47" i="50"/>
  <c r="X48" i="50"/>
  <c r="Z72" i="50"/>
  <c r="AR38" i="50"/>
  <c r="AZ16" i="50"/>
  <c r="L68" i="50"/>
  <c r="AU11" i="50"/>
  <c r="AI62" i="50"/>
  <c r="BB55" i="50"/>
  <c r="AY29" i="50"/>
  <c r="V9" i="50"/>
  <c r="N12" i="50"/>
  <c r="M5" i="50"/>
  <c r="AD19" i="50"/>
  <c r="AT59" i="50"/>
  <c r="AY14" i="50"/>
  <c r="Y45" i="50"/>
  <c r="AX16" i="50"/>
  <c r="V33" i="50"/>
  <c r="Q40" i="50"/>
  <c r="S22" i="50"/>
  <c r="AY65" i="50"/>
  <c r="AO12" i="50"/>
  <c r="BB72" i="50"/>
  <c r="W31" i="50"/>
  <c r="AU24" i="50"/>
  <c r="AS5" i="50"/>
  <c r="P51" i="50"/>
  <c r="AP58" i="50"/>
  <c r="AC13" i="50"/>
  <c r="V53" i="50"/>
  <c r="AF18" i="50"/>
  <c r="L45" i="50"/>
  <c r="W15" i="50"/>
  <c r="AN70" i="50"/>
  <c r="AM8" i="50"/>
  <c r="AS70" i="50"/>
  <c r="AQ26" i="50"/>
  <c r="AR8" i="50"/>
  <c r="AS26" i="50"/>
  <c r="Z11" i="50"/>
  <c r="V34" i="50"/>
  <c r="P8" i="50"/>
  <c r="AC46" i="50"/>
  <c r="V10" i="50"/>
  <c r="BB6" i="50"/>
  <c r="X27" i="50"/>
  <c r="AN61" i="50"/>
  <c r="AR46" i="50"/>
  <c r="AP35" i="50"/>
  <c r="AJ42" i="50"/>
  <c r="W32" i="50"/>
  <c r="AR54" i="50"/>
  <c r="BC55" i="50"/>
  <c r="AO52" i="50"/>
  <c r="AI46" i="50"/>
  <c r="Y61" i="50"/>
  <c r="AK64" i="50"/>
  <c r="O29" i="50"/>
  <c r="Z64" i="50"/>
  <c r="AE43" i="50"/>
  <c r="AL21" i="50"/>
  <c r="AL10" i="50"/>
  <c r="AL36" i="50"/>
  <c r="X57" i="50"/>
  <c r="N48" i="50"/>
  <c r="T50" i="50"/>
  <c r="AC50" i="50"/>
  <c r="AQ65" i="50"/>
  <c r="AF35" i="50"/>
  <c r="AT27" i="50"/>
  <c r="AR34" i="50"/>
  <c r="P20" i="50"/>
  <c r="F45" i="50" l="1"/>
  <c r="F68" i="50"/>
  <c r="F27" i="50"/>
  <c r="F34" i="50"/>
  <c r="F20" i="50"/>
  <c r="F63" i="50"/>
  <c r="F62" i="50"/>
  <c r="F66" i="50"/>
  <c r="F10" i="50"/>
  <c r="F5" i="50"/>
  <c r="F21" i="50"/>
  <c r="F15" i="50"/>
  <c r="F9" i="50"/>
  <c r="F51" i="50"/>
  <c r="F19" i="50"/>
  <c r="F39" i="50"/>
  <c r="F8" i="50"/>
  <c r="F30" i="50"/>
  <c r="F48" i="50"/>
  <c r="F17" i="50"/>
  <c r="F53" i="50"/>
  <c r="F42" i="50"/>
  <c r="F7" i="50"/>
  <c r="F16" i="50"/>
  <c r="F37" i="50"/>
  <c r="F61" i="50"/>
  <c r="F56" i="50"/>
  <c r="F44" i="50"/>
  <c r="F38" i="50"/>
  <c r="F36" i="50"/>
  <c r="K4" i="50"/>
  <c r="F47" i="50"/>
  <c r="F35" i="50"/>
  <c r="F52" i="50"/>
  <c r="F57" i="50"/>
  <c r="F55" i="50"/>
  <c r="F18" i="50"/>
  <c r="F46" i="50"/>
  <c r="F26" i="50"/>
  <c r="F65" i="50"/>
  <c r="F28" i="50"/>
  <c r="F40" i="50"/>
  <c r="F72" i="50"/>
  <c r="F67" i="50"/>
  <c r="F23" i="50"/>
  <c r="F12" i="50"/>
  <c r="F24" i="50"/>
  <c r="F64" i="50"/>
  <c r="F14" i="50"/>
  <c r="F13" i="50"/>
  <c r="F25" i="50"/>
  <c r="F22" i="50"/>
  <c r="F59" i="50"/>
  <c r="F50" i="50"/>
  <c r="F43" i="50"/>
  <c r="F60" i="50"/>
  <c r="F31" i="50"/>
  <c r="F29" i="50"/>
  <c r="F54" i="50"/>
  <c r="F71" i="50"/>
  <c r="F32" i="50"/>
  <c r="F58" i="50"/>
  <c r="F33" i="50"/>
  <c r="F49" i="50"/>
  <c r="F69" i="50"/>
  <c r="F11" i="50"/>
  <c r="F6" i="50"/>
  <c r="F41" i="50"/>
  <c r="F70" i="50"/>
  <c r="AR11" i="150" l="1"/>
  <c r="J70" i="50"/>
  <c r="H70" i="50"/>
  <c r="AR12" i="5"/>
  <c r="H32" i="50"/>
  <c r="J32" i="50"/>
  <c r="H59" i="50"/>
  <c r="J59" i="50"/>
  <c r="AR21" i="4"/>
  <c r="J23" i="50"/>
  <c r="AR8" i="1"/>
  <c r="H23" i="50"/>
  <c r="AR13" i="4"/>
  <c r="J18" i="50"/>
  <c r="H18" i="50"/>
  <c r="AR20" i="5"/>
  <c r="H38" i="50"/>
  <c r="J38" i="50"/>
  <c r="J37" i="50"/>
  <c r="H37" i="50"/>
  <c r="AR19" i="5"/>
  <c r="AR6" i="4"/>
  <c r="H8" i="50"/>
  <c r="J8" i="50"/>
  <c r="J10" i="50"/>
  <c r="AR6" i="1"/>
  <c r="H10" i="50"/>
  <c r="AR8" i="5"/>
  <c r="H41" i="50"/>
  <c r="J41" i="50"/>
  <c r="J49" i="50"/>
  <c r="AR18" i="4"/>
  <c r="H49" i="50"/>
  <c r="J71" i="50"/>
  <c r="AR12" i="150"/>
  <c r="H71" i="50"/>
  <c r="AR29" i="1"/>
  <c r="H60" i="50"/>
  <c r="J60" i="50"/>
  <c r="J22" i="50"/>
  <c r="H22" i="50"/>
  <c r="AR9" i="1"/>
  <c r="H64" i="50"/>
  <c r="J64" i="50"/>
  <c r="AR5" i="150"/>
  <c r="AR8" i="150"/>
  <c r="J67" i="50"/>
  <c r="H67" i="50"/>
  <c r="AR6" i="150"/>
  <c r="H65" i="50"/>
  <c r="J65" i="50"/>
  <c r="J55" i="50"/>
  <c r="H55" i="50"/>
  <c r="AR26" i="1"/>
  <c r="AR8" i="137"/>
  <c r="J47" i="50"/>
  <c r="H47" i="50"/>
  <c r="H44" i="50"/>
  <c r="J44" i="50"/>
  <c r="AR21" i="5"/>
  <c r="H16" i="50"/>
  <c r="AR10" i="1"/>
  <c r="J16" i="50"/>
  <c r="H17" i="50"/>
  <c r="J17" i="50"/>
  <c r="AR17" i="4"/>
  <c r="J39" i="50"/>
  <c r="AR17" i="5"/>
  <c r="H39" i="50"/>
  <c r="H15" i="50"/>
  <c r="AR5" i="4"/>
  <c r="J15" i="50"/>
  <c r="J66" i="50"/>
  <c r="H66" i="50"/>
  <c r="AR7" i="150"/>
  <c r="H34" i="50"/>
  <c r="J34" i="50"/>
  <c r="AR14" i="5"/>
  <c r="J72" i="50"/>
  <c r="H72" i="50"/>
  <c r="AR24" i="4"/>
  <c r="H57" i="50"/>
  <c r="J57" i="50"/>
  <c r="AR28" i="1"/>
  <c r="AR27" i="1"/>
  <c r="H56" i="50"/>
  <c r="J56" i="50"/>
  <c r="AR20" i="4"/>
  <c r="J48" i="50"/>
  <c r="H48" i="50"/>
  <c r="AR15" i="4"/>
  <c r="H21" i="50"/>
  <c r="J21" i="50"/>
  <c r="AR11" i="4"/>
  <c r="H27" i="50"/>
  <c r="J27" i="50"/>
  <c r="AR13" i="5"/>
  <c r="J33" i="50"/>
  <c r="H33" i="50"/>
  <c r="H54" i="50"/>
  <c r="AR25" i="1"/>
  <c r="J54" i="50"/>
  <c r="H43" i="50"/>
  <c r="J43" i="50"/>
  <c r="AR5" i="5"/>
  <c r="AR18" i="1"/>
  <c r="H25" i="50"/>
  <c r="J25" i="50"/>
  <c r="J24" i="50"/>
  <c r="H24" i="50"/>
  <c r="AR13" i="1"/>
  <c r="J26" i="50"/>
  <c r="H26" i="50"/>
  <c r="AR12" i="1"/>
  <c r="J7" i="50"/>
  <c r="H7" i="50"/>
  <c r="AR7" i="137"/>
  <c r="H19" i="50"/>
  <c r="AR16" i="4"/>
  <c r="J19" i="50"/>
  <c r="AR22" i="4"/>
  <c r="J62" i="50"/>
  <c r="H62" i="50"/>
  <c r="J11" i="50"/>
  <c r="H11" i="50"/>
  <c r="AR7" i="1"/>
  <c r="AR19" i="4"/>
  <c r="H58" i="50"/>
  <c r="J58" i="50"/>
  <c r="AR10" i="5"/>
  <c r="H29" i="50"/>
  <c r="J29" i="50"/>
  <c r="J50" i="50"/>
  <c r="H50" i="50"/>
  <c r="AR23" i="5"/>
  <c r="H13" i="50"/>
  <c r="J13" i="50"/>
  <c r="AR9" i="4"/>
  <c r="AR7" i="4"/>
  <c r="H12" i="50"/>
  <c r="J12" i="50"/>
  <c r="AR22" i="5"/>
  <c r="J40" i="50"/>
  <c r="H40" i="50"/>
  <c r="AR22" i="1"/>
  <c r="H46" i="50"/>
  <c r="J46" i="50"/>
  <c r="J52" i="50"/>
  <c r="AR23" i="1"/>
  <c r="H52" i="50"/>
  <c r="H36" i="50"/>
  <c r="J36" i="50"/>
  <c r="AR18" i="5"/>
  <c r="AR30" i="1"/>
  <c r="J61" i="50"/>
  <c r="H61" i="50"/>
  <c r="H42" i="50"/>
  <c r="J42" i="50"/>
  <c r="AR6" i="5"/>
  <c r="J30" i="50"/>
  <c r="H30" i="50"/>
  <c r="AR11" i="5"/>
  <c r="AR24" i="5"/>
  <c r="J51" i="50"/>
  <c r="H51" i="50"/>
  <c r="F4" i="50"/>
  <c r="H5" i="50"/>
  <c r="AR5" i="137"/>
  <c r="J5" i="50"/>
  <c r="AR23" i="4"/>
  <c r="H63" i="50"/>
  <c r="J63" i="50"/>
  <c r="H68" i="50"/>
  <c r="J68" i="50"/>
  <c r="AR9" i="150"/>
  <c r="J6" i="50"/>
  <c r="H6" i="50"/>
  <c r="AR6" i="137"/>
  <c r="AR10" i="150"/>
  <c r="H69" i="50"/>
  <c r="J69" i="50"/>
  <c r="J31" i="50"/>
  <c r="AR16" i="5"/>
  <c r="H31" i="50"/>
  <c r="AR10" i="4"/>
  <c r="H14" i="50"/>
  <c r="J14" i="50"/>
  <c r="AR8" i="4"/>
  <c r="J28" i="50"/>
  <c r="H28" i="50"/>
  <c r="AR15" i="5"/>
  <c r="J35" i="50"/>
  <c r="H35" i="50"/>
  <c r="AR24" i="1"/>
  <c r="J53" i="50"/>
  <c r="H53" i="50"/>
  <c r="H9" i="50"/>
  <c r="AR5" i="1"/>
  <c r="J9" i="50"/>
  <c r="H20" i="50"/>
  <c r="J20" i="50"/>
  <c r="AR14" i="4"/>
  <c r="H45" i="50"/>
  <c r="J45" i="50"/>
  <c r="AR21" i="1"/>
  <c r="N14" i="4" l="1"/>
  <c r="O14" i="4"/>
  <c r="A14" i="4" s="1"/>
  <c r="O24" i="1"/>
  <c r="A24" i="1" s="1"/>
  <c r="N24" i="1"/>
  <c r="N11" i="5"/>
  <c r="A11" i="5" s="1"/>
  <c r="M11" i="5"/>
  <c r="O21" i="1"/>
  <c r="A21" i="1" s="1"/>
  <c r="N21" i="1"/>
  <c r="M18" i="5"/>
  <c r="N18" i="5"/>
  <c r="A18" i="5" s="1"/>
  <c r="O22" i="1"/>
  <c r="A22" i="1" s="1"/>
  <c r="N22" i="1"/>
  <c r="O7" i="137"/>
  <c r="A7" i="137" s="1"/>
  <c r="N7" i="137"/>
  <c r="O25" i="1"/>
  <c r="A25" i="1" s="1"/>
  <c r="N25" i="1"/>
  <c r="O8" i="4"/>
  <c r="A8" i="4" s="1"/>
  <c r="N8" i="4"/>
  <c r="O5" i="137"/>
  <c r="N5" i="137"/>
  <c r="AR4" i="137"/>
  <c r="N20" i="4"/>
  <c r="O20" i="4"/>
  <c r="A20" i="4" s="1"/>
  <c r="N28" i="1"/>
  <c r="O28" i="1"/>
  <c r="A28" i="1" s="1"/>
  <c r="M17" i="5"/>
  <c r="N17" i="5"/>
  <c r="A17" i="5" s="1"/>
  <c r="M21" i="5"/>
  <c r="N21" i="5"/>
  <c r="A21" i="5" s="1"/>
  <c r="N18" i="4"/>
  <c r="O18" i="4"/>
  <c r="A18" i="4" s="1"/>
  <c r="M8" i="5"/>
  <c r="N8" i="5"/>
  <c r="A8" i="5" s="1"/>
  <c r="N20" i="5"/>
  <c r="A20" i="5" s="1"/>
  <c r="M20" i="5"/>
  <c r="M12" i="5"/>
  <c r="N12" i="5"/>
  <c r="A12" i="5" s="1"/>
  <c r="M15" i="5"/>
  <c r="N15" i="5"/>
  <c r="A15" i="5" s="1"/>
  <c r="M16" i="5"/>
  <c r="N16" i="5"/>
  <c r="A16" i="5" s="1"/>
  <c r="O10" i="150"/>
  <c r="A10" i="150" s="1"/>
  <c r="N10" i="150"/>
  <c r="O9" i="150"/>
  <c r="A9" i="150" s="1"/>
  <c r="N9" i="150"/>
  <c r="H4" i="50"/>
  <c r="N24" i="5"/>
  <c r="A24" i="5" s="1"/>
  <c r="M24" i="5"/>
  <c r="M6" i="5"/>
  <c r="N6" i="5"/>
  <c r="A6" i="5" s="1"/>
  <c r="O7" i="4"/>
  <c r="A7" i="4" s="1"/>
  <c r="N7" i="4"/>
  <c r="N23" i="5"/>
  <c r="A23" i="5" s="1"/>
  <c r="M23" i="5"/>
  <c r="N19" i="4"/>
  <c r="O19" i="4"/>
  <c r="A19" i="4" s="1"/>
  <c r="N16" i="4"/>
  <c r="O16" i="4"/>
  <c r="A16" i="4" s="1"/>
  <c r="N13" i="1"/>
  <c r="O13" i="1"/>
  <c r="A13" i="1" s="1"/>
  <c r="O15" i="4"/>
  <c r="A15" i="4" s="1"/>
  <c r="N15" i="4"/>
  <c r="N7" i="150"/>
  <c r="O7" i="150"/>
  <c r="A7" i="150" s="1"/>
  <c r="AR4" i="4"/>
  <c r="N5" i="4"/>
  <c r="O5" i="4"/>
  <c r="N8" i="137"/>
  <c r="O8" i="137"/>
  <c r="A8" i="137" s="1"/>
  <c r="O12" i="150"/>
  <c r="A12" i="150" s="1"/>
  <c r="N12" i="150"/>
  <c r="N8" i="1"/>
  <c r="O8" i="1"/>
  <c r="A8" i="1" s="1"/>
  <c r="O6" i="137"/>
  <c r="A6" i="137" s="1"/>
  <c r="N6" i="137"/>
  <c r="M22" i="5"/>
  <c r="N22" i="5"/>
  <c r="A22" i="5" s="1"/>
  <c r="N9" i="4"/>
  <c r="O9" i="4"/>
  <c r="A9" i="4" s="1"/>
  <c r="M10" i="5"/>
  <c r="N10" i="5"/>
  <c r="A10" i="5" s="1"/>
  <c r="N7" i="1"/>
  <c r="O7" i="1"/>
  <c r="A7" i="1" s="1"/>
  <c r="O12" i="1"/>
  <c r="A12" i="1" s="1"/>
  <c r="N12" i="1"/>
  <c r="N18" i="1"/>
  <c r="O18" i="1"/>
  <c r="A18" i="1" s="1"/>
  <c r="O11" i="4"/>
  <c r="A11" i="4" s="1"/>
  <c r="N11" i="4"/>
  <c r="N14" i="5"/>
  <c r="A14" i="5" s="1"/>
  <c r="M14" i="5"/>
  <c r="O17" i="4"/>
  <c r="A17" i="4" s="1"/>
  <c r="N17" i="4"/>
  <c r="O10" i="1"/>
  <c r="A10" i="1" s="1"/>
  <c r="N10" i="1"/>
  <c r="N26" i="1"/>
  <c r="O26" i="1"/>
  <c r="A26" i="1" s="1"/>
  <c r="O8" i="150"/>
  <c r="A8" i="150" s="1"/>
  <c r="N8" i="150"/>
  <c r="N9" i="1"/>
  <c r="O9" i="1"/>
  <c r="A9" i="1" s="1"/>
  <c r="O6" i="1"/>
  <c r="A6" i="1" s="1"/>
  <c r="N6" i="1"/>
  <c r="N6" i="4"/>
  <c r="O6" i="4"/>
  <c r="A6" i="4" s="1"/>
  <c r="N5" i="1"/>
  <c r="AR4" i="1"/>
  <c r="O5" i="1"/>
  <c r="N23" i="4"/>
  <c r="O23" i="4"/>
  <c r="A23" i="4" s="1"/>
  <c r="N30" i="1"/>
  <c r="O30" i="1"/>
  <c r="A30" i="1" s="1"/>
  <c r="O10" i="4"/>
  <c r="A10" i="4" s="1"/>
  <c r="N10" i="4"/>
  <c r="J4" i="50"/>
  <c r="I4" i="50" s="1"/>
  <c r="K11" i="50" s="1"/>
  <c r="N23" i="1"/>
  <c r="O23" i="1"/>
  <c r="A23" i="1" s="1"/>
  <c r="N22" i="4"/>
  <c r="O22" i="4"/>
  <c r="A22" i="4" s="1"/>
  <c r="AR4" i="5"/>
  <c r="M5" i="5"/>
  <c r="N5" i="5"/>
  <c r="N13" i="5"/>
  <c r="A13" i="5" s="1"/>
  <c r="M13" i="5"/>
  <c r="O27" i="1"/>
  <c r="A27" i="1" s="1"/>
  <c r="N27" i="1"/>
  <c r="N24" i="4"/>
  <c r="O24" i="4"/>
  <c r="A24" i="4" s="1"/>
  <c r="O6" i="150"/>
  <c r="A6" i="150" s="1"/>
  <c r="N6" i="150"/>
  <c r="O5" i="150"/>
  <c r="N5" i="150"/>
  <c r="AR4" i="150"/>
  <c r="O29" i="1"/>
  <c r="A29" i="1" s="1"/>
  <c r="N29" i="1"/>
  <c r="N19" i="5"/>
  <c r="A19" i="5" s="1"/>
  <c r="M19" i="5"/>
  <c r="O13" i="4"/>
  <c r="A13" i="4" s="1"/>
  <c r="N13" i="4"/>
  <c r="O21" i="4"/>
  <c r="A21" i="4" s="1"/>
  <c r="N21" i="4"/>
  <c r="N11" i="150"/>
  <c r="O11" i="150"/>
  <c r="A11" i="150" s="1"/>
  <c r="N4" i="150" l="1"/>
  <c r="O4" i="1"/>
  <c r="A5" i="1"/>
  <c r="A4" i="1" s="1"/>
  <c r="N4" i="137"/>
  <c r="O4" i="150"/>
  <c r="A5" i="150"/>
  <c r="A4" i="150" s="1"/>
  <c r="A5" i="4"/>
  <c r="A4" i="4" s="1"/>
  <c r="O4" i="4"/>
  <c r="O4" i="137"/>
  <c r="A5" i="137"/>
  <c r="A4" i="137" s="1"/>
  <c r="A5" i="5"/>
  <c r="A4" i="5" s="1"/>
  <c r="N4" i="5"/>
  <c r="N4" i="1"/>
  <c r="N4" i="4"/>
  <c r="M4" i="5"/>
  <c r="E1" i="50" l="1"/>
  <c r="A1" i="50"/>
  <c r="K5" i="120" s="1"/>
  <c r="C1" i="50"/>
  <c r="D1" i="50"/>
  <c r="I4" i="95"/>
  <c r="I5" i="95" s="1"/>
  <c r="I5"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<sst xmlns="http://schemas.openxmlformats.org/spreadsheetml/2006/main" count="1674" uniqueCount="324">
  <si>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</si>
  <si>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</si>
  <si>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</si>
  <si>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</si>
  <si>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</si>
  <si>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</si>
  <si>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</si>
  <si>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</si>
  <si>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</si>
  <si>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</si>
  <si>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</si>
  <si>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</si>
  <si>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</si>
  <si>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</si>
  <si>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</si>
  <si>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</si>
  <si>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</si>
  <si>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</si>
  <si>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</si>
  <si>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</si>
  <si>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</si>
  <si>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</si>
  <si>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</si>
  <si>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</si>
  <si>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</si>
  <si>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</si>
  <si>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</si>
  <si>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</si>
  <si>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</si>
  <si>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</si>
  <si>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</si>
  <si>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</si>
  <si>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</si>
  <si>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</si>
  <si>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</si>
  <si>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</si>
  <si>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</si>
  <si>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</si>
  <si>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</si>
  <si>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</si>
  <si>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</si>
  <si>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</si>
  <si>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</si>
  <si>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</si>
  <si>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</si>
  <si>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</si>
  <si>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</si>
  <si>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</si>
  <si>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</si>
  <si>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</si>
  <si>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</si>
  <si>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</si>
  <si>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</si>
  <si>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</si>
  <si>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</si>
  <si>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</si>
  <si>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</si>
  <si>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</si>
  <si>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</si>
  <si>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</si>
  <si>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</si>
  <si>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</si>
  <si>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</si>
  <si>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</si>
  <si>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</si>
  <si>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</si>
  <si>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</si>
  <si>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</si>
  <si>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</si>
  <si>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</si>
  <si>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</si>
  <si>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</si>
  <si>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</si>
  <si>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</si>
  <si>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</si>
  <si>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</si>
  <si>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</si>
  <si>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</si>
  <si>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</si>
  <si>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</si>
  <si>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</si>
  <si>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</si>
  <si>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</si>
  <si>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</si>
  <si>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</si>
  <si>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</si>
  <si>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</si>
  <si>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</si>
  <si>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</si>
  <si>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</si>
  <si>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</si>
  <si>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</si>
  <si>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</si>
  <si>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</si>
  <si>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</si>
  <si>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</si>
  <si>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</si>
  <si>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</si>
  <si>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</si>
  <si>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</si>
  <si>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</si>
  <si>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</si>
  <si>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</si>
  <si>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</si>
  <si>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</si>
  <si>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</si>
  <si>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</si>
  <si>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</si>
  <si>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</si>
  <si>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</si>
  <si>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</si>
  <si>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</si>
  <si>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</si>
  <si>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</si>
  <si>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</si>
  <si>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</si>
  <si>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</si>
  <si>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</si>
  <si>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</si>
  <si>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</si>
  <si>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</si>
  <si>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</si>
  <si>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</si>
  <si>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</si>
  <si>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</si>
  <si>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</si>
  <si>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</si>
  <si>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</si>
  <si>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</si>
  <si>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</si>
  <si>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</si>
  <si>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</si>
  <si>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</si>
  <si>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</si>
  <si>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</si>
  <si>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</si>
  <si>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</si>
  <si>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</si>
  <si>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</si>
  <si>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</si>
  <si>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</si>
  <si>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</si>
  <si>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</si>
  <si>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</si>
  <si>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</si>
  <si>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</si>
  <si>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</si>
  <si>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</si>
  <si>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</si>
  <si>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</si>
  <si>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</si>
  <si>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</si>
  <si>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</si>
  <si>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</si>
  <si>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</si>
  <si>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</si>
  <si>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</si>
  <si>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</si>
  <si>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</si>
  <si>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</si>
  <si>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</si>
  <si>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</si>
  <si>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</si>
  <si>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</si>
  <si>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</si>
  <si>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</si>
  <si>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</si>
  <si>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</si>
  <si>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</si>
  <si>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</si>
  <si>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</si>
  <si>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</si>
  <si>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</si>
  <si>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</si>
  <si>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</si>
  <si>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</si>
  <si>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</si>
  <si>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</si>
  <si>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</si>
  <si>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</si>
  <si>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</si>
  <si>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</si>
  <si>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</si>
  <si>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</si>
  <si>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</si>
  <si>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</si>
  <si>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</si>
  <si>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</si>
  <si>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</si>
  <si>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</si>
  <si>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</si>
  <si>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</si>
  <si>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</si>
  <si>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</si>
  <si>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</si>
  <si>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</si>
  <si>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</si>
  <si>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</si>
  <si>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</si>
  <si>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</si>
  <si>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</si>
  <si>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</si>
  <si>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</si>
  <si>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</si>
  <si>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</si>
  <si>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</si>
  <si>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</si>
  <si>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</si>
  <si>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</si>
  <si>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</si>
  <si>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</si>
  <si>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</si>
  <si>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</si>
  <si>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</si>
  <si>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</si>
  <si>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</si>
  <si>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</si>
  <si>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</si>
  <si>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</si>
  <si>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</si>
  <si>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</si>
  <si>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</si>
  <si>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</si>
  <si>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</si>
  <si>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</si>
  <si>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</si>
  <si>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</si>
  <si>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</si>
  <si>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</si>
  <si>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</si>
  <si>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</si>
  <si>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</si>
  <si>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</si>
  <si>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</si>
  <si>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</si>
  <si>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</si>
  <si>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</si>
  <si>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</si>
  <si>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</si>
  <si>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</si>
  <si>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</si>
  <si>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</si>
  <si>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</si>
  <si>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</si>
  <si>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</si>
  <si>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</si>
  <si>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</si>
  <si>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</si>
  <si>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</si>
  <si>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</si>
  <si>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</si>
  <si>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</si>
  <si>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</si>
  <si>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</si>
  <si>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</si>
  <si>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</si>
  <si>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</si>
  <si>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</si>
  <si>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</si>
  <si>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</si>
  <si>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</si>
  <si>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</si>
  <si>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</si>
  <si>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</si>
  <si>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</si>
  <si>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</si>
  <si>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</si>
  <si>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</si>
  <si>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</si>
  <si>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</si>
  <si>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</si>
  <si>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</si>
  <si>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</si>
  <si>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</si>
  <si>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</si>
  <si>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</si>
  <si>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</si>
  <si>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</si>
  <si>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</si>
  <si>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</si>
  <si>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</si>
  <si>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</si>
  <si>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</si>
  <si>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</si>
  <si>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</si>
  <si>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</si>
  <si>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</si>
  <si>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</si>
  <si>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</si>
  <si>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</si>
  <si>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</si>
  <si>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</si>
  <si>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</si>
  <si>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</si>
  <si>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</si>
  <si>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</si>
  <si>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</si>
  <si>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</si>
  <si>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</si>
  <si>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</si>
  <si>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</si>
  <si>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</si>
  <si>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</si>
  <si>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</si>
  <si>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</si>
  <si>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</si>
  <si>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</si>
  <si>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Cô Bé</t>
  </si>
  <si>
    <t>Chênh lệch giá</t>
  </si>
  <si>
    <t>Dì Tư</t>
  </si>
  <si>
    <t>Bảo Ngọc (Sỉ)</t>
  </si>
  <si>
    <t>Cô Linh (Sỉ)</t>
  </si>
  <si>
    <t>Bỏ Sỉ</t>
  </si>
  <si>
    <t>Cô Diệu</t>
  </si>
  <si>
    <t>Chị Mai</t>
  </si>
  <si>
    <t>KH lẻ</t>
  </si>
  <si>
    <t>Chị 5</t>
  </si>
  <si>
    <t>Dì Tâm</t>
  </si>
  <si>
    <t>Cô Phượng</t>
  </si>
  <si>
    <t>Chị Bơ</t>
  </si>
  <si>
    <t>Chị Thơm</t>
  </si>
  <si>
    <t>TS 199X</t>
  </si>
  <si>
    <t>Chủ - thất thoát</t>
  </si>
  <si>
    <t>Dì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</si>
</sst>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4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5"/>
      <tableStyleElement type="headerRow" dxfId="44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12">
      <pivotArea field="3" type="button" dataOnly="0" labelOnly="1" outline="0" axis="axisRow" fieldPosition="3"/>
    </format>
    <format dxfId="4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0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0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0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0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9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9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5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5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4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4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3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3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3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3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3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3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5">
      <pivotArea dataOnly="0" labelOnly="1" outline="0" fieldPosition="0">
        <references count="1">
          <reference field="0" count="5">
            <x v="50"/>
            <x v="51"/>
            <x v="52"/>
            <x v="53"/>
            <x v="54"/>
          </reference>
        </references>
      </pivotArea>
    </format>
    <format dxfId="324">
      <pivotArea dataOnly="0" labelOnly="1" grandRow="1" outline="0"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field="2" type="button" dataOnly="0" labelOnly="1" outline="0" axis="axisRow" fieldPosition="1"/>
    </format>
    <format dxfId="319">
      <pivotArea type="all" dataOnly="0" outline="0" fieldPosition="0"/>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field="1" type="button" dataOnly="0" labelOnly="1" outline="0" axis="axisRow" fieldPosition="2"/>
    </format>
    <format dxfId="311">
      <pivotArea field="3" type="button" dataOnly="0" labelOnly="1" outline="0" axis="axisRow" fieldPosition="3"/>
    </format>
    <format dxfId="310">
      <pivotArea field="0" type="button" dataOnly="0" labelOnly="1" outline="0" axis="axisRow" fieldPosition="0"/>
    </format>
    <format dxfId="309">
      <pivotArea field="2" type="button" dataOnly="0" labelOnly="1" outline="0" axis="axisRow" fieldPosition="1"/>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4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4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3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3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3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3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3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3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2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2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2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4">
      <pivotArea dataOnly="0" labelOnly="1" outline="0" fieldPosition="0">
        <references count="1">
          <reference field="0" count="5">
            <x v="50"/>
            <x v="51"/>
            <x v="52"/>
            <x v="53"/>
            <x v="54"/>
          </reference>
        </references>
      </pivotArea>
    </format>
    <format dxfId="223">
      <pivotArea dataOnly="0" labelOnly="1" outline="0" fieldPosition="0">
        <references count="2">
          <reference field="0" count="1" selected="0">
            <x v="0"/>
          </reference>
          <reference field="2" count="1">
            <x v="0"/>
          </reference>
        </references>
      </pivotArea>
    </format>
    <format dxfId="222">
      <pivotArea dataOnly="0" labelOnly="1" outline="0" fieldPosition="0">
        <references count="2">
          <reference field="0" count="1" selected="0">
            <x v="1"/>
          </reference>
          <reference field="2" count="1">
            <x v="1"/>
          </reference>
        </references>
      </pivotArea>
    </format>
    <format dxfId="221">
      <pivotArea dataOnly="0" labelOnly="1" outline="0" fieldPosition="0">
        <references count="2">
          <reference field="0" count="1" selected="0">
            <x v="2"/>
          </reference>
          <reference field="2" count="1">
            <x v="2"/>
          </reference>
        </references>
      </pivotArea>
    </format>
    <format dxfId="220">
      <pivotArea dataOnly="0" labelOnly="1" outline="0" fieldPosition="0">
        <references count="2">
          <reference field="0" count="1" selected="0">
            <x v="3"/>
          </reference>
          <reference field="2" count="1">
            <x v="3"/>
          </reference>
        </references>
      </pivotArea>
    </format>
    <format dxfId="219">
      <pivotArea dataOnly="0" labelOnly="1" outline="0" fieldPosition="0">
        <references count="2">
          <reference field="0" count="1" selected="0">
            <x v="4"/>
          </reference>
          <reference field="2" count="1">
            <x v="4"/>
          </reference>
        </references>
      </pivotArea>
    </format>
    <format dxfId="218">
      <pivotArea dataOnly="0" labelOnly="1" outline="0" fieldPosition="0">
        <references count="2">
          <reference field="0" count="1" selected="0">
            <x v="5"/>
          </reference>
          <reference field="2" count="1">
            <x v="5"/>
          </reference>
        </references>
      </pivotArea>
    </format>
    <format dxfId="217">
      <pivotArea dataOnly="0" labelOnly="1" outline="0" fieldPosition="0">
        <references count="2">
          <reference field="0" count="1" selected="0">
            <x v="6"/>
          </reference>
          <reference field="2" count="1">
            <x v="6"/>
          </reference>
        </references>
      </pivotArea>
    </format>
    <format dxfId="216">
      <pivotArea dataOnly="0" labelOnly="1" outline="0" fieldPosition="0">
        <references count="2">
          <reference field="0" count="1" selected="0">
            <x v="7"/>
          </reference>
          <reference field="2" count="1">
            <x v="7"/>
          </reference>
        </references>
      </pivotArea>
    </format>
    <format dxfId="215">
      <pivotArea dataOnly="0" labelOnly="1" outline="0" fieldPosition="0">
        <references count="2">
          <reference field="0" count="1" selected="0">
            <x v="8"/>
          </reference>
          <reference field="2" count="1">
            <x v="8"/>
          </reference>
        </references>
      </pivotArea>
    </format>
    <format dxfId="214">
      <pivotArea dataOnly="0" labelOnly="1" outline="0" fieldPosition="0">
        <references count="2">
          <reference field="0" count="1" selected="0">
            <x v="9"/>
          </reference>
          <reference field="2" count="1">
            <x v="9"/>
          </reference>
        </references>
      </pivotArea>
    </format>
    <format dxfId="213">
      <pivotArea dataOnly="0" labelOnly="1" outline="0" fieldPosition="0">
        <references count="2">
          <reference field="0" count="1" selected="0">
            <x v="10"/>
          </reference>
          <reference field="2" count="1">
            <x v="10"/>
          </reference>
        </references>
      </pivotArea>
    </format>
    <format dxfId="212">
      <pivotArea dataOnly="0" labelOnly="1" outline="0" fieldPosition="0">
        <references count="2">
          <reference field="0" count="1" selected="0">
            <x v="11"/>
          </reference>
          <reference field="2" count="1">
            <x v="11"/>
          </reference>
        </references>
      </pivotArea>
    </format>
    <format dxfId="211">
      <pivotArea dataOnly="0" labelOnly="1" outline="0" fieldPosition="0">
        <references count="2">
          <reference field="0" count="1" selected="0">
            <x v="12"/>
          </reference>
          <reference field="2" count="1">
            <x v="12"/>
          </reference>
        </references>
      </pivotArea>
    </format>
    <format dxfId="210">
      <pivotArea dataOnly="0" labelOnly="1" outline="0" fieldPosition="0">
        <references count="2">
          <reference field="0" count="1" selected="0">
            <x v="13"/>
          </reference>
          <reference field="2" count="1">
            <x v="13"/>
          </reference>
        </references>
      </pivotArea>
    </format>
    <format dxfId="209">
      <pivotArea dataOnly="0" labelOnly="1" outline="0" fieldPosition="0">
        <references count="2">
          <reference field="0" count="1" selected="0">
            <x v="14"/>
          </reference>
          <reference field="2" count="1">
            <x v="14"/>
          </reference>
        </references>
      </pivotArea>
    </format>
    <format dxfId="208">
      <pivotArea dataOnly="0" labelOnly="1" outline="0" fieldPosition="0">
        <references count="2">
          <reference field="0" count="1" selected="0">
            <x v="15"/>
          </reference>
          <reference field="2" count="1">
            <x v="15"/>
          </reference>
        </references>
      </pivotArea>
    </format>
    <format dxfId="207">
      <pivotArea dataOnly="0" labelOnly="1" outline="0" fieldPosition="0">
        <references count="2">
          <reference field="0" count="1" selected="0">
            <x v="16"/>
          </reference>
          <reference field="2" count="1">
            <x v="16"/>
          </reference>
        </references>
      </pivotArea>
    </format>
    <format dxfId="206">
      <pivotArea dataOnly="0" labelOnly="1" outline="0" fieldPosition="0">
        <references count="2">
          <reference field="0" count="1" selected="0">
            <x v="17"/>
          </reference>
          <reference field="2" count="1">
            <x v="17"/>
          </reference>
        </references>
      </pivotArea>
    </format>
    <format dxfId="205">
      <pivotArea dataOnly="0" labelOnly="1" outline="0" fieldPosition="0">
        <references count="2">
          <reference field="0" count="1" selected="0">
            <x v="18"/>
          </reference>
          <reference field="2" count="1">
            <x v="18"/>
          </reference>
        </references>
      </pivotArea>
    </format>
    <format dxfId="204">
      <pivotArea dataOnly="0" labelOnly="1" outline="0" fieldPosition="0">
        <references count="2">
          <reference field="0" count="1" selected="0">
            <x v="19"/>
          </reference>
          <reference field="2" count="1">
            <x v="19"/>
          </reference>
        </references>
      </pivotArea>
    </format>
    <format dxfId="203">
      <pivotArea dataOnly="0" labelOnly="1" outline="0" fieldPosition="0">
        <references count="2">
          <reference field="0" count="1" selected="0">
            <x v="20"/>
          </reference>
          <reference field="2" count="1">
            <x v="20"/>
          </reference>
        </references>
      </pivotArea>
    </format>
    <format dxfId="202">
      <pivotArea dataOnly="0" labelOnly="1" outline="0" fieldPosition="0">
        <references count="2">
          <reference field="0" count="1" selected="0">
            <x v="21"/>
          </reference>
          <reference field="2" count="1">
            <x v="21"/>
          </reference>
        </references>
      </pivotArea>
    </format>
    <format dxfId="201">
      <pivotArea dataOnly="0" labelOnly="1" outline="0" fieldPosition="0">
        <references count="2">
          <reference field="0" count="1" selected="0">
            <x v="22"/>
          </reference>
          <reference field="2" count="1">
            <x v="22"/>
          </reference>
        </references>
      </pivotArea>
    </format>
    <format dxfId="200">
      <pivotArea dataOnly="0" labelOnly="1" outline="0" fieldPosition="0">
        <references count="2">
          <reference field="0" count="1" selected="0">
            <x v="23"/>
          </reference>
          <reference field="2" count="1">
            <x v="23"/>
          </reference>
        </references>
      </pivotArea>
    </format>
    <format dxfId="199">
      <pivotArea dataOnly="0" labelOnly="1" outline="0" fieldPosition="0">
        <references count="2">
          <reference field="0" count="1" selected="0">
            <x v="24"/>
          </reference>
          <reference field="2" count="1">
            <x v="24"/>
          </reference>
        </references>
      </pivotArea>
    </format>
    <format dxfId="198">
      <pivotArea dataOnly="0" labelOnly="1" outline="0" fieldPosition="0">
        <references count="2">
          <reference field="0" count="1" selected="0">
            <x v="25"/>
          </reference>
          <reference field="2" count="1">
            <x v="25"/>
          </reference>
        </references>
      </pivotArea>
    </format>
    <format dxfId="197">
      <pivotArea dataOnly="0" labelOnly="1" outline="0" fieldPosition="0">
        <references count="2">
          <reference field="0" count="1" selected="0">
            <x v="26"/>
          </reference>
          <reference field="2" count="1">
            <x v="26"/>
          </reference>
        </references>
      </pivotArea>
    </format>
    <format dxfId="196">
      <pivotArea dataOnly="0" labelOnly="1" outline="0" fieldPosition="0">
        <references count="2">
          <reference field="0" count="1" selected="0">
            <x v="27"/>
          </reference>
          <reference field="2" count="1">
            <x v="27"/>
          </reference>
        </references>
      </pivotArea>
    </format>
    <format dxfId="195">
      <pivotArea dataOnly="0" labelOnly="1" outline="0" fieldPosition="0">
        <references count="2">
          <reference field="0" count="1" selected="0">
            <x v="28"/>
          </reference>
          <reference field="2" count="1">
            <x v="28"/>
          </reference>
        </references>
      </pivotArea>
    </format>
    <format dxfId="194">
      <pivotArea dataOnly="0" labelOnly="1" outline="0" fieldPosition="0">
        <references count="2">
          <reference field="0" count="1" selected="0">
            <x v="29"/>
          </reference>
          <reference field="2" count="1">
            <x v="29"/>
          </reference>
        </references>
      </pivotArea>
    </format>
    <format dxfId="193">
      <pivotArea dataOnly="0" labelOnly="1" outline="0" fieldPosition="0">
        <references count="2">
          <reference field="0" count="1" selected="0">
            <x v="30"/>
          </reference>
          <reference field="2" count="1">
            <x v="30"/>
          </reference>
        </references>
      </pivotArea>
    </format>
    <format dxfId="192">
      <pivotArea dataOnly="0" labelOnly="1" outline="0" fieldPosition="0">
        <references count="2">
          <reference field="0" count="1" selected="0">
            <x v="31"/>
          </reference>
          <reference field="2" count="1">
            <x v="31"/>
          </reference>
        </references>
      </pivotArea>
    </format>
    <format dxfId="191">
      <pivotArea dataOnly="0" labelOnly="1" outline="0" fieldPosition="0">
        <references count="2">
          <reference field="0" count="1" selected="0">
            <x v="32"/>
          </reference>
          <reference field="2" count="1">
            <x v="32"/>
          </reference>
        </references>
      </pivotArea>
    </format>
    <format dxfId="190">
      <pivotArea dataOnly="0" labelOnly="1" outline="0" fieldPosition="0">
        <references count="2">
          <reference field="0" count="1" selected="0">
            <x v="33"/>
          </reference>
          <reference field="2" count="1">
            <x v="33"/>
          </reference>
        </references>
      </pivotArea>
    </format>
    <format dxfId="189">
      <pivotArea dataOnly="0" labelOnly="1" outline="0" fieldPosition="0">
        <references count="2">
          <reference field="0" count="1" selected="0">
            <x v="34"/>
          </reference>
          <reference field="2" count="1">
            <x v="34"/>
          </reference>
        </references>
      </pivotArea>
    </format>
    <format dxfId="188">
      <pivotArea dataOnly="0" labelOnly="1" outline="0" fieldPosition="0">
        <references count="2">
          <reference field="0" count="1" selected="0">
            <x v="35"/>
          </reference>
          <reference field="2" count="1">
            <x v="35"/>
          </reference>
        </references>
      </pivotArea>
    </format>
    <format dxfId="187">
      <pivotArea dataOnly="0" labelOnly="1" outline="0" fieldPosition="0">
        <references count="2">
          <reference field="0" count="1" selected="0">
            <x v="36"/>
          </reference>
          <reference field="2" count="1">
            <x v="36"/>
          </reference>
        </references>
      </pivotArea>
    </format>
    <format dxfId="186">
      <pivotArea dataOnly="0" labelOnly="1" outline="0" fieldPosition="0">
        <references count="2">
          <reference field="0" count="1" selected="0">
            <x v="37"/>
          </reference>
          <reference field="2" count="1">
            <x v="37"/>
          </reference>
        </references>
      </pivotArea>
    </format>
    <format dxfId="185">
      <pivotArea dataOnly="0" labelOnly="1" outline="0" fieldPosition="0">
        <references count="2">
          <reference field="0" count="1" selected="0">
            <x v="38"/>
          </reference>
          <reference field="2" count="1">
            <x v="38"/>
          </reference>
        </references>
      </pivotArea>
    </format>
    <format dxfId="184">
      <pivotArea dataOnly="0" labelOnly="1" outline="0" fieldPosition="0">
        <references count="2">
          <reference field="0" count="1" selected="0">
            <x v="39"/>
          </reference>
          <reference field="2" count="1">
            <x v="39"/>
          </reference>
        </references>
      </pivotArea>
    </format>
    <format dxfId="183">
      <pivotArea dataOnly="0" labelOnly="1" outline="0" fieldPosition="0">
        <references count="2">
          <reference field="0" count="1" selected="0">
            <x v="40"/>
          </reference>
          <reference field="2" count="1">
            <x v="40"/>
          </reference>
        </references>
      </pivotArea>
    </format>
    <format dxfId="182">
      <pivotArea dataOnly="0" labelOnly="1" outline="0" fieldPosition="0">
        <references count="2">
          <reference field="0" count="1" selected="0">
            <x v="42"/>
          </reference>
          <reference field="2" count="1">
            <x v="41"/>
          </reference>
        </references>
      </pivotArea>
    </format>
    <format dxfId="181">
      <pivotArea dataOnly="0" labelOnly="1" outline="0" fieldPosition="0">
        <references count="2">
          <reference field="0" count="1" selected="0">
            <x v="43"/>
          </reference>
          <reference field="2" count="1">
            <x v="42"/>
          </reference>
        </references>
      </pivotArea>
    </format>
    <format dxfId="180">
      <pivotArea dataOnly="0" labelOnly="1" outline="0" fieldPosition="0">
        <references count="2">
          <reference field="0" count="1" selected="0">
            <x v="44"/>
          </reference>
          <reference field="2" count="1">
            <x v="43"/>
          </reference>
        </references>
      </pivotArea>
    </format>
    <format dxfId="179">
      <pivotArea dataOnly="0" labelOnly="1" outline="0" fieldPosition="0">
        <references count="2">
          <reference field="0" count="1" selected="0">
            <x v="45"/>
          </reference>
          <reference field="2" count="1">
            <x v="44"/>
          </reference>
        </references>
      </pivotArea>
    </format>
    <format dxfId="178">
      <pivotArea dataOnly="0" labelOnly="1" outline="0" fieldPosition="0">
        <references count="2">
          <reference field="0" count="1" selected="0">
            <x v="46"/>
          </reference>
          <reference field="2" count="1">
            <x v="45"/>
          </reference>
        </references>
      </pivotArea>
    </format>
    <format dxfId="177">
      <pivotArea dataOnly="0" labelOnly="1" outline="0" fieldPosition="0">
        <references count="2">
          <reference field="0" count="1" selected="0">
            <x v="47"/>
          </reference>
          <reference field="2" count="1">
            <x v="46"/>
          </reference>
        </references>
      </pivotArea>
    </format>
    <format dxfId="176">
      <pivotArea dataOnly="0" labelOnly="1" outline="0" fieldPosition="0">
        <references count="2">
          <reference field="0" count="1" selected="0">
            <x v="48"/>
          </reference>
          <reference field="2" count="1">
            <x v="47"/>
          </reference>
        </references>
      </pivotArea>
    </format>
    <format dxfId="175">
      <pivotArea dataOnly="0" labelOnly="1" outline="0" fieldPosition="0">
        <references count="2">
          <reference field="0" count="1" selected="0">
            <x v="49"/>
          </reference>
          <reference field="2" count="1">
            <x v="48"/>
          </reference>
        </references>
      </pivotArea>
    </format>
    <format dxfId="174">
      <pivotArea dataOnly="0" labelOnly="1" outline="0" fieldPosition="0">
        <references count="2">
          <reference field="0" count="1" selected="0">
            <x v="50"/>
          </reference>
          <reference field="2" count="1">
            <x v="49"/>
          </reference>
        </references>
      </pivotArea>
    </format>
    <format dxfId="173">
      <pivotArea dataOnly="0" labelOnly="1" outline="0" fieldPosition="0">
        <references count="2">
          <reference field="0" count="1" selected="0">
            <x v="51"/>
          </reference>
          <reference field="2" count="1">
            <x v="50"/>
          </reference>
        </references>
      </pivotArea>
    </format>
    <format dxfId="172">
      <pivotArea dataOnly="0" labelOnly="1" outline="0" fieldPosition="0">
        <references count="2">
          <reference field="0" count="1" selected="0">
            <x v="52"/>
          </reference>
          <reference field="2" count="1">
            <x v="51"/>
          </reference>
        </references>
      </pivotArea>
    </format>
    <format dxfId="171">
      <pivotArea dataOnly="0" labelOnly="1" outline="0" fieldPosition="0">
        <references count="2">
          <reference field="0" count="1" selected="0">
            <x v="53"/>
          </reference>
          <reference field="2" count="1">
            <x v="52"/>
          </reference>
        </references>
      </pivotArea>
    </format>
    <format dxfId="170">
      <pivotArea dataOnly="0" labelOnly="1" outline="0" fieldPosition="0">
        <references count="2">
          <reference field="0" count="1" selected="0">
            <x v="54"/>
          </reference>
          <reference field="2" count="1">
            <x v="53"/>
          </reference>
        </references>
      </pivotArea>
    </format>
    <format dxfId="169">
      <pivotArea dataOnly="0" labelOnly="1" outline="0" fieldPosition="0">
        <references count="3">
          <reference field="0" count="1" selected="0">
            <x v="1"/>
          </reference>
          <reference field="1" count="1">
            <x v="5"/>
          </reference>
          <reference field="2" count="1" selected="0">
            <x v="1"/>
          </reference>
        </references>
      </pivotArea>
    </format>
    <format dxfId="168">
      <pivotArea dataOnly="0" labelOnly="1" outline="0" fieldPosition="0">
        <references count="3">
          <reference field="0" count="1" selected="0">
            <x v="2"/>
          </reference>
          <reference field="1" count="1">
            <x v="6"/>
          </reference>
          <reference field="2" count="1" selected="0">
            <x v="2"/>
          </reference>
        </references>
      </pivotArea>
    </format>
    <format dxfId="167">
      <pivotArea dataOnly="0" labelOnly="1" outline="0" fieldPosition="0">
        <references count="3">
          <reference field="0" count="1" selected="0">
            <x v="3"/>
          </reference>
          <reference field="1" count="1">
            <x v="31"/>
          </reference>
          <reference field="2" count="1" selected="0">
            <x v="3"/>
          </reference>
        </references>
      </pivotArea>
    </format>
    <format dxfId="166">
      <pivotArea dataOnly="0" labelOnly="1" outline="0" fieldPosition="0">
        <references count="3">
          <reference field="0" count="1" selected="0">
            <x v="4"/>
          </reference>
          <reference field="1" count="1">
            <x v="12"/>
          </reference>
          <reference field="2" count="1" selected="0">
            <x v="4"/>
          </reference>
        </references>
      </pivotArea>
    </format>
    <format dxfId="165">
      <pivotArea dataOnly="0" labelOnly="1" outline="0" fieldPosition="0">
        <references count="3">
          <reference field="0" count="1" selected="0">
            <x v="5"/>
          </reference>
          <reference field="1" count="1">
            <x v="25"/>
          </reference>
          <reference field="2" count="1" selected="0">
            <x v="5"/>
          </reference>
        </references>
      </pivotArea>
    </format>
    <format dxfId="164">
      <pivotArea dataOnly="0" labelOnly="1" outline="0" fieldPosition="0">
        <references count="3">
          <reference field="0" count="1" selected="0">
            <x v="7"/>
          </reference>
          <reference field="1" count="1">
            <x v="22"/>
          </reference>
          <reference field="2" count="1" selected="0">
            <x v="7"/>
          </reference>
        </references>
      </pivotArea>
    </format>
    <format dxfId="163">
      <pivotArea dataOnly="0" labelOnly="1" outline="0" fieldPosition="0">
        <references count="3">
          <reference field="0" count="1" selected="0">
            <x v="8"/>
          </reference>
          <reference field="1" count="1">
            <x v="21"/>
          </reference>
          <reference field="2" count="1" selected="0">
            <x v="8"/>
          </reference>
        </references>
      </pivotArea>
    </format>
    <format dxfId="162">
      <pivotArea dataOnly="0" labelOnly="1" outline="0" fieldPosition="0">
        <references count="3">
          <reference field="0" count="1" selected="0">
            <x v="9"/>
          </reference>
          <reference field="1" count="1">
            <x v="34"/>
          </reference>
          <reference field="2" count="1" selected="0">
            <x v="9"/>
          </reference>
        </references>
      </pivotArea>
    </format>
    <format dxfId="161">
      <pivotArea dataOnly="0" labelOnly="1" outline="0" fieldPosition="0">
        <references count="3">
          <reference field="0" count="1" selected="0">
            <x v="10"/>
          </reference>
          <reference field="1" count="1">
            <x v="35"/>
          </reference>
          <reference field="2" count="1" selected="0">
            <x v="10"/>
          </reference>
        </references>
      </pivotArea>
    </format>
    <format dxfId="160">
      <pivotArea dataOnly="0" labelOnly="1" outline="0" fieldPosition="0">
        <references count="3">
          <reference field="0" count="1" selected="0">
            <x v="11"/>
          </reference>
          <reference field="1" count="1">
            <x v="36"/>
          </reference>
          <reference field="2" count="1" selected="0">
            <x v="11"/>
          </reference>
        </references>
      </pivotArea>
    </format>
    <format dxfId="159">
      <pivotArea dataOnly="0" labelOnly="1" outline="0" fieldPosition="0">
        <references count="3">
          <reference field="0" count="1" selected="0">
            <x v="12"/>
          </reference>
          <reference field="1" count="1">
            <x v="37"/>
          </reference>
          <reference field="2" count="1" selected="0">
            <x v="12"/>
          </reference>
        </references>
      </pivotArea>
    </format>
    <format dxfId="158">
      <pivotArea dataOnly="0" labelOnly="1" outline="0" fieldPosition="0">
        <references count="3">
          <reference field="0" count="1" selected="0">
            <x v="13"/>
          </reference>
          <reference field="1" count="1">
            <x v="38"/>
          </reference>
          <reference field="2" count="1" selected="0">
            <x v="13"/>
          </reference>
        </references>
      </pivotArea>
    </format>
    <format dxfId="157">
      <pivotArea dataOnly="0" labelOnly="1" outline="0" fieldPosition="0">
        <references count="3">
          <reference field="0" count="1" selected="0">
            <x v="14"/>
          </reference>
          <reference field="1" count="1">
            <x v="39"/>
          </reference>
          <reference field="2" count="1" selected="0">
            <x v="14"/>
          </reference>
        </references>
      </pivotArea>
    </format>
    <format dxfId="156">
      <pivotArea dataOnly="0" labelOnly="1" outline="0" fieldPosition="0">
        <references count="3">
          <reference field="0" count="1" selected="0">
            <x v="15"/>
          </reference>
          <reference field="1" count="1">
            <x v="28"/>
          </reference>
          <reference field="2" count="1" selected="0">
            <x v="15"/>
          </reference>
        </references>
      </pivotArea>
    </format>
    <format dxfId="155">
      <pivotArea dataOnly="0" labelOnly="1" outline="0" fieldPosition="0">
        <references count="3">
          <reference field="0" count="1" selected="0">
            <x v="16"/>
          </reference>
          <reference field="1" count="1">
            <x v="29"/>
          </reference>
          <reference field="2" count="1" selected="0">
            <x v="16"/>
          </reference>
        </references>
      </pivotArea>
    </format>
    <format dxfId="154">
      <pivotArea dataOnly="0" labelOnly="1" outline="0" fieldPosition="0">
        <references count="3">
          <reference field="0" count="1" selected="0">
            <x v="17"/>
          </reference>
          <reference field="1" count="1">
            <x v="14"/>
          </reference>
          <reference field="2" count="1" selected="0">
            <x v="17"/>
          </reference>
        </references>
      </pivotArea>
    </format>
    <format dxfId="153">
      <pivotArea dataOnly="0" labelOnly="1" outline="0" fieldPosition="0">
        <references count="3">
          <reference field="0" count="1" selected="0">
            <x v="20"/>
          </reference>
          <reference field="1" count="1">
            <x v="42"/>
          </reference>
          <reference field="2" count="1" selected="0">
            <x v="20"/>
          </reference>
        </references>
      </pivotArea>
    </format>
    <format dxfId="152">
      <pivotArea dataOnly="0" labelOnly="1" outline="0" fieldPosition="0">
        <references count="3">
          <reference field="0" count="1" selected="0">
            <x v="22"/>
          </reference>
          <reference field="1" count="1">
            <x v="45"/>
          </reference>
          <reference field="2" count="1" selected="0">
            <x v="22"/>
          </reference>
        </references>
      </pivotArea>
    </format>
    <format dxfId="151">
      <pivotArea dataOnly="0" labelOnly="1" outline="0" fieldPosition="0">
        <references count="3">
          <reference field="0" count="1" selected="0">
            <x v="25"/>
          </reference>
          <reference field="1" count="1">
            <x v="10"/>
          </reference>
          <reference field="2" count="1" selected="0">
            <x v="25"/>
          </reference>
        </references>
      </pivotArea>
    </format>
    <format dxfId="150">
      <pivotArea dataOnly="0" labelOnly="1" outline="0" fieldPosition="0">
        <references count="3">
          <reference field="0" count="1" selected="0">
            <x v="28"/>
          </reference>
          <reference field="1" count="1">
            <x v="8"/>
          </reference>
          <reference field="2" count="1" selected="0">
            <x v="28"/>
          </reference>
        </references>
      </pivotArea>
    </format>
    <format dxfId="149">
      <pivotArea dataOnly="0" labelOnly="1" outline="0" fieldPosition="0">
        <references count="3">
          <reference field="0" count="1" selected="0">
            <x v="29"/>
          </reference>
          <reference field="1" count="1">
            <x v="9"/>
          </reference>
          <reference field="2" count="1" selected="0">
            <x v="29"/>
          </reference>
        </references>
      </pivotArea>
    </format>
    <format dxfId="148">
      <pivotArea dataOnly="0" labelOnly="1" outline="0" fieldPosition="0">
        <references count="3">
          <reference field="0" count="1" selected="0">
            <x v="30"/>
          </reference>
          <reference field="1" count="1">
            <x v="7"/>
          </reference>
          <reference field="2" count="1" selected="0">
            <x v="30"/>
          </reference>
        </references>
      </pivotArea>
    </format>
    <format dxfId="147">
      <pivotArea dataOnly="0" labelOnly="1" outline="0" fieldPosition="0">
        <references count="3">
          <reference field="0" count="1" selected="0">
            <x v="31"/>
          </reference>
          <reference field="1" count="1">
            <x v="32"/>
          </reference>
          <reference field="2" count="1" selected="0">
            <x v="31"/>
          </reference>
        </references>
      </pivotArea>
    </format>
    <format dxfId="146">
      <pivotArea dataOnly="0" labelOnly="1" outline="0" fieldPosition="0">
        <references count="3">
          <reference field="0" count="1" selected="0">
            <x v="32"/>
          </reference>
          <reference field="1" count="1">
            <x v="33"/>
          </reference>
          <reference field="2" count="1" selected="0">
            <x v="32"/>
          </reference>
        </references>
      </pivotArea>
    </format>
    <format dxfId="145">
      <pivotArea dataOnly="0" labelOnly="1" outline="0" fieldPosition="0">
        <references count="3">
          <reference field="0" count="1" selected="0">
            <x v="33"/>
          </reference>
          <reference field="1" count="1">
            <x v="3"/>
          </reference>
          <reference field="2" count="1" selected="0">
            <x v="33"/>
          </reference>
        </references>
      </pivotArea>
    </format>
    <format dxfId="144">
      <pivotArea dataOnly="0" labelOnly="1" outline="0" fieldPosition="0">
        <references count="3">
          <reference field="0" count="1" selected="0">
            <x v="34"/>
          </reference>
          <reference field="1" count="1">
            <x v="4"/>
          </reference>
          <reference field="2" count="1" selected="0">
            <x v="34"/>
          </reference>
        </references>
      </pivotArea>
    </format>
    <format dxfId="143">
      <pivotArea dataOnly="0" labelOnly="1" outline="0" fieldPosition="0">
        <references count="3">
          <reference field="0" count="1" selected="0">
            <x v="35"/>
          </reference>
          <reference field="1" count="1">
            <x v="40"/>
          </reference>
          <reference field="2" count="1" selected="0">
            <x v="35"/>
          </reference>
        </references>
      </pivotArea>
    </format>
    <format dxfId="142">
      <pivotArea dataOnly="0" labelOnly="1" outline="0" fieldPosition="0">
        <references count="3">
          <reference field="0" count="1" selected="0">
            <x v="36"/>
          </reference>
          <reference field="1" count="1">
            <x v="41"/>
          </reference>
          <reference field="2" count="1" selected="0">
            <x v="36"/>
          </reference>
        </references>
      </pivotArea>
    </format>
    <format dxfId="141">
      <pivotArea dataOnly="0" labelOnly="1" outline="0" fieldPosition="0">
        <references count="3">
          <reference field="0" count="1" selected="0">
            <x v="37"/>
          </reference>
          <reference field="1" count="1">
            <x v="43"/>
          </reference>
          <reference field="2" count="1" selected="0">
            <x v="37"/>
          </reference>
        </references>
      </pivotArea>
    </format>
    <format dxfId="140">
      <pivotArea dataOnly="0" labelOnly="1" outline="0" fieldPosition="0">
        <references count="3">
          <reference field="0" count="1" selected="0">
            <x v="38"/>
          </reference>
          <reference field="1" count="1">
            <x v="44"/>
          </reference>
          <reference field="2" count="1" selected="0">
            <x v="38"/>
          </reference>
        </references>
      </pivotArea>
    </format>
    <format dxfId="139">
      <pivotArea dataOnly="0" labelOnly="1" outline="0" fieldPosition="0">
        <references count="3">
          <reference field="0" count="1" selected="0">
            <x v="39"/>
          </reference>
          <reference field="1" count="1">
            <x v="26"/>
          </reference>
          <reference field="2" count="1" selected="0">
            <x v="39"/>
          </reference>
        </references>
      </pivotArea>
    </format>
    <format dxfId="138">
      <pivotArea dataOnly="0" labelOnly="1" outline="0" fieldPosition="0">
        <references count="3">
          <reference field="0" count="1" selected="0">
            <x v="40"/>
          </reference>
          <reference field="1" count="1">
            <x v="23"/>
          </reference>
          <reference field="2" count="1" selected="0">
            <x v="40"/>
          </reference>
        </references>
      </pivotArea>
    </format>
    <format dxfId="137">
      <pivotArea dataOnly="0" labelOnly="1" outline="0" fieldPosition="0">
        <references count="3">
          <reference field="0" count="1" selected="0">
            <x v="43"/>
          </reference>
          <reference field="1" count="1">
            <x v="16"/>
          </reference>
          <reference field="2" count="1" selected="0">
            <x v="42"/>
          </reference>
        </references>
      </pivotArea>
    </format>
    <format dxfId="136">
      <pivotArea dataOnly="0" labelOnly="1" outline="0" fieldPosition="0">
        <references count="3">
          <reference field="0" count="1" selected="0">
            <x v="44"/>
          </reference>
          <reference field="1" count="1">
            <x v="17"/>
          </reference>
          <reference field="2" count="1" selected="0">
            <x v="43"/>
          </reference>
        </references>
      </pivotArea>
    </format>
    <format dxfId="135">
      <pivotArea dataOnly="0" labelOnly="1" outline="0" fieldPosition="0">
        <references count="3">
          <reference field="0" count="1" selected="0">
            <x v="45"/>
          </reference>
          <reference field="1" count="1">
            <x v="18"/>
          </reference>
          <reference field="2" count="1" selected="0">
            <x v="44"/>
          </reference>
        </references>
      </pivotArea>
    </format>
    <format dxfId="134">
      <pivotArea dataOnly="0" labelOnly="1" outline="0" fieldPosition="0">
        <references count="3">
          <reference field="0" count="1" selected="0">
            <x v="47"/>
          </reference>
          <reference field="1" count="1">
            <x v="13"/>
          </reference>
          <reference field="2" count="1" selected="0">
            <x v="46"/>
          </reference>
        </references>
      </pivotArea>
    </format>
    <format dxfId="133">
      <pivotArea dataOnly="0" labelOnly="1" outline="0" fieldPosition="0">
        <references count="3">
          <reference field="0" count="1" selected="0">
            <x v="49"/>
          </reference>
          <reference field="1" count="1">
            <x v="0"/>
          </reference>
          <reference field="2" count="1" selected="0">
            <x v="48"/>
          </reference>
        </references>
      </pivotArea>
    </format>
    <format dxfId="132">
      <pivotArea dataOnly="0" labelOnly="1" outline="0" fieldPosition="0">
        <references count="3">
          <reference field="0" count="1" selected="0">
            <x v="50"/>
          </reference>
          <reference field="1" count="1">
            <x v="27"/>
          </reference>
          <reference field="2" count="1" selected="0">
            <x v="49"/>
          </reference>
        </references>
      </pivotArea>
    </format>
    <format dxfId="131">
      <pivotArea dataOnly="0" labelOnly="1" outline="0" fieldPosition="0">
        <references count="3">
          <reference field="0" count="1" selected="0">
            <x v="51"/>
          </reference>
          <reference field="1" count="1">
            <x v="11"/>
          </reference>
          <reference field="2" count="1" selected="0">
            <x v="50"/>
          </reference>
        </references>
      </pivotArea>
    </format>
    <format dxfId="130">
      <pivotArea dataOnly="0" labelOnly="1" outline="0" fieldPosition="0">
        <references count="3">
          <reference field="0" count="1" selected="0">
            <x v="52"/>
          </reference>
          <reference field="1" count="1">
            <x v="2"/>
          </reference>
          <reference field="2" count="1" selected="0">
            <x v="51"/>
          </reference>
        </references>
      </pivotArea>
    </format>
    <format dxfId="129">
      <pivotArea dataOnly="0" labelOnly="1" outline="0" fieldPosition="0">
        <references count="3">
          <reference field="0" count="1" selected="0">
            <x v="53"/>
          </reference>
          <reference field="1" count="1">
            <x v="1"/>
          </reference>
          <reference field="2" count="1" selected="0">
            <x v="52"/>
          </reference>
        </references>
      </pivotArea>
    </format>
    <format dxfId="128">
      <pivotArea dataOnly="0" labelOnly="1" outline="0" fieldPosition="0">
        <references count="3">
          <reference field="0" count="1" selected="0">
            <x v="54"/>
          </reference>
          <reference field="1" count="1">
            <x v="24"/>
          </reference>
          <reference field="2" count="1" selected="0">
            <x v="53"/>
          </reference>
        </references>
      </pivotArea>
    </format>
    <format dxfId="1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2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2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1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1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1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1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1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1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0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9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9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9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9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9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9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8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8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6">
      <pivotArea type="all" dataOnly="0" outline="0" fieldPosition="0"/>
    </format>
    <format dxfId="85">
      <pivotArea type="all" dataOnly="0" outline="0" fieldPosition="0"/>
    </format>
    <format dxfId="84">
      <pivotArea type="all" dataOnly="0" outline="0" fieldPosition="0"/>
    </format>
    <format dxfId="83">
      <pivotArea dataOnly="0" labelOnly="1" outline="0" fieldPosition="0">
        <references count="1">
          <reference field="0" count="3">
            <x v="0"/>
            <x v="1"/>
            <x v="2"/>
          </reference>
        </references>
      </pivotArea>
    </format>
    <format dxfId="82">
      <pivotArea dataOnly="0" labelOnly="1" outline="0" fieldPosition="0">
        <references count="2">
          <reference field="0" count="1" selected="0">
            <x v="0"/>
          </reference>
          <reference field="2" count="1">
            <x v="0"/>
          </reference>
        </references>
      </pivotArea>
    </format>
    <format dxfId="81">
      <pivotArea dataOnly="0" labelOnly="1" outline="0" fieldPosition="0">
        <references count="2">
          <reference field="0" count="1" selected="0">
            <x v="1"/>
          </reference>
          <reference field="2" count="1">
            <x v="1"/>
          </reference>
        </references>
      </pivotArea>
    </format>
    <format dxfId="80">
      <pivotArea dataOnly="0" labelOnly="1" outline="0" fieldPosition="0">
        <references count="2">
          <reference field="0" count="1" selected="0">
            <x v="2"/>
          </reference>
          <reference field="2" count="1">
            <x v="2"/>
          </reference>
        </references>
      </pivotArea>
    </format>
    <format dxfId="79">
      <pivotArea dataOnly="0" labelOnly="1" outline="0" fieldPosition="0">
        <references count="3">
          <reference field="0" count="1" selected="0">
            <x v="1"/>
          </reference>
          <reference field="1" count="1">
            <x v="5"/>
          </reference>
          <reference field="2" count="1" selected="0">
            <x v="1"/>
          </reference>
        </references>
      </pivotArea>
    </format>
    <format dxfId="78">
      <pivotArea dataOnly="0" labelOnly="1" outline="0" fieldPosition="0">
        <references count="3">
          <reference field="0" count="1" selected="0">
            <x v="2"/>
          </reference>
          <reference field="1" count="1">
            <x v="6"/>
          </reference>
          <reference field="2" count="1" selected="0">
            <x v="2"/>
          </reference>
        </references>
      </pivotArea>
    </format>
    <format dxfId="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5">
      <pivotArea dataOnly="0" labelOnly="1" outline="0" fieldPosition="0">
        <references count="1">
          <reference field="1" count="0"/>
        </references>
      </pivotArea>
    </format>
    <format dxfId="74">
      <pivotArea dataOnly="0" labelOnly="1" outline="0" fieldPosition="0">
        <references count="1">
          <reference field="0" count="3">
            <x v="65"/>
            <x v="66"/>
            <x v="67"/>
          </reference>
        </references>
      </pivotArea>
    </format>
    <format dxfId="73">
      <pivotArea dataOnly="0" labelOnly="1" outline="0" fieldPosition="0">
        <references count="1">
          <reference field="0" count="1">
            <x v="67"/>
          </reference>
        </references>
      </pivotArea>
    </format>
    <format dxfId="72">
      <pivotArea dataOnly="0" labelOnly="1" outline="0" fieldPosition="0">
        <references count="1">
          <reference field="0" count="1">
            <x v="67"/>
          </reference>
        </references>
      </pivotArea>
    </format>
    <format dxfId="71">
      <pivotArea dataOnly="0" labelOnly="1" outline="0" fieldPosition="0">
        <references count="1">
          <reference field="0" count="1">
            <x v="41"/>
          </reference>
        </references>
      </pivotArea>
    </format>
    <format dxfId="70">
      <pivotArea dataOnly="0" outline="0" fieldPosition="0">
        <references count="1">
          <reference field="0" count="10">
            <x v="55"/>
            <x v="56"/>
            <x v="57"/>
            <x v="58"/>
            <x v="59"/>
            <x v="60"/>
            <x v="61"/>
            <x v="62"/>
            <x v="63"/>
            <x v="64"/>
          </reference>
        </references>
      </pivotArea>
    </format>
    <format dxfId="69">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305</v>
      </c>
      <c r="J1" s="250" t="s">
        <v>304</v>
      </c>
      <c r="K1" s="250" t="s">
        <v>301</v>
      </c>
      <c r="L1" s="250" t="s">
        <v>302</v>
      </c>
      <c r="M1" s="250" t="s">
        <v>293</v>
      </c>
      <c r="N1" s="250" t="s">
        <v>295</v>
      </c>
      <c r="O1" s="251" t="s">
        <v>298</v>
      </c>
      <c r="P1" s="251" t="s">
        <v>303</v>
      </c>
      <c r="Q1" s="250" t="s">
        <v>299</v>
      </c>
      <c r="R1" s="250" t="s">
        <v>300</v>
      </c>
    </row>
    <row r="2" spans="1:18" s="51" customFormat="1" ht="30" customHeight="1" x14ac:dyDescent="0.25">
      <c r="A2" s="121"/>
      <c r="B2" s="121"/>
      <c r="C2" s="121"/>
      <c r="D2" s="121"/>
      <c r="E2" s="121"/>
      <c r="F2" s="121"/>
      <c r="G2" s="121"/>
      <c r="H2" s="131"/>
      <c r="I2" s="252">
        <f ca="1">SUMPRODUCT(SUBTOTAL(103,OFFSET(I2,2,))*(I3:I14&gt;0))</f>
        <v>3</v>
      </c>
      <c r="J2" s="253"/>
      <c r="K2" s="254">
        <f ca="1">SUBTOTAL(9,K3:K14)</f>
        <v>56315.616167984204</v>
      </c>
      <c r="L2" s="254">
        <f t="shared" ref="L2:R2" si="0">SUBTOTAL(9,L3:L14)</f>
        <v>78515</v>
      </c>
      <c r="M2" s="254">
        <f t="shared" si="0"/>
        <v>21800</v>
      </c>
      <c r="N2" s="254">
        <f t="shared" si="0"/>
        <v>585</v>
      </c>
      <c r="O2" s="254">
        <f t="shared" si="0"/>
        <v>3430</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294</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5234.2828346508704</v>
      </c>
      <c r="J5" s="130" t="s">
        <v>267</v>
      </c>
      <c r="K5" s="247">
        <f ca="1">'Tổng Đơn'!A1-SUM('Hàng tặng TVP'!$K$3:$K4)</f>
        <v>12716.616167984204</v>
      </c>
      <c r="L5" s="248">
        <f t="shared" si="2"/>
        <v>7482.3333333333339</v>
      </c>
      <c r="M5" s="41">
        <v>1800</v>
      </c>
      <c r="N5" s="41">
        <f>85+100+100</f>
        <v>285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10713.515394764079</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49193.899999999994</v>
      </c>
      <c r="O4" s="65">
        <f ca="1">SUBTOTAL(9,O5:O8)</f>
        <v>187.77999999999992</v>
      </c>
      <c r="P4" s="98">
        <f>SUBTOTAL(9,P5:P8)</f>
        <v>31.500000000000004</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si="0"/>
        <v>11.6</v>
      </c>
      <c r="AR4" s="40">
        <f t="shared" ca="1" si="0"/>
        <v>17.05</v>
      </c>
      <c r="AS4" s="40">
        <f t="shared" si="0"/>
        <v>0</v>
      </c>
      <c r="AT4" s="40">
        <f t="shared" si="0"/>
        <v>0</v>
      </c>
      <c r="AU4" s="40">
        <f t="shared" si="0"/>
        <v>0</v>
      </c>
      <c r="AV4" s="40">
        <f t="shared" si="0"/>
        <v>0</v>
      </c>
      <c r="AX4" s="101">
        <f>SUBTOTAL(9,AX5:AX8)</f>
        <v>0</v>
      </c>
    </row>
    <row r="5" spans="1:50" ht="35.25" customHeight="1" x14ac:dyDescent="0.25">
      <c r="A5" s="82">
        <f ca="1">J5*O5</f>
        <v>3142.4899486432719</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5845</v>
      </c>
      <c r="O5" s="192">
        <f ca="1">F5-SUM(Q5:AV5)-P5</f>
        <v>96.1</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v>4.5</v>
      </c>
      <c r="AR5" s="193">
        <f ca="1">SUMIFS('Tổng Đơn'!$F:$F,'Tổng Đơn'!$B:$B,$C5)</f>
        <v>3.5</v>
      </c>
      <c r="AS5" s="193">
        <v>0</v>
      </c>
      <c r="AT5" s="193">
        <v>0</v>
      </c>
      <c r="AU5" s="193">
        <v>0</v>
      </c>
      <c r="AV5" s="193">
        <v>0</v>
      </c>
      <c r="AX5" s="82">
        <f>AW5*G5</f>
        <v>0</v>
      </c>
    </row>
    <row r="6" spans="1:50" ht="35.25" customHeight="1" x14ac:dyDescent="0.25">
      <c r="A6" s="82">
        <f t="shared" ref="A6:A8" ca="1" si="3">J6*O6</f>
        <v>1441.0143249740406</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6248.9</v>
      </c>
      <c r="O6" s="192">
        <f ca="1">F6-SUM(Q6:AV6)-P6</f>
        <v>26.680000000000003</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v>3.6</v>
      </c>
      <c r="AR6" s="193">
        <f ca="1">SUMIFS('Tổng Đơn'!$F:$F,'Tổng Đơn'!$B:$B,$C6)</f>
        <v>6.55</v>
      </c>
      <c r="AS6" s="193">
        <v>0</v>
      </c>
      <c r="AT6" s="193">
        <v>0</v>
      </c>
      <c r="AU6" s="193">
        <v>0</v>
      </c>
      <c r="AV6" s="193">
        <v>0</v>
      </c>
      <c r="AX6" s="82">
        <f t="shared" ref="AX6:AX7" si="7">AW6*G6</f>
        <v>0</v>
      </c>
    </row>
    <row r="7" spans="1:50" ht="35.25" customHeight="1" x14ac:dyDescent="0.25">
      <c r="A7" s="82">
        <f t="shared" ca="1" si="3"/>
        <v>215.01112114676536</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13558.499999999998</v>
      </c>
      <c r="O7" s="192">
        <f t="shared" ref="O7:O8" ca="1" si="9">F7-SUM(Q7:AV7)-P7</f>
        <v>4.9999999999999289</v>
      </c>
      <c r="P7" s="194">
        <f>9.35+1.55+0.05+5+2.7+3.8</f>
        <v>22.450000000000003</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v>3.5</v>
      </c>
      <c r="AR7" s="193">
        <f ca="1">SUMIFS('Tổng Đơn'!$F:$F,'Tổng Đơn'!$B:$B,$C7)</f>
        <v>7</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v>0</v>
      </c>
      <c r="AR8" s="6">
        <f ca="1">SUMIFS('Tổng Đơn'!$F:$F,'Tổng Đơn'!$B:$B,$C8)</f>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292</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43" priority="12">
      <formula>($O6/$O6)&lt;=1/4</formula>
    </cfRule>
  </conditionalFormatting>
  <conditionalFormatting sqref="C5:C7">
    <cfRule type="expression" dxfId="442" priority="13">
      <formula>($O5/$F5)&lt;=1/4</formula>
    </cfRule>
  </conditionalFormatting>
  <conditionalFormatting sqref="C8:C9">
    <cfRule type="expression" dxfId="441" priority="3">
      <formula>($O8/$O8)&lt;=1/4</formula>
    </cfRule>
  </conditionalFormatting>
  <conditionalFormatting sqref="C8:C9">
    <cfRule type="expression" dxfId="440"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F5"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10958.940582422272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42333</v>
      </c>
      <c r="N4" s="39">
        <f ca="1">SUBTOTAL(9,N5:N24)</f>
        <v>341</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si="0"/>
        <v>1</v>
      </c>
      <c r="AR4" s="40">
        <f t="shared" ca="1" si="0"/>
        <v>1</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f ca="1">SUMIFS('Tổng Đơn'!$F:$F,'Tổng Đơn'!$B:$B,$C5)</f>
        <v>0</v>
      </c>
      <c r="AS5" s="41">
        <v>0</v>
      </c>
      <c r="AT5" s="41">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v>0</v>
      </c>
      <c r="AR6" s="41">
        <f ca="1">SUMIFS('Tổng Đơn'!$F:$F,'Tổng Đơn'!$B:$B,$C6)</f>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f>SUMIFS('Tổng Đơn'!$F:$F,'Tổng Đơn'!$B:$B,$C7)</f>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v>0</v>
      </c>
      <c r="AR8" s="41">
        <f ca="1">SUMIFS('Tổng Đơn'!$F:$F,'Tổng Đơn'!$B:$B,$C8)</f>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f>SUMIFS('Tổng Đơn'!$F:$F,'Tổng Đơn'!$B:$B,$C9)</f>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f ca="1">SUMIFS('Tổng Đơn'!$F:$F,'Tổng Đơn'!$B:$B,$C10)</f>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826</v>
      </c>
      <c r="N11" s="91">
        <f t="shared" ca="1" si="7"/>
        <v>29</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f ca="1">SUMIFS('Tổng Đơn'!$F:$F,'Tổng Đơn'!$B:$B,$C11)</f>
        <v>1</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f ca="1">SUMIFS('Tổng Đơn'!$F:$F,'Tổng Đơn'!$B:$B,$C12)</f>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f ca="1">SUMIFS('Tổng Đơn'!$F:$F,'Tổng Đơn'!$B:$B,$C13)</f>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f ca="1">SUMIFS('Tổng Đơn'!$F:$F,'Tổng Đơn'!$B:$B,$C14)</f>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v>0</v>
      </c>
      <c r="AR15" s="41">
        <f ca="1">SUMIFS('Tổng Đơn'!$F:$F,'Tổng Đơn'!$B:$B,$C15)</f>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f ca="1">SUMIFS('Tổng Đơn'!$F:$F,'Tổng Đơn'!$B:$B,$C16)</f>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f ca="1">SUMIFS('Tổng Đơn'!$F:$F,'Tổng Đơn'!$B:$B,$C17)</f>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f ca="1">SUMIFS('Tổng Đơn'!$F:$F,'Tổng Đơn'!$B:$B,$C18)</f>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v>0</v>
      </c>
      <c r="AR19" s="41">
        <f ca="1">SUMIFS('Tổng Đơn'!$F:$F,'Tổng Đơn'!$B:$B,$C19)</f>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f ca="1">SUMIFS('Tổng Đơn'!$F:$F,'Tổng Đơn'!$B:$B,$C20)</f>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f ca="1">SUMIFS('Tổng Đơn'!$F:$F,'Tổng Đơn'!$B:$B,$C21)</f>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v>0</v>
      </c>
      <c r="AR22" s="41">
        <f ca="1">SUMIFS('Tổng Đơn'!$F:$F,'Tổng Đơn'!$B:$B,$C22)</f>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f ca="1">SUMIFS('Tổng Đơn'!$F:$F,'Tổng Đơn'!$B:$B,$C23)</f>
        <v>0</v>
      </c>
      <c r="AS23" s="41">
        <v>0</v>
      </c>
      <c r="AT23" s="41">
        <v>0</v>
      </c>
      <c r="AU23" s="41">
        <v>0</v>
      </c>
      <c r="AV23" s="41">
        <v>0</v>
      </c>
      <c r="AX23" s="82">
        <f t="shared" si="8"/>
        <v>0</v>
      </c>
    </row>
    <row r="24" spans="1:50" ht="18.75" x14ac:dyDescent="0.25">
      <c r="A24" s="82">
        <f t="shared" ca="1" si="1"/>
        <v>822.76440460947504</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2584</v>
      </c>
      <c r="N24" s="91">
        <f t="shared" ca="1" si="7"/>
        <v>13</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v>1</v>
      </c>
      <c r="AR24" s="41">
        <f ca="1">SUMIFS('Tổng Đơn'!$F:$F,'Tổng Đơn'!$B:$B,$C24)</f>
        <v>0</v>
      </c>
      <c r="AS24" s="41">
        <v>0</v>
      </c>
      <c r="AT24" s="41">
        <v>0</v>
      </c>
      <c r="AU24" s="41">
        <v>0</v>
      </c>
      <c r="AV24" s="41">
        <v>0</v>
      </c>
      <c r="AX24" s="82">
        <f t="shared" si="8"/>
        <v>0</v>
      </c>
    </row>
  </sheetData>
  <autoFilter ref="B4:AW24"/>
  <mergeCells count="1">
    <mergeCell ref="B1:L1"/>
  </mergeCells>
  <conditionalFormatting sqref="C5:C24">
    <cfRule type="expression" dxfId="43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P24" sqref="P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19580.49826021001</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73459</v>
      </c>
      <c r="O4" s="65">
        <f ca="1">SUBTOTAL(9,O5:O27)</f>
        <v>552</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si="0"/>
        <v>24</v>
      </c>
      <c r="AR4" s="40">
        <f t="shared" ca="1" si="0"/>
        <v>10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2158.4118865503833</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11655</v>
      </c>
      <c r="O5" s="94">
        <f t="shared" ref="O5:O24" ca="1" si="8">F5-SUM(Q5:AV5)-P5</f>
        <v>67</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v>5</v>
      </c>
      <c r="AR5" s="37">
        <f ca="1">SUMIFS('Tổng Đơn'!$F:$F,'Tổng Đơn'!$B:$B,$C5)</f>
        <v>1</v>
      </c>
      <c r="AS5" s="37">
        <v>0</v>
      </c>
      <c r="AT5" s="37">
        <v>0</v>
      </c>
      <c r="AU5" s="37">
        <v>0</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v>0</v>
      </c>
      <c r="AR6" s="37">
        <f ca="1">SUMIFS('Tổng Đơn'!$F:$F,'Tổng Đơn'!$B:$B,$C6)</f>
        <v>0</v>
      </c>
      <c r="AS6" s="37">
        <v>0</v>
      </c>
      <c r="AT6" s="37">
        <v>0</v>
      </c>
      <c r="AU6" s="37">
        <v>0</v>
      </c>
      <c r="AV6" s="37">
        <v>0</v>
      </c>
      <c r="AW6" s="82">
        <v>0</v>
      </c>
      <c r="AX6" s="82">
        <f t="shared" si="9"/>
        <v>0</v>
      </c>
    </row>
    <row r="7" spans="1:50" ht="18.75" x14ac:dyDescent="0.25">
      <c r="A7" s="82">
        <f t="shared" ca="1" si="2"/>
        <v>830.9451115006807</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5054</v>
      </c>
      <c r="O7" s="94">
        <f t="shared" ca="1" si="8"/>
        <v>25</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v>0</v>
      </c>
      <c r="AR7" s="37">
        <f ca="1">SUMIFS('Tổng Đơn'!$F:$F,'Tổng Đơn'!$B:$B,$C7)</f>
        <v>1</v>
      </c>
      <c r="AS7" s="37">
        <v>0</v>
      </c>
      <c r="AT7" s="37">
        <v>0</v>
      </c>
      <c r="AU7" s="37">
        <v>0</v>
      </c>
      <c r="AV7" s="37">
        <v>0</v>
      </c>
      <c r="AW7" s="82">
        <v>0</v>
      </c>
      <c r="AX7" s="82">
        <f t="shared" si="9"/>
        <v>0</v>
      </c>
    </row>
    <row r="8" spans="1:50" ht="18.75" x14ac:dyDescent="0.25">
      <c r="A8" s="82">
        <f t="shared" ca="1" si="2"/>
        <v>1309.058144887226</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7065</v>
      </c>
      <c r="O8" s="94">
        <f t="shared" ca="1" si="8"/>
        <v>32</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v>2</v>
      </c>
      <c r="AR8" s="37">
        <f ca="1">SUMIFS('Tổng Đơn'!$F:$F,'Tổng Đơn'!$B:$B,$C8)</f>
        <v>1</v>
      </c>
      <c r="AS8" s="37">
        <v>0</v>
      </c>
      <c r="AT8" s="37">
        <v>0</v>
      </c>
      <c r="AU8" s="37">
        <v>0</v>
      </c>
      <c r="AV8" s="37">
        <v>0</v>
      </c>
      <c r="AW8" s="82">
        <v>0</v>
      </c>
      <c r="AX8" s="82">
        <f t="shared" si="9"/>
        <v>0</v>
      </c>
    </row>
    <row r="9" spans="1:50" ht="18.75" x14ac:dyDescent="0.25">
      <c r="A9" s="82">
        <f t="shared" ca="1" si="2"/>
        <v>1380.6472621857463</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840</v>
      </c>
      <c r="O9" s="94">
        <f t="shared" ca="1" si="8"/>
        <v>36</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v>2</v>
      </c>
      <c r="AR9" s="37">
        <f ca="1">SUMIFS('Tổng Đơn'!$F:$F,'Tổng Đơn'!$B:$B,$C9)</f>
        <v>2</v>
      </c>
      <c r="AS9" s="37">
        <v>0</v>
      </c>
      <c r="AT9" s="37">
        <v>0</v>
      </c>
      <c r="AU9" s="37">
        <v>0</v>
      </c>
      <c r="AV9" s="37">
        <v>0</v>
      </c>
      <c r="AW9" s="82">
        <v>0</v>
      </c>
      <c r="AX9" s="82">
        <f t="shared" si="9"/>
        <v>0</v>
      </c>
    </row>
    <row r="10" spans="1:50" ht="18.75" x14ac:dyDescent="0.25">
      <c r="A10" s="82">
        <f t="shared" ca="1" si="2"/>
        <v>905.09098298843378</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3150</v>
      </c>
      <c r="O10" s="94">
        <f t="shared" ca="1" si="8"/>
        <v>30</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v>1</v>
      </c>
      <c r="AR10" s="37">
        <f ca="1">SUMIFS('Tổng Đơn'!$F:$F,'Tổng Đơn'!$B:$B,$C10)</f>
        <v>0</v>
      </c>
      <c r="AS10" s="37">
        <v>0</v>
      </c>
      <c r="AT10" s="37">
        <v>0</v>
      </c>
      <c r="AU10" s="37">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SUMIFS('Tổng Đơn'!$F:$F,'Tổng Đơn'!$B:$B,$C12)</f>
        <v>0</v>
      </c>
      <c r="AS12" s="37">
        <v>0</v>
      </c>
      <c r="AT12" s="37">
        <v>0</v>
      </c>
      <c r="AU12" s="37">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v>0</v>
      </c>
      <c r="AR13" s="37">
        <f ca="1">SUMIFS('Tổng Đơn'!$F:$F,'Tổng Đơn'!$B:$B,$C13)</f>
        <v>0</v>
      </c>
      <c r="AS13" s="37">
        <v>0</v>
      </c>
      <c r="AT13" s="37">
        <v>0</v>
      </c>
      <c r="AU13" s="37">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f ca="1">SUMIFS('Tổng Đơn'!$F:$F,'Tổng Đơn'!$B:$B,$C14)</f>
        <v>0</v>
      </c>
      <c r="AS14" s="37">
        <v>0</v>
      </c>
      <c r="AT14" s="37">
        <v>0</v>
      </c>
      <c r="AU14" s="37">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f ca="1">SUMIFS('Tổng Đơn'!$F:$F,'Tổng Đơn'!$B:$B,$C15)</f>
        <v>0</v>
      </c>
      <c r="AS15" s="37">
        <v>0</v>
      </c>
      <c r="AT15" s="37">
        <v>0</v>
      </c>
      <c r="AU15" s="37">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f ca="1">SUMIFS('Tổng Đơn'!$F:$F,'Tổng Đơn'!$B:$B,$C16)</f>
        <v>0</v>
      </c>
      <c r="AS16" s="37">
        <v>0</v>
      </c>
      <c r="AT16" s="37">
        <v>0</v>
      </c>
      <c r="AU16" s="37">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f ca="1">SUMIFS('Tổng Đơn'!$F:$F,'Tổng Đơn'!$B:$B,$C17)</f>
        <v>0</v>
      </c>
      <c r="AS17" s="37">
        <v>0</v>
      </c>
      <c r="AT17" s="37">
        <v>0</v>
      </c>
      <c r="AU17" s="37">
        <v>0</v>
      </c>
      <c r="AV17" s="37">
        <v>0</v>
      </c>
      <c r="AW17" s="82">
        <v>0</v>
      </c>
      <c r="AX17" s="82">
        <f t="shared" si="9"/>
        <v>0</v>
      </c>
    </row>
    <row r="18" spans="1:50" ht="18.75" x14ac:dyDescent="0.25">
      <c r="A18" s="82">
        <f t="shared" ca="1" si="2"/>
        <v>472.85150239712419</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2205</v>
      </c>
      <c r="O18" s="94">
        <f t="shared" ca="1" si="8"/>
        <v>17</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v>0</v>
      </c>
      <c r="AR18" s="37">
        <f ca="1">SUMIFS('Tổng Đơn'!$F:$F,'Tổng Đơn'!$B:$B,$C18)</f>
        <v>1</v>
      </c>
      <c r="AS18" s="37">
        <v>0</v>
      </c>
      <c r="AT18" s="37">
        <v>0</v>
      </c>
      <c r="AU18" s="37">
        <v>0</v>
      </c>
      <c r="AV18" s="37">
        <v>0</v>
      </c>
      <c r="AW18" s="82">
        <v>0</v>
      </c>
      <c r="AX18" s="82">
        <f t="shared" si="9"/>
        <v>0</v>
      </c>
    </row>
    <row r="19" spans="1:50" ht="18.75" x14ac:dyDescent="0.25">
      <c r="A19" s="82">
        <f ca="1">J19*O19</f>
        <v>736.34520649906472</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6090</v>
      </c>
      <c r="O19" s="94">
        <f t="shared" ca="1" si="8"/>
        <v>12</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v>1</v>
      </c>
      <c r="AR19" s="37">
        <f ca="1">SUMIFS('Tổng Đơn'!$F:$F,'Tổng Đơn'!$B:$B,$C19)</f>
        <v>0</v>
      </c>
      <c r="AS19" s="37">
        <v>0</v>
      </c>
      <c r="AT19" s="37">
        <v>0</v>
      </c>
      <c r="AU19" s="37">
        <v>0</v>
      </c>
      <c r="AV19" s="37">
        <v>0</v>
      </c>
      <c r="AW19" s="82">
        <v>0</v>
      </c>
      <c r="AX19" s="82">
        <f t="shared" si="9"/>
        <v>0</v>
      </c>
    </row>
    <row r="20" spans="1:50" ht="18.75" x14ac:dyDescent="0.25">
      <c r="A20" s="82">
        <f t="shared" ca="1" si="2"/>
        <v>1955.9169547631404</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9660</v>
      </c>
      <c r="O20" s="94">
        <f t="shared" ca="1" si="8"/>
        <v>51</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v>4</v>
      </c>
      <c r="AR20" s="37">
        <f ca="1">SUMIFS('Tổng Đơn'!$F:$F,'Tổng Đơn'!$B:$B,$C20)</f>
        <v>1</v>
      </c>
      <c r="AS20" s="37">
        <v>0</v>
      </c>
      <c r="AT20" s="37">
        <v>0</v>
      </c>
      <c r="AU20" s="37">
        <v>0</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v>0</v>
      </c>
      <c r="AR21" s="37">
        <f ca="1">SUMIFS('Tổng Đơn'!$F:$F,'Tổng Đơn'!$B:$B,$C21)</f>
        <v>0</v>
      </c>
      <c r="AS21" s="37">
        <v>0</v>
      </c>
      <c r="AT21" s="37">
        <v>0</v>
      </c>
      <c r="AU21" s="37">
        <v>0</v>
      </c>
      <c r="AV21" s="37">
        <v>0</v>
      </c>
      <c r="AW21" s="82">
        <v>0</v>
      </c>
      <c r="AX21" s="82">
        <f t="shared" si="9"/>
        <v>0</v>
      </c>
    </row>
    <row r="22" spans="1:50" ht="18.75" x14ac:dyDescent="0.25">
      <c r="A22" s="82">
        <f t="shared" ca="1" si="2"/>
        <v>447.94333395359774</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v>0</v>
      </c>
      <c r="AR22" s="37">
        <f ca="1">SUMIFS('Tổng Đơn'!$F:$F,'Tổng Đơn'!$B:$B,$C22)</f>
        <v>0</v>
      </c>
      <c r="AS22" s="37">
        <v>0</v>
      </c>
      <c r="AT22" s="37">
        <v>0</v>
      </c>
      <c r="AU22" s="37">
        <v>0</v>
      </c>
      <c r="AV22" s="37">
        <v>0</v>
      </c>
      <c r="AW22" s="82">
        <v>0</v>
      </c>
      <c r="AX22" s="82">
        <f t="shared" si="9"/>
        <v>0</v>
      </c>
    </row>
    <row r="23" spans="1:50" ht="18.75" x14ac:dyDescent="0.25">
      <c r="A23" s="82">
        <f t="shared" ca="1" si="2"/>
        <v>797.7073070406534</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6592</v>
      </c>
      <c r="O23" s="94">
        <f t="shared" ca="1" si="8"/>
        <v>65</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v>9</v>
      </c>
      <c r="AR23" s="37">
        <f ca="1">SUMIFS('Tổng Đơn'!$F:$F,'Tổng Đơn'!$B:$B,$C23)</f>
        <v>1</v>
      </c>
      <c r="AS23" s="37">
        <v>0</v>
      </c>
      <c r="AT23" s="37">
        <v>0</v>
      </c>
      <c r="AU23" s="37">
        <v>0</v>
      </c>
      <c r="AV23" s="37">
        <v>0</v>
      </c>
      <c r="AW23" s="82">
        <v>0</v>
      </c>
      <c r="AX23" s="82">
        <f t="shared" si="9"/>
        <v>0</v>
      </c>
    </row>
    <row r="24" spans="1:50" ht="18.75" x14ac:dyDescent="0.25">
      <c r="A24" s="82">
        <f t="shared" ca="1" si="2"/>
        <v>69.543713947133895</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320</v>
      </c>
      <c r="O24" s="94">
        <f t="shared" ca="1" si="8"/>
        <v>2</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f ca="1">SUMIFS('Tổng Đơn'!$F:$F,'Tổng Đơn'!$B:$B,$C24)</f>
        <v>2</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297</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38" priority="21">
      <formula>($O6/$O6)&lt;=1/4</formula>
    </cfRule>
  </conditionalFormatting>
  <conditionalFormatting sqref="C18">
    <cfRule type="expression" dxfId="437" priority="18">
      <formula>($O18/$O18)&lt;=1/4</formula>
    </cfRule>
  </conditionalFormatting>
  <conditionalFormatting sqref="C5:C18">
    <cfRule type="expression" dxfId="436" priority="29">
      <formula>($O5/$F5)&lt;=1/4</formula>
    </cfRule>
  </conditionalFormatting>
  <conditionalFormatting sqref="C19">
    <cfRule type="expression" dxfId="435" priority="9">
      <formula>($O19/$O19)&lt;=1/4</formula>
    </cfRule>
  </conditionalFormatting>
  <conditionalFormatting sqref="C19">
    <cfRule type="expression" dxfId="434" priority="10">
      <formula>($O19/$F19)&lt;=1/4</formula>
    </cfRule>
  </conditionalFormatting>
  <conditionalFormatting sqref="C20:C21">
    <cfRule type="expression" dxfId="433" priority="7">
      <formula>($O20/$O20)&lt;=1/4</formula>
    </cfRule>
  </conditionalFormatting>
  <conditionalFormatting sqref="C20:C21">
    <cfRule type="expression" dxfId="432" priority="8">
      <formula>($O20/$F20)&lt;=1/4</formula>
    </cfRule>
  </conditionalFormatting>
  <conditionalFormatting sqref="C22:C23">
    <cfRule type="expression" dxfId="431" priority="5">
      <formula>($O22/$O22)&lt;=1/4</formula>
    </cfRule>
  </conditionalFormatting>
  <conditionalFormatting sqref="C22:C23">
    <cfRule type="expression" dxfId="430" priority="6">
      <formula>($O22/$F22)&lt;=1/4</formula>
    </cfRule>
  </conditionalFormatting>
  <conditionalFormatting sqref="C24">
    <cfRule type="expression" dxfId="429" priority="3">
      <formula>($O24/$O24)&lt;=1/4</formula>
    </cfRule>
  </conditionalFormatting>
  <conditionalFormatting sqref="C24">
    <cfRule type="expression" dxfId="428" priority="4">
      <formula>($O24/$F24)&lt;=1/4</formula>
    </cfRule>
  </conditionalFormatting>
  <conditionalFormatting sqref="C25:C26">
    <cfRule type="expression" dxfId="427" priority="1">
      <formula>($O25/$O25)&lt;=1/4</formula>
    </cfRule>
  </conditionalFormatting>
  <conditionalFormatting sqref="C25:C26">
    <cfRule type="expression" dxfId="426"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300+200+120+200+200+200+140+190+120+60+100+95+145</f>
        <v>2070</v>
      </c>
      <c r="K2" s="13">
        <f>SUMPRODUCT((E5:E12)*(F5:F12))</f>
        <v>1875</v>
      </c>
      <c r="L2" s="13">
        <f>M4-K4</f>
        <v>16621.454545454544</v>
      </c>
      <c r="M2" s="8">
        <f>M4/K4-1</f>
        <v>0.18804561573841716</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13958.714443742552</v>
      </c>
      <c r="B4" s="19"/>
      <c r="C4" s="19"/>
      <c r="D4" s="63"/>
      <c r="E4" s="19">
        <f>SUMPRODUCT((E5:E12)*(F5:F12))</f>
        <v>1875</v>
      </c>
      <c r="F4" s="19">
        <f>SUBTOTAL(9,F5:F12)</f>
        <v>3750</v>
      </c>
      <c r="G4" s="7"/>
      <c r="H4" s="7">
        <f>SUBTOTAL(9,H5:H12)</f>
        <v>86320.545454545456</v>
      </c>
      <c r="I4" s="12"/>
      <c r="J4" s="12"/>
      <c r="K4" s="12">
        <f>SUBTOTAL(9,K5:K12)</f>
        <v>88390.545454545456</v>
      </c>
      <c r="L4" s="64"/>
      <c r="M4" s="7">
        <f>SUBTOTAL(9,M5:M12)</f>
        <v>105012</v>
      </c>
      <c r="N4" s="7">
        <f ca="1">SUBTOTAL(9,N5:N12)</f>
        <v>88193</v>
      </c>
      <c r="O4" s="65">
        <f ca="1">SUBTOTAL(9,O5:O12)</f>
        <v>536</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si="0"/>
        <v>58</v>
      </c>
      <c r="AR4" s="40">
        <f t="shared" ca="1" si="0"/>
        <v>66</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1673.1839507291004</v>
      </c>
      <c r="B5" s="6">
        <v>1</v>
      </c>
      <c r="C5" s="84" t="s">
        <v>228</v>
      </c>
      <c r="D5" s="92">
        <v>38</v>
      </c>
      <c r="E5" s="6">
        <v>0.5</v>
      </c>
      <c r="F5" s="6">
        <f>240+126+126+100+126+210+126+42+84+84+126+210</f>
        <v>1600</v>
      </c>
      <c r="G5" s="86">
        <f t="shared" ref="G5:G12" si="2">D5/(1/E5)</f>
        <v>19</v>
      </c>
      <c r="H5" s="87">
        <f t="shared" ref="H5:H12" si="3">G5*F5</f>
        <v>30400</v>
      </c>
      <c r="I5" s="88">
        <f t="shared" ref="I5:I12" si="4">((H5/$H$4)*$A$2)/F5</f>
        <v>0.45562733405930961</v>
      </c>
      <c r="J5" s="163">
        <f t="shared" ref="J5:J12" si="5">G5+I5</f>
        <v>19.455627334059308</v>
      </c>
      <c r="K5" s="89">
        <f>J5*F5</f>
        <v>31129.003734494894</v>
      </c>
      <c r="L5" s="93">
        <v>23</v>
      </c>
      <c r="M5" s="87">
        <f t="shared" ref="M5:M12" si="6">L5*F5</f>
        <v>36800</v>
      </c>
      <c r="N5" s="87">
        <f t="shared" ref="N5:N12" ca="1" si="7">SUMPRODUCT(($Q5:$AV5)*$L5)</f>
        <v>34753</v>
      </c>
      <c r="O5" s="94">
        <f t="shared" ref="O5:O12" ca="1" si="8">F5-SUM(Q5:AV5)-P5</f>
        <v>86</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v>39</v>
      </c>
      <c r="AR5" s="37">
        <f ca="1">SUMIFS('Tổng Đơn'!$F:$F,'Tổng Đơn'!$B:$B,$C5)</f>
        <v>41</v>
      </c>
      <c r="AS5" s="37">
        <v>0</v>
      </c>
      <c r="AT5" s="37">
        <v>0</v>
      </c>
      <c r="AU5" s="37">
        <v>0</v>
      </c>
      <c r="AV5" s="37">
        <v>0</v>
      </c>
      <c r="AW5" s="82">
        <v>0</v>
      </c>
      <c r="AX5" s="82">
        <f>AW5*AY5/2</f>
        <v>0</v>
      </c>
      <c r="AY5" s="82">
        <v>38</v>
      </c>
    </row>
    <row r="6" spans="1:51" ht="18.75" x14ac:dyDescent="0.25">
      <c r="A6" s="82">
        <f t="shared" ca="1" si="1"/>
        <v>322.55382159098332</v>
      </c>
      <c r="B6" s="6">
        <v>2</v>
      </c>
      <c r="C6" s="84" t="s">
        <v>229</v>
      </c>
      <c r="D6" s="92">
        <v>42</v>
      </c>
      <c r="E6" s="6">
        <v>0.5</v>
      </c>
      <c r="F6" s="6">
        <v>40</v>
      </c>
      <c r="G6" s="86">
        <f t="shared" si="2"/>
        <v>21</v>
      </c>
      <c r="H6" s="87">
        <f t="shared" si="3"/>
        <v>840</v>
      </c>
      <c r="I6" s="88">
        <f t="shared" si="4"/>
        <v>0.50358810606555271</v>
      </c>
      <c r="J6" s="163">
        <f t="shared" si="5"/>
        <v>21.503588106065553</v>
      </c>
      <c r="K6" s="89">
        <f>J6*F6</f>
        <v>860.14352424262211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f ca="1">SUMIFS('Tổng Đơn'!$F:$F,'Tổng Đơn'!$B:$B,$C6)</f>
        <v>0</v>
      </c>
      <c r="AS6" s="37">
        <v>0</v>
      </c>
      <c r="AT6" s="37">
        <v>0</v>
      </c>
      <c r="AU6" s="37">
        <v>0</v>
      </c>
      <c r="AV6" s="37">
        <v>0</v>
      </c>
      <c r="AW6" s="82">
        <v>0</v>
      </c>
      <c r="AX6" s="82">
        <f t="shared" ref="AX6:AX12" si="9">AW6*AY6/2</f>
        <v>0</v>
      </c>
      <c r="AY6" s="82">
        <v>42</v>
      </c>
    </row>
    <row r="7" spans="1:51" ht="18.75" x14ac:dyDescent="0.25">
      <c r="A7" s="82">
        <f t="shared" ca="1" si="1"/>
        <v>645.10764318196664</v>
      </c>
      <c r="B7" s="6">
        <v>3</v>
      </c>
      <c r="C7" s="84" t="s">
        <v>230</v>
      </c>
      <c r="D7" s="92">
        <v>42</v>
      </c>
      <c r="E7" s="6">
        <v>0.5</v>
      </c>
      <c r="F7" s="6">
        <f>40+42+42+42</f>
        <v>166</v>
      </c>
      <c r="G7" s="86">
        <f t="shared" si="2"/>
        <v>21</v>
      </c>
      <c r="H7" s="87">
        <f t="shared" si="3"/>
        <v>3486</v>
      </c>
      <c r="I7" s="88">
        <f t="shared" si="4"/>
        <v>0.50358810606555271</v>
      </c>
      <c r="J7" s="163">
        <f t="shared" si="5"/>
        <v>21.503588106065553</v>
      </c>
      <c r="K7" s="89">
        <f t="shared" ref="K7:K12" si="10">J7*F7</f>
        <v>3569.5956256068816</v>
      </c>
      <c r="L7" s="93">
        <v>26</v>
      </c>
      <c r="M7" s="87">
        <f t="shared" si="6"/>
        <v>4316</v>
      </c>
      <c r="N7" s="87">
        <f t="shared" ca="1" si="7"/>
        <v>3510</v>
      </c>
      <c r="O7" s="94">
        <f t="shared" ca="1" si="8"/>
        <v>30</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v>1</v>
      </c>
      <c r="AR7" s="37">
        <f ca="1">SUMIFS('Tổng Đơn'!$F:$F,'Tổng Đơn'!$B:$B,$C7)</f>
        <v>5</v>
      </c>
      <c r="AS7" s="37">
        <v>0</v>
      </c>
      <c r="AT7" s="37">
        <v>0</v>
      </c>
      <c r="AU7" s="37">
        <v>0</v>
      </c>
      <c r="AV7" s="37">
        <v>0</v>
      </c>
      <c r="AW7" s="82">
        <v>0</v>
      </c>
      <c r="AX7" s="82">
        <f t="shared" si="9"/>
        <v>0</v>
      </c>
      <c r="AY7" s="82">
        <v>42</v>
      </c>
    </row>
    <row r="8" spans="1:51" ht="18.75" x14ac:dyDescent="0.25">
      <c r="A8" s="82">
        <f t="shared" ca="1" si="1"/>
        <v>819.1843088024973</v>
      </c>
      <c r="B8" s="6">
        <v>4</v>
      </c>
      <c r="C8" s="84" t="s">
        <v>231</v>
      </c>
      <c r="D8" s="92">
        <v>40</v>
      </c>
      <c r="E8" s="6">
        <v>0.5</v>
      </c>
      <c r="F8" s="6">
        <f>40+42+42</f>
        <v>124</v>
      </c>
      <c r="G8" s="86">
        <f t="shared" si="2"/>
        <v>20</v>
      </c>
      <c r="H8" s="87">
        <f t="shared" si="3"/>
        <v>2480</v>
      </c>
      <c r="I8" s="88">
        <f t="shared" si="4"/>
        <v>0.47960772006243113</v>
      </c>
      <c r="J8" s="163">
        <f t="shared" si="5"/>
        <v>20.479607720062432</v>
      </c>
      <c r="K8" s="89">
        <f t="shared" si="10"/>
        <v>2539.4713572877417</v>
      </c>
      <c r="L8" s="93">
        <v>26</v>
      </c>
      <c r="M8" s="87">
        <f t="shared" si="6"/>
        <v>3224</v>
      </c>
      <c r="N8" s="87">
        <f t="shared" ca="1" si="7"/>
        <v>2158</v>
      </c>
      <c r="O8" s="94">
        <f t="shared" ca="1" si="8"/>
        <v>40</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v>1</v>
      </c>
      <c r="AR8" s="37">
        <f ca="1">SUMIFS('Tổng Đơn'!$F:$F,'Tổng Đơn'!$B:$B,$C8)</f>
        <v>5</v>
      </c>
      <c r="AS8" s="37">
        <v>0</v>
      </c>
      <c r="AT8" s="37">
        <v>0</v>
      </c>
      <c r="AU8" s="37">
        <v>0</v>
      </c>
      <c r="AV8" s="37">
        <v>0</v>
      </c>
      <c r="AW8" s="82">
        <v>0</v>
      </c>
      <c r="AX8" s="82">
        <f t="shared" si="9"/>
        <v>0</v>
      </c>
      <c r="AY8" s="82">
        <v>40</v>
      </c>
    </row>
    <row r="9" spans="1:51" ht="18.75" x14ac:dyDescent="0.25">
      <c r="A9" s="82">
        <f t="shared" ca="1" si="1"/>
        <v>2618.1316687579811</v>
      </c>
      <c r="B9" s="6">
        <v>5</v>
      </c>
      <c r="C9" s="84" t="s">
        <v>232</v>
      </c>
      <c r="D9" s="92">
        <f>(45*20)/22</f>
        <v>40.909090909090907</v>
      </c>
      <c r="E9" s="6">
        <v>0.5</v>
      </c>
      <c r="F9" s="6">
        <f>176+88+44+44+40+220+80</f>
        <v>692</v>
      </c>
      <c r="G9" s="86">
        <f t="shared" si="2"/>
        <v>20.454545454545453</v>
      </c>
      <c r="H9" s="87">
        <f t="shared" si="3"/>
        <v>14154.545454545454</v>
      </c>
      <c r="I9" s="88">
        <f t="shared" si="4"/>
        <v>0.49050789551839552</v>
      </c>
      <c r="J9" s="163">
        <f t="shared" si="5"/>
        <v>20.945053350063848</v>
      </c>
      <c r="K9" s="89">
        <f t="shared" si="10"/>
        <v>14493.976918244183</v>
      </c>
      <c r="L9" s="93">
        <v>26</v>
      </c>
      <c r="M9" s="87">
        <f t="shared" si="6"/>
        <v>17992</v>
      </c>
      <c r="N9" s="87">
        <f t="shared" ca="1" si="7"/>
        <v>14716</v>
      </c>
      <c r="O9" s="94">
        <f t="shared" ca="1" si="8"/>
        <v>125</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v>2</v>
      </c>
      <c r="AR9" s="37">
        <f ca="1">SUMIFS('Tổng Đơn'!$F:$F,'Tổng Đơn'!$B:$B,$C9)</f>
        <v>4</v>
      </c>
      <c r="AS9" s="37">
        <v>0</v>
      </c>
      <c r="AT9" s="37">
        <v>0</v>
      </c>
      <c r="AU9" s="37">
        <v>0</v>
      </c>
      <c r="AV9" s="37">
        <v>0</v>
      </c>
      <c r="AW9" s="82">
        <v>0</v>
      </c>
      <c r="AX9" s="82">
        <f t="shared" si="9"/>
        <v>0</v>
      </c>
      <c r="AY9" s="82">
        <v>45</v>
      </c>
    </row>
    <row r="10" spans="1:51" ht="18.75" x14ac:dyDescent="0.25">
      <c r="A10" s="82">
        <f ca="1">J10*O10</f>
        <v>3812.9306009716233</v>
      </c>
      <c r="B10" s="6">
        <v>6</v>
      </c>
      <c r="C10" s="84" t="s">
        <v>233</v>
      </c>
      <c r="D10" s="92">
        <f>(64*20)/22</f>
        <v>58.18181818181818</v>
      </c>
      <c r="E10" s="6">
        <v>0.5</v>
      </c>
      <c r="F10" s="6">
        <f>176+88+88+132+88+132+44+44</f>
        <v>792</v>
      </c>
      <c r="G10" s="86">
        <f t="shared" si="2"/>
        <v>29.09090909090909</v>
      </c>
      <c r="H10" s="87">
        <f t="shared" si="3"/>
        <v>23040</v>
      </c>
      <c r="I10" s="88">
        <f t="shared" si="4"/>
        <v>0.69761122918171803</v>
      </c>
      <c r="J10" s="163">
        <f t="shared" si="5"/>
        <v>29.788520320090807</v>
      </c>
      <c r="K10" s="89">
        <f t="shared" si="10"/>
        <v>23592.508093511919</v>
      </c>
      <c r="L10" s="93">
        <v>35</v>
      </c>
      <c r="M10" s="87">
        <f t="shared" si="6"/>
        <v>27720</v>
      </c>
      <c r="N10" s="87">
        <f t="shared" ca="1" si="7"/>
        <v>23205</v>
      </c>
      <c r="O10" s="94">
        <f t="shared" ca="1" si="8"/>
        <v>128</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v>13</v>
      </c>
      <c r="AR10" s="37">
        <f ca="1">SUMIFS('Tổng Đơn'!$F:$F,'Tổng Đơn'!$B:$B,$C10)</f>
        <v>9</v>
      </c>
      <c r="AS10" s="37">
        <v>0</v>
      </c>
      <c r="AT10" s="37">
        <v>0</v>
      </c>
      <c r="AU10" s="37">
        <v>0</v>
      </c>
      <c r="AV10" s="37">
        <v>0</v>
      </c>
      <c r="AW10" s="82">
        <v>0</v>
      </c>
      <c r="AX10" s="82">
        <f t="shared" si="9"/>
        <v>0</v>
      </c>
      <c r="AY10" s="82">
        <v>64</v>
      </c>
    </row>
    <row r="11" spans="1:51" ht="18.75" x14ac:dyDescent="0.25">
      <c r="A11" s="82">
        <f t="shared" ca="1" si="1"/>
        <v>2059.5969127562789</v>
      </c>
      <c r="B11" s="6">
        <v>7</v>
      </c>
      <c r="C11" s="84" t="s">
        <v>234</v>
      </c>
      <c r="D11" s="92">
        <f>(75*20)/22</f>
        <v>68.181818181818187</v>
      </c>
      <c r="E11" s="6">
        <v>0.5</v>
      </c>
      <c r="F11" s="6">
        <f>44+44+88</f>
        <v>176</v>
      </c>
      <c r="G11" s="86">
        <f t="shared" si="2"/>
        <v>34.090909090909093</v>
      </c>
      <c r="H11" s="87">
        <f t="shared" si="3"/>
        <v>6000</v>
      </c>
      <c r="I11" s="88">
        <f t="shared" si="4"/>
        <v>0.81751315919732581</v>
      </c>
      <c r="J11" s="163">
        <f t="shared" si="5"/>
        <v>34.908422250106419</v>
      </c>
      <c r="K11" s="89">
        <f t="shared" si="10"/>
        <v>6143.8823160187294</v>
      </c>
      <c r="L11" s="93">
        <v>40</v>
      </c>
      <c r="M11" s="87">
        <f t="shared" si="6"/>
        <v>7040</v>
      </c>
      <c r="N11" s="87">
        <f t="shared" ca="1" si="7"/>
        <v>4600</v>
      </c>
      <c r="O11" s="94">
        <f t="shared" ca="1" si="8"/>
        <v>59</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v>1</v>
      </c>
      <c r="AR11" s="37">
        <f ca="1">SUMIFS('Tổng Đơn'!$F:$F,'Tổng Đơn'!$B:$B,$C11)</f>
        <v>0</v>
      </c>
      <c r="AS11" s="37">
        <v>0</v>
      </c>
      <c r="AT11" s="37">
        <v>0</v>
      </c>
      <c r="AU11" s="37">
        <v>0</v>
      </c>
      <c r="AV11" s="37">
        <v>0</v>
      </c>
      <c r="AW11" s="82">
        <v>0</v>
      </c>
      <c r="AX11" s="82">
        <f>AW11*AY11/2</f>
        <v>0</v>
      </c>
      <c r="AY11" s="82">
        <v>75</v>
      </c>
    </row>
    <row r="12" spans="1:51" ht="18.75" x14ac:dyDescent="0.25">
      <c r="A12" s="82">
        <f t="shared" ca="1" si="1"/>
        <v>2008.0255369521215</v>
      </c>
      <c r="B12" s="6">
        <v>8</v>
      </c>
      <c r="C12" s="84" t="s">
        <v>235</v>
      </c>
      <c r="D12" s="92">
        <v>74</v>
      </c>
      <c r="E12" s="6">
        <v>0.5</v>
      </c>
      <c r="F12" s="6">
        <f>80+80</f>
        <v>160</v>
      </c>
      <c r="G12" s="86">
        <f t="shared" si="2"/>
        <v>37</v>
      </c>
      <c r="H12" s="87">
        <f t="shared" si="3"/>
        <v>5920</v>
      </c>
      <c r="I12" s="88">
        <f t="shared" si="4"/>
        <v>0.88727428211549753</v>
      </c>
      <c r="J12" s="163">
        <f t="shared" si="5"/>
        <v>37.887274282115499</v>
      </c>
      <c r="K12" s="89">
        <f t="shared" si="10"/>
        <v>6061.9638851384798</v>
      </c>
      <c r="L12" s="93">
        <v>43</v>
      </c>
      <c r="M12" s="87">
        <f t="shared" si="6"/>
        <v>6880</v>
      </c>
      <c r="N12" s="87">
        <f t="shared" ca="1" si="7"/>
        <v>4601</v>
      </c>
      <c r="O12" s="94">
        <f t="shared" ca="1" si="8"/>
        <v>53</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v>1</v>
      </c>
      <c r="AR12" s="37">
        <f ca="1">SUMIFS('Tổng Đơn'!$F:$F,'Tổng Đơn'!$B:$B,$C12)</f>
        <v>2</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5" priority="8">
      <formula>($O6/$O6)&lt;=1/4</formula>
    </cfRule>
  </conditionalFormatting>
  <conditionalFormatting sqref="C5:C12">
    <cfRule type="expression" dxfId="42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17335.576581388643</v>
      </c>
      <c r="B4" s="19"/>
      <c r="C4" s="19"/>
      <c r="D4" s="63"/>
      <c r="E4" s="19">
        <f>SUMPRODUCT((E5:E34)*(F5:F34))</f>
        <v>2072.5</v>
      </c>
      <c r="F4" s="19">
        <f>SUBTOTAL(9,F5:F102)</f>
        <v>3870</v>
      </c>
      <c r="G4" s="7"/>
      <c r="H4" s="7">
        <f>SUBTOTAL(9,H5:H102)</f>
        <v>126605.5</v>
      </c>
      <c r="I4" s="12"/>
      <c r="J4" s="12"/>
      <c r="K4" s="12">
        <f>SUBTOTAL(9,K5:K102)</f>
        <v>129980.19570852122</v>
      </c>
      <c r="L4" s="64"/>
      <c r="M4" s="7">
        <f t="shared" ref="M4:AV4" si="0">SUBTOTAL(9,M5:M102)</f>
        <v>152294</v>
      </c>
      <c r="N4" s="7">
        <f t="shared" ca="1" si="0"/>
        <v>131634</v>
      </c>
      <c r="O4" s="39">
        <f t="shared" ca="1" si="0"/>
        <v>462</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si="0"/>
        <v>10</v>
      </c>
      <c r="AR4" s="40">
        <f t="shared" ca="1" si="0"/>
        <v>22</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567.18468984364813</v>
      </c>
      <c r="B5" s="6">
        <v>1</v>
      </c>
      <c r="C5" s="84" t="s">
        <v>1</v>
      </c>
      <c r="D5" s="92">
        <v>42.5</v>
      </c>
      <c r="E5" s="6">
        <v>0.5</v>
      </c>
      <c r="F5" s="6">
        <f>430+30+40</f>
        <v>500</v>
      </c>
      <c r="G5" s="95">
        <f t="shared" ref="G5:G29" si="2">D5/(1/E5)</f>
        <v>21.25</v>
      </c>
      <c r="H5" s="87">
        <f t="shared" ref="H5:H30" si="3">G5*F5</f>
        <v>10625</v>
      </c>
      <c r="I5" s="88">
        <f t="shared" ref="I5:I25" si="4">((H5/$H$4)*$A$2)/F5</f>
        <v>0.5647957632172379</v>
      </c>
      <c r="J5" s="89">
        <f t="shared" ref="J5:J19" si="5">G5+I5</f>
        <v>21.814795763217237</v>
      </c>
      <c r="K5" s="89">
        <f t="shared" ref="K5:K25" si="6">J5*F5</f>
        <v>10907.397881608618</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v>0</v>
      </c>
      <c r="AR5" s="84">
        <f ca="1">SUMIFS('Tổng Đơn'!$F:$F,'Tổng Đơn'!$B:$B,$C5)</f>
        <v>0</v>
      </c>
      <c r="AS5" s="84">
        <v>0</v>
      </c>
      <c r="AT5" s="84">
        <v>0</v>
      </c>
      <c r="AU5" s="84">
        <v>0</v>
      </c>
      <c r="AV5" s="84">
        <v>0</v>
      </c>
      <c r="AW5" s="82">
        <v>0</v>
      </c>
      <c r="AX5" s="82">
        <f t="shared" ref="AX5:AX31" si="10">AW5*G5</f>
        <v>0</v>
      </c>
    </row>
    <row r="6" spans="1:50" ht="18.75" x14ac:dyDescent="0.25">
      <c r="A6" s="82">
        <f t="shared" ca="1" si="1"/>
        <v>67.754189193992374</v>
      </c>
      <c r="B6" s="6">
        <v>2</v>
      </c>
      <c r="C6" s="84" t="s">
        <v>2</v>
      </c>
      <c r="D6" s="92">
        <v>44</v>
      </c>
      <c r="E6" s="6">
        <v>0.5</v>
      </c>
      <c r="F6" s="6">
        <v>80</v>
      </c>
      <c r="G6" s="95">
        <f t="shared" si="2"/>
        <v>22</v>
      </c>
      <c r="H6" s="87">
        <f t="shared" si="3"/>
        <v>1760</v>
      </c>
      <c r="I6" s="88">
        <f t="shared" si="4"/>
        <v>0.58472973133078732</v>
      </c>
      <c r="J6" s="89">
        <f t="shared" si="5"/>
        <v>22.584729731330789</v>
      </c>
      <c r="K6" s="89">
        <f t="shared" si="6"/>
        <v>1806.778378506463</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v>0</v>
      </c>
      <c r="AR6" s="84">
        <f ca="1">SUMIFS('Tổng Đơn'!$F:$F,'Tổng Đơn'!$B:$B,$C6)</f>
        <v>0</v>
      </c>
      <c r="AS6" s="84">
        <v>0</v>
      </c>
      <c r="AT6" s="84">
        <v>0</v>
      </c>
      <c r="AU6" s="84">
        <v>0</v>
      </c>
      <c r="AV6" s="84">
        <v>0</v>
      </c>
      <c r="AW6" s="82">
        <v>0</v>
      </c>
      <c r="AX6" s="82">
        <f t="shared" si="10"/>
        <v>0</v>
      </c>
    </row>
    <row r="7" spans="1:50" ht="18.75" x14ac:dyDescent="0.25">
      <c r="A7" s="82">
        <f t="shared" ca="1" si="1"/>
        <v>66.984255225878812</v>
      </c>
      <c r="B7" s="6">
        <v>3</v>
      </c>
      <c r="C7" s="84" t="s">
        <v>3</v>
      </c>
      <c r="D7" s="92">
        <v>43.5</v>
      </c>
      <c r="E7" s="6">
        <v>0.5</v>
      </c>
      <c r="F7" s="6">
        <v>70</v>
      </c>
      <c r="G7" s="95">
        <f t="shared" si="2"/>
        <v>21.75</v>
      </c>
      <c r="H7" s="87">
        <f t="shared" si="3"/>
        <v>1522.5</v>
      </c>
      <c r="I7" s="88">
        <f t="shared" si="4"/>
        <v>0.57808507529293751</v>
      </c>
      <c r="J7" s="89">
        <f t="shared" si="5"/>
        <v>22.328085075292936</v>
      </c>
      <c r="K7" s="89">
        <f t="shared" si="6"/>
        <v>1562.9659552705054</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v>0</v>
      </c>
      <c r="AR7" s="84">
        <f ca="1">SUMIFS('Tổng Đơn'!$F:$F,'Tổng Đơn'!$B:$B,$C7)</f>
        <v>0</v>
      </c>
      <c r="AS7" s="84">
        <v>0</v>
      </c>
      <c r="AT7" s="84">
        <v>0</v>
      </c>
      <c r="AU7" s="84">
        <v>0</v>
      </c>
      <c r="AV7" s="84">
        <v>0</v>
      </c>
      <c r="AW7" s="82">
        <v>0</v>
      </c>
      <c r="AX7" s="82">
        <f t="shared" si="10"/>
        <v>0</v>
      </c>
    </row>
    <row r="8" spans="1:50" ht="18.75" x14ac:dyDescent="0.25">
      <c r="A8" s="82">
        <f t="shared" ca="1" si="1"/>
        <v>677.54189193992363</v>
      </c>
      <c r="B8" s="6">
        <v>4</v>
      </c>
      <c r="C8" s="84" t="s">
        <v>4</v>
      </c>
      <c r="D8" s="92">
        <v>60</v>
      </c>
      <c r="E8" s="6">
        <v>0.5</v>
      </c>
      <c r="F8" s="6">
        <f>160+22+12+30+10</f>
        <v>234</v>
      </c>
      <c r="G8" s="95">
        <f t="shared" si="2"/>
        <v>30</v>
      </c>
      <c r="H8" s="97">
        <f t="shared" si="3"/>
        <v>7020</v>
      </c>
      <c r="I8" s="88">
        <f t="shared" si="4"/>
        <v>0.79735872454198276</v>
      </c>
      <c r="J8" s="89">
        <f t="shared" si="5"/>
        <v>30.797358724541983</v>
      </c>
      <c r="K8" s="89">
        <f t="shared" si="6"/>
        <v>7206.5819415428241</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v>0</v>
      </c>
      <c r="AR8" s="84">
        <f ca="1">SUMIFS('Tổng Đơn'!$F:$F,'Tổng Đơn'!$B:$B,$C8)</f>
        <v>0</v>
      </c>
      <c r="AS8" s="84">
        <v>0</v>
      </c>
      <c r="AT8" s="84">
        <v>0</v>
      </c>
      <c r="AU8" s="84">
        <v>0</v>
      </c>
      <c r="AV8" s="84">
        <v>0</v>
      </c>
      <c r="AW8" s="82">
        <v>0</v>
      </c>
      <c r="AX8" s="82">
        <f t="shared" si="10"/>
        <v>0</v>
      </c>
    </row>
    <row r="9" spans="1:50" ht="18.75" x14ac:dyDescent="0.25">
      <c r="A9" s="82">
        <f t="shared" ca="1" si="1"/>
        <v>767.88081086524676</v>
      </c>
      <c r="B9" s="6">
        <v>5</v>
      </c>
      <c r="C9" s="84" t="s">
        <v>5</v>
      </c>
      <c r="D9" s="92">
        <v>68</v>
      </c>
      <c r="E9" s="6">
        <v>0.5</v>
      </c>
      <c r="F9" s="6">
        <f>285+40+50+20+50+50+40+60</f>
        <v>595</v>
      </c>
      <c r="G9" s="95">
        <f t="shared" si="2"/>
        <v>34</v>
      </c>
      <c r="H9" s="97">
        <f t="shared" si="3"/>
        <v>20230</v>
      </c>
      <c r="I9" s="88">
        <f t="shared" si="4"/>
        <v>0.90367322114758064</v>
      </c>
      <c r="J9" s="89">
        <f t="shared" si="5"/>
        <v>34.903673221147578</v>
      </c>
      <c r="K9" s="89">
        <f t="shared" si="6"/>
        <v>20767.685566582808</v>
      </c>
      <c r="L9" s="96">
        <v>40</v>
      </c>
      <c r="M9" s="87">
        <f t="shared" si="7"/>
        <v>23800</v>
      </c>
      <c r="N9" s="87">
        <f t="shared" ca="1" si="8"/>
        <v>22920</v>
      </c>
      <c r="O9" s="91">
        <f t="shared" ca="1" si="9"/>
        <v>22</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v>1</v>
      </c>
      <c r="AR9" s="84">
        <f ca="1">SUMIFS('Tổng Đơn'!$F:$F,'Tổng Đơn'!$B:$B,$C9)</f>
        <v>17</v>
      </c>
      <c r="AS9" s="84">
        <v>0</v>
      </c>
      <c r="AT9" s="84">
        <v>0</v>
      </c>
      <c r="AU9" s="84">
        <v>0</v>
      </c>
      <c r="AV9" s="84">
        <v>0</v>
      </c>
      <c r="AW9" s="82">
        <v>0</v>
      </c>
      <c r="AX9" s="82">
        <f t="shared" si="10"/>
        <v>0</v>
      </c>
    </row>
    <row r="10" spans="1:50" ht="18.75" x14ac:dyDescent="0.25">
      <c r="A10" s="82">
        <f t="shared" ca="1" si="1"/>
        <v>264.85728503106105</v>
      </c>
      <c r="B10" s="6">
        <v>6</v>
      </c>
      <c r="C10" s="84" t="s">
        <v>6</v>
      </c>
      <c r="D10" s="92">
        <v>86</v>
      </c>
      <c r="E10" s="6">
        <v>0.5</v>
      </c>
      <c r="F10" s="6">
        <f>76+10</f>
        <v>86</v>
      </c>
      <c r="G10" s="95">
        <f t="shared" si="2"/>
        <v>43</v>
      </c>
      <c r="H10" s="97">
        <f t="shared" si="3"/>
        <v>3698</v>
      </c>
      <c r="I10" s="88">
        <f t="shared" si="4"/>
        <v>1.1428808385101754</v>
      </c>
      <c r="J10" s="89">
        <f t="shared" si="5"/>
        <v>44.142880838510173</v>
      </c>
      <c r="K10" s="89">
        <f t="shared" si="6"/>
        <v>3796.2877521118749</v>
      </c>
      <c r="L10" s="96">
        <v>50</v>
      </c>
      <c r="M10" s="87">
        <f t="shared" si="7"/>
        <v>4300</v>
      </c>
      <c r="N10" s="87">
        <f t="shared" ca="1" si="8"/>
        <v>3900</v>
      </c>
      <c r="O10" s="91">
        <f t="shared" ca="1" si="9"/>
        <v>6</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v>0</v>
      </c>
      <c r="AR10" s="84">
        <f ca="1">SUMIFS('Tổng Đơn'!$F:$F,'Tổng Đơn'!$B:$B,$C10)</f>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0.73091216416348426</v>
      </c>
      <c r="J11" s="89">
        <f t="shared" si="5"/>
        <v>28.230912164163485</v>
      </c>
      <c r="K11" s="89">
        <f t="shared" si="6"/>
        <v>564.61824328326975</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f>SUMIFS('Tổng Đơn'!$F:$F,'Tổng Đơn'!$B:$B,$C11)</f>
        <v>0</v>
      </c>
      <c r="AS11" s="84">
        <v>0</v>
      </c>
      <c r="AT11" s="84">
        <v>0</v>
      </c>
      <c r="AU11" s="84">
        <v>0</v>
      </c>
      <c r="AV11" s="84">
        <v>0</v>
      </c>
      <c r="AW11" s="82">
        <v>0</v>
      </c>
      <c r="AX11" s="82">
        <f t="shared" si="10"/>
        <v>0</v>
      </c>
    </row>
    <row r="12" spans="1:50" ht="19.5" customHeight="1" x14ac:dyDescent="0.25">
      <c r="A12" s="82">
        <f t="shared" ca="1" si="1"/>
        <v>826.39579244187644</v>
      </c>
      <c r="B12" s="6">
        <v>8</v>
      </c>
      <c r="C12" s="84" t="s">
        <v>8</v>
      </c>
      <c r="D12" s="92">
        <v>115</v>
      </c>
      <c r="E12" s="6">
        <v>0.5</v>
      </c>
      <c r="F12" s="6">
        <v>38</v>
      </c>
      <c r="G12" s="95">
        <f t="shared" si="2"/>
        <v>57.5</v>
      </c>
      <c r="H12" s="97">
        <f t="shared" si="3"/>
        <v>2185</v>
      </c>
      <c r="I12" s="88">
        <f t="shared" si="4"/>
        <v>1.528270888705467</v>
      </c>
      <c r="J12" s="89">
        <f t="shared" si="5"/>
        <v>59.028270888705464</v>
      </c>
      <c r="K12" s="89">
        <f t="shared" si="6"/>
        <v>2243.0742937708078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f ca="1">SUMIFS('Tổng Đơn'!$F:$F,'Tổng Đơn'!$B:$B,$C12)</f>
        <v>0</v>
      </c>
      <c r="AS12" s="84">
        <v>0</v>
      </c>
      <c r="AT12" s="84">
        <v>0</v>
      </c>
      <c r="AU12" s="84">
        <v>0</v>
      </c>
      <c r="AV12" s="84">
        <v>0</v>
      </c>
      <c r="AW12" s="82">
        <v>0</v>
      </c>
      <c r="AX12" s="82">
        <f t="shared" si="10"/>
        <v>0</v>
      </c>
    </row>
    <row r="13" spans="1:50" ht="18.75" x14ac:dyDescent="0.25">
      <c r="A13" s="82">
        <f t="shared" ca="1" si="1"/>
        <v>1570.665294951641</v>
      </c>
      <c r="B13" s="6">
        <v>9</v>
      </c>
      <c r="C13" s="84" t="s">
        <v>9</v>
      </c>
      <c r="D13" s="92">
        <v>85</v>
      </c>
      <c r="E13" s="6">
        <v>0.5</v>
      </c>
      <c r="F13" s="6">
        <f>190+30</f>
        <v>220</v>
      </c>
      <c r="G13" s="95">
        <f t="shared" si="2"/>
        <v>42.5</v>
      </c>
      <c r="H13" s="97">
        <f t="shared" si="3"/>
        <v>9350</v>
      </c>
      <c r="I13" s="88">
        <f t="shared" si="4"/>
        <v>1.1295915264344756</v>
      </c>
      <c r="J13" s="89">
        <f t="shared" si="5"/>
        <v>43.629591526434474</v>
      </c>
      <c r="K13" s="89">
        <f t="shared" si="6"/>
        <v>9598.5101358155844</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v>0</v>
      </c>
      <c r="AR13" s="84">
        <f ca="1">SUMIFS('Tổng Đơn'!$F:$F,'Tổng Đơn'!$B:$B,$C13)</f>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0.71762285208778442</v>
      </c>
      <c r="J14" s="89">
        <f t="shared" si="5"/>
        <v>27.717622852087786</v>
      </c>
      <c r="K14" s="89">
        <f t="shared" si="6"/>
        <v>831.52868556263354</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f>SUMIFS('Tổng Đơn'!$F:$F,'Tổng Đơn'!$B:$B,$C14)</f>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0.71762285208778442</v>
      </c>
      <c r="J15" s="89">
        <f t="shared" si="5"/>
        <v>27.717622852087786</v>
      </c>
      <c r="K15" s="89">
        <f t="shared" si="6"/>
        <v>277.17622852087788</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f>SUMIFS('Tổng Đơn'!$F:$F,'Tổng Đơn'!$B:$B,$C15)</f>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0.54486179510368826</v>
      </c>
      <c r="J16" s="89">
        <f t="shared" si="5"/>
        <v>21.044861795103689</v>
      </c>
      <c r="K16" s="89">
        <f t="shared" si="6"/>
        <v>3367.1778872165901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f>SUMIFS('Tổng Đơn'!$F:$F,'Tổng Đơn'!$B:$B,$C16)</f>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0.54486179510368826</v>
      </c>
      <c r="J17" s="89">
        <f t="shared" si="5"/>
        <v>21.044861795103689</v>
      </c>
      <c r="K17" s="89">
        <f t="shared" si="6"/>
        <v>2314.9347974614057</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f>SUMIFS('Tổng Đơn'!$F:$F,'Tổng Đơn'!$B:$B,$C17)</f>
        <v>0</v>
      </c>
      <c r="AS17" s="84">
        <v>0</v>
      </c>
      <c r="AT17" s="84">
        <v>0</v>
      </c>
      <c r="AU17" s="84">
        <v>0</v>
      </c>
      <c r="AV17" s="84">
        <v>0</v>
      </c>
      <c r="AW17" s="82">
        <v>0</v>
      </c>
      <c r="AX17" s="82">
        <f t="shared" si="10"/>
        <v>0</v>
      </c>
    </row>
    <row r="18" spans="1:50" ht="18.75" x14ac:dyDescent="0.25">
      <c r="A18" s="82">
        <f t="shared" ca="1" si="1"/>
        <v>3072.0365327730628</v>
      </c>
      <c r="B18" s="6">
        <v>14</v>
      </c>
      <c r="C18" s="84" t="s">
        <v>14</v>
      </c>
      <c r="D18" s="92">
        <v>57</v>
      </c>
      <c r="E18" s="6">
        <v>0.5</v>
      </c>
      <c r="F18" s="6">
        <f>30+46+100</f>
        <v>176</v>
      </c>
      <c r="G18" s="95">
        <f>D18/2</f>
        <v>28.5</v>
      </c>
      <c r="H18" s="97">
        <f t="shared" ref="H18" si="11">G18*F18</f>
        <v>5016</v>
      </c>
      <c r="I18" s="88">
        <f t="shared" si="4"/>
        <v>0.75749078831488359</v>
      </c>
      <c r="J18" s="89">
        <f t="shared" si="5"/>
        <v>29.257490788314882</v>
      </c>
      <c r="K18" s="89">
        <f t="shared" si="6"/>
        <v>5149.3183787434191</v>
      </c>
      <c r="L18" s="96">
        <v>33</v>
      </c>
      <c r="M18" s="87">
        <f t="shared" ref="M18" si="12">L18*F18</f>
        <v>5808</v>
      </c>
      <c r="N18" s="87">
        <f t="shared" ca="1" si="8"/>
        <v>2343</v>
      </c>
      <c r="O18" s="91">
        <f t="shared" ref="O18" ca="1" si="13">F18-SUM(Q18:AV18)-P18</f>
        <v>105</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v>1</v>
      </c>
      <c r="AR18" s="84">
        <f ca="1">SUMIFS('Tổng Đơn'!$F:$F,'Tổng Đơn'!$B:$B,$C18)</f>
        <v>2</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0.79735872454198276</v>
      </c>
      <c r="J19" s="89">
        <f t="shared" si="5"/>
        <v>30.797358724541983</v>
      </c>
      <c r="K19" s="89">
        <f t="shared" si="6"/>
        <v>307.97358724541982</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f>SUMIFS('Tổng Đơn'!$F:$F,'Tổng Đơn'!$B:$B,$C19)</f>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0.71762285208778442</v>
      </c>
      <c r="J20" s="89">
        <f t="shared" ref="J20:J24" si="14">G20+I20</f>
        <v>27.717622852087786</v>
      </c>
      <c r="K20" s="89">
        <f t="shared" si="6"/>
        <v>277.17622852087788</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f>SUMIFS('Tổng Đơn'!$F:$F,'Tổng Đơn'!$B:$B,$C20)</f>
        <v>0</v>
      </c>
      <c r="AS20" s="84">
        <v>0</v>
      </c>
      <c r="AT20" s="84">
        <v>0</v>
      </c>
      <c r="AU20" s="84">
        <v>0</v>
      </c>
      <c r="AV20" s="84">
        <v>0</v>
      </c>
      <c r="AW20" s="82">
        <v>0</v>
      </c>
      <c r="AX20" s="82">
        <f t="shared" si="10"/>
        <v>0</v>
      </c>
    </row>
    <row r="21" spans="1:50" ht="18.75" x14ac:dyDescent="0.25">
      <c r="A21" s="82">
        <f t="shared" ca="1" si="1"/>
        <v>1559.3729300859757</v>
      </c>
      <c r="B21" s="6">
        <v>17</v>
      </c>
      <c r="C21" s="84" t="s">
        <v>280</v>
      </c>
      <c r="D21" s="92">
        <v>62</v>
      </c>
      <c r="E21" s="6">
        <v>0.5</v>
      </c>
      <c r="F21" s="6">
        <f>135+80</f>
        <v>215</v>
      </c>
      <c r="G21" s="95">
        <f t="shared" si="2"/>
        <v>31</v>
      </c>
      <c r="H21" s="97">
        <f t="shared" si="3"/>
        <v>6665</v>
      </c>
      <c r="I21" s="88">
        <f t="shared" si="4"/>
        <v>0.8239373486933822</v>
      </c>
      <c r="J21" s="89">
        <f t="shared" si="14"/>
        <v>31.823937348693381</v>
      </c>
      <c r="K21" s="89">
        <f t="shared" si="6"/>
        <v>6842.1465299690772</v>
      </c>
      <c r="L21" s="96">
        <v>40</v>
      </c>
      <c r="M21" s="87">
        <f t="shared" si="7"/>
        <v>8600</v>
      </c>
      <c r="N21" s="87">
        <f t="shared" ca="1" si="8"/>
        <v>6640</v>
      </c>
      <c r="O21" s="91">
        <f t="shared" ca="1" si="9"/>
        <v>49</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v>1</v>
      </c>
      <c r="AR21" s="84">
        <f ca="1">SUMIFS('Tổng Đơn'!$F:$F,'Tổng Đơn'!$B:$B,$C21)</f>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0.57144041925508771</v>
      </c>
      <c r="J22" s="89">
        <f t="shared" si="14"/>
        <v>22.071440419255087</v>
      </c>
      <c r="K22" s="89">
        <f t="shared" si="6"/>
        <v>551.78601048137716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f ca="1">SUMIFS('Tổng Đơn'!$F:$F,'Tổng Đơn'!$B:$B,$C22)</f>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0.57808507529293751</v>
      </c>
      <c r="J23" s="89">
        <f t="shared" si="14"/>
        <v>22.328085075292936</v>
      </c>
      <c r="K23" s="89">
        <f t="shared" si="6"/>
        <v>1562.9659552705054</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f ca="1">SUMIFS('Tổng Đơn'!$F:$F,'Tổng Đơn'!$B:$B,$C23)</f>
        <v>0</v>
      </c>
      <c r="AS23" s="84">
        <v>0</v>
      </c>
      <c r="AT23" s="84">
        <v>0</v>
      </c>
      <c r="AU23" s="84">
        <v>0</v>
      </c>
      <c r="AV23" s="84">
        <v>0</v>
      </c>
      <c r="AW23" s="82">
        <v>0</v>
      </c>
      <c r="AX23" s="82">
        <f t="shared" si="10"/>
        <v>0</v>
      </c>
    </row>
    <row r="24" spans="1:50" ht="18.75" x14ac:dyDescent="0.25">
      <c r="A24" s="82">
        <f t="shared" ca="1" si="1"/>
        <v>1281.1701229409464</v>
      </c>
      <c r="B24" s="6">
        <v>20</v>
      </c>
      <c r="C24" s="84" t="s">
        <v>171</v>
      </c>
      <c r="D24" s="92">
        <v>39</v>
      </c>
      <c r="E24" s="6">
        <v>1</v>
      </c>
      <c r="F24" s="6">
        <f>105+35+40+30+50+15</f>
        <v>275</v>
      </c>
      <c r="G24" s="95">
        <f t="shared" si="2"/>
        <v>39</v>
      </c>
      <c r="H24" s="97">
        <f t="shared" si="3"/>
        <v>10725</v>
      </c>
      <c r="I24" s="88">
        <f t="shared" si="4"/>
        <v>1.0365663419045776</v>
      </c>
      <c r="J24" s="89">
        <f t="shared" si="14"/>
        <v>40.036566341904575</v>
      </c>
      <c r="K24" s="89">
        <f t="shared" si="6"/>
        <v>11010.055744023757</v>
      </c>
      <c r="L24" s="96">
        <v>45</v>
      </c>
      <c r="M24" s="87">
        <f t="shared" si="7"/>
        <v>12375</v>
      </c>
      <c r="N24" s="87">
        <f t="shared" ca="1" si="8"/>
        <v>10980</v>
      </c>
      <c r="O24" s="91">
        <f t="shared" ca="1" si="9"/>
        <v>32</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v>3</v>
      </c>
      <c r="AR24" s="84">
        <f ca="1">SUMIFS('Tổng Đơn'!$F:$F,'Tổng Đơn'!$B:$B,$C24)</f>
        <v>2</v>
      </c>
      <c r="AS24" s="84">
        <v>0</v>
      </c>
      <c r="AT24" s="84">
        <v>0</v>
      </c>
      <c r="AU24" s="84">
        <v>0</v>
      </c>
      <c r="AV24" s="84">
        <v>0</v>
      </c>
      <c r="AW24" s="82">
        <v>0</v>
      </c>
      <c r="AX24" s="82">
        <f t="shared" si="10"/>
        <v>0</v>
      </c>
    </row>
    <row r="25" spans="1:50" ht="18.75" x14ac:dyDescent="0.25">
      <c r="A25" s="82">
        <f t="shared" ca="1" si="1"/>
        <v>2232.8085075292938</v>
      </c>
      <c r="B25" s="6">
        <v>21</v>
      </c>
      <c r="C25" s="84" t="s">
        <v>169</v>
      </c>
      <c r="D25" s="92">
        <v>145</v>
      </c>
      <c r="E25" s="6">
        <v>0.5</v>
      </c>
      <c r="F25" s="6">
        <f>76+40+40+20+20</f>
        <v>196</v>
      </c>
      <c r="G25" s="95">
        <f t="shared" si="2"/>
        <v>72.5</v>
      </c>
      <c r="H25" s="97">
        <f t="shared" si="3"/>
        <v>14210</v>
      </c>
      <c r="I25" s="88">
        <f t="shared" si="4"/>
        <v>1.9269502509764584</v>
      </c>
      <c r="J25" s="89">
        <f>G25+I25</f>
        <v>74.426950250976461</v>
      </c>
      <c r="K25" s="89">
        <f t="shared" si="6"/>
        <v>14587.682249191386</v>
      </c>
      <c r="L25" s="96">
        <v>80</v>
      </c>
      <c r="M25" s="87">
        <f t="shared" si="7"/>
        <v>15680</v>
      </c>
      <c r="N25" s="87">
        <f t="shared" ca="1" si="8"/>
        <v>13200</v>
      </c>
      <c r="O25" s="91">
        <f t="shared" ca="1" si="9"/>
        <v>30</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v>3</v>
      </c>
      <c r="AR25" s="84">
        <f ca="1">SUMIFS('Tổng Đơn'!$F:$F,'Tổng Đơn'!$B:$B,$C25)</f>
        <v>1</v>
      </c>
      <c r="AS25" s="84">
        <v>0</v>
      </c>
      <c r="AT25" s="84">
        <v>0</v>
      </c>
      <c r="AU25" s="84">
        <v>0</v>
      </c>
      <c r="AV25" s="84">
        <v>0</v>
      </c>
      <c r="AW25" s="82">
        <v>0</v>
      </c>
      <c r="AX25" s="82">
        <f t="shared" si="10"/>
        <v>0</v>
      </c>
    </row>
    <row r="26" spans="1:50" ht="18.75" x14ac:dyDescent="0.25">
      <c r="A26" s="82">
        <f t="shared" ca="1" si="1"/>
        <v>1321.2066892828509</v>
      </c>
      <c r="B26" s="6">
        <v>22</v>
      </c>
      <c r="C26" s="84" t="s">
        <v>277</v>
      </c>
      <c r="D26" s="92">
        <v>78</v>
      </c>
      <c r="E26" s="6">
        <v>0.5</v>
      </c>
      <c r="F26" s="6">
        <f>27+20</f>
        <v>47</v>
      </c>
      <c r="G26" s="95">
        <f t="shared" si="2"/>
        <v>39</v>
      </c>
      <c r="H26" s="97">
        <f t="shared" si="3"/>
        <v>1833</v>
      </c>
      <c r="I26" s="88">
        <f t="shared" ref="I26:I30" si="15">((H26/$H$4)*$A$2)/F26</f>
        <v>1.0365663419045776</v>
      </c>
      <c r="J26" s="89">
        <f t="shared" ref="J26:J30" si="16">G26+I26</f>
        <v>40.036566341904575</v>
      </c>
      <c r="K26" s="89">
        <f t="shared" ref="K26:K30" si="17">J26*F26</f>
        <v>1881.7186180695151</v>
      </c>
      <c r="L26" s="96">
        <v>44</v>
      </c>
      <c r="M26" s="87">
        <f t="shared" si="7"/>
        <v>2068</v>
      </c>
      <c r="N26" s="87">
        <f t="shared" ca="1" si="8"/>
        <v>616</v>
      </c>
      <c r="O26" s="91">
        <f t="shared" ca="1" si="9"/>
        <v>33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v>1</v>
      </c>
      <c r="AR26" s="84">
        <f ca="1">SUMIFS('Tổng Đơn'!$F:$F,'Tổng Đơn'!$B:$B,$C26)</f>
        <v>0</v>
      </c>
      <c r="AS26" s="84">
        <v>0</v>
      </c>
      <c r="AT26" s="84">
        <v>0</v>
      </c>
      <c r="AU26" s="84">
        <v>0</v>
      </c>
      <c r="AV26" s="84">
        <v>0</v>
      </c>
      <c r="AW26" s="82">
        <v>0</v>
      </c>
      <c r="AX26" s="82">
        <f t="shared" si="10"/>
        <v>0</v>
      </c>
    </row>
    <row r="27" spans="1:50" ht="18.75" x14ac:dyDescent="0.25">
      <c r="A27" s="82">
        <f t="shared" ca="1" si="1"/>
        <v>666.24952707425825</v>
      </c>
      <c r="B27" s="6">
        <v>23</v>
      </c>
      <c r="C27" s="84" t="s">
        <v>176</v>
      </c>
      <c r="D27" s="92">
        <v>59</v>
      </c>
      <c r="E27" s="6">
        <v>0.5</v>
      </c>
      <c r="F27" s="6">
        <f>10+10+20</f>
        <v>40</v>
      </c>
      <c r="G27" s="95">
        <f t="shared" si="2"/>
        <v>29.5</v>
      </c>
      <c r="H27" s="97">
        <f t="shared" si="3"/>
        <v>1180</v>
      </c>
      <c r="I27" s="88">
        <f t="shared" si="15"/>
        <v>0.78406941246628314</v>
      </c>
      <c r="J27" s="89">
        <f t="shared" si="16"/>
        <v>30.284069412466284</v>
      </c>
      <c r="K27" s="89">
        <f t="shared" si="17"/>
        <v>1211.3627764986513</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v>0</v>
      </c>
      <c r="AR27" s="84">
        <f ca="1">SUMIFS('Tổng Đơn'!$F:$F,'Tổng Đơn'!$B:$B,$C27)</f>
        <v>0</v>
      </c>
      <c r="AS27" s="84">
        <v>0</v>
      </c>
      <c r="AT27" s="84">
        <v>0</v>
      </c>
      <c r="AU27" s="84">
        <v>0</v>
      </c>
      <c r="AV27" s="84">
        <v>0</v>
      </c>
      <c r="AW27" s="82">
        <v>0</v>
      </c>
      <c r="AX27" s="82">
        <f t="shared" si="10"/>
        <v>0</v>
      </c>
    </row>
    <row r="28" spans="1:50" ht="18.75" x14ac:dyDescent="0.25">
      <c r="A28" s="82">
        <f t="shared" ca="1" si="1"/>
        <v>549.73285323307437</v>
      </c>
      <c r="B28" s="6">
        <v>24</v>
      </c>
      <c r="C28" s="84" t="s">
        <v>177</v>
      </c>
      <c r="D28" s="92">
        <v>63</v>
      </c>
      <c r="E28" s="6">
        <v>0.5</v>
      </c>
      <c r="F28" s="6">
        <f>30+20+20</f>
        <v>70</v>
      </c>
      <c r="G28" s="95">
        <f t="shared" si="2"/>
        <v>31.5</v>
      </c>
      <c r="H28" s="97">
        <f t="shared" si="3"/>
        <v>2205</v>
      </c>
      <c r="I28" s="88">
        <f t="shared" si="15"/>
        <v>0.83722666076908181</v>
      </c>
      <c r="J28" s="89">
        <f t="shared" si="16"/>
        <v>32.337226660769083</v>
      </c>
      <c r="K28" s="89">
        <f t="shared" si="17"/>
        <v>2263.6058662538358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v>0</v>
      </c>
      <c r="AR28" s="84">
        <f ca="1">SUMIFS('Tổng Đơn'!$F:$F,'Tổng Đơn'!$B:$B,$C28)</f>
        <v>0</v>
      </c>
      <c r="AS28" s="84">
        <v>0</v>
      </c>
      <c r="AT28" s="84">
        <v>0</v>
      </c>
      <c r="AU28" s="84">
        <v>0</v>
      </c>
      <c r="AV28" s="84">
        <v>0</v>
      </c>
      <c r="AW28" s="82">
        <v>0</v>
      </c>
      <c r="AX28" s="82">
        <f t="shared" si="10"/>
        <v>0</v>
      </c>
    </row>
    <row r="29" spans="1:50" ht="18.75" x14ac:dyDescent="0.25">
      <c r="A29" s="82">
        <f t="shared" ca="1" si="1"/>
        <v>1352.5173373194687</v>
      </c>
      <c r="B29" s="6">
        <v>25</v>
      </c>
      <c r="C29" s="84" t="s">
        <v>201</v>
      </c>
      <c r="D29" s="92">
        <v>85</v>
      </c>
      <c r="E29" s="6">
        <v>0.5</v>
      </c>
      <c r="F29" s="6">
        <f>50+40</f>
        <v>90</v>
      </c>
      <c r="G29" s="95">
        <f t="shared" si="2"/>
        <v>42.5</v>
      </c>
      <c r="H29" s="97">
        <f t="shared" si="3"/>
        <v>3825</v>
      </c>
      <c r="I29" s="88">
        <f t="shared" si="15"/>
        <v>1.1295915264344756</v>
      </c>
      <c r="J29" s="89">
        <f t="shared" si="16"/>
        <v>43.629591526434474</v>
      </c>
      <c r="K29" s="89">
        <f t="shared" si="17"/>
        <v>3926.6632373791026</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v>0</v>
      </c>
      <c r="AR29" s="84">
        <f ca="1">SUMIFS('Tổng Đơn'!$F:$F,'Tổng Đơn'!$B:$B,$C29)</f>
        <v>0</v>
      </c>
      <c r="AS29" s="84">
        <v>0</v>
      </c>
      <c r="AT29" s="84">
        <v>0</v>
      </c>
      <c r="AU29" s="84">
        <v>0</v>
      </c>
      <c r="AV29" s="84">
        <v>0</v>
      </c>
      <c r="AW29" s="82">
        <v>0</v>
      </c>
      <c r="AX29" s="82">
        <f t="shared" si="10"/>
        <v>0</v>
      </c>
    </row>
    <row r="30" spans="1:50" ht="18.75" x14ac:dyDescent="0.25">
      <c r="A30" s="82">
        <f t="shared" ca="1" si="1"/>
        <v>491.21787165644457</v>
      </c>
      <c r="B30" s="6">
        <v>26</v>
      </c>
      <c r="C30" s="84" t="s">
        <v>204</v>
      </c>
      <c r="D30" s="92">
        <v>87</v>
      </c>
      <c r="E30" s="6">
        <v>0.5</v>
      </c>
      <c r="F30" s="6">
        <v>20</v>
      </c>
      <c r="G30" s="95">
        <f>D30/2</f>
        <v>43.5</v>
      </c>
      <c r="H30" s="97">
        <f t="shared" si="3"/>
        <v>870</v>
      </c>
      <c r="I30" s="88">
        <f t="shared" si="15"/>
        <v>1.156170150585875</v>
      </c>
      <c r="J30" s="89">
        <f t="shared" si="16"/>
        <v>44.656170150585872</v>
      </c>
      <c r="K30" s="89">
        <f t="shared" si="17"/>
        <v>893.12340301171741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v>0</v>
      </c>
      <c r="AR30" s="84">
        <f ca="1">SUMIFS('Tổng Đơn'!$F:$F,'Tổng Đơn'!$B:$B,$C30)</f>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291</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23" priority="25">
      <formula>($O6/$O6)&lt;=1/4</formula>
    </cfRule>
  </conditionalFormatting>
  <conditionalFormatting sqref="C20">
    <cfRule type="expression" dxfId="422" priority="24">
      <formula>($O20/$O20)&lt;=1/4</formula>
    </cfRule>
  </conditionalFormatting>
  <conditionalFormatting sqref="C21">
    <cfRule type="expression" dxfId="421" priority="22">
      <formula>($O21/$O21)&lt;=1/4</formula>
    </cfRule>
  </conditionalFormatting>
  <conditionalFormatting sqref="C22">
    <cfRule type="expression" dxfId="420" priority="20">
      <formula>($O22/$O22)&lt;=1/4</formula>
    </cfRule>
  </conditionalFormatting>
  <conditionalFormatting sqref="C23">
    <cfRule type="expression" dxfId="419" priority="18">
      <formula>($O23/$O23)&lt;=1/4</formula>
    </cfRule>
  </conditionalFormatting>
  <conditionalFormatting sqref="C24:C25">
    <cfRule type="expression" dxfId="418" priority="16">
      <formula>($O24/$O24)&lt;=1/4</formula>
    </cfRule>
  </conditionalFormatting>
  <conditionalFormatting sqref="C26">
    <cfRule type="expression" dxfId="417" priority="14">
      <formula>($O26/$O26)&lt;=1/4</formula>
    </cfRule>
  </conditionalFormatting>
  <conditionalFormatting sqref="C27:C28">
    <cfRule type="expression" dxfId="416" priority="12">
      <formula>($O27/$O27)&lt;=1/4</formula>
    </cfRule>
  </conditionalFormatting>
  <conditionalFormatting sqref="C29">
    <cfRule type="expression" dxfId="415" priority="9">
      <formula>($O29/$O29)&lt;=1/4</formula>
    </cfRule>
  </conditionalFormatting>
  <conditionalFormatting sqref="C30:C32">
    <cfRule type="expression" dxfId="414" priority="7">
      <formula>($O30/$O30)&lt;=1/4</formula>
    </cfRule>
  </conditionalFormatting>
  <conditionalFormatting sqref="C5:C32">
    <cfRule type="expression" dxfId="413"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43282</v>
      </c>
      <c r="G1" s="103" t="s">
        <v>151</v>
      </c>
      <c r="H1" s="153">
        <f>60000+6217+H4+H5</f>
        <v>136017</v>
      </c>
      <c r="I1" s="104">
        <f>H1-H2-H3</f>
        <v>-308309</v>
      </c>
      <c r="J1" s="111" t="s">
        <v>149</v>
      </c>
      <c r="L1">
        <f>45+40+48+50+100+28+42</f>
        <v>353</v>
      </c>
    </row>
    <row r="2" spans="1:17" ht="27.75" customHeight="1" x14ac:dyDescent="0.25">
      <c r="G2" s="114" t="s">
        <v>148</v>
      </c>
      <c r="H2" s="105">
        <f>D1</f>
        <v>43282</v>
      </c>
      <c r="I2" s="106">
        <f>-13924-1120</f>
        <v>-15044</v>
      </c>
      <c r="J2" s="106" t="s">
        <v>152</v>
      </c>
      <c r="L2" s="244"/>
      <c r="N2">
        <v>6000</v>
      </c>
    </row>
    <row r="3" spans="1:17" ht="27.75" customHeight="1" x14ac:dyDescent="0.25">
      <c r="G3" s="107" t="s">
        <v>150</v>
      </c>
      <c r="H3" s="119">
        <f>INT('Quốc Nhân'!K4+'La Cusina'!K4+TVP!J4+Gà!K4+Kitkool!K4)</f>
        <v>401044</v>
      </c>
      <c r="I3" s="108">
        <f>I1+I2</f>
        <v>-323353</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328497</v>
      </c>
      <c r="J4" s="113" t="s">
        <v>157</v>
      </c>
      <c r="N4">
        <v>4000</v>
      </c>
    </row>
    <row r="5" spans="1:17" ht="27.75" customHeight="1" x14ac:dyDescent="0.25">
      <c r="A5" s="134" t="s">
        <v>225</v>
      </c>
      <c r="B5">
        <v>200</v>
      </c>
      <c r="G5" s="109" t="s">
        <v>197</v>
      </c>
      <c r="H5" s="149">
        <f>7400+5000+2400+10000</f>
        <v>24800</v>
      </c>
      <c r="I5" s="115">
        <f ca="1">I4+I3</f>
        <v>5144</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f>
        <v>910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296</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K11" sqref="K1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56315.616167984204</v>
      </c>
      <c r="B1" s="263" t="str">
        <f>"Tiền Hàng: "&amp;INT('Quốc Nhân'!K4+'La Cusina'!K4+TVP!J4+Gà!K4+Kitkool!K4)</f>
        <v>Tiền Hàng: 401044</v>
      </c>
      <c r="C1" s="262" t="str">
        <f ca="1">"Giá trị hàng Tồn: "&amp;INT('Quốc Nhân'!A4+'La Cusina'!A4+TVP!A4+Gà!A4+Kitkool!A4)</f>
        <v>Giá trị hàng Tồn: 72547</v>
      </c>
      <c r="D1" s="261" t="str">
        <f ca="1">"Giá trị Hàng xuất: "&amp;CHAR(10)&amp;INT('Quốc Nhân'!K4+'La Cusina'!K4+TVP!J4+Gà!K4+Kitkool!K4-('Quốc Nhân'!A4+'La Cusina'!A4+TVP!A4+Gà!A4+Kitkool!A4))</f>
        <v>Giá trị Hàng xuất: 
328497</v>
      </c>
      <c r="E1" s="264" t="str">
        <f ca="1">"Doanh Thu Tích Lũy: "&amp;INT('Quốc Nhân'!N4+'La Cusina'!N4+TVP!M4+Gà!N4+Kitkool!N4)</f>
        <v>Doanh Thu Tích Lũy: 384812</v>
      </c>
      <c r="F1" s="259">
        <v>9999</v>
      </c>
      <c r="G1" s="206">
        <f>-774-503+13</f>
        <v>-1264</v>
      </c>
      <c r="H1" s="207" t="s">
        <v>262</v>
      </c>
      <c r="I1" s="208">
        <f>-176</f>
        <v>-176</v>
      </c>
      <c r="J1" s="209" t="s">
        <v>263</v>
      </c>
      <c r="K1" s="212">
        <f>-135-500-250</f>
        <v>-885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06">
        <v>-100</v>
      </c>
      <c r="L2" s="207" t="s">
        <v>318</v>
      </c>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67.05</v>
      </c>
      <c r="G4" s="55"/>
      <c r="H4" s="75">
        <f ca="1">SUBTOTAL(9,H5:H92)</f>
        <v>762338.47233165521</v>
      </c>
      <c r="I4" s="75">
        <f ca="1">K4-J4</f>
        <v>538838.47233165521</v>
      </c>
      <c r="J4" s="40">
        <f ca="1">SUBTOTAL(9,J5:J92)</f>
        <v>3353161.5276683448</v>
      </c>
      <c r="K4" s="60">
        <f ca="1">SUM(L4:BC4)</f>
        <v>3892000</v>
      </c>
      <c r="L4" s="79">
        <f ca="1">IFERROR(INDIRECT("'Thanh Toán ("&amp;L$3&amp;")'!$H"&amp;SUBTOTAL(3,INDIRECT("'Thanh Toán ("&amp;L$3&amp;")'!$H$8:$H$50"))+7-COUNTIF(INDIRECT("'Thanh Toán ("&amp;L$3&amp;")'!$H$8:$H$50"),""&amp;"*")),"")</f>
        <v>360000</v>
      </c>
      <c r="M4" s="79">
        <f t="shared" ref="M4:AN4" ca="1" si="0">IFERROR(INDIRECT("'Thanh Toán ("&amp;M$3&amp;")'!$H"&amp;SUBTOTAL(3,INDIRECT("'Thanh Toán ("&amp;M$3&amp;")'!$H$8:$H$50"))+7-COUNTIF(INDIRECT("'Thanh Toán ("&amp;M$3&amp;")'!$H$8:$H$50"),""&amp;"*")),"")</f>
        <v>330000</v>
      </c>
      <c r="N4" s="79">
        <f t="shared" ca="1" si="0"/>
        <v>416000</v>
      </c>
      <c r="O4" s="79">
        <f t="shared" ca="1" si="0"/>
        <v>410000</v>
      </c>
      <c r="P4" s="79">
        <f t="shared" ca="1" si="0"/>
        <v>535000</v>
      </c>
      <c r="Q4" s="79">
        <f t="shared" ca="1" si="0"/>
        <v>76000</v>
      </c>
      <c r="R4" s="79">
        <f t="shared" ca="1" si="0"/>
        <v>64000</v>
      </c>
      <c r="S4" s="79">
        <f t="shared" ca="1" si="0"/>
        <v>200000</v>
      </c>
      <c r="T4" s="79">
        <f t="shared" ca="1" si="0"/>
        <v>225000</v>
      </c>
      <c r="U4" s="79">
        <f t="shared" ca="1" si="0"/>
        <v>115000</v>
      </c>
      <c r="V4" s="79">
        <f t="shared" ca="1" si="0"/>
        <v>408000</v>
      </c>
      <c r="W4" s="79">
        <f t="shared" ca="1" si="0"/>
        <v>400000</v>
      </c>
      <c r="X4" s="79">
        <f t="shared" ca="1" si="0"/>
        <v>98000</v>
      </c>
      <c r="Y4" s="79">
        <f t="shared" ca="1" si="0"/>
        <v>103000</v>
      </c>
      <c r="Z4" s="79">
        <f t="shared" ca="1" si="0"/>
        <v>25000</v>
      </c>
      <c r="AA4" s="79">
        <f t="shared" ca="1" si="0"/>
        <v>127000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3.5</v>
      </c>
      <c r="G5" s="201">
        <f>IFERROR(VLOOKUP($B5,Gà!C:J,8,0),IFERROR(VLOOKUP($B5,TVP!C:J,7,0),IFERROR(VLOOKUP($B5,Kitkool!C:J,8,0),IFERROR(VLOOKUP($B5,'La Cusina'!C:J,8,0),VLOOKUP($B5,'Quốc Nhân'!C:J,8,0)))))</f>
        <v>32.700207582136024</v>
      </c>
      <c r="H5" s="202">
        <f ca="1">(D5-G5*1000)*$F5</f>
        <v>60549.273462523917</v>
      </c>
      <c r="I5" s="225">
        <f>D5/(G5*1000)-1</f>
        <v>0.52904228128859887</v>
      </c>
      <c r="J5" s="202">
        <f ca="1">F5*G5*1000</f>
        <v>114450.72653747609</v>
      </c>
      <c r="K5" s="53"/>
      <c r="L5" s="181">
        <f ca="1">IFERROR(SUMIFS(INDIRECT("'Thanh Toán ("&amp;L$3&amp;")'!$F:$F"),INDIRECT("'Thanh Toán ("&amp;L$3&amp;")'!$D:$D"),'Tổng Đơn'!$B5),0)</f>
        <v>2</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1</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0.5</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6.55</v>
      </c>
      <c r="G6" s="201">
        <f>IFERROR(VLOOKUP($B6,Gà!C:J,8,0),IFERROR(VLOOKUP($B6,TVP!C:J,7,0),IFERROR(VLOOKUP($B6,Kitkool!C:J,8,0),IFERROR(VLOOKUP($B6,'La Cusina'!C:J,8,0),VLOOKUP($B6,'Quốc Nhân'!C:J,8,0)))))</f>
        <v>54.011031670691168</v>
      </c>
      <c r="H6" s="202">
        <f ca="1">(D6-G6*1000)*$F6</f>
        <v>104727.74255697284</v>
      </c>
      <c r="I6" s="225">
        <f t="shared" ref="I6:I69" si="3">D6/(G6*1000)-1</f>
        <v>0.29603152975848768</v>
      </c>
      <c r="J6" s="202">
        <f t="shared" ref="J6:J69" ca="1" si="4">F6*G6*1000</f>
        <v>353772.25744302711</v>
      </c>
      <c r="K6" s="53"/>
      <c r="L6" s="181">
        <f ca="1">IFERROR(SUMIFS(INDIRECT("'Thanh Toán ("&amp;L$3&amp;")'!$F:$F"),INDIRECT("'Thanh Toán ("&amp;L$3&amp;")'!$D:$D"),'Tổng Đơn'!$B6),0)</f>
        <v>1</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5</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0.55000000000000004</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7</v>
      </c>
      <c r="G7" s="201">
        <f>IFERROR(VLOOKUP($B7,Gà!C:J,8,0),IFERROR(VLOOKUP($B7,TVP!C:J,7,0),IFERROR(VLOOKUP($B7,Kitkool!C:J,8,0),IFERROR(VLOOKUP($B7,'La Cusina'!C:J,8,0),VLOOKUP($B7,'Quốc Nhân'!C:J,8,0)))))</f>
        <v>43.002224229353686</v>
      </c>
      <c r="H7" s="202">
        <f t="shared" ref="H7:H69" ca="1" si="5">(D7-G7*1000)*$F7</f>
        <v>34984.430394524214</v>
      </c>
      <c r="I7" s="225">
        <f t="shared" si="3"/>
        <v>0.11622133180810668</v>
      </c>
      <c r="J7" s="202">
        <f t="shared" ca="1" si="4"/>
        <v>301015.56960547576</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5</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2</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41.419417865572392</v>
      </c>
      <c r="H8" s="202">
        <f t="shared" ca="1" si="5"/>
        <v>0</v>
      </c>
      <c r="I8" s="225">
        <f t="shared" si="3"/>
        <v>0.15887674123728712</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21.814795763217237</v>
      </c>
      <c r="H9" s="202">
        <f t="shared" ca="1" si="5"/>
        <v>0</v>
      </c>
      <c r="I9" s="225">
        <f t="shared" si="3"/>
        <v>0.14601118760659948</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22.584729731330789</v>
      </c>
      <c r="H10" s="202">
        <f t="shared" ca="1" si="5"/>
        <v>0</v>
      </c>
      <c r="I10" s="225">
        <f t="shared" si="3"/>
        <v>0.23977573931986651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22.328085075292936</v>
      </c>
      <c r="H11" s="202">
        <f t="shared" ca="1" si="5"/>
        <v>0</v>
      </c>
      <c r="I11" s="225">
        <f t="shared" si="3"/>
        <v>0.34359932340084076</v>
      </c>
      <c r="J11" s="202">
        <f t="shared" ca="1" si="4"/>
        <v>0</v>
      </c>
      <c r="K11" s="137">
        <f ca="1">I4/J4</f>
        <v>0.16069565032446917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33.237804460027228</v>
      </c>
      <c r="H12" s="202">
        <f t="shared" ca="1" si="5"/>
        <v>4762.195539972774</v>
      </c>
      <c r="I12" s="225">
        <f t="shared" si="3"/>
        <v>0.14327647741293892</v>
      </c>
      <c r="J12" s="202">
        <f t="shared" ca="1" si="4"/>
        <v>33237.804460027226</v>
      </c>
      <c r="K12" s="53"/>
      <c r="L12" s="2">
        <f ca="1">IFERROR(SUMIFS(INDIRECT("'Thanh Toán ("&amp;L$3&amp;")'!$F:$F"),INDIRECT("'Thanh Toán ("&amp;L$3&amp;")'!$D:$D"),'Tổng Đơn'!$B12),0)</f>
        <v>0</v>
      </c>
      <c r="M12" s="2">
        <f ca="1">IFERROR(SUMIFS(INDIRECT("'Thanh Toán ("&amp;M$3&amp;")'!$F:$F"),INDIRECT("'Thanh Toán ("&amp;M$3&amp;")'!$D:$D"),'Tổng Đơn'!$B12),0)</f>
        <v>1</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2</v>
      </c>
      <c r="G13" s="201">
        <f>IFERROR(VLOOKUP($B13,Gà!C:J,8,0),IFERROR(VLOOKUP($B13,TVP!C:J,7,0),IFERROR(VLOOKUP($B13,Kitkool!C:J,8,0),IFERROR(VLOOKUP($B13,'La Cusina'!C:J,8,0),VLOOKUP($B13,'Quốc Nhân'!C:J,8,0)))))</f>
        <v>38.351312838492952</v>
      </c>
      <c r="H13" s="202">
        <f t="shared" ca="1" si="5"/>
        <v>7297.3743230140972</v>
      </c>
      <c r="I13" s="225">
        <f t="shared" si="3"/>
        <v>9.5138520469236321E-2</v>
      </c>
      <c r="J13" s="202">
        <f t="shared" ca="1" si="4"/>
        <v>76702.625676985903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2</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30.169699432947791</v>
      </c>
      <c r="H14" s="202">
        <f t="shared" ca="1" si="5"/>
        <v>0</v>
      </c>
      <c r="I14" s="225">
        <f t="shared" si="3"/>
        <v>0.16010436490385205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32.215102784334078</v>
      </c>
      <c r="H15" s="202">
        <f t="shared" ca="1" si="5"/>
        <v>12784.897215665922</v>
      </c>
      <c r="I15" s="225">
        <f t="shared" si="3"/>
        <v>0.39686035774137296</v>
      </c>
      <c r="J15" s="202">
        <f t="shared" ca="1" si="4"/>
        <v>32215.102784334078</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44.142880838510173</v>
      </c>
      <c r="H16" s="202">
        <f t="shared" ca="1" si="5"/>
        <v>0</v>
      </c>
      <c r="I16" s="225">
        <f t="shared" si="3"/>
        <v>0.13268547612280179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17</v>
      </c>
      <c r="G22" s="201">
        <f>IFERROR(VLOOKUP($B22,Gà!C:J,8,0),IFERROR(VLOOKUP($B22,TVP!C:J,7,0),IFERROR(VLOOKUP($B22,Kitkool!C:J,8,0),IFERROR(VLOOKUP($B22,'La Cusina'!C:J,8,0),VLOOKUP($B22,'Quốc Nhân'!C:J,8,0)))))</f>
        <v>34.903673221147578</v>
      </c>
      <c r="H22" s="202">
        <f t="shared" ca="1" si="5"/>
        <v>86637.555240491216</v>
      </c>
      <c r="I22" s="225">
        <f t="shared" si="3"/>
        <v>0.14601118760659948</v>
      </c>
      <c r="J22" s="202">
        <f t="shared" ca="1" si="4"/>
        <v>593362.44475950883</v>
      </c>
      <c r="K22" s="53"/>
      <c r="L22" s="2">
        <f ca="1">IFERROR(SUMIFS(INDIRECT("'Thanh Toán ("&amp;L$3&amp;")'!$F:$F"),INDIRECT("'Thanh Toán ("&amp;L$3&amp;")'!$D:$D"),'Tổng Đơn'!$B22),0)</f>
        <v>0</v>
      </c>
      <c r="M22" s="2">
        <f ca="1">IFERROR(SUMIFS(INDIRECT("'Thanh Toán ("&amp;M$3&amp;")'!$F:$F"),INDIRECT("'Thanh Toán ("&amp;M$3&amp;")'!$D:$D"),'Tổng Đơn'!$B22),0)</f>
        <v>2</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5</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10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30.797358724541983</v>
      </c>
      <c r="H23" s="202">
        <f t="shared" ca="1" si="5"/>
        <v>0</v>
      </c>
      <c r="I23" s="225">
        <f t="shared" si="3"/>
        <v>0.29881267928747923</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43.629591526434474</v>
      </c>
      <c r="H24" s="202">
        <f t="shared" ca="1" si="5"/>
        <v>0</v>
      </c>
      <c r="I24" s="225">
        <f t="shared" si="3"/>
        <v>0.26061230636725941</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2</v>
      </c>
      <c r="G25" s="201">
        <f>IFERROR(VLOOKUP($B25,Gà!C:J,8,0),IFERROR(VLOOKUP($B25,TVP!C:J,7,0),IFERROR(VLOOKUP($B25,Kitkool!C:J,8,0),IFERROR(VLOOKUP($B25,'La Cusina'!C:J,8,0),VLOOKUP($B25,'Quốc Nhân'!C:J,8,0)))))</f>
        <v>29.257490788314882</v>
      </c>
      <c r="H25" s="202">
        <f t="shared" ca="1" si="5"/>
        <v>11485.018423370238</v>
      </c>
      <c r="I25" s="225">
        <f t="shared" si="3"/>
        <v>0.19627483618583641</v>
      </c>
      <c r="J25" s="202">
        <f t="shared" ca="1" si="4"/>
        <v>58514.981576629762</v>
      </c>
      <c r="K25" s="53"/>
      <c r="L25" s="2">
        <f ca="1">IFERROR(SUMIFS(INDIRECT("'Thanh Toán ("&amp;L$3&amp;")'!$F:$F"),INDIRECT("'Thanh Toán ("&amp;L$3&amp;")'!$D:$D"),'Tổng Đơn'!$B25),0)</f>
        <v>2</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59.028270888705464</v>
      </c>
      <c r="H26" s="202">
        <f t="shared" ca="1" si="5"/>
        <v>0</v>
      </c>
      <c r="I26" s="225">
        <f t="shared" si="3"/>
        <v>0.16893141135873146</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v>
      </c>
      <c r="G28" s="201">
        <f>IFERROR(VLOOKUP($B28,Gà!C:J,8,0),IFERROR(VLOOKUP($B28,TVP!C:J,7,0),IFERROR(VLOOKUP($B28,Kitkool!C:J,8,0),IFERROR(VLOOKUP($B28,'La Cusina'!C:J,8,0),VLOOKUP($B28,'Quốc Nhân'!C:J,8,0)))))</f>
        <v>40.908067027725814</v>
      </c>
      <c r="H28" s="202">
        <f t="shared" ca="1" si="5"/>
        <v>9091.9329722741895</v>
      </c>
      <c r="I28" s="225">
        <f t="shared" si="3"/>
        <v>0.22225281302370137</v>
      </c>
      <c r="J28" s="202">
        <f t="shared" ca="1" si="4"/>
        <v>40908.06702772581</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1</v>
      </c>
      <c r="G30" s="201">
        <f>IFERROR(VLOOKUP($B30,Gà!C:J,8,0),IFERROR(VLOOKUP($B30,TVP!C:J,7,0),IFERROR(VLOOKUP($B30,Kitkool!C:J,8,0),IFERROR(VLOOKUP($B30,'La Cusina'!C:J,8,0),VLOOKUP($B30,'Quốc Nhân'!C:J,8,0)))))</f>
        <v>11.25147903739453</v>
      </c>
      <c r="H30" s="202">
        <f t="shared" ca="1" si="5"/>
        <v>2748.5209626054693</v>
      </c>
      <c r="I30" s="225">
        <f t="shared" si="3"/>
        <v>0.24428085885159634</v>
      </c>
      <c r="J30" s="202">
        <f t="shared" ca="1" si="4"/>
        <v>11251.479037394531</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1</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31.823937348693381</v>
      </c>
      <c r="H45" s="202">
        <f t="shared" ca="1" si="5"/>
        <v>0</v>
      </c>
      <c r="I45" s="225">
        <f t="shared" si="3"/>
        <v>0.25691549608465758</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22.071440419255087</v>
      </c>
      <c r="H46" s="202">
        <f t="shared" ca="1" si="5"/>
        <v>0</v>
      </c>
      <c r="I46" s="225">
        <f t="shared" si="3"/>
        <v>0.58575966657192247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38.351312838492952</v>
      </c>
      <c r="H48" s="202">
        <f t="shared" ca="1" si="5"/>
        <v>3648.6871615070486</v>
      </c>
      <c r="I48" s="225">
        <f t="shared" si="3"/>
        <v>9.5138520469236321E-2</v>
      </c>
      <c r="J48" s="202">
        <f t="shared" ca="1" si="4"/>
        <v>38351.312838492951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1</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1</v>
      </c>
      <c r="G49" s="201">
        <f>IFERROR(VLOOKUP($B49,Gà!C:J,8,0),IFERROR(VLOOKUP($B49,TVP!C:J,7,0),IFERROR(VLOOKUP($B49,Kitkool!C:J,8,0),IFERROR(VLOOKUP($B49,'La Cusina'!C:J,8,0),VLOOKUP($B49,'Quốc Nhân'!C:J,8,0)))))</f>
        <v>27.814794258654363</v>
      </c>
      <c r="H49" s="202">
        <f t="shared" ca="1" si="5"/>
        <v>7185.2057413456387</v>
      </c>
      <c r="I49" s="225">
        <f t="shared" si="3"/>
        <v>0.25832316696392654</v>
      </c>
      <c r="J49" s="202">
        <f t="shared" ca="1" si="4"/>
        <v>27814.794258654361</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22.328085075292936</v>
      </c>
      <c r="H52" s="202">
        <f t="shared" ca="1" si="5"/>
        <v>0</v>
      </c>
      <c r="I52" s="225">
        <f t="shared" si="3"/>
        <v>0.34359932340084076</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2</v>
      </c>
      <c r="G53" s="201">
        <f>IFERROR(VLOOKUP($B53,Gà!C:J,8,0),IFERROR(VLOOKUP($B53,TVP!C:J,7,0),IFERROR(VLOOKUP($B53,Kitkool!C:J,8,0),IFERROR(VLOOKUP($B53,'La Cusina'!C:J,8,0),VLOOKUP($B53,'Quốc Nhân'!C:J,8,0)))))</f>
        <v>40.036566341904575</v>
      </c>
      <c r="H53" s="202">
        <f t="shared" ca="1" si="5"/>
        <v>17926.867316190852</v>
      </c>
      <c r="I53" s="225">
        <f t="shared" si="3"/>
        <v>0.22388117855935574</v>
      </c>
      <c r="J53" s="202">
        <f t="shared" ca="1" si="4"/>
        <v>80073.132683809148</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2</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74.426950250976461</v>
      </c>
      <c r="H54" s="202">
        <f t="shared" ca="1" si="5"/>
        <v>5573.049749023543</v>
      </c>
      <c r="I54" s="225">
        <f t="shared" si="3"/>
        <v>7.4879458720672476E-2</v>
      </c>
      <c r="J54" s="202">
        <f t="shared" ca="1" si="4"/>
        <v>74426.950250976457</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1</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40.036566341904575</v>
      </c>
      <c r="H55" s="202">
        <f t="shared" ca="1" si="5"/>
        <v>0</v>
      </c>
      <c r="I55" s="225">
        <f t="shared" si="3"/>
        <v>9.8995344012482667E-2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30.284069412466284</v>
      </c>
      <c r="H56" s="202">
        <f t="shared" ca="1" si="5"/>
        <v>0</v>
      </c>
      <c r="I56" s="225">
        <f t="shared" si="3"/>
        <v>0.15572314682360444</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32.337226660769083</v>
      </c>
      <c r="H57" s="202">
        <f t="shared" ca="1" si="5"/>
        <v>0</v>
      </c>
      <c r="I57" s="225">
        <f t="shared" si="3"/>
        <v>0.17511623364105278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61.362100541588724</v>
      </c>
      <c r="H58" s="202">
        <f t="shared" ca="1" si="5"/>
        <v>0</v>
      </c>
      <c r="I58" s="225">
        <f t="shared" si="3"/>
        <v>0.14076929215545442</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43.629591526434474</v>
      </c>
      <c r="H60" s="202">
        <f t="shared" ca="1" si="5"/>
        <v>0</v>
      </c>
      <c r="I60" s="225">
        <f t="shared" si="3"/>
        <v>7.7250516350203524E-2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44.656170150585872</v>
      </c>
      <c r="H61" s="202">
        <f t="shared" ca="1" si="5"/>
        <v>0</v>
      </c>
      <c r="I61" s="225">
        <f t="shared" si="3"/>
        <v>0.119666102834034</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37.32861116279981</v>
      </c>
      <c r="H62" s="202">
        <f t="shared" ca="1" si="5"/>
        <v>0</v>
      </c>
      <c r="I62" s="225">
        <f t="shared" si="3"/>
        <v>0.12514231555058508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1</v>
      </c>
      <c r="G63" s="201">
        <f>IFERROR(VLOOKUP($B63,Gà!C:J,8,0),IFERROR(VLOOKUP($B63,TVP!C:J,7,0),IFERROR(VLOOKUP($B63,Kitkool!C:J,8,0),IFERROR(VLOOKUP($B63,'La Cusina'!C:J,8,0),VLOOKUP($B63,'Quốc Nhân'!C:J,8,0)))))</f>
        <v>12.272420108317744</v>
      </c>
      <c r="H63" s="202">
        <f t="shared" ca="1" si="5"/>
        <v>3727.579891682255</v>
      </c>
      <c r="I63" s="225">
        <f t="shared" si="3"/>
        <v>0.30373633389194787</v>
      </c>
      <c r="J63" s="202">
        <f t="shared" ca="1" si="4"/>
        <v>12272.420108317745</v>
      </c>
      <c r="K63" s="53"/>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41</v>
      </c>
      <c r="G64" s="201">
        <f>IFERROR(VLOOKUP($B64,Gà!C:J,8,0),IFERROR(VLOOKUP($B64,TVP!C:J,7,0),IFERROR(VLOOKUP($B64,Kitkool!C:J,8,0),IFERROR(VLOOKUP($B64,'La Cusina'!C:J,8,0),VLOOKUP($B64,'Quốc Nhân'!C:J,8,0)))))</f>
        <v>19.455627334059308</v>
      </c>
      <c r="H64" s="202">
        <f t="shared" ca="1" si="5"/>
        <v>227319.27930356842</v>
      </c>
      <c r="I64" s="225">
        <f t="shared" si="3"/>
        <v>0.28497527068863171</v>
      </c>
      <c r="J64" s="202">
        <f t="shared" ca="1" si="4"/>
        <v>797680.7206964317</v>
      </c>
      <c r="K64" s="53"/>
      <c r="L64" s="2">
        <f ca="1">IFERROR(SUMIFS(INDIRECT("'Thanh Toán ("&amp;L$3&amp;")'!$F:$F"),INDIRECT("'Thanh Toán ("&amp;L$3&amp;")'!$D:$D"),'Tổng Đơn'!$B64),0)</f>
        <v>3</v>
      </c>
      <c r="M64" s="2">
        <f ca="1">IFERROR(SUMIFS(INDIRECT("'Thanh Toán ("&amp;M$3&amp;")'!$F:$F"),INDIRECT("'Thanh Toán ("&amp;M$3&amp;")'!$D:$D"),'Tổng Đơn'!$B64),0)</f>
        <v>2</v>
      </c>
      <c r="N64" s="2">
        <f ca="1">IFERROR(SUMIFS(INDIRECT("'Thanh Toán ("&amp;N$3&amp;")'!$F:$F"),INDIRECT("'Thanh Toán ("&amp;N$3&amp;")'!$D:$D"),'Tổng Đơn'!$B64),0)</f>
        <v>5</v>
      </c>
      <c r="O64" s="2">
        <f ca="1">IFERROR(SUMIFS(INDIRECT("'Thanh Toán ("&amp;O$3&amp;")'!$F:$F"),INDIRECT("'Thanh Toán ("&amp;O$3&amp;")'!$D:$D"),'Tổng Đơn'!$B64),0)</f>
        <v>20</v>
      </c>
      <c r="P64" s="2">
        <f ca="1">IFERROR(SUMIFS(INDIRECT("'Thanh Toán ("&amp;P$3&amp;")'!$F:$F"),INDIRECT("'Thanh Toán ("&amp;P$3&amp;")'!$D:$D"),'Tổng Đơn'!$B64),0)</f>
        <v>0</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6</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1</v>
      </c>
      <c r="Z64" s="2">
        <f ca="1">IFERROR(SUMIFS(INDIRECT("'Thanh Toán ("&amp;Z$3&amp;")'!$F:$F"),INDIRECT("'Thanh Toán ("&amp;Z$3&amp;")'!$D:$D"),'Tổng Đơn'!$B64),0)</f>
        <v>0</v>
      </c>
      <c r="AA64" s="2">
        <f ca="1">IFERROR(SUMIFS(INDIRECT("'Thanh Toán ("&amp;AA$3&amp;")'!$F:$F"),INDIRECT("'Thanh Toán ("&amp;AA$3&amp;")'!$D:$D"),'Tổng Đơn'!$B64),0)</f>
        <v>2</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21.503588106065553</v>
      </c>
      <c r="H65" s="202">
        <f t="shared" ca="1" si="5"/>
        <v>0</v>
      </c>
      <c r="I65" s="225">
        <f t="shared" si="3"/>
        <v>0.20910054041939818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5</v>
      </c>
      <c r="G66" s="201">
        <f>IFERROR(VLOOKUP($B66,Gà!C:J,8,0),IFERROR(VLOOKUP($B66,TVP!C:J,7,0),IFERROR(VLOOKUP($B66,Kitkool!C:J,8,0),IFERROR(VLOOKUP($B66,'La Cusina'!C:J,8,0),VLOOKUP($B66,'Quốc Nhân'!C:J,8,0)))))</f>
        <v>21.503588106065553</v>
      </c>
      <c r="H66" s="202">
        <f t="shared" ca="1" si="5"/>
        <v>32482.05946967224</v>
      </c>
      <c r="I66" s="225">
        <f t="shared" si="3"/>
        <v>0.3021082742978134</v>
      </c>
      <c r="J66" s="202">
        <f t="shared" ca="1" si="4"/>
        <v>107517.94053032776</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5</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5</v>
      </c>
      <c r="G67" s="201">
        <f>IFERROR(VLOOKUP($B67,Gà!C:J,8,0),IFERROR(VLOOKUP($B67,TVP!C:J,7,0),IFERROR(VLOOKUP($B67,Kitkool!C:J,8,0),IFERROR(VLOOKUP($B67,'La Cusina'!C:J,8,0),VLOOKUP($B67,'Quốc Nhân'!C:J,8,0)))))</f>
        <v>20.479607720062432</v>
      </c>
      <c r="H67" s="202">
        <f t="shared" ca="1" si="5"/>
        <v>37601.961399687847</v>
      </c>
      <c r="I67" s="225">
        <f t="shared" si="3"/>
        <v>0.36721368801270393</v>
      </c>
      <c r="J67" s="202">
        <f t="shared" ca="1" si="4"/>
        <v>102398.03860031217</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5</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4</v>
      </c>
      <c r="G68" s="201">
        <f>IFERROR(VLOOKUP($B68,Gà!C:J,8,0),IFERROR(VLOOKUP($B68,TVP!C:J,7,0),IFERROR(VLOOKUP($B68,Kitkool!C:J,8,0),IFERROR(VLOOKUP($B68,'La Cusina'!C:J,8,0),VLOOKUP($B68,'Quốc Nhân'!C:J,8,0)))))</f>
        <v>20.945053350063848</v>
      </c>
      <c r="H68" s="202">
        <f t="shared" ca="1" si="5"/>
        <v>20219.786599744606</v>
      </c>
      <c r="I68" s="225">
        <f t="shared" si="3"/>
        <v>0.24134322149724885</v>
      </c>
      <c r="J68" s="202">
        <f t="shared" ca="1" si="4"/>
        <v>83780.213400255394</v>
      </c>
      <c r="K68" s="53"/>
      <c r="L68" s="2">
        <f ca="1">IFERROR(SUMIFS(INDIRECT("'Thanh Toán ("&amp;L$3&amp;")'!$F:$F"),INDIRECT("'Thanh Toán ("&amp;L$3&amp;")'!$D:$D"),'Tổng Đơn'!$B68),0)</f>
        <v>1</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9</v>
      </c>
      <c r="G69" s="201">
        <f>IFERROR(VLOOKUP($B69,Gà!C:J,8,0),IFERROR(VLOOKUP($B69,TVP!C:J,7,0),IFERROR(VLOOKUP($B69,Kitkool!C:J,8,0),IFERROR(VLOOKUP($B69,'La Cusina'!C:J,8,0),VLOOKUP($B69,'Quốc Nhân'!C:J,8,0)))))</f>
        <v>29.788520320090807</v>
      </c>
      <c r="H69" s="202">
        <f t="shared" ca="1" si="5"/>
        <v>46903.317119182735</v>
      </c>
      <c r="I69" s="225">
        <f t="shared" si="3"/>
        <v>0.17494926313591752</v>
      </c>
      <c r="J69" s="202">
        <f t="shared" ca="1" si="4"/>
        <v>268096.68288081721</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6</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1</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34.908422250106419</v>
      </c>
      <c r="H70" s="202">
        <f t="shared" ref="H70:H72" ca="1" si="8">(D70-G70*1000)*$F70</f>
        <v>0</v>
      </c>
      <c r="I70" s="225">
        <f t="shared" ref="I70:I72" si="9">D70/(G70*1000)-1</f>
        <v>0.20314804545117937</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2</v>
      </c>
      <c r="G71" s="201">
        <f>IFERROR(VLOOKUP($B71,Gà!C:J,8,0),IFERROR(VLOOKUP($B71,TVP!C:J,7,0),IFERROR(VLOOKUP($B71,Kitkool!C:J,8,0),IFERROR(VLOOKUP($B71,'La Cusina'!C:J,8,0),VLOOKUP($B71,'Quốc Nhân'!C:J,8,0)))))</f>
        <v>37.887274282115499</v>
      </c>
      <c r="H71" s="202">
        <f t="shared" ca="1" si="8"/>
        <v>14225.451435769006</v>
      </c>
      <c r="I71" s="225">
        <f t="shared" si="9"/>
        <v>0.18773389885273506</v>
      </c>
      <c r="J71" s="202">
        <f t="shared" ca="1" si="10"/>
        <v>75774.548564230994</v>
      </c>
      <c r="K71" s="53"/>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1</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2</v>
      </c>
      <c r="G72" s="201">
        <f>IFERROR(VLOOKUP($B72,Gà!C:J,8,0),IFERROR(VLOOKUP($B72,TVP!C:J,7,0),IFERROR(VLOOKUP($B72,Kitkool!C:J,8,0),IFERROR(VLOOKUP($B72,'La Cusina'!C:J,8,0),VLOOKUP($B72,'Quốc Nhân'!C:J,8,0)))))</f>
        <v>34.771856973566948</v>
      </c>
      <c r="H72" s="202">
        <f t="shared" ca="1" si="8"/>
        <v>10456.286052866111</v>
      </c>
      <c r="I72" s="225">
        <f t="shared" si="9"/>
        <v>0.15035558872818933</v>
      </c>
      <c r="J72" s="202">
        <f t="shared" ca="1" si="10"/>
        <v>69543.713947133889</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8"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323</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127000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0.5</v>
      </c>
      <c r="C8" s="45">
        <f t="shared" ref="C8:C37" si="0">IF(OR(SUM($C7,$A8&lt;&gt;"")=0,$A8=""),"",SUM($C7,$A8&lt;&gt;""))</f>
        <v>1</v>
      </c>
      <c r="D8" s="176" t="str">
        <f>IFERROR(VLOOKUP($A8,Sheet1!$A$1:$B$98,2,0),"")</f>
        <v>0-Chân Gà</v>
      </c>
      <c r="E8" s="177">
        <f>IFERROR(VLOOKUP($A8,'Tổng Đơn'!$A$5:$E$72,5,0),"")</f>
        <v>1</v>
      </c>
      <c r="F8" s="45">
        <f t="shared" ref="F8:F37" si="1">IF($B8="","",B8)</f>
        <v>0.5</v>
      </c>
      <c r="G8" s="188">
        <f>IFERROR(VLOOKUP($A8,Sheet1!$A1:$D$98,4,0),"")</f>
        <v>50000</v>
      </c>
      <c r="H8" s="178">
        <f>IF($C7=MAX($C$8:$C$56),SUM($H7:$H$8),IFERROR($G8*$F8,""))</f>
        <v>25000</v>
      </c>
      <c r="I8" s="78" t="str">
        <f t="shared" ref="I8:I37" si="2">IF(TYPE($A8)&lt;&gt;1,"",IFERROR(F8*E8,""))</f>
        <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321</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64</v>
      </c>
      <c r="B10" s="180">
        <v>1</v>
      </c>
      <c r="C10" s="45">
        <f t="shared" si="0"/>
        <v>3</v>
      </c>
      <c r="D10" s="176" t="str">
        <f>IFERROR(VLOOKUP($A10,Sheet1!$A$1:$B$98,2,0),"")</f>
        <v>Bánh bao thả lẩu Trứng cá KK</v>
      </c>
      <c r="E10" s="45">
        <f>IFERROR(VLOOKUP($A10,'Tổng Đơn'!$A$5:$E$72,5,0),"")</f>
        <v>0.5</v>
      </c>
      <c r="F10" s="45">
        <f t="shared" si="1"/>
        <v>1</v>
      </c>
      <c r="G10" s="188">
        <f>IF(AND($C10="",$C9&lt;&gt;""),"Tổng Cộng",IFERROR(VLOOKUP($A10,Sheet1!$A$1:$D$98,4,0),""))</f>
        <v>45000</v>
      </c>
      <c r="H10" s="178">
        <f>IF($C9=MAX($C$8:$C$56),SUM($H$8:$H9),IFERROR($G10*$F10,""))</f>
        <v>45000</v>
      </c>
      <c r="I10" s="78">
        <f t="shared" si="2"/>
        <v>0.5</v>
      </c>
      <c r="L10" s="46"/>
    </row>
    <row r="11" spans="1:14" s="44" customFormat="1" ht="14.25" customHeight="1" x14ac:dyDescent="0.25">
      <c r="A11" s="180">
        <v>1</v>
      </c>
      <c r="B11" s="180">
        <v>1</v>
      </c>
      <c r="C11" s="45">
        <f t="shared" si="0"/>
        <v>4</v>
      </c>
      <c r="D11" s="176" t="s">
        <v>308</v>
      </c>
      <c r="E11" s="45" t="s">
        <v>294</v>
      </c>
      <c r="F11" s="45" t="s">
        <v>294</v>
      </c>
      <c r="G11" s="188" t="s">
        <v>294</v>
      </c>
      <c r="H11" s="178">
        <v>-2000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103000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320</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46</v>
      </c>
      <c r="B8" s="180">
        <v>2</v>
      </c>
      <c r="C8" s="45">
        <f t="shared" ref="C8:C37" si="0">IF(OR(SUM($C7,$A8&lt;&gt;"")=0,$A8=""),"",SUM($C7,$A8&lt;&gt;""))</f>
        <v>1</v>
      </c>
      <c r="D8" s="176" t="str">
        <f>IFERROR(VLOOKUP($A8,Sheet1!$A$1:$B$98,2,0),"")</f>
        <v>Khoai tây Simplot</v>
      </c>
      <c r="E8" s="177">
        <f>IFERROR(VLOOKUP($A8,'Tổng Đơn'!$A$5:$E$72,5,0),"")</f>
        <v>1</v>
      </c>
      <c r="F8" s="45">
        <f t="shared" ref="F8:F37" si="1">IF($B8="","",B8)</f>
        <v>2</v>
      </c>
      <c r="G8" s="188">
        <f>IFERROR(VLOOKUP($A8,Sheet1!$A1:$D$98,4,0),"")</f>
        <v>49000</v>
      </c>
      <c r="H8" s="178">
        <f>IF($C7=MAX($C$8:$C$56),SUM($H7:$H$8),IFERROR($G8*$F8,""))</f>
        <v>98000</v>
      </c>
      <c r="I8" s="78">
        <f t="shared" ref="I8:I37" si="2">IF(TYPE($A8)&lt;&gt;1,"",IFERROR(F8*E8,""))</f>
        <v>2</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98000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15</v>
      </c>
      <c r="B8" s="180">
        <v>10</v>
      </c>
      <c r="C8" s="45">
        <f t="shared" ref="C8:C37" si="0">IF(OR(SUM($C7,$A8&lt;&gt;"")=0,$A8=""),"",SUM($C7,$A8&lt;&gt;""))</f>
        <v>1</v>
      </c>
      <c r="D8" s="176" t="str">
        <f>IFERROR(VLOOKUP($A8,Sheet1!$A$1:$B$98,2,0),"")</f>
        <v>Phô mai que (13 que)</v>
      </c>
      <c r="E8" s="177">
        <f>IFERROR(VLOOKUP($A8,'Tổng Đơn'!$A$5:$E$72,5,0),"")</f>
        <v>0.5</v>
      </c>
      <c r="F8" s="45">
        <f t="shared" ref="F8:F37" si="1">IF($B8="","",B8)</f>
        <v>10</v>
      </c>
      <c r="G8" s="188">
        <f>IFERROR(VLOOKUP($A8,Sheet1!$A1:$D$98,4,0),"")</f>
        <v>40000</v>
      </c>
      <c r="H8" s="178">
        <f>IF($C7=MAX($C$8:$C$56),SUM($H7:$H$8),IFERROR($G8*$F8,""))</f>
        <v>400000</v>
      </c>
      <c r="I8" s="78">
        <f t="shared" ref="I8:I37" si="2">IF(TYPE($A8)&lt;&gt;1,"",IFERROR(F8*E8,""))</f>
        <v>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57</v>
      </c>
      <c r="B9" s="180">
        <v>6</v>
      </c>
      <c r="C9" s="45">
        <f t="shared" si="0"/>
        <v>2</v>
      </c>
      <c r="D9" s="176" t="str">
        <f>IFERROR(VLOOKUP($A9,Sheet1!$A$1:$B$98,2,0),"")</f>
        <v>Cá viên KK</v>
      </c>
      <c r="E9" s="45">
        <f>IFERROR(VLOOKUP($A9,'Tổng Đơn'!$A$5:$E$72,5,0),"")</f>
        <v>0.5</v>
      </c>
      <c r="F9" s="45">
        <f t="shared" si="1"/>
        <v>6</v>
      </c>
      <c r="G9" s="188">
        <f>IF(AND($C9="",$C8&lt;&gt;""),"Tổng Cộng",IFERROR(VLOOKUP($A9,Sheet1!$A$1:$D$98,4,0),""))</f>
        <v>25000</v>
      </c>
      <c r="H9" s="178">
        <f>IF($C8=MAX($C$8:$C$56),SUM($H$8:$H8),IFERROR($G9*$F9,""))</f>
        <v>150000</v>
      </c>
      <c r="I9" s="78">
        <f t="shared" si="2"/>
        <v>3</v>
      </c>
      <c r="L9" s="46"/>
    </row>
    <row r="10" spans="1:14" s="44" customFormat="1" ht="14.25" customHeight="1" x14ac:dyDescent="0.25">
      <c r="A10" s="180">
        <v>62</v>
      </c>
      <c r="B10" s="180">
        <v>6</v>
      </c>
      <c r="C10" s="45">
        <f t="shared" si="0"/>
        <v>3</v>
      </c>
      <c r="D10" s="176" t="str">
        <f>IFERROR(VLOOKUP($A10,Sheet1!$A$1:$B$98,2,0),"")</f>
        <v>XX Đức KK</v>
      </c>
      <c r="E10" s="45">
        <f>IFERROR(VLOOKUP($A10,'Tổng Đơn'!$A$5:$E$72,5,0),"")</f>
        <v>0.5</v>
      </c>
      <c r="F10" s="45">
        <f t="shared" si="1"/>
        <v>6</v>
      </c>
      <c r="G10" s="188">
        <f>IF(AND($C10="",$C9&lt;&gt;""),"Tổng Cộng",IFERROR(VLOOKUP($A10,Sheet1!$A$1:$D$98,4,0),""))</f>
        <v>35000</v>
      </c>
      <c r="H10" s="178">
        <f>IF($C9=MAX($C$8:$C$56),SUM($H$8:$H9),IFERROR($G10*$F10,""))</f>
        <v>210000</v>
      </c>
      <c r="I10" s="78">
        <f t="shared" si="2"/>
        <v>3</v>
      </c>
      <c r="L10" s="46"/>
    </row>
    <row r="11" spans="1:14" s="44" customFormat="1" ht="14.25" customHeight="1" x14ac:dyDescent="0.25">
      <c r="A11" s="180">
        <v>1</v>
      </c>
      <c r="B11" s="180">
        <v>1</v>
      </c>
      <c r="C11" s="45">
        <f t="shared" si="0"/>
        <v>4</v>
      </c>
      <c r="D11" s="176" t="s">
        <v>312</v>
      </c>
      <c r="E11" s="45" t="s">
        <v>294</v>
      </c>
      <c r="F11" s="45" t="s">
        <v>294</v>
      </c>
      <c r="G11" s="188" t="s">
        <v>294</v>
      </c>
      <c r="H11" s="178">
        <v>-36000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408000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322</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42</v>
      </c>
      <c r="B8" s="180">
        <v>1</v>
      </c>
      <c r="C8" s="45">
        <f t="shared" ref="C8:C37" si="0">IF(OR(SUM($C7,$A8&lt;&gt;"")=0,$A8=""),"",SUM($C7,$A8&lt;&gt;""))</f>
        <v>1</v>
      </c>
      <c r="D8" s="176" t="str">
        <f>IFERROR(VLOOKUP($A8,Sheet1!$A$1:$B$98,2,0),"")</f>
        <v>Ốc nhồi Hải sản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65</v>
      </c>
      <c r="B9" s="180">
        <v>2</v>
      </c>
      <c r="C9" s="45">
        <f t="shared" si="0"/>
        <v>2</v>
      </c>
      <c r="D9" s="176" t="str">
        <f>IFERROR(VLOOKUP($A9,Sheet1!$A$1:$B$98,2,0),"")</f>
        <v>Chả giò Chay rau nấm LC</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115000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t="s">
        <v>208</v>
      </c>
      <c r="B9" s="180">
        <v>1</v>
      </c>
      <c r="C9" s="45">
        <f t="shared" si="0"/>
        <v>2</v>
      </c>
      <c r="D9" s="176" t="str">
        <f>IFERROR(VLOOKUP($A9,Sheet1!$A$1:$B$98,2,0),"")</f>
        <v>0-Chân Gà</v>
      </c>
      <c r="E9" s="45">
        <f>IFERROR(VLOOKUP($A9,'Tổng Đơn'!$A$5:$E$72,5,0),"")</f>
        <v>1</v>
      </c>
      <c r="F9" s="45">
        <f t="shared" si="1"/>
        <v>1</v>
      </c>
      <c r="G9" s="188">
        <f>IF(AND($C9="",$C8&lt;&gt;""),"Tổng Cộng",IFERROR(VLOOKUP($A9,Sheet1!$A$1:$D$98,4,0),""))</f>
        <v>50000</v>
      </c>
      <c r="H9" s="178">
        <f>IF($C8=MAX($C$8:$C$56),SUM($H$8:$H8),IFERROR($G9*$F9,""))</f>
        <v>50000</v>
      </c>
      <c r="I9" s="78" t="str">
        <f t="shared" si="2"/>
        <v/>
      </c>
      <c r="L9" s="46"/>
    </row>
    <row r="10" spans="1:14" s="44" customFormat="1" ht="14.25" customHeight="1" x14ac:dyDescent="0.25">
      <c r="A10" s="180" t="s">
        <v>209</v>
      </c>
      <c r="B10" s="180">
        <v>0.55000000000000004</v>
      </c>
      <c r="C10" s="45">
        <f t="shared" si="0"/>
        <v>3</v>
      </c>
      <c r="D10" s="176" t="str">
        <f>IFERROR(VLOOKUP($A10,Sheet1!$A$1:$B$98,2,0),"")</f>
        <v>0-Cánh Gà</v>
      </c>
      <c r="E10" s="45">
        <f>IFERROR(VLOOKUP($A10,'Tổng Đơn'!$A$5:$E$72,5,0),"")</f>
        <v>1</v>
      </c>
      <c r="F10" s="45">
        <f t="shared" si="1"/>
        <v>0.55000000000000004</v>
      </c>
      <c r="G10" s="188">
        <f>IF(AND($C10="",$C9&lt;&gt;""),"Tổng Cộng",IFERROR(VLOOKUP($A10,Sheet1!$A$1:$D$98,4,0),""))</f>
        <v>70000</v>
      </c>
      <c r="H10" s="178">
        <f>IF($C9=MAX($C$8:$C$56),SUM($H$8:$H9),IFERROR($G10*$F10,""))</f>
        <v>38500</v>
      </c>
      <c r="I10" s="78" t="str">
        <f t="shared" si="2"/>
        <v/>
      </c>
      <c r="L10" s="46"/>
    </row>
    <row r="11" spans="1:14" s="44" customFormat="1" ht="14.25" customHeight="1" x14ac:dyDescent="0.25">
      <c r="A11" s="180" t="s">
        <v>210</v>
      </c>
      <c r="B11" s="180">
        <v>2</v>
      </c>
      <c r="C11" s="45">
        <f t="shared" si="0"/>
        <v>4</v>
      </c>
      <c r="D11" s="176" t="str">
        <f>IFERROR(VLOOKUP($A11,Sheet1!$A$1:$B$98,2,0),"")</f>
        <v>0-Đùi tỏi Gà</v>
      </c>
      <c r="E11" s="45">
        <f>IFERROR(VLOOKUP($A11,'Tổng Đơn'!$A$5:$E$72,5,0),"")</f>
        <v>1</v>
      </c>
      <c r="F11" s="45">
        <f t="shared" si="1"/>
        <v>2</v>
      </c>
      <c r="G11" s="188">
        <f>IF(AND($C11="",$C10&lt;&gt;""),"Tổng Cộng",IFERROR(VLOOKUP($A11,Sheet1!$A$1:$D$98,4,0),""))</f>
        <v>48000</v>
      </c>
      <c r="H11" s="178">
        <f>IF($C10=MAX($C$8:$C$56),SUM($H$8:$H10),IFERROR($G11*$F11,""))</f>
        <v>96000</v>
      </c>
      <c r="I11" s="78" t="str">
        <f t="shared" si="2"/>
        <v/>
      </c>
      <c r="L11" s="46"/>
    </row>
    <row r="12" spans="1:14" s="44" customFormat="1" ht="14.25" customHeight="1" x14ac:dyDescent="0.25">
      <c r="A12" s="180">
        <v>1</v>
      </c>
      <c r="B12" s="180">
        <v>1</v>
      </c>
      <c r="C12" s="45">
        <f t="shared" si="0"/>
        <v>5</v>
      </c>
      <c r="D12" s="176" t="s">
        <v>308</v>
      </c>
      <c r="E12" s="45" t="s">
        <v>294</v>
      </c>
      <c r="F12" s="45" t="s">
        <v>294</v>
      </c>
      <c r="G12" s="188" t="s">
        <v>294</v>
      </c>
      <c r="H12" s="178">
        <v>14500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225000</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5</v>
      </c>
      <c r="C8" s="45">
        <f t="shared" ref="C8:C37" si="0">IF(OR(SUM($C7,$A8&lt;&gt;"")=0,$A8=""),"",SUM($C7,$A8&lt;&gt;""))</f>
        <v>1</v>
      </c>
      <c r="D8" s="176" t="str">
        <f>IFERROR(VLOOKUP($A8,Sheet1!$A$1:$B$98,2,0),"")</f>
        <v>Phô mai que (13 que)</v>
      </c>
      <c r="E8" s="177">
        <f>IFERROR(VLOOKUP($A8,'Tổng Đơn'!$A$5:$E$72,5,0),"")</f>
        <v>0.5</v>
      </c>
      <c r="F8" s="45">
        <f t="shared" ref="F8:F37" si="1">IF($B8="","",B8)</f>
        <v>5</v>
      </c>
      <c r="G8" s="188">
        <f>IFERROR(VLOOKUP($A8,Sheet1!$A1:$D$98,4,0),"")</f>
        <v>40000</v>
      </c>
      <c r="H8" s="178">
        <f>IF($C7=MAX($C$8:$C$56),SUM($H7:$H$8),IFERROR($G8*$F8,""))</f>
        <v>200000</v>
      </c>
      <c r="I8" s="78">
        <f t="shared" ref="I8:I37" si="2">IF(TYPE($A8)&lt;&gt;1,"",IFERROR(F8*E8,""))</f>
        <v>2.5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200000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0.7</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23</v>
      </c>
      <c r="B9" s="180">
        <v>1</v>
      </c>
      <c r="C9" s="45">
        <f t="shared" si="0"/>
        <v>2</v>
      </c>
      <c r="D9" s="176" t="str">
        <f>IFERROR(VLOOKUP($A9,Sheet1!$A$1:$B$98,2,0),"")</f>
        <v>Cá Viên TVP nhỏ</v>
      </c>
      <c r="E9" s="45">
        <f>IFERROR(VLOOKUP($A9,'Tổng Đơn'!$A$5:$E$72,5,0),"")</f>
        <v>0.2</v>
      </c>
      <c r="F9" s="45">
        <f t="shared" si="1"/>
        <v>1</v>
      </c>
      <c r="G9" s="188">
        <f>IF(AND($C9="",$C8&lt;&gt;""),"Tổng Cộng",IFERROR(VLOOKUP($A9,Sheet1!$A$1:$D$98,4,0),""))</f>
        <v>14000</v>
      </c>
      <c r="H9" s="178">
        <f>IF($C8=MAX($C$8:$C$56),SUM($H$8:$H8),IFERROR($G9*$F9,""))</f>
        <v>14000</v>
      </c>
      <c r="I9" s="78">
        <f t="shared" si="2"/>
        <v>0.2</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64000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314</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5</v>
      </c>
      <c r="C8" s="45">
        <f t="shared" ref="C8:C37" si="0">IF(OR(SUM($C7,$A8&lt;&gt;"")=0,$A8=""),"",SUM($C7,$A8&lt;&gt;""))</f>
        <v>1</v>
      </c>
      <c r="D8" s="176" t="str">
        <f>IFERROR(VLOOKUP($A8,Sheet1!$A$1:$B$98,2,0),"")</f>
        <v>0-Cánh Gà</v>
      </c>
      <c r="E8" s="177">
        <f>IFERROR(VLOOKUP($A8,'Tổng Đơn'!$A$5:$E$72,5,0),"")</f>
        <v>1</v>
      </c>
      <c r="F8" s="45">
        <f t="shared" ref="F8:F37" si="1">IF($B8="","",B8)</f>
        <v>5</v>
      </c>
      <c r="G8" s="188">
        <f>IFERROR(VLOOKUP($A8,Sheet1!$A1:$D$98,4,0),"")</f>
        <v>70000</v>
      </c>
      <c r="H8" s="178">
        <f>IF($C7=MAX($C$8:$C$56),SUM($H7:$H$8),IFERROR($G8*$F8,""))</f>
        <v>350000</v>
      </c>
      <c r="I8" s="78" t="str">
        <f t="shared" ref="I8:I37" si="2">IF(TYPE($A8)&lt;&gt;1,"",IFERROR(F8*E8,""))</f>
        <v/>
      </c>
      <c r="L8" s="47"/>
    </row>
    <row r="9" spans="1:14" s="44" customFormat="1" ht="14.25" customHeight="1" x14ac:dyDescent="0.25">
      <c r="A9" s="180" t="s">
        <v>210</v>
      </c>
      <c r="B9" s="180">
        <v>5</v>
      </c>
      <c r="C9" s="45">
        <f t="shared" si="0"/>
        <v>2</v>
      </c>
      <c r="D9" s="176" t="str">
        <f>IFERROR(VLOOKUP($A9,Sheet1!$A$1:$B$98,2,0),"")</f>
        <v>0-Đùi tỏi Gà</v>
      </c>
      <c r="E9" s="45">
        <f>IFERROR(VLOOKUP($A9,'Tổng Đơn'!$A$5:$E$72,5,0),"")</f>
        <v>1</v>
      </c>
      <c r="F9" s="45">
        <f t="shared" si="1"/>
        <v>5</v>
      </c>
      <c r="G9" s="188">
        <f>IF(AND($C9="",$C8&lt;&gt;""),"Tổng Cộng",IFERROR(VLOOKUP($A9,Sheet1!$A$1:$D$98,4,0),""))</f>
        <v>48000</v>
      </c>
      <c r="H9" s="178">
        <f>IF($C8=MAX($C$8:$C$56),SUM($H$8:$H8),IFERROR($G9*$F9,""))</f>
        <v>240000</v>
      </c>
      <c r="I9" s="78" t="str">
        <f t="shared" si="2"/>
        <v/>
      </c>
      <c r="L9" s="46"/>
    </row>
    <row r="10" spans="1:14" s="44" customFormat="1" ht="14.25" customHeight="1" x14ac:dyDescent="0.25">
      <c r="A10" s="180">
        <v>1</v>
      </c>
      <c r="B10" s="180">
        <v>1</v>
      </c>
      <c r="C10" s="45">
        <f t="shared" si="0"/>
        <v>3</v>
      </c>
      <c r="D10" s="176" t="s">
        <v>308</v>
      </c>
      <c r="E10" s="45" t="s">
        <v>294</v>
      </c>
      <c r="F10" s="45" t="s">
        <v>294</v>
      </c>
      <c r="G10" s="188" t="s">
        <v>294</v>
      </c>
      <c r="H10" s="178">
        <v>-55000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535000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1</v>
      </c>
      <c r="B9" s="180">
        <v>1</v>
      </c>
      <c r="C9" s="45">
        <f t="shared" si="0"/>
        <v>2</v>
      </c>
      <c r="D9" s="176" t="s">
        <v>312</v>
      </c>
      <c r="E9" s="45" t="s">
        <v>294</v>
      </c>
      <c r="F9" s="45" t="s">
        <v>294</v>
      </c>
      <c r="G9" s="188" t="s">
        <v>294</v>
      </c>
      <c r="H9" s="178">
        <v>-90000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410000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57</v>
      </c>
      <c r="B9" s="180">
        <v>5</v>
      </c>
      <c r="C9" s="45">
        <f t="shared" si="0"/>
        <v>2</v>
      </c>
      <c r="D9" s="176" t="str">
        <f>IFERROR(VLOOKUP($A9,Sheet1!$A$1:$B$98,2,0),"")</f>
        <v>Cá viên KK</v>
      </c>
      <c r="E9" s="45">
        <f>IFERROR(VLOOKUP($A9,'Tổng Đơn'!$A$5:$E$72,5,0),"")</f>
        <v>0.5</v>
      </c>
      <c r="F9" s="45">
        <f t="shared" si="1"/>
        <v>5</v>
      </c>
      <c r="G9" s="188">
        <f>IF(AND($C9="",$C8&lt;&gt;""),"Tổng Cộng",IFERROR(VLOOKUP($A9,Sheet1!$A$1:$D$98,4,0),""))</f>
        <v>25000</v>
      </c>
      <c r="H9" s="178">
        <f>IF($C8=MAX($C$8:$C$56),SUM($H$8:$H8),IFERROR($G9*$F9,""))</f>
        <v>125000</v>
      </c>
      <c r="I9" s="78">
        <f t="shared" si="2"/>
        <v>2.5</v>
      </c>
      <c r="L9" s="46"/>
    </row>
    <row r="10" spans="1:14" s="44" customFormat="1" ht="14.25" customHeight="1" x14ac:dyDescent="0.25">
      <c r="A10" s="180">
        <v>59</v>
      </c>
      <c r="B10" s="180">
        <v>5</v>
      </c>
      <c r="C10" s="45">
        <f t="shared" si="0"/>
        <v>3</v>
      </c>
      <c r="D10" s="176" t="str">
        <f>IFERROR(VLOOKUP($A10,Sheet1!$A$1:$B$98,2,0),"")</f>
        <v>Bò viên KK</v>
      </c>
      <c r="E10" s="45">
        <f>IFERROR(VLOOKUP($A10,'Tổng Đơn'!$A$5:$E$72,5,0),"")</f>
        <v>0.5</v>
      </c>
      <c r="F10" s="45">
        <f t="shared" si="1"/>
        <v>5</v>
      </c>
      <c r="G10" s="188">
        <f>IF(AND($C10="",$C9&lt;&gt;""),"Tổng Cộng",IFERROR(VLOOKUP($A10,Sheet1!$A$1:$D$98,4,0),""))</f>
        <v>28000</v>
      </c>
      <c r="H10" s="178">
        <f>IF($C9=MAX($C$8:$C$56),SUM($H$8:$H9),IFERROR($G10*$F10,""))</f>
        <v>140000</v>
      </c>
      <c r="I10" s="78">
        <f t="shared" si="2"/>
        <v>2.5</v>
      </c>
      <c r="L10" s="46"/>
    </row>
    <row r="11" spans="1:14" s="44" customFormat="1" ht="14.25" customHeight="1" x14ac:dyDescent="0.25">
      <c r="A11" s="180">
        <v>60</v>
      </c>
      <c r="B11" s="180">
        <v>5</v>
      </c>
      <c r="C11" s="45">
        <f t="shared" si="0"/>
        <v>4</v>
      </c>
      <c r="D11" s="176" t="str">
        <f>IFERROR(VLOOKUP($A11,Sheet1!$A$1:$B$98,2,0),"")</f>
        <v>Tôm viên KK</v>
      </c>
      <c r="E11" s="45">
        <f>IFERROR(VLOOKUP($A11,'Tổng Đơn'!$A$5:$E$72,5,0),"")</f>
        <v>0.5</v>
      </c>
      <c r="F11" s="45">
        <f t="shared" si="1"/>
        <v>5</v>
      </c>
      <c r="G11" s="188">
        <f>IF(AND($C11="",$C10&lt;&gt;""),"Tổng Cộng",IFERROR(VLOOKUP($A11,Sheet1!$A$1:$D$98,4,0),""))</f>
        <v>28000</v>
      </c>
      <c r="H11" s="178">
        <f>IF($C10=MAX($C$8:$C$56),SUM($H$8:$H10),IFERROR($G11*$F11,""))</f>
        <v>140000</v>
      </c>
      <c r="I11" s="78">
        <f t="shared" si="2"/>
        <v>2.5</v>
      </c>
      <c r="L11" s="46"/>
    </row>
    <row r="12" spans="1:14" s="44" customFormat="1" ht="14.25" customHeight="1" x14ac:dyDescent="0.25">
      <c r="A12" s="180">
        <v>1</v>
      </c>
      <c r="B12" s="180">
        <v>1</v>
      </c>
      <c r="C12" s="45">
        <f t="shared" si="0"/>
        <v>5</v>
      </c>
      <c r="D12" s="176" t="s">
        <v>308</v>
      </c>
      <c r="E12" s="45" t="s">
        <v>294</v>
      </c>
      <c r="F12" s="45" t="s">
        <v>294</v>
      </c>
      <c r="G12" s="188" t="s">
        <v>294</v>
      </c>
      <c r="H12" s="178">
        <v>-69000</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416000</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309</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4.8</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8</v>
      </c>
      <c r="B9" s="180">
        <v>1</v>
      </c>
      <c r="C9" s="45">
        <f t="shared" si="0"/>
        <v>2</v>
      </c>
      <c r="D9" s="176" t="str">
        <f>IFERROR(VLOOKUP($A9,Sheet1!$A$1:$B$98,2,0),"")</f>
        <v>Hải sản sốt cam LC</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v>15</v>
      </c>
      <c r="B10" s="180">
        <v>2</v>
      </c>
      <c r="C10" s="45">
        <f t="shared" si="0"/>
        <v>3</v>
      </c>
      <c r="D10" s="176" t="str">
        <f>IFERROR(VLOOKUP($A10,Sheet1!$A$1:$B$98,2,0),"")</f>
        <v>Phô mai que (13 que)</v>
      </c>
      <c r="E10" s="45">
        <f>IFERROR(VLOOKUP($A10,'Tổng Đơn'!$A$5:$E$72,5,0),"")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56</v>
      </c>
      <c r="B11" s="180">
        <v>1</v>
      </c>
      <c r="C11" s="45">
        <f t="shared" si="0"/>
        <v>4</v>
      </c>
      <c r="D11" s="176" t="str">
        <f>IFERROR(VLOOKUP($A11,Sheet1!$A$1:$B$98,2,0),"")</f>
        <v>Bánh bao ngọt không nhân</v>
      </c>
      <c r="E11" s="45">
        <f>IFERROR(VLOOKUP($A11,'Tổng Đơn'!$A$5:$E$72,5,0),"")</f>
        <v>0.3</v>
      </c>
      <c r="F11" s="45">
        <f t="shared" si="1"/>
        <v>1</v>
      </c>
      <c r="G11" s="188">
        <f>IF(AND($C11="",$C10&lt;&gt;""),"Tổng Cộng",IFERROR(VLOOKUP($A11,Sheet1!$A$1:$D$98,4,0),""))</f>
        <v>16000</v>
      </c>
      <c r="H11" s="178">
        <f>IF($C10=MAX($C$8:$C$56),SUM($H$8:$H10),IFERROR($G11*$F11,""))</f>
        <v>16000</v>
      </c>
      <c r="I11" s="78">
        <f t="shared" si="2"/>
        <v>0.3</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61</v>
      </c>
      <c r="B13" s="180">
        <v>1</v>
      </c>
      <c r="C13" s="45">
        <f t="shared" si="0"/>
        <v>6</v>
      </c>
      <c r="D13" s="176" t="str">
        <f>IFERROR(VLOOKUP($A13,Sheet1!$A$1:$B$98,2,0),"")</f>
        <v>XX Đỏ KK</v>
      </c>
      <c r="E13" s="45">
        <f>IFERROR(VLOOKUP($A13,'Tổng Đơn'!$A$5:$E$72,5,0),"")</f>
        <v>0.5</v>
      </c>
      <c r="F13" s="45">
        <f t="shared" si="1"/>
        <v>1</v>
      </c>
      <c r="G13" s="188">
        <f>IF(AND($C13="",$C12&lt;&gt;""),"Tổng Cộng",IFERROR(VLOOKUP($A13,Sheet1!$A$1:$D$98,4,0),""))</f>
        <v>26000</v>
      </c>
      <c r="H13" s="178">
        <f>IF($C12=MAX($C$8:$C$56),SUM($H$8:$H12),IFERROR($G13*$F13,""))</f>
        <v>26000</v>
      </c>
      <c r="I13" s="78">
        <f t="shared" si="2"/>
        <v>0.5</v>
      </c>
      <c r="L13" s="46"/>
    </row>
    <row r="14" spans="1:14" s="44" customFormat="1" ht="14.25" customHeight="1" x14ac:dyDescent="0.25">
      <c r="A14" s="180">
        <v>62</v>
      </c>
      <c r="B14" s="180">
        <v>1</v>
      </c>
      <c r="C14" s="45">
        <f t="shared" si="0"/>
        <v>7</v>
      </c>
      <c r="D14" s="176" t="str">
        <f>IFERROR(VLOOKUP($A14,Sheet1!$A$1:$B$98,2,0),"")</f>
        <v>XX Đức KK</v>
      </c>
      <c r="E14" s="45">
        <f>IFERROR(VLOOKUP($A14,'Tổng Đơn'!$A$5:$E$72,5,0),"")</f>
        <v>0.5</v>
      </c>
      <c r="F14" s="45">
        <f t="shared" si="1"/>
        <v>1</v>
      </c>
      <c r="G14" s="188">
        <f>IF(AND($C14="",$C13&lt;&gt;""),"Tổng Cộng",IFERROR(VLOOKUP($A14,Sheet1!$A$1:$D$98,4,0),""))</f>
        <v>35000</v>
      </c>
      <c r="H14" s="178">
        <f>IF($C13=MAX($C$8:$C$56),SUM($H$8:$H13),IFERROR($G14*$F14,""))</f>
        <v>35000</v>
      </c>
      <c r="I14" s="78">
        <f t="shared" si="2"/>
        <v>0.5</v>
      </c>
      <c r="L14" s="46"/>
      <c r="M14" s="159"/>
    </row>
    <row r="15" spans="1:14" s="44" customFormat="1" ht="14.25" customHeight="1" x14ac:dyDescent="0.25">
      <c r="A15" s="180">
        <v>64</v>
      </c>
      <c r="B15" s="180">
        <v>1</v>
      </c>
      <c r="C15" s="45">
        <f t="shared" si="0"/>
        <v>8</v>
      </c>
      <c r="D15" s="176" t="str">
        <f>IFERROR(VLOOKUP($A15,Sheet1!$A$1:$B$98,2,0),"")</f>
        <v>Bánh bao thả lẩu Trứng cá KK</v>
      </c>
      <c r="E15" s="45">
        <f>IFERROR(VLOOKUP($A15,'Tổng Đơn'!$A$5:$E$72,5,0),"")</f>
        <v>0.5</v>
      </c>
      <c r="F15" s="45">
        <f t="shared" si="1"/>
        <v>1</v>
      </c>
      <c r="G15" s="188">
        <f>IF(AND($C15="",$C14&lt;&gt;""),"Tổng Cộng",IFERROR(VLOOKUP($A15,Sheet1!$A$1:$D$98,4,0),""))</f>
        <v>45000</v>
      </c>
      <c r="H15" s="178">
        <f>IF($C14=MAX($C$8:$C$56),SUM($H$8:$H14),IFERROR($G15*$F15,""))</f>
        <v>45000</v>
      </c>
      <c r="I15" s="78">
        <f t="shared" si="2"/>
        <v>0.5</v>
      </c>
      <c r="L15" s="46"/>
    </row>
    <row r="16" spans="1:14" s="44" customFormat="1" ht="14.25" customHeight="1" x14ac:dyDescent="0.25">
      <c r="A16" s="180">
        <v>1</v>
      </c>
      <c r="B16" s="180">
        <v>1</v>
      </c>
      <c r="C16" s="45">
        <f t="shared" si="0"/>
        <v>9</v>
      </c>
      <c r="D16" s="176" t="s">
        <v>308</v>
      </c>
      <c r="E16" s="45" t="s">
        <v>294</v>
      </c>
      <c r="F16" s="45" t="s">
        <v>294</v>
      </c>
      <c r="G16" s="188" t="s">
        <v>294</v>
      </c>
      <c r="H16" s="178">
        <v>-5000</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Tổng Cộng</v>
      </c>
      <c r="H17" s="178">
        <f>IF($C16=MAX($C$8:$C$56),SUM($H$8:$H16),IFERROR($G17*$F17,""))</f>
        <v>330000</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27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18</v>
      </c>
      <c r="B8" s="180">
        <v>2</v>
      </c>
      <c r="C8" s="45">
        <f t="shared" ref="C8:C37" si="0">IF(OR(SUM($C7,$A8&lt;&gt;"")=0,$A8=""),"",SUM($C7,$A8&lt;&gt;""))</f>
        <v>1</v>
      </c>
      <c r="D8" s="176" t="str">
        <f>IFERROR(VLOOKUP($A8,Sheet1!$A$1:$B$98,2,0),"")</f>
        <v>XX Đức HS ĐNA</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v>57</v>
      </c>
      <c r="B9" s="180">
        <v>3</v>
      </c>
      <c r="C9" s="45">
        <f t="shared" si="0"/>
        <v>2</v>
      </c>
      <c r="D9" s="176" t="str">
        <f>IFERROR(VLOOKUP($A9,Sheet1!$A$1:$B$98,2,0),"")</f>
        <v>Cá viên KK</v>
      </c>
      <c r="E9" s="45">
        <f>IFERROR(VLOOKUP($A9,'Tổng Đơn'!$A$5:$E$72,5,0),"")</f>
        <v>0.5</v>
      </c>
      <c r="F9" s="45">
        <f t="shared" si="1"/>
        <v>3</v>
      </c>
      <c r="G9" s="188">
        <f>IF(AND($C9="",$C8&lt;&gt;""),"Tổng Cộng",IFERROR(VLOOKUP($A9,Sheet1!$A$1:$D$98,4,0),""))</f>
        <v>25000</v>
      </c>
      <c r="H9" s="178">
        <f>IF($C8=MAX($C$8:$C$56),SUM($H$8:$H8),IFERROR($G9*$F9,""))</f>
        <v>75000</v>
      </c>
      <c r="I9" s="78">
        <f t="shared" si="2"/>
        <v>1.5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208</v>
      </c>
      <c r="B11" s="180">
        <v>2</v>
      </c>
      <c r="C11" s="45">
        <f t="shared" si="0"/>
        <v>4</v>
      </c>
      <c r="D11" s="176" t="str">
        <f>IFERROR(VLOOKUP($A11,Sheet1!$A$1:$B$98,2,0),"")</f>
        <v>0-Chân Gà</v>
      </c>
      <c r="E11" s="45">
        <f>IFERROR(VLOOKUP($A11,'Tổng Đơn'!$A$5:$E$72,5,0),"")</f>
        <v>1</v>
      </c>
      <c r="F11" s="45">
        <f t="shared" si="1"/>
        <v>2</v>
      </c>
      <c r="G11" s="188">
        <f>IF(AND($C11="",$C10&lt;&gt;""),"Tổng Cộng",IFERROR(VLOOKUP($A11,Sheet1!$A$1:$D$98,4,0),""))</f>
        <v>50000</v>
      </c>
      <c r="H11" s="178">
        <f>IF($C10=MAX($C$8:$C$56),SUM($H$8:$H10),IFERROR($G11*$F11,""))</f>
        <v>100000</v>
      </c>
      <c r="I11" s="78" t="str">
        <f t="shared" si="2"/>
        <v/>
      </c>
      <c r="L11" s="46"/>
    </row>
    <row r="12" spans="1:14" s="44" customFormat="1" ht="14.25" customHeight="1" x14ac:dyDescent="0.25">
      <c r="A12" s="180" t="s">
        <v>209</v>
      </c>
      <c r="B12" s="180">
        <v>1</v>
      </c>
      <c r="C12" s="45">
        <f t="shared" si="0"/>
        <v>5</v>
      </c>
      <c r="D12" s="176" t="str">
        <f>IFERROR(VLOOKUP($A12,Sheet1!$A$1:$B$98,2,0),"")</f>
        <v>0-Cánh Gà</v>
      </c>
      <c r="E12" s="45">
        <f>IFERROR(VLOOKUP($A12,'Tổng Đơn'!$A$5:$E$72,5,0),"")</f>
        <v>1</v>
      </c>
      <c r="F12" s="45">
        <f t="shared" si="1"/>
        <v>1</v>
      </c>
      <c r="G12" s="188">
        <f>IF(AND($C12="",$C11&lt;&gt;""),"Tổng Cộng",IFERROR(VLOOKUP($A12,Sheet1!$A$1:$D$98,4,0),""))</f>
        <v>70000</v>
      </c>
      <c r="H12" s="178">
        <f>IF($C11=MAX($C$8:$C$56),SUM($H$8:$H11),IFERROR($G12*$F12,""))</f>
        <v>70000</v>
      </c>
      <c r="I12" s="78" t="str">
        <f t="shared" si="2"/>
        <v/>
      </c>
      <c r="J12" s="150"/>
      <c r="L12" s="46"/>
      <c r="M12" s="158"/>
      <c r="N12" s="151"/>
    </row>
    <row r="13" spans="1:14" s="44" customFormat="1" ht="14.25" customHeight="1" x14ac:dyDescent="0.25">
      <c r="A13" s="180">
        <v>1</v>
      </c>
      <c r="B13" s="180">
        <v>1</v>
      </c>
      <c r="C13" s="45">
        <f t="shared" si="0"/>
        <v>6</v>
      </c>
      <c r="D13" s="176" t="s">
        <v>308</v>
      </c>
      <c r="E13" s="45" t="s">
        <v>294</v>
      </c>
      <c r="F13" s="45" t="s">
        <v>294</v>
      </c>
      <c r="G13" s="188" t="s">
        <v>294</v>
      </c>
      <c r="H13" s="178">
        <v>19000</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360000</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2022-03-27T10:46:10Z</dcterms:modified>
</cp:coreProperties>
</file>