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4"/>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9)" sheetId="168" r:id="rId13"/>
    <sheet name="Thanh Toán (18)" sheetId="167" r:id="rId14"/>
    <sheet name="Thanh Toán (17)" sheetId="166" r:id="rId15"/>
    <sheet name="Thanh Toán (16)" sheetId="165" r:id="rId16"/>
    <sheet name="Thanh Toán (15)" sheetId="164" r:id="rId17"/>
    <sheet name="Thanh Toán (14)" sheetId="163" r:id="rId18"/>
    <sheet name="Thanh Toán (13)" sheetId="162" r:id="rId19"/>
    <sheet name="Thanh Toán (12)" sheetId="161" r:id="rId20"/>
    <sheet name="Thanh Toán (11)" sheetId="160" r:id="rId21"/>
    <sheet name="Thanh Toán (10)" sheetId="159" r:id="rId22"/>
    <sheet name="Thanh Toán (9)" sheetId="158" r:id="rId23"/>
    <sheet name="Thanh Toán (8)" sheetId="157" r:id="rId24"/>
    <sheet name="Thanh Toán (7)" sheetId="156" r:id="rId25"/>
    <sheet name="Thanh Toán (6)" sheetId="155" r:id="rId26"/>
    <sheet name="Thanh Toán (5)" sheetId="154" r:id="rId27"/>
    <sheet name="Thanh Toán (4)" sheetId="153" r:id="rId28"/>
    <sheet name="Thanh Toán (3)" sheetId="152" r:id="rId29"/>
    <sheet name="Thanh Toán (2)" sheetId="151" r:id="rId30"/>
    <sheet name="DS KHÁCH HÀNG KM (2)" sheetId="76" state="hidden" r:id="rId31"/>
  </sheets>
  <definedNames>
    <definedName name="_xlnm._FilterDatabase" localSheetId="8" hidden="1">'Chi phí'!$A$6:$E$29</definedName>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62913"/>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W4" i="4" l="1"/>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E8" i="168"/>
  <c r="I8" i="168" s="1"/>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9" i="167"/>
  <c r="E9" i="167"/>
  <c r="I9" i="167" s="1"/>
  <c r="D9" i="167"/>
  <c r="G8" i="167"/>
  <c r="F8" i="167"/>
  <c r="I8" i="167" s="1"/>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F9" i="166"/>
  <c r="I9" i="166" s="1"/>
  <c r="E9" i="166"/>
  <c r="D9" i="166"/>
  <c r="G8" i="166"/>
  <c r="F8" i="166"/>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F9" i="165"/>
  <c r="E9" i="165"/>
  <c r="I9" i="165" s="1"/>
  <c r="D9" i="165"/>
  <c r="G8" i="165"/>
  <c r="F8" i="165"/>
  <c r="E8" i="165"/>
  <c r="I8" i="165" s="1"/>
  <c r="I7" i="165" s="1"/>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8" i="164"/>
  <c r="G8" i="164"/>
  <c r="F8" i="164"/>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I7" i="163" s="1"/>
  <c r="F9" i="163"/>
  <c r="E9" i="163"/>
  <c r="D9" i="163"/>
  <c r="I8" i="163"/>
  <c r="G8" i="163"/>
  <c r="F8" i="163"/>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F13" i="161"/>
  <c r="I13" i="161" s="1"/>
  <c r="E13" i="161"/>
  <c r="D13" i="161"/>
  <c r="F12" i="161"/>
  <c r="E12" i="161"/>
  <c r="I12" i="161" s="1"/>
  <c r="D12" i="161"/>
  <c r="F11" i="161"/>
  <c r="E11" i="161"/>
  <c r="D11" i="161"/>
  <c r="F10" i="161"/>
  <c r="E10" i="161"/>
  <c r="I10" i="161" s="1"/>
  <c r="D10" i="161"/>
  <c r="F9" i="161"/>
  <c r="I9" i="161" s="1"/>
  <c r="E9" i="161"/>
  <c r="D9" i="161"/>
  <c r="G8" i="161"/>
  <c r="F8" i="161"/>
  <c r="E8" i="161"/>
  <c r="I8"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1" i="160"/>
  <c r="E11" i="160"/>
  <c r="D11" i="160"/>
  <c r="F10" i="160"/>
  <c r="E10" i="160"/>
  <c r="I10" i="160" s="1"/>
  <c r="D10" i="160"/>
  <c r="F9" i="160"/>
  <c r="E9" i="160"/>
  <c r="D9" i="160"/>
  <c r="G8" i="160"/>
  <c r="F8" i="160"/>
  <c r="E8" i="160"/>
  <c r="I8" i="160" s="1"/>
  <c r="D8" i="160"/>
  <c r="C8" i="160"/>
  <c r="C9" i="160" s="1"/>
  <c r="E7" i="160"/>
  <c r="G6" i="160"/>
  <c r="AW2" i="1"/>
  <c r="I7" i="168" l="1"/>
  <c r="G9" i="168"/>
  <c r="C10" i="168"/>
  <c r="I7" i="167"/>
  <c r="G9" i="167"/>
  <c r="C10" i="167"/>
  <c r="G9" i="166"/>
  <c r="C10" i="166"/>
  <c r="G9" i="165"/>
  <c r="C10" i="165"/>
  <c r="I9" i="164"/>
  <c r="I7" i="164" s="1"/>
  <c r="C10" i="164"/>
  <c r="G9" i="163"/>
  <c r="C10" i="163"/>
  <c r="G9" i="162"/>
  <c r="C10" i="162"/>
  <c r="I11" i="161"/>
  <c r="I11" i="160"/>
  <c r="I9" i="160"/>
  <c r="I7" i="161"/>
  <c r="G9" i="161"/>
  <c r="C10" i="161"/>
  <c r="I7" i="160"/>
  <c r="G9" i="160"/>
  <c r="C10"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E8" i="159"/>
  <c r="D8" i="159"/>
  <c r="C8" i="159"/>
  <c r="C9" i="159" s="1"/>
  <c r="E7" i="159"/>
  <c r="G6" i="159"/>
  <c r="A2" i="1"/>
  <c r="F28" i="1"/>
  <c r="F24" i="1"/>
  <c r="F10" i="1"/>
  <c r="F8" i="1"/>
  <c r="F10" i="4"/>
  <c r="F8" i="4"/>
  <c r="F10" i="150"/>
  <c r="F5" i="150"/>
  <c r="A2" i="150"/>
  <c r="C10" i="155"/>
  <c r="D10" i="155"/>
  <c r="E10" i="155"/>
  <c r="F10" i="155"/>
  <c r="G10" i="155"/>
  <c r="C15" i="157"/>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I9" i="158" s="1"/>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F14" i="157"/>
  <c r="E14" i="157"/>
  <c r="I14" i="157" s="1"/>
  <c r="D14" i="157"/>
  <c r="F13" i="157"/>
  <c r="E13" i="157"/>
  <c r="I13" i="157" s="1"/>
  <c r="D13" i="157"/>
  <c r="F12" i="157"/>
  <c r="I12" i="157" s="1"/>
  <c r="E12" i="157"/>
  <c r="D12" i="157"/>
  <c r="F11" i="157"/>
  <c r="E11" i="157"/>
  <c r="D11" i="157"/>
  <c r="F10" i="157"/>
  <c r="E10" i="157"/>
  <c r="I10" i="157" s="1"/>
  <c r="D10" i="157"/>
  <c r="F9" i="157"/>
  <c r="E9" i="157"/>
  <c r="I9" i="157" s="1"/>
  <c r="D9" i="157"/>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F9" i="155"/>
  <c r="E9" i="155"/>
  <c r="I9" i="155" s="1"/>
  <c r="D9" i="155"/>
  <c r="G8" i="155"/>
  <c r="F8" i="155"/>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F9" i="154"/>
  <c r="E9" i="154"/>
  <c r="I9" i="154" s="1"/>
  <c r="D9" i="154"/>
  <c r="G8" i="154"/>
  <c r="F8" i="154"/>
  <c r="I8"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I8" i="151"/>
  <c r="I7" i="151" s="1"/>
  <c r="G8" i="151"/>
  <c r="F8" i="151"/>
  <c r="E8" i="151"/>
  <c r="D8" i="151"/>
  <c r="C8" i="151"/>
  <c r="C9" i="151" s="1"/>
  <c r="E7" i="151"/>
  <c r="G6" i="151"/>
  <c r="G10" i="168" l="1"/>
  <c r="C11" i="168"/>
  <c r="C11" i="167"/>
  <c r="G10" i="166"/>
  <c r="C11" i="166"/>
  <c r="G10" i="165"/>
  <c r="C11" i="165"/>
  <c r="G10" i="164"/>
  <c r="C11" i="164"/>
  <c r="G10" i="163"/>
  <c r="C11" i="163"/>
  <c r="G10" i="162"/>
  <c r="C11" i="162"/>
  <c r="I8" i="156"/>
  <c r="I7" i="156" s="1"/>
  <c r="I8" i="153"/>
  <c r="I7" i="153" s="1"/>
  <c r="I11" i="157"/>
  <c r="I8" i="159"/>
  <c r="I7" i="159" s="1"/>
  <c r="I8" i="152"/>
  <c r="I7" i="152" s="1"/>
  <c r="I8" i="157"/>
  <c r="I7" i="158"/>
  <c r="G10" i="161"/>
  <c r="C11" i="161"/>
  <c r="G10" i="160"/>
  <c r="C11" i="160"/>
  <c r="G9" i="159"/>
  <c r="C10" i="159"/>
  <c r="G9" i="158"/>
  <c r="C10" i="158"/>
  <c r="I15" i="157"/>
  <c r="I7" i="157" s="1"/>
  <c r="G9" i="157"/>
  <c r="C10" i="157"/>
  <c r="G9" i="156"/>
  <c r="C10" i="156"/>
  <c r="I10" i="155"/>
  <c r="I7" i="155" s="1"/>
  <c r="G9" i="155"/>
  <c r="I10" i="154"/>
  <c r="I7" i="154" s="1"/>
  <c r="G9" i="154"/>
  <c r="C10" i="154"/>
  <c r="G9" i="153"/>
  <c r="C10" i="153"/>
  <c r="G9" i="152"/>
  <c r="C10" i="152"/>
  <c r="G9" i="151"/>
  <c r="C10" i="151"/>
  <c r="C12" i="168" l="1"/>
  <c r="G11" i="168"/>
  <c r="G11" i="167"/>
  <c r="C12" i="167"/>
  <c r="G11" i="166"/>
  <c r="C12" i="166"/>
  <c r="G11" i="165"/>
  <c r="C12" i="165"/>
  <c r="C12" i="164"/>
  <c r="G11" i="164"/>
  <c r="G11" i="163"/>
  <c r="C12" i="163"/>
  <c r="C12" i="162"/>
  <c r="G11" i="162"/>
  <c r="C12" i="161"/>
  <c r="G11" i="161"/>
  <c r="C12" i="160"/>
  <c r="G11" i="160"/>
  <c r="G10" i="159"/>
  <c r="C11" i="159"/>
  <c r="G10" i="158"/>
  <c r="C11" i="158"/>
  <c r="G10" i="157"/>
  <c r="C11" i="157"/>
  <c r="G10" i="156"/>
  <c r="C11" i="156"/>
  <c r="C11" i="155"/>
  <c r="C11" i="154"/>
  <c r="G10" i="153"/>
  <c r="C11" i="153"/>
  <c r="G10" i="152"/>
  <c r="C11" i="152"/>
  <c r="G10" i="151"/>
  <c r="C11" i="151"/>
  <c r="K4" i="137"/>
  <c r="D17" i="95"/>
  <c r="C13" i="168" l="1"/>
  <c r="G12" i="168"/>
  <c r="C13" i="167"/>
  <c r="G12" i="167"/>
  <c r="C13" i="166"/>
  <c r="G12" i="166"/>
  <c r="C13" i="165"/>
  <c r="G12" i="165"/>
  <c r="C13" i="164"/>
  <c r="G12" i="164"/>
  <c r="C13" i="163"/>
  <c r="G12" i="163"/>
  <c r="C13" i="162"/>
  <c r="G12" i="162"/>
  <c r="C13" i="161"/>
  <c r="G12" i="161"/>
  <c r="C13" i="160"/>
  <c r="G11" i="159"/>
  <c r="C12" i="159"/>
  <c r="C12" i="158"/>
  <c r="G11" i="158"/>
  <c r="C12" i="157"/>
  <c r="G11" i="157"/>
  <c r="C12" i="156"/>
  <c r="G11" i="156"/>
  <c r="C12" i="155"/>
  <c r="G11" i="155"/>
  <c r="G11" i="154"/>
  <c r="C12" i="154"/>
  <c r="G11" i="153"/>
  <c r="C12" i="153"/>
  <c r="C12" i="152"/>
  <c r="G11" i="152"/>
  <c r="G11" i="151"/>
  <c r="C12" i="151"/>
  <c r="F4" i="137"/>
  <c r="E4" i="137"/>
  <c r="A2" i="137"/>
  <c r="F6" i="137"/>
  <c r="M5" i="137"/>
  <c r="M4" i="137" s="1"/>
  <c r="G13" i="168" l="1"/>
  <c r="C14" i="168"/>
  <c r="G13" i="167"/>
  <c r="C14" i="167"/>
  <c r="G13" i="166"/>
  <c r="C14" i="166"/>
  <c r="G13" i="165"/>
  <c r="C14" i="165"/>
  <c r="G13" i="164"/>
  <c r="C14" i="164"/>
  <c r="G13" i="163"/>
  <c r="C14" i="163"/>
  <c r="G13" i="162"/>
  <c r="C14" i="162"/>
  <c r="G13" i="161"/>
  <c r="C14" i="161"/>
  <c r="G13" i="160"/>
  <c r="C14" i="160"/>
  <c r="C13" i="159"/>
  <c r="G12" i="159"/>
  <c r="C13" i="158"/>
  <c r="G12" i="158"/>
  <c r="C13" i="157"/>
  <c r="G12" i="157"/>
  <c r="C13" i="156"/>
  <c r="G12" i="156"/>
  <c r="C13" i="155"/>
  <c r="G12" i="155"/>
  <c r="C13" i="154"/>
  <c r="G12" i="154"/>
  <c r="C13" i="153"/>
  <c r="G12" i="153"/>
  <c r="C13" i="152"/>
  <c r="G12" i="152"/>
  <c r="C13" i="151"/>
  <c r="G12" i="151"/>
  <c r="K1" i="50"/>
  <c r="K2"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14" i="168" l="1"/>
  <c r="C15" i="168"/>
  <c r="G14" i="167"/>
  <c r="C15" i="167"/>
  <c r="G14" i="166"/>
  <c r="C15" i="166"/>
  <c r="C15" i="165"/>
  <c r="G14" i="165"/>
  <c r="G14" i="164"/>
  <c r="C15" i="164"/>
  <c r="C15" i="163"/>
  <c r="G14" i="163"/>
  <c r="G14" i="162"/>
  <c r="C15" i="162"/>
  <c r="G14" i="161"/>
  <c r="C15" i="161"/>
  <c r="G14" i="160"/>
  <c r="C15" i="160"/>
  <c r="G13" i="159"/>
  <c r="C14" i="159"/>
  <c r="G13" i="158"/>
  <c r="C14" i="158"/>
  <c r="G13" i="157"/>
  <c r="C14" i="157"/>
  <c r="G13" i="156"/>
  <c r="C14" i="156"/>
  <c r="G13" i="155"/>
  <c r="C14" i="155"/>
  <c r="G13" i="154"/>
  <c r="C14" i="154"/>
  <c r="G13" i="153"/>
  <c r="C14" i="153"/>
  <c r="G13" i="152"/>
  <c r="C14" i="152"/>
  <c r="G13" i="151"/>
  <c r="C14" i="151"/>
  <c r="F7" i="137"/>
  <c r="G15" i="168" l="1"/>
  <c r="C16" i="168"/>
  <c r="G15" i="167"/>
  <c r="C16" i="167"/>
  <c r="G15" i="166"/>
  <c r="C16" i="166"/>
  <c r="G15" i="165"/>
  <c r="C16" i="165"/>
  <c r="C16" i="164"/>
  <c r="G15" i="164"/>
  <c r="G15" i="163"/>
  <c r="C16" i="163"/>
  <c r="C16" i="162"/>
  <c r="G15" i="162"/>
  <c r="G15" i="161"/>
  <c r="C16" i="161"/>
  <c r="G15" i="160"/>
  <c r="C16" i="160"/>
  <c r="G14" i="159"/>
  <c r="C15" i="159"/>
  <c r="G14" i="158"/>
  <c r="C15" i="158"/>
  <c r="G14" i="157"/>
  <c r="G14" i="156"/>
  <c r="C15" i="156"/>
  <c r="G14" i="155"/>
  <c r="C15" i="155"/>
  <c r="G14" i="154"/>
  <c r="C15" i="154"/>
  <c r="G14" i="153"/>
  <c r="C15" i="153"/>
  <c r="G14" i="152"/>
  <c r="C15" i="152"/>
  <c r="G14" i="151"/>
  <c r="C15" i="151"/>
  <c r="F11" i="150"/>
  <c r="F21" i="1"/>
  <c r="C17" i="168" l="1"/>
  <c r="G16" i="168"/>
  <c r="C17" i="167"/>
  <c r="G16" i="167"/>
  <c r="C17" i="166"/>
  <c r="G16" i="166"/>
  <c r="C17" i="165"/>
  <c r="G16" i="165"/>
  <c r="C17" i="164"/>
  <c r="G16" i="164"/>
  <c r="C17" i="163"/>
  <c r="G16" i="163"/>
  <c r="C17" i="162"/>
  <c r="G16" i="162"/>
  <c r="C17" i="161"/>
  <c r="G16" i="161"/>
  <c r="C17" i="160"/>
  <c r="G16" i="160"/>
  <c r="C16" i="159"/>
  <c r="G15" i="159"/>
  <c r="G15" i="158"/>
  <c r="C16" i="158"/>
  <c r="C16" i="157"/>
  <c r="C16" i="156"/>
  <c r="G15" i="156"/>
  <c r="G15" i="155"/>
  <c r="C16" i="155"/>
  <c r="G15" i="154"/>
  <c r="C16" i="154"/>
  <c r="C16" i="153"/>
  <c r="G15" i="153"/>
  <c r="C16" i="152"/>
  <c r="G15" i="152"/>
  <c r="C16" i="151"/>
  <c r="G15" i="151"/>
  <c r="P7" i="137"/>
  <c r="G17" i="168" l="1"/>
  <c r="C18" i="168"/>
  <c r="G17" i="167"/>
  <c r="C18" i="167"/>
  <c r="G17" i="166"/>
  <c r="C18" i="166"/>
  <c r="G17" i="165"/>
  <c r="C18" i="165"/>
  <c r="G17" i="164"/>
  <c r="C18" i="164"/>
  <c r="G17" i="163"/>
  <c r="C18" i="163"/>
  <c r="G17" i="162"/>
  <c r="C18" i="162"/>
  <c r="G17" i="161"/>
  <c r="C18" i="161"/>
  <c r="G17" i="160"/>
  <c r="C18" i="160"/>
  <c r="C17" i="159"/>
  <c r="G16" i="159"/>
  <c r="C17" i="158"/>
  <c r="G16" i="158"/>
  <c r="C17" i="157"/>
  <c r="G16" i="157"/>
  <c r="C17" i="156"/>
  <c r="G16" i="156"/>
  <c r="C17" i="155"/>
  <c r="G16" i="155"/>
  <c r="C17" i="154"/>
  <c r="G16" i="154"/>
  <c r="C17" i="153"/>
  <c r="G16" i="153"/>
  <c r="C17" i="152"/>
  <c r="G16" i="152"/>
  <c r="C17" i="151"/>
  <c r="G16" i="151"/>
  <c r="B6" i="95"/>
  <c r="AX11" i="150"/>
  <c r="G18" i="168" l="1"/>
  <c r="C19" i="168"/>
  <c r="G18" i="167"/>
  <c r="C19" i="167"/>
  <c r="G18" i="166"/>
  <c r="C19" i="166"/>
  <c r="G18" i="165"/>
  <c r="C19" i="165"/>
  <c r="G18" i="164"/>
  <c r="C19" i="164"/>
  <c r="G18" i="163"/>
  <c r="C19" i="163"/>
  <c r="G18" i="162"/>
  <c r="C19" i="162"/>
  <c r="G18" i="161"/>
  <c r="C19" i="161"/>
  <c r="G18" i="160"/>
  <c r="C19" i="160"/>
  <c r="G17" i="159"/>
  <c r="C18" i="159"/>
  <c r="G17" i="158"/>
  <c r="C18" i="158"/>
  <c r="G17" i="157"/>
  <c r="C18" i="157"/>
  <c r="G17" i="156"/>
  <c r="C18" i="156"/>
  <c r="G17" i="155"/>
  <c r="C18" i="155"/>
  <c r="G17" i="154"/>
  <c r="C18" i="154"/>
  <c r="G17" i="153"/>
  <c r="C18" i="153"/>
  <c r="G17" i="152"/>
  <c r="C18" i="152"/>
  <c r="G17" i="151"/>
  <c r="C18" i="151"/>
  <c r="F27" i="1"/>
  <c r="F9" i="1"/>
  <c r="C20" i="168" l="1"/>
  <c r="G19" i="168"/>
  <c r="C20" i="167"/>
  <c r="G19" i="167"/>
  <c r="G19" i="166"/>
  <c r="C20" i="166"/>
  <c r="C20" i="165"/>
  <c r="G19" i="165"/>
  <c r="C20" i="164"/>
  <c r="G19" i="164"/>
  <c r="G19" i="163"/>
  <c r="C20" i="163"/>
  <c r="C20" i="162"/>
  <c r="G19" i="162"/>
  <c r="C20" i="161"/>
  <c r="G19" i="161"/>
  <c r="C20" i="160"/>
  <c r="G19" i="160"/>
  <c r="G18" i="159"/>
  <c r="C19" i="159"/>
  <c r="G18" i="158"/>
  <c r="C19" i="158"/>
  <c r="G18" i="157"/>
  <c r="C19" i="157"/>
  <c r="G18" i="156"/>
  <c r="C19" i="156"/>
  <c r="G18" i="155"/>
  <c r="C19" i="155"/>
  <c r="G18" i="154"/>
  <c r="C19" i="154"/>
  <c r="G18" i="153"/>
  <c r="C19" i="153"/>
  <c r="G18" i="152"/>
  <c r="C19" i="152"/>
  <c r="G18" i="151"/>
  <c r="C19" i="151"/>
  <c r="O31" i="1"/>
  <c r="N31" i="1"/>
  <c r="M31" i="1"/>
  <c r="G31" i="1"/>
  <c r="AX31" i="1" s="1"/>
  <c r="A32" i="1"/>
  <c r="C21" i="168" l="1"/>
  <c r="G20" i="168"/>
  <c r="C21" i="167"/>
  <c r="G20" i="167"/>
  <c r="C21" i="166"/>
  <c r="G20" i="166"/>
  <c r="C21" i="165"/>
  <c r="G20" i="165"/>
  <c r="C21" i="164"/>
  <c r="G20" i="164"/>
  <c r="C21" i="163"/>
  <c r="G20" i="163"/>
  <c r="C21" i="162"/>
  <c r="G20" i="162"/>
  <c r="C21" i="161"/>
  <c r="G20" i="161"/>
  <c r="C21" i="160"/>
  <c r="G20" i="160"/>
  <c r="G19" i="159"/>
  <c r="C20" i="159"/>
  <c r="G19" i="158"/>
  <c r="C20" i="158"/>
  <c r="G19" i="157"/>
  <c r="C20" i="157"/>
  <c r="C20" i="156"/>
  <c r="G19" i="156"/>
  <c r="C20" i="155"/>
  <c r="G19" i="155"/>
  <c r="G19" i="154"/>
  <c r="C20" i="154"/>
  <c r="C20" i="153"/>
  <c r="G19" i="153"/>
  <c r="C20" i="152"/>
  <c r="G19" i="152"/>
  <c r="C20" i="151"/>
  <c r="G19" i="151"/>
  <c r="H31" i="1"/>
  <c r="A35" i="1"/>
  <c r="AX32" i="1"/>
  <c r="AX35" i="1"/>
  <c r="AW4" i="1"/>
  <c r="AT4" i="1"/>
  <c r="AU4" i="1"/>
  <c r="AV4" i="1"/>
  <c r="P4" i="1"/>
  <c r="G21" i="168" l="1"/>
  <c r="C22" i="168"/>
  <c r="G21" i="167"/>
  <c r="C22" i="167"/>
  <c r="G21" i="166"/>
  <c r="C22" i="166"/>
  <c r="G21" i="165"/>
  <c r="C22" i="165"/>
  <c r="G21" i="164"/>
  <c r="C22" i="164"/>
  <c r="G21" i="163"/>
  <c r="C22" i="163"/>
  <c r="G21" i="162"/>
  <c r="C22" i="162"/>
  <c r="G21" i="161"/>
  <c r="C22" i="161"/>
  <c r="G21" i="160"/>
  <c r="C22" i="160"/>
  <c r="C21" i="159"/>
  <c r="G20" i="159"/>
  <c r="C21" i="158"/>
  <c r="G20" i="158"/>
  <c r="C21" i="157"/>
  <c r="G20" i="157"/>
  <c r="C21" i="156"/>
  <c r="G20" i="156"/>
  <c r="C21" i="155"/>
  <c r="G20" i="155"/>
  <c r="C21" i="154"/>
  <c r="G20" i="154"/>
  <c r="C21" i="153"/>
  <c r="G20" i="153"/>
  <c r="C21" i="152"/>
  <c r="G20" i="152"/>
  <c r="C21" i="151"/>
  <c r="G20" i="151"/>
  <c r="Q2" i="1"/>
  <c r="G22" i="168" l="1"/>
  <c r="C23" i="168"/>
  <c r="G22" i="167"/>
  <c r="C23" i="167"/>
  <c r="G22" i="166"/>
  <c r="C23" i="166"/>
  <c r="C23" i="165"/>
  <c r="G22" i="165"/>
  <c r="G22" i="164"/>
  <c r="C23" i="164"/>
  <c r="C23" i="163"/>
  <c r="G22" i="163"/>
  <c r="G22" i="162"/>
  <c r="C23" i="162"/>
  <c r="G22" i="161"/>
  <c r="C23" i="161"/>
  <c r="G22" i="160"/>
  <c r="C23" i="160"/>
  <c r="G21" i="159"/>
  <c r="C22" i="159"/>
  <c r="G21" i="158"/>
  <c r="C22" i="158"/>
  <c r="G21" i="157"/>
  <c r="C22" i="157"/>
  <c r="G21" i="156"/>
  <c r="C22" i="156"/>
  <c r="G21" i="155"/>
  <c r="C22" i="155"/>
  <c r="G21" i="154"/>
  <c r="C22" i="154"/>
  <c r="G21" i="153"/>
  <c r="C22" i="153"/>
  <c r="G21" i="152"/>
  <c r="C22" i="152"/>
  <c r="G21" i="151"/>
  <c r="C22" i="151"/>
  <c r="F7" i="150"/>
  <c r="F9" i="150"/>
  <c r="F12" i="150"/>
  <c r="G23" i="168" l="1"/>
  <c r="C24" i="168"/>
  <c r="C24" i="167"/>
  <c r="G23" i="167"/>
  <c r="C24" i="166"/>
  <c r="G23" i="166"/>
  <c r="G23" i="165"/>
  <c r="C24" i="165"/>
  <c r="C24" i="164"/>
  <c r="G23" i="164"/>
  <c r="G23" i="163"/>
  <c r="C24" i="163"/>
  <c r="G23" i="162"/>
  <c r="C24" i="162"/>
  <c r="G23" i="161"/>
  <c r="C24" i="161"/>
  <c r="G23" i="160"/>
  <c r="C24" i="160"/>
  <c r="G22" i="159"/>
  <c r="C23" i="159"/>
  <c r="G22" i="158"/>
  <c r="C23" i="158"/>
  <c r="C23" i="157"/>
  <c r="G22" i="157"/>
  <c r="G22" i="156"/>
  <c r="C23" i="156"/>
  <c r="G22" i="155"/>
  <c r="C23" i="155"/>
  <c r="G22" i="154"/>
  <c r="C23" i="154"/>
  <c r="G22" i="153"/>
  <c r="C23" i="153"/>
  <c r="G22" i="152"/>
  <c r="C23" i="152"/>
  <c r="G22" i="151"/>
  <c r="C23" i="151"/>
  <c r="D9" i="9"/>
  <c r="E9" i="9"/>
  <c r="F9" i="9"/>
  <c r="C25" i="168" l="1"/>
  <c r="G24" i="168"/>
  <c r="C25" i="167"/>
  <c r="G24" i="167"/>
  <c r="C25" i="166"/>
  <c r="G24" i="166"/>
  <c r="C25" i="165"/>
  <c r="G24" i="165"/>
  <c r="C25" i="164"/>
  <c r="G24" i="164"/>
  <c r="C25" i="163"/>
  <c r="G24" i="163"/>
  <c r="C25" i="162"/>
  <c r="G24" i="162"/>
  <c r="C25" i="161"/>
  <c r="G24" i="161"/>
  <c r="C25" i="160"/>
  <c r="G24" i="160"/>
  <c r="C24" i="159"/>
  <c r="G23" i="159"/>
  <c r="C24" i="158"/>
  <c r="G23" i="158"/>
  <c r="G23" i="157"/>
  <c r="C24" i="157"/>
  <c r="G23" i="156"/>
  <c r="C24" i="156"/>
  <c r="G23" i="155"/>
  <c r="C24" i="155"/>
  <c r="G23" i="154"/>
  <c r="C24" i="154"/>
  <c r="C24" i="153"/>
  <c r="G23" i="153"/>
  <c r="C24" i="152"/>
  <c r="G23" i="152"/>
  <c r="C24" i="151"/>
  <c r="G23" i="151"/>
  <c r="I1" i="50"/>
  <c r="G25" i="168" l="1"/>
  <c r="C26" i="168"/>
  <c r="G25" i="167"/>
  <c r="C26" i="167"/>
  <c r="G25" i="166"/>
  <c r="C26" i="166"/>
  <c r="G25" i="165"/>
  <c r="C26" i="165"/>
  <c r="G25" i="164"/>
  <c r="C26" i="164"/>
  <c r="G25" i="163"/>
  <c r="C26" i="163"/>
  <c r="G25" i="162"/>
  <c r="C26" i="162"/>
  <c r="G25" i="161"/>
  <c r="C26" i="161"/>
  <c r="G25" i="160"/>
  <c r="C26" i="160"/>
  <c r="C25" i="159"/>
  <c r="G24" i="159"/>
  <c r="C25" i="158"/>
  <c r="G24" i="158"/>
  <c r="C25" i="157"/>
  <c r="G24" i="157"/>
  <c r="C25" i="156"/>
  <c r="G24" i="156"/>
  <c r="C25" i="155"/>
  <c r="G24" i="155"/>
  <c r="C25" i="154"/>
  <c r="G24" i="154"/>
  <c r="C25" i="153"/>
  <c r="G24" i="153"/>
  <c r="C25" i="152"/>
  <c r="G24" i="152"/>
  <c r="C25" i="151"/>
  <c r="G24" i="151"/>
  <c r="H5" i="95"/>
  <c r="G26" i="168" l="1"/>
  <c r="C27" i="168"/>
  <c r="C27" i="167"/>
  <c r="G26" i="167"/>
  <c r="G26" i="166"/>
  <c r="C27" i="166"/>
  <c r="C27" i="165"/>
  <c r="G26" i="165"/>
  <c r="G26" i="164"/>
  <c r="C27" i="164"/>
  <c r="G26" i="163"/>
  <c r="C27" i="163"/>
  <c r="G26" i="162"/>
  <c r="C27" i="162"/>
  <c r="G26" i="161"/>
  <c r="C27" i="161"/>
  <c r="G26" i="160"/>
  <c r="C27" i="160"/>
  <c r="G25" i="159"/>
  <c r="C26" i="159"/>
  <c r="G25" i="158"/>
  <c r="C26" i="158"/>
  <c r="G25" i="157"/>
  <c r="C26" i="157"/>
  <c r="G25" i="156"/>
  <c r="C26" i="156"/>
  <c r="G25" i="155"/>
  <c r="C26" i="155"/>
  <c r="G25" i="154"/>
  <c r="C26" i="154"/>
  <c r="G25" i="153"/>
  <c r="C26" i="153"/>
  <c r="G25" i="152"/>
  <c r="C26" i="152"/>
  <c r="G25" i="151"/>
  <c r="C26" i="151"/>
  <c r="H4" i="95"/>
  <c r="H1" i="95" s="1"/>
  <c r="C28" i="168" l="1"/>
  <c r="G27" i="168"/>
  <c r="G27" i="167"/>
  <c r="C28" i="167"/>
  <c r="C28" i="166"/>
  <c r="G27" i="166"/>
  <c r="G27" i="165"/>
  <c r="C28" i="165"/>
  <c r="C28" i="164"/>
  <c r="G27" i="164"/>
  <c r="G27" i="163"/>
  <c r="C28" i="163"/>
  <c r="C28" i="162"/>
  <c r="G27" i="162"/>
  <c r="C28" i="161"/>
  <c r="G27" i="161"/>
  <c r="G27" i="160"/>
  <c r="C28" i="160"/>
  <c r="G26" i="159"/>
  <c r="C27" i="159"/>
  <c r="G26" i="158"/>
  <c r="C27" i="158"/>
  <c r="G26" i="157"/>
  <c r="C27" i="157"/>
  <c r="G26" i="156"/>
  <c r="C27" i="156"/>
  <c r="G26" i="155"/>
  <c r="C27" i="155"/>
  <c r="G26" i="154"/>
  <c r="C27" i="154"/>
  <c r="G26" i="153"/>
  <c r="C27" i="153"/>
  <c r="G26" i="152"/>
  <c r="C27" i="152"/>
  <c r="G26" i="151"/>
  <c r="C27" i="151"/>
  <c r="F18" i="1"/>
  <c r="F5" i="1"/>
  <c r="C29" i="168" l="1"/>
  <c r="G28" i="168"/>
  <c r="C29" i="167"/>
  <c r="G28" i="167"/>
  <c r="C29" i="166"/>
  <c r="G28" i="166"/>
  <c r="C29" i="165"/>
  <c r="G28" i="165"/>
  <c r="C29" i="164"/>
  <c r="G28" i="164"/>
  <c r="C29" i="163"/>
  <c r="G28" i="163"/>
  <c r="C29" i="162"/>
  <c r="G28" i="162"/>
  <c r="C29" i="161"/>
  <c r="G28" i="161"/>
  <c r="C29" i="160"/>
  <c r="G28" i="160"/>
  <c r="C28" i="159"/>
  <c r="G27" i="159"/>
  <c r="G27" i="158"/>
  <c r="C28" i="158"/>
  <c r="G27" i="157"/>
  <c r="C28" i="157"/>
  <c r="C28" i="156"/>
  <c r="G27" i="156"/>
  <c r="C28" i="155"/>
  <c r="G27" i="155"/>
  <c r="G27" i="154"/>
  <c r="C28" i="154"/>
  <c r="G27" i="153"/>
  <c r="C28" i="153"/>
  <c r="C28" i="152"/>
  <c r="G27" i="152"/>
  <c r="C28" i="151"/>
  <c r="G27" i="151"/>
  <c r="F6" i="4"/>
  <c r="F20" i="4"/>
  <c r="F25" i="1"/>
  <c r="F13" i="1"/>
  <c r="G29" i="168" l="1"/>
  <c r="C30" i="168"/>
  <c r="G29" i="167"/>
  <c r="C30" i="167"/>
  <c r="G29" i="166"/>
  <c r="C30" i="166"/>
  <c r="G29" i="165"/>
  <c r="C30" i="165"/>
  <c r="G29" i="164"/>
  <c r="C30" i="164"/>
  <c r="G29" i="163"/>
  <c r="C30" i="163"/>
  <c r="G29" i="162"/>
  <c r="C30" i="162"/>
  <c r="G29" i="161"/>
  <c r="C30" i="161"/>
  <c r="G29" i="160"/>
  <c r="C30" i="160"/>
  <c r="C29" i="159"/>
  <c r="G28" i="159"/>
  <c r="C29" i="158"/>
  <c r="G28" i="158"/>
  <c r="C29" i="157"/>
  <c r="G28" i="157"/>
  <c r="C29" i="156"/>
  <c r="G28" i="156"/>
  <c r="C29" i="155"/>
  <c r="G28" i="155"/>
  <c r="C29" i="154"/>
  <c r="G28" i="154"/>
  <c r="C29" i="153"/>
  <c r="G28" i="153"/>
  <c r="C29" i="152"/>
  <c r="G28" i="152"/>
  <c r="C29" i="151"/>
  <c r="G28" i="151"/>
  <c r="F5" i="4"/>
  <c r="G30" i="168" l="1"/>
  <c r="C31" i="168"/>
  <c r="G30" i="167"/>
  <c r="C31" i="167"/>
  <c r="G30" i="166"/>
  <c r="C31" i="166"/>
  <c r="C31" i="165"/>
  <c r="G30" i="165"/>
  <c r="G30" i="164"/>
  <c r="C31" i="164"/>
  <c r="G30" i="163"/>
  <c r="C31" i="163"/>
  <c r="G30" i="162"/>
  <c r="C31" i="162"/>
  <c r="G30" i="161"/>
  <c r="C31" i="161"/>
  <c r="G30" i="160"/>
  <c r="C31" i="160"/>
  <c r="G29" i="159"/>
  <c r="C30" i="159"/>
  <c r="G29" i="158"/>
  <c r="C30" i="158"/>
  <c r="G29" i="157"/>
  <c r="C30" i="157"/>
  <c r="G29" i="156"/>
  <c r="C30" i="156"/>
  <c r="G29" i="155"/>
  <c r="C30" i="155"/>
  <c r="G29" i="154"/>
  <c r="C30" i="154"/>
  <c r="G29" i="153"/>
  <c r="C30" i="153"/>
  <c r="G29" i="152"/>
  <c r="C30" i="152"/>
  <c r="G29" i="151"/>
  <c r="C30" i="151"/>
  <c r="D14" i="9"/>
  <c r="E14" i="9"/>
  <c r="F14" i="9"/>
  <c r="G31" i="168" l="1"/>
  <c r="C32" i="168"/>
  <c r="C32" i="167"/>
  <c r="G31" i="167"/>
  <c r="C32" i="166"/>
  <c r="G31" i="166"/>
  <c r="G31" i="165"/>
  <c r="C32" i="165"/>
  <c r="C32" i="164"/>
  <c r="G31" i="164"/>
  <c r="G31" i="163"/>
  <c r="C32" i="163"/>
  <c r="G31" i="162"/>
  <c r="C32" i="162"/>
  <c r="G31" i="161"/>
  <c r="C32" i="161"/>
  <c r="C32" i="160"/>
  <c r="G31" i="160"/>
  <c r="G30" i="159"/>
  <c r="C31" i="159"/>
  <c r="G30" i="158"/>
  <c r="C31" i="158"/>
  <c r="G30" i="157"/>
  <c r="C31" i="157"/>
  <c r="G30" i="156"/>
  <c r="C31" i="156"/>
  <c r="G30" i="155"/>
  <c r="C31" i="155"/>
  <c r="G30" i="154"/>
  <c r="C31" i="154"/>
  <c r="G30" i="153"/>
  <c r="C31" i="153"/>
  <c r="G30" i="152"/>
  <c r="C31" i="152"/>
  <c r="G30" i="151"/>
  <c r="C31" i="151"/>
  <c r="P2" i="8"/>
  <c r="C33" i="168" l="1"/>
  <c r="G32" i="168"/>
  <c r="C33" i="167"/>
  <c r="G32" i="167"/>
  <c r="C33" i="166"/>
  <c r="G32" i="166"/>
  <c r="C33" i="165"/>
  <c r="G32" i="165"/>
  <c r="C33" i="164"/>
  <c r="G32" i="164"/>
  <c r="C33" i="163"/>
  <c r="G32" i="163"/>
  <c r="C33" i="162"/>
  <c r="G32" i="162"/>
  <c r="C33" i="161"/>
  <c r="G32" i="161"/>
  <c r="C33" i="160"/>
  <c r="G32" i="160"/>
  <c r="G31" i="159"/>
  <c r="C32" i="159"/>
  <c r="G31" i="158"/>
  <c r="C32" i="158"/>
  <c r="G31" i="157"/>
  <c r="C32" i="157"/>
  <c r="G31" i="156"/>
  <c r="C32" i="156"/>
  <c r="C32" i="155"/>
  <c r="G31" i="155"/>
  <c r="G31" i="154"/>
  <c r="C32" i="154"/>
  <c r="G31" i="153"/>
  <c r="C32" i="153"/>
  <c r="C32" i="152"/>
  <c r="G31" i="152"/>
  <c r="G31" i="151"/>
  <c r="C32" i="151"/>
  <c r="F29" i="1"/>
  <c r="G33" i="168" l="1"/>
  <c r="C34" i="168"/>
  <c r="G33" i="167"/>
  <c r="C34" i="167"/>
  <c r="G33" i="166"/>
  <c r="C34" i="166"/>
  <c r="G33" i="165"/>
  <c r="C34" i="165"/>
  <c r="G33" i="164"/>
  <c r="C34" i="164"/>
  <c r="G33" i="163"/>
  <c r="C34" i="163"/>
  <c r="G33" i="162"/>
  <c r="C34" i="162"/>
  <c r="G33" i="161"/>
  <c r="C34" i="161"/>
  <c r="G33" i="160"/>
  <c r="C34" i="160"/>
  <c r="C33" i="159"/>
  <c r="G32" i="159"/>
  <c r="C33" i="158"/>
  <c r="G32" i="158"/>
  <c r="C33" i="157"/>
  <c r="G32" i="157"/>
  <c r="C33" i="156"/>
  <c r="G32" i="156"/>
  <c r="C33" i="155"/>
  <c r="G32" i="155"/>
  <c r="C33" i="154"/>
  <c r="G32" i="154"/>
  <c r="C33" i="153"/>
  <c r="G32" i="153"/>
  <c r="C33" i="152"/>
  <c r="G32" i="152"/>
  <c r="C33" i="151"/>
  <c r="G32" i="151"/>
  <c r="F4" i="1"/>
  <c r="E4" i="1"/>
  <c r="M24" i="1"/>
  <c r="R5" i="8"/>
  <c r="R6" i="8"/>
  <c r="G34" i="168" l="1"/>
  <c r="C35" i="168"/>
  <c r="G34" i="167"/>
  <c r="C35" i="167"/>
  <c r="G34" i="166"/>
  <c r="C35" i="166"/>
  <c r="G34" i="165"/>
  <c r="C35" i="165"/>
  <c r="G34" i="164"/>
  <c r="C35" i="164"/>
  <c r="C35" i="163"/>
  <c r="G34" i="163"/>
  <c r="G34" i="162"/>
  <c r="C35" i="162"/>
  <c r="G34" i="161"/>
  <c r="C35" i="161"/>
  <c r="G34" i="160"/>
  <c r="C35" i="160"/>
  <c r="G33" i="159"/>
  <c r="C34" i="159"/>
  <c r="G33" i="158"/>
  <c r="C34" i="158"/>
  <c r="G33" i="157"/>
  <c r="C34" i="157"/>
  <c r="G33" i="156"/>
  <c r="C34" i="156"/>
  <c r="G33" i="155"/>
  <c r="C34" i="155"/>
  <c r="G33" i="154"/>
  <c r="C34" i="154"/>
  <c r="G33" i="153"/>
  <c r="C34" i="153"/>
  <c r="G33" i="152"/>
  <c r="C34" i="152"/>
  <c r="G33" i="151"/>
  <c r="C34" i="151"/>
  <c r="A2" i="4"/>
  <c r="G35" i="168" l="1"/>
  <c r="C36" i="168"/>
  <c r="C36" i="167"/>
  <c r="G35" i="167"/>
  <c r="G35" i="166"/>
  <c r="C36" i="166"/>
  <c r="G35" i="165"/>
  <c r="C36" i="165"/>
  <c r="C36" i="164"/>
  <c r="G35" i="164"/>
  <c r="G35" i="163"/>
  <c r="C36" i="163"/>
  <c r="G35" i="162"/>
  <c r="C36" i="162"/>
  <c r="C36" i="161"/>
  <c r="G35" i="161"/>
  <c r="G35" i="160"/>
  <c r="C36" i="160"/>
  <c r="G34" i="159"/>
  <c r="C35" i="159"/>
  <c r="G34" i="158"/>
  <c r="C35" i="158"/>
  <c r="G34" i="157"/>
  <c r="C35" i="157"/>
  <c r="G34" i="156"/>
  <c r="C35" i="156"/>
  <c r="G34" i="155"/>
  <c r="C35" i="155"/>
  <c r="G34" i="154"/>
  <c r="C35" i="154"/>
  <c r="G34" i="153"/>
  <c r="C35" i="153"/>
  <c r="G34" i="152"/>
  <c r="C35" i="152"/>
  <c r="G34" i="151"/>
  <c r="C35" i="151"/>
  <c r="F8" i="150"/>
  <c r="F19" i="4"/>
  <c r="F9" i="4"/>
  <c r="C37" i="168" l="1"/>
  <c r="H34" i="168" s="1"/>
  <c r="G36" i="168"/>
  <c r="C37" i="167"/>
  <c r="G36" i="167"/>
  <c r="C37" i="166"/>
  <c r="G36" i="166"/>
  <c r="H36" i="166" s="1"/>
  <c r="C37" i="165"/>
  <c r="G36" i="165"/>
  <c r="C37" i="164"/>
  <c r="G36" i="164"/>
  <c r="H32" i="164"/>
  <c r="H35" i="164"/>
  <c r="C37" i="163"/>
  <c r="G36" i="163"/>
  <c r="H33" i="163"/>
  <c r="H31" i="163"/>
  <c r="H35" i="163"/>
  <c r="C37" i="162"/>
  <c r="H34" i="162" s="1"/>
  <c r="G36" i="162"/>
  <c r="H36" i="162" s="1"/>
  <c r="H35" i="162"/>
  <c r="C37" i="161"/>
  <c r="G36" i="161"/>
  <c r="C37" i="160"/>
  <c r="G36" i="160"/>
  <c r="G35" i="159"/>
  <c r="C36" i="159"/>
  <c r="C36" i="158"/>
  <c r="G35" i="158"/>
  <c r="C36" i="157"/>
  <c r="G35" i="157"/>
  <c r="C36" i="156"/>
  <c r="G35" i="156"/>
  <c r="C36" i="155"/>
  <c r="G35" i="155"/>
  <c r="G35" i="154"/>
  <c r="C36" i="154"/>
  <c r="G35" i="153"/>
  <c r="C36" i="153"/>
  <c r="C36" i="152"/>
  <c r="G35" i="152"/>
  <c r="C36" i="151"/>
  <c r="G35" i="151"/>
  <c r="P2" i="4"/>
  <c r="F23" i="4"/>
  <c r="F22" i="4"/>
  <c r="F21" i="4"/>
  <c r="F18" i="4"/>
  <c r="F12" i="4"/>
  <c r="F7" i="4"/>
  <c r="H36" i="168" l="1"/>
  <c r="G37" i="168"/>
  <c r="H37" i="168" s="1"/>
  <c r="G38" i="168"/>
  <c r="H38" i="168" s="1"/>
  <c r="H12" i="168"/>
  <c r="H9" i="168"/>
  <c r="H11" i="168"/>
  <c r="H8" i="168"/>
  <c r="H10" i="168" s="1"/>
  <c r="H14" i="168"/>
  <c r="H13" i="168"/>
  <c r="H15" i="168"/>
  <c r="H17" i="168"/>
  <c r="H16" i="168"/>
  <c r="H19" i="168"/>
  <c r="H21" i="168"/>
  <c r="H20" i="168"/>
  <c r="H18" i="168"/>
  <c r="H22" i="168"/>
  <c r="H23" i="168"/>
  <c r="H24" i="168"/>
  <c r="H26" i="168"/>
  <c r="H25" i="168"/>
  <c r="H27" i="168"/>
  <c r="H28" i="168"/>
  <c r="H29" i="168"/>
  <c r="H30" i="168"/>
  <c r="H31" i="168"/>
  <c r="H32" i="168"/>
  <c r="H33" i="168"/>
  <c r="H35" i="168"/>
  <c r="G37" i="167"/>
  <c r="H37" i="167" s="1"/>
  <c r="G38" i="167"/>
  <c r="H38" i="167" s="1"/>
  <c r="H9" i="167"/>
  <c r="H8" i="167"/>
  <c r="H14" i="167"/>
  <c r="H15" i="167"/>
  <c r="H13" i="167"/>
  <c r="H12" i="167"/>
  <c r="H17" i="167"/>
  <c r="H16" i="167"/>
  <c r="H18" i="167"/>
  <c r="H20" i="167"/>
  <c r="H19" i="167"/>
  <c r="H21" i="167"/>
  <c r="H23" i="167"/>
  <c r="H25" i="167"/>
  <c r="H26" i="167"/>
  <c r="H22" i="167"/>
  <c r="H24" i="167"/>
  <c r="H27" i="167"/>
  <c r="H28" i="167"/>
  <c r="H29" i="167"/>
  <c r="H30" i="167"/>
  <c r="H33" i="167"/>
  <c r="H35" i="167"/>
  <c r="H34" i="167"/>
  <c r="H32" i="167"/>
  <c r="H31" i="167"/>
  <c r="H36" i="167"/>
  <c r="G37" i="166"/>
  <c r="G38" i="166"/>
  <c r="H38" i="166" s="1"/>
  <c r="H9" i="166"/>
  <c r="H13" i="166"/>
  <c r="H11" i="166"/>
  <c r="H8" i="166"/>
  <c r="H10" i="166" s="1"/>
  <c r="H14" i="166"/>
  <c r="H12" i="166"/>
  <c r="H15" i="166"/>
  <c r="H16" i="166"/>
  <c r="H17" i="166"/>
  <c r="H18" i="166"/>
  <c r="H19" i="166"/>
  <c r="H20" i="166"/>
  <c r="H21" i="166"/>
  <c r="H22" i="166"/>
  <c r="H23" i="166"/>
  <c r="H25" i="166"/>
  <c r="H24" i="166"/>
  <c r="H26" i="166"/>
  <c r="H27" i="166"/>
  <c r="H28" i="166"/>
  <c r="H29" i="166"/>
  <c r="H30" i="166"/>
  <c r="H32" i="166"/>
  <c r="H31" i="166"/>
  <c r="H35" i="166"/>
  <c r="H37" i="166"/>
  <c r="H34" i="166"/>
  <c r="H33" i="166"/>
  <c r="H36" i="165"/>
  <c r="G37" i="165"/>
  <c r="H37" i="165" s="1"/>
  <c r="G38" i="165"/>
  <c r="H38" i="165" s="1"/>
  <c r="H9" i="165"/>
  <c r="H8" i="165"/>
  <c r="H10" i="165" s="1"/>
  <c r="H11" i="165"/>
  <c r="H15" i="165"/>
  <c r="H12" i="165"/>
  <c r="H13" i="165"/>
  <c r="H16" i="165"/>
  <c r="H14" i="165"/>
  <c r="H17" i="165"/>
  <c r="H19" i="165"/>
  <c r="H18" i="165"/>
  <c r="H20" i="165"/>
  <c r="H21" i="165"/>
  <c r="H22" i="165"/>
  <c r="H23" i="165"/>
  <c r="H24" i="165"/>
  <c r="H26" i="165"/>
  <c r="H25" i="165"/>
  <c r="H31" i="165"/>
  <c r="H27" i="165"/>
  <c r="H28" i="165"/>
  <c r="H30" i="165"/>
  <c r="H32" i="165"/>
  <c r="H34" i="165"/>
  <c r="H33" i="165"/>
  <c r="H29" i="165"/>
  <c r="H35" i="165"/>
  <c r="H36" i="164"/>
  <c r="H34" i="164"/>
  <c r="H33" i="164"/>
  <c r="G37" i="164"/>
  <c r="H37" i="164" s="1"/>
  <c r="G38" i="164"/>
  <c r="H38" i="164" s="1"/>
  <c r="H12" i="164"/>
  <c r="H8" i="164"/>
  <c r="H11" i="164"/>
  <c r="H13" i="164"/>
  <c r="H14" i="164"/>
  <c r="H16" i="164"/>
  <c r="H15" i="164"/>
  <c r="H17" i="164"/>
  <c r="H19" i="164"/>
  <c r="H20" i="164"/>
  <c r="H18" i="164"/>
  <c r="H21" i="164"/>
  <c r="H24" i="164"/>
  <c r="H22" i="164"/>
  <c r="H23" i="164"/>
  <c r="H25" i="164"/>
  <c r="H28" i="164"/>
  <c r="H26" i="164"/>
  <c r="H27" i="164"/>
  <c r="H29" i="164"/>
  <c r="H31" i="164"/>
  <c r="H30" i="164"/>
  <c r="G37" i="163"/>
  <c r="H37" i="163" s="1"/>
  <c r="G38" i="163"/>
  <c r="H38" i="163" s="1"/>
  <c r="H10" i="163"/>
  <c r="H8" i="163"/>
  <c r="H11" i="163"/>
  <c r="H13" i="163"/>
  <c r="H9" i="163"/>
  <c r="H14" i="163"/>
  <c r="H12" i="163"/>
  <c r="H18" i="163"/>
  <c r="H17" i="163"/>
  <c r="H16" i="163"/>
  <c r="H15" i="163"/>
  <c r="H21" i="163"/>
  <c r="H19" i="163"/>
  <c r="H20" i="163"/>
  <c r="H23" i="163"/>
  <c r="H24" i="163"/>
  <c r="H25" i="163"/>
  <c r="H22" i="163"/>
  <c r="H28" i="163"/>
  <c r="H26" i="163"/>
  <c r="H27" i="163"/>
  <c r="H29" i="163"/>
  <c r="H30" i="163"/>
  <c r="H36" i="163"/>
  <c r="H34" i="163"/>
  <c r="H32" i="163"/>
  <c r="G37" i="162"/>
  <c r="H37" i="162" s="1"/>
  <c r="G38" i="162"/>
  <c r="H38" i="162" s="1"/>
  <c r="H12" i="162"/>
  <c r="H8" i="162"/>
  <c r="H9" i="162"/>
  <c r="H10" i="162"/>
  <c r="H11" i="162"/>
  <c r="H16" i="162"/>
  <c r="H13" i="162"/>
  <c r="H14" i="162"/>
  <c r="H15" i="162"/>
  <c r="H17" i="162"/>
  <c r="H18" i="162"/>
  <c r="H20" i="162"/>
  <c r="H19" i="162"/>
  <c r="H21" i="162"/>
  <c r="H23" i="162"/>
  <c r="H22" i="162"/>
  <c r="H24" i="162"/>
  <c r="H25" i="162"/>
  <c r="H26" i="162"/>
  <c r="H28" i="162"/>
  <c r="H27" i="162"/>
  <c r="H29" i="162"/>
  <c r="H30" i="162"/>
  <c r="H32" i="162"/>
  <c r="H31" i="162"/>
  <c r="H33" i="162"/>
  <c r="G37" i="161"/>
  <c r="H37" i="161" s="1"/>
  <c r="G38" i="161"/>
  <c r="H38" i="161" s="1"/>
  <c r="H8" i="161"/>
  <c r="H12" i="161"/>
  <c r="H9" i="161"/>
  <c r="H10" i="161"/>
  <c r="H15" i="161"/>
  <c r="H11" i="161"/>
  <c r="H13" i="161"/>
  <c r="H14" i="161"/>
  <c r="H16" i="161"/>
  <c r="H18" i="161"/>
  <c r="H19" i="161"/>
  <c r="H17" i="161"/>
  <c r="H20" i="161"/>
  <c r="H21" i="161"/>
  <c r="H22" i="161"/>
  <c r="H24" i="161"/>
  <c r="H23" i="161"/>
  <c r="H25" i="161"/>
  <c r="H26" i="161"/>
  <c r="H28" i="161"/>
  <c r="H27" i="161"/>
  <c r="H29" i="161"/>
  <c r="H31" i="161"/>
  <c r="H30" i="161"/>
  <c r="H33" i="161"/>
  <c r="H32" i="161"/>
  <c r="H35" i="161"/>
  <c r="H34" i="161"/>
  <c r="H36" i="161"/>
  <c r="G37" i="160"/>
  <c r="G38" i="160"/>
  <c r="H38" i="160" s="1"/>
  <c r="H10" i="160"/>
  <c r="H8" i="160"/>
  <c r="H9" i="160"/>
  <c r="H11" i="160"/>
  <c r="H15" i="160"/>
  <c r="H13" i="160"/>
  <c r="H14" i="160"/>
  <c r="H17" i="160"/>
  <c r="H16" i="160"/>
  <c r="H21" i="160"/>
  <c r="H20" i="160"/>
  <c r="H18" i="160"/>
  <c r="H19" i="160"/>
  <c r="H22" i="160"/>
  <c r="H24" i="160"/>
  <c r="H23" i="160"/>
  <c r="H25" i="160"/>
  <c r="H27" i="160"/>
  <c r="H29" i="160"/>
  <c r="H30" i="160"/>
  <c r="H28" i="160"/>
  <c r="H26" i="160"/>
  <c r="H31" i="160"/>
  <c r="H33" i="160"/>
  <c r="H34" i="160"/>
  <c r="H32" i="160"/>
  <c r="H35" i="160"/>
  <c r="H37" i="160"/>
  <c r="H36" i="160"/>
  <c r="C37" i="159"/>
  <c r="G36" i="159"/>
  <c r="C37" i="158"/>
  <c r="G36" i="158"/>
  <c r="H34" i="158"/>
  <c r="C37" i="157"/>
  <c r="G36" i="157"/>
  <c r="C37" i="156"/>
  <c r="G36" i="156"/>
  <c r="H29" i="156"/>
  <c r="C37" i="155"/>
  <c r="G36" i="155"/>
  <c r="C37" i="154"/>
  <c r="G36" i="154"/>
  <c r="C37" i="153"/>
  <c r="G36" i="153"/>
  <c r="C37" i="152"/>
  <c r="G36" i="152"/>
  <c r="H35" i="152"/>
  <c r="C37" i="151"/>
  <c r="G36" i="151"/>
  <c r="B4" i="50"/>
  <c r="P78" i="8"/>
  <c r="M24" i="4"/>
  <c r="AX24" i="4"/>
  <c r="H24" i="4"/>
  <c r="N2" i="4"/>
  <c r="M2" i="4"/>
  <c r="K2" i="4"/>
  <c r="H2" i="4"/>
  <c r="H11" i="167" l="1"/>
  <c r="H10" i="164"/>
  <c r="H36" i="159"/>
  <c r="G37" i="159"/>
  <c r="H37" i="159" s="1"/>
  <c r="G38" i="159"/>
  <c r="H38" i="159" s="1"/>
  <c r="H9" i="159"/>
  <c r="H10" i="159"/>
  <c r="H8" i="159"/>
  <c r="H11" i="159"/>
  <c r="H13" i="159"/>
  <c r="H12" i="159"/>
  <c r="H14" i="159"/>
  <c r="H16" i="159"/>
  <c r="H15" i="159"/>
  <c r="H18" i="159"/>
  <c r="H17" i="159"/>
  <c r="H21" i="159"/>
  <c r="H19" i="159"/>
  <c r="H20" i="159"/>
  <c r="H22" i="159"/>
  <c r="H23" i="159"/>
  <c r="H26" i="159"/>
  <c r="H24" i="159"/>
  <c r="H25" i="159"/>
  <c r="H28" i="159"/>
  <c r="H27" i="159"/>
  <c r="H29" i="159"/>
  <c r="H30" i="159"/>
  <c r="H31" i="159"/>
  <c r="H32" i="159"/>
  <c r="H35" i="159"/>
  <c r="H33" i="159"/>
  <c r="H34" i="159"/>
  <c r="H33" i="157"/>
  <c r="H32" i="157"/>
  <c r="H31" i="157"/>
  <c r="G37" i="158"/>
  <c r="H37" i="158" s="1"/>
  <c r="G38" i="158"/>
  <c r="H38" i="158" s="1"/>
  <c r="H9" i="158"/>
  <c r="H8" i="158"/>
  <c r="H10" i="158" s="1"/>
  <c r="H11" i="158"/>
  <c r="H12" i="158"/>
  <c r="H16" i="158"/>
  <c r="H14" i="158"/>
  <c r="H13" i="158"/>
  <c r="H17" i="158"/>
  <c r="H15" i="158"/>
  <c r="H18" i="158"/>
  <c r="H20" i="158"/>
  <c r="H19" i="158"/>
  <c r="H21" i="158"/>
  <c r="H22" i="158"/>
  <c r="H23" i="158"/>
  <c r="H25" i="158"/>
  <c r="H26" i="158"/>
  <c r="H27" i="158"/>
  <c r="H24" i="158"/>
  <c r="H29" i="158"/>
  <c r="H28" i="158"/>
  <c r="H32" i="158"/>
  <c r="H30" i="158"/>
  <c r="H35" i="158"/>
  <c r="H31" i="158"/>
  <c r="H33" i="158"/>
  <c r="H36" i="158"/>
  <c r="G37" i="157"/>
  <c r="H37" i="157" s="1"/>
  <c r="G38" i="157"/>
  <c r="H38" i="157" s="1"/>
  <c r="H10" i="157"/>
  <c r="H8" i="157"/>
  <c r="H11" i="157"/>
  <c r="H12" i="157"/>
  <c r="H9" i="157"/>
  <c r="H13" i="157"/>
  <c r="H14" i="157"/>
  <c r="H17" i="157"/>
  <c r="H18" i="157"/>
  <c r="H19" i="157"/>
  <c r="H20" i="157"/>
  <c r="H24" i="157"/>
  <c r="H21" i="157"/>
  <c r="H23" i="157"/>
  <c r="H22" i="157"/>
  <c r="H25" i="157"/>
  <c r="H26" i="157"/>
  <c r="H27" i="157"/>
  <c r="H28" i="157"/>
  <c r="H30" i="157"/>
  <c r="H35" i="157"/>
  <c r="H36" i="157"/>
  <c r="H29" i="157"/>
  <c r="H34" i="157"/>
  <c r="G37" i="156"/>
  <c r="H37" i="156" s="1"/>
  <c r="G38" i="156"/>
  <c r="H38" i="156" s="1"/>
  <c r="H12" i="156"/>
  <c r="H8" i="156"/>
  <c r="H9" i="156" s="1"/>
  <c r="H10" i="156"/>
  <c r="H11" i="156"/>
  <c r="H13" i="156"/>
  <c r="H16" i="156"/>
  <c r="H14" i="156"/>
  <c r="H15" i="156"/>
  <c r="H20" i="156"/>
  <c r="H17" i="156"/>
  <c r="H18" i="156"/>
  <c r="H21" i="156"/>
  <c r="H19" i="156"/>
  <c r="H22" i="156"/>
  <c r="H23" i="156"/>
  <c r="H25" i="156"/>
  <c r="H24" i="156"/>
  <c r="H28" i="156"/>
  <c r="H26" i="156"/>
  <c r="H27" i="156"/>
  <c r="H30" i="156"/>
  <c r="H32" i="156"/>
  <c r="H35" i="156"/>
  <c r="H33" i="156"/>
  <c r="H31" i="156"/>
  <c r="H34" i="156"/>
  <c r="H36" i="156"/>
  <c r="G37" i="155"/>
  <c r="H37" i="155" s="1"/>
  <c r="G38" i="155"/>
  <c r="H38" i="155" s="1"/>
  <c r="H8" i="155"/>
  <c r="H10" i="155" s="1"/>
  <c r="H9" i="155"/>
  <c r="H12" i="155"/>
  <c r="H13" i="155"/>
  <c r="H14" i="155"/>
  <c r="H15" i="155"/>
  <c r="H17" i="155"/>
  <c r="H18" i="155"/>
  <c r="H16" i="155"/>
  <c r="H20" i="155"/>
  <c r="H19" i="155"/>
  <c r="H21" i="155"/>
  <c r="H22" i="155"/>
  <c r="H25" i="155"/>
  <c r="H23" i="155"/>
  <c r="H26" i="155"/>
  <c r="H24" i="155"/>
  <c r="H28" i="155"/>
  <c r="H27" i="155"/>
  <c r="H29" i="155"/>
  <c r="H30" i="155"/>
  <c r="H31" i="155"/>
  <c r="H32" i="155"/>
  <c r="H33" i="155"/>
  <c r="H34" i="155"/>
  <c r="H35" i="155"/>
  <c r="H36" i="155"/>
  <c r="H35" i="154"/>
  <c r="H36" i="154"/>
  <c r="H34" i="154"/>
  <c r="G37" i="154"/>
  <c r="H37" i="154" s="1"/>
  <c r="G38" i="154"/>
  <c r="H38" i="154" s="1"/>
  <c r="H9" i="154"/>
  <c r="H8" i="154"/>
  <c r="H12" i="154"/>
  <c r="H13" i="154"/>
  <c r="H16" i="154"/>
  <c r="H14" i="154"/>
  <c r="H17" i="154"/>
  <c r="H15" i="154"/>
  <c r="H18" i="154"/>
  <c r="H19" i="154"/>
  <c r="H21" i="154"/>
  <c r="H20" i="154"/>
  <c r="H22" i="154"/>
  <c r="H23" i="154"/>
  <c r="H24" i="154"/>
  <c r="H26" i="154"/>
  <c r="H28" i="154"/>
  <c r="H25" i="154"/>
  <c r="H29" i="154"/>
  <c r="H27" i="154"/>
  <c r="H30" i="154"/>
  <c r="H31" i="154"/>
  <c r="H32" i="154"/>
  <c r="H33" i="154"/>
  <c r="G37" i="153"/>
  <c r="H37" i="153" s="1"/>
  <c r="G38" i="153"/>
  <c r="H38" i="153" s="1"/>
  <c r="H9" i="153"/>
  <c r="H8" i="153"/>
  <c r="H10" i="153"/>
  <c r="H13" i="153"/>
  <c r="H12" i="153"/>
  <c r="H14" i="153"/>
  <c r="H16" i="153"/>
  <c r="H17" i="153"/>
  <c r="H18" i="153"/>
  <c r="H15" i="153"/>
  <c r="H19" i="153"/>
  <c r="H20" i="153"/>
  <c r="H21" i="153"/>
  <c r="H22" i="153"/>
  <c r="H23" i="153"/>
  <c r="H26" i="153"/>
  <c r="H25" i="153"/>
  <c r="H24" i="153"/>
  <c r="H28" i="153"/>
  <c r="H29" i="153"/>
  <c r="H27" i="153"/>
  <c r="H30" i="153"/>
  <c r="H31" i="153"/>
  <c r="H32" i="153"/>
  <c r="H33" i="153"/>
  <c r="H34" i="153"/>
  <c r="H35" i="153"/>
  <c r="H36" i="153"/>
  <c r="G37" i="152"/>
  <c r="H37" i="152" s="1"/>
  <c r="G38" i="152"/>
  <c r="H38" i="152" s="1"/>
  <c r="H8" i="152"/>
  <c r="H9" i="152" s="1"/>
  <c r="H12" i="152"/>
  <c r="H11" i="152"/>
  <c r="H10" i="152"/>
  <c r="H14" i="152"/>
  <c r="H13" i="152"/>
  <c r="H16" i="152"/>
  <c r="H15" i="152"/>
  <c r="H17" i="152"/>
  <c r="H19" i="152"/>
  <c r="H18" i="152"/>
  <c r="H20" i="152"/>
  <c r="H22" i="152"/>
  <c r="H24" i="152"/>
  <c r="H21" i="152"/>
  <c r="H23" i="152"/>
  <c r="H26" i="152"/>
  <c r="H25" i="152"/>
  <c r="H27" i="152"/>
  <c r="H29" i="152"/>
  <c r="H28" i="152"/>
  <c r="H32" i="152"/>
  <c r="H30" i="152"/>
  <c r="H31" i="152"/>
  <c r="H33" i="152"/>
  <c r="H36" i="152"/>
  <c r="H34" i="152"/>
  <c r="G37" i="151"/>
  <c r="H37" i="151" s="1"/>
  <c r="G38" i="151"/>
  <c r="H38" i="151" s="1"/>
  <c r="H8" i="151"/>
  <c r="H9" i="151" s="1"/>
  <c r="H10" i="151"/>
  <c r="H13" i="151"/>
  <c r="H11" i="151"/>
  <c r="H12" i="151"/>
  <c r="H14" i="151"/>
  <c r="H15" i="151"/>
  <c r="H16" i="151"/>
  <c r="H17" i="151"/>
  <c r="H18" i="151"/>
  <c r="H20" i="151"/>
  <c r="H19" i="151"/>
  <c r="H21" i="151"/>
  <c r="H22" i="151"/>
  <c r="H24" i="151"/>
  <c r="H23" i="151"/>
  <c r="H25" i="151"/>
  <c r="H28" i="151"/>
  <c r="H26" i="151"/>
  <c r="H27" i="151"/>
  <c r="H29" i="151"/>
  <c r="H30" i="151"/>
  <c r="H31" i="151"/>
  <c r="H32" i="151"/>
  <c r="H35" i="151"/>
  <c r="H33" i="151"/>
  <c r="H34" i="151"/>
  <c r="H36" i="151"/>
  <c r="AX5" i="150"/>
  <c r="H11" i="155" l="1"/>
  <c r="H11" i="153"/>
  <c r="H11" i="154"/>
  <c r="H16" i="157"/>
  <c r="D10" i="9"/>
  <c r="E10" i="9"/>
  <c r="F10" i="9"/>
  <c r="F11" i="9" l="1"/>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H5" i="137"/>
  <c r="H4" i="137" s="1"/>
  <c r="I5" i="137" l="1"/>
  <c r="AX4" i="137"/>
  <c r="I6" i="137" l="1"/>
  <c r="J6" i="137" s="1"/>
  <c r="G6" i="50" s="1"/>
  <c r="I6" i="50" s="1"/>
  <c r="I7" i="137"/>
  <c r="J7" i="137" s="1"/>
  <c r="G7" i="50" s="1"/>
  <c r="I7" i="50" s="1"/>
  <c r="J5" i="137"/>
  <c r="G5" i="50" l="1"/>
  <c r="I5" i="50" s="1"/>
  <c r="K5" i="137"/>
  <c r="K7" i="137"/>
  <c r="K6" i="137"/>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8" i="1"/>
  <c r="H18" i="1" s="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9" i="1"/>
  <c r="H4" i="1" l="1"/>
  <c r="I31" i="1" s="1"/>
  <c r="J31" i="1" s="1"/>
  <c r="K31" i="1" s="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A31" i="1" l="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K29" i="1" l="1"/>
  <c r="G60" i="50"/>
  <c r="I60" i="50" s="1"/>
  <c r="K28" i="1"/>
  <c r="G57" i="50"/>
  <c r="I57" i="50" s="1"/>
  <c r="K26" i="1"/>
  <c r="G55" i="50"/>
  <c r="I55" i="50" s="1"/>
  <c r="K27" i="1"/>
  <c r="G56" i="50"/>
  <c r="I56" i="50" s="1"/>
  <c r="K30" i="1"/>
  <c r="G61" i="50"/>
  <c r="I61" i="50" s="1"/>
  <c r="J25" i="1"/>
  <c r="G13" i="9"/>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I18" i="1"/>
  <c r="J18" i="1" s="1"/>
  <c r="G25" i="50" s="1"/>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K25" i="1" l="1"/>
  <c r="G54" i="50"/>
  <c r="I54"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G72" i="50" s="1"/>
  <c r="I72" i="50" s="1"/>
  <c r="L2" i="5" l="1"/>
  <c r="K24" i="4"/>
  <c r="C18" i="9"/>
  <c r="G18" i="9" s="1"/>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U4" i="150"/>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S16" i="50"/>
  <c r="O64" i="50"/>
  <c r="AE36" i="50"/>
  <c r="AI59" i="50"/>
  <c r="AC72" i="50"/>
  <c r="Z63" i="50"/>
  <c r="AC14" i="50"/>
  <c r="S32" i="50"/>
  <c r="P53" i="50"/>
  <c r="AZ12" i="50"/>
  <c r="AY63" i="50"/>
  <c r="AD17" i="50"/>
  <c r="AH25" i="50"/>
  <c r="S9" i="50"/>
  <c r="BB66" i="50"/>
  <c r="Z69" i="50"/>
  <c r="N50" i="50"/>
  <c r="AD6" i="50"/>
  <c r="AT27" i="50"/>
  <c r="R41" i="50"/>
  <c r="AK51" i="50"/>
  <c r="AP15" i="50"/>
  <c r="AD46" i="50"/>
  <c r="Z6" i="50"/>
  <c r="AK64" i="50"/>
  <c r="AH24" i="50"/>
  <c r="AL33" i="50"/>
  <c r="M33" i="50"/>
  <c r="AW21" i="50"/>
  <c r="AX8" i="50"/>
  <c r="U23" i="50"/>
  <c r="Z66" i="50"/>
  <c r="BC55" i="50"/>
  <c r="AX21" i="50"/>
  <c r="L7" i="50"/>
  <c r="S38" i="50"/>
  <c r="BB72" i="50"/>
  <c r="AU33" i="50"/>
  <c r="AL25" i="50"/>
  <c r="M40" i="50"/>
  <c r="U14" i="50"/>
  <c r="Q15" i="50"/>
  <c r="AC63" i="50"/>
  <c r="AP23" i="50"/>
  <c r="N31" i="50"/>
  <c r="AL37" i="50"/>
  <c r="AE35" i="50"/>
  <c r="AD30" i="50"/>
  <c r="AV7" i="50"/>
  <c r="AX43" i="50"/>
  <c r="Q61" i="50"/>
  <c r="AA61" i="50"/>
  <c r="AQ22" i="50"/>
  <c r="AS4" i="50"/>
  <c r="AU38" i="50"/>
  <c r="R34" i="50"/>
  <c r="T62" i="50"/>
  <c r="AK71" i="50"/>
  <c r="R62" i="50"/>
  <c r="W18" i="50"/>
  <c r="Z60" i="50"/>
  <c r="AP66" i="50"/>
  <c r="R70" i="50"/>
  <c r="AV58" i="50"/>
  <c r="P15" i="50"/>
  <c r="U8" i="50"/>
  <c r="AW12" i="50"/>
  <c r="AS29" i="50"/>
  <c r="BB35" i="50"/>
  <c r="AA53" i="50"/>
  <c r="AA22" i="50"/>
  <c r="O27" i="50"/>
  <c r="BB52" i="50"/>
  <c r="T33" i="50"/>
  <c r="BA36" i="50"/>
  <c r="AS61" i="50"/>
  <c r="AG63" i="50"/>
  <c r="AW72" i="50"/>
  <c r="AA37" i="50"/>
  <c r="AF61" i="50"/>
  <c r="AU46" i="50"/>
  <c r="AS28" i="50"/>
  <c r="O67" i="50"/>
  <c r="AE18" i="50"/>
  <c r="Z7" i="50"/>
  <c r="N53" i="50"/>
  <c r="AJ63" i="50"/>
  <c r="P55" i="50"/>
  <c r="AO12" i="50"/>
  <c r="AZ11" i="50"/>
  <c r="M34" i="50"/>
  <c r="Z41" i="50"/>
  <c r="AJ32" i="50"/>
  <c r="AS7" i="50"/>
  <c r="AV22" i="50"/>
  <c r="AL40" i="50"/>
  <c r="X29" i="50"/>
  <c r="Y48" i="50"/>
  <c r="Z44" i="50"/>
  <c r="W67" i="50"/>
  <c r="T48" i="50"/>
  <c r="AG65" i="50"/>
  <c r="AF35" i="50"/>
  <c r="U10" i="50"/>
  <c r="AG27" i="50"/>
  <c r="AM47" i="50"/>
  <c r="AC34" i="50"/>
  <c r="AK10" i="50"/>
  <c r="O7" i="50"/>
  <c r="AZ69" i="50"/>
  <c r="AA50" i="50"/>
  <c r="AS24" i="50"/>
  <c r="AX68" i="50"/>
  <c r="AF20" i="50"/>
  <c r="AK46" i="50"/>
  <c r="AY69" i="50"/>
  <c r="Q27" i="50"/>
  <c r="AG49" i="50"/>
  <c r="AP54" i="50"/>
  <c r="AU4" i="50"/>
  <c r="AO17" i="50"/>
  <c r="AK36" i="50"/>
  <c r="BA51" i="50"/>
  <c r="BA37" i="50"/>
  <c r="AF31" i="50"/>
  <c r="AP34" i="50"/>
  <c r="Z62" i="50"/>
  <c r="AV15" i="50"/>
  <c r="AI19" i="50"/>
  <c r="W28" i="50"/>
  <c r="AF22" i="50"/>
  <c r="R8" i="50"/>
  <c r="U35" i="50"/>
  <c r="AB62" i="50"/>
  <c r="L12" i="50"/>
  <c r="M23" i="50"/>
  <c r="N59" i="50"/>
  <c r="T61" i="50"/>
  <c r="Q13" i="50"/>
  <c r="AT17" i="50"/>
  <c r="AF50" i="50"/>
  <c r="AC13" i="50"/>
  <c r="AP9" i="50"/>
  <c r="AK40" i="50"/>
  <c r="AV46" i="50"/>
  <c r="AR5" i="50"/>
  <c r="AW44" i="50"/>
  <c r="S69" i="50"/>
  <c r="L32" i="50"/>
  <c r="Z42" i="50"/>
  <c r="BB7" i="50"/>
  <c r="AX72" i="50"/>
  <c r="U21" i="50"/>
  <c r="AX10" i="50"/>
  <c r="R61" i="50"/>
  <c r="AW45" i="50"/>
  <c r="AM27" i="50"/>
  <c r="W49" i="50"/>
  <c r="AA59" i="50"/>
  <c r="AC64" i="50"/>
  <c r="AB40" i="50"/>
  <c r="BC11" i="50"/>
  <c r="AR6" i="50"/>
  <c r="V61" i="50"/>
  <c r="AX29" i="50"/>
  <c r="AN63" i="50"/>
  <c r="X54" i="50"/>
  <c r="V39" i="50"/>
  <c r="AO33" i="50"/>
  <c r="BB49" i="50"/>
  <c r="AD39" i="50"/>
  <c r="AK53" i="50"/>
  <c r="X70" i="50"/>
  <c r="AK6" i="50"/>
  <c r="R66" i="50"/>
  <c r="AS47" i="50"/>
  <c r="AV28" i="50"/>
  <c r="AB64" i="50"/>
  <c r="AD58" i="50"/>
  <c r="BC5" i="50"/>
  <c r="R50" i="50"/>
  <c r="AD43" i="50"/>
  <c r="BA23" i="50"/>
  <c r="AS22" i="50"/>
  <c r="AH13" i="50"/>
  <c r="AX16" i="50"/>
  <c r="O25" i="50"/>
  <c r="N5" i="50"/>
  <c r="W13" i="50"/>
  <c r="Q46" i="50"/>
  <c r="AE41" i="50"/>
  <c r="L62" i="50"/>
  <c r="AF38" i="50"/>
  <c r="BB48" i="50"/>
  <c r="AS60" i="50"/>
  <c r="AP56" i="50"/>
  <c r="AI54" i="50"/>
  <c r="AD23" i="50"/>
  <c r="AR25" i="50"/>
  <c r="U61" i="50"/>
  <c r="M43" i="50"/>
  <c r="AR66" i="50"/>
  <c r="P38" i="50"/>
  <c r="AB36" i="50"/>
  <c r="AV23" i="50"/>
  <c r="W72" i="50"/>
  <c r="AP37" i="50"/>
  <c r="AX15" i="50"/>
  <c r="BA66" i="50"/>
  <c r="R28" i="50"/>
  <c r="AH48" i="50"/>
  <c r="X71" i="50"/>
  <c r="AC69" i="50"/>
  <c r="L49" i="50"/>
  <c r="AC28" i="50"/>
  <c r="S33" i="50"/>
  <c r="U52" i="50"/>
  <c r="N12" i="50"/>
  <c r="BC68" i="50"/>
  <c r="U31" i="50"/>
  <c r="AH32" i="50"/>
  <c r="AG15" i="50"/>
  <c r="Z67" i="50"/>
  <c r="U28" i="50"/>
  <c r="AW69" i="50"/>
  <c r="T67" i="50"/>
  <c r="AW16" i="50"/>
  <c r="P42" i="50"/>
  <c r="AD53" i="50"/>
  <c r="AY50" i="50"/>
  <c r="AE69" i="50"/>
  <c r="L28" i="50"/>
  <c r="O17" i="50"/>
  <c r="M30" i="50"/>
  <c r="AV55" i="50"/>
  <c r="AT18" i="50"/>
  <c r="Z59" i="50"/>
  <c r="BB38" i="50"/>
  <c r="AT20" i="50"/>
  <c r="AL69" i="50"/>
  <c r="AU39" i="50"/>
  <c r="O55" i="50"/>
  <c r="V69" i="50"/>
  <c r="AR57" i="50"/>
  <c r="AJ14" i="50"/>
  <c r="T42" i="50"/>
  <c r="AH45" i="50"/>
  <c r="AG40" i="50"/>
  <c r="AV43" i="50"/>
  <c r="AK68" i="50"/>
  <c r="N19" i="50"/>
  <c r="X65" i="50"/>
  <c r="AQ60" i="50"/>
  <c r="AY65" i="50"/>
  <c r="AA7" i="50"/>
  <c r="AE23" i="50"/>
  <c r="AO14" i="50"/>
  <c r="AD40" i="50"/>
  <c r="AI50" i="50"/>
  <c r="Q63" i="50"/>
  <c r="Q7" i="50"/>
  <c r="S29" i="50"/>
  <c r="T49" i="50"/>
  <c r="L54" i="50"/>
  <c r="V26" i="50"/>
  <c r="V52" i="50"/>
  <c r="AI21" i="50"/>
  <c r="O56" i="50"/>
  <c r="AR52" i="50"/>
  <c r="BA56" i="50"/>
  <c r="AI62" i="50"/>
  <c r="AN30" i="50"/>
  <c r="AA49" i="50"/>
  <c r="AQ27" i="50"/>
  <c r="AK58" i="50"/>
  <c r="P40" i="50"/>
  <c r="AP26" i="50"/>
  <c r="AS69" i="50"/>
  <c r="BC41" i="50"/>
  <c r="V27" i="50"/>
  <c r="Q11" i="50"/>
  <c r="V64" i="50"/>
  <c r="P10" i="50"/>
  <c r="AB37" i="50"/>
  <c r="AG53" i="50"/>
  <c r="AS27" i="50"/>
  <c r="Y58" i="50"/>
  <c r="AY57" i="50"/>
  <c r="X19" i="50"/>
  <c r="L18" i="50"/>
  <c r="AC54" i="50"/>
  <c r="AJ70" i="50"/>
  <c r="S18" i="50"/>
  <c r="U26" i="50"/>
  <c r="AZ65" i="50"/>
  <c r="AE25" i="50"/>
  <c r="AJ36" i="50"/>
  <c r="AQ7" i="50"/>
  <c r="AG7" i="50"/>
  <c r="AO61" i="50"/>
  <c r="V18" i="50"/>
  <c r="AG45" i="50"/>
  <c r="AN56" i="50"/>
  <c r="AB50" i="50"/>
  <c r="AQ9" i="50"/>
  <c r="T32" i="50"/>
  <c r="O16" i="50"/>
  <c r="P35" i="50"/>
  <c r="AP20" i="50"/>
  <c r="Y56" i="50"/>
  <c r="AN50" i="50"/>
  <c r="BA18" i="50"/>
  <c r="AO54" i="50"/>
  <c r="AA15" i="50"/>
  <c r="Y50" i="50"/>
  <c r="BB25" i="50"/>
  <c r="T64" i="50"/>
  <c r="AV29" i="50"/>
  <c r="AV52" i="50"/>
  <c r="AW68" i="50"/>
  <c r="AZ52" i="50"/>
  <c r="AF23" i="50"/>
  <c r="AM67" i="50"/>
  <c r="AV47" i="50"/>
  <c r="AU58" i="50"/>
  <c r="AV13" i="50"/>
  <c r="AA71" i="50"/>
  <c r="AA19" i="50"/>
  <c r="S43" i="50"/>
  <c r="AK63" i="50"/>
  <c r="AG57" i="50"/>
  <c r="AW64" i="50"/>
  <c r="AT33" i="50"/>
  <c r="AV67" i="50"/>
  <c r="AL43" i="50"/>
  <c r="AA35" i="50"/>
  <c r="AC27" i="50"/>
  <c r="AR63" i="50"/>
  <c r="P47" i="50"/>
  <c r="AF56" i="50"/>
  <c r="AH21" i="50"/>
  <c r="AA64" i="50"/>
  <c r="AI58" i="50"/>
  <c r="O66" i="50"/>
  <c r="V14" i="50"/>
  <c r="AX61" i="50"/>
  <c r="AF29" i="50"/>
  <c r="AM65" i="50"/>
  <c r="M42" i="50"/>
  <c r="Z10" i="50"/>
  <c r="AE59" i="50"/>
  <c r="AN18" i="50"/>
  <c r="AQ37" i="50"/>
  <c r="AF18" i="50"/>
  <c r="AP22" i="50"/>
  <c r="AW36" i="50"/>
  <c r="V10" i="50"/>
  <c r="AX14" i="50"/>
  <c r="N10" i="50"/>
  <c r="AH9" i="50"/>
  <c r="L72" i="50"/>
  <c r="AL71" i="50"/>
  <c r="AU42" i="50"/>
  <c r="Y51" i="50"/>
  <c r="AK8" i="50"/>
  <c r="AH62" i="50"/>
  <c r="AT31" i="50"/>
  <c r="AY20" i="50"/>
  <c r="Y27" i="50"/>
  <c r="X53" i="50"/>
  <c r="AO43" i="50"/>
  <c r="AE33" i="50"/>
  <c r="O20" i="50"/>
  <c r="AY5" i="50"/>
  <c r="AK57" i="50"/>
  <c r="AN54" i="50"/>
  <c r="AB10" i="50"/>
  <c r="AQ65" i="50"/>
  <c r="V29" i="50"/>
  <c r="AO50" i="50"/>
  <c r="AL49" i="50"/>
  <c r="AZ38" i="50"/>
  <c r="AO62" i="50"/>
  <c r="U25" i="50"/>
  <c r="N18" i="50"/>
  <c r="AW8" i="50"/>
  <c r="AU14" i="50"/>
  <c r="AM7" i="50"/>
  <c r="P36" i="50"/>
  <c r="BB42" i="50"/>
  <c r="AT12" i="50"/>
  <c r="AN17" i="50"/>
  <c r="R69" i="50"/>
  <c r="AN41" i="50"/>
  <c r="O39" i="50"/>
  <c r="W14" i="50"/>
  <c r="AS43" i="50"/>
  <c r="AC5" i="50"/>
  <c r="AF44" i="50"/>
  <c r="M72" i="50"/>
  <c r="O33" i="50"/>
  <c r="AR20" i="50"/>
  <c r="AT53" i="50"/>
  <c r="AP52" i="50"/>
  <c r="X24" i="50"/>
  <c r="AK12" i="50"/>
  <c r="AC51" i="50"/>
  <c r="AD38" i="50"/>
  <c r="P54" i="50"/>
  <c r="AA58" i="50"/>
  <c r="BB63" i="50"/>
  <c r="Q68" i="50"/>
  <c r="AH46" i="50"/>
  <c r="M54" i="50"/>
  <c r="Q28" i="50"/>
  <c r="BC47" i="50"/>
  <c r="S5" i="50"/>
  <c r="BB27" i="50"/>
  <c r="Y15" i="50"/>
  <c r="AQ20" i="50"/>
  <c r="AT59" i="50"/>
  <c r="AP6" i="50"/>
  <c r="R37" i="50"/>
  <c r="AG8" i="50"/>
  <c r="AS35" i="50"/>
  <c r="Q67" i="50"/>
  <c r="BA28" i="50"/>
  <c r="AW41" i="50"/>
  <c r="AC55" i="50"/>
  <c r="BB44" i="50"/>
  <c r="AV35" i="50"/>
  <c r="AF10" i="50"/>
  <c r="AG41" i="50"/>
  <c r="AO47" i="50"/>
  <c r="AP45" i="50"/>
  <c r="AE10" i="50"/>
  <c r="AE67" i="50"/>
  <c r="AY32" i="50"/>
  <c r="AY30" i="50"/>
  <c r="AT25" i="50"/>
  <c r="M32" i="50"/>
  <c r="X42" i="50"/>
  <c r="T71" i="50"/>
  <c r="AD8" i="50"/>
  <c r="AZ60" i="50"/>
  <c r="S14" i="50"/>
  <c r="AE9" i="50"/>
  <c r="S63" i="50"/>
  <c r="AX49" i="50"/>
  <c r="AG60" i="50"/>
  <c r="AS56" i="50"/>
  <c r="AU54" i="50"/>
  <c r="AF6" i="50"/>
  <c r="AK38" i="50"/>
  <c r="AU15" i="50"/>
  <c r="R51" i="50"/>
  <c r="AM52" i="50"/>
  <c r="AM41" i="50"/>
  <c r="AQ67" i="50"/>
  <c r="AH27" i="50"/>
  <c r="W10" i="50"/>
  <c r="AC62" i="50"/>
  <c r="O47" i="50"/>
  <c r="AX56" i="50"/>
  <c r="AR4" i="50"/>
  <c r="X11" i="50"/>
  <c r="W42" i="50"/>
  <c r="L57" i="50"/>
  <c r="AM49" i="50"/>
  <c r="AD24" i="50"/>
  <c r="AK31" i="50"/>
  <c r="AS9" i="50"/>
  <c r="R46" i="50"/>
  <c r="AA31" i="50"/>
  <c r="O9" i="50"/>
  <c r="AU52" i="50"/>
  <c r="BC39" i="50"/>
  <c r="AB8" i="50"/>
  <c r="P57" i="50"/>
  <c r="AE51" i="50"/>
  <c r="AY37" i="50"/>
  <c r="N67" i="50"/>
  <c r="M57" i="50"/>
  <c r="AG21" i="50"/>
  <c r="Z11" i="50"/>
  <c r="AC24" i="50"/>
  <c r="BC25" i="50"/>
  <c r="AY47" i="50"/>
  <c r="AZ43" i="50"/>
  <c r="AQ32" i="50"/>
  <c r="AJ13" i="50"/>
  <c r="AP63" i="50"/>
  <c r="O65" i="50"/>
  <c r="AE54" i="50"/>
  <c r="AB65" i="50"/>
  <c r="V41" i="50"/>
  <c r="AP57" i="50"/>
  <c r="P65" i="50"/>
  <c r="Q34" i="50"/>
  <c r="AN33" i="50"/>
  <c r="AS30" i="50"/>
  <c r="Q37" i="50"/>
  <c r="AM62" i="50"/>
  <c r="V30" i="50"/>
  <c r="AA46" i="50"/>
  <c r="AX58" i="50"/>
  <c r="AY54" i="50"/>
  <c r="AV41" i="50"/>
  <c r="M70" i="50"/>
  <c r="AS19" i="50"/>
  <c r="AN7" i="50"/>
  <c r="T9" i="50"/>
  <c r="L41" i="50"/>
  <c r="AO51" i="50"/>
  <c r="AY42" i="50"/>
  <c r="AV44" i="50"/>
  <c r="BA17" i="50"/>
  <c r="AN23" i="50"/>
  <c r="AC43" i="50"/>
  <c r="L71" i="50"/>
  <c r="AZ55" i="50"/>
  <c r="AZ24" i="50"/>
  <c r="Z33" i="50"/>
  <c r="AE72" i="50"/>
  <c r="AA56" i="50"/>
  <c r="AT44" i="50"/>
  <c r="S47" i="50"/>
  <c r="AZ35" i="50"/>
  <c r="AU25" i="50"/>
  <c r="AG67" i="50"/>
  <c r="AH31" i="50"/>
  <c r="Z48" i="50"/>
  <c r="AL54" i="50"/>
  <c r="AU29" i="50"/>
  <c r="O40" i="50"/>
  <c r="AX69" i="50"/>
  <c r="AG33" i="50"/>
  <c r="AM43" i="50"/>
  <c r="AG69" i="50"/>
  <c r="BB17" i="50"/>
  <c r="AM24" i="50"/>
  <c r="AR10" i="50"/>
  <c r="M35" i="50"/>
  <c r="V49" i="50"/>
  <c r="AC53" i="50"/>
  <c r="AE39" i="50"/>
  <c r="V24" i="50"/>
  <c r="AY7" i="50"/>
  <c r="AB21" i="50"/>
  <c r="AE26" i="50"/>
  <c r="U69" i="50"/>
  <c r="AU11" i="50"/>
  <c r="V37" i="50"/>
  <c r="AL19" i="50"/>
  <c r="O41" i="50"/>
  <c r="AD14" i="50"/>
  <c r="AV71" i="50"/>
  <c r="AK48" i="50"/>
  <c r="V7" i="50"/>
  <c r="M64" i="50"/>
  <c r="AE32" i="50"/>
  <c r="AA38" i="50"/>
  <c r="AC49" i="50"/>
  <c r="Y41" i="50"/>
  <c r="AM32" i="50"/>
  <c r="AD65" i="50"/>
  <c r="S39" i="50"/>
  <c r="AG12" i="50"/>
  <c r="AV16" i="50"/>
  <c r="AL6" i="50"/>
  <c r="AE27" i="50"/>
  <c r="AB41" i="50"/>
  <c r="AZ33" i="50"/>
  <c r="AU36" i="50"/>
  <c r="AK15" i="50"/>
  <c r="AB55" i="50"/>
  <c r="AZ16" i="50"/>
  <c r="AW50" i="50"/>
  <c r="AR14" i="50"/>
  <c r="S71" i="50"/>
  <c r="Y17" i="50"/>
  <c r="L45" i="50"/>
  <c r="Q6" i="50"/>
  <c r="L43" i="50"/>
  <c r="AA40" i="50"/>
  <c r="AP36" i="50"/>
  <c r="AR28" i="50"/>
  <c r="R48" i="50"/>
  <c r="AG20" i="50"/>
  <c r="AR61" i="50"/>
  <c r="V6" i="50"/>
  <c r="BB30" i="50"/>
  <c r="AN48" i="50"/>
  <c r="AR43" i="50"/>
  <c r="L34" i="50"/>
  <c r="M59" i="50"/>
  <c r="AC67" i="50"/>
  <c r="O32" i="50"/>
  <c r="AV5" i="50"/>
  <c r="AU61" i="50"/>
  <c r="AK70" i="50"/>
  <c r="AO60" i="50"/>
  <c r="BB62" i="50"/>
  <c r="AP71" i="50"/>
  <c r="W55" i="50"/>
  <c r="AZ36" i="50"/>
  <c r="AD15" i="50"/>
  <c r="BB53" i="50"/>
  <c r="AE13" i="50"/>
  <c r="Z13" i="50"/>
  <c r="BB36" i="50"/>
  <c r="O34" i="50"/>
  <c r="BB33" i="50"/>
  <c r="P60" i="50"/>
  <c r="AF9" i="50"/>
  <c r="P30" i="50"/>
  <c r="AC57" i="50"/>
  <c r="BA16" i="50"/>
  <c r="BA4" i="50"/>
  <c r="AW33" i="50"/>
  <c r="Y60" i="50"/>
  <c r="L21" i="50"/>
  <c r="AZ41" i="50"/>
  <c r="AI41" i="50"/>
  <c r="AS31" i="50"/>
  <c r="AF66" i="50"/>
  <c r="W71" i="50"/>
  <c r="W64" i="50"/>
  <c r="AK7" i="50"/>
  <c r="AC35" i="50"/>
  <c r="AW37" i="50"/>
  <c r="AH14" i="50"/>
  <c r="AB7" i="50"/>
  <c r="AA36" i="50"/>
  <c r="P50" i="50"/>
  <c r="AW34" i="50"/>
  <c r="R56" i="50"/>
  <c r="AP49" i="50"/>
  <c r="AZ62" i="50"/>
  <c r="X68" i="50"/>
  <c r="AO65" i="50"/>
  <c r="AQ4" i="50"/>
  <c r="BA54" i="50"/>
  <c r="BB55" i="50"/>
  <c r="AC66" i="50"/>
  <c r="N8" i="50"/>
  <c r="AF7" i="50"/>
  <c r="BA70" i="50"/>
  <c r="AM48" i="50"/>
  <c r="O48" i="50"/>
  <c r="AE11" i="50"/>
  <c r="X25" i="50"/>
  <c r="AM39" i="50"/>
  <c r="V40" i="50"/>
  <c r="AH41" i="50"/>
  <c r="AM61" i="50"/>
  <c r="AV34" i="50"/>
  <c r="W34" i="50"/>
  <c r="AA57" i="50"/>
  <c r="AD49" i="50"/>
  <c r="AH40" i="50"/>
  <c r="AP70" i="50"/>
  <c r="O72" i="50"/>
  <c r="AI67" i="50"/>
  <c r="Y22" i="50"/>
  <c r="Z26" i="50"/>
  <c r="Z30" i="50"/>
  <c r="AI60" i="50"/>
  <c r="AN15" i="50"/>
  <c r="BB31" i="50"/>
  <c r="L48" i="50"/>
  <c r="AA33" i="50"/>
  <c r="N34" i="50"/>
  <c r="AT15" i="50"/>
  <c r="BB70" i="50"/>
  <c r="M52" i="50"/>
  <c r="U7" i="50"/>
  <c r="BA27" i="50"/>
  <c r="AL59" i="50"/>
  <c r="W20" i="50"/>
  <c r="AS15" i="50"/>
  <c r="AE65" i="50"/>
  <c r="AG43" i="50"/>
  <c r="P33" i="50"/>
  <c r="AC6" i="50"/>
  <c r="AI57" i="50"/>
  <c r="AV70" i="50"/>
  <c r="AW56" i="50"/>
  <c r="Z16" i="50"/>
  <c r="V46" i="50"/>
  <c r="AN65" i="50"/>
  <c r="AK42" i="50"/>
  <c r="AN43" i="50"/>
  <c r="T20" i="50"/>
  <c r="AZ8" i="50"/>
  <c r="R71" i="50"/>
  <c r="AG23" i="50"/>
  <c r="AB34" i="50"/>
  <c r="AA8" i="50"/>
  <c r="V31" i="50"/>
  <c r="AS45" i="50"/>
  <c r="AV37" i="50"/>
  <c r="P29" i="50"/>
  <c r="AV49" i="50"/>
  <c r="AH63" i="50"/>
  <c r="AH42" i="50"/>
  <c r="AO37" i="50"/>
  <c r="AW17" i="50"/>
  <c r="AI14" i="50"/>
  <c r="M65" i="50"/>
  <c r="AG72" i="50"/>
  <c r="AL64" i="50"/>
  <c r="L9" i="50"/>
  <c r="Z32" i="50"/>
  <c r="W41" i="50"/>
  <c r="BA69" i="50"/>
  <c r="AD31" i="50"/>
  <c r="V55" i="50"/>
  <c r="AX17" i="50"/>
  <c r="AH69" i="50"/>
  <c r="AB47" i="50"/>
  <c r="AS21" i="50"/>
  <c r="AJ37" i="50"/>
  <c r="BC13" i="50"/>
  <c r="AL11" i="50"/>
  <c r="X40" i="50"/>
  <c r="AM60" i="50"/>
  <c r="BB20" i="50"/>
  <c r="R52" i="50"/>
  <c r="AK19" i="50"/>
  <c r="AH15" i="50"/>
  <c r="AO31" i="50"/>
  <c r="AR60" i="50"/>
  <c r="AZ28" i="50"/>
  <c r="L37" i="50"/>
  <c r="AM59" i="50"/>
  <c r="AV30" i="50"/>
  <c r="AT16" i="50"/>
  <c r="AD41" i="50"/>
  <c r="S10" i="50"/>
  <c r="U19" i="50"/>
  <c r="AM40" i="50"/>
  <c r="AP17" i="50"/>
  <c r="V71" i="50"/>
  <c r="W32" i="50"/>
  <c r="BC19" i="50"/>
  <c r="N69" i="50"/>
  <c r="AY38" i="50"/>
  <c r="W58" i="50"/>
  <c r="AC21" i="50"/>
  <c r="AM50" i="50"/>
  <c r="AX13" i="50"/>
  <c r="X8" i="50"/>
  <c r="AI71" i="50"/>
  <c r="Q72" i="50"/>
  <c r="P63" i="50"/>
  <c r="N46" i="50"/>
  <c r="AD64" i="50"/>
  <c r="AS5" i="50"/>
  <c r="AZ47" i="50"/>
  <c r="AO10" i="50"/>
  <c r="N49" i="50"/>
  <c r="Y14" i="50"/>
  <c r="BC8" i="50"/>
  <c r="Y30" i="50"/>
  <c r="L70" i="50"/>
  <c r="AU62" i="50"/>
  <c r="AQ42" i="50"/>
  <c r="AG19" i="50"/>
  <c r="BB24" i="50"/>
  <c r="AZ48" i="50"/>
  <c r="BA35" i="50"/>
  <c r="AX71" i="50"/>
  <c r="S51" i="50"/>
  <c r="AG30" i="50"/>
  <c r="AL14" i="50"/>
  <c r="AJ50" i="50"/>
  <c r="Q29" i="50"/>
  <c r="AX36" i="50"/>
  <c r="AI11" i="50"/>
  <c r="AE16" i="50"/>
  <c r="AX6" i="50"/>
  <c r="AJ28" i="50"/>
  <c r="AU44" i="50"/>
  <c r="R68" i="50"/>
  <c r="AK55" i="50"/>
  <c r="Q38" i="50"/>
  <c r="S61" i="50"/>
  <c r="X45" i="50"/>
  <c r="BB28" i="50"/>
  <c r="Y54" i="50"/>
  <c r="N42" i="50"/>
  <c r="AG26" i="50"/>
  <c r="AW27" i="50"/>
  <c r="S50" i="50"/>
  <c r="R43" i="50"/>
  <c r="AQ61" i="50"/>
  <c r="N11" i="50"/>
  <c r="AV12" i="50"/>
  <c r="L44" i="50"/>
  <c r="BC37" i="50"/>
  <c r="AR34" i="50"/>
  <c r="AD44" i="50"/>
  <c r="AY16" i="50"/>
  <c r="AT38" i="50"/>
  <c r="W54" i="50"/>
  <c r="AY31" i="50"/>
  <c r="AH18" i="50"/>
  <c r="AC58" i="50"/>
  <c r="AO39" i="50"/>
  <c r="P61" i="50"/>
  <c r="AQ71" i="50"/>
  <c r="BA60" i="50"/>
  <c r="AM46" i="50"/>
  <c r="P34" i="50"/>
  <c r="AX57" i="50"/>
  <c r="AJ12" i="50"/>
  <c r="BB12" i="50"/>
  <c r="Z15" i="50"/>
  <c r="T56" i="50"/>
  <c r="AC45" i="50"/>
  <c r="AT51" i="50"/>
  <c r="AN45" i="50"/>
  <c r="AR67" i="50"/>
  <c r="AY11" i="50"/>
  <c r="N9" i="50"/>
  <c r="Z70" i="50"/>
  <c r="AI28" i="50"/>
  <c r="AW9" i="50"/>
  <c r="U53" i="50"/>
  <c r="BA68" i="50"/>
  <c r="BA21" i="50"/>
  <c r="AE34" i="50"/>
  <c r="V42" i="50"/>
  <c r="AN20" i="50"/>
  <c r="V38" i="50"/>
  <c r="AX37" i="50"/>
  <c r="R47" i="50"/>
  <c r="AL35" i="50"/>
  <c r="L10" i="50"/>
  <c r="T17" i="50"/>
  <c r="AR56" i="50"/>
  <c r="AL15" i="50"/>
  <c r="BC58" i="50"/>
  <c r="AZ18" i="50"/>
  <c r="AR47" i="50"/>
  <c r="AY27" i="50"/>
  <c r="W16" i="50"/>
  <c r="T22" i="50"/>
  <c r="AV21" i="50"/>
  <c r="AM17" i="50"/>
  <c r="AL56" i="50"/>
  <c r="BB45" i="50"/>
  <c r="AP30" i="50"/>
  <c r="BC14" i="50"/>
  <c r="P26" i="50"/>
  <c r="AI17" i="50"/>
  <c r="AR7" i="50"/>
  <c r="AD50" i="50"/>
  <c r="AZ53" i="50"/>
  <c r="AN52" i="50"/>
  <c r="BB13" i="50"/>
  <c r="BC62" i="50"/>
  <c r="M28" i="50"/>
  <c r="AC25" i="50"/>
  <c r="AY12" i="50"/>
  <c r="AF25" i="50"/>
  <c r="AT65" i="50"/>
  <c r="AC42" i="50"/>
  <c r="AS64" i="50"/>
  <c r="AX55" i="50"/>
  <c r="AT47" i="50"/>
  <c r="U40" i="50"/>
  <c r="AD27" i="50"/>
  <c r="AA52" i="50"/>
  <c r="AP60" i="50"/>
  <c r="O52" i="50"/>
  <c r="AJ54" i="50"/>
  <c r="R7" i="50"/>
  <c r="AR33" i="50"/>
  <c r="W65" i="50"/>
  <c r="AP35" i="50"/>
  <c r="Z47" i="50"/>
  <c r="AS23" i="50"/>
  <c r="AR37" i="50"/>
  <c r="BA49" i="50"/>
  <c r="AO6" i="50"/>
  <c r="BB57" i="50"/>
  <c r="R17" i="50"/>
  <c r="BA67" i="50"/>
  <c r="W62" i="50"/>
  <c r="AL72" i="50"/>
  <c r="AC15" i="50"/>
  <c r="AF46" i="50"/>
  <c r="M13" i="50"/>
  <c r="R55" i="50"/>
  <c r="Z29" i="50"/>
  <c r="O54" i="50"/>
  <c r="AS71" i="50"/>
  <c r="L24" i="50"/>
  <c r="Y65" i="50"/>
  <c r="Q12" i="50"/>
  <c r="BB21" i="50"/>
  <c r="W57" i="50"/>
  <c r="AN42" i="50"/>
  <c r="N41" i="50"/>
  <c r="AV53" i="50"/>
  <c r="AH38" i="50"/>
  <c r="T43" i="50"/>
  <c r="N60" i="50"/>
  <c r="BA45" i="50"/>
  <c r="AG39" i="50"/>
  <c r="AR54" i="50"/>
  <c r="Z56" i="50"/>
  <c r="AB38" i="50"/>
  <c r="T24" i="50"/>
  <c r="AR30" i="50"/>
  <c r="N45" i="50"/>
  <c r="AO18" i="50"/>
  <c r="Z57" i="50"/>
  <c r="R38" i="50"/>
  <c r="L20" i="50"/>
  <c r="Q45" i="50"/>
  <c r="AR36" i="50"/>
  <c r="R58" i="50"/>
  <c r="AT21" i="50"/>
  <c r="AF53" i="50"/>
  <c r="AC52" i="50"/>
  <c r="T36" i="50"/>
  <c r="BA11" i="50"/>
  <c r="AV42" i="50"/>
  <c r="Y16" i="50"/>
  <c r="AC33" i="50"/>
  <c r="S34" i="50"/>
  <c r="AS41" i="50"/>
  <c r="AL27" i="50"/>
  <c r="AL32" i="50"/>
  <c r="AU53" i="50"/>
  <c r="N39" i="50"/>
  <c r="S64" i="50"/>
  <c r="AP39" i="50"/>
  <c r="AN57" i="50"/>
  <c r="AI27" i="50"/>
  <c r="AU28" i="50"/>
  <c r="AS52" i="50"/>
  <c r="AS34" i="50"/>
  <c r="AR12" i="50"/>
  <c r="AZ14" i="50"/>
  <c r="BA55" i="50"/>
  <c r="S56" i="50"/>
  <c r="AI30" i="50"/>
  <c r="AP14" i="50"/>
  <c r="AB13" i="50"/>
  <c r="AO49" i="50"/>
  <c r="N26" i="50"/>
  <c r="AG61" i="50"/>
  <c r="L64" i="50"/>
  <c r="BA65" i="50"/>
  <c r="AV6" i="50"/>
  <c r="AF52" i="50"/>
  <c r="U11" i="50"/>
  <c r="Y45" i="50"/>
  <c r="AB12" i="50"/>
  <c r="T6" i="50"/>
  <c r="P9" i="50"/>
  <c r="M47" i="50"/>
  <c r="AU27" i="50"/>
  <c r="L26" i="50"/>
  <c r="W6" i="50"/>
  <c r="AA23" i="50"/>
  <c r="AH29" i="50"/>
  <c r="AQ58" i="50"/>
  <c r="AA55" i="50"/>
  <c r="S72" i="50"/>
  <c r="AI25" i="50"/>
  <c r="AP28" i="50"/>
  <c r="AN12" i="50"/>
  <c r="O50" i="50"/>
  <c r="AI26" i="50"/>
  <c r="AR15" i="50"/>
  <c r="AF62" i="50"/>
  <c r="AQ18" i="50"/>
  <c r="AB25" i="50"/>
  <c r="P20" i="50"/>
  <c r="Z40" i="50"/>
  <c r="AM71" i="50"/>
  <c r="N33" i="50"/>
  <c r="AV10" i="50"/>
  <c r="O62" i="50"/>
  <c r="Q35" i="50"/>
  <c r="X43" i="50"/>
  <c r="R18" i="50"/>
  <c r="W15" i="50"/>
  <c r="AI45" i="50"/>
  <c r="AE66" i="50"/>
  <c r="BC16" i="50"/>
  <c r="AE5" i="50"/>
  <c r="AH37" i="50"/>
  <c r="P59" i="50"/>
  <c r="AD57" i="50"/>
  <c r="AO59" i="50"/>
  <c r="AI35" i="50"/>
  <c r="T41" i="50"/>
  <c r="BA5" i="50"/>
  <c r="AP55" i="50"/>
  <c r="AH20" i="50"/>
  <c r="AW42" i="50"/>
  <c r="AZ70" i="50"/>
  <c r="U67" i="50"/>
  <c r="AE31" i="50"/>
  <c r="X58" i="50"/>
  <c r="AP42" i="50"/>
  <c r="T15" i="50"/>
  <c r="AG44" i="50"/>
  <c r="T72" i="50"/>
  <c r="BB34" i="50"/>
  <c r="O30" i="50"/>
  <c r="AS13" i="50"/>
  <c r="U65" i="50"/>
  <c r="AK49" i="50"/>
  <c r="AJ45" i="50"/>
  <c r="BB15" i="50"/>
  <c r="AI66" i="50"/>
  <c r="O42" i="50"/>
  <c r="BB43" i="50"/>
  <c r="M24" i="50"/>
  <c r="X9" i="50"/>
  <c r="AH7" i="50"/>
  <c r="BA10" i="50"/>
  <c r="V21" i="50"/>
  <c r="AW5" i="50"/>
  <c r="L36" i="50"/>
  <c r="S41" i="50"/>
  <c r="AT55" i="50"/>
  <c r="AY45" i="50"/>
  <c r="P19" i="50"/>
  <c r="BC34" i="50"/>
  <c r="AT54" i="50"/>
  <c r="Y70" i="50"/>
  <c r="AP48" i="50"/>
  <c r="AK26" i="50"/>
  <c r="AQ64" i="50"/>
  <c r="AL8" i="50"/>
  <c r="L56" i="50"/>
  <c r="BC28" i="50"/>
  <c r="AA34" i="50"/>
  <c r="AV57" i="50"/>
  <c r="AM51" i="50"/>
  <c r="Q40" i="50"/>
  <c r="AL16" i="50"/>
  <c r="AQ55" i="50"/>
  <c r="AB66" i="50"/>
  <c r="Y69" i="50"/>
  <c r="AS49" i="50"/>
  <c r="AN31" i="50"/>
  <c r="M27" i="50"/>
  <c r="AU48" i="50"/>
  <c r="AL31" i="50"/>
  <c r="BA47" i="50"/>
  <c r="BB22" i="50"/>
  <c r="Q22" i="50"/>
  <c r="AF30" i="50"/>
  <c r="AJ71" i="50"/>
  <c r="AQ40" i="50"/>
  <c r="AV33" i="50"/>
  <c r="X62" i="50"/>
  <c r="N20" i="50"/>
  <c r="AF27" i="50"/>
  <c r="Z25" i="50"/>
  <c r="AH70" i="50"/>
  <c r="AD21" i="50"/>
  <c r="P62" i="50"/>
  <c r="V32" i="50"/>
  <c r="T16" i="50"/>
  <c r="M55" i="50"/>
  <c r="T50" i="50"/>
  <c r="BA43" i="50"/>
  <c r="AN62" i="50"/>
  <c r="W66" i="50"/>
  <c r="AO63" i="50"/>
  <c r="X50" i="50"/>
  <c r="Y67" i="50"/>
  <c r="AU12" i="50"/>
  <c r="S24" i="50"/>
  <c r="Y32" i="50"/>
  <c r="AN72" i="50"/>
  <c r="O13" i="50"/>
  <c r="AZ68" i="50"/>
  <c r="Z27" i="50"/>
  <c r="W44" i="50"/>
  <c r="X61" i="50"/>
  <c r="AN68" i="50"/>
  <c r="AU57" i="50"/>
  <c r="AN13" i="50"/>
  <c r="BA72" i="50"/>
  <c r="Z65" i="50"/>
  <c r="AJ29" i="50"/>
  <c r="V20" i="50"/>
  <c r="AY15" i="50"/>
  <c r="AX7" i="50"/>
  <c r="AA20" i="50"/>
  <c r="AD37" i="50"/>
  <c r="BC56" i="50"/>
  <c r="N15" i="50"/>
  <c r="AL24" i="50"/>
  <c r="AX23" i="50"/>
  <c r="AB35" i="50"/>
  <c r="AJ43" i="50"/>
  <c r="AI15" i="50"/>
  <c r="AN55" i="50"/>
  <c r="AQ31" i="50"/>
  <c r="AF32" i="50"/>
  <c r="AW38" i="50"/>
  <c r="AR42" i="50"/>
  <c r="L31" i="50"/>
  <c r="V66" i="50"/>
  <c r="U41" i="50"/>
  <c r="AC71" i="50"/>
  <c r="AE37" i="50"/>
  <c r="AE71" i="50"/>
  <c r="T10" i="50"/>
  <c r="AS58" i="50"/>
  <c r="BA19" i="50"/>
  <c r="U37" i="50"/>
  <c r="X6" i="50"/>
  <c r="X46" i="50"/>
  <c r="AM26" i="50"/>
  <c r="AS32" i="50"/>
  <c r="M25" i="50"/>
  <c r="AA62" i="50"/>
  <c r="AM36" i="50"/>
  <c r="AY48" i="50"/>
  <c r="AT7" i="50"/>
  <c r="T65" i="50"/>
  <c r="N40" i="50"/>
  <c r="AX67" i="50"/>
  <c r="AW61" i="50"/>
  <c r="V58" i="50"/>
  <c r="AP10" i="50"/>
  <c r="U60" i="50"/>
  <c r="AX66" i="50"/>
  <c r="AQ36" i="50"/>
  <c r="BB8" i="50"/>
  <c r="AJ48" i="50"/>
  <c r="AN44" i="50"/>
  <c r="AQ49" i="50"/>
  <c r="U68" i="50"/>
  <c r="AI23" i="50"/>
  <c r="P56" i="50"/>
  <c r="BC29" i="50"/>
  <c r="AS14" i="50"/>
  <c r="P17" i="50"/>
  <c r="AE29" i="50"/>
  <c r="AK37" i="50"/>
  <c r="O44" i="50"/>
  <c r="AQ57" i="50"/>
  <c r="T51" i="50"/>
  <c r="AA63" i="50"/>
  <c r="BC36" i="50"/>
  <c r="AQ28" i="50"/>
  <c r="AN49" i="50"/>
  <c r="T34" i="50"/>
  <c r="BA32" i="50"/>
  <c r="AB30" i="50"/>
  <c r="L59" i="50"/>
  <c r="S45" i="50"/>
  <c r="AE60" i="50"/>
  <c r="AF34" i="50"/>
  <c r="T25" i="50"/>
  <c r="AC7" i="50"/>
  <c r="X38" i="50"/>
  <c r="AD18" i="50"/>
  <c r="AB59" i="50"/>
  <c r="P32" i="50"/>
  <c r="U62" i="50"/>
  <c r="AU26" i="50"/>
  <c r="AI7" i="50"/>
  <c r="AS72" i="50"/>
  <c r="T40" i="50"/>
  <c r="U50" i="50"/>
  <c r="AG22" i="50"/>
  <c r="AT28" i="50"/>
  <c r="AC26" i="50"/>
  <c r="S60" i="50"/>
  <c r="O24" i="50"/>
  <c r="AX38" i="50"/>
  <c r="BC69" i="50"/>
  <c r="AW24" i="50"/>
  <c r="AN36" i="50"/>
  <c r="AV17" i="50"/>
  <c r="AH60" i="50"/>
  <c r="AQ8" i="50"/>
  <c r="AW53" i="50"/>
  <c r="AQ15" i="50"/>
  <c r="W46" i="50"/>
  <c r="W29" i="50"/>
  <c r="AX26" i="50"/>
  <c r="R26" i="50"/>
  <c r="BB61" i="50"/>
  <c r="AU23" i="50"/>
  <c r="L33" i="50"/>
  <c r="AM8" i="50"/>
  <c r="V19" i="50"/>
  <c r="AD33" i="50"/>
  <c r="AR16" i="50"/>
  <c r="AN51" i="50"/>
  <c r="AA43" i="50"/>
  <c r="U44" i="50"/>
  <c r="O28" i="50"/>
  <c r="AO11" i="50"/>
  <c r="AJ62" i="50"/>
  <c r="AQ13" i="50"/>
  <c r="AA70" i="50"/>
  <c r="AT32" i="50"/>
  <c r="U32" i="50"/>
  <c r="M26" i="50"/>
  <c r="BA26" i="50"/>
  <c r="AS65" i="50"/>
  <c r="AB11" i="50"/>
  <c r="AL60" i="50"/>
  <c r="AI18" i="50"/>
  <c r="AS63" i="50"/>
  <c r="AX35" i="50"/>
  <c r="AM9" i="50"/>
  <c r="AE17" i="50"/>
  <c r="AF69" i="50"/>
  <c r="AW57" i="50"/>
  <c r="U6" i="50"/>
  <c r="BC20" i="50"/>
  <c r="AO58" i="50"/>
  <c r="AC11" i="50"/>
  <c r="X15" i="50"/>
  <c r="L40" i="50"/>
  <c r="AA42" i="50"/>
  <c r="T39" i="50"/>
  <c r="S25" i="50"/>
  <c r="U46" i="50"/>
  <c r="AL48" i="50"/>
  <c r="AS51" i="50"/>
  <c r="R14" i="50"/>
  <c r="Z43" i="50"/>
  <c r="N61" i="50"/>
  <c r="AO29" i="50"/>
  <c r="AR9" i="50"/>
  <c r="AB15" i="50"/>
  <c r="AC70" i="50"/>
  <c r="AM6" i="50"/>
  <c r="AP53" i="50"/>
  <c r="BB64" i="50"/>
  <c r="AJ66" i="50"/>
  <c r="AE42" i="50"/>
  <c r="AB58" i="50"/>
  <c r="AE12" i="50"/>
  <c r="AT63" i="50"/>
  <c r="R16" i="50"/>
  <c r="BA12" i="50"/>
  <c r="AQ50" i="50"/>
  <c r="AU60" i="50"/>
  <c r="AM55" i="50"/>
  <c r="R53" i="50"/>
  <c r="AK34" i="50"/>
  <c r="Q25" i="50"/>
  <c r="BC49" i="50"/>
  <c r="U36" i="50"/>
  <c r="T46" i="50"/>
  <c r="AA16" i="50"/>
  <c r="P58" i="50"/>
  <c r="AY70" i="50"/>
  <c r="N52" i="50"/>
  <c r="AX41" i="50"/>
  <c r="Q44" i="50"/>
  <c r="AY35" i="50"/>
  <c r="AK5" i="50"/>
  <c r="AV61" i="50"/>
  <c r="W12" i="50"/>
  <c r="L68" i="50"/>
  <c r="Q5" i="50"/>
  <c r="AJ23" i="50"/>
  <c r="AM44" i="50"/>
  <c r="Z46" i="50"/>
  <c r="R6" i="50"/>
  <c r="AE62" i="50"/>
  <c r="AS6" i="50"/>
  <c r="BA24" i="50"/>
  <c r="AJ38" i="50"/>
  <c r="AW71" i="50"/>
  <c r="N66" i="50"/>
  <c r="N55" i="50"/>
  <c r="AW22" i="50"/>
  <c r="T58" i="50"/>
  <c r="BB37" i="50"/>
  <c r="M61" i="50"/>
  <c r="AH8" i="50"/>
  <c r="N71" i="50"/>
  <c r="AZ21" i="50"/>
  <c r="AQ59" i="50"/>
  <c r="AG55" i="50"/>
  <c r="M66" i="50"/>
  <c r="S13" i="50"/>
  <c r="X36" i="50"/>
  <c r="AL36" i="50"/>
  <c r="BB56" i="50"/>
  <c r="T26" i="50"/>
  <c r="AX63" i="50"/>
  <c r="AB70" i="50"/>
  <c r="BB59" i="50"/>
  <c r="L50" i="50"/>
  <c r="O68" i="50"/>
  <c r="AT45" i="50"/>
  <c r="AH11" i="50"/>
  <c r="AV14" i="50"/>
  <c r="AG70" i="50"/>
  <c r="AY29" i="50"/>
  <c r="AW54" i="50"/>
  <c r="AA13" i="50"/>
  <c r="BC51" i="50"/>
  <c r="BB23" i="50"/>
  <c r="Q43" i="50"/>
  <c r="AI34" i="50"/>
  <c r="AA9" i="50"/>
  <c r="AK16" i="50"/>
  <c r="AM11" i="50"/>
  <c r="AM72" i="50"/>
  <c r="BA42" i="50"/>
  <c r="AL44" i="50"/>
  <c r="O38" i="50"/>
  <c r="AX51" i="50"/>
  <c r="AF21" i="50"/>
  <c r="Y11" i="50"/>
  <c r="Y26" i="50"/>
  <c r="R29" i="50"/>
  <c r="X23" i="50"/>
  <c r="M36" i="50"/>
  <c r="AT49" i="50"/>
  <c r="Q52" i="50"/>
  <c r="Y40" i="50"/>
  <c r="AR49" i="50"/>
  <c r="AS42" i="50"/>
  <c r="X69" i="50"/>
  <c r="U5" i="50"/>
  <c r="BB65" i="50"/>
  <c r="O6" i="50"/>
  <c r="X17" i="50"/>
  <c r="T38" i="50"/>
  <c r="Z19" i="50"/>
  <c r="W7" i="50"/>
  <c r="R72" i="50"/>
  <c r="AI12" i="50"/>
  <c r="AH51" i="50"/>
  <c r="O45" i="50"/>
  <c r="BB67" i="50"/>
  <c r="AA48" i="50"/>
  <c r="Q20" i="50"/>
  <c r="AC30" i="50"/>
  <c r="S26" i="50"/>
  <c r="AX33" i="50"/>
  <c r="AW43" i="50"/>
  <c r="AT13" i="50"/>
  <c r="AR71" i="50"/>
  <c r="AR44" i="50"/>
  <c r="P72" i="50"/>
  <c r="T14" i="50"/>
  <c r="BC63" i="50"/>
  <c r="AY28" i="50"/>
  <c r="AX44" i="50"/>
  <c r="AY8" i="50"/>
  <c r="AL26" i="50"/>
  <c r="T27" i="50"/>
  <c r="AO53" i="50"/>
  <c r="AN47" i="50"/>
  <c r="AN40" i="50"/>
  <c r="X16" i="50"/>
  <c r="Y24" i="50"/>
  <c r="AF42" i="50"/>
  <c r="P12" i="50"/>
  <c r="AL45" i="50"/>
  <c r="AP72" i="50"/>
  <c r="Q32" i="50"/>
  <c r="Y9" i="50"/>
  <c r="AX46" i="50"/>
  <c r="BC59" i="50"/>
  <c r="AN24" i="50"/>
  <c r="X66" i="50"/>
  <c r="L42" i="50"/>
  <c r="BC53" i="50"/>
  <c r="O35" i="50"/>
  <c r="AC18" i="50"/>
  <c r="AI29" i="50"/>
  <c r="AF47" i="50"/>
  <c r="AC68" i="50"/>
  <c r="AU34" i="50"/>
  <c r="Q62" i="50"/>
  <c r="Z39" i="50"/>
  <c r="AM29" i="50"/>
  <c r="AB24" i="50"/>
  <c r="V62" i="50"/>
  <c r="U42" i="50"/>
  <c r="S31" i="50"/>
  <c r="AG68" i="50"/>
  <c r="AC60" i="50"/>
  <c r="AG35" i="50"/>
  <c r="BA34" i="50"/>
  <c r="AZ51" i="50"/>
  <c r="L16" i="50"/>
  <c r="R24" i="50"/>
  <c r="X52" i="50"/>
  <c r="AU49" i="50"/>
  <c r="Y5" i="50"/>
  <c r="AI48" i="50"/>
  <c r="M31" i="50"/>
  <c r="AB48" i="50"/>
  <c r="AB42" i="50"/>
  <c r="AH6" i="50"/>
  <c r="N44" i="50"/>
  <c r="AP69" i="50"/>
  <c r="AI46" i="50"/>
  <c r="AD54" i="50"/>
  <c r="Y71" i="50"/>
  <c r="AS40" i="50"/>
  <c r="AJ72" i="50"/>
  <c r="P51" i="50"/>
  <c r="V57" i="50"/>
  <c r="AI42" i="50"/>
  <c r="R23" i="50"/>
  <c r="R12" i="50"/>
  <c r="AQ30" i="50"/>
  <c r="AP11" i="50"/>
  <c r="AZ30" i="50"/>
  <c r="BC23" i="50"/>
  <c r="AY67" i="50"/>
  <c r="M48" i="50"/>
  <c r="BC40" i="50"/>
  <c r="Y59" i="50"/>
  <c r="BA52" i="50"/>
  <c r="X33" i="50"/>
  <c r="AS68" i="50"/>
  <c r="AL68" i="50"/>
  <c r="L67" i="50"/>
  <c r="AL65" i="50"/>
  <c r="AB52" i="50"/>
  <c r="AG58" i="50"/>
  <c r="N36" i="50"/>
  <c r="Z9" i="50"/>
  <c r="Q56" i="50"/>
  <c r="AE55" i="50"/>
  <c r="Q23" i="50"/>
  <c r="AW40" i="50"/>
  <c r="O26" i="50"/>
  <c r="AB68" i="50"/>
  <c r="AL18" i="50"/>
  <c r="AJ47" i="50"/>
  <c r="AQ35" i="50"/>
  <c r="AG50" i="50"/>
  <c r="AZ31" i="50"/>
  <c r="Z17" i="50"/>
  <c r="O18" i="50"/>
  <c r="AX5" i="50"/>
  <c r="AY46" i="50"/>
  <c r="AD60" i="50"/>
  <c r="X39" i="50"/>
  <c r="BB58" i="50"/>
  <c r="AV56" i="50"/>
  <c r="W11" i="50"/>
  <c r="AI52" i="50"/>
  <c r="AL51" i="50"/>
  <c r="AV62" i="50"/>
  <c r="AZ71" i="50"/>
  <c r="AB28" i="50"/>
  <c r="L35" i="50"/>
  <c r="AG42" i="50"/>
  <c r="AS54" i="50"/>
  <c r="AO20" i="50"/>
  <c r="AB45" i="50"/>
  <c r="Y63" i="50"/>
  <c r="AD55" i="50"/>
  <c r="AZ34" i="50"/>
  <c r="AD70" i="50"/>
  <c r="AV39" i="50"/>
  <c r="AC17" i="50"/>
  <c r="AX11" i="50"/>
  <c r="V60" i="50"/>
  <c r="AW14" i="50"/>
  <c r="AM23" i="50"/>
  <c r="AO55" i="50"/>
  <c r="AE68" i="50"/>
  <c r="AX24" i="50"/>
  <c r="X13" i="50"/>
  <c r="AY41" i="50"/>
  <c r="AO38" i="50"/>
  <c r="P37" i="50"/>
  <c r="AH64" i="50"/>
  <c r="AC32" i="50"/>
  <c r="AR26" i="50"/>
  <c r="AM28" i="50"/>
  <c r="AX4" i="50"/>
  <c r="AS8" i="50"/>
  <c r="AO72" i="50"/>
  <c r="Q14" i="50"/>
  <c r="AR32" i="50"/>
  <c r="AH17" i="50"/>
  <c r="AO48" i="50"/>
  <c r="V44" i="50"/>
  <c r="Y55" i="50"/>
  <c r="S65" i="50"/>
  <c r="AQ5" i="50"/>
  <c r="AP31" i="50"/>
  <c r="AL66" i="50"/>
  <c r="AP46" i="50"/>
  <c r="W59" i="50"/>
  <c r="AW19" i="50"/>
  <c r="AN29" i="50"/>
  <c r="X28" i="50"/>
  <c r="AD34" i="50"/>
  <c r="AU30" i="50"/>
  <c r="Z18" i="50"/>
  <c r="AH34" i="50"/>
  <c r="AB69" i="50"/>
  <c r="AQ16" i="50"/>
  <c r="AG16" i="50"/>
  <c r="AX28" i="50"/>
  <c r="BA46" i="50"/>
  <c r="AD52" i="50"/>
  <c r="AI10" i="50"/>
  <c r="AU70" i="50"/>
  <c r="AH61" i="50"/>
  <c r="AU63" i="50"/>
  <c r="AO15" i="50"/>
  <c r="AD61" i="50"/>
  <c r="AP19" i="50"/>
  <c r="AG6" i="50"/>
  <c r="Q50" i="50"/>
  <c r="AT46" i="50"/>
  <c r="AC44" i="50"/>
  <c r="AY21" i="50"/>
  <c r="W47" i="50"/>
  <c r="AY52" i="50"/>
  <c r="AX40" i="50"/>
  <c r="AF26" i="50"/>
  <c r="S30" i="50"/>
  <c r="AO70" i="50"/>
  <c r="AB6" i="50"/>
  <c r="AJ39" i="50"/>
  <c r="AW60" i="50"/>
  <c r="AN21" i="50"/>
  <c r="Y38" i="50"/>
  <c r="AF8" i="50"/>
  <c r="L66" i="50"/>
  <c r="AI70" i="50"/>
  <c r="BA25" i="50"/>
  <c r="AH28" i="50"/>
  <c r="M17" i="50"/>
  <c r="AE58" i="50"/>
  <c r="AZ49" i="50"/>
  <c r="AM70" i="50"/>
  <c r="AL52" i="50"/>
  <c r="BA6" i="50"/>
  <c r="AY58" i="50"/>
  <c r="Z20" i="50"/>
  <c r="AN71" i="50"/>
  <c r="AU13" i="50"/>
  <c r="AE30" i="50"/>
  <c r="L29" i="50"/>
  <c r="O15" i="50"/>
  <c r="AT71" i="50"/>
  <c r="AZ67" i="50"/>
  <c r="AO56" i="50"/>
  <c r="AZ59" i="50"/>
  <c r="AA14" i="50"/>
  <c r="S62" i="50"/>
  <c r="AB20" i="50"/>
  <c r="AQ44" i="50"/>
  <c r="AY22" i="50"/>
  <c r="BC12" i="50"/>
  <c r="AV11" i="50"/>
  <c r="AK61" i="50"/>
  <c r="AW18" i="50"/>
  <c r="BC67" i="50"/>
  <c r="Q17" i="50"/>
  <c r="M37" i="50"/>
  <c r="AP59" i="50"/>
  <c r="AG9" i="50"/>
  <c r="Z55" i="50"/>
  <c r="AG36" i="50"/>
  <c r="R21" i="50"/>
  <c r="AR38" i="50"/>
  <c r="BC4" i="50"/>
  <c r="AG56" i="50"/>
  <c r="V9" i="50"/>
  <c r="AX70" i="50"/>
  <c r="M7" i="50"/>
  <c r="AY56" i="50"/>
  <c r="W40" i="50"/>
  <c r="AK50" i="50"/>
  <c r="Q60" i="50"/>
  <c r="AV24" i="50"/>
  <c r="S55" i="50"/>
  <c r="T44" i="50"/>
  <c r="AP67" i="50"/>
  <c r="AI69" i="50"/>
  <c r="AX65" i="50"/>
  <c r="L52" i="50"/>
  <c r="P5" i="50"/>
  <c r="AN6" i="50"/>
  <c r="AJ6" i="50"/>
  <c r="AI31" i="50"/>
  <c r="AB39" i="50"/>
  <c r="AV27" i="50"/>
  <c r="AE20" i="50"/>
  <c r="AZ9" i="50"/>
  <c r="AX60" i="50"/>
  <c r="AF37" i="50"/>
  <c r="AX53" i="50"/>
  <c r="L17" i="50"/>
  <c r="AD19" i="50"/>
  <c r="R9" i="50"/>
  <c r="AR35" i="50"/>
  <c r="Q53" i="50"/>
  <c r="AW35" i="50"/>
  <c r="L27" i="50"/>
  <c r="AJ44" i="50"/>
  <c r="AX50" i="50"/>
  <c r="T57" i="50"/>
  <c r="AD26" i="50"/>
  <c r="AI9" i="50"/>
  <c r="AT43" i="50"/>
  <c r="AI53" i="50"/>
  <c r="AB18" i="50"/>
  <c r="AV48" i="50"/>
  <c r="U45" i="50"/>
  <c r="AU50" i="50"/>
  <c r="AK29" i="50"/>
  <c r="AY61" i="50"/>
  <c r="V59" i="50"/>
  <c r="AU64" i="50"/>
  <c r="AQ41" i="50"/>
  <c r="AG47" i="50"/>
  <c r="AY10" i="50"/>
  <c r="Q66" i="50"/>
  <c r="AR51" i="50"/>
  <c r="P43" i="50"/>
  <c r="AK14" i="50"/>
  <c r="BA15" i="50"/>
  <c r="Y29" i="50"/>
  <c r="N43" i="50"/>
  <c r="X44" i="50"/>
  <c r="AA28" i="50"/>
  <c r="Y34" i="50"/>
  <c r="U64" i="50"/>
  <c r="AS17" i="50"/>
  <c r="AA69" i="50"/>
  <c r="AP64" i="50"/>
  <c r="AZ44" i="50"/>
  <c r="AJ68" i="50"/>
  <c r="Z31" i="50"/>
  <c r="BB54" i="50"/>
  <c r="O70" i="50"/>
  <c r="BA33" i="50"/>
  <c r="W23" i="50"/>
  <c r="AV20" i="50"/>
  <c r="AQ14" i="50"/>
  <c r="U17" i="50"/>
  <c r="AE63" i="50"/>
  <c r="AY34" i="50"/>
  <c r="AV26" i="50"/>
  <c r="AW70" i="50"/>
  <c r="AD16" i="50"/>
  <c r="AB63" i="50"/>
  <c r="Y31" i="50"/>
  <c r="AI13" i="50"/>
  <c r="AT61" i="50"/>
  <c r="W61" i="50"/>
  <c r="AS36" i="50"/>
  <c r="AW49" i="50"/>
  <c r="AZ57" i="50"/>
  <c r="Y21" i="50"/>
  <c r="AA67" i="50"/>
  <c r="V70" i="50"/>
  <c r="AF48" i="50"/>
  <c r="AY26" i="50"/>
  <c r="AN64" i="50"/>
  <c r="AG71" i="50"/>
  <c r="AP4" i="50"/>
  <c r="AT6" i="50"/>
  <c r="AN69" i="50"/>
  <c r="AR22" i="50"/>
  <c r="L65" i="50"/>
  <c r="W27" i="50"/>
  <c r="AZ7" i="50"/>
  <c r="AE70" i="50"/>
  <c r="AW47" i="50"/>
  <c r="BC7" i="50"/>
  <c r="X18" i="50"/>
  <c r="O23" i="50"/>
  <c r="Y33" i="50"/>
  <c r="O63" i="50"/>
  <c r="AT37" i="50"/>
  <c r="U54" i="50"/>
  <c r="AU40" i="50"/>
  <c r="AF43" i="50"/>
  <c r="O12" i="50"/>
  <c r="S53" i="50"/>
  <c r="V22" i="50"/>
  <c r="BC33" i="50"/>
  <c r="AK65" i="50"/>
  <c r="BA48" i="50"/>
  <c r="AN8" i="50"/>
  <c r="BB26" i="50"/>
  <c r="Q16" i="50"/>
  <c r="AY62" i="50"/>
  <c r="AT5" i="50"/>
  <c r="T11" i="50"/>
  <c r="AY4" i="50"/>
  <c r="AZ13" i="50"/>
  <c r="AL23" i="50"/>
  <c r="X64" i="50"/>
  <c r="AS10" i="50"/>
  <c r="BA9" i="50"/>
  <c r="AI38" i="50"/>
  <c r="AT26" i="50"/>
  <c r="R40" i="50"/>
  <c r="U56" i="50"/>
  <c r="AN26" i="50"/>
  <c r="M41" i="50"/>
  <c r="AA17" i="50"/>
  <c r="AH67" i="50"/>
  <c r="AA26" i="50"/>
  <c r="AG28" i="50"/>
  <c r="Z68" i="50"/>
  <c r="AG5" i="50"/>
  <c r="AW20" i="50"/>
  <c r="AI64" i="50"/>
  <c r="Y19" i="50"/>
  <c r="AZ40" i="50"/>
  <c r="AF51" i="50"/>
  <c r="AP58" i="50"/>
  <c r="U71" i="50"/>
  <c r="AM15" i="50"/>
  <c r="AW32" i="50"/>
  <c r="AP62" i="50"/>
  <c r="S21" i="50"/>
  <c r="AB23" i="50"/>
  <c r="P71" i="50"/>
  <c r="AD32" i="50"/>
  <c r="AW13" i="50"/>
  <c r="Y10" i="50"/>
  <c r="AS57" i="50"/>
  <c r="AK56" i="50"/>
  <c r="S42" i="50"/>
  <c r="BC72" i="50"/>
  <c r="AW10" i="50"/>
  <c r="AQ46" i="50"/>
  <c r="M71" i="50"/>
  <c r="BA50" i="50"/>
  <c r="AW4" i="50"/>
  <c r="Y49" i="50"/>
  <c r="X41" i="50"/>
  <c r="AC50" i="50"/>
  <c r="AJ18" i="50"/>
  <c r="BC35" i="50"/>
  <c r="AA32" i="50"/>
  <c r="AM14" i="50"/>
  <c r="X5" i="50"/>
  <c r="AC41" i="50"/>
  <c r="AF60" i="50"/>
  <c r="V50" i="50"/>
  <c r="N21" i="50"/>
  <c r="AE57" i="50"/>
  <c r="V43" i="50"/>
  <c r="N32" i="50"/>
  <c r="AN58" i="50"/>
  <c r="AU35" i="50"/>
  <c r="AC37" i="50"/>
  <c r="AA12" i="50"/>
  <c r="AF12" i="50"/>
  <c r="AV45" i="50"/>
  <c r="AZ63" i="50"/>
  <c r="Y37" i="50"/>
  <c r="Q42" i="50"/>
  <c r="AT68" i="50"/>
  <c r="AB49" i="50"/>
  <c r="Q41" i="50"/>
  <c r="AQ70" i="50"/>
  <c r="S23" i="50"/>
  <c r="M68" i="50"/>
  <c r="AJ5" i="50"/>
  <c r="AJ34" i="50"/>
  <c r="AU45" i="50"/>
  <c r="W33" i="50"/>
  <c r="AC56" i="50"/>
  <c r="W68" i="50"/>
  <c r="AY60" i="50"/>
  <c r="AY53" i="50"/>
  <c r="M12" i="50"/>
  <c r="AK47" i="50"/>
  <c r="AY9" i="50"/>
  <c r="AD47" i="50"/>
  <c r="AD45" i="50"/>
  <c r="AQ63" i="50"/>
  <c r="Q48" i="50"/>
  <c r="W39" i="50"/>
  <c r="V65" i="50"/>
  <c r="V47" i="50"/>
  <c r="AI65" i="50"/>
  <c r="AQ11" i="50"/>
  <c r="X12" i="50"/>
  <c r="AD42" i="50"/>
  <c r="AQ47" i="50"/>
  <c r="W37" i="50"/>
  <c r="AL39" i="50"/>
  <c r="S67" i="50"/>
  <c r="P45" i="50"/>
  <c r="BA7" i="50"/>
  <c r="AC61" i="50"/>
  <c r="AH22" i="50"/>
  <c r="O58" i="50"/>
  <c r="AL41" i="50"/>
  <c r="AG37" i="50"/>
  <c r="S70" i="50"/>
  <c r="AL61" i="50"/>
  <c r="AY24" i="50"/>
  <c r="AI32" i="50"/>
  <c r="AD11" i="50"/>
  <c r="AK33" i="50"/>
  <c r="AY39" i="50"/>
  <c r="AW46" i="50"/>
  <c r="AL38" i="50"/>
  <c r="AL10" i="50"/>
  <c r="AA65" i="50"/>
  <c r="T45" i="50"/>
  <c r="U58" i="50"/>
  <c r="AP24" i="50"/>
  <c r="AF58" i="50"/>
  <c r="Q59" i="50"/>
  <c r="AA30" i="50"/>
  <c r="R57" i="50"/>
  <c r="AB67" i="50"/>
  <c r="AT67" i="50"/>
  <c r="L22" i="50"/>
  <c r="AJ35" i="50"/>
  <c r="AW58" i="50"/>
  <c r="R63" i="50"/>
  <c r="M45" i="50"/>
  <c r="AL57" i="50"/>
  <c r="AQ34" i="50"/>
  <c r="M46" i="50"/>
  <c r="AM19" i="50"/>
  <c r="BA13" i="50"/>
  <c r="AV31" i="50"/>
  <c r="P46" i="50"/>
  <c r="AO40" i="50"/>
  <c r="AT66" i="50"/>
  <c r="BC17" i="50"/>
  <c r="S44" i="50"/>
  <c r="S58" i="50"/>
  <c r="AN28" i="50"/>
  <c r="AT42" i="50"/>
  <c r="AV69" i="50"/>
  <c r="O22" i="50"/>
  <c r="AP33" i="50"/>
  <c r="V8" i="50"/>
  <c r="AR27" i="50"/>
  <c r="M44" i="50"/>
  <c r="AJ57" i="50"/>
  <c r="AV72" i="50"/>
  <c r="U70" i="50"/>
  <c r="Y23" i="50"/>
  <c r="Y25" i="50"/>
  <c r="AU10" i="50"/>
  <c r="AG29" i="50"/>
  <c r="BB41" i="50"/>
  <c r="AL30" i="50"/>
  <c r="AZ4" i="50"/>
  <c r="BC31" i="50"/>
  <c r="AR62" i="50"/>
  <c r="L46" i="50"/>
  <c r="AM35" i="50"/>
  <c r="AO46" i="50"/>
  <c r="X21" i="50"/>
  <c r="AK72" i="50"/>
  <c r="AK30" i="50"/>
  <c r="X67" i="50"/>
  <c r="AE47" i="50"/>
  <c r="M21" i="50"/>
  <c r="AG31" i="50"/>
  <c r="AB43" i="50"/>
  <c r="V23" i="50"/>
  <c r="AC20" i="50"/>
  <c r="AJ7" i="50"/>
  <c r="AE8" i="50"/>
  <c r="AF49" i="50"/>
  <c r="AA39" i="50"/>
  <c r="AD51" i="50"/>
  <c r="AL47" i="50"/>
  <c r="BC60" i="50"/>
  <c r="AV68" i="50"/>
  <c r="AH5" i="50"/>
  <c r="AH59" i="50"/>
  <c r="T30" i="50"/>
  <c r="V53" i="50"/>
  <c r="AM22" i="50"/>
  <c r="AC31" i="50"/>
  <c r="P69" i="50"/>
  <c r="AK22" i="50"/>
  <c r="AA44" i="50"/>
  <c r="M39" i="50"/>
  <c r="AI47" i="50"/>
  <c r="W21" i="50"/>
  <c r="V25" i="50"/>
  <c r="AR40" i="50"/>
  <c r="AU22" i="50"/>
  <c r="AY17" i="50"/>
  <c r="AM30" i="50"/>
  <c r="AT14" i="50"/>
  <c r="AC46" i="50"/>
  <c r="R49" i="50"/>
  <c r="AD67" i="50"/>
  <c r="X27" i="50"/>
  <c r="R30" i="50"/>
  <c r="AU18" i="50"/>
  <c r="AX27" i="50"/>
  <c r="Q39" i="50"/>
  <c r="AJ59" i="50"/>
  <c r="AA10" i="50"/>
  <c r="AF14" i="50"/>
  <c r="AD28" i="50"/>
  <c r="BA30" i="50"/>
  <c r="AH52" i="50"/>
  <c r="AN25" i="50"/>
  <c r="AW15" i="50"/>
  <c r="M6" i="50"/>
  <c r="AR18" i="50"/>
  <c r="AG11" i="50"/>
  <c r="AJ10" i="50"/>
  <c r="AP27" i="50"/>
  <c r="O11" i="50"/>
  <c r="R42" i="50"/>
  <c r="N16" i="50"/>
  <c r="AG46" i="50"/>
  <c r="AU47" i="50"/>
  <c r="AD7" i="50"/>
  <c r="AJ69" i="50"/>
  <c r="AG34" i="50"/>
  <c r="R33" i="50"/>
  <c r="Z5" i="50"/>
  <c r="AH72" i="50"/>
  <c r="AI36" i="50"/>
  <c r="AT69" i="50"/>
  <c r="AR11" i="50"/>
  <c r="AH55" i="50"/>
  <c r="BC18" i="50"/>
  <c r="BA61" i="50"/>
  <c r="T53" i="50"/>
  <c r="U39" i="50"/>
  <c r="AB5" i="50"/>
  <c r="AO64" i="50"/>
  <c r="AS53" i="50"/>
  <c r="AL34" i="50"/>
  <c r="AM37" i="50"/>
  <c r="AF41" i="50"/>
  <c r="AR39" i="50"/>
  <c r="P22" i="50"/>
  <c r="Z35" i="50"/>
  <c r="BB18" i="50"/>
  <c r="V36" i="50"/>
  <c r="N47" i="50"/>
  <c r="AP5" i="50"/>
  <c r="AD56" i="50"/>
  <c r="M69" i="50"/>
  <c r="AK17" i="50"/>
  <c r="AR21" i="50"/>
  <c r="AJ49" i="50"/>
  <c r="AP21" i="50"/>
  <c r="AU67" i="50"/>
  <c r="T19" i="50"/>
  <c r="AV8" i="50"/>
  <c r="AM53" i="50"/>
  <c r="AS59" i="50"/>
  <c r="AO44" i="50"/>
  <c r="P25" i="50"/>
  <c r="AJ30" i="50"/>
  <c r="AT19" i="50"/>
  <c r="AP25" i="50"/>
  <c r="BC10" i="50"/>
  <c r="V63" i="50"/>
  <c r="Q70" i="50"/>
  <c r="AA51" i="50"/>
  <c r="AK54" i="50"/>
  <c r="AB46" i="50"/>
  <c r="AX54" i="50"/>
  <c r="V34" i="50"/>
  <c r="Y12" i="50"/>
  <c r="AW66" i="50"/>
  <c r="AN32" i="50"/>
  <c r="AJ41" i="50"/>
  <c r="BA63" i="50"/>
  <c r="P39" i="50"/>
  <c r="AG14" i="50"/>
  <c r="BC22" i="50"/>
  <c r="S7" i="50"/>
  <c r="AT62" i="50"/>
  <c r="AF16" i="50"/>
  <c r="BB32" i="50"/>
  <c r="Z50" i="50"/>
  <c r="W70" i="50"/>
  <c r="W5" i="50"/>
  <c r="AK44" i="50"/>
  <c r="AY33" i="50"/>
  <c r="AD35" i="50"/>
  <c r="L25" i="50"/>
  <c r="AR59" i="50"/>
  <c r="AG51" i="50"/>
  <c r="AY40" i="50"/>
  <c r="P13" i="50"/>
  <c r="AT4" i="50"/>
  <c r="AI20" i="50"/>
  <c r="AB54" i="50"/>
  <c r="M63" i="50"/>
  <c r="BB69" i="50"/>
  <c r="AG25" i="50"/>
  <c r="AK39" i="50"/>
  <c r="AP65" i="50"/>
  <c r="U9" i="50"/>
  <c r="BA59" i="50"/>
  <c r="AJ26" i="50"/>
  <c r="AF45" i="50"/>
  <c r="T68" i="50"/>
  <c r="AQ69" i="50"/>
  <c r="L19" i="50"/>
  <c r="Z37" i="50"/>
  <c r="AB56" i="50"/>
  <c r="AW11" i="50"/>
  <c r="AQ66" i="50"/>
  <c r="AA66" i="50"/>
  <c r="X22" i="50"/>
  <c r="AA29" i="50"/>
  <c r="R39" i="50"/>
  <c r="AF59" i="50"/>
  <c r="U22" i="50"/>
  <c r="U43" i="50"/>
  <c r="AQ29" i="50"/>
  <c r="BA31" i="50"/>
  <c r="U29" i="50"/>
  <c r="P18" i="50"/>
  <c r="AL17" i="50"/>
  <c r="Z38" i="50"/>
  <c r="L38" i="50"/>
  <c r="AM45" i="50"/>
  <c r="AD13" i="50"/>
  <c r="AS67" i="50"/>
  <c r="Z58" i="50"/>
  <c r="AE28" i="50"/>
  <c r="AN59" i="50"/>
  <c r="AY6" i="50"/>
  <c r="AX31" i="50"/>
  <c r="AQ33" i="50"/>
  <c r="AZ32" i="50"/>
  <c r="AS39" i="50"/>
  <c r="AY59" i="50"/>
  <c r="AJ51" i="50"/>
  <c r="AU43" i="50"/>
  <c r="AY55" i="50"/>
  <c r="AT24" i="50"/>
  <c r="Q71" i="50"/>
  <c r="AA45" i="50"/>
  <c r="N35" i="50"/>
  <c r="AV38" i="50"/>
  <c r="N72" i="50"/>
  <c r="AF33" i="50"/>
  <c r="AU56" i="50"/>
  <c r="M5" i="50"/>
  <c r="Y7" i="50"/>
  <c r="N58" i="50"/>
  <c r="AT23" i="50"/>
  <c r="AX62" i="50"/>
  <c r="AW39" i="50"/>
  <c r="AU37" i="50"/>
  <c r="N24" i="50"/>
  <c r="T63" i="50"/>
  <c r="AO66" i="50"/>
  <c r="AD72" i="50"/>
  <c r="P24" i="50"/>
  <c r="AH56" i="50"/>
  <c r="AI56" i="50"/>
  <c r="S40" i="50"/>
  <c r="AR45" i="50"/>
  <c r="AL9" i="50"/>
  <c r="W53" i="50"/>
  <c r="T8" i="50"/>
  <c r="AU65" i="50"/>
  <c r="AU59" i="50"/>
  <c r="M8" i="50"/>
  <c r="AC65" i="50"/>
  <c r="Z52" i="50"/>
  <c r="AZ61" i="50"/>
  <c r="T7" i="50"/>
  <c r="AO8" i="50"/>
  <c r="AP47" i="50"/>
  <c r="AD10" i="50"/>
  <c r="AM63" i="50"/>
  <c r="U57" i="50"/>
  <c r="W63" i="50"/>
  <c r="M9" i="50"/>
  <c r="V15" i="50"/>
  <c r="AH68" i="50"/>
  <c r="AN5" i="50"/>
  <c r="V11" i="50"/>
  <c r="Y47" i="50"/>
  <c r="AI8" i="50"/>
  <c r="L60" i="50"/>
  <c r="AS20" i="50"/>
  <c r="AM13" i="50"/>
  <c r="AF40" i="50"/>
  <c r="AR29" i="50"/>
  <c r="T59" i="50"/>
  <c r="AE22" i="50"/>
  <c r="AL67" i="50"/>
  <c r="U18" i="50"/>
  <c r="AB16" i="50"/>
  <c r="BA41" i="50"/>
  <c r="AI63" i="50"/>
  <c r="AC9" i="50"/>
  <c r="W36" i="50"/>
  <c r="M20" i="50"/>
  <c r="AK45" i="50"/>
  <c r="AG62" i="50"/>
  <c r="AK24" i="50"/>
  <c r="AK69" i="50"/>
  <c r="W51" i="50"/>
  <c r="AO71" i="50"/>
  <c r="AP7" i="50"/>
  <c r="AQ48" i="50"/>
  <c r="AE52" i="50"/>
  <c r="AI49" i="50"/>
  <c r="AZ58" i="50"/>
  <c r="W50" i="50"/>
  <c r="AF24" i="50"/>
  <c r="U13" i="50"/>
  <c r="AD48" i="50"/>
  <c r="AO21" i="50"/>
  <c r="AT41" i="50"/>
  <c r="BA44" i="50"/>
  <c r="AN11" i="50"/>
  <c r="AA21" i="50"/>
  <c r="AL50" i="50"/>
  <c r="AD59" i="50"/>
  <c r="W43" i="50"/>
  <c r="AD68" i="50"/>
  <c r="Q24" i="50"/>
  <c r="L11" i="50"/>
  <c r="AQ72" i="50"/>
  <c r="S27" i="50"/>
  <c r="BC27" i="50"/>
  <c r="AZ66" i="50"/>
  <c r="AO67" i="50"/>
  <c r="BC9" i="50"/>
  <c r="AV25" i="50"/>
  <c r="W35" i="50"/>
  <c r="AR8" i="50"/>
  <c r="AU32" i="50"/>
  <c r="T35" i="50"/>
  <c r="AQ6" i="50"/>
  <c r="AW6" i="50"/>
  <c r="X26" i="50"/>
  <c r="AP29" i="50"/>
  <c r="AQ10" i="50"/>
  <c r="AB61" i="50"/>
  <c r="Q55" i="50"/>
  <c r="AT35" i="50"/>
  <c r="AD66" i="50"/>
  <c r="AK13" i="50"/>
  <c r="M11" i="50"/>
  <c r="Y43" i="50"/>
  <c r="AK59" i="50"/>
  <c r="AC36" i="50"/>
  <c r="AT70" i="50"/>
  <c r="AV63" i="50"/>
  <c r="AI24" i="50"/>
  <c r="AT22" i="50"/>
  <c r="AV64" i="50"/>
  <c r="AW23" i="50"/>
  <c r="AL62" i="50"/>
  <c r="AV32" i="50"/>
  <c r="BB46" i="50"/>
  <c r="AG17" i="50"/>
  <c r="AT40" i="50"/>
  <c r="O5" i="50"/>
  <c r="AE49" i="50"/>
  <c r="T13" i="50"/>
  <c r="AN35" i="50"/>
  <c r="AS25" i="50"/>
  <c r="AH71" i="50"/>
  <c r="AS37" i="50"/>
  <c r="BA40" i="50"/>
  <c r="AB14" i="50"/>
  <c r="P41" i="50"/>
  <c r="AN46" i="50"/>
  <c r="AQ21" i="50"/>
  <c r="AU51" i="50"/>
  <c r="AA41" i="50"/>
  <c r="AK52" i="50"/>
  <c r="R59" i="50"/>
  <c r="BA57" i="50"/>
  <c r="AY66" i="50"/>
  <c r="AO41" i="50"/>
  <c r="AV54" i="50"/>
  <c r="AE6" i="50"/>
  <c r="AL42" i="50"/>
  <c r="M15" i="50"/>
  <c r="AR53" i="50"/>
  <c r="AJ60" i="50"/>
  <c r="AQ23" i="50"/>
  <c r="AF68" i="50"/>
  <c r="R32" i="50"/>
  <c r="V28" i="50"/>
  <c r="Y52" i="50"/>
  <c r="W38" i="50"/>
  <c r="AW31" i="50"/>
  <c r="BA64" i="50"/>
  <c r="S57" i="50"/>
  <c r="AM58" i="50"/>
  <c r="AC38" i="50"/>
  <c r="AM21" i="50"/>
  <c r="V72" i="50"/>
  <c r="W45" i="50"/>
  <c r="AF70" i="50"/>
  <c r="AR46" i="50"/>
  <c r="AY23" i="50"/>
  <c r="U12" i="50"/>
  <c r="U24" i="50"/>
  <c r="AV65" i="50"/>
  <c r="AE14" i="50"/>
  <c r="AZ72" i="50"/>
  <c r="AE46" i="50"/>
  <c r="W8" i="50"/>
  <c r="AC29" i="50"/>
  <c r="R27" i="50"/>
  <c r="X7" i="50"/>
  <c r="L6" i="50"/>
  <c r="AZ45" i="50"/>
  <c r="L30" i="50"/>
  <c r="U66" i="50"/>
  <c r="AE50" i="50"/>
  <c r="AO26" i="50"/>
  <c r="AL28" i="50"/>
  <c r="O60" i="50"/>
  <c r="AH35" i="50"/>
  <c r="Y13" i="50"/>
  <c r="AO36" i="50"/>
  <c r="AO19" i="50"/>
  <c r="V33" i="50"/>
  <c r="X31" i="50"/>
  <c r="AK9" i="50"/>
  <c r="AZ56" i="50"/>
  <c r="AU68" i="50"/>
  <c r="U49" i="50"/>
  <c r="AH12" i="50"/>
  <c r="AE21" i="50"/>
  <c r="AY25" i="50"/>
  <c r="V35" i="50"/>
  <c r="X49" i="50"/>
  <c r="AL63" i="50"/>
  <c r="AK41" i="50"/>
  <c r="M29" i="50"/>
  <c r="AP61" i="50"/>
  <c r="AK18" i="50"/>
  <c r="W25" i="50"/>
  <c r="O61" i="50"/>
  <c r="R25" i="50"/>
  <c r="AA47" i="50"/>
  <c r="P28" i="50"/>
  <c r="AD36" i="50"/>
  <c r="T69" i="50"/>
  <c r="AO13" i="50"/>
  <c r="BA53" i="50"/>
  <c r="AJ42" i="50"/>
  <c r="AB9" i="50"/>
  <c r="N38" i="50"/>
  <c r="N13" i="50"/>
  <c r="V17" i="50"/>
  <c r="U72" i="50"/>
  <c r="W22" i="50"/>
  <c r="S15" i="50"/>
  <c r="AK23" i="50"/>
  <c r="AM69" i="50"/>
  <c r="AE15" i="50"/>
  <c r="Z14" i="50"/>
  <c r="BC24" i="50"/>
  <c r="P23" i="50"/>
  <c r="M58" i="50"/>
  <c r="AX39" i="50"/>
  <c r="P6" i="50"/>
  <c r="AF72" i="50"/>
  <c r="AP12" i="50"/>
  <c r="BC64" i="50"/>
  <c r="AU19" i="50"/>
  <c r="AZ50" i="50"/>
  <c r="AA11" i="50"/>
  <c r="BA22" i="50"/>
  <c r="AJ61" i="50"/>
  <c r="AM66" i="50"/>
  <c r="AA72" i="50"/>
  <c r="AQ68" i="50"/>
  <c r="AS70" i="50"/>
  <c r="S17" i="50"/>
  <c r="S8" i="50"/>
  <c r="AJ56" i="50"/>
  <c r="AD69" i="50"/>
  <c r="AT10" i="50"/>
  <c r="AV59" i="50"/>
  <c r="R31" i="50"/>
  <c r="AX52" i="50"/>
  <c r="AW48" i="50"/>
  <c r="AH23" i="50"/>
  <c r="AB29" i="50"/>
  <c r="BC46" i="50"/>
  <c r="AR72" i="50"/>
  <c r="AZ54" i="50"/>
  <c r="S66" i="50"/>
  <c r="AP18" i="50"/>
  <c r="AM25" i="50"/>
  <c r="N63" i="50"/>
  <c r="W69" i="50"/>
  <c r="AP8" i="50"/>
  <c r="Q57" i="50"/>
  <c r="AX20" i="50"/>
  <c r="AN53" i="50"/>
  <c r="AR70" i="50"/>
  <c r="AM68" i="50"/>
  <c r="AQ19" i="50"/>
  <c r="AN61" i="50"/>
  <c r="AX12" i="50"/>
  <c r="AC23" i="50"/>
  <c r="AI68" i="50"/>
  <c r="U16" i="50"/>
  <c r="AV60" i="50"/>
  <c r="AE53" i="50"/>
  <c r="AH57" i="50"/>
  <c r="AI5" i="50"/>
  <c r="AD12" i="50"/>
  <c r="AB53" i="50"/>
  <c r="W31" i="50"/>
  <c r="P7" i="50"/>
  <c r="T60" i="50"/>
  <c r="R5" i="50"/>
  <c r="AU72" i="50"/>
  <c r="AZ6" i="50"/>
  <c r="AY49" i="50"/>
  <c r="AF64" i="50"/>
  <c r="O29" i="50"/>
  <c r="AC47" i="50"/>
  <c r="AR24" i="50"/>
  <c r="AO69" i="50"/>
  <c r="AO32" i="50"/>
  <c r="AC8" i="50"/>
  <c r="Z51" i="50"/>
  <c r="L69" i="50"/>
  <c r="AB51" i="50"/>
  <c r="AK67" i="50"/>
  <c r="X55" i="50"/>
  <c r="S28" i="50"/>
  <c r="X35" i="50"/>
  <c r="Z64" i="50"/>
  <c r="AJ58" i="50"/>
  <c r="AZ15" i="50"/>
  <c r="AM12" i="50"/>
  <c r="AU9" i="50"/>
  <c r="AB72" i="50"/>
  <c r="AN27" i="50"/>
  <c r="AS38" i="50"/>
  <c r="R45" i="50"/>
  <c r="AK62" i="50"/>
  <c r="BB16" i="50"/>
  <c r="Q8" i="50"/>
  <c r="AR50" i="50"/>
  <c r="BA71" i="50"/>
  <c r="AL13" i="50"/>
  <c r="M19" i="50"/>
  <c r="AU71" i="50"/>
  <c r="O51" i="50"/>
  <c r="AM20" i="50"/>
  <c r="V54" i="50"/>
  <c r="AB27" i="50"/>
  <c r="AG66" i="50"/>
  <c r="AT8" i="50"/>
  <c r="X37" i="50"/>
  <c r="N51" i="50"/>
  <c r="AJ9" i="50"/>
  <c r="BC45" i="50"/>
  <c r="O71" i="50"/>
  <c r="Y46" i="50"/>
  <c r="Y62" i="50"/>
  <c r="AW63" i="50"/>
  <c r="AQ43" i="50"/>
  <c r="AS11" i="50"/>
  <c r="AC16" i="50"/>
  <c r="AX34" i="50"/>
  <c r="AI39" i="50"/>
  <c r="P11" i="50"/>
  <c r="AO25" i="50"/>
  <c r="Z36" i="50"/>
  <c r="O53" i="50"/>
  <c r="AO52" i="50"/>
  <c r="N14" i="50"/>
  <c r="AC19" i="50"/>
  <c r="O21" i="50"/>
  <c r="BA39" i="50"/>
  <c r="N25" i="50"/>
  <c r="AK20" i="50"/>
  <c r="AB60" i="50"/>
  <c r="T70" i="50"/>
  <c r="AI51" i="50"/>
  <c r="AG32" i="50"/>
  <c r="AM33" i="50"/>
  <c r="Y39" i="50"/>
  <c r="U27" i="50"/>
  <c r="AW52" i="50"/>
  <c r="AY43" i="50"/>
  <c r="AK43" i="50"/>
  <c r="L39" i="50"/>
  <c r="O59" i="50"/>
  <c r="AQ38" i="50"/>
  <c r="AL20" i="50"/>
  <c r="Y28" i="50"/>
  <c r="P49" i="50"/>
  <c r="N56" i="50"/>
  <c r="Q51" i="50"/>
  <c r="AW26" i="50"/>
  <c r="AE40" i="50"/>
  <c r="AW30" i="50"/>
  <c r="AL21" i="50"/>
  <c r="AS12" i="50"/>
  <c r="Q31" i="50"/>
  <c r="AW51" i="50"/>
  <c r="AB17" i="50"/>
  <c r="AJ17" i="50"/>
  <c r="AL5" i="50"/>
  <c r="BC50" i="50"/>
  <c r="AJ19" i="50"/>
  <c r="AG38" i="50"/>
  <c r="AB32" i="50"/>
  <c r="R22" i="50"/>
  <c r="AJ22" i="50"/>
  <c r="AZ10" i="50"/>
  <c r="Y18" i="50"/>
  <c r="AA5" i="50"/>
  <c r="M18" i="50"/>
  <c r="AH47" i="50"/>
  <c r="AP38" i="50"/>
  <c r="BB14" i="50"/>
  <c r="AZ64" i="50"/>
  <c r="AO35" i="50"/>
  <c r="Z24" i="50"/>
  <c r="AO42" i="50"/>
  <c r="V13" i="50"/>
  <c r="AM54" i="50"/>
  <c r="P31" i="50"/>
  <c r="AE44" i="50"/>
  <c r="P8" i="50"/>
  <c r="BB4" i="50"/>
  <c r="AQ45" i="50"/>
  <c r="AL53" i="50"/>
  <c r="Y66" i="50"/>
  <c r="T52" i="50"/>
  <c r="R11" i="50"/>
  <c r="AF5" i="50"/>
  <c r="AM42" i="50"/>
  <c r="BB10" i="50"/>
  <c r="W60" i="50"/>
  <c r="Z61" i="50"/>
  <c r="O31" i="50"/>
  <c r="Y6" i="50"/>
  <c r="AH49" i="50"/>
  <c r="AS62" i="50"/>
  <c r="AZ39" i="50"/>
  <c r="AB44" i="50"/>
  <c r="V68" i="50"/>
  <c r="T66" i="50"/>
  <c r="AL12" i="50"/>
  <c r="AY51" i="50"/>
  <c r="AC12" i="50"/>
  <c r="BC65" i="50"/>
  <c r="Z72" i="50"/>
  <c r="S46" i="50"/>
  <c r="BA20" i="50"/>
  <c r="T12" i="50"/>
  <c r="Q10" i="50"/>
  <c r="Z23" i="50"/>
  <c r="AU20" i="50"/>
  <c r="Q26" i="50"/>
  <c r="P44" i="50"/>
  <c r="AL29" i="50"/>
  <c r="AJ46" i="50"/>
  <c r="R65" i="50"/>
  <c r="AS46" i="50"/>
  <c r="AJ52" i="50"/>
  <c r="Y20" i="50"/>
  <c r="BA58" i="50"/>
  <c r="O49" i="50"/>
  <c r="L63" i="50"/>
  <c r="AJ33" i="50"/>
  <c r="AO45" i="50"/>
  <c r="Q33" i="50"/>
  <c r="L23" i="50"/>
  <c r="V45" i="50"/>
  <c r="V12" i="50"/>
  <c r="BB51" i="50"/>
  <c r="R54" i="50"/>
  <c r="X51" i="50"/>
  <c r="BC66" i="50"/>
  <c r="AO68" i="50"/>
  <c r="AT52" i="50"/>
  <c r="P68" i="50"/>
  <c r="AB26" i="50"/>
  <c r="M49" i="50"/>
  <c r="AN16" i="50"/>
  <c r="R67" i="50"/>
  <c r="P48" i="50"/>
  <c r="Q69" i="50"/>
  <c r="L13" i="50"/>
  <c r="AX42" i="50"/>
  <c r="Y72" i="50"/>
  <c r="AW62" i="50"/>
  <c r="AN39" i="50"/>
  <c r="AZ26" i="50"/>
  <c r="AH26" i="50"/>
  <c r="AT29" i="50"/>
  <c r="S19" i="50"/>
  <c r="AD20" i="50"/>
  <c r="AD25" i="50"/>
  <c r="AI61" i="50"/>
  <c r="AO30" i="50"/>
  <c r="AH30" i="50"/>
  <c r="AU41" i="50"/>
  <c r="S36" i="50"/>
  <c r="X59" i="50"/>
  <c r="N65" i="50"/>
  <c r="Z12" i="50"/>
  <c r="AO27" i="50"/>
  <c r="AO57" i="50"/>
  <c r="N62" i="50"/>
  <c r="AX9" i="50"/>
  <c r="Q58" i="50"/>
  <c r="AO22" i="50"/>
  <c r="AH66" i="50"/>
  <c r="AI40" i="50"/>
  <c r="AK66" i="50"/>
  <c r="AB31" i="50"/>
  <c r="N23" i="50"/>
  <c r="N68" i="50"/>
  <c r="AR13" i="50"/>
  <c r="BC38" i="50"/>
  <c r="AU7" i="50"/>
  <c r="AU17" i="50"/>
  <c r="S52" i="50"/>
  <c r="AN34" i="50"/>
  <c r="M22" i="50"/>
  <c r="L61" i="50"/>
  <c r="AC40" i="50"/>
  <c r="AH10" i="50"/>
  <c r="AO34" i="50"/>
  <c r="AW65" i="50"/>
  <c r="AH53" i="50"/>
  <c r="X48" i="50"/>
  <c r="AM16" i="50"/>
  <c r="AJ67" i="50"/>
  <c r="R10" i="50"/>
  <c r="AO23" i="50"/>
  <c r="AX47" i="50"/>
  <c r="N17" i="50"/>
  <c r="N28" i="50"/>
  <c r="AT48" i="50"/>
  <c r="AA60" i="50"/>
  <c r="AU66" i="50"/>
  <c r="AZ19" i="50"/>
  <c r="BA62" i="50"/>
  <c r="AV50" i="50"/>
  <c r="AJ16" i="50"/>
  <c r="AJ31" i="50"/>
  <c r="O19" i="50"/>
  <c r="BA8" i="50"/>
  <c r="W30" i="50"/>
  <c r="AW59" i="50"/>
  <c r="AF55" i="50"/>
  <c r="AS50" i="50"/>
  <c r="AH65" i="50"/>
  <c r="R19" i="50"/>
  <c r="AQ12" i="50"/>
  <c r="M67" i="50"/>
  <c r="AV9" i="50"/>
  <c r="T31" i="50"/>
  <c r="AE43" i="50"/>
  <c r="P64" i="50"/>
  <c r="AR41" i="50"/>
  <c r="AF67" i="50"/>
  <c r="N29" i="50"/>
  <c r="BB9" i="50"/>
  <c r="AY64" i="50"/>
  <c r="AS66" i="50"/>
  <c r="AE48" i="50"/>
  <c r="M60" i="50"/>
  <c r="Y61" i="50"/>
  <c r="AN67" i="50"/>
  <c r="AE56" i="50"/>
  <c r="O37" i="50"/>
  <c r="R44" i="50"/>
  <c r="P27" i="50"/>
  <c r="N70" i="50"/>
  <c r="BB11" i="50"/>
  <c r="AP51" i="50"/>
  <c r="BB40" i="50"/>
  <c r="AM56" i="50"/>
  <c r="AX32" i="50"/>
  <c r="W19" i="50"/>
  <c r="AK11" i="50"/>
  <c r="N54" i="50"/>
  <c r="AW25" i="50"/>
  <c r="U51" i="50"/>
  <c r="AG10" i="50"/>
  <c r="AG18" i="50"/>
  <c r="T23" i="50"/>
  <c r="AR68" i="50"/>
  <c r="M62" i="50"/>
  <c r="AM38" i="50"/>
  <c r="AE45" i="50"/>
  <c r="AX48" i="50"/>
  <c r="AP41" i="50"/>
  <c r="AY68" i="50"/>
  <c r="M53" i="50"/>
  <c r="AF11" i="50"/>
  <c r="X34" i="50"/>
  <c r="AO24" i="50"/>
  <c r="S59" i="50"/>
  <c r="AO5" i="50"/>
  <c r="BB5" i="50"/>
  <c r="AB19" i="50"/>
  <c r="AE61" i="50"/>
  <c r="AD22" i="50"/>
  <c r="Y42" i="50"/>
  <c r="AV4" i="50"/>
  <c r="AA24" i="50"/>
  <c r="T18" i="50"/>
  <c r="Z53" i="50"/>
  <c r="AM31" i="50"/>
  <c r="L51" i="50"/>
  <c r="Q21" i="50"/>
  <c r="BA29" i="50"/>
  <c r="AQ26" i="50"/>
  <c r="AF65" i="50"/>
  <c r="Y53" i="50"/>
  <c r="AV19" i="50"/>
  <c r="S6" i="50"/>
  <c r="AN60" i="50"/>
  <c r="O69" i="50"/>
  <c r="O43" i="50"/>
  <c r="AJ24" i="50"/>
  <c r="BB19" i="50"/>
  <c r="U55" i="50"/>
  <c r="X60" i="50"/>
  <c r="AS44" i="50"/>
  <c r="AR23" i="50"/>
  <c r="U34" i="50"/>
  <c r="M50" i="50"/>
  <c r="U48" i="50"/>
  <c r="AO7" i="50"/>
  <c r="AF63" i="50"/>
  <c r="AP32" i="50"/>
  <c r="AH19" i="50"/>
  <c r="BB50" i="50"/>
  <c r="AH36" i="50"/>
  <c r="AT58" i="50"/>
  <c r="AY72" i="50"/>
  <c r="AW67" i="50"/>
  <c r="S48" i="50"/>
  <c r="AV51" i="50"/>
  <c r="AZ42" i="50"/>
  <c r="BC54" i="50"/>
  <c r="X32" i="50"/>
  <c r="AV66" i="50"/>
  <c r="Y44" i="50"/>
  <c r="AW55" i="50"/>
  <c r="AW28" i="50"/>
  <c r="O14" i="50"/>
  <c r="AG54" i="50"/>
  <c r="AT11" i="50"/>
  <c r="W56" i="50"/>
  <c r="AK27" i="50"/>
  <c r="AY19" i="50"/>
  <c r="P70" i="50"/>
  <c r="AQ56" i="50"/>
  <c r="BC26" i="50"/>
  <c r="S68" i="50"/>
  <c r="Q36" i="50"/>
  <c r="AF19" i="50"/>
  <c r="Z45" i="50"/>
  <c r="T28" i="50"/>
  <c r="AF57" i="50"/>
  <c r="Z22" i="50"/>
  <c r="AH44" i="50"/>
  <c r="W48" i="50"/>
  <c r="AR58" i="50"/>
  <c r="AZ27" i="50"/>
  <c r="Q30" i="50"/>
  <c r="AR17" i="50"/>
  <c r="BC43" i="50"/>
  <c r="AP50" i="50"/>
  <c r="BC52" i="50"/>
  <c r="N27" i="50"/>
  <c r="AF28" i="50"/>
  <c r="S35" i="50"/>
  <c r="AN14" i="50"/>
  <c r="AQ17" i="50"/>
  <c r="AI37" i="50"/>
  <c r="U38" i="50"/>
  <c r="R13" i="50"/>
  <c r="AI16" i="50"/>
  <c r="BC32" i="50"/>
  <c r="L14" i="50"/>
  <c r="R36" i="50"/>
  <c r="AU69" i="50"/>
  <c r="Z49" i="50"/>
  <c r="P67" i="50"/>
  <c r="BC44" i="50"/>
  <c r="BC30" i="50"/>
  <c r="AN38" i="50"/>
  <c r="P14" i="50"/>
  <c r="AH58" i="50"/>
  <c r="AR69" i="50"/>
  <c r="AU31" i="50"/>
  <c r="AG24" i="50"/>
  <c r="AS26" i="50"/>
  <c r="AL70" i="50"/>
  <c r="AC22" i="50"/>
  <c r="AU5" i="50"/>
  <c r="AX30" i="50"/>
  <c r="AT34" i="50"/>
  <c r="AR65" i="50"/>
  <c r="AX19" i="50"/>
  <c r="AT56" i="50"/>
  <c r="AM18" i="50"/>
  <c r="V16" i="50"/>
  <c r="AD71" i="50"/>
  <c r="Q19" i="50"/>
  <c r="AS16" i="50"/>
  <c r="Z21" i="50"/>
  <c r="AB33" i="50"/>
  <c r="AF71" i="50"/>
  <c r="AI44" i="50"/>
  <c r="AK21" i="50"/>
  <c r="AJ27" i="50"/>
  <c r="Q49" i="50"/>
  <c r="AG13" i="50"/>
  <c r="M14" i="50"/>
  <c r="AU55" i="50"/>
  <c r="N57" i="50"/>
  <c r="U33" i="50"/>
  <c r="AA6" i="50"/>
  <c r="AT30" i="50"/>
  <c r="X30" i="50"/>
  <c r="AD63" i="50"/>
  <c r="V67" i="50"/>
  <c r="U59" i="50"/>
  <c r="AX18" i="50"/>
  <c r="AR55" i="50"/>
  <c r="X57" i="50"/>
  <c r="AJ53" i="50"/>
  <c r="P21" i="50"/>
  <c r="AA25" i="50"/>
  <c r="R35" i="50"/>
  <c r="AO28" i="50"/>
  <c r="AY13" i="50"/>
  <c r="L55" i="50"/>
  <c r="V48" i="50"/>
  <c r="AP44" i="50"/>
  <c r="AO9" i="50"/>
  <c r="AY14" i="50"/>
  <c r="AC10" i="50"/>
  <c r="AM5" i="50"/>
  <c r="AG64" i="50"/>
  <c r="AT60" i="50"/>
  <c r="S11" i="50"/>
  <c r="AA54" i="50"/>
  <c r="AZ5" i="50"/>
  <c r="M10" i="50"/>
  <c r="AL55" i="50"/>
  <c r="S20" i="50"/>
  <c r="X63" i="50"/>
  <c r="T55" i="50"/>
  <c r="AH39" i="50"/>
  <c r="U30" i="50"/>
  <c r="BC71" i="50"/>
  <c r="AU6" i="50"/>
  <c r="AL46" i="50"/>
  <c r="AE19" i="50"/>
  <c r="AT9" i="50"/>
  <c r="BC6" i="50"/>
  <c r="AE38" i="50"/>
  <c r="BB6" i="50"/>
  <c r="AN22" i="50"/>
  <c r="Z54" i="50"/>
  <c r="AE64" i="50"/>
  <c r="P66" i="50"/>
  <c r="T21" i="50"/>
  <c r="Y68" i="50"/>
  <c r="AA68" i="50"/>
  <c r="AT36" i="50"/>
  <c r="AN10" i="50"/>
  <c r="AO16" i="50"/>
  <c r="AM57" i="50"/>
  <c r="R64" i="50"/>
  <c r="AQ54" i="50"/>
  <c r="M51" i="50"/>
  <c r="Z34" i="50"/>
  <c r="S37" i="50"/>
  <c r="N30" i="50"/>
  <c r="AC48" i="50"/>
  <c r="AL7" i="50"/>
  <c r="W24" i="50"/>
  <c r="AX59" i="50"/>
  <c r="AX25" i="50"/>
  <c r="AQ62" i="50"/>
  <c r="AP68" i="50"/>
  <c r="S22" i="50"/>
  <c r="BC42" i="50"/>
  <c r="O57" i="50"/>
  <c r="L53" i="50"/>
  <c r="L15" i="50"/>
  <c r="Q47" i="50"/>
  <c r="S12" i="50"/>
  <c r="AF54" i="50"/>
  <c r="AT57" i="50"/>
  <c r="W17" i="50"/>
  <c r="M56" i="50"/>
  <c r="Z71" i="50"/>
  <c r="AK60" i="50"/>
  <c r="AS33" i="50"/>
  <c r="AH43" i="50"/>
  <c r="Y36" i="50"/>
  <c r="AI22" i="50"/>
  <c r="AK28" i="50"/>
  <c r="AQ53" i="50"/>
  <c r="W9" i="50"/>
  <c r="AK32" i="50"/>
  <c r="AD62" i="50"/>
  <c r="BB29" i="50"/>
  <c r="O8" i="50"/>
  <c r="M38" i="50"/>
  <c r="L58" i="50"/>
  <c r="AY44" i="50"/>
  <c r="AP16" i="50"/>
  <c r="N37" i="50"/>
  <c r="AJ11" i="50"/>
  <c r="AQ39" i="50"/>
  <c r="AZ23" i="50"/>
  <c r="AK25" i="50"/>
  <c r="R20" i="50"/>
  <c r="Q65" i="50"/>
  <c r="AT72" i="50"/>
  <c r="AB22" i="50"/>
  <c r="AV40" i="50"/>
  <c r="W52" i="50"/>
  <c r="N48" i="50"/>
  <c r="Z28" i="50"/>
  <c r="AZ29" i="50"/>
  <c r="AJ8" i="50"/>
  <c r="T47" i="50"/>
  <c r="AZ17" i="50"/>
  <c r="BB39" i="50"/>
  <c r="AN9" i="50"/>
  <c r="AY18" i="50"/>
  <c r="Y8" i="50"/>
  <c r="T5" i="50"/>
  <c r="AJ20" i="50"/>
  <c r="AW7" i="50"/>
  <c r="AS48" i="50"/>
  <c r="AK35" i="50"/>
  <c r="AJ40" i="50"/>
  <c r="AR64" i="50"/>
  <c r="M16" i="50"/>
  <c r="AA18" i="50"/>
  <c r="BC70" i="50"/>
  <c r="P52" i="50"/>
  <c r="AI43" i="50"/>
  <c r="S54" i="50"/>
  <c r="AM64" i="50"/>
  <c r="AD5" i="50"/>
  <c r="AJ55" i="50"/>
  <c r="Y57" i="50"/>
  <c r="AZ22" i="50"/>
  <c r="AZ20" i="50"/>
  <c r="AF15" i="50"/>
  <c r="AD29" i="50"/>
  <c r="T29" i="50"/>
  <c r="AQ51" i="50"/>
  <c r="AT64" i="50"/>
  <c r="AS18" i="50"/>
  <c r="N64" i="50"/>
  <c r="AI55" i="50"/>
  <c r="AG59" i="50"/>
  <c r="AR31" i="50"/>
  <c r="L47" i="50"/>
  <c r="AG48" i="50"/>
  <c r="AC59" i="50"/>
  <c r="AE24" i="50"/>
  <c r="AE7" i="50"/>
  <c r="AF13" i="50"/>
  <c r="AP43" i="50"/>
  <c r="BC48" i="50"/>
  <c r="AR19" i="50"/>
  <c r="AA27" i="50"/>
  <c r="AC39" i="50"/>
  <c r="AL58" i="50"/>
  <c r="BB68" i="50"/>
  <c r="AH50" i="50"/>
  <c r="V56" i="50"/>
  <c r="AQ52" i="50"/>
  <c r="BA14" i="50"/>
  <c r="AY36" i="50"/>
  <c r="R15" i="50"/>
  <c r="AD9" i="50"/>
  <c r="AV18" i="50"/>
  <c r="X10" i="50"/>
  <c r="BC61" i="50"/>
  <c r="U15" i="50"/>
  <c r="BC15" i="50"/>
  <c r="X20" i="50"/>
  <c r="Y35" i="50"/>
  <c r="AU24" i="50"/>
  <c r="AZ25" i="50"/>
  <c r="AX64" i="50"/>
  <c r="AS55" i="50"/>
  <c r="AF36" i="50"/>
  <c r="U20" i="50"/>
  <c r="AN37" i="50"/>
  <c r="AH16" i="50"/>
  <c r="AH33" i="50"/>
  <c r="AU8" i="50"/>
  <c r="AL22" i="50"/>
  <c r="BC21" i="50"/>
  <c r="S49" i="50"/>
  <c r="AB71" i="50"/>
  <c r="AB57" i="50"/>
  <c r="AF17" i="50"/>
  <c r="BB60" i="50"/>
  <c r="AW29" i="50"/>
  <c r="AF39" i="50"/>
  <c r="AT39" i="50"/>
  <c r="AY71" i="50"/>
  <c r="AV36" i="50"/>
  <c r="O46" i="50"/>
  <c r="Z8" i="50"/>
  <c r="AG52" i="50"/>
  <c r="AJ64" i="50"/>
  <c r="X47" i="50"/>
  <c r="V51" i="50"/>
  <c r="T54" i="50"/>
  <c r="AJ65" i="50"/>
  <c r="X14" i="50"/>
  <c r="AR48" i="50"/>
  <c r="Y64" i="50"/>
  <c r="V5" i="50"/>
  <c r="N22" i="50"/>
  <c r="N6" i="50"/>
  <c r="AM34" i="50"/>
  <c r="R60" i="50"/>
  <c r="Q9" i="50"/>
  <c r="AP40" i="50"/>
  <c r="AI33" i="50"/>
  <c r="Q64" i="50"/>
  <c r="AZ46" i="50"/>
  <c r="AM10" i="50"/>
  <c r="X72" i="50"/>
  <c r="P16" i="50"/>
  <c r="N7" i="50"/>
  <c r="AN70" i="50"/>
  <c r="AN19" i="50"/>
  <c r="AN66" i="50"/>
  <c r="AX22" i="50"/>
  <c r="X56" i="50"/>
  <c r="U63" i="50"/>
  <c r="BC57" i="50"/>
  <c r="AH54" i="50"/>
  <c r="AJ25" i="50"/>
  <c r="O36" i="50"/>
  <c r="BB47" i="50"/>
  <c r="Q18" i="50"/>
  <c r="AP13" i="50"/>
  <c r="AI72" i="50"/>
  <c r="AU21" i="50"/>
  <c r="T37" i="50"/>
  <c r="AX45" i="50"/>
  <c r="AQ24" i="50"/>
  <c r="AJ15" i="50"/>
  <c r="AQ25" i="50"/>
  <c r="AJ21" i="50"/>
  <c r="Q54" i="50"/>
  <c r="W26" i="50"/>
  <c r="U47" i="50"/>
  <c r="AZ37" i="50"/>
  <c r="AU16" i="50"/>
  <c r="AT50" i="50"/>
  <c r="AI6" i="50"/>
  <c r="O10" i="50"/>
  <c r="BB71" i="50"/>
  <c r="BA38" i="50"/>
  <c r="F71" i="50" l="1"/>
  <c r="F72" i="50"/>
  <c r="H21" i="9"/>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c r="I71" i="50" l="1"/>
  <c r="J71" i="50"/>
  <c r="H71" i="50"/>
  <c r="K7" i="150"/>
  <c r="K10" i="150"/>
  <c r="K8" i="150"/>
  <c r="K6" i="150"/>
  <c r="K11" i="150"/>
  <c r="K12" i="150"/>
  <c r="AU4" i="137"/>
  <c r="AV4" i="137" l="1"/>
  <c r="AV4" i="4"/>
  <c r="AV4" i="5"/>
  <c r="AV4" i="150"/>
  <c r="AU4" i="150"/>
  <c r="AU4" i="4"/>
  <c r="AU4" i="5"/>
  <c r="AT4" i="137"/>
  <c r="AT4" i="150"/>
  <c r="AT4" i="5"/>
  <c r="AT4" i="4"/>
  <c r="AR4" i="150"/>
  <c r="AO4" i="150"/>
  <c r="AJ4" i="150"/>
  <c r="U4" i="50"/>
  <c r="AI4" i="50"/>
  <c r="R4" i="50"/>
  <c r="AK4" i="50"/>
  <c r="AM4" i="50"/>
  <c r="O4" i="50"/>
  <c r="AN4" i="50"/>
  <c r="L8" i="50"/>
  <c r="AF4" i="50"/>
  <c r="AO4" i="50"/>
  <c r="AB4" i="50"/>
  <c r="AG4" i="50"/>
  <c r="AJ4" i="50"/>
  <c r="T4" i="50"/>
  <c r="AD4" i="50"/>
  <c r="AL4" i="50"/>
  <c r="S4" i="50"/>
  <c r="AA4" i="50"/>
  <c r="X4" i="50"/>
  <c r="AC4" i="50"/>
  <c r="Y4" i="50"/>
  <c r="W4" i="50"/>
  <c r="L4" i="50"/>
  <c r="N4" i="50"/>
  <c r="P4" i="50"/>
  <c r="V4" i="50"/>
  <c r="Q4" i="50"/>
  <c r="L5" i="50"/>
  <c r="Z4" i="50"/>
  <c r="AH4" i="50"/>
  <c r="AE4" i="50"/>
  <c r="M4" i="50"/>
  <c r="K4" i="50" l="1"/>
  <c r="X4" i="150"/>
  <c r="F66" i="50"/>
  <c r="F5" i="50"/>
  <c r="J5" i="50" s="1"/>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150"/>
  <c r="V4" i="150"/>
  <c r="H5" i="50" l="1"/>
  <c r="AR4" i="1"/>
  <c r="AR4" i="4"/>
  <c r="AD4" i="5"/>
  <c r="AR4" i="5"/>
  <c r="AR4" i="137"/>
  <c r="AO4" i="1"/>
  <c r="AO4" i="5"/>
  <c r="AO4" i="137"/>
  <c r="AO4" i="4"/>
  <c r="AI4" i="5"/>
  <c r="AI4" i="137"/>
  <c r="AI4" i="4"/>
  <c r="AG4" i="137"/>
  <c r="AG4" i="4"/>
  <c r="AG4" i="5"/>
  <c r="AD4" i="4"/>
  <c r="AD4" i="137"/>
  <c r="F4" i="50"/>
  <c r="Z4" i="137"/>
  <c r="Z4" i="4"/>
  <c r="Z4" i="5"/>
  <c r="J26" i="50"/>
  <c r="J24" i="50"/>
  <c r="J63" i="50"/>
  <c r="J35"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55" i="50"/>
  <c r="H43" i="50"/>
  <c r="H47" i="50"/>
  <c r="H24" i="50"/>
  <c r="H63" i="50"/>
  <c r="H70" i="50"/>
  <c r="H36" i="50"/>
  <c r="H68" i="50"/>
  <c r="H53" i="50"/>
  <c r="H56" i="50"/>
  <c r="H52" i="50"/>
  <c r="H51" i="50"/>
  <c r="H14" i="50"/>
  <c r="H33" i="50"/>
  <c r="P4" i="137"/>
  <c r="Y4" i="1" l="1"/>
  <c r="X4" i="1"/>
  <c r="AI4" i="1"/>
  <c r="AD4" i="1"/>
  <c r="AG4" i="1"/>
  <c r="AK4" i="1"/>
  <c r="AJ4" i="1"/>
  <c r="AE4" i="1"/>
  <c r="Z4" i="1"/>
  <c r="AC4" i="1"/>
  <c r="U4" i="1"/>
  <c r="AF4" i="1"/>
  <c r="AA4" i="1"/>
  <c r="AL4" i="1"/>
  <c r="V4" i="1"/>
  <c r="AB4" i="1"/>
  <c r="W4" i="1"/>
  <c r="AH4" i="1"/>
  <c r="U4" i="4"/>
  <c r="V4" i="4"/>
  <c r="W4" i="4"/>
  <c r="U4" i="5"/>
  <c r="V4" i="5"/>
  <c r="W4" i="5"/>
  <c r="U4" i="137"/>
  <c r="W4" i="137"/>
  <c r="V4" i="137"/>
  <c r="AS4" i="137"/>
  <c r="AJ4" i="4"/>
  <c r="AJ4" i="5"/>
  <c r="AJ4" i="137"/>
  <c r="AE4" i="4"/>
  <c r="AE4" i="5"/>
  <c r="AE4" i="137"/>
  <c r="X4" i="137"/>
  <c r="X4" i="5"/>
  <c r="X4" i="4"/>
  <c r="J5" i="150"/>
  <c r="G64" i="50" s="1"/>
  <c r="I64" i="50" l="1"/>
  <c r="J64" i="50"/>
  <c r="H64" i="50"/>
  <c r="K5" i="150"/>
  <c r="K4" i="150" s="1"/>
  <c r="L2" i="150" s="1"/>
  <c r="B1" i="50" l="1"/>
  <c r="H3" i="95"/>
  <c r="I1" i="95" s="1"/>
  <c r="I3" i="95" s="1"/>
  <c r="M2" i="150"/>
  <c r="H72" i="50"/>
  <c r="H4" i="50" s="1"/>
  <c r="J72" i="50"/>
  <c r="J4" i="50" s="1"/>
  <c r="T15" i="1" l="1"/>
  <c r="T20" i="1"/>
  <c r="T16" i="1"/>
  <c r="T12" i="4"/>
  <c r="T11" i="1"/>
  <c r="T17" i="1"/>
  <c r="T7" i="5"/>
  <c r="T14" i="1"/>
  <c r="T19" i="1"/>
  <c r="T9" i="5"/>
  <c r="T12" i="150"/>
  <c r="T24" i="4"/>
  <c r="N24" i="4" s="1"/>
  <c r="T18" i="5"/>
  <c r="T21" i="5"/>
  <c r="M21" i="5" s="1"/>
  <c r="T22" i="1"/>
  <c r="T13" i="4"/>
  <c r="T17" i="4"/>
  <c r="T28" i="1"/>
  <c r="T16" i="4"/>
  <c r="T12" i="1"/>
  <c r="T5" i="1"/>
  <c r="T15" i="5"/>
  <c r="N15" i="5" s="1"/>
  <c r="A15" i="5" s="1"/>
  <c r="T5" i="150"/>
  <c r="T5" i="5"/>
  <c r="T23" i="4"/>
  <c r="T6" i="5"/>
  <c r="M6" i="5" s="1"/>
  <c r="T23" i="1"/>
  <c r="T10" i="4"/>
  <c r="O10" i="4" s="1"/>
  <c r="A10" i="4" s="1"/>
  <c r="T20" i="5"/>
  <c r="T9" i="150"/>
  <c r="N9" i="150" s="1"/>
  <c r="T30" i="1"/>
  <c r="T19" i="4"/>
  <c r="T6" i="4"/>
  <c r="T19" i="5"/>
  <c r="N19" i="5" s="1"/>
  <c r="A19" i="5" s="1"/>
  <c r="T16" i="5"/>
  <c r="M16" i="5" s="1"/>
  <c r="T8" i="150"/>
  <c r="N8" i="150" s="1"/>
  <c r="T7" i="137"/>
  <c r="T14" i="5"/>
  <c r="T8" i="4"/>
  <c r="T22" i="4"/>
  <c r="N22" i="4" s="1"/>
  <c r="T8" i="137"/>
  <c r="N8" i="137" s="1"/>
  <c r="T6" i="1"/>
  <c r="T24" i="1"/>
  <c r="T24" i="5"/>
  <c r="N24" i="5" s="1"/>
  <c r="A24" i="5" s="1"/>
  <c r="T18" i="1"/>
  <c r="T21" i="4"/>
  <c r="T6" i="137"/>
  <c r="O6" i="137" s="1"/>
  <c r="A6" i="137" s="1"/>
  <c r="T8" i="5"/>
  <c r="N8" i="5" s="1"/>
  <c r="A8" i="5" s="1"/>
  <c r="T18" i="4"/>
  <c r="O18" i="4" s="1"/>
  <c r="A18" i="4" s="1"/>
  <c r="T25" i="1"/>
  <c r="T5" i="4"/>
  <c r="N5" i="4" s="1"/>
  <c r="T9" i="4"/>
  <c r="N9" i="4" s="1"/>
  <c r="T14" i="4"/>
  <c r="T7" i="150"/>
  <c r="N7" i="150" s="1"/>
  <c r="T22" i="5"/>
  <c r="T26" i="1"/>
  <c r="T7" i="4"/>
  <c r="T11" i="5"/>
  <c r="M11" i="5" s="1"/>
  <c r="T17" i="5"/>
  <c r="M17" i="5" s="1"/>
  <c r="T23" i="5"/>
  <c r="M23" i="5" s="1"/>
  <c r="T8" i="1"/>
  <c r="T11" i="4"/>
  <c r="T15" i="4"/>
  <c r="O15" i="4" s="1"/>
  <c r="A15" i="4" s="1"/>
  <c r="T10" i="150"/>
  <c r="O10" i="150" s="1"/>
  <c r="A10" i="150" s="1"/>
  <c r="T10" i="1"/>
  <c r="T20" i="4"/>
  <c r="T21" i="1"/>
  <c r="T7" i="1"/>
  <c r="T12" i="5"/>
  <c r="M12" i="5" s="1"/>
  <c r="T11" i="150"/>
  <c r="T9" i="1"/>
  <c r="T10" i="5"/>
  <c r="M10" i="5" s="1"/>
  <c r="T13" i="1"/>
  <c r="T29" i="1"/>
  <c r="T27" i="1"/>
  <c r="T6" i="150"/>
  <c r="O6" i="150" s="1"/>
  <c r="A6" i="150" s="1"/>
  <c r="T13" i="5"/>
  <c r="M13" i="5" s="1"/>
  <c r="T5" i="137"/>
  <c r="O7" i="137"/>
  <c r="A7" i="137" s="1"/>
  <c r="O23" i="4"/>
  <c r="A23" i="4" s="1"/>
  <c r="N21" i="4"/>
  <c r="M22" i="5"/>
  <c r="O7" i="4"/>
  <c r="A7" i="4" s="1"/>
  <c r="O12" i="150"/>
  <c r="A12" i="150" s="1"/>
  <c r="N5" i="150"/>
  <c r="O14" i="4"/>
  <c r="A14" i="4" s="1"/>
  <c r="N17" i="4"/>
  <c r="O6" i="4"/>
  <c r="A6" i="4" s="1"/>
  <c r="N18" i="5"/>
  <c r="A18" i="5" s="1"/>
  <c r="N20" i="1"/>
  <c r="M9" i="5"/>
  <c r="O11" i="150"/>
  <c r="A11" i="150" s="1"/>
  <c r="N8" i="4"/>
  <c r="O19" i="4"/>
  <c r="A19" i="4" s="1"/>
  <c r="M7" i="5"/>
  <c r="N20" i="4"/>
  <c r="N12" i="4"/>
  <c r="K11" i="50"/>
  <c r="AC4" i="5"/>
  <c r="AC4" i="150"/>
  <c r="AC4" i="4"/>
  <c r="AC4" i="137"/>
  <c r="AB4" i="137"/>
  <c r="AB4" i="4"/>
  <c r="AB4" i="5"/>
  <c r="AB4" i="150"/>
  <c r="I4" i="50"/>
  <c r="AA4" i="150"/>
  <c r="AA4" i="137"/>
  <c r="AA4" i="5"/>
  <c r="AA4" i="4"/>
  <c r="Y4" i="5"/>
  <c r="Y4" i="150"/>
  <c r="Y4" i="137"/>
  <c r="Y4" i="4"/>
  <c r="T4" i="137" l="1"/>
  <c r="T4" i="5"/>
  <c r="T4" i="4"/>
  <c r="T4" i="150"/>
  <c r="T4" i="1"/>
  <c r="S4" i="137"/>
  <c r="S4" i="1"/>
  <c r="S4" i="5"/>
  <c r="S4" i="150"/>
  <c r="S4" i="4"/>
  <c r="R4" i="1"/>
  <c r="O19" i="1"/>
  <c r="A19" i="1" s="1"/>
  <c r="N9" i="1"/>
  <c r="N18"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A5" i="137" s="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A4" i="137" l="1"/>
  <c r="N4" i="137"/>
  <c r="O24" i="1"/>
  <c r="A24" i="1" s="1"/>
  <c r="Q4" i="1"/>
  <c r="N4" i="1"/>
  <c r="A5" i="1"/>
  <c r="O4" i="1"/>
  <c r="N4" i="150"/>
  <c r="O4" i="137"/>
  <c r="M4" i="5"/>
  <c r="A4" i="150"/>
  <c r="O4" i="150"/>
  <c r="N4" i="5"/>
  <c r="N4" i="4"/>
  <c r="O4" i="4"/>
  <c r="A4" i="4"/>
  <c r="A4" i="5"/>
  <c r="A4" i="1" l="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<sst xmlns="http://schemas.openxmlformats.org/spreadsheetml/2006/main" count="1763" uniqueCount="312">
  <si>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</si>
  <si>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</si>
  <si>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</si>
  <si>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</si>
  <si>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</si>
  <si>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</si>
  <si>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</si>
  <si>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</si>
  <si>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</si>
  <si>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</si>
  <si>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</si>
  <si>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</si>
  <si>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</si>
  <si>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</si>
  <si>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</si>
  <si>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</si>
  <si>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</si>
  <si>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</si>
  <si>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</si>
  <si>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</si>
  <si>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</si>
  <si>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</si>
  <si>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</si>
  <si>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</si>
  <si>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</si>
  <si>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</si>
  <si>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</si>
  <si>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</si>
  <si>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</si>
  <si>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</si>
  <si>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</si>
  <si>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</si>
  <si>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</si>
  <si>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</si>
  <si>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</si>
  <si>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</si>
  <si>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</si>
  <si>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</si>
  <si>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</si>
  <si>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</si>
  <si>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</si>
  <si>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</si>
  <si>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</si>
  <si>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</si>
  <si>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</si>
  <si>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</si>
  <si>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</si>
  <si>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</si>
  <si>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</si>
  <si>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</si>
  <si>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</si>
  <si>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</si>
  <si>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</si>
  <si>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</si>
  <si>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</si>
  <si>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</si>
  <si>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</si>
  <si>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</si>
  <si>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</si>
  <si>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</si>
  <si>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</si>
  <si>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</si>
  <si>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</si>
  <si>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</si>
  <si>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</si>
  <si>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</si>
  <si>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</si>
  <si>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</si>
  <si>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</si>
  <si>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</si>
  <si>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</si>
  <si>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</si>
  <si>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</si>
  <si>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</si>
  <si>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</si>
  <si>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</si>
  <si>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</si>
  <si>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</si>
  <si>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</si>
  <si>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</si>
  <si>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</si>
  <si>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</si>
  <si>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</si>
  <si>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</si>
  <si>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</si>
  <si>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</si>
  <si>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</si>
  <si>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</si>
  <si>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</si>
  <si>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</si>
  <si>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</si>
  <si>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</si>
  <si>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</si>
  <si>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</si>
  <si>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</si>
  <si>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</si>
  <si>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</si>
  <si>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</si>
  <si>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</si>
  <si>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</si>
  <si>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</si>
  <si>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</si>
  <si>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</si>
  <si>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</si>
  <si>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</si>
  <si>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</si>
  <si>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</si>
  <si>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</si>
  <si>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</si>
  <si>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</si>
  <si>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</si>
  <si>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</si>
  <si>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</si>
  <si>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</si>
  <si>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</si>
  <si>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</si>
  <si>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</si>
  <si>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</si>
  <si>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</si>
  <si>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</si>
  <si>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</si>
  <si>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</si>
  <si>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</si>
  <si>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</si>
  <si>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</si>
  <si>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</si>
  <si>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</si>
  <si>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</si>
  <si>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</si>
  <si>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</si>
  <si>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</si>
  <si>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</si>
  <si>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</si>
  <si>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</si>
  <si>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</si>
  <si>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</si>
  <si>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</si>
  <si>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</si>
  <si>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</si>
  <si>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</si>
  <si>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</si>
  <si>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</si>
  <si>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</si>
  <si>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</si>
  <si>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</si>
  <si>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</si>
  <si>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</si>
  <si>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</si>
  <si>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</si>
  <si>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</si>
  <si>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</si>
  <si>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</si>
  <si>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</si>
  <si>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</si>
  <si>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</si>
  <si>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</si>
  <si>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</si>
  <si>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</si>
  <si>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</si>
  <si>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</si>
  <si>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</si>
  <si>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</si>
  <si>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</si>
  <si>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</si>
  <si>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</si>
  <si>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</si>
  <si>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</si>
  <si>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</si>
  <si>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</si>
  <si>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</si>
  <si>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</si>
  <si>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</si>
  <si>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</si>
  <si>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</si>
  <si>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</si>
  <si>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</si>
  <si>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</si>
  <si>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</si>
  <si>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</si>
  <si>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</si>
  <si>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</si>
  <si>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</si>
  <si>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</si>
  <si>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</si>
  <si>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</si>
  <si>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</si>
  <si>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</si>
  <si>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</si>
  <si>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</si>
  <si>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</si>
  <si>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</si>
  <si>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</si>
  <si>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</si>
  <si>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</si>
  <si>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</si>
  <si>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</si>
  <si>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</si>
  <si>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</si>
  <si>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</si>
  <si>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</si>
  <si>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</si>
  <si>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</si>
  <si>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</si>
  <si>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</si>
  <si>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</si>
  <si>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</si>
  <si>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</si>
  <si>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</si>
  <si>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</si>
  <si>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</si>
  <si>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</si>
  <si>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</si>
  <si>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</si>
  <si>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</si>
  <si>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</si>
  <si>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</si>
  <si>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</si>
  <si>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</si>
  <si>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</si>
  <si>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</si>
  <si>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</si>
  <si>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</si>
  <si>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</si>
  <si>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</si>
  <si>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</si>
  <si>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</si>
  <si>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</si>
  <si>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</si>
  <si>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</si>
  <si>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</si>
  <si>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</si>
  <si>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</si>
  <si>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</si>
  <si>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</si>
  <si>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</si>
  <si>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</si>
  <si>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</si>
  <si>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</si>
  <si>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</si>
  <si>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</si>
  <si>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</si>
  <si>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</si>
  <si>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</si>
  <si>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</si>
  <si>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</si>
  <si>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</si>
  <si>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</si>
  <si>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</si>
  <si>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</si>
  <si>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</si>
  <si>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</si>
  <si>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</si>
  <si>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</si>
  <si>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</si>
  <si>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</si>
  <si>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</si>
  <si>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</si>
  <si>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</si>
  <si>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</si>
  <si>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</si>
  <si>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</si>
  <si>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</si>
  <si>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</si>
  <si>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</si>
  <si>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</si>
  <si>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</si>
  <si>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</si>
  <si>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</si>
  <si>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</si>
  <si>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</si>
  <si>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</si>
  <si>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</si>
  <si>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</si>
  <si>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</si>
  <si>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</si>
  <si>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</si>
  <si>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</si>
  <si>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</si>
  <si>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</si>
  <si>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</si>
  <si>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</si>
  <si>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</si>
  <si>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</si>
  <si>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</si>
  <si>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</si>
  <si>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</si>
  <si>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</si>
  <si>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</si>
  <si>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</si>
  <si>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</si>
  <si>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</si>
  <si>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Bác Bình</t>
  </si>
  <si>
    <t>Thím Gái</t>
  </si>
  <si>
    <t>T12+T01+T02</t>
  </si>
  <si>
    <t>0-Chân Gà cũ</t>
  </si>
  <si>
    <t/>
  </si>
  <si>
    <t>Cô Hằng</t>
  </si>
  <si>
    <t>Chị Hà</t>
  </si>
  <si>
    <t>Cô Bé Ken</t>
  </si>
  <si>
    <t>KH lẻ</t>
  </si>
  <si>
    <t>Chênh lệch giá</t>
  </si>
  <si>
    <t>-</t>
  </si>
  <si>
    <t>Cô Út</t>
  </si>
  <si>
    <t>Trả hậu mãi Cô Út</t>
  </si>
  <si>
    <t>Dì Mỹ</t>
  </si>
  <si>
    <t>Chị Tuyền</t>
  </si>
  <si>
    <t>Chị Thơm</t>
  </si>
  <si>
    <t>KH Lẻ</t>
  </si>
  <si>
    <t>Cô Lệ</t>
  </si>
  <si>
    <t>Dì Phượng L</t>
  </si>
  <si>
    <t>Dì Hồng</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</si>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</sst>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4"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164"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165" fontId="4" fillId="12" borderId="1" xfId="1" applyNumberFormat="1" applyFont="1" applyFill="1" applyBorder="1" applyAlignment="1">
      <alignment vertical="center"/>
    </xf>
    <xf numFmtId="164" fontId="8" fillId="12" borderId="1" xfId="1" applyFont="1" applyFill="1" applyBorder="1" applyAlignment="1">
      <alignment vertical="center"/>
    </xf>
    <xf numFmtId="164" fontId="5" fillId="12" borderId="1" xfId="1" applyFont="1" applyFill="1" applyBorder="1" applyAlignment="1">
      <alignment vertical="center"/>
    </xf>
    <xf numFmtId="164" fontId="17" fillId="12" borderId="1" xfId="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164" fontId="34" fillId="0" borderId="0" xfId="0" applyNumberFormat="1" applyFont="1" applyAlignment="1">
      <alignment horizontal="center"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29" fillId="7" borderId="2" xfId="0" applyFont="1" applyFill="1" applyBorder="1" applyAlignment="1" applyProtection="1">
      <alignment vertical="center"/>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2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6"/>
      <tableStyleElement type="headerRow" dxfId="52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3.38858888889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9" u="1"/>
        <n v="68" u="1"/>
        <n v="67" u="1"/>
        <n v="66" u="1"/>
        <n v="74" u="1"/>
        <n v="73" u="1"/>
        <n v="72" u="1"/>
        <n v="71" u="1"/>
        <n v="70" u="1"/>
      </sharedItems>
    </cacheField>
    <cacheField name="Tên hàng" numFmtId="0">
      <sharedItems count="76">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Chả giò xốp thịt heo" u="1"/>
        <s v="XX Xông khói ĐNA" u="1"/>
        <s v="Thanh cua LC" u="1"/>
        <s v="Chả giò xốp hải sản" u="1"/>
        <s v="XX Đỏ ĐNA (bao xanh)" u="1"/>
        <s v="Chả giò Rế thịt heo" u="1"/>
        <s v="XX Đỏ ĐNA (bao đỏ)" u="1"/>
        <s v="Jambon Trắng" u="1"/>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74" u="1"/>
        <s v="MT70" u="1"/>
        <s v="MT66" u="1"/>
        <s v="MT71" u="1"/>
        <s v="MT67" u="1"/>
        <s v="MT72" u="1"/>
        <s v="MT68" u="1"/>
        <s v="MT73" u="1"/>
        <s v="MT69" u="1"/>
      </sharedItems>
    </cacheField>
    <cacheField name="Giá  bán" numFmtId="164">
      <sharedItems containsSemiMixedTypes="0" containsString="0" containsNumber="1" containsInteger="1" minValue="14000" maxValue="105000" count="36">
        <n v="60000"/>
        <n v="70000"/>
        <n v="45000"/>
        <n v="48000"/>
        <n v="25000"/>
        <n v="28000"/>
        <n v="30000"/>
        <n v="38000"/>
        <n v="42000"/>
        <n v="35000"/>
        <n v="50000"/>
        <n v="40000"/>
        <n v="55000"/>
        <n v="33000"/>
        <n v="69000"/>
        <n v="32000"/>
        <n v="14000"/>
        <n v="59000"/>
        <n v="52000"/>
        <n v="65000"/>
        <n v="44000"/>
        <n v="79000"/>
        <n v="66000"/>
        <n v="54000"/>
        <n v="105000"/>
        <n v="76000"/>
        <n v="49000"/>
        <n v="80000"/>
        <n v="47000"/>
        <n v="18000"/>
        <n v="26000"/>
        <n v="34000" u="1"/>
        <n v="43000" u="1"/>
        <n v="27000" u="1"/>
        <n v="46000" u="1"/>
        <n v="23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10"/>
  </r>
  <r>
    <x v="12"/>
    <x v="12"/>
    <x v="12"/>
    <x v="2"/>
  </r>
  <r>
    <x v="13"/>
    <x v="13"/>
    <x v="13"/>
    <x v="2"/>
  </r>
  <r>
    <x v="14"/>
    <x v="14"/>
    <x v="14"/>
    <x v="2"/>
  </r>
  <r>
    <x v="15"/>
    <x v="15"/>
    <x v="15"/>
    <x v="2"/>
  </r>
  <r>
    <x v="16"/>
    <x v="16"/>
    <x v="16"/>
    <x v="2"/>
  </r>
  <r>
    <x v="17"/>
    <x v="17"/>
    <x v="17"/>
    <x v="11"/>
  </r>
  <r>
    <x v="18"/>
    <x v="18"/>
    <x v="18"/>
    <x v="11"/>
  </r>
  <r>
    <x v="19"/>
    <x v="19"/>
    <x v="19"/>
    <x v="12"/>
  </r>
  <r>
    <x v="20"/>
    <x v="20"/>
    <x v="20"/>
    <x v="13"/>
  </r>
  <r>
    <x v="21"/>
    <x v="21"/>
    <x v="21"/>
    <x v="14"/>
  </r>
  <r>
    <x v="22"/>
    <x v="22"/>
    <x v="22"/>
    <x v="11"/>
  </r>
  <r>
    <x v="23"/>
    <x v="23"/>
    <x v="23"/>
    <x v="10"/>
  </r>
  <r>
    <x v="24"/>
    <x v="24"/>
    <x v="24"/>
    <x v="15"/>
  </r>
  <r>
    <x v="25"/>
    <x v="25"/>
    <x v="25"/>
    <x v="16"/>
  </r>
  <r>
    <x v="26"/>
    <x v="26"/>
    <x v="26"/>
    <x v="15"/>
  </r>
  <r>
    <x v="27"/>
    <x v="27"/>
    <x v="27"/>
    <x v="9"/>
  </r>
  <r>
    <x v="28"/>
    <x v="28"/>
    <x v="28"/>
    <x v="16"/>
  </r>
  <r>
    <x v="29"/>
    <x v="29"/>
    <x v="29"/>
    <x v="9"/>
  </r>
  <r>
    <x v="30"/>
    <x v="30"/>
    <x v="30"/>
    <x v="16"/>
  </r>
  <r>
    <x v="31"/>
    <x v="31"/>
    <x v="31"/>
    <x v="17"/>
  </r>
  <r>
    <x v="32"/>
    <x v="32"/>
    <x v="32"/>
    <x v="18"/>
  </r>
  <r>
    <x v="33"/>
    <x v="33"/>
    <x v="33"/>
    <x v="19"/>
  </r>
  <r>
    <x v="34"/>
    <x v="34"/>
    <x v="34"/>
    <x v="20"/>
  </r>
  <r>
    <x v="35"/>
    <x v="35"/>
    <x v="35"/>
    <x v="21"/>
  </r>
  <r>
    <x v="36"/>
    <x v="36"/>
    <x v="36"/>
    <x v="22"/>
  </r>
  <r>
    <x v="37"/>
    <x v="37"/>
    <x v="37"/>
    <x v="19"/>
  </r>
  <r>
    <x v="38"/>
    <x v="38"/>
    <x v="38"/>
    <x v="23"/>
  </r>
  <r>
    <x v="39"/>
    <x v="39"/>
    <x v="39"/>
    <x v="17"/>
  </r>
  <r>
    <x v="40"/>
    <x v="40"/>
    <x v="40"/>
    <x v="11"/>
  </r>
  <r>
    <x v="41"/>
    <x v="41"/>
    <x v="41"/>
    <x v="9"/>
  </r>
  <r>
    <x v="42"/>
    <x v="42"/>
    <x v="42"/>
    <x v="24"/>
  </r>
  <r>
    <x v="43"/>
    <x v="43"/>
    <x v="43"/>
    <x v="8"/>
  </r>
  <r>
    <x v="44"/>
    <x v="44"/>
    <x v="44"/>
    <x v="9"/>
  </r>
  <r>
    <x v="45"/>
    <x v="45"/>
    <x v="45"/>
    <x v="14"/>
  </r>
  <r>
    <x v="46"/>
    <x v="46"/>
    <x v="46"/>
    <x v="25"/>
  </r>
  <r>
    <x v="47"/>
    <x v="47"/>
    <x v="47"/>
    <x v="6"/>
  </r>
  <r>
    <x v="48"/>
    <x v="48"/>
    <x v="48"/>
    <x v="26"/>
  </r>
  <r>
    <x v="49"/>
    <x v="49"/>
    <x v="49"/>
    <x v="27"/>
  </r>
  <r>
    <x v="50"/>
    <x v="50"/>
    <x v="50"/>
    <x v="20"/>
  </r>
  <r>
    <x v="51"/>
    <x v="51"/>
    <x v="51"/>
    <x v="9"/>
  </r>
  <r>
    <x v="52"/>
    <x v="52"/>
    <x v="52"/>
    <x v="7"/>
  </r>
  <r>
    <x v="53"/>
    <x v="53"/>
    <x v="53"/>
    <x v="1"/>
  </r>
  <r>
    <x v="54"/>
    <x v="54"/>
    <x v="54"/>
    <x v="23"/>
  </r>
  <r>
    <x v="55"/>
    <x v="55"/>
    <x v="55"/>
    <x v="28"/>
  </r>
  <r>
    <x v="56"/>
    <x v="56"/>
    <x v="56"/>
    <x v="10"/>
  </r>
  <r>
    <x v="57"/>
    <x v="57"/>
    <x v="57"/>
    <x v="8"/>
  </r>
  <r>
    <x v="58"/>
    <x v="58"/>
    <x v="58"/>
    <x v="29"/>
  </r>
  <r>
    <x v="59"/>
    <x v="59"/>
    <x v="59"/>
    <x v="4"/>
  </r>
  <r>
    <x v="60"/>
    <x v="60"/>
    <x v="60"/>
    <x v="30"/>
  </r>
  <r>
    <x v="61"/>
    <x v="61"/>
    <x v="61"/>
    <x v="5"/>
  </r>
  <r>
    <x v="62"/>
    <x v="62"/>
    <x v="62"/>
    <x v="5"/>
  </r>
  <r>
    <x v="63"/>
    <x v="63"/>
    <x v="63"/>
    <x v="30"/>
  </r>
  <r>
    <x v="64"/>
    <x v="64"/>
    <x v="64"/>
    <x v="9"/>
  </r>
  <r>
    <x v="65"/>
    <x v="65"/>
    <x v="65"/>
    <x v="8"/>
  </r>
  <r>
    <x v="66"/>
    <x v="66"/>
    <x v="66"/>
    <x v="2"/>
  </r>
  <r>
    <x v="67"/>
    <x v="67"/>
    <x v="67"/>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m="1" x="71"/>
        <item m="1" x="70"/>
        <item m="1" x="69"/>
        <item m="1" x="68"/>
        <item m="1" x="76"/>
        <item m="1" x="75"/>
        <item m="1" x="74"/>
        <item m="1" x="73"/>
        <item m="1" x="72"/>
        <item x="0"/>
        <item x="1"/>
        <item x="2"/>
      </items>
    </pivotField>
    <pivotField axis="axisRow" compact="0" outline="0" showAll="0" defaultSubtotal="0">
      <items count="76">
        <item x="43"/>
        <item x="47"/>
        <item x="46"/>
        <item x="29"/>
        <item x="30"/>
        <item x="4"/>
        <item x="5"/>
        <item x="26"/>
        <item x="24"/>
        <item x="25"/>
        <item m="1" x="73"/>
        <item x="23"/>
        <item m="1" x="71"/>
        <item m="1" x="68"/>
        <item x="45"/>
        <item x="7"/>
        <item x="41"/>
        <item x="19"/>
        <item x="49"/>
        <item x="37"/>
        <item x="38"/>
        <item x="39"/>
        <item x="51"/>
        <item x="52"/>
        <item x="10"/>
        <item x="9"/>
        <item x="36"/>
        <item m="1" x="75"/>
        <item x="48"/>
        <item x="8"/>
        <item x="35"/>
        <item x="44"/>
        <item x="17"/>
        <item x="18"/>
        <item x="53"/>
        <item m="1" x="70"/>
        <item x="6"/>
        <item x="27"/>
        <item x="28"/>
        <item x="11"/>
        <item x="12"/>
        <item x="13"/>
        <item x="14"/>
        <item x="15"/>
        <item x="16"/>
        <item x="31"/>
        <item x="32"/>
        <item m="1" x="74"/>
        <item m="1" x="72"/>
        <item x="20"/>
        <item x="33"/>
        <item x="34"/>
        <item x="21"/>
        <item x="54"/>
        <item x="55"/>
        <item x="56"/>
        <item x="57"/>
        <item x="0"/>
        <item x="1"/>
        <item x="2"/>
        <item x="58"/>
        <item x="59"/>
        <item x="60"/>
        <item x="61"/>
        <item x="62"/>
        <item x="63"/>
        <item x="64"/>
        <item x="65"/>
        <item x="66"/>
        <item x="42"/>
        <item x="50"/>
        <item m="1" x="69"/>
        <item x="40"/>
        <item x="3"/>
        <item x="22"/>
        <item x="67"/>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m="1" x="70"/>
        <item m="1" x="72"/>
        <item m="1" x="74"/>
        <item m="1" x="76"/>
        <item m="1" x="69"/>
        <item m="1" x="71"/>
        <item m="1" x="73"/>
        <item m="1" x="75"/>
        <item m="1" x="68"/>
        <item x="44"/>
      </items>
    </pivotField>
    <pivotField axis="axisRow" compact="0" numFmtId="164" outline="0" showAll="0" defaultSubtotal="0">
      <items count="36">
        <item x="16"/>
        <item x="4"/>
        <item x="30"/>
        <item m="1" x="33"/>
        <item x="5"/>
        <item x="6"/>
        <item x="15"/>
        <item x="13"/>
        <item m="1" x="31"/>
        <item x="9"/>
        <item x="7"/>
        <item x="11"/>
        <item x="8"/>
        <item x="20"/>
        <item x="2"/>
        <item x="10"/>
        <item x="18"/>
        <item x="23"/>
        <item x="12"/>
        <item x="17"/>
        <item x="19"/>
        <item x="22"/>
        <item x="14"/>
        <item x="1"/>
        <item x="25"/>
        <item x="21"/>
        <item x="27"/>
        <item x="0"/>
        <item x="28"/>
        <item x="29"/>
        <item m="1" x="35"/>
        <item m="1" x="32"/>
        <item x="24"/>
        <item m="1" x="34"/>
        <item x="3"/>
        <item x="26"/>
      </items>
    </pivotField>
  </pivotFields>
  <rowFields count="4">
    <field x="0"/>
    <field x="2"/>
    <field x="1"/>
    <field x="3"/>
  </rowFields>
  <rowItems count="68">
    <i>
      <x/>
      <x/>
      <x v="73"/>
      <x v="34"/>
    </i>
    <i>
      <x v="1"/>
      <x v="1"/>
      <x v="5"/>
      <x v="1"/>
    </i>
    <i>
      <x v="2"/>
      <x v="2"/>
      <x v="6"/>
      <x v="4"/>
    </i>
    <i>
      <x v="3"/>
      <x v="3"/>
      <x v="36"/>
      <x v="5"/>
    </i>
    <i>
      <x v="4"/>
      <x v="4"/>
      <x v="15"/>
      <x v="10"/>
    </i>
    <i>
      <x v="5"/>
      <x v="5"/>
      <x v="29"/>
      <x v="12"/>
    </i>
    <i>
      <x v="6"/>
      <x v="6"/>
      <x v="25"/>
      <x v="9"/>
    </i>
    <i>
      <x v="7"/>
      <x v="7"/>
      <x v="24"/>
      <x v="14"/>
    </i>
    <i>
      <x v="8"/>
      <x v="8"/>
      <x v="39"/>
      <x v="15"/>
    </i>
    <i>
      <x v="9"/>
      <x v="9"/>
      <x v="40"/>
      <x v="14"/>
    </i>
    <i>
      <x v="10"/>
      <x v="10"/>
      <x v="41"/>
      <x v="14"/>
    </i>
    <i>
      <x v="11"/>
      <x v="11"/>
      <x v="42"/>
      <x v="14"/>
    </i>
    <i>
      <x v="12"/>
      <x v="12"/>
      <x v="43"/>
      <x v="14"/>
    </i>
    <i>
      <x v="13"/>
      <x v="13"/>
      <x v="44"/>
      <x v="14"/>
    </i>
    <i>
      <x v="14"/>
      <x v="14"/>
      <x v="32"/>
      <x v="11"/>
    </i>
    <i>
      <x v="15"/>
      <x v="15"/>
      <x v="33"/>
      <x v="11"/>
    </i>
    <i>
      <x v="16"/>
      <x v="16"/>
      <x v="17"/>
      <x v="18"/>
    </i>
    <i>
      <x v="17"/>
      <x v="17"/>
      <x v="49"/>
      <x v="7"/>
    </i>
    <i>
      <x v="18"/>
      <x v="18"/>
      <x v="52"/>
      <x v="22"/>
    </i>
    <i>
      <x v="19"/>
      <x v="19"/>
      <x v="74"/>
      <x v="11"/>
    </i>
    <i>
      <x v="20"/>
      <x v="20"/>
      <x v="11"/>
      <x v="15"/>
    </i>
    <i>
      <x v="21"/>
      <x v="21"/>
      <x v="8"/>
      <x v="6"/>
    </i>
    <i>
      <x v="22"/>
      <x v="22"/>
      <x v="9"/>
      <x/>
    </i>
    <i>
      <x v="23"/>
      <x v="23"/>
      <x v="7"/>
      <x v="6"/>
    </i>
    <i>
      <x v="24"/>
      <x v="24"/>
      <x v="37"/>
      <x v="9"/>
    </i>
    <i>
      <x v="25"/>
      <x v="25"/>
      <x v="38"/>
      <x/>
    </i>
    <i>
      <x v="26"/>
      <x v="26"/>
      <x v="3"/>
      <x v="9"/>
    </i>
    <i>
      <x v="27"/>
      <x v="27"/>
      <x v="4"/>
      <x/>
    </i>
    <i>
      <x v="28"/>
      <x v="28"/>
      <x v="45"/>
      <x v="19"/>
    </i>
    <i>
      <x v="29"/>
      <x v="29"/>
      <x v="46"/>
      <x v="16"/>
    </i>
    <i>
      <x v="30"/>
      <x v="30"/>
      <x v="50"/>
      <x v="20"/>
    </i>
    <i>
      <x v="31"/>
      <x v="31"/>
      <x v="51"/>
      <x v="13"/>
    </i>
    <i>
      <x v="32"/>
      <x v="32"/>
      <x v="30"/>
      <x v="25"/>
    </i>
    <i>
      <x v="33"/>
      <x v="33"/>
      <x v="26"/>
      <x v="21"/>
    </i>
    <i>
      <x v="34"/>
      <x v="34"/>
      <x v="19"/>
      <x v="20"/>
    </i>
    <i>
      <x v="35"/>
      <x v="35"/>
      <x v="20"/>
      <x v="17"/>
    </i>
    <i>
      <x v="36"/>
      <x v="36"/>
      <x v="21"/>
      <x v="19"/>
    </i>
    <i>
      <x v="37"/>
      <x v="37"/>
      <x v="72"/>
      <x v="11"/>
    </i>
    <i>
      <x v="38"/>
      <x v="38"/>
      <x v="16"/>
      <x v="9"/>
    </i>
    <i>
      <x v="39"/>
      <x v="39"/>
      <x v="69"/>
      <x v="32"/>
    </i>
    <i>
      <x v="40"/>
      <x v="40"/>
      <x/>
      <x v="12"/>
    </i>
    <i>
      <x v="41"/>
      <x v="76"/>
      <x v="31"/>
      <x v="9"/>
    </i>
    <i>
      <x v="42"/>
      <x v="41"/>
      <x v="14"/>
      <x v="22"/>
    </i>
    <i>
      <x v="43"/>
      <x v="42"/>
      <x v="2"/>
      <x v="24"/>
    </i>
    <i>
      <x v="44"/>
      <x v="43"/>
      <x v="1"/>
      <x v="5"/>
    </i>
    <i>
      <x v="45"/>
      <x v="44"/>
      <x v="28"/>
      <x v="35"/>
    </i>
    <i>
      <x v="46"/>
      <x v="45"/>
      <x v="18"/>
      <x v="26"/>
    </i>
    <i>
      <x v="47"/>
      <x v="46"/>
      <x v="70"/>
      <x v="13"/>
    </i>
    <i>
      <x v="48"/>
      <x v="47"/>
      <x v="22"/>
      <x v="9"/>
    </i>
    <i>
      <x v="49"/>
      <x v="48"/>
      <x v="23"/>
      <x v="10"/>
    </i>
    <i>
      <x v="50"/>
      <x v="49"/>
      <x v="34"/>
      <x v="23"/>
    </i>
    <i>
      <x v="51"/>
      <x v="50"/>
      <x v="53"/>
      <x v="17"/>
    </i>
    <i>
      <x v="52"/>
      <x v="51"/>
      <x v="54"/>
      <x v="28"/>
    </i>
    <i>
      <x v="53"/>
      <x v="52"/>
      <x v="55"/>
      <x v="15"/>
    </i>
    <i>
      <x v="54"/>
      <x v="53"/>
      <x v="56"/>
      <x v="12"/>
    </i>
    <i>
      <x v="55"/>
      <x v="54"/>
      <x v="60"/>
      <x v="29"/>
    </i>
    <i>
      <x v="56"/>
      <x v="55"/>
      <x v="61"/>
      <x v="1"/>
    </i>
    <i>
      <x v="57"/>
      <x v="56"/>
      <x v="62"/>
      <x v="2"/>
    </i>
    <i>
      <x v="58"/>
      <x v="57"/>
      <x v="63"/>
      <x v="4"/>
    </i>
    <i>
      <x v="59"/>
      <x v="58"/>
      <x v="64"/>
      <x v="4"/>
    </i>
    <i>
      <x v="60"/>
      <x v="59"/>
      <x v="65"/>
      <x v="2"/>
    </i>
    <i>
      <x v="61"/>
      <x v="60"/>
      <x v="66"/>
      <x v="9"/>
    </i>
    <i>
      <x v="62"/>
      <x v="61"/>
      <x v="67"/>
      <x v="12"/>
    </i>
    <i>
      <x v="63"/>
      <x v="62"/>
      <x v="68"/>
      <x v="14"/>
    </i>
    <i>
      <x v="64"/>
      <x v="66"/>
      <x v="75"/>
      <x v="11"/>
    </i>
    <i>
      <x v="74"/>
      <x v="63"/>
      <x v="57"/>
      <x v="27"/>
    </i>
    <i>
      <x v="75"/>
      <x v="64"/>
      <x v="58"/>
      <x v="23"/>
    </i>
    <i>
      <x v="76"/>
      <x v="65"/>
      <x v="59"/>
      <x v="14"/>
    </i>
  </rowItems>
  <colItems count="1">
    <i/>
  </colItems>
  <formats count="417">
    <format dxfId="493">
      <pivotArea field="3" type="button" dataOnly="0" labelOnly="1" outline="0" axis="axisRow" fieldPosition="3"/>
    </format>
    <format dxfId="4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1">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90">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89">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88">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87">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86">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85">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84">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83">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2">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1">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80">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79">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78">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77">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76">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75">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74">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73">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2">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1">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70">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69">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68">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67">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5">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64">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63">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0">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59">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58">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57">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56">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55">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54">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53">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2">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1">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50">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49">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48">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47">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46">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45">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44">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43">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2">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1">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4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9">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38">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37">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36">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35">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34">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33">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2">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1">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30">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29">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28">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27">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26">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25">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24">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23">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2">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1">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20">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19">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18">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17">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16">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15">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3">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2">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1">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1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8">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07">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06">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05">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04">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03">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2">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1">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00">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99">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98">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97">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96">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95">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94">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93">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2">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1">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90">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89">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88">
      <pivotArea field="1" type="button" dataOnly="0" labelOnly="1" outline="0" axis="axisRow" fieldPosition="2"/>
    </format>
    <format dxfId="387">
      <pivotArea dataOnly="0" labelOnly="1" outline="0" fieldPosition="0">
        <references count="1">
          <reference field="1" count="0"/>
        </references>
      </pivotArea>
    </format>
    <format dxfId="386">
      <pivotArea field="0" type="button" dataOnly="0" labelOnly="1" outline="0" axis="axisRow" fieldPosition="0"/>
    </format>
    <format dxfId="38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4">
      <pivotArea dataOnly="0" labelOnly="1" outline="0" fieldPosition="0">
        <references count="1">
          <reference field="0" count="10">
            <x v="50"/>
            <x v="51"/>
            <x v="52"/>
            <x v="53"/>
            <x v="54"/>
            <x v="55"/>
            <x v="56"/>
            <x v="57"/>
            <x v="58"/>
            <x v="59"/>
          </reference>
        </references>
      </pivotArea>
    </format>
    <format dxfId="383">
      <pivotArea dataOnly="0" labelOnly="1" grandRow="1" outline="0" fieldPosition="0"/>
    </format>
    <format dxfId="38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1">
      <pivotArea dataOnly="0" labelOnly="1" outline="0" fieldPosition="0">
        <references count="1">
          <reference field="0" count="10">
            <x v="50"/>
            <x v="51"/>
            <x v="52"/>
            <x v="53"/>
            <x v="54"/>
            <x v="55"/>
            <x v="56"/>
            <x v="57"/>
            <x v="58"/>
            <x v="59"/>
          </reference>
        </references>
      </pivotArea>
    </format>
    <format dxfId="380">
      <pivotArea dataOnly="0" labelOnly="1" grandRow="1" outline="0" fieldPosition="0"/>
    </format>
    <format dxfId="379">
      <pivotArea field="2" type="button" dataOnly="0" labelOnly="1" outline="0" axis="axisRow" fieldPosition="1"/>
    </format>
    <format dxfId="378">
      <pivotArea type="all" dataOnly="0" outline="0" fieldPosition="0"/>
    </format>
    <format dxfId="377">
      <pivotArea field="0" type="button" dataOnly="0" labelOnly="1" outline="0" axis="axisRow" fieldPosition="0"/>
    </format>
    <format dxfId="376">
      <pivotArea field="2" type="button" dataOnly="0" labelOnly="1" outline="0" axis="axisRow" fieldPosition="1"/>
    </format>
    <format dxfId="375">
      <pivotArea field="1" type="button" dataOnly="0" labelOnly="1" outline="0" axis="axisRow" fieldPosition="2"/>
    </format>
    <format dxfId="374">
      <pivotArea field="3" type="button" dataOnly="0" labelOnly="1" outline="0" axis="axisRow" fieldPosition="3"/>
    </format>
    <format dxfId="373">
      <pivotArea field="0" type="button" dataOnly="0" labelOnly="1" outline="0" axis="axisRow" fieldPosition="0"/>
    </format>
    <format dxfId="372">
      <pivotArea field="2" type="button" dataOnly="0" labelOnly="1" outline="0" axis="axisRow" fieldPosition="1"/>
    </format>
    <format dxfId="371">
      <pivotArea field="1" type="button" dataOnly="0" labelOnly="1" outline="0" axis="axisRow" fieldPosition="2"/>
    </format>
    <format dxfId="370">
      <pivotArea field="3" type="button" dataOnly="0" labelOnly="1" outline="0" axis="axisRow" fieldPosition="3"/>
    </format>
    <format dxfId="369">
      <pivotArea field="0" type="button" dataOnly="0" labelOnly="1" outline="0" axis="axisRow" fieldPosition="0"/>
    </format>
    <format dxfId="368">
      <pivotArea field="2" type="button" dataOnly="0" labelOnly="1" outline="0" axis="axisRow" fieldPosition="1"/>
    </format>
    <format dxfId="367">
      <pivotArea dataOnly="0" labelOnly="1" outline="0" fieldPosition="0">
        <references count="3">
          <reference field="0" count="1" selected="0">
            <x v="1"/>
          </reference>
          <reference field="1" count="1">
            <x v="5"/>
          </reference>
          <reference field="2" count="1" selected="0">
            <x v="1"/>
          </reference>
        </references>
      </pivotArea>
    </format>
    <format dxfId="366">
      <pivotArea dataOnly="0" labelOnly="1" outline="0" fieldPosition="0">
        <references count="3">
          <reference field="0" count="1" selected="0">
            <x v="2"/>
          </reference>
          <reference field="1" count="1">
            <x v="6"/>
          </reference>
          <reference field="2" count="1" selected="0">
            <x v="2"/>
          </reference>
        </references>
      </pivotArea>
    </format>
    <format dxfId="365">
      <pivotArea dataOnly="0" labelOnly="1" outline="0" fieldPosition="0">
        <references count="3">
          <reference field="0" count="1" selected="0">
            <x v="3"/>
          </reference>
          <reference field="1" count="1">
            <x v="36"/>
          </reference>
          <reference field="2" count="1" selected="0">
            <x v="3"/>
          </reference>
        </references>
      </pivotArea>
    </format>
    <format dxfId="364">
      <pivotArea dataOnly="0" labelOnly="1" outline="0" fieldPosition="0">
        <references count="3">
          <reference field="0" count="1" selected="0">
            <x v="4"/>
          </reference>
          <reference field="1" count="1">
            <x v="15"/>
          </reference>
          <reference field="2" count="1" selected="0">
            <x v="4"/>
          </reference>
        </references>
      </pivotArea>
    </format>
    <format dxfId="363">
      <pivotArea dataOnly="0" labelOnly="1" outline="0" fieldPosition="0">
        <references count="3">
          <reference field="0" count="1" selected="0">
            <x v="5"/>
          </reference>
          <reference field="1" count="1">
            <x v="29"/>
          </reference>
          <reference field="2" count="1" selected="0">
            <x v="5"/>
          </reference>
        </references>
      </pivotArea>
    </format>
    <format dxfId="362">
      <pivotArea dataOnly="0" labelOnly="1" outline="0" fieldPosition="0">
        <references count="3">
          <reference field="0" count="1" selected="0">
            <x v="6"/>
          </reference>
          <reference field="1" count="1">
            <x v="35"/>
          </reference>
          <reference field="2" count="1" selected="0">
            <x v="6"/>
          </reference>
        </references>
      </pivotArea>
    </format>
    <format dxfId="361">
      <pivotArea dataOnly="0" labelOnly="1" outline="0" fieldPosition="0">
        <references count="3">
          <reference field="0" count="1" selected="0">
            <x v="7"/>
          </reference>
          <reference field="1" count="1">
            <x v="25"/>
          </reference>
          <reference field="2" count="1" selected="0">
            <x v="7"/>
          </reference>
        </references>
      </pivotArea>
    </format>
    <format dxfId="360">
      <pivotArea dataOnly="0" labelOnly="1" outline="0" fieldPosition="0">
        <references count="3">
          <reference field="0" count="1" selected="0">
            <x v="8"/>
          </reference>
          <reference field="1" count="1">
            <x v="24"/>
          </reference>
          <reference field="2" count="1" selected="0">
            <x v="8"/>
          </reference>
        </references>
      </pivotArea>
    </format>
    <format dxfId="359">
      <pivotArea dataOnly="0" labelOnly="1" outline="0" fieldPosition="0">
        <references count="3">
          <reference field="0" count="1" selected="0">
            <x v="9"/>
          </reference>
          <reference field="1" count="1">
            <x v="39"/>
          </reference>
          <reference field="2" count="1" selected="0">
            <x v="9"/>
          </reference>
        </references>
      </pivotArea>
    </format>
    <format dxfId="358">
      <pivotArea dataOnly="0" labelOnly="1" outline="0" fieldPosition="0">
        <references count="3">
          <reference field="0" count="1" selected="0">
            <x v="10"/>
          </reference>
          <reference field="1" count="1">
            <x v="40"/>
          </reference>
          <reference field="2" count="1" selected="0">
            <x v="10"/>
          </reference>
        </references>
      </pivotArea>
    </format>
    <format dxfId="357">
      <pivotArea dataOnly="0" labelOnly="1" outline="0" fieldPosition="0">
        <references count="3">
          <reference field="0" count="1" selected="0">
            <x v="11"/>
          </reference>
          <reference field="1" count="1">
            <x v="41"/>
          </reference>
          <reference field="2" count="1" selected="0">
            <x v="11"/>
          </reference>
        </references>
      </pivotArea>
    </format>
    <format dxfId="356">
      <pivotArea dataOnly="0" labelOnly="1" outline="0" fieldPosition="0">
        <references count="3">
          <reference field="0" count="1" selected="0">
            <x v="12"/>
          </reference>
          <reference field="1" count="1">
            <x v="42"/>
          </reference>
          <reference field="2" count="1" selected="0">
            <x v="12"/>
          </reference>
        </references>
      </pivotArea>
    </format>
    <format dxfId="355">
      <pivotArea dataOnly="0" labelOnly="1" outline="0" fieldPosition="0">
        <references count="3">
          <reference field="0" count="1" selected="0">
            <x v="13"/>
          </reference>
          <reference field="1" count="1">
            <x v="43"/>
          </reference>
          <reference field="2" count="1" selected="0">
            <x v="13"/>
          </reference>
        </references>
      </pivotArea>
    </format>
    <format dxfId="354">
      <pivotArea dataOnly="0" labelOnly="1" outline="0" fieldPosition="0">
        <references count="3">
          <reference field="0" count="1" selected="0">
            <x v="14"/>
          </reference>
          <reference field="1" count="1">
            <x v="44"/>
          </reference>
          <reference field="2" count="1" selected="0">
            <x v="14"/>
          </reference>
        </references>
      </pivotArea>
    </format>
    <format dxfId="353">
      <pivotArea dataOnly="0" labelOnly="1" outline="0" fieldPosition="0">
        <references count="3">
          <reference field="0" count="1" selected="0">
            <x v="15"/>
          </reference>
          <reference field="1" count="1">
            <x v="32"/>
          </reference>
          <reference field="2" count="1" selected="0">
            <x v="15"/>
          </reference>
        </references>
      </pivotArea>
    </format>
    <format dxfId="352">
      <pivotArea dataOnly="0" labelOnly="1" outline="0" fieldPosition="0">
        <references count="3">
          <reference field="0" count="1" selected="0">
            <x v="16"/>
          </reference>
          <reference field="1" count="1">
            <x v="33"/>
          </reference>
          <reference field="2" count="1" selected="0">
            <x v="16"/>
          </reference>
        </references>
      </pivotArea>
    </format>
    <format dxfId="351">
      <pivotArea dataOnly="0" labelOnly="1" outline="0" fieldPosition="0">
        <references count="3">
          <reference field="0" count="1" selected="0">
            <x v="17"/>
          </reference>
          <reference field="1" count="1">
            <x v="17"/>
          </reference>
          <reference field="2" count="1" selected="0">
            <x v="17"/>
          </reference>
        </references>
      </pivotArea>
    </format>
    <format dxfId="350">
      <pivotArea dataOnly="0" labelOnly="1" outline="0" fieldPosition="0">
        <references count="3">
          <reference field="0" count="1" selected="0">
            <x v="18"/>
          </reference>
          <reference field="1" count="1">
            <x v="47"/>
          </reference>
          <reference field="2" count="1" selected="0">
            <x v="18"/>
          </reference>
        </references>
      </pivotArea>
    </format>
    <format dxfId="349">
      <pivotArea dataOnly="0" labelOnly="1" outline="0" fieldPosition="0">
        <references count="3">
          <reference field="0" count="1" selected="0">
            <x v="19"/>
          </reference>
          <reference field="1" count="1">
            <x v="48"/>
          </reference>
          <reference field="2" count="1" selected="0">
            <x v="19"/>
          </reference>
        </references>
      </pivotArea>
    </format>
    <format dxfId="348">
      <pivotArea dataOnly="0" labelOnly="1" outline="0" fieldPosition="0">
        <references count="3">
          <reference field="0" count="1" selected="0">
            <x v="20"/>
          </reference>
          <reference field="1" count="1">
            <x v="49"/>
          </reference>
          <reference field="2" count="1" selected="0">
            <x v="20"/>
          </reference>
        </references>
      </pivotArea>
    </format>
    <format dxfId="347">
      <pivotArea dataOnly="0" labelOnly="1" outline="0" fieldPosition="0">
        <references count="3">
          <reference field="0" count="1" selected="0">
            <x v="22"/>
          </reference>
          <reference field="1" count="1">
            <x v="52"/>
          </reference>
          <reference field="2" count="1" selected="0">
            <x v="22"/>
          </reference>
        </references>
      </pivotArea>
    </format>
    <format dxfId="346">
      <pivotArea dataOnly="0" labelOnly="1" outline="0" fieldPosition="0">
        <references count="3">
          <reference field="0" count="1" selected="0">
            <x v="24"/>
          </reference>
          <reference field="1" count="1">
            <x v="10"/>
          </reference>
          <reference field="2" count="1" selected="0">
            <x v="24"/>
          </reference>
        </references>
      </pivotArea>
    </format>
    <format dxfId="345">
      <pivotArea dataOnly="0" labelOnly="1" outline="0" fieldPosition="0">
        <references count="3">
          <reference field="0" count="1" selected="0">
            <x v="25"/>
          </reference>
          <reference field="1" count="1">
            <x v="11"/>
          </reference>
          <reference field="2" count="1" selected="0">
            <x v="25"/>
          </reference>
        </references>
      </pivotArea>
    </format>
    <format dxfId="344">
      <pivotArea dataOnly="0" labelOnly="1" outline="0" fieldPosition="0">
        <references count="3">
          <reference field="0" count="1" selected="0">
            <x v="26"/>
          </reference>
          <reference field="1" count="1">
            <x v="12"/>
          </reference>
          <reference field="2" count="1" selected="0">
            <x v="26"/>
          </reference>
        </references>
      </pivotArea>
    </format>
    <format dxfId="343">
      <pivotArea dataOnly="0" labelOnly="1" outline="0" fieldPosition="0">
        <references count="3">
          <reference field="0" count="1" selected="0">
            <x v="27"/>
          </reference>
          <reference field="1" count="1">
            <x v="13"/>
          </reference>
          <reference field="2" count="1" selected="0">
            <x v="27"/>
          </reference>
        </references>
      </pivotArea>
    </format>
    <format dxfId="342">
      <pivotArea dataOnly="0" labelOnly="1" outline="0" fieldPosition="0">
        <references count="3">
          <reference field="0" count="1" selected="0">
            <x v="28"/>
          </reference>
          <reference field="1" count="1">
            <x v="8"/>
          </reference>
          <reference field="2" count="1" selected="0">
            <x v="28"/>
          </reference>
        </references>
      </pivotArea>
    </format>
    <format dxfId="341">
      <pivotArea dataOnly="0" labelOnly="1" outline="0" fieldPosition="0">
        <references count="3">
          <reference field="0" count="1" selected="0">
            <x v="29"/>
          </reference>
          <reference field="1" count="1">
            <x v="9"/>
          </reference>
          <reference field="2" count="1" selected="0">
            <x v="29"/>
          </reference>
        </references>
      </pivotArea>
    </format>
    <format dxfId="340">
      <pivotArea dataOnly="0" labelOnly="1" outline="0" fieldPosition="0">
        <references count="3">
          <reference field="0" count="1" selected="0">
            <x v="30"/>
          </reference>
          <reference field="1" count="1">
            <x v="7"/>
          </reference>
          <reference field="2" count="1" selected="0">
            <x v="30"/>
          </reference>
        </references>
      </pivotArea>
    </format>
    <format dxfId="339">
      <pivotArea dataOnly="0" labelOnly="1" outline="0" fieldPosition="0">
        <references count="3">
          <reference field="0" count="1" selected="0">
            <x v="31"/>
          </reference>
          <reference field="1" count="1">
            <x v="37"/>
          </reference>
          <reference field="2" count="1" selected="0">
            <x v="31"/>
          </reference>
        </references>
      </pivotArea>
    </format>
    <format dxfId="338">
      <pivotArea dataOnly="0" labelOnly="1" outline="0" fieldPosition="0">
        <references count="3">
          <reference field="0" count="1" selected="0">
            <x v="32"/>
          </reference>
          <reference field="1" count="1">
            <x v="38"/>
          </reference>
          <reference field="2" count="1" selected="0">
            <x v="32"/>
          </reference>
        </references>
      </pivotArea>
    </format>
    <format dxfId="337">
      <pivotArea dataOnly="0" labelOnly="1" outline="0" fieldPosition="0">
        <references count="3">
          <reference field="0" count="1" selected="0">
            <x v="33"/>
          </reference>
          <reference field="1" count="1">
            <x v="3"/>
          </reference>
          <reference field="2" count="1" selected="0">
            <x v="33"/>
          </reference>
        </references>
      </pivotArea>
    </format>
    <format dxfId="336">
      <pivotArea dataOnly="0" labelOnly="1" outline="0" fieldPosition="0">
        <references count="3">
          <reference field="0" count="1" selected="0">
            <x v="34"/>
          </reference>
          <reference field="1" count="1">
            <x v="4"/>
          </reference>
          <reference field="2" count="1" selected="0">
            <x v="34"/>
          </reference>
        </references>
      </pivotArea>
    </format>
    <format dxfId="335">
      <pivotArea dataOnly="0" labelOnly="1" outline="0" fieldPosition="0">
        <references count="3">
          <reference field="0" count="1" selected="0">
            <x v="35"/>
          </reference>
          <reference field="1" count="1">
            <x v="45"/>
          </reference>
          <reference field="2" count="1" selected="0">
            <x v="35"/>
          </reference>
        </references>
      </pivotArea>
    </format>
    <format dxfId="334">
      <pivotArea dataOnly="0" labelOnly="1" outline="0" fieldPosition="0">
        <references count="3">
          <reference field="0" count="1" selected="0">
            <x v="36"/>
          </reference>
          <reference field="1" count="1">
            <x v="46"/>
          </reference>
          <reference field="2" count="1" selected="0">
            <x v="36"/>
          </reference>
        </references>
      </pivotArea>
    </format>
    <format dxfId="333">
      <pivotArea dataOnly="0" labelOnly="1" outline="0" fieldPosition="0">
        <references count="3">
          <reference field="0" count="1" selected="0">
            <x v="37"/>
          </reference>
          <reference field="1" count="1">
            <x v="50"/>
          </reference>
          <reference field="2" count="1" selected="0">
            <x v="37"/>
          </reference>
        </references>
      </pivotArea>
    </format>
    <format dxfId="332">
      <pivotArea dataOnly="0" labelOnly="1" outline="0" fieldPosition="0">
        <references count="3">
          <reference field="0" count="1" selected="0">
            <x v="38"/>
          </reference>
          <reference field="1" count="1">
            <x v="51"/>
          </reference>
          <reference field="2" count="1" selected="0">
            <x v="38"/>
          </reference>
        </references>
      </pivotArea>
    </format>
    <format dxfId="331">
      <pivotArea dataOnly="0" labelOnly="1" outline="0" fieldPosition="0">
        <references count="3">
          <reference field="0" count="1" selected="0">
            <x v="39"/>
          </reference>
          <reference field="1" count="1">
            <x v="30"/>
          </reference>
          <reference field="2" count="1" selected="0">
            <x v="39"/>
          </reference>
        </references>
      </pivotArea>
    </format>
    <format dxfId="330">
      <pivotArea dataOnly="0" labelOnly="1" outline="0" fieldPosition="0">
        <references count="3">
          <reference field="0" count="1" selected="0">
            <x v="40"/>
          </reference>
          <reference field="1" count="1">
            <x v="26"/>
          </reference>
          <reference field="2" count="1" selected="0">
            <x v="40"/>
          </reference>
        </references>
      </pivotArea>
    </format>
    <format dxfId="329">
      <pivotArea dataOnly="0" labelOnly="1" outline="0" fieldPosition="0">
        <references count="3">
          <reference field="0" count="1" selected="0">
            <x v="42"/>
          </reference>
          <reference field="1" count="1">
            <x v="27"/>
          </reference>
          <reference field="2" count="1" selected="0">
            <x v="41"/>
          </reference>
        </references>
      </pivotArea>
    </format>
    <format dxfId="328">
      <pivotArea dataOnly="0" labelOnly="1" outline="0" fieldPosition="0">
        <references count="3">
          <reference field="0" count="1" selected="0">
            <x v="43"/>
          </reference>
          <reference field="1" count="1">
            <x v="19"/>
          </reference>
          <reference field="2" count="1" selected="0">
            <x v="42"/>
          </reference>
        </references>
      </pivotArea>
    </format>
    <format dxfId="327">
      <pivotArea dataOnly="0" labelOnly="1" outline="0" fieldPosition="0">
        <references count="3">
          <reference field="0" count="1" selected="0">
            <x v="44"/>
          </reference>
          <reference field="1" count="1">
            <x v="20"/>
          </reference>
          <reference field="2" count="1" selected="0">
            <x v="43"/>
          </reference>
        </references>
      </pivotArea>
    </format>
    <format dxfId="326">
      <pivotArea dataOnly="0" labelOnly="1" outline="0" fieldPosition="0">
        <references count="3">
          <reference field="0" count="1" selected="0">
            <x v="45"/>
          </reference>
          <reference field="1" count="1">
            <x v="21"/>
          </reference>
          <reference field="2" count="1" selected="0">
            <x v="44"/>
          </reference>
        </references>
      </pivotArea>
    </format>
    <format dxfId="325">
      <pivotArea dataOnly="0" labelOnly="1" outline="0" fieldPosition="0">
        <references count="3">
          <reference field="0" count="1" selected="0">
            <x v="47"/>
          </reference>
          <reference field="1" count="1">
            <x v="16"/>
          </reference>
          <reference field="2" count="1" selected="0">
            <x v="46"/>
          </reference>
        </references>
      </pivotArea>
    </format>
    <format dxfId="324">
      <pivotArea dataOnly="0" labelOnly="1" outline="0" fieldPosition="0">
        <references count="3">
          <reference field="0" count="1" selected="0">
            <x v="49"/>
          </reference>
          <reference field="1" count="1">
            <x v="0"/>
          </reference>
          <reference field="2" count="1" selected="0">
            <x v="48"/>
          </reference>
        </references>
      </pivotArea>
    </format>
    <format dxfId="323">
      <pivotArea dataOnly="0" labelOnly="1" outline="0" fieldPosition="0">
        <references count="3">
          <reference field="0" count="1" selected="0">
            <x v="50"/>
          </reference>
          <reference field="1" count="1">
            <x v="31"/>
          </reference>
          <reference field="2" count="1" selected="0">
            <x v="49"/>
          </reference>
        </references>
      </pivotArea>
    </format>
    <format dxfId="322">
      <pivotArea dataOnly="0" labelOnly="1" outline="0" fieldPosition="0">
        <references count="3">
          <reference field="0" count="1" selected="0">
            <x v="51"/>
          </reference>
          <reference field="1" count="1">
            <x v="14"/>
          </reference>
          <reference field="2" count="1" selected="0">
            <x v="50"/>
          </reference>
        </references>
      </pivotArea>
    </format>
    <format dxfId="321">
      <pivotArea dataOnly="0" labelOnly="1" outline="0" fieldPosition="0">
        <references count="3">
          <reference field="0" count="1" selected="0">
            <x v="52"/>
          </reference>
          <reference field="1" count="1">
            <x v="2"/>
          </reference>
          <reference field="2" count="1" selected="0">
            <x v="51"/>
          </reference>
        </references>
      </pivotArea>
    </format>
    <format dxfId="320">
      <pivotArea dataOnly="0" labelOnly="1" outline="0" fieldPosition="0">
        <references count="3">
          <reference field="0" count="1" selected="0">
            <x v="53"/>
          </reference>
          <reference field="1" count="1">
            <x v="1"/>
          </reference>
          <reference field="2" count="1" selected="0">
            <x v="52"/>
          </reference>
        </references>
      </pivotArea>
    </format>
    <format dxfId="319">
      <pivotArea dataOnly="0" labelOnly="1" outline="0" fieldPosition="0">
        <references count="3">
          <reference field="0" count="1" selected="0">
            <x v="54"/>
          </reference>
          <reference field="1" count="1">
            <x v="28"/>
          </reference>
          <reference field="2" count="1" selected="0">
            <x v="53"/>
          </reference>
        </references>
      </pivotArea>
    </format>
    <format dxfId="318">
      <pivotArea dataOnly="0" labelOnly="1" outline="0" fieldPosition="0">
        <references count="3">
          <reference field="0" count="1" selected="0">
            <x v="55"/>
          </reference>
          <reference field="1" count="1">
            <x v="18"/>
          </reference>
          <reference field="2" count="1" selected="0">
            <x v="54"/>
          </reference>
        </references>
      </pivotArea>
    </format>
    <format dxfId="317">
      <pivotArea dataOnly="0" labelOnly="1" outline="0" fieldPosition="0">
        <references count="3">
          <reference field="0" count="1" selected="0">
            <x v="57"/>
          </reference>
          <reference field="1" count="1">
            <x v="22"/>
          </reference>
          <reference field="2" count="1" selected="0">
            <x v="56"/>
          </reference>
        </references>
      </pivotArea>
    </format>
    <format dxfId="316">
      <pivotArea dataOnly="0" labelOnly="1" outline="0" fieldPosition="0">
        <references count="3">
          <reference field="0" count="1" selected="0">
            <x v="58"/>
          </reference>
          <reference field="1" count="1">
            <x v="23"/>
          </reference>
          <reference field="2" count="1" selected="0">
            <x v="57"/>
          </reference>
        </references>
      </pivotArea>
    </format>
    <format dxfId="315">
      <pivotArea dataOnly="0" labelOnly="1" outline="0" fieldPosition="0">
        <references count="3">
          <reference field="0" count="1" selected="0">
            <x v="59"/>
          </reference>
          <reference field="1" count="1">
            <x v="34"/>
          </reference>
          <reference field="2" count="1" selected="0">
            <x v="58"/>
          </reference>
        </references>
      </pivotArea>
    </format>
    <format dxfId="3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3">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2">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1">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10">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09">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08">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07">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06">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05">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04">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03">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2">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1">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00">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99">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98">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97">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96">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95">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94">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93">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2">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1">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90">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89">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7">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86">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85">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8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2">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1">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80">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79">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78">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77">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76">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75">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74">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73">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2">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1">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70">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69">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68">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67">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66">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65">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64">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63">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1">
      <pivotArea dataOnly="0" labelOnly="1" outline="0" fieldPosition="0">
        <references count="1">
          <reference field="0" count="10">
            <x v="50"/>
            <x v="51"/>
            <x v="52"/>
            <x v="53"/>
            <x v="54"/>
            <x v="55"/>
            <x v="56"/>
            <x v="57"/>
            <x v="58"/>
            <x v="59"/>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2">
          <reference field="0" count="1" selected="0">
            <x v="3"/>
          </reference>
          <reference field="2" count="1">
            <x v="3"/>
          </reference>
        </references>
      </pivotArea>
    </format>
    <format dxfId="256">
      <pivotArea dataOnly="0" labelOnly="1" outline="0" fieldPosition="0">
        <references count="2">
          <reference field="0" count="1" selected="0">
            <x v="4"/>
          </reference>
          <reference field="2" count="1">
            <x v="4"/>
          </reference>
        </references>
      </pivotArea>
    </format>
    <format dxfId="255">
      <pivotArea dataOnly="0" labelOnly="1" outline="0" fieldPosition="0">
        <references count="2">
          <reference field="0" count="1" selected="0">
            <x v="5"/>
          </reference>
          <reference field="2" count="1">
            <x v="5"/>
          </reference>
        </references>
      </pivotArea>
    </format>
    <format dxfId="254">
      <pivotArea dataOnly="0" labelOnly="1" outline="0" fieldPosition="0">
        <references count="2">
          <reference field="0" count="1" selected="0">
            <x v="6"/>
          </reference>
          <reference field="2" count="1">
            <x v="6"/>
          </reference>
        </references>
      </pivotArea>
    </format>
    <format dxfId="253">
      <pivotArea dataOnly="0" labelOnly="1" outline="0" fieldPosition="0">
        <references count="2">
          <reference field="0" count="1" selected="0">
            <x v="7"/>
          </reference>
          <reference field="2" count="1">
            <x v="7"/>
          </reference>
        </references>
      </pivotArea>
    </format>
    <format dxfId="252">
      <pivotArea dataOnly="0" labelOnly="1" outline="0" fieldPosition="0">
        <references count="2">
          <reference field="0" count="1" selected="0">
            <x v="8"/>
          </reference>
          <reference field="2" count="1">
            <x v="8"/>
          </reference>
        </references>
      </pivotArea>
    </format>
    <format dxfId="251">
      <pivotArea dataOnly="0" labelOnly="1" outline="0" fieldPosition="0">
        <references count="2">
          <reference field="0" count="1" selected="0">
            <x v="9"/>
          </reference>
          <reference field="2" count="1">
            <x v="9"/>
          </reference>
        </references>
      </pivotArea>
    </format>
    <format dxfId="250">
      <pivotArea dataOnly="0" labelOnly="1" outline="0" fieldPosition="0">
        <references count="2">
          <reference field="0" count="1" selected="0">
            <x v="10"/>
          </reference>
          <reference field="2" count="1">
            <x v="10"/>
          </reference>
        </references>
      </pivotArea>
    </format>
    <format dxfId="249">
      <pivotArea dataOnly="0" labelOnly="1" outline="0" fieldPosition="0">
        <references count="2">
          <reference field="0" count="1" selected="0">
            <x v="11"/>
          </reference>
          <reference field="2" count="1">
            <x v="11"/>
          </reference>
        </references>
      </pivotArea>
    </format>
    <format dxfId="248">
      <pivotArea dataOnly="0" labelOnly="1" outline="0" fieldPosition="0">
        <references count="2">
          <reference field="0" count="1" selected="0">
            <x v="12"/>
          </reference>
          <reference field="2" count="1">
            <x v="12"/>
          </reference>
        </references>
      </pivotArea>
    </format>
    <format dxfId="247">
      <pivotArea dataOnly="0" labelOnly="1" outline="0" fieldPosition="0">
        <references count="2">
          <reference field="0" count="1" selected="0">
            <x v="13"/>
          </reference>
          <reference field="2" count="1">
            <x v="13"/>
          </reference>
        </references>
      </pivotArea>
    </format>
    <format dxfId="246">
      <pivotArea dataOnly="0" labelOnly="1" outline="0" fieldPosition="0">
        <references count="2">
          <reference field="0" count="1" selected="0">
            <x v="14"/>
          </reference>
          <reference field="2" count="1">
            <x v="14"/>
          </reference>
        </references>
      </pivotArea>
    </format>
    <format dxfId="245">
      <pivotArea dataOnly="0" labelOnly="1" outline="0" fieldPosition="0">
        <references count="2">
          <reference field="0" count="1" selected="0">
            <x v="15"/>
          </reference>
          <reference field="2" count="1">
            <x v="15"/>
          </reference>
        </references>
      </pivotArea>
    </format>
    <format dxfId="244">
      <pivotArea dataOnly="0" labelOnly="1" outline="0" fieldPosition="0">
        <references count="2">
          <reference field="0" count="1" selected="0">
            <x v="16"/>
          </reference>
          <reference field="2" count="1">
            <x v="16"/>
          </reference>
        </references>
      </pivotArea>
    </format>
    <format dxfId="243">
      <pivotArea dataOnly="0" labelOnly="1" outline="0" fieldPosition="0">
        <references count="2">
          <reference field="0" count="1" selected="0">
            <x v="17"/>
          </reference>
          <reference field="2" count="1">
            <x v="17"/>
          </reference>
        </references>
      </pivotArea>
    </format>
    <format dxfId="242">
      <pivotArea dataOnly="0" labelOnly="1" outline="0" fieldPosition="0">
        <references count="2">
          <reference field="0" count="1" selected="0">
            <x v="18"/>
          </reference>
          <reference field="2" count="1">
            <x v="18"/>
          </reference>
        </references>
      </pivotArea>
    </format>
    <format dxfId="241">
      <pivotArea dataOnly="0" labelOnly="1" outline="0" fieldPosition="0">
        <references count="2">
          <reference field="0" count="1" selected="0">
            <x v="19"/>
          </reference>
          <reference field="2" count="1">
            <x v="19"/>
          </reference>
        </references>
      </pivotArea>
    </format>
    <format dxfId="240">
      <pivotArea dataOnly="0" labelOnly="1" outline="0" fieldPosition="0">
        <references count="2">
          <reference field="0" count="1" selected="0">
            <x v="20"/>
          </reference>
          <reference field="2" count="1">
            <x v="20"/>
          </reference>
        </references>
      </pivotArea>
    </format>
    <format dxfId="239">
      <pivotArea dataOnly="0" labelOnly="1" outline="0" fieldPosition="0">
        <references count="2">
          <reference field="0" count="1" selected="0">
            <x v="21"/>
          </reference>
          <reference field="2" count="1">
            <x v="21"/>
          </reference>
        </references>
      </pivotArea>
    </format>
    <format dxfId="238">
      <pivotArea dataOnly="0" labelOnly="1" outline="0" fieldPosition="0">
        <references count="2">
          <reference field="0" count="1" selected="0">
            <x v="22"/>
          </reference>
          <reference field="2" count="1">
            <x v="22"/>
          </reference>
        </references>
      </pivotArea>
    </format>
    <format dxfId="237">
      <pivotArea dataOnly="0" labelOnly="1" outline="0" fieldPosition="0">
        <references count="2">
          <reference field="0" count="1" selected="0">
            <x v="23"/>
          </reference>
          <reference field="2" count="1">
            <x v="23"/>
          </reference>
        </references>
      </pivotArea>
    </format>
    <format dxfId="236">
      <pivotArea dataOnly="0" labelOnly="1" outline="0" fieldPosition="0">
        <references count="2">
          <reference field="0" count="1" selected="0">
            <x v="24"/>
          </reference>
          <reference field="2" count="1">
            <x v="24"/>
          </reference>
        </references>
      </pivotArea>
    </format>
    <format dxfId="235">
      <pivotArea dataOnly="0" labelOnly="1" outline="0" fieldPosition="0">
        <references count="2">
          <reference field="0" count="1" selected="0">
            <x v="25"/>
          </reference>
          <reference field="2" count="1">
            <x v="25"/>
          </reference>
        </references>
      </pivotArea>
    </format>
    <format dxfId="234">
      <pivotArea dataOnly="0" labelOnly="1" outline="0" fieldPosition="0">
        <references count="2">
          <reference field="0" count="1" selected="0">
            <x v="26"/>
          </reference>
          <reference field="2" count="1">
            <x v="26"/>
          </reference>
        </references>
      </pivotArea>
    </format>
    <format dxfId="233">
      <pivotArea dataOnly="0" labelOnly="1" outline="0" fieldPosition="0">
        <references count="2">
          <reference field="0" count="1" selected="0">
            <x v="27"/>
          </reference>
          <reference field="2" count="1">
            <x v="27"/>
          </reference>
        </references>
      </pivotArea>
    </format>
    <format dxfId="232">
      <pivotArea dataOnly="0" labelOnly="1" outline="0" fieldPosition="0">
        <references count="2">
          <reference field="0" count="1" selected="0">
            <x v="28"/>
          </reference>
          <reference field="2" count="1">
            <x v="28"/>
          </reference>
        </references>
      </pivotArea>
    </format>
    <format dxfId="231">
      <pivotArea dataOnly="0" labelOnly="1" outline="0" fieldPosition="0">
        <references count="2">
          <reference field="0" count="1" selected="0">
            <x v="29"/>
          </reference>
          <reference field="2" count="1">
            <x v="29"/>
          </reference>
        </references>
      </pivotArea>
    </format>
    <format dxfId="230">
      <pivotArea dataOnly="0" labelOnly="1" outline="0" fieldPosition="0">
        <references count="2">
          <reference field="0" count="1" selected="0">
            <x v="30"/>
          </reference>
          <reference field="2" count="1">
            <x v="30"/>
          </reference>
        </references>
      </pivotArea>
    </format>
    <format dxfId="229">
      <pivotArea dataOnly="0" labelOnly="1" outline="0" fieldPosition="0">
        <references count="2">
          <reference field="0" count="1" selected="0">
            <x v="31"/>
          </reference>
          <reference field="2" count="1">
            <x v="31"/>
          </reference>
        </references>
      </pivotArea>
    </format>
    <format dxfId="228">
      <pivotArea dataOnly="0" labelOnly="1" outline="0" fieldPosition="0">
        <references count="2">
          <reference field="0" count="1" selected="0">
            <x v="32"/>
          </reference>
          <reference field="2" count="1">
            <x v="32"/>
          </reference>
        </references>
      </pivotArea>
    </format>
    <format dxfId="227">
      <pivotArea dataOnly="0" labelOnly="1" outline="0" fieldPosition="0">
        <references count="2">
          <reference field="0" count="1" selected="0">
            <x v="33"/>
          </reference>
          <reference field="2" count="1">
            <x v="33"/>
          </reference>
        </references>
      </pivotArea>
    </format>
    <format dxfId="226">
      <pivotArea dataOnly="0" labelOnly="1" outline="0" fieldPosition="0">
        <references count="2">
          <reference field="0" count="1" selected="0">
            <x v="34"/>
          </reference>
          <reference field="2" count="1">
            <x v="34"/>
          </reference>
        </references>
      </pivotArea>
    </format>
    <format dxfId="225">
      <pivotArea dataOnly="0" labelOnly="1" outline="0" fieldPosition="0">
        <references count="2">
          <reference field="0" count="1" selected="0">
            <x v="35"/>
          </reference>
          <reference field="2" count="1">
            <x v="35"/>
          </reference>
        </references>
      </pivotArea>
    </format>
    <format dxfId="224">
      <pivotArea dataOnly="0" labelOnly="1" outline="0" fieldPosition="0">
        <references count="2">
          <reference field="0" count="1" selected="0">
            <x v="36"/>
          </reference>
          <reference field="2" count="1">
            <x v="36"/>
          </reference>
        </references>
      </pivotArea>
    </format>
    <format dxfId="223">
      <pivotArea dataOnly="0" labelOnly="1" outline="0" fieldPosition="0">
        <references count="2">
          <reference field="0" count="1" selected="0">
            <x v="37"/>
          </reference>
          <reference field="2" count="1">
            <x v="37"/>
          </reference>
        </references>
      </pivotArea>
    </format>
    <format dxfId="222">
      <pivotArea dataOnly="0" labelOnly="1" outline="0" fieldPosition="0">
        <references count="2">
          <reference field="0" count="1" selected="0">
            <x v="38"/>
          </reference>
          <reference field="2" count="1">
            <x v="38"/>
          </reference>
        </references>
      </pivotArea>
    </format>
    <format dxfId="221">
      <pivotArea dataOnly="0" labelOnly="1" outline="0" fieldPosition="0">
        <references count="2">
          <reference field="0" count="1" selected="0">
            <x v="39"/>
          </reference>
          <reference field="2" count="1">
            <x v="39"/>
          </reference>
        </references>
      </pivotArea>
    </format>
    <format dxfId="220">
      <pivotArea dataOnly="0" labelOnly="1" outline="0" fieldPosition="0">
        <references count="2">
          <reference field="0" count="1" selected="0">
            <x v="40"/>
          </reference>
          <reference field="2" count="1">
            <x v="40"/>
          </reference>
        </references>
      </pivotArea>
    </format>
    <format dxfId="219">
      <pivotArea dataOnly="0" labelOnly="1" outline="0" fieldPosition="0">
        <references count="2">
          <reference field="0" count="1" selected="0">
            <x v="42"/>
          </reference>
          <reference field="2" count="1">
            <x v="41"/>
          </reference>
        </references>
      </pivotArea>
    </format>
    <format dxfId="218">
      <pivotArea dataOnly="0" labelOnly="1" outline="0" fieldPosition="0">
        <references count="2">
          <reference field="0" count="1" selected="0">
            <x v="43"/>
          </reference>
          <reference field="2" count="1">
            <x v="42"/>
          </reference>
        </references>
      </pivotArea>
    </format>
    <format dxfId="217">
      <pivotArea dataOnly="0" labelOnly="1" outline="0" fieldPosition="0">
        <references count="2">
          <reference field="0" count="1" selected="0">
            <x v="44"/>
          </reference>
          <reference field="2" count="1">
            <x v="43"/>
          </reference>
        </references>
      </pivotArea>
    </format>
    <format dxfId="216">
      <pivotArea dataOnly="0" labelOnly="1" outline="0" fieldPosition="0">
        <references count="2">
          <reference field="0" count="1" selected="0">
            <x v="45"/>
          </reference>
          <reference field="2" count="1">
            <x v="44"/>
          </reference>
        </references>
      </pivotArea>
    </format>
    <format dxfId="215">
      <pivotArea dataOnly="0" labelOnly="1" outline="0" fieldPosition="0">
        <references count="2">
          <reference field="0" count="1" selected="0">
            <x v="46"/>
          </reference>
          <reference field="2" count="1">
            <x v="45"/>
          </reference>
        </references>
      </pivotArea>
    </format>
    <format dxfId="214">
      <pivotArea dataOnly="0" labelOnly="1" outline="0" fieldPosition="0">
        <references count="2">
          <reference field="0" count="1" selected="0">
            <x v="47"/>
          </reference>
          <reference field="2" count="1">
            <x v="46"/>
          </reference>
        </references>
      </pivotArea>
    </format>
    <format dxfId="213">
      <pivotArea dataOnly="0" labelOnly="1" outline="0" fieldPosition="0">
        <references count="2">
          <reference field="0" count="1" selected="0">
            <x v="48"/>
          </reference>
          <reference field="2" count="1">
            <x v="47"/>
          </reference>
        </references>
      </pivotArea>
    </format>
    <format dxfId="212">
      <pivotArea dataOnly="0" labelOnly="1" outline="0" fieldPosition="0">
        <references count="2">
          <reference field="0" count="1" selected="0">
            <x v="49"/>
          </reference>
          <reference field="2" count="1">
            <x v="48"/>
          </reference>
        </references>
      </pivotArea>
    </format>
    <format dxfId="211">
      <pivotArea dataOnly="0" labelOnly="1" outline="0" fieldPosition="0">
        <references count="2">
          <reference field="0" count="1" selected="0">
            <x v="50"/>
          </reference>
          <reference field="2" count="1">
            <x v="49"/>
          </reference>
        </references>
      </pivotArea>
    </format>
    <format dxfId="210">
      <pivotArea dataOnly="0" labelOnly="1" outline="0" fieldPosition="0">
        <references count="2">
          <reference field="0" count="1" selected="0">
            <x v="51"/>
          </reference>
          <reference field="2" count="1">
            <x v="50"/>
          </reference>
        </references>
      </pivotArea>
    </format>
    <format dxfId="209">
      <pivotArea dataOnly="0" labelOnly="1" outline="0" fieldPosition="0">
        <references count="2">
          <reference field="0" count="1" selected="0">
            <x v="52"/>
          </reference>
          <reference field="2" count="1">
            <x v="51"/>
          </reference>
        </references>
      </pivotArea>
    </format>
    <format dxfId="208">
      <pivotArea dataOnly="0" labelOnly="1" outline="0" fieldPosition="0">
        <references count="2">
          <reference field="0" count="1" selected="0">
            <x v="53"/>
          </reference>
          <reference field="2" count="1">
            <x v="52"/>
          </reference>
        </references>
      </pivotArea>
    </format>
    <format dxfId="207">
      <pivotArea dataOnly="0" labelOnly="1" outline="0" fieldPosition="0">
        <references count="2">
          <reference field="0" count="1" selected="0">
            <x v="54"/>
          </reference>
          <reference field="2" count="1">
            <x v="53"/>
          </reference>
        </references>
      </pivotArea>
    </format>
    <format dxfId="206">
      <pivotArea dataOnly="0" labelOnly="1" outline="0" fieldPosition="0">
        <references count="2">
          <reference field="0" count="1" selected="0">
            <x v="55"/>
          </reference>
          <reference field="2" count="1">
            <x v="54"/>
          </reference>
        </references>
      </pivotArea>
    </format>
    <format dxfId="205">
      <pivotArea dataOnly="0" labelOnly="1" outline="0" fieldPosition="0">
        <references count="2">
          <reference field="0" count="1" selected="0">
            <x v="56"/>
          </reference>
          <reference field="2" count="1">
            <x v="55"/>
          </reference>
        </references>
      </pivotArea>
    </format>
    <format dxfId="204">
      <pivotArea dataOnly="0" labelOnly="1" outline="0" fieldPosition="0">
        <references count="2">
          <reference field="0" count="1" selected="0">
            <x v="57"/>
          </reference>
          <reference field="2" count="1">
            <x v="56"/>
          </reference>
        </references>
      </pivotArea>
    </format>
    <format dxfId="203">
      <pivotArea dataOnly="0" labelOnly="1" outline="0" fieldPosition="0">
        <references count="2">
          <reference field="0" count="1" selected="0">
            <x v="58"/>
          </reference>
          <reference field="2" count="1">
            <x v="57"/>
          </reference>
        </references>
      </pivotArea>
    </format>
    <format dxfId="202">
      <pivotArea dataOnly="0" labelOnly="1" outline="0" fieldPosition="0">
        <references count="2">
          <reference field="0" count="1" selected="0">
            <x v="59"/>
          </reference>
          <reference field="2" count="1">
            <x v="58"/>
          </reference>
        </references>
      </pivotArea>
    </format>
    <format dxfId="201">
      <pivotArea dataOnly="0" labelOnly="1" outline="0" fieldPosition="0">
        <references count="3">
          <reference field="0" count="1" selected="0">
            <x v="1"/>
          </reference>
          <reference field="1" count="1">
            <x v="5"/>
          </reference>
          <reference field="2" count="1" selected="0">
            <x v="1"/>
          </reference>
        </references>
      </pivotArea>
    </format>
    <format dxfId="200">
      <pivotArea dataOnly="0" labelOnly="1" outline="0" fieldPosition="0">
        <references count="3">
          <reference field="0" count="1" selected="0">
            <x v="2"/>
          </reference>
          <reference field="1" count="1">
            <x v="6"/>
          </reference>
          <reference field="2" count="1" selected="0">
            <x v="2"/>
          </reference>
        </references>
      </pivotArea>
    </format>
    <format dxfId="199">
      <pivotArea dataOnly="0" labelOnly="1" outline="0" fieldPosition="0">
        <references count="3">
          <reference field="0" count="1" selected="0">
            <x v="3"/>
          </reference>
          <reference field="1" count="1">
            <x v="36"/>
          </reference>
          <reference field="2" count="1" selected="0">
            <x v="3"/>
          </reference>
        </references>
      </pivotArea>
    </format>
    <format dxfId="198">
      <pivotArea dataOnly="0" labelOnly="1" outline="0" fieldPosition="0">
        <references count="3">
          <reference field="0" count="1" selected="0">
            <x v="4"/>
          </reference>
          <reference field="1" count="1">
            <x v="15"/>
          </reference>
          <reference field="2" count="1" selected="0">
            <x v="4"/>
          </reference>
        </references>
      </pivotArea>
    </format>
    <format dxfId="197">
      <pivotArea dataOnly="0" labelOnly="1" outline="0" fieldPosition="0">
        <references count="3">
          <reference field="0" count="1" selected="0">
            <x v="5"/>
          </reference>
          <reference field="1" count="1">
            <x v="29"/>
          </reference>
          <reference field="2" count="1" selected="0">
            <x v="5"/>
          </reference>
        </references>
      </pivotArea>
    </format>
    <format dxfId="196">
      <pivotArea dataOnly="0" labelOnly="1" outline="0" fieldPosition="0">
        <references count="3">
          <reference field="0" count="1" selected="0">
            <x v="6"/>
          </reference>
          <reference field="1" count="1">
            <x v="35"/>
          </reference>
          <reference field="2" count="1" selected="0">
            <x v="6"/>
          </reference>
        </references>
      </pivotArea>
    </format>
    <format dxfId="195">
      <pivotArea dataOnly="0" labelOnly="1" outline="0" fieldPosition="0">
        <references count="3">
          <reference field="0" count="1" selected="0">
            <x v="7"/>
          </reference>
          <reference field="1" count="1">
            <x v="25"/>
          </reference>
          <reference field="2" count="1" selected="0">
            <x v="7"/>
          </reference>
        </references>
      </pivotArea>
    </format>
    <format dxfId="194">
      <pivotArea dataOnly="0" labelOnly="1" outline="0" fieldPosition="0">
        <references count="3">
          <reference field="0" count="1" selected="0">
            <x v="8"/>
          </reference>
          <reference field="1" count="1">
            <x v="24"/>
          </reference>
          <reference field="2" count="1" selected="0">
            <x v="8"/>
          </reference>
        </references>
      </pivotArea>
    </format>
    <format dxfId="193">
      <pivotArea dataOnly="0" labelOnly="1" outline="0" fieldPosition="0">
        <references count="3">
          <reference field="0" count="1" selected="0">
            <x v="9"/>
          </reference>
          <reference field="1" count="1">
            <x v="39"/>
          </reference>
          <reference field="2" count="1" selected="0">
            <x v="9"/>
          </reference>
        </references>
      </pivotArea>
    </format>
    <format dxfId="192">
      <pivotArea dataOnly="0" labelOnly="1" outline="0" fieldPosition="0">
        <references count="3">
          <reference field="0" count="1" selected="0">
            <x v="10"/>
          </reference>
          <reference field="1" count="1">
            <x v="40"/>
          </reference>
          <reference field="2" count="1" selected="0">
            <x v="10"/>
          </reference>
        </references>
      </pivotArea>
    </format>
    <format dxfId="191">
      <pivotArea dataOnly="0" labelOnly="1" outline="0" fieldPosition="0">
        <references count="3">
          <reference field="0" count="1" selected="0">
            <x v="11"/>
          </reference>
          <reference field="1" count="1">
            <x v="41"/>
          </reference>
          <reference field="2" count="1" selected="0">
            <x v="11"/>
          </reference>
        </references>
      </pivotArea>
    </format>
    <format dxfId="190">
      <pivotArea dataOnly="0" labelOnly="1" outline="0" fieldPosition="0">
        <references count="3">
          <reference field="0" count="1" selected="0">
            <x v="12"/>
          </reference>
          <reference field="1" count="1">
            <x v="42"/>
          </reference>
          <reference field="2" count="1" selected="0">
            <x v="12"/>
          </reference>
        </references>
      </pivotArea>
    </format>
    <format dxfId="189">
      <pivotArea dataOnly="0" labelOnly="1" outline="0" fieldPosition="0">
        <references count="3">
          <reference field="0" count="1" selected="0">
            <x v="13"/>
          </reference>
          <reference field="1" count="1">
            <x v="43"/>
          </reference>
          <reference field="2" count="1" selected="0">
            <x v="13"/>
          </reference>
        </references>
      </pivotArea>
    </format>
    <format dxfId="188">
      <pivotArea dataOnly="0" labelOnly="1" outline="0" fieldPosition="0">
        <references count="3">
          <reference field="0" count="1" selected="0">
            <x v="14"/>
          </reference>
          <reference field="1" count="1">
            <x v="44"/>
          </reference>
          <reference field="2" count="1" selected="0">
            <x v="14"/>
          </reference>
        </references>
      </pivotArea>
    </format>
    <format dxfId="187">
      <pivotArea dataOnly="0" labelOnly="1" outline="0" fieldPosition="0">
        <references count="3">
          <reference field="0" count="1" selected="0">
            <x v="15"/>
          </reference>
          <reference field="1" count="1">
            <x v="32"/>
          </reference>
          <reference field="2" count="1" selected="0">
            <x v="15"/>
          </reference>
        </references>
      </pivotArea>
    </format>
    <format dxfId="186">
      <pivotArea dataOnly="0" labelOnly="1" outline="0" fieldPosition="0">
        <references count="3">
          <reference field="0" count="1" selected="0">
            <x v="16"/>
          </reference>
          <reference field="1" count="1">
            <x v="33"/>
          </reference>
          <reference field="2" count="1" selected="0">
            <x v="16"/>
          </reference>
        </references>
      </pivotArea>
    </format>
    <format dxfId="185">
      <pivotArea dataOnly="0" labelOnly="1" outline="0" fieldPosition="0">
        <references count="3">
          <reference field="0" count="1" selected="0">
            <x v="17"/>
          </reference>
          <reference field="1" count="1">
            <x v="17"/>
          </reference>
          <reference field="2" count="1" selected="0">
            <x v="17"/>
          </reference>
        </references>
      </pivotArea>
    </format>
    <format dxfId="184">
      <pivotArea dataOnly="0" labelOnly="1" outline="0" fieldPosition="0">
        <references count="3">
          <reference field="0" count="1" selected="0">
            <x v="18"/>
          </reference>
          <reference field="1" count="1">
            <x v="47"/>
          </reference>
          <reference field="2" count="1" selected="0">
            <x v="18"/>
          </reference>
        </references>
      </pivotArea>
    </format>
    <format dxfId="183">
      <pivotArea dataOnly="0" labelOnly="1" outline="0" fieldPosition="0">
        <references count="3">
          <reference field="0" count="1" selected="0">
            <x v="19"/>
          </reference>
          <reference field="1" count="1">
            <x v="48"/>
          </reference>
          <reference field="2" count="1" selected="0">
            <x v="19"/>
          </reference>
        </references>
      </pivotArea>
    </format>
    <format dxfId="182">
      <pivotArea dataOnly="0" labelOnly="1" outline="0" fieldPosition="0">
        <references count="3">
          <reference field="0" count="1" selected="0">
            <x v="20"/>
          </reference>
          <reference field="1" count="1">
            <x v="49"/>
          </reference>
          <reference field="2" count="1" selected="0">
            <x v="20"/>
          </reference>
        </references>
      </pivotArea>
    </format>
    <format dxfId="181">
      <pivotArea dataOnly="0" labelOnly="1" outline="0" fieldPosition="0">
        <references count="3">
          <reference field="0" count="1" selected="0">
            <x v="22"/>
          </reference>
          <reference field="1" count="1">
            <x v="52"/>
          </reference>
          <reference field="2" count="1" selected="0">
            <x v="22"/>
          </reference>
        </references>
      </pivotArea>
    </format>
    <format dxfId="180">
      <pivotArea dataOnly="0" labelOnly="1" outline="0" fieldPosition="0">
        <references count="3">
          <reference field="0" count="1" selected="0">
            <x v="24"/>
          </reference>
          <reference field="1" count="1">
            <x v="10"/>
          </reference>
          <reference field="2" count="1" selected="0">
            <x v="24"/>
          </reference>
        </references>
      </pivotArea>
    </format>
    <format dxfId="179">
      <pivotArea dataOnly="0" labelOnly="1" outline="0" fieldPosition="0">
        <references count="3">
          <reference field="0" count="1" selected="0">
            <x v="25"/>
          </reference>
          <reference field="1" count="1">
            <x v="11"/>
          </reference>
          <reference field="2" count="1" selected="0">
            <x v="25"/>
          </reference>
        </references>
      </pivotArea>
    </format>
    <format dxfId="178">
      <pivotArea dataOnly="0" labelOnly="1" outline="0" fieldPosition="0">
        <references count="3">
          <reference field="0" count="1" selected="0">
            <x v="26"/>
          </reference>
          <reference field="1" count="1">
            <x v="12"/>
          </reference>
          <reference field="2" count="1" selected="0">
            <x v="26"/>
          </reference>
        </references>
      </pivotArea>
    </format>
    <format dxfId="177">
      <pivotArea dataOnly="0" labelOnly="1" outline="0" fieldPosition="0">
        <references count="3">
          <reference field="0" count="1" selected="0">
            <x v="27"/>
          </reference>
          <reference field="1" count="1">
            <x v="13"/>
          </reference>
          <reference field="2" count="1" selected="0">
            <x v="27"/>
          </reference>
        </references>
      </pivotArea>
    </format>
    <format dxfId="176">
      <pivotArea dataOnly="0" labelOnly="1" outline="0" fieldPosition="0">
        <references count="3">
          <reference field="0" count="1" selected="0">
            <x v="28"/>
          </reference>
          <reference field="1" count="1">
            <x v="8"/>
          </reference>
          <reference field="2" count="1" selected="0">
            <x v="28"/>
          </reference>
        </references>
      </pivotArea>
    </format>
    <format dxfId="175">
      <pivotArea dataOnly="0" labelOnly="1" outline="0" fieldPosition="0">
        <references count="3">
          <reference field="0" count="1" selected="0">
            <x v="29"/>
          </reference>
          <reference field="1" count="1">
            <x v="9"/>
          </reference>
          <reference field="2" count="1" selected="0">
            <x v="29"/>
          </reference>
        </references>
      </pivotArea>
    </format>
    <format dxfId="174">
      <pivotArea dataOnly="0" labelOnly="1" outline="0" fieldPosition="0">
        <references count="3">
          <reference field="0" count="1" selected="0">
            <x v="30"/>
          </reference>
          <reference field="1" count="1">
            <x v="7"/>
          </reference>
          <reference field="2" count="1" selected="0">
            <x v="30"/>
          </reference>
        </references>
      </pivotArea>
    </format>
    <format dxfId="173">
      <pivotArea dataOnly="0" labelOnly="1" outline="0" fieldPosition="0">
        <references count="3">
          <reference field="0" count="1" selected="0">
            <x v="31"/>
          </reference>
          <reference field="1" count="1">
            <x v="37"/>
          </reference>
          <reference field="2" count="1" selected="0">
            <x v="31"/>
          </reference>
        </references>
      </pivotArea>
    </format>
    <format dxfId="172">
      <pivotArea dataOnly="0" labelOnly="1" outline="0" fieldPosition="0">
        <references count="3">
          <reference field="0" count="1" selected="0">
            <x v="32"/>
          </reference>
          <reference field="1" count="1">
            <x v="38"/>
          </reference>
          <reference field="2" count="1" selected="0">
            <x v="32"/>
          </reference>
        </references>
      </pivotArea>
    </format>
    <format dxfId="171">
      <pivotArea dataOnly="0" labelOnly="1" outline="0" fieldPosition="0">
        <references count="3">
          <reference field="0" count="1" selected="0">
            <x v="33"/>
          </reference>
          <reference field="1" count="1">
            <x v="3"/>
          </reference>
          <reference field="2" count="1" selected="0">
            <x v="33"/>
          </reference>
        </references>
      </pivotArea>
    </format>
    <format dxfId="170">
      <pivotArea dataOnly="0" labelOnly="1" outline="0" fieldPosition="0">
        <references count="3">
          <reference field="0" count="1" selected="0">
            <x v="34"/>
          </reference>
          <reference field="1" count="1">
            <x v="4"/>
          </reference>
          <reference field="2" count="1" selected="0">
            <x v="34"/>
          </reference>
        </references>
      </pivotArea>
    </format>
    <format dxfId="169">
      <pivotArea dataOnly="0" labelOnly="1" outline="0" fieldPosition="0">
        <references count="3">
          <reference field="0" count="1" selected="0">
            <x v="35"/>
          </reference>
          <reference field="1" count="1">
            <x v="45"/>
          </reference>
          <reference field="2" count="1" selected="0">
            <x v="35"/>
          </reference>
        </references>
      </pivotArea>
    </format>
    <format dxfId="168">
      <pivotArea dataOnly="0" labelOnly="1" outline="0" fieldPosition="0">
        <references count="3">
          <reference field="0" count="1" selected="0">
            <x v="36"/>
          </reference>
          <reference field="1" count="1">
            <x v="46"/>
          </reference>
          <reference field="2" count="1" selected="0">
            <x v="36"/>
          </reference>
        </references>
      </pivotArea>
    </format>
    <format dxfId="167">
      <pivotArea dataOnly="0" labelOnly="1" outline="0" fieldPosition="0">
        <references count="3">
          <reference field="0" count="1" selected="0">
            <x v="37"/>
          </reference>
          <reference field="1" count="1">
            <x v="50"/>
          </reference>
          <reference field="2" count="1" selected="0">
            <x v="37"/>
          </reference>
        </references>
      </pivotArea>
    </format>
    <format dxfId="166">
      <pivotArea dataOnly="0" labelOnly="1" outline="0" fieldPosition="0">
        <references count="3">
          <reference field="0" count="1" selected="0">
            <x v="38"/>
          </reference>
          <reference field="1" count="1">
            <x v="51"/>
          </reference>
          <reference field="2" count="1" selected="0">
            <x v="38"/>
          </reference>
        </references>
      </pivotArea>
    </format>
    <format dxfId="165">
      <pivotArea dataOnly="0" labelOnly="1" outline="0" fieldPosition="0">
        <references count="3">
          <reference field="0" count="1" selected="0">
            <x v="39"/>
          </reference>
          <reference field="1" count="1">
            <x v="30"/>
          </reference>
          <reference field="2" count="1" selected="0">
            <x v="39"/>
          </reference>
        </references>
      </pivotArea>
    </format>
    <format dxfId="164">
      <pivotArea dataOnly="0" labelOnly="1" outline="0" fieldPosition="0">
        <references count="3">
          <reference field="0" count="1" selected="0">
            <x v="40"/>
          </reference>
          <reference field="1" count="1">
            <x v="26"/>
          </reference>
          <reference field="2" count="1" selected="0">
            <x v="40"/>
          </reference>
        </references>
      </pivotArea>
    </format>
    <format dxfId="163">
      <pivotArea dataOnly="0" labelOnly="1" outline="0" fieldPosition="0">
        <references count="3">
          <reference field="0" count="1" selected="0">
            <x v="42"/>
          </reference>
          <reference field="1" count="1">
            <x v="27"/>
          </reference>
          <reference field="2" count="1" selected="0">
            <x v="41"/>
          </reference>
        </references>
      </pivotArea>
    </format>
    <format dxfId="162">
      <pivotArea dataOnly="0" labelOnly="1" outline="0" fieldPosition="0">
        <references count="3">
          <reference field="0" count="1" selected="0">
            <x v="43"/>
          </reference>
          <reference field="1" count="1">
            <x v="19"/>
          </reference>
          <reference field="2" count="1" selected="0">
            <x v="42"/>
          </reference>
        </references>
      </pivotArea>
    </format>
    <format dxfId="161">
      <pivotArea dataOnly="0" labelOnly="1" outline="0" fieldPosition="0">
        <references count="3">
          <reference field="0" count="1" selected="0">
            <x v="44"/>
          </reference>
          <reference field="1" count="1">
            <x v="20"/>
          </reference>
          <reference field="2" count="1" selected="0">
            <x v="43"/>
          </reference>
        </references>
      </pivotArea>
    </format>
    <format dxfId="160">
      <pivotArea dataOnly="0" labelOnly="1" outline="0" fieldPosition="0">
        <references count="3">
          <reference field="0" count="1" selected="0">
            <x v="45"/>
          </reference>
          <reference field="1" count="1">
            <x v="21"/>
          </reference>
          <reference field="2" count="1" selected="0">
            <x v="44"/>
          </reference>
        </references>
      </pivotArea>
    </format>
    <format dxfId="159">
      <pivotArea dataOnly="0" labelOnly="1" outline="0" fieldPosition="0">
        <references count="3">
          <reference field="0" count="1" selected="0">
            <x v="47"/>
          </reference>
          <reference field="1" count="1">
            <x v="16"/>
          </reference>
          <reference field="2" count="1" selected="0">
            <x v="46"/>
          </reference>
        </references>
      </pivotArea>
    </format>
    <format dxfId="158">
      <pivotArea dataOnly="0" labelOnly="1" outline="0" fieldPosition="0">
        <references count="3">
          <reference field="0" count="1" selected="0">
            <x v="49"/>
          </reference>
          <reference field="1" count="1">
            <x v="0"/>
          </reference>
          <reference field="2" count="1" selected="0">
            <x v="48"/>
          </reference>
        </references>
      </pivotArea>
    </format>
    <format dxfId="157">
      <pivotArea dataOnly="0" labelOnly="1" outline="0" fieldPosition="0">
        <references count="3">
          <reference field="0" count="1" selected="0">
            <x v="50"/>
          </reference>
          <reference field="1" count="1">
            <x v="31"/>
          </reference>
          <reference field="2" count="1" selected="0">
            <x v="49"/>
          </reference>
        </references>
      </pivotArea>
    </format>
    <format dxfId="156">
      <pivotArea dataOnly="0" labelOnly="1" outline="0" fieldPosition="0">
        <references count="3">
          <reference field="0" count="1" selected="0">
            <x v="51"/>
          </reference>
          <reference field="1" count="1">
            <x v="14"/>
          </reference>
          <reference field="2" count="1" selected="0">
            <x v="50"/>
          </reference>
        </references>
      </pivotArea>
    </format>
    <format dxfId="155">
      <pivotArea dataOnly="0" labelOnly="1" outline="0" fieldPosition="0">
        <references count="3">
          <reference field="0" count="1" selected="0">
            <x v="52"/>
          </reference>
          <reference field="1" count="1">
            <x v="2"/>
          </reference>
          <reference field="2" count="1" selected="0">
            <x v="51"/>
          </reference>
        </references>
      </pivotArea>
    </format>
    <format dxfId="154">
      <pivotArea dataOnly="0" labelOnly="1" outline="0" fieldPosition="0">
        <references count="3">
          <reference field="0" count="1" selected="0">
            <x v="53"/>
          </reference>
          <reference field="1" count="1">
            <x v="1"/>
          </reference>
          <reference field="2" count="1" selected="0">
            <x v="52"/>
          </reference>
        </references>
      </pivotArea>
    </format>
    <format dxfId="153">
      <pivotArea dataOnly="0" labelOnly="1" outline="0" fieldPosition="0">
        <references count="3">
          <reference field="0" count="1" selected="0">
            <x v="54"/>
          </reference>
          <reference field="1" count="1">
            <x v="28"/>
          </reference>
          <reference field="2" count="1" selected="0">
            <x v="53"/>
          </reference>
        </references>
      </pivotArea>
    </format>
    <format dxfId="152">
      <pivotArea dataOnly="0" labelOnly="1" outline="0" fieldPosition="0">
        <references count="3">
          <reference field="0" count="1" selected="0">
            <x v="55"/>
          </reference>
          <reference field="1" count="1">
            <x v="18"/>
          </reference>
          <reference field="2" count="1" selected="0">
            <x v="54"/>
          </reference>
        </references>
      </pivotArea>
    </format>
    <format dxfId="151">
      <pivotArea dataOnly="0" labelOnly="1" outline="0" fieldPosition="0">
        <references count="3">
          <reference field="0" count="1" selected="0">
            <x v="57"/>
          </reference>
          <reference field="1" count="1">
            <x v="22"/>
          </reference>
          <reference field="2" count="1" selected="0">
            <x v="56"/>
          </reference>
        </references>
      </pivotArea>
    </format>
    <format dxfId="150">
      <pivotArea dataOnly="0" labelOnly="1" outline="0" fieldPosition="0">
        <references count="3">
          <reference field="0" count="1" selected="0">
            <x v="58"/>
          </reference>
          <reference field="1" count="1">
            <x v="23"/>
          </reference>
          <reference field="2" count="1" selected="0">
            <x v="57"/>
          </reference>
        </references>
      </pivotArea>
    </format>
    <format dxfId="149">
      <pivotArea dataOnly="0" labelOnly="1" outline="0" fieldPosition="0">
        <references count="3">
          <reference field="0" count="1" selected="0">
            <x v="59"/>
          </reference>
          <reference field="1" count="1">
            <x v="34"/>
          </reference>
          <reference field="2" count="1" selected="0">
            <x v="58"/>
          </reference>
        </references>
      </pivotArea>
    </format>
    <format dxfId="1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7">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46">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45">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44">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43">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2">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1">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40">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39">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38">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37">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36">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35">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34">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33">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2">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1">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30">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29">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28">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27">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26">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25">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24">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23">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1">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20">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19">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1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6">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15">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14">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13">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2">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1">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10">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09">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08">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07">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06">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05">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04">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03">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2">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1">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00">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99">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98">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97">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96">
      <pivotArea dataOnly="0" outline="0" fieldPosition="0">
        <references count="1">
          <reference field="0" count="1">
            <x v="60"/>
          </reference>
        </references>
      </pivotArea>
    </format>
    <format dxfId="95">
      <pivotArea dataOnly="0" outline="0" fieldPosition="0">
        <references count="1">
          <reference field="0" count="1">
            <x v="60"/>
          </reference>
        </references>
      </pivotArea>
    </format>
    <format dxfId="94">
      <pivotArea type="all" dataOnly="0" outline="0" fieldPosition="0"/>
    </format>
    <format dxfId="93">
      <pivotArea type="all" dataOnly="0" outline="0" fieldPosition="0"/>
    </format>
    <format dxfId="92">
      <pivotArea type="all" dataOnly="0" outline="0" fieldPosition="0"/>
    </format>
    <format dxfId="91">
      <pivotArea dataOnly="0" labelOnly="1" outline="0" fieldPosition="0">
        <references count="1">
          <reference field="0" count="3">
            <x v="61"/>
            <x v="62"/>
            <x v="63"/>
          </reference>
        </references>
      </pivotArea>
    </format>
    <format dxfId="90">
      <pivotArea dataOnly="0" labelOnly="1" outline="0" fieldPosition="0">
        <references count="1">
          <reference field="0" count="3">
            <x v="0"/>
            <x v="1"/>
            <x v="2"/>
          </reference>
        </references>
      </pivotArea>
    </format>
    <format dxfId="89">
      <pivotArea dataOnly="0" labelOnly="1" outline="0" fieldPosition="0">
        <references count="2">
          <reference field="0" count="1" selected="0">
            <x v="0"/>
          </reference>
          <reference field="2" count="1">
            <x v="0"/>
          </reference>
        </references>
      </pivotArea>
    </format>
    <format dxfId="88">
      <pivotArea dataOnly="0" labelOnly="1" outline="0" fieldPosition="0">
        <references count="2">
          <reference field="0" count="1" selected="0">
            <x v="1"/>
          </reference>
          <reference field="2" count="1">
            <x v="1"/>
          </reference>
        </references>
      </pivotArea>
    </format>
    <format dxfId="87">
      <pivotArea dataOnly="0" labelOnly="1" outline="0" fieldPosition="0">
        <references count="2">
          <reference field="0" count="1" selected="0">
            <x v="2"/>
          </reference>
          <reference field="2" count="1">
            <x v="2"/>
          </reference>
        </references>
      </pivotArea>
    </format>
    <format dxfId="86">
      <pivotArea dataOnly="0" labelOnly="1" outline="0" fieldPosition="0">
        <references count="3">
          <reference field="0" count="1" selected="0">
            <x v="1"/>
          </reference>
          <reference field="1" count="1">
            <x v="5"/>
          </reference>
          <reference field="2" count="1" selected="0">
            <x v="1"/>
          </reference>
        </references>
      </pivotArea>
    </format>
    <format dxfId="85">
      <pivotArea dataOnly="0" labelOnly="1" outline="0" fieldPosition="0">
        <references count="3">
          <reference field="0" count="1" selected="0">
            <x v="2"/>
          </reference>
          <reference field="1" count="1">
            <x v="6"/>
          </reference>
          <reference field="2" count="1" selected="0">
            <x v="2"/>
          </reference>
        </references>
      </pivotArea>
    </format>
    <format dxfId="8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3">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2">
      <pivotArea dataOnly="0" labelOnly="1" outline="0" fieldPosition="0">
        <references count="1">
          <reference field="1" count="0"/>
        </references>
      </pivotArea>
    </format>
    <format dxfId="81">
      <pivotArea dataOnly="0" labelOnly="1" outline="0" fieldPosition="0">
        <references count="1">
          <reference field="0" count="3">
            <x v="74"/>
            <x v="75"/>
            <x v="76"/>
          </reference>
        </references>
      </pivotArea>
    </format>
    <format dxfId="80">
      <pivotArea dataOnly="0" labelOnly="1" outline="0" fieldPosition="0">
        <references count="1">
          <reference field="0" count="10">
            <x v="64"/>
            <x v="65"/>
            <x v="66"/>
            <x v="67"/>
            <x v="68"/>
            <x v="69"/>
            <x v="70"/>
            <x v="71"/>
            <x v="72"/>
            <x v="76"/>
          </reference>
        </references>
      </pivotArea>
    </format>
    <format dxfId="79">
      <pivotArea dataOnly="0" labelOnly="1" outline="0" fieldPosition="0">
        <references count="1">
          <reference field="0" count="10">
            <x v="64"/>
            <x v="65"/>
            <x v="66"/>
            <x v="67"/>
            <x v="68"/>
            <x v="69"/>
            <x v="70"/>
            <x v="71"/>
            <x v="72"/>
            <x v="76"/>
          </reference>
        </references>
      </pivotArea>
    </format>
    <format dxfId="78">
      <pivotArea dataOnly="0" labelOnly="1" outline="0" fieldPosition="0">
        <references count="1">
          <reference field="0" count="1">
            <x v="73"/>
          </reference>
        </references>
      </pivotArea>
    </format>
    <format dxfId="77">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 x="73" s="1" nd="1"/>
        <i x="71" s="1" nd="1"/>
        <i x="68" s="1" nd="1"/>
        <i x="75" s="1" nd="1"/>
        <i x="70" s="1" nd="1"/>
        <i x="74" s="1" nd="1"/>
        <i x="72" s="1" nd="1"/>
        <i x="6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1" sqref="L1"/>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265</v>
      </c>
      <c r="K1" s="56">
        <v>28374</v>
      </c>
      <c r="N1" s="214"/>
    </row>
    <row r="2" spans="1:15" s="120" customFormat="1" ht="24" customHeight="1" x14ac:dyDescent="0.2">
      <c r="A2" s="126"/>
      <c r="B2" s="122"/>
      <c r="C2" s="129">
        <v>8.6000000000000014</v>
      </c>
      <c r="D2" s="129">
        <v>36</v>
      </c>
      <c r="E2" s="129"/>
      <c r="F2" s="123">
        <v>1509.4</v>
      </c>
      <c r="G2" s="123">
        <v>0</v>
      </c>
      <c r="H2" s="123">
        <v>1509.4</v>
      </c>
      <c r="J2" s="51" t="s">
        <v>267</v>
      </c>
      <c r="K2" s="68">
        <f>43599-K1</f>
        <v>15225</v>
      </c>
      <c r="L2" s="15"/>
      <c r="M2" s="51"/>
      <c r="N2" s="214"/>
      <c r="O2" s="51"/>
    </row>
    <row r="3" spans="1:15" x14ac:dyDescent="0.25">
      <c r="A3" s="127">
        <v>1</v>
      </c>
      <c r="B3" s="124" t="s">
        <v>52</v>
      </c>
      <c r="C3" s="125">
        <v>0.5</v>
      </c>
      <c r="D3" s="125">
        <v>2</v>
      </c>
      <c r="E3" s="125">
        <v>45</v>
      </c>
      <c r="F3" s="130">
        <v>90</v>
      </c>
      <c r="G3" s="41">
        <v>0</v>
      </c>
      <c r="H3" s="130">
        <v>90</v>
      </c>
      <c r="J3" s="51" t="s">
        <v>268</v>
      </c>
      <c r="L3" s="128"/>
      <c r="M3" s="51"/>
      <c r="N3" s="214"/>
      <c r="O3" s="51"/>
    </row>
    <row r="4" spans="1:15" x14ac:dyDescent="0.25">
      <c r="A4" s="127">
        <v>2</v>
      </c>
      <c r="B4" s="124" t="s">
        <v>51</v>
      </c>
      <c r="C4" s="125">
        <v>0.5</v>
      </c>
      <c r="D4" s="125">
        <v>2</v>
      </c>
      <c r="E4" s="125">
        <v>54</v>
      </c>
      <c r="F4" s="130">
        <v>108</v>
      </c>
      <c r="G4" s="41">
        <v>0</v>
      </c>
      <c r="H4" s="130">
        <v>108</v>
      </c>
      <c r="J4" s="51" t="s">
        <v>269</v>
      </c>
      <c r="L4" s="128"/>
      <c r="M4" s="51"/>
      <c r="N4" s="214"/>
      <c r="O4" s="51"/>
    </row>
    <row r="5" spans="1:15" x14ac:dyDescent="0.25">
      <c r="A5" s="127">
        <v>3</v>
      </c>
      <c r="B5" s="124" t="s">
        <v>36</v>
      </c>
      <c r="C5" s="125">
        <v>0.5</v>
      </c>
      <c r="D5" s="125">
        <v>2</v>
      </c>
      <c r="E5" s="125">
        <v>55.5</v>
      </c>
      <c r="F5" s="130">
        <v>111</v>
      </c>
      <c r="G5" s="41">
        <v>0</v>
      </c>
      <c r="H5" s="130">
        <v>111</v>
      </c>
      <c r="J5" s="51" t="s">
        <v>270</v>
      </c>
      <c r="L5" s="128"/>
      <c r="M5" s="51"/>
      <c r="N5" s="214"/>
      <c r="O5" s="51"/>
    </row>
    <row r="6" spans="1:15" x14ac:dyDescent="0.25">
      <c r="A6" s="127">
        <v>4</v>
      </c>
      <c r="B6" s="124" t="s">
        <v>37</v>
      </c>
      <c r="C6" s="125">
        <v>0.5</v>
      </c>
      <c r="D6" s="125">
        <v>2</v>
      </c>
      <c r="E6" s="125">
        <v>55.5</v>
      </c>
      <c r="F6" s="130">
        <v>111</v>
      </c>
      <c r="G6" s="41">
        <v>0</v>
      </c>
      <c r="H6" s="130">
        <v>111</v>
      </c>
      <c r="J6" s="51" t="s">
        <v>271</v>
      </c>
      <c r="L6" s="128"/>
      <c r="M6" s="51"/>
      <c r="N6" s="214"/>
      <c r="O6" s="51"/>
    </row>
    <row r="7" spans="1:15" x14ac:dyDescent="0.25">
      <c r="A7" s="127">
        <v>5</v>
      </c>
      <c r="B7" s="124" t="s">
        <v>50</v>
      </c>
      <c r="C7" s="125">
        <v>1</v>
      </c>
      <c r="D7" s="125">
        <v>2</v>
      </c>
      <c r="E7" s="125">
        <v>102</v>
      </c>
      <c r="F7" s="130">
        <v>204</v>
      </c>
      <c r="G7" s="41">
        <v>0</v>
      </c>
      <c r="H7" s="130">
        <v>204</v>
      </c>
      <c r="J7" s="51" t="s">
        <v>272</v>
      </c>
      <c r="L7" s="128"/>
      <c r="M7" s="51"/>
    </row>
    <row r="8" spans="1:15" x14ac:dyDescent="0.25">
      <c r="A8" s="127">
        <v>6</v>
      </c>
      <c r="B8" s="124" t="s">
        <v>38</v>
      </c>
      <c r="C8" s="125">
        <v>0.5</v>
      </c>
      <c r="D8" s="125">
        <v>2</v>
      </c>
      <c r="E8" s="125">
        <v>26.5</v>
      </c>
      <c r="F8" s="130">
        <v>53</v>
      </c>
      <c r="G8" s="41">
        <v>0</v>
      </c>
      <c r="H8" s="130">
        <v>53</v>
      </c>
      <c r="J8" s="51" t="s">
        <v>273</v>
      </c>
      <c r="L8" s="128"/>
      <c r="M8" s="51"/>
    </row>
    <row r="9" spans="1:15" x14ac:dyDescent="0.25">
      <c r="A9" s="127">
        <v>7</v>
      </c>
      <c r="B9" s="124" t="s">
        <v>39</v>
      </c>
      <c r="C9" s="125">
        <v>0.2</v>
      </c>
      <c r="D9" s="125">
        <v>2</v>
      </c>
      <c r="E9" s="125">
        <v>11.2</v>
      </c>
      <c r="F9" s="130">
        <v>22.4</v>
      </c>
      <c r="G9" s="41">
        <v>0</v>
      </c>
      <c r="H9" s="130">
        <v>22.4</v>
      </c>
      <c r="J9" s="51" t="s">
        <v>274</v>
      </c>
      <c r="L9" s="128"/>
      <c r="M9" s="51"/>
    </row>
    <row r="10" spans="1:15" x14ac:dyDescent="0.25">
      <c r="A10" s="127">
        <v>8</v>
      </c>
      <c r="B10" s="124" t="s">
        <v>40</v>
      </c>
      <c r="C10" s="125">
        <v>0.5</v>
      </c>
      <c r="D10" s="125">
        <v>2</v>
      </c>
      <c r="E10" s="125">
        <v>28.5</v>
      </c>
      <c r="F10" s="130">
        <v>57</v>
      </c>
      <c r="G10" s="41">
        <v>0</v>
      </c>
      <c r="H10" s="130">
        <v>57</v>
      </c>
      <c r="J10" s="51" t="s">
        <v>275</v>
      </c>
      <c r="L10" s="128"/>
      <c r="M10" s="51"/>
    </row>
    <row r="11" spans="1:15" x14ac:dyDescent="0.25">
      <c r="A11" s="127">
        <v>9</v>
      </c>
      <c r="B11" s="124" t="s">
        <v>41</v>
      </c>
      <c r="C11" s="125">
        <v>0.2</v>
      </c>
      <c r="D11" s="125">
        <v>2</v>
      </c>
      <c r="E11" s="125">
        <v>12</v>
      </c>
      <c r="F11" s="130">
        <v>24</v>
      </c>
      <c r="G11" s="41">
        <v>0</v>
      </c>
      <c r="H11" s="130">
        <v>24</v>
      </c>
      <c r="J11" s="51" t="s">
        <v>276</v>
      </c>
      <c r="L11" s="128"/>
      <c r="M11" s="51"/>
    </row>
    <row r="12" spans="1:15" x14ac:dyDescent="0.25">
      <c r="A12" s="127">
        <v>10</v>
      </c>
      <c r="B12" s="124" t="s">
        <v>42</v>
      </c>
      <c r="C12" s="125">
        <v>0.5</v>
      </c>
      <c r="D12" s="125">
        <v>2</v>
      </c>
      <c r="E12" s="125">
        <v>28.5</v>
      </c>
      <c r="F12" s="130">
        <v>57</v>
      </c>
      <c r="G12" s="41">
        <v>0</v>
      </c>
      <c r="H12" s="130">
        <v>57</v>
      </c>
      <c r="J12" s="51" t="s">
        <v>277</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5" sqref="P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160"/>
    </row>
    <row r="2" spans="1:50" ht="34.5" customHeight="1" x14ac:dyDescent="0.25">
      <c r="A2" s="1">
        <f>221+120+60+130-(165+219)+60+110+80+130-140+120+150+130+60+130+70+60+130+60+120+120</f>
        <v>1537</v>
      </c>
      <c r="B2" s="183">
        <v>60</v>
      </c>
      <c r="H2" s="185">
        <f>H8</f>
        <v>5850</v>
      </c>
      <c r="K2" s="13">
        <f>SUMPRODUCT((E5:E7)*(F5:F7))</f>
        <v>546.75</v>
      </c>
      <c r="L2" s="13">
        <f>M4-K4</f>
        <v>4567.1532211695667</v>
      </c>
      <c r="M2" s="8">
        <f>M4/K4-1</f>
        <v>0.1284654877692899</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f>
        <v>5776.9516166117755</v>
      </c>
      <c r="B4" s="19"/>
      <c r="C4" s="19"/>
      <c r="D4" s="63"/>
      <c r="E4" s="19">
        <f>SUMPRODUCT((E5:E10)*(F5:F10))</f>
        <v>636.75</v>
      </c>
      <c r="F4" s="19">
        <f>SUBTOTAL(9,F5:F10)</f>
        <v>666.75</v>
      </c>
      <c r="G4" s="7"/>
      <c r="H4" s="7">
        <f>SUBTOTAL(9,H5:H7)+H10</f>
        <v>28160.75</v>
      </c>
      <c r="I4" s="12"/>
      <c r="J4" s="12"/>
      <c r="K4" s="12">
        <f>SUBTOTAL(9,K5:K10)</f>
        <v>35551.596778830433</v>
      </c>
      <c r="L4" s="64"/>
      <c r="M4" s="7">
        <f>SUBTOTAL(9,M5:M10)</f>
        <v>40118.75</v>
      </c>
      <c r="N4" s="7">
        <f ca="1">SUBTOTAL(9,N5:N10)</f>
        <v>32004.75</v>
      </c>
      <c r="O4" s="65">
        <f ca="1">SUBTOTAL(9,O5:O8)</f>
        <v>106.90000000000003</v>
      </c>
      <c r="P4" s="98">
        <f>SUBTOTAL(9,P5:P8)</f>
        <v>16.55</v>
      </c>
      <c r="Q4" s="98"/>
      <c r="R4" s="40">
        <f t="shared" ref="R4:AV4" si="0">SUBTOTAL(9,R5:R8)</f>
        <v>10.6</v>
      </c>
      <c r="S4" s="40">
        <f t="shared" si="0"/>
        <v>11.5</v>
      </c>
      <c r="T4" s="40">
        <f t="shared" ca="1" si="0"/>
        <v>17.100000000000001</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984.05545173690348</v>
      </c>
      <c r="B5" s="6">
        <v>1</v>
      </c>
      <c r="C5" s="84" t="s">
        <v>215</v>
      </c>
      <c r="D5" s="92">
        <v>31.5</v>
      </c>
      <c r="E5" s="85">
        <v>1</v>
      </c>
      <c r="F5" s="85">
        <v>48</v>
      </c>
      <c r="G5" s="165">
        <v>31.5</v>
      </c>
      <c r="H5" s="166">
        <f t="shared" ref="H5:H6" si="1">G5*F5</f>
        <v>1512</v>
      </c>
      <c r="I5" s="167">
        <f>((H5/$H$4)*$A$2)/(F5+F10)</f>
        <v>0.76411317170174797</v>
      </c>
      <c r="J5" s="167">
        <f t="shared" ref="J5:J7" si="2">G5+I5</f>
        <v>32.264113171701752</v>
      </c>
      <c r="K5" s="89">
        <f>J5*F5</f>
        <v>1548.6774322416841</v>
      </c>
      <c r="L5" s="93">
        <v>50</v>
      </c>
      <c r="M5" s="87">
        <f>L5*F5</f>
        <v>2400</v>
      </c>
      <c r="N5" s="87">
        <f ca="1">SUMPRODUCT(($Q5:$AV5)*$L5)</f>
        <v>875</v>
      </c>
      <c r="O5" s="192">
        <f ca="1">F5-SUM(Q5:AV5)-P5</f>
        <v>30.5</v>
      </c>
      <c r="P5" s="194">
        <v>0</v>
      </c>
      <c r="Q5" s="240">
        <v>0</v>
      </c>
      <c r="R5" s="193">
        <v>0</v>
      </c>
      <c r="S5" s="193">
        <v>6.5</v>
      </c>
      <c r="T5" s="193">
        <f ca="1">SUMIFS('Tổng Đơn'!$F:$F,'Tổng Đơn'!$B:$B,$C5)</f>
        <v>11</v>
      </c>
      <c r="U5" s="193">
        <v>0</v>
      </c>
      <c r="V5" s="193">
        <v>0</v>
      </c>
      <c r="W5" s="193">
        <v>0</v>
      </c>
      <c r="X5" s="193">
        <v>0</v>
      </c>
      <c r="Y5" s="193">
        <v>0</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1565.8923887858102</v>
      </c>
      <c r="B6" s="6">
        <v>2</v>
      </c>
      <c r="C6" s="84" t="s">
        <v>216</v>
      </c>
      <c r="D6" s="92">
        <v>57</v>
      </c>
      <c r="E6" s="85">
        <v>1</v>
      </c>
      <c r="F6" s="85">
        <f>30+30+30+30+15+30+30+20</f>
        <v>215</v>
      </c>
      <c r="G6" s="165">
        <v>57</v>
      </c>
      <c r="H6" s="166">
        <f t="shared" si="1"/>
        <v>12255</v>
      </c>
      <c r="I6" s="167">
        <f t="shared" ref="I6:I7" si="4">((H6/$H$4)*$A$2)/F6</f>
        <v>3.1110321990714023</v>
      </c>
      <c r="J6" s="167">
        <f t="shared" si="2"/>
        <v>60.111032199071403</v>
      </c>
      <c r="K6" s="89">
        <f t="shared" ref="K6:K7" si="5">J6*F6</f>
        <v>12923.871922800352</v>
      </c>
      <c r="L6" s="93">
        <v>70</v>
      </c>
      <c r="M6" s="87">
        <f t="shared" ref="M6:M7" si="6">L6*F6</f>
        <v>15050</v>
      </c>
      <c r="N6" s="87">
        <f t="shared" ref="N6:N8" ca="1" si="7">SUMPRODUCT(($Q6:$AV6)*$L6)</f>
        <v>13184.5</v>
      </c>
      <c r="O6" s="192">
        <f ca="1">F6-SUM(Q6:AV6)-P6</f>
        <v>26.050000000000004</v>
      </c>
      <c r="P6" s="194">
        <v>0.6</v>
      </c>
      <c r="Q6" s="240">
        <v>177.25</v>
      </c>
      <c r="R6" s="193">
        <v>1</v>
      </c>
      <c r="S6" s="193">
        <v>4</v>
      </c>
      <c r="T6" s="193">
        <f ca="1">SUMIFS('Tổng Đơn'!$F:$F,'Tổng Đơn'!$B:$B,$C6)</f>
        <v>6.1</v>
      </c>
      <c r="U6" s="193">
        <v>0</v>
      </c>
      <c r="V6" s="193">
        <v>0</v>
      </c>
      <c r="W6" s="193">
        <v>0</v>
      </c>
      <c r="X6" s="193">
        <v>0</v>
      </c>
      <c r="Y6" s="193">
        <v>0</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AW6*G6*0.95</f>
        <v>0</v>
      </c>
    </row>
    <row r="7" spans="1:50" ht="35.25" customHeight="1" x14ac:dyDescent="0.25">
      <c r="A7" s="82">
        <f t="shared" ca="1" si="3"/>
        <v>1355.5037760890618</v>
      </c>
      <c r="B7" s="6">
        <v>3</v>
      </c>
      <c r="C7" s="84" t="s">
        <v>217</v>
      </c>
      <c r="D7" s="92">
        <v>41</v>
      </c>
      <c r="E7" s="85">
        <v>1</v>
      </c>
      <c r="F7" s="85">
        <f>28.75+30+30+30+30+30+30+30+45</f>
        <v>283.75</v>
      </c>
      <c r="G7" s="165">
        <v>41</v>
      </c>
      <c r="H7" s="166">
        <f>G7*F7</f>
        <v>11633.75</v>
      </c>
      <c r="I7" s="167">
        <f t="shared" si="4"/>
        <v>2.2377600028408335</v>
      </c>
      <c r="J7" s="167">
        <f t="shared" si="2"/>
        <v>43.237760002840837</v>
      </c>
      <c r="K7" s="89">
        <f t="shared" si="5"/>
        <v>12268.714400806088</v>
      </c>
      <c r="L7" s="93">
        <v>45</v>
      </c>
      <c r="M7" s="87">
        <f t="shared" si="6"/>
        <v>12768.75</v>
      </c>
      <c r="N7" s="87">
        <f t="shared" ca="1" si="7"/>
        <v>10640.249999999998</v>
      </c>
      <c r="O7" s="192">
        <f t="shared" ref="O7:O8" ca="1" si="8">F7-SUM(Q7:AV7)-P7</f>
        <v>31.350000000000037</v>
      </c>
      <c r="P7" s="194">
        <f>9.35+1.55+0.05+5</f>
        <v>15.950000000000001</v>
      </c>
      <c r="Q7" s="240">
        <v>229.84999999999997</v>
      </c>
      <c r="R7" s="193">
        <v>5.6</v>
      </c>
      <c r="S7" s="193">
        <v>1</v>
      </c>
      <c r="T7" s="193">
        <f ca="1">SUMIFS('Tổng Đơn'!$F:$F,'Tổng Đơn'!$B:$B,$C7)</f>
        <v>0</v>
      </c>
      <c r="U7" s="193">
        <v>0</v>
      </c>
      <c r="V7" s="193">
        <v>0</v>
      </c>
      <c r="W7" s="193">
        <v>0</v>
      </c>
      <c r="X7" s="193">
        <v>0</v>
      </c>
      <c r="Y7" s="193">
        <v>0</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AW7*G7</f>
        <v>0</v>
      </c>
    </row>
    <row r="8" spans="1:50" ht="35.25" customHeight="1" x14ac:dyDescent="0.25">
      <c r="A8" s="82">
        <f t="shared" ca="1" si="3"/>
        <v>1871.5</v>
      </c>
      <c r="B8" s="6">
        <v>4</v>
      </c>
      <c r="C8" s="84" t="s">
        <v>246</v>
      </c>
      <c r="D8" s="92">
        <v>195</v>
      </c>
      <c r="E8" s="85">
        <v>0.5</v>
      </c>
      <c r="F8" s="85">
        <v>60</v>
      </c>
      <c r="G8" s="165">
        <f>D8/(1/E8)</f>
        <v>97.5</v>
      </c>
      <c r="H8" s="166">
        <f>G8*F8</f>
        <v>5850</v>
      </c>
      <c r="I8" s="167">
        <f>((H8/$H$2)*$B$2)/F8</f>
        <v>1</v>
      </c>
      <c r="J8" s="167">
        <f>G8+I8</f>
        <v>98.5</v>
      </c>
      <c r="K8" s="89">
        <f>J8*F8</f>
        <v>5910</v>
      </c>
      <c r="L8" s="93">
        <v>105</v>
      </c>
      <c r="M8" s="87">
        <f>L8*F8</f>
        <v>6300</v>
      </c>
      <c r="N8" s="87">
        <f t="shared" ca="1" si="7"/>
        <v>4305</v>
      </c>
      <c r="O8" s="162">
        <f t="shared" ca="1" si="8"/>
        <v>19</v>
      </c>
      <c r="P8" s="194">
        <v>0</v>
      </c>
      <c r="Q8" s="190">
        <v>37</v>
      </c>
      <c r="R8" s="6">
        <v>4</v>
      </c>
      <c r="S8" s="6">
        <v>0</v>
      </c>
      <c r="T8" s="6">
        <f ca="1">SUMIFS('Tổng Đơn'!$F:$F,'Tổng Đơn'!$B:$B,$C8)</f>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A10" s="82">
        <v>0</v>
      </c>
      <c r="B10" s="219">
        <v>1</v>
      </c>
      <c r="C10" s="218" t="s">
        <v>294</v>
      </c>
      <c r="D10" s="220">
        <v>46</v>
      </c>
      <c r="E10" s="243">
        <v>1</v>
      </c>
      <c r="F10" s="243">
        <v>60</v>
      </c>
      <c r="G10" s="244">
        <v>46</v>
      </c>
      <c r="H10" s="245">
        <v>2760</v>
      </c>
      <c r="I10" s="244">
        <v>2.338883716371833</v>
      </c>
      <c r="J10" s="244">
        <v>48.338883716371832</v>
      </c>
      <c r="K10" s="218">
        <v>2900.33302298231</v>
      </c>
      <c r="L10" s="246">
        <v>60</v>
      </c>
      <c r="M10" s="224">
        <v>3600</v>
      </c>
      <c r="N10" s="224">
        <v>3000</v>
      </c>
      <c r="O10" s="247">
        <v>0</v>
      </c>
      <c r="P10" s="248">
        <v>10</v>
      </c>
      <c r="Q10" s="249">
        <v>50</v>
      </c>
      <c r="R10" s="219">
        <v>0</v>
      </c>
      <c r="S10" s="219">
        <v>0</v>
      </c>
      <c r="T10" s="219">
        <v>0</v>
      </c>
      <c r="U10" s="219">
        <v>0</v>
      </c>
      <c r="V10" s="219">
        <v>0</v>
      </c>
      <c r="W10" s="219">
        <v>0</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sheetData>
  <autoFilter ref="B4:M4"/>
  <mergeCells count="1">
    <mergeCell ref="B1:M1"/>
  </mergeCells>
  <conditionalFormatting sqref="C6:C7">
    <cfRule type="expression" dxfId="524" priority="12">
      <formula>($O6/$O6)&lt;=1/4</formula>
    </cfRule>
  </conditionalFormatting>
  <conditionalFormatting sqref="C5:C7">
    <cfRule type="expression" dxfId="523" priority="13">
      <formula>($O5/$F5)&lt;=1/4</formula>
    </cfRule>
  </conditionalFormatting>
  <conditionalFormatting sqref="C8:C9">
    <cfRule type="expression" dxfId="522" priority="3">
      <formula>($O8/$O8)&lt;=1/4</formula>
    </cfRule>
  </conditionalFormatting>
  <conditionalFormatting sqref="C8:C9">
    <cfRule type="expression" dxfId="521"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S5" sqref="S5:S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1" t="s">
        <v>59</v>
      </c>
      <c r="C1" s="251"/>
      <c r="D1" s="251"/>
      <c r="E1" s="251"/>
      <c r="F1" s="251"/>
      <c r="G1" s="251"/>
      <c r="H1" s="251"/>
      <c r="I1" s="251"/>
      <c r="J1" s="251"/>
      <c r="K1" s="251"/>
      <c r="L1" s="251"/>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12230.458173282117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40800</v>
      </c>
      <c r="N4" s="39">
        <f ca="1">SUBTOTAL(9,N5:N24)</f>
        <v>383</v>
      </c>
      <c r="O4" s="98"/>
      <c r="P4" s="98">
        <f t="shared" ref="P4:AV4" si="0">SUBTOTAL(9,P5:P24)</f>
        <v>7</v>
      </c>
      <c r="Q4" s="98">
        <f t="shared" si="0"/>
        <v>747</v>
      </c>
      <c r="R4" s="40">
        <f t="shared" si="0"/>
        <v>0</v>
      </c>
      <c r="S4" s="40">
        <f t="shared" si="0"/>
        <v>3</v>
      </c>
      <c r="T4" s="40">
        <f t="shared" ca="1" si="0"/>
        <v>1</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f ca="1">SUMIFS('Tổng Đơn'!$F:$F,'Tổng Đơn'!$B:$B,$C5)</f>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976.46764503102531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3900</v>
      </c>
      <c r="N6" s="91">
        <f t="shared" ca="1" si="7"/>
        <v>18</v>
      </c>
      <c r="O6" s="81">
        <v>-2</v>
      </c>
      <c r="P6" s="81"/>
      <c r="Q6" s="81">
        <v>60</v>
      </c>
      <c r="R6" s="41">
        <v>0</v>
      </c>
      <c r="S6" s="41">
        <v>0</v>
      </c>
      <c r="T6" s="41">
        <f ca="1">SUMIFS('Tổng Đơn'!$F:$F,'Tổng Đơn'!$B:$B,$C6)</f>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f>SUMIFS('Tổng Đơn'!$F:$F,'Tổng Đơn'!$B:$B,$C7)</f>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780.57135821924555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4488</v>
      </c>
      <c r="N8" s="91">
        <f t="shared" ca="1" si="7"/>
        <v>14</v>
      </c>
      <c r="O8" s="81">
        <v>-2</v>
      </c>
      <c r="P8" s="81"/>
      <c r="Q8" s="81">
        <v>67</v>
      </c>
      <c r="R8" s="41">
        <v>0</v>
      </c>
      <c r="S8" s="41">
        <v>1</v>
      </c>
      <c r="T8" s="41">
        <f ca="1">SUMIFS('Tổng Đơn'!$F:$F,'Tổng Đơn'!$B:$B,$C8)</f>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f>SUMIFS('Tổng Đơn'!$F:$F,'Tổng Đơn'!$B:$B,$C9)</f>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f ca="1">SUMIFS('Tổng Đơn'!$F:$F,'Tổng Đơn'!$B:$B,$C10)</f>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81">
        <v>38</v>
      </c>
      <c r="R11" s="41">
        <v>0</v>
      </c>
      <c r="S11" s="41">
        <v>0</v>
      </c>
      <c r="T11" s="41">
        <f ca="1">SUMIFS('Tổng Đơn'!$F:$F,'Tổng Đơn'!$B:$B,$C11)</f>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f ca="1">SUMIFS('Tổng Đơn'!$F:$F,'Tổng Đơn'!$B:$B,$C12)</f>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f ca="1">SUMIFS('Tổng Đơn'!$F:$F,'Tổng Đơn'!$B:$B,$C13)</f>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81">
        <v>25</v>
      </c>
      <c r="R14" s="41">
        <v>0</v>
      </c>
      <c r="S14" s="41">
        <v>0</v>
      </c>
      <c r="T14" s="41">
        <f ca="1">SUMIFS('Tổng Đơn'!$F:$F,'Tổng Đơn'!$B:$B,$C14)</f>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f ca="1">SUMIFS('Tổng Đơn'!$F:$F,'Tổng Đơn'!$B:$B,$C15)</f>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v>0</v>
      </c>
      <c r="S16" s="41">
        <v>0</v>
      </c>
      <c r="T16" s="41">
        <f ca="1">SUMIFS('Tổng Đơn'!$F:$F,'Tổng Đơn'!$B:$B,$C16)</f>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f ca="1">SUMIFS('Tổng Đơn'!$F:$F,'Tổng Đơn'!$B:$B,$C17)</f>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f ca="1">SUMIFS('Tổng Đơn'!$F:$F,'Tổng Đơn'!$B:$B,$C18)</f>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f ca="1">SUMIFS('Tổng Đơn'!$F:$F,'Tổng Đơn'!$B:$B,$C19)</f>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f ca="1">SUMIFS('Tổng Đơn'!$F:$F,'Tổng Đơn'!$B:$B,$C20)</f>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935.27919498342033</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4307</v>
      </c>
      <c r="N21" s="91">
        <f t="shared" ca="1" si="7"/>
        <v>19</v>
      </c>
      <c r="O21" s="81">
        <v>-2</v>
      </c>
      <c r="P21" s="81"/>
      <c r="Q21" s="81">
        <v>70</v>
      </c>
      <c r="R21" s="41">
        <v>0</v>
      </c>
      <c r="S21" s="41">
        <v>2</v>
      </c>
      <c r="T21" s="41">
        <f ca="1">SUMIFS('Tổng Đơn'!$F:$F,'Tổng Đơn'!$B:$B,$C21)</f>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f ca="1">SUMIFS('Tổng Đơn'!$F:$F,'Tổng Đơn'!$B:$B,$C22)</f>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f ca="1">SUMIFS('Tổng Đơn'!$F:$F,'Tổng Đơn'!$B:$B,$C23)</f>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f ca="1">SUMIFS('Tổng Đơn'!$F:$F,'Tổng Đơn'!$B:$B,$C24)</f>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34.5" customHeight="1" x14ac:dyDescent="0.25">
      <c r="A2" s="1">
        <f>370+100+80+150+170+60+300+200</f>
        <v>1430</v>
      </c>
      <c r="F2" s="13">
        <f>SUMPRODUCT((E5:E18)*(F5:F18))</f>
        <v>581</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18493.042036515424</v>
      </c>
      <c r="B4" s="19"/>
      <c r="C4" s="19"/>
      <c r="D4" s="63"/>
      <c r="E4" s="19">
        <f>SUMPRODUCT((E5:E24)*(F5:F24))</f>
        <v>904.5</v>
      </c>
      <c r="F4" s="19">
        <f>SUBTOTAL(9,F5:F24)</f>
        <v>1931</v>
      </c>
      <c r="G4" s="7"/>
      <c r="H4" s="7">
        <f>SUBTOTAL(9,H5:H24)+H2</f>
        <v>67185.289473684214</v>
      </c>
      <c r="I4" s="12"/>
      <c r="J4" s="12"/>
      <c r="K4" s="12">
        <f>SUBTOTAL(9,K5:K24)+K2</f>
        <v>68622.655306822038</v>
      </c>
      <c r="L4" s="64"/>
      <c r="M4" s="7">
        <f>SUBTOTAL(9,M5:M24)+M2</f>
        <v>80427</v>
      </c>
      <c r="N4" s="7">
        <f ca="1">SUBTOTAL(9,N5:N24)+N2</f>
        <v>59327</v>
      </c>
      <c r="O4" s="65">
        <f t="shared" ref="O4:AV4" ca="1" si="0">SUBTOTAL(9,O5:O24)</f>
        <v>474</v>
      </c>
      <c r="P4" s="98">
        <f t="shared" si="0"/>
        <v>3</v>
      </c>
      <c r="Q4" s="98">
        <f t="shared" si="0"/>
        <v>1421</v>
      </c>
      <c r="R4" s="40">
        <f t="shared" si="0"/>
        <v>15</v>
      </c>
      <c r="S4" s="40">
        <f t="shared" si="0"/>
        <v>10</v>
      </c>
      <c r="T4" s="40">
        <f t="shared" ca="1" si="0"/>
        <v>8</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32 Kg</v>
      </c>
      <c r="AX4" s="101">
        <f>SUBTOTAL(9,AX5:AX24)</f>
        <v>1780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0.6704592679866872</v>
      </c>
      <c r="J5" s="163">
        <f t="shared" ref="J5:J17" si="4">G5+I5</f>
        <v>32.170459267986686</v>
      </c>
      <c r="K5" s="89">
        <f>J5*F5</f>
        <v>6466.262312865324</v>
      </c>
      <c r="L5" s="93">
        <v>45</v>
      </c>
      <c r="M5" s="87">
        <f t="shared" ref="M5:M18" si="5">L5*F5</f>
        <v>9045</v>
      </c>
      <c r="N5" s="87">
        <f t="shared" ref="N5:N24" ca="1" si="6">SUMPRODUCT(($Q5:$AV5)*$L5)</f>
        <v>9000</v>
      </c>
      <c r="O5" s="94">
        <f t="shared" ref="O5:O24" ca="1" si="7">F5-SUM(Q5:AV5)-P5</f>
        <v>0</v>
      </c>
      <c r="P5" s="81">
        <v>1</v>
      </c>
      <c r="Q5" s="81">
        <v>200</v>
      </c>
      <c r="R5" s="37">
        <v>0</v>
      </c>
      <c r="S5" s="37">
        <v>0</v>
      </c>
      <c r="T5" s="37">
        <f ca="1">SUMIFS('Tổng Đơn'!$F:$F,'Tổng Đơn'!$B:$B,$C5)</f>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8">AW5*G5</f>
        <v>0</v>
      </c>
    </row>
    <row r="6" spans="1:50" ht="18.75" x14ac:dyDescent="0.25">
      <c r="A6" s="82">
        <f t="shared" ca="1" si="1"/>
        <v>992.68845741216069</v>
      </c>
      <c r="B6" s="6">
        <v>2</v>
      </c>
      <c r="C6" s="84" t="s">
        <v>282</v>
      </c>
      <c r="D6" s="92">
        <v>81</v>
      </c>
      <c r="E6" s="85">
        <v>0.5</v>
      </c>
      <c r="F6" s="136">
        <f>20+60</f>
        <v>80</v>
      </c>
      <c r="G6" s="86">
        <v>40.5</v>
      </c>
      <c r="H6" s="87">
        <f t="shared" si="2"/>
        <v>3240</v>
      </c>
      <c r="I6" s="88">
        <f t="shared" si="3"/>
        <v>0.8620190588400265</v>
      </c>
      <c r="J6" s="163">
        <f t="shared" si="4"/>
        <v>41.362019058840026</v>
      </c>
      <c r="K6" s="89">
        <f t="shared" ref="K6:K17" si="9">J6*F6</f>
        <v>3308.961524707202</v>
      </c>
      <c r="L6" s="93">
        <v>46</v>
      </c>
      <c r="M6" s="87">
        <f t="shared" si="5"/>
        <v>3680</v>
      </c>
      <c r="N6" s="87">
        <f t="shared" ca="1" si="6"/>
        <v>2576</v>
      </c>
      <c r="O6" s="94">
        <f t="shared" ca="1" si="7"/>
        <v>24</v>
      </c>
      <c r="P6" s="81">
        <v>0</v>
      </c>
      <c r="Q6" s="81">
        <v>51</v>
      </c>
      <c r="R6" s="37">
        <v>3</v>
      </c>
      <c r="S6" s="37">
        <v>2</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165.95871844596306</v>
      </c>
      <c r="B7" s="6">
        <v>3</v>
      </c>
      <c r="C7" s="84" t="s">
        <v>30</v>
      </c>
      <c r="D7" s="92">
        <f t="shared" ref="D7:D17" si="10">G7*2</f>
        <v>65</v>
      </c>
      <c r="E7" s="85">
        <v>0.5</v>
      </c>
      <c r="F7" s="136">
        <f>120</f>
        <v>120</v>
      </c>
      <c r="G7" s="86">
        <v>32.5</v>
      </c>
      <c r="H7" s="87">
        <f t="shared" si="2"/>
        <v>3900</v>
      </c>
      <c r="I7" s="88">
        <f t="shared" si="3"/>
        <v>0.69174368919261375</v>
      </c>
      <c r="J7" s="163">
        <f t="shared" si="4"/>
        <v>33.191743689192613</v>
      </c>
      <c r="K7" s="89">
        <f t="shared" si="9"/>
        <v>3983.0092427031136</v>
      </c>
      <c r="L7" s="93">
        <v>38</v>
      </c>
      <c r="M7" s="87">
        <f t="shared" si="5"/>
        <v>4560</v>
      </c>
      <c r="N7" s="87">
        <f t="shared" ca="1" si="6"/>
        <v>4332</v>
      </c>
      <c r="O7" s="94">
        <f t="shared" ca="1" si="7"/>
        <v>5</v>
      </c>
      <c r="P7" s="81">
        <v>1</v>
      </c>
      <c r="Q7" s="81">
        <v>114</v>
      </c>
      <c r="R7" s="37">
        <v>0</v>
      </c>
      <c r="S7" s="37">
        <v>0</v>
      </c>
      <c r="T7" s="37">
        <f ca="1">SUMIFS('Tổng Đơn'!$F:$F,'Tổng Đơn'!$B:$B,$C7)</f>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40</v>
      </c>
      <c r="AX7" s="82">
        <f t="shared" si="8"/>
        <v>1300</v>
      </c>
    </row>
    <row r="8" spans="1:50" ht="18.75" x14ac:dyDescent="0.25">
      <c r="A8" s="82">
        <f t="shared" ca="1" si="1"/>
        <v>1511.5009433847715</v>
      </c>
      <c r="B8" s="6">
        <v>4</v>
      </c>
      <c r="C8" s="84" t="s">
        <v>29</v>
      </c>
      <c r="D8" s="92">
        <f t="shared" si="10"/>
        <v>80</v>
      </c>
      <c r="E8" s="85">
        <v>0.5</v>
      </c>
      <c r="F8" s="136">
        <f>70+30+20+30</f>
        <v>150</v>
      </c>
      <c r="G8" s="86">
        <v>40</v>
      </c>
      <c r="H8" s="87">
        <f t="shared" si="2"/>
        <v>6000</v>
      </c>
      <c r="I8" s="88">
        <f t="shared" si="3"/>
        <v>0.85137684823706306</v>
      </c>
      <c r="J8" s="163">
        <f t="shared" si="4"/>
        <v>40.851376848237066</v>
      </c>
      <c r="K8" s="89">
        <f t="shared" si="9"/>
        <v>6127.7065272355603</v>
      </c>
      <c r="L8" s="93">
        <v>45</v>
      </c>
      <c r="M8" s="87">
        <f t="shared" si="5"/>
        <v>6750</v>
      </c>
      <c r="N8" s="87">
        <f t="shared" ca="1" si="6"/>
        <v>5130</v>
      </c>
      <c r="O8" s="94">
        <f t="shared" ca="1" si="7"/>
        <v>37</v>
      </c>
      <c r="P8" s="81">
        <v>-1</v>
      </c>
      <c r="Q8" s="81">
        <v>108</v>
      </c>
      <c r="R8" s="37">
        <v>3</v>
      </c>
      <c r="S8" s="37">
        <v>2</v>
      </c>
      <c r="T8" s="37">
        <f ca="1">SUMIFS('Tổng Đơn'!$F:$F,'Tổng Đơn'!$B:$B,$C8)</f>
        <v>1</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0.77688137401632018</v>
      </c>
      <c r="J9" s="163">
        <f t="shared" si="4"/>
        <v>37.27688137401632</v>
      </c>
      <c r="K9" s="89">
        <f t="shared" si="9"/>
        <v>6821.6692914449868</v>
      </c>
      <c r="L9" s="93">
        <v>42</v>
      </c>
      <c r="M9" s="87">
        <f t="shared" si="5"/>
        <v>7686</v>
      </c>
      <c r="N9" s="87">
        <f t="shared" ca="1" si="6"/>
        <v>7644</v>
      </c>
      <c r="O9" s="94">
        <f t="shared" ca="1" si="7"/>
        <v>0</v>
      </c>
      <c r="P9" s="81">
        <v>1</v>
      </c>
      <c r="Q9" s="81">
        <v>182</v>
      </c>
      <c r="R9" s="37">
        <v>0</v>
      </c>
      <c r="S9" s="37">
        <v>0</v>
      </c>
      <c r="T9" s="37">
        <f ca="1">SUMIFS('Tổng Đơn'!$F:$F,'Tổng Đơn'!$B:$B,$C9)</f>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75" x14ac:dyDescent="0.25">
      <c r="A10" s="82">
        <f t="shared" ca="1" si="1"/>
        <v>1205.1156170229933</v>
      </c>
      <c r="B10" s="6">
        <v>6</v>
      </c>
      <c r="C10" s="84" t="s">
        <v>61</v>
      </c>
      <c r="D10" s="92">
        <f t="shared" si="10"/>
        <v>59</v>
      </c>
      <c r="E10" s="85">
        <v>0.5</v>
      </c>
      <c r="F10" s="136">
        <f>60+20+40</f>
        <v>120</v>
      </c>
      <c r="G10" s="86">
        <v>29.5</v>
      </c>
      <c r="H10" s="87">
        <f t="shared" si="2"/>
        <v>3540</v>
      </c>
      <c r="I10" s="88">
        <f t="shared" si="3"/>
        <v>0.6278904255748341</v>
      </c>
      <c r="J10" s="163">
        <f t="shared" si="4"/>
        <v>30.127890425574833</v>
      </c>
      <c r="K10" s="89">
        <f t="shared" si="9"/>
        <v>3615.34685106898</v>
      </c>
      <c r="L10" s="93">
        <v>35</v>
      </c>
      <c r="M10" s="87">
        <f t="shared" si="5"/>
        <v>4200</v>
      </c>
      <c r="N10" s="87">
        <f t="shared" ca="1" si="6"/>
        <v>2800</v>
      </c>
      <c r="O10" s="94">
        <f t="shared" ca="1" si="7"/>
        <v>40</v>
      </c>
      <c r="P10" s="81"/>
      <c r="Q10" s="81">
        <v>80</v>
      </c>
      <c r="R10" s="37">
        <v>0</v>
      </c>
      <c r="S10" s="37">
        <v>0</v>
      </c>
      <c r="T10" s="37">
        <f ca="1">SUMIFS('Tổng Đơn'!$F:$F,'Tổng Đơn'!$B:$B,$C10)</f>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235.91670129856905</v>
      </c>
      <c r="B11" s="6">
        <v>7</v>
      </c>
      <c r="C11" s="84" t="s">
        <v>283</v>
      </c>
      <c r="D11" s="92">
        <v>66</v>
      </c>
      <c r="E11" s="85">
        <v>0.5</v>
      </c>
      <c r="F11" s="136">
        <v>10</v>
      </c>
      <c r="G11" s="86">
        <v>33</v>
      </c>
      <c r="H11" s="87">
        <f t="shared" si="2"/>
        <v>330</v>
      </c>
      <c r="I11" s="88">
        <f t="shared" si="3"/>
        <v>0.70238589979557708</v>
      </c>
      <c r="J11" s="163">
        <f t="shared" si="4"/>
        <v>33.70238589979558</v>
      </c>
      <c r="K11" s="89">
        <f t="shared" si="9"/>
        <v>337.02385899795581</v>
      </c>
      <c r="L11" s="93">
        <v>40</v>
      </c>
      <c r="M11" s="87">
        <f t="shared" si="5"/>
        <v>400</v>
      </c>
      <c r="N11" s="87">
        <f t="shared" ca="1" si="6"/>
        <v>120</v>
      </c>
      <c r="O11" s="94">
        <f t="shared" ca="1" si="7"/>
        <v>7</v>
      </c>
      <c r="P11" s="81"/>
      <c r="Q11" s="81">
        <v>3</v>
      </c>
      <c r="R11" s="37">
        <v>0</v>
      </c>
      <c r="S11" s="37">
        <v>0</v>
      </c>
      <c r="T11" s="37">
        <f ca="1">SUMIFS('Tổng Đơn'!$F:$F,'Tổng Đơn'!$B:$B,$C11)</f>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0.6030586008345864</v>
      </c>
      <c r="J12" s="163">
        <f t="shared" si="4"/>
        <v>28.936391934167919</v>
      </c>
      <c r="K12" s="89">
        <f t="shared" si="9"/>
        <v>1041.7101096300451</v>
      </c>
      <c r="L12" s="93">
        <v>34</v>
      </c>
      <c r="M12" s="87">
        <f t="shared" si="5"/>
        <v>1224</v>
      </c>
      <c r="N12" s="87">
        <f t="shared" si="6"/>
        <v>1190</v>
      </c>
      <c r="O12" s="94">
        <f t="shared" si="7"/>
        <v>0</v>
      </c>
      <c r="P12" s="81">
        <v>1</v>
      </c>
      <c r="Q12" s="81">
        <v>35</v>
      </c>
      <c r="R12" s="37">
        <v>0</v>
      </c>
      <c r="S12" s="37">
        <v>0</v>
      </c>
      <c r="T12" s="37">
        <f>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1102.9871749024007</v>
      </c>
      <c r="B13" s="6">
        <v>9</v>
      </c>
      <c r="C13" s="84" t="s">
        <v>35</v>
      </c>
      <c r="D13" s="92">
        <f t="shared" si="10"/>
        <v>80</v>
      </c>
      <c r="E13" s="85">
        <v>0.5</v>
      </c>
      <c r="F13" s="136">
        <v>40</v>
      </c>
      <c r="G13" s="86">
        <v>40</v>
      </c>
      <c r="H13" s="87">
        <f t="shared" si="2"/>
        <v>1600</v>
      </c>
      <c r="I13" s="88">
        <f t="shared" si="3"/>
        <v>0.85137684823706317</v>
      </c>
      <c r="J13" s="163">
        <f t="shared" si="4"/>
        <v>40.851376848237066</v>
      </c>
      <c r="K13" s="89">
        <f t="shared" si="9"/>
        <v>1634.0550739294827</v>
      </c>
      <c r="L13" s="93">
        <v>45</v>
      </c>
      <c r="M13" s="87">
        <f t="shared" si="5"/>
        <v>1800</v>
      </c>
      <c r="N13" s="87">
        <f t="shared" ca="1" si="6"/>
        <v>585</v>
      </c>
      <c r="O13" s="94">
        <f t="shared" ca="1" si="7"/>
        <v>27</v>
      </c>
      <c r="P13" s="81"/>
      <c r="Q13" s="81">
        <v>13</v>
      </c>
      <c r="R13" s="37">
        <v>0</v>
      </c>
      <c r="S13" s="37">
        <v>0</v>
      </c>
      <c r="T13" s="37">
        <f ca="1">SUMIFS('Tổng Đơn'!$F:$F,'Tổng Đơn'!$B:$B,$C13)</f>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1348.0954359918233</v>
      </c>
      <c r="B14" s="6">
        <v>10</v>
      </c>
      <c r="C14" s="84" t="s">
        <v>34</v>
      </c>
      <c r="D14" s="92">
        <f t="shared" si="10"/>
        <v>80</v>
      </c>
      <c r="E14" s="85">
        <v>0.5</v>
      </c>
      <c r="F14" s="136">
        <v>40</v>
      </c>
      <c r="G14" s="86">
        <v>40</v>
      </c>
      <c r="H14" s="87">
        <f t="shared" si="2"/>
        <v>1600</v>
      </c>
      <c r="I14" s="88">
        <f t="shared" si="3"/>
        <v>0.85137684823706317</v>
      </c>
      <c r="J14" s="163">
        <f t="shared" si="4"/>
        <v>40.851376848237066</v>
      </c>
      <c r="K14" s="89">
        <f t="shared" si="9"/>
        <v>1634.0550739294827</v>
      </c>
      <c r="L14" s="93">
        <v>45</v>
      </c>
      <c r="M14" s="87">
        <f t="shared" si="5"/>
        <v>1800</v>
      </c>
      <c r="N14" s="87">
        <f t="shared" ca="1" si="6"/>
        <v>315</v>
      </c>
      <c r="O14" s="94">
        <f t="shared" ca="1" si="7"/>
        <v>33</v>
      </c>
      <c r="P14" s="81"/>
      <c r="Q14" s="81">
        <v>7</v>
      </c>
      <c r="R14" s="37">
        <v>0</v>
      </c>
      <c r="S14" s="37">
        <v>0</v>
      </c>
      <c r="T14" s="37">
        <f ca="1">SUMIFS('Tổng Đơn'!$F:$F,'Tổng Đơn'!$B:$B,$C14)</f>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1184.689928598875</v>
      </c>
      <c r="B15" s="6">
        <v>11</v>
      </c>
      <c r="C15" s="84" t="s">
        <v>33</v>
      </c>
      <c r="D15" s="92">
        <f t="shared" si="10"/>
        <v>80</v>
      </c>
      <c r="E15" s="85">
        <v>0.5</v>
      </c>
      <c r="F15" s="136">
        <v>40</v>
      </c>
      <c r="G15" s="86">
        <v>40</v>
      </c>
      <c r="H15" s="87">
        <f t="shared" si="2"/>
        <v>1600</v>
      </c>
      <c r="I15" s="88">
        <f t="shared" si="3"/>
        <v>0.85137684823706317</v>
      </c>
      <c r="J15" s="163">
        <f t="shared" si="4"/>
        <v>40.851376848237066</v>
      </c>
      <c r="K15" s="89">
        <f t="shared" si="9"/>
        <v>1634.0550739294827</v>
      </c>
      <c r="L15" s="93">
        <v>45</v>
      </c>
      <c r="M15" s="87">
        <f t="shared" si="5"/>
        <v>1800</v>
      </c>
      <c r="N15" s="87">
        <f t="shared" ca="1" si="6"/>
        <v>495</v>
      </c>
      <c r="O15" s="94">
        <f t="shared" ca="1" si="7"/>
        <v>29</v>
      </c>
      <c r="P15" s="81"/>
      <c r="Q15" s="81">
        <v>11</v>
      </c>
      <c r="R15" s="37">
        <v>0</v>
      </c>
      <c r="S15" s="37">
        <v>0</v>
      </c>
      <c r="T15" s="37">
        <f ca="1">SUMIFS('Tổng Đơn'!$F:$F,'Tổng Đơn'!$B:$B,$C15)</f>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1307.2440591435861</v>
      </c>
      <c r="B16" s="6">
        <v>12</v>
      </c>
      <c r="C16" s="84" t="s">
        <v>32</v>
      </c>
      <c r="D16" s="92">
        <f t="shared" si="10"/>
        <v>80</v>
      </c>
      <c r="E16" s="85">
        <v>0.5</v>
      </c>
      <c r="F16" s="136">
        <v>40</v>
      </c>
      <c r="G16" s="86">
        <v>40</v>
      </c>
      <c r="H16" s="87">
        <f t="shared" si="2"/>
        <v>1600</v>
      </c>
      <c r="I16" s="88">
        <f t="shared" si="3"/>
        <v>0.85137684823706317</v>
      </c>
      <c r="J16" s="163">
        <f t="shared" si="4"/>
        <v>40.851376848237066</v>
      </c>
      <c r="K16" s="89">
        <f t="shared" si="9"/>
        <v>1634.0550739294827</v>
      </c>
      <c r="L16" s="93">
        <v>45</v>
      </c>
      <c r="M16" s="87">
        <f t="shared" si="5"/>
        <v>1800</v>
      </c>
      <c r="N16" s="87">
        <f t="shared" ca="1" si="6"/>
        <v>360</v>
      </c>
      <c r="O16" s="94">
        <f t="shared" ca="1" si="7"/>
        <v>32</v>
      </c>
      <c r="P16" s="81"/>
      <c r="Q16" s="81">
        <v>8</v>
      </c>
      <c r="R16" s="37">
        <v>0</v>
      </c>
      <c r="S16" s="37">
        <v>0</v>
      </c>
      <c r="T16" s="37">
        <f ca="1">SUMIFS('Tổng Đơn'!$F:$F,'Tổng Đơn'!$B:$B,$C16)</f>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612.77065272355594</v>
      </c>
      <c r="B17" s="6">
        <v>13</v>
      </c>
      <c r="C17" s="84" t="s">
        <v>58</v>
      </c>
      <c r="D17" s="92">
        <f t="shared" si="10"/>
        <v>80</v>
      </c>
      <c r="E17" s="85">
        <v>0.5</v>
      </c>
      <c r="F17" s="136">
        <v>40</v>
      </c>
      <c r="G17" s="86">
        <v>40</v>
      </c>
      <c r="H17" s="87">
        <f t="shared" si="2"/>
        <v>1600</v>
      </c>
      <c r="I17" s="88">
        <f t="shared" si="3"/>
        <v>0.85137684823706317</v>
      </c>
      <c r="J17" s="163">
        <f t="shared" si="4"/>
        <v>40.851376848237066</v>
      </c>
      <c r="K17" s="89">
        <f t="shared" si="9"/>
        <v>1634.0550739294827</v>
      </c>
      <c r="L17" s="93">
        <v>45</v>
      </c>
      <c r="M17" s="87">
        <f t="shared" si="5"/>
        <v>1800</v>
      </c>
      <c r="N17" s="87">
        <f t="shared" ca="1" si="6"/>
        <v>1125</v>
      </c>
      <c r="O17" s="94">
        <f t="shared" ca="1" si="7"/>
        <v>15</v>
      </c>
      <c r="P17" s="81"/>
      <c r="Q17" s="81">
        <v>25</v>
      </c>
      <c r="R17" s="37">
        <v>0</v>
      </c>
      <c r="S17" s="37">
        <v>0</v>
      </c>
      <c r="T17" s="37">
        <f ca="1">SUMIFS('Tổng Đơn'!$F:$F,'Tổng Đơn'!$B:$B,$C17)</f>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722.1824653216961</v>
      </c>
      <c r="B18" s="6">
        <v>14</v>
      </c>
      <c r="C18" s="84" t="s">
        <v>145</v>
      </c>
      <c r="D18" s="92">
        <v>53</v>
      </c>
      <c r="E18" s="85">
        <v>0.5</v>
      </c>
      <c r="F18" s="136">
        <f>80</f>
        <v>80</v>
      </c>
      <c r="G18" s="86">
        <f>1033.5/38</f>
        <v>27.19736842105263</v>
      </c>
      <c r="H18" s="87">
        <f t="shared" si="2"/>
        <v>2175.7894736842104</v>
      </c>
      <c r="I18" s="88">
        <f t="shared" si="3"/>
        <v>0.57888024516645054</v>
      </c>
      <c r="J18" s="163">
        <f t="shared" ref="J18" si="11">G18+I18</f>
        <v>27.776248666219082</v>
      </c>
      <c r="K18" s="89">
        <f t="shared" ref="K18" si="12">J18*F18</f>
        <v>2222.0998932975267</v>
      </c>
      <c r="L18" s="93">
        <v>35</v>
      </c>
      <c r="M18" s="87">
        <f t="shared" si="5"/>
        <v>2800</v>
      </c>
      <c r="N18" s="87">
        <f t="shared" ca="1" si="6"/>
        <v>1890</v>
      </c>
      <c r="O18" s="94">
        <f t="shared" ca="1" si="7"/>
        <v>26</v>
      </c>
      <c r="P18" s="81"/>
      <c r="Q18" s="81">
        <v>54</v>
      </c>
      <c r="R18" s="37">
        <v>0</v>
      </c>
      <c r="S18" s="37">
        <v>0</v>
      </c>
      <c r="T18" s="37">
        <f ca="1">SUMIFS('Tổng Đơn'!$F:$F,'Tổng Đơn'!$B:$B,$C18)</f>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980.43304435768948</v>
      </c>
      <c r="B19" s="6">
        <v>15</v>
      </c>
      <c r="C19" s="84" t="s">
        <v>183</v>
      </c>
      <c r="D19" s="92">
        <v>120</v>
      </c>
      <c r="E19" s="85">
        <v>0.5</v>
      </c>
      <c r="F19" s="136">
        <f>60+20</f>
        <v>80</v>
      </c>
      <c r="G19" s="86">
        <v>60</v>
      </c>
      <c r="H19" s="87">
        <f t="shared" si="2"/>
        <v>4800</v>
      </c>
      <c r="I19" s="88">
        <f t="shared" si="3"/>
        <v>1.2770652723555946</v>
      </c>
      <c r="J19" s="163">
        <f t="shared" ref="J19" si="13">G19+I19</f>
        <v>61.277065272355593</v>
      </c>
      <c r="K19" s="89">
        <f t="shared" ref="K19" si="14">J19*F19</f>
        <v>4902.1652217884475</v>
      </c>
      <c r="L19" s="93">
        <v>70</v>
      </c>
      <c r="M19" s="87">
        <f t="shared" ref="M19" si="15">L19*F19</f>
        <v>5600</v>
      </c>
      <c r="N19" s="87">
        <f t="shared" ca="1" si="6"/>
        <v>4480</v>
      </c>
      <c r="O19" s="94">
        <f t="shared" ca="1" si="7"/>
        <v>16</v>
      </c>
      <c r="P19" s="81"/>
      <c r="Q19" s="81">
        <v>60</v>
      </c>
      <c r="R19" s="37">
        <v>1</v>
      </c>
      <c r="S19" s="37">
        <v>3</v>
      </c>
      <c r="T19" s="37">
        <f ca="1">SUMIFS('Tổng Đơn'!$F:$F,'Tổng Đơn'!$B:$B,$C19)</f>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3561.7294189556687</v>
      </c>
      <c r="B20" s="6">
        <v>16</v>
      </c>
      <c r="C20" s="84" t="s">
        <v>142</v>
      </c>
      <c r="D20" s="92">
        <v>75</v>
      </c>
      <c r="E20" s="85">
        <v>0.5</v>
      </c>
      <c r="F20" s="136">
        <f>161+40+80</f>
        <v>281</v>
      </c>
      <c r="G20" s="86">
        <v>37.5</v>
      </c>
      <c r="H20" s="87">
        <f t="shared" ref="H20:H24" si="16">G20*F20</f>
        <v>10537.5</v>
      </c>
      <c r="I20" s="88">
        <f t="shared" ref="I20:I21" si="17">((H20/$H$4)*$A$2)/F20</f>
        <v>0.79816579522224662</v>
      </c>
      <c r="J20" s="163">
        <f t="shared" ref="J20:J21" si="18">G20+I20</f>
        <v>38.298165795222246</v>
      </c>
      <c r="K20" s="89">
        <f t="shared" ref="K20:K21" si="19">J20*F20</f>
        <v>10761.784588457451</v>
      </c>
      <c r="L20" s="93">
        <v>42</v>
      </c>
      <c r="M20" s="87">
        <f t="shared" ref="M20:M21" si="20">L20*F20</f>
        <v>11802</v>
      </c>
      <c r="N20" s="87">
        <f t="shared" ca="1" si="6"/>
        <v>7896</v>
      </c>
      <c r="O20" s="94">
        <f t="shared" ca="1" si="7"/>
        <v>93</v>
      </c>
      <c r="P20" s="81"/>
      <c r="Q20" s="81">
        <v>179</v>
      </c>
      <c r="R20" s="37">
        <v>5</v>
      </c>
      <c r="S20" s="37">
        <v>1</v>
      </c>
      <c r="T20" s="37">
        <f ca="1">SUMIFS('Tổng Đơn'!$F:$F,'Tổng Đơn'!$B:$B,$C20)</f>
        <v>3</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2741.1273865167068</v>
      </c>
      <c r="B21" s="6">
        <v>17</v>
      </c>
      <c r="C21" s="84" t="s">
        <v>198</v>
      </c>
      <c r="D21" s="92">
        <v>88</v>
      </c>
      <c r="E21" s="85">
        <v>0.5</v>
      </c>
      <c r="F21" s="136">
        <f>80</f>
        <v>80</v>
      </c>
      <c r="G21" s="86">
        <v>44</v>
      </c>
      <c r="H21" s="87">
        <f t="shared" si="16"/>
        <v>3520</v>
      </c>
      <c r="I21" s="88">
        <f t="shared" si="17"/>
        <v>0.93651453306076937</v>
      </c>
      <c r="J21" s="163">
        <f t="shared" si="18"/>
        <v>44.936514533060766</v>
      </c>
      <c r="K21" s="89">
        <f t="shared" si="19"/>
        <v>3594.9211626448614</v>
      </c>
      <c r="L21" s="93">
        <v>54</v>
      </c>
      <c r="M21" s="87">
        <f t="shared" si="20"/>
        <v>4320</v>
      </c>
      <c r="N21" s="87">
        <f t="shared" ca="1" si="6"/>
        <v>1026</v>
      </c>
      <c r="O21" s="94">
        <f t="shared" ca="1" si="7"/>
        <v>61</v>
      </c>
      <c r="P21" s="81"/>
      <c r="Q21" s="81">
        <v>18</v>
      </c>
      <c r="R21" s="37">
        <v>0</v>
      </c>
      <c r="S21" s="37">
        <v>1</v>
      </c>
      <c r="T21" s="37">
        <f ca="1">SUMIFS('Tổng Đơn'!$F:$F,'Tổng Đơn'!$B:$B,$C21)</f>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559.15322061024483</v>
      </c>
      <c r="B22" s="6">
        <v>18</v>
      </c>
      <c r="C22" s="84" t="s">
        <v>203</v>
      </c>
      <c r="D22" s="92">
        <v>73</v>
      </c>
      <c r="E22" s="85">
        <v>0.5</v>
      </c>
      <c r="F22" s="136">
        <f>40</f>
        <v>40</v>
      </c>
      <c r="G22" s="86">
        <f>D22/2</f>
        <v>36.5</v>
      </c>
      <c r="H22" s="87">
        <f t="shared" si="16"/>
        <v>1460</v>
      </c>
      <c r="I22" s="88">
        <f t="shared" ref="I22:I23" si="21">((H22/$H$4)*$A$2)/F22</f>
        <v>0.77688137401632018</v>
      </c>
      <c r="J22" s="163">
        <f t="shared" ref="J22:J23" si="22">G22+I22</f>
        <v>37.27688137401632</v>
      </c>
      <c r="K22" s="89">
        <f t="shared" ref="K22:K23" si="23">J22*F22</f>
        <v>1491.0752549606527</v>
      </c>
      <c r="L22" s="93">
        <v>42</v>
      </c>
      <c r="M22" s="87">
        <f t="shared" ref="M22:M23" si="24">L22*F22</f>
        <v>1680</v>
      </c>
      <c r="N22" s="87">
        <f t="shared" ca="1" si="6"/>
        <v>1050</v>
      </c>
      <c r="O22" s="94">
        <f t="shared" ca="1" si="7"/>
        <v>15</v>
      </c>
      <c r="P22" s="81"/>
      <c r="Q22" s="81">
        <v>25</v>
      </c>
      <c r="R22" s="37">
        <v>0</v>
      </c>
      <c r="S22" s="37">
        <v>0</v>
      </c>
      <c r="T22" s="37">
        <f ca="1">SUMIFS('Tổng Đơn'!$F:$F,'Tổng Đơn'!$B:$B,$C22)</f>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122.55413054471119</v>
      </c>
      <c r="B23" s="6">
        <v>19</v>
      </c>
      <c r="C23" s="84" t="s">
        <v>237</v>
      </c>
      <c r="D23" s="92">
        <v>24</v>
      </c>
      <c r="E23" s="85">
        <v>0.3</v>
      </c>
      <c r="F23" s="136">
        <f>260</f>
        <v>260</v>
      </c>
      <c r="G23" s="86">
        <f>D23/2</f>
        <v>12</v>
      </c>
      <c r="H23" s="87">
        <f t="shared" si="16"/>
        <v>3120</v>
      </c>
      <c r="I23" s="88">
        <f t="shared" si="21"/>
        <v>0.25541305447111895</v>
      </c>
      <c r="J23" s="163">
        <f t="shared" si="22"/>
        <v>12.255413054471118</v>
      </c>
      <c r="K23" s="89">
        <f t="shared" si="23"/>
        <v>3186.4073941624906</v>
      </c>
      <c r="L23" s="93">
        <v>18</v>
      </c>
      <c r="M23" s="87">
        <f t="shared" si="24"/>
        <v>4680</v>
      </c>
      <c r="N23" s="87">
        <f t="shared" ca="1" si="6"/>
        <v>4500</v>
      </c>
      <c r="O23" s="94">
        <f t="shared" ca="1" si="7"/>
        <v>10</v>
      </c>
      <c r="P23" s="81"/>
      <c r="Q23" s="81">
        <v>244</v>
      </c>
      <c r="R23" s="37">
        <v>3</v>
      </c>
      <c r="S23" s="37">
        <v>1</v>
      </c>
      <c r="T23" s="37">
        <f ca="1">SUMIFS('Tổng Đơn'!$F:$F,'Tổng Đơn'!$B:$B,$C23)</f>
        <v>2</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8"/>
        <v>480</v>
      </c>
    </row>
    <row r="24" spans="1:50" ht="18.75" x14ac:dyDescent="0.25">
      <c r="A24" s="82">
        <f t="shared" ca="1" si="1"/>
        <v>138.89468128400603</v>
      </c>
      <c r="B24" s="6">
        <v>20</v>
      </c>
      <c r="C24" s="84" t="s">
        <v>284</v>
      </c>
      <c r="D24" s="92">
        <v>68</v>
      </c>
      <c r="E24" s="85">
        <v>0.5</v>
      </c>
      <c r="F24" s="136">
        <v>10</v>
      </c>
      <c r="G24" s="86">
        <v>34</v>
      </c>
      <c r="H24" s="87">
        <f t="shared" si="16"/>
        <v>340</v>
      </c>
      <c r="I24" s="88">
        <f t="shared" ref="I24" si="25">((H24/$H$4)*$A$2)/F24</f>
        <v>0.72367032100150364</v>
      </c>
      <c r="J24" s="163">
        <f t="shared" ref="J24" si="26">G24+I24</f>
        <v>34.723670321001507</v>
      </c>
      <c r="K24" s="89">
        <f t="shared" ref="K24" si="27">J24*F24</f>
        <v>347.23670321001509</v>
      </c>
      <c r="L24" s="93">
        <v>40</v>
      </c>
      <c r="M24" s="87">
        <f t="shared" ref="M24" si="28">L24*F24</f>
        <v>400</v>
      </c>
      <c r="N24" s="87">
        <f t="shared" ca="1" si="6"/>
        <v>240</v>
      </c>
      <c r="O24" s="94">
        <f t="shared" ca="1" si="7"/>
        <v>4</v>
      </c>
      <c r="P24" s="81"/>
      <c r="Q24" s="81">
        <v>4</v>
      </c>
      <c r="R24" s="37">
        <v>0</v>
      </c>
      <c r="S24" s="37">
        <v>0</v>
      </c>
      <c r="T24" s="37">
        <f ca="1">SUMIFS('Tổng Đơn'!$F:$F,'Tổng Đơn'!$B:$B,$C24)</f>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519" priority="19">
      <formula>($O6/$O6)&lt;=1/4</formula>
    </cfRule>
  </conditionalFormatting>
  <conditionalFormatting sqref="C18">
    <cfRule type="expression" dxfId="518" priority="16">
      <formula>($O18/$O18)&lt;=1/4</formula>
    </cfRule>
  </conditionalFormatting>
  <conditionalFormatting sqref="C5:C18">
    <cfRule type="expression" dxfId="517" priority="27">
      <formula>($O5/$F5)&lt;=1/4</formula>
    </cfRule>
  </conditionalFormatting>
  <conditionalFormatting sqref="C19">
    <cfRule type="expression" dxfId="516" priority="7">
      <formula>($O19/$O19)&lt;=1/4</formula>
    </cfRule>
  </conditionalFormatting>
  <conditionalFormatting sqref="C19">
    <cfRule type="expression" dxfId="515" priority="8">
      <formula>($O19/$F19)&lt;=1/4</formula>
    </cfRule>
  </conditionalFormatting>
  <conditionalFormatting sqref="C20:C21">
    <cfRule type="expression" dxfId="514" priority="5">
      <formula>($O20/$O20)&lt;=1/4</formula>
    </cfRule>
  </conditionalFormatting>
  <conditionalFormatting sqref="C20:C21">
    <cfRule type="expression" dxfId="513" priority="6">
      <formula>($O20/$F20)&lt;=1/4</formula>
    </cfRule>
  </conditionalFormatting>
  <conditionalFormatting sqref="C22:C23">
    <cfRule type="expression" dxfId="512" priority="3">
      <formula>($O22/$O22)&lt;=1/4</formula>
    </cfRule>
  </conditionalFormatting>
  <conditionalFormatting sqref="C22:C23">
    <cfRule type="expression" dxfId="511" priority="4">
      <formula>($O22/$F22)&lt;=1/4</formula>
    </cfRule>
  </conditionalFormatting>
  <conditionalFormatting sqref="C24">
    <cfRule type="expression" dxfId="510" priority="1">
      <formula>($O24/$O24)&lt;=1/4</formula>
    </cfRule>
  </conditionalFormatting>
  <conditionalFormatting sqref="C24">
    <cfRule type="expression" dxfId="509"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abSelected="1"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1" t="s">
        <v>59</v>
      </c>
      <c r="C1" s="251"/>
      <c r="D1" s="251"/>
      <c r="E1" s="251"/>
      <c r="F1" s="251"/>
      <c r="G1" s="251"/>
      <c r="H1" s="251"/>
      <c r="I1" s="251"/>
      <c r="J1" s="251"/>
      <c r="K1" s="251"/>
      <c r="L1" s="251"/>
      <c r="M1" s="251"/>
      <c r="N1" s="182"/>
    </row>
    <row r="2" spans="1:51" ht="34.5" customHeight="1" x14ac:dyDescent="0.25">
      <c r="A2" s="1">
        <f>300+200+120+200+200+200+140+190</f>
        <v>1550</v>
      </c>
      <c r="K2" s="13">
        <f>SUMPRODUCT((E5:E12)*(F5:F12))</f>
        <v>1346</v>
      </c>
      <c r="L2" s="13">
        <f>M4-K4</f>
        <v>12090</v>
      </c>
      <c r="M2" s="8">
        <f>M4/K4-1</f>
        <v>0.18246302444913964</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1780</v>
      </c>
    </row>
    <row r="4" spans="1:51" s="62" customFormat="1" ht="27" customHeight="1" x14ac:dyDescent="0.25">
      <c r="A4" s="71">
        <f ca="1">SUBTOTAL(9,A5:A12)</f>
        <v>17610.688751211699</v>
      </c>
      <c r="B4" s="19"/>
      <c r="C4" s="19"/>
      <c r="D4" s="63"/>
      <c r="E4" s="19">
        <f>SUMPRODUCT((E5:E12)*(F5:F12))</f>
        <v>1346</v>
      </c>
      <c r="F4" s="19">
        <f>SUBTOTAL(9,F5:F12)</f>
        <v>2692</v>
      </c>
      <c r="G4" s="7"/>
      <c r="H4" s="7">
        <f>SUBTOTAL(9,H5:H12)</f>
        <v>64710</v>
      </c>
      <c r="I4" s="12"/>
      <c r="J4" s="12"/>
      <c r="K4" s="12">
        <f>SUBTOTAL(9,K5:K12)</f>
        <v>66260</v>
      </c>
      <c r="L4" s="64"/>
      <c r="M4" s="7">
        <f>SUBTOTAL(9,M5:M12)</f>
        <v>78350</v>
      </c>
      <c r="N4" s="7">
        <f ca="1">SUBTOTAL(9,N5:N12)</f>
        <v>57633</v>
      </c>
      <c r="O4" s="65">
        <f ca="1">SUBTOTAL(9,O5:O12)</f>
        <v>668</v>
      </c>
      <c r="P4" s="98">
        <f>SUBTOTAL(9,P5:P12)</f>
        <v>3</v>
      </c>
      <c r="Q4" s="98"/>
      <c r="R4" s="40">
        <f t="shared" ref="R4:AV4" si="0">SUBTOTAL(9,R5:R12)</f>
        <v>57</v>
      </c>
      <c r="S4" s="40">
        <f t="shared" si="0"/>
        <v>55</v>
      </c>
      <c r="T4" s="40">
        <f t="shared" ca="1" si="0"/>
        <v>28</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62 Kg</v>
      </c>
      <c r="AX4" s="101">
        <f>SUBTOTAL(9,AX5:AX12)</f>
        <v>2496</v>
      </c>
    </row>
    <row r="5" spans="1:51" ht="18.75" x14ac:dyDescent="0.25">
      <c r="A5" s="82">
        <f t="shared" ref="A5:A12" ca="1" si="1">J5*O5</f>
        <v>4844.3217431617986</v>
      </c>
      <c r="B5" s="6">
        <v>1</v>
      </c>
      <c r="C5" s="84" t="s">
        <v>229</v>
      </c>
      <c r="D5" s="92">
        <v>38</v>
      </c>
      <c r="E5" s="6">
        <v>0.5</v>
      </c>
      <c r="F5" s="6">
        <f>240+126+126+100+126+210+126</f>
        <v>1054</v>
      </c>
      <c r="G5" s="86">
        <f t="shared" ref="G5:G12" si="2">D5/(1/E5)</f>
        <v>19</v>
      </c>
      <c r="H5" s="87">
        <f t="shared" ref="H5:H12" si="3">G5*F5</f>
        <v>20026</v>
      </c>
      <c r="I5" s="88">
        <f t="shared" ref="I5:I12" si="4">((H5/$H$4)*$A$2)/F5</f>
        <v>0.45510740225621998</v>
      </c>
      <c r="J5" s="163">
        <f t="shared" ref="J5:J12" si="5">G5+I5</f>
        <v>19.455107402256221</v>
      </c>
      <c r="K5" s="89">
        <f>J5*F5</f>
        <v>20505.683201978056</v>
      </c>
      <c r="L5" s="93">
        <v>23</v>
      </c>
      <c r="M5" s="87">
        <f t="shared" ref="M5:M12" si="6">L5*F5</f>
        <v>24242</v>
      </c>
      <c r="N5" s="87">
        <f t="shared" ref="N5:N12" ca="1" si="7">SUMPRODUCT(($Q5:$AV5)*$L5)</f>
        <v>18469</v>
      </c>
      <c r="O5" s="94">
        <f t="shared" ref="O5:O12" ca="1" si="8">F5-SUM(Q5:AV5)-P5</f>
        <v>249</v>
      </c>
      <c r="P5" s="81">
        <v>2</v>
      </c>
      <c r="Q5" s="81">
        <v>738</v>
      </c>
      <c r="R5" s="37">
        <v>20</v>
      </c>
      <c r="S5" s="37">
        <v>32</v>
      </c>
      <c r="T5" s="37">
        <f ca="1">SUMIFS('Tổng Đơn'!$F:$F,'Tổng Đơn'!$B:$B,$C5)</f>
        <v>13</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84</v>
      </c>
      <c r="AX5" s="82">
        <f>AW5*AY5/2</f>
        <v>1596</v>
      </c>
      <c r="AY5" s="82">
        <v>38</v>
      </c>
    </row>
    <row r="6" spans="1:51" ht="18.75" x14ac:dyDescent="0.25">
      <c r="A6" s="82">
        <f t="shared" ca="1" si="1"/>
        <v>344.04821511358369</v>
      </c>
      <c r="B6" s="6">
        <v>2</v>
      </c>
      <c r="C6" s="84" t="s">
        <v>230</v>
      </c>
      <c r="D6" s="92">
        <v>42</v>
      </c>
      <c r="E6" s="6">
        <v>0.5</v>
      </c>
      <c r="F6" s="6">
        <v>40</v>
      </c>
      <c r="G6" s="86">
        <f t="shared" si="2"/>
        <v>21</v>
      </c>
      <c r="H6" s="87">
        <f t="shared" si="3"/>
        <v>840</v>
      </c>
      <c r="I6" s="88">
        <f t="shared" si="4"/>
        <v>0.50301344459898012</v>
      </c>
      <c r="J6" s="163">
        <f t="shared" si="5"/>
        <v>21.503013444598981</v>
      </c>
      <c r="K6" s="89">
        <f>J6*F6</f>
        <v>860.12053778395921</v>
      </c>
      <c r="L6" s="93">
        <v>26</v>
      </c>
      <c r="M6" s="87">
        <f t="shared" si="6"/>
        <v>1040</v>
      </c>
      <c r="N6" s="87">
        <f t="shared" ca="1" si="7"/>
        <v>624</v>
      </c>
      <c r="O6" s="94">
        <f t="shared" ca="1" si="8"/>
        <v>16</v>
      </c>
      <c r="P6" s="81"/>
      <c r="Q6" s="81">
        <v>24</v>
      </c>
      <c r="R6" s="37">
        <v>0</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709.59944367176638</v>
      </c>
      <c r="B7" s="6">
        <v>3</v>
      </c>
      <c r="C7" s="84" t="s">
        <v>231</v>
      </c>
      <c r="D7" s="92">
        <v>42</v>
      </c>
      <c r="E7" s="6">
        <v>0.5</v>
      </c>
      <c r="F7" s="6">
        <f>40+42+42</f>
        <v>124</v>
      </c>
      <c r="G7" s="86">
        <f t="shared" si="2"/>
        <v>21</v>
      </c>
      <c r="H7" s="87">
        <f t="shared" si="3"/>
        <v>2604</v>
      </c>
      <c r="I7" s="88">
        <f t="shared" si="4"/>
        <v>0.50301344459898012</v>
      </c>
      <c r="J7" s="163">
        <f t="shared" si="5"/>
        <v>21.503013444598981</v>
      </c>
      <c r="K7" s="89">
        <f t="shared" ref="K7:K12" si="10">J7*F7</f>
        <v>2666.3736671302736</v>
      </c>
      <c r="L7" s="93">
        <v>26</v>
      </c>
      <c r="M7" s="87">
        <f t="shared" si="6"/>
        <v>3224</v>
      </c>
      <c r="N7" s="87">
        <f t="shared" ca="1" si="7"/>
        <v>2366</v>
      </c>
      <c r="O7" s="94">
        <f t="shared" ca="1" si="8"/>
        <v>33</v>
      </c>
      <c r="P7" s="81"/>
      <c r="Q7" s="81">
        <v>87</v>
      </c>
      <c r="R7" s="37">
        <v>2</v>
      </c>
      <c r="S7" s="37">
        <v>0</v>
      </c>
      <c r="T7" s="37">
        <f ca="1">SUMIFS('Tổng Đơn'!$F:$F,'Tổng Đơn'!$B:$B,$C7)</f>
        <v>2</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450.5393293154072</v>
      </c>
      <c r="B8" s="6">
        <v>4</v>
      </c>
      <c r="C8" s="84" t="s">
        <v>232</v>
      </c>
      <c r="D8" s="92">
        <v>40</v>
      </c>
      <c r="E8" s="6">
        <v>0.5</v>
      </c>
      <c r="F8" s="6">
        <f>40+42</f>
        <v>82</v>
      </c>
      <c r="G8" s="86">
        <f t="shared" si="2"/>
        <v>20</v>
      </c>
      <c r="H8" s="87">
        <f t="shared" si="3"/>
        <v>1640</v>
      </c>
      <c r="I8" s="88">
        <f t="shared" si="4"/>
        <v>0.47906042342760008</v>
      </c>
      <c r="J8" s="163">
        <f t="shared" si="5"/>
        <v>20.479060423427601</v>
      </c>
      <c r="K8" s="89">
        <f t="shared" si="10"/>
        <v>1679.2829547210633</v>
      </c>
      <c r="L8" s="93">
        <v>26</v>
      </c>
      <c r="M8" s="87">
        <f t="shared" si="6"/>
        <v>2132</v>
      </c>
      <c r="N8" s="87">
        <f t="shared" ca="1" si="7"/>
        <v>1560</v>
      </c>
      <c r="O8" s="94">
        <f t="shared" ca="1" si="8"/>
        <v>22</v>
      </c>
      <c r="P8" s="81"/>
      <c r="Q8" s="81">
        <v>56</v>
      </c>
      <c r="R8" s="37">
        <v>4</v>
      </c>
      <c r="S8" s="37">
        <v>0</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188.50044253382222</v>
      </c>
      <c r="B9" s="6">
        <v>5</v>
      </c>
      <c r="C9" s="84" t="s">
        <v>233</v>
      </c>
      <c r="D9" s="92">
        <f>(45*20)/22</f>
        <v>40.909090909090907</v>
      </c>
      <c r="E9" s="6">
        <v>0.5</v>
      </c>
      <c r="F9" s="6">
        <f>176+88+44+44</f>
        <v>352</v>
      </c>
      <c r="G9" s="86">
        <f t="shared" si="2"/>
        <v>20.454545454545453</v>
      </c>
      <c r="H9" s="87">
        <f t="shared" si="3"/>
        <v>7200</v>
      </c>
      <c r="I9" s="88">
        <f t="shared" si="4"/>
        <v>0.48994816032368188</v>
      </c>
      <c r="J9" s="163">
        <f t="shared" si="5"/>
        <v>20.944493614869135</v>
      </c>
      <c r="K9" s="89">
        <f t="shared" si="10"/>
        <v>7372.4617524339355</v>
      </c>
      <c r="L9" s="93">
        <v>26</v>
      </c>
      <c r="M9" s="87">
        <f t="shared" si="6"/>
        <v>9152</v>
      </c>
      <c r="N9" s="87">
        <f t="shared" ca="1" si="7"/>
        <v>8918</v>
      </c>
      <c r="O9" s="94">
        <f t="shared" ca="1" si="8"/>
        <v>9</v>
      </c>
      <c r="P9" s="81"/>
      <c r="Q9" s="81">
        <v>317</v>
      </c>
      <c r="R9" s="37">
        <v>13</v>
      </c>
      <c r="S9" s="37">
        <v>7</v>
      </c>
      <c r="T9" s="37">
        <f ca="1">SUMIFS('Tổng Đơn'!$F:$F,'Tổng Đơn'!$B:$B,$C9)</f>
        <v>6</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5600.0921594245656</v>
      </c>
      <c r="B10" s="6">
        <v>6</v>
      </c>
      <c r="C10" s="84" t="s">
        <v>234</v>
      </c>
      <c r="D10" s="92">
        <f>(64*20)/22</f>
        <v>58.18181818181818</v>
      </c>
      <c r="E10" s="6">
        <v>0.5</v>
      </c>
      <c r="F10" s="6">
        <f>176+88+88+132+88+132</f>
        <v>704</v>
      </c>
      <c r="G10" s="86">
        <f t="shared" si="2"/>
        <v>29.09090909090909</v>
      </c>
      <c r="H10" s="87">
        <f t="shared" si="3"/>
        <v>20480</v>
      </c>
      <c r="I10" s="88">
        <f t="shared" si="4"/>
        <v>0.69681516134923649</v>
      </c>
      <c r="J10" s="163">
        <f t="shared" si="5"/>
        <v>29.787724252258325</v>
      </c>
      <c r="K10" s="89">
        <f t="shared" si="10"/>
        <v>20970.55787358986</v>
      </c>
      <c r="L10" s="93">
        <v>35</v>
      </c>
      <c r="M10" s="87">
        <f t="shared" si="6"/>
        <v>24640</v>
      </c>
      <c r="N10" s="87">
        <f t="shared" ca="1" si="7"/>
        <v>18060</v>
      </c>
      <c r="O10" s="94">
        <f t="shared" ca="1" si="8"/>
        <v>188</v>
      </c>
      <c r="P10" s="81"/>
      <c r="Q10" s="81">
        <v>479</v>
      </c>
      <c r="R10" s="37">
        <v>18</v>
      </c>
      <c r="S10" s="37">
        <v>14</v>
      </c>
      <c r="T10" s="37">
        <f ca="1">SUMIFS('Tổng Đơn'!$F:$F,'Tổng Đơn'!$B:$B,$C10)</f>
        <v>5</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2897.3216167235641</v>
      </c>
      <c r="B11" s="6">
        <v>7</v>
      </c>
      <c r="C11" s="84" t="s">
        <v>235</v>
      </c>
      <c r="D11" s="92">
        <f>(75*20)/22</f>
        <v>68.181818181818187</v>
      </c>
      <c r="E11" s="6">
        <v>0.5</v>
      </c>
      <c r="F11" s="6">
        <f>44+44+88</f>
        <v>176</v>
      </c>
      <c r="G11" s="86">
        <f t="shared" si="2"/>
        <v>34.090909090909093</v>
      </c>
      <c r="H11" s="87">
        <f t="shared" si="3"/>
        <v>6000</v>
      </c>
      <c r="I11" s="88">
        <f t="shared" si="4"/>
        <v>0.81658026720613652</v>
      </c>
      <c r="J11" s="163">
        <f t="shared" si="5"/>
        <v>34.907489358115228</v>
      </c>
      <c r="K11" s="89">
        <f t="shared" si="10"/>
        <v>6143.7181270282799</v>
      </c>
      <c r="L11" s="93">
        <v>40</v>
      </c>
      <c r="M11" s="87">
        <f t="shared" si="6"/>
        <v>7040</v>
      </c>
      <c r="N11" s="87">
        <f t="shared" ca="1" si="7"/>
        <v>3680</v>
      </c>
      <c r="O11" s="94">
        <f t="shared" ca="1" si="8"/>
        <v>83</v>
      </c>
      <c r="P11" s="81">
        <v>1</v>
      </c>
      <c r="Q11" s="81">
        <v>89</v>
      </c>
      <c r="R11" s="37">
        <v>0</v>
      </c>
      <c r="S11" s="37">
        <v>2</v>
      </c>
      <c r="T11" s="37">
        <f ca="1">SUMIFS('Tổng Đơn'!$F:$F,'Tổng Đơn'!$B:$B,$C11)</f>
        <v>1</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2576.2658012671923</v>
      </c>
      <c r="B12" s="6">
        <v>8</v>
      </c>
      <c r="C12" s="84" t="s">
        <v>236</v>
      </c>
      <c r="D12" s="92">
        <v>74</v>
      </c>
      <c r="E12" s="6">
        <v>0.5</v>
      </c>
      <c r="F12" s="6">
        <f>80+80</f>
        <v>160</v>
      </c>
      <c r="G12" s="86">
        <f t="shared" si="2"/>
        <v>37</v>
      </c>
      <c r="H12" s="87">
        <f t="shared" si="3"/>
        <v>5920</v>
      </c>
      <c r="I12" s="88">
        <f t="shared" si="4"/>
        <v>0.88626178334106009</v>
      </c>
      <c r="J12" s="163">
        <f t="shared" si="5"/>
        <v>37.886261783341062</v>
      </c>
      <c r="K12" s="89">
        <f t="shared" si="10"/>
        <v>6061.8018853345702</v>
      </c>
      <c r="L12" s="93">
        <v>43</v>
      </c>
      <c r="M12" s="87">
        <f t="shared" si="6"/>
        <v>6880</v>
      </c>
      <c r="N12" s="87">
        <f t="shared" ca="1" si="7"/>
        <v>3956</v>
      </c>
      <c r="O12" s="94">
        <f t="shared" ca="1" si="8"/>
        <v>68</v>
      </c>
      <c r="P12" s="81"/>
      <c r="Q12" s="81">
        <v>91</v>
      </c>
      <c r="R12" s="37">
        <v>0</v>
      </c>
      <c r="S12" s="37">
        <v>0</v>
      </c>
      <c r="T12" s="37">
        <f ca="1">SUMIFS('Tổng Đơn'!$F:$F,'Tổng Đơn'!$B:$B,$C12)</f>
        <v>1</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08" priority="8">
      <formula>($O6/$O6)&lt;=1/4</formula>
    </cfRule>
  </conditionalFormatting>
  <conditionalFormatting sqref="C5:C12">
    <cfRule type="expression" dxfId="50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2" t="s">
        <v>66</v>
      </c>
      <c r="B1" s="252"/>
      <c r="C1" s="252"/>
      <c r="E1" s="252" t="s">
        <v>66</v>
      </c>
      <c r="F1" s="252"/>
      <c r="G1" s="25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23" activePane="bottomRight" state="frozen"/>
      <selection activeCell="A2" sqref="A2"/>
      <selection pane="topRight" activeCell="R2" sqref="R2"/>
      <selection pane="bottomLeft" activeCell="A5" sqref="A5"/>
      <selection pane="bottomRight" activeCell="F24" sqref="F24"/>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24" customHeight="1" x14ac:dyDescent="0.25">
      <c r="A2" s="1">
        <f>150+160+120+70+30+100+30+150+120+30+140+30+70+120+30+30+120+60+120+190+60+30+120+100+60+140+60+40+60+50+120+60+30+60+40+80+120+60</f>
        <v>3160</v>
      </c>
      <c r="K2" s="13"/>
      <c r="L2" s="13">
        <f>M4-K4</f>
        <v>20549.143008661078</v>
      </c>
      <c r="M2" s="8">
        <f>M4/K4-1</f>
        <v>0.17606731259691988</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SUBTOTAL(9,A5:A103)</f>
        <v>18596.470691575785</v>
      </c>
      <c r="B4" s="19"/>
      <c r="C4" s="19"/>
      <c r="D4" s="63"/>
      <c r="E4" s="19">
        <f>SUMPRODUCT((E5:E35)*(F5:F35))</f>
        <v>1884.5</v>
      </c>
      <c r="F4" s="19">
        <f>SUBTOTAL(9,F5:F103)</f>
        <v>3509</v>
      </c>
      <c r="G4" s="7"/>
      <c r="H4" s="7">
        <f>SUBTOTAL(9,H5:H103)</f>
        <v>113559.5</v>
      </c>
      <c r="I4" s="12"/>
      <c r="J4" s="12"/>
      <c r="K4" s="12">
        <f>SUBTOTAL(9,K5:K103)</f>
        <v>116711.85699133892</v>
      </c>
      <c r="L4" s="64"/>
      <c r="M4" s="7">
        <f t="shared" ref="M4:AV4" si="0">SUBTOTAL(9,M5:M103)</f>
        <v>137261</v>
      </c>
      <c r="N4" s="7">
        <f t="shared" ca="1" si="0"/>
        <v>115045</v>
      </c>
      <c r="O4" s="39">
        <f t="shared" ca="1" si="0"/>
        <v>493</v>
      </c>
      <c r="P4" s="98">
        <f t="shared" si="0"/>
        <v>13</v>
      </c>
      <c r="Q4" s="98">
        <f t="shared" si="0"/>
        <v>2962</v>
      </c>
      <c r="R4" s="40">
        <f t="shared" si="0"/>
        <v>17</v>
      </c>
      <c r="S4" s="40">
        <f t="shared" si="0"/>
        <v>15</v>
      </c>
      <c r="T4" s="40">
        <f t="shared" ca="1" si="0"/>
        <v>9</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SUMPRODUCT(($AW$5:$AW$53)*($E$5:$E$53))&amp;" Kg"</f>
        <v>0 Kg</v>
      </c>
      <c r="AX4" s="71">
        <f>SUBTOTAL(9,AX5:AX103)</f>
        <v>0</v>
      </c>
    </row>
    <row r="5" spans="1:50" ht="18.75" x14ac:dyDescent="0.25">
      <c r="A5" s="82">
        <f t="shared" ref="A5:A32" ca="1" si="1">IFERROR(J5*O5,"")</f>
        <v>633.39827909598057</v>
      </c>
      <c r="B5" s="6">
        <v>1</v>
      </c>
      <c r="C5" s="84" t="s">
        <v>1</v>
      </c>
      <c r="D5" s="92">
        <v>42.5</v>
      </c>
      <c r="E5" s="6">
        <v>0.5</v>
      </c>
      <c r="F5" s="6">
        <f>430+30+40</f>
        <v>500</v>
      </c>
      <c r="G5" s="95">
        <f t="shared" ref="G5:G29" si="2">D5/(1/E5)</f>
        <v>21.25</v>
      </c>
      <c r="H5" s="87">
        <f t="shared" ref="H5:H31" si="3">G5*F5</f>
        <v>10625</v>
      </c>
      <c r="I5" s="88">
        <f t="shared" ref="I5:I25" si="4">((H5/$H$4)*$A$2)/F5</f>
        <v>0.59131996882691451</v>
      </c>
      <c r="J5" s="89">
        <f t="shared" ref="J5:J19" si="5">G5+I5</f>
        <v>21.841319968826916</v>
      </c>
      <c r="K5" s="89">
        <f t="shared" ref="K5:K25" si="6">J5*F5</f>
        <v>10920.659984413458</v>
      </c>
      <c r="L5" s="96">
        <v>25</v>
      </c>
      <c r="M5" s="87">
        <f t="shared" ref="M5:M31" si="7">L5*F5</f>
        <v>12500</v>
      </c>
      <c r="N5" s="87">
        <f t="shared" ref="N5:N31" ca="1" si="8">SUMPRODUCT($L5*($Q5:$AV5))</f>
        <v>11725</v>
      </c>
      <c r="O5" s="91">
        <f t="shared" ref="O5:O31" ca="1" si="9">F5-SUM(Q5:AV5)-P5</f>
        <v>29</v>
      </c>
      <c r="P5" s="81">
        <v>2</v>
      </c>
      <c r="Q5" s="81">
        <v>469</v>
      </c>
      <c r="R5" s="84">
        <v>0</v>
      </c>
      <c r="S5" s="84">
        <v>0</v>
      </c>
      <c r="T5" s="84">
        <f ca="1">SUMIFS('Tổng Đơn'!$F:$F,'Tổng Đơn'!$B:$B,$C5)</f>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2" si="10">AW5*G5</f>
        <v>0</v>
      </c>
    </row>
    <row r="6" spans="1:50" ht="18.75" x14ac:dyDescent="0.25">
      <c r="A6" s="82">
        <f t="shared" ca="1" si="1"/>
        <v>135.67314051224247</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2072</v>
      </c>
      <c r="O6" s="91">
        <f t="shared" ca="1" si="9"/>
        <v>6</v>
      </c>
      <c r="P6" s="81"/>
      <c r="Q6" s="81">
        <v>73</v>
      </c>
      <c r="R6" s="84">
        <v>0</v>
      </c>
      <c r="S6" s="84">
        <v>0</v>
      </c>
      <c r="T6" s="84">
        <f ca="1">SUMIFS('Tổng Đơn'!$F:$F,'Tổng Đơn'!$B:$B,$C6)</f>
        <v>1</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201.19710041872321</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1830</v>
      </c>
      <c r="O7" s="91">
        <f t="shared" ca="1" si="9"/>
        <v>9</v>
      </c>
      <c r="P7" s="81"/>
      <c r="Q7" s="81">
        <v>60</v>
      </c>
      <c r="R7" s="84">
        <v>0</v>
      </c>
      <c r="S7" s="84">
        <v>0</v>
      </c>
      <c r="T7" s="84">
        <f ca="1">SUMIFS('Tổng Đơn'!$F:$F,'Tổng Đơn'!$B:$B,$C7)</f>
        <v>1</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1202.5573818130583</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7800</v>
      </c>
      <c r="O8" s="91">
        <f t="shared" ca="1" si="9"/>
        <v>39</v>
      </c>
      <c r="P8" s="81"/>
      <c r="Q8" s="81">
        <v>191</v>
      </c>
      <c r="R8" s="84">
        <v>2</v>
      </c>
      <c r="S8" s="84">
        <v>1</v>
      </c>
      <c r="T8" s="84">
        <f ca="1">SUMIFS('Tổng Đơn'!$F:$F,'Tổng Đơn'!$B:$B,$C8)</f>
        <v>1</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2341.3895006582452</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17120</v>
      </c>
      <c r="O9" s="91">
        <f t="shared" ca="1" si="9"/>
        <v>67</v>
      </c>
      <c r="P9" s="81"/>
      <c r="Q9" s="81">
        <v>425</v>
      </c>
      <c r="R9" s="84">
        <v>1</v>
      </c>
      <c r="S9" s="84">
        <v>2</v>
      </c>
      <c r="T9" s="84">
        <f ca="1">SUMIFS('Tổng Đơn'!$F:$F,'Tổng Đơn'!$B:$B,$C9)</f>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441.96553348685052</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3700</v>
      </c>
      <c r="O10" s="91">
        <f t="shared" ca="1" si="9"/>
        <v>10</v>
      </c>
      <c r="P10" s="81">
        <v>2</v>
      </c>
      <c r="Q10" s="81">
        <v>74</v>
      </c>
      <c r="R10" s="84">
        <v>0</v>
      </c>
      <c r="S10" s="84">
        <v>0</v>
      </c>
      <c r="T10" s="84">
        <f ca="1">SUMIFS('Tổng Đơn'!$F:$F,'Tổng Đơn'!$B:$B,$C10)</f>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f>SUMIFS('Tổng Đơn'!$F:$F,'Tổng Đơn'!$B:$B,$C11)</f>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886.50063402885712</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1518</v>
      </c>
      <c r="O12" s="91">
        <f t="shared" ca="1" si="9"/>
        <v>15</v>
      </c>
      <c r="P12" s="81">
        <v>1</v>
      </c>
      <c r="Q12" s="81">
        <v>22</v>
      </c>
      <c r="R12" s="84">
        <v>0</v>
      </c>
      <c r="S12" s="84">
        <v>0</v>
      </c>
      <c r="T12" s="84">
        <f ca="1">SUMIFS('Tổng Đơn'!$F:$F,'Tổng Đơn'!$B:$B,$C12)</f>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f ca="1">SUMIFS('Tổng Đơn'!$F:$F,'Tổng Đơn'!$B:$B,$C13)</f>
        <v>1</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f>SUMIFS('Tổng Đơn'!$F:$F,'Tổng Đơn'!$B:$B,$C14)</f>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f>SUMIFS('Tổng Đơn'!$F:$F,'Tổng Đơn'!$B:$B,$C15)</f>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f>SUMIFS('Tổng Đơn'!$F:$F,'Tổng Đơn'!$B:$B,$C16)</f>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f>SUMIFS('Tổng Đơn'!$F:$F,'Tổng Đơn'!$B:$B,$C17)</f>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84.79571282015155</v>
      </c>
      <c r="B18" s="6">
        <v>14</v>
      </c>
      <c r="C18" s="84" t="s">
        <v>14</v>
      </c>
      <c r="D18" s="92">
        <v>55</v>
      </c>
      <c r="E18" s="6">
        <v>0.5</v>
      </c>
      <c r="F18" s="6">
        <f>330+50</f>
        <v>380</v>
      </c>
      <c r="G18" s="95">
        <f t="shared" si="2"/>
        <v>27.5</v>
      </c>
      <c r="H18" s="225">
        <f>G18*F18</f>
        <v>10450</v>
      </c>
      <c r="I18" s="88">
        <f t="shared" si="4"/>
        <v>0.76523760671718355</v>
      </c>
      <c r="J18" s="89">
        <f t="shared" si="5"/>
        <v>28.265237606717182</v>
      </c>
      <c r="K18" s="89">
        <f t="shared" si="6"/>
        <v>10740.79029055253</v>
      </c>
      <c r="L18" s="96">
        <v>33</v>
      </c>
      <c r="M18" s="87">
        <f t="shared" si="7"/>
        <v>12540</v>
      </c>
      <c r="N18" s="87">
        <f t="shared" ca="1" si="8"/>
        <v>12507</v>
      </c>
      <c r="O18" s="91">
        <f t="shared" ca="1" si="9"/>
        <v>3</v>
      </c>
      <c r="P18" s="81">
        <v>-2</v>
      </c>
      <c r="Q18" s="81">
        <v>368</v>
      </c>
      <c r="R18" s="84">
        <v>2</v>
      </c>
      <c r="S18" s="84">
        <v>8</v>
      </c>
      <c r="T18" s="84">
        <f ca="1">SUMIFS('Tổng Đơn'!$F:$F,'Tổng Đơn'!$B:$B,$C18)</f>
        <v>1</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f>SUMIFS('Tổng Đơn'!$F:$F,'Tổng Đơn'!$B:$B,$C19)</f>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1">G20+I20</f>
        <v>27.75132419568596</v>
      </c>
      <c r="K20" s="89">
        <f t="shared" si="6"/>
        <v>277.51324195685959</v>
      </c>
      <c r="L20" s="96">
        <v>45</v>
      </c>
      <c r="M20" s="87">
        <f t="shared" si="7"/>
        <v>450</v>
      </c>
      <c r="N20" s="87">
        <f t="shared" si="8"/>
        <v>405</v>
      </c>
      <c r="O20" s="91">
        <f t="shared" si="9"/>
        <v>0</v>
      </c>
      <c r="P20" s="81">
        <v>1</v>
      </c>
      <c r="Q20" s="81">
        <v>9</v>
      </c>
      <c r="R20" s="84">
        <v>0</v>
      </c>
      <c r="S20" s="84">
        <v>0</v>
      </c>
      <c r="T20" s="84">
        <f>SUMIFS('Tổng Đơn'!$F:$F,'Tổng Đơn'!$B:$B,$C20)</f>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2357.8347298112444</v>
      </c>
      <c r="B21" s="6">
        <v>17</v>
      </c>
      <c r="C21" s="84" t="s">
        <v>281</v>
      </c>
      <c r="D21" s="92">
        <v>62</v>
      </c>
      <c r="E21" s="6">
        <v>0.5</v>
      </c>
      <c r="F21" s="6">
        <f>135+80</f>
        <v>215</v>
      </c>
      <c r="G21" s="95">
        <f t="shared" si="2"/>
        <v>31</v>
      </c>
      <c r="H21" s="97">
        <f t="shared" si="3"/>
        <v>6665</v>
      </c>
      <c r="I21" s="88">
        <f t="shared" si="4"/>
        <v>0.86263148393573408</v>
      </c>
      <c r="J21" s="89">
        <f t="shared" si="11"/>
        <v>31.862631483935733</v>
      </c>
      <c r="K21" s="89">
        <f t="shared" si="6"/>
        <v>6850.4657690461827</v>
      </c>
      <c r="L21" s="96">
        <v>40</v>
      </c>
      <c r="M21" s="87">
        <f t="shared" si="7"/>
        <v>8600</v>
      </c>
      <c r="N21" s="87">
        <f t="shared" ca="1" si="8"/>
        <v>5640</v>
      </c>
      <c r="O21" s="91">
        <f t="shared" ca="1" si="9"/>
        <v>74</v>
      </c>
      <c r="P21" s="81"/>
      <c r="Q21" s="81">
        <v>138</v>
      </c>
      <c r="R21" s="84">
        <v>2</v>
      </c>
      <c r="S21" s="84">
        <v>0</v>
      </c>
      <c r="T21" s="84">
        <f ca="1">SUMIFS('Tổng Đơn'!$F:$F,'Tổng Đơn'!$B:$B,$C21)</f>
        <v>1</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1"/>
        <v>22.098276674342525</v>
      </c>
      <c r="K22" s="89">
        <f t="shared" si="6"/>
        <v>552.45691685856309</v>
      </c>
      <c r="L22" s="96">
        <v>35</v>
      </c>
      <c r="M22" s="87">
        <f t="shared" si="7"/>
        <v>875</v>
      </c>
      <c r="N22" s="87">
        <f t="shared" ca="1" si="8"/>
        <v>875</v>
      </c>
      <c r="O22" s="91">
        <f t="shared" ca="1" si="9"/>
        <v>0</v>
      </c>
      <c r="P22" s="81"/>
      <c r="Q22" s="81">
        <v>25</v>
      </c>
      <c r="R22" s="84">
        <v>0</v>
      </c>
      <c r="S22" s="84">
        <v>0</v>
      </c>
      <c r="T22" s="84">
        <f ca="1">SUMIFS('Tổng Đơn'!$F:$F,'Tổng Đơn'!$B:$B,$C22)</f>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1"/>
        <v>22.355233379858134</v>
      </c>
      <c r="K23" s="89">
        <f t="shared" si="6"/>
        <v>1564.8663365900693</v>
      </c>
      <c r="L23" s="96">
        <v>30</v>
      </c>
      <c r="M23" s="87">
        <f t="shared" si="7"/>
        <v>2100</v>
      </c>
      <c r="N23" s="87">
        <f t="shared" ca="1" si="8"/>
        <v>2070</v>
      </c>
      <c r="O23" s="91">
        <f t="shared" ca="1" si="9"/>
        <v>0</v>
      </c>
      <c r="P23" s="81">
        <v>1</v>
      </c>
      <c r="Q23" s="81">
        <v>67</v>
      </c>
      <c r="R23" s="84">
        <v>0</v>
      </c>
      <c r="S23" s="84">
        <v>2</v>
      </c>
      <c r="T23" s="84">
        <f ca="1">SUMIFS('Tổng Đơn'!$F:$F,'Tổng Đơn'!$B:$B,$C23)</f>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1964.1770569613288</v>
      </c>
      <c r="B24" s="6">
        <v>20</v>
      </c>
      <c r="C24" s="84" t="s">
        <v>171</v>
      </c>
      <c r="D24" s="92">
        <v>39</v>
      </c>
      <c r="E24" s="6">
        <v>1</v>
      </c>
      <c r="F24" s="6">
        <f>105+35+40+30+50</f>
        <v>260</v>
      </c>
      <c r="G24" s="95">
        <f t="shared" si="2"/>
        <v>39</v>
      </c>
      <c r="H24" s="97">
        <f t="shared" si="3"/>
        <v>10140</v>
      </c>
      <c r="I24" s="88">
        <f t="shared" si="4"/>
        <v>1.0852460604352783</v>
      </c>
      <c r="J24" s="89">
        <f t="shared" si="11"/>
        <v>40.085246060435281</v>
      </c>
      <c r="K24" s="89">
        <f t="shared" si="6"/>
        <v>10422.163975713172</v>
      </c>
      <c r="L24" s="96">
        <v>45</v>
      </c>
      <c r="M24" s="87">
        <f t="shared" si="7"/>
        <v>11700</v>
      </c>
      <c r="N24" s="87">
        <f t="shared" ca="1" si="8"/>
        <v>9540</v>
      </c>
      <c r="O24" s="91">
        <f t="shared" ca="1" si="9"/>
        <v>49</v>
      </c>
      <c r="P24" s="81">
        <v>-1</v>
      </c>
      <c r="Q24" s="81">
        <v>203</v>
      </c>
      <c r="R24" s="84">
        <v>5</v>
      </c>
      <c r="S24" s="84">
        <v>1</v>
      </c>
      <c r="T24" s="84">
        <f ca="1">SUMIFS('Tổng Đơn'!$F:$F,'Tổng Đơn'!$B:$B,$C24)</f>
        <v>3</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1862.9361149881781</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10480</v>
      </c>
      <c r="O25" s="91">
        <f t="shared" ca="1" si="9"/>
        <v>25</v>
      </c>
      <c r="P25" s="81"/>
      <c r="Q25" s="81">
        <v>129</v>
      </c>
      <c r="R25" s="84">
        <v>1</v>
      </c>
      <c r="S25" s="84">
        <v>1</v>
      </c>
      <c r="T25" s="84">
        <f ca="1">SUMIFS('Tổng Đơn'!$F:$F,'Tổng Đơn'!$B:$B,$C25)</f>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801.70492120870563</v>
      </c>
      <c r="B26" s="6">
        <v>22</v>
      </c>
      <c r="C26" s="84" t="s">
        <v>278</v>
      </c>
      <c r="D26" s="92">
        <v>78</v>
      </c>
      <c r="E26" s="6">
        <v>0.5</v>
      </c>
      <c r="F26" s="6">
        <v>27</v>
      </c>
      <c r="G26" s="95">
        <f t="shared" si="2"/>
        <v>39</v>
      </c>
      <c r="H26" s="97">
        <f t="shared" si="3"/>
        <v>1053</v>
      </c>
      <c r="I26" s="88">
        <f t="shared" ref="I26:I31" si="12">((H26/$H$4)*$A$2)/F26</f>
        <v>1.0852460604352785</v>
      </c>
      <c r="J26" s="89">
        <f t="shared" ref="J26:J31" si="13">G26+I26</f>
        <v>40.085246060435281</v>
      </c>
      <c r="K26" s="89">
        <f t="shared" ref="K26:K31" si="14">J26*F26</f>
        <v>1082.3016436317525</v>
      </c>
      <c r="L26" s="96">
        <v>44</v>
      </c>
      <c r="M26" s="87">
        <f t="shared" si="7"/>
        <v>1188</v>
      </c>
      <c r="N26" s="87">
        <f t="shared" ca="1" si="8"/>
        <v>308</v>
      </c>
      <c r="O26" s="91">
        <f t="shared" ca="1" si="9"/>
        <v>20</v>
      </c>
      <c r="P26" s="81"/>
      <c r="Q26" s="81">
        <v>7</v>
      </c>
      <c r="R26" s="84">
        <v>0</v>
      </c>
      <c r="S26" s="84">
        <v>0</v>
      </c>
      <c r="T26" s="84">
        <f ca="1">SUMIFS('Tổng Đơn'!$F:$F,'Tổng Đơn'!$B:$B,$C26)</f>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2"/>
        <v>0.8208912508420696</v>
      </c>
      <c r="J27" s="89">
        <f t="shared" si="13"/>
        <v>30.32089125084207</v>
      </c>
      <c r="K27" s="89">
        <f t="shared" si="14"/>
        <v>606.41782501684145</v>
      </c>
      <c r="L27" s="96">
        <v>35</v>
      </c>
      <c r="M27" s="87">
        <f t="shared" si="7"/>
        <v>700</v>
      </c>
      <c r="N27" s="87">
        <f t="shared" ca="1" si="8"/>
        <v>245</v>
      </c>
      <c r="O27" s="91">
        <f t="shared" ca="1" si="9"/>
        <v>7</v>
      </c>
      <c r="P27" s="81">
        <v>6</v>
      </c>
      <c r="Q27" s="81">
        <v>5</v>
      </c>
      <c r="R27" s="84">
        <v>2</v>
      </c>
      <c r="S27" s="84">
        <v>0</v>
      </c>
      <c r="T27" s="84">
        <f ca="1">SUMIFS('Tổng Đơn'!$F:$F,'Tổng Đơn'!$B:$B,$C27)</f>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647.53089789933915</v>
      </c>
      <c r="B28" s="6">
        <v>24</v>
      </c>
      <c r="C28" s="84" t="s">
        <v>177</v>
      </c>
      <c r="D28" s="92">
        <v>63</v>
      </c>
      <c r="E28" s="6">
        <v>0.5</v>
      </c>
      <c r="F28" s="6">
        <f>30+20</f>
        <v>50</v>
      </c>
      <c r="G28" s="95">
        <f t="shared" si="2"/>
        <v>31.5</v>
      </c>
      <c r="H28" s="97">
        <f t="shared" si="3"/>
        <v>1575</v>
      </c>
      <c r="I28" s="88">
        <f t="shared" si="12"/>
        <v>0.87654489496695565</v>
      </c>
      <c r="J28" s="89">
        <f t="shared" si="13"/>
        <v>32.376544894966955</v>
      </c>
      <c r="K28" s="89">
        <f t="shared" si="14"/>
        <v>1618.8272447483478</v>
      </c>
      <c r="L28" s="96">
        <v>38</v>
      </c>
      <c r="M28" s="87">
        <f t="shared" si="7"/>
        <v>1900</v>
      </c>
      <c r="N28" s="87">
        <f t="shared" ca="1" si="8"/>
        <v>1140</v>
      </c>
      <c r="O28" s="91">
        <f t="shared" ca="1" si="9"/>
        <v>20</v>
      </c>
      <c r="P28" s="81"/>
      <c r="Q28" s="81">
        <v>30</v>
      </c>
      <c r="R28" s="84">
        <v>0</v>
      </c>
      <c r="S28" s="84">
        <v>0</v>
      </c>
      <c r="T28" s="84">
        <f ca="1">SUMIFS('Tổng Đơn'!$F:$F,'Tổng Đơn'!$B:$B,$C28)</f>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2"/>
        <v>1.182639937653829</v>
      </c>
      <c r="J29" s="89">
        <f t="shared" si="13"/>
        <v>43.682639937653832</v>
      </c>
      <c r="K29" s="89">
        <f t="shared" si="14"/>
        <v>3931.4375943888449</v>
      </c>
      <c r="L29" s="96">
        <v>47</v>
      </c>
      <c r="M29" s="87">
        <f t="shared" si="7"/>
        <v>4230</v>
      </c>
      <c r="N29" s="87">
        <f t="shared" ca="1" si="8"/>
        <v>2491</v>
      </c>
      <c r="O29" s="91">
        <f t="shared" ca="1" si="9"/>
        <v>37</v>
      </c>
      <c r="P29" s="81"/>
      <c r="Q29" s="81">
        <v>51</v>
      </c>
      <c r="R29" s="84">
        <v>2</v>
      </c>
      <c r="S29" s="84">
        <v>0</v>
      </c>
      <c r="T29" s="84">
        <f ca="1">SUMIFS('Tổng Đơn'!$F:$F,'Tổng Đơn'!$B:$B,$C29)</f>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2"/>
        <v>1.2104667597162722</v>
      </c>
      <c r="J30" s="89">
        <f t="shared" si="13"/>
        <v>44.710466759716269</v>
      </c>
      <c r="K30" s="89">
        <f t="shared" si="14"/>
        <v>894.20933519432538</v>
      </c>
      <c r="L30" s="96">
        <v>50</v>
      </c>
      <c r="M30" s="87">
        <f t="shared" si="7"/>
        <v>1000</v>
      </c>
      <c r="N30" s="87">
        <f t="shared" ca="1" si="8"/>
        <v>400</v>
      </c>
      <c r="O30" s="91">
        <f t="shared" ca="1" si="9"/>
        <v>12</v>
      </c>
      <c r="P30" s="81"/>
      <c r="Q30" s="81">
        <v>8</v>
      </c>
      <c r="R30" s="84">
        <v>0</v>
      </c>
      <c r="S30" s="84">
        <v>0</v>
      </c>
      <c r="T30" s="84">
        <f ca="1">SUMIFS('Tổng Đơn'!$F:$F,'Tổng Đơn'!$B:$B,$C30)</f>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878.79193286338875</v>
      </c>
      <c r="B31" s="226" t="s">
        <v>288</v>
      </c>
      <c r="C31" s="227" t="s">
        <v>289</v>
      </c>
      <c r="D31" s="228">
        <v>57</v>
      </c>
      <c r="E31" s="226">
        <v>0.5</v>
      </c>
      <c r="F31" s="226">
        <v>30</v>
      </c>
      <c r="G31" s="227">
        <f>D31/2</f>
        <v>28.5</v>
      </c>
      <c r="H31" s="229">
        <f t="shared" si="3"/>
        <v>855</v>
      </c>
      <c r="I31" s="230">
        <f t="shared" si="12"/>
        <v>0.79306442877962657</v>
      </c>
      <c r="J31" s="227">
        <f t="shared" si="13"/>
        <v>29.293064428779626</v>
      </c>
      <c r="K31" s="227">
        <f t="shared" si="14"/>
        <v>878.79193286338875</v>
      </c>
      <c r="L31" s="231">
        <v>33</v>
      </c>
      <c r="M31" s="232">
        <f t="shared" si="7"/>
        <v>990</v>
      </c>
      <c r="N31" s="232">
        <f t="shared" si="8"/>
        <v>0</v>
      </c>
      <c r="O31" s="232">
        <f t="shared" si="9"/>
        <v>30</v>
      </c>
      <c r="P31" s="233"/>
      <c r="Q31" s="233"/>
      <c r="R31" s="227"/>
      <c r="S31" s="227"/>
      <c r="T31" s="227"/>
      <c r="U31" s="227"/>
      <c r="V31" s="227"/>
      <c r="W31" s="227"/>
      <c r="X31" s="227"/>
      <c r="Y31" s="227"/>
      <c r="Z31" s="227"/>
      <c r="AA31" s="227"/>
      <c r="AB31" s="227"/>
      <c r="AC31" s="227"/>
      <c r="AD31" s="227"/>
      <c r="AE31" s="227"/>
      <c r="AF31" s="227"/>
      <c r="AG31" s="227"/>
      <c r="AH31" s="227"/>
      <c r="AI31" s="227"/>
      <c r="AJ31" s="227"/>
      <c r="AK31" s="227"/>
      <c r="AL31" s="227"/>
      <c r="AM31" s="227"/>
      <c r="AN31" s="227"/>
      <c r="AO31" s="227"/>
      <c r="AP31" s="227"/>
      <c r="AQ31" s="227"/>
      <c r="AR31" s="227"/>
      <c r="AS31" s="227"/>
      <c r="AT31" s="227"/>
      <c r="AU31" s="227"/>
      <c r="AV31" s="227"/>
      <c r="AW31" s="82">
        <v>0</v>
      </c>
      <c r="AX31" s="82">
        <f t="shared" si="10"/>
        <v>0</v>
      </c>
    </row>
    <row r="32" spans="1:50" ht="18.75" x14ac:dyDescent="0.25">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0"/>
        <v>0</v>
      </c>
    </row>
    <row r="33" spans="1:50" ht="18.75" x14ac:dyDescent="0.25">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2">
        <v>0</v>
      </c>
    </row>
    <row r="34" spans="1:50" ht="18.75" x14ac:dyDescent="0.25">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2">
        <v>0</v>
      </c>
    </row>
    <row r="35" spans="1:50" ht="18.75" x14ac:dyDescent="0.25">
      <c r="A35" s="82">
        <f>IFERROR(J35*O35,"")</f>
        <v>0</v>
      </c>
      <c r="B35" s="219" t="s">
        <v>288</v>
      </c>
      <c r="C35" s="218" t="s">
        <v>290</v>
      </c>
      <c r="D35" s="220">
        <v>74</v>
      </c>
      <c r="E35" s="219">
        <v>0.5</v>
      </c>
      <c r="F35" s="219">
        <v>93</v>
      </c>
      <c r="G35" s="218">
        <v>37</v>
      </c>
      <c r="H35" s="221">
        <v>3441</v>
      </c>
      <c r="I35" s="222">
        <v>0.94740952748159901</v>
      </c>
      <c r="J35" s="218">
        <v>37.947409527481597</v>
      </c>
      <c r="K35" s="218">
        <v>3529.1090860557883</v>
      </c>
      <c r="L35" s="223">
        <v>42</v>
      </c>
      <c r="M35" s="224">
        <v>3906</v>
      </c>
      <c r="N35" s="224">
        <v>3864</v>
      </c>
      <c r="O35" s="224">
        <v>0</v>
      </c>
      <c r="P35" s="148">
        <v>1</v>
      </c>
      <c r="Q35" s="148">
        <v>92</v>
      </c>
      <c r="R35" s="218">
        <v>0</v>
      </c>
      <c r="S35" s="218">
        <v>0</v>
      </c>
      <c r="T35" s="218">
        <v>0</v>
      </c>
      <c r="U35" s="218">
        <v>0</v>
      </c>
      <c r="V35" s="218">
        <v>0</v>
      </c>
      <c r="W35" s="218">
        <v>0</v>
      </c>
      <c r="X35" s="218">
        <v>0</v>
      </c>
      <c r="Y35" s="218">
        <v>0</v>
      </c>
      <c r="Z35" s="218">
        <v>0</v>
      </c>
      <c r="AA35" s="218">
        <v>0</v>
      </c>
      <c r="AB35" s="218">
        <v>0</v>
      </c>
      <c r="AC35" s="218">
        <v>0</v>
      </c>
      <c r="AD35" s="218">
        <v>0</v>
      </c>
      <c r="AE35" s="218">
        <v>0</v>
      </c>
      <c r="AF35" s="218">
        <v>0</v>
      </c>
      <c r="AG35" s="218">
        <v>0</v>
      </c>
      <c r="AH35" s="218">
        <v>0</v>
      </c>
      <c r="AI35" s="218">
        <v>0</v>
      </c>
      <c r="AJ35" s="218">
        <v>0</v>
      </c>
      <c r="AK35" s="218">
        <v>0</v>
      </c>
      <c r="AL35" s="218">
        <v>0</v>
      </c>
      <c r="AM35" s="218">
        <v>0</v>
      </c>
      <c r="AN35" s="218">
        <v>0</v>
      </c>
      <c r="AO35" s="218">
        <v>0</v>
      </c>
      <c r="AP35" s="218">
        <v>0</v>
      </c>
      <c r="AQ35" s="218">
        <v>0</v>
      </c>
      <c r="AR35" s="218">
        <v>0</v>
      </c>
      <c r="AS35" s="218">
        <v>0</v>
      </c>
      <c r="AT35" s="218">
        <v>0</v>
      </c>
      <c r="AU35" s="218">
        <v>0</v>
      </c>
      <c r="AV35" s="218">
        <v>0</v>
      </c>
      <c r="AW35" s="82">
        <v>0</v>
      </c>
      <c r="AX35" s="82">
        <f>AW35*G35</f>
        <v>0</v>
      </c>
    </row>
  </sheetData>
  <autoFilter ref="B4:AW35"/>
  <mergeCells count="1">
    <mergeCell ref="B1:M1"/>
  </mergeCells>
  <conditionalFormatting sqref="C6:C19">
    <cfRule type="expression" dxfId="506" priority="23">
      <formula>($O6/$O6)&lt;=1/4</formula>
    </cfRule>
  </conditionalFormatting>
  <conditionalFormatting sqref="C20">
    <cfRule type="expression" dxfId="505" priority="22">
      <formula>($O20/$O20)&lt;=1/4</formula>
    </cfRule>
  </conditionalFormatting>
  <conditionalFormatting sqref="C21">
    <cfRule type="expression" dxfId="504" priority="20">
      <formula>($O21/$O21)&lt;=1/4</formula>
    </cfRule>
  </conditionalFormatting>
  <conditionalFormatting sqref="C22">
    <cfRule type="expression" dxfId="503" priority="18">
      <formula>($O22/$O22)&lt;=1/4</formula>
    </cfRule>
  </conditionalFormatting>
  <conditionalFormatting sqref="C23">
    <cfRule type="expression" dxfId="502" priority="16">
      <formula>($O23/$O23)&lt;=1/4</formula>
    </cfRule>
  </conditionalFormatting>
  <conditionalFormatting sqref="C24:C25">
    <cfRule type="expression" dxfId="501" priority="14">
      <formula>($O24/$O24)&lt;=1/4</formula>
    </cfRule>
  </conditionalFormatting>
  <conditionalFormatting sqref="C26">
    <cfRule type="expression" dxfId="500" priority="12">
      <formula>($O26/$O26)&lt;=1/4</formula>
    </cfRule>
  </conditionalFormatting>
  <conditionalFormatting sqref="C27:C28">
    <cfRule type="expression" dxfId="499" priority="10">
      <formula>($O27/$O27)&lt;=1/4</formula>
    </cfRule>
  </conditionalFormatting>
  <conditionalFormatting sqref="C29">
    <cfRule type="expression" dxfId="498" priority="7">
      <formula>($O29/$O29)&lt;=1/4</formula>
    </cfRule>
  </conditionalFormatting>
  <conditionalFormatting sqref="C30 C32:C34">
    <cfRule type="expression" dxfId="497" priority="5">
      <formula>($O30/$O30)&lt;=1/4</formula>
    </cfRule>
  </conditionalFormatting>
  <conditionalFormatting sqref="C5:C30 C32:C34">
    <cfRule type="expression" dxfId="496" priority="41">
      <formula>($O5/$F5)&lt;=1/4</formula>
    </cfRule>
  </conditionalFormatting>
  <conditionalFormatting sqref="C31">
    <cfRule type="expression" dxfId="495" priority="1">
      <formula>($O31/$O31)&lt;=1/4</formula>
    </cfRule>
  </conditionalFormatting>
  <conditionalFormatting sqref="C31">
    <cfRule type="expression" dxfId="494"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B1" zoomScaleNormal="100" workbookViewId="0">
      <selection activeCell="L12" sqref="L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44139</v>
      </c>
      <c r="G1" s="103" t="s">
        <v>151</v>
      </c>
      <c r="H1" s="153">
        <f>60000+6217+H4+H5</f>
        <v>126017</v>
      </c>
      <c r="I1" s="104">
        <f>H1-H2-H3</f>
        <v>-251166</v>
      </c>
      <c r="J1" s="111" t="s">
        <v>149</v>
      </c>
    </row>
    <row r="2" spans="1:17" ht="27.75" customHeight="1" x14ac:dyDescent="0.25">
      <c r="G2" s="114" t="s">
        <v>148</v>
      </c>
      <c r="H2" s="105">
        <f>D1</f>
        <v>44139</v>
      </c>
      <c r="I2" s="106">
        <v>-3828</v>
      </c>
      <c r="J2" s="106" t="s">
        <v>152</v>
      </c>
    </row>
    <row r="3" spans="1:17" ht="27.75" customHeight="1" x14ac:dyDescent="0.25">
      <c r="G3" s="107" t="s">
        <v>150</v>
      </c>
      <c r="H3" s="119">
        <f>INT('Quốc Nhân'!K4+'La Cusina'!K4+TVP!J4+Gà!K4+Kitkool!K4)</f>
        <v>333044</v>
      </c>
      <c r="I3" s="108">
        <f>I1+I2</f>
        <v>-254994</v>
      </c>
      <c r="J3" s="112" t="s">
        <v>147</v>
      </c>
    </row>
    <row r="4" spans="1:17" ht="27.75" customHeight="1" x14ac:dyDescent="0.25">
      <c r="A4" s="134" t="s">
        <v>242</v>
      </c>
      <c r="B4">
        <v>3500</v>
      </c>
      <c r="G4" s="109" t="s">
        <v>200</v>
      </c>
      <c r="H4" s="149">
        <f>35000</f>
        <v>35000</v>
      </c>
      <c r="I4" s="110">
        <f ca="1">INT('Quốc Nhân'!K4+'La Cusina'!K4+TVP!J4+Gà!K4+Kitkool!K4-('Quốc Nhân'!A4+'La Cusina'!A4+TVP!A4+Gà!A4+Kitkool!A4))</f>
        <v>260336</v>
      </c>
      <c r="J4" s="113" t="s">
        <v>157</v>
      </c>
    </row>
    <row r="5" spans="1:17" ht="27.75" customHeight="1" x14ac:dyDescent="0.25">
      <c r="A5" s="134" t="s">
        <v>226</v>
      </c>
      <c r="B5">
        <v>200</v>
      </c>
      <c r="G5" s="109" t="s">
        <v>197</v>
      </c>
      <c r="H5" s="149">
        <f>7400+5000+2400+10000</f>
        <v>24800</v>
      </c>
      <c r="I5" s="115">
        <f ca="1">I4+I3</f>
        <v>5342</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45+65+130+25+60+25+78+84+65+25+43+43</f>
        <v>688</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34">
        <v>1</v>
      </c>
      <c r="M2" s="234" t="s">
        <v>108</v>
      </c>
      <c r="N2" s="238" t="s">
        <v>282</v>
      </c>
      <c r="O2" s="239">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34">
        <v>2</v>
      </c>
      <c r="M3" s="234" t="s">
        <v>109</v>
      </c>
      <c r="N3" s="238" t="s">
        <v>1</v>
      </c>
      <c r="O3" s="236">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34">
        <v>3</v>
      </c>
      <c r="M4" s="234" t="s">
        <v>110</v>
      </c>
      <c r="N4" s="238" t="s">
        <v>2</v>
      </c>
      <c r="O4" s="236">
        <v>28000</v>
      </c>
      <c r="P4" s="155">
        <f t="shared" si="0"/>
        <v>3</v>
      </c>
      <c r="Q4" s="146"/>
      <c r="R4" s="147">
        <f>O4*Q4</f>
        <v>0</v>
      </c>
    </row>
    <row r="5" spans="1:18" s="145" customFormat="1" ht="18.75" x14ac:dyDescent="0.3">
      <c r="A5" s="141">
        <v>1</v>
      </c>
      <c r="B5" s="142" t="s">
        <v>282</v>
      </c>
      <c r="C5" s="141" t="s">
        <v>108</v>
      </c>
      <c r="D5" s="143">
        <v>48000</v>
      </c>
      <c r="E5" s="144"/>
      <c r="F5" s="144"/>
      <c r="G5" s="144"/>
      <c r="H5" s="144"/>
      <c r="I5" s="144"/>
      <c r="J5" s="144"/>
      <c r="K5" s="144"/>
      <c r="L5" s="234">
        <v>4</v>
      </c>
      <c r="M5" s="235" t="s">
        <v>111</v>
      </c>
      <c r="N5" s="238" t="s">
        <v>3</v>
      </c>
      <c r="O5" s="236">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8" t="s">
        <v>30</v>
      </c>
      <c r="O6" s="236">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34">
        <v>6</v>
      </c>
      <c r="M7" s="235" t="s">
        <v>113</v>
      </c>
      <c r="N7" s="238" t="s">
        <v>28</v>
      </c>
      <c r="O7" s="236">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34">
        <v>7</v>
      </c>
      <c r="M8" s="235" t="s">
        <v>114</v>
      </c>
      <c r="N8" s="238" t="s">
        <v>61</v>
      </c>
      <c r="O8" s="239">
        <v>35000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34">
        <v>8</v>
      </c>
      <c r="M9" s="235" t="s">
        <v>115</v>
      </c>
      <c r="N9" s="238" t="s">
        <v>159</v>
      </c>
      <c r="O9" s="239">
        <v>45000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8" t="s">
        <v>6</v>
      </c>
      <c r="O10" s="239">
        <v>50000</v>
      </c>
      <c r="P10" s="155">
        <f t="shared" si="0"/>
        <v>9</v>
      </c>
      <c r="Q10" s="146"/>
      <c r="R10" s="147">
        <f t="shared" si="1"/>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8" t="s">
        <v>58</v>
      </c>
      <c r="O11" s="239">
        <v>45000</v>
      </c>
      <c r="P11" s="155">
        <f t="shared" si="0"/>
        <v>10</v>
      </c>
      <c r="Q11" s="146"/>
      <c r="R11" s="147">
        <f t="shared" si="1"/>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8" t="s">
        <v>35</v>
      </c>
      <c r="O12" s="239">
        <v>45000</v>
      </c>
      <c r="P12" s="155">
        <f t="shared" si="0"/>
        <v>11</v>
      </c>
      <c r="Q12" s="146"/>
      <c r="R12" s="147">
        <f t="shared" si="1"/>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8" t="s">
        <v>32</v>
      </c>
      <c r="O13" s="239">
        <v>45000</v>
      </c>
      <c r="P13" s="155">
        <f t="shared" si="0"/>
        <v>12</v>
      </c>
      <c r="Q13" s="146"/>
      <c r="R13" s="147">
        <f t="shared" si="1"/>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8" t="s">
        <v>34</v>
      </c>
      <c r="O14" s="239">
        <v>45000</v>
      </c>
      <c r="P14" s="155">
        <f t="shared" si="0"/>
        <v>13</v>
      </c>
      <c r="Q14" s="146"/>
      <c r="R14" s="147">
        <f t="shared" si="1"/>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8" t="s">
        <v>33</v>
      </c>
      <c r="O15" s="239">
        <v>45000</v>
      </c>
      <c r="P15" s="155">
        <f t="shared" si="0"/>
        <v>14</v>
      </c>
      <c r="Q15" s="146"/>
      <c r="R15" s="147">
        <f t="shared" si="1"/>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8" t="s">
        <v>5</v>
      </c>
      <c r="O16" s="239">
        <v>40000</v>
      </c>
      <c r="P16" s="155">
        <f t="shared" si="0"/>
        <v>15</v>
      </c>
      <c r="Q16" s="146"/>
      <c r="R16" s="147">
        <f t="shared" si="1"/>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8" t="s">
        <v>4</v>
      </c>
      <c r="O17" s="239">
        <v>40000</v>
      </c>
      <c r="P17" s="155">
        <f t="shared" si="0"/>
        <v>16</v>
      </c>
      <c r="Q17" s="146"/>
      <c r="R17" s="147">
        <f t="shared" si="1"/>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8" t="s">
        <v>9</v>
      </c>
      <c r="O18" s="239">
        <v>55000</v>
      </c>
      <c r="P18" s="155">
        <f t="shared" si="0"/>
        <v>17</v>
      </c>
      <c r="Q18" s="146"/>
      <c r="R18" s="147">
        <f t="shared" si="1"/>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8" t="s">
        <v>14</v>
      </c>
      <c r="O19" s="239">
        <v>33000</v>
      </c>
      <c r="P19" s="155">
        <f t="shared" si="0"/>
        <v>18</v>
      </c>
      <c r="Q19" s="146"/>
      <c r="R19" s="147">
        <f t="shared" si="1"/>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8" t="s">
        <v>8</v>
      </c>
      <c r="O20" s="239">
        <v>69000</v>
      </c>
      <c r="P20" s="155">
        <f t="shared" si="0"/>
        <v>19</v>
      </c>
      <c r="Q20" s="146"/>
      <c r="R20" s="147">
        <f t="shared" si="1"/>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8" t="s">
        <v>283</v>
      </c>
      <c r="O21" s="239">
        <v>40000</v>
      </c>
      <c r="P21" s="155">
        <f t="shared" si="0"/>
        <v>20</v>
      </c>
      <c r="Q21" s="146"/>
      <c r="R21" s="147">
        <f t="shared" si="1"/>
        <v>0</v>
      </c>
    </row>
    <row r="22" spans="1:18" s="145" customFormat="1" ht="18.75" x14ac:dyDescent="0.3">
      <c r="A22" s="141">
        <v>18</v>
      </c>
      <c r="B22" s="142" t="s">
        <v>14</v>
      </c>
      <c r="C22" s="141" t="s">
        <v>77</v>
      </c>
      <c r="D22" s="143">
        <v>33000</v>
      </c>
      <c r="E22" s="144"/>
      <c r="F22" s="144"/>
      <c r="G22" s="144"/>
      <c r="H22" s="144"/>
      <c r="I22" s="144"/>
      <c r="J22" s="144"/>
      <c r="K22" s="144"/>
      <c r="L22" s="234">
        <v>21</v>
      </c>
      <c r="M22" s="235" t="s">
        <v>80</v>
      </c>
      <c r="N22" s="238" t="s">
        <v>29</v>
      </c>
      <c r="O22" s="239">
        <v>50000</v>
      </c>
      <c r="P22" s="155">
        <f t="shared" si="0"/>
        <v>21</v>
      </c>
      <c r="Q22" s="146"/>
      <c r="R22" s="147">
        <f t="shared" si="1"/>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8" t="s">
        <v>38</v>
      </c>
      <c r="O23" s="239">
        <v>32000</v>
      </c>
      <c r="P23" s="155">
        <f t="shared" si="0"/>
        <v>22</v>
      </c>
      <c r="Q23" s="146"/>
      <c r="R23" s="147">
        <f t="shared" si="1"/>
        <v>0</v>
      </c>
    </row>
    <row r="24" spans="1:18" s="145" customFormat="1" ht="18.75" x14ac:dyDescent="0.3">
      <c r="A24" s="141">
        <v>20</v>
      </c>
      <c r="B24" s="142" t="s">
        <v>283</v>
      </c>
      <c r="C24" s="141" t="s">
        <v>79</v>
      </c>
      <c r="D24" s="143">
        <v>40000</v>
      </c>
      <c r="E24" s="144"/>
      <c r="F24" s="144"/>
      <c r="G24" s="144"/>
      <c r="H24" s="144"/>
      <c r="I24" s="144"/>
      <c r="J24" s="144"/>
      <c r="K24" s="144"/>
      <c r="L24" s="234">
        <v>23</v>
      </c>
      <c r="M24" s="235" t="s">
        <v>82</v>
      </c>
      <c r="N24" s="238" t="s">
        <v>39</v>
      </c>
      <c r="O24" s="239">
        <v>14000</v>
      </c>
      <c r="P24" s="155">
        <f t="shared" si="0"/>
        <v>23</v>
      </c>
      <c r="Q24" s="146"/>
      <c r="R24" s="147">
        <f t="shared" si="1"/>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8" t="s">
        <v>67</v>
      </c>
      <c r="O25" s="239">
        <v>32000</v>
      </c>
      <c r="P25" s="155">
        <f t="shared" si="0"/>
        <v>24</v>
      </c>
      <c r="Q25" s="146"/>
      <c r="R25" s="147">
        <f t="shared" si="1"/>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8" t="s">
        <v>40</v>
      </c>
      <c r="O26" s="239">
        <v>35000</v>
      </c>
      <c r="P26" s="155">
        <f t="shared" si="0"/>
        <v>25</v>
      </c>
      <c r="Q26" s="146"/>
      <c r="R26" s="147">
        <f t="shared" si="1"/>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8" t="s">
        <v>41</v>
      </c>
      <c r="O27" s="239">
        <v>14000</v>
      </c>
      <c r="P27" s="155">
        <f t="shared" si="0"/>
        <v>26</v>
      </c>
      <c r="Q27" s="146"/>
      <c r="R27" s="147">
        <f t="shared" si="1"/>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8" t="s">
        <v>42</v>
      </c>
      <c r="O28" s="239">
        <v>35000</v>
      </c>
      <c r="P28" s="155">
        <f t="shared" si="0"/>
        <v>27</v>
      </c>
      <c r="Q28" s="146"/>
      <c r="R28" s="147">
        <f t="shared" si="1"/>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8" t="s">
        <v>43</v>
      </c>
      <c r="O29" s="239">
        <v>14000</v>
      </c>
      <c r="P29" s="155">
        <f t="shared" si="0"/>
        <v>28</v>
      </c>
      <c r="Q29" s="146"/>
      <c r="R29" s="147">
        <f t="shared" si="1"/>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8" t="s">
        <v>48</v>
      </c>
      <c r="O30" s="239">
        <v>59000</v>
      </c>
      <c r="P30" s="155">
        <f t="shared" si="0"/>
        <v>29</v>
      </c>
      <c r="Q30" s="146"/>
      <c r="R30" s="147">
        <f t="shared" si="1"/>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8" t="s">
        <v>49</v>
      </c>
      <c r="O31" s="239">
        <v>52000</v>
      </c>
      <c r="P31" s="155">
        <f t="shared" si="0"/>
        <v>30</v>
      </c>
      <c r="Q31" s="146"/>
      <c r="R31" s="147">
        <f t="shared" si="1"/>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8" t="s">
        <v>45</v>
      </c>
      <c r="O32" s="239">
        <v>65000</v>
      </c>
      <c r="P32" s="155">
        <f t="shared" si="0"/>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8" t="s">
        <v>44</v>
      </c>
      <c r="O33" s="239">
        <v>44000</v>
      </c>
      <c r="P33" s="155">
        <f t="shared" si="0"/>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8" t="s">
        <v>281</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8" t="s">
        <v>246</v>
      </c>
      <c r="O41" s="239">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34">
        <v>41</v>
      </c>
      <c r="M42" s="235"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8" t="s">
        <v>145</v>
      </c>
      <c r="O43" s="239">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34">
        <v>43</v>
      </c>
      <c r="M44" s="235"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8" t="s">
        <v>278</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8" t="s">
        <v>177</v>
      </c>
      <c r="O51" s="239">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34">
        <v>51</v>
      </c>
      <c r="M52" s="235"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8" t="s">
        <v>237</v>
      </c>
      <c r="O57" s="239">
        <v>18000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8" t="s">
        <v>229</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8" t="s">
        <v>230</v>
      </c>
      <c r="O59" s="239">
        <v>26000</v>
      </c>
      <c r="P59" s="155">
        <f t="shared" si="2"/>
        <v>58</v>
      </c>
      <c r="Q59" s="146"/>
      <c r="R59" s="146"/>
    </row>
    <row r="60" spans="1:18" s="145" customFormat="1" ht="18.75" x14ac:dyDescent="0.3">
      <c r="A60" s="141">
        <v>56</v>
      </c>
      <c r="B60" s="142" t="s">
        <v>237</v>
      </c>
      <c r="C60" s="141" t="s">
        <v>174</v>
      </c>
      <c r="D60" s="143">
        <v>18000</v>
      </c>
      <c r="E60" s="144"/>
      <c r="F60" s="144"/>
      <c r="G60" s="144"/>
      <c r="H60" s="144"/>
      <c r="I60" s="144"/>
      <c r="J60" s="144"/>
      <c r="K60" s="144"/>
      <c r="L60" s="234">
        <v>59</v>
      </c>
      <c r="M60" s="235" t="s">
        <v>179</v>
      </c>
      <c r="N60" s="238" t="s">
        <v>231</v>
      </c>
      <c r="O60" s="239">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34">
        <v>60</v>
      </c>
      <c r="M61" s="235" t="s">
        <v>184</v>
      </c>
      <c r="N61" s="238" t="s">
        <v>232</v>
      </c>
      <c r="O61" s="239">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34">
        <v>61</v>
      </c>
      <c r="M62" s="235" t="s">
        <v>199</v>
      </c>
      <c r="N62" s="238" t="s">
        <v>233</v>
      </c>
      <c r="O62" s="239">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34">
        <v>62</v>
      </c>
      <c r="M63" s="235" t="s">
        <v>202</v>
      </c>
      <c r="N63" s="238" t="s">
        <v>234</v>
      </c>
      <c r="O63" s="239">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34">
        <v>63</v>
      </c>
      <c r="M64" s="235" t="s">
        <v>206</v>
      </c>
      <c r="N64" s="238" t="s">
        <v>235</v>
      </c>
      <c r="O64" s="239">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34">
        <v>64</v>
      </c>
      <c r="M65" s="235" t="s">
        <v>207</v>
      </c>
      <c r="N65" s="238" t="s">
        <v>236</v>
      </c>
      <c r="O65" s="239">
        <v>45000</v>
      </c>
      <c r="P65" s="155">
        <f t="shared" si="2"/>
        <v>64</v>
      </c>
      <c r="Q65" s="146"/>
      <c r="R65" s="146"/>
    </row>
    <row r="66" spans="1:18" ht="18.75" x14ac:dyDescent="0.3">
      <c r="A66" s="141">
        <v>62</v>
      </c>
      <c r="B66" s="142" t="s">
        <v>234</v>
      </c>
      <c r="C66" s="141" t="s">
        <v>202</v>
      </c>
      <c r="D66" s="143">
        <v>35000</v>
      </c>
      <c r="L66" s="234">
        <v>65</v>
      </c>
      <c r="M66" s="235" t="s">
        <v>238</v>
      </c>
      <c r="N66" s="238" t="s">
        <v>284</v>
      </c>
      <c r="O66" s="239">
        <v>40000</v>
      </c>
      <c r="P66" s="155">
        <f t="shared" ref="P66:P78" si="3">IF($N66="","",LOOKUP(2,1/($N66=$B$2:$B$100),$A$2:$A$100))</f>
        <v>65</v>
      </c>
      <c r="Q66" s="146"/>
    </row>
    <row r="67" spans="1:18" ht="18.75" x14ac:dyDescent="0.3">
      <c r="A67" s="141">
        <v>63</v>
      </c>
      <c r="B67" s="142" t="s">
        <v>235</v>
      </c>
      <c r="C67" s="141" t="s">
        <v>206</v>
      </c>
      <c r="D67" s="143">
        <v>42000</v>
      </c>
      <c r="L67" s="234" t="s">
        <v>209</v>
      </c>
      <c r="M67" s="235" t="s">
        <v>212</v>
      </c>
      <c r="N67" s="238" t="s">
        <v>215</v>
      </c>
      <c r="O67" s="239">
        <v>60000</v>
      </c>
      <c r="P67" s="155" t="str">
        <f t="shared" si="3"/>
        <v>G1</v>
      </c>
      <c r="Q67" s="146"/>
    </row>
    <row r="68" spans="1:18" ht="18.75" x14ac:dyDescent="0.3">
      <c r="A68" s="141">
        <v>64</v>
      </c>
      <c r="B68" s="142" t="s">
        <v>236</v>
      </c>
      <c r="C68" s="141" t="s">
        <v>207</v>
      </c>
      <c r="D68" s="143">
        <v>45000</v>
      </c>
      <c r="L68" s="234" t="s">
        <v>210</v>
      </c>
      <c r="M68" s="235" t="s">
        <v>213</v>
      </c>
      <c r="N68" s="238" t="s">
        <v>216</v>
      </c>
      <c r="O68" s="239">
        <v>70000</v>
      </c>
      <c r="P68" s="155" t="str">
        <f t="shared" si="3"/>
        <v>G2</v>
      </c>
      <c r="Q68" s="146"/>
    </row>
    <row r="69" spans="1:18" ht="18.75" x14ac:dyDescent="0.3">
      <c r="A69" s="141">
        <v>65</v>
      </c>
      <c r="B69" s="142" t="s">
        <v>284</v>
      </c>
      <c r="C69" s="141" t="s">
        <v>238</v>
      </c>
      <c r="D69" s="143">
        <v>40000</v>
      </c>
      <c r="L69" s="234" t="s">
        <v>211</v>
      </c>
      <c r="M69" s="235" t="s">
        <v>214</v>
      </c>
      <c r="N69" s="238" t="s">
        <v>217</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J6" sqref="J6"/>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3">
        <f ca="1">'Quốc Nhân'!N4+'La Cusina'!N4+TVP!M4+Gà!N4+Kitkool!N4-('Quốc Nhân'!K4+'La Cusina'!K4+TVP!J4+Gà!K4+Kitkool!K4-('Quốc Nhân'!A4+'La Cusina'!A4+TVP!A4+Gà!A4+Kitkool!A4))</f>
        <v>44472.7521922054</v>
      </c>
      <c r="B1" s="259" t="str">
        <f>"Tiền Hàng: "&amp;INT('Quốc Nhân'!K4+'La Cusina'!K4+TVP!J4+Gà!K4+Kitkool!K4)</f>
        <v>Tiền Hàng: 333044</v>
      </c>
      <c r="C1" s="258" t="str">
        <f ca="1">"Giá trị hàng Tồn: "&amp;INT('Quốc Nhân'!A4+'La Cusina'!A4+TVP!A4+Gà!A4+Kitkool!A4)</f>
        <v>Giá trị hàng Tồn: 72707</v>
      </c>
      <c r="D1" s="257" t="str">
        <f ca="1">"Giá trị Hàng xuất: "&amp;CHAR(10)&amp;INT('Quốc Nhân'!K4+'La Cusina'!K4+TVP!J4+Gà!K4+Kitkool!K4-('Quốc Nhân'!A4+'La Cusina'!A4+TVP!A4+Gà!A4+Kitkool!A4))</f>
        <v>Giá trị Hàng xuất: 
260336</v>
      </c>
      <c r="E1" s="260" t="str">
        <f ca="1">"Doanh Thu Tích Lũy: "&amp;INT('Quốc Nhân'!N4+'La Cusina'!N4+TVP!M4+Gà!N4+Kitkool!N4)</f>
        <v>Doanh Thu Tích Lũy: 304809</v>
      </c>
      <c r="F1" s="255">
        <v>14665</v>
      </c>
      <c r="G1" s="206">
        <f>-774-503+13</f>
        <v>-1264</v>
      </c>
      <c r="H1" s="207" t="s">
        <v>263</v>
      </c>
      <c r="I1" s="208">
        <f>-176</f>
        <v>-176</v>
      </c>
      <c r="J1" s="209" t="s">
        <v>264</v>
      </c>
      <c r="K1" s="212">
        <f>-750-135</f>
        <v>-885</v>
      </c>
      <c r="L1" s="213" t="s">
        <v>291</v>
      </c>
      <c r="M1" s="210"/>
      <c r="N1" s="210"/>
      <c r="O1" s="210"/>
      <c r="P1" s="210"/>
      <c r="Q1" s="210"/>
    </row>
    <row r="2" spans="1:55" s="211" customFormat="1" ht="20.25" customHeight="1" x14ac:dyDescent="0.25">
      <c r="A2" s="254"/>
      <c r="B2" s="259"/>
      <c r="C2" s="258"/>
      <c r="D2" s="257"/>
      <c r="E2" s="260"/>
      <c r="F2" s="256"/>
      <c r="G2" s="212">
        <v>-675</v>
      </c>
      <c r="H2" s="213" t="s">
        <v>279</v>
      </c>
      <c r="I2" s="206">
        <v>-374</v>
      </c>
      <c r="J2" s="207" t="s">
        <v>285</v>
      </c>
      <c r="K2" s="208">
        <v>-210</v>
      </c>
      <c r="L2" s="209" t="s">
        <v>296</v>
      </c>
      <c r="M2" s="242"/>
      <c r="N2" s="242"/>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41.2</v>
      </c>
      <c r="G4" s="55"/>
      <c r="H4" s="75">
        <f ca="1">SUBTOTAL(9,H5:H92)</f>
        <v>612297.96437628567</v>
      </c>
      <c r="I4" s="75">
        <f ca="1">K4-J4</f>
        <v>630297.96437628544</v>
      </c>
      <c r="J4" s="40">
        <f ca="1">SUBTOTAL(9,J5:J92)</f>
        <v>1963702.0356237146</v>
      </c>
      <c r="K4" s="60">
        <f ca="1">SUM(L4:BC4)</f>
        <v>2594000</v>
      </c>
      <c r="L4" s="79">
        <f t="shared" ref="L4:AN4" ca="1" si="0">IFERROR(INDIRECT("'Thanh Toán ("&amp;L$3&amp;")'!$H"&amp;SUBTOTAL(3,INDIRECT("'Thanh Toán ("&amp;L$3&amp;")'!$H$8:$H$50"))+7-COUNTIF(INDIRECT("'Thanh Toán ("&amp;L$3&amp;")'!$H$8:$H$50"),""&amp;"*")),"")</f>
        <v>210000</v>
      </c>
      <c r="M4" s="79">
        <f t="shared" ca="1" si="0"/>
        <v>49000</v>
      </c>
      <c r="N4" s="79">
        <f t="shared" ca="1" si="0"/>
        <v>559000</v>
      </c>
      <c r="O4" s="79">
        <f t="shared" ca="1" si="0"/>
        <v>94000</v>
      </c>
      <c r="P4" s="79">
        <f t="shared" ca="1" si="0"/>
        <v>85000</v>
      </c>
      <c r="Q4" s="79">
        <f t="shared" ca="1" si="0"/>
        <v>70000</v>
      </c>
      <c r="R4" s="79">
        <f t="shared" ca="1" si="0"/>
        <v>273000</v>
      </c>
      <c r="S4" s="79">
        <f t="shared" ca="1" si="0"/>
        <v>100000</v>
      </c>
      <c r="T4" s="79">
        <f t="shared" ca="1" si="0"/>
        <v>80000</v>
      </c>
      <c r="U4" s="79">
        <f t="shared" ca="1" si="0"/>
        <v>202000</v>
      </c>
      <c r="V4" s="79">
        <f t="shared" ca="1" si="0"/>
        <v>203000</v>
      </c>
      <c r="W4" s="79">
        <f t="shared" ca="1" si="0"/>
        <v>50000</v>
      </c>
      <c r="X4" s="79">
        <f t="shared" ca="1" si="0"/>
        <v>240000</v>
      </c>
      <c r="Y4" s="79">
        <f t="shared" ca="1" si="0"/>
        <v>50000</v>
      </c>
      <c r="Z4" s="79">
        <f t="shared" ca="1" si="0"/>
        <v>68000</v>
      </c>
      <c r="AA4" s="79">
        <f t="shared" ca="1" si="0"/>
        <v>51000</v>
      </c>
      <c r="AB4" s="79">
        <f t="shared" ca="1" si="0"/>
        <v>81000</v>
      </c>
      <c r="AC4" s="79">
        <f t="shared" ca="1" si="0"/>
        <v>129000</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60000</v>
      </c>
      <c r="E5" s="199">
        <v>1</v>
      </c>
      <c r="F5" s="200">
        <f t="shared" ref="F5:F36" ca="1" si="2">SUM(L5:BR5)</f>
        <v>11</v>
      </c>
      <c r="G5" s="201">
        <f>IFERROR(VLOOKUP($B5,Gà!C:J,8,0),IFERROR(VLOOKUP($B5,TVP!C:J,7,0),IFERROR(VLOOKUP($B5,Kitkool!C:J,8,0),IFERROR(VLOOKUP($B5,'La Cusina'!C:J,8,0),VLOOKUP($B5,'Quốc Nhân'!C:J,8,0)))))</f>
        <v>32.264113171701752</v>
      </c>
      <c r="H5" s="202">
        <f ca="1">(D5-G5*1000)*$F5</f>
        <v>305094.75511128071</v>
      </c>
      <c r="I5" s="241">
        <f>D5/(G5*1000)-1</f>
        <v>0.85965129990384703</v>
      </c>
      <c r="J5" s="202">
        <f ca="1">F5*G5*1000</f>
        <v>354905.24488871929</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6</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4</v>
      </c>
      <c r="Y5" s="181">
        <f ca="1">IFERROR(SUMIFS(INDIRECT("'Thanh Toán ("&amp;Y$3&amp;")'!$F:$F"),INDIRECT("'Thanh Toán ("&amp;Y$3&amp;")'!$D:$D"),'Tổng Đơn'!$B5),0)</f>
        <v>1</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6.1</v>
      </c>
      <c r="G6" s="201">
        <f>IFERROR(VLOOKUP($B6,Gà!C:J,8,0),IFERROR(VLOOKUP($B6,TVP!C:J,7,0),IFERROR(VLOOKUP($B6,Kitkool!C:J,8,0),IFERROR(VLOOKUP($B6,'La Cusina'!C:J,8,0),VLOOKUP($B6,'Quốc Nhân'!C:J,8,0)))))</f>
        <v>60.111032199071403</v>
      </c>
      <c r="H6" s="202">
        <f ca="1">(D6-G6*1000)*$F6</f>
        <v>60322.703585664458</v>
      </c>
      <c r="I6" s="241">
        <f t="shared" ref="I6:I69" si="3">D6/(G6*1000)-1</f>
        <v>0.16451169509415564</v>
      </c>
      <c r="J6" s="202">
        <f t="shared" ref="J6:J69" ca="1" si="4">F6*G6*1000</f>
        <v>366677.29641433555</v>
      </c>
      <c r="K6" s="53"/>
      <c r="L6" s="181">
        <f ca="1">IFERROR(SUMIFS(INDIRECT("'Thanh Toán ("&amp;L$3&amp;")'!$F:$F"),INDIRECT("'Thanh Toán ("&amp;L$3&amp;")'!$D:$D"),'Tổng Đơn'!$B6),0)</f>
        <v>3</v>
      </c>
      <c r="M6" s="181">
        <f ca="1">IFERROR(SUMIFS(INDIRECT("'Thanh Toán ("&amp;M$3&amp;")'!$F:$F"),INDIRECT("'Thanh Toán ("&amp;M$3&amp;")'!$D:$D"),'Tổng Đơn'!$B6),0)</f>
        <v>0</v>
      </c>
      <c r="N6" s="181">
        <f ca="1">IFERROR(SUMIFS(INDIRECT("'Thanh Toán ("&amp;N$3&amp;")'!$F:$F"),INDIRECT("'Thanh Toán ("&amp;N$3&amp;")'!$D:$D"),'Tổng Đơn'!$B6),0)</f>
        <v>2.1</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1</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0</v>
      </c>
      <c r="G7" s="201">
        <f>IFERROR(VLOOKUP($B7,Gà!C:J,8,0),IFERROR(VLOOKUP($B7,TVP!C:J,7,0),IFERROR(VLOOKUP($B7,Kitkool!C:J,8,0),IFERROR(VLOOKUP($B7,'La Cusina'!C:J,8,0),VLOOKUP($B7,'Quốc Nhân'!C:J,8,0)))))</f>
        <v>43.237760002840837</v>
      </c>
      <c r="H7" s="202">
        <f t="shared" ref="H7:H69" ca="1" si="5">(D7-G7*1000)*$F7</f>
        <v>0</v>
      </c>
      <c r="I7" s="241">
        <f t="shared" si="3"/>
        <v>4.0756967915159814E-2</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v>48000</v>
      </c>
      <c r="E8" s="199">
        <v>0.5</v>
      </c>
      <c r="F8" s="200">
        <f t="shared" ca="1" si="2"/>
        <v>0</v>
      </c>
      <c r="G8" s="201">
        <f>IFERROR(VLOOKUP($B8,Gà!C:J,8,0),IFERROR(VLOOKUP($B8,TVP!C:J,7,0),IFERROR(VLOOKUP($B8,Kitkool!C:J,8,0),IFERROR(VLOOKUP($B8,'La Cusina'!C:J,8,0),VLOOKUP($B8,'Quốc Nhân'!C:J,8,0)))))</f>
        <v>41.362019058840026</v>
      </c>
      <c r="H8" s="202">
        <f t="shared" ca="1" si="5"/>
        <v>0</v>
      </c>
      <c r="I8" s="241">
        <f t="shared" si="3"/>
        <v>0.16048493502498107</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v>25000</v>
      </c>
      <c r="E9" s="199">
        <v>0.5</v>
      </c>
      <c r="F9" s="200">
        <f t="shared" ca="1" si="2"/>
        <v>0</v>
      </c>
      <c r="G9" s="201">
        <f>IFERROR(VLOOKUP($B9,Gà!C:J,8,0),IFERROR(VLOOKUP($B9,TVP!C:J,7,0),IFERROR(VLOOKUP($B9,Kitkool!C:J,8,0),IFERROR(VLOOKUP($B9,'La Cusina'!C:J,8,0),VLOOKUP($B9,'Quốc Nhân'!C:J,8,0)))))</f>
        <v>21.841319968826916</v>
      </c>
      <c r="H9" s="202">
        <f t="shared" ca="1" si="5"/>
        <v>0</v>
      </c>
      <c r="I9" s="241">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v>28000</v>
      </c>
      <c r="E10" s="199">
        <v>0.5</v>
      </c>
      <c r="F10" s="200">
        <f t="shared" ca="1" si="2"/>
        <v>1</v>
      </c>
      <c r="G10" s="201">
        <f>IFERROR(VLOOKUP($B10,Gà!C:J,8,0),IFERROR(VLOOKUP($B10,TVP!C:J,7,0),IFERROR(VLOOKUP($B10,Kitkool!C:J,8,0),IFERROR(VLOOKUP($B10,'La Cusina'!C:J,8,0),VLOOKUP($B10,'Quốc Nhân'!C:J,8,0)))))</f>
        <v>22.612190085373747</v>
      </c>
      <c r="H10" s="202">
        <f t="shared" ca="1" si="5"/>
        <v>5387.8099146262539</v>
      </c>
      <c r="I10" s="241">
        <f t="shared" si="3"/>
        <v>0.23827014960887194</v>
      </c>
      <c r="J10" s="202">
        <f t="shared" ca="1" si="4"/>
        <v>22612.190085373746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1</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v>30000</v>
      </c>
      <c r="E11" s="199">
        <v>0.5</v>
      </c>
      <c r="F11" s="200">
        <f t="shared" ca="1" si="2"/>
        <v>1</v>
      </c>
      <c r="G11" s="201">
        <f>IFERROR(VLOOKUP($B11,Gà!C:J,8,0),IFERROR(VLOOKUP($B11,TVP!C:J,7,0),IFERROR(VLOOKUP($B11,Kitkool!C:J,8,0),IFERROR(VLOOKUP($B11,'La Cusina'!C:J,8,0),VLOOKUP($B11,'Quốc Nhân'!C:J,8,0)))))</f>
        <v>22.355233379858134</v>
      </c>
      <c r="H11" s="202">
        <f t="shared" ca="1" si="5"/>
        <v>7644.7666201418651</v>
      </c>
      <c r="I11" s="241">
        <f t="shared" si="3"/>
        <v>0.34196764982242289</v>
      </c>
      <c r="J11" s="202">
        <f t="shared" ca="1" si="4"/>
        <v>22355.233379858135</v>
      </c>
      <c r="K11" s="137">
        <f ca="1">H4/J4</f>
        <v>0.31180797965705959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v>38000</v>
      </c>
      <c r="E12" s="199">
        <v>0.5</v>
      </c>
      <c r="F12" s="200">
        <f t="shared" ca="1" si="2"/>
        <v>0</v>
      </c>
      <c r="G12" s="201">
        <f>IFERROR(VLOOKUP($B12,Gà!C:J,8,0),IFERROR(VLOOKUP($B12,TVP!C:J,7,0),IFERROR(VLOOKUP($B12,Kitkool!C:J,8,0),IFERROR(VLOOKUP($B12,'La Cusina'!C:J,8,0),VLOOKUP($B12,'Quốc Nhân'!C:J,8,0)))))</f>
        <v>33.191743689192613</v>
      </c>
      <c r="H12" s="202">
        <f t="shared" ca="1" si="5"/>
        <v>0</v>
      </c>
      <c r="I12" s="241">
        <f t="shared" si="3"/>
        <v>0.14486302243810645</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v>42000</v>
      </c>
      <c r="E13" s="199">
        <v>0.5</v>
      </c>
      <c r="F13" s="200">
        <f t="shared" ca="1" si="2"/>
        <v>0</v>
      </c>
      <c r="G13" s="201">
        <f>IFERROR(VLOOKUP($B13,Gà!C:J,8,0),IFERROR(VLOOKUP($B13,TVP!C:J,7,0),IFERROR(VLOOKUP($B13,Kitkool!C:J,8,0),IFERROR(VLOOKUP($B13,'La Cusina'!C:J,8,0),VLOOKUP($B13,'Quốc Nhân'!C:J,8,0)))))</f>
        <v>37.27688137401632</v>
      </c>
      <c r="H13" s="202">
        <f t="shared" ca="1" si="5"/>
        <v>0</v>
      </c>
      <c r="I13" s="241">
        <f t="shared" si="3"/>
        <v>0.12670369547802118</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v>35000</v>
      </c>
      <c r="E14" s="199">
        <v>0.5</v>
      </c>
      <c r="F14" s="200">
        <f t="shared" ca="1" si="2"/>
        <v>0</v>
      </c>
      <c r="G14" s="201">
        <f>IFERROR(VLOOKUP($B14,Gà!C:J,8,0),IFERROR(VLOOKUP($B14,TVP!C:J,7,0),IFERROR(VLOOKUP($B14,Kitkool!C:J,8,0),IFERROR(VLOOKUP($B14,'La Cusina'!C:J,8,0),VLOOKUP($B14,'Quốc Nhân'!C:J,8,0)))))</f>
        <v>30.127890425574833</v>
      </c>
      <c r="H14" s="202">
        <f t="shared" ca="1" si="5"/>
        <v>0</v>
      </c>
      <c r="I14" s="241">
        <f t="shared" si="3"/>
        <v>0.16171426228666008</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v>45000</v>
      </c>
      <c r="E15" s="199">
        <v>0.5</v>
      </c>
      <c r="F15" s="200">
        <f t="shared" ca="1" si="2"/>
        <v>0</v>
      </c>
      <c r="G15" s="201">
        <f>IFERROR(VLOOKUP($B15,Gà!C:J,8,0),IFERROR(VLOOKUP($B15,TVP!C:J,7,0),IFERROR(VLOOKUP($B15,Kitkool!C:J,8,0),IFERROR(VLOOKUP($B15,'La Cusina'!C:J,8,0),VLOOKUP($B15,'Quốc Nhân'!C:J,8,0)))))</f>
        <v>32.170459267986686</v>
      </c>
      <c r="H15" s="202">
        <f t="shared" ca="1" si="5"/>
        <v>0</v>
      </c>
      <c r="I15" s="241">
        <f t="shared" si="3"/>
        <v>0.39879880561046832</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v>50000</v>
      </c>
      <c r="E16" s="199">
        <v>0.5</v>
      </c>
      <c r="F16" s="200">
        <f t="shared" ca="1" si="2"/>
        <v>0</v>
      </c>
      <c r="G16" s="201">
        <f>IFERROR(VLOOKUP($B16,Gà!C:J,8,0),IFERROR(VLOOKUP($B16,TVP!C:J,7,0),IFERROR(VLOOKUP($B16,Kitkool!C:J,8,0),IFERROR(VLOOKUP($B16,'La Cusina'!C:J,8,0),VLOOKUP($B16,'Quốc Nhân'!C:J,8,0)))))</f>
        <v>44.19655334868505</v>
      </c>
      <c r="H16" s="202">
        <f t="shared" ca="1" si="5"/>
        <v>0</v>
      </c>
      <c r="I16" s="241">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v>45000</v>
      </c>
      <c r="E17" s="199">
        <v>0.5</v>
      </c>
      <c r="F17" s="200">
        <f t="shared" ca="1" si="2"/>
        <v>0</v>
      </c>
      <c r="G17" s="201">
        <f>IFERROR(VLOOKUP($B17,Gà!C:J,8,0),IFERROR(VLOOKUP($B17,TVP!C:J,7,0),IFERROR(VLOOKUP($B17,Kitkool!C:J,8,0),IFERROR(VLOOKUP($B17,'La Cusina'!C:J,8,0),VLOOKUP($B17,'Quốc Nhân'!C:J,8,0)))))</f>
        <v>40.851376848237066</v>
      </c>
      <c r="H17" s="202">
        <f t="shared" ca="1" si="5"/>
        <v>0</v>
      </c>
      <c r="I17" s="241">
        <f t="shared" si="3"/>
        <v>0.1015540594182438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v>45000</v>
      </c>
      <c r="E18" s="199">
        <v>0.5</v>
      </c>
      <c r="F18" s="200">
        <f t="shared" ca="1" si="2"/>
        <v>0</v>
      </c>
      <c r="G18" s="201">
        <f>IFERROR(VLOOKUP($B18,Gà!C:J,8,0),IFERROR(VLOOKUP($B18,TVP!C:J,7,0),IFERROR(VLOOKUP($B18,Kitkool!C:J,8,0),IFERROR(VLOOKUP($B18,'La Cusina'!C:J,8,0),VLOOKUP($B18,'Quốc Nhân'!C:J,8,0)))))</f>
        <v>40.851376848237066</v>
      </c>
      <c r="H18" s="202">
        <f t="shared" ca="1" si="5"/>
        <v>0</v>
      </c>
      <c r="I18" s="241">
        <f t="shared" si="3"/>
        <v>0.1015540594182438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v>45000</v>
      </c>
      <c r="E19" s="199">
        <v>0.5</v>
      </c>
      <c r="F19" s="200">
        <f t="shared" ca="1" si="2"/>
        <v>0</v>
      </c>
      <c r="G19" s="201">
        <f>IFERROR(VLOOKUP($B19,Gà!C:J,8,0),IFERROR(VLOOKUP($B19,TVP!C:J,7,0),IFERROR(VLOOKUP($B19,Kitkool!C:J,8,0),IFERROR(VLOOKUP($B19,'La Cusina'!C:J,8,0),VLOOKUP($B19,'Quốc Nhân'!C:J,8,0)))))</f>
        <v>40.851376848237066</v>
      </c>
      <c r="H19" s="202">
        <f t="shared" ca="1" si="5"/>
        <v>0</v>
      </c>
      <c r="I19" s="241">
        <f t="shared" si="3"/>
        <v>0.1015540594182438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v>45000</v>
      </c>
      <c r="E20" s="199">
        <v>0.5</v>
      </c>
      <c r="F20" s="200">
        <f t="shared" ca="1" si="2"/>
        <v>0</v>
      </c>
      <c r="G20" s="201">
        <f>IFERROR(VLOOKUP($B20,Gà!C:J,8,0),IFERROR(VLOOKUP($B20,TVP!C:J,7,0),IFERROR(VLOOKUP($B20,Kitkool!C:J,8,0),IFERROR(VLOOKUP($B20,'La Cusina'!C:J,8,0),VLOOKUP($B20,'Quốc Nhân'!C:J,8,0)))))</f>
        <v>40.851376848237066</v>
      </c>
      <c r="H20" s="202">
        <f t="shared" ca="1" si="5"/>
        <v>0</v>
      </c>
      <c r="I20" s="241">
        <f t="shared" si="3"/>
        <v>0.1015540594182438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v>45000</v>
      </c>
      <c r="E21" s="199">
        <v>0.5</v>
      </c>
      <c r="F21" s="200">
        <f t="shared" ca="1" si="2"/>
        <v>0</v>
      </c>
      <c r="G21" s="201">
        <f>IFERROR(VLOOKUP($B21,Gà!C:J,8,0),IFERROR(VLOOKUP($B21,TVP!C:J,7,0),IFERROR(VLOOKUP($B21,Kitkool!C:J,8,0),IFERROR(VLOOKUP($B21,'La Cusina'!C:J,8,0),VLOOKUP($B21,'Quốc Nhân'!C:J,8,0)))))</f>
        <v>40.851376848237066</v>
      </c>
      <c r="H21" s="202">
        <f t="shared" ca="1" si="5"/>
        <v>0</v>
      </c>
      <c r="I21" s="241">
        <f t="shared" si="3"/>
        <v>0.1015540594182438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v>40000</v>
      </c>
      <c r="E22" s="199">
        <v>0.5</v>
      </c>
      <c r="F22" s="200">
        <f t="shared" ca="1" si="2"/>
        <v>0</v>
      </c>
      <c r="G22" s="201">
        <f>IFERROR(VLOOKUP($B22,Gà!C:J,8,0),IFERROR(VLOOKUP($B22,TVP!C:J,7,0),IFERROR(VLOOKUP($B22,Kitkool!C:J,8,0),IFERROR(VLOOKUP($B22,'La Cusina'!C:J,8,0),VLOOKUP($B22,'Quốc Nhân'!C:J,8,0)))))</f>
        <v>34.946111950123061</v>
      </c>
      <c r="H22" s="202">
        <f t="shared" ca="1" si="5"/>
        <v>0</v>
      </c>
      <c r="I22" s="241">
        <f t="shared" si="3"/>
        <v>0.14461946602500753</v>
      </c>
      <c r="J22" s="202">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v>40000</v>
      </c>
      <c r="E23" s="199">
        <v>0.5</v>
      </c>
      <c r="F23" s="200">
        <f t="shared" ca="1" si="2"/>
        <v>1</v>
      </c>
      <c r="G23" s="201">
        <f>IFERROR(VLOOKUP($B23,Gà!C:J,8,0),IFERROR(VLOOKUP($B23,TVP!C:J,7,0),IFERROR(VLOOKUP($B23,Kitkool!C:J,8,0),IFERROR(VLOOKUP($B23,'La Cusina'!C:J,8,0),VLOOKUP($B23,'Quốc Nhân'!C:J,8,0)))))</f>
        <v>30.834804661873292</v>
      </c>
      <c r="H23" s="202">
        <f t="shared" ca="1" si="5"/>
        <v>9165.1953381267085</v>
      </c>
      <c r="I23" s="241">
        <f t="shared" si="3"/>
        <v>0.29723539482834194</v>
      </c>
      <c r="J23" s="202">
        <f t="shared" ca="1" si="4"/>
        <v>30834.804661873291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v>55000</v>
      </c>
      <c r="E24" s="199">
        <v>0.5</v>
      </c>
      <c r="F24" s="200">
        <f t="shared" ca="1" si="2"/>
        <v>1</v>
      </c>
      <c r="G24" s="201">
        <f>IFERROR(VLOOKUP($B24,Gà!C:J,8,0),IFERROR(VLOOKUP($B24,TVP!C:J,7,0),IFERROR(VLOOKUP($B24,Kitkool!C:J,8,0),IFERROR(VLOOKUP($B24,'La Cusina'!C:J,8,0),VLOOKUP($B24,'Quốc Nhân'!C:J,8,0)))))</f>
        <v>43.682639937653832</v>
      </c>
      <c r="H24" s="202">
        <f t="shared" ca="1" si="5"/>
        <v>11317.360062346168</v>
      </c>
      <c r="I24" s="241">
        <f t="shared" si="3"/>
        <v>0.25908141262750828</v>
      </c>
      <c r="J24" s="202">
        <f t="shared" ca="1" si="4"/>
        <v>43682.639937653832</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v>33000</v>
      </c>
      <c r="E25" s="199">
        <v>0.5</v>
      </c>
      <c r="F25" s="200">
        <f t="shared" ca="1" si="2"/>
        <v>1</v>
      </c>
      <c r="G25" s="201">
        <f>IFERROR(VLOOKUP($B25,Gà!C:J,8,0),IFERROR(VLOOKUP($B25,TVP!C:J,7,0),IFERROR(VLOOKUP($B25,Kitkool!C:J,8,0),IFERROR(VLOOKUP($B25,'La Cusina'!C:J,8,0),VLOOKUP($B25,'Quốc Nhân'!C:J,8,0)))))</f>
        <v>28.265237606717182</v>
      </c>
      <c r="H25" s="202">
        <f t="shared" ca="1" si="5"/>
        <v>4734.7623932828174</v>
      </c>
      <c r="I25" s="241">
        <f t="shared" si="3"/>
        <v>0.16751185534550794</v>
      </c>
      <c r="J25" s="202">
        <f t="shared" ca="1" si="4"/>
        <v>28265.237606717183</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1</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41">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v>40000</v>
      </c>
      <c r="E27" s="199">
        <v>0.5</v>
      </c>
      <c r="F27" s="200">
        <f t="shared" ca="1" si="2"/>
        <v>0</v>
      </c>
      <c r="G27" s="201">
        <f>IFERROR(VLOOKUP($B27,Gà!C:J,8,0),IFERROR(VLOOKUP($B27,TVP!C:J,7,0),IFERROR(VLOOKUP($B27,Kitkool!C:J,8,0),IFERROR(VLOOKUP($B27,'La Cusina'!C:J,8,0),VLOOKUP($B27,'Quốc Nhân'!C:J,8,0)))))</f>
        <v>33.70238589979558</v>
      </c>
      <c r="H27" s="202">
        <f t="shared" ca="1" si="5"/>
        <v>0</v>
      </c>
      <c r="I27" s="241">
        <f t="shared" si="3"/>
        <v>0.18685959263918495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v>50000</v>
      </c>
      <c r="E28" s="199">
        <v>0.5</v>
      </c>
      <c r="F28" s="200">
        <f t="shared" ca="1" si="2"/>
        <v>1</v>
      </c>
      <c r="G28" s="201">
        <f>IFERROR(VLOOKUP($B28,Gà!C:J,8,0),IFERROR(VLOOKUP($B28,TVP!C:J,7,0),IFERROR(VLOOKUP($B28,Kitkool!C:J,8,0),IFERROR(VLOOKUP($B28,'La Cusina'!C:J,8,0),VLOOKUP($B28,'Quốc Nhân'!C:J,8,0)))))</f>
        <v>40.851376848237066</v>
      </c>
      <c r="H28" s="202">
        <f t="shared" ca="1" si="5"/>
        <v>9148.6231517629349</v>
      </c>
      <c r="I28" s="241">
        <f t="shared" si="3"/>
        <v>0.22394895490915978</v>
      </c>
      <c r="J28" s="202">
        <f t="shared" ca="1" si="4"/>
        <v>40851.376848237065</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41">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v>14000</v>
      </c>
      <c r="E30" s="199">
        <v>0.2</v>
      </c>
      <c r="F30" s="200">
        <f t="shared" ca="1" si="2"/>
        <v>0</v>
      </c>
      <c r="G30" s="201">
        <f>IFERROR(VLOOKUP($B30,Gà!C:J,8,0),IFERROR(VLOOKUP($B30,TVP!C:J,7,0),IFERROR(VLOOKUP($B30,Kitkool!C:J,8,0),IFERROR(VLOOKUP($B30,'La Cusina'!C:J,8,0),VLOOKUP($B30,'Quốc Nhân'!C:J,8,0)))))</f>
        <v>11.25147903739453</v>
      </c>
      <c r="H30" s="202">
        <f t="shared" ca="1" si="5"/>
        <v>0</v>
      </c>
      <c r="I30" s="241">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41">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v>35000</v>
      </c>
      <c r="E32" s="199">
        <v>0.5</v>
      </c>
      <c r="F32" s="200">
        <f t="shared" ca="1" si="2"/>
        <v>0</v>
      </c>
      <c r="G32" s="201">
        <f>IFERROR(VLOOKUP($B32,Gà!C:J,8,0),IFERROR(VLOOKUP($B32,TVP!C:J,7,0),IFERROR(VLOOKUP($B32,Kitkool!C:J,8,0),IFERROR(VLOOKUP($B32,'La Cusina'!C:J,8,0),VLOOKUP($B32,'Quốc Nhân'!C:J,8,0)))))</f>
        <v>28.63099576479858</v>
      </c>
      <c r="H32" s="202">
        <f t="shared" ca="1" si="5"/>
        <v>0</v>
      </c>
      <c r="I32" s="241">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v>14000</v>
      </c>
      <c r="E33" s="199">
        <v>0.2</v>
      </c>
      <c r="F33" s="200">
        <f t="shared" ca="1" si="2"/>
        <v>0</v>
      </c>
      <c r="G33" s="201">
        <f>IFERROR(VLOOKUP($B33,Gà!C:J,8,0),IFERROR(VLOOKUP($B33,TVP!C:J,7,0),IFERROR(VLOOKUP($B33,Kitkool!C:J,8,0),IFERROR(VLOOKUP($B33,'La Cusina'!C:J,8,0),VLOOKUP($B33,'Quốc Nhân'!C:J,8,0)))))</f>
        <v>12.05515611149414</v>
      </c>
      <c r="H33" s="202">
        <f t="shared" ca="1" si="5"/>
        <v>0</v>
      </c>
      <c r="I33" s="241">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v>35000</v>
      </c>
      <c r="E34" s="199">
        <v>0.5</v>
      </c>
      <c r="F34" s="200">
        <f t="shared" ca="1" si="2"/>
        <v>0</v>
      </c>
      <c r="G34" s="201">
        <f>IFERROR(VLOOKUP($B34,Gà!C:J,8,0),IFERROR(VLOOKUP($B34,TVP!C:J,7,0),IFERROR(VLOOKUP($B34,Kitkool!C:J,8,0),IFERROR(VLOOKUP($B34,'La Cusina'!C:J,8,0),VLOOKUP($B34,'Quốc Nhân'!C:J,8,0)))))</f>
        <v>28.63099576479858</v>
      </c>
      <c r="H34" s="202">
        <f t="shared" ca="1" si="5"/>
        <v>0</v>
      </c>
      <c r="I34" s="241">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v>14000</v>
      </c>
      <c r="E35" s="199">
        <v>0.2</v>
      </c>
      <c r="F35" s="200">
        <f t="shared" ca="1" si="2"/>
        <v>0</v>
      </c>
      <c r="G35" s="201">
        <f>IFERROR(VLOOKUP($B35,Gà!C:J,8,0),IFERROR(VLOOKUP($B35,TVP!C:J,7,0),IFERROR(VLOOKUP($B35,Kitkool!C:J,8,0),IFERROR(VLOOKUP($B35,'La Cusina'!C:J,8,0),VLOOKUP($B35,'Quốc Nhân'!C:J,8,0)))))</f>
        <v>12.05515611149414</v>
      </c>
      <c r="H35" s="202">
        <f t="shared" ca="1" si="5"/>
        <v>0</v>
      </c>
      <c r="I35" s="241">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41">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41">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41">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41">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41">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41">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41">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41">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v>59000</v>
      </c>
      <c r="E44" s="199">
        <v>0.5</v>
      </c>
      <c r="F44" s="200">
        <f t="shared" ca="1" si="6"/>
        <v>1</v>
      </c>
      <c r="G44" s="201">
        <f>IFERROR(VLOOKUP($B44,Gà!C:J,8,0),IFERROR(VLOOKUP($B44,TVP!C:J,7,0),IFERROR(VLOOKUP($B44,Kitkool!C:J,8,0),IFERROR(VLOOKUP($B44,'La Cusina'!C:J,8,0),VLOOKUP($B44,'Quốc Nhân'!C:J,8,0)))))</f>
        <v>49.225220788601071</v>
      </c>
      <c r="H44" s="202">
        <f t="shared" ca="1" si="5"/>
        <v>9774.7792113989271</v>
      </c>
      <c r="I44" s="241">
        <f t="shared" si="3"/>
        <v>0.19857258240398679</v>
      </c>
      <c r="J44" s="202">
        <f t="shared" ca="1" si="4"/>
        <v>49225.220788601073</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1</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v>40000</v>
      </c>
      <c r="E45" s="199">
        <v>0.5</v>
      </c>
      <c r="F45" s="200">
        <f t="shared" ca="1" si="6"/>
        <v>1</v>
      </c>
      <c r="G45" s="201">
        <f>IFERROR(VLOOKUP($B45,Gà!C:J,8,0),IFERROR(VLOOKUP($B45,TVP!C:J,7,0),IFERROR(VLOOKUP($B45,Kitkool!C:J,8,0),IFERROR(VLOOKUP($B45,'La Cusina'!C:J,8,0),VLOOKUP($B45,'Quốc Nhân'!C:J,8,0)))))</f>
        <v>31.862631483935733</v>
      </c>
      <c r="H45" s="202">
        <f t="shared" ca="1" si="5"/>
        <v>8137.3685160642672</v>
      </c>
      <c r="I45" s="241">
        <f t="shared" si="3"/>
        <v>0.25538909176936331</v>
      </c>
      <c r="J45" s="202">
        <f t="shared" ca="1" si="4"/>
        <v>31862.631483935733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1</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41">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v>105000</v>
      </c>
      <c r="E47" s="199">
        <v>0.5</v>
      </c>
      <c r="F47" s="200">
        <f t="shared" ca="1" si="6"/>
        <v>0</v>
      </c>
      <c r="G47" s="201">
        <f>IFERROR(VLOOKUP($B47,Gà!C:J,8,0),IFERROR(VLOOKUP($B47,TVP!C:J,7,0),IFERROR(VLOOKUP($B47,Kitkool!C:J,8,0),IFERROR(VLOOKUP($B47,'La Cusina'!C:J,8,0),VLOOKUP($B47,'Quốc Nhân'!C:J,8,0)))))</f>
        <v>98.5</v>
      </c>
      <c r="H47" s="202">
        <f t="shared" ca="1" si="5"/>
        <v>0</v>
      </c>
      <c r="I47" s="241">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v>42000</v>
      </c>
      <c r="E48" s="199">
        <v>0.5</v>
      </c>
      <c r="F48" s="200">
        <f t="shared" ca="1" si="6"/>
        <v>3</v>
      </c>
      <c r="G48" s="201">
        <f>IFERROR(VLOOKUP($B48,Gà!C:J,8,0),IFERROR(VLOOKUP($B48,TVP!C:J,7,0),IFERROR(VLOOKUP($B48,Kitkool!C:J,8,0),IFERROR(VLOOKUP($B48,'La Cusina'!C:J,8,0),VLOOKUP($B48,'Quốc Nhân'!C:J,8,0)))))</f>
        <v>38.298165795222246</v>
      </c>
      <c r="H48" s="202">
        <f t="shared" ca="1" si="5"/>
        <v>11105.502614333265</v>
      </c>
      <c r="I48" s="241">
        <f t="shared" si="3"/>
        <v>9.6658263598607297E-2</v>
      </c>
      <c r="J48" s="202">
        <f t="shared" ca="1" si="4"/>
        <v>114894.49738566673</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1</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v>35000</v>
      </c>
      <c r="E49" s="199">
        <v>0.5</v>
      </c>
      <c r="F49" s="200">
        <f t="shared" ca="1" si="6"/>
        <v>0</v>
      </c>
      <c r="G49" s="201">
        <f>IFERROR(VLOOKUP($B49,Gà!C:J,8,0),IFERROR(VLOOKUP($B49,TVP!C:J,7,0),IFERROR(VLOOKUP($B49,Kitkool!C:J,8,0),IFERROR(VLOOKUP($B49,'La Cusina'!C:J,8,0),VLOOKUP($B49,'Quốc Nhân'!C:J,8,0)))))</f>
        <v>27.776248666219082</v>
      </c>
      <c r="H49" s="202">
        <f t="shared" ca="1" si="5"/>
        <v>0</v>
      </c>
      <c r="I49" s="241">
        <f t="shared" si="3"/>
        <v>0.26006936431867067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41">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41">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41">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v>49000</v>
      </c>
      <c r="E53" s="199">
        <v>1</v>
      </c>
      <c r="F53" s="200">
        <f t="shared" ca="1" si="6"/>
        <v>3</v>
      </c>
      <c r="G53" s="201">
        <f>IFERROR(VLOOKUP($B53,Gà!C:J,8,0),IFERROR(VLOOKUP($B53,TVP!C:J,7,0),IFERROR(VLOOKUP($B53,Kitkool!C:J,8,0),IFERROR(VLOOKUP($B53,'La Cusina'!C:J,8,0),VLOOKUP($B53,'Quốc Nhân'!C:J,8,0)))))</f>
        <v>40.085246060435281</v>
      </c>
      <c r="H53" s="202">
        <f t="shared" ca="1" si="5"/>
        <v>26744.261818694154</v>
      </c>
      <c r="I53" s="241">
        <f t="shared" si="3"/>
        <v>0.2223948912805529</v>
      </c>
      <c r="J53" s="202">
        <f t="shared" ca="1" si="4"/>
        <v>120255.73818130585</v>
      </c>
      <c r="K53" s="53"/>
      <c r="L53" s="2">
        <f ca="1">IFERROR(SUMIFS(INDIRECT("'Thanh Toán ("&amp;L$3&amp;")'!$F:$F"),INDIRECT("'Thanh Toán ("&amp;L$3&amp;")'!$D:$D"),'Tổng Đơn'!$B53),0)</f>
        <v>0</v>
      </c>
      <c r="M53" s="2">
        <f ca="1">IFERROR(SUMIFS(INDIRECT("'Thanh Toán ("&amp;M$3&amp;")'!$F:$F"),INDIRECT("'Thanh Toán ("&amp;M$3&amp;")'!$D:$D"),'Tổng Đơn'!$B53),0)</f>
        <v>1</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1</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1</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v>80000</v>
      </c>
      <c r="E54" s="199">
        <v>0.5</v>
      </c>
      <c r="F54" s="200">
        <f t="shared" ca="1" si="6"/>
        <v>0</v>
      </c>
      <c r="G54" s="201">
        <f>IFERROR(VLOOKUP($B54,Gà!C:J,8,0),IFERROR(VLOOKUP($B54,TVP!C:J,7,0),IFERROR(VLOOKUP($B54,Kitkool!C:J,8,0),IFERROR(VLOOKUP($B54,'La Cusina'!C:J,8,0),VLOOKUP($B54,'Quốc Nhân'!C:J,8,0)))))</f>
        <v>74.517444599527124</v>
      </c>
      <c r="H54" s="202">
        <f t="shared" ca="1" si="5"/>
        <v>0</v>
      </c>
      <c r="I54" s="241">
        <f t="shared" si="3"/>
        <v>7.3574119857938269E-2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41">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v>35000</v>
      </c>
      <c r="E56" s="199">
        <v>0.5</v>
      </c>
      <c r="F56" s="200">
        <f t="shared" ca="1" si="6"/>
        <v>0</v>
      </c>
      <c r="G56" s="201">
        <f>IFERROR(VLOOKUP($B56,Gà!C:J,8,0),IFERROR(VLOOKUP($B56,TVP!C:J,7,0),IFERROR(VLOOKUP($B56,Kitkool!C:J,8,0),IFERROR(VLOOKUP($B56,'La Cusina'!C:J,8,0),VLOOKUP($B56,'Quốc Nhân'!C:J,8,0)))))</f>
        <v>30.32089125084207</v>
      </c>
      <c r="H56" s="202">
        <f t="shared" ca="1" si="5"/>
        <v>0</v>
      </c>
      <c r="I56" s="241">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41">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v>70000</v>
      </c>
      <c r="E58" s="199">
        <v>0.5</v>
      </c>
      <c r="F58" s="200">
        <f t="shared" ca="1" si="6"/>
        <v>0</v>
      </c>
      <c r="G58" s="201">
        <f>IFERROR(VLOOKUP($B58,Gà!C:J,8,0),IFERROR(VLOOKUP($B58,TVP!C:J,7,0),IFERROR(VLOOKUP($B58,Kitkool!C:J,8,0),IFERROR(VLOOKUP($B58,'La Cusina'!C:J,8,0),VLOOKUP($B58,'Quốc Nhân'!C:J,8,0)))))</f>
        <v>61.277065272355593</v>
      </c>
      <c r="H58" s="202">
        <f t="shared" ca="1" si="5"/>
        <v>0</v>
      </c>
      <c r="I58" s="241">
        <f t="shared" si="3"/>
        <v>0.14235235791521594</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v>54000</v>
      </c>
      <c r="E59" s="199">
        <v>0.5</v>
      </c>
      <c r="F59" s="200">
        <f t="shared" ca="1" si="6"/>
        <v>0</v>
      </c>
      <c r="G59" s="201">
        <f>IFERROR(VLOOKUP($B59,Gà!C:J,8,0),IFERROR(VLOOKUP($B59,TVP!C:J,7,0),IFERROR(VLOOKUP($B59,Kitkool!C:J,8,0),IFERROR(VLOOKUP($B59,'La Cusina'!C:J,8,0),VLOOKUP($B59,'Quốc Nhân'!C:J,8,0)))))</f>
        <v>44.936514533060766</v>
      </c>
      <c r="H59" s="202">
        <f t="shared" ca="1" si="5"/>
        <v>0</v>
      </c>
      <c r="I59" s="241">
        <f t="shared" si="3"/>
        <v>0.20169533754717528</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41">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41">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v>42000</v>
      </c>
      <c r="E62" s="199">
        <v>0.5</v>
      </c>
      <c r="F62" s="200">
        <f t="shared" ca="1" si="6"/>
        <v>0</v>
      </c>
      <c r="G62" s="201">
        <f>IFERROR(VLOOKUP($B62,Gà!C:J,8,0),IFERROR(VLOOKUP($B62,TVP!C:J,7,0),IFERROR(VLOOKUP($B62,Kitkool!C:J,8,0),IFERROR(VLOOKUP($B62,'La Cusina'!C:J,8,0),VLOOKUP($B62,'Quốc Nhân'!C:J,8,0)))))</f>
        <v>37.27688137401632</v>
      </c>
      <c r="H62" s="202">
        <f t="shared" ca="1" si="5"/>
        <v>0</v>
      </c>
      <c r="I62" s="241">
        <f t="shared" si="3"/>
        <v>0.12670369547802118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v>18000</v>
      </c>
      <c r="E63" s="199">
        <v>0.3</v>
      </c>
      <c r="F63" s="200">
        <f t="shared" ca="1" si="6"/>
        <v>2</v>
      </c>
      <c r="G63" s="201">
        <f>IFERROR(VLOOKUP($B63,Gà!C:J,8,0),IFERROR(VLOOKUP($B63,TVP!C:J,7,0),IFERROR(VLOOKUP($B63,Kitkool!C:J,8,0),IFERROR(VLOOKUP($B63,'La Cusina'!C:J,8,0),VLOOKUP($B63,'Quốc Nhân'!C:J,8,0)))))</f>
        <v>12.255413054471118</v>
      </c>
      <c r="H63" s="202">
        <f t="shared" ca="1" si="5"/>
        <v>11489.173891057762</v>
      </c>
      <c r="I63" s="241">
        <f t="shared" si="3"/>
        <v>0.46873874589099174</v>
      </c>
      <c r="J63" s="202">
        <f t="shared" ca="1" si="4"/>
        <v>24510.826108942238</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2</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v>23000</v>
      </c>
      <c r="E64" s="199">
        <v>0.5</v>
      </c>
      <c r="F64" s="200">
        <f t="shared" ca="1" si="6"/>
        <v>13</v>
      </c>
      <c r="G64" s="201">
        <f>IFERROR(VLOOKUP($B64,Gà!C:J,8,0),IFERROR(VLOOKUP($B64,TVP!C:J,7,0),IFERROR(VLOOKUP($B64,Kitkool!C:J,8,0),IFERROR(VLOOKUP($B64,'La Cusina'!C:J,8,0),VLOOKUP($B64,'Quốc Nhân'!C:J,8,0)))))</f>
        <v>19.455107402256221</v>
      </c>
      <c r="H64" s="202">
        <f t="shared" ca="1" si="5"/>
        <v>46083.603770669128</v>
      </c>
      <c r="I64" s="241">
        <f t="shared" si="3"/>
        <v>0.18220884235944523</v>
      </c>
      <c r="J64" s="202">
        <f t="shared" ca="1" si="4"/>
        <v>252916.39622933086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4</v>
      </c>
      <c r="V64" s="2">
        <f ca="1">IFERROR(SUMIFS(INDIRECT("'Thanh Toán ("&amp;V$3&amp;")'!$F:$F"),INDIRECT("'Thanh Toán ("&amp;V$3&amp;")'!$D:$D"),'Tổng Đơn'!$B64),0)</f>
        <v>1</v>
      </c>
      <c r="W64" s="2">
        <f ca="1">IFERROR(SUMIFS(INDIRECT("'Thanh Toán ("&amp;W$3&amp;")'!$F:$F"),INDIRECT("'Thanh Toán ("&amp;W$3&amp;")'!$D:$D"),'Tổng Đơn'!$B64),0)</f>
        <v>2</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1</v>
      </c>
      <c r="AB64" s="2">
        <f ca="1">IFERROR(SUMIFS(INDIRECT("'Thanh Toán ("&amp;AB$3&amp;")'!$F:$F"),INDIRECT("'Thanh Toán ("&amp;AB$3&amp;")'!$D:$D"),'Tổng Đơn'!$B64),0)</f>
        <v>2</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v>26000</v>
      </c>
      <c r="E65" s="199">
        <v>0.5</v>
      </c>
      <c r="F65" s="200">
        <f t="shared" ca="1" si="6"/>
        <v>0</v>
      </c>
      <c r="G65" s="201">
        <f>IFERROR(VLOOKUP($B65,Gà!C:J,8,0),IFERROR(VLOOKUP($B65,TVP!C:J,7,0),IFERROR(VLOOKUP($B65,Kitkool!C:J,8,0),IFERROR(VLOOKUP($B65,'La Cusina'!C:J,8,0),VLOOKUP($B65,'Quốc Nhân'!C:J,8,0)))))</f>
        <v>21.503013444598981</v>
      </c>
      <c r="H65" s="202">
        <f t="shared" ca="1" si="5"/>
        <v>0</v>
      </c>
      <c r="I65" s="241">
        <f t="shared" si="3"/>
        <v>0.20913285326204112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v>26000</v>
      </c>
      <c r="E66" s="199">
        <v>0.5</v>
      </c>
      <c r="F66" s="200">
        <f t="shared" ca="1" si="6"/>
        <v>2</v>
      </c>
      <c r="G66" s="201">
        <f>IFERROR(VLOOKUP($B66,Gà!C:J,8,0),IFERROR(VLOOKUP($B66,TVP!C:J,7,0),IFERROR(VLOOKUP($B66,Kitkool!C:J,8,0),IFERROR(VLOOKUP($B66,'La Cusina'!C:J,8,0),VLOOKUP($B66,'Quốc Nhân'!C:J,8,0)))))</f>
        <v>21.503013444598981</v>
      </c>
      <c r="H66" s="202">
        <f t="shared" ca="1" si="5"/>
        <v>8993.9731108020351</v>
      </c>
      <c r="I66" s="241">
        <f t="shared" si="3"/>
        <v>0.20913285326204112</v>
      </c>
      <c r="J66" s="202">
        <f t="shared" ca="1" si="4"/>
        <v>43006.026889197965</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1</v>
      </c>
      <c r="V66" s="2">
        <f ca="1">IFERROR(SUMIFS(INDIRECT("'Thanh Toán ("&amp;V$3&amp;")'!$F:$F"),INDIRECT("'Thanh Toán ("&amp;V$3&amp;")'!$D:$D"),'Tổng Đơn'!$B66),0)</f>
        <v>1</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v>26000</v>
      </c>
      <c r="E67" s="199">
        <v>0.5</v>
      </c>
      <c r="F67" s="200">
        <f t="shared" ca="1" si="6"/>
        <v>0</v>
      </c>
      <c r="G67" s="201">
        <f>IFERROR(VLOOKUP($B67,Gà!C:J,8,0),IFERROR(VLOOKUP($B67,TVP!C:J,7,0),IFERROR(VLOOKUP($B67,Kitkool!C:J,8,0),IFERROR(VLOOKUP($B67,'La Cusina'!C:J,8,0),VLOOKUP($B67,'Quốc Nhân'!C:J,8,0)))))</f>
        <v>20.479060423427601</v>
      </c>
      <c r="H67" s="202">
        <f t="shared" ca="1" si="5"/>
        <v>0</v>
      </c>
      <c r="I67" s="241">
        <f t="shared" si="3"/>
        <v>0.26958949592514347</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v>26000</v>
      </c>
      <c r="E68" s="199">
        <v>0.5</v>
      </c>
      <c r="F68" s="200">
        <f t="shared" ref="F68:F72" ca="1" si="7">SUM(L68:BR68)</f>
        <v>6</v>
      </c>
      <c r="G68" s="201">
        <f>IFERROR(VLOOKUP($B68,Gà!C:J,8,0),IFERROR(VLOOKUP($B68,TVP!C:J,7,0),IFERROR(VLOOKUP($B68,Kitkool!C:J,8,0),IFERROR(VLOOKUP($B68,'La Cusina'!C:J,8,0),VLOOKUP($B68,'Quốc Nhân'!C:J,8,0)))))</f>
        <v>20.944493614869135</v>
      </c>
      <c r="H68" s="202">
        <f t="shared" ca="1" si="5"/>
        <v>30333.038310785196</v>
      </c>
      <c r="I68" s="241">
        <f t="shared" si="3"/>
        <v>0.24137639601569583</v>
      </c>
      <c r="J68" s="202">
        <f t="shared" ca="1" si="4"/>
        <v>125666.96168921482</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2</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2</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1</v>
      </c>
      <c r="AA68" s="2">
        <f ca="1">IFERROR(SUMIFS(INDIRECT("'Thanh Toán ("&amp;AA$3&amp;")'!$F:$F"),INDIRECT("'Thanh Toán ("&amp;AA$3&amp;")'!$D:$D"),'Tổng Đơn'!$B68),0)</f>
        <v>1</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v>35000</v>
      </c>
      <c r="E69" s="199">
        <v>0.5</v>
      </c>
      <c r="F69" s="200">
        <f t="shared" ca="1" si="7"/>
        <v>5</v>
      </c>
      <c r="G69" s="201">
        <f>IFERROR(VLOOKUP($B69,Gà!C:J,8,0),IFERROR(VLOOKUP($B69,TVP!C:J,7,0),IFERROR(VLOOKUP($B69,Kitkool!C:J,8,0),IFERROR(VLOOKUP($B69,'La Cusina'!C:J,8,0),VLOOKUP($B69,'Quốc Nhân'!C:J,8,0)))))</f>
        <v>29.787724252258325</v>
      </c>
      <c r="H69" s="202">
        <f t="shared" ca="1" si="5"/>
        <v>26061.378738708372</v>
      </c>
      <c r="I69" s="241">
        <f t="shared" si="3"/>
        <v>0.1749806632961064</v>
      </c>
      <c r="J69" s="202">
        <f t="shared" ca="1" si="4"/>
        <v>148938.62126129161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2</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1</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v>40000</v>
      </c>
      <c r="E70" s="199">
        <v>0.5</v>
      </c>
      <c r="F70" s="200">
        <f t="shared" ca="1" si="7"/>
        <v>1</v>
      </c>
      <c r="G70" s="201">
        <f>IFERROR(VLOOKUP($B70,Gà!C:J,8,0),IFERROR(VLOOKUP($B70,TVP!C:J,7,0),IFERROR(VLOOKUP($B70,Kitkool!C:J,8,0),IFERROR(VLOOKUP($B70,'La Cusina'!C:J,8,0),VLOOKUP($B70,'Quốc Nhân'!C:J,8,0)))))</f>
        <v>34.907489358115228</v>
      </c>
      <c r="H70" s="202">
        <f t="shared" ref="H70:H72" ca="1" si="8">(D70-G70*1000)*$F70</f>
        <v>5092.5106418847718</v>
      </c>
      <c r="I70" s="241">
        <f t="shared" ref="I70:I72" si="9">D70/(G70*1000)-1</f>
        <v>0.14588590401448842</v>
      </c>
      <c r="J70" s="202">
        <f t="shared" ref="J70:J72" ca="1" si="10">F70*G70*1000</f>
        <v>34907.489358115228</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v>43000</v>
      </c>
      <c r="E71" s="199">
        <v>0.5</v>
      </c>
      <c r="F71" s="200">
        <f t="shared" ca="1" si="7"/>
        <v>1</v>
      </c>
      <c r="G71" s="201">
        <f>IFERROR(VLOOKUP($B71,Gà!C:J,8,0),IFERROR(VLOOKUP($B71,TVP!C:J,7,0),IFERROR(VLOOKUP($B71,Kitkool!C:J,8,0),IFERROR(VLOOKUP($B71,'La Cusina'!C:J,8,0),VLOOKUP($B71,'Quốc Nhân'!C:J,8,0)))))</f>
        <v>37.886261783341062</v>
      </c>
      <c r="H71" s="202">
        <f t="shared" ca="1" si="8"/>
        <v>5113.7382166589377</v>
      </c>
      <c r="I71" s="241">
        <f t="shared" si="9"/>
        <v>0.13497605664825696</v>
      </c>
      <c r="J71" s="202">
        <f t="shared" ca="1" si="10"/>
        <v>37886.261783341062</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v>40000</v>
      </c>
      <c r="E72" s="199">
        <v>0.5</v>
      </c>
      <c r="F72" s="200">
        <f t="shared" ca="1" si="7"/>
        <v>2</v>
      </c>
      <c r="G72" s="201">
        <f>IFERROR(VLOOKUP($B72,Gà!C:J,8,0),IFERROR(VLOOKUP($B72,TVP!C:J,7,0),IFERROR(VLOOKUP($B72,Kitkool!C:J,8,0),IFERROR(VLOOKUP($B72,'La Cusina'!C:J,8,0),VLOOKUP($B72,'Quốc Nhân'!C:J,8,0)))))</f>
        <v>34.723670321001507</v>
      </c>
      <c r="H72" s="202">
        <f t="shared" ca="1" si="8"/>
        <v>10552.659357996992</v>
      </c>
      <c r="I72" s="241">
        <f t="shared" si="9"/>
        <v>0.15195195756156221</v>
      </c>
      <c r="J72" s="202">
        <f t="shared" ca="1" si="10"/>
        <v>69447.340642003008</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6"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75" priority="29">
      <formula>$C7=MAX($C$8:$C$37)</formula>
    </cfRule>
  </conditionalFormatting>
  <conditionalFormatting sqref="C10:C37">
    <cfRule type="expression" dxfId="74" priority="16">
      <formula>$C9=MAX($C$8:$C$37)</formula>
    </cfRule>
  </conditionalFormatting>
  <conditionalFormatting sqref="E8:E38">
    <cfRule type="expression" dxfId="73" priority="36">
      <formula>AND($A8="",$F8&lt;&gt;"")</formula>
    </cfRule>
  </conditionalFormatting>
  <conditionalFormatting sqref="F8:F38">
    <cfRule type="expression" dxfId="7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308</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37</v>
      </c>
      <c r="B8" s="180">
        <v>1</v>
      </c>
      <c r="C8" s="45">
        <f t="shared" ref="C8:C37" si="0">IF(OR(SUM($C7,$A8&lt;&gt;"")=0,$A8=""),"",SUM($C7,$A8&lt;&gt;""))</f>
        <v>1</v>
      </c>
      <c r="D8" s="176" t="str">
        <f>IFERROR(VLOOKUP($A8,Sheet1!$A$1:$B$98,2,0),"")</f>
        <v>Giò Thủ bì</v>
      </c>
      <c r="E8" s="177">
        <f>IFERROR(VLOOKUP($A8,'Tổng Đơn'!$A$5:$E$72,5,0),"")</f>
        <v>0.5</v>
      </c>
      <c r="F8" s="45">
        <f t="shared" ref="F8:F37" si="1">IF($B8="","",B8)</f>
        <v>1</v>
      </c>
      <c r="G8" s="188">
        <f>IFERROR(VLOOKUP($A8,Sheet1!$A1:$D$98,4,0),"")</f>
        <v>59000</v>
      </c>
      <c r="H8" s="178">
        <f>IF($C7=MAX($C$8:$C$56),SUM($H7:$H$8),IFERROR($G8*$F8,""))</f>
        <v>59000</v>
      </c>
      <c r="I8" s="78">
        <f t="shared" ref="I8:I37" si="2">IF(TYPE($A8)&lt;&gt;1,"",IFERROR(F8*E8,""))</f>
        <v>0.5</v>
      </c>
      <c r="L8" s="47"/>
    </row>
    <row r="9" spans="1:14" s="44" customFormat="1" ht="14.25" customHeight="1" x14ac:dyDescent="0.25">
      <c r="A9" s="180" t="s">
        <v>210</v>
      </c>
      <c r="B9" s="180">
        <v>1</v>
      </c>
      <c r="C9" s="45">
        <f t="shared" si="0"/>
        <v>2</v>
      </c>
      <c r="D9" s="176" t="str">
        <f>IFERROR(VLOOKUP($A9,Sheet1!$A$1:$B$98,2,0),"")</f>
        <v>0-Cánh Gà</v>
      </c>
      <c r="E9" s="45">
        <f>IFERROR(VLOOKUP($A9,'Tổng Đơn'!$A$5:$E$72,5,0),"")</f>
        <v>1</v>
      </c>
      <c r="F9" s="45">
        <f t="shared" si="1"/>
        <v>1</v>
      </c>
      <c r="G9" s="188">
        <f>IF(AND($C9="",$C8&lt;&gt;""),"Tổng Cộng",IFERROR(VLOOKUP($A9,Sheet1!$A$1:$D$98,4,0),""))</f>
        <v>70000</v>
      </c>
      <c r="H9" s="178">
        <f>IF($C8=MAX($C$8:$C$56),SUM($H$8:$H8),IFERROR($G9*$F9,""))</f>
        <v>70000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129000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311</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1</v>
      </c>
      <c r="B10" s="180">
        <v>1</v>
      </c>
      <c r="C10" s="45">
        <f t="shared" si="0"/>
        <v>3</v>
      </c>
      <c r="D10" s="176" t="s">
        <v>300</v>
      </c>
      <c r="E10" s="45" t="s">
        <v>301</v>
      </c>
      <c r="F10" s="45" t="s">
        <v>301</v>
      </c>
      <c r="G10" s="188" t="s">
        <v>301</v>
      </c>
      <c r="H10" s="178">
        <v>-4000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81000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310</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51000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309</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68000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308</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60000</v>
      </c>
      <c r="H8" s="178">
        <f>IF($C7=MAX($C$8:$C$56),SUM($H7:$H$8),IFERROR($G8*$F8,""))</f>
        <v>60000</v>
      </c>
      <c r="I8" s="78" t="str">
        <f t="shared" ref="I8:I37" si="2">IF(TYPE($A8)&lt;&gt;1,"",IFERROR(F8*E8,""))</f>
        <v/>
      </c>
      <c r="L8" s="47"/>
    </row>
    <row r="9" spans="1:14" s="44" customFormat="1" ht="14.25" customHeight="1" x14ac:dyDescent="0.25">
      <c r="A9" s="180">
        <v>1</v>
      </c>
      <c r="B9" s="180">
        <v>1</v>
      </c>
      <c r="C9" s="45">
        <f t="shared" si="0"/>
        <v>2</v>
      </c>
      <c r="D9" s="176" t="s">
        <v>300</v>
      </c>
      <c r="E9" s="45" t="s">
        <v>301</v>
      </c>
      <c r="F9" s="45" t="s">
        <v>301</v>
      </c>
      <c r="G9" s="188" t="s">
        <v>301</v>
      </c>
      <c r="H9" s="178">
        <v>-10000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50000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307</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4</v>
      </c>
      <c r="C8" s="45">
        <f t="shared" ref="C8:C37" si="0">IF(OR(SUM($C7,$A8&lt;&gt;"")=0,$A8=""),"",SUM($C7,$A8&lt;&gt;""))</f>
        <v>1</v>
      </c>
      <c r="D8" s="176" t="str">
        <f>IFERROR(VLOOKUP($A8,Sheet1!$A$1:$B$98,2,0),"")</f>
        <v>0-Chân Gà</v>
      </c>
      <c r="E8" s="177">
        <f>IFERROR(VLOOKUP($A8,'Tổng Đơn'!$A$5:$E$72,5,0),"")</f>
        <v>1</v>
      </c>
      <c r="F8" s="45">
        <f t="shared" ref="F8:F37" si="1">IF($B8="","",B8)</f>
        <v>4</v>
      </c>
      <c r="G8" s="188">
        <f>IFERROR(VLOOKUP($A8,Sheet1!$A1:$D$98,4,0),"")</f>
        <v>60000</v>
      </c>
      <c r="H8" s="178">
        <f>IF($C7=MAX($C$8:$C$56),SUM($H7:$H$8),IFERROR($G8*$F8,""))</f>
        <v>240000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240000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306</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292</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3</v>
      </c>
      <c r="B8" s="180">
        <v>1</v>
      </c>
      <c r="C8" s="45">
        <f t="shared" ref="C8:C37" si="0">IF(OR(SUM($C7,$A8&lt;&gt;"")=0,$A8=""),"",SUM($C7,$A8&lt;&gt;""))</f>
        <v>1</v>
      </c>
      <c r="D8" s="176" t="str">
        <f>IFERROR(VLOOKUP($A8,Sheet1!$A$1:$B$98,2,0),"")</f>
        <v>Cá viên rau củ HM</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16</v>
      </c>
      <c r="B9" s="180">
        <v>1</v>
      </c>
      <c r="C9" s="45">
        <f t="shared" si="0"/>
        <v>2</v>
      </c>
      <c r="D9" s="176" t="str">
        <f>IFERROR(VLOOKUP($A9,Sheet1!$A$1:$B$98,2,0),"")</f>
        <v>Phô mai viên (35v)</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46</v>
      </c>
      <c r="B11" s="180">
        <v>1</v>
      </c>
      <c r="C11" s="45">
        <f t="shared" si="0"/>
        <v>4</v>
      </c>
      <c r="D11" s="176" t="str">
        <f>IFERROR(VLOOKUP($A11,Sheet1!$A$1:$B$98,2,0),"")</f>
        <v>Khoai tây Simplot</v>
      </c>
      <c r="E11" s="45">
        <f>IFERROR(VLOOKUP($A11,'Tổng Đơn'!$A$5:$E$72,5,0),"")</f>
        <v>1</v>
      </c>
      <c r="F11" s="45">
        <f t="shared" si="1"/>
        <v>1</v>
      </c>
      <c r="G11" s="188">
        <f>IF(AND($C11="",$C10&lt;&gt;""),"Tổng Cộng",IFERROR(VLOOKUP($A11,Sheet1!$A$1:$D$98,4,0),""))</f>
        <v>49000</v>
      </c>
      <c r="H11" s="178">
        <f>IF($C10=MAX($C$8:$C$56),SUM($H$8:$H10),IFERROR($G11*$F11,""))</f>
        <v>49000</v>
      </c>
      <c r="I11" s="78">
        <f t="shared" si="2"/>
        <v>1</v>
      </c>
      <c r="L11" s="46"/>
    </row>
    <row r="12" spans="1:14" s="44" customFormat="1" ht="14.25" customHeight="1" x14ac:dyDescent="0.25">
      <c r="A12" s="180">
        <v>57</v>
      </c>
      <c r="B12" s="180">
        <v>1</v>
      </c>
      <c r="C12" s="45">
        <f t="shared" si="0"/>
        <v>5</v>
      </c>
      <c r="D12" s="176" t="str">
        <f>IFERROR(VLOOKUP($A12,Sheet1!$A$1:$B$98,2,0),"")</f>
        <v>Cá viên KK</v>
      </c>
      <c r="E12" s="45">
        <f>IFERROR(VLOOKUP($A12,'Tổng Đơn'!$A$5:$E$72,5,0),"")</f>
        <v>0.5</v>
      </c>
      <c r="F12" s="45">
        <f t="shared" si="1"/>
        <v>1</v>
      </c>
      <c r="G12" s="188">
        <f>IF(AND($C12="",$C11&lt;&gt;""),"Tổng Cộng",IFERROR(VLOOKUP($A12,Sheet1!$A$1:$D$98,4,0),""))</f>
        <v>25000</v>
      </c>
      <c r="H12" s="178">
        <f>IF($C11=MAX($C$8:$C$56),SUM($H$8:$H11),IFERROR($G12*$F12,""))</f>
        <v>25000</v>
      </c>
      <c r="I12" s="78">
        <f t="shared" si="2"/>
        <v>0.5</v>
      </c>
      <c r="J12" s="150"/>
      <c r="L12" s="46"/>
      <c r="M12" s="158"/>
      <c r="N12" s="151"/>
    </row>
    <row r="13" spans="1:14" s="44" customFormat="1" ht="14.25" customHeight="1" x14ac:dyDescent="0.25">
      <c r="A13" s="180">
        <v>59</v>
      </c>
      <c r="B13" s="180">
        <v>1</v>
      </c>
      <c r="C13" s="45">
        <f t="shared" si="0"/>
        <v>6</v>
      </c>
      <c r="D13" s="176" t="str">
        <f>IFERROR(VLOOKUP($A13,Sheet1!$A$1:$B$98,2,0),"")</f>
        <v>Bò viên KK</v>
      </c>
      <c r="E13" s="45">
        <f>IFERROR(VLOOKUP($A13,'Tổng Đơn'!$A$5:$E$72,5,0),"")</f>
        <v>0.5</v>
      </c>
      <c r="F13" s="45">
        <f t="shared" si="1"/>
        <v>1</v>
      </c>
      <c r="G13" s="188">
        <f>IF(AND($C13="",$C12&lt;&gt;""),"Tổng Cộng",IFERROR(VLOOKUP($A13,Sheet1!$A$1:$D$98,4,0),""))</f>
        <v>28000</v>
      </c>
      <c r="H13" s="178">
        <f>IF($C12=MAX($C$8:$C$56),SUM($H$8:$H12),IFERROR($G13*$F13,""))</f>
        <v>28000</v>
      </c>
      <c r="I13" s="78">
        <f t="shared" si="2"/>
        <v>0.5</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203000</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263</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3.6</v>
      </c>
      <c r="L7" s="169"/>
    </row>
    <row r="8" spans="1:14" s="44" customFormat="1" ht="14.25" customHeight="1" x14ac:dyDescent="0.25">
      <c r="A8" s="180">
        <v>38</v>
      </c>
      <c r="B8" s="180">
        <v>1</v>
      </c>
      <c r="C8" s="45">
        <f t="shared" ref="C8:C37" si="0">IF(OR(SUM($C7,$A8&lt;&gt;"")=0,$A8=""),"",SUM($C7,$A8&lt;&gt;""))</f>
        <v>1</v>
      </c>
      <c r="D8" s="176" t="str">
        <f>IFERROR(VLOOKUP($A8,Sheet1!$A$1:$B$98,2,0),"")</f>
        <v>XX Hotdog Phô mai</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56</v>
      </c>
      <c r="B9" s="180">
        <v>2</v>
      </c>
      <c r="C9" s="45">
        <f t="shared" si="0"/>
        <v>2</v>
      </c>
      <c r="D9" s="176" t="str">
        <f>IFERROR(VLOOKUP($A9,Sheet1!$A$1:$B$98,2,0),"")</f>
        <v>Bánh bao ngọt không nhân</v>
      </c>
      <c r="E9" s="45">
        <f>IFERROR(VLOOKUP($A9,'Tổng Đơn'!$A$5:$E$72,5,0),"")</f>
        <v>0.3</v>
      </c>
      <c r="F9" s="45">
        <f t="shared" si="1"/>
        <v>2</v>
      </c>
      <c r="G9" s="188">
        <f>IF(AND($C9="",$C8&lt;&gt;""),"Tổng Cộng",IFERROR(VLOOKUP($A9,Sheet1!$A$1:$D$98,4,0),""))</f>
        <v>18000</v>
      </c>
      <c r="H9" s="178">
        <f>IF($C8=MAX($C$8:$C$56),SUM($H$8:$H8),IFERROR($G9*$F9,""))</f>
        <v>36000</v>
      </c>
      <c r="I9" s="78">
        <f t="shared" si="2"/>
        <v>0.6</v>
      </c>
      <c r="L9" s="46"/>
    </row>
    <row r="10" spans="1:14" s="44" customFormat="1" ht="14.25" customHeight="1" x14ac:dyDescent="0.25">
      <c r="A10" s="180">
        <v>57</v>
      </c>
      <c r="B10" s="180">
        <v>4</v>
      </c>
      <c r="C10" s="45">
        <f t="shared" si="0"/>
        <v>3</v>
      </c>
      <c r="D10" s="176" t="str">
        <f>IFERROR(VLOOKUP($A10,Sheet1!$A$1:$B$98,2,0),"")</f>
        <v>Cá viên KK</v>
      </c>
      <c r="E10" s="45">
        <f>IFERROR(VLOOKUP($A10,'Tổng Đơn'!$A$5:$E$72,5,0),"")</f>
        <v>0.5</v>
      </c>
      <c r="F10" s="45">
        <f t="shared" si="1"/>
        <v>4</v>
      </c>
      <c r="G10" s="188">
        <f>IF(AND($C10="",$C9&lt;&gt;""),"Tổng Cộng",IFERROR(VLOOKUP($A10,Sheet1!$A$1:$D$98,4,0),""))</f>
        <v>25000</v>
      </c>
      <c r="H10" s="178">
        <f>IF($C9=MAX($C$8:$C$56),SUM($H$8:$H9),IFERROR($G10*$F10,""))</f>
        <v>100000</v>
      </c>
      <c r="I10" s="78">
        <f t="shared" si="2"/>
        <v>2</v>
      </c>
      <c r="L10" s="46"/>
    </row>
    <row r="11" spans="1:14" s="44" customFormat="1" ht="14.25" customHeight="1" x14ac:dyDescent="0.25">
      <c r="A11" s="180">
        <v>59</v>
      </c>
      <c r="B11" s="180">
        <v>1</v>
      </c>
      <c r="C11" s="45">
        <f t="shared" si="0"/>
        <v>4</v>
      </c>
      <c r="D11" s="176" t="str">
        <f>IFERROR(VLOOKUP($A11,Sheet1!$A$1:$B$98,2,0),"")</f>
        <v>Bò viên KK</v>
      </c>
      <c r="E11" s="45">
        <f>IFERROR(VLOOKUP($A11,'Tổng Đơn'!$A$5:$E$72,5,0),"")</f>
        <v>0.5</v>
      </c>
      <c r="F11" s="45">
        <f t="shared" si="1"/>
        <v>1</v>
      </c>
      <c r="G11" s="188">
        <f>IF(AND($C11="",$C10&lt;&gt;""),"Tổng Cộng",IFERROR(VLOOKUP($A11,Sheet1!$A$1:$D$98,4,0),""))</f>
        <v>28000</v>
      </c>
      <c r="H11" s="178">
        <f>IF($C10=MAX($C$8:$C$56),SUM($H$8:$H10),IFERROR($G11*$F11,""))</f>
        <v>28000</v>
      </c>
      <c r="I11" s="78">
        <f t="shared" si="2"/>
        <v>0.5</v>
      </c>
      <c r="L11" s="46"/>
    </row>
    <row r="12" spans="1:14" s="44" customFormat="1" ht="14.25" customHeight="1" x14ac:dyDescent="0.25">
      <c r="A12" s="180">
        <v>1</v>
      </c>
      <c r="B12" s="180">
        <v>1</v>
      </c>
      <c r="C12" s="45">
        <f t="shared" si="0"/>
        <v>5</v>
      </c>
      <c r="D12" s="176" t="s">
        <v>300</v>
      </c>
      <c r="E12" s="45" t="s">
        <v>301</v>
      </c>
      <c r="F12" s="45" t="s">
        <v>301</v>
      </c>
      <c r="G12" s="188" t="s">
        <v>301</v>
      </c>
      <c r="H12" s="178">
        <v>-2000</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202000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299</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65</v>
      </c>
      <c r="B8" s="180">
        <v>2</v>
      </c>
      <c r="C8" s="45">
        <f t="shared" ref="C8:C37" si="0">IF(OR(SUM($C7,$A8&lt;&gt;"")=0,$A8=""),"",SUM($C7,$A8&lt;&gt;""))</f>
        <v>1</v>
      </c>
      <c r="D8" s="176" t="str">
        <f>IFERROR(VLOOKUP($A8,Sheet1!$A$1:$B$98,2,0),"")</f>
        <v>Chả giò Chay rau nấm LC</v>
      </c>
      <c r="E8" s="177">
        <f>IFERROR(VLOOKUP($A8,'Tổng Đơn'!$A$5:$E$72,5,0),"")</f>
        <v>0.5</v>
      </c>
      <c r="F8" s="45">
        <f t="shared" ref="F8:F37" si="1">IF($B8="","",B8)</f>
        <v>2</v>
      </c>
      <c r="G8" s="188">
        <f>IFERROR(VLOOKUP($A8,Sheet1!$A1:$D$98,4,0),"")</f>
        <v>40000</v>
      </c>
      <c r="H8" s="178">
        <f>IF($C7=MAX($C$8:$C$56),SUM($H7:$H$8),IFERROR($G8*$F8,""))</f>
        <v>80000</v>
      </c>
      <c r="I8" s="78">
        <f t="shared" ref="I8:I37" si="2">IF(TYPE($A8)&lt;&gt;1,"",IFERROR(F8*E8,""))</f>
        <v>1</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80000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305</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17</v>
      </c>
      <c r="B8" s="180">
        <v>1</v>
      </c>
      <c r="C8" s="45">
        <f t="shared" ref="C8:C37" si="0">IF(OR(SUM($C7,$A8&lt;&gt;"")=0,$A8=""),"",SUM($C7,$A8&lt;&gt;""))</f>
        <v>1</v>
      </c>
      <c r="D8" s="176" t="str">
        <f>IFERROR(VLOOKUP($A8,Sheet1!$A$1:$B$98,2,0),"")</f>
        <v>Đậu hủ phô mai</v>
      </c>
      <c r="E8" s="177">
        <f>IFERROR(VLOOKUP($A8,'Tổng Đơn'!$A$5:$E$72,5,0),"")</f>
        <v>0.5</v>
      </c>
      <c r="F8" s="45">
        <f t="shared" ref="F8:F37" si="1">IF($B8="","",B8)</f>
        <v>1</v>
      </c>
      <c r="G8" s="188">
        <f>IFERROR(VLOOKUP($A8,Sheet1!$A1:$D$98,4,0),"")</f>
        <v>55000</v>
      </c>
      <c r="H8" s="178">
        <f>IF($C7=MAX($C$8:$C$56),SUM($H7:$H$8),IFERROR($G8*$F8,""))</f>
        <v>55000</v>
      </c>
      <c r="I8" s="78">
        <f t="shared" ref="I8:I37" si="2">IF(TYPE($A8)&lt;&gt;1,"",IFERROR(F8*E8,""))</f>
        <v>0.5</v>
      </c>
      <c r="L8" s="47"/>
    </row>
    <row r="9" spans="1:14" s="44" customFormat="1" ht="14.25" customHeight="1" x14ac:dyDescent="0.25">
      <c r="A9" s="180">
        <v>64</v>
      </c>
      <c r="B9" s="180">
        <v>1</v>
      </c>
      <c r="C9" s="45">
        <f t="shared" si="0"/>
        <v>2</v>
      </c>
      <c r="D9" s="176" t="str">
        <f>IFERROR(VLOOKUP($A9,Sheet1!$A$1:$B$98,2,0),"")</f>
        <v>Bánh bao thả lẩu Trứng cá KK</v>
      </c>
      <c r="E9" s="45">
        <f>IFERROR(VLOOKUP($A9,'Tổng Đơn'!$A$5:$E$72,5,0),"")</f>
        <v>0.5</v>
      </c>
      <c r="F9" s="45">
        <f t="shared" si="1"/>
        <v>1</v>
      </c>
      <c r="G9" s="188">
        <f>IF(AND($C9="",$C8&lt;&gt;""),"Tổng Cộng",IFERROR(VLOOKUP($A9,Sheet1!$A$1:$D$98,4,0),""))</f>
        <v>45000</v>
      </c>
      <c r="H9" s="178">
        <f>IF($C8=MAX($C$8:$C$56),SUM($H$8:$H8),IFERROR($G9*$F9,""))</f>
        <v>45000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100000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304</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4.5</v>
      </c>
      <c r="L7" s="169"/>
    </row>
    <row r="8" spans="1:14" s="44" customFormat="1" ht="14.25" customHeight="1" x14ac:dyDescent="0.25">
      <c r="A8" s="180">
        <v>4</v>
      </c>
      <c r="B8" s="180">
        <v>1</v>
      </c>
      <c r="C8" s="45">
        <f t="shared" ref="C8:C37" si="0">IF(OR(SUM($C7,$A8&lt;&gt;"")=0,$A8=""),"",SUM($C7,$A8&lt;&gt;""))</f>
        <v>1</v>
      </c>
      <c r="D8" s="176" t="str">
        <f>IFERROR(VLOOKUP($A8,Sheet1!$A$1:$B$98,2,0),"")</f>
        <v>Tôm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61</v>
      </c>
      <c r="B11" s="180">
        <v>2</v>
      </c>
      <c r="C11" s="45">
        <f t="shared" si="0"/>
        <v>4</v>
      </c>
      <c r="D11" s="176" t="str">
        <f>IFERROR(VLOOKUP($A11,Sheet1!$A$1:$B$98,2,0),"")</f>
        <v>XX Đỏ KK</v>
      </c>
      <c r="E11" s="45">
        <f>IFERROR(VLOOKUP($A11,'Tổng Đơn'!$A$5:$E$72,5,0),"")</f>
        <v>0.5</v>
      </c>
      <c r="F11" s="45">
        <f t="shared" si="1"/>
        <v>2</v>
      </c>
      <c r="G11" s="188">
        <f>IF(AND($C11="",$C10&lt;&gt;""),"Tổng Cộng",IFERROR(VLOOKUP($A11,Sheet1!$A$1:$D$98,4,0),""))</f>
        <v>26000</v>
      </c>
      <c r="H11" s="178">
        <f>IF($C10=MAX($C$8:$C$56),SUM($H$8:$H10),IFERROR($G11*$F11,""))</f>
        <v>52000</v>
      </c>
      <c r="I11" s="78">
        <f t="shared" si="2"/>
        <v>1</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v>63</v>
      </c>
      <c r="B13" s="180">
        <v>1</v>
      </c>
      <c r="C13" s="45">
        <f t="shared" si="0"/>
        <v>6</v>
      </c>
      <c r="D13" s="176" t="str">
        <f>IFERROR(VLOOKUP($A13,Sheet1!$A$1:$B$98,2,0),"")</f>
        <v>Hồ lô KK</v>
      </c>
      <c r="E13" s="45">
        <f>IFERROR(VLOOKUP($A13,'Tổng Đơn'!$A$5:$E$72,5,0),"")</f>
        <v>0.5</v>
      </c>
      <c r="F13" s="45">
        <f t="shared" si="1"/>
        <v>1</v>
      </c>
      <c r="G13" s="188">
        <f>IF(AND($C13="",$C12&lt;&gt;""),"Tổng Cộng",IFERROR(VLOOKUP($A13,Sheet1!$A$1:$D$98,4,0),""))</f>
        <v>42000</v>
      </c>
      <c r="H13" s="178">
        <f>IF($C12=MAX($C$8:$C$56),SUM($H$8:$H12),IFERROR($G13*$F13,""))</f>
        <v>42000</v>
      </c>
      <c r="I13" s="78">
        <f t="shared" si="2"/>
        <v>0.5</v>
      </c>
      <c r="L13" s="46"/>
    </row>
    <row r="14" spans="1:14" s="44" customFormat="1" ht="14.25" customHeight="1" x14ac:dyDescent="0.25">
      <c r="A14" s="180">
        <v>46</v>
      </c>
      <c r="B14" s="180">
        <v>1</v>
      </c>
      <c r="C14" s="45">
        <f t="shared" si="0"/>
        <v>7</v>
      </c>
      <c r="D14" s="176" t="str">
        <f>IFERROR(VLOOKUP($A14,Sheet1!$A$1:$B$98,2,0),"")</f>
        <v>Khoai tây Simplot</v>
      </c>
      <c r="E14" s="45">
        <f>IFERROR(VLOOKUP($A14,'Tổng Đơn'!$A$5:$E$72,5,0),"")</f>
        <v>1</v>
      </c>
      <c r="F14" s="45">
        <f t="shared" si="1"/>
        <v>1</v>
      </c>
      <c r="G14" s="188">
        <f>IF(AND($C14="",$C13&lt;&gt;""),"Tổng Cộng",IFERROR(VLOOKUP($A14,Sheet1!$A$1:$D$98,4,0),""))</f>
        <v>49000</v>
      </c>
      <c r="H14" s="178">
        <f>IF($C13=MAX($C$8:$C$56),SUM($H$8:$H13),IFERROR($G14*$F14,""))</f>
        <v>49000</v>
      </c>
      <c r="I14" s="78">
        <f t="shared" si="2"/>
        <v>1</v>
      </c>
      <c r="L14" s="46"/>
      <c r="M14" s="159"/>
    </row>
    <row r="15" spans="1:14" s="44" customFormat="1" ht="14.25" customHeight="1" x14ac:dyDescent="0.25">
      <c r="A15" s="180">
        <v>1</v>
      </c>
      <c r="B15" s="180">
        <v>1</v>
      </c>
      <c r="C15" s="45">
        <f t="shared" si="0"/>
        <v>8</v>
      </c>
      <c r="D15" s="176" t="s">
        <v>300</v>
      </c>
      <c r="E15" s="45" t="s">
        <v>301</v>
      </c>
      <c r="F15" s="45" t="s">
        <v>301</v>
      </c>
      <c r="G15" s="188" t="s">
        <v>301</v>
      </c>
      <c r="H15" s="178">
        <v>-2000</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273000</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6:H38 D16:E37 D9:H15">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250" t="s">
        <v>303</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62</v>
      </c>
      <c r="B8" s="180">
        <v>2</v>
      </c>
      <c r="C8" s="45">
        <f t="shared" ref="C8:C37" si="0">IF(OR(SUM($C7,$A8&lt;&gt;"")=0,$A8=""),"",SUM($C7,$A8&lt;&gt;""))</f>
        <v>1</v>
      </c>
      <c r="D8" s="176" t="str">
        <f>IFERROR(VLOOKUP($A8,Sheet1!$A$1:$B$98,2,0),"")</f>
        <v>XX Đức KK</v>
      </c>
      <c r="E8" s="177">
        <f>IFERROR(VLOOKUP($A8,'Tổng Đơn'!$A$5:$E$72,5,0),"")</f>
        <v>0.5</v>
      </c>
      <c r="F8" s="45">
        <f t="shared" ref="F8:F37" si="1">IF($B8="","",B8)</f>
        <v>2</v>
      </c>
      <c r="G8" s="188">
        <f>IFERROR(VLOOKUP($A8,Sheet1!$A1:$D$98,4,0),"")</f>
        <v>35000</v>
      </c>
      <c r="H8" s="178">
        <f>IF($C7=MAX($C$8:$C$56),SUM($H7:$H$8),IFERROR($G8*$F8,""))</f>
        <v>70000</v>
      </c>
      <c r="I8" s="78">
        <f t="shared" ref="I8:I37" si="2">IF(TYPE($A8)&lt;&gt;1,"",IFERROR(F8*E8,""))</f>
        <v>1</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302</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Tổng Cộng</v>
      </c>
      <c r="H10" s="178">
        <f>IF($C9=MAX($C$8:$C$56),SUM($H$8:$H9),IFERROR($G10*$F10,""))</f>
        <v>85000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F15:H38 D15:E37 D11:H14 C9:H10">
    <cfRule type="expression" dxfId="19" priority="2">
      <formula>$C7=MAX($C$8:$C$37)</formula>
    </cfRule>
  </conditionalFormatting>
  <conditionalFormatting sqref="C11:C37">
    <cfRule type="expression" dxfId="18" priority="1">
      <formula>$C10=MAX($C$8:$C$37)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299</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1</v>
      </c>
      <c r="B10" s="180">
        <v>1</v>
      </c>
      <c r="C10" s="45">
        <f t="shared" si="0"/>
        <v>3</v>
      </c>
      <c r="D10" s="176" t="s">
        <v>300</v>
      </c>
      <c r="E10" s="45" t="s">
        <v>301</v>
      </c>
      <c r="F10" s="45" t="s">
        <v>301</v>
      </c>
      <c r="G10" s="188" t="s">
        <v>301</v>
      </c>
      <c r="H10" s="178">
        <v>2000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94000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298</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61</v>
      </c>
      <c r="B8" s="180">
        <v>2</v>
      </c>
      <c r="C8" s="45">
        <f t="shared" ref="C8:C37" si="0">IF(OR(SUM($C7,$A8&lt;&gt;"")=0,$A8=""),"",SUM($C7,$A8&lt;&gt;""))</f>
        <v>1</v>
      </c>
      <c r="D8" s="176" t="str">
        <f>IFERROR(VLOOKUP($A8,Sheet1!$A$1:$B$98,2,0),"")</f>
        <v>XX Đỏ KK</v>
      </c>
      <c r="E8" s="177">
        <f>IFERROR(VLOOKUP($A8,'Tổng Đơn'!$A$5:$E$72,5,0),"")</f>
        <v>0.5</v>
      </c>
      <c r="F8" s="45">
        <f t="shared" ref="F8:F37" si="1">IF($B8="","",B8)</f>
        <v>2</v>
      </c>
      <c r="G8" s="188">
        <f>IFERROR(VLOOKUP($A8,Sheet1!$A1:$D$98,4,0),"")</f>
        <v>26000</v>
      </c>
      <c r="H8" s="178">
        <f>IF($C7=MAX($C$8:$C$56),SUM($H7:$H$8),IFERROR($G8*$F8,""))</f>
        <v>52000</v>
      </c>
      <c r="I8" s="78">
        <f t="shared" ref="I8:I37" si="2">IF(TYPE($A8)&lt;&gt;1,"",IFERROR(F8*E8,""))</f>
        <v>1</v>
      </c>
      <c r="L8" s="47"/>
    </row>
    <row r="9" spans="1:14" s="44" customFormat="1" ht="14.25" customHeight="1" x14ac:dyDescent="0.25">
      <c r="A9" s="180" t="s">
        <v>209</v>
      </c>
      <c r="B9" s="180">
        <v>6</v>
      </c>
      <c r="C9" s="45">
        <f t="shared" si="0"/>
        <v>2</v>
      </c>
      <c r="D9" s="176" t="str">
        <f>IFERROR(VLOOKUP($A9,Sheet1!$A$1:$B$98,2,0),"")</f>
        <v>0-Chân Gà</v>
      </c>
      <c r="E9" s="45">
        <f>IFERROR(VLOOKUP($A9,'Tổng Đơn'!$A$5:$E$72,5,0),"")</f>
        <v>1</v>
      </c>
      <c r="F9" s="45">
        <f t="shared" si="1"/>
        <v>6</v>
      </c>
      <c r="G9" s="188">
        <f>IF(AND($C9="",$C8&lt;&gt;""),"Tổng Cộng",IFERROR(VLOOKUP($A9,Sheet1!$A$1:$D$98,4,0),""))</f>
        <v>60000</v>
      </c>
      <c r="H9" s="178">
        <f>IF($C8=MAX($C$8:$C$56),SUM($H$8:$H8),IFERROR($G9*$F9,""))</f>
        <v>360000</v>
      </c>
      <c r="I9" s="78" t="str">
        <f t="shared" si="2"/>
        <v/>
      </c>
      <c r="L9" s="46"/>
    </row>
    <row r="10" spans="1:14" s="44" customFormat="1" ht="14.25" customHeight="1" x14ac:dyDescent="0.25">
      <c r="A10" s="180" t="s">
        <v>210</v>
      </c>
      <c r="B10" s="180">
        <v>2.1</v>
      </c>
      <c r="C10" s="45">
        <f t="shared" si="0"/>
        <v>3</v>
      </c>
      <c r="D10" s="176" t="str">
        <f>IFERROR(VLOOKUP($A10,Sheet1!$A$1:$B$98,2,0),"")</f>
        <v>0-Cánh Gà</v>
      </c>
      <c r="E10" s="45">
        <f>IFERROR(VLOOKUP($A10,'Tổng Đơn'!$A$5:$E$72,5,0),"")</f>
        <v>1</v>
      </c>
      <c r="F10" s="45">
        <f t="shared" si="1"/>
        <v>2.1</v>
      </c>
      <c r="G10" s="188">
        <f>IF(AND($C10="",$C9&lt;&gt;""),"Tổng Cộng",IFERROR(VLOOKUP($A10,Sheet1!$A$1:$D$98,4,0),""))</f>
        <v>70000</v>
      </c>
      <c r="H10" s="178">
        <f>IF($C9=MAX($C$8:$C$56),SUM($H$8:$H9),IFERROR($G10*$F10,""))</f>
        <v>147000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559000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297</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219</v>
      </c>
      <c r="D1" s="261"/>
      <c r="E1" s="261"/>
      <c r="F1" s="261"/>
      <c r="G1" s="261"/>
      <c r="H1" s="261"/>
    </row>
    <row r="2" spans="1:14" ht="15.75" customHeight="1" x14ac:dyDescent="0.25">
      <c r="C2" s="261"/>
      <c r="D2" s="261"/>
      <c r="E2" s="261"/>
      <c r="F2" s="261"/>
      <c r="G2" s="261"/>
      <c r="H2" s="261"/>
    </row>
    <row r="3" spans="1:14" ht="15" customHeight="1" x14ac:dyDescent="0.25">
      <c r="C3" s="263" t="s">
        <v>221</v>
      </c>
      <c r="D3" s="263"/>
      <c r="E3" s="263"/>
      <c r="F3" s="266" t="s">
        <v>223</v>
      </c>
      <c r="G3" s="266"/>
      <c r="H3" s="266"/>
    </row>
    <row r="4" spans="1:14" x14ac:dyDescent="0.25">
      <c r="C4" s="264" t="s">
        <v>222</v>
      </c>
      <c r="D4" s="264"/>
      <c r="E4" s="264"/>
      <c r="F4" s="267" t="s">
        <v>224</v>
      </c>
      <c r="G4" s="267"/>
      <c r="H4" s="267"/>
    </row>
    <row r="5" spans="1:14" s="169" customFormat="1" ht="21" customHeight="1" x14ac:dyDescent="0.25">
      <c r="C5" s="265" t="s">
        <v>220</v>
      </c>
      <c r="D5" s="265"/>
      <c r="E5" s="265"/>
      <c r="F5" s="265"/>
      <c r="G5" s="265"/>
      <c r="H5" s="265"/>
    </row>
    <row r="6" spans="1:14" s="169" customFormat="1" ht="17.25" customHeight="1" x14ac:dyDescent="0.25">
      <c r="C6" s="179" t="s">
        <v>225</v>
      </c>
      <c r="D6" s="184" t="s">
        <v>296</v>
      </c>
      <c r="E6" s="174"/>
      <c r="F6" s="174"/>
      <c r="G6" s="262" t="str">
        <f ca="1">"Ngày "&amp;DAY(TODAY())&amp;" Tháng "&amp;MONTH(TODAY())&amp;" Năm "&amp;YEAR(TODAY())</f>
        <v>Ngày 3 Tháng 3 Năm 2022</v>
      </c>
      <c r="H6" s="26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3</v>
      </c>
      <c r="C8" s="45">
        <f t="shared" ref="C8:C37" si="0">IF(OR(SUM($C7,$A8&lt;&gt;"")=0,$A8=""),"",SUM($C7,$A8&lt;&gt;""))</f>
        <v>1</v>
      </c>
      <c r="D8" s="176" t="str">
        <f>IFERROR(VLOOKUP($A8,Sheet1!$A$1:$B$98,2,0),"")</f>
        <v>0-Cánh Gà</v>
      </c>
      <c r="E8" s="177">
        <f>IFERROR(VLOOKUP($A8,'Tổng Đơn'!$A$5:$E$72,5,0),"")</f>
        <v>1</v>
      </c>
      <c r="F8" s="45">
        <f t="shared" ref="F8:F37" si="1">IF($B8="","",B8)</f>
        <v>3</v>
      </c>
      <c r="G8" s="188">
        <f>IFERROR(VLOOKUP($A8,Sheet1!$A1:$D$98,4,0),"")</f>
        <v>70000</v>
      </c>
      <c r="H8" s="178">
        <f>IF($C7=MAX($C$8:$C$56),SUM($H7:$H$8),IFERROR($G8*$F8,""))</f>
        <v>210000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210000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21</vt:i4>
      </vt:variant>
    </vt:vector>
  </HeadingPairs>
  <TitlesOfParts>
    <vt:vector size="5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2022-03-03T16:56:12Z</dcterms:modified>
</cp:coreProperties>
</file>