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500" r:id="rId13"/>
    <sheet name="Thanh Toán (11)" sheetId="498" r:id="rId14"/>
    <sheet name="Thanh Toán (10)" sheetId="497" r:id="rId15"/>
    <sheet name="Thanh Toán (9)" sheetId="496" r:id="rId16"/>
    <sheet name="Thanh Toán (8)" sheetId="495" r:id="rId17"/>
    <sheet name="Thanh Toán (7)" sheetId="494" r:id="rId18"/>
    <sheet name="Thanh Toán (6)" sheetId="493" r:id="rId19"/>
    <sheet name="Thanh Toán (5)" sheetId="492" r:id="rId20"/>
    <sheet name="Thanh Toán (4)" sheetId="491" r:id="rId21"/>
    <sheet name="Thanh Toán (3)" sheetId="490" r:id="rId22"/>
    <sheet name="Thanh Toán (2)" sheetId="489"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1"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00" l="1"/>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I9" i="500"/>
  <c r="G8" i="500"/>
  <c r="F8" i="500"/>
  <c r="E8" i="500"/>
  <c r="I8" i="500" s="1"/>
  <c r="D8" i="500"/>
  <c r="C8" i="500"/>
  <c r="C9" i="500" s="1"/>
  <c r="E7" i="500"/>
  <c r="G6" i="500"/>
  <c r="I7" i="500" l="1"/>
  <c r="C10" i="500"/>
  <c r="G10" i="500" l="1"/>
  <c r="C11" i="500"/>
  <c r="C12" i="500" l="1"/>
  <c r="G11" i="500"/>
  <c r="C13" i="500" l="1"/>
  <c r="G12" i="500"/>
  <c r="G13" i="500" l="1"/>
  <c r="C14" i="500"/>
  <c r="G14" i="500" l="1"/>
  <c r="C15" i="500"/>
  <c r="C16" i="500" l="1"/>
  <c r="G15" i="500"/>
  <c r="C17" i="500" l="1"/>
  <c r="G16" i="500"/>
  <c r="G17" i="500" l="1"/>
  <c r="C18" i="500"/>
  <c r="G18" i="500" l="1"/>
  <c r="C19" i="500"/>
  <c r="C20" i="500" l="1"/>
  <c r="G19" i="500"/>
  <c r="C21" i="500" l="1"/>
  <c r="G20" i="500"/>
  <c r="G21" i="500" l="1"/>
  <c r="C22" i="500"/>
  <c r="G22" i="500" l="1"/>
  <c r="C23" i="500"/>
  <c r="G23" i="500" l="1"/>
  <c r="C24" i="500"/>
  <c r="C25" i="500" l="1"/>
  <c r="G24" i="500"/>
  <c r="G25" i="500" l="1"/>
  <c r="C26" i="500"/>
  <c r="G26" i="500" l="1"/>
  <c r="C27" i="500"/>
  <c r="C28" i="500" l="1"/>
  <c r="G27" i="500"/>
  <c r="C29" i="500" l="1"/>
  <c r="G28" i="500"/>
  <c r="G29" i="500" l="1"/>
  <c r="C30" i="500"/>
  <c r="G30" i="500" l="1"/>
  <c r="C31" i="500"/>
  <c r="C32" i="500" l="1"/>
  <c r="G31" i="500"/>
  <c r="C33" i="500" l="1"/>
  <c r="G32" i="500"/>
  <c r="G33" i="500" l="1"/>
  <c r="C34" i="500"/>
  <c r="G34" i="500" l="1"/>
  <c r="C35" i="500"/>
  <c r="C36" i="500" l="1"/>
  <c r="G35" i="500"/>
  <c r="C37" i="500" l="1"/>
  <c r="G36" i="500"/>
  <c r="H32" i="500"/>
  <c r="H34" i="500"/>
  <c r="G37" i="500" l="1"/>
  <c r="H37" i="500" s="1"/>
  <c r="G38" i="500"/>
  <c r="H38" i="500" s="1"/>
  <c r="H8" i="500"/>
  <c r="H10" i="500" s="1"/>
  <c r="H12" i="500"/>
  <c r="H11" i="500"/>
  <c r="H16" i="500"/>
  <c r="H14" i="500"/>
  <c r="H13" i="500"/>
  <c r="H17" i="500"/>
  <c r="H15" i="500"/>
  <c r="H20" i="500"/>
  <c r="H18" i="500"/>
  <c r="H19" i="500"/>
  <c r="H21" i="500"/>
  <c r="H22" i="500"/>
  <c r="H24" i="500"/>
  <c r="H23" i="500"/>
  <c r="H25" i="500"/>
  <c r="H26" i="500"/>
  <c r="H28" i="500"/>
  <c r="H27" i="500"/>
  <c r="H29" i="500"/>
  <c r="H30" i="500"/>
  <c r="H35" i="500"/>
  <c r="H31" i="500"/>
  <c r="H33" i="500"/>
  <c r="H36" i="500"/>
  <c r="H19" i="498" l="1"/>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I18" i="498"/>
  <c r="F18" i="498"/>
  <c r="E18" i="498"/>
  <c r="D18" i="498"/>
  <c r="I17" i="498"/>
  <c r="F17" i="498"/>
  <c r="E17" i="498"/>
  <c r="D17" i="498"/>
  <c r="I16" i="498"/>
  <c r="F16" i="498"/>
  <c r="E16" i="498"/>
  <c r="D16" i="498"/>
  <c r="F15" i="498"/>
  <c r="I15" i="498" s="1"/>
  <c r="E15" i="498"/>
  <c r="D15" i="498"/>
  <c r="F14" i="498"/>
  <c r="E14" i="498"/>
  <c r="I14" i="498" s="1"/>
  <c r="D14" i="498"/>
  <c r="F13" i="498"/>
  <c r="E13" i="498"/>
  <c r="I13" i="498" s="1"/>
  <c r="D13" i="498"/>
  <c r="F12" i="498"/>
  <c r="E12" i="498"/>
  <c r="I12" i="498" s="1"/>
  <c r="D12" i="498"/>
  <c r="F11" i="498"/>
  <c r="I11" i="498" s="1"/>
  <c r="E11" i="498"/>
  <c r="D11" i="498"/>
  <c r="F10" i="498"/>
  <c r="E10" i="498"/>
  <c r="I10" i="498" s="1"/>
  <c r="D10" i="498"/>
  <c r="F9" i="498"/>
  <c r="E9" i="498"/>
  <c r="I9" i="498" s="1"/>
  <c r="D9" i="498"/>
  <c r="G8" i="498"/>
  <c r="F8" i="498"/>
  <c r="E8" i="498"/>
  <c r="I8" i="498" s="1"/>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10" i="497"/>
  <c r="E10" i="497"/>
  <c r="D10" i="497"/>
  <c r="I9" i="497"/>
  <c r="I8" i="497"/>
  <c r="G8" i="497"/>
  <c r="F8" i="497"/>
  <c r="E8" i="497"/>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9" i="496"/>
  <c r="E9" i="496"/>
  <c r="I9" i="496" s="1"/>
  <c r="D9" i="496"/>
  <c r="G8" i="496"/>
  <c r="F8" i="496"/>
  <c r="I8" i="496" s="1"/>
  <c r="E8" i="496"/>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I10" i="495"/>
  <c r="F10" i="495"/>
  <c r="E10" i="495"/>
  <c r="D10" i="495"/>
  <c r="F9" i="495"/>
  <c r="I9" i="495" s="1"/>
  <c r="E9" i="495"/>
  <c r="D9" i="495"/>
  <c r="G8" i="495"/>
  <c r="F8" i="495"/>
  <c r="E8" i="495"/>
  <c r="I8" i="495" s="1"/>
  <c r="I7" i="495" s="1"/>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F10" i="494"/>
  <c r="E10" i="494"/>
  <c r="I10" i="494" s="1"/>
  <c r="D10" i="494"/>
  <c r="F9" i="494"/>
  <c r="E9" i="494"/>
  <c r="I9" i="494" s="1"/>
  <c r="D9" i="494"/>
  <c r="G8" i="494"/>
  <c r="F8" i="494"/>
  <c r="I8" i="494" s="1"/>
  <c r="I7" i="494" s="1"/>
  <c r="E8" i="494"/>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F13" i="493"/>
  <c r="E13" i="493"/>
  <c r="D13" i="493"/>
  <c r="I12" i="493"/>
  <c r="F12" i="493"/>
  <c r="E12" i="493"/>
  <c r="D12" i="493"/>
  <c r="I11" i="493"/>
  <c r="F11" i="493"/>
  <c r="E11" i="493"/>
  <c r="D11" i="493"/>
  <c r="I10" i="493"/>
  <c r="F9" i="493"/>
  <c r="I9" i="493" s="1"/>
  <c r="E9" i="493"/>
  <c r="D9" i="493"/>
  <c r="G8" i="493"/>
  <c r="F8" i="493"/>
  <c r="E8" i="493"/>
  <c r="I8" i="493" s="1"/>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F11" i="492"/>
  <c r="I11" i="492" s="1"/>
  <c r="E11" i="492"/>
  <c r="D11" i="492"/>
  <c r="F10" i="492"/>
  <c r="E10" i="492"/>
  <c r="I10" i="492" s="1"/>
  <c r="D10" i="492"/>
  <c r="F9" i="492"/>
  <c r="I9" i="492" s="1"/>
  <c r="E9" i="492"/>
  <c r="D9" i="492"/>
  <c r="G8" i="492"/>
  <c r="F8" i="492"/>
  <c r="E8" i="492"/>
  <c r="I8" i="492" s="1"/>
  <c r="I7" i="492" s="1"/>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I10" i="491"/>
  <c r="F10" i="491"/>
  <c r="E10" i="491"/>
  <c r="D10" i="491"/>
  <c r="I9" i="491"/>
  <c r="F9" i="491"/>
  <c r="E9" i="491"/>
  <c r="D9" i="491"/>
  <c r="G8" i="491"/>
  <c r="F8" i="491"/>
  <c r="I8" i="491" s="1"/>
  <c r="I7" i="491" s="1"/>
  <c r="E8" i="49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F10" i="490"/>
  <c r="E10" i="490"/>
  <c r="I10" i="490" s="1"/>
  <c r="D10" i="490"/>
  <c r="F9" i="490"/>
  <c r="I9" i="490" s="1"/>
  <c r="E9" i="490"/>
  <c r="D9" i="490"/>
  <c r="G8" i="490"/>
  <c r="F8" i="490"/>
  <c r="E8" i="490"/>
  <c r="I8" i="490" s="1"/>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F11" i="489"/>
  <c r="I11" i="489" s="1"/>
  <c r="E11" i="489"/>
  <c r="D11" i="489"/>
  <c r="F10" i="489"/>
  <c r="E10" i="489"/>
  <c r="I10" i="489" s="1"/>
  <c r="D10" i="489"/>
  <c r="F9" i="489"/>
  <c r="E9" i="489"/>
  <c r="I9" i="489" s="1"/>
  <c r="D9" i="489"/>
  <c r="G8" i="489"/>
  <c r="F8" i="489"/>
  <c r="I8" i="489" s="1"/>
  <c r="E8" i="489"/>
  <c r="D8" i="489"/>
  <c r="C8" i="489"/>
  <c r="C9" i="489" s="1"/>
  <c r="E7" i="489"/>
  <c r="G6" i="489"/>
  <c r="AK11" i="1"/>
  <c r="AK14" i="1"/>
  <c r="AK15" i="1"/>
  <c r="AK16" i="1"/>
  <c r="AK17" i="1"/>
  <c r="AK19" i="1"/>
  <c r="AK20" i="1"/>
  <c r="AK12" i="4"/>
  <c r="AK7" i="5"/>
  <c r="AK9" i="5"/>
  <c r="I7" i="498" l="1"/>
  <c r="G9" i="498"/>
  <c r="C10" i="498"/>
  <c r="I7" i="497"/>
  <c r="C10" i="497"/>
  <c r="I7" i="496"/>
  <c r="G9" i="496"/>
  <c r="C10" i="496"/>
  <c r="G9" i="495"/>
  <c r="C10" i="495"/>
  <c r="G9" i="494"/>
  <c r="C10" i="494"/>
  <c r="I7" i="493"/>
  <c r="G9" i="493"/>
  <c r="C10" i="493"/>
  <c r="G9" i="492"/>
  <c r="C10" i="492"/>
  <c r="G9" i="491"/>
  <c r="C10" i="491"/>
  <c r="I11" i="490"/>
  <c r="I7" i="490" s="1"/>
  <c r="G9" i="490"/>
  <c r="C10" i="490"/>
  <c r="I12" i="489"/>
  <c r="I7" i="489"/>
  <c r="G9" i="489"/>
  <c r="C10" i="489"/>
  <c r="I11" i="95"/>
  <c r="I10" i="95"/>
  <c r="I9" i="95"/>
  <c r="I8" i="95"/>
  <c r="I7" i="95"/>
  <c r="H5" i="95"/>
  <c r="C11" i="498" l="1"/>
  <c r="G10" i="498"/>
  <c r="G10" i="497"/>
  <c r="C11" i="497"/>
  <c r="C11" i="496"/>
  <c r="G10" i="495"/>
  <c r="C11" i="495"/>
  <c r="G10" i="494"/>
  <c r="C11" i="494"/>
  <c r="C11" i="493"/>
  <c r="G10" i="492"/>
  <c r="C11" i="492"/>
  <c r="G10" i="491"/>
  <c r="C11" i="491"/>
  <c r="G10" i="490"/>
  <c r="C11" i="490"/>
  <c r="G10" i="489"/>
  <c r="C11" i="489"/>
  <c r="G2" i="50"/>
  <c r="G11" i="498" l="1"/>
  <c r="C12" i="498"/>
  <c r="G11" i="497"/>
  <c r="C12" i="497"/>
  <c r="C12" i="496"/>
  <c r="G11" i="496"/>
  <c r="C12" i="495"/>
  <c r="G11" i="495"/>
  <c r="C12" i="494"/>
  <c r="G11" i="494"/>
  <c r="C12" i="493"/>
  <c r="G11" i="493"/>
  <c r="C12" i="492"/>
  <c r="G11" i="492"/>
  <c r="C12" i="491"/>
  <c r="G11" i="491"/>
  <c r="C12" i="490"/>
  <c r="C12" i="489"/>
  <c r="G11" i="489"/>
  <c r="A2" i="4"/>
  <c r="A2" i="150"/>
  <c r="F19" i="4"/>
  <c r="F8" i="4"/>
  <c r="F10" i="150"/>
  <c r="F9" i="150"/>
  <c r="F5" i="150"/>
  <c r="A2" i="137"/>
  <c r="F7" i="137"/>
  <c r="F6" i="137"/>
  <c r="C13" i="498" l="1"/>
  <c r="G12" i="498"/>
  <c r="C13" i="497"/>
  <c r="G12" i="497"/>
  <c r="C13" i="496"/>
  <c r="G12" i="496"/>
  <c r="C13" i="495"/>
  <c r="G12" i="495"/>
  <c r="C13" i="494"/>
  <c r="G12" i="494"/>
  <c r="C13" i="493"/>
  <c r="G12" i="493"/>
  <c r="C13" i="492"/>
  <c r="G12" i="492"/>
  <c r="C13" i="491"/>
  <c r="G12" i="491"/>
  <c r="C13" i="490"/>
  <c r="G12" i="490"/>
  <c r="C13" i="489"/>
  <c r="G8" i="439"/>
  <c r="G13" i="498" l="1"/>
  <c r="C14" i="498"/>
  <c r="G13" i="497"/>
  <c r="C14" i="497"/>
  <c r="G13" i="496"/>
  <c r="C14" i="496"/>
  <c r="G13" i="495"/>
  <c r="C14" i="495"/>
  <c r="G13" i="494"/>
  <c r="C14" i="494"/>
  <c r="G13" i="493"/>
  <c r="C14" i="493"/>
  <c r="G13" i="492"/>
  <c r="C14" i="492"/>
  <c r="G13" i="491"/>
  <c r="C14" i="491"/>
  <c r="G13" i="490"/>
  <c r="C14" i="490"/>
  <c r="G13" i="489"/>
  <c r="C14" i="48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F8" i="439"/>
  <c r="E8" i="439"/>
  <c r="D8" i="439"/>
  <c r="C8" i="439"/>
  <c r="C9" i="439" s="1"/>
  <c r="E7" i="439"/>
  <c r="G6" i="439"/>
  <c r="N6" i="120"/>
  <c r="D17" i="95"/>
  <c r="C15" i="498" l="1"/>
  <c r="G14" i="498"/>
  <c r="G14" i="497"/>
  <c r="C15" i="497"/>
  <c r="G14" i="496"/>
  <c r="C15" i="496"/>
  <c r="G14" i="495"/>
  <c r="C15" i="495"/>
  <c r="G14" i="494"/>
  <c r="C15" i="494"/>
  <c r="G14" i="493"/>
  <c r="C15" i="493"/>
  <c r="G14" i="492"/>
  <c r="C15" i="492"/>
  <c r="G14" i="491"/>
  <c r="C15" i="491"/>
  <c r="G14" i="490"/>
  <c r="C15" i="490"/>
  <c r="G14" i="489"/>
  <c r="C15" i="48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5" i="498" l="1"/>
  <c r="C16" i="498"/>
  <c r="C16" i="497"/>
  <c r="G15" i="497"/>
  <c r="G15" i="496"/>
  <c r="C16" i="496"/>
  <c r="G15" i="495"/>
  <c r="C16" i="495"/>
  <c r="C16" i="494"/>
  <c r="G15" i="494"/>
  <c r="C16" i="493"/>
  <c r="G15" i="493"/>
  <c r="C16" i="492"/>
  <c r="G15" i="492"/>
  <c r="G15" i="491"/>
  <c r="C16" i="491"/>
  <c r="G15" i="490"/>
  <c r="C16" i="490"/>
  <c r="G15" i="489"/>
  <c r="C16" i="489"/>
  <c r="I7" i="439"/>
  <c r="G10" i="439"/>
  <c r="C11" i="439"/>
  <c r="C17" i="498" l="1"/>
  <c r="G16" i="498"/>
  <c r="C17" i="497"/>
  <c r="G16" i="497"/>
  <c r="C17" i="496"/>
  <c r="G16" i="496"/>
  <c r="C17" i="495"/>
  <c r="G16" i="495"/>
  <c r="C17" i="494"/>
  <c r="G16" i="494"/>
  <c r="C17" i="493"/>
  <c r="G16" i="493"/>
  <c r="C17" i="492"/>
  <c r="G16" i="492"/>
  <c r="C17" i="491"/>
  <c r="G16" i="491"/>
  <c r="C17" i="490"/>
  <c r="G16" i="490"/>
  <c r="C17" i="489"/>
  <c r="G16" i="489"/>
  <c r="C12" i="439"/>
  <c r="G11" i="439"/>
  <c r="G17" i="498" l="1"/>
  <c r="C18" i="498"/>
  <c r="G17" i="497"/>
  <c r="C18" i="497"/>
  <c r="G17" i="496"/>
  <c r="C18" i="496"/>
  <c r="G17" i="495"/>
  <c r="C18" i="495"/>
  <c r="G17" i="494"/>
  <c r="C18" i="494"/>
  <c r="G17" i="493"/>
  <c r="C18" i="493"/>
  <c r="G17" i="492"/>
  <c r="C18" i="492"/>
  <c r="G17" i="491"/>
  <c r="C18" i="491"/>
  <c r="G17" i="490"/>
  <c r="C18" i="490"/>
  <c r="G17" i="489"/>
  <c r="C18" i="489"/>
  <c r="C13" i="439"/>
  <c r="G12" i="439"/>
  <c r="M6" i="120"/>
  <c r="G18" i="498" l="1"/>
  <c r="C19" i="498"/>
  <c r="G18" i="497"/>
  <c r="C19" i="497"/>
  <c r="G18" i="496"/>
  <c r="C19" i="496"/>
  <c r="G18" i="495"/>
  <c r="C19" i="495"/>
  <c r="G18" i="494"/>
  <c r="C19" i="494"/>
  <c r="G18" i="493"/>
  <c r="C19" i="493"/>
  <c r="G18" i="492"/>
  <c r="C19" i="492"/>
  <c r="G18" i="491"/>
  <c r="C19" i="491"/>
  <c r="G18" i="490"/>
  <c r="C19" i="490"/>
  <c r="G18" i="489"/>
  <c r="C19" i="489"/>
  <c r="G13" i="439"/>
  <c r="C14" i="439"/>
  <c r="F9" i="4"/>
  <c r="F6" i="4"/>
  <c r="C20" i="498" l="1"/>
  <c r="C20" i="497"/>
  <c r="G19" i="497"/>
  <c r="C20" i="496"/>
  <c r="G19" i="496"/>
  <c r="C20" i="495"/>
  <c r="G19" i="495"/>
  <c r="C20" i="494"/>
  <c r="G19" i="494"/>
  <c r="G19" i="493"/>
  <c r="C20" i="493"/>
  <c r="G19" i="492"/>
  <c r="C20" i="492"/>
  <c r="C20" i="491"/>
  <c r="G19" i="491"/>
  <c r="C20" i="490"/>
  <c r="G19" i="490"/>
  <c r="G19" i="489"/>
  <c r="C20" i="489"/>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1" i="498" l="1"/>
  <c r="G20" i="498"/>
  <c r="C21" i="497"/>
  <c r="G20" i="497"/>
  <c r="C21" i="496"/>
  <c r="G20" i="496"/>
  <c r="C21" i="495"/>
  <c r="G20" i="495"/>
  <c r="C21" i="494"/>
  <c r="G20" i="494"/>
  <c r="C21" i="493"/>
  <c r="G20" i="493"/>
  <c r="C21" i="492"/>
  <c r="G20" i="492"/>
  <c r="C21" i="491"/>
  <c r="G20" i="491"/>
  <c r="C21" i="490"/>
  <c r="G20" i="490"/>
  <c r="C21" i="489"/>
  <c r="G20" i="489"/>
  <c r="C16" i="439"/>
  <c r="G15" i="439"/>
  <c r="A2" i="1"/>
  <c r="G21" i="498" l="1"/>
  <c r="C22" i="498"/>
  <c r="G21" i="497"/>
  <c r="C22" i="497"/>
  <c r="G21" i="496"/>
  <c r="C22" i="496"/>
  <c r="G21" i="495"/>
  <c r="C22" i="495"/>
  <c r="G21" i="494"/>
  <c r="C22" i="494"/>
  <c r="G21" i="493"/>
  <c r="C22" i="493"/>
  <c r="G21" i="492"/>
  <c r="C22" i="492"/>
  <c r="G21" i="491"/>
  <c r="C22" i="491"/>
  <c r="G21" i="490"/>
  <c r="C22" i="490"/>
  <c r="G21" i="489"/>
  <c r="C22" i="489"/>
  <c r="C17" i="439"/>
  <c r="G16" i="439"/>
  <c r="F25" i="1"/>
  <c r="F18" i="1"/>
  <c r="F9" i="1"/>
  <c r="F8" i="1"/>
  <c r="C23" i="498" l="1"/>
  <c r="G22" i="498"/>
  <c r="G22" i="497"/>
  <c r="C23" i="497"/>
  <c r="G22" i="496"/>
  <c r="C23" i="496"/>
  <c r="G22" i="495"/>
  <c r="C23" i="495"/>
  <c r="G22" i="494"/>
  <c r="C23" i="494"/>
  <c r="G22" i="493"/>
  <c r="C23" i="493"/>
  <c r="G22" i="492"/>
  <c r="C23" i="492"/>
  <c r="G22" i="491"/>
  <c r="C23" i="491"/>
  <c r="G22" i="490"/>
  <c r="C23" i="490"/>
  <c r="G22" i="489"/>
  <c r="C23" i="489"/>
  <c r="G17" i="439"/>
  <c r="C18" i="439"/>
  <c r="F7" i="4"/>
  <c r="G23" i="498" l="1"/>
  <c r="C24" i="498"/>
  <c r="C24" i="497"/>
  <c r="G23" i="497"/>
  <c r="C24" i="496"/>
  <c r="G23" i="496"/>
  <c r="C24" i="495"/>
  <c r="G23" i="495"/>
  <c r="C24" i="494"/>
  <c r="G23" i="494"/>
  <c r="C24" i="493"/>
  <c r="G23" i="493"/>
  <c r="G23" i="492"/>
  <c r="C24" i="492"/>
  <c r="C24" i="491"/>
  <c r="G23" i="491"/>
  <c r="C24" i="490"/>
  <c r="G23" i="490"/>
  <c r="C24" i="489"/>
  <c r="G23" i="489"/>
  <c r="G18" i="439"/>
  <c r="C19" i="439"/>
  <c r="F23" i="4"/>
  <c r="F20" i="4"/>
  <c r="F5" i="4"/>
  <c r="F7" i="150"/>
  <c r="C25" i="498" l="1"/>
  <c r="G24" i="498"/>
  <c r="C25" i="497"/>
  <c r="G24" i="497"/>
  <c r="C25" i="496"/>
  <c r="G24" i="496"/>
  <c r="C25" i="495"/>
  <c r="G24" i="495"/>
  <c r="C25" i="494"/>
  <c r="G24" i="494"/>
  <c r="C25" i="493"/>
  <c r="G24" i="493"/>
  <c r="C25" i="492"/>
  <c r="G24" i="492"/>
  <c r="C25" i="491"/>
  <c r="G24" i="491"/>
  <c r="C25" i="490"/>
  <c r="G24" i="490"/>
  <c r="C25" i="489"/>
  <c r="G24" i="489"/>
  <c r="G19" i="439"/>
  <c r="C20" i="439"/>
  <c r="J6" i="120"/>
  <c r="O5" i="120"/>
  <c r="G25" i="498" l="1"/>
  <c r="C26" i="498"/>
  <c r="G25" i="497"/>
  <c r="C26" i="497"/>
  <c r="G25" i="496"/>
  <c r="C26" i="496"/>
  <c r="G25" i="495"/>
  <c r="C26" i="495"/>
  <c r="G25" i="494"/>
  <c r="C26" i="494"/>
  <c r="G25" i="493"/>
  <c r="C26" i="493"/>
  <c r="G25" i="492"/>
  <c r="C26" i="492"/>
  <c r="G25" i="491"/>
  <c r="C26" i="491"/>
  <c r="G25" i="490"/>
  <c r="C26" i="490"/>
  <c r="G25" i="489"/>
  <c r="C26" i="489"/>
  <c r="C21" i="439"/>
  <c r="G20" i="439"/>
  <c r="N2" i="120"/>
  <c r="O2" i="120"/>
  <c r="A31" i="1"/>
  <c r="A32" i="1"/>
  <c r="A33" i="1"/>
  <c r="A34" i="1"/>
  <c r="Q5" i="137"/>
  <c r="Q6" i="50"/>
  <c r="Z6" i="50"/>
  <c r="AL6" i="50"/>
  <c r="T6" i="50"/>
  <c r="AD6" i="50"/>
  <c r="AI6" i="50"/>
  <c r="AO6" i="50"/>
  <c r="BC6" i="50"/>
  <c r="AS6" i="50"/>
  <c r="Y6" i="50"/>
  <c r="AK6" i="50"/>
  <c r="AA6" i="50"/>
  <c r="AC6" i="50"/>
  <c r="AR6" i="50"/>
  <c r="L6" i="50"/>
  <c r="AM6" i="50"/>
  <c r="AB6" i="50"/>
  <c r="AU6" i="50"/>
  <c r="AH6" i="50"/>
  <c r="X6" i="50"/>
  <c r="S6" i="50"/>
  <c r="AX6" i="50"/>
  <c r="V6" i="50"/>
  <c r="AP6" i="50"/>
  <c r="AT6" i="50"/>
  <c r="BB6" i="50"/>
  <c r="N6" i="50"/>
  <c r="AQ6" i="50"/>
  <c r="AW6" i="50"/>
  <c r="AV6" i="50"/>
  <c r="AF6" i="50"/>
  <c r="O6" i="50"/>
  <c r="R6" i="50"/>
  <c r="AG6" i="50"/>
  <c r="AY6" i="50"/>
  <c r="BA6" i="50"/>
  <c r="AN6" i="50"/>
  <c r="AJ6" i="50"/>
  <c r="W6" i="50"/>
  <c r="P6" i="50"/>
  <c r="U6" i="50"/>
  <c r="M6" i="50"/>
  <c r="AZ6" i="50"/>
  <c r="AE6" i="50"/>
  <c r="C27" i="498" l="1"/>
  <c r="G26" i="498"/>
  <c r="G26" i="497"/>
  <c r="C27" i="497"/>
  <c r="G26" i="496"/>
  <c r="C27" i="496"/>
  <c r="G26" i="495"/>
  <c r="C27" i="495"/>
  <c r="G26" i="494"/>
  <c r="C27" i="494"/>
  <c r="G26" i="493"/>
  <c r="C27" i="493"/>
  <c r="G26" i="492"/>
  <c r="C27" i="492"/>
  <c r="G26" i="491"/>
  <c r="C27" i="491"/>
  <c r="G26" i="490"/>
  <c r="C27" i="490"/>
  <c r="G26" i="489"/>
  <c r="C27" i="489"/>
  <c r="G21" i="439"/>
  <c r="C22" i="439"/>
  <c r="F6" i="50"/>
  <c r="AK6" i="137" s="1"/>
  <c r="G27" i="498" l="1"/>
  <c r="C28" i="498"/>
  <c r="C28" i="497"/>
  <c r="G27" i="497"/>
  <c r="G27" i="496"/>
  <c r="C28" i="496"/>
  <c r="C28" i="495"/>
  <c r="G27" i="495"/>
  <c r="C28" i="494"/>
  <c r="G27" i="494"/>
  <c r="C28" i="493"/>
  <c r="G27" i="493"/>
  <c r="C28" i="492"/>
  <c r="G27" i="492"/>
  <c r="C28" i="491"/>
  <c r="G27" i="491"/>
  <c r="G27" i="490"/>
  <c r="C28" i="490"/>
  <c r="C28" i="489"/>
  <c r="G27" i="489"/>
  <c r="G22" i="439"/>
  <c r="C23" i="439"/>
  <c r="C29" i="498" l="1"/>
  <c r="G28" i="498"/>
  <c r="C29" i="497"/>
  <c r="G28" i="497"/>
  <c r="C29" i="496"/>
  <c r="G28" i="496"/>
  <c r="C29" i="495"/>
  <c r="G28" i="495"/>
  <c r="C29" i="494"/>
  <c r="G28" i="494"/>
  <c r="C29" i="493"/>
  <c r="G28" i="493"/>
  <c r="C29" i="492"/>
  <c r="G28" i="492"/>
  <c r="C29" i="491"/>
  <c r="G28" i="491"/>
  <c r="C29" i="490"/>
  <c r="G28" i="490"/>
  <c r="C29" i="489"/>
  <c r="G28" i="489"/>
  <c r="C24" i="439"/>
  <c r="G23" i="439"/>
  <c r="M6" i="137"/>
  <c r="F5" i="137"/>
  <c r="H6" i="137"/>
  <c r="G29" i="498" l="1"/>
  <c r="C30" i="498"/>
  <c r="G29" i="497"/>
  <c r="C30" i="497"/>
  <c r="G29" i="496"/>
  <c r="C30" i="496"/>
  <c r="G29" i="495"/>
  <c r="C30" i="495"/>
  <c r="G29" i="494"/>
  <c r="C30" i="494"/>
  <c r="G29" i="493"/>
  <c r="C30" i="493"/>
  <c r="G29" i="492"/>
  <c r="C30" i="492"/>
  <c r="G29" i="491"/>
  <c r="C30" i="491"/>
  <c r="G29" i="490"/>
  <c r="C30" i="490"/>
  <c r="G29" i="489"/>
  <c r="C30" i="489"/>
  <c r="C25" i="439"/>
  <c r="G24" i="439"/>
  <c r="G30" i="498" l="1"/>
  <c r="C31" i="498"/>
  <c r="G30" i="497"/>
  <c r="C31" i="497"/>
  <c r="G30" i="496"/>
  <c r="C31" i="496"/>
  <c r="G30" i="495"/>
  <c r="C31" i="495"/>
  <c r="G30" i="494"/>
  <c r="C31" i="494"/>
  <c r="G30" i="493"/>
  <c r="C31" i="493"/>
  <c r="G30" i="492"/>
  <c r="C31" i="492"/>
  <c r="G30" i="491"/>
  <c r="C31" i="491"/>
  <c r="G30" i="490"/>
  <c r="C31" i="490"/>
  <c r="G30" i="489"/>
  <c r="C31" i="489"/>
  <c r="G25" i="439"/>
  <c r="C26" i="439"/>
  <c r="AM4" i="137"/>
  <c r="AN4" i="137"/>
  <c r="AO4" i="137"/>
  <c r="AP4" i="137"/>
  <c r="AQ4" i="137"/>
  <c r="AR4" i="137"/>
  <c r="AS4" i="137"/>
  <c r="AT4" i="137"/>
  <c r="AU4" i="137"/>
  <c r="AV4" i="137"/>
  <c r="AM4" i="4"/>
  <c r="AN4" i="4"/>
  <c r="AO4" i="4"/>
  <c r="AP4" i="4"/>
  <c r="AQ4" i="4"/>
  <c r="AR4" i="4"/>
  <c r="AS4" i="4"/>
  <c r="AT4" i="4"/>
  <c r="AU4" i="4"/>
  <c r="AV4" i="4"/>
  <c r="AM4" i="1"/>
  <c r="AN4" i="1"/>
  <c r="AO4" i="1"/>
  <c r="AP4" i="1"/>
  <c r="AQ4" i="1"/>
  <c r="AR4" i="1"/>
  <c r="AS4" i="1"/>
  <c r="AT4" i="1"/>
  <c r="AU4" i="1"/>
  <c r="AV4" i="1"/>
  <c r="C32" i="498" l="1"/>
  <c r="G31" i="498"/>
  <c r="C32" i="497"/>
  <c r="G31" i="497"/>
  <c r="C32" i="496"/>
  <c r="G31" i="496"/>
  <c r="G31" i="495"/>
  <c r="C32" i="495"/>
  <c r="G31" i="494"/>
  <c r="C32" i="494"/>
  <c r="C32" i="493"/>
  <c r="G31" i="493"/>
  <c r="G31" i="492"/>
  <c r="C32" i="492"/>
  <c r="G31" i="491"/>
  <c r="C32" i="491"/>
  <c r="C32" i="490"/>
  <c r="G31" i="490"/>
  <c r="C32" i="489"/>
  <c r="G31" i="489"/>
  <c r="G26" i="439"/>
  <c r="C27" i="439"/>
  <c r="P9" i="150"/>
  <c r="C33" i="498" l="1"/>
  <c r="G32" i="498"/>
  <c r="C33" i="497"/>
  <c r="G32" i="497"/>
  <c r="C33" i="496"/>
  <c r="G32" i="496"/>
  <c r="C33" i="495"/>
  <c r="G32" i="495"/>
  <c r="C33" i="494"/>
  <c r="G32" i="494"/>
  <c r="C33" i="493"/>
  <c r="G32" i="493"/>
  <c r="C33" i="492"/>
  <c r="G32" i="492"/>
  <c r="C33" i="491"/>
  <c r="G32" i="491"/>
  <c r="C33" i="490"/>
  <c r="G32" i="490"/>
  <c r="C33" i="489"/>
  <c r="G32" i="489"/>
  <c r="C28" i="439"/>
  <c r="G27" i="439"/>
  <c r="D74" i="50"/>
  <c r="Y74" i="50"/>
  <c r="V74" i="50"/>
  <c r="W74" i="50"/>
  <c r="AX74" i="50"/>
  <c r="AB74" i="50"/>
  <c r="AZ74" i="50"/>
  <c r="U74" i="50"/>
  <c r="P74" i="50"/>
  <c r="AY74" i="50"/>
  <c r="AU74" i="50"/>
  <c r="AK74" i="50"/>
  <c r="AC74" i="50"/>
  <c r="N74" i="50"/>
  <c r="AA74" i="50"/>
  <c r="X74" i="50"/>
  <c r="AL74" i="50"/>
  <c r="BB74" i="50"/>
  <c r="BA74" i="50"/>
  <c r="AG74" i="50"/>
  <c r="AW74" i="50"/>
  <c r="R74" i="50"/>
  <c r="AD74" i="50"/>
  <c r="AT74" i="50"/>
  <c r="AJ74" i="50"/>
  <c r="AP74" i="50"/>
  <c r="S74" i="50"/>
  <c r="Z74" i="50"/>
  <c r="BC74" i="50"/>
  <c r="AO74" i="50"/>
  <c r="AM74" i="50"/>
  <c r="AE74" i="50"/>
  <c r="T74" i="50"/>
  <c r="AI74" i="50"/>
  <c r="AQ74" i="50"/>
  <c r="AF74" i="50"/>
  <c r="AH74" i="50"/>
  <c r="AV74" i="50"/>
  <c r="L74" i="50"/>
  <c r="AR74" i="50"/>
  <c r="O74" i="50"/>
  <c r="M74" i="50"/>
  <c r="AN74" i="50"/>
  <c r="Q74" i="50"/>
  <c r="AS74" i="50"/>
  <c r="G33" i="498" l="1"/>
  <c r="C34" i="498"/>
  <c r="G33" i="497"/>
  <c r="C34" i="497"/>
  <c r="G33" i="496"/>
  <c r="C34" i="496"/>
  <c r="G33" i="495"/>
  <c r="C34" i="495"/>
  <c r="G33" i="494"/>
  <c r="C34" i="494"/>
  <c r="G33" i="493"/>
  <c r="C34" i="493"/>
  <c r="G33" i="492"/>
  <c r="C34" i="492"/>
  <c r="G33" i="491"/>
  <c r="C34" i="491"/>
  <c r="G33" i="490"/>
  <c r="C34" i="490"/>
  <c r="G33" i="489"/>
  <c r="C34" i="489"/>
  <c r="C29" i="439"/>
  <c r="G28" i="439"/>
  <c r="F74" i="50"/>
  <c r="AK25" i="4" s="1"/>
  <c r="AX25" i="4"/>
  <c r="M25" i="4"/>
  <c r="H25" i="4"/>
  <c r="D25" i="4"/>
  <c r="G34" i="498" l="1"/>
  <c r="C35" i="498"/>
  <c r="G34" i="497"/>
  <c r="C35" i="497"/>
  <c r="G34" i="496"/>
  <c r="C35" i="496"/>
  <c r="G34" i="495"/>
  <c r="C35" i="495"/>
  <c r="G34" i="494"/>
  <c r="C35" i="494"/>
  <c r="G34" i="493"/>
  <c r="C35" i="493"/>
  <c r="G34" i="492"/>
  <c r="C35" i="492"/>
  <c r="G34" i="491"/>
  <c r="C35" i="491"/>
  <c r="G34" i="490"/>
  <c r="C35" i="490"/>
  <c r="G34" i="489"/>
  <c r="C35" i="489"/>
  <c r="G29" i="439"/>
  <c r="C30" i="439"/>
  <c r="M5" i="120"/>
  <c r="G35" i="498" l="1"/>
  <c r="C36" i="498"/>
  <c r="C36" i="497"/>
  <c r="G35" i="497"/>
  <c r="G35" i="496"/>
  <c r="C36" i="496"/>
  <c r="C36" i="495"/>
  <c r="G35" i="495"/>
  <c r="G35" i="494"/>
  <c r="C36" i="494"/>
  <c r="C36" i="493"/>
  <c r="G35" i="493"/>
  <c r="G35" i="492"/>
  <c r="C36" i="492"/>
  <c r="C36" i="491"/>
  <c r="G35" i="491"/>
  <c r="C36" i="490"/>
  <c r="G35" i="490"/>
  <c r="C36" i="489"/>
  <c r="G35" i="489"/>
  <c r="G30" i="439"/>
  <c r="C31" i="439"/>
  <c r="P8" i="137"/>
  <c r="F26" i="1"/>
  <c r="C37" i="498" l="1"/>
  <c r="G36" i="498"/>
  <c r="C37" i="497"/>
  <c r="H33" i="497" s="1"/>
  <c r="G36" i="497"/>
  <c r="C37" i="496"/>
  <c r="G36" i="496"/>
  <c r="H32" i="496"/>
  <c r="H31" i="496"/>
  <c r="C37" i="495"/>
  <c r="G36" i="495"/>
  <c r="C37" i="494"/>
  <c r="G36" i="494"/>
  <c r="H35" i="494"/>
  <c r="H34" i="494"/>
  <c r="C37" i="493"/>
  <c r="H33" i="493" s="1"/>
  <c r="G36" i="493"/>
  <c r="C37" i="492"/>
  <c r="G36" i="492"/>
  <c r="H36" i="492" s="1"/>
  <c r="H35" i="492"/>
  <c r="H33" i="492"/>
  <c r="H32" i="492"/>
  <c r="H34" i="492"/>
  <c r="C37" i="491"/>
  <c r="H35" i="491" s="1"/>
  <c r="G36" i="491"/>
  <c r="C37" i="490"/>
  <c r="G36" i="490"/>
  <c r="H36" i="490" s="1"/>
  <c r="H35" i="490"/>
  <c r="C37" i="489"/>
  <c r="G36" i="489"/>
  <c r="G31" i="439"/>
  <c r="C32" i="439"/>
  <c r="G37" i="498" l="1"/>
  <c r="G38" i="498"/>
  <c r="H38" i="498" s="1"/>
  <c r="H11" i="498"/>
  <c r="H8" i="498"/>
  <c r="H10" i="498"/>
  <c r="H9" i="498"/>
  <c r="H12" i="498"/>
  <c r="H15" i="498"/>
  <c r="H14" i="498"/>
  <c r="H16" i="498"/>
  <c r="H13" i="498"/>
  <c r="H18" i="498"/>
  <c r="H17" i="498"/>
  <c r="H23" i="498"/>
  <c r="H25" i="498"/>
  <c r="H22" i="498"/>
  <c r="H21" i="498"/>
  <c r="H26" i="498"/>
  <c r="H24" i="498"/>
  <c r="H28" i="498"/>
  <c r="H29" i="498"/>
  <c r="H27" i="498"/>
  <c r="H30" i="498"/>
  <c r="H31" i="498"/>
  <c r="H36" i="498"/>
  <c r="H35" i="498"/>
  <c r="H32" i="498"/>
  <c r="H37" i="498"/>
  <c r="H34" i="498"/>
  <c r="H33" i="498"/>
  <c r="H32" i="497"/>
  <c r="H34" i="497"/>
  <c r="H35" i="497"/>
  <c r="G37" i="497"/>
  <c r="H37" i="497" s="1"/>
  <c r="G38" i="497"/>
  <c r="H38" i="497" s="1"/>
  <c r="H8" i="497"/>
  <c r="H12" i="497"/>
  <c r="H11" i="497"/>
  <c r="H16" i="497"/>
  <c r="H13" i="497"/>
  <c r="H14" i="497"/>
  <c r="H17" i="497"/>
  <c r="H15" i="497"/>
  <c r="H20" i="497"/>
  <c r="H19" i="497"/>
  <c r="H18" i="497"/>
  <c r="H21" i="497"/>
  <c r="H23" i="497"/>
  <c r="H22" i="497"/>
  <c r="H24" i="497"/>
  <c r="H25" i="497"/>
  <c r="H26" i="497"/>
  <c r="H27" i="497"/>
  <c r="H29" i="497"/>
  <c r="H28" i="497"/>
  <c r="H30" i="497"/>
  <c r="H31" i="497"/>
  <c r="H36" i="497"/>
  <c r="H33" i="496"/>
  <c r="G37" i="496"/>
  <c r="H37" i="496" s="1"/>
  <c r="G38" i="496"/>
  <c r="H38" i="496" s="1"/>
  <c r="H8" i="496"/>
  <c r="H12" i="496"/>
  <c r="H9" i="496"/>
  <c r="H13" i="496"/>
  <c r="H14" i="496"/>
  <c r="H15" i="496"/>
  <c r="H17" i="496"/>
  <c r="H18" i="496"/>
  <c r="H16" i="496"/>
  <c r="H20" i="496"/>
  <c r="H19" i="496"/>
  <c r="H22" i="496"/>
  <c r="H21" i="496"/>
  <c r="H23" i="496"/>
  <c r="H25" i="496"/>
  <c r="H24" i="496"/>
  <c r="H26" i="496"/>
  <c r="H27" i="496"/>
  <c r="H28" i="496"/>
  <c r="H30" i="496"/>
  <c r="H29" i="496"/>
  <c r="H36" i="496"/>
  <c r="H35" i="496"/>
  <c r="H34" i="496"/>
  <c r="G37" i="495"/>
  <c r="G38" i="495"/>
  <c r="H38" i="495" s="1"/>
  <c r="H9" i="495"/>
  <c r="H12" i="495"/>
  <c r="H8" i="495"/>
  <c r="H10" i="495" s="1"/>
  <c r="H11" i="495"/>
  <c r="H15" i="495"/>
  <c r="H13" i="495"/>
  <c r="H16" i="495"/>
  <c r="H17" i="495"/>
  <c r="H14" i="495"/>
  <c r="H18" i="495"/>
  <c r="H20" i="495"/>
  <c r="H19" i="495"/>
  <c r="H24" i="495"/>
  <c r="H21" i="495"/>
  <c r="H22" i="495"/>
  <c r="H23" i="495"/>
  <c r="H26" i="495"/>
  <c r="H25" i="495"/>
  <c r="H29" i="495"/>
  <c r="H28" i="495"/>
  <c r="H27" i="495"/>
  <c r="H30" i="495"/>
  <c r="H32" i="495"/>
  <c r="H31" i="495"/>
  <c r="H33" i="495"/>
  <c r="H35" i="495"/>
  <c r="H34" i="495"/>
  <c r="H37" i="495"/>
  <c r="H36" i="495"/>
  <c r="G37" i="494"/>
  <c r="H37" i="494" s="1"/>
  <c r="G38" i="494"/>
  <c r="H38" i="494" s="1"/>
  <c r="H10" i="494"/>
  <c r="H12" i="494"/>
  <c r="H8" i="494"/>
  <c r="H11" i="494" s="1"/>
  <c r="H9" i="494"/>
  <c r="H16" i="494"/>
  <c r="H13" i="494"/>
  <c r="H14" i="494"/>
  <c r="H15" i="494"/>
  <c r="H20" i="494"/>
  <c r="H18" i="494"/>
  <c r="H17" i="494"/>
  <c r="H19" i="494"/>
  <c r="H24" i="494"/>
  <c r="H21" i="494"/>
  <c r="H22" i="494"/>
  <c r="H23" i="494"/>
  <c r="H26" i="494"/>
  <c r="H27" i="494"/>
  <c r="H28" i="494"/>
  <c r="H25" i="494"/>
  <c r="H30" i="494"/>
  <c r="H29" i="494"/>
  <c r="H31" i="494"/>
  <c r="H33" i="494"/>
  <c r="H32" i="494"/>
  <c r="H36" i="494"/>
  <c r="H35" i="493"/>
  <c r="G37" i="493"/>
  <c r="G38" i="493"/>
  <c r="H38" i="493" s="1"/>
  <c r="H8" i="493"/>
  <c r="H12" i="493"/>
  <c r="H9" i="493"/>
  <c r="H11" i="493"/>
  <c r="H13" i="493"/>
  <c r="H16" i="493"/>
  <c r="H15" i="493"/>
  <c r="H14" i="493"/>
  <c r="H20" i="493"/>
  <c r="H19" i="493"/>
  <c r="H17" i="493"/>
  <c r="H21" i="493"/>
  <c r="H18" i="493"/>
  <c r="H22" i="493"/>
  <c r="H23" i="493"/>
  <c r="H24" i="493"/>
  <c r="H25" i="493"/>
  <c r="H26" i="493"/>
  <c r="H28" i="493"/>
  <c r="H27" i="493"/>
  <c r="H30" i="493"/>
  <c r="H32" i="493"/>
  <c r="H34" i="493"/>
  <c r="H29" i="493"/>
  <c r="H31" i="493"/>
  <c r="H36" i="493"/>
  <c r="H37" i="493"/>
  <c r="G37" i="492"/>
  <c r="H37" i="492" s="1"/>
  <c r="G38" i="492"/>
  <c r="H38" i="492" s="1"/>
  <c r="H9" i="492"/>
  <c r="H8" i="492"/>
  <c r="H10" i="492"/>
  <c r="H12" i="492" s="1"/>
  <c r="H11" i="492"/>
  <c r="H14" i="492"/>
  <c r="H16" i="492"/>
  <c r="H13" i="492"/>
  <c r="H15" i="492"/>
  <c r="H17" i="492"/>
  <c r="H18" i="492"/>
  <c r="H20" i="492"/>
  <c r="H19" i="492"/>
  <c r="H21" i="492"/>
  <c r="H23" i="492"/>
  <c r="H22" i="492"/>
  <c r="H24" i="492"/>
  <c r="H25" i="492"/>
  <c r="H26" i="492"/>
  <c r="H28" i="492"/>
  <c r="H27" i="492"/>
  <c r="H29" i="492"/>
  <c r="H30" i="492"/>
  <c r="H31" i="492"/>
  <c r="G37" i="491"/>
  <c r="G38" i="491"/>
  <c r="H38" i="491" s="1"/>
  <c r="H10" i="491"/>
  <c r="H8" i="491"/>
  <c r="H9" i="491" s="1"/>
  <c r="H12" i="491"/>
  <c r="H11" i="491"/>
  <c r="H13" i="491"/>
  <c r="H15" i="491"/>
  <c r="H14" i="491"/>
  <c r="H17" i="491"/>
  <c r="H16" i="491"/>
  <c r="H18" i="491"/>
  <c r="H19" i="491"/>
  <c r="H20" i="491"/>
  <c r="H21" i="491"/>
  <c r="H22" i="491"/>
  <c r="H23" i="491"/>
  <c r="H24" i="491"/>
  <c r="H25" i="491"/>
  <c r="H27" i="491"/>
  <c r="H28" i="491"/>
  <c r="H26" i="491"/>
  <c r="H29" i="491"/>
  <c r="H30" i="491"/>
  <c r="H31" i="491"/>
  <c r="H33" i="491"/>
  <c r="H36" i="491"/>
  <c r="H32" i="491"/>
  <c r="H34" i="491"/>
  <c r="H37" i="491"/>
  <c r="G37" i="490"/>
  <c r="H37" i="490" s="1"/>
  <c r="G38" i="490"/>
  <c r="H38" i="490" s="1"/>
  <c r="H9" i="490"/>
  <c r="H8" i="490"/>
  <c r="H10" i="490"/>
  <c r="H13" i="490"/>
  <c r="H15" i="490"/>
  <c r="H14" i="490"/>
  <c r="H12" i="490"/>
  <c r="H16" i="490"/>
  <c r="H17" i="490"/>
  <c r="H20" i="490"/>
  <c r="H18" i="490"/>
  <c r="H19" i="490"/>
  <c r="H21" i="490"/>
  <c r="H22" i="490"/>
  <c r="H24" i="490"/>
  <c r="H25" i="490"/>
  <c r="H23" i="490"/>
  <c r="H26" i="490"/>
  <c r="H27" i="490"/>
  <c r="H29" i="490"/>
  <c r="H28" i="490"/>
  <c r="H30" i="490"/>
  <c r="H32" i="490"/>
  <c r="H31" i="490"/>
  <c r="H33" i="490"/>
  <c r="H34" i="490"/>
  <c r="H35" i="489"/>
  <c r="H34" i="489"/>
  <c r="H32" i="489"/>
  <c r="H33" i="489"/>
  <c r="G37" i="489"/>
  <c r="H37" i="489" s="1"/>
  <c r="G38" i="489"/>
  <c r="H38" i="489" s="1"/>
  <c r="H8" i="489"/>
  <c r="H10" i="489"/>
  <c r="H9" i="489"/>
  <c r="H13" i="489" s="1"/>
  <c r="H11" i="489"/>
  <c r="H17" i="489"/>
  <c r="H14" i="489"/>
  <c r="H18" i="489"/>
  <c r="H15" i="489"/>
  <c r="H16" i="489"/>
  <c r="H20" i="489"/>
  <c r="H19" i="489"/>
  <c r="H21" i="489"/>
  <c r="H22" i="489"/>
  <c r="H24" i="489"/>
  <c r="H23" i="489"/>
  <c r="H25" i="489"/>
  <c r="H27" i="489"/>
  <c r="H26" i="489"/>
  <c r="H28" i="489"/>
  <c r="H30" i="489"/>
  <c r="H29" i="489"/>
  <c r="H36" i="489"/>
  <c r="H31" i="489"/>
  <c r="C33" i="439"/>
  <c r="G32" i="439"/>
  <c r="B6" i="95"/>
  <c r="H20" i="498" l="1"/>
  <c r="H10" i="497"/>
  <c r="H11" i="496"/>
  <c r="G33" i="439"/>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6" i="439"/>
  <c r="H14" i="439"/>
  <c r="H18" i="439"/>
  <c r="H21" i="439"/>
  <c r="H24" i="439"/>
  <c r="H22" i="439"/>
  <c r="H23" i="439"/>
  <c r="H25" i="439"/>
  <c r="H26" i="439"/>
  <c r="H27" i="439"/>
  <c r="H29" i="439"/>
  <c r="H30" i="439"/>
  <c r="H28" i="439"/>
  <c r="H31" i="439"/>
  <c r="H33" i="439"/>
  <c r="H34" i="439"/>
  <c r="H35" i="439"/>
  <c r="F8" i="150"/>
  <c r="Q4" i="4"/>
  <c r="D24" i="4"/>
  <c r="D22" i="4"/>
  <c r="D21" i="4"/>
  <c r="D20" i="4"/>
  <c r="D19" i="4"/>
  <c r="D17" i="4"/>
  <c r="D16" i="4"/>
  <c r="D15" i="4"/>
  <c r="D14" i="4"/>
  <c r="D13" i="4"/>
  <c r="D11" i="4"/>
  <c r="D10" i="4"/>
  <c r="D9" i="4"/>
  <c r="D8" i="4"/>
  <c r="D7" i="4"/>
  <c r="D6" i="4"/>
  <c r="D5" i="4"/>
  <c r="H9" i="4"/>
  <c r="H10" i="439" l="1"/>
  <c r="H17" i="439"/>
  <c r="H11" i="439" l="1"/>
  <c r="H20" i="439" s="1"/>
  <c r="AX7" i="137"/>
  <c r="AX8" i="137"/>
  <c r="H12" i="439" l="1"/>
  <c r="H13" i="439" s="1"/>
  <c r="H19" i="439" s="1"/>
  <c r="H15" i="439"/>
  <c r="E4" i="137"/>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O25" i="4"/>
  <c r="A25" i="4" s="1"/>
  <c r="N20" i="1"/>
  <c r="N9" i="5"/>
  <c r="A9" i="5" s="1"/>
  <c r="N12" i="4"/>
  <c r="O16" i="1"/>
  <c r="A16" i="1" s="1"/>
  <c r="O11" i="1"/>
  <c r="A11" i="1" s="1"/>
  <c r="N16" i="1"/>
  <c r="N7" i="5"/>
  <c r="A7" i="5" s="1"/>
  <c r="M7" i="5"/>
  <c r="O14" i="1" l="1"/>
  <c r="A14" i="1" s="1"/>
  <c r="O19" i="1"/>
  <c r="A19" i="1" s="1"/>
  <c r="N17" i="1"/>
  <c r="O12" i="4"/>
  <c r="A12" i="4" s="1"/>
  <c r="M9" i="5"/>
  <c r="N15" i="1"/>
  <c r="N11" i="1"/>
  <c r="O20" i="1"/>
  <c r="A20" i="1" s="1"/>
  <c r="N25" i="4"/>
  <c r="O6" i="137"/>
  <c r="A6" i="137" s="1"/>
  <c r="N6" i="137"/>
  <c r="AQ4" i="150"/>
  <c r="AT4" i="150"/>
  <c r="AO4" i="150"/>
  <c r="AM4" i="150"/>
  <c r="AP4" i="150"/>
  <c r="AR4" i="150"/>
  <c r="AN4" i="150"/>
  <c r="AU4" i="150"/>
  <c r="AS4" i="150"/>
  <c r="AN4" i="5"/>
  <c r="AM4" i="5"/>
  <c r="AS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L4" i="150" l="1"/>
  <c r="AL4" i="137"/>
  <c r="AL4" i="5"/>
  <c r="AL4" i="1"/>
  <c r="AL4" i="4"/>
  <c r="N30" i="50"/>
  <c r="AP56" i="50"/>
  <c r="L58" i="50"/>
  <c r="AR17" i="50"/>
  <c r="W16" i="50"/>
  <c r="AO37" i="50"/>
  <c r="AT26" i="50"/>
  <c r="AH32" i="50"/>
  <c r="O47" i="50"/>
  <c r="AK35" i="50"/>
  <c r="AA58" i="50"/>
  <c r="AA22" i="50"/>
  <c r="L55" i="50"/>
  <c r="BC14" i="50"/>
  <c r="AV53" i="50"/>
  <c r="X41" i="50"/>
  <c r="AD24" i="50"/>
  <c r="U43" i="50"/>
  <c r="P57" i="50"/>
  <c r="AP28" i="50"/>
  <c r="R67" i="50"/>
  <c r="AU20" i="50"/>
  <c r="Y69" i="50"/>
  <c r="AJ35" i="50"/>
  <c r="AG47" i="50"/>
  <c r="AT46" i="50"/>
  <c r="AL67" i="50"/>
  <c r="AJ17" i="50"/>
  <c r="N42" i="50"/>
  <c r="AS22" i="50"/>
  <c r="V32" i="50"/>
  <c r="AB12" i="50"/>
  <c r="N29" i="50"/>
  <c r="U48" i="50"/>
  <c r="AV57" i="50"/>
  <c r="AQ36" i="50"/>
  <c r="X58" i="50"/>
  <c r="BC34" i="50"/>
  <c r="AF47" i="50"/>
  <c r="AB35" i="50"/>
  <c r="AU4" i="50"/>
  <c r="AS11" i="50"/>
  <c r="M40" i="50"/>
  <c r="AW41" i="50"/>
  <c r="AT57" i="50"/>
  <c r="BA4" i="50"/>
  <c r="AT32" i="50"/>
  <c r="AX13" i="50"/>
  <c r="AB33" i="50"/>
  <c r="O33" i="50"/>
  <c r="V49" i="50"/>
  <c r="AB60" i="50"/>
  <c r="AR7" i="50"/>
  <c r="BC28" i="50"/>
  <c r="R16" i="50"/>
  <c r="R52" i="50"/>
  <c r="AN45" i="50"/>
  <c r="AH63" i="50"/>
  <c r="BA13" i="50"/>
  <c r="AD65" i="50"/>
  <c r="BB9" i="50"/>
  <c r="AZ66" i="50"/>
  <c r="AM60" i="50"/>
  <c r="AG9" i="50"/>
  <c r="AW61" i="50"/>
  <c r="AC64" i="50"/>
  <c r="U70" i="50"/>
  <c r="AP34" i="50"/>
  <c r="X14" i="50"/>
  <c r="Q43" i="50"/>
  <c r="Z15" i="50"/>
  <c r="X56" i="50"/>
  <c r="AJ57" i="50"/>
  <c r="AZ42" i="50"/>
  <c r="AO71" i="50"/>
  <c r="AV24" i="50"/>
  <c r="AY17" i="50"/>
  <c r="AP66" i="50"/>
  <c r="AK63" i="50"/>
  <c r="AF32" i="50"/>
  <c r="AE28" i="50"/>
  <c r="Y34" i="50"/>
  <c r="AF73" i="50"/>
  <c r="S70" i="50"/>
  <c r="AI40" i="50"/>
  <c r="Z35" i="50"/>
  <c r="AL30" i="50"/>
  <c r="L18" i="50"/>
  <c r="AF15" i="50"/>
  <c r="AW18" i="50"/>
  <c r="AR15" i="50"/>
  <c r="AF22" i="50"/>
  <c r="AY55" i="50"/>
  <c r="AW31" i="50"/>
  <c r="AY8" i="50"/>
  <c r="AJ21" i="50"/>
  <c r="AS31" i="50"/>
  <c r="BA12" i="50"/>
  <c r="AV40" i="50"/>
  <c r="AR5" i="50"/>
  <c r="AB36" i="50"/>
  <c r="AY53" i="50"/>
  <c r="Y13" i="50"/>
  <c r="AO18" i="50"/>
  <c r="AZ34" i="50"/>
  <c r="V29" i="50"/>
  <c r="AH62" i="50"/>
  <c r="AP7" i="50"/>
  <c r="AD45" i="50"/>
  <c r="AV28" i="50"/>
  <c r="S17" i="50"/>
  <c r="AP4" i="50"/>
  <c r="AX72" i="50"/>
  <c r="AX55" i="50"/>
  <c r="S57" i="50"/>
  <c r="AT9" i="50"/>
  <c r="BA27" i="50"/>
  <c r="S35" i="50"/>
  <c r="AU44" i="50"/>
  <c r="M49" i="50"/>
  <c r="M37" i="50"/>
  <c r="Q9" i="50"/>
  <c r="AD48" i="50"/>
  <c r="O65" i="50"/>
  <c r="BC26" i="50"/>
  <c r="M44" i="50"/>
  <c r="AS8" i="50"/>
  <c r="AX66" i="50"/>
  <c r="Z12" i="50"/>
  <c r="U63" i="50"/>
  <c r="AM18" i="50"/>
  <c r="AM28" i="50"/>
  <c r="AB55" i="50"/>
  <c r="AL49" i="50"/>
  <c r="Q30" i="50"/>
  <c r="P35" i="50"/>
  <c r="AX10" i="50"/>
  <c r="AM12" i="50"/>
  <c r="AQ57" i="50"/>
  <c r="AG49" i="50"/>
  <c r="AV68" i="50"/>
  <c r="BA31" i="50"/>
  <c r="M42" i="50"/>
  <c r="AE67" i="50"/>
  <c r="Q17" i="50"/>
  <c r="O38" i="50"/>
  <c r="L54" i="50"/>
  <c r="AJ5" i="50"/>
  <c r="AX9" i="50"/>
  <c r="AR71" i="50"/>
  <c r="L51" i="50"/>
  <c r="W53" i="50"/>
  <c r="AK17" i="50"/>
  <c r="AP30" i="50"/>
  <c r="Q35" i="50"/>
  <c r="AJ48" i="50"/>
  <c r="BC25" i="50"/>
  <c r="AX48" i="50"/>
  <c r="Z18" i="50"/>
  <c r="AM72" i="50"/>
  <c r="AL55" i="50"/>
  <c r="AN44" i="50"/>
  <c r="S50" i="50"/>
  <c r="AW25" i="50"/>
  <c r="N40" i="50"/>
  <c r="BC50" i="50"/>
  <c r="AN64" i="50"/>
  <c r="AB22" i="50"/>
  <c r="S15" i="50"/>
  <c r="AE32" i="50"/>
  <c r="AZ39" i="50"/>
  <c r="U15" i="50"/>
  <c r="M24" i="50"/>
  <c r="BC64" i="50"/>
  <c r="O62" i="50"/>
  <c r="Z22" i="50"/>
  <c r="X15" i="50"/>
  <c r="AZ61" i="50"/>
  <c r="W36" i="50"/>
  <c r="AJ4" i="50"/>
  <c r="AX68" i="50"/>
  <c r="BB33" i="50"/>
  <c r="AM7" i="50"/>
  <c r="Z19" i="50"/>
  <c r="Y19" i="50"/>
  <c r="BC17" i="50"/>
  <c r="AN35" i="50"/>
  <c r="BB10" i="50"/>
  <c r="AN66" i="50"/>
  <c r="AJ63" i="50"/>
  <c r="AA30" i="50"/>
  <c r="BA37" i="50"/>
  <c r="R24" i="50"/>
  <c r="AZ18" i="50"/>
  <c r="M64" i="50"/>
  <c r="AM43" i="50"/>
  <c r="AH68" i="50"/>
  <c r="AV18" i="50"/>
  <c r="X61" i="50"/>
  <c r="L9" i="50"/>
  <c r="AD13" i="50"/>
  <c r="R51" i="50"/>
  <c r="AH65" i="50"/>
  <c r="L41" i="50"/>
  <c r="AG68" i="50"/>
  <c r="Y17" i="50"/>
  <c r="AS24" i="50"/>
  <c r="AA56" i="50"/>
  <c r="N47" i="50"/>
  <c r="BB43" i="50"/>
  <c r="AO32" i="50"/>
  <c r="V72" i="50"/>
  <c r="BC69" i="50"/>
  <c r="AQ56" i="50"/>
  <c r="AM67" i="50"/>
  <c r="U17" i="50"/>
  <c r="AP22" i="50"/>
  <c r="AQ40" i="50"/>
  <c r="AR8" i="50"/>
  <c r="AJ50" i="50"/>
  <c r="AO25" i="50"/>
  <c r="AP24" i="50"/>
  <c r="AP58" i="50"/>
  <c r="R60" i="50"/>
  <c r="S63" i="50"/>
  <c r="BA15" i="50"/>
  <c r="AP70" i="50"/>
  <c r="AB23" i="50"/>
  <c r="AN32" i="50"/>
  <c r="AJ71" i="50"/>
  <c r="BB13" i="50"/>
  <c r="R48" i="50"/>
  <c r="AE70" i="50"/>
  <c r="AO29" i="50"/>
  <c r="AZ21" i="50"/>
  <c r="AJ29" i="50"/>
  <c r="X53" i="50"/>
  <c r="V14" i="50"/>
  <c r="AO53" i="50"/>
  <c r="AI67" i="50"/>
  <c r="Y52" i="50"/>
  <c r="AV29" i="50"/>
  <c r="AX71" i="50"/>
  <c r="P48" i="50"/>
  <c r="V46" i="50"/>
  <c r="AL45" i="50"/>
  <c r="AH60" i="50"/>
  <c r="AJ46" i="50"/>
  <c r="L44" i="50"/>
  <c r="N66" i="50"/>
  <c r="M73" i="50"/>
  <c r="AM37" i="50"/>
  <c r="AF4" i="50"/>
  <c r="AN59" i="50"/>
  <c r="AE35" i="50"/>
  <c r="M32" i="50"/>
  <c r="BA39" i="50"/>
  <c r="W21" i="50"/>
  <c r="AQ64" i="50"/>
  <c r="W60" i="50"/>
  <c r="Y51" i="50"/>
  <c r="AO72" i="50"/>
  <c r="AB37" i="50"/>
  <c r="P24" i="50"/>
  <c r="AG10" i="50"/>
  <c r="Q73" i="50"/>
  <c r="N17" i="50"/>
  <c r="BB65" i="50"/>
  <c r="AK66" i="50"/>
  <c r="U4" i="50"/>
  <c r="AA61" i="50"/>
  <c r="AR54" i="50"/>
  <c r="R53" i="50"/>
  <c r="T65" i="50"/>
  <c r="AT72" i="50"/>
  <c r="AC38" i="50"/>
  <c r="BB22" i="50"/>
  <c r="BA50" i="50"/>
  <c r="AB5" i="50"/>
  <c r="AC7" i="50"/>
  <c r="AF45" i="50"/>
  <c r="AR13" i="50"/>
  <c r="AB58" i="50"/>
  <c r="AA21" i="50"/>
  <c r="AT50" i="50"/>
  <c r="AS69" i="50"/>
  <c r="R4" i="50"/>
  <c r="M8" i="50"/>
  <c r="V48" i="50"/>
  <c r="BC12" i="50"/>
  <c r="W50" i="50"/>
  <c r="V30" i="50"/>
  <c r="AI8" i="50"/>
  <c r="N46" i="50"/>
  <c r="AT37" i="50"/>
  <c r="AT60" i="50"/>
  <c r="AO69" i="50"/>
  <c r="AM54" i="50"/>
  <c r="AD63" i="50"/>
  <c r="AG11" i="50"/>
  <c r="AI68" i="50"/>
  <c r="AY59" i="50"/>
  <c r="U29" i="50"/>
  <c r="AN29" i="50"/>
  <c r="M38" i="50"/>
  <c r="L49" i="50"/>
  <c r="AG28" i="50"/>
  <c r="AK36" i="50"/>
  <c r="AF10" i="50"/>
  <c r="Y9" i="50"/>
  <c r="AZ24" i="50"/>
  <c r="Q24" i="50"/>
  <c r="AO55" i="50"/>
  <c r="AJ18" i="50"/>
  <c r="AI33" i="50"/>
  <c r="P51" i="50"/>
  <c r="Q70" i="50"/>
  <c r="AL69" i="50"/>
  <c r="AX18" i="50"/>
  <c r="AO21" i="50"/>
  <c r="BA46" i="50"/>
  <c r="AK61" i="50"/>
  <c r="Z34" i="50"/>
  <c r="AL39" i="50"/>
  <c r="AK57" i="50"/>
  <c r="O27" i="50"/>
  <c r="AS54" i="50"/>
  <c r="AC56" i="50"/>
  <c r="AW11" i="50"/>
  <c r="AM15" i="50"/>
  <c r="AJ59" i="50"/>
  <c r="T56" i="50"/>
  <c r="AH66" i="50"/>
  <c r="AW60" i="50"/>
  <c r="AH18" i="50"/>
  <c r="AG35" i="50"/>
  <c r="AA25" i="50"/>
  <c r="Y44" i="50"/>
  <c r="AF57" i="50"/>
  <c r="BC7" i="50"/>
  <c r="AJ14" i="50"/>
  <c r="BB23" i="50"/>
  <c r="T66" i="50"/>
  <c r="AN18" i="50"/>
  <c r="U25" i="50"/>
  <c r="V7" i="50"/>
  <c r="AM47" i="50"/>
  <c r="AB19" i="50"/>
  <c r="AF26" i="50"/>
  <c r="AN46" i="50"/>
  <c r="R30" i="50"/>
  <c r="Z43" i="50"/>
  <c r="AC61" i="50"/>
  <c r="P31" i="50"/>
  <c r="N65" i="50"/>
  <c r="AE33" i="50"/>
  <c r="M39" i="50"/>
  <c r="N11" i="50"/>
  <c r="AW28" i="50"/>
  <c r="AG26" i="50"/>
  <c r="AO60" i="50"/>
  <c r="L39" i="50"/>
  <c r="AO64" i="50"/>
  <c r="AS32" i="50"/>
  <c r="AJ70" i="50"/>
  <c r="P12" i="50"/>
  <c r="P17" i="50"/>
  <c r="AH56" i="50"/>
  <c r="AX67" i="50"/>
  <c r="AM26" i="50"/>
  <c r="X60" i="50"/>
  <c r="T45" i="50"/>
  <c r="AL54" i="50"/>
  <c r="AX37" i="50"/>
  <c r="V73" i="50"/>
  <c r="AW70" i="50"/>
  <c r="U42" i="50"/>
  <c r="AZ4" i="50"/>
  <c r="AC52" i="50"/>
  <c r="AK53" i="50"/>
  <c r="BA51" i="50"/>
  <c r="S58" i="50"/>
  <c r="AS38" i="50"/>
  <c r="BC72" i="50"/>
  <c r="R8" i="50"/>
  <c r="R34" i="50"/>
  <c r="AL56" i="50"/>
  <c r="P45" i="50"/>
  <c r="AI48" i="50"/>
  <c r="R63" i="50"/>
  <c r="AB32" i="50"/>
  <c r="BA71" i="50"/>
  <c r="AC41" i="50"/>
  <c r="AL58" i="50"/>
  <c r="BA53" i="50"/>
  <c r="AE25" i="50"/>
  <c r="AG48" i="50"/>
  <c r="U32" i="50"/>
  <c r="M31" i="50"/>
  <c r="AS62" i="50"/>
  <c r="V36" i="50"/>
  <c r="AD72" i="50"/>
  <c r="AW20" i="50"/>
  <c r="AT41" i="50"/>
  <c r="BA21" i="50"/>
  <c r="AI22" i="50"/>
  <c r="Z46" i="50"/>
  <c r="P39" i="50"/>
  <c r="BC33" i="50"/>
  <c r="AW24" i="50"/>
  <c r="W13" i="50"/>
  <c r="S39" i="50"/>
  <c r="AN38" i="50"/>
  <c r="S23" i="50"/>
  <c r="S26" i="50"/>
  <c r="AT33" i="50"/>
  <c r="AF67" i="50"/>
  <c r="T67" i="50"/>
  <c r="BB54" i="50"/>
  <c r="AL33" i="50"/>
  <c r="AO41" i="50"/>
  <c r="AY30" i="50"/>
  <c r="AT13" i="50"/>
  <c r="AI11" i="50"/>
  <c r="AQ12" i="50"/>
  <c r="AB16" i="50"/>
  <c r="AX26" i="50"/>
  <c r="AT22" i="50"/>
  <c r="AL44" i="50"/>
  <c r="AN54" i="50"/>
  <c r="O46" i="50"/>
  <c r="AV8" i="50"/>
  <c r="AL61" i="50"/>
  <c r="BC59" i="50"/>
  <c r="AI10" i="50"/>
  <c r="BC61" i="50"/>
  <c r="AO43" i="50"/>
  <c r="M58" i="50"/>
  <c r="AU26" i="50"/>
  <c r="AY28" i="50"/>
  <c r="AC30" i="50"/>
  <c r="S20" i="50"/>
  <c r="AX50" i="50"/>
  <c r="AY14" i="50"/>
  <c r="AD37" i="50"/>
  <c r="AN20" i="50"/>
  <c r="AF48" i="50"/>
  <c r="AC47" i="50"/>
  <c r="T15" i="50"/>
  <c r="AI39" i="50"/>
  <c r="U39" i="50"/>
  <c r="AB41" i="50"/>
  <c r="AE65" i="50"/>
  <c r="W72" i="50"/>
  <c r="U20" i="50"/>
  <c r="M14" i="50"/>
  <c r="AU27" i="50"/>
  <c r="AD42" i="50"/>
  <c r="Q29" i="50"/>
  <c r="BB31" i="50"/>
  <c r="X63" i="50"/>
  <c r="AW19" i="50"/>
  <c r="AG67" i="50"/>
  <c r="AT17" i="50"/>
  <c r="Z5" i="50"/>
  <c r="AR67" i="50"/>
  <c r="BC57" i="50"/>
  <c r="AB46" i="50"/>
  <c r="AI18" i="50"/>
  <c r="AZ59" i="50"/>
  <c r="AO23" i="50"/>
  <c r="AI31" i="50"/>
  <c r="S49" i="50"/>
  <c r="O51" i="50"/>
  <c r="AK71" i="50"/>
  <c r="AN23" i="50"/>
  <c r="AT23" i="50"/>
  <c r="AN69" i="50"/>
  <c r="AS49" i="50"/>
  <c r="X38" i="50"/>
  <c r="S37" i="50"/>
  <c r="V12" i="50"/>
  <c r="T55" i="50"/>
  <c r="AN16" i="50"/>
  <c r="AX43" i="50"/>
  <c r="Z25" i="50"/>
  <c r="X46" i="50"/>
  <c r="AP54" i="50"/>
  <c r="AS12" i="50"/>
  <c r="V41" i="50"/>
  <c r="AL68" i="50"/>
  <c r="AT52" i="50"/>
  <c r="AE46" i="50"/>
  <c r="AM9" i="50"/>
  <c r="AO31" i="50"/>
  <c r="BA61" i="50"/>
  <c r="M12" i="50"/>
  <c r="AF24" i="50"/>
  <c r="AT55" i="50"/>
  <c r="AO5" i="50"/>
  <c r="AI13" i="50"/>
  <c r="AQ10" i="50"/>
  <c r="AF66" i="50"/>
  <c r="BB48" i="50"/>
  <c r="L42" i="50"/>
  <c r="AP69" i="50"/>
  <c r="N62" i="50"/>
  <c r="AO51" i="50"/>
  <c r="U54" i="50"/>
  <c r="N44" i="50"/>
  <c r="AO7" i="50"/>
  <c r="U72" i="50"/>
  <c r="AO65" i="50"/>
  <c r="AX62" i="50"/>
  <c r="W43" i="50"/>
  <c r="AH17" i="50"/>
  <c r="AS7" i="50"/>
  <c r="BA45" i="50"/>
  <c r="AD47" i="50"/>
  <c r="AE52" i="50"/>
  <c r="AN70" i="50"/>
  <c r="AJ68" i="50"/>
  <c r="AH28" i="50"/>
  <c r="T39" i="50"/>
  <c r="AD21" i="50"/>
  <c r="BB68" i="50"/>
  <c r="V31" i="50"/>
  <c r="AP44" i="50"/>
  <c r="U59" i="50"/>
  <c r="AW63" i="50"/>
  <c r="BC62" i="50"/>
  <c r="AU46" i="50"/>
  <c r="AF34" i="50"/>
  <c r="L60" i="50"/>
  <c r="AC5" i="50"/>
  <c r="P5" i="50"/>
  <c r="AM14" i="50"/>
  <c r="AP46" i="50"/>
  <c r="L14" i="50"/>
  <c r="AY39" i="50"/>
  <c r="AD71" i="50"/>
  <c r="AV21" i="50"/>
  <c r="AN40" i="50"/>
  <c r="AO49" i="50"/>
  <c r="AM56" i="50"/>
  <c r="AR63" i="50"/>
  <c r="BB32" i="50"/>
  <c r="AK46" i="50"/>
  <c r="P65" i="50"/>
  <c r="AV45" i="50"/>
  <c r="AM71" i="50"/>
  <c r="AO59" i="50"/>
  <c r="AM61" i="50"/>
  <c r="BA52" i="50"/>
  <c r="BC20" i="50"/>
  <c r="S42" i="50"/>
  <c r="AV42" i="50"/>
  <c r="AE55" i="50"/>
  <c r="BB47" i="50"/>
  <c r="AE71" i="50"/>
  <c r="AL36" i="50"/>
  <c r="AV63" i="50"/>
  <c r="Y25" i="50"/>
  <c r="W40" i="50"/>
  <c r="AY32" i="50"/>
  <c r="AS41" i="50"/>
  <c r="AY18" i="50"/>
  <c r="AI23" i="50"/>
  <c r="AQ49" i="50"/>
  <c r="Y15" i="50"/>
  <c r="X25" i="50"/>
  <c r="V35" i="50"/>
  <c r="N20" i="50"/>
  <c r="AR14" i="50"/>
  <c r="AV73" i="50"/>
  <c r="Z71" i="50"/>
  <c r="AL50" i="50"/>
  <c r="BA56" i="50"/>
  <c r="AY51" i="50"/>
  <c r="T41" i="50"/>
  <c r="Z40" i="50"/>
  <c r="X23" i="50"/>
  <c r="AF33" i="50"/>
  <c r="P69" i="50"/>
  <c r="BC52" i="50"/>
  <c r="S36" i="50"/>
  <c r="AC44" i="50"/>
  <c r="T8" i="50"/>
  <c r="AN24" i="50"/>
  <c r="AR43" i="50"/>
  <c r="AT8" i="50"/>
  <c r="U40" i="50"/>
  <c r="AI43" i="50"/>
  <c r="AK54" i="50"/>
  <c r="AY36" i="50"/>
  <c r="N61" i="50"/>
  <c r="R21" i="50"/>
  <c r="AL26" i="50"/>
  <c r="AY11" i="50"/>
  <c r="AV48" i="50"/>
  <c r="AJ41" i="50"/>
  <c r="AB62" i="50"/>
  <c r="AH35" i="50"/>
  <c r="AR66" i="50"/>
  <c r="AU54" i="50"/>
  <c r="O60" i="50"/>
  <c r="AU49" i="50"/>
  <c r="AT54" i="50"/>
  <c r="AN25" i="50"/>
  <c r="AJ58" i="50"/>
  <c r="AK15" i="50"/>
  <c r="AA15" i="50"/>
  <c r="AI65" i="50"/>
  <c r="BA34" i="50"/>
  <c r="AD50" i="50"/>
  <c r="R42" i="50"/>
  <c r="M66" i="50"/>
  <c r="BB17" i="50"/>
  <c r="AW32" i="50"/>
  <c r="P13" i="50"/>
  <c r="BA17" i="50"/>
  <c r="AZ30" i="50"/>
  <c r="AE14" i="50"/>
  <c r="AX25" i="50"/>
  <c r="AX30" i="50"/>
  <c r="BB63" i="50"/>
  <c r="T30" i="50"/>
  <c r="N54" i="50"/>
  <c r="L48" i="50"/>
  <c r="S46" i="50"/>
  <c r="AL65" i="50"/>
  <c r="AP11" i="50"/>
  <c r="U7" i="50"/>
  <c r="AB49" i="50"/>
  <c r="AN5" i="50"/>
  <c r="AN47" i="50"/>
  <c r="U23" i="50"/>
  <c r="N72" i="50"/>
  <c r="AQ38" i="50"/>
  <c r="P63" i="50"/>
  <c r="BC24" i="50"/>
  <c r="X50" i="50"/>
  <c r="AW68" i="50"/>
  <c r="S7" i="50"/>
  <c r="AE23" i="50"/>
  <c r="AS17" i="50"/>
  <c r="AC21" i="50"/>
  <c r="AP68" i="50"/>
  <c r="P70" i="50"/>
  <c r="T14" i="50"/>
  <c r="AU48" i="50"/>
  <c r="Q31" i="50"/>
  <c r="S31" i="50"/>
  <c r="U36" i="50"/>
  <c r="P46" i="50"/>
  <c r="AP72" i="50"/>
  <c r="O15" i="50"/>
  <c r="BB44" i="50"/>
  <c r="M26" i="50"/>
  <c r="BB61" i="50"/>
  <c r="Q14" i="50"/>
  <c r="Z29" i="50"/>
  <c r="AM19" i="50"/>
  <c r="AH73" i="50"/>
  <c r="AV11" i="50"/>
  <c r="AX36" i="50"/>
  <c r="AW45" i="50"/>
  <c r="AZ11" i="50"/>
  <c r="AI20" i="50"/>
  <c r="AN4" i="50"/>
  <c r="AT48" i="50"/>
  <c r="L10" i="50"/>
  <c r="AR49" i="50"/>
  <c r="AM45" i="50"/>
  <c r="AV56" i="50"/>
  <c r="X34" i="50"/>
  <c r="AJ51" i="50"/>
  <c r="X44" i="50"/>
  <c r="AZ41" i="50"/>
  <c r="N19" i="50"/>
  <c r="O41" i="50"/>
  <c r="Z51" i="50"/>
  <c r="AY50" i="50"/>
  <c r="AR44" i="50"/>
  <c r="U9" i="50"/>
  <c r="AM23" i="50"/>
  <c r="BA16" i="50"/>
  <c r="AD51" i="50"/>
  <c r="Y35" i="50"/>
  <c r="AE5" i="50"/>
  <c r="BC53" i="50"/>
  <c r="BA54" i="50"/>
  <c r="AF8" i="50"/>
  <c r="U34" i="50"/>
  <c r="AB27" i="50"/>
  <c r="X39" i="50"/>
  <c r="AW40" i="50"/>
  <c r="AI14" i="50"/>
  <c r="L24" i="50"/>
  <c r="AA32" i="50"/>
  <c r="AM70" i="50"/>
  <c r="AX42" i="50"/>
  <c r="AY25" i="50"/>
  <c r="AM25" i="50"/>
  <c r="O39" i="50"/>
  <c r="T20" i="50"/>
  <c r="BA5" i="50"/>
  <c r="AG21" i="50"/>
  <c r="AK34" i="50"/>
  <c r="AY33" i="50"/>
  <c r="AV55" i="50"/>
  <c r="AY12" i="50"/>
  <c r="AA11" i="50"/>
  <c r="O21" i="50"/>
  <c r="AO40" i="50"/>
  <c r="L8" i="50"/>
  <c r="Y30" i="50"/>
  <c r="AO61" i="50"/>
  <c r="AA14" i="50"/>
  <c r="AU22" i="50"/>
  <c r="AZ20" i="50"/>
  <c r="BB58" i="50"/>
  <c r="AN15" i="50"/>
  <c r="AY65" i="50"/>
  <c r="AZ35" i="50"/>
  <c r="AU32" i="50"/>
  <c r="AR11" i="50"/>
  <c r="AG56" i="50"/>
  <c r="V55" i="50"/>
  <c r="W57" i="50"/>
  <c r="N63" i="50"/>
  <c r="BC29" i="50"/>
  <c r="AN21" i="50"/>
  <c r="BB21" i="50"/>
  <c r="AE27" i="50"/>
  <c r="M41" i="50"/>
  <c r="AM30" i="50"/>
  <c r="AX61" i="50"/>
  <c r="AF39" i="50"/>
  <c r="AF23" i="50"/>
  <c r="AQ20" i="50"/>
  <c r="L26" i="50"/>
  <c r="X24" i="50"/>
  <c r="AV15" i="50"/>
  <c r="AG71" i="50"/>
  <c r="AZ8" i="50"/>
  <c r="AL60" i="50"/>
  <c r="P23" i="50"/>
  <c r="AV61" i="50"/>
  <c r="AB28" i="50"/>
  <c r="AQ11" i="50"/>
  <c r="N73" i="50"/>
  <c r="AQ7" i="50"/>
  <c r="N60" i="50"/>
  <c r="M21" i="50"/>
  <c r="AX22" i="50"/>
  <c r="Y50" i="50"/>
  <c r="AX35" i="50"/>
  <c r="X69" i="50"/>
  <c r="AT56" i="50"/>
  <c r="U62" i="50"/>
  <c r="AT66" i="50"/>
  <c r="AR28" i="50"/>
  <c r="AK23" i="50"/>
  <c r="R28" i="50"/>
  <c r="AK73" i="50"/>
  <c r="AU40" i="50"/>
  <c r="Z63" i="50"/>
  <c r="AY23" i="50"/>
  <c r="AP23" i="50"/>
  <c r="AW26" i="50"/>
  <c r="AJ53" i="50"/>
  <c r="AQ63" i="50"/>
  <c r="AA45" i="50"/>
  <c r="AS21" i="50"/>
  <c r="T21" i="50"/>
  <c r="U44" i="50"/>
  <c r="AS50" i="50"/>
  <c r="AM66" i="50"/>
  <c r="Y45" i="50"/>
  <c r="R38" i="50"/>
  <c r="U37" i="50"/>
  <c r="AQ68" i="50"/>
  <c r="AG65" i="50"/>
  <c r="S4" i="50"/>
  <c r="L23" i="50"/>
  <c r="W33" i="50"/>
  <c r="Y42" i="50"/>
  <c r="AV41" i="50"/>
  <c r="W27" i="50"/>
  <c r="AP49" i="50"/>
  <c r="AP47" i="50"/>
  <c r="AL38" i="50"/>
  <c r="BA60" i="50"/>
  <c r="AJ39" i="50"/>
  <c r="AF16" i="50"/>
  <c r="AN9" i="50"/>
  <c r="AV66" i="50"/>
  <c r="AH8" i="50"/>
  <c r="AG7" i="50"/>
  <c r="W48" i="50"/>
  <c r="N8" i="50"/>
  <c r="AZ22" i="50"/>
  <c r="AA42" i="50"/>
  <c r="Z14" i="50"/>
  <c r="AZ60" i="50"/>
  <c r="O64" i="50"/>
  <c r="AN28" i="50"/>
  <c r="N57" i="50"/>
  <c r="AQ18" i="50"/>
  <c r="AQ44" i="50"/>
  <c r="Q21" i="50"/>
  <c r="AQ5" i="50"/>
  <c r="BA72" i="50"/>
  <c r="X65" i="50"/>
  <c r="Y16" i="50"/>
  <c r="AZ54" i="50"/>
  <c r="AB63" i="50"/>
  <c r="AH12" i="50"/>
  <c r="AN71" i="50"/>
  <c r="T11" i="50"/>
  <c r="AG60" i="50"/>
  <c r="Y55" i="50"/>
  <c r="AA8" i="50"/>
  <c r="Z62" i="50"/>
  <c r="AG45" i="50"/>
  <c r="AI21" i="50"/>
  <c r="Y32" i="50"/>
  <c r="Q63" i="50"/>
  <c r="AX20" i="50"/>
  <c r="BA8" i="50"/>
  <c r="BC65" i="50"/>
  <c r="AR37" i="50"/>
  <c r="AK11" i="50"/>
  <c r="AL70" i="50"/>
  <c r="AD53" i="50"/>
  <c r="AF11" i="50"/>
  <c r="AT62" i="50"/>
  <c r="AU12" i="50"/>
  <c r="Q34" i="50"/>
  <c r="AW57" i="50"/>
  <c r="L45" i="50"/>
  <c r="AX12" i="50"/>
  <c r="AV49" i="50"/>
  <c r="AJ20" i="50"/>
  <c r="AY73" i="50"/>
  <c r="AI42" i="50"/>
  <c r="AH5" i="50"/>
  <c r="P34" i="50"/>
  <c r="O26" i="50"/>
  <c r="AS68" i="50"/>
  <c r="AQ42" i="50"/>
  <c r="AP5" i="50"/>
  <c r="X10" i="50"/>
  <c r="AN43" i="50"/>
  <c r="Y58" i="50"/>
  <c r="AS71" i="50"/>
  <c r="AK40" i="50"/>
  <c r="O50" i="50"/>
  <c r="U24" i="50"/>
  <c r="AP41" i="50"/>
  <c r="AR57" i="50"/>
  <c r="AC62" i="50"/>
  <c r="X5" i="50"/>
  <c r="AM36" i="50"/>
  <c r="S48" i="50"/>
  <c r="L47" i="50"/>
  <c r="AH21" i="50"/>
  <c r="S47" i="50"/>
  <c r="AW55" i="50"/>
  <c r="AR36" i="50"/>
  <c r="AD20" i="50"/>
  <c r="R33" i="50"/>
  <c r="O57" i="50"/>
  <c r="AK31" i="50"/>
  <c r="AE61" i="50"/>
  <c r="AH58" i="50"/>
  <c r="AT70" i="50"/>
  <c r="X55" i="50"/>
  <c r="P42" i="50"/>
  <c r="R47" i="50"/>
  <c r="BA26" i="50"/>
  <c r="AQ69" i="50"/>
  <c r="U13" i="50"/>
  <c r="AI5" i="50"/>
  <c r="AA63" i="50"/>
  <c r="AN10" i="50"/>
  <c r="AA40" i="50"/>
  <c r="AK32" i="50"/>
  <c r="BB59" i="50"/>
  <c r="R5" i="50"/>
  <c r="AN61" i="50"/>
  <c r="AP12" i="50"/>
  <c r="V68" i="50"/>
  <c r="N4" i="50"/>
  <c r="O19" i="50"/>
  <c r="AW50" i="50"/>
  <c r="BA48" i="50"/>
  <c r="AN31" i="50"/>
  <c r="X7" i="50"/>
  <c r="Q69" i="50"/>
  <c r="AB65" i="50"/>
  <c r="AE60" i="50"/>
  <c r="M18" i="50"/>
  <c r="AG32" i="50"/>
  <c r="AG43" i="50"/>
  <c r="AI52" i="50"/>
  <c r="AU51" i="50"/>
  <c r="U73" i="50"/>
  <c r="AM11" i="50"/>
  <c r="AV59" i="50"/>
  <c r="AS56" i="50"/>
  <c r="AQ72" i="50"/>
  <c r="AH33" i="50"/>
  <c r="AC15" i="50"/>
  <c r="Q49" i="50"/>
  <c r="BC38" i="50"/>
  <c r="V45" i="50"/>
  <c r="P72" i="50"/>
  <c r="W24" i="50"/>
  <c r="AA44" i="50"/>
  <c r="L33" i="50"/>
  <c r="BB8" i="50"/>
  <c r="R56" i="50"/>
  <c r="AF20" i="50"/>
  <c r="AC9" i="50"/>
  <c r="N21" i="50"/>
  <c r="R17" i="50"/>
  <c r="P73" i="50"/>
  <c r="AZ29" i="50"/>
  <c r="AX21" i="50"/>
  <c r="L29" i="50"/>
  <c r="S16" i="50"/>
  <c r="Y20" i="50"/>
  <c r="AF52" i="50"/>
  <c r="AO58" i="50"/>
  <c r="BC18" i="50"/>
  <c r="AI50" i="50"/>
  <c r="Z38" i="50"/>
  <c r="Z60" i="50"/>
  <c r="W69" i="50"/>
  <c r="BA70" i="50"/>
  <c r="V13" i="50"/>
  <c r="AE73" i="50"/>
  <c r="BA24" i="50"/>
  <c r="AS70" i="50"/>
  <c r="AQ67" i="50"/>
  <c r="AZ62" i="50"/>
  <c r="AL73" i="50"/>
  <c r="AT65" i="50"/>
  <c r="AV25" i="50"/>
  <c r="BA66" i="50"/>
  <c r="AZ40" i="50"/>
  <c r="AC33" i="50"/>
  <c r="AI15" i="50"/>
  <c r="AE40" i="50"/>
  <c r="AK7" i="50"/>
  <c r="AU65" i="50"/>
  <c r="AO26" i="50"/>
  <c r="AO34" i="50"/>
  <c r="AA57" i="50"/>
  <c r="AP32" i="50"/>
  <c r="AJ45" i="50"/>
  <c r="Y24" i="50"/>
  <c r="AS20" i="50"/>
  <c r="O30" i="50"/>
  <c r="W17" i="50"/>
  <c r="BB29" i="50"/>
  <c r="W29" i="50"/>
  <c r="Z50" i="50"/>
  <c r="AW5" i="50"/>
  <c r="AC4" i="50"/>
  <c r="BC39" i="50"/>
  <c r="AX40" i="50"/>
  <c r="AV54" i="50"/>
  <c r="Y40" i="50"/>
  <c r="U12" i="50"/>
  <c r="AY57" i="50"/>
  <c r="AF68" i="50"/>
  <c r="AX39" i="50"/>
  <c r="AW37" i="50"/>
  <c r="AD31" i="50"/>
  <c r="Y48" i="50"/>
  <c r="AK39" i="50"/>
  <c r="X67" i="50"/>
  <c r="AU50" i="50"/>
  <c r="AT51" i="50"/>
  <c r="AB38" i="50"/>
  <c r="N70" i="50"/>
  <c r="AO35" i="50"/>
  <c r="AF35" i="50"/>
  <c r="AM42" i="50"/>
  <c r="Z47" i="50"/>
  <c r="W32" i="50"/>
  <c r="AN37" i="50"/>
  <c r="O34" i="50"/>
  <c r="AN53" i="50"/>
  <c r="AW4" i="50"/>
  <c r="AA12" i="50"/>
  <c r="O5" i="50"/>
  <c r="AR61" i="50"/>
  <c r="AW42" i="50"/>
  <c r="U10" i="50"/>
  <c r="BA40" i="50"/>
  <c r="AN33" i="50"/>
  <c r="S11" i="50"/>
  <c r="L28" i="50"/>
  <c r="AC49" i="50"/>
  <c r="BC5" i="50"/>
  <c r="BC4" i="50"/>
  <c r="AD23" i="50"/>
  <c r="AU30" i="50"/>
  <c r="AN60" i="50"/>
  <c r="U41" i="50"/>
  <c r="AA55" i="50"/>
  <c r="BB45" i="50"/>
  <c r="AI38" i="50"/>
  <c r="AF59" i="50"/>
  <c r="R58" i="50"/>
  <c r="L53" i="50"/>
  <c r="P19" i="50"/>
  <c r="AN14" i="50"/>
  <c r="AQ29" i="50"/>
  <c r="AC13" i="50"/>
  <c r="AH61" i="50"/>
  <c r="AA13" i="50"/>
  <c r="T72" i="50"/>
  <c r="Z17" i="50"/>
  <c r="S21" i="50"/>
  <c r="BA44" i="50"/>
  <c r="AY40" i="50"/>
  <c r="W22" i="50"/>
  <c r="P22" i="50"/>
  <c r="AP71" i="50"/>
  <c r="AI58" i="50"/>
  <c r="AM68" i="50"/>
  <c r="AD66" i="50"/>
  <c r="AU15" i="50"/>
  <c r="AI41" i="50"/>
  <c r="X4" i="50"/>
  <c r="AK26" i="50"/>
  <c r="AP64" i="50"/>
  <c r="M56" i="50"/>
  <c r="BB67" i="50"/>
  <c r="AM69" i="50"/>
  <c r="AE47" i="50"/>
  <c r="AA36" i="50"/>
  <c r="Q71" i="50"/>
  <c r="AQ17" i="50"/>
  <c r="AB68" i="50"/>
  <c r="AS63" i="50"/>
  <c r="AC40" i="50"/>
  <c r="AU33" i="50"/>
  <c r="AA33" i="50"/>
  <c r="R19" i="50"/>
  <c r="BA18" i="50"/>
  <c r="AL5" i="50"/>
  <c r="AV9" i="50"/>
  <c r="AI57" i="50"/>
  <c r="AJ26" i="50"/>
  <c r="AK38" i="50"/>
  <c r="AU71" i="50"/>
  <c r="AD9" i="50"/>
  <c r="V4" i="50"/>
  <c r="AE16" i="50"/>
  <c r="O52" i="50"/>
  <c r="AO16" i="50"/>
  <c r="AM5" i="50"/>
  <c r="T70" i="50"/>
  <c r="AT71" i="50"/>
  <c r="AN51" i="50"/>
  <c r="M10" i="50"/>
  <c r="W71" i="50"/>
  <c r="L36" i="50"/>
  <c r="AI17" i="50"/>
  <c r="AQ50" i="50"/>
  <c r="U22" i="50"/>
  <c r="AP16" i="50"/>
  <c r="AM41" i="50"/>
  <c r="X73" i="50"/>
  <c r="AP37" i="50"/>
  <c r="L15" i="50"/>
  <c r="AJ33" i="50"/>
  <c r="AR32" i="50"/>
  <c r="AU72" i="50"/>
  <c r="AN52" i="50"/>
  <c r="AK56" i="50"/>
  <c r="AE13" i="50"/>
  <c r="N48" i="50"/>
  <c r="L5" i="50"/>
  <c r="V15" i="50"/>
  <c r="AH19" i="50"/>
  <c r="M20" i="50"/>
  <c r="AS57" i="50"/>
  <c r="AJ27" i="50"/>
  <c r="AJ38" i="50"/>
  <c r="AX45" i="50"/>
  <c r="AX41" i="50"/>
  <c r="AK72" i="50"/>
  <c r="AG53" i="50"/>
  <c r="Q67" i="50"/>
  <c r="W14" i="50"/>
  <c r="O73" i="50"/>
  <c r="AJ66" i="50"/>
  <c r="BC35" i="50"/>
  <c r="AX53" i="50"/>
  <c r="AP8" i="50"/>
  <c r="AF29" i="50"/>
  <c r="V28" i="50"/>
  <c r="S25" i="50"/>
  <c r="AK42" i="50"/>
  <c r="AF30" i="50"/>
  <c r="M65" i="50"/>
  <c r="AA70" i="50"/>
  <c r="AE18" i="50"/>
  <c r="T61" i="50"/>
  <c r="AU42" i="50"/>
  <c r="AE59" i="50"/>
  <c r="Z65" i="50"/>
  <c r="Y31" i="50"/>
  <c r="AS33" i="50"/>
  <c r="AT44" i="50"/>
  <c r="AN58" i="50"/>
  <c r="AB69" i="50"/>
  <c r="BC46" i="50"/>
  <c r="AN48" i="50"/>
  <c r="BC45" i="50"/>
  <c r="AT5" i="50"/>
  <c r="BC70" i="50"/>
  <c r="U50" i="50"/>
  <c r="AZ55" i="50"/>
  <c r="AB53" i="50"/>
  <c r="AU47" i="50"/>
  <c r="AA64" i="50"/>
  <c r="AI27" i="50"/>
  <c r="T29" i="50"/>
  <c r="V33" i="50"/>
  <c r="X47" i="50"/>
  <c r="AW67" i="50"/>
  <c r="AG51" i="50"/>
  <c r="O45" i="50"/>
  <c r="AQ39" i="50"/>
  <c r="AK47" i="50"/>
  <c r="L65" i="50"/>
  <c r="AE49" i="50"/>
  <c r="AZ5" i="50"/>
  <c r="AZ48" i="50"/>
  <c r="AR39" i="50"/>
  <c r="U57" i="50"/>
  <c r="AE54" i="50"/>
  <c r="AG57" i="50"/>
  <c r="AE69" i="50"/>
  <c r="BA58" i="50"/>
  <c r="AB44" i="50"/>
  <c r="AQ47" i="50"/>
  <c r="AH50" i="50"/>
  <c r="AG14" i="50"/>
  <c r="N16" i="50"/>
  <c r="AF54" i="50"/>
  <c r="AI49" i="50"/>
  <c r="O61" i="50"/>
  <c r="AV52" i="50"/>
  <c r="Y36" i="50"/>
  <c r="AY5" i="50"/>
  <c r="AR12" i="50"/>
  <c r="BB50" i="50"/>
  <c r="AY54" i="50"/>
  <c r="AA17" i="50"/>
  <c r="AI37" i="50"/>
  <c r="AV20" i="50"/>
  <c r="AC68" i="50"/>
  <c r="AI73" i="50"/>
  <c r="AC25" i="50"/>
  <c r="V63" i="50"/>
  <c r="AN39" i="50"/>
  <c r="AP51" i="50"/>
  <c r="X45" i="50"/>
  <c r="AM62" i="50"/>
  <c r="AD57" i="50"/>
  <c r="R22" i="50"/>
  <c r="AW38" i="50"/>
  <c r="AQ37" i="50"/>
  <c r="W52" i="50"/>
  <c r="BA68" i="50"/>
  <c r="AO67" i="50"/>
  <c r="Q58" i="50"/>
  <c r="R73" i="50"/>
  <c r="AB57" i="50"/>
  <c r="AV60" i="50"/>
  <c r="AA18" i="50"/>
  <c r="AU8" i="50"/>
  <c r="AX11" i="50"/>
  <c r="O63" i="50"/>
  <c r="Y46" i="50"/>
  <c r="AC73" i="50"/>
  <c r="AQ51" i="50"/>
  <c r="AC24" i="50"/>
  <c r="U35" i="50"/>
  <c r="AK52" i="50"/>
  <c r="AB10" i="50"/>
  <c r="AV19" i="50"/>
  <c r="AL35" i="50"/>
  <c r="AG40" i="50"/>
  <c r="O55" i="50"/>
  <c r="AT11" i="50"/>
  <c r="AO57" i="50"/>
  <c r="L72" i="50"/>
  <c r="Y62" i="50"/>
  <c r="X20" i="50"/>
  <c r="AR62" i="50"/>
  <c r="AZ38" i="50"/>
  <c r="AZ47" i="50"/>
  <c r="AH49" i="50"/>
  <c r="AV23" i="50"/>
  <c r="T23" i="50"/>
  <c r="T58" i="50"/>
  <c r="O54" i="50"/>
  <c r="T69" i="50"/>
  <c r="M53" i="50"/>
  <c r="M19" i="50"/>
  <c r="P43" i="50"/>
  <c r="AE34" i="50"/>
  <c r="W67" i="50"/>
  <c r="AB56" i="50"/>
  <c r="AD14" i="50"/>
  <c r="AD41" i="50"/>
  <c r="O66" i="50"/>
  <c r="AT15" i="50"/>
  <c r="BA33" i="50"/>
  <c r="AO73" i="50"/>
  <c r="AR19" i="50"/>
  <c r="AT30" i="50"/>
  <c r="AZ37" i="50"/>
  <c r="AH13" i="50"/>
  <c r="AL43" i="50"/>
  <c r="AK55" i="50"/>
  <c r="X17" i="50"/>
  <c r="Q15" i="50"/>
  <c r="L21" i="50"/>
  <c r="BB28" i="50"/>
  <c r="AB15" i="50"/>
  <c r="AF37" i="50"/>
  <c r="AO38" i="50"/>
  <c r="Q13" i="50"/>
  <c r="AZ71" i="50"/>
  <c r="W51" i="50"/>
  <c r="L32" i="50"/>
  <c r="Z30" i="50"/>
  <c r="L25" i="50"/>
  <c r="Q46" i="50"/>
  <c r="AH53" i="50"/>
  <c r="M35" i="50"/>
  <c r="O20" i="50"/>
  <c r="AG23" i="50"/>
  <c r="AF14" i="50"/>
  <c r="AM53" i="50"/>
  <c r="AN13" i="50"/>
  <c r="AD10" i="50"/>
  <c r="AE41" i="50"/>
  <c r="S41" i="50"/>
  <c r="AM33" i="50"/>
  <c r="AC10" i="50"/>
  <c r="AW46" i="50"/>
  <c r="V65" i="50"/>
  <c r="AK41" i="50"/>
  <c r="AQ55" i="50"/>
  <c r="Z32" i="50"/>
  <c r="O9" i="50"/>
  <c r="AB17" i="50"/>
  <c r="BA47" i="50"/>
  <c r="N69" i="50"/>
  <c r="AF64" i="50"/>
  <c r="AU14" i="50"/>
  <c r="P9" i="50"/>
  <c r="BA55" i="50"/>
  <c r="AQ16" i="50"/>
  <c r="AD34" i="50"/>
  <c r="W61" i="50"/>
  <c r="AI4" i="50"/>
  <c r="AA66" i="50"/>
  <c r="P58" i="50"/>
  <c r="W56" i="50"/>
  <c r="AE29" i="50"/>
  <c r="AK45" i="50"/>
  <c r="AF27" i="50"/>
  <c r="AJ31" i="50"/>
  <c r="AV62" i="50"/>
  <c r="AB31" i="50"/>
  <c r="AC48" i="50"/>
  <c r="AT69" i="50"/>
  <c r="AE64" i="50"/>
  <c r="T57" i="50"/>
  <c r="AN22" i="50"/>
  <c r="AK43" i="50"/>
  <c r="AH15" i="50"/>
  <c r="AC34" i="50"/>
  <c r="V18" i="50"/>
  <c r="BA65" i="50"/>
  <c r="T18" i="50"/>
  <c r="AN7" i="50"/>
  <c r="R10" i="50"/>
  <c r="V40" i="50"/>
  <c r="AT64" i="50"/>
  <c r="AE4" i="50"/>
  <c r="P11" i="50"/>
  <c r="AP27" i="50"/>
  <c r="AQ71" i="50"/>
  <c r="N38" i="50"/>
  <c r="AS59" i="50"/>
  <c r="AW56" i="50"/>
  <c r="AH36" i="50"/>
  <c r="N50" i="50"/>
  <c r="AY47" i="50"/>
  <c r="W37" i="50"/>
  <c r="AW22" i="50"/>
  <c r="AE66" i="50"/>
  <c r="AC70" i="50"/>
  <c r="P28" i="50"/>
  <c r="BC43" i="50"/>
  <c r="W31" i="50"/>
  <c r="AE48" i="50"/>
  <c r="M54" i="50"/>
  <c r="AS23" i="50"/>
  <c r="S62" i="50"/>
  <c r="AY52" i="50"/>
  <c r="AC51" i="50"/>
  <c r="V10" i="50"/>
  <c r="X37" i="50"/>
  <c r="AS44" i="50"/>
  <c r="AG37" i="50"/>
  <c r="Q62" i="50"/>
  <c r="T42" i="50"/>
  <c r="U19" i="50"/>
  <c r="X29" i="50"/>
  <c r="L11" i="50"/>
  <c r="AY58" i="50"/>
  <c r="AK67" i="50"/>
  <c r="Q26" i="50"/>
  <c r="AD5" i="50"/>
  <c r="AW43" i="50"/>
  <c r="AD69" i="50"/>
  <c r="O44" i="50"/>
  <c r="Q56" i="50"/>
  <c r="AR50" i="50"/>
  <c r="AS29" i="50"/>
  <c r="U33" i="50"/>
  <c r="BA29" i="50"/>
  <c r="AC23" i="50"/>
  <c r="AV10" i="50"/>
  <c r="AS28" i="50"/>
  <c r="AV33" i="50"/>
  <c r="Q66" i="50"/>
  <c r="Q12" i="50"/>
  <c r="BB27" i="50"/>
  <c r="AS14" i="50"/>
  <c r="BC40" i="50"/>
  <c r="AP73" i="50"/>
  <c r="M57" i="50"/>
  <c r="Z37" i="50"/>
  <c r="X11" i="50"/>
  <c r="P30" i="50"/>
  <c r="AW34" i="50"/>
  <c r="L34" i="50"/>
  <c r="AU59" i="50"/>
  <c r="P53" i="50"/>
  <c r="AH14" i="50"/>
  <c r="W39" i="50"/>
  <c r="V62" i="50"/>
  <c r="AL41" i="50"/>
  <c r="AS58" i="50"/>
  <c r="BB40" i="50"/>
  <c r="AO20" i="50"/>
  <c r="AY62" i="50"/>
  <c r="AY31" i="50"/>
  <c r="V38" i="50"/>
  <c r="AS46" i="50"/>
  <c r="BC27" i="50"/>
  <c r="AB52" i="50"/>
  <c r="AE12" i="50"/>
  <c r="AF55" i="50"/>
  <c r="AB8" i="50"/>
  <c r="AL71" i="50"/>
  <c r="AE56" i="50"/>
  <c r="Q57" i="50"/>
  <c r="AC18" i="50"/>
  <c r="AA41" i="50"/>
  <c r="AZ45" i="50"/>
  <c r="Q33" i="50"/>
  <c r="V9" i="50"/>
  <c r="AJ23" i="50"/>
  <c r="AN57" i="50"/>
  <c r="AG39" i="50"/>
  <c r="AL15" i="50"/>
  <c r="Z9" i="50"/>
  <c r="AP13" i="50"/>
  <c r="AS25" i="50"/>
  <c r="V39" i="50"/>
  <c r="BB66" i="50"/>
  <c r="W20" i="50"/>
  <c r="AF31" i="50"/>
  <c r="AT34" i="50"/>
  <c r="AU23" i="50"/>
  <c r="S8" i="50"/>
  <c r="AB59" i="50"/>
  <c r="R27" i="50"/>
  <c r="V17" i="50"/>
  <c r="AP20" i="50"/>
  <c r="R39" i="50"/>
  <c r="N64" i="50"/>
  <c r="Q20" i="50"/>
  <c r="AA26" i="50"/>
  <c r="AL24" i="50"/>
  <c r="AT61" i="50"/>
  <c r="BB12" i="50"/>
  <c r="AO50" i="50"/>
  <c r="BA64" i="50"/>
  <c r="X59" i="50"/>
  <c r="AM51" i="50"/>
  <c r="P25" i="50"/>
  <c r="AK69" i="50"/>
  <c r="AT24" i="50"/>
  <c r="AR46" i="50"/>
  <c r="AB24" i="50"/>
  <c r="AU29" i="50"/>
  <c r="AA43" i="50"/>
  <c r="O12" i="50"/>
  <c r="P18" i="50"/>
  <c r="AG20" i="50"/>
  <c r="X68" i="50"/>
  <c r="X64" i="50"/>
  <c r="S5" i="50"/>
  <c r="AF36" i="50"/>
  <c r="BC67" i="50"/>
  <c r="AV44" i="50"/>
  <c r="AQ65" i="50"/>
  <c r="AZ7" i="50"/>
  <c r="U27" i="50"/>
  <c r="AS42" i="50"/>
  <c r="N35" i="50"/>
  <c r="AL57" i="50"/>
  <c r="Q68" i="50"/>
  <c r="AI12" i="50"/>
  <c r="AX24" i="50"/>
  <c r="Z13" i="50"/>
  <c r="AT42" i="50"/>
  <c r="L50" i="50"/>
  <c r="AL18" i="50"/>
  <c r="AZ36" i="50"/>
  <c r="U69" i="50"/>
  <c r="L20" i="50"/>
  <c r="AW16" i="50"/>
  <c r="BB64" i="50"/>
  <c r="AF13" i="50"/>
  <c r="AC72" i="50"/>
  <c r="Q5" i="50"/>
  <c r="AQ43" i="50"/>
  <c r="AJ73" i="50"/>
  <c r="Q32" i="50"/>
  <c r="S64" i="50"/>
  <c r="AX49" i="50"/>
  <c r="V24" i="50"/>
  <c r="BC13" i="50"/>
  <c r="BA42" i="50"/>
  <c r="AG72" i="50"/>
  <c r="S10" i="50"/>
  <c r="AM24" i="50"/>
  <c r="AY72" i="50"/>
  <c r="N10" i="50"/>
  <c r="AL7" i="50"/>
  <c r="AW15" i="50"/>
  <c r="BB5" i="50"/>
  <c r="AX64" i="50"/>
  <c r="O8" i="50"/>
  <c r="BA9" i="50"/>
  <c r="AX51" i="50"/>
  <c r="Y43" i="50"/>
  <c r="AK8" i="50"/>
  <c r="AX32" i="50"/>
  <c r="Q44" i="50"/>
  <c r="AD38" i="50"/>
  <c r="AE57" i="50"/>
  <c r="AY10" i="50"/>
  <c r="AM58" i="50"/>
  <c r="AY45" i="50"/>
  <c r="AG70" i="50"/>
  <c r="V27" i="50"/>
  <c r="AY35" i="50"/>
  <c r="AO56" i="50"/>
  <c r="AY68" i="50"/>
  <c r="BA14" i="50"/>
  <c r="L31" i="50"/>
  <c r="AK60" i="50"/>
  <c r="AD67" i="50"/>
  <c r="AH70" i="50"/>
  <c r="AW48" i="50"/>
  <c r="AC63" i="50"/>
  <c r="T5" i="50"/>
  <c r="AW52" i="50"/>
  <c r="Y7" i="50"/>
  <c r="X49" i="50"/>
  <c r="N51" i="50"/>
  <c r="AZ68" i="50"/>
  <c r="AI32" i="50"/>
  <c r="Y41" i="50"/>
  <c r="AR26" i="50"/>
  <c r="M50" i="50"/>
  <c r="U52" i="50"/>
  <c r="AS67" i="50"/>
  <c r="V53" i="50"/>
  <c r="AI30" i="50"/>
  <c r="P49" i="50"/>
  <c r="AR34" i="50"/>
  <c r="M23" i="50"/>
  <c r="AO44" i="50"/>
  <c r="AW58" i="50"/>
  <c r="S66" i="50"/>
  <c r="T63" i="50"/>
  <c r="N58" i="50"/>
  <c r="AK64" i="50"/>
  <c r="AL64" i="50"/>
  <c r="V66" i="50"/>
  <c r="R46" i="50"/>
  <c r="AZ15" i="50"/>
  <c r="AZ12" i="50"/>
  <c r="P40" i="50"/>
  <c r="AY71" i="50"/>
  <c r="AZ44" i="50"/>
  <c r="AG34" i="50"/>
  <c r="AT27" i="50"/>
  <c r="AW27" i="50"/>
  <c r="AC69" i="50"/>
  <c r="AC43" i="50"/>
  <c r="S29" i="50"/>
  <c r="X31" i="50"/>
  <c r="T50" i="50"/>
  <c r="AH47" i="50"/>
  <c r="AW14" i="50"/>
  <c r="X72" i="50"/>
  <c r="AO66" i="50"/>
  <c r="R14" i="50"/>
  <c r="AO8" i="50"/>
  <c r="AO9" i="50"/>
  <c r="AO28" i="50"/>
  <c r="AJ30" i="50"/>
  <c r="AI59" i="50"/>
  <c r="AA35" i="50"/>
  <c r="Q19" i="50"/>
  <c r="AP61" i="50"/>
  <c r="X42" i="50"/>
  <c r="AS64" i="50"/>
  <c r="W64" i="50"/>
  <c r="S69" i="50"/>
  <c r="Y49" i="50"/>
  <c r="AH4" i="50"/>
  <c r="O56" i="50"/>
  <c r="BB52" i="50"/>
  <c r="AQ23" i="50"/>
  <c r="BC8" i="50"/>
  <c r="S43" i="50"/>
  <c r="R68" i="50"/>
  <c r="BA25" i="50"/>
  <c r="AR64" i="50"/>
  <c r="AY44" i="50"/>
  <c r="P27" i="50"/>
  <c r="AC12" i="50"/>
  <c r="AR40" i="50"/>
  <c r="AL52" i="50"/>
  <c r="AD64" i="50"/>
  <c r="AH20" i="50"/>
  <c r="W70" i="50"/>
  <c r="AG30" i="50"/>
  <c r="AC55" i="50"/>
  <c r="AE31" i="50"/>
  <c r="S30" i="50"/>
  <c r="AA51" i="50"/>
  <c r="BA43" i="50"/>
  <c r="AW21" i="50"/>
  <c r="AL40" i="50"/>
  <c r="AM34" i="50"/>
  <c r="AH40" i="50"/>
  <c r="BB72" i="50"/>
  <c r="M13" i="50"/>
  <c r="AS65" i="50"/>
  <c r="AZ28" i="50"/>
  <c r="M29" i="50"/>
  <c r="AO15" i="50"/>
  <c r="AF58" i="50"/>
  <c r="AV16" i="50"/>
  <c r="N32" i="50"/>
  <c r="AD46" i="50"/>
  <c r="AP67" i="50"/>
  <c r="Y63" i="50"/>
  <c r="AM32" i="50"/>
  <c r="R65" i="50"/>
  <c r="AN63" i="50"/>
  <c r="AN26" i="50"/>
  <c r="Y27" i="50"/>
  <c r="AZ72" i="50"/>
  <c r="O17" i="50"/>
  <c r="R54" i="50"/>
  <c r="AX63" i="50"/>
  <c r="AH10" i="50"/>
  <c r="AV72" i="50"/>
  <c r="AM16" i="50"/>
  <c r="AA34" i="50"/>
  <c r="AP62" i="50"/>
  <c r="AI19" i="50"/>
  <c r="X16" i="50"/>
  <c r="L17" i="50"/>
  <c r="AI70" i="50"/>
  <c r="AH42" i="50"/>
  <c r="AK62" i="50"/>
  <c r="AY67" i="50"/>
  <c r="T43" i="50"/>
  <c r="M11" i="50"/>
  <c r="W54" i="50"/>
  <c r="AD68" i="50"/>
  <c r="V57" i="50"/>
  <c r="AO12" i="50"/>
  <c r="BB26" i="50"/>
  <c r="AI56" i="50"/>
  <c r="X12" i="50"/>
  <c r="AD59" i="50"/>
  <c r="AW35" i="50"/>
  <c r="AN42" i="50"/>
  <c r="AH57" i="50"/>
  <c r="AR10" i="50"/>
  <c r="Z4" i="50"/>
  <c r="AL4" i="50"/>
  <c r="Y73" i="50"/>
  <c r="BB71" i="50"/>
  <c r="Z10" i="50"/>
  <c r="AV58" i="50"/>
  <c r="W10" i="50"/>
  <c r="Z28" i="50"/>
  <c r="AG29" i="50"/>
  <c r="M25" i="50"/>
  <c r="AN34" i="50"/>
  <c r="AJ16" i="50"/>
  <c r="O4" i="50"/>
  <c r="AQ8" i="50"/>
  <c r="AF49" i="50"/>
  <c r="AY20" i="50"/>
  <c r="AI28" i="50"/>
  <c r="BC47" i="50"/>
  <c r="R31" i="50"/>
  <c r="AI53" i="50"/>
  <c r="AR27" i="50"/>
  <c r="AA39" i="50"/>
  <c r="AQ35" i="50"/>
  <c r="AG46" i="50"/>
  <c r="BB7" i="50"/>
  <c r="AZ32" i="50"/>
  <c r="AP10" i="50"/>
  <c r="AU43" i="50"/>
  <c r="AH41" i="50"/>
  <c r="AC29" i="50"/>
  <c r="S61" i="50"/>
  <c r="AX27" i="50"/>
  <c r="W26" i="50"/>
  <c r="AX60" i="50"/>
  <c r="O67" i="50"/>
  <c r="R44" i="50"/>
  <c r="AD19" i="50"/>
  <c r="Q51" i="50"/>
  <c r="AC16" i="50"/>
  <c r="AZ63" i="50"/>
  <c r="AL46" i="50"/>
  <c r="AO22" i="50"/>
  <c r="U16" i="50"/>
  <c r="Z11" i="50"/>
  <c r="M63" i="50"/>
  <c r="AS4" i="50"/>
  <c r="U45" i="50"/>
  <c r="N33" i="50"/>
  <c r="AO11" i="50"/>
  <c r="BA62" i="50"/>
  <c r="AF25" i="50"/>
  <c r="BB11" i="50"/>
  <c r="AF60" i="50"/>
  <c r="Q61" i="50"/>
  <c r="T36" i="50"/>
  <c r="Q52" i="50"/>
  <c r="BA11" i="50"/>
  <c r="AY37" i="50"/>
  <c r="AB30" i="50"/>
  <c r="N49" i="50"/>
  <c r="L61" i="50"/>
  <c r="AK28" i="50"/>
  <c r="Z7" i="50"/>
  <c r="AK20" i="50"/>
  <c r="AP19" i="50"/>
  <c r="R20" i="50"/>
  <c r="BA69" i="50"/>
  <c r="AA54" i="50"/>
  <c r="AG16" i="50"/>
  <c r="AB29" i="50"/>
  <c r="AD73" i="50"/>
  <c r="Z24" i="50"/>
  <c r="AT63" i="50"/>
  <c r="AM10" i="50"/>
  <c r="AX29" i="50"/>
  <c r="BC51" i="50"/>
  <c r="AX73" i="50"/>
  <c r="N9" i="50"/>
  <c r="AO13" i="50"/>
  <c r="AN19" i="50"/>
  <c r="AT68" i="50"/>
  <c r="AE24" i="50"/>
  <c r="AS5" i="50"/>
  <c r="AZ14" i="50"/>
  <c r="V67" i="50"/>
  <c r="AD70" i="50"/>
  <c r="AN36" i="50"/>
  <c r="AF9" i="50"/>
  <c r="BB39" i="50"/>
  <c r="AC42" i="50"/>
  <c r="AE11" i="50"/>
  <c r="AQ66" i="50"/>
  <c r="V42" i="50"/>
  <c r="AT18" i="50"/>
  <c r="AM50" i="50"/>
  <c r="X19" i="50"/>
  <c r="AY64" i="50"/>
  <c r="AZ65" i="50"/>
  <c r="O22" i="50"/>
  <c r="BB49" i="50"/>
  <c r="AK10" i="50"/>
  <c r="Y71" i="50"/>
  <c r="AI47" i="50"/>
  <c r="AV51" i="50"/>
  <c r="X43" i="50"/>
  <c r="Q38" i="50"/>
  <c r="O48" i="50"/>
  <c r="N39" i="50"/>
  <c r="AA10" i="50"/>
  <c r="AU7" i="50"/>
  <c r="AQ45" i="50"/>
  <c r="Y28" i="50"/>
  <c r="AZ58" i="50"/>
  <c r="AS18" i="50"/>
  <c r="AU56" i="50"/>
  <c r="T31" i="50"/>
  <c r="Q28" i="50"/>
  <c r="AJ72" i="50"/>
  <c r="AZ64" i="50"/>
  <c r="AU38" i="50"/>
  <c r="AP40" i="50"/>
  <c r="T13" i="50"/>
  <c r="AD29" i="50"/>
  <c r="U66" i="50"/>
  <c r="AH23" i="50"/>
  <c r="AG61" i="50"/>
  <c r="AT49" i="50"/>
  <c r="AM63" i="50"/>
  <c r="AO10" i="50"/>
  <c r="O53" i="50"/>
  <c r="AS43" i="50"/>
  <c r="AE21" i="50"/>
  <c r="AU34" i="50"/>
  <c r="P4" i="50"/>
  <c r="AQ33" i="50"/>
  <c r="AF51" i="50"/>
  <c r="BB55" i="50"/>
  <c r="AG58" i="50"/>
  <c r="AA5" i="50"/>
  <c r="AC60" i="50"/>
  <c r="AG55" i="50"/>
  <c r="AZ31" i="50"/>
  <c r="AI26" i="50"/>
  <c r="AV13" i="50"/>
  <c r="AY13" i="50"/>
  <c r="AR55" i="50"/>
  <c r="BB37" i="50"/>
  <c r="T4" i="50"/>
  <c r="AW49" i="50"/>
  <c r="AE45" i="50"/>
  <c r="AT19" i="50"/>
  <c r="AK13" i="50"/>
  <c r="AV17" i="50"/>
  <c r="BB42" i="50"/>
  <c r="AU25" i="50"/>
  <c r="T16" i="50"/>
  <c r="AC35" i="50"/>
  <c r="AO33" i="50"/>
  <c r="BC23" i="50"/>
  <c r="AK16" i="50"/>
  <c r="AL11" i="50"/>
  <c r="AD54" i="50"/>
  <c r="AD33" i="50"/>
  <c r="AJ22" i="50"/>
  <c r="AH52" i="50"/>
  <c r="T62" i="50"/>
  <c r="AB71" i="50"/>
  <c r="AV35" i="50"/>
  <c r="AK68" i="50"/>
  <c r="R32" i="50"/>
  <c r="AF56" i="50"/>
  <c r="V22" i="50"/>
  <c r="U47" i="50"/>
  <c r="L40" i="50"/>
  <c r="AA52" i="50"/>
  <c r="AD18" i="50"/>
  <c r="AX58" i="50"/>
  <c r="AR22" i="50"/>
  <c r="BC42" i="50"/>
  <c r="AB7" i="50"/>
  <c r="AG25" i="50"/>
  <c r="AU9" i="50"/>
  <c r="AQ25" i="50"/>
  <c r="AN27" i="50"/>
  <c r="S44" i="50"/>
  <c r="X51" i="50"/>
  <c r="AL32" i="50"/>
  <c r="BC22" i="50"/>
  <c r="AZ50" i="50"/>
  <c r="AW47" i="50"/>
  <c r="AL34" i="50"/>
  <c r="Q45" i="50"/>
  <c r="Z55" i="50"/>
  <c r="AE44" i="50"/>
  <c r="BA41" i="50"/>
  <c r="AC8" i="50"/>
  <c r="AA31" i="50"/>
  <c r="Z54" i="50"/>
  <c r="AV12" i="50"/>
  <c r="AK9" i="50"/>
  <c r="P66" i="50"/>
  <c r="AY56" i="50"/>
  <c r="W11" i="50"/>
  <c r="X40" i="50"/>
  <c r="AS26" i="50"/>
  <c r="AC57" i="50"/>
  <c r="AK33" i="50"/>
  <c r="Z67" i="50"/>
  <c r="Z8" i="50"/>
  <c r="AM44" i="50"/>
  <c r="Z59" i="50"/>
  <c r="AJ40" i="50"/>
  <c r="S32" i="50"/>
  <c r="AB43" i="50"/>
  <c r="X57" i="50"/>
  <c r="AN8" i="50"/>
  <c r="AD55" i="50"/>
  <c r="R35" i="50"/>
  <c r="BB19" i="50"/>
  <c r="AM40" i="50"/>
  <c r="AU68" i="50"/>
  <c r="L66" i="50"/>
  <c r="AF5" i="50"/>
  <c r="R37" i="50"/>
  <c r="T68" i="50"/>
  <c r="AE62" i="50"/>
  <c r="AZ46" i="50"/>
  <c r="L37" i="50"/>
  <c r="AX4" i="50"/>
  <c r="AB21" i="50"/>
  <c r="Y11" i="50"/>
  <c r="T27" i="50"/>
  <c r="R62" i="50"/>
  <c r="AB25" i="50"/>
  <c r="AJ55" i="50"/>
  <c r="AC71" i="50"/>
  <c r="AQ27" i="50"/>
  <c r="AG38" i="50"/>
  <c r="N7" i="50"/>
  <c r="P7" i="50"/>
  <c r="AT28" i="50"/>
  <c r="AU53" i="50"/>
  <c r="BA36" i="50"/>
  <c r="AV46" i="50"/>
  <c r="U30" i="50"/>
  <c r="AL14" i="50"/>
  <c r="AK50" i="50"/>
  <c r="V11" i="50"/>
  <c r="AW51" i="50"/>
  <c r="AQ22" i="50"/>
  <c r="AD30" i="50"/>
  <c r="AN12" i="50"/>
  <c r="U61" i="50"/>
  <c r="AH45" i="50"/>
  <c r="AV30" i="50"/>
  <c r="AN65" i="50"/>
  <c r="AD35" i="50"/>
  <c r="T38" i="50"/>
  <c r="AA49" i="50"/>
  <c r="R43" i="50"/>
  <c r="AF40" i="50"/>
  <c r="BA19" i="50"/>
  <c r="T32" i="50"/>
  <c r="AI34" i="50"/>
  <c r="M22" i="50"/>
  <c r="T71" i="50"/>
  <c r="AS36" i="50"/>
  <c r="N36" i="50"/>
  <c r="V21" i="50"/>
  <c r="Q16" i="50"/>
  <c r="L64" i="50"/>
  <c r="AK25" i="50"/>
  <c r="AO70" i="50"/>
  <c r="AF69" i="50"/>
  <c r="AF50" i="50"/>
  <c r="AG64" i="50"/>
  <c r="R25" i="50"/>
  <c r="AD43" i="50"/>
  <c r="AQ61" i="50"/>
  <c r="AJ42" i="50"/>
  <c r="S19" i="50"/>
  <c r="AS55" i="50"/>
  <c r="AP9" i="50"/>
  <c r="AE30" i="50"/>
  <c r="AF7" i="50"/>
  <c r="AT39" i="50"/>
  <c r="AL12" i="50"/>
  <c r="M16" i="50"/>
  <c r="AA71" i="50"/>
  <c r="M62" i="50"/>
  <c r="AY69" i="50"/>
  <c r="AS60" i="50"/>
  <c r="AB50" i="50"/>
  <c r="AL31" i="50"/>
  <c r="T37" i="50"/>
  <c r="Y10" i="50"/>
  <c r="AY4" i="50"/>
  <c r="W55" i="50"/>
  <c r="AY15" i="50"/>
  <c r="U11" i="50"/>
  <c r="T48" i="50"/>
  <c r="AX54" i="50"/>
  <c r="AL8" i="50"/>
  <c r="AE26" i="50"/>
  <c r="S33" i="50"/>
  <c r="BB30" i="50"/>
  <c r="Y72" i="50"/>
  <c r="N67" i="50"/>
  <c r="AW12" i="50"/>
  <c r="AS19" i="50"/>
  <c r="P20" i="50"/>
  <c r="AL21" i="50"/>
  <c r="AP65" i="50"/>
  <c r="AF71" i="50"/>
  <c r="AT16" i="50"/>
  <c r="N14" i="50"/>
  <c r="N31" i="50"/>
  <c r="AT47" i="50"/>
  <c r="AF21" i="50"/>
  <c r="Q40" i="50"/>
  <c r="AM59" i="50"/>
  <c r="BC9" i="50"/>
  <c r="U49" i="50"/>
  <c r="AC28" i="50"/>
  <c r="L19" i="50"/>
  <c r="AG31" i="50"/>
  <c r="P16" i="50"/>
  <c r="AB42" i="50"/>
  <c r="AE15" i="50"/>
  <c r="V69" i="50"/>
  <c r="N53" i="50"/>
  <c r="V19" i="50"/>
  <c r="AN11" i="50"/>
  <c r="BC58" i="50"/>
  <c r="AU28" i="50"/>
  <c r="AV50" i="50"/>
  <c r="S53" i="50"/>
  <c r="S60" i="50"/>
  <c r="Q36" i="50"/>
  <c r="BB60" i="50"/>
  <c r="AF53" i="50"/>
  <c r="AT43" i="50"/>
  <c r="AM20" i="50"/>
  <c r="AO24" i="50"/>
  <c r="AG33" i="50"/>
  <c r="L73" i="50"/>
  <c r="AE58" i="50"/>
  <c r="X18" i="50"/>
  <c r="Z57" i="50"/>
  <c r="AR59" i="50"/>
  <c r="X35" i="50"/>
  <c r="AD26" i="50"/>
  <c r="M27" i="50"/>
  <c r="R71" i="50"/>
  <c r="X36" i="50"/>
  <c r="BB25" i="50"/>
  <c r="AU13" i="50"/>
  <c r="M7" i="50"/>
  <c r="S22" i="50"/>
  <c r="AW62" i="50"/>
  <c r="AA50" i="50"/>
  <c r="AL29" i="50"/>
  <c r="AU63" i="50"/>
  <c r="N24" i="50"/>
  <c r="T10" i="50"/>
  <c r="AH59" i="50"/>
  <c r="X22" i="50"/>
  <c r="Q60" i="50"/>
  <c r="AU36" i="50"/>
  <c r="AX15" i="50"/>
  <c r="BC60" i="50"/>
  <c r="AA7" i="50"/>
  <c r="U64" i="50"/>
  <c r="S27" i="50"/>
  <c r="AG27" i="50"/>
  <c r="AT31" i="50"/>
  <c r="AU73" i="50"/>
  <c r="AI69" i="50"/>
  <c r="AS39" i="50"/>
  <c r="AK51" i="50"/>
  <c r="U65" i="50"/>
  <c r="AY42" i="50"/>
  <c r="AG19" i="50"/>
  <c r="AG12" i="50"/>
  <c r="V71" i="50"/>
  <c r="S67" i="50"/>
  <c r="AH44" i="50"/>
  <c r="P62" i="50"/>
  <c r="P56" i="50"/>
  <c r="P60" i="50"/>
  <c r="N43" i="50"/>
  <c r="AM13" i="50"/>
  <c r="AX34" i="50"/>
  <c r="AS47" i="50"/>
  <c r="AY70" i="50"/>
  <c r="AA69" i="50"/>
  <c r="AE42" i="50"/>
  <c r="AI71" i="50"/>
  <c r="S72" i="50"/>
  <c r="AE37" i="50"/>
  <c r="R45" i="50"/>
  <c r="P68" i="50"/>
  <c r="AD27" i="50"/>
  <c r="AX31" i="50"/>
  <c r="X62" i="50"/>
  <c r="AZ57" i="50"/>
  <c r="BA30" i="50"/>
  <c r="AI46" i="50"/>
  <c r="AZ53" i="50"/>
  <c r="AY38" i="50"/>
  <c r="O25" i="50"/>
  <c r="V34" i="50"/>
  <c r="Y26" i="50"/>
  <c r="BB38" i="50"/>
  <c r="AK70" i="50"/>
  <c r="AK4" i="50"/>
  <c r="AQ21" i="50"/>
  <c r="Q37" i="50"/>
  <c r="AS53" i="50"/>
  <c r="AR21" i="50"/>
  <c r="AU18" i="50"/>
  <c r="AH72" i="50"/>
  <c r="AP63" i="50"/>
  <c r="M43" i="50"/>
  <c r="AB61" i="50"/>
  <c r="P32" i="50"/>
  <c r="R12" i="50"/>
  <c r="AM49" i="50"/>
  <c r="AL59" i="50"/>
  <c r="Z64" i="50"/>
  <c r="AT53" i="50"/>
  <c r="AR60" i="50"/>
  <c r="W9" i="50"/>
  <c r="Y70" i="50"/>
  <c r="AT36" i="50"/>
  <c r="AL10" i="50"/>
  <c r="L56" i="50"/>
  <c r="S38" i="50"/>
  <c r="AV67" i="50"/>
  <c r="AD25" i="50"/>
  <c r="AY49" i="50"/>
  <c r="AS27" i="50"/>
  <c r="AK44" i="50"/>
  <c r="U55" i="50"/>
  <c r="AJ25" i="50"/>
  <c r="AJ69" i="50"/>
  <c r="AA53" i="50"/>
  <c r="AE72" i="50"/>
  <c r="BB16" i="50"/>
  <c r="S56" i="50"/>
  <c r="AX59" i="50"/>
  <c r="V16" i="50"/>
  <c r="BC44" i="50"/>
  <c r="M36" i="50"/>
  <c r="AP33" i="50"/>
  <c r="R23" i="50"/>
  <c r="AE22" i="50"/>
  <c r="AK18" i="50"/>
  <c r="AL13" i="50"/>
  <c r="Z56" i="50"/>
  <c r="AU16" i="50"/>
  <c r="T24" i="50"/>
  <c r="AU11" i="50"/>
  <c r="M52" i="50"/>
  <c r="Z31" i="50"/>
  <c r="N18" i="50"/>
  <c r="AB64" i="50"/>
  <c r="AB73" i="50"/>
  <c r="P33" i="50"/>
  <c r="V64" i="50"/>
  <c r="AL22" i="50"/>
  <c r="Q23" i="50"/>
  <c r="AP38" i="50"/>
  <c r="AK12" i="50"/>
  <c r="T49" i="50"/>
  <c r="AG5" i="50"/>
  <c r="AL17" i="50"/>
  <c r="W47" i="50"/>
  <c r="BC63" i="50"/>
  <c r="AN67" i="50"/>
  <c r="AP60" i="50"/>
  <c r="AG36" i="50"/>
  <c r="AM35" i="50"/>
  <c r="O35" i="50"/>
  <c r="P36" i="50"/>
  <c r="AS73" i="50"/>
  <c r="Z20" i="50"/>
  <c r="M4" i="50"/>
  <c r="AI51" i="50"/>
  <c r="M30" i="50"/>
  <c r="AS51" i="50"/>
  <c r="L62" i="50"/>
  <c r="AJ64" i="50"/>
  <c r="X70" i="50"/>
  <c r="BC56" i="50"/>
  <c r="O18" i="50"/>
  <c r="AJ54" i="50"/>
  <c r="BB36" i="50"/>
  <c r="AC65" i="50"/>
  <c r="AR47" i="50"/>
  <c r="AH26" i="50"/>
  <c r="AJ52" i="50"/>
  <c r="W7" i="50"/>
  <c r="BC11" i="50"/>
  <c r="AU60" i="50"/>
  <c r="AP57" i="50"/>
  <c r="AQ32" i="50"/>
  <c r="BC54" i="50"/>
  <c r="AC36" i="50"/>
  <c r="Y8" i="50"/>
  <c r="BC73" i="50"/>
  <c r="BA35" i="50"/>
  <c r="O11" i="50"/>
  <c r="AD17" i="50"/>
  <c r="AH37" i="50"/>
  <c r="O24" i="50"/>
  <c r="AQ24" i="50"/>
  <c r="AC14" i="50"/>
  <c r="AQ34" i="50"/>
  <c r="P50" i="50"/>
  <c r="AW30" i="50"/>
  <c r="AK49" i="50"/>
  <c r="X26" i="50"/>
  <c r="AM65" i="50"/>
  <c r="M48" i="50"/>
  <c r="AB20" i="50"/>
  <c r="AD7" i="50"/>
  <c r="AI60" i="50"/>
  <c r="O40" i="50"/>
  <c r="Y4" i="50"/>
  <c r="W49" i="50"/>
  <c r="AS48" i="50"/>
  <c r="AJ9" i="50"/>
  <c r="AO46" i="50"/>
  <c r="Q55" i="50"/>
  <c r="AY16" i="50"/>
  <c r="AA60" i="50"/>
  <c r="Z52" i="50"/>
  <c r="AL72" i="50"/>
  <c r="W19" i="50"/>
  <c r="U58" i="50"/>
  <c r="U71" i="50"/>
  <c r="AT73" i="50"/>
  <c r="AE68" i="50"/>
  <c r="AD60" i="50"/>
  <c r="S65" i="50"/>
  <c r="N28" i="50"/>
  <c r="AO27" i="50"/>
  <c r="N68" i="50"/>
  <c r="AM27" i="50"/>
  <c r="AV5" i="50"/>
  <c r="AQ15" i="50"/>
  <c r="AD16" i="50"/>
  <c r="AJ67" i="50"/>
  <c r="AK37" i="50"/>
  <c r="AE19" i="50"/>
  <c r="N12" i="50"/>
  <c r="L13" i="50"/>
  <c r="AS16" i="50"/>
  <c r="S59" i="50"/>
  <c r="AL27" i="50"/>
  <c r="AF18" i="50"/>
  <c r="T35" i="50"/>
  <c r="AV34" i="50"/>
  <c r="AA29" i="50"/>
  <c r="Z72" i="50"/>
  <c r="V52" i="50"/>
  <c r="AR48" i="50"/>
  <c r="AM38" i="50"/>
  <c r="T33" i="50"/>
  <c r="AX38" i="50"/>
  <c r="O32" i="50"/>
  <c r="V37" i="50"/>
  <c r="M45" i="50"/>
  <c r="AO17" i="50"/>
  <c r="L70" i="50"/>
  <c r="Y61" i="50"/>
  <c r="R26" i="50"/>
  <c r="N23" i="50"/>
  <c r="AW44" i="50"/>
  <c r="W15" i="50"/>
  <c r="AQ48" i="50"/>
  <c r="AZ51" i="50"/>
  <c r="AP48" i="50"/>
  <c r="Z48" i="50"/>
  <c r="BB20" i="50"/>
  <c r="AY22" i="50"/>
  <c r="T7" i="50"/>
  <c r="O14" i="50"/>
  <c r="AI63" i="50"/>
  <c r="AM39" i="50"/>
  <c r="AZ26" i="50"/>
  <c r="AG63" i="50"/>
  <c r="W65" i="50"/>
  <c r="AC17" i="50"/>
  <c r="AQ62" i="50"/>
  <c r="V26" i="50"/>
  <c r="AE63" i="50"/>
  <c r="AY19" i="50"/>
  <c r="R64" i="50"/>
  <c r="AZ16" i="50"/>
  <c r="AV14" i="50"/>
  <c r="Z39" i="50"/>
  <c r="AP36" i="50"/>
  <c r="AX28" i="50"/>
  <c r="AW9" i="50"/>
  <c r="AV64" i="50"/>
  <c r="AO4" i="50"/>
  <c r="M55" i="50"/>
  <c r="BC10" i="50"/>
  <c r="AU31" i="50"/>
  <c r="X9" i="50"/>
  <c r="V44" i="50"/>
  <c r="AC67" i="50"/>
  <c r="BB35" i="50"/>
  <c r="AD4" i="50"/>
  <c r="L46" i="50"/>
  <c r="AA9" i="50"/>
  <c r="AD22" i="50"/>
  <c r="AB72" i="50"/>
  <c r="AP59" i="50"/>
  <c r="W45" i="50"/>
  <c r="AE36" i="50"/>
  <c r="AH29" i="50"/>
  <c r="AX52" i="50"/>
  <c r="W68" i="50"/>
  <c r="Y5" i="50"/>
  <c r="O31" i="50"/>
  <c r="AC39" i="50"/>
  <c r="AE50" i="50"/>
  <c r="AZ10" i="50"/>
  <c r="BB73" i="50"/>
  <c r="W8" i="50"/>
  <c r="AR29" i="50"/>
  <c r="U14" i="50"/>
  <c r="AI29" i="50"/>
  <c r="BB51" i="50"/>
  <c r="AG15" i="50"/>
  <c r="AW59" i="50"/>
  <c r="N5" i="50"/>
  <c r="BC68" i="50"/>
  <c r="T9" i="50"/>
  <c r="AB70" i="50"/>
  <c r="BA20" i="50"/>
  <c r="AE10" i="50"/>
  <c r="AN68" i="50"/>
  <c r="AP25" i="50"/>
  <c r="U68" i="50"/>
  <c r="AS45" i="50"/>
  <c r="BB46" i="50"/>
  <c r="S13" i="50"/>
  <c r="AT20" i="50"/>
  <c r="Y18" i="50"/>
  <c r="U51" i="50"/>
  <c r="AZ25" i="50"/>
  <c r="AK14" i="50"/>
  <c r="AS40" i="50"/>
  <c r="AD62" i="50"/>
  <c r="W46" i="50"/>
  <c r="AC58" i="50"/>
  <c r="Q72" i="50"/>
  <c r="AV71" i="50"/>
  <c r="X30" i="50"/>
  <c r="O36" i="50"/>
  <c r="M67" i="50"/>
  <c r="AX70" i="50"/>
  <c r="AR52" i="50"/>
  <c r="AC50" i="50"/>
  <c r="AA28" i="50"/>
  <c r="AI66" i="50"/>
  <c r="O16" i="50"/>
  <c r="L30" i="50"/>
  <c r="AY7" i="50"/>
  <c r="Q10" i="50"/>
  <c r="N15" i="50"/>
  <c r="R18" i="50"/>
  <c r="AS34" i="50"/>
  <c r="AV38" i="50"/>
  <c r="AJ60" i="50"/>
  <c r="P15" i="50"/>
  <c r="M47" i="50"/>
  <c r="N55" i="50"/>
  <c r="AY9" i="50"/>
  <c r="AH9" i="50"/>
  <c r="P26" i="50"/>
  <c r="AV27" i="50"/>
  <c r="AL25" i="50"/>
  <c r="AZ17" i="50"/>
  <c r="AH48" i="50"/>
  <c r="AE17" i="50"/>
  <c r="AV65" i="50"/>
  <c r="AI44" i="50"/>
  <c r="T64" i="50"/>
  <c r="P71" i="50"/>
  <c r="AB4" i="50"/>
  <c r="BC41" i="50"/>
  <c r="M51" i="50"/>
  <c r="Q22" i="50"/>
  <c r="AA47" i="50"/>
  <c r="N22" i="50"/>
  <c r="AE38" i="50"/>
  <c r="U56" i="50"/>
  <c r="R29" i="50"/>
  <c r="Y59" i="50"/>
  <c r="P8" i="50"/>
  <c r="AC46" i="50"/>
  <c r="P44" i="50"/>
  <c r="AP55" i="50"/>
  <c r="AG73" i="50"/>
  <c r="AG18" i="50"/>
  <c r="AU52" i="50"/>
  <c r="Y54" i="50"/>
  <c r="AV31" i="50"/>
  <c r="AD44" i="50"/>
  <c r="AT45" i="50"/>
  <c r="AP52" i="50"/>
  <c r="AU10" i="50"/>
  <c r="AC26" i="50"/>
  <c r="Q50" i="50"/>
  <c r="AC19" i="50"/>
  <c r="Z33" i="50"/>
  <c r="Q41" i="50"/>
  <c r="AR51" i="50"/>
  <c r="AN49" i="50"/>
  <c r="AQ13" i="50"/>
  <c r="AH24" i="50"/>
  <c r="AU61" i="50"/>
  <c r="AM55" i="50"/>
  <c r="AB11" i="50"/>
  <c r="AY66" i="50"/>
  <c r="AB48" i="50"/>
  <c r="AT21" i="50"/>
  <c r="M17" i="50"/>
  <c r="BC66" i="50"/>
  <c r="O43" i="50"/>
  <c r="AW8" i="50"/>
  <c r="AY46" i="50"/>
  <c r="AB51" i="50"/>
  <c r="O7" i="50"/>
  <c r="O71" i="50"/>
  <c r="BB15" i="50"/>
  <c r="AG54" i="50"/>
  <c r="AQ26" i="50"/>
  <c r="AG62" i="50"/>
  <c r="T25" i="50"/>
  <c r="AZ27" i="50"/>
  <c r="AD49" i="50"/>
  <c r="S52" i="50"/>
  <c r="AV32" i="50"/>
  <c r="V25" i="50"/>
  <c r="BA59" i="50"/>
  <c r="AI62" i="50"/>
  <c r="AT59" i="50"/>
  <c r="AP53" i="50"/>
  <c r="AQ19" i="50"/>
  <c r="AH39" i="50"/>
  <c r="S55" i="50"/>
  <c r="BA7" i="50"/>
  <c r="AD12" i="50"/>
  <c r="AY34" i="50"/>
  <c r="AW39" i="50"/>
  <c r="Z53" i="50"/>
  <c r="AH71" i="50"/>
  <c r="AC20" i="50"/>
  <c r="U28" i="50"/>
  <c r="AM31" i="50"/>
  <c r="L59" i="50"/>
  <c r="AT67" i="50"/>
  <c r="BB53" i="50"/>
  <c r="T54" i="50"/>
  <c r="S28" i="50"/>
  <c r="P54" i="50"/>
  <c r="V60" i="50"/>
  <c r="AJ32" i="50"/>
  <c r="Q64" i="50"/>
  <c r="AX23" i="50"/>
  <c r="T51" i="50"/>
  <c r="AS30" i="50"/>
  <c r="BA57" i="50"/>
  <c r="AJ24" i="50"/>
  <c r="AK65" i="50"/>
  <c r="L43" i="50"/>
  <c r="AQ28" i="50"/>
  <c r="AK58" i="50"/>
  <c r="AX16" i="50"/>
  <c r="AG50" i="50"/>
  <c r="AF63" i="50"/>
  <c r="S9" i="50"/>
  <c r="AO45" i="50"/>
  <c r="U67" i="50"/>
  <c r="Y66" i="50"/>
  <c r="O13" i="50"/>
  <c r="W4" i="50"/>
  <c r="W18" i="50"/>
  <c r="BC32" i="50"/>
  <c r="Z44" i="50"/>
  <c r="AF42" i="50"/>
  <c r="AM57" i="50"/>
  <c r="P14" i="50"/>
  <c r="M33" i="50"/>
  <c r="AW53" i="50"/>
  <c r="AG8" i="50"/>
  <c r="X66" i="50"/>
  <c r="AQ4" i="50"/>
  <c r="AL48" i="50"/>
  <c r="AP45" i="50"/>
  <c r="BC48" i="50"/>
  <c r="P38" i="50"/>
  <c r="AG24" i="50"/>
  <c r="AO54" i="50"/>
  <c r="AX47" i="50"/>
  <c r="AD8" i="50"/>
  <c r="T34" i="50"/>
  <c r="AU57" i="50"/>
  <c r="T26" i="50"/>
  <c r="AW33" i="50"/>
  <c r="AL37" i="50"/>
  <c r="Q65" i="50"/>
  <c r="AO36" i="50"/>
  <c r="BC36" i="50"/>
  <c r="AA48" i="50"/>
  <c r="L35" i="50"/>
  <c r="R61" i="50"/>
  <c r="AY27" i="50"/>
  <c r="AC53" i="50"/>
  <c r="AN41" i="50"/>
  <c r="R9" i="50"/>
  <c r="W38" i="50"/>
  <c r="AR20" i="50"/>
  <c r="O72" i="50"/>
  <c r="P21" i="50"/>
  <c r="AK5" i="50"/>
  <c r="U38" i="50"/>
  <c r="AG13" i="50"/>
  <c r="AA16" i="50"/>
  <c r="AI36" i="50"/>
  <c r="X54" i="50"/>
  <c r="AY43" i="50"/>
  <c r="R70" i="50"/>
  <c r="BB62" i="50"/>
  <c r="AH11" i="50"/>
  <c r="X8" i="50"/>
  <c r="Z69" i="50"/>
  <c r="W12" i="50"/>
  <c r="T28" i="50"/>
  <c r="O59" i="50"/>
  <c r="AV37" i="50"/>
  <c r="AY41" i="50"/>
  <c r="AS35" i="50"/>
  <c r="W59" i="50"/>
  <c r="R36" i="50"/>
  <c r="N27" i="50"/>
  <c r="M60" i="50"/>
  <c r="AV26" i="50"/>
  <c r="BB41" i="50"/>
  <c r="P52" i="50"/>
  <c r="AL42" i="50"/>
  <c r="AU66" i="50"/>
  <c r="Z27" i="50"/>
  <c r="AE9" i="50"/>
  <c r="AU19" i="50"/>
  <c r="T46" i="50"/>
  <c r="AZ49" i="50"/>
  <c r="U18" i="50"/>
  <c r="AT35" i="50"/>
  <c r="X33" i="50"/>
  <c r="M61" i="50"/>
  <c r="AA23" i="50"/>
  <c r="N52" i="50"/>
  <c r="AU41" i="50"/>
  <c r="AJ34" i="50"/>
  <c r="S18" i="50"/>
  <c r="Y67" i="50"/>
  <c r="AU24" i="50"/>
  <c r="AQ30" i="50"/>
  <c r="BA23" i="50"/>
  <c r="AY48" i="50"/>
  <c r="AI16" i="50"/>
  <c r="AR30" i="50"/>
  <c r="AH54" i="50"/>
  <c r="AW66" i="50"/>
  <c r="BC15" i="50"/>
  <c r="V5" i="50"/>
  <c r="AU39" i="50"/>
  <c r="Y56" i="50"/>
  <c r="AR41" i="50"/>
  <c r="AI35" i="50"/>
  <c r="AZ23" i="50"/>
  <c r="AF61" i="50"/>
  <c r="AW17" i="50"/>
  <c r="S34" i="50"/>
  <c r="R59" i="50"/>
  <c r="AR53" i="50"/>
  <c r="AL23" i="50"/>
  <c r="BC49" i="50"/>
  <c r="AB26" i="50"/>
  <c r="P64" i="50"/>
  <c r="AM29" i="50"/>
  <c r="AR73" i="50"/>
  <c r="AS72" i="50"/>
  <c r="Q47" i="50"/>
  <c r="L57" i="50"/>
  <c r="AV4" i="50"/>
  <c r="AG42" i="50"/>
  <c r="W30" i="50"/>
  <c r="AX44" i="50"/>
  <c r="AG59" i="50"/>
  <c r="M5" i="50"/>
  <c r="L16" i="50"/>
  <c r="X21" i="50"/>
  <c r="AY29" i="50"/>
  <c r="W28" i="50"/>
  <c r="AH30" i="50"/>
  <c r="T53" i="50"/>
  <c r="AF46" i="50"/>
  <c r="AR33" i="50"/>
  <c r="AK30" i="50"/>
  <c r="AA20" i="50"/>
  <c r="AD58" i="50"/>
  <c r="Y65" i="50"/>
  <c r="N34" i="50"/>
  <c r="AB54" i="50"/>
  <c r="M34" i="50"/>
  <c r="AO68" i="50"/>
  <c r="Y68" i="50"/>
  <c r="AR25" i="50"/>
  <c r="BA63" i="50"/>
  <c r="AL19" i="50"/>
  <c r="Q53" i="50"/>
  <c r="AJ13" i="50"/>
  <c r="Z61" i="50"/>
  <c r="AA27" i="50"/>
  <c r="AD52" i="50"/>
  <c r="V58" i="50"/>
  <c r="AK48" i="50"/>
  <c r="AE39" i="50"/>
  <c r="AI64" i="50"/>
  <c r="AV43" i="50"/>
  <c r="Q54" i="50"/>
  <c r="AZ9" i="50"/>
  <c r="T52" i="50"/>
  <c r="AT10" i="50"/>
  <c r="N37" i="50"/>
  <c r="W44" i="50"/>
  <c r="W73" i="50"/>
  <c r="U5" i="50"/>
  <c r="AV39" i="50"/>
  <c r="AF43" i="50"/>
  <c r="AD39" i="50"/>
  <c r="AB18" i="50"/>
  <c r="AX56" i="50"/>
  <c r="AA62" i="50"/>
  <c r="Q42" i="50"/>
  <c r="AU64" i="50"/>
  <c r="AF72" i="50"/>
  <c r="P10" i="50"/>
  <c r="AW65" i="50"/>
  <c r="AV47" i="50"/>
  <c r="O28" i="50"/>
  <c r="BA32" i="50"/>
  <c r="L22" i="50"/>
  <c r="AB40" i="50"/>
  <c r="W66" i="50"/>
  <c r="AK59" i="50"/>
  <c r="AG52" i="50"/>
  <c r="AF41" i="50"/>
  <c r="R13" i="50"/>
  <c r="AI9" i="50"/>
  <c r="Y33" i="50"/>
  <c r="M9" i="50"/>
  <c r="AJ36" i="50"/>
  <c r="AP35" i="50"/>
  <c r="AH38" i="50"/>
  <c r="AK24" i="50"/>
  <c r="R41" i="50"/>
  <c r="M46" i="50"/>
  <c r="AW36" i="50"/>
  <c r="AM21" i="50"/>
  <c r="AA67" i="50"/>
  <c r="AD11" i="50"/>
  <c r="AL53" i="50"/>
  <c r="AH34" i="50"/>
  <c r="AR9" i="50"/>
  <c r="AU69" i="50"/>
  <c r="AO52" i="50"/>
  <c r="AU37" i="50"/>
  <c r="AJ19" i="50"/>
  <c r="AR16" i="50"/>
  <c r="U8" i="50"/>
  <c r="AP42" i="50"/>
  <c r="AU45" i="50"/>
  <c r="Y14" i="50"/>
  <c r="AC54" i="50"/>
  <c r="AU62" i="50"/>
  <c r="T17" i="50"/>
  <c r="W23" i="50"/>
  <c r="AC27" i="50"/>
  <c r="AN72" i="50"/>
  <c r="W58" i="50"/>
  <c r="AA19" i="50"/>
  <c r="AR24" i="50"/>
  <c r="AN30" i="50"/>
  <c r="AM22" i="50"/>
  <c r="AV7" i="50"/>
  <c r="AR35" i="50"/>
  <c r="AU58" i="50"/>
  <c r="AI25" i="50"/>
  <c r="AY63" i="50"/>
  <c r="AB9" i="50"/>
  <c r="AP14" i="50"/>
  <c r="N13" i="50"/>
  <c r="Z73" i="50"/>
  <c r="AO19" i="50"/>
  <c r="AT58" i="50"/>
  <c r="AC45" i="50"/>
  <c r="AG41" i="50"/>
  <c r="AT7" i="50"/>
  <c r="Y21" i="50"/>
  <c r="AJ61" i="50"/>
  <c r="AQ31" i="50"/>
  <c r="W5" i="50"/>
  <c r="P29" i="50"/>
  <c r="X28" i="50"/>
  <c r="AG22" i="50"/>
  <c r="AT29" i="50"/>
  <c r="AZ52" i="50"/>
  <c r="AP29" i="50"/>
  <c r="AQ14" i="50"/>
  <c r="AP18" i="50"/>
  <c r="AV70" i="50"/>
  <c r="W63" i="50"/>
  <c r="BB4" i="50"/>
  <c r="BB70" i="50"/>
  <c r="AJ8" i="50"/>
  <c r="AT25" i="50"/>
  <c r="AW69" i="50"/>
  <c r="AL47" i="50"/>
  <c r="AE53" i="50"/>
  <c r="Y23" i="50"/>
  <c r="AH25" i="50"/>
  <c r="S71" i="50"/>
  <c r="S24" i="50"/>
  <c r="AK21" i="50"/>
  <c r="V70" i="50"/>
  <c r="V47" i="50"/>
  <c r="AU67" i="50"/>
  <c r="X27" i="50"/>
  <c r="AM4" i="50"/>
  <c r="BB24" i="50"/>
  <c r="S45" i="50"/>
  <c r="AA37" i="50"/>
  <c r="BC21" i="50"/>
  <c r="AA59" i="50"/>
  <c r="AM8" i="50"/>
  <c r="AX46" i="50"/>
  <c r="W34" i="50"/>
  <c r="AL9" i="50"/>
  <c r="Z36" i="50"/>
  <c r="M69" i="50"/>
  <c r="P55" i="50"/>
  <c r="V51" i="50"/>
  <c r="V50" i="50"/>
  <c r="L68" i="50"/>
  <c r="AR70" i="50"/>
  <c r="R69" i="50"/>
  <c r="O58" i="50"/>
  <c r="S54" i="50"/>
  <c r="AJ11" i="50"/>
  <c r="AC59" i="50"/>
  <c r="AR4" i="50"/>
  <c r="R55" i="50"/>
  <c r="AM73" i="50"/>
  <c r="AY26" i="50"/>
  <c r="AY21" i="50"/>
  <c r="AB45" i="50"/>
  <c r="AZ69" i="50"/>
  <c r="AL63" i="50"/>
  <c r="AM52" i="50"/>
  <c r="P61" i="50"/>
  <c r="AW64" i="50"/>
  <c r="L63" i="50"/>
  <c r="AB66" i="50"/>
  <c r="Y47" i="50"/>
  <c r="AO42" i="50"/>
  <c r="AH46" i="50"/>
  <c r="R72" i="50"/>
  <c r="AZ70" i="50"/>
  <c r="V61" i="50"/>
  <c r="AO63" i="50"/>
  <c r="AQ46" i="50"/>
  <c r="M28" i="50"/>
  <c r="AX7" i="50"/>
  <c r="AM48" i="50"/>
  <c r="L27" i="50"/>
  <c r="AB13" i="50"/>
  <c r="AU55" i="50"/>
  <c r="AA73" i="50"/>
  <c r="AV69" i="50"/>
  <c r="AZ56" i="50"/>
  <c r="BC30" i="50"/>
  <c r="Q8" i="50"/>
  <c r="Z45" i="50"/>
  <c r="AX57" i="50"/>
  <c r="Y38" i="50"/>
  <c r="S12" i="50"/>
  <c r="AI45" i="50"/>
  <c r="BC71" i="50"/>
  <c r="AD15" i="50"/>
  <c r="AK29" i="50"/>
  <c r="AG66" i="50"/>
  <c r="AP26" i="50"/>
  <c r="AO48" i="50"/>
  <c r="AP21" i="50"/>
  <c r="AI61" i="50"/>
  <c r="AX69" i="50"/>
  <c r="T47" i="50"/>
  <c r="AH31" i="50"/>
  <c r="AM17" i="50"/>
  <c r="AH64" i="50"/>
  <c r="AK19" i="50"/>
  <c r="AH55" i="50"/>
  <c r="L69" i="50"/>
  <c r="AA4" i="50"/>
  <c r="AW7" i="50"/>
  <c r="AH69" i="50"/>
  <c r="AW13" i="50"/>
  <c r="AG44" i="50"/>
  <c r="Z16" i="50"/>
  <c r="O49" i="50"/>
  <c r="BA28" i="50"/>
  <c r="R57" i="50"/>
  <c r="AF70" i="50"/>
  <c r="M68" i="50"/>
  <c r="AR69" i="50"/>
  <c r="AJ28" i="50"/>
  <c r="AZ33" i="50"/>
  <c r="AS13" i="50"/>
  <c r="AP39" i="50"/>
  <c r="AU35" i="50"/>
  <c r="O70" i="50"/>
  <c r="AH27" i="50"/>
  <c r="AB39" i="50"/>
  <c r="Y37" i="50"/>
  <c r="Z68" i="50"/>
  <c r="AN50" i="50"/>
  <c r="BA73" i="50"/>
  <c r="BB57" i="50"/>
  <c r="W35" i="50"/>
  <c r="AU17" i="50"/>
  <c r="AJ47" i="50"/>
  <c r="AW23" i="50"/>
  <c r="AC31" i="50"/>
  <c r="P41" i="50"/>
  <c r="AC11" i="50"/>
  <c r="AJ7" i="50"/>
  <c r="AO14" i="50"/>
  <c r="BB56" i="50"/>
  <c r="O10" i="50"/>
  <c r="BB34" i="50"/>
  <c r="AH51" i="50"/>
  <c r="AZ43" i="50"/>
  <c r="AF17" i="50"/>
  <c r="AN17" i="50"/>
  <c r="AC66" i="50"/>
  <c r="Q25" i="50"/>
  <c r="BA38" i="50"/>
  <c r="T60" i="50"/>
  <c r="BC31" i="50"/>
  <c r="AQ9" i="50"/>
  <c r="Y12" i="50"/>
  <c r="S40" i="50"/>
  <c r="X52" i="50"/>
  <c r="Z26" i="50"/>
  <c r="AQ59" i="50"/>
  <c r="S73" i="50"/>
  <c r="S51" i="50"/>
  <c r="AU5" i="50"/>
  <c r="U26" i="50"/>
  <c r="AH7" i="50"/>
  <c r="L52" i="50"/>
  <c r="AE43" i="50"/>
  <c r="V8" i="50"/>
  <c r="M70" i="50"/>
  <c r="AY60" i="50"/>
  <c r="Q27" i="50"/>
  <c r="AR31" i="50"/>
  <c r="AL28" i="50"/>
  <c r="AG69" i="50"/>
  <c r="L71" i="50"/>
  <c r="AX33" i="50"/>
  <c r="BC37" i="50"/>
  <c r="AN62" i="50"/>
  <c r="AA68" i="50"/>
  <c r="O42" i="50"/>
  <c r="R15" i="50"/>
  <c r="AZ67" i="50"/>
  <c r="U60" i="50"/>
  <c r="L67" i="50"/>
  <c r="AL20" i="50"/>
  <c r="Q7" i="50"/>
  <c r="AT12" i="50"/>
  <c r="AQ54" i="50"/>
  <c r="AO62" i="50"/>
  <c r="V43" i="50"/>
  <c r="N45" i="50"/>
  <c r="S68" i="50"/>
  <c r="O29" i="50"/>
  <c r="AQ53" i="50"/>
  <c r="AH22" i="50"/>
  <c r="P67" i="50"/>
  <c r="Z49" i="50"/>
  <c r="AR58" i="50"/>
  <c r="L12" i="50"/>
  <c r="AG4" i="50"/>
  <c r="AC37" i="50"/>
  <c r="U53" i="50"/>
  <c r="AW73" i="50"/>
  <c r="AP43" i="50"/>
  <c r="AJ10" i="50"/>
  <c r="R11" i="50"/>
  <c r="AX5" i="50"/>
  <c r="V54" i="50"/>
  <c r="AD32" i="50"/>
  <c r="AI24" i="50"/>
  <c r="AO30" i="50"/>
  <c r="AZ73" i="50"/>
  <c r="AX14" i="50"/>
  <c r="AM46" i="50"/>
  <c r="BA49" i="50"/>
  <c r="AD28" i="50"/>
  <c r="AN73" i="50"/>
  <c r="AL66" i="50"/>
  <c r="AO47" i="50"/>
  <c r="AT4" i="50"/>
  <c r="N26" i="50"/>
  <c r="AQ58" i="50"/>
  <c r="AN56" i="50"/>
  <c r="AW72" i="50"/>
  <c r="AA38" i="50"/>
  <c r="Y57" i="50"/>
  <c r="AP17" i="50"/>
  <c r="AX17" i="50"/>
  <c r="AQ70" i="50"/>
  <c r="Z21" i="50"/>
  <c r="AW10" i="50"/>
  <c r="X13" i="50"/>
  <c r="W42" i="50"/>
  <c r="AR45" i="50"/>
  <c r="AY24" i="50"/>
  <c r="AE8" i="50"/>
  <c r="AR65" i="50"/>
  <c r="T40" i="50"/>
  <c r="BA22" i="50"/>
  <c r="BC55" i="50"/>
  <c r="T59" i="50"/>
  <c r="AK22" i="50"/>
  <c r="AD36" i="50"/>
  <c r="AS9" i="50"/>
  <c r="AL51" i="50"/>
  <c r="AZ19" i="50"/>
  <c r="P47" i="50"/>
  <c r="AS66" i="50"/>
  <c r="AF65" i="50"/>
  <c r="AF12" i="50"/>
  <c r="AI55" i="50"/>
  <c r="AB47" i="50"/>
  <c r="AI72" i="50"/>
  <c r="R40" i="50"/>
  <c r="Y39" i="50"/>
  <c r="AI54" i="50"/>
  <c r="AS10" i="50"/>
  <c r="AR18" i="50"/>
  <c r="AF28" i="50"/>
  <c r="AJ43" i="50"/>
  <c r="AJ62" i="50"/>
  <c r="AA65" i="50"/>
  <c r="Q39" i="50"/>
  <c r="M72" i="50"/>
  <c r="BB14" i="50"/>
  <c r="BC16" i="50"/>
  <c r="AD61" i="50"/>
  <c r="P59" i="50"/>
  <c r="AN55" i="50"/>
  <c r="Y22" i="50"/>
  <c r="U46" i="50"/>
  <c r="T44" i="50"/>
  <c r="AR42" i="50"/>
  <c r="Z23" i="50"/>
  <c r="W25" i="50"/>
  <c r="AS52" i="50"/>
  <c r="Z41" i="50"/>
  <c r="AJ56" i="50"/>
  <c r="AO39" i="50"/>
  <c r="Q48" i="50"/>
  <c r="AU21" i="50"/>
  <c r="M59" i="50"/>
  <c r="U21" i="50"/>
  <c r="AY61" i="50"/>
  <c r="AQ52" i="50"/>
  <c r="AR56" i="50"/>
  <c r="AQ73" i="50"/>
  <c r="AA46" i="50"/>
  <c r="T22" i="50"/>
  <c r="AC32" i="50"/>
  <c r="AR23" i="50"/>
  <c r="AF44" i="50"/>
  <c r="M71" i="50"/>
  <c r="AR68" i="50"/>
  <c r="AZ13" i="50"/>
  <c r="AM64" i="50"/>
  <c r="Z58" i="50"/>
  <c r="U31" i="50"/>
  <c r="AP31" i="50"/>
  <c r="AJ37" i="50"/>
  <c r="O23" i="50"/>
  <c r="AJ49" i="50"/>
  <c r="AW71" i="50"/>
  <c r="AH67" i="50"/>
  <c r="R66" i="50"/>
  <c r="AF62" i="50"/>
  <c r="AS15" i="50"/>
  <c r="X48" i="50"/>
  <c r="AD56" i="50"/>
  <c r="AI7" i="50"/>
  <c r="Y60" i="50"/>
  <c r="AJ65" i="50"/>
  <c r="X32" i="50"/>
  <c r="P37" i="50"/>
  <c r="N59" i="50"/>
  <c r="AT40" i="50"/>
  <c r="O69" i="50"/>
  <c r="L7" i="50"/>
  <c r="AH16" i="50"/>
  <c r="AB14" i="50"/>
  <c r="V20" i="50"/>
  <c r="BB69" i="50"/>
  <c r="AJ12" i="50"/>
  <c r="Y53" i="50"/>
  <c r="W41" i="50"/>
  <c r="AF19" i="50"/>
  <c r="Z70" i="50"/>
  <c r="AE51" i="50"/>
  <c r="AK27" i="50"/>
  <c r="AX8" i="50"/>
  <c r="AF38" i="50"/>
  <c r="AX19" i="50"/>
  <c r="T19" i="50"/>
  <c r="N25" i="50"/>
  <c r="V59" i="50"/>
  <c r="BA67" i="50"/>
  <c r="AW54" i="50"/>
  <c r="AH43" i="50"/>
  <c r="AR72" i="50"/>
  <c r="N71" i="50"/>
  <c r="Y29" i="50"/>
  <c r="AB34" i="50"/>
  <c r="V56" i="50"/>
  <c r="Y64" i="50"/>
  <c r="Q59" i="50"/>
  <c r="O68" i="50"/>
  <c r="AG17" i="50"/>
  <c r="AR38" i="50"/>
  <c r="AD40" i="50"/>
  <c r="AP50" i="50"/>
  <c r="AE7" i="50"/>
  <c r="AJ44" i="50"/>
  <c r="AS61" i="50"/>
  <c r="X71" i="50"/>
  <c r="AQ60" i="50"/>
  <c r="M15" i="50"/>
  <c r="AV36" i="50"/>
  <c r="O37" i="50"/>
  <c r="AT38" i="50"/>
  <c r="AQ41" i="50"/>
  <c r="AV22" i="50"/>
  <c r="L38" i="50"/>
  <c r="W62" i="50"/>
  <c r="Q11" i="50"/>
  <c r="V23" i="50"/>
  <c r="T73" i="50"/>
  <c r="BA10" i="50"/>
  <c r="N56" i="50"/>
  <c r="AC22" i="50"/>
  <c r="Q18" i="50"/>
  <c r="AJ15" i="50"/>
  <c r="R50" i="50"/>
  <c r="AU70" i="50"/>
  <c r="AA24" i="50"/>
  <c r="AE20" i="50"/>
  <c r="Z66" i="50"/>
  <c r="AB67" i="50"/>
  <c r="AA72" i="50"/>
  <c r="AL16" i="50"/>
  <c r="Z42" i="50"/>
  <c r="S14" i="50"/>
  <c r="AX65" i="50"/>
  <c r="N41" i="50"/>
  <c r="AW29" i="50"/>
  <c r="AL62" i="50"/>
  <c r="R49" i="50"/>
  <c r="T12" i="50"/>
  <c r="AT14" i="50"/>
  <c r="BB18" i="50"/>
  <c r="AP15" i="50"/>
  <c r="BC19" i="50"/>
  <c r="AS37" i="50"/>
  <c r="Q4" i="50"/>
  <c r="R7" i="50"/>
  <c r="F38" i="50" l="1"/>
  <c r="F7" i="50"/>
  <c r="F12" i="50"/>
  <c r="F67" i="50"/>
  <c r="F71" i="50"/>
  <c r="F52" i="50"/>
  <c r="F69" i="50"/>
  <c r="F27" i="50"/>
  <c r="F63" i="50"/>
  <c r="F68" i="50"/>
  <c r="F22" i="50"/>
  <c r="F16" i="50"/>
  <c r="F57" i="50"/>
  <c r="F35" i="50"/>
  <c r="F43" i="50"/>
  <c r="F59" i="50"/>
  <c r="F30" i="50"/>
  <c r="F46" i="50"/>
  <c r="F70" i="50"/>
  <c r="F13" i="50"/>
  <c r="F62" i="50"/>
  <c r="K4" i="50"/>
  <c r="F56" i="50"/>
  <c r="F73" i="50"/>
  <c r="F19" i="50"/>
  <c r="F64" i="50"/>
  <c r="F37" i="50"/>
  <c r="F66" i="50"/>
  <c r="F40" i="50"/>
  <c r="F61" i="50"/>
  <c r="F17" i="50"/>
  <c r="F31" i="50"/>
  <c r="F20" i="50"/>
  <c r="F50" i="50"/>
  <c r="F34" i="50"/>
  <c r="F11" i="50"/>
  <c r="F25" i="50"/>
  <c r="F32" i="50"/>
  <c r="F21" i="50"/>
  <c r="F72" i="50"/>
  <c r="F65" i="50"/>
  <c r="F5" i="50"/>
  <c r="F15" i="50"/>
  <c r="F36" i="50"/>
  <c r="F53" i="50"/>
  <c r="F28" i="50"/>
  <c r="F29" i="50"/>
  <c r="F33" i="50"/>
  <c r="F47" i="50"/>
  <c r="F45" i="50"/>
  <c r="F23" i="50"/>
  <c r="F26" i="50"/>
  <c r="F8" i="50"/>
  <c r="F24" i="50"/>
  <c r="F10" i="50"/>
  <c r="F48" i="50"/>
  <c r="F14" i="50"/>
  <c r="F60" i="50"/>
  <c r="F42" i="50"/>
  <c r="F39" i="50"/>
  <c r="F49" i="50"/>
  <c r="F44" i="50"/>
  <c r="F41" i="50"/>
  <c r="F9" i="50"/>
  <c r="F51" i="50"/>
  <c r="F54" i="50"/>
  <c r="F18" i="50"/>
  <c r="F55" i="50"/>
  <c r="F58" i="50"/>
  <c r="AK20" i="5" l="1"/>
  <c r="H39" i="50"/>
  <c r="J39" i="50"/>
  <c r="AK18" i="1"/>
  <c r="J26" i="50"/>
  <c r="H26" i="50"/>
  <c r="AK12" i="150"/>
  <c r="J72" i="50"/>
  <c r="H72" i="50"/>
  <c r="AK11" i="5"/>
  <c r="H31" i="50"/>
  <c r="J31" i="50"/>
  <c r="AK7" i="4"/>
  <c r="H13" i="50"/>
  <c r="J13" i="50"/>
  <c r="AK7" i="150"/>
  <c r="H67" i="50"/>
  <c r="J67" i="50"/>
  <c r="AK17" i="4"/>
  <c r="J18" i="50"/>
  <c r="H18" i="50"/>
  <c r="AK22" i="5"/>
  <c r="H41" i="50"/>
  <c r="J41" i="50"/>
  <c r="AK8" i="5"/>
  <c r="J42" i="50"/>
  <c r="H42" i="50"/>
  <c r="AK5" i="1"/>
  <c r="J10" i="50"/>
  <c r="H10" i="50"/>
  <c r="AK9" i="1"/>
  <c r="J23" i="50"/>
  <c r="H23" i="50"/>
  <c r="AK8" i="4"/>
  <c r="J29" i="50"/>
  <c r="H29" i="50"/>
  <c r="AK10" i="4"/>
  <c r="H15" i="50"/>
  <c r="J15" i="50"/>
  <c r="AK14" i="4"/>
  <c r="H21" i="50"/>
  <c r="J21" i="50"/>
  <c r="AK13" i="5"/>
  <c r="H34" i="50"/>
  <c r="J34" i="50"/>
  <c r="AK10" i="1"/>
  <c r="H17" i="50"/>
  <c r="J17" i="50"/>
  <c r="AK18" i="5"/>
  <c r="H37" i="50"/>
  <c r="J37" i="50"/>
  <c r="AK26" i="1"/>
  <c r="J56" i="50"/>
  <c r="H56" i="50"/>
  <c r="AK10" i="150"/>
  <c r="H70" i="50"/>
  <c r="J70" i="50"/>
  <c r="AK6" i="5"/>
  <c r="J43" i="50"/>
  <c r="H43" i="50"/>
  <c r="AK15" i="4"/>
  <c r="J22" i="50"/>
  <c r="H22" i="50"/>
  <c r="AK9" i="150"/>
  <c r="J69" i="50"/>
  <c r="H69" i="50"/>
  <c r="AK7" i="1"/>
  <c r="H12" i="50"/>
  <c r="J12" i="50"/>
  <c r="AK25" i="1"/>
  <c r="J55" i="50"/>
  <c r="H55" i="50"/>
  <c r="AK12" i="5"/>
  <c r="J33" i="50"/>
  <c r="H33" i="50"/>
  <c r="AK6" i="1"/>
  <c r="J11" i="50"/>
  <c r="H11" i="50"/>
  <c r="AK24" i="4"/>
  <c r="H73" i="50"/>
  <c r="J73" i="50"/>
  <c r="AK19" i="4"/>
  <c r="J59" i="50"/>
  <c r="H59" i="50"/>
  <c r="AK12" i="1"/>
  <c r="J27" i="50"/>
  <c r="H27" i="50"/>
  <c r="AK24" i="1"/>
  <c r="J54" i="50"/>
  <c r="H54" i="50"/>
  <c r="AK5" i="5"/>
  <c r="J44" i="50"/>
  <c r="H44" i="50"/>
  <c r="AK21" i="4"/>
  <c r="J60" i="50"/>
  <c r="H60" i="50"/>
  <c r="AK8" i="1"/>
  <c r="J24" i="50"/>
  <c r="H24" i="50"/>
  <c r="AK21" i="5"/>
  <c r="H45" i="50"/>
  <c r="J45" i="50"/>
  <c r="AK11" i="4"/>
  <c r="J28" i="50"/>
  <c r="H28" i="50"/>
  <c r="AK5" i="137"/>
  <c r="H5" i="50"/>
  <c r="J5" i="50"/>
  <c r="F4" i="50"/>
  <c r="AK16" i="5"/>
  <c r="J32" i="50"/>
  <c r="H32" i="50"/>
  <c r="AK18" i="4"/>
  <c r="H50" i="50"/>
  <c r="J50" i="50"/>
  <c r="AK29" i="1"/>
  <c r="H61" i="50"/>
  <c r="J61" i="50"/>
  <c r="AK23" i="4"/>
  <c r="H64" i="50"/>
  <c r="J64" i="50"/>
  <c r="AK21" i="1"/>
  <c r="J46" i="50"/>
  <c r="H46" i="50"/>
  <c r="AK14" i="5"/>
  <c r="H35" i="50"/>
  <c r="J35" i="50"/>
  <c r="AK8" i="150"/>
  <c r="J68" i="50"/>
  <c r="H68" i="50"/>
  <c r="AK24" i="5"/>
  <c r="H52" i="50"/>
  <c r="J52" i="50"/>
  <c r="AK7" i="137"/>
  <c r="J7" i="50"/>
  <c r="H7" i="50"/>
  <c r="AK6" i="4"/>
  <c r="H9" i="50"/>
  <c r="J9" i="50"/>
  <c r="AK9" i="137"/>
  <c r="H48" i="50"/>
  <c r="J48" i="50"/>
  <c r="AK15" i="5"/>
  <c r="H36" i="50"/>
  <c r="J36" i="50"/>
  <c r="AK6" i="150"/>
  <c r="H66" i="50"/>
  <c r="J66" i="50"/>
  <c r="AK5" i="4"/>
  <c r="J16" i="50"/>
  <c r="H16" i="50"/>
  <c r="AK28" i="1"/>
  <c r="J58" i="50"/>
  <c r="H58" i="50"/>
  <c r="AK23" i="5"/>
  <c r="J51" i="50"/>
  <c r="H51" i="50"/>
  <c r="AK20" i="4"/>
  <c r="H49" i="50"/>
  <c r="J49" i="50"/>
  <c r="AK9" i="4"/>
  <c r="H14" i="50"/>
  <c r="J14" i="50"/>
  <c r="AK8" i="137"/>
  <c r="J8" i="50"/>
  <c r="H8" i="50"/>
  <c r="AK22" i="1"/>
  <c r="H47" i="50"/>
  <c r="J47" i="50"/>
  <c r="AK23" i="1"/>
  <c r="H53" i="50"/>
  <c r="J53" i="50"/>
  <c r="AK5" i="150"/>
  <c r="H65" i="50"/>
  <c r="J65" i="50"/>
  <c r="AK13" i="1"/>
  <c r="J25" i="50"/>
  <c r="H25" i="50"/>
  <c r="AK16" i="4"/>
  <c r="H20" i="50"/>
  <c r="J20" i="50"/>
  <c r="AK17" i="5"/>
  <c r="H40" i="50"/>
  <c r="J40" i="50"/>
  <c r="AK13" i="4"/>
  <c r="J19" i="50"/>
  <c r="H19" i="50"/>
  <c r="AK30" i="1"/>
  <c r="H62" i="50"/>
  <c r="J62" i="50"/>
  <c r="AK10" i="5"/>
  <c r="H30" i="50"/>
  <c r="J30" i="50"/>
  <c r="AK27" i="1"/>
  <c r="J57" i="50"/>
  <c r="H57" i="50"/>
  <c r="AK22" i="4"/>
  <c r="H63" i="50"/>
  <c r="J63" i="50"/>
  <c r="AK11" i="150"/>
  <c r="J71" i="50"/>
  <c r="H71" i="50"/>
  <c r="AK19" i="5"/>
  <c r="J38" i="50"/>
  <c r="H38" i="50"/>
  <c r="N30" i="1" l="1"/>
  <c r="O30" i="1"/>
  <c r="A30" i="1" s="1"/>
  <c r="N13" i="1"/>
  <c r="O13" i="1"/>
  <c r="A13" i="1" s="1"/>
  <c r="O9" i="137"/>
  <c r="A9" i="137" s="1"/>
  <c r="N9" i="137"/>
  <c r="O29" i="1"/>
  <c r="A29" i="1" s="1"/>
  <c r="N29" i="1"/>
  <c r="N6" i="1"/>
  <c r="O6" i="1"/>
  <c r="A6" i="1" s="1"/>
  <c r="N14" i="4"/>
  <c r="O14" i="4"/>
  <c r="A14" i="4" s="1"/>
  <c r="N19" i="5"/>
  <c r="A19" i="5" s="1"/>
  <c r="M19" i="5"/>
  <c r="M10" i="5"/>
  <c r="N10" i="5"/>
  <c r="A10" i="5" s="1"/>
  <c r="O16" i="4"/>
  <c r="A16" i="4" s="1"/>
  <c r="N16" i="4"/>
  <c r="N22" i="1"/>
  <c r="O22" i="1"/>
  <c r="A22" i="1" s="1"/>
  <c r="M23" i="5"/>
  <c r="N23" i="5"/>
  <c r="A23" i="5" s="1"/>
  <c r="N15" i="5"/>
  <c r="A15" i="5" s="1"/>
  <c r="M15" i="5"/>
  <c r="M24" i="5"/>
  <c r="N24" i="5"/>
  <c r="A24" i="5" s="1"/>
  <c r="N23" i="4"/>
  <c r="O23" i="4"/>
  <c r="A23" i="4" s="1"/>
  <c r="H4" i="50"/>
  <c r="N11" i="4"/>
  <c r="O11" i="4"/>
  <c r="A11" i="4" s="1"/>
  <c r="AK4" i="5"/>
  <c r="N5" i="5"/>
  <c r="M5" i="5"/>
  <c r="N24" i="4"/>
  <c r="O24" i="4"/>
  <c r="A24" i="4" s="1"/>
  <c r="N7" i="1"/>
  <c r="O7" i="1"/>
  <c r="A7" i="1" s="1"/>
  <c r="N10" i="150"/>
  <c r="O10" i="150"/>
  <c r="A10" i="150" s="1"/>
  <c r="N13" i="5"/>
  <c r="A13" i="5" s="1"/>
  <c r="M13" i="5"/>
  <c r="N9" i="1"/>
  <c r="O9" i="1"/>
  <c r="A9" i="1" s="1"/>
  <c r="N17" i="4"/>
  <c r="O17" i="4"/>
  <c r="A17" i="4" s="1"/>
  <c r="N12" i="150"/>
  <c r="O12" i="150"/>
  <c r="A12" i="150" s="1"/>
  <c r="N11" i="150"/>
  <c r="O11" i="150"/>
  <c r="A11" i="150" s="1"/>
  <c r="O8" i="137"/>
  <c r="A8" i="137" s="1"/>
  <c r="N8" i="137"/>
  <c r="N28" i="1"/>
  <c r="O28" i="1"/>
  <c r="A28" i="1" s="1"/>
  <c r="O8" i="150"/>
  <c r="A8" i="150" s="1"/>
  <c r="N8" i="150"/>
  <c r="J4" i="50"/>
  <c r="I4" i="50" s="1"/>
  <c r="K12" i="50" s="1"/>
  <c r="N24" i="1"/>
  <c r="O24" i="1"/>
  <c r="A24" i="1" s="1"/>
  <c r="O26" i="1"/>
  <c r="A26" i="1" s="1"/>
  <c r="N26" i="1"/>
  <c r="N7" i="150"/>
  <c r="O7" i="150"/>
  <c r="A7" i="150" s="1"/>
  <c r="N17" i="5"/>
  <c r="A17" i="5" s="1"/>
  <c r="M17" i="5"/>
  <c r="O23" i="1"/>
  <c r="A23" i="1" s="1"/>
  <c r="N23" i="1"/>
  <c r="O20" i="4"/>
  <c r="A20" i="4" s="1"/>
  <c r="N20" i="4"/>
  <c r="O6" i="150"/>
  <c r="A6" i="150" s="1"/>
  <c r="N6" i="150"/>
  <c r="O7" i="137"/>
  <c r="A7" i="137" s="1"/>
  <c r="N7" i="137"/>
  <c r="O21" i="1"/>
  <c r="A21" i="1" s="1"/>
  <c r="N21" i="1"/>
  <c r="N16" i="5"/>
  <c r="A16" i="5" s="1"/>
  <c r="M16" i="5"/>
  <c r="AK4" i="137"/>
  <c r="O5" i="137"/>
  <c r="N5" i="137"/>
  <c r="O21" i="4"/>
  <c r="A21" i="4" s="1"/>
  <c r="N21" i="4"/>
  <c r="N19" i="4"/>
  <c r="O19" i="4"/>
  <c r="A19" i="4" s="1"/>
  <c r="O25" i="1"/>
  <c r="A25" i="1" s="1"/>
  <c r="N25" i="1"/>
  <c r="M6" i="5"/>
  <c r="N6" i="5"/>
  <c r="A6" i="5" s="1"/>
  <c r="N10" i="1"/>
  <c r="O10" i="1"/>
  <c r="A10" i="1" s="1"/>
  <c r="N8" i="4"/>
  <c r="O8" i="4"/>
  <c r="A8" i="4" s="1"/>
  <c r="M22" i="5"/>
  <c r="N22" i="5"/>
  <c r="A22" i="5" s="1"/>
  <c r="M11" i="5"/>
  <c r="N11" i="5"/>
  <c r="A11" i="5" s="1"/>
  <c r="N21" i="5"/>
  <c r="A21" i="5" s="1"/>
  <c r="M21" i="5"/>
  <c r="N9" i="150"/>
  <c r="O9" i="150"/>
  <c r="A9" i="150" s="1"/>
  <c r="AK4" i="1"/>
  <c r="O5" i="1"/>
  <c r="N5" i="1"/>
  <c r="O18" i="1"/>
  <c r="A18" i="1" s="1"/>
  <c r="N18" i="1"/>
  <c r="O27" i="1"/>
  <c r="A27" i="1" s="1"/>
  <c r="N27" i="1"/>
  <c r="N22" i="4"/>
  <c r="O22" i="4"/>
  <c r="A22" i="4" s="1"/>
  <c r="N13" i="4"/>
  <c r="O13" i="4"/>
  <c r="A13" i="4" s="1"/>
  <c r="AK4" i="150"/>
  <c r="O5" i="150"/>
  <c r="N5" i="150"/>
  <c r="O9" i="4"/>
  <c r="A9" i="4" s="1"/>
  <c r="N9" i="4"/>
  <c r="AK4" i="4"/>
  <c r="N5" i="4"/>
  <c r="O5" i="4"/>
  <c r="O6" i="4"/>
  <c r="A6" i="4" s="1"/>
  <c r="N6" i="4"/>
  <c r="N14" i="5"/>
  <c r="A14" i="5" s="1"/>
  <c r="M14" i="5"/>
  <c r="N18" i="4"/>
  <c r="O18" i="4"/>
  <c r="A18" i="4" s="1"/>
  <c r="O8" i="1"/>
  <c r="A8" i="1" s="1"/>
  <c r="N8" i="1"/>
  <c r="O12" i="1"/>
  <c r="A12" i="1" s="1"/>
  <c r="N12" i="1"/>
  <c r="M12" i="5"/>
  <c r="N12" i="5"/>
  <c r="A12" i="5" s="1"/>
  <c r="O15" i="4"/>
  <c r="A15" i="4" s="1"/>
  <c r="N15" i="4"/>
  <c r="N18" i="5"/>
  <c r="A18" i="5" s="1"/>
  <c r="M18" i="5"/>
  <c r="O10" i="4"/>
  <c r="A10" i="4" s="1"/>
  <c r="N10" i="4"/>
  <c r="N8" i="5"/>
  <c r="A8" i="5" s="1"/>
  <c r="M8" i="5"/>
  <c r="N7" i="4"/>
  <c r="O7" i="4"/>
  <c r="A7" i="4" s="1"/>
  <c r="M20" i="5"/>
  <c r="N20" i="5"/>
  <c r="A20" i="5" s="1"/>
  <c r="N4" i="137" l="1"/>
  <c r="O4" i="4"/>
  <c r="A5" i="4"/>
  <c r="A4" i="4" s="1"/>
  <c r="O4" i="137"/>
  <c r="A5" i="137"/>
  <c r="A4" i="137" s="1"/>
  <c r="N4" i="4"/>
  <c r="N4" i="150"/>
  <c r="O4" i="1"/>
  <c r="A5" i="1"/>
  <c r="A4" i="1" s="1"/>
  <c r="M4" i="5"/>
  <c r="N4" i="1"/>
  <c r="O4" i="150"/>
  <c r="A5" i="150"/>
  <c r="A4" i="150" s="1"/>
  <c r="A5" i="5"/>
  <c r="A4" i="5" s="1"/>
  <c r="N4" i="5"/>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<sst xmlns="http://schemas.openxmlformats.org/spreadsheetml/2006/main" count="1495" uniqueCount="324">
  <si>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</si>
  <si>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</si>
  <si>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</si>
  <si>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</si>
  <si>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</si>
  <si>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</si>
  <si>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</si>
  <si>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</si>
  <si>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</si>
  <si>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</si>
  <si>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</si>
  <si>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</si>
  <si>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</si>
  <si>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</si>
  <si>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</si>
  <si>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</si>
  <si>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</si>
  <si>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</si>
  <si>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</si>
  <si>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</si>
  <si>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</si>
  <si>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</si>
  <si>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</si>
  <si>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</si>
  <si>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</si>
  <si>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</si>
  <si>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</si>
  <si>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</si>
  <si>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</si>
  <si>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</si>
  <si>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</si>
  <si>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</si>
  <si>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</si>
  <si>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</si>
  <si>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</si>
  <si>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</si>
  <si>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</si>
  <si>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</si>
  <si>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</si>
  <si>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</si>
  <si>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</si>
  <si>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</si>
  <si>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</si>
  <si>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</si>
  <si>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</si>
  <si>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</si>
  <si>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</si>
  <si>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</si>
  <si>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</si>
  <si>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</si>
  <si>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</si>
  <si>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</si>
  <si>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</si>
  <si>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</si>
  <si>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</si>
  <si>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</si>
  <si>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</si>
  <si>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</si>
  <si>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</si>
  <si>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</si>
  <si>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</si>
  <si>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</si>
  <si>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</si>
  <si>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</si>
  <si>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</si>
  <si>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</si>
  <si>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</si>
  <si>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</si>
  <si>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</si>
  <si>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</si>
  <si>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</si>
  <si>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</si>
  <si>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</si>
  <si>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</si>
  <si>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</si>
  <si>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</si>
  <si>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</si>
  <si>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</si>
  <si>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</si>
  <si>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</si>
  <si>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</si>
  <si>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</si>
  <si>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</si>
  <si>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</si>
  <si>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</si>
  <si>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</si>
  <si>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</si>
  <si>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</si>
  <si>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</si>
  <si>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</si>
  <si>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</si>
  <si>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</si>
  <si>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</si>
  <si>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</si>
  <si>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</si>
  <si>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</si>
  <si>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</si>
  <si>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</si>
  <si>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</si>
  <si>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</si>
  <si>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</si>
  <si>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</si>
  <si>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</si>
  <si>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</si>
  <si>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</si>
  <si>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</si>
  <si>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</si>
  <si>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</si>
  <si>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</si>
  <si>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</si>
  <si>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</si>
  <si>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</si>
  <si>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</si>
  <si>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</si>
  <si>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</si>
  <si>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</si>
  <si>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</si>
  <si>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</si>
  <si>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</si>
  <si>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</si>
  <si>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</si>
  <si>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</si>
  <si>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</si>
  <si>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</si>
  <si>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</si>
  <si>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</si>
  <si>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</si>
  <si>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</si>
  <si>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</si>
  <si>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</si>
  <si>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</si>
  <si>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</si>
  <si>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</si>
  <si>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</si>
  <si>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</si>
  <si>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</si>
  <si>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</si>
  <si>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</si>
  <si>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</si>
  <si>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</si>
  <si>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</si>
  <si>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</si>
  <si>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</si>
  <si>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</si>
  <si>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</si>
  <si>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</si>
  <si>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</si>
  <si>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</si>
  <si>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</si>
  <si>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</si>
  <si>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</si>
  <si>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</si>
  <si>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</si>
  <si>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</si>
  <si>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</si>
  <si>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</si>
  <si>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</si>
  <si>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</si>
  <si>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</si>
  <si>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</si>
  <si>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</si>
  <si>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</si>
  <si>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</si>
  <si>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</si>
  <si>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</si>
  <si>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</si>
  <si>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</si>
  <si>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</si>
  <si>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</si>
  <si>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</si>
  <si>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</si>
  <si>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</si>
  <si>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</si>
  <si>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</si>
  <si>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</si>
  <si>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</si>
  <si>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</si>
  <si>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</si>
  <si>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</si>
  <si>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</si>
  <si>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</si>
  <si>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</si>
  <si>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</si>
  <si>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</si>
  <si>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</si>
  <si>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</si>
  <si>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</si>
  <si>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</si>
  <si>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</si>
  <si>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</si>
  <si>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</si>
  <si>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</si>
  <si>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</si>
  <si>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</si>
  <si>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</si>
  <si>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</si>
  <si>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</si>
  <si>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</si>
  <si>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</si>
  <si>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</si>
  <si>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</si>
  <si>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</si>
  <si>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</si>
  <si>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</si>
  <si>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</si>
  <si>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</si>
  <si>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</si>
  <si>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</si>
  <si>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</si>
  <si>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</si>
  <si>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</si>
  <si>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</si>
  <si>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</si>
  <si>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</si>
  <si>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</si>
  <si>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</si>
  <si>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</si>
  <si>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</si>
  <si>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</si>
  <si>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</si>
  <si>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</si>
  <si>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</si>
  <si>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</si>
  <si>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</si>
  <si>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</si>
  <si>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</si>
  <si>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</si>
  <si>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</si>
  <si>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</si>
  <si>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</si>
  <si>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</si>
  <si>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</si>
  <si>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</si>
  <si>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</si>
  <si>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</si>
  <si>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</si>
  <si>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</si>
  <si>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</si>
  <si>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</si>
  <si>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</si>
  <si>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</si>
  <si>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</si>
  <si>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</si>
  <si>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</si>
  <si>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</si>
  <si>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</si>
  <si>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</si>
  <si>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</si>
  <si>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</si>
  <si>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</si>
  <si>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</si>
  <si>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</si>
  <si>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</si>
  <si>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</si>
  <si>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</si>
  <si>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</si>
  <si>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</si>
  <si>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</si>
  <si>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</si>
  <si>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</si>
  <si>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</si>
  <si>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</si>
  <si>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</si>
  <si>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</si>
  <si>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</si>
  <si>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</si>
  <si>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</si>
  <si>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</si>
  <si>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</si>
  <si>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</si>
  <si>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</si>
  <si>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</si>
  <si>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</si>
  <si>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</si>
  <si>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</si>
  <si>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</si>
  <si>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</si>
  <si>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</si>
  <si>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</si>
  <si>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</si>
  <si>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</si>
  <si>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</si>
  <si>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</si>
  <si>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</si>
  <si>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</si>
  <si>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</si>
  <si>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</si>
  <si>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</si>
  <si>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</si>
  <si>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</si>
  <si>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</si>
  <si>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</si>
  <si>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</si>
  <si>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</si>
  <si>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</si>
  <si>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</si>
  <si>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</si>
  <si>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</si>
  <si>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</si>
  <si>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</si>
  <si>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</si>
  <si>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</si>
  <si>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</si>
  <si>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</si>
  <si>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</si>
  <si>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</si>
  <si>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</si>
  <si>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</si>
  <si>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</si>
  <si>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</si>
  <si>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</si>
  <si>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</si>
  <si>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</si>
  <si>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</si>
  <si>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</si>
  <si>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Bác Bình - LH4</t>
  </si>
  <si>
    <t>Cô Linh (Sỉ)</t>
  </si>
  <si>
    <t>KH lẻ</t>
  </si>
  <si>
    <t>Ms Ngà</t>
  </si>
  <si>
    <t>A. Quan</t>
  </si>
  <si>
    <t>Chị Hiếu</t>
  </si>
  <si>
    <t>Chị Chuyên</t>
  </si>
  <si>
    <t>Bác Gái</t>
  </si>
  <si>
    <t>Hoàng 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</si>
</sst>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2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8"/>
      <tableStyleElement type="headerRow" dxfId="4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4737" name="Button 1" hidden="1">
              <a:extLst>
                <a:ext uri="{63B3BB69-23CF-44E3-9099-C40C66FF867C}">
                  <a14:compatExt spid="_x0000_s884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1425" name="Button 1" hidden="1">
              <a:extLst>
                <a:ext uri="{63B3BB69-23CF-44E3-9099-C40C66FF867C}">
                  <a14:compatExt spid="_x0000_s87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01" name="Button 1" hidden="1">
              <a:extLst>
                <a:ext uri="{63B3BB69-23CF-44E3-9099-C40C66FF867C}">
                  <a14:compatExt spid="_x0000_s87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9377" name="Button 1" hidden="1">
              <a:extLst>
                <a:ext uri="{63B3BB69-23CF-44E3-9099-C40C66FF867C}">
                  <a14:compatExt spid="_x0000_s86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8353" name="Button 1" hidden="1">
              <a:extLst>
                <a:ext uri="{63B3BB69-23CF-44E3-9099-C40C66FF867C}">
                  <a14:compatExt spid="_x0000_s86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7329" name="Button 1" hidden="1">
              <a:extLst>
                <a:ext uri="{63B3BB69-23CF-44E3-9099-C40C66FF867C}">
                  <a14:compatExt spid="_x0000_s86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6305" name="Button 1" hidden="1">
              <a:extLst>
                <a:ext uri="{63B3BB69-23CF-44E3-9099-C40C66FF867C}">
                  <a14:compatExt spid="_x0000_s86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5281" name="Button 1" hidden="1">
              <a:extLst>
                <a:ext uri="{63B3BB69-23CF-44E3-9099-C40C66FF867C}">
                  <a14:compatExt spid="_x0000_s86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4257" name="Button 1" hidden="1">
              <a:extLst>
                <a:ext uri="{63B3BB69-23CF-44E3-9099-C40C66FF867C}">
                  <a14:compatExt spid="_x0000_s86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3233" name="Button 1" hidden="1">
              <a:extLst>
                <a:ext uri="{63B3BB69-23CF-44E3-9099-C40C66FF867C}">
                  <a14:compatExt spid="_x0000_s86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95">
      <pivotArea field="3" type="button" dataOnly="0" labelOnly="1" outline="0" axis="axisRow" fieldPosition="3"/>
    </format>
    <format dxfId="3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4">
      <pivotArea field="1" type="button" dataOnly="0" labelOnly="1" outline="0" axis="axisRow" fieldPosition="2"/>
    </format>
    <format dxfId="313">
      <pivotArea dataOnly="0" labelOnly="1" outline="0" fieldPosition="0">
        <references count="1">
          <reference field="1" count="0"/>
        </references>
      </pivotArea>
    </format>
    <format dxfId="312">
      <pivotArea field="0" type="button" dataOnly="0" labelOnly="1" outline="0" axis="axisRow" fieldPosition="0"/>
    </format>
    <format dxfId="3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0">
      <pivotArea dataOnly="0" labelOnly="1" outline="0" fieldPosition="0">
        <references count="1">
          <reference field="0" count="5">
            <x v="50"/>
            <x v="51"/>
            <x v="52"/>
            <x v="53"/>
            <x v="54"/>
          </reference>
        </references>
      </pivotArea>
    </format>
    <format dxfId="309">
      <pivotArea dataOnly="0" labelOnly="1" grandRow="1" outline="0" fieldPosition="0"/>
    </format>
    <format dxfId="30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7">
      <pivotArea dataOnly="0" labelOnly="1" outline="0" fieldPosition="0">
        <references count="1">
          <reference field="0" count="5">
            <x v="50"/>
            <x v="51"/>
            <x v="52"/>
            <x v="53"/>
            <x v="54"/>
          </reference>
        </references>
      </pivotArea>
    </format>
    <format dxfId="306">
      <pivotArea dataOnly="0" labelOnly="1" grandRow="1" outline="0" fieldPosition="0"/>
    </format>
    <format dxfId="305">
      <pivotArea field="2" type="button" dataOnly="0" labelOnly="1" outline="0" axis="axisRow" fieldPosition="1"/>
    </format>
    <format dxfId="304">
      <pivotArea type="all" dataOnly="0" outline="0" fieldPosition="0"/>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field="1" type="button" dataOnly="0" labelOnly="1" outline="0" axis="axisRow" fieldPosition="2"/>
    </format>
    <format dxfId="296">
      <pivotArea field="3" type="button" dataOnly="0" labelOnly="1" outline="0" axis="axisRow" fieldPosition="3"/>
    </format>
    <format dxfId="295">
      <pivotArea field="0" type="button" dataOnly="0" labelOnly="1" outline="0" axis="axisRow" fieldPosition="0"/>
    </format>
    <format dxfId="294">
      <pivotArea field="2" type="button" dataOnly="0" labelOnly="1" outline="0" axis="axisRow" fieldPosition="1"/>
    </format>
    <format dxfId="293">
      <pivotArea dataOnly="0" labelOnly="1" outline="0" fieldPosition="0">
        <references count="3">
          <reference field="0" count="1" selected="0">
            <x v="1"/>
          </reference>
          <reference field="1" count="1">
            <x v="5"/>
          </reference>
          <reference field="2" count="1" selected="0">
            <x v="1"/>
          </reference>
        </references>
      </pivotArea>
    </format>
    <format dxfId="292">
      <pivotArea dataOnly="0" labelOnly="1" outline="0" fieldPosition="0">
        <references count="3">
          <reference field="0" count="1" selected="0">
            <x v="2"/>
          </reference>
          <reference field="1" count="1">
            <x v="6"/>
          </reference>
          <reference field="2" count="1" selected="0">
            <x v="2"/>
          </reference>
        </references>
      </pivotArea>
    </format>
    <format dxfId="291">
      <pivotArea dataOnly="0" labelOnly="1" outline="0" fieldPosition="0">
        <references count="3">
          <reference field="0" count="1" selected="0">
            <x v="3"/>
          </reference>
          <reference field="1" count="1">
            <x v="31"/>
          </reference>
          <reference field="2" count="1" selected="0">
            <x v="3"/>
          </reference>
        </references>
      </pivotArea>
    </format>
    <format dxfId="290">
      <pivotArea dataOnly="0" labelOnly="1" outline="0" fieldPosition="0">
        <references count="3">
          <reference field="0" count="1" selected="0">
            <x v="4"/>
          </reference>
          <reference field="1" count="1">
            <x v="12"/>
          </reference>
          <reference field="2" count="1" selected="0">
            <x v="4"/>
          </reference>
        </references>
      </pivotArea>
    </format>
    <format dxfId="289">
      <pivotArea dataOnly="0" labelOnly="1" outline="0" fieldPosition="0">
        <references count="3">
          <reference field="0" count="1" selected="0">
            <x v="5"/>
          </reference>
          <reference field="1" count="1">
            <x v="25"/>
          </reference>
          <reference field="2" count="1" selected="0">
            <x v="5"/>
          </reference>
        </references>
      </pivotArea>
    </format>
    <format dxfId="288">
      <pivotArea dataOnly="0" labelOnly="1" outline="0" fieldPosition="0">
        <references count="3">
          <reference field="0" count="1" selected="0">
            <x v="7"/>
          </reference>
          <reference field="1" count="1">
            <x v="22"/>
          </reference>
          <reference field="2" count="1" selected="0">
            <x v="7"/>
          </reference>
        </references>
      </pivotArea>
    </format>
    <format dxfId="287">
      <pivotArea dataOnly="0" labelOnly="1" outline="0" fieldPosition="0">
        <references count="3">
          <reference field="0" count="1" selected="0">
            <x v="8"/>
          </reference>
          <reference field="1" count="1">
            <x v="21"/>
          </reference>
          <reference field="2" count="1" selected="0">
            <x v="8"/>
          </reference>
        </references>
      </pivotArea>
    </format>
    <format dxfId="286">
      <pivotArea dataOnly="0" labelOnly="1" outline="0" fieldPosition="0">
        <references count="3">
          <reference field="0" count="1" selected="0">
            <x v="9"/>
          </reference>
          <reference field="1" count="1">
            <x v="34"/>
          </reference>
          <reference field="2" count="1" selected="0">
            <x v="9"/>
          </reference>
        </references>
      </pivotArea>
    </format>
    <format dxfId="285">
      <pivotArea dataOnly="0" labelOnly="1" outline="0" fieldPosition="0">
        <references count="3">
          <reference field="0" count="1" selected="0">
            <x v="10"/>
          </reference>
          <reference field="1" count="1">
            <x v="35"/>
          </reference>
          <reference field="2" count="1" selected="0">
            <x v="10"/>
          </reference>
        </references>
      </pivotArea>
    </format>
    <format dxfId="284">
      <pivotArea dataOnly="0" labelOnly="1" outline="0" fieldPosition="0">
        <references count="3">
          <reference field="0" count="1" selected="0">
            <x v="11"/>
          </reference>
          <reference field="1" count="1">
            <x v="36"/>
          </reference>
          <reference field="2" count="1" selected="0">
            <x v="11"/>
          </reference>
        </references>
      </pivotArea>
    </format>
    <format dxfId="283">
      <pivotArea dataOnly="0" labelOnly="1" outline="0" fieldPosition="0">
        <references count="3">
          <reference field="0" count="1" selected="0">
            <x v="12"/>
          </reference>
          <reference field="1" count="1">
            <x v="37"/>
          </reference>
          <reference field="2" count="1" selected="0">
            <x v="12"/>
          </reference>
        </references>
      </pivotArea>
    </format>
    <format dxfId="282">
      <pivotArea dataOnly="0" labelOnly="1" outline="0" fieldPosition="0">
        <references count="3">
          <reference field="0" count="1" selected="0">
            <x v="13"/>
          </reference>
          <reference field="1" count="1">
            <x v="38"/>
          </reference>
          <reference field="2" count="1" selected="0">
            <x v="13"/>
          </reference>
        </references>
      </pivotArea>
    </format>
    <format dxfId="281">
      <pivotArea dataOnly="0" labelOnly="1" outline="0" fieldPosition="0">
        <references count="3">
          <reference field="0" count="1" selected="0">
            <x v="14"/>
          </reference>
          <reference field="1" count="1">
            <x v="39"/>
          </reference>
          <reference field="2" count="1" selected="0">
            <x v="14"/>
          </reference>
        </references>
      </pivotArea>
    </format>
    <format dxfId="280">
      <pivotArea dataOnly="0" labelOnly="1" outline="0" fieldPosition="0">
        <references count="3">
          <reference field="0" count="1" selected="0">
            <x v="15"/>
          </reference>
          <reference field="1" count="1">
            <x v="28"/>
          </reference>
          <reference field="2" count="1" selected="0">
            <x v="15"/>
          </reference>
        </references>
      </pivotArea>
    </format>
    <format dxfId="279">
      <pivotArea dataOnly="0" labelOnly="1" outline="0" fieldPosition="0">
        <references count="3">
          <reference field="0" count="1" selected="0">
            <x v="16"/>
          </reference>
          <reference field="1" count="1">
            <x v="29"/>
          </reference>
          <reference field="2" count="1" selected="0">
            <x v="16"/>
          </reference>
        </references>
      </pivotArea>
    </format>
    <format dxfId="278">
      <pivotArea dataOnly="0" labelOnly="1" outline="0" fieldPosition="0">
        <references count="3">
          <reference field="0" count="1" selected="0">
            <x v="17"/>
          </reference>
          <reference field="1" count="1">
            <x v="14"/>
          </reference>
          <reference field="2" count="1" selected="0">
            <x v="17"/>
          </reference>
        </references>
      </pivotArea>
    </format>
    <format dxfId="277">
      <pivotArea dataOnly="0" labelOnly="1" outline="0" fieldPosition="0">
        <references count="3">
          <reference field="0" count="1" selected="0">
            <x v="20"/>
          </reference>
          <reference field="1" count="1">
            <x v="42"/>
          </reference>
          <reference field="2" count="1" selected="0">
            <x v="20"/>
          </reference>
        </references>
      </pivotArea>
    </format>
    <format dxfId="276">
      <pivotArea dataOnly="0" labelOnly="1" outline="0" fieldPosition="0">
        <references count="3">
          <reference field="0" count="1" selected="0">
            <x v="22"/>
          </reference>
          <reference field="1" count="1">
            <x v="45"/>
          </reference>
          <reference field="2" count="1" selected="0">
            <x v="22"/>
          </reference>
        </references>
      </pivotArea>
    </format>
    <format dxfId="275">
      <pivotArea dataOnly="0" labelOnly="1" outline="0" fieldPosition="0">
        <references count="3">
          <reference field="0" count="1" selected="0">
            <x v="25"/>
          </reference>
          <reference field="1" count="1">
            <x v="10"/>
          </reference>
          <reference field="2" count="1" selected="0">
            <x v="25"/>
          </reference>
        </references>
      </pivotArea>
    </format>
    <format dxfId="274">
      <pivotArea dataOnly="0" labelOnly="1" outline="0" fieldPosition="0">
        <references count="3">
          <reference field="0" count="1" selected="0">
            <x v="28"/>
          </reference>
          <reference field="1" count="1">
            <x v="8"/>
          </reference>
          <reference field="2" count="1" selected="0">
            <x v="28"/>
          </reference>
        </references>
      </pivotArea>
    </format>
    <format dxfId="273">
      <pivotArea dataOnly="0" labelOnly="1" outline="0" fieldPosition="0">
        <references count="3">
          <reference field="0" count="1" selected="0">
            <x v="29"/>
          </reference>
          <reference field="1" count="1">
            <x v="9"/>
          </reference>
          <reference field="2" count="1" selected="0">
            <x v="29"/>
          </reference>
        </references>
      </pivotArea>
    </format>
    <format dxfId="272">
      <pivotArea dataOnly="0" labelOnly="1" outline="0" fieldPosition="0">
        <references count="3">
          <reference field="0" count="1" selected="0">
            <x v="30"/>
          </reference>
          <reference field="1" count="1">
            <x v="7"/>
          </reference>
          <reference field="2" count="1" selected="0">
            <x v="30"/>
          </reference>
        </references>
      </pivotArea>
    </format>
    <format dxfId="271">
      <pivotArea dataOnly="0" labelOnly="1" outline="0" fieldPosition="0">
        <references count="3">
          <reference field="0" count="1" selected="0">
            <x v="31"/>
          </reference>
          <reference field="1" count="1">
            <x v="32"/>
          </reference>
          <reference field="2" count="1" selected="0">
            <x v="31"/>
          </reference>
        </references>
      </pivotArea>
    </format>
    <format dxfId="270">
      <pivotArea dataOnly="0" labelOnly="1" outline="0" fieldPosition="0">
        <references count="3">
          <reference field="0" count="1" selected="0">
            <x v="32"/>
          </reference>
          <reference field="1" count="1">
            <x v="33"/>
          </reference>
          <reference field="2" count="1" selected="0">
            <x v="32"/>
          </reference>
        </references>
      </pivotArea>
    </format>
    <format dxfId="269">
      <pivotArea dataOnly="0" labelOnly="1" outline="0" fieldPosition="0">
        <references count="3">
          <reference field="0" count="1" selected="0">
            <x v="33"/>
          </reference>
          <reference field="1" count="1">
            <x v="3"/>
          </reference>
          <reference field="2" count="1" selected="0">
            <x v="33"/>
          </reference>
        </references>
      </pivotArea>
    </format>
    <format dxfId="268">
      <pivotArea dataOnly="0" labelOnly="1" outline="0" fieldPosition="0">
        <references count="3">
          <reference field="0" count="1" selected="0">
            <x v="34"/>
          </reference>
          <reference field="1" count="1">
            <x v="4"/>
          </reference>
          <reference field="2" count="1" selected="0">
            <x v="34"/>
          </reference>
        </references>
      </pivotArea>
    </format>
    <format dxfId="267">
      <pivotArea dataOnly="0" labelOnly="1" outline="0" fieldPosition="0">
        <references count="3">
          <reference field="0" count="1" selected="0">
            <x v="35"/>
          </reference>
          <reference field="1" count="1">
            <x v="40"/>
          </reference>
          <reference field="2" count="1" selected="0">
            <x v="35"/>
          </reference>
        </references>
      </pivotArea>
    </format>
    <format dxfId="266">
      <pivotArea dataOnly="0" labelOnly="1" outline="0" fieldPosition="0">
        <references count="3">
          <reference field="0" count="1" selected="0">
            <x v="36"/>
          </reference>
          <reference field="1" count="1">
            <x v="41"/>
          </reference>
          <reference field="2" count="1" selected="0">
            <x v="36"/>
          </reference>
        </references>
      </pivotArea>
    </format>
    <format dxfId="265">
      <pivotArea dataOnly="0" labelOnly="1" outline="0" fieldPosition="0">
        <references count="3">
          <reference field="0" count="1" selected="0">
            <x v="37"/>
          </reference>
          <reference field="1" count="1">
            <x v="43"/>
          </reference>
          <reference field="2" count="1" selected="0">
            <x v="37"/>
          </reference>
        </references>
      </pivotArea>
    </format>
    <format dxfId="264">
      <pivotArea dataOnly="0" labelOnly="1" outline="0" fieldPosition="0">
        <references count="3">
          <reference field="0" count="1" selected="0">
            <x v="38"/>
          </reference>
          <reference field="1" count="1">
            <x v="44"/>
          </reference>
          <reference field="2" count="1" selected="0">
            <x v="38"/>
          </reference>
        </references>
      </pivotArea>
    </format>
    <format dxfId="263">
      <pivotArea dataOnly="0" labelOnly="1" outline="0" fieldPosition="0">
        <references count="3">
          <reference field="0" count="1" selected="0">
            <x v="39"/>
          </reference>
          <reference field="1" count="1">
            <x v="26"/>
          </reference>
          <reference field="2" count="1" selected="0">
            <x v="39"/>
          </reference>
        </references>
      </pivotArea>
    </format>
    <format dxfId="262">
      <pivotArea dataOnly="0" labelOnly="1" outline="0" fieldPosition="0">
        <references count="3">
          <reference field="0" count="1" selected="0">
            <x v="40"/>
          </reference>
          <reference field="1" count="1">
            <x v="23"/>
          </reference>
          <reference field="2" count="1" selected="0">
            <x v="40"/>
          </reference>
        </references>
      </pivotArea>
    </format>
    <format dxfId="261">
      <pivotArea dataOnly="0" labelOnly="1" outline="0" fieldPosition="0">
        <references count="3">
          <reference field="0" count="1" selected="0">
            <x v="43"/>
          </reference>
          <reference field="1" count="1">
            <x v="16"/>
          </reference>
          <reference field="2" count="1" selected="0">
            <x v="42"/>
          </reference>
        </references>
      </pivotArea>
    </format>
    <format dxfId="260">
      <pivotArea dataOnly="0" labelOnly="1" outline="0" fieldPosition="0">
        <references count="3">
          <reference field="0" count="1" selected="0">
            <x v="44"/>
          </reference>
          <reference field="1" count="1">
            <x v="17"/>
          </reference>
          <reference field="2" count="1" selected="0">
            <x v="43"/>
          </reference>
        </references>
      </pivotArea>
    </format>
    <format dxfId="259">
      <pivotArea dataOnly="0" labelOnly="1" outline="0" fieldPosition="0">
        <references count="3">
          <reference field="0" count="1" selected="0">
            <x v="45"/>
          </reference>
          <reference field="1" count="1">
            <x v="18"/>
          </reference>
          <reference field="2" count="1" selected="0">
            <x v="44"/>
          </reference>
        </references>
      </pivotArea>
    </format>
    <format dxfId="258">
      <pivotArea dataOnly="0" labelOnly="1" outline="0" fieldPosition="0">
        <references count="3">
          <reference field="0" count="1" selected="0">
            <x v="47"/>
          </reference>
          <reference field="1" count="1">
            <x v="13"/>
          </reference>
          <reference field="2" count="1" selected="0">
            <x v="46"/>
          </reference>
        </references>
      </pivotArea>
    </format>
    <format dxfId="257">
      <pivotArea dataOnly="0" labelOnly="1" outline="0" fieldPosition="0">
        <references count="3">
          <reference field="0" count="1" selected="0">
            <x v="49"/>
          </reference>
          <reference field="1" count="1">
            <x v="0"/>
          </reference>
          <reference field="2" count="1" selected="0">
            <x v="48"/>
          </reference>
        </references>
      </pivotArea>
    </format>
    <format dxfId="256">
      <pivotArea dataOnly="0" labelOnly="1" outline="0" fieldPosition="0">
        <references count="3">
          <reference field="0" count="1" selected="0">
            <x v="50"/>
          </reference>
          <reference field="1" count="1">
            <x v="27"/>
          </reference>
          <reference field="2" count="1" selected="0">
            <x v="49"/>
          </reference>
        </references>
      </pivotArea>
    </format>
    <format dxfId="255">
      <pivotArea dataOnly="0" labelOnly="1" outline="0" fieldPosition="0">
        <references count="3">
          <reference field="0" count="1" selected="0">
            <x v="51"/>
          </reference>
          <reference field="1" count="1">
            <x v="11"/>
          </reference>
          <reference field="2" count="1" selected="0">
            <x v="50"/>
          </reference>
        </references>
      </pivotArea>
    </format>
    <format dxfId="254">
      <pivotArea dataOnly="0" labelOnly="1" outline="0" fieldPosition="0">
        <references count="3">
          <reference field="0" count="1" selected="0">
            <x v="52"/>
          </reference>
          <reference field="1" count="1">
            <x v="2"/>
          </reference>
          <reference field="2" count="1" selected="0">
            <x v="51"/>
          </reference>
        </references>
      </pivotArea>
    </format>
    <format dxfId="253">
      <pivotArea dataOnly="0" labelOnly="1" outline="0" fieldPosition="0">
        <references count="3">
          <reference field="0" count="1" selected="0">
            <x v="53"/>
          </reference>
          <reference field="1" count="1">
            <x v="1"/>
          </reference>
          <reference field="2" count="1" selected="0">
            <x v="52"/>
          </reference>
        </references>
      </pivotArea>
    </format>
    <format dxfId="252">
      <pivotArea dataOnly="0" labelOnly="1" outline="0" fieldPosition="0">
        <references count="3">
          <reference field="0" count="1" selected="0">
            <x v="54"/>
          </reference>
          <reference field="1" count="1">
            <x v="24"/>
          </reference>
          <reference field="2" count="1" selected="0">
            <x v="53"/>
          </reference>
        </references>
      </pivotArea>
    </format>
    <format dxfId="2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0">
      <pivotArea dataOnly="0" labelOnly="1" outline="0" fieldPosition="0">
        <references count="1">
          <reference field="0" count="5">
            <x v="50"/>
            <x v="51"/>
            <x v="52"/>
            <x v="53"/>
            <x v="54"/>
          </reference>
        </references>
      </pivotArea>
    </format>
    <format dxfId="209">
      <pivotArea dataOnly="0" labelOnly="1" outline="0" fieldPosition="0">
        <references count="2">
          <reference field="0" count="1" selected="0">
            <x v="0"/>
          </reference>
          <reference field="2" count="1">
            <x v="0"/>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2">
          <reference field="0" count="1" selected="0">
            <x v="2"/>
          </reference>
          <reference field="2" count="1">
            <x v="2"/>
          </reference>
        </references>
      </pivotArea>
    </format>
    <format dxfId="206">
      <pivotArea dataOnly="0" labelOnly="1" outline="0" fieldPosition="0">
        <references count="2">
          <reference field="0" count="1" selected="0">
            <x v="3"/>
          </reference>
          <reference field="2" count="1">
            <x v="3"/>
          </reference>
        </references>
      </pivotArea>
    </format>
    <format dxfId="205">
      <pivotArea dataOnly="0" labelOnly="1" outline="0" fieldPosition="0">
        <references count="2">
          <reference field="0" count="1" selected="0">
            <x v="4"/>
          </reference>
          <reference field="2" count="1">
            <x v="4"/>
          </reference>
        </references>
      </pivotArea>
    </format>
    <format dxfId="204">
      <pivotArea dataOnly="0" labelOnly="1" outline="0" fieldPosition="0">
        <references count="2">
          <reference field="0" count="1" selected="0">
            <x v="5"/>
          </reference>
          <reference field="2" count="1">
            <x v="5"/>
          </reference>
        </references>
      </pivotArea>
    </format>
    <format dxfId="203">
      <pivotArea dataOnly="0" labelOnly="1" outline="0" fieldPosition="0">
        <references count="2">
          <reference field="0" count="1" selected="0">
            <x v="6"/>
          </reference>
          <reference field="2" count="1">
            <x v="6"/>
          </reference>
        </references>
      </pivotArea>
    </format>
    <format dxfId="202">
      <pivotArea dataOnly="0" labelOnly="1" outline="0" fieldPosition="0">
        <references count="2">
          <reference field="0" count="1" selected="0">
            <x v="7"/>
          </reference>
          <reference field="2" count="1">
            <x v="7"/>
          </reference>
        </references>
      </pivotArea>
    </format>
    <format dxfId="201">
      <pivotArea dataOnly="0" labelOnly="1" outline="0" fieldPosition="0">
        <references count="2">
          <reference field="0" count="1" selected="0">
            <x v="8"/>
          </reference>
          <reference field="2" count="1">
            <x v="8"/>
          </reference>
        </references>
      </pivotArea>
    </format>
    <format dxfId="200">
      <pivotArea dataOnly="0" labelOnly="1" outline="0" fieldPosition="0">
        <references count="2">
          <reference field="0" count="1" selected="0">
            <x v="9"/>
          </reference>
          <reference field="2" count="1">
            <x v="9"/>
          </reference>
        </references>
      </pivotArea>
    </format>
    <format dxfId="199">
      <pivotArea dataOnly="0" labelOnly="1" outline="0" fieldPosition="0">
        <references count="2">
          <reference field="0" count="1" selected="0">
            <x v="10"/>
          </reference>
          <reference field="2" count="1">
            <x v="10"/>
          </reference>
        </references>
      </pivotArea>
    </format>
    <format dxfId="198">
      <pivotArea dataOnly="0" labelOnly="1" outline="0" fieldPosition="0">
        <references count="2">
          <reference field="0" count="1" selected="0">
            <x v="11"/>
          </reference>
          <reference field="2" count="1">
            <x v="11"/>
          </reference>
        </references>
      </pivotArea>
    </format>
    <format dxfId="197">
      <pivotArea dataOnly="0" labelOnly="1" outline="0" fieldPosition="0">
        <references count="2">
          <reference field="0" count="1" selected="0">
            <x v="12"/>
          </reference>
          <reference field="2" count="1">
            <x v="12"/>
          </reference>
        </references>
      </pivotArea>
    </format>
    <format dxfId="196">
      <pivotArea dataOnly="0" labelOnly="1" outline="0" fieldPosition="0">
        <references count="2">
          <reference field="0" count="1" selected="0">
            <x v="13"/>
          </reference>
          <reference field="2" count="1">
            <x v="13"/>
          </reference>
        </references>
      </pivotArea>
    </format>
    <format dxfId="195">
      <pivotArea dataOnly="0" labelOnly="1" outline="0" fieldPosition="0">
        <references count="2">
          <reference field="0" count="1" selected="0">
            <x v="14"/>
          </reference>
          <reference field="2" count="1">
            <x v="14"/>
          </reference>
        </references>
      </pivotArea>
    </format>
    <format dxfId="194">
      <pivotArea dataOnly="0" labelOnly="1" outline="0" fieldPosition="0">
        <references count="2">
          <reference field="0" count="1" selected="0">
            <x v="15"/>
          </reference>
          <reference field="2" count="1">
            <x v="15"/>
          </reference>
        </references>
      </pivotArea>
    </format>
    <format dxfId="193">
      <pivotArea dataOnly="0" labelOnly="1" outline="0" fieldPosition="0">
        <references count="2">
          <reference field="0" count="1" selected="0">
            <x v="16"/>
          </reference>
          <reference field="2" count="1">
            <x v="16"/>
          </reference>
        </references>
      </pivotArea>
    </format>
    <format dxfId="192">
      <pivotArea dataOnly="0" labelOnly="1" outline="0" fieldPosition="0">
        <references count="2">
          <reference field="0" count="1" selected="0">
            <x v="17"/>
          </reference>
          <reference field="2" count="1">
            <x v="17"/>
          </reference>
        </references>
      </pivotArea>
    </format>
    <format dxfId="191">
      <pivotArea dataOnly="0" labelOnly="1" outline="0" fieldPosition="0">
        <references count="2">
          <reference field="0" count="1" selected="0">
            <x v="18"/>
          </reference>
          <reference field="2" count="1">
            <x v="18"/>
          </reference>
        </references>
      </pivotArea>
    </format>
    <format dxfId="190">
      <pivotArea dataOnly="0" labelOnly="1" outline="0" fieldPosition="0">
        <references count="2">
          <reference field="0" count="1" selected="0">
            <x v="19"/>
          </reference>
          <reference field="2" count="1">
            <x v="19"/>
          </reference>
        </references>
      </pivotArea>
    </format>
    <format dxfId="189">
      <pivotArea dataOnly="0" labelOnly="1" outline="0" fieldPosition="0">
        <references count="2">
          <reference field="0" count="1" selected="0">
            <x v="20"/>
          </reference>
          <reference field="2" count="1">
            <x v="20"/>
          </reference>
        </references>
      </pivotArea>
    </format>
    <format dxfId="188">
      <pivotArea dataOnly="0" labelOnly="1" outline="0" fieldPosition="0">
        <references count="2">
          <reference field="0" count="1" selected="0">
            <x v="21"/>
          </reference>
          <reference field="2" count="1">
            <x v="21"/>
          </reference>
        </references>
      </pivotArea>
    </format>
    <format dxfId="187">
      <pivotArea dataOnly="0" labelOnly="1" outline="0" fieldPosition="0">
        <references count="2">
          <reference field="0" count="1" selected="0">
            <x v="22"/>
          </reference>
          <reference field="2" count="1">
            <x v="22"/>
          </reference>
        </references>
      </pivotArea>
    </format>
    <format dxfId="186">
      <pivotArea dataOnly="0" labelOnly="1" outline="0" fieldPosition="0">
        <references count="2">
          <reference field="0" count="1" selected="0">
            <x v="23"/>
          </reference>
          <reference field="2" count="1">
            <x v="23"/>
          </reference>
        </references>
      </pivotArea>
    </format>
    <format dxfId="185">
      <pivotArea dataOnly="0" labelOnly="1" outline="0" fieldPosition="0">
        <references count="2">
          <reference field="0" count="1" selected="0">
            <x v="24"/>
          </reference>
          <reference field="2" count="1">
            <x v="24"/>
          </reference>
        </references>
      </pivotArea>
    </format>
    <format dxfId="184">
      <pivotArea dataOnly="0" labelOnly="1" outline="0" fieldPosition="0">
        <references count="2">
          <reference field="0" count="1" selected="0">
            <x v="25"/>
          </reference>
          <reference field="2" count="1">
            <x v="25"/>
          </reference>
        </references>
      </pivotArea>
    </format>
    <format dxfId="183">
      <pivotArea dataOnly="0" labelOnly="1" outline="0" fieldPosition="0">
        <references count="2">
          <reference field="0" count="1" selected="0">
            <x v="26"/>
          </reference>
          <reference field="2" count="1">
            <x v="26"/>
          </reference>
        </references>
      </pivotArea>
    </format>
    <format dxfId="182">
      <pivotArea dataOnly="0" labelOnly="1" outline="0" fieldPosition="0">
        <references count="2">
          <reference field="0" count="1" selected="0">
            <x v="27"/>
          </reference>
          <reference field="2" count="1">
            <x v="27"/>
          </reference>
        </references>
      </pivotArea>
    </format>
    <format dxfId="181">
      <pivotArea dataOnly="0" labelOnly="1" outline="0" fieldPosition="0">
        <references count="2">
          <reference field="0" count="1" selected="0">
            <x v="28"/>
          </reference>
          <reference field="2" count="1">
            <x v="28"/>
          </reference>
        </references>
      </pivotArea>
    </format>
    <format dxfId="180">
      <pivotArea dataOnly="0" labelOnly="1" outline="0" fieldPosition="0">
        <references count="2">
          <reference field="0" count="1" selected="0">
            <x v="29"/>
          </reference>
          <reference field="2" count="1">
            <x v="29"/>
          </reference>
        </references>
      </pivotArea>
    </format>
    <format dxfId="179">
      <pivotArea dataOnly="0" labelOnly="1" outline="0" fieldPosition="0">
        <references count="2">
          <reference field="0" count="1" selected="0">
            <x v="30"/>
          </reference>
          <reference field="2" count="1">
            <x v="30"/>
          </reference>
        </references>
      </pivotArea>
    </format>
    <format dxfId="178">
      <pivotArea dataOnly="0" labelOnly="1" outline="0" fieldPosition="0">
        <references count="2">
          <reference field="0" count="1" selected="0">
            <x v="31"/>
          </reference>
          <reference field="2" count="1">
            <x v="31"/>
          </reference>
        </references>
      </pivotArea>
    </format>
    <format dxfId="177">
      <pivotArea dataOnly="0" labelOnly="1" outline="0" fieldPosition="0">
        <references count="2">
          <reference field="0" count="1" selected="0">
            <x v="32"/>
          </reference>
          <reference field="2" count="1">
            <x v="32"/>
          </reference>
        </references>
      </pivotArea>
    </format>
    <format dxfId="176">
      <pivotArea dataOnly="0" labelOnly="1" outline="0" fieldPosition="0">
        <references count="2">
          <reference field="0" count="1" selected="0">
            <x v="33"/>
          </reference>
          <reference field="2" count="1">
            <x v="33"/>
          </reference>
        </references>
      </pivotArea>
    </format>
    <format dxfId="175">
      <pivotArea dataOnly="0" labelOnly="1" outline="0" fieldPosition="0">
        <references count="2">
          <reference field="0" count="1" selected="0">
            <x v="34"/>
          </reference>
          <reference field="2" count="1">
            <x v="34"/>
          </reference>
        </references>
      </pivotArea>
    </format>
    <format dxfId="174">
      <pivotArea dataOnly="0" labelOnly="1" outline="0" fieldPosition="0">
        <references count="2">
          <reference field="0" count="1" selected="0">
            <x v="35"/>
          </reference>
          <reference field="2" count="1">
            <x v="35"/>
          </reference>
        </references>
      </pivotArea>
    </format>
    <format dxfId="173">
      <pivotArea dataOnly="0" labelOnly="1" outline="0" fieldPosition="0">
        <references count="2">
          <reference field="0" count="1" selected="0">
            <x v="36"/>
          </reference>
          <reference field="2" count="1">
            <x v="36"/>
          </reference>
        </references>
      </pivotArea>
    </format>
    <format dxfId="172">
      <pivotArea dataOnly="0" labelOnly="1" outline="0" fieldPosition="0">
        <references count="2">
          <reference field="0" count="1" selected="0">
            <x v="37"/>
          </reference>
          <reference field="2" count="1">
            <x v="37"/>
          </reference>
        </references>
      </pivotArea>
    </format>
    <format dxfId="171">
      <pivotArea dataOnly="0" labelOnly="1" outline="0" fieldPosition="0">
        <references count="2">
          <reference field="0" count="1" selected="0">
            <x v="38"/>
          </reference>
          <reference field="2" count="1">
            <x v="38"/>
          </reference>
        </references>
      </pivotArea>
    </format>
    <format dxfId="170">
      <pivotArea dataOnly="0" labelOnly="1" outline="0" fieldPosition="0">
        <references count="2">
          <reference field="0" count="1" selected="0">
            <x v="39"/>
          </reference>
          <reference field="2" count="1">
            <x v="39"/>
          </reference>
        </references>
      </pivotArea>
    </format>
    <format dxfId="169">
      <pivotArea dataOnly="0" labelOnly="1" outline="0" fieldPosition="0">
        <references count="2">
          <reference field="0" count="1" selected="0">
            <x v="40"/>
          </reference>
          <reference field="2" count="1">
            <x v="40"/>
          </reference>
        </references>
      </pivotArea>
    </format>
    <format dxfId="168">
      <pivotArea dataOnly="0" labelOnly="1" outline="0" fieldPosition="0">
        <references count="2">
          <reference field="0" count="1" selected="0">
            <x v="42"/>
          </reference>
          <reference field="2" count="1">
            <x v="41"/>
          </reference>
        </references>
      </pivotArea>
    </format>
    <format dxfId="167">
      <pivotArea dataOnly="0" labelOnly="1" outline="0" fieldPosition="0">
        <references count="2">
          <reference field="0" count="1" selected="0">
            <x v="43"/>
          </reference>
          <reference field="2" count="1">
            <x v="42"/>
          </reference>
        </references>
      </pivotArea>
    </format>
    <format dxfId="166">
      <pivotArea dataOnly="0" labelOnly="1" outline="0" fieldPosition="0">
        <references count="2">
          <reference field="0" count="1" selected="0">
            <x v="44"/>
          </reference>
          <reference field="2" count="1">
            <x v="43"/>
          </reference>
        </references>
      </pivotArea>
    </format>
    <format dxfId="165">
      <pivotArea dataOnly="0" labelOnly="1" outline="0" fieldPosition="0">
        <references count="2">
          <reference field="0" count="1" selected="0">
            <x v="45"/>
          </reference>
          <reference field="2" count="1">
            <x v="44"/>
          </reference>
        </references>
      </pivotArea>
    </format>
    <format dxfId="164">
      <pivotArea dataOnly="0" labelOnly="1" outline="0" fieldPosition="0">
        <references count="2">
          <reference field="0" count="1" selected="0">
            <x v="46"/>
          </reference>
          <reference field="2" count="1">
            <x v="45"/>
          </reference>
        </references>
      </pivotArea>
    </format>
    <format dxfId="163">
      <pivotArea dataOnly="0" labelOnly="1" outline="0" fieldPosition="0">
        <references count="2">
          <reference field="0" count="1" selected="0">
            <x v="47"/>
          </reference>
          <reference field="2" count="1">
            <x v="46"/>
          </reference>
        </references>
      </pivotArea>
    </format>
    <format dxfId="162">
      <pivotArea dataOnly="0" labelOnly="1" outline="0" fieldPosition="0">
        <references count="2">
          <reference field="0" count="1" selected="0">
            <x v="48"/>
          </reference>
          <reference field="2" count="1">
            <x v="47"/>
          </reference>
        </references>
      </pivotArea>
    </format>
    <format dxfId="161">
      <pivotArea dataOnly="0" labelOnly="1" outline="0" fieldPosition="0">
        <references count="2">
          <reference field="0" count="1" selected="0">
            <x v="49"/>
          </reference>
          <reference field="2" count="1">
            <x v="48"/>
          </reference>
        </references>
      </pivotArea>
    </format>
    <format dxfId="160">
      <pivotArea dataOnly="0" labelOnly="1" outline="0" fieldPosition="0">
        <references count="2">
          <reference field="0" count="1" selected="0">
            <x v="50"/>
          </reference>
          <reference field="2" count="1">
            <x v="49"/>
          </reference>
        </references>
      </pivotArea>
    </format>
    <format dxfId="159">
      <pivotArea dataOnly="0" labelOnly="1" outline="0" fieldPosition="0">
        <references count="2">
          <reference field="0" count="1" selected="0">
            <x v="51"/>
          </reference>
          <reference field="2" count="1">
            <x v="50"/>
          </reference>
        </references>
      </pivotArea>
    </format>
    <format dxfId="158">
      <pivotArea dataOnly="0" labelOnly="1" outline="0" fieldPosition="0">
        <references count="2">
          <reference field="0" count="1" selected="0">
            <x v="52"/>
          </reference>
          <reference field="2" count="1">
            <x v="51"/>
          </reference>
        </references>
      </pivotArea>
    </format>
    <format dxfId="157">
      <pivotArea dataOnly="0" labelOnly="1" outline="0" fieldPosition="0">
        <references count="2">
          <reference field="0" count="1" selected="0">
            <x v="53"/>
          </reference>
          <reference field="2" count="1">
            <x v="52"/>
          </reference>
        </references>
      </pivotArea>
    </format>
    <format dxfId="156">
      <pivotArea dataOnly="0" labelOnly="1" outline="0" fieldPosition="0">
        <references count="2">
          <reference field="0" count="1" selected="0">
            <x v="54"/>
          </reference>
          <reference field="2" count="1">
            <x v="53"/>
          </reference>
        </references>
      </pivotArea>
    </format>
    <format dxfId="155">
      <pivotArea dataOnly="0" labelOnly="1" outline="0" fieldPosition="0">
        <references count="3">
          <reference field="0" count="1" selected="0">
            <x v="1"/>
          </reference>
          <reference field="1" count="1">
            <x v="5"/>
          </reference>
          <reference field="2" count="1" selected="0">
            <x v="1"/>
          </reference>
        </references>
      </pivotArea>
    </format>
    <format dxfId="154">
      <pivotArea dataOnly="0" labelOnly="1" outline="0" fieldPosition="0">
        <references count="3">
          <reference field="0" count="1" selected="0">
            <x v="2"/>
          </reference>
          <reference field="1" count="1">
            <x v="6"/>
          </reference>
          <reference field="2" count="1" selected="0">
            <x v="2"/>
          </reference>
        </references>
      </pivotArea>
    </format>
    <format dxfId="153">
      <pivotArea dataOnly="0" labelOnly="1" outline="0" fieldPosition="0">
        <references count="3">
          <reference field="0" count="1" selected="0">
            <x v="3"/>
          </reference>
          <reference field="1" count="1">
            <x v="31"/>
          </reference>
          <reference field="2" count="1" selected="0">
            <x v="3"/>
          </reference>
        </references>
      </pivotArea>
    </format>
    <format dxfId="152">
      <pivotArea dataOnly="0" labelOnly="1" outline="0" fieldPosition="0">
        <references count="3">
          <reference field="0" count="1" selected="0">
            <x v="4"/>
          </reference>
          <reference field="1" count="1">
            <x v="12"/>
          </reference>
          <reference field="2" count="1" selected="0">
            <x v="4"/>
          </reference>
        </references>
      </pivotArea>
    </format>
    <format dxfId="151">
      <pivotArea dataOnly="0" labelOnly="1" outline="0" fieldPosition="0">
        <references count="3">
          <reference field="0" count="1" selected="0">
            <x v="5"/>
          </reference>
          <reference field="1" count="1">
            <x v="25"/>
          </reference>
          <reference field="2" count="1" selected="0">
            <x v="5"/>
          </reference>
        </references>
      </pivotArea>
    </format>
    <format dxfId="150">
      <pivotArea dataOnly="0" labelOnly="1" outline="0" fieldPosition="0">
        <references count="3">
          <reference field="0" count="1" selected="0">
            <x v="7"/>
          </reference>
          <reference field="1" count="1">
            <x v="22"/>
          </reference>
          <reference field="2" count="1" selected="0">
            <x v="7"/>
          </reference>
        </references>
      </pivotArea>
    </format>
    <format dxfId="149">
      <pivotArea dataOnly="0" labelOnly="1" outline="0" fieldPosition="0">
        <references count="3">
          <reference field="0" count="1" selected="0">
            <x v="8"/>
          </reference>
          <reference field="1" count="1">
            <x v="21"/>
          </reference>
          <reference field="2" count="1" selected="0">
            <x v="8"/>
          </reference>
        </references>
      </pivotArea>
    </format>
    <format dxfId="148">
      <pivotArea dataOnly="0" labelOnly="1" outline="0" fieldPosition="0">
        <references count="3">
          <reference field="0" count="1" selected="0">
            <x v="9"/>
          </reference>
          <reference field="1" count="1">
            <x v="34"/>
          </reference>
          <reference field="2" count="1" selected="0">
            <x v="9"/>
          </reference>
        </references>
      </pivotArea>
    </format>
    <format dxfId="147">
      <pivotArea dataOnly="0" labelOnly="1" outline="0" fieldPosition="0">
        <references count="3">
          <reference field="0" count="1" selected="0">
            <x v="10"/>
          </reference>
          <reference field="1" count="1">
            <x v="35"/>
          </reference>
          <reference field="2" count="1" selected="0">
            <x v="10"/>
          </reference>
        </references>
      </pivotArea>
    </format>
    <format dxfId="146">
      <pivotArea dataOnly="0" labelOnly="1" outline="0" fieldPosition="0">
        <references count="3">
          <reference field="0" count="1" selected="0">
            <x v="11"/>
          </reference>
          <reference field="1" count="1">
            <x v="36"/>
          </reference>
          <reference field="2" count="1" selected="0">
            <x v="11"/>
          </reference>
        </references>
      </pivotArea>
    </format>
    <format dxfId="145">
      <pivotArea dataOnly="0" labelOnly="1" outline="0" fieldPosition="0">
        <references count="3">
          <reference field="0" count="1" selected="0">
            <x v="12"/>
          </reference>
          <reference field="1" count="1">
            <x v="37"/>
          </reference>
          <reference field="2" count="1" selected="0">
            <x v="12"/>
          </reference>
        </references>
      </pivotArea>
    </format>
    <format dxfId="144">
      <pivotArea dataOnly="0" labelOnly="1" outline="0" fieldPosition="0">
        <references count="3">
          <reference field="0" count="1" selected="0">
            <x v="13"/>
          </reference>
          <reference field="1" count="1">
            <x v="38"/>
          </reference>
          <reference field="2" count="1" selected="0">
            <x v="13"/>
          </reference>
        </references>
      </pivotArea>
    </format>
    <format dxfId="143">
      <pivotArea dataOnly="0" labelOnly="1" outline="0" fieldPosition="0">
        <references count="3">
          <reference field="0" count="1" selected="0">
            <x v="14"/>
          </reference>
          <reference field="1" count="1">
            <x v="39"/>
          </reference>
          <reference field="2" count="1" selected="0">
            <x v="14"/>
          </reference>
        </references>
      </pivotArea>
    </format>
    <format dxfId="142">
      <pivotArea dataOnly="0" labelOnly="1" outline="0" fieldPosition="0">
        <references count="3">
          <reference field="0" count="1" selected="0">
            <x v="15"/>
          </reference>
          <reference field="1" count="1">
            <x v="28"/>
          </reference>
          <reference field="2" count="1" selected="0">
            <x v="15"/>
          </reference>
        </references>
      </pivotArea>
    </format>
    <format dxfId="141">
      <pivotArea dataOnly="0" labelOnly="1" outline="0" fieldPosition="0">
        <references count="3">
          <reference field="0" count="1" selected="0">
            <x v="16"/>
          </reference>
          <reference field="1" count="1">
            <x v="29"/>
          </reference>
          <reference field="2" count="1" selected="0">
            <x v="16"/>
          </reference>
        </references>
      </pivotArea>
    </format>
    <format dxfId="140">
      <pivotArea dataOnly="0" labelOnly="1" outline="0" fieldPosition="0">
        <references count="3">
          <reference field="0" count="1" selected="0">
            <x v="17"/>
          </reference>
          <reference field="1" count="1">
            <x v="14"/>
          </reference>
          <reference field="2" count="1" selected="0">
            <x v="17"/>
          </reference>
        </references>
      </pivotArea>
    </format>
    <format dxfId="139">
      <pivotArea dataOnly="0" labelOnly="1" outline="0" fieldPosition="0">
        <references count="3">
          <reference field="0" count="1" selected="0">
            <x v="20"/>
          </reference>
          <reference field="1" count="1">
            <x v="42"/>
          </reference>
          <reference field="2" count="1" selected="0">
            <x v="20"/>
          </reference>
        </references>
      </pivotArea>
    </format>
    <format dxfId="138">
      <pivotArea dataOnly="0" labelOnly="1" outline="0" fieldPosition="0">
        <references count="3">
          <reference field="0" count="1" selected="0">
            <x v="22"/>
          </reference>
          <reference field="1" count="1">
            <x v="45"/>
          </reference>
          <reference field="2" count="1" selected="0">
            <x v="22"/>
          </reference>
        </references>
      </pivotArea>
    </format>
    <format dxfId="137">
      <pivotArea dataOnly="0" labelOnly="1" outline="0" fieldPosition="0">
        <references count="3">
          <reference field="0" count="1" selected="0">
            <x v="25"/>
          </reference>
          <reference field="1" count="1">
            <x v="10"/>
          </reference>
          <reference field="2" count="1" selected="0">
            <x v="25"/>
          </reference>
        </references>
      </pivotArea>
    </format>
    <format dxfId="136">
      <pivotArea dataOnly="0" labelOnly="1" outline="0" fieldPosition="0">
        <references count="3">
          <reference field="0" count="1" selected="0">
            <x v="28"/>
          </reference>
          <reference field="1" count="1">
            <x v="8"/>
          </reference>
          <reference field="2" count="1" selected="0">
            <x v="28"/>
          </reference>
        </references>
      </pivotArea>
    </format>
    <format dxfId="135">
      <pivotArea dataOnly="0" labelOnly="1" outline="0" fieldPosition="0">
        <references count="3">
          <reference field="0" count="1" selected="0">
            <x v="29"/>
          </reference>
          <reference field="1" count="1">
            <x v="9"/>
          </reference>
          <reference field="2" count="1" selected="0">
            <x v="29"/>
          </reference>
        </references>
      </pivotArea>
    </format>
    <format dxfId="134">
      <pivotArea dataOnly="0" labelOnly="1" outline="0" fieldPosition="0">
        <references count="3">
          <reference field="0" count="1" selected="0">
            <x v="30"/>
          </reference>
          <reference field="1" count="1">
            <x v="7"/>
          </reference>
          <reference field="2" count="1" selected="0">
            <x v="30"/>
          </reference>
        </references>
      </pivotArea>
    </format>
    <format dxfId="133">
      <pivotArea dataOnly="0" labelOnly="1" outline="0" fieldPosition="0">
        <references count="3">
          <reference field="0" count="1" selected="0">
            <x v="31"/>
          </reference>
          <reference field="1" count="1">
            <x v="32"/>
          </reference>
          <reference field="2" count="1" selected="0">
            <x v="31"/>
          </reference>
        </references>
      </pivotArea>
    </format>
    <format dxfId="132">
      <pivotArea dataOnly="0" labelOnly="1" outline="0" fieldPosition="0">
        <references count="3">
          <reference field="0" count="1" selected="0">
            <x v="32"/>
          </reference>
          <reference field="1" count="1">
            <x v="33"/>
          </reference>
          <reference field="2" count="1" selected="0">
            <x v="32"/>
          </reference>
        </references>
      </pivotArea>
    </format>
    <format dxfId="131">
      <pivotArea dataOnly="0" labelOnly="1" outline="0" fieldPosition="0">
        <references count="3">
          <reference field="0" count="1" selected="0">
            <x v="33"/>
          </reference>
          <reference field="1" count="1">
            <x v="3"/>
          </reference>
          <reference field="2" count="1" selected="0">
            <x v="33"/>
          </reference>
        </references>
      </pivotArea>
    </format>
    <format dxfId="130">
      <pivotArea dataOnly="0" labelOnly="1" outline="0" fieldPosition="0">
        <references count="3">
          <reference field="0" count="1" selected="0">
            <x v="34"/>
          </reference>
          <reference field="1" count="1">
            <x v="4"/>
          </reference>
          <reference field="2" count="1" selected="0">
            <x v="34"/>
          </reference>
        </references>
      </pivotArea>
    </format>
    <format dxfId="129">
      <pivotArea dataOnly="0" labelOnly="1" outline="0" fieldPosition="0">
        <references count="3">
          <reference field="0" count="1" selected="0">
            <x v="35"/>
          </reference>
          <reference field="1" count="1">
            <x v="40"/>
          </reference>
          <reference field="2" count="1" selected="0">
            <x v="35"/>
          </reference>
        </references>
      </pivotArea>
    </format>
    <format dxfId="128">
      <pivotArea dataOnly="0" labelOnly="1" outline="0" fieldPosition="0">
        <references count="3">
          <reference field="0" count="1" selected="0">
            <x v="36"/>
          </reference>
          <reference field="1" count="1">
            <x v="41"/>
          </reference>
          <reference field="2" count="1" selected="0">
            <x v="36"/>
          </reference>
        </references>
      </pivotArea>
    </format>
    <format dxfId="127">
      <pivotArea dataOnly="0" labelOnly="1" outline="0" fieldPosition="0">
        <references count="3">
          <reference field="0" count="1" selected="0">
            <x v="37"/>
          </reference>
          <reference field="1" count="1">
            <x v="43"/>
          </reference>
          <reference field="2" count="1" selected="0">
            <x v="37"/>
          </reference>
        </references>
      </pivotArea>
    </format>
    <format dxfId="126">
      <pivotArea dataOnly="0" labelOnly="1" outline="0" fieldPosition="0">
        <references count="3">
          <reference field="0" count="1" selected="0">
            <x v="38"/>
          </reference>
          <reference field="1" count="1">
            <x v="44"/>
          </reference>
          <reference field="2" count="1" selected="0">
            <x v="38"/>
          </reference>
        </references>
      </pivotArea>
    </format>
    <format dxfId="125">
      <pivotArea dataOnly="0" labelOnly="1" outline="0" fieldPosition="0">
        <references count="3">
          <reference field="0" count="1" selected="0">
            <x v="39"/>
          </reference>
          <reference field="1" count="1">
            <x v="26"/>
          </reference>
          <reference field="2" count="1" selected="0">
            <x v="39"/>
          </reference>
        </references>
      </pivotArea>
    </format>
    <format dxfId="124">
      <pivotArea dataOnly="0" labelOnly="1" outline="0" fieldPosition="0">
        <references count="3">
          <reference field="0" count="1" selected="0">
            <x v="40"/>
          </reference>
          <reference field="1" count="1">
            <x v="23"/>
          </reference>
          <reference field="2" count="1" selected="0">
            <x v="40"/>
          </reference>
        </references>
      </pivotArea>
    </format>
    <format dxfId="123">
      <pivotArea dataOnly="0" labelOnly="1" outline="0" fieldPosition="0">
        <references count="3">
          <reference field="0" count="1" selected="0">
            <x v="43"/>
          </reference>
          <reference field="1" count="1">
            <x v="16"/>
          </reference>
          <reference field="2" count="1" selected="0">
            <x v="42"/>
          </reference>
        </references>
      </pivotArea>
    </format>
    <format dxfId="122">
      <pivotArea dataOnly="0" labelOnly="1" outline="0" fieldPosition="0">
        <references count="3">
          <reference field="0" count="1" selected="0">
            <x v="44"/>
          </reference>
          <reference field="1" count="1">
            <x v="17"/>
          </reference>
          <reference field="2" count="1" selected="0">
            <x v="43"/>
          </reference>
        </references>
      </pivotArea>
    </format>
    <format dxfId="121">
      <pivotArea dataOnly="0" labelOnly="1" outline="0" fieldPosition="0">
        <references count="3">
          <reference field="0" count="1" selected="0">
            <x v="45"/>
          </reference>
          <reference field="1" count="1">
            <x v="18"/>
          </reference>
          <reference field="2" count="1" selected="0">
            <x v="44"/>
          </reference>
        </references>
      </pivotArea>
    </format>
    <format dxfId="120">
      <pivotArea dataOnly="0" labelOnly="1" outline="0" fieldPosition="0">
        <references count="3">
          <reference field="0" count="1" selected="0">
            <x v="47"/>
          </reference>
          <reference field="1" count="1">
            <x v="13"/>
          </reference>
          <reference field="2" count="1" selected="0">
            <x v="46"/>
          </reference>
        </references>
      </pivotArea>
    </format>
    <format dxfId="119">
      <pivotArea dataOnly="0" labelOnly="1" outline="0" fieldPosition="0">
        <references count="3">
          <reference field="0" count="1" selected="0">
            <x v="49"/>
          </reference>
          <reference field="1" count="1">
            <x v="0"/>
          </reference>
          <reference field="2" count="1" selected="0">
            <x v="48"/>
          </reference>
        </references>
      </pivotArea>
    </format>
    <format dxfId="118">
      <pivotArea dataOnly="0" labelOnly="1" outline="0" fieldPosition="0">
        <references count="3">
          <reference field="0" count="1" selected="0">
            <x v="50"/>
          </reference>
          <reference field="1" count="1">
            <x v="27"/>
          </reference>
          <reference field="2" count="1" selected="0">
            <x v="49"/>
          </reference>
        </references>
      </pivotArea>
    </format>
    <format dxfId="117">
      <pivotArea dataOnly="0" labelOnly="1" outline="0" fieldPosition="0">
        <references count="3">
          <reference field="0" count="1" selected="0">
            <x v="51"/>
          </reference>
          <reference field="1" count="1">
            <x v="11"/>
          </reference>
          <reference field="2" count="1" selected="0">
            <x v="50"/>
          </reference>
        </references>
      </pivotArea>
    </format>
    <format dxfId="116">
      <pivotArea dataOnly="0" labelOnly="1" outline="0" fieldPosition="0">
        <references count="3">
          <reference field="0" count="1" selected="0">
            <x v="52"/>
          </reference>
          <reference field="1" count="1">
            <x v="2"/>
          </reference>
          <reference field="2" count="1" selected="0">
            <x v="51"/>
          </reference>
        </references>
      </pivotArea>
    </format>
    <format dxfId="115">
      <pivotArea dataOnly="0" labelOnly="1" outline="0" fieldPosition="0">
        <references count="3">
          <reference field="0" count="1" selected="0">
            <x v="53"/>
          </reference>
          <reference field="1" count="1">
            <x v="1"/>
          </reference>
          <reference field="2" count="1" selected="0">
            <x v="52"/>
          </reference>
        </references>
      </pivotArea>
    </format>
    <format dxfId="114">
      <pivotArea dataOnly="0" labelOnly="1" outline="0" fieldPosition="0">
        <references count="3">
          <reference field="0" count="1" selected="0">
            <x v="54"/>
          </reference>
          <reference field="1" count="1">
            <x v="24"/>
          </reference>
          <reference field="2" count="1" selected="0">
            <x v="53"/>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3">
      <pivotArea type="all" dataOnly="0" outline="0" fieldPosition="0"/>
    </format>
    <format dxfId="72">
      <pivotArea type="all" dataOnly="0" outline="0" fieldPosition="0"/>
    </format>
    <format dxfId="71">
      <pivotArea type="all" dataOnly="0" outline="0" fieldPosition="0"/>
    </format>
    <format dxfId="70">
      <pivotArea dataOnly="0" labelOnly="1" outline="0" fieldPosition="0">
        <references count="1">
          <reference field="0" count="3">
            <x v="0"/>
            <x v="1"/>
            <x v="2"/>
          </reference>
        </references>
      </pivotArea>
    </format>
    <format dxfId="69">
      <pivotArea dataOnly="0" labelOnly="1" outline="0" fieldPosition="0">
        <references count="2">
          <reference field="0" count="1" selected="0">
            <x v="0"/>
          </reference>
          <reference field="2" count="1">
            <x v="0"/>
          </reference>
        </references>
      </pivotArea>
    </format>
    <format dxfId="68">
      <pivotArea dataOnly="0" labelOnly="1" outline="0" fieldPosition="0">
        <references count="2">
          <reference field="0" count="1" selected="0">
            <x v="1"/>
          </reference>
          <reference field="2" count="1">
            <x v="1"/>
          </reference>
        </references>
      </pivotArea>
    </format>
    <format dxfId="67">
      <pivotArea dataOnly="0" labelOnly="1" outline="0" fieldPosition="0">
        <references count="2">
          <reference field="0" count="1" selected="0">
            <x v="2"/>
          </reference>
          <reference field="2" count="1">
            <x v="2"/>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3">
          <reference field="0" count="1" selected="0">
            <x v="2"/>
          </reference>
          <reference field="1" count="1">
            <x v="6"/>
          </reference>
          <reference field="2" count="1" selected="0">
            <x v="2"/>
          </reference>
        </references>
      </pivotArea>
    </format>
    <format dxfId="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
      <pivotArea dataOnly="0" labelOnly="1" outline="0" fieldPosition="0">
        <references count="1">
          <reference field="1" count="0"/>
        </references>
      </pivotArea>
    </format>
    <format dxfId="61">
      <pivotArea dataOnly="0" labelOnly="1" outline="0" fieldPosition="0">
        <references count="1">
          <reference field="0" count="3">
            <x v="66"/>
            <x v="67"/>
            <x v="68"/>
          </reference>
        </references>
      </pivotArea>
    </format>
    <format dxfId="60">
      <pivotArea dataOnly="0" labelOnly="1" outline="0" fieldPosition="0">
        <references count="1">
          <reference field="0" count="1">
            <x v="68"/>
          </reference>
        </references>
      </pivotArea>
    </format>
    <format dxfId="59">
      <pivotArea dataOnly="0" labelOnly="1" outline="0" fieldPosition="0">
        <references count="1">
          <reference field="0" count="1">
            <x v="68"/>
          </reference>
        </references>
      </pivotArea>
    </format>
    <format dxfId="58">
      <pivotArea dataOnly="0" labelOnly="1" outline="0" fieldPosition="0">
        <references count="1">
          <reference field="0" count="1">
            <x v="41"/>
          </reference>
        </references>
      </pivotArea>
    </format>
    <format dxfId="57">
      <pivotArea dataOnly="0" outline="0" fieldPosition="0">
        <references count="1">
          <reference field="0" count="10">
            <x v="55"/>
            <x v="56"/>
            <x v="57"/>
            <x v="58"/>
            <x v="59"/>
            <x v="60"/>
            <x v="61"/>
            <x v="62"/>
            <x v="63"/>
            <x v="64"/>
          </reference>
        </references>
      </pivotArea>
    </format>
    <format dxfId="56">
      <pivotArea dataOnly="0" outline="0" fieldPosition="0">
        <references count="1">
          <reference field="0" count="10">
            <x v="55"/>
            <x v="56"/>
            <x v="57"/>
            <x v="58"/>
            <x v="59"/>
            <x v="60"/>
            <x v="61"/>
            <x v="62"/>
            <x v="63"/>
            <x v="64"/>
          </reference>
        </references>
      </pivotArea>
    </format>
    <format dxfId="55">
      <pivotArea dataOnly="0" labelOnly="1" outline="0" fieldPosition="0">
        <references count="1">
          <reference field="0" count="1">
            <x v="65"/>
          </reference>
        </references>
      </pivotArea>
    </format>
    <format dxfId="54">
      <pivotArea dataOnly="0" labelOnly="1" outline="0" fieldPosition="0">
        <references count="1">
          <reference field="0" count="1">
            <x v="1"/>
          </reference>
        </references>
      </pivotArea>
    </format>
    <format dxfId="53">
      <pivotArea dataOnly="0" labelOnly="1" outline="0" fieldPosition="0">
        <references count="2">
          <reference field="0" count="1" selected="0">
            <x v="1"/>
          </reference>
          <reference field="2" count="1">
            <x v="1"/>
          </reference>
        </references>
      </pivotArea>
    </format>
    <format dxfId="52">
      <pivotArea dataOnly="0" labelOnly="1" outline="0" fieldPosition="0">
        <references count="3">
          <reference field="0" count="1" selected="0">
            <x v="1"/>
          </reference>
          <reference field="1" count="1">
            <x v="5"/>
          </reference>
          <reference field="2" count="1" selected="0">
            <x v="1"/>
          </reference>
        </references>
      </pivotArea>
    </format>
    <format dxfId="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
      <pivotArea dataOnly="0" labelOnly="1" outline="0" fieldPosition="0">
        <references count="3">
          <reference field="0" count="1" selected="0">
            <x v="1"/>
          </reference>
          <reference field="1" count="1">
            <x v="5"/>
          </reference>
          <reference field="2" count="1" selected="0">
            <x v="1"/>
          </reference>
        </references>
      </pivotArea>
    </format>
    <format dxfId="4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79651</v>
      </c>
      <c r="L2" s="241">
        <f t="shared" si="0"/>
        <v>21800</v>
      </c>
      <c r="M2" s="241">
        <f t="shared" si="0"/>
        <v>935</v>
      </c>
      <c r="N2" s="241">
        <f t="shared" si="0"/>
        <v>134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6727.3333333333339</v>
      </c>
      <c r="L6" s="41">
        <v>2000</v>
      </c>
      <c r="M6" s="41">
        <f>90+80+90</f>
        <v>260</v>
      </c>
      <c r="N6" s="41">
        <f>44+90</f>
        <v>134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K2" sqref="AK1:AK1048576"/>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9180.3964834412163</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60047</v>
      </c>
      <c r="O4" s="65">
        <f ca="1">SUBTOTAL(9,O5:O9)</f>
        <v>148.64000000000004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ca="1" si="0"/>
        <v>8.6</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1200.2715524452126</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3575</v>
      </c>
      <c r="O5" s="190">
        <f ca="1">F5-SUM(Q5:AV5)-P5</f>
        <v>36.5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f ca="1">SUMIFS('Tổng Đơn'!$F:$F,'Tổng Đơn'!$B:$B,$C5)</f>
        <v>1</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1646.3138172857105</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6418.2</v>
      </c>
      <c r="O6" s="190">
        <f ca="1">F6-SUM(Q6:AV6)-P6</f>
        <v>28.03000000000003</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f ca="1">SUMIFS('Tổng Đơn'!$F:$F,'Tổng Đơn'!$B:$B,$C6)</f>
        <v>2</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2390.4777803769603</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10628.8</v>
      </c>
      <c r="O7" s="190">
        <f ca="1">F7-SUM(Q7:AV7)-P7</f>
        <v>44.110000000000028</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f ca="1">SUMIFS('Tổng Đơn'!$F:$F,'Tổng Đơn'!$B:$B,$C7)</f>
        <v>3.6</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f ca="1">SUMIFS('Tổng Đơn'!$F:$F,'Tổng Đơn'!$B:$B,$C8)</f>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3943.333333333333</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8400</v>
      </c>
      <c r="O9" s="161">
        <f ca="1">F9-SUM(Q9:AV9)-P9</f>
        <v>40</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f ca="1">SUMIFS('Tổng Đơn'!$F:$F,'Tổng Đơn'!$B:$B,$C9)</f>
        <v>2</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26" priority="12">
      <formula>($O7/$O7)&lt;=1/4</formula>
    </cfRule>
  </conditionalFormatting>
  <conditionalFormatting sqref="C5:C8">
    <cfRule type="expression" dxfId="425" priority="13">
      <formula>($O5/$F5)&lt;=1/4</formula>
    </cfRule>
  </conditionalFormatting>
  <conditionalFormatting sqref="C9:C10">
    <cfRule type="expression" dxfId="424" priority="3">
      <formula>($O9/$O9)&lt;=1/4</formula>
    </cfRule>
  </conditionalFormatting>
  <conditionalFormatting sqref="C9:C10">
    <cfRule type="expression" dxfId="42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L5" sqref="AL5:AL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9645.4308644407229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43917</v>
      </c>
      <c r="N4" s="39">
        <f ca="1">SUBTOTAL(9,N5:N24)</f>
        <v>304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ca="1"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f ca="1">SUMIFS('Tổng Đơn'!$F:$F,'Tổng Đơn'!$B:$B,$C5)</f>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271.24101250861816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4745</v>
      </c>
      <c r="N6" s="91">
        <f t="shared" ca="1" si="7"/>
        <v>5</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f ca="1">SUMIFS('Tổng Đơn'!$F:$F,'Tổng Đơn'!$B:$B,$C6)</f>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f>SUMIFS('Tổng Đơn'!$F:$F,'Tổng Đơn'!$B:$B,$C7)</f>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f ca="1">SUMIFS('Tổng Đơn'!$F:$F,'Tổng Đơn'!$B:$B,$C8)</f>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f>SUMIFS('Tổng Đơn'!$F:$F,'Tổng Đơn'!$B:$B,$C9)</f>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f ca="1">SUMIFS('Tổng Đơn'!$F:$F,'Tổng Đơn'!$B:$B,$C10)</f>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f ca="1">SUMIFS('Tổng Đơn'!$F:$F,'Tổng Đơn'!$B:$B,$C11)</f>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f ca="1">SUMIFS('Tổng Đơn'!$F:$F,'Tổng Đơn'!$B:$B,$C12)</f>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f ca="1">SUMIFS('Tổng Đơn'!$F:$F,'Tổng Đơn'!$B:$B,$C13)</f>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f ca="1">SUMIFS('Tổng Đơn'!$F:$F,'Tổng Đơn'!$B:$B,$C14)</f>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f ca="1">SUMIFS('Tổng Đơn'!$F:$F,'Tổng Đơn'!$B:$B,$C15)</f>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f ca="1">SUMIFS('Tổng Đơn'!$F:$F,'Tổng Đơn'!$B:$B,$C16)</f>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f ca="1">SUMIFS('Tổng Đơn'!$F:$F,'Tổng Đơn'!$B:$B,$C17)</f>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f ca="1">SUMIFS('Tổng Đơn'!$F:$F,'Tổng Đơn'!$B:$B,$C18)</f>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f ca="1">SUMIFS('Tổng Đơn'!$F:$F,'Tổng Đơn'!$B:$B,$C19)</f>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f ca="1">SUMIFS('Tổng Đơn'!$F:$F,'Tổng Đơn'!$B:$B,$C20)</f>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f ca="1">SUMIFS('Tổng Đơn'!$F:$F,'Tổng Đơn'!$B:$B,$C21)</f>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f ca="1">SUMIFS('Tổng Đơn'!$F:$F,'Tổng Đơn'!$B:$B,$C22)</f>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f ca="1">SUMIFS('Tổng Đơn'!$F:$F,'Tổng Đơn'!$B:$B,$C23)</f>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f ca="1">SUMIFS('Tổng Đơn'!$F:$F,'Tổng Đơn'!$B:$B,$C24)</f>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2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K6" sqref="AK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f>
        <v>2280</v>
      </c>
      <c r="F2" s="13">
        <f>SUMPRODUCT((E5:E18)*(F5:F18))</f>
        <v>734.5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20599.504568072221</v>
      </c>
      <c r="B4" s="19"/>
      <c r="C4" s="19"/>
      <c r="D4" s="63"/>
      <c r="E4" s="19">
        <f>SUMPRODUCT((E5:E27)*(F5:F27))</f>
        <v>1334.2</v>
      </c>
      <c r="F4" s="19">
        <f>SUBTOTAL(9,F5:F27)</f>
        <v>2920</v>
      </c>
      <c r="G4" s="7"/>
      <c r="H4" s="7">
        <f>SUBTOTAL(9,H5:H27)+H2</f>
        <v>96338.789473684214</v>
      </c>
      <c r="I4" s="12"/>
      <c r="J4" s="12"/>
      <c r="K4" s="12">
        <f>SUBTOTAL(9,K5:K27)+K2</f>
        <v>98608.315319988775</v>
      </c>
      <c r="L4" s="64"/>
      <c r="M4" s="7">
        <f>SUBTOTAL(9,M5:M27)+M2</f>
        <v>115888</v>
      </c>
      <c r="N4" s="7">
        <f ca="1">SUBTOTAL(9,N5:N27)+N2</f>
        <v>91432</v>
      </c>
      <c r="O4" s="65">
        <f ca="1">SUBTOTAL(9,O5:O27)</f>
        <v>553</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ca="1" si="1"/>
        <v>19</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1612.274705439193</v>
      </c>
      <c r="B5" s="6">
        <v>1</v>
      </c>
      <c r="C5" s="84" t="s">
        <v>159</v>
      </c>
      <c r="D5" s="92">
        <f>G5*2</f>
        <v>63</v>
      </c>
      <c r="E5" s="85">
        <v>0.5</v>
      </c>
      <c r="F5" s="136">
        <f>160+41+55+72+72</f>
        <v>400</v>
      </c>
      <c r="G5" s="86">
        <v>31.5</v>
      </c>
      <c r="H5" s="87">
        <f t="shared" ref="H5:H19" si="3">G5*F5</f>
        <v>12600</v>
      </c>
      <c r="I5" s="88">
        <f t="shared" ref="I5:I19" si="4">((H5/$H$4)*$A$2)/F5</f>
        <v>0.74549410878385858</v>
      </c>
      <c r="J5" s="162">
        <f t="shared" ref="J5:J17" si="5">G5+I5</f>
        <v>32.245494108783859</v>
      </c>
      <c r="K5" s="89">
        <f>J5*F5</f>
        <v>12898.197643513544</v>
      </c>
      <c r="L5" s="93">
        <v>45</v>
      </c>
      <c r="M5" s="87">
        <f t="shared" ref="M5:M18" si="6">L5*F5</f>
        <v>18000</v>
      </c>
      <c r="N5" s="87">
        <f t="shared" ref="N5:N25" ca="1" si="7">SUMPRODUCT(($Q5:$AV5)*$L5)</f>
        <v>15660</v>
      </c>
      <c r="O5" s="94">
        <f t="shared" ref="O5:O25" ca="1" si="8">F5-SUM(Q5:AV5)-P5</f>
        <v>50</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f ca="1">SUMIFS('Tổng Đơn'!$F:$F,'Tổng Đơn'!$B:$B,$C5)</f>
        <v>3</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580.41889395810938</v>
      </c>
      <c r="B6" s="6">
        <v>2</v>
      </c>
      <c r="C6" s="84" t="s">
        <v>277</v>
      </c>
      <c r="D6" s="92">
        <f t="shared" ref="D6:D11" si="10">G6*2</f>
        <v>81</v>
      </c>
      <c r="E6" s="85">
        <v>0.5</v>
      </c>
      <c r="F6" s="136">
        <f>20+60+20+20</f>
        <v>120</v>
      </c>
      <c r="G6" s="86">
        <v>40.5</v>
      </c>
      <c r="H6" s="87">
        <f t="shared" si="3"/>
        <v>4860</v>
      </c>
      <c r="I6" s="88">
        <f t="shared" si="4"/>
        <v>0.95849242557924685</v>
      </c>
      <c r="J6" s="162">
        <f t="shared" si="5"/>
        <v>41.458492425579244</v>
      </c>
      <c r="K6" s="89">
        <f t="shared" ref="K6:K17" si="11">J6*F6</f>
        <v>4975.0190910695092</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f ca="1">SUMIFS('Tổng Đơn'!$F:$F,'Tổng Đơn'!$B:$B,$C6)</f>
        <v>10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1264.2281023602559</v>
      </c>
      <c r="B7" s="6">
        <v>3</v>
      </c>
      <c r="C7" s="84" t="s">
        <v>30</v>
      </c>
      <c r="D7" s="92">
        <f t="shared" si="10"/>
        <v>65</v>
      </c>
      <c r="E7" s="85">
        <v>0.5</v>
      </c>
      <c r="F7" s="136">
        <f>120+40+40</f>
        <v>200</v>
      </c>
      <c r="G7" s="86">
        <v>32.5</v>
      </c>
      <c r="H7" s="87">
        <f t="shared" si="3"/>
        <v>6500</v>
      </c>
      <c r="I7" s="88">
        <f t="shared" si="4"/>
        <v>0.76916058842779067</v>
      </c>
      <c r="J7" s="162">
        <f t="shared" si="5"/>
        <v>33.269160588427788</v>
      </c>
      <c r="K7" s="89">
        <f t="shared" si="11"/>
        <v>6653.8321176855579</v>
      </c>
      <c r="L7" s="93">
        <v>38</v>
      </c>
      <c r="M7" s="87">
        <f t="shared" si="6"/>
        <v>7600</v>
      </c>
      <c r="N7" s="87">
        <f t="shared" ca="1" si="7"/>
        <v>6080</v>
      </c>
      <c r="O7" s="94">
        <f t="shared" ca="1" si="8"/>
        <v>38</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f ca="1">SUMIFS('Tổng Đơn'!$F:$F,'Tổng Đơn'!$B:$B,$C7)</f>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1842.5996633590778</v>
      </c>
      <c r="B8" s="6">
        <v>4</v>
      </c>
      <c r="C8" s="84" t="s">
        <v>29</v>
      </c>
      <c r="D8" s="92">
        <f t="shared" si="10"/>
        <v>80</v>
      </c>
      <c r="E8" s="85">
        <v>0.5</v>
      </c>
      <c r="F8" s="136">
        <f>70+30+20+30+20+20+20+30</f>
        <v>240</v>
      </c>
      <c r="G8" s="86">
        <v>40</v>
      </c>
      <c r="H8" s="87">
        <f t="shared" si="3"/>
        <v>9600</v>
      </c>
      <c r="I8" s="88">
        <f t="shared" si="4"/>
        <v>0.94665918575728081</v>
      </c>
      <c r="J8" s="162">
        <f t="shared" si="5"/>
        <v>40.946659185757284</v>
      </c>
      <c r="K8" s="89">
        <f t="shared" si="11"/>
        <v>9827.1982045817476</v>
      </c>
      <c r="L8" s="93">
        <v>45</v>
      </c>
      <c r="M8" s="87">
        <f t="shared" si="6"/>
        <v>10800</v>
      </c>
      <c r="N8" s="87">
        <f t="shared" ca="1" si="7"/>
        <v>8730</v>
      </c>
      <c r="O8" s="94">
        <f t="shared" ca="1" si="8"/>
        <v>45</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1497.1122264792507</v>
      </c>
      <c r="B9" s="6">
        <v>5</v>
      </c>
      <c r="C9" s="84" t="s">
        <v>28</v>
      </c>
      <c r="D9" s="92">
        <f t="shared" si="10"/>
        <v>75</v>
      </c>
      <c r="E9" s="85">
        <v>0.5</v>
      </c>
      <c r="F9" s="136">
        <f>9+48+24</f>
        <v>81</v>
      </c>
      <c r="G9" s="86">
        <v>37.5</v>
      </c>
      <c r="H9" s="87">
        <f>G9*F9</f>
        <v>3037.5</v>
      </c>
      <c r="I9" s="88">
        <f>((H9/$H$4)*$A$2)/F9</f>
        <v>0.88749298664745091</v>
      </c>
      <c r="J9" s="162">
        <f t="shared" si="5"/>
        <v>38.387492986647452</v>
      </c>
      <c r="K9" s="89">
        <f t="shared" si="11"/>
        <v>3109.3869319184437</v>
      </c>
      <c r="L9" s="93">
        <v>42</v>
      </c>
      <c r="M9" s="87">
        <f t="shared" si="6"/>
        <v>3402</v>
      </c>
      <c r="N9" s="87">
        <f t="shared" ca="1" si="7"/>
        <v>1722</v>
      </c>
      <c r="O9" s="94">
        <f t="shared" ca="1" si="8"/>
        <v>39</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f ca="1">SUMIFS('Tổng Đơn'!$F:$F,'Tổng Đơn'!$B:$B,$C9)</f>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573.76506184042387</v>
      </c>
      <c r="B10" s="6">
        <v>6</v>
      </c>
      <c r="C10" s="84" t="s">
        <v>61</v>
      </c>
      <c r="D10" s="92">
        <f t="shared" si="10"/>
        <v>59</v>
      </c>
      <c r="E10" s="85">
        <v>0.5</v>
      </c>
      <c r="F10" s="136">
        <f>60+20+40</f>
        <v>120</v>
      </c>
      <c r="G10" s="86">
        <v>29.5</v>
      </c>
      <c r="H10" s="87">
        <f t="shared" si="3"/>
        <v>3540</v>
      </c>
      <c r="I10" s="88">
        <f t="shared" si="4"/>
        <v>0.69816114949599473</v>
      </c>
      <c r="J10" s="162">
        <f t="shared" si="5"/>
        <v>30.198161149495995</v>
      </c>
      <c r="K10" s="89">
        <f t="shared" si="11"/>
        <v>3623.7793379395193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f ca="1">SUMIFS('Tổng Đơn'!$F:$F,'Tổng Đơn'!$B:$B,$C10)</f>
        <v>2</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0.78099382824975672</v>
      </c>
      <c r="J11" s="162">
        <f t="shared" si="5"/>
        <v>33.780993828249755</v>
      </c>
      <c r="K11" s="89">
        <f t="shared" si="11"/>
        <v>337.80993828249757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f ca="1">SUMIFS('Tổng Đơn'!$F:$F,'Tổng Đơn'!$B:$B,$C11)</f>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0.67055025657807388</v>
      </c>
      <c r="J12" s="162">
        <f t="shared" si="5"/>
        <v>29.003883589911407</v>
      </c>
      <c r="K12" s="89">
        <f t="shared" si="11"/>
        <v>1044.1398092368106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777.98652452938836</v>
      </c>
      <c r="B13" s="6">
        <v>9</v>
      </c>
      <c r="C13" s="84" t="s">
        <v>35</v>
      </c>
      <c r="D13" s="92">
        <f t="shared" ref="D13:D22" si="12">G13*2</f>
        <v>80</v>
      </c>
      <c r="E13" s="85">
        <v>0.5</v>
      </c>
      <c r="F13" s="136">
        <v>40</v>
      </c>
      <c r="G13" s="86">
        <v>40</v>
      </c>
      <c r="H13" s="87">
        <f t="shared" si="3"/>
        <v>1600</v>
      </c>
      <c r="I13" s="88">
        <f t="shared" si="4"/>
        <v>0.94665918575728081</v>
      </c>
      <c r="J13" s="162">
        <f t="shared" si="5"/>
        <v>40.946659185757284</v>
      </c>
      <c r="K13" s="89">
        <f t="shared" si="11"/>
        <v>1637.8663674302913</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f ca="1">SUMIFS('Tổng Đơn'!$F:$F,'Tổng Đơn'!$B:$B,$C13)</f>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1310.2930939442331</v>
      </c>
      <c r="B14" s="6">
        <v>10</v>
      </c>
      <c r="C14" s="84" t="s">
        <v>34</v>
      </c>
      <c r="D14" s="92">
        <f t="shared" si="12"/>
        <v>80</v>
      </c>
      <c r="E14" s="85">
        <v>0.5</v>
      </c>
      <c r="F14" s="136">
        <v>40</v>
      </c>
      <c r="G14" s="86">
        <v>40</v>
      </c>
      <c r="H14" s="87">
        <f t="shared" si="3"/>
        <v>1600</v>
      </c>
      <c r="I14" s="88">
        <f t="shared" si="4"/>
        <v>0.94665918575728081</v>
      </c>
      <c r="J14" s="162">
        <f t="shared" si="5"/>
        <v>40.946659185757284</v>
      </c>
      <c r="K14" s="89">
        <f t="shared" si="11"/>
        <v>1637.8663674302913</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f ca="1">SUMIFS('Tổng Đơn'!$F:$F,'Tổng Đơn'!$B:$B,$C14)</f>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1064.6131388296894</v>
      </c>
      <c r="B15" s="6">
        <v>11</v>
      </c>
      <c r="C15" s="84" t="s">
        <v>33</v>
      </c>
      <c r="D15" s="92">
        <f t="shared" si="12"/>
        <v>80</v>
      </c>
      <c r="E15" s="85">
        <v>0.5</v>
      </c>
      <c r="F15" s="136">
        <v>40</v>
      </c>
      <c r="G15" s="86">
        <v>40</v>
      </c>
      <c r="H15" s="87">
        <f t="shared" si="3"/>
        <v>1600</v>
      </c>
      <c r="I15" s="88">
        <f t="shared" si="4"/>
        <v>0.94665918575728081</v>
      </c>
      <c r="J15" s="162">
        <f t="shared" si="5"/>
        <v>40.946659185757284</v>
      </c>
      <c r="K15" s="89">
        <f t="shared" si="11"/>
        <v>1637.8663674302913</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f ca="1">SUMIFS('Tổng Đơn'!$F:$F,'Tổng Đơn'!$B:$B,$C15)</f>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1187.4531163869613</v>
      </c>
      <c r="B16" s="6">
        <v>12</v>
      </c>
      <c r="C16" s="84" t="s">
        <v>32</v>
      </c>
      <c r="D16" s="92">
        <f t="shared" si="12"/>
        <v>80</v>
      </c>
      <c r="E16" s="85">
        <v>0.5</v>
      </c>
      <c r="F16" s="136">
        <v>40</v>
      </c>
      <c r="G16" s="86">
        <v>40</v>
      </c>
      <c r="H16" s="87">
        <f t="shared" si="3"/>
        <v>1600</v>
      </c>
      <c r="I16" s="88">
        <f t="shared" si="4"/>
        <v>0.94665918575728081</v>
      </c>
      <c r="J16" s="162">
        <f t="shared" si="5"/>
        <v>40.946659185757284</v>
      </c>
      <c r="K16" s="89">
        <f t="shared" si="11"/>
        <v>1637.8663674302913</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f ca="1">SUMIFS('Tổng Đơn'!$F:$F,'Tổng Đơn'!$B:$B,$C16)</f>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491.3599102290874</v>
      </c>
      <c r="B17" s="6">
        <v>13</v>
      </c>
      <c r="C17" s="84" t="s">
        <v>58</v>
      </c>
      <c r="D17" s="92">
        <f t="shared" si="12"/>
        <v>80</v>
      </c>
      <c r="E17" s="85">
        <v>0.5</v>
      </c>
      <c r="F17" s="136">
        <v>40</v>
      </c>
      <c r="G17" s="86">
        <v>40</v>
      </c>
      <c r="H17" s="87">
        <f t="shared" si="3"/>
        <v>1600</v>
      </c>
      <c r="I17" s="88">
        <f t="shared" si="4"/>
        <v>0.94665918575728081</v>
      </c>
      <c r="J17" s="162">
        <f t="shared" si="5"/>
        <v>40.946659185757284</v>
      </c>
      <c r="K17" s="89">
        <f t="shared" si="11"/>
        <v>1637.8663674302913</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f ca="1">SUMIFS('Tổng Đơn'!$F:$F,'Tổng Đơn'!$B:$B,$C17)</f>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445.45655019452789</v>
      </c>
      <c r="B18" s="6">
        <v>14</v>
      </c>
      <c r="C18" s="84" t="s">
        <v>145</v>
      </c>
      <c r="D18" s="92">
        <f t="shared" si="12"/>
        <v>54.39473684210526</v>
      </c>
      <c r="E18" s="85">
        <v>0.5</v>
      </c>
      <c r="F18" s="136">
        <f>80</f>
        <v>80</v>
      </c>
      <c r="G18" s="86">
        <f>1033.5/38</f>
        <v>27.19736842105263</v>
      </c>
      <c r="H18" s="87">
        <f t="shared" si="3"/>
        <v>2175.7894736842104</v>
      </c>
      <c r="I18" s="88">
        <f t="shared" si="4"/>
        <v>0.64366596610536164</v>
      </c>
      <c r="J18" s="162">
        <f t="shared" ref="J18" si="13">G18+I18</f>
        <v>27.841034387157993</v>
      </c>
      <c r="K18" s="89">
        <f t="shared" ref="K18" si="14">J18*F18</f>
        <v>2227.2827509726394</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f ca="1">SUMIFS('Tổng Đơn'!$F:$F,'Tổng Đơn'!$B:$B,$C18)</f>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2272.5395848095291</v>
      </c>
      <c r="B19" s="6">
        <v>15</v>
      </c>
      <c r="C19" s="84" t="s">
        <v>183</v>
      </c>
      <c r="D19" s="92">
        <f t="shared" si="12"/>
        <v>120</v>
      </c>
      <c r="E19" s="85">
        <v>0.5</v>
      </c>
      <c r="F19" s="136">
        <f>60+20+20+20+20+20</f>
        <v>160</v>
      </c>
      <c r="G19" s="86">
        <v>60</v>
      </c>
      <c r="H19" s="87">
        <f t="shared" si="3"/>
        <v>9600</v>
      </c>
      <c r="I19" s="88">
        <f t="shared" si="4"/>
        <v>1.4199887786359213</v>
      </c>
      <c r="J19" s="162">
        <f t="shared" ref="J19" si="15">G19+I19</f>
        <v>61.419988778635918</v>
      </c>
      <c r="K19" s="89">
        <f t="shared" ref="K19" si="16">J19*F19</f>
        <v>9827.1982045817476</v>
      </c>
      <c r="L19" s="93">
        <v>70</v>
      </c>
      <c r="M19" s="87">
        <f t="shared" ref="M19" si="17">L19*F19</f>
        <v>11200</v>
      </c>
      <c r="N19" s="87">
        <f t="shared" ca="1" si="7"/>
        <v>8540</v>
      </c>
      <c r="O19" s="94">
        <f t="shared" ca="1" si="8"/>
        <v>37</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f ca="1">SUMIFS('Tổng Đơn'!$F:$F,'Tổng Đơn'!$B:$B,$C19)</f>
        <v>1</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1458.7247334926033</v>
      </c>
      <c r="B20" s="6">
        <v>16</v>
      </c>
      <c r="C20" s="84" t="s">
        <v>142</v>
      </c>
      <c r="D20" s="92">
        <f t="shared" si="12"/>
        <v>75</v>
      </c>
      <c r="E20" s="85">
        <v>0.5</v>
      </c>
      <c r="F20" s="136">
        <f>161+40+80+40</f>
        <v>321</v>
      </c>
      <c r="G20" s="86">
        <v>37.5</v>
      </c>
      <c r="H20" s="87">
        <f t="shared" ref="H20:H25" si="18">G20*F20</f>
        <v>12037.5</v>
      </c>
      <c r="I20" s="88">
        <f t="shared" ref="I20:I21" si="19">((H20/$H$4)*$A$2)/F20</f>
        <v>0.88749298664745069</v>
      </c>
      <c r="J20" s="162">
        <f t="shared" ref="J20:J21" si="20">G20+I20</f>
        <v>38.387492986647452</v>
      </c>
      <c r="K20" s="89">
        <f t="shared" ref="K20:K21" si="21">J20*F20</f>
        <v>12322.385248713832</v>
      </c>
      <c r="L20" s="93">
        <v>42</v>
      </c>
      <c r="M20" s="87">
        <f t="shared" ref="M20:M21" si="22">L20*F20</f>
        <v>13482</v>
      </c>
      <c r="N20" s="87">
        <f t="shared" ca="1" si="7"/>
        <v>11886</v>
      </c>
      <c r="O20" s="94">
        <f t="shared" ca="1" si="8"/>
        <v>38</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f ca="1">SUMIFS('Tổng Đơn'!$F:$F,'Tổng Đơn'!$B:$B,$C20)</f>
        <v>1</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2477.2728807383155</v>
      </c>
      <c r="B21" s="6">
        <v>17</v>
      </c>
      <c r="C21" s="84" t="s">
        <v>197</v>
      </c>
      <c r="D21" s="92">
        <f t="shared" si="12"/>
        <v>88</v>
      </c>
      <c r="E21" s="85">
        <v>0.5</v>
      </c>
      <c r="F21" s="136">
        <f>80</f>
        <v>80</v>
      </c>
      <c r="G21" s="86">
        <v>44</v>
      </c>
      <c r="H21" s="87">
        <f t="shared" si="18"/>
        <v>3520</v>
      </c>
      <c r="I21" s="88">
        <f t="shared" si="19"/>
        <v>1.041325104333009</v>
      </c>
      <c r="J21" s="162">
        <f t="shared" si="20"/>
        <v>45.041325104333012</v>
      </c>
      <c r="K21" s="89">
        <f t="shared" si="21"/>
        <v>3603.3060083466407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f ca="1">SUMIFS('Tổng Đơn'!$F:$F,'Tổng Đơn'!$B:$B,$C21)</f>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224.18295904202108</v>
      </c>
      <c r="B22" s="6">
        <v>18</v>
      </c>
      <c r="C22" s="84" t="s">
        <v>202</v>
      </c>
      <c r="D22" s="92">
        <f t="shared" si="12"/>
        <v>73</v>
      </c>
      <c r="E22" s="85">
        <v>0.5</v>
      </c>
      <c r="F22" s="136">
        <f>40</f>
        <v>40</v>
      </c>
      <c r="G22" s="86">
        <v>36.5</v>
      </c>
      <c r="H22" s="87">
        <f t="shared" si="18"/>
        <v>1460</v>
      </c>
      <c r="I22" s="88">
        <f t="shared" ref="I22:I23" si="23">((H22/$H$4)*$A$2)/F22</f>
        <v>0.86382650700351893</v>
      </c>
      <c r="J22" s="162">
        <f t="shared" ref="J22:J23" si="24">G22+I22</f>
        <v>37.363826507003516</v>
      </c>
      <c r="K22" s="89">
        <f t="shared" ref="K22:K23" si="25">J22*F22</f>
        <v>1494.5530602801407</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f ca="1">SUMIFS('Tổng Đơn'!$F:$F,'Tổng Đơn'!$B:$B,$C22)</f>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626.48388554208645</v>
      </c>
      <c r="B23" s="6">
        <v>19</v>
      </c>
      <c r="C23" s="84" t="s">
        <v>234</v>
      </c>
      <c r="D23" s="92">
        <v>24</v>
      </c>
      <c r="E23" s="85">
        <v>0.3</v>
      </c>
      <c r="F23" s="136">
        <f>260+40+80+100+40-16+80</f>
        <v>584</v>
      </c>
      <c r="G23" s="86">
        <f>D23/2</f>
        <v>12</v>
      </c>
      <c r="H23" s="87">
        <f t="shared" si="18"/>
        <v>7008</v>
      </c>
      <c r="I23" s="88">
        <f t="shared" si="23"/>
        <v>0.28399775572718428</v>
      </c>
      <c r="J23" s="162">
        <f t="shared" si="24"/>
        <v>12.283997755727185</v>
      </c>
      <c r="K23" s="89">
        <f t="shared" si="25"/>
        <v>7173.8546893446764</v>
      </c>
      <c r="L23" s="93">
        <v>16</v>
      </c>
      <c r="M23" s="87">
        <f t="shared" si="26"/>
        <v>9344</v>
      </c>
      <c r="N23" s="87">
        <f t="shared" ca="1" si="7"/>
        <v>8480</v>
      </c>
      <c r="O23" s="94">
        <f t="shared" ca="1" si="8"/>
        <v>51</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f ca="1">SUMIFS('Tổng Đơn'!$F:$F,'Tổng Đơn'!$B:$B,$C23)</f>
        <v>2</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0.80466030789368881</v>
      </c>
      <c r="J24" s="162">
        <f t="shared" ref="J24" si="28">G24+I24</f>
        <v>34.804660307893691</v>
      </c>
      <c r="K24" s="89">
        <f t="shared" ref="K24" si="29">J24*F24</f>
        <v>348.04660307893693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f ca="1">SUMIFS('Tổng Đơn'!$F:$F,'Tổng Đơn'!$B:$B,$C24)</f>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892.73953689747316</v>
      </c>
      <c r="B25" s="6">
        <v>21</v>
      </c>
      <c r="C25" s="84" t="s">
        <v>299</v>
      </c>
      <c r="D25" s="92">
        <f>G25*2</f>
        <v>64.599999999999994</v>
      </c>
      <c r="E25" s="85">
        <v>0.5</v>
      </c>
      <c r="F25" s="136">
        <v>40</v>
      </c>
      <c r="G25" s="86">
        <v>32.299999999999997</v>
      </c>
      <c r="H25" s="87">
        <f t="shared" si="18"/>
        <v>1292</v>
      </c>
      <c r="I25" s="88">
        <f t="shared" ref="I25" si="31">((H25/$H$4)*$A$2)/F25</f>
        <v>0.76442729249900432</v>
      </c>
      <c r="J25" s="162">
        <f t="shared" ref="J25" si="32">G25+I25</f>
        <v>33.064427292499005</v>
      </c>
      <c r="K25" s="89">
        <f t="shared" ref="K25" si="33">J25*F25</f>
        <v>1322.5770916999602</v>
      </c>
      <c r="L25" s="93">
        <v>40</v>
      </c>
      <c r="M25" s="87">
        <f t="shared" si="30"/>
        <v>1600</v>
      </c>
      <c r="N25" s="87">
        <f t="shared" ca="1" si="7"/>
        <v>520</v>
      </c>
      <c r="O25" s="94">
        <f t="shared" ca="1" si="8"/>
        <v>27</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f ca="1">SUMIFS('Tổng Đơn'!$F:$F,'Tổng Đơn'!$B:$B,$C25)</f>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21" priority="21">
      <formula>($O6/$O6)&lt;=1/4</formula>
    </cfRule>
  </conditionalFormatting>
  <conditionalFormatting sqref="C18">
    <cfRule type="expression" dxfId="420" priority="18">
      <formula>($O18/$O18)&lt;=1/4</formula>
    </cfRule>
  </conditionalFormatting>
  <conditionalFormatting sqref="C5:C18">
    <cfRule type="expression" dxfId="419" priority="29">
      <formula>($O5/$F5)&lt;=1/4</formula>
    </cfRule>
  </conditionalFormatting>
  <conditionalFormatting sqref="C19">
    <cfRule type="expression" dxfId="418" priority="9">
      <formula>($O19/$O19)&lt;=1/4</formula>
    </cfRule>
  </conditionalFormatting>
  <conditionalFormatting sqref="C19">
    <cfRule type="expression" dxfId="417" priority="10">
      <formula>($O19/$F19)&lt;=1/4</formula>
    </cfRule>
  </conditionalFormatting>
  <conditionalFormatting sqref="C20:C21">
    <cfRule type="expression" dxfId="416" priority="7">
      <formula>($O20/$O20)&lt;=1/4</formula>
    </cfRule>
  </conditionalFormatting>
  <conditionalFormatting sqref="C20:C21">
    <cfRule type="expression" dxfId="415" priority="8">
      <formula>($O20/$F20)&lt;=1/4</formula>
    </cfRule>
  </conditionalFormatting>
  <conditionalFormatting sqref="C22:C23">
    <cfRule type="expression" dxfId="414" priority="5">
      <formula>($O22/$O22)&lt;=1/4</formula>
    </cfRule>
  </conditionalFormatting>
  <conditionalFormatting sqref="C22:C23">
    <cfRule type="expression" dxfId="413" priority="6">
      <formula>($O22/$F22)&lt;=1/4</formula>
    </cfRule>
  </conditionalFormatting>
  <conditionalFormatting sqref="C24">
    <cfRule type="expression" dxfId="412" priority="3">
      <formula>($O24/$O24)&lt;=1/4</formula>
    </cfRule>
  </conditionalFormatting>
  <conditionalFormatting sqref="C24">
    <cfRule type="expression" dxfId="411" priority="4">
      <formula>($O24/$F24)&lt;=1/4</formula>
    </cfRule>
  </conditionalFormatting>
  <conditionalFormatting sqref="C25:C26">
    <cfRule type="expression" dxfId="410" priority="1">
      <formula>($O25/$O25)&lt;=1/4</formula>
    </cfRule>
  </conditionalFormatting>
  <conditionalFormatting sqref="C25:C26">
    <cfRule type="expression" dxfId="40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L5" sqref="AL5:AL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f>
        <v>2875</v>
      </c>
      <c r="K2" s="13">
        <f>SUMPRODUCT((E5:E12)*(F5:F12))</f>
        <v>2733</v>
      </c>
      <c r="L2" s="13">
        <f>M4-K4</f>
        <v>23774.090909090897</v>
      </c>
      <c r="M2" s="8">
        <f>M4/K4-1</f>
        <v>0.19040002096828323</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2400</v>
      </c>
    </row>
    <row r="4" spans="1:51" s="62" customFormat="1" ht="27" customHeight="1" x14ac:dyDescent="0.25">
      <c r="A4" s="71">
        <f ca="1">SUBTOTAL(9,A5:A12)</f>
        <v>18635.352997610269</v>
      </c>
      <c r="B4" s="19"/>
      <c r="C4" s="19"/>
      <c r="D4" s="63"/>
      <c r="E4" s="19">
        <f>SUMPRODUCT((E5:E12)*(F5:F12))</f>
        <v>2733</v>
      </c>
      <c r="F4" s="19">
        <f>SUBTOTAL(9,F5:F12)</f>
        <v>5466</v>
      </c>
      <c r="G4" s="7"/>
      <c r="H4" s="7">
        <f>SUBTOTAL(9,H5:H12)</f>
        <v>121988.90909090909</v>
      </c>
      <c r="I4" s="12"/>
      <c r="J4" s="12"/>
      <c r="K4" s="12">
        <f>SUBTOTAL(9,K5:K12)</f>
        <v>124863.9090909091</v>
      </c>
      <c r="L4" s="64"/>
      <c r="M4" s="7">
        <f>SUBTOTAL(9,M5:M12)</f>
        <v>148638</v>
      </c>
      <c r="N4" s="7">
        <f ca="1">SUBTOTAL(9,N5:N12)</f>
        <v>126180</v>
      </c>
      <c r="O4" s="65">
        <f ca="1">SUBTOTAL(9,O5:O12)</f>
        <v>783</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ca="1" si="0"/>
        <v>73</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350 Kg</v>
      </c>
      <c r="AX4" s="101">
        <f>SUBTOTAL(9,AX5:AX12)</f>
        <v>15420</v>
      </c>
    </row>
    <row r="5" spans="1:51" ht="18.75" x14ac:dyDescent="0.25">
      <c r="A5" s="82">
        <f t="shared" ref="A5:A12" ca="1" si="1">J5*O5</f>
        <v>6223.291715044139</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0.44778660951293642</v>
      </c>
      <c r="J5" s="162">
        <f t="shared" ref="J5:J12" si="5">G5+I5</f>
        <v>19.447786609512935</v>
      </c>
      <c r="K5" s="89">
        <f>J5*F5</f>
        <v>51536.634515209276</v>
      </c>
      <c r="L5" s="93">
        <v>23</v>
      </c>
      <c r="M5" s="87">
        <f t="shared" ref="M5:M12" si="6">L5*F5</f>
        <v>60950</v>
      </c>
      <c r="N5" s="87">
        <f t="shared" ref="N5:N12" ca="1" si="7">SUMPRODUCT(($Q5:$AV5)*$L5)</f>
        <v>53521</v>
      </c>
      <c r="O5" s="94">
        <f t="shared" ref="O5:O12" ca="1" si="8">F5-SUM(Q5:AV5)-P5</f>
        <v>320</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f ca="1">SUMIFS('Tổng Đơn'!$F:$F,'Tổng Đơn'!$B:$B,$C5)</f>
        <v>37</v>
      </c>
      <c r="AL5" s="37">
        <v>0</v>
      </c>
      <c r="AM5" s="37">
        <v>0</v>
      </c>
      <c r="AN5" s="37">
        <v>0</v>
      </c>
      <c r="AO5" s="37">
        <v>0</v>
      </c>
      <c r="AP5" s="37">
        <v>0</v>
      </c>
      <c r="AQ5" s="37">
        <v>0</v>
      </c>
      <c r="AR5" s="37">
        <v>0</v>
      </c>
      <c r="AS5" s="37">
        <v>0</v>
      </c>
      <c r="AT5" s="37">
        <v>0</v>
      </c>
      <c r="AU5" s="37">
        <v>0</v>
      </c>
      <c r="AV5" s="37">
        <v>0</v>
      </c>
      <c r="AW5" s="82">
        <v>420</v>
      </c>
      <c r="AX5" s="82">
        <f>AW5*AY5/2</f>
        <v>7980</v>
      </c>
      <c r="AY5" s="82">
        <v>38</v>
      </c>
    </row>
    <row r="6" spans="1:51" ht="18.75" x14ac:dyDescent="0.25">
      <c r="A6" s="82">
        <f t="shared" ca="1" si="1"/>
        <v>214.94922042093248</v>
      </c>
      <c r="B6" s="6">
        <v>2</v>
      </c>
      <c r="C6" s="84" t="s">
        <v>227</v>
      </c>
      <c r="D6" s="92">
        <v>42</v>
      </c>
      <c r="E6" s="6">
        <v>0.5</v>
      </c>
      <c r="F6" s="6">
        <v>40</v>
      </c>
      <c r="G6" s="86">
        <f t="shared" si="2"/>
        <v>21</v>
      </c>
      <c r="H6" s="87">
        <f t="shared" si="3"/>
        <v>840</v>
      </c>
      <c r="I6" s="88">
        <f t="shared" si="4"/>
        <v>0.49492204209324547</v>
      </c>
      <c r="J6" s="162">
        <f t="shared" si="5"/>
        <v>21.494922042093247</v>
      </c>
      <c r="K6" s="89">
        <f>J6*F6</f>
        <v>859.79688168372991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365.41367471558522</v>
      </c>
      <c r="B7" s="6">
        <v>3</v>
      </c>
      <c r="C7" s="84" t="s">
        <v>228</v>
      </c>
      <c r="D7" s="92">
        <v>42</v>
      </c>
      <c r="E7" s="6">
        <v>0.5</v>
      </c>
      <c r="F7" s="6">
        <f>40+42+42+42+42</f>
        <v>208</v>
      </c>
      <c r="G7" s="86">
        <f t="shared" si="2"/>
        <v>21</v>
      </c>
      <c r="H7" s="87">
        <f t="shared" si="3"/>
        <v>4368</v>
      </c>
      <c r="I7" s="88">
        <f t="shared" si="4"/>
        <v>0.49492204209324547</v>
      </c>
      <c r="J7" s="162">
        <f t="shared" si="5"/>
        <v>21.494922042093247</v>
      </c>
      <c r="K7" s="89">
        <f t="shared" ref="K7:K12" si="10">J7*F7</f>
        <v>4470.9437847553954</v>
      </c>
      <c r="L7" s="93">
        <v>26</v>
      </c>
      <c r="M7" s="87">
        <f t="shared" si="6"/>
        <v>5408</v>
      </c>
      <c r="N7" s="87">
        <f t="shared" ca="1" si="7"/>
        <v>4940</v>
      </c>
      <c r="O7" s="94">
        <f t="shared" ca="1" si="8"/>
        <v>17</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f ca="1">SUMIFS('Tổng Đơn'!$F:$F,'Tổng Đơn'!$B:$B,$C7)</f>
        <v>4</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388.95573219025874</v>
      </c>
      <c r="B8" s="6">
        <v>4</v>
      </c>
      <c r="C8" s="84" t="s">
        <v>229</v>
      </c>
      <c r="D8" s="92">
        <v>40</v>
      </c>
      <c r="E8" s="6">
        <v>0.5</v>
      </c>
      <c r="F8" s="6">
        <f>40+42+42</f>
        <v>124</v>
      </c>
      <c r="G8" s="86">
        <f t="shared" si="2"/>
        <v>20</v>
      </c>
      <c r="H8" s="87">
        <f t="shared" si="3"/>
        <v>2480</v>
      </c>
      <c r="I8" s="88">
        <f t="shared" si="4"/>
        <v>0.47135432580309089</v>
      </c>
      <c r="J8" s="162">
        <f t="shared" si="5"/>
        <v>20.471354325803091</v>
      </c>
      <c r="K8" s="89">
        <f t="shared" si="10"/>
        <v>2538.4479363995833</v>
      </c>
      <c r="L8" s="93">
        <v>26</v>
      </c>
      <c r="M8" s="87">
        <f t="shared" si="6"/>
        <v>3224</v>
      </c>
      <c r="N8" s="87">
        <f t="shared" ca="1" si="7"/>
        <v>2704</v>
      </c>
      <c r="O8" s="94">
        <f t="shared" ca="1" si="8"/>
        <v>19</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3349.8579805859599</v>
      </c>
      <c r="B9" s="6">
        <v>5</v>
      </c>
      <c r="C9" s="84" t="s">
        <v>230</v>
      </c>
      <c r="D9" s="92">
        <f>(45*20)/22</f>
        <v>40.909090909090907</v>
      </c>
      <c r="E9" s="6">
        <v>0.5</v>
      </c>
      <c r="F9" s="6">
        <f>176+88+44+44+40+220+88+44+132+40+160</f>
        <v>1076</v>
      </c>
      <c r="G9" s="86">
        <f t="shared" si="2"/>
        <v>20.454545454545453</v>
      </c>
      <c r="H9" s="87">
        <f t="shared" si="3"/>
        <v>22009.090909090908</v>
      </c>
      <c r="I9" s="88">
        <f t="shared" si="4"/>
        <v>0.48206692411679741</v>
      </c>
      <c r="J9" s="162">
        <f t="shared" si="5"/>
        <v>20.93661237866225</v>
      </c>
      <c r="K9" s="89">
        <f t="shared" si="10"/>
        <v>22527.794919440581</v>
      </c>
      <c r="L9" s="93">
        <v>26</v>
      </c>
      <c r="M9" s="87">
        <f t="shared" si="6"/>
        <v>27976</v>
      </c>
      <c r="N9" s="87">
        <f t="shared" ca="1" si="7"/>
        <v>23738</v>
      </c>
      <c r="O9" s="94">
        <f t="shared" ca="1" si="8"/>
        <v>160</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f ca="1">SUMIFS('Tổng Đơn'!$F:$F,'Tổng Đơn'!$B:$B,$C9)</f>
        <v>22</v>
      </c>
      <c r="AL9" s="37">
        <v>0</v>
      </c>
      <c r="AM9" s="37">
        <v>0</v>
      </c>
      <c r="AN9" s="37">
        <v>0</v>
      </c>
      <c r="AO9" s="37">
        <v>0</v>
      </c>
      <c r="AP9" s="37">
        <v>0</v>
      </c>
      <c r="AQ9" s="37">
        <v>0</v>
      </c>
      <c r="AR9" s="37">
        <v>0</v>
      </c>
      <c r="AS9" s="37">
        <v>0</v>
      </c>
      <c r="AT9" s="37">
        <v>0</v>
      </c>
      <c r="AU9" s="37">
        <v>0</v>
      </c>
      <c r="AV9" s="37">
        <v>0</v>
      </c>
      <c r="AW9" s="82">
        <v>160</v>
      </c>
      <c r="AX9" s="82">
        <f t="shared" si="9"/>
        <v>3600</v>
      </c>
      <c r="AY9" s="82">
        <v>45</v>
      </c>
    </row>
    <row r="10" spans="1:51" ht="18.75" x14ac:dyDescent="0.25">
      <c r="A10" s="82">
        <f ca="1">J10*O10</f>
        <v>5627.7614073844134</v>
      </c>
      <c r="B10" s="6">
        <v>6</v>
      </c>
      <c r="C10" s="84" t="s">
        <v>231</v>
      </c>
      <c r="D10" s="92">
        <f>(64*20)/22</f>
        <v>58.18181818181818</v>
      </c>
      <c r="E10" s="6">
        <v>0.5</v>
      </c>
      <c r="F10" s="6">
        <f>176+88+88+132+88+132+44+44+40+80+120</f>
        <v>1032</v>
      </c>
      <c r="G10" s="86">
        <f t="shared" si="2"/>
        <v>29.09090909090909</v>
      </c>
      <c r="H10" s="87">
        <f t="shared" si="3"/>
        <v>30021.81818181818</v>
      </c>
      <c r="I10" s="88">
        <f t="shared" si="4"/>
        <v>0.68560629207722301</v>
      </c>
      <c r="J10" s="162">
        <f t="shared" si="5"/>
        <v>29.776515382986315</v>
      </c>
      <c r="K10" s="89">
        <f t="shared" si="10"/>
        <v>30729.363875241877</v>
      </c>
      <c r="L10" s="93">
        <v>35</v>
      </c>
      <c r="M10" s="87">
        <f t="shared" si="6"/>
        <v>36120</v>
      </c>
      <c r="N10" s="87">
        <f t="shared" ca="1" si="7"/>
        <v>29470</v>
      </c>
      <c r="O10" s="94">
        <f t="shared" ca="1" si="8"/>
        <v>189</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f ca="1">SUMIFS('Tổng Đơn'!$F:$F,'Tổng Đơn'!$B:$B,$C10)</f>
        <v>10</v>
      </c>
      <c r="AL10" s="37">
        <v>0</v>
      </c>
      <c r="AM10" s="37">
        <v>0</v>
      </c>
      <c r="AN10" s="37">
        <v>0</v>
      </c>
      <c r="AO10" s="37">
        <v>0</v>
      </c>
      <c r="AP10" s="37">
        <v>0</v>
      </c>
      <c r="AQ10" s="37">
        <v>0</v>
      </c>
      <c r="AR10" s="37">
        <v>0</v>
      </c>
      <c r="AS10" s="37">
        <v>0</v>
      </c>
      <c r="AT10" s="37">
        <v>0</v>
      </c>
      <c r="AU10" s="37">
        <v>0</v>
      </c>
      <c r="AV10" s="37">
        <v>0</v>
      </c>
      <c r="AW10" s="82">
        <v>120</v>
      </c>
      <c r="AX10" s="82">
        <f t="shared" si="9"/>
        <v>3840</v>
      </c>
      <c r="AY10" s="82">
        <v>64</v>
      </c>
    </row>
    <row r="11" spans="1:51" ht="18.75" x14ac:dyDescent="0.25">
      <c r="A11" s="82">
        <f t="shared" ca="1" si="1"/>
        <v>1291.0910966841723</v>
      </c>
      <c r="B11" s="6">
        <v>7</v>
      </c>
      <c r="C11" s="84" t="s">
        <v>232</v>
      </c>
      <c r="D11" s="92">
        <f>(75*20)/22</f>
        <v>68.181818181818187</v>
      </c>
      <c r="E11" s="6">
        <v>0.5</v>
      </c>
      <c r="F11" s="6">
        <f>44+44+88</f>
        <v>176</v>
      </c>
      <c r="G11" s="86">
        <f t="shared" si="2"/>
        <v>34.090909090909093</v>
      </c>
      <c r="H11" s="87">
        <f t="shared" si="3"/>
        <v>6000</v>
      </c>
      <c r="I11" s="88">
        <f t="shared" si="4"/>
        <v>0.80344487352799587</v>
      </c>
      <c r="J11" s="162">
        <f t="shared" si="5"/>
        <v>34.894353964437087</v>
      </c>
      <c r="K11" s="89">
        <f t="shared" si="10"/>
        <v>6141.4062977409276</v>
      </c>
      <c r="L11" s="93">
        <v>40</v>
      </c>
      <c r="M11" s="87">
        <f t="shared" si="6"/>
        <v>7040</v>
      </c>
      <c r="N11" s="87">
        <f t="shared" ca="1" si="7"/>
        <v>5480</v>
      </c>
      <c r="O11" s="94">
        <f t="shared" ca="1" si="8"/>
        <v>37</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f ca="1">SUMIFS('Tổng Đơn'!$F:$F,'Tổng Đơn'!$B:$B,$C11)</f>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1174.0321705848073</v>
      </c>
      <c r="B12" s="6">
        <v>8</v>
      </c>
      <c r="C12" s="84" t="s">
        <v>233</v>
      </c>
      <c r="D12" s="92">
        <v>74</v>
      </c>
      <c r="E12" s="6">
        <v>0.5</v>
      </c>
      <c r="F12" s="6">
        <f>80+80</f>
        <v>160</v>
      </c>
      <c r="G12" s="86">
        <f t="shared" si="2"/>
        <v>37</v>
      </c>
      <c r="H12" s="87">
        <f t="shared" si="3"/>
        <v>5920</v>
      </c>
      <c r="I12" s="88">
        <f t="shared" si="4"/>
        <v>0.8720055027357182</v>
      </c>
      <c r="J12" s="162">
        <f t="shared" si="5"/>
        <v>37.872005502735718</v>
      </c>
      <c r="K12" s="89">
        <f t="shared" si="10"/>
        <v>6059.5208804377144</v>
      </c>
      <c r="L12" s="93">
        <v>43</v>
      </c>
      <c r="M12" s="87">
        <f t="shared" si="6"/>
        <v>6880</v>
      </c>
      <c r="N12" s="87">
        <f t="shared" ca="1" si="7"/>
        <v>5547</v>
      </c>
      <c r="O12" s="94">
        <f t="shared" ca="1" si="8"/>
        <v>31</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f ca="1">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08" priority="8">
      <formula>($O6/$O6)&lt;=1/4</formula>
    </cfRule>
  </conditionalFormatting>
  <conditionalFormatting sqref="C5:C12">
    <cfRule type="expression" dxfId="40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L5" sqref="AL5:AL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11551.357031724698</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148951</v>
      </c>
      <c r="O4" s="39">
        <f t="shared" ca="1" si="0"/>
        <v>280</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ca="1" si="1"/>
        <v>11</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SUBTOTAL(9,AX5:AX102)</f>
        <v>2805</v>
      </c>
    </row>
    <row r="5" spans="1:50" ht="18.75" x14ac:dyDescent="0.25">
      <c r="A5" s="82">
        <f t="shared" ref="A5:A34" ca="1" si="2">IFERROR(J5*O5,"")</f>
        <v>152.76516267422804</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12200</v>
      </c>
      <c r="O5" s="91">
        <f t="shared" ref="O5:O30" ca="1" si="10">F5-SUM(Q5:AV5)-P5</f>
        <v>7</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f ca="1">SUMIFS('Tổng Đơn'!$F:$F,'Tổng Đơn'!$B:$B,$C5)</f>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f ca="1">SUMIFS('Tổng Đơn'!$F:$F,'Tổng Đơn'!$B:$B,$C6)</f>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f ca="1">SUMIFS('Tổng Đơn'!$F:$F,'Tổng Đơn'!$B:$B,$C7)</f>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1047.5325440518495</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9000</v>
      </c>
      <c r="O8" s="91">
        <f t="shared" ca="1" si="10"/>
        <v>34</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f ca="1">SUMIFS('Tổng Đơn'!$F:$F,'Tổng Đơn'!$B:$B,$C8)</f>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1222.1213013938243</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27520</v>
      </c>
      <c r="O9" s="91">
        <f t="shared" ca="1" si="10"/>
        <v>35</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f ca="1">SUMIFS('Tổng Đơn'!$F:$F,'Tổng Đơn'!$B:$B,$C9)</f>
        <v>2</v>
      </c>
      <c r="AL9" s="84">
        <v>0</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f ca="1">SUMIFS('Tổng Đơn'!$F:$F,'Tổng Đơn'!$B:$B,$C10)</f>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f>SUMIFS('Tổng Đơn'!$F:$F,'Tổng Đơn'!$B:$B,$C11)</f>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767.67703595956618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f ca="1">SUMIFS('Tổng Đơn'!$F:$F,'Tổng Đơn'!$B:$B,$C12)</f>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f ca="1">SUMIFS('Tổng Đơn'!$F:$F,'Tổng Đơn'!$B:$B,$C13)</f>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f>SUMIFS('Tổng Đơn'!$F:$F,'Tổng Đơn'!$B:$B,$C14)</f>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f>SUMIFS('Tổng Đơn'!$F:$F,'Tổng Đơn'!$B:$B,$C15)</f>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f>SUMIFS('Tổng Đơn'!$F:$F,'Tổng Đơn'!$B:$B,$C16)</f>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f>SUMIFS('Tổng Đơn'!$F:$F,'Tổng Đơn'!$B:$B,$C17)</f>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585.38583344073936</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6468</v>
      </c>
      <c r="O18" s="91">
        <f t="shared" ca="1" si="10"/>
        <v>20</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f ca="1">SUMIFS('Tổng Đơn'!$F:$F,'Tổng Đơn'!$B:$B,$C18)</f>
        <v>2</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f>SUMIFS('Tổng Đơn'!$F:$F,'Tổng Đơn'!$B:$B,$C19)</f>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f>SUMIFS('Tổng Đơn'!$F:$F,'Tổng Đơn'!$B:$B,$C20)</f>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700.40901474839359</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7720</v>
      </c>
      <c r="O21" s="91">
        <f t="shared" ca="1" si="10"/>
        <v>22</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f ca="1">SUMIFS('Tổng Đơn'!$F:$F,'Tổng Đơn'!$B:$B,$C21)</f>
        <v>2</v>
      </c>
      <c r="AL21" s="84">
        <v>0</v>
      </c>
      <c r="AM21" s="84">
        <v>0</v>
      </c>
      <c r="AN21" s="84">
        <v>0</v>
      </c>
      <c r="AO21" s="84">
        <v>0</v>
      </c>
      <c r="AP21" s="84">
        <v>0</v>
      </c>
      <c r="AQ21" s="84">
        <v>0</v>
      </c>
      <c r="AR21" s="84">
        <v>0</v>
      </c>
      <c r="AS21" s="84">
        <v>0</v>
      </c>
      <c r="AT21" s="84">
        <v>0</v>
      </c>
      <c r="AU21" s="84">
        <v>0</v>
      </c>
      <c r="AV21" s="84">
        <v>0</v>
      </c>
      <c r="AW21" s="82">
        <v>10</v>
      </c>
      <c r="AX21" s="82">
        <f t="shared" si="11"/>
        <v>310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f ca="1">SUMIFS('Tổng Đơn'!$F:$F,'Tổng Đơn'!$B:$B,$C22)</f>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f ca="1">SUMIFS('Tổng Đơn'!$F:$F,'Tổng Đơn'!$B:$B,$C23)</f>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360.47443427666587</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12015</v>
      </c>
      <c r="O24" s="91">
        <f t="shared" ca="1" si="10"/>
        <v>9</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f ca="1">SUMIFS('Tổng Đơn'!$F:$F,'Tổng Đơn'!$B:$B,$C24)</f>
        <v>1</v>
      </c>
      <c r="AL24" s="84">
        <v>0</v>
      </c>
      <c r="AM24" s="84">
        <v>0</v>
      </c>
      <c r="AN24" s="84">
        <v>0</v>
      </c>
      <c r="AO24" s="84">
        <v>0</v>
      </c>
      <c r="AP24" s="84">
        <v>0</v>
      </c>
      <c r="AQ24" s="84">
        <v>0</v>
      </c>
      <c r="AR24" s="84">
        <v>0</v>
      </c>
      <c r="AS24" s="84">
        <v>0</v>
      </c>
      <c r="AT24" s="84">
        <v>0</v>
      </c>
      <c r="AU24" s="84">
        <v>0</v>
      </c>
      <c r="AV24" s="84">
        <v>0</v>
      </c>
      <c r="AW24" s="82">
        <v>10</v>
      </c>
      <c r="AX24" s="82">
        <f t="shared" si="11"/>
        <v>390</v>
      </c>
    </row>
    <row r="25" spans="1:50" ht="18.75" x14ac:dyDescent="0.25">
      <c r="A25" s="82">
        <f t="shared" ca="1" si="2"/>
        <v>2382.6230413728345</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16240</v>
      </c>
      <c r="O25" s="91">
        <f t="shared" ca="1" si="10"/>
        <v>32</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f ca="1">SUMIFS('Tổng Đơn'!$F:$F,'Tổng Đơn'!$B:$B,$C25)</f>
        <v>1</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801.05429839259091</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1188</v>
      </c>
      <c r="O26" s="91">
        <f t="shared" ca="1" si="10"/>
        <v>20</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f ca="1">SUMIFS('Tổng Đơn'!$F:$F,'Tổng Đơn'!$B:$B,$C26)</f>
        <v>1</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424.14798107197441</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f ca="1">SUMIFS('Tổng Đơn'!$F:$F,'Tổng Đơn'!$B:$B,$C27)</f>
        <v>1</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388.20323691333249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f ca="1">SUMIFS('Tổng Đơn'!$F:$F,'Tổng Đơn'!$B:$B,$C28)</f>
        <v>1</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1047.5325440518495</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3102</v>
      </c>
      <c r="O29" s="91">
        <f t="shared" ca="1" si="10"/>
        <v>24</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f ca="1">SUMIFS('Tổng Đơn'!$F:$F,'Tổng Đơn'!$B:$B,$C29)</f>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f ca="1">SUMIFS('Tổng Đơn'!$F:$F,'Tổng Đơn'!$B:$B,$C30)</f>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06" priority="25">
      <formula>($O6/$O6)&lt;=1/4</formula>
    </cfRule>
  </conditionalFormatting>
  <conditionalFormatting sqref="C20">
    <cfRule type="expression" dxfId="405" priority="24">
      <formula>($O20/$O20)&lt;=1/4</formula>
    </cfRule>
  </conditionalFormatting>
  <conditionalFormatting sqref="C21">
    <cfRule type="expression" dxfId="404" priority="22">
      <formula>($O21/$O21)&lt;=1/4</formula>
    </cfRule>
  </conditionalFormatting>
  <conditionalFormatting sqref="C22">
    <cfRule type="expression" dxfId="403" priority="20">
      <formula>($O22/$O22)&lt;=1/4</formula>
    </cfRule>
  </conditionalFormatting>
  <conditionalFormatting sqref="C23">
    <cfRule type="expression" dxfId="402" priority="18">
      <formula>($O23/$O23)&lt;=1/4</formula>
    </cfRule>
  </conditionalFormatting>
  <conditionalFormatting sqref="C24:C25">
    <cfRule type="expression" dxfId="401" priority="16">
      <formula>($O24/$O24)&lt;=1/4</formula>
    </cfRule>
  </conditionalFormatting>
  <conditionalFormatting sqref="C26">
    <cfRule type="expression" dxfId="400" priority="14">
      <formula>($O26/$O26)&lt;=1/4</formula>
    </cfRule>
  </conditionalFormatting>
  <conditionalFormatting sqref="C27:C28">
    <cfRule type="expression" dxfId="399" priority="12">
      <formula>($O27/$O27)&lt;=1/4</formula>
    </cfRule>
  </conditionalFormatting>
  <conditionalFormatting sqref="C29">
    <cfRule type="expression" dxfId="398" priority="9">
      <formula>($O29/$O29)&lt;=1/4</formula>
    </cfRule>
  </conditionalFormatting>
  <conditionalFormatting sqref="C30:C32">
    <cfRule type="expression" dxfId="397" priority="7">
      <formula>($O30/$O30)&lt;=1/4</formula>
    </cfRule>
  </conditionalFormatting>
  <conditionalFormatting sqref="C5:C32">
    <cfRule type="expression" dxfId="39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305</v>
      </c>
      <c r="O68" s="252">
        <v>50000</v>
      </c>
      <c r="P68" s="155" t="str">
        <f t="shared" si="2"/>
        <v>G1</v>
      </c>
      <c r="Q68" s="146"/>
    </row>
    <row r="69" spans="1:18" ht="18.75" x14ac:dyDescent="0.3">
      <c r="A69" s="141">
        <v>64</v>
      </c>
      <c r="B69" s="142" t="s">
        <v>233</v>
      </c>
      <c r="C69" s="141" t="s">
        <v>205</v>
      </c>
      <c r="D69" s="143">
        <v>45000</v>
      </c>
      <c r="L69" s="248" t="s">
        <v>208</v>
      </c>
      <c r="M69" s="249" t="s">
        <v>211</v>
      </c>
      <c r="N69" s="251" t="s">
        <v>304</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306</v>
      </c>
      <c r="M71" s="249" t="s">
        <v>307</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J8" sqref="J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-379405</v>
      </c>
      <c r="J1" s="111" t="s">
        <v>149</v>
      </c>
      <c r="L1" s="242">
        <v>18373</v>
      </c>
    </row>
    <row r="2" spans="1:17" ht="27.75" customHeight="1" x14ac:dyDescent="0.25">
      <c r="G2" s="114" t="s">
        <v>148</v>
      </c>
      <c r="H2" s="105">
        <f>D1</f>
        <v>43462</v>
      </c>
      <c r="I2" s="106">
        <v>-19613</v>
      </c>
      <c r="J2" s="106" t="s">
        <v>152</v>
      </c>
      <c r="L2" s="242">
        <v>-100</v>
      </c>
    </row>
    <row r="3" spans="1:17" ht="27.75" customHeight="1" x14ac:dyDescent="0.25">
      <c r="G3" s="107" t="s">
        <v>150</v>
      </c>
      <c r="H3" s="119">
        <f>INT('Quốc Nhân'!K4+'La Cusina'!K4+TVP!J4+Gà!K4+Kitkool!K4)</f>
        <v>471960</v>
      </c>
      <c r="I3" s="108">
        <f>I1+I2</f>
        <v>-399018</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402348</v>
      </c>
      <c r="J4" s="113" t="s">
        <v>157</v>
      </c>
      <c r="L4" s="242"/>
    </row>
    <row r="5" spans="1:17" ht="27.75" customHeight="1" x14ac:dyDescent="0.25">
      <c r="A5" s="134" t="s">
        <v>223</v>
      </c>
      <c r="B5">
        <v>200</v>
      </c>
      <c r="G5" s="109" t="s">
        <v>196</v>
      </c>
      <c r="H5" s="149">
        <f>7400+5000+2400+10000</f>
        <v>24800</v>
      </c>
      <c r="I5" s="115">
        <f ca="1">I4+I3</f>
        <v>3330</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200+300+850</f>
        <v>1350</v>
      </c>
      <c r="J7" s="117"/>
      <c r="K7" s="117"/>
      <c r="L7" s="14"/>
      <c r="M7" s="14"/>
      <c r="N7" s="14"/>
      <c r="O7" s="14"/>
      <c r="P7" s="14"/>
      <c r="Q7" s="14"/>
    </row>
    <row r="8" spans="1:17" x14ac:dyDescent="0.25">
      <c r="A8" t="s">
        <v>242</v>
      </c>
      <c r="B8">
        <v>250</v>
      </c>
      <c r="C8" t="s">
        <v>131</v>
      </c>
      <c r="D8">
        <v>80</v>
      </c>
      <c r="E8" t="s">
        <v>129</v>
      </c>
      <c r="H8" s="117"/>
      <c r="I8" s="117">
        <f>1000+510</f>
        <v>1510</v>
      </c>
      <c r="J8" s="117"/>
      <c r="L8" s="14"/>
      <c r="M8" s="14"/>
      <c r="N8" s="14"/>
      <c r="O8" s="14"/>
      <c r="P8" s="14"/>
      <c r="Q8" s="14"/>
    </row>
    <row r="9" spans="1:17" x14ac:dyDescent="0.25">
      <c r="A9" t="s">
        <v>244</v>
      </c>
      <c r="B9">
        <v>400</v>
      </c>
      <c r="C9" t="s">
        <v>132</v>
      </c>
      <c r="D9">
        <v>145</v>
      </c>
      <c r="E9" t="s">
        <v>133</v>
      </c>
      <c r="G9" s="117"/>
      <c r="H9" s="117"/>
      <c r="I9" s="117">
        <f>415+30-10</f>
        <v>435</v>
      </c>
      <c r="J9" s="117"/>
      <c r="M9" s="14"/>
    </row>
    <row r="10" spans="1:17" x14ac:dyDescent="0.25">
      <c r="A10" t="s">
        <v>236</v>
      </c>
      <c r="B10">
        <v>300</v>
      </c>
      <c r="C10" t="s">
        <v>134</v>
      </c>
      <c r="D10">
        <v>800</v>
      </c>
      <c r="E10" t="s">
        <v>133</v>
      </c>
      <c r="H10" s="247"/>
      <c r="I10" s="117">
        <f>62+6-10</f>
        <v>58</v>
      </c>
      <c r="J10" s="117"/>
      <c r="M10" s="14"/>
    </row>
    <row r="11" spans="1:17" x14ac:dyDescent="0.25">
      <c r="A11" t="s">
        <v>237</v>
      </c>
      <c r="B11">
        <f>45+56</f>
        <v>101</v>
      </c>
      <c r="C11" t="s">
        <v>135</v>
      </c>
      <c r="D11">
        <v>1500</v>
      </c>
      <c r="E11" t="s">
        <v>133</v>
      </c>
      <c r="H11" s="247"/>
      <c r="I11" s="117">
        <f>59+6-6</f>
        <v>59</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L2" sqref="K2: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68178.211070554389</v>
      </c>
      <c r="B1" s="262" t="str">
        <f>"Tiền Hàng: "&amp;INT('Quốc Nhân'!K4+'La Cusina'!K4+TVP!J4+Gà!K4+Kitkool!K4)</f>
        <v>Tiền Hàng: 471960</v>
      </c>
      <c r="C1" s="261" t="str">
        <f ca="1">"Giá trị hàng Tồn: "&amp;INT('Quốc Nhân'!A4+'La Cusina'!A4+TVP!A4+Gà!A4+Kitkool!A4)</f>
        <v>Giá trị hàng Tồn: 69612</v>
      </c>
      <c r="D1" s="260" t="str">
        <f ca="1">"Giá trị Hàng xuất: "&amp;CHAR(10)&amp;INT('Quốc Nhân'!K4+'La Cusina'!K4+TVP!J4+Gà!K4+Kitkool!K4-('Quốc Nhân'!A4+'La Cusina'!A4+TVP!A4+Gà!A4+Kitkool!A4))</f>
        <v>Giá trị Hàng xuất: 
402348</v>
      </c>
      <c r="E1" s="263" t="str">
        <f ca="1">"Doanh Thu Tích Lũy: "&amp;INT('Quốc Nhân'!N4+'La Cusina'!N4+TVP!M4+Gà!N4+Kitkool!N4)</f>
        <v>Doanh Thu Tích Lũy: 470527</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-655</f>
        <v>-655</v>
      </c>
      <c r="H2" s="210" t="s">
        <v>301</v>
      </c>
      <c r="I2" s="203">
        <v>-374</v>
      </c>
      <c r="J2" s="204" t="s">
        <v>280</v>
      </c>
      <c r="K2" s="223"/>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59.2</v>
      </c>
      <c r="G4" s="55"/>
      <c r="H4" s="75">
        <f ca="1">SUBTOTAL(9,H5:H93)</f>
        <v>694116.17991552898</v>
      </c>
      <c r="I4" s="75">
        <f ca="1">K4-J4</f>
        <v>480116.17991552874</v>
      </c>
      <c r="J4" s="40">
        <f ca="1">SUBTOTAL(9,J5:J93)</f>
        <v>3211883.8200844713</v>
      </c>
      <c r="K4" s="60">
        <f ca="1">SUM(L4:BC4)</f>
        <v>3692000</v>
      </c>
      <c r="L4" s="79">
        <f ca="1">IFERROR(INDIRECT("'Thanh Toán ("&amp;L$3&amp;")'!$H"&amp;SUBTOTAL(3,INDIRECT("'Thanh Toán ("&amp;L$3&amp;")'!$H$8:$H$50"))+7-COUNTIF(INDIRECT("'Thanh Toán ("&amp;L$3&amp;")'!$H$8:$H$50"),""&amp;"*")),"")</f>
        <v>790000</v>
      </c>
      <c r="M4" s="79">
        <f t="shared" ref="M4:AN4" ca="1" si="0">IFERROR(INDIRECT("'Thanh Toán ("&amp;M$3&amp;")'!$H"&amp;SUBTOTAL(3,INDIRECT("'Thanh Toán ("&amp;M$3&amp;")'!$H$8:$H$50"))+7-COUNTIF(INDIRECT("'Thanh Toán ("&amp;M$3&amp;")'!$H$8:$H$50"),""&amp;"*")),"")</f>
        <v>850000</v>
      </c>
      <c r="N4" s="79">
        <f t="shared" ca="1" si="0"/>
        <v>28000</v>
      </c>
      <c r="O4" s="79">
        <f t="shared" ca="1" si="0"/>
        <v>344000</v>
      </c>
      <c r="P4" s="79">
        <f t="shared" ca="1" si="0"/>
        <v>282000</v>
      </c>
      <c r="Q4" s="79">
        <f t="shared" ca="1" si="0"/>
        <v>143000</v>
      </c>
      <c r="R4" s="79">
        <f t="shared" ca="1" si="0"/>
        <v>129000</v>
      </c>
      <c r="S4" s="79">
        <f t="shared" ca="1" si="0"/>
        <v>50000</v>
      </c>
      <c r="T4" s="79">
        <f t="shared" ca="1" si="0"/>
        <v>40000</v>
      </c>
      <c r="U4" s="79">
        <f t="shared" ca="1" si="0"/>
        <v>796000</v>
      </c>
      <c r="V4" s="79">
        <f t="shared" ca="1" si="0"/>
        <v>240000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1</v>
      </c>
      <c r="G5" s="198">
        <f>IFERROR(VLOOKUP($B5,Gà!C:J,8,0),IFERROR(VLOOKUP($B5,TVP!C:J,7,0),IFERROR(VLOOKUP($B5,Kitkool!C:J,8,0),IFERROR(VLOOKUP($B5,'La Cusina'!C:J,8,0),VLOOKUP($B5,'Quốc Nhân'!C:J,8,0)))))</f>
        <v>32.884152121786649</v>
      </c>
      <c r="H5" s="199">
        <f ca="1">(D5-G5*1000)*$F5</f>
        <v>17115.847878213353</v>
      </c>
      <c r="I5" s="222">
        <f>D5/(G5*1000)-1</f>
        <v>0.52048925618713571</v>
      </c>
      <c r="J5" s="199">
        <f ca="1">F5*G5*1000</f>
        <v>32884.152121786647</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1</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2</v>
      </c>
      <c r="G6" s="198">
        <f>IFERROR(VLOOKUP($B6,Gà!C:J,8,0),IFERROR(VLOOKUP($B6,TVP!C:J,7,0),IFERROR(VLOOKUP($B6,Kitkool!C:J,8,0),IFERROR(VLOOKUP($B6,'La Cusina'!C:J,8,0),VLOOKUP($B6,'Quốc Nhân'!C:J,8,0)))))</f>
        <v>58.733992767952508</v>
      </c>
      <c r="H6" s="199">
        <f ca="1">(D6-G6*1000)*$F6</f>
        <v>12532.014464094987</v>
      </c>
      <c r="I6" s="222">
        <f>D6/(G6*1000)-1</f>
        <v>0.10668450988515921</v>
      </c>
      <c r="J6" s="199">
        <f ca="1">F6*G6*1000</f>
        <v>117467.98553590501</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2</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3.6</v>
      </c>
      <c r="G7" s="198">
        <f>IFERROR(VLOOKUP($B7,Gà!C:J,8,0),IFERROR(VLOOKUP($B7,TVP!C:J,7,0),IFERROR(VLOOKUP($B7,Kitkool!C:J,8,0),IFERROR(VLOOKUP($B7,'La Cusina'!C:J,8,0),VLOOKUP($B7,'Quốc Nhân'!C:J,8,0)))))</f>
        <v>54.193556571683487</v>
      </c>
      <c r="H7" s="199">
        <f ca="1">(D7-G7*1000)*$F7</f>
        <v>56903.196341939438</v>
      </c>
      <c r="I7" s="222">
        <f t="shared" ref="I7:I70" si="3">D7/(G7*1000)-1</f>
        <v>0.29166647159259318</v>
      </c>
      <c r="J7" s="199">
        <f t="shared" ref="J7:J70" ca="1" si="4">F7*G7*1000</f>
        <v>195096.80365806055</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0.6</v>
      </c>
      <c r="U7" s="179">
        <f ca="1">IFERROR(SUMIFS(INDIRECT("'Thanh Toán ("&amp;U$3&amp;")'!$F:$F"),INDIRECT("'Thanh Toán ("&amp;U$3&amp;")'!$D:$D"),'Tổng Đơn'!$B7),0)</f>
        <v>3</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10</v>
      </c>
      <c r="G9" s="198">
        <f>IFERROR(VLOOKUP($B9,Gà!C:J,8,0),IFERROR(VLOOKUP($B9,TVP!C:J,7,0),IFERROR(VLOOKUP($B9,Kitkool!C:J,8,0),IFERROR(VLOOKUP($B9,'La Cusina'!C:J,8,0),VLOOKUP($B9,'Quốc Nhân'!C:J,8,0)))))</f>
        <v>41.458492425579244</v>
      </c>
      <c r="H9" s="199">
        <f t="shared" ca="1" si="5"/>
        <v>65415.07574420757</v>
      </c>
      <c r="I9" s="222">
        <f t="shared" si="3"/>
        <v>0.15778450184032144</v>
      </c>
      <c r="J9" s="199">
        <f t="shared" ca="1" si="4"/>
        <v>414584.9242557924</v>
      </c>
      <c r="K9" s="53"/>
      <c r="L9" s="2">
        <f ca="1">IFERROR(SUMIFS(INDIRECT("'Thanh Toán ("&amp;L$3&amp;")'!$F:$F"),INDIRECT("'Thanh Toán ("&amp;L$3&amp;")'!$D:$D"),'Tổng Đơn'!$B9),0)</f>
        <v>0</v>
      </c>
      <c r="M9" s="2">
        <f ca="1">IFERROR(SUMIFS(INDIRECT("'Thanh Toán ("&amp;M$3&amp;")'!$F:$F"),INDIRECT("'Thanh Toán ("&amp;M$3&amp;")'!$D:$D"),'Tổng Đơn'!$B9),0)</f>
        <v>10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21.823594667746864</v>
      </c>
      <c r="H10" s="199">
        <f t="shared" ca="1" si="5"/>
        <v>0</v>
      </c>
      <c r="I10" s="222">
        <f t="shared" si="3"/>
        <v>0.14554913526448288</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0.14948117889983389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33.269160588427788</v>
      </c>
      <c r="H13" s="199">
        <f t="shared" ca="1" si="5"/>
        <v>0</v>
      </c>
      <c r="I13" s="222">
        <f t="shared" si="3"/>
        <v>0.14219894123862464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38.387492986647452</v>
      </c>
      <c r="H14" s="199">
        <f t="shared" ca="1" si="5"/>
        <v>0</v>
      </c>
      <c r="I14" s="222">
        <f t="shared" si="3"/>
        <v>9.4106354239103629E-2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2</v>
      </c>
      <c r="G15" s="198">
        <f>IFERROR(VLOOKUP($B15,Gà!C:J,8,0),IFERROR(VLOOKUP($B15,TVP!C:J,7,0),IFERROR(VLOOKUP($B15,Kitkool!C:J,8,0),IFERROR(VLOOKUP($B15,'La Cusina'!C:J,8,0),VLOOKUP($B15,'Quốc Nhân'!C:J,8,0)))))</f>
        <v>30.198161149495995</v>
      </c>
      <c r="H15" s="199">
        <f t="shared" ca="1" si="5"/>
        <v>9603.6777010080114</v>
      </c>
      <c r="I15" s="222">
        <f t="shared" si="3"/>
        <v>0.15901096847362672</v>
      </c>
      <c r="J15" s="199">
        <f t="shared" ca="1" si="4"/>
        <v>60396.322298991989</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2</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32.245494108783859</v>
      </c>
      <c r="H16" s="199">
        <f t="shared" ca="1" si="5"/>
        <v>38263.517673648421</v>
      </c>
      <c r="I16" s="222">
        <f t="shared" si="3"/>
        <v>0.39554381918253001</v>
      </c>
      <c r="J16" s="199">
        <f t="shared" ca="1" si="4"/>
        <v>96736.482326351572</v>
      </c>
      <c r="K16" s="53"/>
      <c r="L16" s="2">
        <f ca="1">IFERROR(SUMIFS(INDIRECT("'Thanh Toán ("&amp;L$3&amp;")'!$F:$F"),INDIRECT("'Thanh Toán ("&amp;L$3&amp;")'!$D:$D"),'Tổng Đơn'!$B16),0)</f>
        <v>3</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44.160685680617185</v>
      </c>
      <c r="H17" s="199">
        <f t="shared" ca="1" si="5"/>
        <v>0</v>
      </c>
      <c r="I17" s="222">
        <f t="shared" si="3"/>
        <v>0.13222879648233765</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40.946659185757284</v>
      </c>
      <c r="H18" s="199">
        <f t="shared" ca="1" si="5"/>
        <v>0</v>
      </c>
      <c r="I18" s="222">
        <f t="shared" si="3"/>
        <v>9.8990757606242319E-2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40.946659185757284</v>
      </c>
      <c r="H19" s="199">
        <f t="shared" ca="1" si="5"/>
        <v>0</v>
      </c>
      <c r="I19" s="222">
        <f t="shared" si="3"/>
        <v>9.8990757606242319E-2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40.946659185757284</v>
      </c>
      <c r="H20" s="199">
        <f t="shared" ca="1" si="5"/>
        <v>0</v>
      </c>
      <c r="I20" s="222">
        <f t="shared" si="3"/>
        <v>9.8990757606242319E-2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40.946659185757284</v>
      </c>
      <c r="H21" s="199">
        <f t="shared" ca="1" si="5"/>
        <v>0</v>
      </c>
      <c r="I21" s="222">
        <f t="shared" si="3"/>
        <v>9.8990757606242319E-2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40.946659185757284</v>
      </c>
      <c r="H22" s="199">
        <f t="shared" ca="1" si="5"/>
        <v>0</v>
      </c>
      <c r="I22" s="222">
        <f t="shared" si="3"/>
        <v>9.8990757606242319E-2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34.917751468394982</v>
      </c>
      <c r="H23" s="199">
        <f t="shared" ca="1" si="5"/>
        <v>10164.49706321003</v>
      </c>
      <c r="I23" s="222">
        <f t="shared" si="3"/>
        <v>0.14554913526448288</v>
      </c>
      <c r="J23" s="199">
        <f t="shared" ca="1" si="4"/>
        <v>69835.50293678997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30.809780707407338</v>
      </c>
      <c r="H24" s="199">
        <f t="shared" ca="1" si="5"/>
        <v>0</v>
      </c>
      <c r="I24" s="222">
        <f t="shared" si="3"/>
        <v>0.29828901996641388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29.269291672036971</v>
      </c>
      <c r="H26" s="199">
        <f t="shared" ca="1" si="5"/>
        <v>11461.416655926056</v>
      </c>
      <c r="I26" s="222">
        <f t="shared" si="3"/>
        <v>0.19579251839011813</v>
      </c>
      <c r="J26" s="199">
        <f t="shared" ca="1" si="4"/>
        <v>58538.583344073944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2</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59.052079689197399</v>
      </c>
      <c r="H27" s="199">
        <f t="shared" ca="1" si="5"/>
        <v>0</v>
      </c>
      <c r="I27" s="222">
        <f t="shared" si="3"/>
        <v>0.16846011796977245</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33.780993828249755</v>
      </c>
      <c r="H28" s="199">
        <f t="shared" ca="1" si="5"/>
        <v>0</v>
      </c>
      <c r="I28" s="222">
        <f t="shared" si="3"/>
        <v>0.18409778597305593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40.946659185757284</v>
      </c>
      <c r="H29" s="199">
        <f t="shared" ca="1" si="5"/>
        <v>0</v>
      </c>
      <c r="I29" s="222">
        <f t="shared" si="3"/>
        <v>0.22110084178471356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31.836773397654252</v>
      </c>
      <c r="H46" s="199">
        <f t="shared" ca="1" si="5"/>
        <v>16326.453204691497</v>
      </c>
      <c r="I46" s="222">
        <f t="shared" si="3"/>
        <v>0.25640872899975542</v>
      </c>
      <c r="J46" s="199">
        <f t="shared" ca="1" si="4"/>
        <v>63673.546795308503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2</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2</v>
      </c>
      <c r="G48" s="198">
        <f>IFERROR(VLOOKUP($B48,Gà!C:J,8,0),IFERROR(VLOOKUP($B48,TVP!C:J,7,0),IFERROR(VLOOKUP($B48,Kitkool!C:J,8,0),IFERROR(VLOOKUP($B48,'La Cusina'!C:J,8,0),VLOOKUP($B48,'Quốc Nhân'!C:J,8,0)))))</f>
        <v>98.583333333333329</v>
      </c>
      <c r="H48" s="199">
        <f t="shared" ca="1" si="5"/>
        <v>12833.333333333343</v>
      </c>
      <c r="I48" s="222">
        <f t="shared" si="3"/>
        <v>6.5088757396449815E-2</v>
      </c>
      <c r="J48" s="199">
        <f t="shared" ca="1" si="4"/>
        <v>197166.66666666666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38.387492986647452</v>
      </c>
      <c r="H49" s="199">
        <f t="shared" ca="1" si="5"/>
        <v>3612.5070133525514</v>
      </c>
      <c r="I49" s="222">
        <f t="shared" si="3"/>
        <v>9.4106354239103629E-2</v>
      </c>
      <c r="J49" s="199">
        <f t="shared" ca="1" si="4"/>
        <v>38387.492986647449</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27.841034387157993</v>
      </c>
      <c r="H50" s="199">
        <f t="shared" ca="1" si="5"/>
        <v>0</v>
      </c>
      <c r="I50" s="222">
        <f t="shared" si="3"/>
        <v>0.25713719947647373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1</v>
      </c>
      <c r="G54" s="198">
        <f>IFERROR(VLOOKUP($B54,Gà!C:J,8,0),IFERROR(VLOOKUP($B54,TVP!C:J,7,0),IFERROR(VLOOKUP($B54,Kitkool!C:J,8,0),IFERROR(VLOOKUP($B54,'La Cusina'!C:J,8,0),VLOOKUP($B54,'Quốc Nhân'!C:J,8,0)))))</f>
        <v>40.052714919629544</v>
      </c>
      <c r="H54" s="199">
        <f t="shared" ca="1" si="5"/>
        <v>8947.2850803704569</v>
      </c>
      <c r="I54" s="222">
        <f t="shared" si="3"/>
        <v>0.22338773035296677</v>
      </c>
      <c r="J54" s="199">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74.456970042901077</v>
      </c>
      <c r="H55" s="199">
        <f t="shared" ca="1" si="5"/>
        <v>5543.02995709893</v>
      </c>
      <c r="I55" s="222">
        <f t="shared" si="3"/>
        <v>7.4446085489445979E-2</v>
      </c>
      <c r="J55" s="199">
        <f t="shared" ca="1" si="4"/>
        <v>74456.97004290107</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1</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1</v>
      </c>
      <c r="G56" s="198">
        <f>IFERROR(VLOOKUP($B56,Gà!C:J,8,0),IFERROR(VLOOKUP($B56,TVP!C:J,7,0),IFERROR(VLOOKUP($B56,Kitkool!C:J,8,0),IFERROR(VLOOKUP($B56,'La Cusina'!C:J,8,0),VLOOKUP($B56,'Quốc Nhân'!C:J,8,0)))))</f>
        <v>40.052714919629544</v>
      </c>
      <c r="H56" s="199">
        <f t="shared" ca="1" si="5"/>
        <v>3947.2850803704569</v>
      </c>
      <c r="I56" s="222">
        <f t="shared" si="3"/>
        <v>9.8552247663888703E-2</v>
      </c>
      <c r="J56" s="199">
        <f t="shared" ca="1" si="4"/>
        <v>40052.714919629543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1</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1</v>
      </c>
      <c r="G57" s="198">
        <f>IFERROR(VLOOKUP($B57,Gà!C:J,8,0),IFERROR(VLOOKUP($B57,TVP!C:J,7,0),IFERROR(VLOOKUP($B57,Kitkool!C:J,8,0),IFERROR(VLOOKUP($B57,'La Cusina'!C:J,8,0),VLOOKUP($B57,'Quốc Nhân'!C:J,8,0)))))</f>
        <v>30.296284362283885</v>
      </c>
      <c r="H57" s="199">
        <f t="shared" ca="1" si="5"/>
        <v>4703.7156377161155</v>
      </c>
      <c r="I57" s="222">
        <f t="shared" si="3"/>
        <v>0.1552571787836734</v>
      </c>
      <c r="J57" s="199">
        <f t="shared" ca="1" si="4"/>
        <v>30296.284362283885</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1</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1</v>
      </c>
      <c r="G58" s="198">
        <f>IFERROR(VLOOKUP($B58,Gà!C:J,8,0),IFERROR(VLOOKUP($B58,TVP!C:J,7,0),IFERROR(VLOOKUP($B58,Kitkool!C:J,8,0),IFERROR(VLOOKUP($B58,'La Cusina'!C:J,8,0),VLOOKUP($B58,'Quốc Nhân'!C:J,8,0)))))</f>
        <v>32.350269742777705</v>
      </c>
      <c r="H58" s="199">
        <f t="shared" ca="1" si="5"/>
        <v>5649.7302572222943</v>
      </c>
      <c r="I58" s="222">
        <f t="shared" si="3"/>
        <v>0.17464244663627926</v>
      </c>
      <c r="J58" s="199">
        <f t="shared" ca="1" si="4"/>
        <v>32350.269742777706</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1</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1</v>
      </c>
      <c r="G59" s="198">
        <f>IFERROR(VLOOKUP($B59,Gà!C:J,8,0),IFERROR(VLOOKUP($B59,TVP!C:J,7,0),IFERROR(VLOOKUP($B59,Kitkool!C:J,8,0),IFERROR(VLOOKUP($B59,'La Cusina'!C:J,8,0),VLOOKUP($B59,'Quốc Nhân'!C:J,8,0)))))</f>
        <v>61.419988778635918</v>
      </c>
      <c r="H59" s="199">
        <f t="shared" ca="1" si="5"/>
        <v>8580.0112213640823</v>
      </c>
      <c r="I59" s="222">
        <f t="shared" si="3"/>
        <v>0.13969411899906636</v>
      </c>
      <c r="J59" s="199">
        <f t="shared" ca="1" si="4"/>
        <v>61419.988778635918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1</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45.041325104333012</v>
      </c>
      <c r="H60" s="199">
        <f t="shared" ca="1" si="5"/>
        <v>0</v>
      </c>
      <c r="I60" s="222">
        <f t="shared" si="3"/>
        <v>0.19889900829771912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43.647189335493728</v>
      </c>
      <c r="H61" s="199">
        <f t="shared" ca="1" si="5"/>
        <v>0</v>
      </c>
      <c r="I61" s="222">
        <f t="shared" si="3"/>
        <v>7.6816187148613935E-2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37.363826507003516</v>
      </c>
      <c r="H63" s="199">
        <f t="shared" ca="1" si="5"/>
        <v>0</v>
      </c>
      <c r="I63" s="222">
        <f t="shared" si="3"/>
        <v>0.12408187079359956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2</v>
      </c>
      <c r="G64" s="198">
        <f>IFERROR(VLOOKUP($B64,Gà!C:J,8,0),IFERROR(VLOOKUP($B64,TVP!C:J,7,0),IFERROR(VLOOKUP($B64,Kitkool!C:J,8,0),IFERROR(VLOOKUP($B64,'La Cusina'!C:J,8,0),VLOOKUP($B64,'Quốc Nhân'!C:J,8,0)))))</f>
        <v>12.283997755727185</v>
      </c>
      <c r="H64" s="199">
        <f t="shared" ca="1" si="5"/>
        <v>7432.00448854563</v>
      </c>
      <c r="I64" s="222">
        <f t="shared" si="3"/>
        <v>0.30250756457036143</v>
      </c>
      <c r="J64" s="199">
        <f t="shared" ca="1" si="4"/>
        <v>24567.99551145437</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2</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37</v>
      </c>
      <c r="G65" s="198">
        <f>IFERROR(VLOOKUP($B65,Gà!C:J,8,0),IFERROR(VLOOKUP($B65,TVP!C:J,7,0),IFERROR(VLOOKUP($B65,Kitkool!C:J,8,0),IFERROR(VLOOKUP($B65,'La Cusina'!C:J,8,0),VLOOKUP($B65,'Quốc Nhân'!C:J,8,0)))))</f>
        <v>19.447786609512935</v>
      </c>
      <c r="H65" s="199">
        <f t="shared" ca="1" si="5"/>
        <v>205431.89544802139</v>
      </c>
      <c r="I65" s="222">
        <f t="shared" si="3"/>
        <v>0.28549333155327727</v>
      </c>
      <c r="J65" s="199">
        <f t="shared" ca="1" si="4"/>
        <v>719568.10455197864</v>
      </c>
      <c r="K65" s="53"/>
      <c r="L65" s="2">
        <f ca="1">IFERROR(SUMIFS(INDIRECT("'Thanh Toán ("&amp;L$3&amp;")'!$F:$F"),INDIRECT("'Thanh Toán ("&amp;L$3&amp;")'!$D:$D"),'Tổng Đơn'!$B65),0)</f>
        <v>10</v>
      </c>
      <c r="M65" s="2">
        <f ca="1">IFERROR(SUMIFS(INDIRECT("'Thanh Toán ("&amp;M$3&amp;")'!$F:$F"),INDIRECT("'Thanh Toán ("&amp;M$3&amp;")'!$D:$D"),'Tổng Đơn'!$B65),0)</f>
        <v>10</v>
      </c>
      <c r="N65" s="2">
        <f ca="1">IFERROR(SUMIFS(INDIRECT("'Thanh Toán ("&amp;N$3&amp;")'!$F:$F"),INDIRECT("'Thanh Toán ("&amp;N$3&amp;")'!$D:$D"),'Tổng Đơn'!$B65),0)</f>
        <v>0</v>
      </c>
      <c r="O65" s="2">
        <f ca="1">IFERROR(SUMIFS(INDIRECT("'Thanh Toán ("&amp;O$3&amp;")'!$F:$F"),INDIRECT("'Thanh Toán ("&amp;O$3&amp;")'!$D:$D"),'Tổng Đơn'!$B65),0)</f>
        <v>3</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3</v>
      </c>
      <c r="V65" s="2">
        <f ca="1">IFERROR(SUMIFS(INDIRECT("'Thanh Toán ("&amp;V$3&amp;")'!$F:$F"),INDIRECT("'Thanh Toán ("&amp;V$3&amp;")'!$D:$D"),'Tổng Đơn'!$B65),0)</f>
        <v>10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21.494922042093247</v>
      </c>
      <c r="H66" s="199">
        <f t="shared" ca="1" si="5"/>
        <v>0</v>
      </c>
      <c r="I66" s="222">
        <f t="shared" si="3"/>
        <v>0.20958801102346469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4</v>
      </c>
      <c r="G67" s="198">
        <f>IFERROR(VLOOKUP($B67,Gà!C:J,8,0),IFERROR(VLOOKUP($B67,TVP!C:J,7,0),IFERROR(VLOOKUP($B67,Kitkool!C:J,8,0),IFERROR(VLOOKUP($B67,'La Cusina'!C:J,8,0),VLOOKUP($B67,'Quốc Nhân'!C:J,8,0)))))</f>
        <v>21.494922042093247</v>
      </c>
      <c r="H67" s="199">
        <f t="shared" ca="1" si="5"/>
        <v>26020.311831627012</v>
      </c>
      <c r="I67" s="222">
        <f t="shared" si="3"/>
        <v>0.30263324264065417</v>
      </c>
      <c r="J67" s="199">
        <f t="shared" ca="1" si="4"/>
        <v>85979.688168372988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3</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0</v>
      </c>
      <c r="G68" s="198">
        <f>IFERROR(VLOOKUP($B68,Gà!C:J,8,0),IFERROR(VLOOKUP($B68,TVP!C:J,7,0),IFERROR(VLOOKUP($B68,Kitkool!C:J,8,0),IFERROR(VLOOKUP($B68,'La Cusina'!C:J,8,0),VLOOKUP($B68,'Quốc Nhân'!C:J,8,0)))))</f>
        <v>20.471354325803091</v>
      </c>
      <c r="H68" s="199">
        <f t="shared" ca="1" si="5"/>
        <v>0</v>
      </c>
      <c r="I68" s="222">
        <f t="shared" si="3"/>
        <v>0.36776490477268697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22</v>
      </c>
      <c r="G69" s="198">
        <f>IFERROR(VLOOKUP($B69,Gà!C:J,8,0),IFERROR(VLOOKUP($B69,TVP!C:J,7,0),IFERROR(VLOOKUP($B69,Kitkool!C:J,8,0),IFERROR(VLOOKUP($B69,'La Cusina'!C:J,8,0),VLOOKUP($B69,'Quốc Nhân'!C:J,8,0)))))</f>
        <v>20.93661237866225</v>
      </c>
      <c r="H69" s="199">
        <f t="shared" ca="1" si="5"/>
        <v>111394.52766943045</v>
      </c>
      <c r="I69" s="222">
        <f t="shared" si="3"/>
        <v>0.24184369131742378</v>
      </c>
      <c r="J69" s="199">
        <f t="shared" ca="1" si="4"/>
        <v>460605.47233056952</v>
      </c>
      <c r="K69" s="53"/>
      <c r="L69" s="2">
        <f ca="1">IFERROR(SUMIFS(INDIRECT("'Thanh Toán ("&amp;L$3&amp;")'!$F:$F"),INDIRECT("'Thanh Toán ("&amp;L$3&amp;")'!$D:$D"),'Tổng Đơn'!$B69),0)</f>
        <v>10</v>
      </c>
      <c r="M69" s="2">
        <f ca="1">IFERROR(SUMIFS(INDIRECT("'Thanh Toán ("&amp;M$3&amp;")'!$F:$F"),INDIRECT("'Thanh Toán ("&amp;M$3&amp;")'!$D:$D"),'Tổng Đơn'!$B69),0)</f>
        <v>10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10</v>
      </c>
      <c r="G70" s="198">
        <f>IFERROR(VLOOKUP($B70,Gà!C:J,8,0),IFERROR(VLOOKUP($B70,TVP!C:J,7,0),IFERROR(VLOOKUP($B70,Kitkool!C:J,8,0),IFERROR(VLOOKUP($B70,'La Cusina'!C:J,8,0),VLOOKUP($B70,'Quốc Nhân'!C:J,8,0)))))</f>
        <v>29.776515382986315</v>
      </c>
      <c r="H70" s="199">
        <f t="shared" ca="1" si="5"/>
        <v>52234.846170136843</v>
      </c>
      <c r="I70" s="222">
        <f t="shared" si="3"/>
        <v>0.17542296503902799</v>
      </c>
      <c r="J70" s="199">
        <f t="shared" ca="1" si="4"/>
        <v>297765.15382986318</v>
      </c>
      <c r="K70" s="53"/>
      <c r="L70" s="2">
        <f ca="1">IFERROR(SUMIFS(INDIRECT("'Thanh Toán ("&amp;L$3&amp;")'!$F:$F"),INDIRECT("'Thanh Toán ("&amp;L$3&amp;")'!$D:$D"),'Tổng Đơn'!$B70),0)</f>
        <v>5</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3</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0</v>
      </c>
      <c r="G71" s="198">
        <f>IFERROR(VLOOKUP($B71,Gà!C:J,8,0),IFERROR(VLOOKUP($B71,TVP!C:J,7,0),IFERROR(VLOOKUP($B71,Kitkool!C:J,8,0),IFERROR(VLOOKUP($B71,'La Cusina'!C:J,8,0),VLOOKUP($B71,'Quốc Nhân'!C:J,8,0)))))</f>
        <v>34.894353964437087</v>
      </c>
      <c r="H71" s="199">
        <f t="shared" ref="H71:H74" ca="1" si="8">(D71-G71*1000)*$F71</f>
        <v>0</v>
      </c>
      <c r="I71" s="222">
        <f t="shared" ref="I71:I74" si="9">D71/(G71*1000)-1</f>
        <v>0.20363311619996449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0</v>
      </c>
      <c r="G72" s="198">
        <f>IFERROR(VLOOKUP($B72,Gà!C:J,8,0),IFERROR(VLOOKUP($B72,TVP!C:J,7,0),IFERROR(VLOOKUP($B72,Kitkool!C:J,8,0),IFERROR(VLOOKUP($B72,'La Cusina'!C:J,8,0),VLOOKUP($B72,'Quốc Nhân'!C:J,8,0)))))</f>
        <v>37.872005502735718</v>
      </c>
      <c r="H72" s="199">
        <f t="shared" ca="1" si="8"/>
        <v>0</v>
      </c>
      <c r="I72" s="222">
        <f t="shared" si="9"/>
        <v>0.18821275511140767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34.804660307893691</v>
      </c>
      <c r="H73" s="199">
        <f t="shared" ca="1" si="8"/>
        <v>0</v>
      </c>
      <c r="I73" s="222">
        <f t="shared" si="9"/>
        <v>0.14927138050325994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33.064427292499005</v>
      </c>
      <c r="H74" s="199">
        <f t="shared" ca="1" si="8"/>
        <v>0</v>
      </c>
      <c r="I74" s="222">
        <f t="shared" si="9"/>
        <v>0.2097593478981683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4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323</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313</v>
      </c>
      <c r="E9" s="45" t="s">
        <v>288</v>
      </c>
      <c r="F9" s="45" t="s">
        <v>288</v>
      </c>
      <c r="G9" s="186" t="s">
        <v>288</v>
      </c>
      <c r="H9" s="176">
        <v>-10000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4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5.6</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48</v>
      </c>
      <c r="B11" s="178">
        <v>1</v>
      </c>
      <c r="C11" s="45">
        <f t="shared" si="0"/>
        <v>4</v>
      </c>
      <c r="D11" s="175" t="str">
        <f>IFERROR(VLOOKUP($A11,Sheet1!$A$1:$B$98,2,0),"")</f>
        <v>Hồ lô ĐNA</v>
      </c>
      <c r="E11" s="45">
        <f>IFERROR(VLOOKUP($A11,'Tổng Đơn'!$A$5:$E$73,5,0),"")</f>
        <v>0.5</v>
      </c>
      <c r="F11" s="45">
        <f t="shared" si="1"/>
        <v>1</v>
      </c>
      <c r="G11" s="186">
        <f>IF(AND($C11="",$C10&lt;&gt;""),"Tổng Cộng",IFERROR(VLOOKUP($A11,Sheet1!$A$1:$D$98,4,0),""))</f>
        <v>44000</v>
      </c>
      <c r="H11" s="176">
        <f>IF($C10=MAX($C$8:$C$56),SUM($H$8:$H10),IFERROR($G11*$F11,""))</f>
        <v>44000</v>
      </c>
      <c r="I11" s="78">
        <f t="shared" si="2"/>
        <v>0.5</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56</v>
      </c>
      <c r="B13" s="178">
        <v>2</v>
      </c>
      <c r="C13" s="45">
        <f t="shared" si="0"/>
        <v>6</v>
      </c>
      <c r="D13" s="175" t="str">
        <f>IFERROR(VLOOKUP($A13,Sheet1!$A$1:$B$98,2,0),"")</f>
        <v>Bánh bao ngọt không nhân</v>
      </c>
      <c r="E13" s="45">
        <f>IFERROR(VLOOKUP($A13,'Tổng Đơn'!$A$5:$E$73,5,0),"")</f>
        <v>0.3</v>
      </c>
      <c r="F13" s="45">
        <f t="shared" si="1"/>
        <v>2</v>
      </c>
      <c r="G13" s="186">
        <f>IF(AND($C13="",$C12&lt;&gt;""),"Tổng Cộng",IFERROR(VLOOKUP($A13,Sheet1!$A$1:$D$98,4,0),""))</f>
        <v>16000</v>
      </c>
      <c r="H13" s="176">
        <f>IF($C12=MAX($C$8:$C$56),SUM($H$8:$H12),IFERROR($G13*$F13,""))</f>
        <v>32000</v>
      </c>
      <c r="I13" s="78">
        <f t="shared" si="2"/>
        <v>0.6</v>
      </c>
      <c r="L13" s="46"/>
    </row>
    <row r="14" spans="1:14" s="44" customFormat="1" ht="14.25" customHeight="1" x14ac:dyDescent="0.25">
      <c r="A14" s="178">
        <v>57</v>
      </c>
      <c r="B14" s="178">
        <v>3</v>
      </c>
      <c r="C14" s="45">
        <f t="shared" si="0"/>
        <v>7</v>
      </c>
      <c r="D14" s="175" t="str">
        <f>IFERROR(VLOOKUP($A14,Sheet1!$A$1:$B$98,2,0),"")</f>
        <v>Cá viên KK</v>
      </c>
      <c r="E14" s="45">
        <f>IFERROR(VLOOKUP($A14,'Tổng Đơn'!$A$5:$E$73,5,0),"")</f>
        <v>0.5</v>
      </c>
      <c r="F14" s="45">
        <f t="shared" si="1"/>
        <v>3</v>
      </c>
      <c r="G14" s="186">
        <f>IF(AND($C14="",$C13&lt;&gt;""),"Tổng Cộng",IFERROR(VLOOKUP($A14,Sheet1!$A$1:$D$98,4,0),""))</f>
        <v>25000</v>
      </c>
      <c r="H14" s="176">
        <f>IF($C13=MAX($C$8:$C$56),SUM($H$8:$H13),IFERROR($G14*$F14,""))</f>
        <v>75000</v>
      </c>
      <c r="I14" s="78">
        <f t="shared" si="2"/>
        <v>1.5</v>
      </c>
      <c r="L14" s="46"/>
      <c r="M14" s="159"/>
    </row>
    <row r="15" spans="1:14" s="44" customFormat="1" ht="14.25" customHeight="1" x14ac:dyDescent="0.25">
      <c r="A15" s="178">
        <v>61</v>
      </c>
      <c r="B15" s="178">
        <v>1</v>
      </c>
      <c r="C15" s="45">
        <f t="shared" si="0"/>
        <v>8</v>
      </c>
      <c r="D15" s="175" t="str">
        <f>IFERROR(VLOOKUP($A15,Sheet1!$A$1:$B$98,2,0),"")</f>
        <v>XX Đỏ KK</v>
      </c>
      <c r="E15" s="45">
        <f>IFERROR(VLOOKUP($A15,'Tổng Đơn'!$A$5:$E$73,5,0),"")</f>
        <v>0.5</v>
      </c>
      <c r="F15" s="45">
        <f t="shared" si="1"/>
        <v>1</v>
      </c>
      <c r="G15" s="186">
        <f>IF(AND($C15="",$C14&lt;&gt;""),"Tổng Cộng",IFERROR(VLOOKUP($A15,Sheet1!$A$1:$D$98,4,0),""))</f>
        <v>26000</v>
      </c>
      <c r="H15" s="176">
        <f>IF($C14=MAX($C$8:$C$56),SUM($H$8:$H14),IFERROR($G15*$F15,""))</f>
        <v>26000</v>
      </c>
      <c r="I15" s="78">
        <f t="shared" si="2"/>
        <v>0.5</v>
      </c>
      <c r="L15" s="46"/>
    </row>
    <row r="16" spans="1:14" s="44" customFormat="1" ht="14.25" customHeight="1" x14ac:dyDescent="0.25">
      <c r="A16" s="178" t="s">
        <v>207</v>
      </c>
      <c r="B16" s="178">
        <v>1</v>
      </c>
      <c r="C16" s="45">
        <f t="shared" si="0"/>
        <v>9</v>
      </c>
      <c r="D16" s="175" t="str">
        <f>IFERROR(VLOOKUP($A16,Sheet1!$A$1:$B$98,2,0),"")</f>
        <v>0-Chân Nhỏ</v>
      </c>
      <c r="E16" s="45">
        <f>IFERROR(VLOOKUP($A16,'Tổng Đơn'!$A$5:$E$73,5,0),"")</f>
        <v>1</v>
      </c>
      <c r="F16" s="45">
        <f t="shared" si="1"/>
        <v>1</v>
      </c>
      <c r="G16" s="186">
        <f>IF(AND($C16="",$C15&lt;&gt;""),"Tổng Cộng",IFERROR(VLOOKUP($A16,Sheet1!$A$1:$D$98,4,0),""))</f>
        <v>50000</v>
      </c>
      <c r="H16" s="176">
        <f>IF($C15=MAX($C$8:$C$56),SUM($H$8:$H15),IFERROR($G16*$F16,""))</f>
        <v>50000</v>
      </c>
      <c r="I16" s="78" t="str">
        <f t="shared" si="2"/>
        <v/>
      </c>
      <c r="L16" s="46"/>
    </row>
    <row r="17" spans="1:12" s="44" customFormat="1" ht="14.25" customHeight="1" x14ac:dyDescent="0.25">
      <c r="A17" s="178" t="s">
        <v>208</v>
      </c>
      <c r="B17" s="178">
        <v>2</v>
      </c>
      <c r="C17" s="45">
        <f t="shared" si="0"/>
        <v>10</v>
      </c>
      <c r="D17" s="185" t="str">
        <f>IFERROR(VLOOKUP($A17,Sheet1!$A$1:$B$98,2,0),"")</f>
        <v>0-Chân To</v>
      </c>
      <c r="E17" s="45">
        <f>IFERROR(VLOOKUP($A17,'Tổng Đơn'!$A$5:$E$73,5,0),"")</f>
        <v>1</v>
      </c>
      <c r="F17" s="45">
        <f t="shared" si="1"/>
        <v>2</v>
      </c>
      <c r="G17" s="186">
        <f>IF(AND($C17="",$C16&lt;&gt;""),"Tổng Cộng",IFERROR(VLOOKUP($A17,Sheet1!$A$1:$D$98,4,0),""))</f>
        <v>65000</v>
      </c>
      <c r="H17" s="176">
        <f>IF($C16=MAX($C$8:$C$56),SUM($H$8:$H16),IFERROR($G17*$F17,""))</f>
        <v>130000</v>
      </c>
      <c r="I17" s="78" t="str">
        <f t="shared" si="2"/>
        <v/>
      </c>
      <c r="L17" s="46"/>
    </row>
    <row r="18" spans="1:12" s="44" customFormat="1" ht="14.25" customHeight="1" x14ac:dyDescent="0.25">
      <c r="A18" s="178" t="s">
        <v>209</v>
      </c>
      <c r="B18" s="178">
        <v>3</v>
      </c>
      <c r="C18" s="45">
        <f t="shared" si="0"/>
        <v>11</v>
      </c>
      <c r="D18" s="185" t="str">
        <f>IFERROR(VLOOKUP($A18,Sheet1!$A$1:$B$98,2,0),"")</f>
        <v>0-Cánh Gà</v>
      </c>
      <c r="E18" s="45">
        <f>IFERROR(VLOOKUP($A18,'Tổng Đơn'!$A$5:$E$73,5,0),"")</f>
        <v>1</v>
      </c>
      <c r="F18" s="45">
        <f t="shared" si="1"/>
        <v>3</v>
      </c>
      <c r="G18" s="186">
        <f>IF(AND($C18="",$C17&lt;&gt;""),"Tổng Cộng",IFERROR(VLOOKUP($A18,Sheet1!$A$1:$D$98,4,0),""))</f>
        <v>70000</v>
      </c>
      <c r="H18" s="176">
        <f>IF($C17=MAX($C$8:$C$56),SUM($H$8:$H17),IFERROR($G18*$F18,""))</f>
        <v>210000</v>
      </c>
      <c r="I18" s="78" t="str">
        <f t="shared" si="2"/>
        <v/>
      </c>
      <c r="L18" s="46"/>
    </row>
    <row r="19" spans="1:12" s="44" customFormat="1" ht="14.25" customHeight="1" x14ac:dyDescent="0.25">
      <c r="A19" s="178">
        <v>1</v>
      </c>
      <c r="B19" s="178">
        <v>1</v>
      </c>
      <c r="C19" s="45">
        <f t="shared" si="0"/>
        <v>12</v>
      </c>
      <c r="D19" s="185" t="s">
        <v>313</v>
      </c>
      <c r="E19" s="45" t="s">
        <v>288</v>
      </c>
      <c r="F19" s="45" t="s">
        <v>288</v>
      </c>
      <c r="G19" s="186" t="s">
        <v>288</v>
      </c>
      <c r="H19" s="176">
        <f>-4000-2000-2000-15000-2*5000</f>
        <v>-33000</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796000</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209</v>
      </c>
      <c r="B8" s="178">
        <v>0.6</v>
      </c>
      <c r="C8" s="45">
        <f t="shared" ref="C8:C37" si="0">IF(OR(SUM($C7,$A8&lt;&gt;"")=0,$A8=""),"",SUM($C7,$A8&lt;&gt;""))</f>
        <v>1</v>
      </c>
      <c r="D8" s="175" t="str">
        <f>IFERROR(VLOOKUP($A8,Sheet1!$A$1:$B$98,2,0),"")</f>
        <v>0-Cánh Gà</v>
      </c>
      <c r="E8" s="45">
        <f>IFERROR(VLOOKUP($A8,'Tổng Đơn'!$A$5:$E$73,5,0),"")</f>
        <v>1</v>
      </c>
      <c r="F8" s="45">
        <f t="shared" ref="F8:F37" si="1">IF($B8="","",B8)</f>
        <v>0.6</v>
      </c>
      <c r="G8" s="186">
        <f>IFERROR(VLOOKUP($A8,Sheet1!$A1:$D$98,4,0),"")</f>
        <v>70000</v>
      </c>
      <c r="H8" s="176">
        <f>IF($C7=MAX($C$8:$C$56),SUM($H7:$H$8),IFERROR($G8*$F8,""))</f>
        <v>42000</v>
      </c>
      <c r="I8" s="78" t="str">
        <f t="shared" ref="I8:I37" si="2">IF(TYPE($A8)&lt;&gt;1,"",IFERROR(F8*E8,""))</f>
        <v/>
      </c>
      <c r="L8" s="47"/>
    </row>
    <row r="9" spans="1:14" s="44" customFormat="1" ht="14.25" customHeight="1" x14ac:dyDescent="0.25">
      <c r="A9" s="178">
        <v>1</v>
      </c>
      <c r="B9" s="178">
        <v>1</v>
      </c>
      <c r="C9" s="45">
        <f t="shared" si="0"/>
        <v>2</v>
      </c>
      <c r="D9" s="175" t="s">
        <v>313</v>
      </c>
      <c r="E9" s="45" t="s">
        <v>288</v>
      </c>
      <c r="F9" s="45" t="s">
        <v>288</v>
      </c>
      <c r="G9" s="186" t="s">
        <v>288</v>
      </c>
      <c r="H9" s="176">
        <v>-2000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313</v>
      </c>
      <c r="E10" s="45" t="s">
        <v>288</v>
      </c>
      <c r="F10" s="45" t="s">
        <v>288</v>
      </c>
      <c r="G10" s="186" t="s">
        <v>288</v>
      </c>
      <c r="H10" s="176">
        <v>-1000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38</v>
      </c>
      <c r="B8" s="178">
        <v>2</v>
      </c>
      <c r="C8" s="45">
        <f t="shared" ref="C8:C37" si="0">IF(OR(SUM($C7,$A8&lt;&gt;"")=0,$A8=""),"",SUM($C7,$A8&lt;&gt;""))</f>
        <v>1</v>
      </c>
      <c r="D8" s="175" t="str">
        <f>IFERROR(VLOOKUP($A8,Sheet1!$A$1:$B$98,2,0),"")</f>
        <v>XX Hotdog Phô mai</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46</v>
      </c>
      <c r="B9" s="178">
        <v>1</v>
      </c>
      <c r="C9" s="45">
        <f t="shared" si="0"/>
        <v>2</v>
      </c>
      <c r="D9" s="175" t="str">
        <f>IFERROR(VLOOKUP($A9,Sheet1!$A$1:$B$98,2,0),"")</f>
        <v>Khoai tây Simplot</v>
      </c>
      <c r="E9" s="45">
        <f>IFERROR(VLOOKUP($A9,'Tổng Đơn'!$A$5:$E$73,5,0),"")</f>
        <v>1</v>
      </c>
      <c r="F9" s="45">
        <f t="shared" si="1"/>
        <v>1</v>
      </c>
      <c r="G9" s="186">
        <f>IF(AND($C9="",$C8&lt;&gt;""),"Tổng Cộng",IFERROR(VLOOKUP($A9,Sheet1!$A$1:$D$98,4,0),""))</f>
        <v>49000</v>
      </c>
      <c r="H9" s="176">
        <f>IF($C8=MAX($C$8:$C$56),SUM($H$8:$H8),IFERROR($G9*$F9,""))</f>
        <v>49000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129000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320</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7</v>
      </c>
      <c r="B8" s="178">
        <v>2</v>
      </c>
      <c r="C8" s="45">
        <f t="shared" ref="C8:C37" si="0">IF(OR(SUM($C7,$A8&lt;&gt;"")=0,$A8=""),"",SUM($C7,$A8&lt;&gt;""))</f>
        <v>1</v>
      </c>
      <c r="D8" s="175" t="str">
        <f>IFERROR(VLOOKUP($A8,Sheet1!$A$1:$B$98,2,0),"")</f>
        <v>Hoành thánh chiên 500gr (60 viên)</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49</v>
      </c>
      <c r="B9" s="178">
        <v>1</v>
      </c>
      <c r="C9" s="45">
        <f t="shared" si="0"/>
        <v>2</v>
      </c>
      <c r="D9" s="175" t="str">
        <f>IFERROR(VLOOKUP($A9,Sheet1!$A$1:$B$98,2,0),"")</f>
        <v>Há cảo Lớn</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50</v>
      </c>
      <c r="B10" s="178">
        <v>1</v>
      </c>
      <c r="C10" s="45">
        <f t="shared" si="0"/>
        <v>3</v>
      </c>
      <c r="D10" s="175" t="str">
        <f>IFERROR(VLOOKUP($A10,Sheet1!$A$1:$B$98,2,0),"")</f>
        <v>Há cảo Mini</v>
      </c>
      <c r="E10" s="45">
        <f>IFERROR(VLOOKUP($A10,'Tổng Đơn'!$A$5:$E$73,5,0),"")</f>
        <v>0.5</v>
      </c>
      <c r="F10" s="45">
        <f t="shared" si="1"/>
        <v>1</v>
      </c>
      <c r="G10" s="186">
        <f>IF(AND($C10="",$C9&lt;&gt;""),"Tổng Cộng",IFERROR(VLOOKUP($A10,Sheet1!$A$1:$D$98,4,0),""))</f>
        <v>38000</v>
      </c>
      <c r="H10" s="176">
        <f>IF($C9=MAX($C$8:$C$56),SUM($H$8:$H9),IFERROR($G10*$F10,""))</f>
        <v>38000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143000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40</v>
      </c>
      <c r="B8" s="178">
        <v>2</v>
      </c>
      <c r="C8" s="45">
        <f t="shared" ref="C8:C37" si="0">IF(OR(SUM($C7,$A8&lt;&gt;"")=0,$A8=""),"",SUM($C7,$A8&lt;&gt;""))</f>
        <v>1</v>
      </c>
      <c r="D8" s="175" t="str">
        <f>IFERROR(VLOOKUP($A8,Sheet1!$A$1:$B$98,2,0),"")</f>
        <v>0-Bò cuộn Excel Canada</v>
      </c>
      <c r="E8" s="45">
        <f>IFERROR(VLOOKUP($A8,'Tổng Đơn'!$A$5:$E$73,5,0),"")</f>
        <v>0.5</v>
      </c>
      <c r="F8" s="45">
        <f t="shared" ref="F8:F37" si="1">IF($B8="","",B8)</f>
        <v>2</v>
      </c>
      <c r="G8" s="186">
        <f>IFERROR(VLOOKUP($A8,Sheet1!$A1:$D$98,4,0),"")</f>
        <v>105000</v>
      </c>
      <c r="H8" s="176">
        <f>IF($C7=MAX($C$8:$C$56),SUM($H7:$H$8),IFERROR($G8*$F8,""))</f>
        <v>210000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1</v>
      </c>
      <c r="B10" s="178">
        <v>1</v>
      </c>
      <c r="C10" s="45">
        <f t="shared" si="0"/>
        <v>3</v>
      </c>
      <c r="D10" s="175" t="s">
        <v>313</v>
      </c>
      <c r="E10" s="45" t="s">
        <v>288</v>
      </c>
      <c r="F10" s="45" t="s">
        <v>288</v>
      </c>
      <c r="G10" s="186" t="s">
        <v>288</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282000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57</v>
      </c>
      <c r="B9" s="178">
        <v>3</v>
      </c>
      <c r="C9" s="45">
        <f t="shared" si="0"/>
        <v>2</v>
      </c>
      <c r="D9" s="175" t="str">
        <f>IFERROR(VLOOKUP($A9,Sheet1!$A$1:$B$98,2,0),"")</f>
        <v>Cá viên KK</v>
      </c>
      <c r="E9" s="45">
        <f>IFERROR(VLOOKUP($A9,'Tổng Đơn'!$A$5:$E$73,5,0),"")</f>
        <v>0.5</v>
      </c>
      <c r="F9" s="45">
        <f t="shared" si="1"/>
        <v>3</v>
      </c>
      <c r="G9" s="186">
        <f>IF(AND($C9="",$C8&lt;&gt;""),"Tổng Cộng",IFERROR(VLOOKUP($A9,Sheet1!$A$1:$D$98,4,0),""))</f>
        <v>25000</v>
      </c>
      <c r="H9" s="176">
        <f>IF($C8=MAX($C$8:$C$56),SUM($H$8:$H8),IFERROR($G9*$F9,""))</f>
        <v>75000</v>
      </c>
      <c r="I9" s="78">
        <f t="shared" si="2"/>
        <v>1.5</v>
      </c>
      <c r="L9" s="46"/>
    </row>
    <row r="10" spans="1:14" s="44" customFormat="1" ht="14.25" customHeight="1" x14ac:dyDescent="0.25">
      <c r="A10" s="178">
        <v>59</v>
      </c>
      <c r="B10" s="178">
        <v>3</v>
      </c>
      <c r="C10" s="45">
        <f t="shared" si="0"/>
        <v>3</v>
      </c>
      <c r="D10" s="175" t="str">
        <f>IFERROR(VLOOKUP($A10,Sheet1!$A$1:$B$98,2,0),"")</f>
        <v>Bò viên KK</v>
      </c>
      <c r="E10" s="45">
        <f>IFERROR(VLOOKUP($A10,'Tổng Đơn'!$A$5:$E$73,5,0),"")</f>
        <v>0.5</v>
      </c>
      <c r="F10" s="45">
        <f t="shared" si="1"/>
        <v>3</v>
      </c>
      <c r="G10" s="186">
        <f>IF(AND($C10="",$C9&lt;&gt;""),"Tổng Cộng",IFERROR(VLOOKUP($A10,Sheet1!$A$1:$D$98,4,0),""))</f>
        <v>28000</v>
      </c>
      <c r="H10" s="176">
        <f>IF($C9=MAX($C$8:$C$56),SUM($H$8:$H9),IFERROR($G10*$F10,""))</f>
        <v>84000</v>
      </c>
      <c r="I10" s="78">
        <f t="shared" si="2"/>
        <v>1.5</v>
      </c>
      <c r="L10" s="46"/>
    </row>
    <row r="11" spans="1:14" s="44" customFormat="1" ht="14.25" customHeight="1" x14ac:dyDescent="0.25">
      <c r="A11" s="178">
        <v>62</v>
      </c>
      <c r="B11" s="178">
        <v>3</v>
      </c>
      <c r="C11" s="45">
        <f t="shared" si="0"/>
        <v>4</v>
      </c>
      <c r="D11" s="175" t="str">
        <f>IFERROR(VLOOKUP($A11,Sheet1!$A$1:$B$98,2,0),"")</f>
        <v>XX Đức KK</v>
      </c>
      <c r="E11" s="45">
        <f>IFERROR(VLOOKUP($A11,'Tổng Đơn'!$A$5:$E$73,5,0),"")</f>
        <v>0.5</v>
      </c>
      <c r="F11" s="45">
        <f t="shared" si="1"/>
        <v>3</v>
      </c>
      <c r="G11" s="186">
        <f>IF(AND($C11="",$C10&lt;&gt;""),"Tổng Cộng",IFERROR(VLOOKUP($A11,Sheet1!$A$1:$D$98,4,0),""))</f>
        <v>35000</v>
      </c>
      <c r="H11" s="176">
        <f>IF($C10=MAX($C$8:$C$56),SUM($H$8:$H10),IFERROR($G11*$F11,""))</f>
        <v>105000</v>
      </c>
      <c r="I11" s="78">
        <f t="shared" si="2"/>
        <v>1.5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344000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59</v>
      </c>
      <c r="B8" s="178">
        <v>1</v>
      </c>
      <c r="C8" s="45">
        <f t="shared" ref="C8:C37" si="0">IF(OR(SUM($C7,$A8&lt;&gt;"")=0,$A8=""),"",SUM($C7,$A8&lt;&gt;""))</f>
        <v>1</v>
      </c>
      <c r="D8" s="175" t="str">
        <f>IFERROR(VLOOKUP($A8,Sheet1!$A$1:$B$98,2,0),"")</f>
        <v>Bò viên KK</v>
      </c>
      <c r="E8" s="45">
        <f>IFERROR(VLOOKUP($A8,'Tổng Đơn'!$A$5:$E$73,5,0),"")</f>
        <v>0.5</v>
      </c>
      <c r="F8" s="45">
        <f t="shared" ref="F8:F37" si="1">IF($B8="","",B8)</f>
        <v>1</v>
      </c>
      <c r="G8" s="186">
        <f>IFERROR(VLOOKUP($A8,Sheet1!$A1:$D$98,4,0),"")</f>
        <v>28000</v>
      </c>
      <c r="H8" s="176">
        <f>IF($C7=MAX($C$8:$C$56),SUM($H7:$H$8),IFERROR($G8*$F8,""))</f>
        <v>28000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v>
      </c>
      <c r="B8" s="178">
        <v>10</v>
      </c>
      <c r="C8" s="45">
        <f t="shared" ref="C8:C37" si="0">IF(OR(SUM($C7,$A8&lt;&gt;"")=0,$A8=""),"",SUM($C7,$A8&lt;&gt;""))</f>
        <v>1</v>
      </c>
      <c r="D8" s="175" t="str">
        <f>IFERROR(VLOOKUP($A8,Sheet1!$A$1:$B$98,2,0),"")</f>
        <v>Phô mai sữa que LC</v>
      </c>
      <c r="E8" s="45">
        <f>IFERROR(VLOOKUP($A8,'Tổng Đơn'!$A$5:$E$73,5,0),"")</f>
        <v>0.5</v>
      </c>
      <c r="F8" s="45">
        <f t="shared" ref="F8:F37" si="1">IF($B8="","",B8)</f>
        <v>10</v>
      </c>
      <c r="G8" s="186">
        <f>IFERROR(VLOOKUP($A8,Sheet1!$A1:$D$98,4,0),"")</f>
        <v>48000</v>
      </c>
      <c r="H8" s="176">
        <f>IF($C7=MAX($C$8:$C$56),SUM($H7:$H$8),IFERROR($G8*$F8,""))</f>
        <v>480000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313</v>
      </c>
      <c r="E11" s="45" t="s">
        <v>288</v>
      </c>
      <c r="F11" s="45" t="s">
        <v>288</v>
      </c>
      <c r="G11" s="186" t="s">
        <v>288</v>
      </c>
      <c r="H11" s="176">
        <v>-140000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850000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8" sqref="H8: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21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14</v>
      </c>
      <c r="L7" s="168"/>
    </row>
    <row r="8" spans="1:14" s="44" customFormat="1" ht="14.25" customHeight="1" x14ac:dyDescent="0.25">
      <c r="A8" s="178">
        <v>8</v>
      </c>
      <c r="B8" s="178">
        <v>3</v>
      </c>
      <c r="C8" s="45">
        <f t="shared" ref="C8:C37" si="0">IF(OR(SUM($C7,$A8&lt;&gt;"")=0,$A8=""),"",SUM($C7,$A8&lt;&gt;""))</f>
        <v>1</v>
      </c>
      <c r="D8" s="175" t="str">
        <f>IFERROR(VLOOKUP($A8,Sheet1!$A$1:$B$98,2,0),"")</f>
        <v>Hải sản sốt cam LC</v>
      </c>
      <c r="E8" s="45">
        <f>IFERROR(VLOOKUP($A8,'Tổng Đơn'!$A$5:$E$73,5,0),"")</f>
        <v>0.5</v>
      </c>
      <c r="F8" s="45">
        <f t="shared" ref="F8:F37" si="1">IF($B8="","",B8)</f>
        <v>3</v>
      </c>
      <c r="G8" s="186">
        <f>IFERROR(VLOOKUP($A8,Sheet1!$A1:$D$98,4,0),"")</f>
        <v>45000</v>
      </c>
      <c r="H8" s="176">
        <f>IF($C7=MAX($C$8:$C$56),SUM($H7:$H$8),IFERROR($G8*$F8,""))</f>
        <v>135000</v>
      </c>
      <c r="I8" s="78">
        <f t="shared" ref="I8:I37" si="2">IF(TYPE($A8)&lt;&gt;1,"",IFERROR(F8*E8,""))</f>
        <v>1.5</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62</v>
      </c>
      <c r="B11" s="178">
        <v>5</v>
      </c>
      <c r="C11" s="45">
        <f t="shared" si="0"/>
        <v>4</v>
      </c>
      <c r="D11" s="175" t="str">
        <f>IFERROR(VLOOKUP($A11,Sheet1!$A$1:$B$98,2,0),"")</f>
        <v>XX Đức KK</v>
      </c>
      <c r="E11" s="45">
        <f>IFERROR(VLOOKUP($A11,'Tổng Đơn'!$A$5:$E$73,5,0),"")</f>
        <v>0.5</v>
      </c>
      <c r="F11" s="45">
        <f t="shared" si="1"/>
        <v>5</v>
      </c>
      <c r="G11" s="186">
        <f>IF(AND($C11="",$C10&lt;&gt;""),"Tổng Cộng",IFERROR(VLOOKUP($A11,Sheet1!$A$1:$D$98,4,0),""))</f>
        <v>35000</v>
      </c>
      <c r="H11" s="176">
        <f>IF($C10=MAX($C$8:$C$56),SUM($H$8:$H10),IFERROR($G11*$F11,""))</f>
        <v>175000</v>
      </c>
      <c r="I11" s="78">
        <f t="shared" si="2"/>
        <v>2.5</v>
      </c>
      <c r="L11" s="46"/>
    </row>
    <row r="12" spans="1:14" s="44" customFormat="1" ht="14.25" customHeight="1" x14ac:dyDescent="0.25">
      <c r="A12" s="178">
        <v>1</v>
      </c>
      <c r="B12" s="178">
        <v>1</v>
      </c>
      <c r="C12" s="45">
        <f t="shared" si="0"/>
        <v>5</v>
      </c>
      <c r="D12" s="175" t="s">
        <v>313</v>
      </c>
      <c r="E12" s="45" t="s">
        <v>288</v>
      </c>
      <c r="F12" s="45" t="s">
        <v>288</v>
      </c>
      <c r="G12" s="186" t="s">
        <v>288</v>
      </c>
      <c r="H12" s="176">
        <v>-30000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790000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2022-04-21T02:01:24Z</dcterms:modified>
</cp:coreProperties>
</file>